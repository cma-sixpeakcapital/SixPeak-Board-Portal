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<sst xmlns="http://schemas.openxmlformats.org/spreadsheetml/2006/main" count="1173" uniqueCount="696">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</sst>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4278346.6172676</v>
      </c>
      <c r="D5" s="10" t="n">
        <f aca="false">Model!X8+Model!Y8+Model!Z8+Model!AA8+Model!AB8+Model!AC8+Model!AD8+Model!AE8+Model!AF8+Model!AG8+Model!AH8+Model!AI8</f>
        <v>3175775.394865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4350699.45937286</v>
      </c>
      <c r="D6" s="10" t="n">
        <f aca="false">Model!X9+Model!Y9+Model!Z9+Model!AA9+Model!AB9+Model!AC9+Model!AD9+Model!AE9+Model!AF9+Model!AG9+Model!AH9+Model!AI9</f>
        <v>3175775.394865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1330897.18711552</v>
      </c>
      <c r="D7" s="10" t="n">
        <f aca="false">Model!X10+Model!Y10+Model!Z10+Model!AA10+Model!AB10+Model!AC10+Model!AD10+Model!AE10+Model!AF10+Model!AG10+Model!AH10+Model!AI10</f>
        <v>1058591.79828833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10638944.813756</v>
      </c>
      <c r="D9" s="12" t="n">
        <f aca="false">Model!X12+Model!Y12+Model!Z12+Model!AA12+Model!AB12+Model!AC12+Model!AD12+Model!AE12+Model!AF12+Model!AG12+Model!AH12+Model!AI12</f>
        <v>8030462.06801834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-6898330.7913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3740614.02245598</v>
      </c>
      <c r="D16" s="16" t="n">
        <f aca="false">Model!X40+Model!Y40+Model!Z40+Model!AA40+Model!AB40+Model!AC40+Model!AD40+Model!AE40+Model!AF40+Model!AG40+Model!AH40+Model!AI40</f>
        <v>1150732.54639234</v>
      </c>
      <c r="E16" s="16" t="n">
        <f aca="false">Model!AJ40+Model!AK40+Model!AL40+Model!AM40+Model!AN40+Model!AO40+Model!AP40+Model!AQ40+Model!AR40+Model!AS40+Model!AT40+Model!AU40</f>
        <v>-2043421.23171307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0.351596336661078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0.143295931995642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-0.567144887543756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3257057.47985598</v>
      </c>
      <c r="D23" s="16" t="n">
        <f aca="false">Model!X95+Model!Y95+Model!Z95+Model!AA95+Model!AB95+Model!AC95+Model!AD95+Model!AE95+Model!AF95+Model!AG95+Model!AH95+Model!AI95</f>
        <v>1894524.96849234</v>
      </c>
      <c r="E23" s="16" t="n">
        <f aca="false">Model!AJ95+Model!AK95+Model!AL95+Model!AM95+Model!AN95+Model!AO95+Model!AP95+Model!AQ95+Model!AR95+Model!AS95+Model!AT95+Model!AU95</f>
        <v>-2402183.62596307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7988273.75420893</v>
      </c>
      <c r="D42" s="21" t="n">
        <f aca="false">Model!AI147</f>
        <v>9139006.30060128</v>
      </c>
      <c r="E42" s="21" t="n">
        <f aca="false">Model!AU147</f>
        <v>7095585.06888821</v>
      </c>
      <c r="F42" s="21" t="n">
        <f aca="false">Model!BG147</f>
        <v>3059348.31307118</v>
      </c>
      <c r="G42" s="21" t="n">
        <f aca="false">Model!BS147</f>
        <v>-2815185.03786218</v>
      </c>
      <c r="H42" s="21" t="n">
        <f aca="false">Model!CE147</f>
        <v>-8807209.05581421</v>
      </c>
      <c r="I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-977117.243956794</v>
      </c>
      <c r="E44" s="21" t="n">
        <f aca="false">Model!AJ159+Model!AK159+Model!AL159+Model!AM159+Model!AN159+Model!AO159+Model!AP159+Model!AQ159+Model!AR159+Model!AS159+Model!AT159+Model!AU159</f>
        <v>-568357.490547702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5322616.07832349</v>
      </c>
      <c r="D45" s="23" t="n">
        <f aca="false">Model!AI160</f>
        <v>6967141.04681583</v>
      </c>
      <c r="E45" s="23" t="n">
        <f aca="false">Model!AU160</f>
        <v>4314957.42085276</v>
      </c>
      <c r="F45" s="23" t="n">
        <f aca="false">Model!BG160</f>
        <v>-788376.830027265</v>
      </c>
      <c r="G45" s="23" t="n">
        <f aca="false">Model!BS160</f>
        <v>-7892950.42490089</v>
      </c>
      <c r="H45" s="23" t="n">
        <f aca="false">Model!CE160</f>
        <v>-15253872.736728</v>
      </c>
      <c r="I45" s="23" t="n">
        <f aca="false">Model!CH160</f>
        <v>-17080098.475808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359322.566494361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303818.378994361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303818.378994361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303818.378994361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290923.642152256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290923.642152256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290923.642152256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290923.642152256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266375.344988893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367724.250704887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308332.063204887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308332.063204887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308332.063204887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290923.642152256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290923.642152256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290923.642152256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290923.642152256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266375.344988893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108013.672384085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96974.5473840852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96974.5473840852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96974.5473840852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96974.5473840852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96974.5473840852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96974.5473840852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96974.5473840852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88791.7816629642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835060.489583333</v>
      </c>
      <c r="S12" s="12" t="n">
        <f aca="false">S8+S9+S10+S11</f>
        <v>709124.989583333</v>
      </c>
      <c r="T12" s="12" t="n">
        <f aca="false">T8+T9+T10+T11</f>
        <v>709124.989583333</v>
      </c>
      <c r="U12" s="12" t="n">
        <f aca="false">U8+U9+U10+U11</f>
        <v>709124.989583333</v>
      </c>
      <c r="V12" s="12" t="n">
        <f aca="false">V8+V9+V10+V11</f>
        <v>678821.831688597</v>
      </c>
      <c r="W12" s="12" t="n">
        <f aca="false">W8+W9+W10+W11</f>
        <v>678821.831688597</v>
      </c>
      <c r="X12" s="12" t="n">
        <f aca="false">X8+X9+X10+X11</f>
        <v>678821.831688597</v>
      </c>
      <c r="Y12" s="12" t="n">
        <f aca="false">Y8+Y9+Y10+Y11</f>
        <v>678821.831688597</v>
      </c>
      <c r="Z12" s="12" t="n">
        <f aca="false">Z8+Z9+Z10+Z11</f>
        <v>621542.47164075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-454491.2957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-454491.2957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380569.193883333</v>
      </c>
      <c r="S40" s="16" t="n">
        <f aca="false">S12+S38</f>
        <v>254633.693883333</v>
      </c>
      <c r="T40" s="16" t="n">
        <f aca="false">T12+T38</f>
        <v>254633.693883333</v>
      </c>
      <c r="U40" s="16" t="n">
        <f aca="false">U12+U38</f>
        <v>254633.693883333</v>
      </c>
      <c r="V40" s="16" t="n">
        <f aca="false">V12+V38</f>
        <v>224330.535988597</v>
      </c>
      <c r="W40" s="16" t="n">
        <f aca="false">W12+W38</f>
        <v>224330.535988597</v>
      </c>
      <c r="X40" s="16" t="n">
        <f aca="false">X12+X38</f>
        <v>224330.535988597</v>
      </c>
      <c r="Y40" s="16" t="n">
        <f aca="false">Y12+Y38</f>
        <v>224330.535988597</v>
      </c>
      <c r="Z40" s="16" t="n">
        <f aca="false">Z12+Z38</f>
        <v>167051.17594075</v>
      </c>
      <c r="AA40" s="16" t="n">
        <f aca="false">AA12+AA38</f>
        <v>112834.537825793</v>
      </c>
      <c r="AB40" s="16" t="n">
        <f aca="false">AB12+AB38</f>
        <v>31340.6861511515</v>
      </c>
      <c r="AC40" s="16" t="n">
        <f aca="false">AC12+AC38</f>
        <v>-535719.040515515</v>
      </c>
      <c r="AD40" s="16" t="n">
        <f aca="false">AD12+AD38</f>
        <v>187987.019484485</v>
      </c>
      <c r="AE40" s="16" t="n">
        <f aca="false">AE12+AE38</f>
        <v>187987.019484485</v>
      </c>
      <c r="AF40" s="16" t="n">
        <f aca="false">AF12+AF38</f>
        <v>187987.019484485</v>
      </c>
      <c r="AG40" s="16" t="n">
        <f aca="false">AG12+AG38</f>
        <v>187987.019484485</v>
      </c>
      <c r="AH40" s="16" t="n">
        <f aca="false">AH12+AH38</f>
        <v>87308.0185375152</v>
      </c>
      <c r="AI40" s="16" t="n">
        <f aca="false">AI12+AI38</f>
        <v>87308.0185375152</v>
      </c>
      <c r="AJ40" s="16" t="n">
        <f aca="false">AJ12+AJ38</f>
        <v>-75451.2541897575</v>
      </c>
      <c r="AK40" s="16" t="n">
        <f aca="false">AK12+AK38</f>
        <v>-75451.2541897575</v>
      </c>
      <c r="AL40" s="16" t="n">
        <f aca="false">AL12+AL38</f>
        <v>-75451.2541897575</v>
      </c>
      <c r="AM40" s="16" t="n">
        <f aca="false">AM12+AM38</f>
        <v>-144741.372834159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0.455738474793873</v>
      </c>
      <c r="S41" s="32" t="n">
        <f aca="false">IF(S12&lt;&gt;0,S40/S12,0)</f>
        <v>0.359081540805593</v>
      </c>
      <c r="T41" s="32" t="n">
        <f aca="false">IF(T12&lt;&gt;0,T40/T12,0)</f>
        <v>0.359081540805593</v>
      </c>
      <c r="U41" s="32" t="n">
        <f aca="false">IF(U12&lt;&gt;0,U40/U12,0)</f>
        <v>0.359081540805593</v>
      </c>
      <c r="V41" s="32" t="n">
        <f aca="false">IF(V12&lt;&gt;0,V40/V12,0)</f>
        <v>0.330470420243505</v>
      </c>
      <c r="W41" s="32" t="n">
        <f aca="false">IF(W12&lt;&gt;0,W40/W12,0)</f>
        <v>0.330470420243505</v>
      </c>
      <c r="X41" s="32" t="n">
        <f aca="false">IF(X12&lt;&gt;0,X40/X12,0)</f>
        <v>0.330470420243505</v>
      </c>
      <c r="Y41" s="32" t="n">
        <f aca="false">IF(Y12&lt;&gt;0,Y40/Y12,0)</f>
        <v>0.330470420243505</v>
      </c>
      <c r="Z41" s="32" t="n">
        <f aca="false">IF(Z12&lt;&gt;0,Z40/Z12,0)</f>
        <v>0.268768722272136</v>
      </c>
      <c r="AA41" s="32" t="n">
        <f aca="false">IF(AA12&lt;&gt;0,AA40/AA12,0)</f>
        <v>0.19575203410583</v>
      </c>
      <c r="AB41" s="32" t="n">
        <f aca="false">IF(AB12&lt;&gt;0,AB40/AB12,0)</f>
        <v>0.0633245204786434</v>
      </c>
      <c r="AC41" s="32" t="n">
        <f aca="false">IF(AC12&lt;&gt;0,AC40/AC12,0)</f>
        <v>-0.421199979958004</v>
      </c>
      <c r="AD41" s="32" t="n">
        <f aca="false">IF(AD12&lt;&gt;0,AD40/AD12,0)</f>
        <v>0.288514750226363</v>
      </c>
      <c r="AE41" s="32" t="n">
        <f aca="false">IF(AE12&lt;&gt;0,AE40/AE12,0)</f>
        <v>0.288514750226363</v>
      </c>
      <c r="AF41" s="32" t="n">
        <f aca="false">IF(AF12&lt;&gt;0,AF40/AF12,0)</f>
        <v>0.288514750226363</v>
      </c>
      <c r="AG41" s="32" t="n">
        <f aca="false">IF(AG12&lt;&gt;0,AG40/AG12,0)</f>
        <v>0.288514750226363</v>
      </c>
      <c r="AH41" s="32" t="n">
        <f aca="false">IF(AH12&lt;&gt;0,AH40/AH12,0)</f>
        <v>0.158485641073814</v>
      </c>
      <c r="AI41" s="32" t="n">
        <f aca="false">IF(AI12&lt;&gt;0,AI40/AI12,0)</f>
        <v>0.158485641073814</v>
      </c>
      <c r="AJ41" s="32" t="n">
        <f aca="false">IF(AJ12&lt;&gt;0,AJ40/AJ12,0)</f>
        <v>-0.194396928766335</v>
      </c>
      <c r="AK41" s="32" t="n">
        <f aca="false">IF(AK12&lt;&gt;0,AK40/AK12,0)</f>
        <v>-0.194396928766335</v>
      </c>
      <c r="AL41" s="32" t="n">
        <f aca="false">IF(AL12&lt;&gt;0,AL40/AL12,0)</f>
        <v>-0.194396928766335</v>
      </c>
      <c r="AM41" s="32" t="n">
        <f aca="false">IF(AM12&lt;&gt;0,AM40/AM12,0)</f>
        <v>-0.441134887521423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835060.489583333</v>
      </c>
      <c r="S89" s="10" t="n">
        <f aca="false">S12</f>
        <v>709124.989583333</v>
      </c>
      <c r="T89" s="10" t="n">
        <f aca="false">T12</f>
        <v>709124.989583333</v>
      </c>
      <c r="U89" s="10" t="n">
        <f aca="false">U12</f>
        <v>709124.989583333</v>
      </c>
      <c r="V89" s="10" t="n">
        <f aca="false">V12</f>
        <v>678821.831688597</v>
      </c>
      <c r="W89" s="10" t="n">
        <f aca="false">W12</f>
        <v>678821.831688597</v>
      </c>
      <c r="X89" s="10" t="n">
        <f aca="false">X12</f>
        <v>678821.831688597</v>
      </c>
      <c r="Y89" s="10" t="n">
        <f aca="false">Y12</f>
        <v>678821.831688597</v>
      </c>
      <c r="Z89" s="10" t="n">
        <f aca="false">Z12</f>
        <v>621542.47164075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884448.392383333</v>
      </c>
      <c r="S91" s="12" t="n">
        <f aca="false">S89+S90</f>
        <v>775085.154783333</v>
      </c>
      <c r="T91" s="12" t="n">
        <f aca="false">T89+T90</f>
        <v>791657.417183333</v>
      </c>
      <c r="U91" s="12" t="n">
        <f aca="false">U89+U90</f>
        <v>808229.673183333</v>
      </c>
      <c r="V91" s="12" t="n">
        <f aca="false">V89+V90</f>
        <v>794498.784088597</v>
      </c>
      <c r="W91" s="12" t="n">
        <f aca="false">W89+W90</f>
        <v>868446.040088597</v>
      </c>
      <c r="X91" s="12" t="n">
        <f aca="false">X89+X90</f>
        <v>827643.296088597</v>
      </c>
      <c r="Y91" s="12" t="n">
        <f aca="false">Y89+Y90</f>
        <v>844215.558488597</v>
      </c>
      <c r="Z91" s="12" t="n">
        <f aca="false">Z89+Z90</f>
        <v>848251.88724075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-454491.2957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-454491.2957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-599907.1707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-576447.1707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284541.221683333</v>
      </c>
      <c r="S95" s="16" t="n">
        <f aca="false">S91+S94</f>
        <v>198637.984083333</v>
      </c>
      <c r="T95" s="16" t="n">
        <f aca="false">T91+T94</f>
        <v>215210.246483333</v>
      </c>
      <c r="U95" s="16" t="n">
        <f aca="false">U91+U94</f>
        <v>231782.502483333</v>
      </c>
      <c r="V95" s="16" t="n">
        <f aca="false">V91+V94</f>
        <v>218051.613388596</v>
      </c>
      <c r="W95" s="16" t="n">
        <f aca="false">W91+W94</f>
        <v>270578.869388597</v>
      </c>
      <c r="X95" s="16" t="n">
        <f aca="false">X91+X94</f>
        <v>251196.125388597</v>
      </c>
      <c r="Y95" s="16" t="n">
        <f aca="false">Y91+Y94</f>
        <v>267768.387788596</v>
      </c>
      <c r="Z95" s="16" t="n">
        <f aca="false">Z91+Z94</f>
        <v>271804.71654075</v>
      </c>
      <c r="AA95" s="16" t="n">
        <f aca="false">AA91+AA94</f>
        <v>163293.586925793</v>
      </c>
      <c r="AB95" s="16" t="n">
        <f aca="false">AB91+AB94</f>
        <v>98372.0040511515</v>
      </c>
      <c r="AC95" s="16" t="n">
        <f aca="false">AC91+AC94</f>
        <v>-365908.242615515</v>
      </c>
      <c r="AD95" s="16" t="n">
        <f aca="false">AD91+AD94</f>
        <v>219329.713384485</v>
      </c>
      <c r="AE95" s="16" t="n">
        <f aca="false">AE91+AE94</f>
        <v>243759.470184485</v>
      </c>
      <c r="AF95" s="16" t="n">
        <f aca="false">AF91+AF94</f>
        <v>244260.014184485</v>
      </c>
      <c r="AG95" s="16" t="n">
        <f aca="false">AG91+AG94</f>
        <v>235260.564584485</v>
      </c>
      <c r="AH95" s="16" t="n">
        <f aca="false">AH91+AH94</f>
        <v>135082.107637515</v>
      </c>
      <c r="AI95" s="16" t="n">
        <f aca="false">AI91+AI94</f>
        <v>130306.520437515</v>
      </c>
      <c r="AJ95" s="16" t="n">
        <f aca="false">AJ91+AJ94</f>
        <v>-26676.0578897576</v>
      </c>
      <c r="AK95" s="16" t="n">
        <f aca="false">AK91+AK94</f>
        <v>-42747.7698897575</v>
      </c>
      <c r="AL95" s="16" t="n">
        <f aca="false">AL91+AL94</f>
        <v>-58819.4818897576</v>
      </c>
      <c r="AM95" s="16" t="n">
        <f aca="false">AM91+AM94</f>
        <v>-146669.218784159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6775711.60058174</v>
      </c>
      <c r="T145" s="10" t="n">
        <f aca="false">S147</f>
        <v>7030345.29446507</v>
      </c>
      <c r="U145" s="10" t="n">
        <f aca="false">T147</f>
        <v>7284978.98834841</v>
      </c>
      <c r="V145" s="10" t="n">
        <f aca="false">U147</f>
        <v>7539612.68223174</v>
      </c>
      <c r="W145" s="10" t="n">
        <f aca="false">V147</f>
        <v>7763943.21822034</v>
      </c>
      <c r="X145" s="10" t="n">
        <f aca="false">W147</f>
        <v>7988273.75420893</v>
      </c>
      <c r="Y145" s="10" t="n">
        <f aca="false">X147</f>
        <v>8212604.29019753</v>
      </c>
      <c r="Z145" s="10" t="n">
        <f aca="false">Y147</f>
        <v>8436934.82618612</v>
      </c>
      <c r="AA145" s="10" t="n">
        <f aca="false">Z147</f>
        <v>8603986.00212687</v>
      </c>
      <c r="AB145" s="10" t="n">
        <f aca="false">AA147</f>
        <v>8716820.53995267</v>
      </c>
      <c r="AC145" s="10" t="n">
        <f aca="false">AB147</f>
        <v>8748161.22610382</v>
      </c>
      <c r="AD145" s="10" t="n">
        <f aca="false">AC147</f>
        <v>8212442.18558831</v>
      </c>
      <c r="AE145" s="10" t="n">
        <f aca="false">AD147</f>
        <v>8400429.20507279</v>
      </c>
      <c r="AF145" s="10" t="n">
        <f aca="false">AE147</f>
        <v>8588416.22455728</v>
      </c>
      <c r="AG145" s="10" t="n">
        <f aca="false">AF147</f>
        <v>8776403.24404176</v>
      </c>
      <c r="AH145" s="10" t="n">
        <f aca="false">AG147</f>
        <v>8964390.26352624</v>
      </c>
      <c r="AI145" s="10" t="n">
        <f aca="false">AH147</f>
        <v>9051698.28206376</v>
      </c>
      <c r="AJ145" s="10" t="n">
        <f aca="false">AI147</f>
        <v>9139006.30060128</v>
      </c>
      <c r="AK145" s="10" t="n">
        <f aca="false">AJ147</f>
        <v>9063555.04641152</v>
      </c>
      <c r="AL145" s="10" t="n">
        <f aca="false">AK147</f>
        <v>8988103.79222176</v>
      </c>
      <c r="AM145" s="10" t="n">
        <f aca="false">AL147</f>
        <v>8912652.538032</v>
      </c>
      <c r="AN145" s="10" t="n">
        <f aca="false">AM147</f>
        <v>8767911.16519784</v>
      </c>
      <c r="AO145" s="10" t="n">
        <f aca="false">AN147</f>
        <v>8623169.79236369</v>
      </c>
      <c r="AP145" s="10" t="n">
        <f aca="false">AO147</f>
        <v>8478428.41952953</v>
      </c>
      <c r="AQ145" s="10" t="n">
        <f aca="false">AP147</f>
        <v>8333687.04669537</v>
      </c>
      <c r="AR145" s="10" t="n">
        <f aca="false">AQ147</f>
        <v>8188945.67386121</v>
      </c>
      <c r="AS145" s="10" t="n">
        <f aca="false">AR147</f>
        <v>8044204.30102705</v>
      </c>
      <c r="AT145" s="10" t="n">
        <f aca="false">AS147</f>
        <v>7727997.8903141</v>
      </c>
      <c r="AU145" s="10" t="n">
        <f aca="false">AT147</f>
        <v>7411791.47960115</v>
      </c>
      <c r="AV145" s="10" t="n">
        <f aca="false">AU147</f>
        <v>7095585.06888821</v>
      </c>
      <c r="AW145" s="10" t="n">
        <f aca="false">AV147</f>
        <v>6779378.65817526</v>
      </c>
      <c r="AX145" s="10" t="n">
        <f aca="false">AW147</f>
        <v>6463172.24746231</v>
      </c>
      <c r="AY145" s="10" t="n">
        <f aca="false">AX147</f>
        <v>6146965.83674937</v>
      </c>
      <c r="AZ145" s="10" t="n">
        <f aca="false">AY147</f>
        <v>5821302.37115549</v>
      </c>
      <c r="BA145" s="10" t="n">
        <f aca="false">AZ147</f>
        <v>5495638.90556162</v>
      </c>
      <c r="BB145" s="10" t="n">
        <f aca="false">BA147</f>
        <v>5169975.43996775</v>
      </c>
      <c r="BC145" s="10" t="n">
        <f aca="false">BB147</f>
        <v>4844311.97437388</v>
      </c>
      <c r="BD145" s="10" t="n">
        <f aca="false">BC147</f>
        <v>4518648.50878</v>
      </c>
      <c r="BE145" s="10" t="n">
        <f aca="false">BD147</f>
        <v>4192985.04318613</v>
      </c>
      <c r="BF145" s="10" t="n">
        <f aca="false">BE147</f>
        <v>3867321.57759226</v>
      </c>
      <c r="BG145" s="10" t="n">
        <f aca="false">BF147</f>
        <v>3541658.11199839</v>
      </c>
      <c r="BH145" s="10" t="n">
        <f aca="false">BG147</f>
        <v>3059348.31307118</v>
      </c>
      <c r="BI145" s="10" t="n">
        <f aca="false">BH147</f>
        <v>2577038.51414398</v>
      </c>
      <c r="BJ145" s="10" t="n">
        <f aca="false">BI147</f>
        <v>2094728.71521677</v>
      </c>
      <c r="BK145" s="10" t="n">
        <f aca="false">BJ147</f>
        <v>1612418.91628956</v>
      </c>
      <c r="BL145" s="10" t="n">
        <f aca="false">BK147</f>
        <v>1120462.92138381</v>
      </c>
      <c r="BM145" s="10" t="n">
        <f aca="false">BL147</f>
        <v>628506.926478064</v>
      </c>
      <c r="BN145" s="10" t="n">
        <f aca="false">BM147</f>
        <v>136550.931572315</v>
      </c>
      <c r="BO145" s="10" t="n">
        <f aca="false">BN147</f>
        <v>-355405.063333435</v>
      </c>
      <c r="BP145" s="10" t="n">
        <f aca="false">BO147</f>
        <v>-847361.058239185</v>
      </c>
      <c r="BQ145" s="10" t="n">
        <f aca="false">BP147</f>
        <v>-1339317.05314493</v>
      </c>
      <c r="BR145" s="10" t="n">
        <f aca="false">BQ147</f>
        <v>-1831273.04805068</v>
      </c>
      <c r="BS145" s="10" t="n">
        <f aca="false">BR147</f>
        <v>-2323229.04295643</v>
      </c>
      <c r="BT145" s="10" t="n">
        <f aca="false">BS147</f>
        <v>-2815185.03786218</v>
      </c>
      <c r="BU145" s="10" t="n">
        <f aca="false">BT147</f>
        <v>-3307141.03276793</v>
      </c>
      <c r="BV145" s="10" t="n">
        <f aca="false">BU147</f>
        <v>-3799097.02767368</v>
      </c>
      <c r="BW145" s="10" t="n">
        <f aca="false">BV147</f>
        <v>-4291053.02257943</v>
      </c>
      <c r="BX145" s="10" t="n">
        <f aca="false">BW147</f>
        <v>-4792848.1373833</v>
      </c>
      <c r="BY145" s="10" t="n">
        <f aca="false">BX147</f>
        <v>-5294643.25218716</v>
      </c>
      <c r="BZ145" s="10" t="n">
        <f aca="false">BY147</f>
        <v>-5796438.36699103</v>
      </c>
      <c r="CA145" s="10" t="n">
        <f aca="false">BZ147</f>
        <v>-6298233.48179489</v>
      </c>
      <c r="CB145" s="10" t="n">
        <f aca="false">CA147</f>
        <v>-6800028.59659876</v>
      </c>
      <c r="CC145" s="10" t="n">
        <f aca="false">CB147</f>
        <v>-7301823.71140262</v>
      </c>
      <c r="CD145" s="10" t="n">
        <f aca="false">CC147</f>
        <v>-7803618.82620649</v>
      </c>
      <c r="CE145" s="10" t="n">
        <f aca="false">CD147</f>
        <v>-8305413.94101035</v>
      </c>
      <c r="CF145" s="10" t="n">
        <f aca="false">CE147</f>
        <v>-8807209.05581421</v>
      </c>
      <c r="CG145" s="10" t="n">
        <f aca="false">CF147</f>
        <v>-9309004.17061808</v>
      </c>
      <c r="CH145" s="10" t="n">
        <f aca="false">CG147</f>
        <v>-9810799.28542195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380569.193883333</v>
      </c>
      <c r="S146" s="10" t="n">
        <f aca="false">S40</f>
        <v>254633.693883333</v>
      </c>
      <c r="T146" s="10" t="n">
        <f aca="false">T40</f>
        <v>254633.693883333</v>
      </c>
      <c r="U146" s="10" t="n">
        <f aca="false">U40</f>
        <v>254633.693883333</v>
      </c>
      <c r="V146" s="10" t="n">
        <f aca="false">V40</f>
        <v>224330.535988597</v>
      </c>
      <c r="W146" s="10" t="n">
        <f aca="false">W40</f>
        <v>224330.535988597</v>
      </c>
      <c r="X146" s="10" t="n">
        <f aca="false">X40</f>
        <v>224330.535988597</v>
      </c>
      <c r="Y146" s="10" t="n">
        <f aca="false">Y40</f>
        <v>224330.535988597</v>
      </c>
      <c r="Z146" s="10" t="n">
        <f aca="false">Z40</f>
        <v>167051.17594075</v>
      </c>
      <c r="AA146" s="10" t="n">
        <f aca="false">AA40</f>
        <v>112834.537825793</v>
      </c>
      <c r="AB146" s="10" t="n">
        <f aca="false">AB40</f>
        <v>31340.6861511515</v>
      </c>
      <c r="AC146" s="10" t="n">
        <f aca="false">AC40</f>
        <v>-535719.040515515</v>
      </c>
      <c r="AD146" s="10" t="n">
        <f aca="false">AD40</f>
        <v>187987.019484485</v>
      </c>
      <c r="AE146" s="10" t="n">
        <f aca="false">AE40</f>
        <v>187987.019484485</v>
      </c>
      <c r="AF146" s="10" t="n">
        <f aca="false">AF40</f>
        <v>187987.019484485</v>
      </c>
      <c r="AG146" s="10" t="n">
        <f aca="false">AG40</f>
        <v>187987.019484485</v>
      </c>
      <c r="AH146" s="10" t="n">
        <f aca="false">AH40</f>
        <v>87308.0185375152</v>
      </c>
      <c r="AI146" s="10" t="n">
        <f aca="false">AI40</f>
        <v>87308.0185375152</v>
      </c>
      <c r="AJ146" s="10" t="n">
        <f aca="false">AJ40</f>
        <v>-75451.2541897575</v>
      </c>
      <c r="AK146" s="10" t="n">
        <f aca="false">AK40</f>
        <v>-75451.2541897575</v>
      </c>
      <c r="AL146" s="10" t="n">
        <f aca="false">AL40</f>
        <v>-75451.2541897575</v>
      </c>
      <c r="AM146" s="10" t="n">
        <f aca="false">AM40</f>
        <v>-144741.372834159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2206395.70456077</v>
      </c>
      <c r="G147" s="62" t="n">
        <f aca="false">G145+G146</f>
        <v>2388379.67992759</v>
      </c>
      <c r="H147" s="62" t="n">
        <f aca="false">H145+H146</f>
        <v>2615490.46749538</v>
      </c>
      <c r="I147" s="62" t="n">
        <f aca="false">I145+I146</f>
        <v>3208090.58094992</v>
      </c>
      <c r="J147" s="62" t="n">
        <f aca="false">J145+J146</f>
        <v>3838994.59535144</v>
      </c>
      <c r="K147" s="62" t="n">
        <f aca="false">K145+K146</f>
        <v>4247659.73175295</v>
      </c>
      <c r="L147" s="62" t="n">
        <f aca="false">L145+L146</f>
        <v>4656324.86815447</v>
      </c>
      <c r="M147" s="62" t="n">
        <f aca="false">M145+M146</f>
        <v>5064990.00455598</v>
      </c>
      <c r="N147" s="62" t="n">
        <f aca="false">N145+N146</f>
        <v>5473655.1409575</v>
      </c>
      <c r="O147" s="62" t="n">
        <f aca="false">O145+O146</f>
        <v>5252705.24620447</v>
      </c>
      <c r="P147" s="62" t="n">
        <f aca="false">P145+P146</f>
        <v>5823923.82645144</v>
      </c>
      <c r="Q147" s="62" t="n">
        <f aca="false">Q145+Q146</f>
        <v>6395142.40669841</v>
      </c>
      <c r="R147" s="62" t="n">
        <f aca="false">R145+R146</f>
        <v>6775711.60058174</v>
      </c>
      <c r="S147" s="62" t="n">
        <f aca="false">S145+S146</f>
        <v>7030345.29446507</v>
      </c>
      <c r="T147" s="62" t="n">
        <f aca="false">T145+T146</f>
        <v>7284978.98834841</v>
      </c>
      <c r="U147" s="62" t="n">
        <f aca="false">U145+U146</f>
        <v>7539612.68223174</v>
      </c>
      <c r="V147" s="62" t="n">
        <f aca="false">V145+V146</f>
        <v>7763943.21822034</v>
      </c>
      <c r="W147" s="62" t="n">
        <f aca="false">W145+W146</f>
        <v>7988273.75420893</v>
      </c>
      <c r="X147" s="62" t="n">
        <f aca="false">X145+X146</f>
        <v>8212604.29019753</v>
      </c>
      <c r="Y147" s="62" t="n">
        <f aca="false">Y145+Y146</f>
        <v>8436934.82618612</v>
      </c>
      <c r="Z147" s="62" t="n">
        <f aca="false">Z145+Z146</f>
        <v>8603986.00212687</v>
      </c>
      <c r="AA147" s="62" t="n">
        <f aca="false">AA145+AA146</f>
        <v>8716820.53995267</v>
      </c>
      <c r="AB147" s="62" t="n">
        <f aca="false">AB145+AB146</f>
        <v>8748161.22610382</v>
      </c>
      <c r="AC147" s="62" t="n">
        <f aca="false">AC145+AC146</f>
        <v>8212442.18558831</v>
      </c>
      <c r="AD147" s="62" t="n">
        <f aca="false">AD145+AD146</f>
        <v>8400429.20507279</v>
      </c>
      <c r="AE147" s="62" t="n">
        <f aca="false">AE145+AE146</f>
        <v>8588416.22455728</v>
      </c>
      <c r="AF147" s="62" t="n">
        <f aca="false">AF145+AF146</f>
        <v>8776403.24404176</v>
      </c>
      <c r="AG147" s="62" t="n">
        <f aca="false">AG145+AG146</f>
        <v>8964390.26352624</v>
      </c>
      <c r="AH147" s="62" t="n">
        <f aca="false">AH145+AH146</f>
        <v>9051698.28206376</v>
      </c>
      <c r="AI147" s="62" t="n">
        <f aca="false">AI145+AI146</f>
        <v>9139006.30060128</v>
      </c>
      <c r="AJ147" s="62" t="n">
        <f aca="false">AJ145+AJ146</f>
        <v>9063555.04641152</v>
      </c>
      <c r="AK147" s="62" t="n">
        <f aca="false">AK145+AK146</f>
        <v>8988103.79222176</v>
      </c>
      <c r="AL147" s="62" t="n">
        <f aca="false">AL145+AL146</f>
        <v>8912652.538032</v>
      </c>
      <c r="AM147" s="62" t="n">
        <f aca="false">AM145+AM146</f>
        <v>8767911.16519784</v>
      </c>
      <c r="AN147" s="62" t="n">
        <f aca="false">AN145+AN146</f>
        <v>8623169.79236369</v>
      </c>
      <c r="AO147" s="62" t="n">
        <f aca="false">AO145+AO146</f>
        <v>8478428.41952953</v>
      </c>
      <c r="AP147" s="62" t="n">
        <f aca="false">AP145+AP146</f>
        <v>8333687.04669537</v>
      </c>
      <c r="AQ147" s="62" t="n">
        <f aca="false">AQ145+AQ146</f>
        <v>8188945.67386121</v>
      </c>
      <c r="AR147" s="62" t="n">
        <f aca="false">AR145+AR146</f>
        <v>8044204.30102705</v>
      </c>
      <c r="AS147" s="62" t="n">
        <f aca="false">AS145+AS146</f>
        <v>7727997.8903141</v>
      </c>
      <c r="AT147" s="62" t="n">
        <f aca="false">AT145+AT146</f>
        <v>7411791.47960115</v>
      </c>
      <c r="AU147" s="62" t="n">
        <f aca="false">AU145+AU146</f>
        <v>7095585.06888821</v>
      </c>
      <c r="AV147" s="62" t="n">
        <f aca="false">AV145+AV146</f>
        <v>6779378.65817526</v>
      </c>
      <c r="AW147" s="62" t="n">
        <f aca="false">AW145+AW146</f>
        <v>6463172.24746231</v>
      </c>
      <c r="AX147" s="62" t="n">
        <f aca="false">AX145+AX146</f>
        <v>6146965.83674937</v>
      </c>
      <c r="AY147" s="62" t="n">
        <f aca="false">AY145+AY146</f>
        <v>5821302.37115549</v>
      </c>
      <c r="AZ147" s="62" t="n">
        <f aca="false">AZ145+AZ146</f>
        <v>5495638.90556162</v>
      </c>
      <c r="BA147" s="62" t="n">
        <f aca="false">BA145+BA146</f>
        <v>5169975.43996775</v>
      </c>
      <c r="BB147" s="62" t="n">
        <f aca="false">BB145+BB146</f>
        <v>4844311.97437388</v>
      </c>
      <c r="BC147" s="62" t="n">
        <f aca="false">BC145+BC146</f>
        <v>4518648.50878</v>
      </c>
      <c r="BD147" s="62" t="n">
        <f aca="false">BD145+BD146</f>
        <v>4192985.04318613</v>
      </c>
      <c r="BE147" s="62" t="n">
        <f aca="false">BE145+BE146</f>
        <v>3867321.57759226</v>
      </c>
      <c r="BF147" s="62" t="n">
        <f aca="false">BF145+BF146</f>
        <v>3541658.11199839</v>
      </c>
      <c r="BG147" s="62" t="n">
        <f aca="false">BG145+BG146</f>
        <v>3059348.31307118</v>
      </c>
      <c r="BH147" s="62" t="n">
        <f aca="false">BH145+BH146</f>
        <v>2577038.51414398</v>
      </c>
      <c r="BI147" s="62" t="n">
        <f aca="false">BI145+BI146</f>
        <v>2094728.71521677</v>
      </c>
      <c r="BJ147" s="62" t="n">
        <f aca="false">BJ145+BJ146</f>
        <v>1612418.91628956</v>
      </c>
      <c r="BK147" s="62" t="n">
        <f aca="false">BK145+BK146</f>
        <v>1120462.92138381</v>
      </c>
      <c r="BL147" s="62" t="n">
        <f aca="false">BL145+BL146</f>
        <v>628506.926478064</v>
      </c>
      <c r="BM147" s="62" t="n">
        <f aca="false">BM145+BM146</f>
        <v>136550.931572315</v>
      </c>
      <c r="BN147" s="62" t="n">
        <f aca="false">BN145+BN146</f>
        <v>-355405.063333435</v>
      </c>
      <c r="BO147" s="62" t="n">
        <f aca="false">BO145+BO146</f>
        <v>-847361.058239185</v>
      </c>
      <c r="BP147" s="62" t="n">
        <f aca="false">BP145+BP146</f>
        <v>-1339317.05314493</v>
      </c>
      <c r="BQ147" s="62" t="n">
        <f aca="false">BQ145+BQ146</f>
        <v>-1831273.04805068</v>
      </c>
      <c r="BR147" s="62" t="n">
        <f aca="false">BR145+BR146</f>
        <v>-2323229.04295643</v>
      </c>
      <c r="BS147" s="62" t="n">
        <f aca="false">BS145+BS146</f>
        <v>-2815185.03786218</v>
      </c>
      <c r="BT147" s="62" t="n">
        <f aca="false">BT145+BT146</f>
        <v>-3307141.03276793</v>
      </c>
      <c r="BU147" s="62" t="n">
        <f aca="false">BU145+BU146</f>
        <v>-3799097.02767368</v>
      </c>
      <c r="BV147" s="62" t="n">
        <f aca="false">BV145+BV146</f>
        <v>-4291053.02257943</v>
      </c>
      <c r="BW147" s="62" t="n">
        <f aca="false">BW145+BW146</f>
        <v>-4792848.1373833</v>
      </c>
      <c r="BX147" s="62" t="n">
        <f aca="false">BX145+BX146</f>
        <v>-5294643.25218716</v>
      </c>
      <c r="BY147" s="62" t="n">
        <f aca="false">BY145+BY146</f>
        <v>-5796438.36699103</v>
      </c>
      <c r="BZ147" s="62" t="n">
        <f aca="false">BZ145+BZ146</f>
        <v>-6298233.48179489</v>
      </c>
      <c r="CA147" s="62" t="n">
        <f aca="false">CA145+CA146</f>
        <v>-6800028.59659876</v>
      </c>
      <c r="CB147" s="62" t="n">
        <f aca="false">CB145+CB146</f>
        <v>-7301823.71140262</v>
      </c>
      <c r="CC147" s="62" t="n">
        <f aca="false">CC145+CC146</f>
        <v>-7803618.82620649</v>
      </c>
      <c r="CD147" s="62" t="n">
        <f aca="false">CD145+CD146</f>
        <v>-8305413.94101035</v>
      </c>
      <c r="CE147" s="62" t="n">
        <f aca="false">CE145+CE146</f>
        <v>-8807209.05581421</v>
      </c>
      <c r="CF147" s="62" t="n">
        <f aca="false">CF145+CF146</f>
        <v>-9309004.17061808</v>
      </c>
      <c r="CG147" s="62" t="n">
        <f aca="false">CG145+CG146</f>
        <v>-9810799.28542195</v>
      </c>
      <c r="CH147" s="62" t="n">
        <f aca="false">CH145+CH146</f>
        <v>-10312594.4002258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159721.633333333</v>
      </c>
      <c r="H155" s="62" t="n">
        <f aca="false">H150+H151+H152+H153+H154</f>
        <v>152915.48</v>
      </c>
      <c r="I155" s="62" t="n">
        <f aca="false">I150+I151+I152+I153+I154</f>
        <v>-30183.6433333333</v>
      </c>
      <c r="J155" s="62" t="n">
        <f aca="false">J150+J151+J152+J153+J154</f>
        <v>-222657.766666667</v>
      </c>
      <c r="K155" s="62" t="n">
        <f aca="false">K150+K151+K152+K153+K154</f>
        <v>-436131.89</v>
      </c>
      <c r="L155" s="62" t="n">
        <f aca="false">L150+L151+L152+L153+L154</f>
        <v>-616474.182933333</v>
      </c>
      <c r="M155" s="62" t="n">
        <f aca="false">M150+M151+M152+M153+M154</f>
        <v>-1046816.47586667</v>
      </c>
      <c r="N155" s="62" t="n">
        <f aca="false">N150+N151+N152+N153+N154</f>
        <v>-1227158.7688</v>
      </c>
      <c r="O155" s="62" t="n">
        <f aca="false">O150+O151+O152+O153+O154</f>
        <v>-1409892.3534</v>
      </c>
      <c r="P155" s="62" t="n">
        <f aca="false">P150+P151+P152+P153+P154</f>
        <v>-1592625.938</v>
      </c>
      <c r="Q155" s="62" t="n">
        <f aca="false">Q150+Q151+Q152+Q153+Q154</f>
        <v>-1775359.5226</v>
      </c>
      <c r="R155" s="62" t="n">
        <f aca="false">R150+R151+R152+R153+R154</f>
        <v>-2001387.4948</v>
      </c>
      <c r="S155" s="62" t="n">
        <f aca="false">S150+S151+S152+S153+S154</f>
        <v>-2187383.2046</v>
      </c>
      <c r="T155" s="62" t="n">
        <f aca="false">T150+T151+T152+T153+T154</f>
        <v>-2356806.652</v>
      </c>
      <c r="U155" s="62" t="n">
        <f aca="false">U150+U151+U152+U153+U154</f>
        <v>-2509657.8434</v>
      </c>
      <c r="V155" s="62" t="n">
        <f aca="false">V150+V151+V152+V153+V154</f>
        <v>-2645936.766</v>
      </c>
      <c r="W155" s="62" t="n">
        <f aca="false">W150+W151+W152+W153+W154</f>
        <v>-2665657.67588545</v>
      </c>
      <c r="X155" s="62" t="n">
        <f aca="false">X150+X151+X152+X153+X154</f>
        <v>-2638792.08648545</v>
      </c>
      <c r="Y155" s="62" t="n">
        <f aca="false">Y150+Y151+Y152+Y153+Y154</f>
        <v>-2845354.23468545</v>
      </c>
      <c r="Z155" s="62" t="n">
        <f aca="false">Z150+Z151+Z152+Z153+Z154</f>
        <v>-2740600.69408545</v>
      </c>
      <c r="AA155" s="62" t="n">
        <f aca="false">AA150+AA151+AA152+AA153+AA154</f>
        <v>-2690141.64498545</v>
      </c>
      <c r="AB155" s="62" t="n">
        <f aca="false">AB150+AB151+AB152+AB153+AB154</f>
        <v>-2623110.32708545</v>
      </c>
      <c r="AC155" s="62" t="n">
        <f aca="false">AC150+AC151+AC152+AC153+AC154</f>
        <v>-2453299.52918545</v>
      </c>
      <c r="AD155" s="62" t="n">
        <f aca="false">AD150+AD151+AD152+AD153+AD154</f>
        <v>-2421956.83528545</v>
      </c>
      <c r="AE155" s="62" t="n">
        <f aca="false">AE150+AE151+AE152+AE153+AE154</f>
        <v>-2366184.38458545</v>
      </c>
      <c r="AF155" s="62" t="n">
        <f aca="false">AF150+AF151+AF152+AF153+AF154</f>
        <v>-2309911.38988545</v>
      </c>
      <c r="AG155" s="62" t="n">
        <f aca="false">AG150+AG151+AG152+AG153+AG154</f>
        <v>-2262637.84478545</v>
      </c>
      <c r="AH155" s="62" t="n">
        <f aca="false">AH150+AH151+AH152+AH153+AH154</f>
        <v>-2214863.75568545</v>
      </c>
      <c r="AI155" s="62" t="n">
        <f aca="false">AI150+AI151+AI152+AI153+AI154</f>
        <v>-2171865.25378545</v>
      </c>
      <c r="AJ155" s="62" t="n">
        <f aca="false">AJ150+AJ151+AJ152+AJ153+AJ154</f>
        <v>-2123090.05748545</v>
      </c>
      <c r="AK155" s="62" t="n">
        <f aca="false">AK150+AK151+AK152+AK153+AK154</f>
        <v>-2340386.57318545</v>
      </c>
      <c r="AL155" s="62" t="n">
        <f aca="false">AL150+AL151+AL152+AL153+AL154</f>
        <v>-2323754.80088545</v>
      </c>
      <c r="AM155" s="62" t="n">
        <f aca="false">AM150+AM151+AM152+AM153+AM154</f>
        <v>-2325682.64683545</v>
      </c>
      <c r="AN155" s="62" t="n">
        <f aca="false">AN150+AN151+AN152+AN153+AN154</f>
        <v>-2343682.19838545</v>
      </c>
      <c r="AO155" s="62" t="n">
        <f aca="false">AO150+AO151+AO152+AO153+AO154</f>
        <v>-2377753.46193544</v>
      </c>
      <c r="AP155" s="62" t="n">
        <f aca="false">AP150+AP151+AP152+AP153+AP154</f>
        <v>-2452304.22788544</v>
      </c>
      <c r="AQ155" s="62" t="n">
        <f aca="false">AQ150+AQ151+AQ152+AQ153+AQ154</f>
        <v>-2518518.91543544</v>
      </c>
      <c r="AR155" s="62" t="n">
        <f aca="false">AR150+AR151+AR152+AR153+AR154</f>
        <v>-2600805.31498545</v>
      </c>
      <c r="AS155" s="62" t="n">
        <f aca="false">AS150+AS151+AS152+AS153+AS154</f>
        <v>-2631388.14333545</v>
      </c>
      <c r="AT155" s="62" t="n">
        <f aca="false">AT150+AT151+AT152+AT153+AT154</f>
        <v>-2678543.22768545</v>
      </c>
      <c r="AU155" s="62" t="n">
        <f aca="false">AU150+AU151+AU152+AU153+AU154</f>
        <v>-2780627.64803545</v>
      </c>
      <c r="AV155" s="62" t="n">
        <f aca="false">AV150+AV151+AV152+AV153+AV154</f>
        <v>-2860927.25078545</v>
      </c>
      <c r="AW155" s="62" t="n">
        <f aca="false">AW150+AW151+AW152+AW153+AW154</f>
        <v>-2941727.41033545</v>
      </c>
      <c r="AX155" s="62" t="n">
        <f aca="false">AX150+AX151+AX152+AX153+AX154</f>
        <v>-3023028.11388545</v>
      </c>
      <c r="AY155" s="62" t="n">
        <f aca="false">AY150+AY151+AY152+AY153+AY154</f>
        <v>-3107367.02568245</v>
      </c>
      <c r="AZ155" s="62" t="n">
        <f aca="false">AZ150+AZ151+AZ152+AZ153+AZ154</f>
        <v>-3192206.48787945</v>
      </c>
      <c r="BA155" s="62" t="n">
        <f aca="false">BA150+BA151+BA152+BA153+BA154</f>
        <v>-3277546.50047645</v>
      </c>
      <c r="BB155" s="62" t="n">
        <f aca="false">BB150+BB151+BB152+BB153+BB154</f>
        <v>-3388283.00315345</v>
      </c>
      <c r="BC155" s="62" t="n">
        <f aca="false">BC150+BC151+BC152+BC153+BC154</f>
        <v>-3474624.11655045</v>
      </c>
      <c r="BD155" s="62" t="n">
        <f aca="false">BD150+BD151+BD152+BD153+BD154</f>
        <v>-3561465.78034745</v>
      </c>
      <c r="BE155" s="62" t="n">
        <f aca="false">BE150+BE151+BE152+BE153+BE154</f>
        <v>-3648807.99454445</v>
      </c>
      <c r="BF155" s="62" t="n">
        <f aca="false">BF150+BF151+BF152+BF153+BF154</f>
        <v>-3736650.75914145</v>
      </c>
      <c r="BG155" s="62" t="n">
        <f aca="false">BG150+BG151+BG152+BG153+BG154</f>
        <v>-3847725.14309845</v>
      </c>
      <c r="BH155" s="62" t="n">
        <f aca="false">BH150+BH151+BH152+BH153+BH154</f>
        <v>-3907368.20849545</v>
      </c>
      <c r="BI155" s="62" t="n">
        <f aca="false">BI150+BI151+BI152+BI153+BI154</f>
        <v>-3967511.82429245</v>
      </c>
      <c r="BJ155" s="62" t="n">
        <f aca="false">BJ150+BJ151+BJ152+BJ153+BJ154</f>
        <v>-3960380.70088945</v>
      </c>
      <c r="BK155" s="62" t="n">
        <f aca="false">BK150+BK151+BK152+BK153+BK154</f>
        <v>-4092389.66209039</v>
      </c>
      <c r="BL155" s="62" t="n">
        <f aca="false">BL150+BL151+BL152+BL153+BL154</f>
        <v>-4224398.62329133</v>
      </c>
      <c r="BM155" s="62" t="n">
        <f aca="false">BM150+BM151+BM152+BM153+BM154</f>
        <v>-4356407.58449227</v>
      </c>
      <c r="BN155" s="62" t="n">
        <f aca="false">BN150+BN151+BN152+BN153+BN154</f>
        <v>-4513810.40416681</v>
      </c>
      <c r="BO155" s="62" t="n">
        <f aca="false">BO150+BO151+BO152+BO153+BO154</f>
        <v>-4645819.36536775</v>
      </c>
      <c r="BP155" s="62" t="n">
        <f aca="false">BP150+BP151+BP152+BP153+BP154</f>
        <v>-4726314.80656869</v>
      </c>
      <c r="BQ155" s="62" t="n">
        <f aca="false">BQ150+BQ151+BQ152+BQ153+BQ154</f>
        <v>-4858323.76776963</v>
      </c>
      <c r="BR155" s="62" t="n">
        <f aca="false">BR150+BR151+BR152+BR153+BR154</f>
        <v>-4990332.72897057</v>
      </c>
      <c r="BS155" s="62" t="n">
        <f aca="false">BS150+BS151+BS152+BS153+BS154</f>
        <v>-5077765.38703871</v>
      </c>
      <c r="BT155" s="62" t="n">
        <f aca="false">BT150+BT151+BT152+BT153+BT154</f>
        <v>-5209774.34823965</v>
      </c>
      <c r="BU155" s="62" t="n">
        <f aca="false">BU150+BU151+BU152+BU153+BU154</f>
        <v>-5341783.30944059</v>
      </c>
      <c r="BV155" s="62" t="n">
        <f aca="false">BV150+BV151+BV152+BV153+BV154</f>
        <v>-5406030.27064153</v>
      </c>
      <c r="BW155" s="62" t="n">
        <f aca="false">BW150+BW151+BW152+BW153+BW154</f>
        <v>-5540679.41106649</v>
      </c>
      <c r="BX155" s="62" t="n">
        <f aca="false">BX150+BX151+BX152+BX153+BX154</f>
        <v>-5675328.55149145</v>
      </c>
      <c r="BY155" s="62" t="n">
        <f aca="false">BY150+BY151+BY152+BY153+BY154</f>
        <v>-5742215.6919164</v>
      </c>
      <c r="BZ155" s="62" t="n">
        <f aca="false">BZ150+BZ151+BZ152+BZ153+BZ154</f>
        <v>-5902766.56798443</v>
      </c>
      <c r="CA155" s="62" t="n">
        <f aca="false">CA150+CA151+CA152+CA153+CA154</f>
        <v>-6037415.70840939</v>
      </c>
      <c r="CB155" s="62" t="n">
        <f aca="false">CB150+CB151+CB152+CB153+CB154</f>
        <v>-6095565.84883435</v>
      </c>
      <c r="CC155" s="62" t="n">
        <f aca="false">CC150+CC151+CC152+CC153+CC154</f>
        <v>-6230214.98925931</v>
      </c>
      <c r="CD155" s="62" t="n">
        <f aca="false">CD150+CD151+CD152+CD153+CD154</f>
        <v>-6364864.12968427</v>
      </c>
      <c r="CE155" s="62" t="n">
        <f aca="false">CE150+CE151+CE152+CE153+CE154</f>
        <v>-6446663.68091377</v>
      </c>
      <c r="CF155" s="62" t="n">
        <f aca="false">CF150+CF151+CF152+CF153+CF154</f>
        <v>-6581312.82133873</v>
      </c>
      <c r="CG155" s="62" t="n">
        <f aca="false">CG150+CG151+CG152+CG153+CG154</f>
        <v>-6715961.96176369</v>
      </c>
      <c r="CH155" s="62" t="n">
        <f aca="false">CH150+CH151+CH152+CH153+CH154</f>
        <v>-6767504.07558217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4774324.10578174</v>
      </c>
      <c r="T158" s="10" t="n">
        <f aca="false">T145+T150</f>
        <v>4842962.08986507</v>
      </c>
      <c r="U158" s="10" t="n">
        <f aca="false">U145+U150</f>
        <v>4928172.33634841</v>
      </c>
      <c r="V158" s="10" t="n">
        <f aca="false">V145+V150</f>
        <v>5029954.83883174</v>
      </c>
      <c r="W158" s="10" t="n">
        <f aca="false">W145+W150</f>
        <v>5118006.45222034</v>
      </c>
      <c r="X158" s="10" t="n">
        <f aca="false">X145+X150</f>
        <v>5322616.07832349</v>
      </c>
      <c r="Y158" s="10" t="n">
        <f aca="false">Y145+Y150</f>
        <v>5573812.20371208</v>
      </c>
      <c r="Z158" s="10" t="n">
        <f aca="false">Z145+Z150</f>
        <v>5591580.59150068</v>
      </c>
      <c r="AA158" s="10" t="n">
        <f aca="false">AA145+AA150</f>
        <v>5863385.30804143</v>
      </c>
      <c r="AB158" s="10" t="n">
        <f aca="false">AB145+AB150</f>
        <v>6026678.89496722</v>
      </c>
      <c r="AC158" s="10" t="n">
        <f aca="false">AC145+AC150</f>
        <v>6125050.89901838</v>
      </c>
      <c r="AD158" s="10" t="n">
        <f aca="false">AD145+AD150</f>
        <v>5759142.65640286</v>
      </c>
      <c r="AE158" s="10" t="n">
        <f aca="false">AE145+AE150</f>
        <v>5978472.36978735</v>
      </c>
      <c r="AF158" s="10" t="n">
        <f aca="false">AF145+AF150</f>
        <v>6222231.83997183</v>
      </c>
      <c r="AG158" s="10" t="n">
        <f aca="false">AG145+AG150</f>
        <v>6466491.85415631</v>
      </c>
      <c r="AH158" s="10" t="n">
        <f aca="false">AH145+AH150</f>
        <v>6701752.4187408</v>
      </c>
      <c r="AI158" s="10" t="n">
        <f aca="false">AI145+AI150</f>
        <v>6836834.52637832</v>
      </c>
      <c r="AJ158" s="10" t="n">
        <f aca="false">AJ145+AJ150</f>
        <v>6967141.04681583</v>
      </c>
      <c r="AK158" s="10" t="n">
        <f aca="false">AK145+AK150</f>
        <v>6940464.98892607</v>
      </c>
      <c r="AL158" s="10" t="n">
        <f aca="false">AL145+AL150</f>
        <v>6647717.21903632</v>
      </c>
      <c r="AM158" s="10" t="n">
        <f aca="false">AM145+AM150</f>
        <v>6588897.73714656</v>
      </c>
      <c r="AN158" s="10" t="n">
        <f aca="false">AN145+AN150</f>
        <v>6442228.5183624</v>
      </c>
      <c r="AO158" s="10" t="n">
        <f aca="false">AO145+AO150</f>
        <v>6279487.59397824</v>
      </c>
      <c r="AP158" s="10" t="n">
        <f aca="false">AP145+AP150</f>
        <v>6100674.95759408</v>
      </c>
      <c r="AQ158" s="10" t="n">
        <f aca="false">AQ145+AQ150</f>
        <v>5881382.81880992</v>
      </c>
      <c r="AR158" s="10" t="n">
        <f aca="false">AR145+AR150</f>
        <v>5670426.75842576</v>
      </c>
      <c r="AS158" s="10" t="n">
        <f aca="false">AS145+AS150</f>
        <v>5443398.9860416</v>
      </c>
      <c r="AT158" s="10" t="n">
        <f aca="false">AT145+AT150</f>
        <v>5096609.74697866</v>
      </c>
      <c r="AU158" s="10" t="n">
        <f aca="false">AU145+AU150</f>
        <v>4733248.25191571</v>
      </c>
      <c r="AV158" s="10" t="n">
        <f aca="false">AV145+AV150</f>
        <v>4314957.42085276</v>
      </c>
      <c r="AW158" s="10" t="n">
        <f aca="false">AW145+AW150</f>
        <v>3918451.40738982</v>
      </c>
      <c r="AX158" s="10" t="n">
        <f aca="false">AX145+AX150</f>
        <v>3521444.83712687</v>
      </c>
      <c r="AY158" s="10" t="n">
        <f aca="false">AY145+AY150</f>
        <v>3123937.72286392</v>
      </c>
      <c r="AZ158" s="10" t="n">
        <f aca="false">AZ145+AZ150</f>
        <v>2713935.34547305</v>
      </c>
      <c r="BA158" s="10" t="n">
        <f aca="false">BA145+BA150</f>
        <v>2303432.41768218</v>
      </c>
      <c r="BB158" s="10" t="n">
        <f aca="false">BB145+BB150</f>
        <v>1892428.9394913</v>
      </c>
      <c r="BC158" s="10" t="n">
        <f aca="false">BC145+BC150</f>
        <v>1456028.97122043</v>
      </c>
      <c r="BD158" s="10" t="n">
        <f aca="false">BD145+BD150</f>
        <v>1044024.39222956</v>
      </c>
      <c r="BE158" s="10" t="n">
        <f aca="false">BE145+BE150</f>
        <v>631519.262838685</v>
      </c>
      <c r="BF158" s="10" t="n">
        <f aca="false">BF145+BF150</f>
        <v>218513.583047813</v>
      </c>
      <c r="BG158" s="10" t="n">
        <f aca="false">BG145+BG150</f>
        <v>-194992.647143059</v>
      </c>
      <c r="BH158" s="10" t="n">
        <f aca="false">BH145+BH150</f>
        <v>-788376.830027265</v>
      </c>
      <c r="BI158" s="10" t="n">
        <f aca="false">BI145+BI150</f>
        <v>-1330329.69435147</v>
      </c>
      <c r="BJ158" s="10" t="n">
        <f aca="false">BJ145+BJ150</f>
        <v>-1872783.10907568</v>
      </c>
      <c r="BK158" s="10" t="n">
        <f aca="false">BK145+BK150</f>
        <v>-2347961.78459988</v>
      </c>
      <c r="BL158" s="10" t="n">
        <f aca="false">BL145+BL150</f>
        <v>-2971926.74070657</v>
      </c>
      <c r="BM158" s="10" t="n">
        <f aca="false">BM145+BM150</f>
        <v>-3595891.69681326</v>
      </c>
      <c r="BN158" s="10" t="n">
        <f aca="false">BN145+BN150</f>
        <v>-4219856.65291995</v>
      </c>
      <c r="BO158" s="10" t="n">
        <f aca="false">BO145+BO150</f>
        <v>-4869215.46750024</v>
      </c>
      <c r="BP158" s="10" t="n">
        <f aca="false">BP145+BP150</f>
        <v>-5493180.42360693</v>
      </c>
      <c r="BQ158" s="10" t="n">
        <f aca="false">BQ145+BQ150</f>
        <v>-6065631.85971362</v>
      </c>
      <c r="BR158" s="10" t="n">
        <f aca="false">BR145+BR150</f>
        <v>-6689596.81582031</v>
      </c>
      <c r="BS158" s="10" t="n">
        <f aca="false">BS145+BS150</f>
        <v>-7313561.771927</v>
      </c>
      <c r="BT158" s="10" t="n">
        <f aca="false">BT145+BT150</f>
        <v>-7892950.42490089</v>
      </c>
      <c r="BU158" s="10" t="n">
        <f aca="false">BU145+BU150</f>
        <v>-8516915.38100758</v>
      </c>
      <c r="BV158" s="10" t="n">
        <f aca="false">BV145+BV150</f>
        <v>-9140880.33711427</v>
      </c>
      <c r="BW158" s="10" t="n">
        <f aca="false">BW145+BW150</f>
        <v>-9697083.29322096</v>
      </c>
      <c r="BX158" s="10" t="n">
        <f aca="false">BX145+BX150</f>
        <v>-10333527.5484498</v>
      </c>
      <c r="BY158" s="10" t="n">
        <f aca="false">BY145+BY150</f>
        <v>-10969971.8036786</v>
      </c>
      <c r="BZ158" s="10" t="n">
        <f aca="false">BZ145+BZ150</f>
        <v>-11538654.0589074</v>
      </c>
      <c r="CA158" s="10" t="n">
        <f aca="false">CA145+CA150</f>
        <v>-12201000.0497793</v>
      </c>
      <c r="CB158" s="10" t="n">
        <f aca="false">CB145+CB150</f>
        <v>-12837444.3050081</v>
      </c>
      <c r="CC158" s="10" t="n">
        <f aca="false">CC145+CC150</f>
        <v>-13397389.560237</v>
      </c>
      <c r="CD158" s="10" t="n">
        <f aca="false">CD145+CD150</f>
        <v>-14033833.8154658</v>
      </c>
      <c r="CE158" s="10" t="n">
        <f aca="false">CE145+CE150</f>
        <v>-14670278.0706946</v>
      </c>
      <c r="CF158" s="10" t="n">
        <f aca="false">CF145+CF150</f>
        <v>-15253872.736728</v>
      </c>
      <c r="CG158" s="10" t="n">
        <f aca="false">CG145+CG150</f>
        <v>-15890316.9919568</v>
      </c>
      <c r="CH158" s="10" t="n">
        <f aca="false">CH145+CH150</f>
        <v>-16526761.2471856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-977117.243956794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-568357.490547702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2331226.85122743</v>
      </c>
      <c r="G160" s="62" t="n">
        <f aca="false">G158+G146+G151+G152+G153+G154+G159</f>
        <v>2548101.31326093</v>
      </c>
      <c r="H160" s="62" t="n">
        <f aca="false">H158+H146+H151+H152+H153+H154+H159</f>
        <v>2768405.94749538</v>
      </c>
      <c r="I160" s="62" t="n">
        <f aca="false">I158+I146+I151+I152+I153+I154+I159</f>
        <v>3177906.93761659</v>
      </c>
      <c r="J160" s="62" t="n">
        <f aca="false">J158+J146+J151+J152+J153+J154+J159</f>
        <v>3616336.82868477</v>
      </c>
      <c r="K160" s="62" t="n">
        <f aca="false">K158+K146+K151+K152+K153+K154+K159</f>
        <v>3811527.84175295</v>
      </c>
      <c r="L160" s="62" t="n">
        <f aca="false">L158+L146+L151+L152+L153+L154+L159</f>
        <v>4039850.68522113</v>
      </c>
      <c r="M160" s="62" t="n">
        <f aca="false">M158+M146+M151+M152+M153+M154+M159</f>
        <v>4018173.52868931</v>
      </c>
      <c r="N160" s="62" t="n">
        <f aca="false">N158+N146+N151+N152+N153+N154+N159</f>
        <v>3617102.07463161</v>
      </c>
      <c r="O160" s="62" t="n">
        <f aca="false">O158+O146+O151+O152+O153+O154+O159</f>
        <v>3842812.89280447</v>
      </c>
      <c r="P160" s="62" t="n">
        <f aca="false">P158+P146+P151+P152+P153+P154+P159</f>
        <v>4231297.88845144</v>
      </c>
      <c r="Q160" s="62" t="n">
        <f aca="false">Q158+Q146+Q151+Q152+Q153+Q154+Q159</f>
        <v>4619782.88409841</v>
      </c>
      <c r="R160" s="62" t="n">
        <f aca="false">R158+R146+R151+R152+R153+R154+R159</f>
        <v>4774324.10578174</v>
      </c>
      <c r="S160" s="62" t="n">
        <f aca="false">S158+S146+S151+S152+S153+S154+S159</f>
        <v>4842962.08986507</v>
      </c>
      <c r="T160" s="62" t="n">
        <f aca="false">T158+T146+T151+T152+T153+T154+T159</f>
        <v>4928172.33634841</v>
      </c>
      <c r="U160" s="62" t="n">
        <f aca="false">U158+U146+U151+U152+U153+U154+U159</f>
        <v>5029954.83883174</v>
      </c>
      <c r="V160" s="62" t="n">
        <f aca="false">V158+V146+V151+V152+V153+V154+V159</f>
        <v>5118006.45222034</v>
      </c>
      <c r="W160" s="62" t="n">
        <f aca="false">W158+W146+W151+W152+W153+W154+W159</f>
        <v>5322616.07832349</v>
      </c>
      <c r="X160" s="62" t="n">
        <f aca="false">X158+X146+X151+X152+X153+X154+X159</f>
        <v>5573812.20371208</v>
      </c>
      <c r="Y160" s="62" t="n">
        <f aca="false">Y158+Y146+Y151+Y152+Y153+Y154+Y159</f>
        <v>5591580.59150068</v>
      </c>
      <c r="Z160" s="62" t="n">
        <f aca="false">Z158+Z146+Z151+Z152+Z153+Z154+Z159</f>
        <v>4886268.06408463</v>
      </c>
      <c r="AA160" s="62" t="n">
        <f aca="false">AA158+AA146+AA151+AA152+AA153+AA154+AA159</f>
        <v>6026678.89496722</v>
      </c>
      <c r="AB160" s="62" t="n">
        <f aca="false">AB158+AB146+AB151+AB152+AB153+AB154+AB159</f>
        <v>6125050.89901837</v>
      </c>
      <c r="AC160" s="62" t="n">
        <f aca="false">AC158+AC146+AC151+AC152+AC153+AC154+AC159</f>
        <v>5759142.65640286</v>
      </c>
      <c r="AD160" s="62" t="n">
        <f aca="false">AD158+AD146+AD151+AD152+AD153+AD154+AD159</f>
        <v>5978472.36978735</v>
      </c>
      <c r="AE160" s="62" t="n">
        <f aca="false">AE158+AE146+AE151+AE152+AE153+AE154+AE159</f>
        <v>6222231.83997183</v>
      </c>
      <c r="AF160" s="62" t="n">
        <f aca="false">AF158+AF146+AF151+AF152+AF153+AF154+AF159</f>
        <v>6466491.85415631</v>
      </c>
      <c r="AG160" s="62" t="n">
        <f aca="false">AG158+AG146+AG151+AG152+AG153+AG154+AG159</f>
        <v>6701752.4187408</v>
      </c>
      <c r="AH160" s="62" t="n">
        <f aca="false">AH158+AH146+AH151+AH152+AH153+AH154+AH159</f>
        <v>6836834.52637832</v>
      </c>
      <c r="AI160" s="62" t="n">
        <f aca="false">AI158+AI146+AI151+AI152+AI153+AI154+AI159</f>
        <v>6967141.04681583</v>
      </c>
      <c r="AJ160" s="62" t="n">
        <f aca="false">AJ158+AJ146+AJ151+AJ152+AJ153+AJ154+AJ159</f>
        <v>6940464.98892607</v>
      </c>
      <c r="AK160" s="62" t="n">
        <f aca="false">AK158+AK146+AK151+AK152+AK153+AK154+AK159</f>
        <v>6647717.21903632</v>
      </c>
      <c r="AL160" s="62" t="n">
        <f aca="false">AL158+AL146+AL151+AL152+AL153+AL154+AL159</f>
        <v>6020540.24659886</v>
      </c>
      <c r="AM160" s="62" t="n">
        <f aca="false">AM158+AM146+AM151+AM152+AM153+AM154+AM159</f>
        <v>6442228.5183624</v>
      </c>
      <c r="AN160" s="62" t="n">
        <f aca="false">AN158+AN146+AN151+AN152+AN153+AN154+AN159</f>
        <v>6279487.59397824</v>
      </c>
      <c r="AO160" s="62" t="n">
        <f aca="false">AO158+AO146+AO151+AO152+AO153+AO154+AO159</f>
        <v>6100674.95759408</v>
      </c>
      <c r="AP160" s="62" t="n">
        <f aca="false">AP158+AP146+AP151+AP152+AP153+AP154+AP159</f>
        <v>5881382.81880992</v>
      </c>
      <c r="AQ160" s="62" t="n">
        <f aca="false">AQ158+AQ146+AQ151+AQ152+AQ153+AQ154+AQ159</f>
        <v>5670426.75842576</v>
      </c>
      <c r="AR160" s="62" t="n">
        <f aca="false">AR158+AR146+AR151+AR152+AR153+AR154+AR159</f>
        <v>5443398.9860416</v>
      </c>
      <c r="AS160" s="62" t="n">
        <f aca="false">AS158+AS146+AS151+AS152+AS153+AS154+AS159</f>
        <v>5096609.74697866</v>
      </c>
      <c r="AT160" s="62" t="n">
        <f aca="false">AT158+AT146+AT151+AT152+AT153+AT154+AT159</f>
        <v>4733248.25191571</v>
      </c>
      <c r="AU160" s="62" t="n">
        <f aca="false">AU158+AU146+AU151+AU152+AU153+AU154+AU159</f>
        <v>4314957.42085276</v>
      </c>
      <c r="AV160" s="62" t="n">
        <f aca="false">AV158+AV146+AV151+AV152+AV153+AV154+AV159</f>
        <v>3918451.40738982</v>
      </c>
      <c r="AW160" s="62" t="n">
        <f aca="false">AW158+AW146+AW151+AW152+AW153+AW154+AW159</f>
        <v>3521444.83712687</v>
      </c>
      <c r="AX160" s="62" t="n">
        <f aca="false">AX158+AX146+AX151+AX152+AX153+AX154+AX159</f>
        <v>3123937.72286392</v>
      </c>
      <c r="AY160" s="62" t="n">
        <f aca="false">AY158+AY146+AY151+AY152+AY153+AY154+AY159</f>
        <v>2713935.34547305</v>
      </c>
      <c r="AZ160" s="62" t="n">
        <f aca="false">AZ158+AZ146+AZ151+AZ152+AZ153+AZ154+AZ159</f>
        <v>2303432.41768218</v>
      </c>
      <c r="BA160" s="62" t="n">
        <f aca="false">BA158+BA146+BA151+BA152+BA153+BA154+BA159</f>
        <v>1892428.9394913</v>
      </c>
      <c r="BB160" s="62" t="n">
        <f aca="false">BB158+BB146+BB151+BB152+BB153+BB154+BB159</f>
        <v>1456028.97122043</v>
      </c>
      <c r="BC160" s="62" t="n">
        <f aca="false">BC158+BC146+BC151+BC152+BC153+BC154+BC159</f>
        <v>1044024.39222956</v>
      </c>
      <c r="BD160" s="62" t="n">
        <f aca="false">BD158+BD146+BD151+BD152+BD153+BD154+BD159</f>
        <v>631519.262838685</v>
      </c>
      <c r="BE160" s="62" t="n">
        <f aca="false">BE158+BE146+BE151+BE152+BE153+BE154+BE159</f>
        <v>218513.583047813</v>
      </c>
      <c r="BF160" s="62" t="n">
        <f aca="false">BF158+BF146+BF151+BF152+BF153+BF154+BF159</f>
        <v>-194992.647143059</v>
      </c>
      <c r="BG160" s="62" t="n">
        <f aca="false">BG158+BG146+BG151+BG152+BG153+BG154+BG159</f>
        <v>-788376.830027265</v>
      </c>
      <c r="BH160" s="62" t="n">
        <f aca="false">BH158+BH146+BH151+BH152+BH153+BH154+BH159</f>
        <v>-1330329.69435147</v>
      </c>
      <c r="BI160" s="62" t="n">
        <f aca="false">BI158+BI146+BI151+BI152+BI153+BI154+BI159</f>
        <v>-1872783.10907568</v>
      </c>
      <c r="BJ160" s="62" t="n">
        <f aca="false">BJ158+BJ146+BJ151+BJ152+BJ153+BJ154+BJ159</f>
        <v>-2347961.78459988</v>
      </c>
      <c r="BK160" s="62" t="n">
        <f aca="false">BK158+BK146+BK151+BK152+BK153+BK154+BK159</f>
        <v>-2971926.74070657</v>
      </c>
      <c r="BL160" s="62" t="n">
        <f aca="false">BL158+BL146+BL151+BL152+BL153+BL154+BL159</f>
        <v>-3595891.69681326</v>
      </c>
      <c r="BM160" s="62" t="n">
        <f aca="false">BM158+BM146+BM151+BM152+BM153+BM154+BM159</f>
        <v>-4219856.65291995</v>
      </c>
      <c r="BN160" s="62" t="n">
        <f aca="false">BN158+BN146+BN151+BN152+BN153+BN154+BN159</f>
        <v>-4869215.46750024</v>
      </c>
      <c r="BO160" s="62" t="n">
        <f aca="false">BO158+BO146+BO151+BO152+BO153+BO154+BO159</f>
        <v>-5493180.42360693</v>
      </c>
      <c r="BP160" s="62" t="n">
        <f aca="false">BP158+BP146+BP151+BP152+BP153+BP154+BP159</f>
        <v>-6065631.85971362</v>
      </c>
      <c r="BQ160" s="62" t="n">
        <f aca="false">BQ158+BQ146+BQ151+BQ152+BQ153+BQ154+BQ159</f>
        <v>-6689596.81582031</v>
      </c>
      <c r="BR160" s="62" t="n">
        <f aca="false">BR158+BR146+BR151+BR152+BR153+BR154+BR159</f>
        <v>-7313561.771927</v>
      </c>
      <c r="BS160" s="62" t="n">
        <f aca="false">BS158+BS146+BS151+BS152+BS153+BS154+BS159</f>
        <v>-7892950.42490089</v>
      </c>
      <c r="BT160" s="62" t="n">
        <f aca="false">BT158+BT146+BT151+BT152+BT153+BT154+BT159</f>
        <v>-8516915.38100758</v>
      </c>
      <c r="BU160" s="62" t="n">
        <f aca="false">BU158+BU146+BU151+BU152+BU153+BU154+BU159</f>
        <v>-9140880.33711427</v>
      </c>
      <c r="BV160" s="62" t="n">
        <f aca="false">BV158+BV146+BV151+BV152+BV153+BV154+BV159</f>
        <v>-9697083.29322096</v>
      </c>
      <c r="BW160" s="62" t="n">
        <f aca="false">BW158+BW146+BW151+BW152+BW153+BW154+BW159</f>
        <v>-10333527.5484498</v>
      </c>
      <c r="BX160" s="62" t="n">
        <f aca="false">BX158+BX146+BX151+BX152+BX153+BX154+BX159</f>
        <v>-10969971.8036786</v>
      </c>
      <c r="BY160" s="62" t="n">
        <f aca="false">BY158+BY146+BY151+BY152+BY153+BY154+BY159</f>
        <v>-11538654.0589074</v>
      </c>
      <c r="BZ160" s="62" t="n">
        <f aca="false">BZ158+BZ146+BZ151+BZ152+BZ153+BZ154+BZ159</f>
        <v>-12201000.0497793</v>
      </c>
      <c r="CA160" s="62" t="n">
        <f aca="false">CA158+CA146+CA151+CA152+CA153+CA154+CA159</f>
        <v>-12837444.3050082</v>
      </c>
      <c r="CB160" s="62" t="n">
        <f aca="false">CB158+CB146+CB151+CB152+CB153+CB154+CB159</f>
        <v>-13397389.560237</v>
      </c>
      <c r="CC160" s="62" t="n">
        <f aca="false">CC158+CC146+CC151+CC152+CC153+CC154+CC159</f>
        <v>-14033833.8154658</v>
      </c>
      <c r="CD160" s="62" t="n">
        <f aca="false">CD158+CD146+CD151+CD152+CD153+CD154+CD159</f>
        <v>-14670278.0706946</v>
      </c>
      <c r="CE160" s="62" t="n">
        <f aca="false">CE158+CE146+CE151+CE152+CE153+CE154+CE159</f>
        <v>-15253872.736728</v>
      </c>
      <c r="CF160" s="62" t="n">
        <f aca="false">CF158+CF146+CF151+CF152+CF153+CF154+CF159</f>
        <v>-15890316.9919568</v>
      </c>
      <c r="CG160" s="62" t="n">
        <f aca="false">CG158+CG146+CG151+CG152+CG153+CG154+CG159</f>
        <v>-16526761.2471856</v>
      </c>
      <c r="CH160" s="62" t="n">
        <f aca="false">CH158+CH146+CH151+CH152+CH153+CH154+CH159</f>
        <v>-17080098.475808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17468767.125734</v>
      </c>
      <c r="D3" s="69" t="n">
        <f aca="false">Model!I7+Model!J7+Model!K7</f>
        <v>22569352.9830799</v>
      </c>
      <c r="E3" s="69" t="n">
        <f aca="false">Model!L7+Model!M7+Model!N7</f>
        <v>24875198.0899256</v>
      </c>
      <c r="F3" s="69" t="n">
        <f aca="false">Model!O7+Model!P7+Model!Q7</f>
        <v>28017837.3832822</v>
      </c>
      <c r="G3" s="69" t="n">
        <f aca="false">Model!R7+Model!S7+Model!T7</f>
        <v>24784936.501511</v>
      </c>
      <c r="H3" s="69" t="n">
        <f aca="false">Model!U7+Model!V7+Model!W7</f>
        <v>22354845.67036</v>
      </c>
      <c r="I3" s="69" t="n">
        <f aca="false">Model!X7+Model!Y7+Model!Z7</f>
        <v>18455897.61331</v>
      </c>
      <c r="J3" s="69" t="n">
        <f aca="false">Model!AA7+Model!AB7+Model!AC7</f>
        <v>13569035.117488</v>
      </c>
      <c r="K3" s="69" t="n">
        <f aca="false">Model!AD7+Model!AE7+Model!AF7</f>
        <v>10431100.051765</v>
      </c>
      <c r="L3" s="69" t="n">
        <f aca="false">Model!AG7+Model!AH7+Model!AI7</f>
        <v>10532644.011073</v>
      </c>
      <c r="M3" s="69" t="n">
        <f aca="false">Model!AJ7+Model!AK7+Model!AL7</f>
        <v>10209949.058484</v>
      </c>
      <c r="N3" s="69" t="n">
        <f aca="false">Model!AM7+Model!AN7+Model!AO7</f>
        <v>8960352.488294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966959.324483083</v>
      </c>
      <c r="H5" s="10" t="n">
        <f aca="false">Model!U8+Model!V8+Model!W8</f>
        <v>885665.663298872</v>
      </c>
      <c r="I5" s="10" t="n">
        <f aca="false">Model!X8+Model!Y8+Model!Z8</f>
        <v>848222.629293404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984388.377114662</v>
      </c>
      <c r="H6" s="10" t="n">
        <f aca="false">Model!U9+Model!V9+Model!W9</f>
        <v>890179.347509399</v>
      </c>
      <c r="I6" s="10" t="n">
        <f aca="false">Model!X9+Model!Y9+Model!Z9</f>
        <v>848222.629293404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301962.767152256</v>
      </c>
      <c r="H7" s="10" t="n">
        <f aca="false">Model!U10+Model!V10+Model!W10</f>
        <v>290923.642152256</v>
      </c>
      <c r="I7" s="10" t="n">
        <f aca="false">Model!X10+Model!Y10+Model!Z10</f>
        <v>282740.876431135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2253310.46875</v>
      </c>
      <c r="H9" s="12" t="n">
        <f aca="false">Model!U12+Model!V12+Model!W12</f>
        <v>2066768.65296053</v>
      </c>
      <c r="I9" s="12" t="n">
        <f aca="false">Model!X12+Model!Y12+Model!Z12</f>
        <v>1979186.13501794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-1363473.8871</v>
      </c>
      <c r="H15" s="12" t="n">
        <f aca="false">Model!U38+Model!V38+Model!W38</f>
        <v>-1363473.8871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889836.58165</v>
      </c>
      <c r="H16" s="16" t="n">
        <f aca="false">Model!U40+Model!V40+Model!W40</f>
        <v>703294.765860526</v>
      </c>
      <c r="I16" s="16" t="n">
        <f aca="false">Model!X40+Model!Y40+Model!Z40</f>
        <v>615712.247917943</v>
      </c>
      <c r="J16" s="16" t="n">
        <f aca="false">Model!AA40+Model!AB40+Model!AC40</f>
        <v>-391543.816538571</v>
      </c>
      <c r="K16" s="16" t="n">
        <f aca="false">Model!AD40+Model!AE40+Model!AF40</f>
        <v>563961.058453455</v>
      </c>
      <c r="L16" s="16" t="n">
        <f aca="false">Model!AG40+Model!AH40+Model!AI40</f>
        <v>362603.056559515</v>
      </c>
      <c r="M16" s="16" t="n">
        <f aca="false">Model!AJ40+Model!AK40+Model!AL40</f>
        <v>-226353.762569273</v>
      </c>
      <c r="N16" s="16" t="n">
        <f aca="false">Model!AM40+Model!AN40+Model!AO40</f>
        <v>-434224.118502477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0.394901898336108</v>
      </c>
      <c r="H17" s="17" t="n">
        <f aca="false">IF((Model!U12+Model!V12+Model!W12)&lt;&gt;0,(Model!U40+Model!V40+Model!W40)/(Model!U12+Model!V12+Model!W12),0)</f>
        <v>0.340287126405318</v>
      </c>
      <c r="I17" s="17" t="n">
        <f aca="false">IF((Model!X12+Model!Y12+Model!Z12)&lt;&gt;0,(Model!X40+Model!Y40+Model!Z40)/(Model!X12+Model!Y12+Model!Z12),0)</f>
        <v>0.311093654620999</v>
      </c>
      <c r="J17" s="17" t="n">
        <f aca="false">IF((Model!AA12+Model!AB12+Model!AC12)&lt;&gt;0,(Model!AA40+Model!AB40+Model!AC40)/(Model!AA12+Model!AB12+Model!AC12),0)</f>
        <v>-0.167096118291419</v>
      </c>
      <c r="K17" s="17" t="n">
        <f aca="false">IF((Model!AD12+Model!AE12+Model!AF12)&lt;&gt;0,(Model!AD40+Model!AE40+Model!AF40)/(Model!AD12+Model!AE12+Model!AF12),0)</f>
        <v>0.288514750226363</v>
      </c>
      <c r="L17" s="17" t="n">
        <f aca="false">IF((Model!AG12+Model!AH12+Model!AI12)&lt;&gt;0,(Model!AG40+Model!AH40+Model!AI40)/(Model!AG12+Model!AH12+Model!AI12),0)</f>
        <v>0.206806283192841</v>
      </c>
      <c r="M17" s="17" t="n">
        <f aca="false">IF((Model!AJ12+Model!AK12+Model!AL12)&lt;&gt;0,(Model!AJ40+Model!AK40+Model!AL40)/(Model!AJ12+Model!AK12+Model!AL12),0)</f>
        <v>-0.194396928766335</v>
      </c>
      <c r="N17" s="17" t="n">
        <f aca="false">IF((Model!AM12+Model!AN12+Model!AO12)&lt;&gt;0,(Model!AM40+Model!AN40+Model!AO40)/(Model!AM12+Model!AN12+Model!AO12),0)</f>
        <v>-0.441134887521423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698389.45225</v>
      </c>
      <c r="H23" s="16" t="n">
        <f aca="false">Model!U95+Model!V95+Model!W95</f>
        <v>720412.985260526</v>
      </c>
      <c r="I23" s="16" t="n">
        <f aca="false">Model!X95+Model!Y95+Model!Z95</f>
        <v>790769.229717943</v>
      </c>
      <c r="J23" s="16" t="n">
        <f aca="false">Model!AA95+Model!AB95+Model!AC95</f>
        <v>-104242.651638571</v>
      </c>
      <c r="K23" s="16" t="n">
        <f aca="false">Model!AD95+Model!AE95+Model!AF95</f>
        <v>707349.197753455</v>
      </c>
      <c r="L23" s="16" t="n">
        <f aca="false">Model!AG95+Model!AH95+Model!AI95</f>
        <v>500649.192659515</v>
      </c>
      <c r="M23" s="16" t="n">
        <f aca="false">Model!AJ95+Model!AK95+Model!AL95</f>
        <v>-128243.309669273</v>
      </c>
      <c r="N23" s="16" t="n">
        <f aca="false">Model!AM95+Model!AN95+Model!AO95</f>
        <v>-488222.779552477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7284978.98834841</v>
      </c>
      <c r="H42" s="21" t="n">
        <f aca="false">Model!W147</f>
        <v>7988273.75420893</v>
      </c>
      <c r="I42" s="21" t="n">
        <f aca="false">Model!Z147</f>
        <v>8603986.00212687</v>
      </c>
      <c r="J42" s="21" t="n">
        <f aca="false">Model!AC147</f>
        <v>8212442.18558831</v>
      </c>
      <c r="K42" s="21" t="n">
        <f aca="false">Model!AF147</f>
        <v>8776403.24404176</v>
      </c>
      <c r="L42" s="21" t="n">
        <f aca="false">Model!AI147</f>
        <v>9139006.30060128</v>
      </c>
      <c r="M42" s="21" t="n">
        <f aca="false">Model!AL147</f>
        <v>8912652.538032</v>
      </c>
      <c r="N42" s="21" t="n">
        <f aca="false">Model!AO147</f>
        <v>8478428.41952953</v>
      </c>
      <c r="O42" s="21" t="n">
        <f aca="false">Model!AR147</f>
        <v>8044204.30102705</v>
      </c>
      <c r="P42" s="21" t="n">
        <f aca="false">Model!AU147</f>
        <v>7095585.06888821</v>
      </c>
      <c r="Q42" s="21" t="n">
        <f aca="false">Model!AX147</f>
        <v>6146965.83674937</v>
      </c>
      <c r="R42" s="21" t="n">
        <f aca="false">Model!BA147</f>
        <v>5169975.43996775</v>
      </c>
      <c r="S42" s="21" t="n">
        <f aca="false">Model!BD147</f>
        <v>4192985.04318613</v>
      </c>
      <c r="T42" s="21" t="n">
        <f aca="false">Model!BG147</f>
        <v>3059348.31307118</v>
      </c>
      <c r="U42" s="21" t="n">
        <f aca="false">Model!BJ147</f>
        <v>1612418.91628956</v>
      </c>
      <c r="V42" s="21" t="n">
        <f aca="false">Model!BM147</f>
        <v>136550.931572315</v>
      </c>
      <c r="W42" s="21" t="n">
        <f aca="false">Model!BP147</f>
        <v>-1339317.05314493</v>
      </c>
      <c r="X42" s="21" t="n">
        <f aca="false">Model!BS147</f>
        <v>-2815185.03786218</v>
      </c>
      <c r="Y42" s="21" t="n">
        <f aca="false">Model!BV147</f>
        <v>-4291053.02257943</v>
      </c>
      <c r="Z42" s="21" t="n">
        <f aca="false">Model!BY147</f>
        <v>-5796438.36699103</v>
      </c>
      <c r="AA42" s="21" t="n">
        <f aca="false">Model!CB147</f>
        <v>-7301823.71140262</v>
      </c>
      <c r="AB42" s="21" t="n">
        <f aca="false">Model!CE147</f>
        <v>-8807209.05581421</v>
      </c>
      <c r="AC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-977117.243956794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-568357.490547702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4928172.33634841</v>
      </c>
      <c r="H45" s="23" t="n">
        <f aca="false">Model!W160</f>
        <v>5322616.07832349</v>
      </c>
      <c r="I45" s="23" t="n">
        <f aca="false">Model!Z160</f>
        <v>4886268.06408463</v>
      </c>
      <c r="J45" s="23" t="n">
        <f aca="false">Model!AC160</f>
        <v>5759142.65640286</v>
      </c>
      <c r="K45" s="23" t="n">
        <f aca="false">Model!AF160</f>
        <v>6466491.85415631</v>
      </c>
      <c r="L45" s="23" t="n">
        <f aca="false">Model!AI160</f>
        <v>6967141.04681583</v>
      </c>
      <c r="M45" s="23" t="n">
        <f aca="false">Model!AL160</f>
        <v>6020540.24659886</v>
      </c>
      <c r="N45" s="23" t="n">
        <f aca="false">Model!AO160</f>
        <v>6100674.95759408</v>
      </c>
      <c r="O45" s="23" t="n">
        <f aca="false">Model!AR160</f>
        <v>5443398.9860416</v>
      </c>
      <c r="P45" s="23" t="n">
        <f aca="false">Model!AU160</f>
        <v>4314957.42085276</v>
      </c>
      <c r="Q45" s="23" t="n">
        <f aca="false">Model!AX160</f>
        <v>3123937.72286392</v>
      </c>
      <c r="R45" s="23" t="n">
        <f aca="false">Model!BA160</f>
        <v>1892428.9394913</v>
      </c>
      <c r="S45" s="23" t="n">
        <f aca="false">Model!BD160</f>
        <v>631519.262838685</v>
      </c>
      <c r="T45" s="23" t="n">
        <f aca="false">Model!BG160</f>
        <v>-788376.830027265</v>
      </c>
      <c r="U45" s="23" t="n">
        <f aca="false">Model!BJ160</f>
        <v>-2347961.78459988</v>
      </c>
      <c r="V45" s="23" t="n">
        <f aca="false">Model!BM160</f>
        <v>-4219856.65291995</v>
      </c>
      <c r="W45" s="23" t="n">
        <f aca="false">Model!BP160</f>
        <v>-6065631.85971362</v>
      </c>
      <c r="X45" s="23" t="n">
        <f aca="false">Model!BS160</f>
        <v>-7892950.42490089</v>
      </c>
      <c r="Y45" s="23" t="n">
        <f aca="false">Model!BV160</f>
        <v>-9697083.29322096</v>
      </c>
      <c r="Z45" s="23" t="n">
        <f aca="false">Model!BY160</f>
        <v>-11538654.0589074</v>
      </c>
      <c r="AA45" s="23" t="n">
        <f aca="false">Model!CB160</f>
        <v>-13397389.560237</v>
      </c>
      <c r="AB45" s="23" t="n">
        <f aca="false">Model!CE160</f>
        <v>-15253872.736728</v>
      </c>
      <c r="AC45" s="23" t="n">
        <f aca="false">Model!CH160</f>
        <v>-17080098.475808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266611.58</v>
      </c>
      <c r="H14" s="77" t="n">
        <f aca="false">Model!H53+Model!H54+Model!H55</f>
        <v>12631.58</v>
      </c>
      <c r="I14" s="77" t="n">
        <f aca="false">Model!I53+Model!I54+Model!I55</f>
        <v>12631.58</v>
      </c>
      <c r="J14" s="77" t="n">
        <f aca="false">Model!J53+Model!J54+Model!J55</f>
        <v>12631.58</v>
      </c>
      <c r="K14" s="77" t="n">
        <f aca="false">Model!K53+Model!K54+Model!K55</f>
        <v>12631.58</v>
      </c>
      <c r="L14" s="77" t="n">
        <f aca="false">Model!L53+Model!L54+Model!L55</f>
        <v>12631.58</v>
      </c>
      <c r="M14" s="77" t="n">
        <f aca="false">Model!M53+Model!M54+Model!M55</f>
        <v>12631.58</v>
      </c>
      <c r="N14" s="77" t="n">
        <f aca="false">Model!N53+Model!N54+Model!N55</f>
        <v>12631.58</v>
      </c>
      <c r="O14" s="77" t="n">
        <f aca="false">Model!O53+Model!O54+Model!O55</f>
        <v>12631.58</v>
      </c>
      <c r="P14" s="77" t="n">
        <f aca="false">Model!P53+Model!P54+Model!P55</f>
        <v>12631.58</v>
      </c>
      <c r="Q14" s="77" t="n">
        <f aca="false">Model!Q53+Model!Q54+Model!Q55</f>
        <v>12631.58</v>
      </c>
      <c r="R14" s="77" t="n">
        <f aca="false">Model!R53+Model!R54+Model!R55</f>
        <v>12631.58</v>
      </c>
      <c r="S14" s="77" t="n">
        <f aca="false">Model!S53+Model!S54+Model!S55</f>
        <v>12631.58</v>
      </c>
      <c r="T14" s="77" t="n">
        <f aca="false">Model!T53+Model!T54+Model!T55</f>
        <v>12631.58</v>
      </c>
      <c r="U14" s="77" t="n">
        <f aca="false">Model!U53+Model!U54+Model!U55</f>
        <v>12631.58</v>
      </c>
      <c r="V14" s="77" t="n">
        <f aca="false">Model!V53+Model!V54+Model!V55</f>
        <v>12631.58</v>
      </c>
      <c r="W14" s="77" t="n">
        <f aca="false">Model!W53+Model!W54+Model!W55</f>
        <v>12631.58</v>
      </c>
      <c r="X14" s="77" t="n">
        <f aca="false">Model!X53+Model!X54+Model!X55</f>
        <v>12631.58</v>
      </c>
      <c r="Y14" s="77" t="n">
        <f aca="false">Model!Y53+Model!Y54+Model!Y55</f>
        <v>12631.58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-155771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110840.58</v>
      </c>
      <c r="H16" s="79" t="n">
        <f aca="false">H14+H15</f>
        <v>12631.58</v>
      </c>
      <c r="I16" s="79" t="n">
        <f aca="false">I14+I15</f>
        <v>12631.58</v>
      </c>
      <c r="J16" s="79" t="n">
        <f aca="false">J14+J15</f>
        <v>12631.58</v>
      </c>
      <c r="K16" s="79" t="n">
        <f aca="false">K14+K15</f>
        <v>12631.58</v>
      </c>
      <c r="L16" s="79" t="n">
        <f aca="false">L14+L15</f>
        <v>12631.58</v>
      </c>
      <c r="M16" s="79" t="n">
        <f aca="false">M14+M15</f>
        <v>12631.58</v>
      </c>
      <c r="N16" s="79" t="n">
        <f aca="false">N14+N15</f>
        <v>12631.58</v>
      </c>
      <c r="O16" s="79" t="n">
        <f aca="false">O14+O15</f>
        <v>12631.58</v>
      </c>
      <c r="P16" s="79" t="n">
        <f aca="false">P14+P15</f>
        <v>12631.58</v>
      </c>
      <c r="Q16" s="79" t="n">
        <f aca="false">Q14+Q15</f>
        <v>12631.58</v>
      </c>
      <c r="R16" s="79" t="n">
        <f aca="false">R14+R15</f>
        <v>12631.58</v>
      </c>
      <c r="S16" s="79" t="n">
        <f aca="false">S14+S15</f>
        <v>12631.58</v>
      </c>
      <c r="T16" s="79" t="n">
        <f aca="false">T14+T15</f>
        <v>12631.58</v>
      </c>
      <c r="U16" s="79" t="n">
        <f aca="false">U14+U15</f>
        <v>12631.58</v>
      </c>
      <c r="V16" s="79" t="n">
        <f aca="false">V14+V15</f>
        <v>12631.58</v>
      </c>
      <c r="W16" s="79" t="n">
        <f aca="false">W14+W15</f>
        <v>12631.58</v>
      </c>
      <c r="X16" s="79" t="n">
        <f aca="false">X14+X15</f>
        <v>12631.58</v>
      </c>
      <c r="Y16" s="79" t="n">
        <f aca="false">Y14+Y15</f>
        <v>12631.58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110840.58</v>
      </c>
      <c r="H17" s="81" t="n">
        <f aca="false">G17+H16</f>
        <v>123472.16</v>
      </c>
      <c r="I17" s="81" t="n">
        <f aca="false">H17+I16</f>
        <v>136103.74</v>
      </c>
      <c r="J17" s="81" t="n">
        <f aca="false">I17+J16</f>
        <v>148735.32</v>
      </c>
      <c r="K17" s="81" t="n">
        <f aca="false">J17+K16</f>
        <v>161366.9</v>
      </c>
      <c r="L17" s="81" t="n">
        <f aca="false">K17+L16</f>
        <v>173998.48</v>
      </c>
      <c r="M17" s="81" t="n">
        <f aca="false">L17+M16</f>
        <v>186630.06</v>
      </c>
      <c r="N17" s="81" t="n">
        <f aca="false">M17+N16</f>
        <v>199261.64</v>
      </c>
      <c r="O17" s="81" t="n">
        <f aca="false">N17+O16</f>
        <v>211893.22</v>
      </c>
      <c r="P17" s="81" t="n">
        <f aca="false">O17+P16</f>
        <v>224524.8</v>
      </c>
      <c r="Q17" s="81" t="n">
        <f aca="false">P17+Q16</f>
        <v>237156.38</v>
      </c>
      <c r="R17" s="81" t="n">
        <f aca="false">Q17+R16</f>
        <v>249787.96</v>
      </c>
      <c r="S17" s="81" t="n">
        <f aca="false">R17+S16</f>
        <v>262419.54</v>
      </c>
      <c r="T17" s="81" t="n">
        <f aca="false">S17+T16</f>
        <v>275051.12</v>
      </c>
      <c r="U17" s="81" t="n">
        <f aca="false">T17+U16</f>
        <v>287682.7</v>
      </c>
      <c r="V17" s="81" t="n">
        <f aca="false">U17+V16</f>
        <v>300314.28</v>
      </c>
      <c r="W17" s="81" t="n">
        <f aca="false">V17+W16</f>
        <v>312945.86</v>
      </c>
      <c r="X17" s="81" t="n">
        <f aca="false">W17+X16</f>
        <v>325577.44</v>
      </c>
      <c r="Y17" s="81" t="n">
        <f aca="false">X17+Y16</f>
        <v>338209.02</v>
      </c>
      <c r="Z17" s="81" t="n">
        <f aca="false">Y17+Z16</f>
        <v>338209.02</v>
      </c>
      <c r="AA17" s="81" t="n">
        <f aca="false">Z17+AA16</f>
        <v>338209.02</v>
      </c>
      <c r="AB17" s="81" t="n">
        <f aca="false">AA17+AB16</f>
        <v>338209.02</v>
      </c>
      <c r="AC17" s="81" t="n">
        <f aca="false">AB17+AC16</f>
        <v>338209.02</v>
      </c>
      <c r="AD17" s="81" t="n">
        <f aca="false">AC17+AD16</f>
        <v>338209.02</v>
      </c>
      <c r="AE17" s="81" t="n">
        <f aca="false">AD17+AE16</f>
        <v>338209.02</v>
      </c>
      <c r="AF17" s="81" t="n">
        <f aca="false">AE17+AF16</f>
        <v>338209.02</v>
      </c>
      <c r="AG17" s="81" t="n">
        <f aca="false">AF17+AG16</f>
        <v>338209.02</v>
      </c>
      <c r="AH17" s="81" t="n">
        <f aca="false">AG17+AH16</f>
        <v>338209.02</v>
      </c>
      <c r="AI17" s="81" t="n">
        <f aca="false">AH17+AI16</f>
        <v>338209.02</v>
      </c>
      <c r="AJ17" s="81" t="n">
        <f aca="false">AI17+AJ16</f>
        <v>338209.02</v>
      </c>
      <c r="AK17" s="81" t="n">
        <f aca="false">AJ17+AK16</f>
        <v>338209.02</v>
      </c>
      <c r="AL17" s="81" t="n">
        <f aca="false">AK17+AL16</f>
        <v>338209.02</v>
      </c>
      <c r="AM17" s="81" t="n">
        <f aca="false">AL17+AM16</f>
        <v>338209.02</v>
      </c>
      <c r="AN17" s="81" t="n">
        <f aca="false">AM17+AN16</f>
        <v>338209.02</v>
      </c>
      <c r="AO17" s="81" t="n">
        <f aca="false">AN17+AO16</f>
        <v>338209.02</v>
      </c>
      <c r="AP17" s="81" t="n">
        <f aca="false">AO17+AP16</f>
        <v>338209.02</v>
      </c>
      <c r="AQ17" s="81" t="n">
        <f aca="false">AP17+AQ16</f>
        <v>338209.02</v>
      </c>
      <c r="AR17" s="81" t="n">
        <f aca="false">AQ17+AR16</f>
        <v>338209.02</v>
      </c>
      <c r="AS17" s="81" t="n">
        <f aca="false">AR17+AS16</f>
        <v>338209.02</v>
      </c>
      <c r="AT17" s="81" t="n">
        <f aca="false">AS17+AT16</f>
        <v>338209.02</v>
      </c>
      <c r="AU17" s="81" t="n">
        <f aca="false">AT17+AU16</f>
        <v>338209.02</v>
      </c>
      <c r="AV17" s="81" t="n">
        <f aca="false">AU17+AV16</f>
        <v>338209.02</v>
      </c>
      <c r="AW17" s="81" t="n">
        <f aca="false">AV17+AW16</f>
        <v>338209.02</v>
      </c>
      <c r="AX17" s="81" t="n">
        <f aca="false">AW17+AX16</f>
        <v>338209.02</v>
      </c>
      <c r="AY17" s="81" t="n">
        <f aca="false">AX17+AY16</f>
        <v>338209.02</v>
      </c>
      <c r="AZ17" s="81" t="n">
        <f aca="false">AY17+AZ16</f>
        <v>338209.02</v>
      </c>
      <c r="BA17" s="81" t="n">
        <f aca="false">AZ17+BA16</f>
        <v>338209.02</v>
      </c>
      <c r="BB17" s="81" t="n">
        <f aca="false">BA17+BB16</f>
        <v>338209.02</v>
      </c>
      <c r="BC17" s="81" t="n">
        <f aca="false">BB17+BC16</f>
        <v>338209.02</v>
      </c>
      <c r="BD17" s="81" t="n">
        <f aca="false">BC17+BD16</f>
        <v>338209.02</v>
      </c>
      <c r="BE17" s="81" t="n">
        <f aca="false">BD17+BE16</f>
        <v>338209.02</v>
      </c>
      <c r="BF17" s="81" t="n">
        <f aca="false">BE17+BF16</f>
        <v>338209.02</v>
      </c>
      <c r="BG17" s="81" t="n">
        <f aca="false">BF17+BG16</f>
        <v>338209.02</v>
      </c>
      <c r="BH17" s="81" t="n">
        <f aca="false">BG17+BH16</f>
        <v>338209.02</v>
      </c>
      <c r="BI17" s="81" t="n">
        <f aca="false">BH17+BI16</f>
        <v>338209.02</v>
      </c>
      <c r="BJ17" s="81" t="n">
        <f aca="false">BI17+BJ16</f>
        <v>338209.02</v>
      </c>
      <c r="BK17" s="81" t="n">
        <f aca="false">BJ17+BK16</f>
        <v>338209.02</v>
      </c>
      <c r="BL17" s="81" t="n">
        <f aca="false">BK17+BL16</f>
        <v>338209.02</v>
      </c>
      <c r="BM17" s="81" t="n">
        <f aca="false">BL17+BM16</f>
        <v>338209.02</v>
      </c>
      <c r="BN17" s="81" t="n">
        <f aca="false">BM17+BN16</f>
        <v>338209.02</v>
      </c>
      <c r="BO17" s="81" t="n">
        <f aca="false">BN17+BO16</f>
        <v>338209.02</v>
      </c>
      <c r="BP17" s="81" t="n">
        <f aca="false">BO17+BP16</f>
        <v>338209.02</v>
      </c>
      <c r="BQ17" s="81" t="n">
        <f aca="false">BP17+BQ16</f>
        <v>338209.02</v>
      </c>
      <c r="BR17" s="81" t="n">
        <f aca="false">BQ17+BR16</f>
        <v>338209.02</v>
      </c>
      <c r="BS17" s="81" t="n">
        <f aca="false">BR17+BS16</f>
        <v>338209.02</v>
      </c>
      <c r="BT17" s="81" t="n">
        <f aca="false">BS17+BT16</f>
        <v>338209.02</v>
      </c>
      <c r="BU17" s="81" t="n">
        <f aca="false">BT17+BU16</f>
        <v>338209.02</v>
      </c>
      <c r="BV17" s="81" t="n">
        <f aca="false">BU17+BV16</f>
        <v>338209.02</v>
      </c>
      <c r="BW17" s="81" t="n">
        <f aca="false">BV17+BW16</f>
        <v>338209.02</v>
      </c>
      <c r="BX17" s="81" t="n">
        <f aca="false">BW17+BX16</f>
        <v>338209.02</v>
      </c>
      <c r="BY17" s="81" t="n">
        <f aca="false">BX17+BY16</f>
        <v>338209.02</v>
      </c>
      <c r="BZ17" s="81" t="n">
        <f aca="false">BY17+BZ16</f>
        <v>338209.02</v>
      </c>
      <c r="CA17" s="81" t="n">
        <f aca="false">BZ17+CA16</f>
        <v>338209.02</v>
      </c>
      <c r="CB17" s="81" t="n">
        <f aca="false">CA17+CB16</f>
        <v>338209.02</v>
      </c>
      <c r="CC17" s="81" t="n">
        <f aca="false">CB17+CC16</f>
        <v>338209.02</v>
      </c>
      <c r="CD17" s="81" t="n">
        <f aca="false">CC17+CD16</f>
        <v>338209.02</v>
      </c>
      <c r="CE17" s="81" t="n">
        <f aca="false">CD17+CE16</f>
        <v>338209.02</v>
      </c>
      <c r="CF17" s="81" t="n">
        <f aca="false">CE17+CF16</f>
        <v>338209.02</v>
      </c>
      <c r="CG17" s="81" t="n">
        <f aca="false">CF17+CG16</f>
        <v>338209.02</v>
      </c>
      <c r="CH17" s="81" t="n">
        <f aca="false">CG17+CH16</f>
        <v>338209.02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192797.63</v>
      </c>
      <c r="I20" s="77" t="n">
        <f aca="false">Model!I56+Model!I57+Model!I58</f>
        <v>11052.63</v>
      </c>
      <c r="J20" s="77" t="n">
        <f aca="false">Model!J56+Model!J57+Model!J58</f>
        <v>11052.63</v>
      </c>
      <c r="K20" s="77" t="n">
        <f aca="false">Model!K56+Model!K57+Model!K58</f>
        <v>11052.63</v>
      </c>
      <c r="L20" s="77" t="n">
        <f aca="false">Model!L56+Model!L57+Model!L58</f>
        <v>11052.63</v>
      </c>
      <c r="M20" s="77" t="n">
        <f aca="false">Model!M56+Model!M57+Model!M58</f>
        <v>11052.63</v>
      </c>
      <c r="N20" s="77" t="n">
        <f aca="false">Model!N56+Model!N57+Model!N58</f>
        <v>11052.63</v>
      </c>
      <c r="O20" s="77" t="n">
        <f aca="false">Model!O56+Model!O57+Model!O58</f>
        <v>11052.63</v>
      </c>
      <c r="P20" s="77" t="n">
        <f aca="false">Model!P56+Model!P57+Model!P58</f>
        <v>11052.63</v>
      </c>
      <c r="Q20" s="77" t="n">
        <f aca="false">Model!Q56+Model!Q57+Model!Q58</f>
        <v>11052.63</v>
      </c>
      <c r="R20" s="77" t="n">
        <f aca="false">Model!R56+Model!R57+Model!R58</f>
        <v>11052.63</v>
      </c>
      <c r="S20" s="77" t="n">
        <f aca="false">Model!S56+Model!S57+Model!S58</f>
        <v>11052.63</v>
      </c>
      <c r="T20" s="77" t="n">
        <f aca="false">Model!T56+Model!T57+Model!T58</f>
        <v>11052.63</v>
      </c>
      <c r="U20" s="77" t="n">
        <f aca="false">Model!U56+Model!U57+Model!U58</f>
        <v>11052.63</v>
      </c>
      <c r="V20" s="77" t="n">
        <f aca="false">Model!V56+Model!V57+Model!V58</f>
        <v>11052.63</v>
      </c>
      <c r="W20" s="77" t="n">
        <f aca="false">Model!W56+Model!W57+Model!W58</f>
        <v>11052.63</v>
      </c>
      <c r="X20" s="77" t="n">
        <f aca="false">Model!X56+Model!X57+Model!X58</f>
        <v>11052.63</v>
      </c>
      <c r="Y20" s="77" t="n">
        <f aca="false">Model!Y56+Model!Y57+Model!Y58</f>
        <v>11052.63</v>
      </c>
      <c r="Z20" s="77" t="n">
        <f aca="false">Model!Z56+Model!Z57+Model!Z58</f>
        <v>11052.63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-135452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57345.63</v>
      </c>
      <c r="I22" s="79" t="n">
        <f aca="false">I20+I21</f>
        <v>11052.63</v>
      </c>
      <c r="J22" s="79" t="n">
        <f aca="false">J20+J21</f>
        <v>11052.63</v>
      </c>
      <c r="K22" s="79" t="n">
        <f aca="false">K20+K21</f>
        <v>11052.63</v>
      </c>
      <c r="L22" s="79" t="n">
        <f aca="false">L20+L21</f>
        <v>11052.63</v>
      </c>
      <c r="M22" s="79" t="n">
        <f aca="false">M20+M21</f>
        <v>11052.63</v>
      </c>
      <c r="N22" s="79" t="n">
        <f aca="false">N20+N21</f>
        <v>11052.63</v>
      </c>
      <c r="O22" s="79" t="n">
        <f aca="false">O20+O21</f>
        <v>11052.63</v>
      </c>
      <c r="P22" s="79" t="n">
        <f aca="false">P20+P21</f>
        <v>11052.63</v>
      </c>
      <c r="Q22" s="79" t="n">
        <f aca="false">Q20+Q21</f>
        <v>11052.63</v>
      </c>
      <c r="R22" s="79" t="n">
        <f aca="false">R20+R21</f>
        <v>11052.63</v>
      </c>
      <c r="S22" s="79" t="n">
        <f aca="false">S20+S21</f>
        <v>11052.63</v>
      </c>
      <c r="T22" s="79" t="n">
        <f aca="false">T20+T21</f>
        <v>11052.63</v>
      </c>
      <c r="U22" s="79" t="n">
        <f aca="false">U20+U21</f>
        <v>11052.63</v>
      </c>
      <c r="V22" s="79" t="n">
        <f aca="false">V20+V21</f>
        <v>11052.63</v>
      </c>
      <c r="W22" s="79" t="n">
        <f aca="false">W20+W21</f>
        <v>11052.63</v>
      </c>
      <c r="X22" s="79" t="n">
        <f aca="false">X20+X21</f>
        <v>11052.63</v>
      </c>
      <c r="Y22" s="79" t="n">
        <f aca="false">Y20+Y21</f>
        <v>11052.63</v>
      </c>
      <c r="Z22" s="79" t="n">
        <f aca="false">Z20+Z21</f>
        <v>11052.63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57345.63</v>
      </c>
      <c r="I23" s="81" t="n">
        <f aca="false">H23+I22</f>
        <v>68398.26</v>
      </c>
      <c r="J23" s="81" t="n">
        <f aca="false">I23+J22</f>
        <v>79450.89</v>
      </c>
      <c r="K23" s="81" t="n">
        <f aca="false">J23+K22</f>
        <v>90503.52</v>
      </c>
      <c r="L23" s="81" t="n">
        <f aca="false">K23+L22</f>
        <v>101556.15</v>
      </c>
      <c r="M23" s="81" t="n">
        <f aca="false">L23+M22</f>
        <v>112608.78</v>
      </c>
      <c r="N23" s="81" t="n">
        <f aca="false">M23+N22</f>
        <v>123661.41</v>
      </c>
      <c r="O23" s="81" t="n">
        <f aca="false">N23+O22</f>
        <v>134714.04</v>
      </c>
      <c r="P23" s="81" t="n">
        <f aca="false">O23+P22</f>
        <v>145766.67</v>
      </c>
      <c r="Q23" s="81" t="n">
        <f aca="false">P23+Q22</f>
        <v>156819.3</v>
      </c>
      <c r="R23" s="81" t="n">
        <f aca="false">Q23+R22</f>
        <v>167871.93</v>
      </c>
      <c r="S23" s="81" t="n">
        <f aca="false">R23+S22</f>
        <v>178924.56</v>
      </c>
      <c r="T23" s="81" t="n">
        <f aca="false">S23+T22</f>
        <v>189977.19</v>
      </c>
      <c r="U23" s="81" t="n">
        <f aca="false">T23+U22</f>
        <v>201029.82</v>
      </c>
      <c r="V23" s="81" t="n">
        <f aca="false">U23+V22</f>
        <v>212082.45</v>
      </c>
      <c r="W23" s="81" t="n">
        <f aca="false">V23+W22</f>
        <v>223135.08</v>
      </c>
      <c r="X23" s="81" t="n">
        <f aca="false">W23+X22</f>
        <v>234187.71</v>
      </c>
      <c r="Y23" s="81" t="n">
        <f aca="false">X23+Y22</f>
        <v>245240.34</v>
      </c>
      <c r="Z23" s="81" t="n">
        <f aca="false">Y23+Z22</f>
        <v>256292.97</v>
      </c>
      <c r="AA23" s="81" t="n">
        <f aca="false">Z23+AA22</f>
        <v>256292.97</v>
      </c>
      <c r="AB23" s="81" t="n">
        <f aca="false">AA23+AB22</f>
        <v>256292.97</v>
      </c>
      <c r="AC23" s="81" t="n">
        <f aca="false">AB23+AC22</f>
        <v>256292.97</v>
      </c>
      <c r="AD23" s="81" t="n">
        <f aca="false">AC23+AD22</f>
        <v>256292.97</v>
      </c>
      <c r="AE23" s="81" t="n">
        <f aca="false">AD23+AE22</f>
        <v>256292.97</v>
      </c>
      <c r="AF23" s="81" t="n">
        <f aca="false">AE23+AF22</f>
        <v>256292.97</v>
      </c>
      <c r="AG23" s="81" t="n">
        <f aca="false">AF23+AG22</f>
        <v>256292.97</v>
      </c>
      <c r="AH23" s="81" t="n">
        <f aca="false">AG23+AH22</f>
        <v>256292.97</v>
      </c>
      <c r="AI23" s="81" t="n">
        <f aca="false">AH23+AI22</f>
        <v>256292.97</v>
      </c>
      <c r="AJ23" s="81" t="n">
        <f aca="false">AI23+AJ22</f>
        <v>256292.97</v>
      </c>
      <c r="AK23" s="81" t="n">
        <f aca="false">AJ23+AK22</f>
        <v>256292.97</v>
      </c>
      <c r="AL23" s="81" t="n">
        <f aca="false">AK23+AL22</f>
        <v>256292.97</v>
      </c>
      <c r="AM23" s="81" t="n">
        <f aca="false">AL23+AM22</f>
        <v>256292.97</v>
      </c>
      <c r="AN23" s="81" t="n">
        <f aca="false">AM23+AN22</f>
        <v>256292.97</v>
      </c>
      <c r="AO23" s="81" t="n">
        <f aca="false">AN23+AO22</f>
        <v>256292.97</v>
      </c>
      <c r="AP23" s="81" t="n">
        <f aca="false">AO23+AP22</f>
        <v>256292.97</v>
      </c>
      <c r="AQ23" s="81" t="n">
        <f aca="false">AP23+AQ22</f>
        <v>256292.97</v>
      </c>
      <c r="AR23" s="81" t="n">
        <f aca="false">AQ23+AR22</f>
        <v>256292.97</v>
      </c>
      <c r="AS23" s="81" t="n">
        <f aca="false">AR23+AS22</f>
        <v>256292.97</v>
      </c>
      <c r="AT23" s="81" t="n">
        <f aca="false">AS23+AT22</f>
        <v>256292.97</v>
      </c>
      <c r="AU23" s="81" t="n">
        <f aca="false">AT23+AU22</f>
        <v>256292.97</v>
      </c>
      <c r="AV23" s="81" t="n">
        <f aca="false">AU23+AV22</f>
        <v>256292.97</v>
      </c>
      <c r="AW23" s="81" t="n">
        <f aca="false">AV23+AW22</f>
        <v>256292.97</v>
      </c>
      <c r="AX23" s="81" t="n">
        <f aca="false">AW23+AX22</f>
        <v>256292.97</v>
      </c>
      <c r="AY23" s="81" t="n">
        <f aca="false">AX23+AY22</f>
        <v>256292.97</v>
      </c>
      <c r="AZ23" s="81" t="n">
        <f aca="false">AY23+AZ22</f>
        <v>256292.97</v>
      </c>
      <c r="BA23" s="81" t="n">
        <f aca="false">AZ23+BA22</f>
        <v>256292.97</v>
      </c>
      <c r="BB23" s="81" t="n">
        <f aca="false">BA23+BB22</f>
        <v>256292.97</v>
      </c>
      <c r="BC23" s="81" t="n">
        <f aca="false">BB23+BC22</f>
        <v>256292.97</v>
      </c>
      <c r="BD23" s="81" t="n">
        <f aca="false">BC23+BD22</f>
        <v>256292.97</v>
      </c>
      <c r="BE23" s="81" t="n">
        <f aca="false">BD23+BE22</f>
        <v>256292.97</v>
      </c>
      <c r="BF23" s="81" t="n">
        <f aca="false">BE23+BF22</f>
        <v>256292.97</v>
      </c>
      <c r="BG23" s="81" t="n">
        <f aca="false">BF23+BG22</f>
        <v>256292.97</v>
      </c>
      <c r="BH23" s="81" t="n">
        <f aca="false">BG23+BH22</f>
        <v>256292.97</v>
      </c>
      <c r="BI23" s="81" t="n">
        <f aca="false">BH23+BI22</f>
        <v>256292.97</v>
      </c>
      <c r="BJ23" s="81" t="n">
        <f aca="false">BI23+BJ22</f>
        <v>256292.97</v>
      </c>
      <c r="BK23" s="81" t="n">
        <f aca="false">BJ23+BK22</f>
        <v>256292.97</v>
      </c>
      <c r="BL23" s="81" t="n">
        <f aca="false">BK23+BL22</f>
        <v>256292.97</v>
      </c>
      <c r="BM23" s="81" t="n">
        <f aca="false">BL23+BM22</f>
        <v>256292.97</v>
      </c>
      <c r="BN23" s="81" t="n">
        <f aca="false">BM23+BN22</f>
        <v>256292.97</v>
      </c>
      <c r="BO23" s="81" t="n">
        <f aca="false">BN23+BO22</f>
        <v>256292.97</v>
      </c>
      <c r="BP23" s="81" t="n">
        <f aca="false">BO23+BP22</f>
        <v>256292.97</v>
      </c>
      <c r="BQ23" s="81" t="n">
        <f aca="false">BP23+BQ22</f>
        <v>256292.97</v>
      </c>
      <c r="BR23" s="81" t="n">
        <f aca="false">BQ23+BR22</f>
        <v>256292.97</v>
      </c>
      <c r="BS23" s="81" t="n">
        <f aca="false">BR23+BS22</f>
        <v>256292.97</v>
      </c>
      <c r="BT23" s="81" t="n">
        <f aca="false">BS23+BT22</f>
        <v>256292.97</v>
      </c>
      <c r="BU23" s="81" t="n">
        <f aca="false">BT23+BU22</f>
        <v>256292.97</v>
      </c>
      <c r="BV23" s="81" t="n">
        <f aca="false">BU23+BV22</f>
        <v>256292.97</v>
      </c>
      <c r="BW23" s="81" t="n">
        <f aca="false">BV23+BW22</f>
        <v>256292.97</v>
      </c>
      <c r="BX23" s="81" t="n">
        <f aca="false">BW23+BX22</f>
        <v>256292.97</v>
      </c>
      <c r="BY23" s="81" t="n">
        <f aca="false">BX23+BY22</f>
        <v>256292.97</v>
      </c>
      <c r="BZ23" s="81" t="n">
        <f aca="false">BY23+BZ22</f>
        <v>256292.97</v>
      </c>
      <c r="CA23" s="81" t="n">
        <f aca="false">BZ23+CA22</f>
        <v>256292.97</v>
      </c>
      <c r="CB23" s="81" t="n">
        <f aca="false">CA23+CB22</f>
        <v>256292.97</v>
      </c>
      <c r="CC23" s="81" t="n">
        <f aca="false">CB23+CC22</f>
        <v>256292.97</v>
      </c>
      <c r="CD23" s="81" t="n">
        <f aca="false">CC23+CD22</f>
        <v>256292.97</v>
      </c>
      <c r="CE23" s="81" t="n">
        <f aca="false">CD23+CE22</f>
        <v>256292.97</v>
      </c>
      <c r="CF23" s="81" t="n">
        <f aca="false">CE23+CF22</f>
        <v>256292.97</v>
      </c>
      <c r="CG23" s="81" t="n">
        <f aca="false">CF23+CG22</f>
        <v>256292.97</v>
      </c>
      <c r="CH23" s="81" t="n">
        <f aca="false">CG23+CH22</f>
        <v>256292.97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144121.83</v>
      </c>
      <c r="H45" s="79" t="n">
        <f aca="false">H5+H10+H16+H22+H28+H35+H41</f>
        <v>103258.46</v>
      </c>
      <c r="I45" s="79" t="n">
        <f aca="false">I5+I10+I16+I22+I28+I35+I41</f>
        <v>56965.46</v>
      </c>
      <c r="J45" s="79" t="n">
        <f aca="false">J5+J10+J16+J22+J28+J35+J41</f>
        <v>47590.46</v>
      </c>
      <c r="K45" s="79" t="n">
        <f aca="false">K5+K10+K16+K22+K28+K35+K41</f>
        <v>47590.46</v>
      </c>
      <c r="L45" s="79" t="n">
        <f aca="false">L5+L10+L16+L22+L28+L35+L41</f>
        <v>47590.46</v>
      </c>
      <c r="M45" s="79" t="n">
        <f aca="false">M5+M10+M16+M22+M28+M35+M41</f>
        <v>47590.46</v>
      </c>
      <c r="N45" s="79" t="n">
        <f aca="false">N5+N10+N16+N22+N28+N35+N41</f>
        <v>47590.46</v>
      </c>
      <c r="O45" s="79" t="n">
        <f aca="false">O5+O10+O16+O22+O28+O35+O41</f>
        <v>47590.46</v>
      </c>
      <c r="P45" s="79" t="n">
        <f aca="false">P5+P10+P16+P22+P28+P35+P41</f>
        <v>47590.46</v>
      </c>
      <c r="Q45" s="79" t="n">
        <f aca="false">Q5+Q10+Q16+Q22+Q28+Q35+Q41</f>
        <v>47590.46</v>
      </c>
      <c r="R45" s="79" t="n">
        <f aca="false">R5+R10+R16+R22+R28+R35+R41</f>
        <v>23684.21</v>
      </c>
      <c r="S45" s="79" t="n">
        <f aca="false">S5+S10+S16+S22+S28+S35+S41</f>
        <v>23684.21</v>
      </c>
      <c r="T45" s="79" t="n">
        <f aca="false">T5+T10+T16+T22+T28+T35+T41</f>
        <v>23684.21</v>
      </c>
      <c r="U45" s="79" t="n">
        <f aca="false">U5+U10+U16+U22+U28+U35+U41</f>
        <v>23684.21</v>
      </c>
      <c r="V45" s="79" t="n">
        <f aca="false">V5+V10+V16+V22+V28+V35+V41</f>
        <v>23684.21</v>
      </c>
      <c r="W45" s="79" t="n">
        <f aca="false">W5+W10+W16+W22+W28+W35+W41</f>
        <v>81059.21</v>
      </c>
      <c r="X45" s="79" t="n">
        <f aca="false">X5+X10+X16+X22+X28+X35+X41</f>
        <v>23684.21</v>
      </c>
      <c r="Y45" s="79" t="n">
        <f aca="false">Y5+Y10+Y16+Y22+Y28+Y35+Y41</f>
        <v>23684.21</v>
      </c>
      <c r="Z45" s="79" t="n">
        <f aca="false">Z5+Z10+Z16+Z22+Z28+Z35+Z41</f>
        <v>68427.63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277246.83</v>
      </c>
      <c r="H46" s="81" t="n">
        <f aca="false">G46+H45</f>
        <v>380505.29</v>
      </c>
      <c r="I46" s="81" t="n">
        <f aca="false">H46+I45</f>
        <v>437470.75</v>
      </c>
      <c r="J46" s="81" t="n">
        <f aca="false">I46+J45</f>
        <v>485061.21</v>
      </c>
      <c r="K46" s="81" t="n">
        <f aca="false">J46+K45</f>
        <v>532651.67</v>
      </c>
      <c r="L46" s="81" t="n">
        <f aca="false">K46+L45</f>
        <v>580242.13</v>
      </c>
      <c r="M46" s="81" t="n">
        <f aca="false">L46+M45</f>
        <v>627832.59</v>
      </c>
      <c r="N46" s="81" t="n">
        <f aca="false">M46+N45</f>
        <v>675423.05</v>
      </c>
      <c r="O46" s="81" t="n">
        <f aca="false">N46+O45</f>
        <v>723013.51</v>
      </c>
      <c r="P46" s="81" t="n">
        <f aca="false">O46+P45</f>
        <v>770603.97</v>
      </c>
      <c r="Q46" s="81" t="n">
        <f aca="false">P46+Q45</f>
        <v>818194.43</v>
      </c>
      <c r="R46" s="81" t="n">
        <f aca="false">Q46+R45</f>
        <v>841878.64</v>
      </c>
      <c r="S46" s="81" t="n">
        <f aca="false">R46+S45</f>
        <v>865562.85</v>
      </c>
      <c r="T46" s="81" t="n">
        <f aca="false">S46+T45</f>
        <v>889247.06</v>
      </c>
      <c r="U46" s="81" t="n">
        <f aca="false">T46+U45</f>
        <v>912931.27</v>
      </c>
      <c r="V46" s="81" t="n">
        <f aca="false">U46+V45</f>
        <v>936615.48</v>
      </c>
      <c r="W46" s="81" t="n">
        <f aca="false">V46+W45</f>
        <v>1017674.69</v>
      </c>
      <c r="X46" s="81" t="n">
        <f aca="false">W46+X45</f>
        <v>1041358.9</v>
      </c>
      <c r="Y46" s="81" t="n">
        <f aca="false">X46+Y45</f>
        <v>1065043.11</v>
      </c>
      <c r="Z46" s="81" t="n">
        <f aca="false">Y46+Z45</f>
        <v>1133470.74</v>
      </c>
      <c r="AA46" s="81" t="n">
        <f aca="false">Z46+AA45</f>
        <v>1133470.74</v>
      </c>
      <c r="AB46" s="81" t="n">
        <f aca="false">AA46+AB45</f>
        <v>1133470.74</v>
      </c>
      <c r="AC46" s="81" t="n">
        <f aca="false">AB46+AC45</f>
        <v>1190845.74</v>
      </c>
      <c r="AD46" s="81" t="n">
        <f aca="false">AC46+AD45</f>
        <v>1190845.74</v>
      </c>
      <c r="AE46" s="81" t="n">
        <f aca="false">AD46+AE45</f>
        <v>1190845.74</v>
      </c>
      <c r="AF46" s="81" t="n">
        <f aca="false">AE46+AF45</f>
        <v>1190845.74</v>
      </c>
      <c r="AG46" s="81" t="n">
        <f aca="false">AF46+AG45</f>
        <v>1190845.74</v>
      </c>
      <c r="AH46" s="81" t="n">
        <f aca="false">AG46+AH45</f>
        <v>1190845.74</v>
      </c>
      <c r="AI46" s="81" t="n">
        <f aca="false">AH46+AI45</f>
        <v>1190845.74</v>
      </c>
      <c r="AJ46" s="81" t="n">
        <f aca="false">AI46+AJ45</f>
        <v>1190845.74</v>
      </c>
      <c r="AK46" s="81" t="n">
        <f aca="false">AJ46+AK45</f>
        <v>1190845.74</v>
      </c>
      <c r="AL46" s="81" t="n">
        <f aca="false">AK46+AL45</f>
        <v>1190845.74</v>
      </c>
      <c r="AM46" s="81" t="n">
        <f aca="false">AL46+AM45</f>
        <v>1190845.74</v>
      </c>
      <c r="AN46" s="81" t="n">
        <f aca="false">AM46+AN45</f>
        <v>1190845.74</v>
      </c>
      <c r="AO46" s="81" t="n">
        <f aca="false">AN46+AO45</f>
        <v>1190845.74</v>
      </c>
      <c r="AP46" s="81" t="n">
        <f aca="false">AO46+AP45</f>
        <v>1190845.74</v>
      </c>
      <c r="AQ46" s="81" t="n">
        <f aca="false">AP46+AQ45</f>
        <v>1190845.74</v>
      </c>
      <c r="AR46" s="81" t="n">
        <f aca="false">AQ46+AR45</f>
        <v>1190845.74</v>
      </c>
      <c r="AS46" s="81" t="n">
        <f aca="false">AR46+AS45</f>
        <v>1190845.74</v>
      </c>
      <c r="AT46" s="81" t="n">
        <f aca="false">AS46+AT45</f>
        <v>1190845.74</v>
      </c>
      <c r="AU46" s="81" t="n">
        <f aca="false">AT46+AU45</f>
        <v>1190845.74</v>
      </c>
      <c r="AV46" s="81" t="n">
        <f aca="false">AU46+AV45</f>
        <v>1190845.74</v>
      </c>
      <c r="AW46" s="81" t="n">
        <f aca="false">AV46+AW45</f>
        <v>1190845.74</v>
      </c>
      <c r="AX46" s="81" t="n">
        <f aca="false">AW46+AX45</f>
        <v>1190845.74</v>
      </c>
      <c r="AY46" s="81" t="n">
        <f aca="false">AX46+AY45</f>
        <v>1190845.74</v>
      </c>
      <c r="AZ46" s="81" t="n">
        <f aca="false">AY46+AZ45</f>
        <v>1190845.74</v>
      </c>
      <c r="BA46" s="81" t="n">
        <f aca="false">AZ46+BA45</f>
        <v>1190845.74</v>
      </c>
      <c r="BB46" s="81" t="n">
        <f aca="false">BA46+BB45</f>
        <v>1190845.74</v>
      </c>
      <c r="BC46" s="81" t="n">
        <f aca="false">BB46+BC45</f>
        <v>1190845.74</v>
      </c>
      <c r="BD46" s="81" t="n">
        <f aca="false">BC46+BD45</f>
        <v>1190845.74</v>
      </c>
      <c r="BE46" s="81" t="n">
        <f aca="false">BD46+BE45</f>
        <v>1190845.74</v>
      </c>
      <c r="BF46" s="81" t="n">
        <f aca="false">BE46+BF45</f>
        <v>1190845.74</v>
      </c>
      <c r="BG46" s="81" t="n">
        <f aca="false">BF46+BG45</f>
        <v>1190845.74</v>
      </c>
      <c r="BH46" s="81" t="n">
        <f aca="false">BG46+BH45</f>
        <v>1190845.74</v>
      </c>
      <c r="BI46" s="81" t="n">
        <f aca="false">BH46+BI45</f>
        <v>1190845.74</v>
      </c>
      <c r="BJ46" s="81" t="n">
        <f aca="false">BI46+BJ45</f>
        <v>1190845.74</v>
      </c>
      <c r="BK46" s="81" t="n">
        <f aca="false">BJ46+BK45</f>
        <v>1190845.74</v>
      </c>
      <c r="BL46" s="81" t="n">
        <f aca="false">BK46+BL45</f>
        <v>1190845.74</v>
      </c>
      <c r="BM46" s="81" t="n">
        <f aca="false">BL46+BM45</f>
        <v>1190845.74</v>
      </c>
      <c r="BN46" s="81" t="n">
        <f aca="false">BM46+BN45</f>
        <v>1190845.74</v>
      </c>
      <c r="BO46" s="81" t="n">
        <f aca="false">BN46+BO45</f>
        <v>1190845.74</v>
      </c>
      <c r="BP46" s="81" t="n">
        <f aca="false">BO46+BP45</f>
        <v>1242359.26</v>
      </c>
      <c r="BQ46" s="81" t="n">
        <f aca="false">BP46+BQ45</f>
        <v>1242359.26</v>
      </c>
      <c r="BR46" s="81" t="n">
        <f aca="false">BQ46+BR45</f>
        <v>1242359.26</v>
      </c>
      <c r="BS46" s="81" t="n">
        <f aca="false">BR46+BS45</f>
        <v>1310121.26</v>
      </c>
      <c r="BT46" s="81" t="n">
        <f aca="false">BS46+BT45</f>
        <v>1310121.26</v>
      </c>
      <c r="BU46" s="81" t="n">
        <f aca="false">BT46+BU45</f>
        <v>1310121.26</v>
      </c>
      <c r="BV46" s="81" t="n">
        <f aca="false">BU46+BV45</f>
        <v>1377883.26</v>
      </c>
      <c r="BW46" s="81" t="n">
        <f aca="false">BV46+BW45</f>
        <v>1377883.26</v>
      </c>
      <c r="BX46" s="81" t="n">
        <f aca="false">BW46+BX45</f>
        <v>1377883.26</v>
      </c>
      <c r="BY46" s="81" t="n">
        <f aca="false">BX46+BY45</f>
        <v>1372489.26</v>
      </c>
      <c r="BZ46" s="81" t="n">
        <f aca="false">BY46+BZ45</f>
        <v>1372489.26</v>
      </c>
      <c r="CA46" s="81" t="n">
        <f aca="false">BZ46+CA45</f>
        <v>1372489.26</v>
      </c>
      <c r="CB46" s="81" t="n">
        <f aca="false">CA46+CB45</f>
        <v>1375833.26</v>
      </c>
      <c r="CC46" s="81" t="n">
        <f aca="false">CB46+CC45</f>
        <v>1375833.26</v>
      </c>
      <c r="CD46" s="81" t="n">
        <f aca="false">CC46+CD45</f>
        <v>1375833.26</v>
      </c>
      <c r="CE46" s="81" t="n">
        <f aca="false">CD46+CE45</f>
        <v>1379177.26</v>
      </c>
      <c r="CF46" s="81" t="n">
        <f aca="false">CE46+CF45</f>
        <v>1379177.26</v>
      </c>
      <c r="CG46" s="81" t="n">
        <f aca="false">CF46+CG45</f>
        <v>1379177.26</v>
      </c>
      <c r="CH46" s="81" t="n">
        <f aca="false">CG46+CH45</f>
        <v>1389129.28660648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Yes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Yes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679001.55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-4486236.70753333</v>
      </c>
      <c r="C42" s="101" t="n">
        <f aca="false">'Annual Summary'!C15</f>
        <v>-6898330.7913</v>
      </c>
      <c r="D42" s="101" t="n">
        <f aca="false">'Annual Summary'!D15</f>
        <v>-6879729.521626</v>
      </c>
      <c r="E42" s="101" t="n">
        <f aca="false">'Annual Summary'!E15</f>
        <v>-5646418.06125852</v>
      </c>
      <c r="F42" s="101" t="n">
        <f aca="false">'Annual Summary'!F15</f>
        <v>-5759346.42248369</v>
      </c>
      <c r="G42" s="101" t="n">
        <f aca="false">'Annual Summary'!G15</f>
        <v>-5874533.35093336</v>
      </c>
      <c r="H42" s="101" t="n">
        <f aca="false">'Annual Summary'!H15</f>
        <v>-5992024.01795203</v>
      </c>
      <c r="I42" s="101" t="n">
        <f aca="false">'Annual Summary'!I15</f>
        <v>-1505385.34441159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2595744.04175295</v>
      </c>
      <c r="C43" s="88" t="n">
        <f aca="false">'Annual Summary'!C16</f>
        <v>3740614.02245598</v>
      </c>
      <c r="D43" s="88" t="n">
        <f aca="false">'Annual Summary'!D16</f>
        <v>1150732.54639234</v>
      </c>
      <c r="E43" s="88" t="n">
        <f aca="false">'Annual Summary'!E16</f>
        <v>-2043421.23171307</v>
      </c>
      <c r="F43" s="88" t="n">
        <f aca="false">'Annual Summary'!F16</f>
        <v>-4036236.75581702</v>
      </c>
      <c r="G43" s="88" t="n">
        <f aca="false">'Annual Summary'!G16</f>
        <v>-5874533.35093336</v>
      </c>
      <c r="H43" s="88" t="n">
        <f aca="false">'Annual Summary'!H16</f>
        <v>-5992024.01795203</v>
      </c>
      <c r="I43" s="88" t="n">
        <f aca="false">'Annual Summary'!I16</f>
        <v>-1505385.34441159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-1411304.37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-436131.89</v>
      </c>
      <c r="C50" s="103" t="n">
        <f aca="false">'Annual Summary'!C43</f>
        <v>-2665657.67588545</v>
      </c>
      <c r="D50" s="103" t="n">
        <f aca="false">'Annual Summary'!D43</f>
        <v>-2171865.25378545</v>
      </c>
      <c r="E50" s="103" t="n">
        <f aca="false">'Annual Summary'!E43</f>
        <v>-2780627.64803545</v>
      </c>
      <c r="F50" s="103" t="n">
        <f aca="false">'Annual Summary'!F43</f>
        <v>-3847725.14309845</v>
      </c>
      <c r="G50" s="103" t="n">
        <f aca="false">'Annual Summary'!G43</f>
        <v>-5077765.38703871</v>
      </c>
      <c r="H50" s="103" t="n">
        <f aca="false">'Annual Summary'!H43</f>
        <v>-6446663.68091377</v>
      </c>
      <c r="I50" s="103" t="n">
        <f aca="false">'Annual Summary'!I43</f>
        <v>-6767504.07558217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4247659.73175295</v>
      </c>
      <c r="C52" s="103" t="n">
        <f aca="false">'Annual Summary'!C42</f>
        <v>7988273.75420893</v>
      </c>
      <c r="D52" s="103" t="n">
        <f aca="false">'Annual Summary'!D42</f>
        <v>9139006.30060128</v>
      </c>
      <c r="E52" s="103" t="n">
        <f aca="false">'Annual Summary'!E42</f>
        <v>7095585.06888821</v>
      </c>
      <c r="F52" s="103" t="n">
        <f aca="false">'Annual Summary'!F42</f>
        <v>3059348.31307118</v>
      </c>
      <c r="G52" s="103" t="n">
        <f aca="false">'Annual Summary'!G42</f>
        <v>-2815185.03786218</v>
      </c>
      <c r="H52" s="103" t="n">
        <f aca="false">'Annual Summary'!H42</f>
        <v>-8807209.05581421</v>
      </c>
      <c r="I52" s="103" t="n">
        <f aca="false">'Annual Summary'!I42</f>
        <v>-10312594.4002258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4247659.73175295</v>
      </c>
      <c r="C71" s="93" t="n">
        <f aca="false">'Annual Summary'!C42</f>
        <v>7988273.75420893</v>
      </c>
      <c r="D71" s="93" t="n">
        <f aca="false">'Annual Summary'!E42</f>
        <v>7095585.06888821</v>
      </c>
      <c r="E71" s="93" t="n">
        <f aca="false">'Annual Summary'!G42</f>
        <v>-2815185.03786218</v>
      </c>
      <c r="F71" s="93" t="n">
        <f aca="false">'Annual Summary'!I42</f>
        <v>-10312594.4002258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-436131.89</v>
      </c>
      <c r="C72" s="109" t="n">
        <f aca="false">'Annual Summary'!C43</f>
        <v>-2665657.67588545</v>
      </c>
      <c r="D72" s="109" t="n">
        <f aca="false">'Annual Summary'!E43</f>
        <v>-2780627.64803545</v>
      </c>
      <c r="E72" s="109" t="n">
        <f aca="false">'Annual Summary'!G43</f>
        <v>-5077765.38703871</v>
      </c>
      <c r="F72" s="109" t="n">
        <f aca="false">'Annual Summary'!I43</f>
        <v>-6767504.07558217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-436131.89</v>
      </c>
      <c r="C100" s="93" t="n">
        <f aca="false">'Annual Summary'!C43</f>
        <v>-2665657.67588545</v>
      </c>
      <c r="D100" s="93" t="n">
        <f aca="false">'Annual Summary'!D43</f>
        <v>-2171865.25378545</v>
      </c>
      <c r="E100" s="93" t="n">
        <f aca="false">'Annual Summary'!E43</f>
        <v>-2780627.64803545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-224311.835376667</v>
      </c>
      <c r="C101" s="93" t="n">
        <f aca="false">'Annual Summary'!C15*0.05</f>
        <v>-344916.539565</v>
      </c>
      <c r="D101" s="93" t="n">
        <f aca="false">'Annual Summary'!D15*0.05</f>
        <v>-343986.4760813</v>
      </c>
      <c r="E101" s="93" t="n">
        <f aca="false">'Annual Summary'!E15*0.05</f>
        <v>-282320.903062926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-660443.725376667</v>
      </c>
      <c r="C102" s="93" t="n">
        <f aca="false">C100+C101</f>
        <v>-3010574.21545045</v>
      </c>
      <c r="D102" s="93" t="n">
        <f aca="false">D100+D101</f>
        <v>-2515851.72986675</v>
      </c>
      <c r="E102" s="93" t="n">
        <f aca="false">E100+E101</f>
        <v>-3062948.55109837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-660443.725376667</v>
      </c>
      <c r="C103" s="79" t="n">
        <f aca="false">C102-C99</f>
        <v>-3010574.21545045</v>
      </c>
      <c r="D103" s="79" t="n">
        <f aca="false">D102-D99</f>
        <v>-2515851.72986675</v>
      </c>
      <c r="E103" s="79" t="n">
        <f aca="false">E102-E99</f>
        <v>-3062948.55109837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282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282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278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278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4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5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282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