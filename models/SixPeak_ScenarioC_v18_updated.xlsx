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<sst xmlns="http://schemas.openxmlformats.org/spreadsheetml/2006/main" count="1173" uniqueCount="696">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</sst>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100032817.645079</v>
      </c>
      <c r="D3" s="7" t="n">
        <f aca="false">Model!X7+Model!Y7+Model!Z7+Model!AA7+Model!AB7+Model!AC7+Model!AD7+Model!AE7+Model!AF7+Model!AG7+Model!AH7+Model!AI7</f>
        <v>52988676.793636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2432750.55117908</v>
      </c>
      <c r="C5" s="10" t="n">
        <f aca="false">Model!L8+Model!M8+Model!N8+Model!O8+Model!P8+Model!Q8+Model!R8+Model!S8+Model!T8+Model!U8+Model!V8+Model!W8</f>
        <v>4278346.6172676</v>
      </c>
      <c r="D5" s="10" t="n">
        <f aca="false">Model!X8+Model!Y8+Model!Z8+Model!AA8+Model!AB8+Model!AC8+Model!AD8+Model!AE8+Model!AF8+Model!AG8+Model!AH8+Model!AI8</f>
        <v>3175775.394865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2557274.70907382</v>
      </c>
      <c r="C6" s="10" t="n">
        <f aca="false">Model!L9+Model!M9+Model!N9+Model!O9+Model!P9+Model!Q9+Model!R9+Model!S9+Model!T9+Model!U9+Model!V9+Model!W9</f>
        <v>4350699.45937286</v>
      </c>
      <c r="D6" s="10" t="n">
        <f aca="false">Model!X9+Model!Y9+Model!Z9+Model!AA9+Model!AB9+Model!AC9+Model!AD9+Model!AE9+Model!AF9+Model!AG9+Model!AH9+Model!AI9</f>
        <v>3175775.394865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686417.869033379</v>
      </c>
      <c r="C7" s="10" t="n">
        <f aca="false">Model!L10+Model!M10+Model!N10+Model!O10+Model!P10+Model!Q10+Model!R10+Model!S10+Model!T10+Model!U10+Model!V10+Model!W10</f>
        <v>1330897.18711552</v>
      </c>
      <c r="D7" s="10" t="n">
        <f aca="false">Model!X10+Model!Y10+Model!Z10+Model!AA10+Model!AB10+Model!AC10+Model!AD10+Model!AE10+Model!AF10+Model!AG10+Model!AH10+Model!AI10</f>
        <v>1058591.79828833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7081980.74928628</v>
      </c>
      <c r="C9" s="12" t="n">
        <f aca="false">Model!L12+Model!M12+Model!N12+Model!O12+Model!P12+Model!Q12+Model!R12+Model!S12+Model!T12+Model!U12+Model!V12+Model!W12</f>
        <v>10638944.813756</v>
      </c>
      <c r="D9" s="12" t="n">
        <f aca="false">Model!X12+Model!Y12+Model!Z12+Model!AA12+Model!AB12+Model!AC12+Model!AD12+Model!AE12+Model!AF12+Model!AG12+Model!AH12+Model!AI12</f>
        <v>8030462.06801834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-2333502.33333333</v>
      </c>
      <c r="C13" s="10" t="n">
        <f aca="false">Model!L16+Model!M16+Model!N16+Model!O16+Model!P16+Model!Q16+Model!R16+Model!S16+Model!T16+Model!U16+Model!V16+Model!W16</f>
        <v>-3386945.38</v>
      </c>
      <c r="D13" s="10" t="n">
        <f aca="false">Model!X16+Model!Y16+Model!Z16+Model!AA16+Model!AB16+Model!AC16+Model!AD16+Model!AE16+Model!AF16+Model!AG16+Model!AH16+Model!AI16</f>
        <v>-3454684.2876</v>
      </c>
      <c r="E13" s="10" t="n">
        <f aca="false">Model!AJ16+Model!AK16+Model!AL16+Model!AM16+Model!AN16+Model!AO16+Model!AP16+Model!AQ16+Model!AR16+Model!AS16+Model!AT16+Model!AU16</f>
        <v>-3523777.973352</v>
      </c>
      <c r="F13" s="10" t="n">
        <f aca="false">Model!AV16+Model!AW16+Model!AX16+Model!AY16+Model!AZ16+Model!BA16+Model!BB16+Model!BC16+Model!BD16+Model!BE16+Model!BF16+Model!BG16</f>
        <v>-3594253.53281904</v>
      </c>
      <c r="G13" s="10" t="n">
        <f aca="false">Model!BH16+Model!BI16+Model!BJ16+Model!BK16+Model!BL16+Model!BM16+Model!BN16+Model!BO16+Model!BP16+Model!BQ16+Model!BR16+Model!BS16</f>
        <v>-3666138.60347542</v>
      </c>
      <c r="H13" s="10" t="n">
        <f aca="false">Model!BT16+Model!BU16+Model!BV16+Model!BW16+Model!BX16+Model!BY16+Model!BZ16+Model!CA16+Model!CB16+Model!CC16+Model!CD16+Model!CE16</f>
        <v>-3739461.37554493</v>
      </c>
      <c r="I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-4486236.70753333</v>
      </c>
      <c r="C15" s="12" t="n">
        <f aca="false">Model!L38+Model!M38+Model!N38+Model!O38+Model!P38+Model!Q38+Model!R38+Model!S38+Model!T38+Model!U38+Model!V38+Model!W38</f>
        <v>-6898330.7913</v>
      </c>
      <c r="D15" s="12" t="n">
        <f aca="false">Model!X38+Model!Y38+Model!Z38+Model!AA38+Model!AB38+Model!AC38+Model!AD38+Model!AE38+Model!AF38+Model!AG38+Model!AH38+Model!AI38</f>
        <v>-6879729.521626</v>
      </c>
      <c r="E15" s="12" t="n">
        <f aca="false">Model!AJ38+Model!AK38+Model!AL38+Model!AM38+Model!AN38+Model!AO38+Model!AP38+Model!AQ38+Model!AR38+Model!AS38+Model!AT38+Model!AU38</f>
        <v>-5646418.06125852</v>
      </c>
      <c r="F15" s="12" t="n">
        <f aca="false">Model!AV38+Model!AW38+Model!AX38+Model!AY38+Model!AZ38+Model!BA38+Model!BB38+Model!BC38+Model!BD38+Model!BE38+Model!BF38+Model!BG38</f>
        <v>-5759346.42248369</v>
      </c>
      <c r="G15" s="12" t="n">
        <f aca="false">Model!BH38+Model!BI38+Model!BJ38+Model!BK38+Model!BL38+Model!BM38+Model!BN38+Model!BO38+Model!BP38+Model!BQ38+Model!BR38+Model!BS38</f>
        <v>-5874533.35093336</v>
      </c>
      <c r="H15" s="12" t="n">
        <f aca="false">Model!BT38+Model!BU38+Model!BV38+Model!BW38+Model!BX38+Model!BY38+Model!BZ38+Model!CA38+Model!CB38+Model!CC38+Model!CD38+Model!CE38</f>
        <v>-5992024.01795203</v>
      </c>
      <c r="I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2595744.04175295</v>
      </c>
      <c r="C16" s="16" t="n">
        <f aca="false">Model!L40+Model!M40+Model!N40+Model!O40+Model!P40+Model!Q40+Model!R40+Model!S40+Model!T40+Model!U40+Model!V40+Model!W40</f>
        <v>3740614.02245598</v>
      </c>
      <c r="D16" s="16" t="n">
        <f aca="false">Model!X40+Model!Y40+Model!Z40+Model!AA40+Model!AB40+Model!AC40+Model!AD40+Model!AE40+Model!AF40+Model!AG40+Model!AH40+Model!AI40</f>
        <v>1150732.54639234</v>
      </c>
      <c r="E16" s="16" t="n">
        <f aca="false">Model!AJ40+Model!AK40+Model!AL40+Model!AM40+Model!AN40+Model!AO40+Model!AP40+Model!AQ40+Model!AR40+Model!AS40+Model!AT40+Model!AU40</f>
        <v>-2043421.23171307</v>
      </c>
      <c r="F16" s="16" t="n">
        <f aca="false">Model!AV40+Model!AW40+Model!AX40+Model!AY40+Model!AZ40+Model!BA40+Model!BB40+Model!BC40+Model!BD40+Model!BE40+Model!BF40+Model!BG40</f>
        <v>-4036236.75581702</v>
      </c>
      <c r="G16" s="16" t="n">
        <f aca="false">Model!BH40+Model!BI40+Model!BJ40+Model!BK40+Model!BL40+Model!BM40+Model!BN40+Model!BO40+Model!BP40+Model!BQ40+Model!BR40+Model!BS40</f>
        <v>-5874533.35093336</v>
      </c>
      <c r="H16" s="16" t="n">
        <f aca="false">Model!BT40+Model!BU40+Model!BV40+Model!BW40+Model!BX40+Model!BY40+Model!BZ40+Model!CA40+Model!CB40+Model!CC40+Model!CD40+Model!CE40</f>
        <v>-5992024.01795203</v>
      </c>
      <c r="I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0.36652797199633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0.351596336661078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0.143295931995642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-0.567144887543756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-2.34241431865743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913541.32</v>
      </c>
      <c r="C19" s="19" t="n">
        <f aca="false">Model!L63+Model!M63+Model!N63+Model!O63+Model!P63+Model!Q63+Model!R63+Model!S63+Model!T63+Model!U63+Model!V63+Model!W63</f>
        <v>1017620.0824</v>
      </c>
      <c r="D19" s="19" t="n">
        <f aca="false">Model!X63+Model!Y63+Model!Z63+Model!AA63+Model!AB63+Model!AC63+Model!AD63+Model!AE63+Model!AF63+Model!AG63+Model!AH63+Model!AI63</f>
        <v>2274992.5796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-1411304.37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-497763.05</v>
      </c>
      <c r="C21" s="16" t="n">
        <f aca="false">Model!L86+Model!M86+Model!N86+Model!O86+Model!P86+Model!Q86+Model!R86+Model!S86+Model!T86+Model!U86+Model!V86+Model!W86</f>
        <v>-483556.5426</v>
      </c>
      <c r="D21" s="16" t="n">
        <f aca="false">Model!X86+Model!Y86+Model!Z86+Model!AA86+Model!AB86+Model!AC86+Model!AD86+Model!AE86+Model!AF86+Model!AG86+Model!AH86+Model!AI86</f>
        <v>743792.4221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2097980.99175295</v>
      </c>
      <c r="C23" s="16" t="n">
        <f aca="false">Model!L95+Model!M95+Model!N95+Model!O95+Model!P95+Model!Q95+Model!R95+Model!S95+Model!T95+Model!U95+Model!V95+Model!W95</f>
        <v>3257057.47985598</v>
      </c>
      <c r="D23" s="16" t="n">
        <f aca="false">Model!X95+Model!Y95+Model!Z95+Model!AA95+Model!AB95+Model!AC95+Model!AD95+Model!AE95+Model!AF95+Model!AG95+Model!AH95+Model!AI95</f>
        <v>1894524.96849234</v>
      </c>
      <c r="E23" s="16" t="n">
        <f aca="false">Model!AJ95+Model!AK95+Model!AL95+Model!AM95+Model!AN95+Model!AO95+Model!AP95+Model!AQ95+Model!AR95+Model!AS95+Model!AT95+Model!AU95</f>
        <v>-2402183.62596307</v>
      </c>
      <c r="F23" s="16" t="n">
        <f aca="false">Model!AV95+Model!AW95+Model!AX95+Model!AY95+Model!AZ95+Model!BA95+Model!BB95+Model!BC95+Model!BD95+Model!BE95+Model!BF95+Model!BG95</f>
        <v>-5103334.25088002</v>
      </c>
      <c r="G23" s="16" t="n">
        <f aca="false">Model!BH95+Model!BI95+Model!BJ95+Model!BK95+Model!BL95+Model!BM95+Model!BN95+Model!BO95+Model!BP95+Model!BQ95+Model!BR95+Model!BS95</f>
        <v>-7104573.59487362</v>
      </c>
      <c r="H23" s="16" t="n">
        <f aca="false">Model!BT95+Model!BU95+Model!BV95+Model!BW95+Model!BX95+Model!BY95+Model!BZ95+Model!CA95+Model!CB95+Model!CC95+Model!CD95+Model!CE95</f>
        <v>-7360922.3118271</v>
      </c>
      <c r="I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-171223.12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-120000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4247659.73175295</v>
      </c>
      <c r="C42" s="21" t="n">
        <f aca="false">Model!W147</f>
        <v>7988273.75420893</v>
      </c>
      <c r="D42" s="21" t="n">
        <f aca="false">Model!AI147</f>
        <v>9139006.30060128</v>
      </c>
      <c r="E42" s="21" t="n">
        <f aca="false">Model!AU147</f>
        <v>7095585.06888821</v>
      </c>
      <c r="F42" s="21" t="n">
        <f aca="false">Model!BG147</f>
        <v>3059348.31307118</v>
      </c>
      <c r="G42" s="21" t="n">
        <f aca="false">Model!BS147</f>
        <v>-2815185.03786218</v>
      </c>
      <c r="H42" s="21" t="n">
        <f aca="false">Model!CE147</f>
        <v>-8807209.05581421</v>
      </c>
      <c r="I42" s="21" t="n">
        <f aca="false">Model!CH147</f>
        <v>-10312594.4002258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-436131.89</v>
      </c>
      <c r="C43" s="21" t="n">
        <f aca="false">Model!W155</f>
        <v>-2665657.67588545</v>
      </c>
      <c r="D43" s="21" t="n">
        <f aca="false">Model!AI155</f>
        <v>-2171865.25378545</v>
      </c>
      <c r="E43" s="21" t="n">
        <f aca="false">Model!AU155</f>
        <v>-2780627.64803545</v>
      </c>
      <c r="F43" s="21" t="n">
        <f aca="false">Model!BG155</f>
        <v>-3847725.14309845</v>
      </c>
      <c r="G43" s="21" t="n">
        <f aca="false">Model!BS155</f>
        <v>-5077765.38703871</v>
      </c>
      <c r="H43" s="21" t="n">
        <f aca="false">Model!CE155</f>
        <v>-6446663.68091377</v>
      </c>
      <c r="I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-629394.297525885</v>
      </c>
      <c r="D44" s="21" t="n">
        <f aca="false">Model!X159+Model!Y159+Model!Z159+Model!AA159+Model!AB159+Model!AC159+Model!AD159+Model!AE159+Model!AF159+Model!AG159+Model!AH159+Model!AI159</f>
        <v>-977117.243956794</v>
      </c>
      <c r="E44" s="21" t="n">
        <f aca="false">Model!AJ159+Model!AK159+Model!AL159+Model!AM159+Model!AN159+Model!AO159+Model!AP159+Model!AQ159+Model!AR159+Model!AS159+Model!AT159+Model!AU159</f>
        <v>-568357.490547702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3811527.84175295</v>
      </c>
      <c r="C45" s="23" t="n">
        <f aca="false">Model!W160</f>
        <v>5322616.07832349</v>
      </c>
      <c r="D45" s="23" t="n">
        <f aca="false">Model!AI160</f>
        <v>6967141.04681583</v>
      </c>
      <c r="E45" s="23" t="n">
        <f aca="false">Model!AU160</f>
        <v>4314957.42085276</v>
      </c>
      <c r="F45" s="23" t="n">
        <f aca="false">Model!BG160</f>
        <v>-788376.830027265</v>
      </c>
      <c r="G45" s="23" t="n">
        <f aca="false">Model!BS160</f>
        <v>-7892950.42490089</v>
      </c>
      <c r="H45" s="23" t="n">
        <f aca="false">Model!CE160</f>
        <v>-15253872.736728</v>
      </c>
      <c r="I45" s="23" t="n">
        <f aca="false">Model!CH160</f>
        <v>-17080098.475808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8644039.13382798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8113949.68538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8026947.682303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7825890.752374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7442459.633722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6223765.833985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268774.575401572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288114.637773411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348762.786867738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391910.930130725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367544.430130725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367544.430130725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367544.430130725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367544.430130725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441029.446364491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441029.446364491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441029.446364491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359322.566494361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303818.378994361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303818.378994361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303818.378994361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290923.642152256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290923.642152256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290923.642152256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290923.642152256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266375.344988893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283289.884612098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302629.946983937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363278.096078264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406426.239341251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375946.114341251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375946.114341251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375946.114341251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375946.114341251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449431.130575017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449431.130575017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449431.130575017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367724.250704887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308332.063204887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308332.063204887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308332.063204887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290923.642152256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290923.642152256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290923.642152256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290923.642152256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266375.344988893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75499.2170198223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81945.9044771019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102161.954175211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116544.668596206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110754.293596206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110754.293596206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110754.293596206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110754.293596206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135249.299007462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135249.299007462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135249.299007462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108013.672384085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96974.5473840852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96974.5473840852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96974.5473840852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96974.5473840852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96974.5473840852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96974.5473840852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96974.5473840852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88791.7816629642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627563.677033493</v>
      </c>
      <c r="H12" s="12" t="n">
        <f aca="false">H8+H9+H10+H11</f>
        <v>672690.48923445</v>
      </c>
      <c r="I12" s="12" t="n">
        <f aca="false">I8+I9+I10+I11</f>
        <v>1256262.66212121</v>
      </c>
      <c r="J12" s="12" t="n">
        <f aca="false">J8+J9+J10+J11</f>
        <v>1233832.91306818</v>
      </c>
      <c r="K12" s="12" t="n">
        <f aca="false">K8+K9+K10+K11</f>
        <v>854244.838068182</v>
      </c>
      <c r="L12" s="12" t="n">
        <f aca="false">L8+L9+L10+L11</f>
        <v>854244.838068182</v>
      </c>
      <c r="M12" s="12" t="n">
        <f aca="false">M8+M9+M10+M11</f>
        <v>854244.838068182</v>
      </c>
      <c r="N12" s="12" t="n">
        <f aca="false">N8+N9+N10+N11</f>
        <v>854244.838068182</v>
      </c>
      <c r="O12" s="12" t="n">
        <f aca="false">O8+O9+O10+O11</f>
        <v>1704711.42594697</v>
      </c>
      <c r="P12" s="12" t="n">
        <f aca="false">P8+P9+P10+P11</f>
        <v>1025709.87594697</v>
      </c>
      <c r="Q12" s="12" t="n">
        <f aca="false">Q8+Q9+Q10+Q11</f>
        <v>1025709.87594697</v>
      </c>
      <c r="R12" s="12" t="n">
        <f aca="false">R8+R9+R10+R11</f>
        <v>835060.489583333</v>
      </c>
      <c r="S12" s="12" t="n">
        <f aca="false">S8+S9+S10+S11</f>
        <v>709124.989583333</v>
      </c>
      <c r="T12" s="12" t="n">
        <f aca="false">T8+T9+T10+T11</f>
        <v>709124.989583333</v>
      </c>
      <c r="U12" s="12" t="n">
        <f aca="false">U8+U9+U10+U11</f>
        <v>709124.989583333</v>
      </c>
      <c r="V12" s="12" t="n">
        <f aca="false">V8+V9+V10+V11</f>
        <v>678821.831688597</v>
      </c>
      <c r="W12" s="12" t="n">
        <f aca="false">W8+W9+W10+W11</f>
        <v>678821.831688597</v>
      </c>
      <c r="X12" s="12" t="n">
        <f aca="false">X8+X9+X10+X11</f>
        <v>678821.831688597</v>
      </c>
      <c r="Y12" s="12" t="n">
        <f aca="false">Y8+Y9+Y10+Y11</f>
        <v>678821.831688597</v>
      </c>
      <c r="Z12" s="12" t="n">
        <f aca="false">Z8+Z9+Z10+Z11</f>
        <v>621542.47164075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-267657.666666667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-278074.333333333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-278074.333333333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-278074.333333333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-278074.333333333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-278074.333333333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-278074.333333333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-278074.333333333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-278074.333333333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-283635.82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-283635.82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-283635.82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-283635.82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-283635.82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-283635.82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-283635.82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-283635.82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-283635.82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-283635.82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-283635.82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-283635.82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-289308.5364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-289308.5364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-289308.5364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-289308.5364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-289308.5364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-289308.5364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-289308.5364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-289308.5364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-289308.5364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-289308.5364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-289308.5364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-289308.5364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-295094.707128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-295094.707128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-295094.707128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-295094.707128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-295094.707128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-295094.707128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-295094.707128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-295094.707128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-295094.707128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-295094.707128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-295094.707128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-295094.707128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-300996.60127056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-300996.60127056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-300996.60127056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-300996.60127056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-300996.60127056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-300996.60127056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-300996.60127056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-300996.60127056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-300996.60127056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-300996.60127056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-300996.60127056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-300996.60127056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-307016.533295971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-307016.533295971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-307016.533295971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-307016.533295971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-307016.533295971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-307016.533295971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-307016.533295971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-307016.533295971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-307016.533295971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-307016.533295971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-307016.533295971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-307016.533295971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-313156.863961891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-313156.863961891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-313156.863961891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-313156.863961891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-313156.863961891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-313156.863961891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-313156.863961891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-313156.863961891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-313156.863961891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-313156.863961891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-313156.863961891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-313156.863961891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-40773.65</v>
      </c>
      <c r="G18" s="10" t="n">
        <f aca="false">-Helpers!G4*Assumptions!$B$20</f>
        <v>-42336.15</v>
      </c>
      <c r="H18" s="10" t="n">
        <f aca="false">-Helpers!H4*Assumptions!$B$20</f>
        <v>-42336.15</v>
      </c>
      <c r="I18" s="10" t="n">
        <f aca="false">-Helpers!I4*Assumptions!$B$20</f>
        <v>-42336.15</v>
      </c>
      <c r="J18" s="10" t="n">
        <f aca="false">-Helpers!J4*Assumptions!$B$20</f>
        <v>-42336.15</v>
      </c>
      <c r="K18" s="10" t="n">
        <f aca="false">-Helpers!K4*Assumptions!$B$20</f>
        <v>-42336.15</v>
      </c>
      <c r="L18" s="10" t="n">
        <f aca="false">-Helpers!L4*Assumptions!$B$20</f>
        <v>-42336.15</v>
      </c>
      <c r="M18" s="10" t="n">
        <f aca="false">-Helpers!M4*Assumptions!$B$20</f>
        <v>-42336.15</v>
      </c>
      <c r="N18" s="10" t="n">
        <f aca="false">-Helpers!N4*Assumptions!$B$20</f>
        <v>-42336.15</v>
      </c>
      <c r="O18" s="10" t="n">
        <f aca="false">-Helpers!O4*Assumptions!$B$20</f>
        <v>-43182.873</v>
      </c>
      <c r="P18" s="10" t="n">
        <f aca="false">-Helpers!P4*Assumptions!$B$20</f>
        <v>-43182.873</v>
      </c>
      <c r="Q18" s="10" t="n">
        <f aca="false">-Helpers!Q4*Assumptions!$B$20</f>
        <v>-43182.873</v>
      </c>
      <c r="R18" s="10" t="n">
        <f aca="false">-Helpers!R4*Assumptions!$B$20</f>
        <v>-43182.873</v>
      </c>
      <c r="S18" s="10" t="n">
        <f aca="false">-Helpers!S4*Assumptions!$B$20</f>
        <v>-43182.873</v>
      </c>
      <c r="T18" s="10" t="n">
        <f aca="false">-Helpers!T4*Assumptions!$B$20</f>
        <v>-43182.873</v>
      </c>
      <c r="U18" s="10" t="n">
        <f aca="false">-Helpers!U4*Assumptions!$B$20</f>
        <v>-43182.873</v>
      </c>
      <c r="V18" s="10" t="n">
        <f aca="false">-Helpers!V4*Assumptions!$B$20</f>
        <v>-43182.873</v>
      </c>
      <c r="W18" s="10" t="n">
        <f aca="false">-Helpers!W4*Assumptions!$B$20</f>
        <v>-43182.873</v>
      </c>
      <c r="X18" s="10" t="n">
        <f aca="false">-Helpers!X4*Assumptions!$B$20</f>
        <v>-43182.873</v>
      </c>
      <c r="Y18" s="10" t="n">
        <f aca="false">-Helpers!Y4*Assumptions!$B$20</f>
        <v>-43182.873</v>
      </c>
      <c r="Z18" s="10" t="n">
        <f aca="false">-Helpers!Z4*Assumptions!$B$20</f>
        <v>-43182.873</v>
      </c>
      <c r="AA18" s="10" t="n">
        <f aca="false">-Helpers!AA4*Assumptions!$B$20</f>
        <v>-44046.53046</v>
      </c>
      <c r="AB18" s="10" t="n">
        <f aca="false">-Helpers!AB4*Assumptions!$B$20</f>
        <v>-44046.53046</v>
      </c>
      <c r="AC18" s="10" t="n">
        <f aca="false">-Helpers!AC4*Assumptions!$B$20</f>
        <v>-44046.53046</v>
      </c>
      <c r="AD18" s="10" t="n">
        <f aca="false">-Helpers!AD4*Assumptions!$B$20</f>
        <v>-44046.53046</v>
      </c>
      <c r="AE18" s="10" t="n">
        <f aca="false">-Helpers!AE4*Assumptions!$B$20</f>
        <v>-44046.53046</v>
      </c>
      <c r="AF18" s="10" t="n">
        <f aca="false">-Helpers!AF4*Assumptions!$B$20</f>
        <v>-44046.53046</v>
      </c>
      <c r="AG18" s="10" t="n">
        <f aca="false">-Helpers!AG4*Assumptions!$B$20</f>
        <v>-44046.53046</v>
      </c>
      <c r="AH18" s="10" t="n">
        <f aca="false">-Helpers!AH4*Assumptions!$B$20</f>
        <v>-44046.53046</v>
      </c>
      <c r="AI18" s="10" t="n">
        <f aca="false">-Helpers!AI4*Assumptions!$B$20</f>
        <v>-44046.53046</v>
      </c>
      <c r="AJ18" s="10" t="n">
        <f aca="false">-Helpers!AJ4*Assumptions!$B$20</f>
        <v>-44046.53046</v>
      </c>
      <c r="AK18" s="10" t="n">
        <f aca="false">-Helpers!AK4*Assumptions!$B$20</f>
        <v>-44046.53046</v>
      </c>
      <c r="AL18" s="10" t="n">
        <f aca="false">-Helpers!AL4*Assumptions!$B$20</f>
        <v>-44046.53046</v>
      </c>
      <c r="AM18" s="10" t="n">
        <f aca="false">-Helpers!AM4*Assumptions!$B$20</f>
        <v>-44927.4610692</v>
      </c>
      <c r="AN18" s="10" t="n">
        <f aca="false">-Helpers!AN4*Assumptions!$B$20</f>
        <v>-44927.4610692</v>
      </c>
      <c r="AO18" s="10" t="n">
        <f aca="false">-Helpers!AO4*Assumptions!$B$20</f>
        <v>-44927.4610692</v>
      </c>
      <c r="AP18" s="10" t="n">
        <f aca="false">-Helpers!AP4*Assumptions!$B$20</f>
        <v>-44927.4610692</v>
      </c>
      <c r="AQ18" s="10" t="n">
        <f aca="false">-Helpers!AQ4*Assumptions!$B$20</f>
        <v>-44927.4610692</v>
      </c>
      <c r="AR18" s="10" t="n">
        <f aca="false">-Helpers!AR4*Assumptions!$B$20</f>
        <v>-44927.4610692</v>
      </c>
      <c r="AS18" s="10" t="n">
        <f aca="false">-Helpers!AS4*Assumptions!$B$20</f>
        <v>-44927.4610692</v>
      </c>
      <c r="AT18" s="10" t="n">
        <f aca="false">-Helpers!AT4*Assumptions!$B$20</f>
        <v>-44927.4610692</v>
      </c>
      <c r="AU18" s="10" t="n">
        <f aca="false">-Helpers!AU4*Assumptions!$B$20</f>
        <v>-44927.4610692</v>
      </c>
      <c r="AV18" s="10" t="n">
        <f aca="false">-Helpers!AV4*Assumptions!$B$20</f>
        <v>-44927.4610692</v>
      </c>
      <c r="AW18" s="10" t="n">
        <f aca="false">-Helpers!AW4*Assumptions!$B$20</f>
        <v>-44927.4610692</v>
      </c>
      <c r="AX18" s="10" t="n">
        <f aca="false">-Helpers!AX4*Assumptions!$B$20</f>
        <v>-44927.4610692</v>
      </c>
      <c r="AY18" s="10" t="n">
        <f aca="false">-Helpers!AY4*Assumptions!$B$20</f>
        <v>-45826.010290584</v>
      </c>
      <c r="AZ18" s="10" t="n">
        <f aca="false">-Helpers!AZ4*Assumptions!$B$20</f>
        <v>-45826.010290584</v>
      </c>
      <c r="BA18" s="10" t="n">
        <f aca="false">-Helpers!BA4*Assumptions!$B$20</f>
        <v>-45826.010290584</v>
      </c>
      <c r="BB18" s="10" t="n">
        <f aca="false">-Helpers!BB4*Assumptions!$B$20</f>
        <v>-45826.010290584</v>
      </c>
      <c r="BC18" s="10" t="n">
        <f aca="false">-Helpers!BC4*Assumptions!$B$20</f>
        <v>-45826.010290584</v>
      </c>
      <c r="BD18" s="10" t="n">
        <f aca="false">-Helpers!BD4*Assumptions!$B$20</f>
        <v>-45826.010290584</v>
      </c>
      <c r="BE18" s="10" t="n">
        <f aca="false">-Helpers!BE4*Assumptions!$B$20</f>
        <v>-45826.010290584</v>
      </c>
      <c r="BF18" s="10" t="n">
        <f aca="false">-Helpers!BF4*Assumptions!$B$20</f>
        <v>-45826.010290584</v>
      </c>
      <c r="BG18" s="10" t="n">
        <f aca="false">-Helpers!BG4*Assumptions!$B$20</f>
        <v>-45826.010290584</v>
      </c>
      <c r="BH18" s="10" t="n">
        <f aca="false">-Helpers!BH4*Assumptions!$B$20</f>
        <v>-45826.010290584</v>
      </c>
      <c r="BI18" s="10" t="n">
        <f aca="false">-Helpers!BI4*Assumptions!$B$20</f>
        <v>-45826.010290584</v>
      </c>
      <c r="BJ18" s="10" t="n">
        <f aca="false">-Helpers!BJ4*Assumptions!$B$20</f>
        <v>-45826.010290584</v>
      </c>
      <c r="BK18" s="10" t="n">
        <f aca="false">-Helpers!BK4*Assumptions!$B$20</f>
        <v>-46742.5304963957</v>
      </c>
      <c r="BL18" s="10" t="n">
        <f aca="false">-Helpers!BL4*Assumptions!$B$20</f>
        <v>-46742.5304963957</v>
      </c>
      <c r="BM18" s="10" t="n">
        <f aca="false">-Helpers!BM4*Assumptions!$B$20</f>
        <v>-46742.5304963957</v>
      </c>
      <c r="BN18" s="10" t="n">
        <f aca="false">-Helpers!BN4*Assumptions!$B$20</f>
        <v>-46742.5304963957</v>
      </c>
      <c r="BO18" s="10" t="n">
        <f aca="false">-Helpers!BO4*Assumptions!$B$20</f>
        <v>-46742.5304963957</v>
      </c>
      <c r="BP18" s="10" t="n">
        <f aca="false">-Helpers!BP4*Assumptions!$B$20</f>
        <v>-46742.5304963957</v>
      </c>
      <c r="BQ18" s="10" t="n">
        <f aca="false">-Helpers!BQ4*Assumptions!$B$20</f>
        <v>-46742.5304963957</v>
      </c>
      <c r="BR18" s="10" t="n">
        <f aca="false">-Helpers!BR4*Assumptions!$B$20</f>
        <v>-46742.5304963957</v>
      </c>
      <c r="BS18" s="10" t="n">
        <f aca="false">-Helpers!BS4*Assumptions!$B$20</f>
        <v>-46742.5304963957</v>
      </c>
      <c r="BT18" s="10" t="n">
        <f aca="false">-Helpers!BT4*Assumptions!$B$20</f>
        <v>-46742.5304963957</v>
      </c>
      <c r="BU18" s="10" t="n">
        <f aca="false">-Helpers!BU4*Assumptions!$B$20</f>
        <v>-46742.5304963957</v>
      </c>
      <c r="BV18" s="10" t="n">
        <f aca="false">-Helpers!BV4*Assumptions!$B$20</f>
        <v>-46742.5304963957</v>
      </c>
      <c r="BW18" s="10" t="n">
        <f aca="false">-Helpers!BW4*Assumptions!$B$20</f>
        <v>-47677.3811063236</v>
      </c>
      <c r="BX18" s="10" t="n">
        <f aca="false">-Helpers!BX4*Assumptions!$B$20</f>
        <v>-47677.3811063236</v>
      </c>
      <c r="BY18" s="10" t="n">
        <f aca="false">-Helpers!BY4*Assumptions!$B$20</f>
        <v>-47677.3811063236</v>
      </c>
      <c r="BZ18" s="10" t="n">
        <f aca="false">-Helpers!BZ4*Assumptions!$B$20</f>
        <v>-47677.3811063236</v>
      </c>
      <c r="CA18" s="10" t="n">
        <f aca="false">-Helpers!CA4*Assumptions!$B$20</f>
        <v>-47677.3811063236</v>
      </c>
      <c r="CB18" s="10" t="n">
        <f aca="false">-Helpers!CB4*Assumptions!$B$20</f>
        <v>-47677.3811063236</v>
      </c>
      <c r="CC18" s="10" t="n">
        <f aca="false">-Helpers!CC4*Assumptions!$B$20</f>
        <v>-47677.3811063236</v>
      </c>
      <c r="CD18" s="10" t="n">
        <f aca="false">-Helpers!CD4*Assumptions!$B$20</f>
        <v>-47677.3811063236</v>
      </c>
      <c r="CE18" s="10" t="n">
        <f aca="false">-Helpers!CE4*Assumptions!$B$20</f>
        <v>-47677.3811063236</v>
      </c>
      <c r="CF18" s="10" t="n">
        <f aca="false">-Helpers!CF4*Assumptions!$B$20</f>
        <v>-47677.3811063236</v>
      </c>
      <c r="CG18" s="10" t="n">
        <f aca="false">-Helpers!CG4*Assumptions!$B$20</f>
        <v>-47677.3811063236</v>
      </c>
      <c r="CH18" s="10" t="n">
        <f aca="false">-Helpers!CH4*Assumptions!$B$20</f>
        <v>-47677.3811063236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-1359.12166666667</v>
      </c>
      <c r="G19" s="10" t="n">
        <f aca="false">-Helpers!G4*Assumptions!$B$21</f>
        <v>-1411.205</v>
      </c>
      <c r="H19" s="10" t="n">
        <f aca="false">-Helpers!H4*Assumptions!$B$21</f>
        <v>-1411.205</v>
      </c>
      <c r="I19" s="10" t="n">
        <f aca="false">-Helpers!I4*Assumptions!$B$21</f>
        <v>-1411.205</v>
      </c>
      <c r="J19" s="10" t="n">
        <f aca="false">-Helpers!J4*Assumptions!$B$21</f>
        <v>-1411.205</v>
      </c>
      <c r="K19" s="10" t="n">
        <f aca="false">-Helpers!K4*Assumptions!$B$21</f>
        <v>-1411.205</v>
      </c>
      <c r="L19" s="10" t="n">
        <f aca="false">-Helpers!L4*Assumptions!$B$21</f>
        <v>-1411.205</v>
      </c>
      <c r="M19" s="10" t="n">
        <f aca="false">-Helpers!M4*Assumptions!$B$21</f>
        <v>-1411.205</v>
      </c>
      <c r="N19" s="10" t="n">
        <f aca="false">-Helpers!N4*Assumptions!$B$21</f>
        <v>-1411.205</v>
      </c>
      <c r="O19" s="10" t="n">
        <f aca="false">-Helpers!O4*Assumptions!$B$21</f>
        <v>-1439.4291</v>
      </c>
      <c r="P19" s="10" t="n">
        <f aca="false">-Helpers!P4*Assumptions!$B$21</f>
        <v>-1439.4291</v>
      </c>
      <c r="Q19" s="10" t="n">
        <f aca="false">-Helpers!Q4*Assumptions!$B$21</f>
        <v>-1439.4291</v>
      </c>
      <c r="R19" s="10" t="n">
        <f aca="false">-Helpers!R4*Assumptions!$B$21</f>
        <v>-1439.4291</v>
      </c>
      <c r="S19" s="10" t="n">
        <f aca="false">-Helpers!S4*Assumptions!$B$21</f>
        <v>-1439.4291</v>
      </c>
      <c r="T19" s="10" t="n">
        <f aca="false">-Helpers!T4*Assumptions!$B$21</f>
        <v>-1439.4291</v>
      </c>
      <c r="U19" s="10" t="n">
        <f aca="false">-Helpers!U4*Assumptions!$B$21</f>
        <v>-1439.4291</v>
      </c>
      <c r="V19" s="10" t="n">
        <f aca="false">-Helpers!V4*Assumptions!$B$21</f>
        <v>-1439.4291</v>
      </c>
      <c r="W19" s="10" t="n">
        <f aca="false">-Helpers!W4*Assumptions!$B$21</f>
        <v>-1439.4291</v>
      </c>
      <c r="X19" s="10" t="n">
        <f aca="false">-Helpers!X4*Assumptions!$B$21</f>
        <v>-1439.4291</v>
      </c>
      <c r="Y19" s="10" t="n">
        <f aca="false">-Helpers!Y4*Assumptions!$B$21</f>
        <v>-1439.4291</v>
      </c>
      <c r="Z19" s="10" t="n">
        <f aca="false">-Helpers!Z4*Assumptions!$B$21</f>
        <v>-1439.4291</v>
      </c>
      <c r="AA19" s="10" t="n">
        <f aca="false">-Helpers!AA4*Assumptions!$B$21</f>
        <v>-1468.217682</v>
      </c>
      <c r="AB19" s="10" t="n">
        <f aca="false">-Helpers!AB4*Assumptions!$B$21</f>
        <v>-1468.217682</v>
      </c>
      <c r="AC19" s="10" t="n">
        <f aca="false">-Helpers!AC4*Assumptions!$B$21</f>
        <v>-1468.217682</v>
      </c>
      <c r="AD19" s="10" t="n">
        <f aca="false">-Helpers!AD4*Assumptions!$B$21</f>
        <v>-1468.217682</v>
      </c>
      <c r="AE19" s="10" t="n">
        <f aca="false">-Helpers!AE4*Assumptions!$B$21</f>
        <v>-1468.217682</v>
      </c>
      <c r="AF19" s="10" t="n">
        <f aca="false">-Helpers!AF4*Assumptions!$B$21</f>
        <v>-1468.217682</v>
      </c>
      <c r="AG19" s="10" t="n">
        <f aca="false">-Helpers!AG4*Assumptions!$B$21</f>
        <v>-1468.217682</v>
      </c>
      <c r="AH19" s="10" t="n">
        <f aca="false">-Helpers!AH4*Assumptions!$B$21</f>
        <v>-1468.217682</v>
      </c>
      <c r="AI19" s="10" t="n">
        <f aca="false">-Helpers!AI4*Assumptions!$B$21</f>
        <v>-1468.217682</v>
      </c>
      <c r="AJ19" s="10" t="n">
        <f aca="false">-Helpers!AJ4*Assumptions!$B$21</f>
        <v>-1468.217682</v>
      </c>
      <c r="AK19" s="10" t="n">
        <f aca="false">-Helpers!AK4*Assumptions!$B$21</f>
        <v>-1468.217682</v>
      </c>
      <c r="AL19" s="10" t="n">
        <f aca="false">-Helpers!AL4*Assumptions!$B$21</f>
        <v>-1468.217682</v>
      </c>
      <c r="AM19" s="10" t="n">
        <f aca="false">-Helpers!AM4*Assumptions!$B$21</f>
        <v>-1497.58203564</v>
      </c>
      <c r="AN19" s="10" t="n">
        <f aca="false">-Helpers!AN4*Assumptions!$B$21</f>
        <v>-1497.58203564</v>
      </c>
      <c r="AO19" s="10" t="n">
        <f aca="false">-Helpers!AO4*Assumptions!$B$21</f>
        <v>-1497.58203564</v>
      </c>
      <c r="AP19" s="10" t="n">
        <f aca="false">-Helpers!AP4*Assumptions!$B$21</f>
        <v>-1497.58203564</v>
      </c>
      <c r="AQ19" s="10" t="n">
        <f aca="false">-Helpers!AQ4*Assumptions!$B$21</f>
        <v>-1497.58203564</v>
      </c>
      <c r="AR19" s="10" t="n">
        <f aca="false">-Helpers!AR4*Assumptions!$B$21</f>
        <v>-1497.58203564</v>
      </c>
      <c r="AS19" s="10" t="n">
        <f aca="false">-Helpers!AS4*Assumptions!$B$21</f>
        <v>-1497.58203564</v>
      </c>
      <c r="AT19" s="10" t="n">
        <f aca="false">-Helpers!AT4*Assumptions!$B$21</f>
        <v>-1497.58203564</v>
      </c>
      <c r="AU19" s="10" t="n">
        <f aca="false">-Helpers!AU4*Assumptions!$B$21</f>
        <v>-1497.58203564</v>
      </c>
      <c r="AV19" s="10" t="n">
        <f aca="false">-Helpers!AV4*Assumptions!$B$21</f>
        <v>-1497.58203564</v>
      </c>
      <c r="AW19" s="10" t="n">
        <f aca="false">-Helpers!AW4*Assumptions!$B$21</f>
        <v>-1497.58203564</v>
      </c>
      <c r="AX19" s="10" t="n">
        <f aca="false">-Helpers!AX4*Assumptions!$B$21</f>
        <v>-1497.58203564</v>
      </c>
      <c r="AY19" s="10" t="n">
        <f aca="false">-Helpers!AY4*Assumptions!$B$21</f>
        <v>-1527.5336763528</v>
      </c>
      <c r="AZ19" s="10" t="n">
        <f aca="false">-Helpers!AZ4*Assumptions!$B$21</f>
        <v>-1527.5336763528</v>
      </c>
      <c r="BA19" s="10" t="n">
        <f aca="false">-Helpers!BA4*Assumptions!$B$21</f>
        <v>-1527.5336763528</v>
      </c>
      <c r="BB19" s="10" t="n">
        <f aca="false">-Helpers!BB4*Assumptions!$B$21</f>
        <v>-1527.5336763528</v>
      </c>
      <c r="BC19" s="10" t="n">
        <f aca="false">-Helpers!BC4*Assumptions!$B$21</f>
        <v>-1527.5336763528</v>
      </c>
      <c r="BD19" s="10" t="n">
        <f aca="false">-Helpers!BD4*Assumptions!$B$21</f>
        <v>-1527.5336763528</v>
      </c>
      <c r="BE19" s="10" t="n">
        <f aca="false">-Helpers!BE4*Assumptions!$B$21</f>
        <v>-1527.5336763528</v>
      </c>
      <c r="BF19" s="10" t="n">
        <f aca="false">-Helpers!BF4*Assumptions!$B$21</f>
        <v>-1527.5336763528</v>
      </c>
      <c r="BG19" s="10" t="n">
        <f aca="false">-Helpers!BG4*Assumptions!$B$21</f>
        <v>-1527.5336763528</v>
      </c>
      <c r="BH19" s="10" t="n">
        <f aca="false">-Helpers!BH4*Assumptions!$B$21</f>
        <v>-1527.5336763528</v>
      </c>
      <c r="BI19" s="10" t="n">
        <f aca="false">-Helpers!BI4*Assumptions!$B$21</f>
        <v>-1527.5336763528</v>
      </c>
      <c r="BJ19" s="10" t="n">
        <f aca="false">-Helpers!BJ4*Assumptions!$B$21</f>
        <v>-1527.5336763528</v>
      </c>
      <c r="BK19" s="10" t="n">
        <f aca="false">-Helpers!BK4*Assumptions!$B$21</f>
        <v>-1558.08434987986</v>
      </c>
      <c r="BL19" s="10" t="n">
        <f aca="false">-Helpers!BL4*Assumptions!$B$21</f>
        <v>-1558.08434987986</v>
      </c>
      <c r="BM19" s="10" t="n">
        <f aca="false">-Helpers!BM4*Assumptions!$B$21</f>
        <v>-1558.08434987986</v>
      </c>
      <c r="BN19" s="10" t="n">
        <f aca="false">-Helpers!BN4*Assumptions!$B$21</f>
        <v>-1558.08434987986</v>
      </c>
      <c r="BO19" s="10" t="n">
        <f aca="false">-Helpers!BO4*Assumptions!$B$21</f>
        <v>-1558.08434987986</v>
      </c>
      <c r="BP19" s="10" t="n">
        <f aca="false">-Helpers!BP4*Assumptions!$B$21</f>
        <v>-1558.08434987986</v>
      </c>
      <c r="BQ19" s="10" t="n">
        <f aca="false">-Helpers!BQ4*Assumptions!$B$21</f>
        <v>-1558.08434987986</v>
      </c>
      <c r="BR19" s="10" t="n">
        <f aca="false">-Helpers!BR4*Assumptions!$B$21</f>
        <v>-1558.08434987986</v>
      </c>
      <c r="BS19" s="10" t="n">
        <f aca="false">-Helpers!BS4*Assumptions!$B$21</f>
        <v>-1558.08434987986</v>
      </c>
      <c r="BT19" s="10" t="n">
        <f aca="false">-Helpers!BT4*Assumptions!$B$21</f>
        <v>-1558.08434987986</v>
      </c>
      <c r="BU19" s="10" t="n">
        <f aca="false">-Helpers!BU4*Assumptions!$B$21</f>
        <v>-1558.08434987986</v>
      </c>
      <c r="BV19" s="10" t="n">
        <f aca="false">-Helpers!BV4*Assumptions!$B$21</f>
        <v>-1558.08434987986</v>
      </c>
      <c r="BW19" s="10" t="n">
        <f aca="false">-Helpers!BW4*Assumptions!$B$21</f>
        <v>-1589.24603687745</v>
      </c>
      <c r="BX19" s="10" t="n">
        <f aca="false">-Helpers!BX4*Assumptions!$B$21</f>
        <v>-1589.24603687745</v>
      </c>
      <c r="BY19" s="10" t="n">
        <f aca="false">-Helpers!BY4*Assumptions!$B$21</f>
        <v>-1589.24603687745</v>
      </c>
      <c r="BZ19" s="10" t="n">
        <f aca="false">-Helpers!BZ4*Assumptions!$B$21</f>
        <v>-1589.24603687745</v>
      </c>
      <c r="CA19" s="10" t="n">
        <f aca="false">-Helpers!CA4*Assumptions!$B$21</f>
        <v>-1589.24603687745</v>
      </c>
      <c r="CB19" s="10" t="n">
        <f aca="false">-Helpers!CB4*Assumptions!$B$21</f>
        <v>-1589.24603687745</v>
      </c>
      <c r="CC19" s="10" t="n">
        <f aca="false">-Helpers!CC4*Assumptions!$B$21</f>
        <v>-1589.24603687745</v>
      </c>
      <c r="CD19" s="10" t="n">
        <f aca="false">-Helpers!CD4*Assumptions!$B$21</f>
        <v>-1589.24603687745</v>
      </c>
      <c r="CE19" s="10" t="n">
        <f aca="false">-Helpers!CE4*Assumptions!$B$21</f>
        <v>-1589.24603687745</v>
      </c>
      <c r="CF19" s="10" t="n">
        <f aca="false">-Helpers!CF4*Assumptions!$B$21</f>
        <v>-1589.24603687745</v>
      </c>
      <c r="CG19" s="10" t="n">
        <f aca="false">-Helpers!CG4*Assumptions!$B$21</f>
        <v>-1589.24603687745</v>
      </c>
      <c r="CH19" s="10" t="n">
        <f aca="false">-Helpers!CH4*Assumptions!$B$21</f>
        <v>-1589.24603687745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-32890.7443333333</v>
      </c>
      <c r="G20" s="10" t="n">
        <f aca="false">-Helpers!G4*Assumptions!$B$22</f>
        <v>-34151.161</v>
      </c>
      <c r="H20" s="10" t="n">
        <f aca="false">-Helpers!H4*Assumptions!$B$22</f>
        <v>-34151.161</v>
      </c>
      <c r="I20" s="10" t="n">
        <f aca="false">-Helpers!I4*Assumptions!$B$22</f>
        <v>-34151.161</v>
      </c>
      <c r="J20" s="10" t="n">
        <f aca="false">-Helpers!J4*Assumptions!$B$22</f>
        <v>-34151.161</v>
      </c>
      <c r="K20" s="10" t="n">
        <f aca="false">-Helpers!K4*Assumptions!$B$22</f>
        <v>-34151.161</v>
      </c>
      <c r="L20" s="10" t="n">
        <f aca="false">-Helpers!L4*Assumptions!$B$22</f>
        <v>-34151.161</v>
      </c>
      <c r="M20" s="10" t="n">
        <f aca="false">-Helpers!M4*Assumptions!$B$22</f>
        <v>-34151.161</v>
      </c>
      <c r="N20" s="10" t="n">
        <f aca="false">-Helpers!N4*Assumptions!$B$22</f>
        <v>-34151.161</v>
      </c>
      <c r="O20" s="10" t="n">
        <f aca="false">-Helpers!O4*Assumptions!$B$22</f>
        <v>-34834.18422</v>
      </c>
      <c r="P20" s="10" t="n">
        <f aca="false">-Helpers!P4*Assumptions!$B$22</f>
        <v>-34834.18422</v>
      </c>
      <c r="Q20" s="10" t="n">
        <f aca="false">-Helpers!Q4*Assumptions!$B$22</f>
        <v>-34834.18422</v>
      </c>
      <c r="R20" s="10" t="n">
        <f aca="false">-Helpers!R4*Assumptions!$B$22</f>
        <v>-34834.18422</v>
      </c>
      <c r="S20" s="10" t="n">
        <f aca="false">-Helpers!S4*Assumptions!$B$22</f>
        <v>-34834.18422</v>
      </c>
      <c r="T20" s="10" t="n">
        <f aca="false">-Helpers!T4*Assumptions!$B$22</f>
        <v>-34834.18422</v>
      </c>
      <c r="U20" s="10" t="n">
        <f aca="false">-Helpers!U4*Assumptions!$B$22</f>
        <v>-34834.18422</v>
      </c>
      <c r="V20" s="10" t="n">
        <f aca="false">-Helpers!V4*Assumptions!$B$22</f>
        <v>-34834.18422</v>
      </c>
      <c r="W20" s="10" t="n">
        <f aca="false">-Helpers!W4*Assumptions!$B$22</f>
        <v>-34834.18422</v>
      </c>
      <c r="X20" s="10" t="n">
        <f aca="false">-Helpers!X4*Assumptions!$B$22</f>
        <v>-34834.18422</v>
      </c>
      <c r="Y20" s="10" t="n">
        <f aca="false">-Helpers!Y4*Assumptions!$B$22</f>
        <v>-34834.18422</v>
      </c>
      <c r="Z20" s="10" t="n">
        <f aca="false">-Helpers!Z4*Assumptions!$B$22</f>
        <v>-34834.18422</v>
      </c>
      <c r="AA20" s="10" t="n">
        <f aca="false">-Helpers!AA4*Assumptions!$B$22</f>
        <v>-35530.8679044</v>
      </c>
      <c r="AB20" s="10" t="n">
        <f aca="false">-Helpers!AB4*Assumptions!$B$22</f>
        <v>-35530.8679044</v>
      </c>
      <c r="AC20" s="10" t="n">
        <f aca="false">-Helpers!AC4*Assumptions!$B$22</f>
        <v>-35530.8679044</v>
      </c>
      <c r="AD20" s="10" t="n">
        <f aca="false">-Helpers!AD4*Assumptions!$B$22</f>
        <v>-35530.8679044</v>
      </c>
      <c r="AE20" s="10" t="n">
        <f aca="false">-Helpers!AE4*Assumptions!$B$22</f>
        <v>-35530.8679044</v>
      </c>
      <c r="AF20" s="10" t="n">
        <f aca="false">-Helpers!AF4*Assumptions!$B$22</f>
        <v>-35530.8679044</v>
      </c>
      <c r="AG20" s="10" t="n">
        <f aca="false">-Helpers!AG4*Assumptions!$B$22</f>
        <v>-35530.8679044</v>
      </c>
      <c r="AH20" s="10" t="n">
        <f aca="false">-Helpers!AH4*Assumptions!$B$22</f>
        <v>-35530.8679044</v>
      </c>
      <c r="AI20" s="10" t="n">
        <f aca="false">-Helpers!AI4*Assumptions!$B$22</f>
        <v>-35530.8679044</v>
      </c>
      <c r="AJ20" s="10" t="n">
        <f aca="false">-Helpers!AJ4*Assumptions!$B$22</f>
        <v>-35530.8679044</v>
      </c>
      <c r="AK20" s="10" t="n">
        <f aca="false">-Helpers!AK4*Assumptions!$B$22</f>
        <v>-35530.8679044</v>
      </c>
      <c r="AL20" s="10" t="n">
        <f aca="false">-Helpers!AL4*Assumptions!$B$22</f>
        <v>-35530.8679044</v>
      </c>
      <c r="AM20" s="10" t="n">
        <f aca="false">-Helpers!AM4*Assumptions!$B$22</f>
        <v>-36241.485262488</v>
      </c>
      <c r="AN20" s="10" t="n">
        <f aca="false">-Helpers!AN4*Assumptions!$B$22</f>
        <v>-36241.485262488</v>
      </c>
      <c r="AO20" s="10" t="n">
        <f aca="false">-Helpers!AO4*Assumptions!$B$22</f>
        <v>-36241.485262488</v>
      </c>
      <c r="AP20" s="10" t="n">
        <f aca="false">-Helpers!AP4*Assumptions!$B$22</f>
        <v>-36241.485262488</v>
      </c>
      <c r="AQ20" s="10" t="n">
        <f aca="false">-Helpers!AQ4*Assumptions!$B$22</f>
        <v>-36241.485262488</v>
      </c>
      <c r="AR20" s="10" t="n">
        <f aca="false">-Helpers!AR4*Assumptions!$B$22</f>
        <v>-36241.485262488</v>
      </c>
      <c r="AS20" s="10" t="n">
        <f aca="false">-Helpers!AS4*Assumptions!$B$22</f>
        <v>-36241.485262488</v>
      </c>
      <c r="AT20" s="10" t="n">
        <f aca="false">-Helpers!AT4*Assumptions!$B$22</f>
        <v>-36241.485262488</v>
      </c>
      <c r="AU20" s="10" t="n">
        <f aca="false">-Helpers!AU4*Assumptions!$B$22</f>
        <v>-36241.485262488</v>
      </c>
      <c r="AV20" s="10" t="n">
        <f aca="false">-Helpers!AV4*Assumptions!$B$22</f>
        <v>-36241.485262488</v>
      </c>
      <c r="AW20" s="10" t="n">
        <f aca="false">-Helpers!AW4*Assumptions!$B$22</f>
        <v>-36241.485262488</v>
      </c>
      <c r="AX20" s="10" t="n">
        <f aca="false">-Helpers!AX4*Assumptions!$B$22</f>
        <v>-36241.485262488</v>
      </c>
      <c r="AY20" s="10" t="n">
        <f aca="false">-Helpers!AY4*Assumptions!$B$22</f>
        <v>-36966.3149677378</v>
      </c>
      <c r="AZ20" s="10" t="n">
        <f aca="false">-Helpers!AZ4*Assumptions!$B$22</f>
        <v>-36966.3149677378</v>
      </c>
      <c r="BA20" s="10" t="n">
        <f aca="false">-Helpers!BA4*Assumptions!$B$22</f>
        <v>-36966.3149677378</v>
      </c>
      <c r="BB20" s="10" t="n">
        <f aca="false">-Helpers!BB4*Assumptions!$B$22</f>
        <v>-36966.3149677378</v>
      </c>
      <c r="BC20" s="10" t="n">
        <f aca="false">-Helpers!BC4*Assumptions!$B$22</f>
        <v>-36966.3149677378</v>
      </c>
      <c r="BD20" s="10" t="n">
        <f aca="false">-Helpers!BD4*Assumptions!$B$22</f>
        <v>-36966.3149677378</v>
      </c>
      <c r="BE20" s="10" t="n">
        <f aca="false">-Helpers!BE4*Assumptions!$B$22</f>
        <v>-36966.3149677378</v>
      </c>
      <c r="BF20" s="10" t="n">
        <f aca="false">-Helpers!BF4*Assumptions!$B$22</f>
        <v>-36966.3149677378</v>
      </c>
      <c r="BG20" s="10" t="n">
        <f aca="false">-Helpers!BG4*Assumptions!$B$22</f>
        <v>-36966.3149677378</v>
      </c>
      <c r="BH20" s="10" t="n">
        <f aca="false">-Helpers!BH4*Assumptions!$B$22</f>
        <v>-36966.3149677378</v>
      </c>
      <c r="BI20" s="10" t="n">
        <f aca="false">-Helpers!BI4*Assumptions!$B$22</f>
        <v>-36966.3149677378</v>
      </c>
      <c r="BJ20" s="10" t="n">
        <f aca="false">-Helpers!BJ4*Assumptions!$B$22</f>
        <v>-36966.3149677378</v>
      </c>
      <c r="BK20" s="10" t="n">
        <f aca="false">-Helpers!BK4*Assumptions!$B$22</f>
        <v>-37705.6412670925</v>
      </c>
      <c r="BL20" s="10" t="n">
        <f aca="false">-Helpers!BL4*Assumptions!$B$22</f>
        <v>-37705.6412670925</v>
      </c>
      <c r="BM20" s="10" t="n">
        <f aca="false">-Helpers!BM4*Assumptions!$B$22</f>
        <v>-37705.6412670925</v>
      </c>
      <c r="BN20" s="10" t="n">
        <f aca="false">-Helpers!BN4*Assumptions!$B$22</f>
        <v>-37705.6412670925</v>
      </c>
      <c r="BO20" s="10" t="n">
        <f aca="false">-Helpers!BO4*Assumptions!$B$22</f>
        <v>-37705.6412670925</v>
      </c>
      <c r="BP20" s="10" t="n">
        <f aca="false">-Helpers!BP4*Assumptions!$B$22</f>
        <v>-37705.6412670925</v>
      </c>
      <c r="BQ20" s="10" t="n">
        <f aca="false">-Helpers!BQ4*Assumptions!$B$22</f>
        <v>-37705.6412670925</v>
      </c>
      <c r="BR20" s="10" t="n">
        <f aca="false">-Helpers!BR4*Assumptions!$B$22</f>
        <v>-37705.6412670925</v>
      </c>
      <c r="BS20" s="10" t="n">
        <f aca="false">-Helpers!BS4*Assumptions!$B$22</f>
        <v>-37705.6412670925</v>
      </c>
      <c r="BT20" s="10" t="n">
        <f aca="false">-Helpers!BT4*Assumptions!$B$22</f>
        <v>-37705.6412670925</v>
      </c>
      <c r="BU20" s="10" t="n">
        <f aca="false">-Helpers!BU4*Assumptions!$B$22</f>
        <v>-37705.6412670925</v>
      </c>
      <c r="BV20" s="10" t="n">
        <f aca="false">-Helpers!BV4*Assumptions!$B$22</f>
        <v>-37705.6412670925</v>
      </c>
      <c r="BW20" s="10" t="n">
        <f aca="false">-Helpers!BW4*Assumptions!$B$22</f>
        <v>-38459.7540924344</v>
      </c>
      <c r="BX20" s="10" t="n">
        <f aca="false">-Helpers!BX4*Assumptions!$B$22</f>
        <v>-38459.7540924344</v>
      </c>
      <c r="BY20" s="10" t="n">
        <f aca="false">-Helpers!BY4*Assumptions!$B$22</f>
        <v>-38459.7540924344</v>
      </c>
      <c r="BZ20" s="10" t="n">
        <f aca="false">-Helpers!BZ4*Assumptions!$B$22</f>
        <v>-38459.7540924344</v>
      </c>
      <c r="CA20" s="10" t="n">
        <f aca="false">-Helpers!CA4*Assumptions!$B$22</f>
        <v>-38459.7540924344</v>
      </c>
      <c r="CB20" s="10" t="n">
        <f aca="false">-Helpers!CB4*Assumptions!$B$22</f>
        <v>-38459.7540924344</v>
      </c>
      <c r="CC20" s="10" t="n">
        <f aca="false">-Helpers!CC4*Assumptions!$B$22</f>
        <v>-38459.7540924344</v>
      </c>
      <c r="CD20" s="10" t="n">
        <f aca="false">-Helpers!CD4*Assumptions!$B$22</f>
        <v>-38459.7540924344</v>
      </c>
      <c r="CE20" s="10" t="n">
        <f aca="false">-Helpers!CE4*Assumptions!$B$22</f>
        <v>-38459.7540924344</v>
      </c>
      <c r="CF20" s="10" t="n">
        <f aca="false">-Helpers!CF4*Assumptions!$B$22</f>
        <v>-38459.7540924344</v>
      </c>
      <c r="CG20" s="10" t="n">
        <f aca="false">-Helpers!CG4*Assumptions!$B$22</f>
        <v>-38459.7540924344</v>
      </c>
      <c r="CH20" s="10" t="n">
        <f aca="false">-Helpers!CH4*Assumptions!$B$22</f>
        <v>-38459.7540924344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-2446.419</v>
      </c>
      <c r="G21" s="10" t="n">
        <f aca="false">-Helpers!G4*Assumptions!$B$23</f>
        <v>-2540.169</v>
      </c>
      <c r="H21" s="10" t="n">
        <f aca="false">-Helpers!H4*Assumptions!$B$23</f>
        <v>-2540.169</v>
      </c>
      <c r="I21" s="10" t="n">
        <f aca="false">-Helpers!I4*Assumptions!$B$23</f>
        <v>-2540.169</v>
      </c>
      <c r="J21" s="10" t="n">
        <f aca="false">-Helpers!J4*Assumptions!$B$23</f>
        <v>-2540.169</v>
      </c>
      <c r="K21" s="10" t="n">
        <f aca="false">-Helpers!K4*Assumptions!$B$23</f>
        <v>-2540.169</v>
      </c>
      <c r="L21" s="10" t="n">
        <f aca="false">-Helpers!L4*Assumptions!$B$23</f>
        <v>-2540.169</v>
      </c>
      <c r="M21" s="10" t="n">
        <f aca="false">-Helpers!M4*Assumptions!$B$23</f>
        <v>-2540.169</v>
      </c>
      <c r="N21" s="10" t="n">
        <f aca="false">-Helpers!N4*Assumptions!$B$23</f>
        <v>-2540.169</v>
      </c>
      <c r="O21" s="10" t="n">
        <f aca="false">-Helpers!O4*Assumptions!$B$23</f>
        <v>-2590.97238</v>
      </c>
      <c r="P21" s="10" t="n">
        <f aca="false">-Helpers!P4*Assumptions!$B$23</f>
        <v>-2590.97238</v>
      </c>
      <c r="Q21" s="10" t="n">
        <f aca="false">-Helpers!Q4*Assumptions!$B$23</f>
        <v>-2590.97238</v>
      </c>
      <c r="R21" s="10" t="n">
        <f aca="false">-Helpers!R4*Assumptions!$B$23</f>
        <v>-2590.97238</v>
      </c>
      <c r="S21" s="10" t="n">
        <f aca="false">-Helpers!S4*Assumptions!$B$23</f>
        <v>-2590.97238</v>
      </c>
      <c r="T21" s="10" t="n">
        <f aca="false">-Helpers!T4*Assumptions!$B$23</f>
        <v>-2590.97238</v>
      </c>
      <c r="U21" s="10" t="n">
        <f aca="false">-Helpers!U4*Assumptions!$B$23</f>
        <v>-2590.97238</v>
      </c>
      <c r="V21" s="10" t="n">
        <f aca="false">-Helpers!V4*Assumptions!$B$23</f>
        <v>-2590.97238</v>
      </c>
      <c r="W21" s="10" t="n">
        <f aca="false">-Helpers!W4*Assumptions!$B$23</f>
        <v>-2590.97238</v>
      </c>
      <c r="X21" s="10" t="n">
        <f aca="false">-Helpers!X4*Assumptions!$B$23</f>
        <v>-2590.97238</v>
      </c>
      <c r="Y21" s="10" t="n">
        <f aca="false">-Helpers!Y4*Assumptions!$B$23</f>
        <v>-2590.97238</v>
      </c>
      <c r="Z21" s="10" t="n">
        <f aca="false">-Helpers!Z4*Assumptions!$B$23</f>
        <v>-2590.97238</v>
      </c>
      <c r="AA21" s="10" t="n">
        <f aca="false">-Helpers!AA4*Assumptions!$B$23</f>
        <v>-2642.7918276</v>
      </c>
      <c r="AB21" s="10" t="n">
        <f aca="false">-Helpers!AB4*Assumptions!$B$23</f>
        <v>-2642.7918276</v>
      </c>
      <c r="AC21" s="10" t="n">
        <f aca="false">-Helpers!AC4*Assumptions!$B$23</f>
        <v>-2642.7918276</v>
      </c>
      <c r="AD21" s="10" t="n">
        <f aca="false">-Helpers!AD4*Assumptions!$B$23</f>
        <v>-2642.7918276</v>
      </c>
      <c r="AE21" s="10" t="n">
        <f aca="false">-Helpers!AE4*Assumptions!$B$23</f>
        <v>-2642.7918276</v>
      </c>
      <c r="AF21" s="10" t="n">
        <f aca="false">-Helpers!AF4*Assumptions!$B$23</f>
        <v>-2642.7918276</v>
      </c>
      <c r="AG21" s="10" t="n">
        <f aca="false">-Helpers!AG4*Assumptions!$B$23</f>
        <v>-2642.7918276</v>
      </c>
      <c r="AH21" s="10" t="n">
        <f aca="false">-Helpers!AH4*Assumptions!$B$23</f>
        <v>-2642.7918276</v>
      </c>
      <c r="AI21" s="10" t="n">
        <f aca="false">-Helpers!AI4*Assumptions!$B$23</f>
        <v>-2642.7918276</v>
      </c>
      <c r="AJ21" s="10" t="n">
        <f aca="false">-Helpers!AJ4*Assumptions!$B$23</f>
        <v>-2642.7918276</v>
      </c>
      <c r="AK21" s="10" t="n">
        <f aca="false">-Helpers!AK4*Assumptions!$B$23</f>
        <v>-2642.7918276</v>
      </c>
      <c r="AL21" s="10" t="n">
        <f aca="false">-Helpers!AL4*Assumptions!$B$23</f>
        <v>-2642.7918276</v>
      </c>
      <c r="AM21" s="10" t="n">
        <f aca="false">-Helpers!AM4*Assumptions!$B$23</f>
        <v>-2695.647664152</v>
      </c>
      <c r="AN21" s="10" t="n">
        <f aca="false">-Helpers!AN4*Assumptions!$B$23</f>
        <v>-2695.647664152</v>
      </c>
      <c r="AO21" s="10" t="n">
        <f aca="false">-Helpers!AO4*Assumptions!$B$23</f>
        <v>-2695.647664152</v>
      </c>
      <c r="AP21" s="10" t="n">
        <f aca="false">-Helpers!AP4*Assumptions!$B$23</f>
        <v>-2695.647664152</v>
      </c>
      <c r="AQ21" s="10" t="n">
        <f aca="false">-Helpers!AQ4*Assumptions!$B$23</f>
        <v>-2695.647664152</v>
      </c>
      <c r="AR21" s="10" t="n">
        <f aca="false">-Helpers!AR4*Assumptions!$B$23</f>
        <v>-2695.647664152</v>
      </c>
      <c r="AS21" s="10" t="n">
        <f aca="false">-Helpers!AS4*Assumptions!$B$23</f>
        <v>-2695.647664152</v>
      </c>
      <c r="AT21" s="10" t="n">
        <f aca="false">-Helpers!AT4*Assumptions!$B$23</f>
        <v>-2695.647664152</v>
      </c>
      <c r="AU21" s="10" t="n">
        <f aca="false">-Helpers!AU4*Assumptions!$B$23</f>
        <v>-2695.647664152</v>
      </c>
      <c r="AV21" s="10" t="n">
        <f aca="false">-Helpers!AV4*Assumptions!$B$23</f>
        <v>-2695.647664152</v>
      </c>
      <c r="AW21" s="10" t="n">
        <f aca="false">-Helpers!AW4*Assumptions!$B$23</f>
        <v>-2695.647664152</v>
      </c>
      <c r="AX21" s="10" t="n">
        <f aca="false">-Helpers!AX4*Assumptions!$B$23</f>
        <v>-2695.647664152</v>
      </c>
      <c r="AY21" s="10" t="n">
        <f aca="false">-Helpers!AY4*Assumptions!$B$23</f>
        <v>-2749.56061743504</v>
      </c>
      <c r="AZ21" s="10" t="n">
        <f aca="false">-Helpers!AZ4*Assumptions!$B$23</f>
        <v>-2749.56061743504</v>
      </c>
      <c r="BA21" s="10" t="n">
        <f aca="false">-Helpers!BA4*Assumptions!$B$23</f>
        <v>-2749.56061743504</v>
      </c>
      <c r="BB21" s="10" t="n">
        <f aca="false">-Helpers!BB4*Assumptions!$B$23</f>
        <v>-2749.56061743504</v>
      </c>
      <c r="BC21" s="10" t="n">
        <f aca="false">-Helpers!BC4*Assumptions!$B$23</f>
        <v>-2749.56061743504</v>
      </c>
      <c r="BD21" s="10" t="n">
        <f aca="false">-Helpers!BD4*Assumptions!$B$23</f>
        <v>-2749.56061743504</v>
      </c>
      <c r="BE21" s="10" t="n">
        <f aca="false">-Helpers!BE4*Assumptions!$B$23</f>
        <v>-2749.56061743504</v>
      </c>
      <c r="BF21" s="10" t="n">
        <f aca="false">-Helpers!BF4*Assumptions!$B$23</f>
        <v>-2749.56061743504</v>
      </c>
      <c r="BG21" s="10" t="n">
        <f aca="false">-Helpers!BG4*Assumptions!$B$23</f>
        <v>-2749.56061743504</v>
      </c>
      <c r="BH21" s="10" t="n">
        <f aca="false">-Helpers!BH4*Assumptions!$B$23</f>
        <v>-2749.56061743504</v>
      </c>
      <c r="BI21" s="10" t="n">
        <f aca="false">-Helpers!BI4*Assumptions!$B$23</f>
        <v>-2749.56061743504</v>
      </c>
      <c r="BJ21" s="10" t="n">
        <f aca="false">-Helpers!BJ4*Assumptions!$B$23</f>
        <v>-2749.56061743504</v>
      </c>
      <c r="BK21" s="10" t="n">
        <f aca="false">-Helpers!BK4*Assumptions!$B$23</f>
        <v>-2804.55182978374</v>
      </c>
      <c r="BL21" s="10" t="n">
        <f aca="false">-Helpers!BL4*Assumptions!$B$23</f>
        <v>-2804.55182978374</v>
      </c>
      <c r="BM21" s="10" t="n">
        <f aca="false">-Helpers!BM4*Assumptions!$B$23</f>
        <v>-2804.55182978374</v>
      </c>
      <c r="BN21" s="10" t="n">
        <f aca="false">-Helpers!BN4*Assumptions!$B$23</f>
        <v>-2804.55182978374</v>
      </c>
      <c r="BO21" s="10" t="n">
        <f aca="false">-Helpers!BO4*Assumptions!$B$23</f>
        <v>-2804.55182978374</v>
      </c>
      <c r="BP21" s="10" t="n">
        <f aca="false">-Helpers!BP4*Assumptions!$B$23</f>
        <v>-2804.55182978374</v>
      </c>
      <c r="BQ21" s="10" t="n">
        <f aca="false">-Helpers!BQ4*Assumptions!$B$23</f>
        <v>-2804.55182978374</v>
      </c>
      <c r="BR21" s="10" t="n">
        <f aca="false">-Helpers!BR4*Assumptions!$B$23</f>
        <v>-2804.55182978374</v>
      </c>
      <c r="BS21" s="10" t="n">
        <f aca="false">-Helpers!BS4*Assumptions!$B$23</f>
        <v>-2804.55182978374</v>
      </c>
      <c r="BT21" s="10" t="n">
        <f aca="false">-Helpers!BT4*Assumptions!$B$23</f>
        <v>-2804.55182978374</v>
      </c>
      <c r="BU21" s="10" t="n">
        <f aca="false">-Helpers!BU4*Assumptions!$B$23</f>
        <v>-2804.55182978374</v>
      </c>
      <c r="BV21" s="10" t="n">
        <f aca="false">-Helpers!BV4*Assumptions!$B$23</f>
        <v>-2804.55182978374</v>
      </c>
      <c r="BW21" s="10" t="n">
        <f aca="false">-Helpers!BW4*Assumptions!$B$23</f>
        <v>-2860.64286637942</v>
      </c>
      <c r="BX21" s="10" t="n">
        <f aca="false">-Helpers!BX4*Assumptions!$B$23</f>
        <v>-2860.64286637942</v>
      </c>
      <c r="BY21" s="10" t="n">
        <f aca="false">-Helpers!BY4*Assumptions!$B$23</f>
        <v>-2860.64286637942</v>
      </c>
      <c r="BZ21" s="10" t="n">
        <f aca="false">-Helpers!BZ4*Assumptions!$B$23</f>
        <v>-2860.64286637942</v>
      </c>
      <c r="CA21" s="10" t="n">
        <f aca="false">-Helpers!CA4*Assumptions!$B$23</f>
        <v>-2860.64286637942</v>
      </c>
      <c r="CB21" s="10" t="n">
        <f aca="false">-Helpers!CB4*Assumptions!$B$23</f>
        <v>-2860.64286637942</v>
      </c>
      <c r="CC21" s="10" t="n">
        <f aca="false">-Helpers!CC4*Assumptions!$B$23</f>
        <v>-2860.64286637942</v>
      </c>
      <c r="CD21" s="10" t="n">
        <f aca="false">-Helpers!CD4*Assumptions!$B$23</f>
        <v>-2860.64286637942</v>
      </c>
      <c r="CE21" s="10" t="n">
        <f aca="false">-Helpers!CE4*Assumptions!$B$23</f>
        <v>-2860.64286637942</v>
      </c>
      <c r="CF21" s="10" t="n">
        <f aca="false">-Helpers!CF4*Assumptions!$B$23</f>
        <v>-2860.64286637942</v>
      </c>
      <c r="CG21" s="10" t="n">
        <f aca="false">-Helpers!CG4*Assumptions!$B$23</f>
        <v>-2860.64286637942</v>
      </c>
      <c r="CH21" s="10" t="n">
        <f aca="false">-Helpers!CH4*Assumptions!$B$23</f>
        <v>-2860.64286637942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-750160.8002</v>
      </c>
      <c r="G38" s="12" t="n">
        <f aca="false">G15+G16+G17+G18+G19+G20+G21+SUM(G22:G37)</f>
        <v>-445579.701666667</v>
      </c>
      <c r="H38" s="12" t="n">
        <f aca="false">H15+H16+H17+H18+H19+H20+H21+SUM(H22:H37)</f>
        <v>-445579.701666667</v>
      </c>
      <c r="I38" s="12" t="n">
        <f aca="false">I15+I16+I17+I18+I19+I20+I21+SUM(I22:I37)</f>
        <v>-663662.548666667</v>
      </c>
      <c r="J38" s="12" t="n">
        <f aca="false">J15+J16+J17+J18+J19+J20+J21+SUM(J22:J37)</f>
        <v>-602928.898666667</v>
      </c>
      <c r="K38" s="12" t="n">
        <f aca="false">K15+K16+K17+K18+K19+K20+K21+SUM(K22:K37)</f>
        <v>-445579.701666667</v>
      </c>
      <c r="L38" s="12" t="n">
        <f aca="false">L15+L16+L17+L18+L19+L20+L21+SUM(L22:L37)</f>
        <v>-445579.701666667</v>
      </c>
      <c r="M38" s="12" t="n">
        <f aca="false">M15+M16+M17+M18+M19+M20+M21+SUM(M22:M37)</f>
        <v>-445579.701666667</v>
      </c>
      <c r="N38" s="12" t="n">
        <f aca="false">N15+N16+N17+N18+N19+N20+N21+SUM(N22:N37)</f>
        <v>-445579.701666667</v>
      </c>
      <c r="O38" s="12" t="n">
        <f aca="false">O15+O16+O17+O18+O19+O20+O21+SUM(O22:O37)</f>
        <v>-1925661.3207</v>
      </c>
      <c r="P38" s="12" t="n">
        <f aca="false">P15+P16+P17+P18+P19+P20+P21+SUM(P22:P37)</f>
        <v>-454491.2957</v>
      </c>
      <c r="Q38" s="12" t="n">
        <f aca="false">Q15+Q16+Q17+Q18+Q19+Q20+Q21+SUM(Q22:Q37)</f>
        <v>-454491.2957</v>
      </c>
      <c r="R38" s="12" t="n">
        <f aca="false">R15+R16+R17+R18+R19+R20+R21+SUM(R22:R37)</f>
        <v>-454491.2957</v>
      </c>
      <c r="S38" s="12" t="n">
        <f aca="false">S15+S16+S17+S18+S19+S20+S21+SUM(S22:S37)</f>
        <v>-454491.2957</v>
      </c>
      <c r="T38" s="12" t="n">
        <f aca="false">T15+T16+T17+T18+T19+T20+T21+SUM(T22:T37)</f>
        <v>-454491.2957</v>
      </c>
      <c r="U38" s="12" t="n">
        <f aca="false">U15+U16+U17+U18+U19+U20+U21+SUM(U22:U37)</f>
        <v>-454491.2957</v>
      </c>
      <c r="V38" s="12" t="n">
        <f aca="false">V15+V16+V17+V18+V19+V20+V21+SUM(V22:V37)</f>
        <v>-454491.2957</v>
      </c>
      <c r="W38" s="12" t="n">
        <f aca="false">W15+W16+W17+W18+W19+W20+W21+SUM(W22:W37)</f>
        <v>-454491.2957</v>
      </c>
      <c r="X38" s="12" t="n">
        <f aca="false">X15+X16+X17+X18+X19+X20+X21+SUM(X22:X37)</f>
        <v>-454491.2957</v>
      </c>
      <c r="Y38" s="12" t="n">
        <f aca="false">Y15+Y16+Y17+Y18+Y19+Y20+Y21+SUM(Y22:Y37)</f>
        <v>-454491.2957</v>
      </c>
      <c r="Z38" s="12" t="n">
        <f aca="false">Z15+Z16+Z17+Z18+Z19+Z20+Z21+SUM(Z22:Z37)</f>
        <v>-454491.2957</v>
      </c>
      <c r="AA38" s="12" t="n">
        <f aca="false">AA15+AA16+AA17+AA18+AA19+AA20+AA21+SUM(AA22:AA37)</f>
        <v>-463581.121614</v>
      </c>
      <c r="AB38" s="12" t="n">
        <f aca="false">AB15+AB16+AB17+AB18+AB19+AB20+AB21+SUM(AB22:AB37)</f>
        <v>-463581.121614</v>
      </c>
      <c r="AC38" s="12" t="n">
        <f aca="false">AC15+AC16+AC17+AC18+AC19+AC20+AC21+SUM(AC22:AC37)</f>
        <v>-1807606.661614</v>
      </c>
      <c r="AD38" s="12" t="n">
        <f aca="false">AD15+AD16+AD17+AD18+AD19+AD20+AD21+SUM(AD22:AD37)</f>
        <v>-463581.121614</v>
      </c>
      <c r="AE38" s="12" t="n">
        <f aca="false">AE15+AE16+AE17+AE18+AE19+AE20+AE21+SUM(AE22:AE37)</f>
        <v>-463581.121614</v>
      </c>
      <c r="AF38" s="12" t="n">
        <f aca="false">AF15+AF16+AF17+AF18+AF19+AF20+AF21+SUM(AF22:AF37)</f>
        <v>-463581.121614</v>
      </c>
      <c r="AG38" s="12" t="n">
        <f aca="false">AG15+AG16+AG17+AG18+AG19+AG20+AG21+SUM(AG22:AG37)</f>
        <v>-463581.121614</v>
      </c>
      <c r="AH38" s="12" t="n">
        <f aca="false">AH15+AH16+AH17+AH18+AH19+AH20+AH21+SUM(AH22:AH37)</f>
        <v>-463581.121614</v>
      </c>
      <c r="AI38" s="12" t="n">
        <f aca="false">AI15+AI16+AI17+AI18+AI19+AI20+AI21+SUM(AI22:AI37)</f>
        <v>-463581.121614</v>
      </c>
      <c r="AJ38" s="12" t="n">
        <f aca="false">AJ15+AJ16+AJ17+AJ18+AJ19+AJ20+AJ21+SUM(AJ22:AJ37)</f>
        <v>-463581.121614</v>
      </c>
      <c r="AK38" s="12" t="n">
        <f aca="false">AK15+AK16+AK17+AK18+AK19+AK20+AK21+SUM(AK22:AK37)</f>
        <v>-463581.121614</v>
      </c>
      <c r="AL38" s="12" t="n">
        <f aca="false">AL15+AL16+AL17+AL18+AL19+AL20+AL21+SUM(AL22:AL37)</f>
        <v>-463581.121614</v>
      </c>
      <c r="AM38" s="12" t="n">
        <f aca="false">AM15+AM16+AM17+AM18+AM19+AM20+AM21+SUM(AM22:AM37)</f>
        <v>-472852.74404628</v>
      </c>
      <c r="AN38" s="12" t="n">
        <f aca="false">AN15+AN16+AN17+AN18+AN19+AN20+AN21+SUM(AN22:AN37)</f>
        <v>-472852.74404628</v>
      </c>
      <c r="AO38" s="12" t="n">
        <f aca="false">AO15+AO16+AO17+AO18+AO19+AO20+AO21+SUM(AO22:AO37)</f>
        <v>-472852.74404628</v>
      </c>
      <c r="AP38" s="12" t="n">
        <f aca="false">AP15+AP16+AP17+AP18+AP19+AP20+AP21+SUM(AP22:AP37)</f>
        <v>-472852.74404628</v>
      </c>
      <c r="AQ38" s="12" t="n">
        <f aca="false">AQ15+AQ16+AQ17+AQ18+AQ19+AQ20+AQ21+SUM(AQ22:AQ37)</f>
        <v>-472852.74404628</v>
      </c>
      <c r="AR38" s="12" t="n">
        <f aca="false">AR15+AR16+AR17+AR18+AR19+AR20+AR21+SUM(AR22:AR37)</f>
        <v>-472852.74404628</v>
      </c>
      <c r="AS38" s="12" t="n">
        <f aca="false">AS15+AS16+AS17+AS18+AS19+AS20+AS21+SUM(AS22:AS37)</f>
        <v>-472852.74404628</v>
      </c>
      <c r="AT38" s="12" t="n">
        <f aca="false">AT15+AT16+AT17+AT18+AT19+AT20+AT21+SUM(AT22:AT37)</f>
        <v>-472852.74404628</v>
      </c>
      <c r="AU38" s="12" t="n">
        <f aca="false">AU15+AU16+AU17+AU18+AU19+AU20+AU21+SUM(AU22:AU37)</f>
        <v>-472852.74404628</v>
      </c>
      <c r="AV38" s="12" t="n">
        <f aca="false">AV15+AV16+AV17+AV18+AV19+AV20+AV21+SUM(AV22:AV37)</f>
        <v>-472852.74404628</v>
      </c>
      <c r="AW38" s="12" t="n">
        <f aca="false">AW15+AW16+AW17+AW18+AW19+AW20+AW21+SUM(AW22:AW37)</f>
        <v>-472852.74404628</v>
      </c>
      <c r="AX38" s="12" t="n">
        <f aca="false">AX15+AX16+AX17+AX18+AX19+AX20+AX21+SUM(AX22:AX37)</f>
        <v>-472852.74404628</v>
      </c>
      <c r="AY38" s="12" t="n">
        <f aca="false">AY15+AY16+AY17+AY18+AY19+AY20+AY21+SUM(AY22:AY37)</f>
        <v>-482309.798927206</v>
      </c>
      <c r="AZ38" s="12" t="n">
        <f aca="false">AZ15+AZ16+AZ17+AZ18+AZ19+AZ20+AZ21+SUM(AZ22:AZ37)</f>
        <v>-482309.798927206</v>
      </c>
      <c r="BA38" s="12" t="n">
        <f aca="false">BA15+BA16+BA17+BA18+BA19+BA20+BA21+SUM(BA22:BA37)</f>
        <v>-482309.798927206</v>
      </c>
      <c r="BB38" s="12" t="n">
        <f aca="false">BB15+BB16+BB17+BB18+BB19+BB20+BB21+SUM(BB22:BB37)</f>
        <v>-482309.798927206</v>
      </c>
      <c r="BC38" s="12" t="n">
        <f aca="false">BC15+BC16+BC17+BC18+BC19+BC20+BC21+SUM(BC22:BC37)</f>
        <v>-482309.798927206</v>
      </c>
      <c r="BD38" s="12" t="n">
        <f aca="false">BD15+BD16+BD17+BD18+BD19+BD20+BD21+SUM(BD22:BD37)</f>
        <v>-482309.798927206</v>
      </c>
      <c r="BE38" s="12" t="n">
        <f aca="false">BE15+BE16+BE17+BE18+BE19+BE20+BE21+SUM(BE22:BE37)</f>
        <v>-482309.798927206</v>
      </c>
      <c r="BF38" s="12" t="n">
        <f aca="false">BF15+BF16+BF17+BF18+BF19+BF20+BF21+SUM(BF22:BF37)</f>
        <v>-482309.798927206</v>
      </c>
      <c r="BG38" s="12" t="n">
        <f aca="false">BG15+BG16+BG17+BG18+BG19+BG20+BG21+SUM(BG22:BG37)</f>
        <v>-482309.798927206</v>
      </c>
      <c r="BH38" s="12" t="n">
        <f aca="false">BH15+BH16+BH17+BH18+BH19+BH20+BH21+SUM(BH22:BH37)</f>
        <v>-482309.798927206</v>
      </c>
      <c r="BI38" s="12" t="n">
        <f aca="false">BI15+BI16+BI17+BI18+BI19+BI20+BI21+SUM(BI22:BI37)</f>
        <v>-482309.798927206</v>
      </c>
      <c r="BJ38" s="12" t="n">
        <f aca="false">BJ15+BJ16+BJ17+BJ18+BJ19+BJ20+BJ21+SUM(BJ22:BJ37)</f>
        <v>-482309.798927206</v>
      </c>
      <c r="BK38" s="12" t="n">
        <f aca="false">BK15+BK16+BK17+BK18+BK19+BK20+BK21+SUM(BK22:BK37)</f>
        <v>-491955.99490575</v>
      </c>
      <c r="BL38" s="12" t="n">
        <f aca="false">BL15+BL16+BL17+BL18+BL19+BL20+BL21+SUM(BL22:BL37)</f>
        <v>-491955.99490575</v>
      </c>
      <c r="BM38" s="12" t="n">
        <f aca="false">BM15+BM16+BM17+BM18+BM19+BM20+BM21+SUM(BM22:BM37)</f>
        <v>-491955.99490575</v>
      </c>
      <c r="BN38" s="12" t="n">
        <f aca="false">BN15+BN16+BN17+BN18+BN19+BN20+BN21+SUM(BN22:BN37)</f>
        <v>-491955.99490575</v>
      </c>
      <c r="BO38" s="12" t="n">
        <f aca="false">BO15+BO16+BO17+BO18+BO19+BO20+BO21+SUM(BO22:BO37)</f>
        <v>-491955.99490575</v>
      </c>
      <c r="BP38" s="12" t="n">
        <f aca="false">BP15+BP16+BP17+BP18+BP19+BP20+BP21+SUM(BP22:BP37)</f>
        <v>-491955.99490575</v>
      </c>
      <c r="BQ38" s="12" t="n">
        <f aca="false">BQ15+BQ16+BQ17+BQ18+BQ19+BQ20+BQ21+SUM(BQ22:BQ37)</f>
        <v>-491955.99490575</v>
      </c>
      <c r="BR38" s="12" t="n">
        <f aca="false">BR15+BR16+BR17+BR18+BR19+BR20+BR21+SUM(BR22:BR37)</f>
        <v>-491955.99490575</v>
      </c>
      <c r="BS38" s="12" t="n">
        <f aca="false">BS15+BS16+BS17+BS18+BS19+BS20+BS21+SUM(BS22:BS37)</f>
        <v>-491955.99490575</v>
      </c>
      <c r="BT38" s="12" t="n">
        <f aca="false">BT15+BT16+BT17+BT18+BT19+BT20+BT21+SUM(BT22:BT37)</f>
        <v>-491955.99490575</v>
      </c>
      <c r="BU38" s="12" t="n">
        <f aca="false">BU15+BU16+BU17+BU18+BU19+BU20+BU21+SUM(BU22:BU37)</f>
        <v>-491955.99490575</v>
      </c>
      <c r="BV38" s="12" t="n">
        <f aca="false">BV15+BV16+BV17+BV18+BV19+BV20+BV21+SUM(BV22:BV37)</f>
        <v>-491955.99490575</v>
      </c>
      <c r="BW38" s="12" t="n">
        <f aca="false">BW15+BW16+BW17+BW18+BW19+BW20+BW21+SUM(BW22:BW37)</f>
        <v>-501795.114803865</v>
      </c>
      <c r="BX38" s="12" t="n">
        <f aca="false">BX15+BX16+BX17+BX18+BX19+BX20+BX21+SUM(BX22:BX37)</f>
        <v>-501795.114803865</v>
      </c>
      <c r="BY38" s="12" t="n">
        <f aca="false">BY15+BY16+BY17+BY18+BY19+BY20+BY21+SUM(BY22:BY37)</f>
        <v>-501795.114803865</v>
      </c>
      <c r="BZ38" s="12" t="n">
        <f aca="false">BZ15+BZ16+BZ17+BZ18+BZ19+BZ20+BZ21+SUM(BZ22:BZ37)</f>
        <v>-501795.114803865</v>
      </c>
      <c r="CA38" s="12" t="n">
        <f aca="false">CA15+CA16+CA17+CA18+CA19+CA20+CA21+SUM(CA22:CA37)</f>
        <v>-501795.114803865</v>
      </c>
      <c r="CB38" s="12" t="n">
        <f aca="false">CB15+CB16+CB17+CB18+CB19+CB20+CB21+SUM(CB22:CB37)</f>
        <v>-501795.114803865</v>
      </c>
      <c r="CC38" s="12" t="n">
        <f aca="false">CC15+CC16+CC17+CC18+CC19+CC20+CC21+SUM(CC22:CC37)</f>
        <v>-501795.114803865</v>
      </c>
      <c r="CD38" s="12" t="n">
        <f aca="false">CD15+CD16+CD17+CD18+CD19+CD20+CD21+SUM(CD22:CD37)</f>
        <v>-501795.114803865</v>
      </c>
      <c r="CE38" s="12" t="n">
        <f aca="false">CE15+CE16+CE17+CE18+CE19+CE20+CE21+SUM(CE22:CE37)</f>
        <v>-501795.114803865</v>
      </c>
      <c r="CF38" s="12" t="n">
        <f aca="false">CF15+CF16+CF17+CF18+CF19+CF20+CF21+SUM(CF22:CF37)</f>
        <v>-501795.114803865</v>
      </c>
      <c r="CG38" s="12" t="n">
        <f aca="false">CG15+CG16+CG17+CG18+CG19+CG20+CG21+SUM(CG22:CG37)</f>
        <v>-501795.114803865</v>
      </c>
      <c r="CH38" s="12" t="n">
        <f aca="false">CH15+CH16+CH17+CH18+CH19+CH20+CH21+SUM(CH22:CH37)</f>
        <v>-501795.114803865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464650.236785646</v>
      </c>
      <c r="G40" s="16" t="n">
        <f aca="false">G12+G38</f>
        <v>181983.975366826</v>
      </c>
      <c r="H40" s="16" t="n">
        <f aca="false">H12+H38</f>
        <v>227110.787567783</v>
      </c>
      <c r="I40" s="16" t="n">
        <f aca="false">I12+I38</f>
        <v>592600.113454546</v>
      </c>
      <c r="J40" s="16" t="n">
        <f aca="false">J12+J38</f>
        <v>630904.014401515</v>
      </c>
      <c r="K40" s="16" t="n">
        <f aca="false">K12+K38</f>
        <v>408665.136401515</v>
      </c>
      <c r="L40" s="16" t="n">
        <f aca="false">L12+L38</f>
        <v>408665.136401515</v>
      </c>
      <c r="M40" s="16" t="n">
        <f aca="false">M12+M38</f>
        <v>408665.136401515</v>
      </c>
      <c r="N40" s="16" t="n">
        <f aca="false">N12+N38</f>
        <v>408665.136401515</v>
      </c>
      <c r="O40" s="16" t="n">
        <f aca="false">O12+O38</f>
        <v>-220949.894753031</v>
      </c>
      <c r="P40" s="16" t="n">
        <f aca="false">P12+P38</f>
        <v>571218.58024697</v>
      </c>
      <c r="Q40" s="16" t="n">
        <f aca="false">Q12+Q38</f>
        <v>571218.58024697</v>
      </c>
      <c r="R40" s="16" t="n">
        <f aca="false">R12+R38</f>
        <v>380569.193883333</v>
      </c>
      <c r="S40" s="16" t="n">
        <f aca="false">S12+S38</f>
        <v>254633.693883333</v>
      </c>
      <c r="T40" s="16" t="n">
        <f aca="false">T12+T38</f>
        <v>254633.693883333</v>
      </c>
      <c r="U40" s="16" t="n">
        <f aca="false">U12+U38</f>
        <v>254633.693883333</v>
      </c>
      <c r="V40" s="16" t="n">
        <f aca="false">V12+V38</f>
        <v>224330.535988597</v>
      </c>
      <c r="W40" s="16" t="n">
        <f aca="false">W12+W38</f>
        <v>224330.535988597</v>
      </c>
      <c r="X40" s="16" t="n">
        <f aca="false">X12+X38</f>
        <v>224330.535988597</v>
      </c>
      <c r="Y40" s="16" t="n">
        <f aca="false">Y12+Y38</f>
        <v>224330.535988597</v>
      </c>
      <c r="Z40" s="16" t="n">
        <f aca="false">Z12+Z38</f>
        <v>167051.17594075</v>
      </c>
      <c r="AA40" s="16" t="n">
        <f aca="false">AA12+AA38</f>
        <v>112834.537825793</v>
      </c>
      <c r="AB40" s="16" t="n">
        <f aca="false">AB12+AB38</f>
        <v>31340.6861511515</v>
      </c>
      <c r="AC40" s="16" t="n">
        <f aca="false">AC12+AC38</f>
        <v>-535719.040515515</v>
      </c>
      <c r="AD40" s="16" t="n">
        <f aca="false">AD12+AD38</f>
        <v>187987.019484485</v>
      </c>
      <c r="AE40" s="16" t="n">
        <f aca="false">AE12+AE38</f>
        <v>187987.019484485</v>
      </c>
      <c r="AF40" s="16" t="n">
        <f aca="false">AF12+AF38</f>
        <v>187987.019484485</v>
      </c>
      <c r="AG40" s="16" t="n">
        <f aca="false">AG12+AG38</f>
        <v>187987.019484485</v>
      </c>
      <c r="AH40" s="16" t="n">
        <f aca="false">AH12+AH38</f>
        <v>87308.0185375152</v>
      </c>
      <c r="AI40" s="16" t="n">
        <f aca="false">AI12+AI38</f>
        <v>87308.0185375152</v>
      </c>
      <c r="AJ40" s="16" t="n">
        <f aca="false">AJ12+AJ38</f>
        <v>-75451.2541897575</v>
      </c>
      <c r="AK40" s="16" t="n">
        <f aca="false">AK12+AK38</f>
        <v>-75451.2541897575</v>
      </c>
      <c r="AL40" s="16" t="n">
        <f aca="false">AL12+AL38</f>
        <v>-75451.2541897575</v>
      </c>
      <c r="AM40" s="16" t="n">
        <f aca="false">AM12+AM38</f>
        <v>-144741.372834159</v>
      </c>
      <c r="AN40" s="16" t="n">
        <f aca="false">AN12+AN38</f>
        <v>-144741.372834159</v>
      </c>
      <c r="AO40" s="16" t="n">
        <f aca="false">AO12+AO38</f>
        <v>-144741.372834159</v>
      </c>
      <c r="AP40" s="16" t="n">
        <f aca="false">AP12+AP38</f>
        <v>-144741.372834159</v>
      </c>
      <c r="AQ40" s="16" t="n">
        <f aca="false">AQ12+AQ38</f>
        <v>-144741.372834159</v>
      </c>
      <c r="AR40" s="16" t="n">
        <f aca="false">AR12+AR38</f>
        <v>-144741.372834159</v>
      </c>
      <c r="AS40" s="16" t="n">
        <f aca="false">AS12+AS38</f>
        <v>-316206.410712947</v>
      </c>
      <c r="AT40" s="16" t="n">
        <f aca="false">AT12+AT38</f>
        <v>-316206.410712947</v>
      </c>
      <c r="AU40" s="16" t="n">
        <f aca="false">AU12+AU38</f>
        <v>-316206.410712947</v>
      </c>
      <c r="AV40" s="16" t="n">
        <f aca="false">AV12+AV38</f>
        <v>-316206.410712947</v>
      </c>
      <c r="AW40" s="16" t="n">
        <f aca="false">AW12+AW38</f>
        <v>-316206.410712947</v>
      </c>
      <c r="AX40" s="16" t="n">
        <f aca="false">AX12+AX38</f>
        <v>-316206.410712947</v>
      </c>
      <c r="AY40" s="16" t="n">
        <f aca="false">AY12+AY38</f>
        <v>-325663.465593872</v>
      </c>
      <c r="AZ40" s="16" t="n">
        <f aca="false">AZ12+AZ38</f>
        <v>-325663.465593872</v>
      </c>
      <c r="BA40" s="16" t="n">
        <f aca="false">BA12+BA38</f>
        <v>-325663.465593872</v>
      </c>
      <c r="BB40" s="16" t="n">
        <f aca="false">BB12+BB38</f>
        <v>-325663.465593872</v>
      </c>
      <c r="BC40" s="16" t="n">
        <f aca="false">BC12+BC38</f>
        <v>-325663.465593872</v>
      </c>
      <c r="BD40" s="16" t="n">
        <f aca="false">BD12+BD38</f>
        <v>-325663.465593872</v>
      </c>
      <c r="BE40" s="16" t="n">
        <f aca="false">BE12+BE38</f>
        <v>-325663.465593872</v>
      </c>
      <c r="BF40" s="16" t="n">
        <f aca="false">BF12+BF38</f>
        <v>-325663.465593872</v>
      </c>
      <c r="BG40" s="16" t="n">
        <f aca="false">BG12+BG38</f>
        <v>-482309.798927206</v>
      </c>
      <c r="BH40" s="16" t="n">
        <f aca="false">BH12+BH38</f>
        <v>-482309.798927206</v>
      </c>
      <c r="BI40" s="16" t="n">
        <f aca="false">BI12+BI38</f>
        <v>-482309.798927206</v>
      </c>
      <c r="BJ40" s="16" t="n">
        <f aca="false">BJ12+BJ38</f>
        <v>-482309.798927206</v>
      </c>
      <c r="BK40" s="16" t="n">
        <f aca="false">BK12+BK38</f>
        <v>-491955.99490575</v>
      </c>
      <c r="BL40" s="16" t="n">
        <f aca="false">BL12+BL38</f>
        <v>-491955.99490575</v>
      </c>
      <c r="BM40" s="16" t="n">
        <f aca="false">BM12+BM38</f>
        <v>-491955.99490575</v>
      </c>
      <c r="BN40" s="16" t="n">
        <f aca="false">BN12+BN38</f>
        <v>-491955.99490575</v>
      </c>
      <c r="BO40" s="16" t="n">
        <f aca="false">BO12+BO38</f>
        <v>-491955.99490575</v>
      </c>
      <c r="BP40" s="16" t="n">
        <f aca="false">BP12+BP38</f>
        <v>-491955.99490575</v>
      </c>
      <c r="BQ40" s="16" t="n">
        <f aca="false">BQ12+BQ38</f>
        <v>-491955.99490575</v>
      </c>
      <c r="BR40" s="16" t="n">
        <f aca="false">BR12+BR38</f>
        <v>-491955.99490575</v>
      </c>
      <c r="BS40" s="16" t="n">
        <f aca="false">BS12+BS38</f>
        <v>-491955.99490575</v>
      </c>
      <c r="BT40" s="16" t="n">
        <f aca="false">BT12+BT38</f>
        <v>-491955.99490575</v>
      </c>
      <c r="BU40" s="16" t="n">
        <f aca="false">BU12+BU38</f>
        <v>-491955.99490575</v>
      </c>
      <c r="BV40" s="16" t="n">
        <f aca="false">BV12+BV38</f>
        <v>-491955.99490575</v>
      </c>
      <c r="BW40" s="16" t="n">
        <f aca="false">BW12+BW38</f>
        <v>-501795.114803865</v>
      </c>
      <c r="BX40" s="16" t="n">
        <f aca="false">BX12+BX38</f>
        <v>-501795.114803865</v>
      </c>
      <c r="BY40" s="16" t="n">
        <f aca="false">BY12+BY38</f>
        <v>-501795.114803865</v>
      </c>
      <c r="BZ40" s="16" t="n">
        <f aca="false">BZ12+BZ38</f>
        <v>-501795.114803865</v>
      </c>
      <c r="CA40" s="16" t="n">
        <f aca="false">CA12+CA38</f>
        <v>-501795.114803865</v>
      </c>
      <c r="CB40" s="16" t="n">
        <f aca="false">CB12+CB38</f>
        <v>-501795.114803865</v>
      </c>
      <c r="CC40" s="16" t="n">
        <f aca="false">CC12+CC38</f>
        <v>-501795.114803865</v>
      </c>
      <c r="CD40" s="16" t="n">
        <f aca="false">CD12+CD38</f>
        <v>-501795.114803865</v>
      </c>
      <c r="CE40" s="16" t="n">
        <f aca="false">CE12+CE38</f>
        <v>-501795.114803865</v>
      </c>
      <c r="CF40" s="16" t="n">
        <f aca="false">CF12+CF38</f>
        <v>-501795.114803865</v>
      </c>
      <c r="CG40" s="16" t="n">
        <f aca="false">CG12+CG38</f>
        <v>-501795.114803865</v>
      </c>
      <c r="CH40" s="16" t="n">
        <f aca="false">CH12+CH38</f>
        <v>-501795.114803865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0.382487664862347</v>
      </c>
      <c r="G41" s="32" t="n">
        <f aca="false">IF(G12&lt;&gt;0,G40/G12,0)</f>
        <v>0.289984876478302</v>
      </c>
      <c r="H41" s="32" t="n">
        <f aca="false">IF(H12&lt;&gt;0,H40/H12,0)</f>
        <v>0.337615576855033</v>
      </c>
      <c r="I41" s="32" t="n">
        <f aca="false">IF(I12&lt;&gt;0,I40/I12,0)</f>
        <v>0.471716728772257</v>
      </c>
      <c r="J41" s="32" t="n">
        <f aca="false">IF(J12&lt;&gt;0,J40/J12,0)</f>
        <v>0.51133667105106</v>
      </c>
      <c r="K41" s="32" t="n">
        <f aca="false">IF(K12&lt;&gt;0,K40/K12,0)</f>
        <v>0.478393451373595</v>
      </c>
      <c r="L41" s="32" t="n">
        <f aca="false">IF(L12&lt;&gt;0,L40/L12,0)</f>
        <v>0.478393451373595</v>
      </c>
      <c r="M41" s="32" t="n">
        <f aca="false">IF(M12&lt;&gt;0,M40/M12,0)</f>
        <v>0.478393451373595</v>
      </c>
      <c r="N41" s="32" t="n">
        <f aca="false">IF(N12&lt;&gt;0,N40/N12,0)</f>
        <v>0.478393451373595</v>
      </c>
      <c r="O41" s="32" t="n">
        <f aca="false">IF(O12&lt;&gt;0,O40/O12,0)</f>
        <v>-0.129611318015477</v>
      </c>
      <c r="P41" s="32" t="n">
        <f aca="false">IF(P12&lt;&gt;0,P40/P12,0)</f>
        <v>0.556900731524693</v>
      </c>
      <c r="Q41" s="32" t="n">
        <f aca="false">IF(Q12&lt;&gt;0,Q40/Q12,0)</f>
        <v>0.556900731524693</v>
      </c>
      <c r="R41" s="32" t="n">
        <f aca="false">IF(R12&lt;&gt;0,R40/R12,0)</f>
        <v>0.455738474793873</v>
      </c>
      <c r="S41" s="32" t="n">
        <f aca="false">IF(S12&lt;&gt;0,S40/S12,0)</f>
        <v>0.359081540805593</v>
      </c>
      <c r="T41" s="32" t="n">
        <f aca="false">IF(T12&lt;&gt;0,T40/T12,0)</f>
        <v>0.359081540805593</v>
      </c>
      <c r="U41" s="32" t="n">
        <f aca="false">IF(U12&lt;&gt;0,U40/U12,0)</f>
        <v>0.359081540805593</v>
      </c>
      <c r="V41" s="32" t="n">
        <f aca="false">IF(V12&lt;&gt;0,V40/V12,0)</f>
        <v>0.330470420243505</v>
      </c>
      <c r="W41" s="32" t="n">
        <f aca="false">IF(W12&lt;&gt;0,W40/W12,0)</f>
        <v>0.330470420243505</v>
      </c>
      <c r="X41" s="32" t="n">
        <f aca="false">IF(X12&lt;&gt;0,X40/X12,0)</f>
        <v>0.330470420243505</v>
      </c>
      <c r="Y41" s="32" t="n">
        <f aca="false">IF(Y12&lt;&gt;0,Y40/Y12,0)</f>
        <v>0.330470420243505</v>
      </c>
      <c r="Z41" s="32" t="n">
        <f aca="false">IF(Z12&lt;&gt;0,Z40/Z12,0)</f>
        <v>0.268768722272136</v>
      </c>
      <c r="AA41" s="32" t="n">
        <f aca="false">IF(AA12&lt;&gt;0,AA40/AA12,0)</f>
        <v>0.19575203410583</v>
      </c>
      <c r="AB41" s="32" t="n">
        <f aca="false">IF(AB12&lt;&gt;0,AB40/AB12,0)</f>
        <v>0.0633245204786434</v>
      </c>
      <c r="AC41" s="32" t="n">
        <f aca="false">IF(AC12&lt;&gt;0,AC40/AC12,0)</f>
        <v>-0.421199979958004</v>
      </c>
      <c r="AD41" s="32" t="n">
        <f aca="false">IF(AD12&lt;&gt;0,AD40/AD12,0)</f>
        <v>0.288514750226363</v>
      </c>
      <c r="AE41" s="32" t="n">
        <f aca="false">IF(AE12&lt;&gt;0,AE40/AE12,0)</f>
        <v>0.288514750226363</v>
      </c>
      <c r="AF41" s="32" t="n">
        <f aca="false">IF(AF12&lt;&gt;0,AF40/AF12,0)</f>
        <v>0.288514750226363</v>
      </c>
      <c r="AG41" s="32" t="n">
        <f aca="false">IF(AG12&lt;&gt;0,AG40/AG12,0)</f>
        <v>0.288514750226363</v>
      </c>
      <c r="AH41" s="32" t="n">
        <f aca="false">IF(AH12&lt;&gt;0,AH40/AH12,0)</f>
        <v>0.158485641073814</v>
      </c>
      <c r="AI41" s="32" t="n">
        <f aca="false">IF(AI12&lt;&gt;0,AI40/AI12,0)</f>
        <v>0.158485641073814</v>
      </c>
      <c r="AJ41" s="32" t="n">
        <f aca="false">IF(AJ12&lt;&gt;0,AJ40/AJ12,0)</f>
        <v>-0.194396928766335</v>
      </c>
      <c r="AK41" s="32" t="n">
        <f aca="false">IF(AK12&lt;&gt;0,AK40/AK12,0)</f>
        <v>-0.194396928766335</v>
      </c>
      <c r="AL41" s="32" t="n">
        <f aca="false">IF(AL12&lt;&gt;0,AL40/AL12,0)</f>
        <v>-0.194396928766335</v>
      </c>
      <c r="AM41" s="32" t="n">
        <f aca="false">IF(AM12&lt;&gt;0,AM40/AM12,0)</f>
        <v>-0.441134887521423</v>
      </c>
      <c r="AN41" s="32" t="n">
        <f aca="false">IF(AN12&lt;&gt;0,AN40/AN12,0)</f>
        <v>-0.441134887521423</v>
      </c>
      <c r="AO41" s="32" t="n">
        <f aca="false">IF(AO12&lt;&gt;0,AO40/AO12,0)</f>
        <v>-0.441134887521423</v>
      </c>
      <c r="AP41" s="32" t="n">
        <f aca="false">IF(AP12&lt;&gt;0,AP40/AP12,0)</f>
        <v>-0.441134887521423</v>
      </c>
      <c r="AQ41" s="32" t="n">
        <f aca="false">IF(AQ12&lt;&gt;0,AQ40/AQ12,0)</f>
        <v>-0.441134887521423</v>
      </c>
      <c r="AR41" s="32" t="n">
        <f aca="false">IF(AR12&lt;&gt;0,AR40/AR12,0)</f>
        <v>-0.441134887521423</v>
      </c>
      <c r="AS41" s="32" t="n">
        <f aca="false">IF(AS12&lt;&gt;0,AS40/AS12,0)</f>
        <v>-2.01860078039669</v>
      </c>
      <c r="AT41" s="32" t="n">
        <f aca="false">IF(AT12&lt;&gt;0,AT40/AT12,0)</f>
        <v>-2.01860078039669</v>
      </c>
      <c r="AU41" s="32" t="n">
        <f aca="false">IF(AU12&lt;&gt;0,AU40/AU12,0)</f>
        <v>-2.01860078039669</v>
      </c>
      <c r="AV41" s="32" t="n">
        <f aca="false">IF(AV12&lt;&gt;0,AV40/AV12,0)</f>
        <v>-2.01860078039669</v>
      </c>
      <c r="AW41" s="32" t="n">
        <f aca="false">IF(AW12&lt;&gt;0,AW40/AW12,0)</f>
        <v>-2.01860078039669</v>
      </c>
      <c r="AX41" s="32" t="n">
        <f aca="false">IF(AX12&lt;&gt;0,AX40/AX12,0)</f>
        <v>-2.01860078039669</v>
      </c>
      <c r="AY41" s="32" t="n">
        <f aca="false">IF(AY12&lt;&gt;0,AY40/AY12,0)</f>
        <v>-2.07897279600462</v>
      </c>
      <c r="AZ41" s="32" t="n">
        <f aca="false">IF(AZ12&lt;&gt;0,AZ40/AZ12,0)</f>
        <v>-2.07897279600462</v>
      </c>
      <c r="BA41" s="32" t="n">
        <f aca="false">IF(BA12&lt;&gt;0,BA40/BA12,0)</f>
        <v>-2.07897279600462</v>
      </c>
      <c r="BB41" s="32" t="n">
        <f aca="false">IF(BB12&lt;&gt;0,BB40/BB12,0)</f>
        <v>-2.07897279600462</v>
      </c>
      <c r="BC41" s="32" t="n">
        <f aca="false">IF(BC12&lt;&gt;0,BC40/BC12,0)</f>
        <v>-2.07897279600462</v>
      </c>
      <c r="BD41" s="32" t="n">
        <f aca="false">IF(BD12&lt;&gt;0,BD40/BD12,0)</f>
        <v>-2.07897279600462</v>
      </c>
      <c r="BE41" s="32" t="n">
        <f aca="false">IF(BE12&lt;&gt;0,BE40/BE12,0)</f>
        <v>-2.07897279600462</v>
      </c>
      <c r="BF41" s="32" t="n">
        <f aca="false">IF(BF12&lt;&gt;0,BF40/BF12,0)</f>
        <v>-2.07897279600462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6315.79</v>
      </c>
      <c r="H53" s="10" t="n">
        <f aca="false">IF(Projects!$G$11="Yes",6315.79,0)</f>
        <v>6315.79</v>
      </c>
      <c r="I53" s="10" t="n">
        <f aca="false">IF(Projects!$G$11="Yes",6315.79,0)</f>
        <v>6315.79</v>
      </c>
      <c r="J53" s="10" t="n">
        <f aca="false">IF(Projects!$G$11="Yes",6315.79,0)</f>
        <v>6315.79</v>
      </c>
      <c r="K53" s="10" t="n">
        <f aca="false">IF(Projects!$G$11="Yes",6315.79,0)</f>
        <v>6315.79</v>
      </c>
      <c r="L53" s="10" t="n">
        <f aca="false">IF(Projects!$G$11="Yes",6315.79,0)</f>
        <v>6315.79</v>
      </c>
      <c r="M53" s="10" t="n">
        <f aca="false">IF(Projects!$G$11="Yes",6315.79,0)</f>
        <v>6315.79</v>
      </c>
      <c r="N53" s="10" t="n">
        <f aca="false">IF(Projects!$G$11="Yes",6315.79,0)</f>
        <v>6315.79</v>
      </c>
      <c r="O53" s="10" t="n">
        <f aca="false">IF(Projects!$G$11="Yes",6315.79,0)</f>
        <v>6315.79</v>
      </c>
      <c r="P53" s="10" t="n">
        <f aca="false">IF(Projects!$G$11="Yes",6315.79,0)</f>
        <v>6315.79</v>
      </c>
      <c r="Q53" s="10" t="n">
        <f aca="false">IF(Projects!$G$11="Yes",6315.79,0)</f>
        <v>6315.79</v>
      </c>
      <c r="R53" s="10" t="n">
        <f aca="false">IF(Projects!$G$11="Yes",6315.79,0)</f>
        <v>6315.79</v>
      </c>
      <c r="S53" s="10" t="n">
        <f aca="false">IF(Projects!$G$11="Yes",6315.79,0)</f>
        <v>6315.79</v>
      </c>
      <c r="T53" s="10" t="n">
        <f aca="false">IF(Projects!$G$11="Yes",6315.79,0)</f>
        <v>6315.79</v>
      </c>
      <c r="U53" s="10" t="n">
        <f aca="false">IF(Projects!$G$11="Yes",6315.79,0)</f>
        <v>6315.79</v>
      </c>
      <c r="V53" s="10" t="n">
        <f aca="false">IF(Projects!$G$11="Yes",6315.79,0)</f>
        <v>6315.79</v>
      </c>
      <c r="W53" s="10" t="n">
        <f aca="false">IF(Projects!$G$11="Yes",6315.79,0)</f>
        <v>6315.79</v>
      </c>
      <c r="X53" s="10" t="n">
        <f aca="false">IF(Projects!$G$11="Yes",6315.79,0)</f>
        <v>6315.79</v>
      </c>
      <c r="Y53" s="10" t="n">
        <f aca="false">IF(Projects!$G$11="Yes",6315.79,0)</f>
        <v>6315.79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253980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6315.79</v>
      </c>
      <c r="I56" s="10" t="n">
        <f aca="false">IF(Projects!$G$12="Yes",6315.79,0)</f>
        <v>6315.79</v>
      </c>
      <c r="J56" s="10" t="n">
        <f aca="false">IF(Projects!$G$12="Yes",6315.79,0)</f>
        <v>6315.79</v>
      </c>
      <c r="K56" s="10" t="n">
        <f aca="false">IF(Projects!$G$12="Yes",6315.79,0)</f>
        <v>6315.79</v>
      </c>
      <c r="L56" s="10" t="n">
        <f aca="false">IF(Projects!$G$12="Yes",6315.79,0)</f>
        <v>6315.79</v>
      </c>
      <c r="M56" s="10" t="n">
        <f aca="false">IF(Projects!$G$12="Yes",6315.79,0)</f>
        <v>6315.79</v>
      </c>
      <c r="N56" s="10" t="n">
        <f aca="false">IF(Projects!$G$12="Yes",6315.79,0)</f>
        <v>6315.79</v>
      </c>
      <c r="O56" s="10" t="n">
        <f aca="false">IF(Projects!$G$12="Yes",6315.79,0)</f>
        <v>6315.79</v>
      </c>
      <c r="P56" s="10" t="n">
        <f aca="false">IF(Projects!$G$12="Yes",6315.79,0)</f>
        <v>6315.79</v>
      </c>
      <c r="Q56" s="10" t="n">
        <f aca="false">IF(Projects!$G$12="Yes",6315.79,0)</f>
        <v>6315.79</v>
      </c>
      <c r="R56" s="10" t="n">
        <f aca="false">IF(Projects!$G$12="Yes",6315.79,0)</f>
        <v>6315.79</v>
      </c>
      <c r="S56" s="10" t="n">
        <f aca="false">IF(Projects!$G$12="Yes",6315.79,0)</f>
        <v>6315.79</v>
      </c>
      <c r="T56" s="10" t="n">
        <f aca="false">IF(Projects!$G$12="Yes",6315.79,0)</f>
        <v>6315.79</v>
      </c>
      <c r="U56" s="10" t="n">
        <f aca="false">IF(Projects!$G$12="Yes",6315.79,0)</f>
        <v>6315.79</v>
      </c>
      <c r="V56" s="10" t="n">
        <f aca="false">IF(Projects!$G$12="Yes",6315.79,0)</f>
        <v>6315.79</v>
      </c>
      <c r="W56" s="10" t="n">
        <f aca="false">IF(Projects!$G$12="Yes",6315.79,0)</f>
        <v>6315.79</v>
      </c>
      <c r="X56" s="10" t="n">
        <f aca="false">IF(Projects!$G$12="Yes",6315.79,0)</f>
        <v>6315.79</v>
      </c>
      <c r="Y56" s="10" t="n">
        <f aca="false">IF(Projects!$G$12="Yes",6315.79,0)</f>
        <v>6315.79</v>
      </c>
      <c r="Z56" s="10" t="n">
        <f aca="false">IF(Projects!$G$12="Yes",6315.79,0)</f>
        <v>6315.79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4736.84</v>
      </c>
      <c r="I57" s="10" t="n">
        <f aca="false">IF(Projects!$G$12="Yes",4736.84,0)</f>
        <v>4736.84</v>
      </c>
      <c r="J57" s="10" t="n">
        <f aca="false">IF(Projects!$G$12="Yes",4736.84,0)</f>
        <v>4736.84</v>
      </c>
      <c r="K57" s="10" t="n">
        <f aca="false">IF(Projects!$G$12="Yes",4736.84,0)</f>
        <v>4736.84</v>
      </c>
      <c r="L57" s="10" t="n">
        <f aca="false">IF(Projects!$G$12="Yes",4736.84,0)</f>
        <v>4736.84</v>
      </c>
      <c r="M57" s="10" t="n">
        <f aca="false">IF(Projects!$G$12="Yes",4736.84,0)</f>
        <v>4736.84</v>
      </c>
      <c r="N57" s="10" t="n">
        <f aca="false">IF(Projects!$G$12="Yes",4736.84,0)</f>
        <v>4736.84</v>
      </c>
      <c r="O57" s="10" t="n">
        <f aca="false">IF(Projects!$G$12="Yes",4736.84,0)</f>
        <v>4736.84</v>
      </c>
      <c r="P57" s="10" t="n">
        <f aca="false">IF(Projects!$G$12="Yes",4736.84,0)</f>
        <v>4736.84</v>
      </c>
      <c r="Q57" s="10" t="n">
        <f aca="false">IF(Projects!$G$12="Yes",4736.84,0)</f>
        <v>4736.84</v>
      </c>
      <c r="R57" s="10" t="n">
        <f aca="false">IF(Projects!$G$12="Yes",4736.84,0)</f>
        <v>4736.84</v>
      </c>
      <c r="S57" s="10" t="n">
        <f aca="false">IF(Projects!$G$12="Yes",4736.84,0)</f>
        <v>4736.84</v>
      </c>
      <c r="T57" s="10" t="n">
        <f aca="false">IF(Projects!$G$12="Yes",4736.84,0)</f>
        <v>4736.84</v>
      </c>
      <c r="U57" s="10" t="n">
        <f aca="false">IF(Projects!$G$12="Yes",4736.84,0)</f>
        <v>4736.84</v>
      </c>
      <c r="V57" s="10" t="n">
        <f aca="false">IF(Projects!$G$12="Yes",4736.84,0)</f>
        <v>4736.84</v>
      </c>
      <c r="W57" s="10" t="n">
        <f aca="false">IF(Projects!$G$12="Yes",4736.84,0)</f>
        <v>4736.84</v>
      </c>
      <c r="X57" s="10" t="n">
        <f aca="false">IF(Projects!$G$12="Yes",4736.84,0)</f>
        <v>4736.84</v>
      </c>
      <c r="Y57" s="10" t="n">
        <f aca="false">IF(Projects!$G$12="Yes",4736.84,0)</f>
        <v>4736.84</v>
      </c>
      <c r="Z57" s="10" t="n">
        <f aca="false">IF(Projects!$G$12="Yes",4736.84,0)</f>
        <v>4736.84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181745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310226.16</v>
      </c>
      <c r="H63" s="34" t="n">
        <f aca="false">SUM(H46:H62)</f>
        <v>248210.46</v>
      </c>
      <c r="I63" s="34" t="n">
        <f aca="false">SUM(I46:I62)</f>
        <v>66465.46</v>
      </c>
      <c r="J63" s="34" t="n">
        <f aca="false">SUM(J46:J62)</f>
        <v>57090.46</v>
      </c>
      <c r="K63" s="34" t="n">
        <f aca="false">SUM(K46:K62)</f>
        <v>57090.46</v>
      </c>
      <c r="L63" s="34" t="n">
        <f aca="false">SUM(L46:L62)</f>
        <v>69222.2904</v>
      </c>
      <c r="M63" s="34" t="n">
        <f aca="false">SUM(M46:M62)</f>
        <v>69222.2904</v>
      </c>
      <c r="N63" s="34" t="n">
        <f aca="false">SUM(N46:N62)</f>
        <v>69222.2904</v>
      </c>
      <c r="O63" s="34" t="n">
        <f aca="false">SUM(O46:O62)</f>
        <v>69222.2904</v>
      </c>
      <c r="P63" s="34" t="n">
        <f aca="false">SUM(P46:P62)</f>
        <v>69222.2904</v>
      </c>
      <c r="Q63" s="34" t="n">
        <f aca="false">SUM(Q46:Q62)</f>
        <v>69222.2904</v>
      </c>
      <c r="R63" s="34" t="n">
        <f aca="false">SUM(R46:R62)</f>
        <v>49387.9028</v>
      </c>
      <c r="S63" s="34" t="n">
        <f aca="false">SUM(S46:S62)</f>
        <v>65960.1652</v>
      </c>
      <c r="T63" s="34" t="n">
        <f aca="false">SUM(T46:T62)</f>
        <v>82532.4276</v>
      </c>
      <c r="U63" s="34" t="n">
        <f aca="false">SUM(U46:U62)</f>
        <v>99104.6836</v>
      </c>
      <c r="V63" s="34" t="n">
        <f aca="false">SUM(V46:V62)</f>
        <v>115676.9524</v>
      </c>
      <c r="W63" s="34" t="n">
        <f aca="false">SUM(W46:W62)</f>
        <v>189624.2084</v>
      </c>
      <c r="X63" s="34" t="n">
        <f aca="false">SUM(X46:X62)</f>
        <v>148821.4644</v>
      </c>
      <c r="Y63" s="34" t="n">
        <f aca="false">SUM(Y46:Y62)</f>
        <v>165393.7268</v>
      </c>
      <c r="Z63" s="34" t="n">
        <f aca="false">SUM(Z46:Z62)</f>
        <v>226709.4156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-275335.673333333</v>
      </c>
      <c r="H84" s="12" t="n">
        <f aca="false">H65+H66+H67+H68+H69+SUM(H70:H83)</f>
        <v>-255016.613333333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34890.4866666667</v>
      </c>
      <c r="H86" s="16" t="n">
        <f aca="false">H63+H84</f>
        <v>-6806.15333333332</v>
      </c>
      <c r="I86" s="16" t="n">
        <f aca="false">I63+I84</f>
        <v>-53099.1233333333</v>
      </c>
      <c r="J86" s="16" t="n">
        <f aca="false">J63+J84</f>
        <v>-62474.1233333333</v>
      </c>
      <c r="K86" s="16" t="n">
        <f aca="false">K63+K84</f>
        <v>-83474.1233333333</v>
      </c>
      <c r="L86" s="16" t="n">
        <f aca="false">L63+L84</f>
        <v>-50342.2929333333</v>
      </c>
      <c r="M86" s="16" t="n">
        <f aca="false">M63+M84</f>
        <v>-50342.2929333333</v>
      </c>
      <c r="N86" s="16" t="n">
        <f aca="false">N63+N84</f>
        <v>-50342.2929333333</v>
      </c>
      <c r="O86" s="16" t="n">
        <f aca="false">O63+O84</f>
        <v>-52733.5846</v>
      </c>
      <c r="P86" s="16" t="n">
        <f aca="false">P63+P84</f>
        <v>-52733.5846</v>
      </c>
      <c r="Q86" s="16" t="n">
        <f aca="false">Q63+Q84</f>
        <v>-52733.5846</v>
      </c>
      <c r="R86" s="16" t="n">
        <f aca="false">R63+R84</f>
        <v>-96027.9722</v>
      </c>
      <c r="S86" s="16" t="n">
        <f aca="false">S63+S84</f>
        <v>-55995.7098</v>
      </c>
      <c r="T86" s="16" t="n">
        <f aca="false">T63+T84</f>
        <v>-39423.4474</v>
      </c>
      <c r="U86" s="16" t="n">
        <f aca="false">U63+U84</f>
        <v>-22851.1914</v>
      </c>
      <c r="V86" s="16" t="n">
        <f aca="false">V63+V84</f>
        <v>-6278.92260000002</v>
      </c>
      <c r="W86" s="16" t="n">
        <f aca="false">W63+W84</f>
        <v>46248.3334</v>
      </c>
      <c r="X86" s="16" t="n">
        <f aca="false">X63+X84</f>
        <v>26865.5894</v>
      </c>
      <c r="Y86" s="16" t="n">
        <f aca="false">Y63+Y84</f>
        <v>43437.8518</v>
      </c>
      <c r="Z86" s="16" t="n">
        <f aca="false">Z63+Z84</f>
        <v>104753.5406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627563.677033493</v>
      </c>
      <c r="H89" s="10" t="n">
        <f aca="false">H12</f>
        <v>672690.48923445</v>
      </c>
      <c r="I89" s="10" t="n">
        <f aca="false">I12</f>
        <v>1256262.66212121</v>
      </c>
      <c r="J89" s="10" t="n">
        <f aca="false">J12</f>
        <v>1233832.91306818</v>
      </c>
      <c r="K89" s="10" t="n">
        <f aca="false">K12</f>
        <v>854244.838068182</v>
      </c>
      <c r="L89" s="10" t="n">
        <f aca="false">L12</f>
        <v>854244.838068182</v>
      </c>
      <c r="M89" s="10" t="n">
        <f aca="false">M12</f>
        <v>854244.838068182</v>
      </c>
      <c r="N89" s="10" t="n">
        <f aca="false">N12</f>
        <v>854244.838068182</v>
      </c>
      <c r="O89" s="10" t="n">
        <f aca="false">O12</f>
        <v>1704711.42594697</v>
      </c>
      <c r="P89" s="10" t="n">
        <f aca="false">P12</f>
        <v>1025709.87594697</v>
      </c>
      <c r="Q89" s="10" t="n">
        <f aca="false">Q12</f>
        <v>1025709.87594697</v>
      </c>
      <c r="R89" s="10" t="n">
        <f aca="false">R12</f>
        <v>835060.489583333</v>
      </c>
      <c r="S89" s="10" t="n">
        <f aca="false">S12</f>
        <v>709124.989583333</v>
      </c>
      <c r="T89" s="10" t="n">
        <f aca="false">T12</f>
        <v>709124.989583333</v>
      </c>
      <c r="U89" s="10" t="n">
        <f aca="false">U12</f>
        <v>709124.989583333</v>
      </c>
      <c r="V89" s="10" t="n">
        <f aca="false">V12</f>
        <v>678821.831688597</v>
      </c>
      <c r="W89" s="10" t="n">
        <f aca="false">W12</f>
        <v>678821.831688597</v>
      </c>
      <c r="X89" s="10" t="n">
        <f aca="false">X12</f>
        <v>678821.831688597</v>
      </c>
      <c r="Y89" s="10" t="n">
        <f aca="false">Y12</f>
        <v>678821.831688597</v>
      </c>
      <c r="Z89" s="10" t="n">
        <f aca="false">Z12</f>
        <v>621542.47164075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310226.16</v>
      </c>
      <c r="H90" s="10" t="n">
        <f aca="false">H63</f>
        <v>248210.46</v>
      </c>
      <c r="I90" s="10" t="n">
        <f aca="false">I63</f>
        <v>66465.46</v>
      </c>
      <c r="J90" s="10" t="n">
        <f aca="false">J63</f>
        <v>57090.46</v>
      </c>
      <c r="K90" s="10" t="n">
        <f aca="false">K63</f>
        <v>57090.46</v>
      </c>
      <c r="L90" s="10" t="n">
        <f aca="false">L63</f>
        <v>69222.2904</v>
      </c>
      <c r="M90" s="10" t="n">
        <f aca="false">M63</f>
        <v>69222.2904</v>
      </c>
      <c r="N90" s="10" t="n">
        <f aca="false">N63</f>
        <v>69222.2904</v>
      </c>
      <c r="O90" s="10" t="n">
        <f aca="false">O63</f>
        <v>69222.2904</v>
      </c>
      <c r="P90" s="10" t="n">
        <f aca="false">P63</f>
        <v>69222.2904</v>
      </c>
      <c r="Q90" s="10" t="n">
        <f aca="false">Q63</f>
        <v>69222.2904</v>
      </c>
      <c r="R90" s="10" t="n">
        <f aca="false">R63</f>
        <v>49387.9028</v>
      </c>
      <c r="S90" s="10" t="n">
        <f aca="false">S63</f>
        <v>65960.1652</v>
      </c>
      <c r="T90" s="10" t="n">
        <f aca="false">T63</f>
        <v>82532.4276</v>
      </c>
      <c r="U90" s="10" t="n">
        <f aca="false">U63</f>
        <v>99104.6836</v>
      </c>
      <c r="V90" s="10" t="n">
        <f aca="false">V63</f>
        <v>115676.9524</v>
      </c>
      <c r="W90" s="10" t="n">
        <f aca="false">W63</f>
        <v>189624.2084</v>
      </c>
      <c r="X90" s="10" t="n">
        <f aca="false">X63</f>
        <v>148821.4644</v>
      </c>
      <c r="Y90" s="10" t="n">
        <f aca="false">Y63</f>
        <v>165393.7268</v>
      </c>
      <c r="Z90" s="10" t="n">
        <f aca="false">Z63</f>
        <v>226709.4156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937789.837033493</v>
      </c>
      <c r="H91" s="12" t="n">
        <f aca="false">H89+H90</f>
        <v>920900.94923445</v>
      </c>
      <c r="I91" s="12" t="n">
        <f aca="false">I89+I90</f>
        <v>1322728.12212121</v>
      </c>
      <c r="J91" s="12" t="n">
        <f aca="false">J89+J90</f>
        <v>1290923.37306818</v>
      </c>
      <c r="K91" s="12" t="n">
        <f aca="false">K89+K90</f>
        <v>911335.298068182</v>
      </c>
      <c r="L91" s="12" t="n">
        <f aca="false">L89+L90</f>
        <v>923467.128468182</v>
      </c>
      <c r="M91" s="12" t="n">
        <f aca="false">M89+M90</f>
        <v>923467.128468182</v>
      </c>
      <c r="N91" s="12" t="n">
        <f aca="false">N89+N90</f>
        <v>923467.128468182</v>
      </c>
      <c r="O91" s="12" t="n">
        <f aca="false">O89+O90</f>
        <v>1773933.71634697</v>
      </c>
      <c r="P91" s="12" t="n">
        <f aca="false">P89+P90</f>
        <v>1094932.16634697</v>
      </c>
      <c r="Q91" s="12" t="n">
        <f aca="false">Q89+Q90</f>
        <v>1094932.16634697</v>
      </c>
      <c r="R91" s="12" t="n">
        <f aca="false">R89+R90</f>
        <v>884448.392383333</v>
      </c>
      <c r="S91" s="12" t="n">
        <f aca="false">S89+S90</f>
        <v>775085.154783333</v>
      </c>
      <c r="T91" s="12" t="n">
        <f aca="false">T89+T90</f>
        <v>791657.417183333</v>
      </c>
      <c r="U91" s="12" t="n">
        <f aca="false">U89+U90</f>
        <v>808229.673183333</v>
      </c>
      <c r="V91" s="12" t="n">
        <f aca="false">V89+V90</f>
        <v>794498.784088597</v>
      </c>
      <c r="W91" s="12" t="n">
        <f aca="false">W89+W90</f>
        <v>868446.040088597</v>
      </c>
      <c r="X91" s="12" t="n">
        <f aca="false">X89+X90</f>
        <v>827643.296088597</v>
      </c>
      <c r="Y91" s="12" t="n">
        <f aca="false">Y89+Y90</f>
        <v>844215.558488597</v>
      </c>
      <c r="Z91" s="12" t="n">
        <f aca="false">Z89+Z90</f>
        <v>848251.88724075</v>
      </c>
      <c r="AA91" s="12" t="n">
        <f aca="false">AA89+AA90</f>
        <v>751269.701039793</v>
      </c>
      <c r="AB91" s="12" t="n">
        <f aca="false">AB89+AB90</f>
        <v>686348.118165151</v>
      </c>
      <c r="AC91" s="12" t="n">
        <f aca="false">AC89+AC90</f>
        <v>1566093.41149849</v>
      </c>
      <c r="AD91" s="12" t="n">
        <f aca="false">AD89+AD90</f>
        <v>831235.027498485</v>
      </c>
      <c r="AE91" s="12" t="n">
        <f aca="false">AE89+AE90</f>
        <v>831735.584298485</v>
      </c>
      <c r="AF91" s="12" t="n">
        <f aca="false">AF89+AF90</f>
        <v>832236.128298485</v>
      </c>
      <c r="AG91" s="12" t="n">
        <f aca="false">AG89+AG90</f>
        <v>823236.678698485</v>
      </c>
      <c r="AH91" s="12" t="n">
        <f aca="false">AH89+AH90</f>
        <v>723058.221751515</v>
      </c>
      <c r="AI91" s="12" t="n">
        <f aca="false">AI89+AI90</f>
        <v>740131.034551515</v>
      </c>
      <c r="AJ91" s="12" t="n">
        <f aca="false">AJ89+AJ90</f>
        <v>561300.056224242</v>
      </c>
      <c r="AK91" s="12" t="n">
        <f aca="false">AK89+AK90</f>
        <v>545228.344224243</v>
      </c>
      <c r="AL91" s="12" t="n">
        <f aca="false">AL89+AL90</f>
        <v>529156.632224242</v>
      </c>
      <c r="AM91" s="12" t="n">
        <f aca="false">AM89+AM90</f>
        <v>453066.417612121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-750160.8002</v>
      </c>
      <c r="G92" s="10" t="n">
        <f aca="false">G38</f>
        <v>-445579.701666667</v>
      </c>
      <c r="H92" s="10" t="n">
        <f aca="false">H38</f>
        <v>-445579.701666667</v>
      </c>
      <c r="I92" s="10" t="n">
        <f aca="false">I38</f>
        <v>-663662.548666667</v>
      </c>
      <c r="J92" s="10" t="n">
        <f aca="false">J38</f>
        <v>-602928.898666667</v>
      </c>
      <c r="K92" s="10" t="n">
        <f aca="false">K38</f>
        <v>-445579.701666667</v>
      </c>
      <c r="L92" s="10" t="n">
        <f aca="false">L38</f>
        <v>-445579.701666667</v>
      </c>
      <c r="M92" s="10" t="n">
        <f aca="false">M38</f>
        <v>-445579.701666667</v>
      </c>
      <c r="N92" s="10" t="n">
        <f aca="false">N38</f>
        <v>-445579.701666667</v>
      </c>
      <c r="O92" s="10" t="n">
        <f aca="false">O38</f>
        <v>-1925661.3207</v>
      </c>
      <c r="P92" s="10" t="n">
        <f aca="false">P38</f>
        <v>-454491.2957</v>
      </c>
      <c r="Q92" s="10" t="n">
        <f aca="false">Q38</f>
        <v>-454491.2957</v>
      </c>
      <c r="R92" s="10" t="n">
        <f aca="false">R38</f>
        <v>-454491.2957</v>
      </c>
      <c r="S92" s="10" t="n">
        <f aca="false">S38</f>
        <v>-454491.2957</v>
      </c>
      <c r="T92" s="10" t="n">
        <f aca="false">T38</f>
        <v>-454491.2957</v>
      </c>
      <c r="U92" s="10" t="n">
        <f aca="false">U38</f>
        <v>-454491.2957</v>
      </c>
      <c r="V92" s="10" t="n">
        <f aca="false">V38</f>
        <v>-454491.2957</v>
      </c>
      <c r="W92" s="10" t="n">
        <f aca="false">W38</f>
        <v>-454491.2957</v>
      </c>
      <c r="X92" s="10" t="n">
        <f aca="false">X38</f>
        <v>-454491.2957</v>
      </c>
      <c r="Y92" s="10" t="n">
        <f aca="false">Y38</f>
        <v>-454491.2957</v>
      </c>
      <c r="Z92" s="10" t="n">
        <f aca="false">Z38</f>
        <v>-454491.2957</v>
      </c>
      <c r="AA92" s="10" t="n">
        <f aca="false">AA38</f>
        <v>-463581.121614</v>
      </c>
      <c r="AB92" s="10" t="n">
        <f aca="false">AB38</f>
        <v>-463581.121614</v>
      </c>
      <c r="AC92" s="10" t="n">
        <f aca="false">AC38</f>
        <v>-1807606.661614</v>
      </c>
      <c r="AD92" s="10" t="n">
        <f aca="false">AD38</f>
        <v>-463581.121614</v>
      </c>
      <c r="AE92" s="10" t="n">
        <f aca="false">AE38</f>
        <v>-463581.121614</v>
      </c>
      <c r="AF92" s="10" t="n">
        <f aca="false">AF38</f>
        <v>-463581.121614</v>
      </c>
      <c r="AG92" s="10" t="n">
        <f aca="false">AG38</f>
        <v>-463581.121614</v>
      </c>
      <c r="AH92" s="10" t="n">
        <f aca="false">AH38</f>
        <v>-463581.121614</v>
      </c>
      <c r="AI92" s="10" t="n">
        <f aca="false">AI38</f>
        <v>-463581.121614</v>
      </c>
      <c r="AJ92" s="10" t="n">
        <f aca="false">AJ38</f>
        <v>-463581.121614</v>
      </c>
      <c r="AK92" s="10" t="n">
        <f aca="false">AK38</f>
        <v>-463581.121614</v>
      </c>
      <c r="AL92" s="10" t="n">
        <f aca="false">AL38</f>
        <v>-463581.121614</v>
      </c>
      <c r="AM92" s="10" t="n">
        <f aca="false">AM38</f>
        <v>-472852.74404628</v>
      </c>
      <c r="AN92" s="10" t="n">
        <f aca="false">AN38</f>
        <v>-472852.74404628</v>
      </c>
      <c r="AO92" s="10" t="n">
        <f aca="false">AO38</f>
        <v>-472852.74404628</v>
      </c>
      <c r="AP92" s="10" t="n">
        <f aca="false">AP38</f>
        <v>-472852.74404628</v>
      </c>
      <c r="AQ92" s="10" t="n">
        <f aca="false">AQ38</f>
        <v>-472852.74404628</v>
      </c>
      <c r="AR92" s="10" t="n">
        <f aca="false">AR38</f>
        <v>-472852.74404628</v>
      </c>
      <c r="AS92" s="10" t="n">
        <f aca="false">AS38</f>
        <v>-472852.74404628</v>
      </c>
      <c r="AT92" s="10" t="n">
        <f aca="false">AT38</f>
        <v>-472852.74404628</v>
      </c>
      <c r="AU92" s="10" t="n">
        <f aca="false">AU38</f>
        <v>-472852.74404628</v>
      </c>
      <c r="AV92" s="10" t="n">
        <f aca="false">AV38</f>
        <v>-472852.74404628</v>
      </c>
      <c r="AW92" s="10" t="n">
        <f aca="false">AW38</f>
        <v>-472852.74404628</v>
      </c>
      <c r="AX92" s="10" t="n">
        <f aca="false">AX38</f>
        <v>-472852.74404628</v>
      </c>
      <c r="AY92" s="10" t="n">
        <f aca="false">AY38</f>
        <v>-482309.798927206</v>
      </c>
      <c r="AZ92" s="10" t="n">
        <f aca="false">AZ38</f>
        <v>-482309.798927206</v>
      </c>
      <c r="BA92" s="10" t="n">
        <f aca="false">BA38</f>
        <v>-482309.798927206</v>
      </c>
      <c r="BB92" s="10" t="n">
        <f aca="false">BB38</f>
        <v>-482309.798927206</v>
      </c>
      <c r="BC92" s="10" t="n">
        <f aca="false">BC38</f>
        <v>-482309.798927206</v>
      </c>
      <c r="BD92" s="10" t="n">
        <f aca="false">BD38</f>
        <v>-482309.798927206</v>
      </c>
      <c r="BE92" s="10" t="n">
        <f aca="false">BE38</f>
        <v>-482309.798927206</v>
      </c>
      <c r="BF92" s="10" t="n">
        <f aca="false">BF38</f>
        <v>-482309.798927206</v>
      </c>
      <c r="BG92" s="10" t="n">
        <f aca="false">BG38</f>
        <v>-482309.798927206</v>
      </c>
      <c r="BH92" s="10" t="n">
        <f aca="false">BH38</f>
        <v>-482309.798927206</v>
      </c>
      <c r="BI92" s="10" t="n">
        <f aca="false">BI38</f>
        <v>-482309.798927206</v>
      </c>
      <c r="BJ92" s="10" t="n">
        <f aca="false">BJ38</f>
        <v>-482309.798927206</v>
      </c>
      <c r="BK92" s="10" t="n">
        <f aca="false">BK38</f>
        <v>-491955.99490575</v>
      </c>
      <c r="BL92" s="10" t="n">
        <f aca="false">BL38</f>
        <v>-491955.99490575</v>
      </c>
      <c r="BM92" s="10" t="n">
        <f aca="false">BM38</f>
        <v>-491955.99490575</v>
      </c>
      <c r="BN92" s="10" t="n">
        <f aca="false">BN38</f>
        <v>-491955.99490575</v>
      </c>
      <c r="BO92" s="10" t="n">
        <f aca="false">BO38</f>
        <v>-491955.99490575</v>
      </c>
      <c r="BP92" s="10" t="n">
        <f aca="false">BP38</f>
        <v>-491955.99490575</v>
      </c>
      <c r="BQ92" s="10" t="n">
        <f aca="false">BQ38</f>
        <v>-491955.99490575</v>
      </c>
      <c r="BR92" s="10" t="n">
        <f aca="false">BR38</f>
        <v>-491955.99490575</v>
      </c>
      <c r="BS92" s="10" t="n">
        <f aca="false">BS38</f>
        <v>-491955.99490575</v>
      </c>
      <c r="BT92" s="10" t="n">
        <f aca="false">BT38</f>
        <v>-491955.99490575</v>
      </c>
      <c r="BU92" s="10" t="n">
        <f aca="false">BU38</f>
        <v>-491955.99490575</v>
      </c>
      <c r="BV92" s="10" t="n">
        <f aca="false">BV38</f>
        <v>-491955.99490575</v>
      </c>
      <c r="BW92" s="10" t="n">
        <f aca="false">BW38</f>
        <v>-501795.114803865</v>
      </c>
      <c r="BX92" s="10" t="n">
        <f aca="false">BX38</f>
        <v>-501795.114803865</v>
      </c>
      <c r="BY92" s="10" t="n">
        <f aca="false">BY38</f>
        <v>-501795.114803865</v>
      </c>
      <c r="BZ92" s="10" t="n">
        <f aca="false">BZ38</f>
        <v>-501795.114803865</v>
      </c>
      <c r="CA92" s="10" t="n">
        <f aca="false">CA38</f>
        <v>-501795.114803865</v>
      </c>
      <c r="CB92" s="10" t="n">
        <f aca="false">CB38</f>
        <v>-501795.114803865</v>
      </c>
      <c r="CC92" s="10" t="n">
        <f aca="false">CC38</f>
        <v>-501795.114803865</v>
      </c>
      <c r="CD92" s="10" t="n">
        <f aca="false">CD38</f>
        <v>-501795.114803865</v>
      </c>
      <c r="CE92" s="10" t="n">
        <f aca="false">CE38</f>
        <v>-501795.114803865</v>
      </c>
      <c r="CF92" s="10" t="n">
        <f aca="false">CF38</f>
        <v>-501795.114803865</v>
      </c>
      <c r="CG92" s="10" t="n">
        <f aca="false">CG38</f>
        <v>-501795.114803865</v>
      </c>
      <c r="CH92" s="10" t="n">
        <f aca="false">CH38</f>
        <v>-501795.114803865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-275335.673333333</v>
      </c>
      <c r="H93" s="10" t="n">
        <f aca="false">H84</f>
        <v>-255016.613333333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-892725.383533333</v>
      </c>
      <c r="G94" s="12" t="n">
        <f aca="false">G92+G93</f>
        <v>-720915.375</v>
      </c>
      <c r="H94" s="12" t="n">
        <f aca="false">H92+H93</f>
        <v>-700596.315</v>
      </c>
      <c r="I94" s="12" t="n">
        <f aca="false">I92+I93</f>
        <v>-783227.132</v>
      </c>
      <c r="J94" s="12" t="n">
        <f aca="false">J92+J93</f>
        <v>-722493.482</v>
      </c>
      <c r="K94" s="12" t="n">
        <f aca="false">K92+K93</f>
        <v>-586144.285</v>
      </c>
      <c r="L94" s="12" t="n">
        <f aca="false">L92+L93</f>
        <v>-565144.285</v>
      </c>
      <c r="M94" s="12" t="n">
        <f aca="false">M92+M93</f>
        <v>-565144.285</v>
      </c>
      <c r="N94" s="12" t="n">
        <f aca="false">N92+N93</f>
        <v>-565144.285</v>
      </c>
      <c r="O94" s="12" t="n">
        <f aca="false">O92+O93</f>
        <v>-2047617.1957</v>
      </c>
      <c r="P94" s="12" t="n">
        <f aca="false">P92+P93</f>
        <v>-576447.1707</v>
      </c>
      <c r="Q94" s="12" t="n">
        <f aca="false">Q92+Q93</f>
        <v>-576447.1707</v>
      </c>
      <c r="R94" s="12" t="n">
        <f aca="false">R92+R93</f>
        <v>-599907.1707</v>
      </c>
      <c r="S94" s="12" t="n">
        <f aca="false">S92+S93</f>
        <v>-576447.1707</v>
      </c>
      <c r="T94" s="12" t="n">
        <f aca="false">T92+T93</f>
        <v>-576447.1707</v>
      </c>
      <c r="U94" s="12" t="n">
        <f aca="false">U92+U93</f>
        <v>-576447.1707</v>
      </c>
      <c r="V94" s="12" t="n">
        <f aca="false">V92+V93</f>
        <v>-576447.1707</v>
      </c>
      <c r="W94" s="12" t="n">
        <f aca="false">W92+W93</f>
        <v>-597867.1707</v>
      </c>
      <c r="X94" s="12" t="n">
        <f aca="false">X92+X93</f>
        <v>-576447.1707</v>
      </c>
      <c r="Y94" s="12" t="n">
        <f aca="false">Y92+Y93</f>
        <v>-576447.1707</v>
      </c>
      <c r="Z94" s="12" t="n">
        <f aca="false">Z92+Z93</f>
        <v>-576447.1707</v>
      </c>
      <c r="AA94" s="12" t="n">
        <f aca="false">AA92+AA93</f>
        <v>-587976.114114</v>
      </c>
      <c r="AB94" s="12" t="n">
        <f aca="false">AB92+AB93</f>
        <v>-587976.114114</v>
      </c>
      <c r="AC94" s="12" t="n">
        <f aca="false">AC92+AC93</f>
        <v>-1932001.654114</v>
      </c>
      <c r="AD94" s="12" t="n">
        <f aca="false">AD92+AD93</f>
        <v>-611905.314114</v>
      </c>
      <c r="AE94" s="12" t="n">
        <f aca="false">AE92+AE93</f>
        <v>-587976.114114</v>
      </c>
      <c r="AF94" s="12" t="n">
        <f aca="false">AF92+AF93</f>
        <v>-587976.114114</v>
      </c>
      <c r="AG94" s="12" t="n">
        <f aca="false">AG92+AG93</f>
        <v>-587976.114114</v>
      </c>
      <c r="AH94" s="12" t="n">
        <f aca="false">AH92+AH93</f>
        <v>-587976.114114</v>
      </c>
      <c r="AI94" s="12" t="n">
        <f aca="false">AI92+AI93</f>
        <v>-609824.514114</v>
      </c>
      <c r="AJ94" s="12" t="n">
        <f aca="false">AJ92+AJ93</f>
        <v>-587976.114114</v>
      </c>
      <c r="AK94" s="12" t="n">
        <f aca="false">AK92+AK93</f>
        <v>-587976.114114</v>
      </c>
      <c r="AL94" s="12" t="n">
        <f aca="false">AL92+AL93</f>
        <v>-587976.114114</v>
      </c>
      <c r="AM94" s="12" t="n">
        <f aca="false">AM92+AM93</f>
        <v>-599735.63639628</v>
      </c>
      <c r="AN94" s="12" t="n">
        <f aca="false">AN92+AN93</f>
        <v>-599735.63639628</v>
      </c>
      <c r="AO94" s="12" t="n">
        <f aca="false">AO92+AO93</f>
        <v>-599735.63639628</v>
      </c>
      <c r="AP94" s="12" t="n">
        <f aca="false">AP92+AP93</f>
        <v>-624143.42039628</v>
      </c>
      <c r="AQ94" s="12" t="n">
        <f aca="false">AQ92+AQ93</f>
        <v>-599735.63639628</v>
      </c>
      <c r="AR94" s="12" t="n">
        <f aca="false">AR92+AR93</f>
        <v>-681418.63639628</v>
      </c>
      <c r="AS94" s="12" t="n">
        <f aca="false">AS92+AS93</f>
        <v>-599735.63639628</v>
      </c>
      <c r="AT94" s="12" t="n">
        <f aca="false">AT92+AT93</f>
        <v>-599735.63639628</v>
      </c>
      <c r="AU94" s="12" t="n">
        <f aca="false">AU92+AU93</f>
        <v>-703703.00439628</v>
      </c>
      <c r="AV94" s="12" t="n">
        <f aca="false">AV92+AV93</f>
        <v>-599735.63639628</v>
      </c>
      <c r="AW94" s="12" t="n">
        <f aca="false">AW92+AW93</f>
        <v>-599735.63639628</v>
      </c>
      <c r="AX94" s="12" t="n">
        <f aca="false">AX92+AX93</f>
        <v>-681417.63639628</v>
      </c>
      <c r="AY94" s="12" t="n">
        <f aca="false">AY92+AY93</f>
        <v>-611730.349124206</v>
      </c>
      <c r="AZ94" s="12" t="n">
        <f aca="false">AZ92+AZ93</f>
        <v>-611730.349124206</v>
      </c>
      <c r="BA94" s="12" t="n">
        <f aca="false">BA92+BA93</f>
        <v>-1545251.34912421</v>
      </c>
      <c r="BB94" s="12" t="n">
        <f aca="false">BB92+BB93</f>
        <v>-636626.288804206</v>
      </c>
      <c r="BC94" s="12" t="n">
        <f aca="false">BC92+BC93</f>
        <v>-611730.349124206</v>
      </c>
      <c r="BD94" s="12" t="n">
        <f aca="false">BD92+BD93</f>
        <v>-742608.349124206</v>
      </c>
      <c r="BE94" s="12" t="n">
        <f aca="false">BE92+BE93</f>
        <v>-611730.349124206</v>
      </c>
      <c r="BF94" s="12" t="n">
        <f aca="false">BF92+BF93</f>
        <v>-611730.349124206</v>
      </c>
      <c r="BG94" s="12" t="n">
        <f aca="false">BG92+BG93</f>
        <v>-765337.424484206</v>
      </c>
      <c r="BH94" s="12" t="n">
        <f aca="false">BH92+BH93</f>
        <v>-611730.349124206</v>
      </c>
      <c r="BI94" s="12" t="n">
        <f aca="false">BI92+BI93</f>
        <v>-611730.349124206</v>
      </c>
      <c r="BJ94" s="12" t="n">
        <f aca="false">BJ92+BJ93</f>
        <v>-742606.349124206</v>
      </c>
      <c r="BK94" s="12" t="n">
        <f aca="false">BK92+BK93</f>
        <v>-623964.95610669</v>
      </c>
      <c r="BL94" s="12" t="n">
        <f aca="false">BL92+BL93</f>
        <v>-623964.95610669</v>
      </c>
      <c r="BM94" s="12" t="n">
        <f aca="false">BM92+BM93</f>
        <v>-754840.95610669</v>
      </c>
      <c r="BN94" s="12" t="n">
        <f aca="false">BN92+BN93</f>
        <v>-649358.81458029</v>
      </c>
      <c r="BO94" s="12" t="n">
        <f aca="false">BO92+BO93</f>
        <v>-623964.95610669</v>
      </c>
      <c r="BP94" s="12" t="n">
        <f aca="false">BP92+BP93</f>
        <v>-714857.43610669</v>
      </c>
      <c r="BQ94" s="12" t="n">
        <f aca="false">BQ92+BQ93</f>
        <v>-623964.95610669</v>
      </c>
      <c r="BR94" s="12" t="n">
        <f aca="false">BR92+BR93</f>
        <v>-623964.95610669</v>
      </c>
      <c r="BS94" s="12" t="n">
        <f aca="false">BS92+BS93</f>
        <v>-721790.65297389</v>
      </c>
      <c r="BT94" s="12" t="n">
        <f aca="false">BT92+BT93</f>
        <v>-623964.95610669</v>
      </c>
      <c r="BU94" s="12" t="n">
        <f aca="false">BU92+BU93</f>
        <v>-623964.95610669</v>
      </c>
      <c r="BV94" s="12" t="n">
        <f aca="false">BV92+BV93</f>
        <v>-698604.95610669</v>
      </c>
      <c r="BW94" s="12" t="n">
        <f aca="false">BW92+BW93</f>
        <v>-636444.255228823</v>
      </c>
      <c r="BX94" s="12" t="n">
        <f aca="false">BX92+BX93</f>
        <v>-636444.255228823</v>
      </c>
      <c r="BY94" s="12" t="n">
        <f aca="false">BY92+BY93</f>
        <v>-784240.255228823</v>
      </c>
      <c r="BZ94" s="12" t="n">
        <f aca="false">BZ92+BZ93</f>
        <v>-662345.990871896</v>
      </c>
      <c r="CA94" s="12" t="n">
        <f aca="false">CA92+CA93</f>
        <v>-636444.255228823</v>
      </c>
      <c r="CB94" s="12" t="n">
        <f aca="false">CB92+CB93</f>
        <v>-790962.255228823</v>
      </c>
      <c r="CC94" s="12" t="n">
        <f aca="false">CC92+CC93</f>
        <v>-636444.255228823</v>
      </c>
      <c r="CD94" s="12" t="n">
        <f aca="false">CD92+CD93</f>
        <v>-636444.255228823</v>
      </c>
      <c r="CE94" s="12" t="n">
        <f aca="false">CE92+CE93</f>
        <v>-814610.666033367</v>
      </c>
      <c r="CF94" s="12" t="n">
        <f aca="false">CF92+CF93</f>
        <v>-636444.255228823</v>
      </c>
      <c r="CG94" s="12" t="n">
        <f aca="false">CG92+CG93</f>
        <v>-636444.255228823</v>
      </c>
      <c r="CH94" s="12" t="n">
        <f aca="false">CH92+CH93</f>
        <v>-784353.228622344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365700.233452313</v>
      </c>
      <c r="G95" s="16" t="n">
        <f aca="false">G91+G94</f>
        <v>216874.462033493</v>
      </c>
      <c r="H95" s="16" t="n">
        <f aca="false">H91+H94</f>
        <v>220304.63423445</v>
      </c>
      <c r="I95" s="16" t="n">
        <f aca="false">I91+I94</f>
        <v>539500.990121212</v>
      </c>
      <c r="J95" s="16" t="n">
        <f aca="false">J91+J94</f>
        <v>568429.891068182</v>
      </c>
      <c r="K95" s="16" t="n">
        <f aca="false">K91+K94</f>
        <v>325191.013068182</v>
      </c>
      <c r="L95" s="16" t="n">
        <f aca="false">L91+L94</f>
        <v>358322.843468182</v>
      </c>
      <c r="M95" s="16" t="n">
        <f aca="false">M91+M94</f>
        <v>358322.843468182</v>
      </c>
      <c r="N95" s="16" t="n">
        <f aca="false">N91+N94</f>
        <v>358322.843468182</v>
      </c>
      <c r="O95" s="16" t="n">
        <f aca="false">O91+O94</f>
        <v>-273683.47935303</v>
      </c>
      <c r="P95" s="16" t="n">
        <f aca="false">P91+P94</f>
        <v>518484.99564697</v>
      </c>
      <c r="Q95" s="16" t="n">
        <f aca="false">Q91+Q94</f>
        <v>518484.99564697</v>
      </c>
      <c r="R95" s="16" t="n">
        <f aca="false">R91+R94</f>
        <v>284541.221683333</v>
      </c>
      <c r="S95" s="16" t="n">
        <f aca="false">S91+S94</f>
        <v>198637.984083333</v>
      </c>
      <c r="T95" s="16" t="n">
        <f aca="false">T91+T94</f>
        <v>215210.246483333</v>
      </c>
      <c r="U95" s="16" t="n">
        <f aca="false">U91+U94</f>
        <v>231782.502483333</v>
      </c>
      <c r="V95" s="16" t="n">
        <f aca="false">V91+V94</f>
        <v>218051.613388596</v>
      </c>
      <c r="W95" s="16" t="n">
        <f aca="false">W91+W94</f>
        <v>270578.869388597</v>
      </c>
      <c r="X95" s="16" t="n">
        <f aca="false">X91+X94</f>
        <v>251196.125388597</v>
      </c>
      <c r="Y95" s="16" t="n">
        <f aca="false">Y91+Y94</f>
        <v>267768.387788596</v>
      </c>
      <c r="Z95" s="16" t="n">
        <f aca="false">Z91+Z94</f>
        <v>271804.71654075</v>
      </c>
      <c r="AA95" s="16" t="n">
        <f aca="false">AA91+AA94</f>
        <v>163293.586925793</v>
      </c>
      <c r="AB95" s="16" t="n">
        <f aca="false">AB91+AB94</f>
        <v>98372.0040511515</v>
      </c>
      <c r="AC95" s="16" t="n">
        <f aca="false">AC91+AC94</f>
        <v>-365908.242615515</v>
      </c>
      <c r="AD95" s="16" t="n">
        <f aca="false">AD91+AD94</f>
        <v>219329.713384485</v>
      </c>
      <c r="AE95" s="16" t="n">
        <f aca="false">AE91+AE94</f>
        <v>243759.470184485</v>
      </c>
      <c r="AF95" s="16" t="n">
        <f aca="false">AF91+AF94</f>
        <v>244260.014184485</v>
      </c>
      <c r="AG95" s="16" t="n">
        <f aca="false">AG91+AG94</f>
        <v>235260.564584485</v>
      </c>
      <c r="AH95" s="16" t="n">
        <f aca="false">AH91+AH94</f>
        <v>135082.107637515</v>
      </c>
      <c r="AI95" s="16" t="n">
        <f aca="false">AI91+AI94</f>
        <v>130306.520437515</v>
      </c>
      <c r="AJ95" s="16" t="n">
        <f aca="false">AJ91+AJ94</f>
        <v>-26676.0578897576</v>
      </c>
      <c r="AK95" s="16" t="n">
        <f aca="false">AK91+AK94</f>
        <v>-42747.7698897575</v>
      </c>
      <c r="AL95" s="16" t="n">
        <f aca="false">AL91+AL94</f>
        <v>-58819.4818897576</v>
      </c>
      <c r="AM95" s="16" t="n">
        <f aca="false">AM91+AM94</f>
        <v>-146669.218784159</v>
      </c>
      <c r="AN95" s="16" t="n">
        <f aca="false">AN91+AN94</f>
        <v>-162740.924384159</v>
      </c>
      <c r="AO95" s="16" t="n">
        <f aca="false">AO91+AO94</f>
        <v>-178812.636384159</v>
      </c>
      <c r="AP95" s="16" t="n">
        <f aca="false">AP91+AP94</f>
        <v>-219292.138784159</v>
      </c>
      <c r="AQ95" s="16" t="n">
        <f aca="false">AQ91+AQ94</f>
        <v>-210956.060384159</v>
      </c>
      <c r="AR95" s="16" t="n">
        <f aca="false">AR91+AR94</f>
        <v>-227027.772384159</v>
      </c>
      <c r="AS95" s="16" t="n">
        <f aca="false">AS91+AS94</f>
        <v>-346789.239062947</v>
      </c>
      <c r="AT95" s="16" t="n">
        <f aca="false">AT91+AT94</f>
        <v>-363361.495062947</v>
      </c>
      <c r="AU95" s="16" t="n">
        <f aca="false">AU91+AU94</f>
        <v>-418290.831062947</v>
      </c>
      <c r="AV95" s="16" t="n">
        <f aca="false">AV91+AV94</f>
        <v>-396506.013462947</v>
      </c>
      <c r="AW95" s="16" t="n">
        <f aca="false">AW91+AW94</f>
        <v>-397006.570262947</v>
      </c>
      <c r="AX95" s="16" t="n">
        <f aca="false">AX91+AX94</f>
        <v>-397507.114262947</v>
      </c>
      <c r="AY95" s="16" t="n">
        <f aca="false">AY91+AY94</f>
        <v>-410002.377390872</v>
      </c>
      <c r="AZ95" s="16" t="n">
        <f aca="false">AZ91+AZ94</f>
        <v>-410502.927790872</v>
      </c>
      <c r="BA95" s="16" t="n">
        <f aca="false">BA91+BA94</f>
        <v>-411003.478190872</v>
      </c>
      <c r="BB95" s="16" t="n">
        <f aca="false">BB91+BB94</f>
        <v>-436399.968270872</v>
      </c>
      <c r="BC95" s="16" t="n">
        <f aca="false">BC91+BC94</f>
        <v>-412004.578990872</v>
      </c>
      <c r="BD95" s="16" t="n">
        <f aca="false">BD91+BD94</f>
        <v>-412505.129390872</v>
      </c>
      <c r="BE95" s="16" t="n">
        <f aca="false">BE91+BE94</f>
        <v>-413005.679790872</v>
      </c>
      <c r="BF95" s="16" t="n">
        <f aca="false">BF91+BF94</f>
        <v>-413506.230190872</v>
      </c>
      <c r="BG95" s="16" t="n">
        <f aca="false">BG91+BG94</f>
        <v>-593384.182884206</v>
      </c>
      <c r="BH95" s="16" t="n">
        <f aca="false">BH91+BH94</f>
        <v>-541952.864324206</v>
      </c>
      <c r="BI95" s="16" t="n">
        <f aca="false">BI91+BI94</f>
        <v>-542453.414724206</v>
      </c>
      <c r="BJ95" s="16" t="n">
        <f aca="false">BJ91+BJ94</f>
        <v>-475178.675524206</v>
      </c>
      <c r="BK95" s="16" t="n">
        <f aca="false">BK91+BK94</f>
        <v>-623964.95610669</v>
      </c>
      <c r="BL95" s="16" t="n">
        <f aca="false">BL91+BL94</f>
        <v>-623964.95610669</v>
      </c>
      <c r="BM95" s="16" t="n">
        <f aca="false">BM91+BM94</f>
        <v>-623964.95610669</v>
      </c>
      <c r="BN95" s="16" t="n">
        <f aca="false">BN91+BN94</f>
        <v>-649358.81458029</v>
      </c>
      <c r="BO95" s="16" t="n">
        <f aca="false">BO91+BO94</f>
        <v>-623964.95610669</v>
      </c>
      <c r="BP95" s="16" t="n">
        <f aca="false">BP91+BP94</f>
        <v>-572451.43610669</v>
      </c>
      <c r="BQ95" s="16" t="n">
        <f aca="false">BQ91+BQ94</f>
        <v>-623964.95610669</v>
      </c>
      <c r="BR95" s="16" t="n">
        <f aca="false">BR91+BR94</f>
        <v>-623964.95610669</v>
      </c>
      <c r="BS95" s="16" t="n">
        <f aca="false">BS91+BS94</f>
        <v>-579388.65297389</v>
      </c>
      <c r="BT95" s="16" t="n">
        <f aca="false">BT91+BT94</f>
        <v>-623964.95610669</v>
      </c>
      <c r="BU95" s="16" t="n">
        <f aca="false">BU91+BU94</f>
        <v>-623964.95610669</v>
      </c>
      <c r="BV95" s="16" t="n">
        <f aca="false">BV91+BV94</f>
        <v>-556202.95610669</v>
      </c>
      <c r="BW95" s="16" t="n">
        <f aca="false">BW91+BW94</f>
        <v>-636444.255228823</v>
      </c>
      <c r="BX95" s="16" t="n">
        <f aca="false">BX91+BX94</f>
        <v>-636444.255228823</v>
      </c>
      <c r="BY95" s="16" t="n">
        <f aca="false">BY91+BY94</f>
        <v>-568682.255228823</v>
      </c>
      <c r="BZ95" s="16" t="n">
        <f aca="false">BZ91+BZ94</f>
        <v>-662345.990871896</v>
      </c>
      <c r="CA95" s="16" t="n">
        <f aca="false">CA91+CA94</f>
        <v>-636444.255228823</v>
      </c>
      <c r="CB95" s="16" t="n">
        <f aca="false">CB91+CB94</f>
        <v>-559945.255228823</v>
      </c>
      <c r="CC95" s="16" t="n">
        <f aca="false">CC91+CC94</f>
        <v>-636444.255228823</v>
      </c>
      <c r="CD95" s="16" t="n">
        <f aca="false">CD91+CD94</f>
        <v>-636444.255228823</v>
      </c>
      <c r="CE95" s="16" t="n">
        <f aca="false">CE91+CE94</f>
        <v>-583594.666033367</v>
      </c>
      <c r="CF95" s="16" t="n">
        <f aca="false">CF91+CF94</f>
        <v>-636444.255228823</v>
      </c>
      <c r="CG95" s="16" t="n">
        <f aca="false">CG91+CG94</f>
        <v>-636444.255228823</v>
      </c>
      <c r="CH95" s="16" t="n">
        <f aca="false">CH91+CH94</f>
        <v>-553337.228622344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2206395.70456077</v>
      </c>
      <c r="H145" s="10" t="n">
        <f aca="false">G147</f>
        <v>2388379.67992759</v>
      </c>
      <c r="I145" s="10" t="n">
        <f aca="false">H147</f>
        <v>2615490.46749538</v>
      </c>
      <c r="J145" s="10" t="n">
        <f aca="false">I147</f>
        <v>3208090.58094992</v>
      </c>
      <c r="K145" s="10" t="n">
        <f aca="false">J147</f>
        <v>3838994.59535144</v>
      </c>
      <c r="L145" s="10" t="n">
        <f aca="false">K147</f>
        <v>4247659.73175295</v>
      </c>
      <c r="M145" s="10" t="n">
        <f aca="false">L147</f>
        <v>4656324.86815447</v>
      </c>
      <c r="N145" s="10" t="n">
        <f aca="false">M147</f>
        <v>5064990.00455598</v>
      </c>
      <c r="O145" s="10" t="n">
        <f aca="false">N147</f>
        <v>5473655.1409575</v>
      </c>
      <c r="P145" s="10" t="n">
        <f aca="false">O147</f>
        <v>5252705.24620447</v>
      </c>
      <c r="Q145" s="10" t="n">
        <f aca="false">P147</f>
        <v>5823923.82645144</v>
      </c>
      <c r="R145" s="10" t="n">
        <f aca="false">Q147</f>
        <v>6395142.40669841</v>
      </c>
      <c r="S145" s="10" t="n">
        <f aca="false">R147</f>
        <v>6775711.60058174</v>
      </c>
      <c r="T145" s="10" t="n">
        <f aca="false">S147</f>
        <v>7030345.29446507</v>
      </c>
      <c r="U145" s="10" t="n">
        <f aca="false">T147</f>
        <v>7284978.98834841</v>
      </c>
      <c r="V145" s="10" t="n">
        <f aca="false">U147</f>
        <v>7539612.68223174</v>
      </c>
      <c r="W145" s="10" t="n">
        <f aca="false">V147</f>
        <v>7763943.21822034</v>
      </c>
      <c r="X145" s="10" t="n">
        <f aca="false">W147</f>
        <v>7988273.75420893</v>
      </c>
      <c r="Y145" s="10" t="n">
        <f aca="false">X147</f>
        <v>8212604.29019753</v>
      </c>
      <c r="Z145" s="10" t="n">
        <f aca="false">Y147</f>
        <v>8436934.82618612</v>
      </c>
      <c r="AA145" s="10" t="n">
        <f aca="false">Z147</f>
        <v>8603986.00212687</v>
      </c>
      <c r="AB145" s="10" t="n">
        <f aca="false">AA147</f>
        <v>8716820.53995267</v>
      </c>
      <c r="AC145" s="10" t="n">
        <f aca="false">AB147</f>
        <v>8748161.22610382</v>
      </c>
      <c r="AD145" s="10" t="n">
        <f aca="false">AC147</f>
        <v>8212442.18558831</v>
      </c>
      <c r="AE145" s="10" t="n">
        <f aca="false">AD147</f>
        <v>8400429.20507279</v>
      </c>
      <c r="AF145" s="10" t="n">
        <f aca="false">AE147</f>
        <v>8588416.22455728</v>
      </c>
      <c r="AG145" s="10" t="n">
        <f aca="false">AF147</f>
        <v>8776403.24404176</v>
      </c>
      <c r="AH145" s="10" t="n">
        <f aca="false">AG147</f>
        <v>8964390.26352624</v>
      </c>
      <c r="AI145" s="10" t="n">
        <f aca="false">AH147</f>
        <v>9051698.28206376</v>
      </c>
      <c r="AJ145" s="10" t="n">
        <f aca="false">AI147</f>
        <v>9139006.30060128</v>
      </c>
      <c r="AK145" s="10" t="n">
        <f aca="false">AJ147</f>
        <v>9063555.04641152</v>
      </c>
      <c r="AL145" s="10" t="n">
        <f aca="false">AK147</f>
        <v>8988103.79222176</v>
      </c>
      <c r="AM145" s="10" t="n">
        <f aca="false">AL147</f>
        <v>8912652.538032</v>
      </c>
      <c r="AN145" s="10" t="n">
        <f aca="false">AM147</f>
        <v>8767911.16519784</v>
      </c>
      <c r="AO145" s="10" t="n">
        <f aca="false">AN147</f>
        <v>8623169.79236369</v>
      </c>
      <c r="AP145" s="10" t="n">
        <f aca="false">AO147</f>
        <v>8478428.41952953</v>
      </c>
      <c r="AQ145" s="10" t="n">
        <f aca="false">AP147</f>
        <v>8333687.04669537</v>
      </c>
      <c r="AR145" s="10" t="n">
        <f aca="false">AQ147</f>
        <v>8188945.67386121</v>
      </c>
      <c r="AS145" s="10" t="n">
        <f aca="false">AR147</f>
        <v>8044204.30102705</v>
      </c>
      <c r="AT145" s="10" t="n">
        <f aca="false">AS147</f>
        <v>7727997.8903141</v>
      </c>
      <c r="AU145" s="10" t="n">
        <f aca="false">AT147</f>
        <v>7411791.47960115</v>
      </c>
      <c r="AV145" s="10" t="n">
        <f aca="false">AU147</f>
        <v>7095585.06888821</v>
      </c>
      <c r="AW145" s="10" t="n">
        <f aca="false">AV147</f>
        <v>6779378.65817526</v>
      </c>
      <c r="AX145" s="10" t="n">
        <f aca="false">AW147</f>
        <v>6463172.24746231</v>
      </c>
      <c r="AY145" s="10" t="n">
        <f aca="false">AX147</f>
        <v>6146965.83674937</v>
      </c>
      <c r="AZ145" s="10" t="n">
        <f aca="false">AY147</f>
        <v>5821302.37115549</v>
      </c>
      <c r="BA145" s="10" t="n">
        <f aca="false">AZ147</f>
        <v>5495638.90556162</v>
      </c>
      <c r="BB145" s="10" t="n">
        <f aca="false">BA147</f>
        <v>5169975.43996775</v>
      </c>
      <c r="BC145" s="10" t="n">
        <f aca="false">BB147</f>
        <v>4844311.97437388</v>
      </c>
      <c r="BD145" s="10" t="n">
        <f aca="false">BC147</f>
        <v>4518648.50878</v>
      </c>
      <c r="BE145" s="10" t="n">
        <f aca="false">BD147</f>
        <v>4192985.04318613</v>
      </c>
      <c r="BF145" s="10" t="n">
        <f aca="false">BE147</f>
        <v>3867321.57759226</v>
      </c>
      <c r="BG145" s="10" t="n">
        <f aca="false">BF147</f>
        <v>3541658.11199839</v>
      </c>
      <c r="BH145" s="10" t="n">
        <f aca="false">BG147</f>
        <v>3059348.31307118</v>
      </c>
      <c r="BI145" s="10" t="n">
        <f aca="false">BH147</f>
        <v>2577038.51414398</v>
      </c>
      <c r="BJ145" s="10" t="n">
        <f aca="false">BI147</f>
        <v>2094728.71521677</v>
      </c>
      <c r="BK145" s="10" t="n">
        <f aca="false">BJ147</f>
        <v>1612418.91628956</v>
      </c>
      <c r="BL145" s="10" t="n">
        <f aca="false">BK147</f>
        <v>1120462.92138381</v>
      </c>
      <c r="BM145" s="10" t="n">
        <f aca="false">BL147</f>
        <v>628506.926478064</v>
      </c>
      <c r="BN145" s="10" t="n">
        <f aca="false">BM147</f>
        <v>136550.931572315</v>
      </c>
      <c r="BO145" s="10" t="n">
        <f aca="false">BN147</f>
        <v>-355405.063333435</v>
      </c>
      <c r="BP145" s="10" t="n">
        <f aca="false">BO147</f>
        <v>-847361.058239185</v>
      </c>
      <c r="BQ145" s="10" t="n">
        <f aca="false">BP147</f>
        <v>-1339317.05314493</v>
      </c>
      <c r="BR145" s="10" t="n">
        <f aca="false">BQ147</f>
        <v>-1831273.04805068</v>
      </c>
      <c r="BS145" s="10" t="n">
        <f aca="false">BR147</f>
        <v>-2323229.04295643</v>
      </c>
      <c r="BT145" s="10" t="n">
        <f aca="false">BS147</f>
        <v>-2815185.03786218</v>
      </c>
      <c r="BU145" s="10" t="n">
        <f aca="false">BT147</f>
        <v>-3307141.03276793</v>
      </c>
      <c r="BV145" s="10" t="n">
        <f aca="false">BU147</f>
        <v>-3799097.02767368</v>
      </c>
      <c r="BW145" s="10" t="n">
        <f aca="false">BV147</f>
        <v>-4291053.02257943</v>
      </c>
      <c r="BX145" s="10" t="n">
        <f aca="false">BW147</f>
        <v>-4792848.1373833</v>
      </c>
      <c r="BY145" s="10" t="n">
        <f aca="false">BX147</f>
        <v>-5294643.25218716</v>
      </c>
      <c r="BZ145" s="10" t="n">
        <f aca="false">BY147</f>
        <v>-5796438.36699103</v>
      </c>
      <c r="CA145" s="10" t="n">
        <f aca="false">BZ147</f>
        <v>-6298233.48179489</v>
      </c>
      <c r="CB145" s="10" t="n">
        <f aca="false">CA147</f>
        <v>-6800028.59659876</v>
      </c>
      <c r="CC145" s="10" t="n">
        <f aca="false">CB147</f>
        <v>-7301823.71140262</v>
      </c>
      <c r="CD145" s="10" t="n">
        <f aca="false">CC147</f>
        <v>-7803618.82620649</v>
      </c>
      <c r="CE145" s="10" t="n">
        <f aca="false">CD147</f>
        <v>-8305413.94101035</v>
      </c>
      <c r="CF145" s="10" t="n">
        <f aca="false">CE147</f>
        <v>-8807209.05581421</v>
      </c>
      <c r="CG145" s="10" t="n">
        <f aca="false">CF147</f>
        <v>-9309004.17061808</v>
      </c>
      <c r="CH145" s="10" t="n">
        <f aca="false">CG147</f>
        <v>-9810799.28542195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464650.236785646</v>
      </c>
      <c r="G146" s="10" t="n">
        <f aca="false">G40</f>
        <v>181983.975366826</v>
      </c>
      <c r="H146" s="10" t="n">
        <f aca="false">H40</f>
        <v>227110.787567783</v>
      </c>
      <c r="I146" s="10" t="n">
        <f aca="false">I40</f>
        <v>592600.113454546</v>
      </c>
      <c r="J146" s="10" t="n">
        <f aca="false">J40</f>
        <v>630904.014401515</v>
      </c>
      <c r="K146" s="10" t="n">
        <f aca="false">K40</f>
        <v>408665.136401515</v>
      </c>
      <c r="L146" s="10" t="n">
        <f aca="false">L40</f>
        <v>408665.136401515</v>
      </c>
      <c r="M146" s="10" t="n">
        <f aca="false">M40</f>
        <v>408665.136401515</v>
      </c>
      <c r="N146" s="10" t="n">
        <f aca="false">N40</f>
        <v>408665.136401515</v>
      </c>
      <c r="O146" s="10" t="n">
        <f aca="false">O40</f>
        <v>-220949.894753031</v>
      </c>
      <c r="P146" s="10" t="n">
        <f aca="false">P40</f>
        <v>571218.58024697</v>
      </c>
      <c r="Q146" s="10" t="n">
        <f aca="false">Q40</f>
        <v>571218.58024697</v>
      </c>
      <c r="R146" s="10" t="n">
        <f aca="false">R40</f>
        <v>380569.193883333</v>
      </c>
      <c r="S146" s="10" t="n">
        <f aca="false">S40</f>
        <v>254633.693883333</v>
      </c>
      <c r="T146" s="10" t="n">
        <f aca="false">T40</f>
        <v>254633.693883333</v>
      </c>
      <c r="U146" s="10" t="n">
        <f aca="false">U40</f>
        <v>254633.693883333</v>
      </c>
      <c r="V146" s="10" t="n">
        <f aca="false">V40</f>
        <v>224330.535988597</v>
      </c>
      <c r="W146" s="10" t="n">
        <f aca="false">W40</f>
        <v>224330.535988597</v>
      </c>
      <c r="X146" s="10" t="n">
        <f aca="false">X40</f>
        <v>224330.535988597</v>
      </c>
      <c r="Y146" s="10" t="n">
        <f aca="false">Y40</f>
        <v>224330.535988597</v>
      </c>
      <c r="Z146" s="10" t="n">
        <f aca="false">Z40</f>
        <v>167051.17594075</v>
      </c>
      <c r="AA146" s="10" t="n">
        <f aca="false">AA40</f>
        <v>112834.537825793</v>
      </c>
      <c r="AB146" s="10" t="n">
        <f aca="false">AB40</f>
        <v>31340.6861511515</v>
      </c>
      <c r="AC146" s="10" t="n">
        <f aca="false">AC40</f>
        <v>-535719.040515515</v>
      </c>
      <c r="AD146" s="10" t="n">
        <f aca="false">AD40</f>
        <v>187987.019484485</v>
      </c>
      <c r="AE146" s="10" t="n">
        <f aca="false">AE40</f>
        <v>187987.019484485</v>
      </c>
      <c r="AF146" s="10" t="n">
        <f aca="false">AF40</f>
        <v>187987.019484485</v>
      </c>
      <c r="AG146" s="10" t="n">
        <f aca="false">AG40</f>
        <v>187987.019484485</v>
      </c>
      <c r="AH146" s="10" t="n">
        <f aca="false">AH40</f>
        <v>87308.0185375152</v>
      </c>
      <c r="AI146" s="10" t="n">
        <f aca="false">AI40</f>
        <v>87308.0185375152</v>
      </c>
      <c r="AJ146" s="10" t="n">
        <f aca="false">AJ40</f>
        <v>-75451.2541897575</v>
      </c>
      <c r="AK146" s="10" t="n">
        <f aca="false">AK40</f>
        <v>-75451.2541897575</v>
      </c>
      <c r="AL146" s="10" t="n">
        <f aca="false">AL40</f>
        <v>-75451.2541897575</v>
      </c>
      <c r="AM146" s="10" t="n">
        <f aca="false">AM40</f>
        <v>-144741.372834159</v>
      </c>
      <c r="AN146" s="10" t="n">
        <f aca="false">AN40</f>
        <v>-144741.372834159</v>
      </c>
      <c r="AO146" s="10" t="n">
        <f aca="false">AO40</f>
        <v>-144741.372834159</v>
      </c>
      <c r="AP146" s="10" t="n">
        <f aca="false">AP40</f>
        <v>-144741.372834159</v>
      </c>
      <c r="AQ146" s="10" t="n">
        <f aca="false">AQ40</f>
        <v>-144741.372834159</v>
      </c>
      <c r="AR146" s="10" t="n">
        <f aca="false">AR40</f>
        <v>-144741.372834159</v>
      </c>
      <c r="AS146" s="10" t="n">
        <f aca="false">AS40</f>
        <v>-316206.410712947</v>
      </c>
      <c r="AT146" s="10" t="n">
        <f aca="false">AT40</f>
        <v>-316206.410712947</v>
      </c>
      <c r="AU146" s="10" t="n">
        <f aca="false">AU40</f>
        <v>-316206.410712947</v>
      </c>
      <c r="AV146" s="10" t="n">
        <f aca="false">AV40</f>
        <v>-316206.410712947</v>
      </c>
      <c r="AW146" s="10" t="n">
        <f aca="false">AW40</f>
        <v>-316206.410712947</v>
      </c>
      <c r="AX146" s="10" t="n">
        <f aca="false">AX40</f>
        <v>-316206.410712947</v>
      </c>
      <c r="AY146" s="10" t="n">
        <f aca="false">AY40</f>
        <v>-325663.465593872</v>
      </c>
      <c r="AZ146" s="10" t="n">
        <f aca="false">AZ40</f>
        <v>-325663.465593872</v>
      </c>
      <c r="BA146" s="10" t="n">
        <f aca="false">BA40</f>
        <v>-325663.465593872</v>
      </c>
      <c r="BB146" s="10" t="n">
        <f aca="false">BB40</f>
        <v>-325663.465593872</v>
      </c>
      <c r="BC146" s="10" t="n">
        <f aca="false">BC40</f>
        <v>-325663.465593872</v>
      </c>
      <c r="BD146" s="10" t="n">
        <f aca="false">BD40</f>
        <v>-325663.465593872</v>
      </c>
      <c r="BE146" s="10" t="n">
        <f aca="false">BE40</f>
        <v>-325663.465593872</v>
      </c>
      <c r="BF146" s="10" t="n">
        <f aca="false">BF40</f>
        <v>-325663.465593872</v>
      </c>
      <c r="BG146" s="10" t="n">
        <f aca="false">BG40</f>
        <v>-482309.798927206</v>
      </c>
      <c r="BH146" s="10" t="n">
        <f aca="false">BH40</f>
        <v>-482309.798927206</v>
      </c>
      <c r="BI146" s="10" t="n">
        <f aca="false">BI40</f>
        <v>-482309.798927206</v>
      </c>
      <c r="BJ146" s="10" t="n">
        <f aca="false">BJ40</f>
        <v>-482309.798927206</v>
      </c>
      <c r="BK146" s="10" t="n">
        <f aca="false">BK40</f>
        <v>-491955.99490575</v>
      </c>
      <c r="BL146" s="10" t="n">
        <f aca="false">BL40</f>
        <v>-491955.99490575</v>
      </c>
      <c r="BM146" s="10" t="n">
        <f aca="false">BM40</f>
        <v>-491955.99490575</v>
      </c>
      <c r="BN146" s="10" t="n">
        <f aca="false">BN40</f>
        <v>-491955.99490575</v>
      </c>
      <c r="BO146" s="10" t="n">
        <f aca="false">BO40</f>
        <v>-491955.99490575</v>
      </c>
      <c r="BP146" s="10" t="n">
        <f aca="false">BP40</f>
        <v>-491955.99490575</v>
      </c>
      <c r="BQ146" s="10" t="n">
        <f aca="false">BQ40</f>
        <v>-491955.99490575</v>
      </c>
      <c r="BR146" s="10" t="n">
        <f aca="false">BR40</f>
        <v>-491955.99490575</v>
      </c>
      <c r="BS146" s="10" t="n">
        <f aca="false">BS40</f>
        <v>-491955.99490575</v>
      </c>
      <c r="BT146" s="10" t="n">
        <f aca="false">BT40</f>
        <v>-491955.99490575</v>
      </c>
      <c r="BU146" s="10" t="n">
        <f aca="false">BU40</f>
        <v>-491955.99490575</v>
      </c>
      <c r="BV146" s="10" t="n">
        <f aca="false">BV40</f>
        <v>-491955.99490575</v>
      </c>
      <c r="BW146" s="10" t="n">
        <f aca="false">BW40</f>
        <v>-501795.114803865</v>
      </c>
      <c r="BX146" s="10" t="n">
        <f aca="false">BX40</f>
        <v>-501795.114803865</v>
      </c>
      <c r="BY146" s="10" t="n">
        <f aca="false">BY40</f>
        <v>-501795.114803865</v>
      </c>
      <c r="BZ146" s="10" t="n">
        <f aca="false">BZ40</f>
        <v>-501795.114803865</v>
      </c>
      <c r="CA146" s="10" t="n">
        <f aca="false">CA40</f>
        <v>-501795.114803865</v>
      </c>
      <c r="CB146" s="10" t="n">
        <f aca="false">CB40</f>
        <v>-501795.114803865</v>
      </c>
      <c r="CC146" s="10" t="n">
        <f aca="false">CC40</f>
        <v>-501795.114803865</v>
      </c>
      <c r="CD146" s="10" t="n">
        <f aca="false">CD40</f>
        <v>-501795.114803865</v>
      </c>
      <c r="CE146" s="10" t="n">
        <f aca="false">CE40</f>
        <v>-501795.114803865</v>
      </c>
      <c r="CF146" s="10" t="n">
        <f aca="false">CF40</f>
        <v>-501795.114803865</v>
      </c>
      <c r="CG146" s="10" t="n">
        <f aca="false">CG40</f>
        <v>-501795.114803865</v>
      </c>
      <c r="CH146" s="10" t="n">
        <f aca="false">CH40</f>
        <v>-501795.114803865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2206395.70456077</v>
      </c>
      <c r="G147" s="61" t="n">
        <f aca="false">G145+G146</f>
        <v>2388379.67992759</v>
      </c>
      <c r="H147" s="61" t="n">
        <f aca="false">H145+H146</f>
        <v>2615490.46749538</v>
      </c>
      <c r="I147" s="61" t="n">
        <f aca="false">I145+I146</f>
        <v>3208090.58094992</v>
      </c>
      <c r="J147" s="61" t="n">
        <f aca="false">J145+J146</f>
        <v>3838994.59535144</v>
      </c>
      <c r="K147" s="61" t="n">
        <f aca="false">K145+K146</f>
        <v>4247659.73175295</v>
      </c>
      <c r="L147" s="61" t="n">
        <f aca="false">L145+L146</f>
        <v>4656324.86815447</v>
      </c>
      <c r="M147" s="61" t="n">
        <f aca="false">M145+M146</f>
        <v>5064990.00455598</v>
      </c>
      <c r="N147" s="61" t="n">
        <f aca="false">N145+N146</f>
        <v>5473655.1409575</v>
      </c>
      <c r="O147" s="61" t="n">
        <f aca="false">O145+O146</f>
        <v>5252705.24620447</v>
      </c>
      <c r="P147" s="61" t="n">
        <f aca="false">P145+P146</f>
        <v>5823923.82645144</v>
      </c>
      <c r="Q147" s="61" t="n">
        <f aca="false">Q145+Q146</f>
        <v>6395142.40669841</v>
      </c>
      <c r="R147" s="61" t="n">
        <f aca="false">R145+R146</f>
        <v>6775711.60058174</v>
      </c>
      <c r="S147" s="61" t="n">
        <f aca="false">S145+S146</f>
        <v>7030345.29446507</v>
      </c>
      <c r="T147" s="61" t="n">
        <f aca="false">T145+T146</f>
        <v>7284978.98834841</v>
      </c>
      <c r="U147" s="61" t="n">
        <f aca="false">U145+U146</f>
        <v>7539612.68223174</v>
      </c>
      <c r="V147" s="61" t="n">
        <f aca="false">V145+V146</f>
        <v>7763943.21822034</v>
      </c>
      <c r="W147" s="61" t="n">
        <f aca="false">W145+W146</f>
        <v>7988273.75420893</v>
      </c>
      <c r="X147" s="61" t="n">
        <f aca="false">X145+X146</f>
        <v>8212604.29019753</v>
      </c>
      <c r="Y147" s="61" t="n">
        <f aca="false">Y145+Y146</f>
        <v>8436934.82618612</v>
      </c>
      <c r="Z147" s="61" t="n">
        <f aca="false">Z145+Z146</f>
        <v>8603986.00212687</v>
      </c>
      <c r="AA147" s="61" t="n">
        <f aca="false">AA145+AA146</f>
        <v>8716820.53995267</v>
      </c>
      <c r="AB147" s="61" t="n">
        <f aca="false">AB145+AB146</f>
        <v>8748161.22610382</v>
      </c>
      <c r="AC147" s="61" t="n">
        <f aca="false">AC145+AC146</f>
        <v>8212442.18558831</v>
      </c>
      <c r="AD147" s="61" t="n">
        <f aca="false">AD145+AD146</f>
        <v>8400429.20507279</v>
      </c>
      <c r="AE147" s="61" t="n">
        <f aca="false">AE145+AE146</f>
        <v>8588416.22455728</v>
      </c>
      <c r="AF147" s="61" t="n">
        <f aca="false">AF145+AF146</f>
        <v>8776403.24404176</v>
      </c>
      <c r="AG147" s="61" t="n">
        <f aca="false">AG145+AG146</f>
        <v>8964390.26352624</v>
      </c>
      <c r="AH147" s="61" t="n">
        <f aca="false">AH145+AH146</f>
        <v>9051698.28206376</v>
      </c>
      <c r="AI147" s="61" t="n">
        <f aca="false">AI145+AI146</f>
        <v>9139006.30060128</v>
      </c>
      <c r="AJ147" s="61" t="n">
        <f aca="false">AJ145+AJ146</f>
        <v>9063555.04641152</v>
      </c>
      <c r="AK147" s="61" t="n">
        <f aca="false">AK145+AK146</f>
        <v>8988103.79222176</v>
      </c>
      <c r="AL147" s="61" t="n">
        <f aca="false">AL145+AL146</f>
        <v>8912652.538032</v>
      </c>
      <c r="AM147" s="61" t="n">
        <f aca="false">AM145+AM146</f>
        <v>8767911.16519784</v>
      </c>
      <c r="AN147" s="61" t="n">
        <f aca="false">AN145+AN146</f>
        <v>8623169.79236369</v>
      </c>
      <c r="AO147" s="61" t="n">
        <f aca="false">AO145+AO146</f>
        <v>8478428.41952953</v>
      </c>
      <c r="AP147" s="61" t="n">
        <f aca="false">AP145+AP146</f>
        <v>8333687.04669537</v>
      </c>
      <c r="AQ147" s="61" t="n">
        <f aca="false">AQ145+AQ146</f>
        <v>8188945.67386121</v>
      </c>
      <c r="AR147" s="61" t="n">
        <f aca="false">AR145+AR146</f>
        <v>8044204.30102705</v>
      </c>
      <c r="AS147" s="61" t="n">
        <f aca="false">AS145+AS146</f>
        <v>7727997.8903141</v>
      </c>
      <c r="AT147" s="61" t="n">
        <f aca="false">AT145+AT146</f>
        <v>7411791.47960115</v>
      </c>
      <c r="AU147" s="61" t="n">
        <f aca="false">AU145+AU146</f>
        <v>7095585.06888821</v>
      </c>
      <c r="AV147" s="61" t="n">
        <f aca="false">AV145+AV146</f>
        <v>6779378.65817526</v>
      </c>
      <c r="AW147" s="61" t="n">
        <f aca="false">AW145+AW146</f>
        <v>6463172.24746231</v>
      </c>
      <c r="AX147" s="61" t="n">
        <f aca="false">AX145+AX146</f>
        <v>6146965.83674937</v>
      </c>
      <c r="AY147" s="61" t="n">
        <f aca="false">AY145+AY146</f>
        <v>5821302.37115549</v>
      </c>
      <c r="AZ147" s="61" t="n">
        <f aca="false">AZ145+AZ146</f>
        <v>5495638.90556162</v>
      </c>
      <c r="BA147" s="61" t="n">
        <f aca="false">BA145+BA146</f>
        <v>5169975.43996775</v>
      </c>
      <c r="BB147" s="61" t="n">
        <f aca="false">BB145+BB146</f>
        <v>4844311.97437388</v>
      </c>
      <c r="BC147" s="61" t="n">
        <f aca="false">BC145+BC146</f>
        <v>4518648.50878</v>
      </c>
      <c r="BD147" s="61" t="n">
        <f aca="false">BD145+BD146</f>
        <v>4192985.04318613</v>
      </c>
      <c r="BE147" s="61" t="n">
        <f aca="false">BE145+BE146</f>
        <v>3867321.57759226</v>
      </c>
      <c r="BF147" s="61" t="n">
        <f aca="false">BF145+BF146</f>
        <v>3541658.11199839</v>
      </c>
      <c r="BG147" s="61" t="n">
        <f aca="false">BG145+BG146</f>
        <v>3059348.31307118</v>
      </c>
      <c r="BH147" s="61" t="n">
        <f aca="false">BH145+BH146</f>
        <v>2577038.51414398</v>
      </c>
      <c r="BI147" s="61" t="n">
        <f aca="false">BI145+BI146</f>
        <v>2094728.71521677</v>
      </c>
      <c r="BJ147" s="61" t="n">
        <f aca="false">BJ145+BJ146</f>
        <v>1612418.91628956</v>
      </c>
      <c r="BK147" s="61" t="n">
        <f aca="false">BK145+BK146</f>
        <v>1120462.92138381</v>
      </c>
      <c r="BL147" s="61" t="n">
        <f aca="false">BL145+BL146</f>
        <v>628506.926478064</v>
      </c>
      <c r="BM147" s="61" t="n">
        <f aca="false">BM145+BM146</f>
        <v>136550.931572315</v>
      </c>
      <c r="BN147" s="61" t="n">
        <f aca="false">BN145+BN146</f>
        <v>-355405.063333435</v>
      </c>
      <c r="BO147" s="61" t="n">
        <f aca="false">BO145+BO146</f>
        <v>-847361.058239185</v>
      </c>
      <c r="BP147" s="61" t="n">
        <f aca="false">BP145+BP146</f>
        <v>-1339317.05314493</v>
      </c>
      <c r="BQ147" s="61" t="n">
        <f aca="false">BQ145+BQ146</f>
        <v>-1831273.04805068</v>
      </c>
      <c r="BR147" s="61" t="n">
        <f aca="false">BR145+BR146</f>
        <v>-2323229.04295643</v>
      </c>
      <c r="BS147" s="61" t="n">
        <f aca="false">BS145+BS146</f>
        <v>-2815185.03786218</v>
      </c>
      <c r="BT147" s="61" t="n">
        <f aca="false">BT145+BT146</f>
        <v>-3307141.03276793</v>
      </c>
      <c r="BU147" s="61" t="n">
        <f aca="false">BU145+BU146</f>
        <v>-3799097.02767368</v>
      </c>
      <c r="BV147" s="61" t="n">
        <f aca="false">BV145+BV146</f>
        <v>-4291053.02257943</v>
      </c>
      <c r="BW147" s="61" t="n">
        <f aca="false">BW145+BW146</f>
        <v>-4792848.1373833</v>
      </c>
      <c r="BX147" s="61" t="n">
        <f aca="false">BX145+BX146</f>
        <v>-5294643.25218716</v>
      </c>
      <c r="BY147" s="61" t="n">
        <f aca="false">BY145+BY146</f>
        <v>-5796438.36699103</v>
      </c>
      <c r="BZ147" s="61" t="n">
        <f aca="false">BZ145+BZ146</f>
        <v>-6298233.48179489</v>
      </c>
      <c r="CA147" s="61" t="n">
        <f aca="false">CA145+CA146</f>
        <v>-6800028.59659876</v>
      </c>
      <c r="CB147" s="61" t="n">
        <f aca="false">CB145+CB146</f>
        <v>-7301823.71140262</v>
      </c>
      <c r="CC147" s="61" t="n">
        <f aca="false">CC145+CC146</f>
        <v>-7803618.82620649</v>
      </c>
      <c r="CD147" s="61" t="n">
        <f aca="false">CD145+CD146</f>
        <v>-8305413.94101035</v>
      </c>
      <c r="CE147" s="61" t="n">
        <f aca="false">CE145+CE146</f>
        <v>-8807209.05581421</v>
      </c>
      <c r="CF147" s="61" t="n">
        <f aca="false">CF145+CF146</f>
        <v>-9309004.17061808</v>
      </c>
      <c r="CG147" s="61" t="n">
        <f aca="false">CG145+CG146</f>
        <v>-9810799.28542195</v>
      </c>
      <c r="CH147" s="61" t="n">
        <f aca="false">CH145+CH146</f>
        <v>-10312594.4002258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159721.633333333</v>
      </c>
      <c r="I150" s="10" t="n">
        <f aca="false">H155</f>
        <v>152915.48</v>
      </c>
      <c r="J150" s="10" t="n">
        <f aca="false">I155</f>
        <v>-30183.6433333333</v>
      </c>
      <c r="K150" s="10" t="n">
        <f aca="false">J155</f>
        <v>-222657.766666667</v>
      </c>
      <c r="L150" s="10" t="n">
        <f aca="false">K155</f>
        <v>-436131.89</v>
      </c>
      <c r="M150" s="10" t="n">
        <f aca="false">L155</f>
        <v>-616474.182933333</v>
      </c>
      <c r="N150" s="10" t="n">
        <f aca="false">M155</f>
        <v>-1046816.47586667</v>
      </c>
      <c r="O150" s="10" t="n">
        <f aca="false">N155</f>
        <v>-1227158.7688</v>
      </c>
      <c r="P150" s="10" t="n">
        <f aca="false">O155</f>
        <v>-1409892.3534</v>
      </c>
      <c r="Q150" s="10" t="n">
        <f aca="false">P155</f>
        <v>-1592625.938</v>
      </c>
      <c r="R150" s="10" t="n">
        <f aca="false">Q155</f>
        <v>-1775359.5226</v>
      </c>
      <c r="S150" s="10" t="n">
        <f aca="false">R155</f>
        <v>-2001387.4948</v>
      </c>
      <c r="T150" s="10" t="n">
        <f aca="false">S155</f>
        <v>-2187383.2046</v>
      </c>
      <c r="U150" s="10" t="n">
        <f aca="false">T155</f>
        <v>-2356806.652</v>
      </c>
      <c r="V150" s="10" t="n">
        <f aca="false">U155</f>
        <v>-2509657.8434</v>
      </c>
      <c r="W150" s="10" t="n">
        <f aca="false">V155</f>
        <v>-2645936.766</v>
      </c>
      <c r="X150" s="10" t="n">
        <f aca="false">W155</f>
        <v>-2665657.67588545</v>
      </c>
      <c r="Y150" s="10" t="n">
        <f aca="false">X155</f>
        <v>-2638792.08648545</v>
      </c>
      <c r="Z150" s="10" t="n">
        <f aca="false">Y155</f>
        <v>-2845354.23468545</v>
      </c>
      <c r="AA150" s="10" t="n">
        <f aca="false">Z155</f>
        <v>-2740600.69408545</v>
      </c>
      <c r="AB150" s="10" t="n">
        <f aca="false">AA155</f>
        <v>-2690141.64498545</v>
      </c>
      <c r="AC150" s="10" t="n">
        <f aca="false">AB155</f>
        <v>-2623110.32708545</v>
      </c>
      <c r="AD150" s="10" t="n">
        <f aca="false">AC155</f>
        <v>-2453299.52918545</v>
      </c>
      <c r="AE150" s="10" t="n">
        <f aca="false">AD155</f>
        <v>-2421956.83528545</v>
      </c>
      <c r="AF150" s="10" t="n">
        <f aca="false">AE155</f>
        <v>-2366184.38458545</v>
      </c>
      <c r="AG150" s="10" t="n">
        <f aca="false">AF155</f>
        <v>-2309911.38988545</v>
      </c>
      <c r="AH150" s="10" t="n">
        <f aca="false">AG155</f>
        <v>-2262637.84478545</v>
      </c>
      <c r="AI150" s="10" t="n">
        <f aca="false">AH155</f>
        <v>-2214863.75568545</v>
      </c>
      <c r="AJ150" s="10" t="n">
        <f aca="false">AI155</f>
        <v>-2171865.25378545</v>
      </c>
      <c r="AK150" s="10" t="n">
        <f aca="false">AJ155</f>
        <v>-2123090.05748545</v>
      </c>
      <c r="AL150" s="10" t="n">
        <f aca="false">AK155</f>
        <v>-2340386.57318545</v>
      </c>
      <c r="AM150" s="10" t="n">
        <f aca="false">AL155</f>
        <v>-2323754.80088545</v>
      </c>
      <c r="AN150" s="10" t="n">
        <f aca="false">AM155</f>
        <v>-2325682.64683545</v>
      </c>
      <c r="AO150" s="10" t="n">
        <f aca="false">AN155</f>
        <v>-2343682.19838545</v>
      </c>
      <c r="AP150" s="10" t="n">
        <f aca="false">AO155</f>
        <v>-2377753.46193544</v>
      </c>
      <c r="AQ150" s="10" t="n">
        <f aca="false">AP155</f>
        <v>-2452304.22788544</v>
      </c>
      <c r="AR150" s="10" t="n">
        <f aca="false">AQ155</f>
        <v>-2518518.91543544</v>
      </c>
      <c r="AS150" s="10" t="n">
        <f aca="false">AR155</f>
        <v>-2600805.31498545</v>
      </c>
      <c r="AT150" s="10" t="n">
        <f aca="false">AS155</f>
        <v>-2631388.14333545</v>
      </c>
      <c r="AU150" s="10" t="n">
        <f aca="false">AT155</f>
        <v>-2678543.22768545</v>
      </c>
      <c r="AV150" s="10" t="n">
        <f aca="false">AU155</f>
        <v>-2780627.64803545</v>
      </c>
      <c r="AW150" s="10" t="n">
        <f aca="false">AV155</f>
        <v>-2860927.25078545</v>
      </c>
      <c r="AX150" s="10" t="n">
        <f aca="false">AW155</f>
        <v>-2941727.41033545</v>
      </c>
      <c r="AY150" s="10" t="n">
        <f aca="false">AX155</f>
        <v>-3023028.11388545</v>
      </c>
      <c r="AZ150" s="10" t="n">
        <f aca="false">AY155</f>
        <v>-3107367.02568245</v>
      </c>
      <c r="BA150" s="10" t="n">
        <f aca="false">AZ155</f>
        <v>-3192206.48787945</v>
      </c>
      <c r="BB150" s="10" t="n">
        <f aca="false">BA155</f>
        <v>-3277546.50047645</v>
      </c>
      <c r="BC150" s="10" t="n">
        <f aca="false">BB155</f>
        <v>-3388283.00315345</v>
      </c>
      <c r="BD150" s="10" t="n">
        <f aca="false">BC155</f>
        <v>-3474624.11655045</v>
      </c>
      <c r="BE150" s="10" t="n">
        <f aca="false">BD155</f>
        <v>-3561465.78034745</v>
      </c>
      <c r="BF150" s="10" t="n">
        <f aca="false">BE155</f>
        <v>-3648807.99454445</v>
      </c>
      <c r="BG150" s="10" t="n">
        <f aca="false">BF155</f>
        <v>-3736650.75914145</v>
      </c>
      <c r="BH150" s="10" t="n">
        <f aca="false">BG155</f>
        <v>-3847725.14309845</v>
      </c>
      <c r="BI150" s="10" t="n">
        <f aca="false">BH155</f>
        <v>-3907368.20849545</v>
      </c>
      <c r="BJ150" s="10" t="n">
        <f aca="false">BI155</f>
        <v>-3967511.82429245</v>
      </c>
      <c r="BK150" s="10" t="n">
        <f aca="false">BJ155</f>
        <v>-3960380.70088945</v>
      </c>
      <c r="BL150" s="10" t="n">
        <f aca="false">BK155</f>
        <v>-4092389.66209039</v>
      </c>
      <c r="BM150" s="10" t="n">
        <f aca="false">BL155</f>
        <v>-4224398.62329133</v>
      </c>
      <c r="BN150" s="10" t="n">
        <f aca="false">BM155</f>
        <v>-4356407.58449227</v>
      </c>
      <c r="BO150" s="10" t="n">
        <f aca="false">BN155</f>
        <v>-4513810.40416681</v>
      </c>
      <c r="BP150" s="10" t="n">
        <f aca="false">BO155</f>
        <v>-4645819.36536775</v>
      </c>
      <c r="BQ150" s="10" t="n">
        <f aca="false">BP155</f>
        <v>-4726314.80656869</v>
      </c>
      <c r="BR150" s="10" t="n">
        <f aca="false">BQ155</f>
        <v>-4858323.76776963</v>
      </c>
      <c r="BS150" s="10" t="n">
        <f aca="false">BR155</f>
        <v>-4990332.72897057</v>
      </c>
      <c r="BT150" s="10" t="n">
        <f aca="false">BS155</f>
        <v>-5077765.38703871</v>
      </c>
      <c r="BU150" s="10" t="n">
        <f aca="false">BT155</f>
        <v>-5209774.34823965</v>
      </c>
      <c r="BV150" s="10" t="n">
        <f aca="false">BU155</f>
        <v>-5341783.30944059</v>
      </c>
      <c r="BW150" s="10" t="n">
        <f aca="false">BV155</f>
        <v>-5406030.27064153</v>
      </c>
      <c r="BX150" s="10" t="n">
        <f aca="false">BW155</f>
        <v>-5540679.41106649</v>
      </c>
      <c r="BY150" s="10" t="n">
        <f aca="false">BX155</f>
        <v>-5675328.55149145</v>
      </c>
      <c r="BZ150" s="10" t="n">
        <f aca="false">BY155</f>
        <v>-5742215.6919164</v>
      </c>
      <c r="CA150" s="10" t="n">
        <f aca="false">BZ155</f>
        <v>-5902766.56798443</v>
      </c>
      <c r="CB150" s="10" t="n">
        <f aca="false">CA155</f>
        <v>-6037415.70840939</v>
      </c>
      <c r="CC150" s="10" t="n">
        <f aca="false">CB155</f>
        <v>-6095565.84883435</v>
      </c>
      <c r="CD150" s="10" t="n">
        <f aca="false">CC155</f>
        <v>-6230214.98925931</v>
      </c>
      <c r="CE150" s="10" t="n">
        <f aca="false">CD155</f>
        <v>-6364864.12968427</v>
      </c>
      <c r="CF150" s="10" t="n">
        <f aca="false">CE155</f>
        <v>-6446663.68091377</v>
      </c>
      <c r="CG150" s="10" t="n">
        <f aca="false">CF155</f>
        <v>-6581312.82133873</v>
      </c>
      <c r="CH150" s="10" t="n">
        <f aca="false">CG155</f>
        <v>-6715961.96176369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34890.4866666667</v>
      </c>
      <c r="H151" s="10" t="n">
        <f aca="false">H86</f>
        <v>-6806.15333333332</v>
      </c>
      <c r="I151" s="10" t="n">
        <f aca="false">I86</f>
        <v>-53099.1233333333</v>
      </c>
      <c r="J151" s="10" t="n">
        <f aca="false">J86</f>
        <v>-62474.1233333333</v>
      </c>
      <c r="K151" s="10" t="n">
        <f aca="false">K86</f>
        <v>-83474.1233333333</v>
      </c>
      <c r="L151" s="10" t="n">
        <f aca="false">L86</f>
        <v>-50342.2929333333</v>
      </c>
      <c r="M151" s="10" t="n">
        <f aca="false">M86</f>
        <v>-50342.2929333333</v>
      </c>
      <c r="N151" s="10" t="n">
        <f aca="false">N86</f>
        <v>-50342.2929333333</v>
      </c>
      <c r="O151" s="10" t="n">
        <f aca="false">O86</f>
        <v>-52733.5846</v>
      </c>
      <c r="P151" s="10" t="n">
        <f aca="false">P86</f>
        <v>-52733.5846</v>
      </c>
      <c r="Q151" s="10" t="n">
        <f aca="false">Q86</f>
        <v>-52733.5846</v>
      </c>
      <c r="R151" s="10" t="n">
        <f aca="false">R86</f>
        <v>-96027.9722</v>
      </c>
      <c r="S151" s="10" t="n">
        <f aca="false">S86</f>
        <v>-55995.7098</v>
      </c>
      <c r="T151" s="10" t="n">
        <f aca="false">T86</f>
        <v>-39423.4474</v>
      </c>
      <c r="U151" s="10" t="n">
        <f aca="false">U86</f>
        <v>-22851.1914</v>
      </c>
      <c r="V151" s="10" t="n">
        <f aca="false">V86</f>
        <v>-6278.92260000002</v>
      </c>
      <c r="W151" s="10" t="n">
        <f aca="false">W86</f>
        <v>46248.3334</v>
      </c>
      <c r="X151" s="10" t="n">
        <f aca="false">X86</f>
        <v>26865.5894</v>
      </c>
      <c r="Y151" s="10" t="n">
        <f aca="false">Y86</f>
        <v>43437.8518</v>
      </c>
      <c r="Z151" s="10" t="n">
        <f aca="false">Z86</f>
        <v>104753.5406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159721.633333333</v>
      </c>
      <c r="H155" s="61" t="n">
        <f aca="false">H150+H151+H152+H153+H154</f>
        <v>152915.48</v>
      </c>
      <c r="I155" s="61" t="n">
        <f aca="false">I150+I151+I152+I153+I154</f>
        <v>-30183.6433333333</v>
      </c>
      <c r="J155" s="61" t="n">
        <f aca="false">J150+J151+J152+J153+J154</f>
        <v>-222657.766666667</v>
      </c>
      <c r="K155" s="61" t="n">
        <f aca="false">K150+K151+K152+K153+K154</f>
        <v>-436131.89</v>
      </c>
      <c r="L155" s="61" t="n">
        <f aca="false">L150+L151+L152+L153+L154</f>
        <v>-616474.182933333</v>
      </c>
      <c r="M155" s="61" t="n">
        <f aca="false">M150+M151+M152+M153+M154</f>
        <v>-1046816.47586667</v>
      </c>
      <c r="N155" s="61" t="n">
        <f aca="false">N150+N151+N152+N153+N154</f>
        <v>-1227158.7688</v>
      </c>
      <c r="O155" s="61" t="n">
        <f aca="false">O150+O151+O152+O153+O154</f>
        <v>-1409892.3534</v>
      </c>
      <c r="P155" s="61" t="n">
        <f aca="false">P150+P151+P152+P153+P154</f>
        <v>-1592625.938</v>
      </c>
      <c r="Q155" s="61" t="n">
        <f aca="false">Q150+Q151+Q152+Q153+Q154</f>
        <v>-1775359.5226</v>
      </c>
      <c r="R155" s="61" t="n">
        <f aca="false">R150+R151+R152+R153+R154</f>
        <v>-2001387.4948</v>
      </c>
      <c r="S155" s="61" t="n">
        <f aca="false">S150+S151+S152+S153+S154</f>
        <v>-2187383.2046</v>
      </c>
      <c r="T155" s="61" t="n">
        <f aca="false">T150+T151+T152+T153+T154</f>
        <v>-2356806.652</v>
      </c>
      <c r="U155" s="61" t="n">
        <f aca="false">U150+U151+U152+U153+U154</f>
        <v>-2509657.8434</v>
      </c>
      <c r="V155" s="61" t="n">
        <f aca="false">V150+V151+V152+V153+V154</f>
        <v>-2645936.766</v>
      </c>
      <c r="W155" s="61" t="n">
        <f aca="false">W150+W151+W152+W153+W154</f>
        <v>-2665657.67588545</v>
      </c>
      <c r="X155" s="61" t="n">
        <f aca="false">X150+X151+X152+X153+X154</f>
        <v>-2638792.08648545</v>
      </c>
      <c r="Y155" s="61" t="n">
        <f aca="false">Y150+Y151+Y152+Y153+Y154</f>
        <v>-2845354.23468545</v>
      </c>
      <c r="Z155" s="61" t="n">
        <f aca="false">Z150+Z151+Z152+Z153+Z154</f>
        <v>-2740600.69408545</v>
      </c>
      <c r="AA155" s="61" t="n">
        <f aca="false">AA150+AA151+AA152+AA153+AA154</f>
        <v>-2690141.64498545</v>
      </c>
      <c r="AB155" s="61" t="n">
        <f aca="false">AB150+AB151+AB152+AB153+AB154</f>
        <v>-2623110.32708545</v>
      </c>
      <c r="AC155" s="61" t="n">
        <f aca="false">AC150+AC151+AC152+AC153+AC154</f>
        <v>-2453299.52918545</v>
      </c>
      <c r="AD155" s="61" t="n">
        <f aca="false">AD150+AD151+AD152+AD153+AD154</f>
        <v>-2421956.83528545</v>
      </c>
      <c r="AE155" s="61" t="n">
        <f aca="false">AE150+AE151+AE152+AE153+AE154</f>
        <v>-2366184.38458545</v>
      </c>
      <c r="AF155" s="61" t="n">
        <f aca="false">AF150+AF151+AF152+AF153+AF154</f>
        <v>-2309911.38988545</v>
      </c>
      <c r="AG155" s="61" t="n">
        <f aca="false">AG150+AG151+AG152+AG153+AG154</f>
        <v>-2262637.84478545</v>
      </c>
      <c r="AH155" s="61" t="n">
        <f aca="false">AH150+AH151+AH152+AH153+AH154</f>
        <v>-2214863.75568545</v>
      </c>
      <c r="AI155" s="61" t="n">
        <f aca="false">AI150+AI151+AI152+AI153+AI154</f>
        <v>-2171865.25378545</v>
      </c>
      <c r="AJ155" s="61" t="n">
        <f aca="false">AJ150+AJ151+AJ152+AJ153+AJ154</f>
        <v>-2123090.05748545</v>
      </c>
      <c r="AK155" s="61" t="n">
        <f aca="false">AK150+AK151+AK152+AK153+AK154</f>
        <v>-2340386.57318545</v>
      </c>
      <c r="AL155" s="61" t="n">
        <f aca="false">AL150+AL151+AL152+AL153+AL154</f>
        <v>-2323754.80088545</v>
      </c>
      <c r="AM155" s="61" t="n">
        <f aca="false">AM150+AM151+AM152+AM153+AM154</f>
        <v>-2325682.64683545</v>
      </c>
      <c r="AN155" s="61" t="n">
        <f aca="false">AN150+AN151+AN152+AN153+AN154</f>
        <v>-2343682.19838545</v>
      </c>
      <c r="AO155" s="61" t="n">
        <f aca="false">AO150+AO151+AO152+AO153+AO154</f>
        <v>-2377753.46193544</v>
      </c>
      <c r="AP155" s="61" t="n">
        <f aca="false">AP150+AP151+AP152+AP153+AP154</f>
        <v>-2452304.22788544</v>
      </c>
      <c r="AQ155" s="61" t="n">
        <f aca="false">AQ150+AQ151+AQ152+AQ153+AQ154</f>
        <v>-2518518.91543544</v>
      </c>
      <c r="AR155" s="61" t="n">
        <f aca="false">AR150+AR151+AR152+AR153+AR154</f>
        <v>-2600805.31498545</v>
      </c>
      <c r="AS155" s="61" t="n">
        <f aca="false">AS150+AS151+AS152+AS153+AS154</f>
        <v>-2631388.14333545</v>
      </c>
      <c r="AT155" s="61" t="n">
        <f aca="false">AT150+AT151+AT152+AT153+AT154</f>
        <v>-2678543.22768545</v>
      </c>
      <c r="AU155" s="61" t="n">
        <f aca="false">AU150+AU151+AU152+AU153+AU154</f>
        <v>-2780627.64803545</v>
      </c>
      <c r="AV155" s="61" t="n">
        <f aca="false">AV150+AV151+AV152+AV153+AV154</f>
        <v>-2860927.25078545</v>
      </c>
      <c r="AW155" s="61" t="n">
        <f aca="false">AW150+AW151+AW152+AW153+AW154</f>
        <v>-2941727.41033545</v>
      </c>
      <c r="AX155" s="61" t="n">
        <f aca="false">AX150+AX151+AX152+AX153+AX154</f>
        <v>-3023028.11388545</v>
      </c>
      <c r="AY155" s="61" t="n">
        <f aca="false">AY150+AY151+AY152+AY153+AY154</f>
        <v>-3107367.02568245</v>
      </c>
      <c r="AZ155" s="61" t="n">
        <f aca="false">AZ150+AZ151+AZ152+AZ153+AZ154</f>
        <v>-3192206.48787945</v>
      </c>
      <c r="BA155" s="61" t="n">
        <f aca="false">BA150+BA151+BA152+BA153+BA154</f>
        <v>-3277546.50047645</v>
      </c>
      <c r="BB155" s="61" t="n">
        <f aca="false">BB150+BB151+BB152+BB153+BB154</f>
        <v>-3388283.00315345</v>
      </c>
      <c r="BC155" s="61" t="n">
        <f aca="false">BC150+BC151+BC152+BC153+BC154</f>
        <v>-3474624.11655045</v>
      </c>
      <c r="BD155" s="61" t="n">
        <f aca="false">BD150+BD151+BD152+BD153+BD154</f>
        <v>-3561465.78034745</v>
      </c>
      <c r="BE155" s="61" t="n">
        <f aca="false">BE150+BE151+BE152+BE153+BE154</f>
        <v>-3648807.99454445</v>
      </c>
      <c r="BF155" s="61" t="n">
        <f aca="false">BF150+BF151+BF152+BF153+BF154</f>
        <v>-3736650.75914145</v>
      </c>
      <c r="BG155" s="61" t="n">
        <f aca="false">BG150+BG151+BG152+BG153+BG154</f>
        <v>-3847725.14309845</v>
      </c>
      <c r="BH155" s="61" t="n">
        <f aca="false">BH150+BH151+BH152+BH153+BH154</f>
        <v>-3907368.20849545</v>
      </c>
      <c r="BI155" s="61" t="n">
        <f aca="false">BI150+BI151+BI152+BI153+BI154</f>
        <v>-3967511.82429245</v>
      </c>
      <c r="BJ155" s="61" t="n">
        <f aca="false">BJ150+BJ151+BJ152+BJ153+BJ154</f>
        <v>-3960380.70088945</v>
      </c>
      <c r="BK155" s="61" t="n">
        <f aca="false">BK150+BK151+BK152+BK153+BK154</f>
        <v>-4092389.66209039</v>
      </c>
      <c r="BL155" s="61" t="n">
        <f aca="false">BL150+BL151+BL152+BL153+BL154</f>
        <v>-4224398.62329133</v>
      </c>
      <c r="BM155" s="61" t="n">
        <f aca="false">BM150+BM151+BM152+BM153+BM154</f>
        <v>-4356407.58449227</v>
      </c>
      <c r="BN155" s="61" t="n">
        <f aca="false">BN150+BN151+BN152+BN153+BN154</f>
        <v>-4513810.40416681</v>
      </c>
      <c r="BO155" s="61" t="n">
        <f aca="false">BO150+BO151+BO152+BO153+BO154</f>
        <v>-4645819.36536775</v>
      </c>
      <c r="BP155" s="61" t="n">
        <f aca="false">BP150+BP151+BP152+BP153+BP154</f>
        <v>-4726314.80656869</v>
      </c>
      <c r="BQ155" s="61" t="n">
        <f aca="false">BQ150+BQ151+BQ152+BQ153+BQ154</f>
        <v>-4858323.76776963</v>
      </c>
      <c r="BR155" s="61" t="n">
        <f aca="false">BR150+BR151+BR152+BR153+BR154</f>
        <v>-4990332.72897057</v>
      </c>
      <c r="BS155" s="61" t="n">
        <f aca="false">BS150+BS151+BS152+BS153+BS154</f>
        <v>-5077765.38703871</v>
      </c>
      <c r="BT155" s="61" t="n">
        <f aca="false">BT150+BT151+BT152+BT153+BT154</f>
        <v>-5209774.34823965</v>
      </c>
      <c r="BU155" s="61" t="n">
        <f aca="false">BU150+BU151+BU152+BU153+BU154</f>
        <v>-5341783.30944059</v>
      </c>
      <c r="BV155" s="61" t="n">
        <f aca="false">BV150+BV151+BV152+BV153+BV154</f>
        <v>-5406030.27064153</v>
      </c>
      <c r="BW155" s="61" t="n">
        <f aca="false">BW150+BW151+BW152+BW153+BW154</f>
        <v>-5540679.41106649</v>
      </c>
      <c r="BX155" s="61" t="n">
        <f aca="false">BX150+BX151+BX152+BX153+BX154</f>
        <v>-5675328.55149145</v>
      </c>
      <c r="BY155" s="61" t="n">
        <f aca="false">BY150+BY151+BY152+BY153+BY154</f>
        <v>-5742215.6919164</v>
      </c>
      <c r="BZ155" s="61" t="n">
        <f aca="false">BZ150+BZ151+BZ152+BZ153+BZ154</f>
        <v>-5902766.56798443</v>
      </c>
      <c r="CA155" s="61" t="n">
        <f aca="false">CA150+CA151+CA152+CA153+CA154</f>
        <v>-6037415.70840939</v>
      </c>
      <c r="CB155" s="61" t="n">
        <f aca="false">CB150+CB151+CB152+CB153+CB154</f>
        <v>-6095565.84883435</v>
      </c>
      <c r="CC155" s="61" t="n">
        <f aca="false">CC150+CC151+CC152+CC153+CC154</f>
        <v>-6230214.98925931</v>
      </c>
      <c r="CD155" s="61" t="n">
        <f aca="false">CD150+CD151+CD152+CD153+CD154</f>
        <v>-6364864.12968427</v>
      </c>
      <c r="CE155" s="61" t="n">
        <f aca="false">CE150+CE151+CE152+CE153+CE154</f>
        <v>-6446663.68091377</v>
      </c>
      <c r="CF155" s="61" t="n">
        <f aca="false">CF150+CF151+CF152+CF153+CF154</f>
        <v>-6581312.82133873</v>
      </c>
      <c r="CG155" s="61" t="n">
        <f aca="false">CG150+CG151+CG152+CG153+CG154</f>
        <v>-6715961.96176369</v>
      </c>
      <c r="CH155" s="61" t="n">
        <f aca="false">CH150+CH151+CH152+CH153+CH154</f>
        <v>-6767504.07558217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2331226.85122743</v>
      </c>
      <c r="H158" s="10" t="n">
        <f aca="false">H145+H150</f>
        <v>2548101.31326093</v>
      </c>
      <c r="I158" s="10" t="n">
        <f aca="false">I145+I150</f>
        <v>2768405.94749538</v>
      </c>
      <c r="J158" s="10" t="n">
        <f aca="false">J145+J150</f>
        <v>3177906.93761659</v>
      </c>
      <c r="K158" s="10" t="n">
        <f aca="false">K145+K150</f>
        <v>3616336.82868477</v>
      </c>
      <c r="L158" s="10" t="n">
        <f aca="false">L145+L150</f>
        <v>3811527.84175295</v>
      </c>
      <c r="M158" s="10" t="n">
        <f aca="false">M145+M150</f>
        <v>4039850.68522113</v>
      </c>
      <c r="N158" s="10" t="n">
        <f aca="false">N145+N150</f>
        <v>4018173.52868932</v>
      </c>
      <c r="O158" s="10" t="n">
        <f aca="false">O145+O150</f>
        <v>4246496.3721575</v>
      </c>
      <c r="P158" s="10" t="n">
        <f aca="false">P145+P150</f>
        <v>3842812.89280447</v>
      </c>
      <c r="Q158" s="10" t="n">
        <f aca="false">Q145+Q150</f>
        <v>4231297.88845144</v>
      </c>
      <c r="R158" s="10" t="n">
        <f aca="false">R145+R150</f>
        <v>4619782.88409841</v>
      </c>
      <c r="S158" s="10" t="n">
        <f aca="false">S145+S150</f>
        <v>4774324.10578174</v>
      </c>
      <c r="T158" s="10" t="n">
        <f aca="false">T145+T150</f>
        <v>4842962.08986507</v>
      </c>
      <c r="U158" s="10" t="n">
        <f aca="false">U145+U150</f>
        <v>4928172.33634841</v>
      </c>
      <c r="V158" s="10" t="n">
        <f aca="false">V145+V150</f>
        <v>5029954.83883174</v>
      </c>
      <c r="W158" s="10" t="n">
        <f aca="false">W145+W150</f>
        <v>5118006.45222034</v>
      </c>
      <c r="X158" s="10" t="n">
        <f aca="false">X145+X150</f>
        <v>5322616.07832349</v>
      </c>
      <c r="Y158" s="10" t="n">
        <f aca="false">Y145+Y150</f>
        <v>5573812.20371208</v>
      </c>
      <c r="Z158" s="10" t="n">
        <f aca="false">Z145+Z150</f>
        <v>5591580.59150068</v>
      </c>
      <c r="AA158" s="10" t="n">
        <f aca="false">AA145+AA150</f>
        <v>5863385.30804143</v>
      </c>
      <c r="AB158" s="10" t="n">
        <f aca="false">AB145+AB150</f>
        <v>6026678.89496722</v>
      </c>
      <c r="AC158" s="10" t="n">
        <f aca="false">AC145+AC150</f>
        <v>6125050.89901838</v>
      </c>
      <c r="AD158" s="10" t="n">
        <f aca="false">AD145+AD150</f>
        <v>5759142.65640286</v>
      </c>
      <c r="AE158" s="10" t="n">
        <f aca="false">AE145+AE150</f>
        <v>5978472.36978735</v>
      </c>
      <c r="AF158" s="10" t="n">
        <f aca="false">AF145+AF150</f>
        <v>6222231.83997183</v>
      </c>
      <c r="AG158" s="10" t="n">
        <f aca="false">AG145+AG150</f>
        <v>6466491.85415631</v>
      </c>
      <c r="AH158" s="10" t="n">
        <f aca="false">AH145+AH150</f>
        <v>6701752.4187408</v>
      </c>
      <c r="AI158" s="10" t="n">
        <f aca="false">AI145+AI150</f>
        <v>6836834.52637832</v>
      </c>
      <c r="AJ158" s="10" t="n">
        <f aca="false">AJ145+AJ150</f>
        <v>6967141.04681583</v>
      </c>
      <c r="AK158" s="10" t="n">
        <f aca="false">AK145+AK150</f>
        <v>6940464.98892607</v>
      </c>
      <c r="AL158" s="10" t="n">
        <f aca="false">AL145+AL150</f>
        <v>6647717.21903632</v>
      </c>
      <c r="AM158" s="10" t="n">
        <f aca="false">AM145+AM150</f>
        <v>6588897.73714656</v>
      </c>
      <c r="AN158" s="10" t="n">
        <f aca="false">AN145+AN150</f>
        <v>6442228.5183624</v>
      </c>
      <c r="AO158" s="10" t="n">
        <f aca="false">AO145+AO150</f>
        <v>6279487.59397824</v>
      </c>
      <c r="AP158" s="10" t="n">
        <f aca="false">AP145+AP150</f>
        <v>6100674.95759408</v>
      </c>
      <c r="AQ158" s="10" t="n">
        <f aca="false">AQ145+AQ150</f>
        <v>5881382.81880992</v>
      </c>
      <c r="AR158" s="10" t="n">
        <f aca="false">AR145+AR150</f>
        <v>5670426.75842576</v>
      </c>
      <c r="AS158" s="10" t="n">
        <f aca="false">AS145+AS150</f>
        <v>5443398.9860416</v>
      </c>
      <c r="AT158" s="10" t="n">
        <f aca="false">AT145+AT150</f>
        <v>5096609.74697866</v>
      </c>
      <c r="AU158" s="10" t="n">
        <f aca="false">AU145+AU150</f>
        <v>4733248.25191571</v>
      </c>
      <c r="AV158" s="10" t="n">
        <f aca="false">AV145+AV150</f>
        <v>4314957.42085276</v>
      </c>
      <c r="AW158" s="10" t="n">
        <f aca="false">AW145+AW150</f>
        <v>3918451.40738982</v>
      </c>
      <c r="AX158" s="10" t="n">
        <f aca="false">AX145+AX150</f>
        <v>3521444.83712687</v>
      </c>
      <c r="AY158" s="10" t="n">
        <f aca="false">AY145+AY150</f>
        <v>3123937.72286392</v>
      </c>
      <c r="AZ158" s="10" t="n">
        <f aca="false">AZ145+AZ150</f>
        <v>2713935.34547305</v>
      </c>
      <c r="BA158" s="10" t="n">
        <f aca="false">BA145+BA150</f>
        <v>2303432.41768218</v>
      </c>
      <c r="BB158" s="10" t="n">
        <f aca="false">BB145+BB150</f>
        <v>1892428.9394913</v>
      </c>
      <c r="BC158" s="10" t="n">
        <f aca="false">BC145+BC150</f>
        <v>1456028.97122043</v>
      </c>
      <c r="BD158" s="10" t="n">
        <f aca="false">BD145+BD150</f>
        <v>1044024.39222956</v>
      </c>
      <c r="BE158" s="10" t="n">
        <f aca="false">BE145+BE150</f>
        <v>631519.262838685</v>
      </c>
      <c r="BF158" s="10" t="n">
        <f aca="false">BF145+BF150</f>
        <v>218513.583047813</v>
      </c>
      <c r="BG158" s="10" t="n">
        <f aca="false">BG145+BG150</f>
        <v>-194992.647143059</v>
      </c>
      <c r="BH158" s="10" t="n">
        <f aca="false">BH145+BH150</f>
        <v>-788376.830027265</v>
      </c>
      <c r="BI158" s="10" t="n">
        <f aca="false">BI145+BI150</f>
        <v>-1330329.69435147</v>
      </c>
      <c r="BJ158" s="10" t="n">
        <f aca="false">BJ145+BJ150</f>
        <v>-1872783.10907568</v>
      </c>
      <c r="BK158" s="10" t="n">
        <f aca="false">BK145+BK150</f>
        <v>-2347961.78459988</v>
      </c>
      <c r="BL158" s="10" t="n">
        <f aca="false">BL145+BL150</f>
        <v>-2971926.74070657</v>
      </c>
      <c r="BM158" s="10" t="n">
        <f aca="false">BM145+BM150</f>
        <v>-3595891.69681326</v>
      </c>
      <c r="BN158" s="10" t="n">
        <f aca="false">BN145+BN150</f>
        <v>-4219856.65291995</v>
      </c>
      <c r="BO158" s="10" t="n">
        <f aca="false">BO145+BO150</f>
        <v>-4869215.46750024</v>
      </c>
      <c r="BP158" s="10" t="n">
        <f aca="false">BP145+BP150</f>
        <v>-5493180.42360693</v>
      </c>
      <c r="BQ158" s="10" t="n">
        <f aca="false">BQ145+BQ150</f>
        <v>-6065631.85971362</v>
      </c>
      <c r="BR158" s="10" t="n">
        <f aca="false">BR145+BR150</f>
        <v>-6689596.81582031</v>
      </c>
      <c r="BS158" s="10" t="n">
        <f aca="false">BS145+BS150</f>
        <v>-7313561.771927</v>
      </c>
      <c r="BT158" s="10" t="n">
        <f aca="false">BT145+BT150</f>
        <v>-7892950.42490089</v>
      </c>
      <c r="BU158" s="10" t="n">
        <f aca="false">BU145+BU150</f>
        <v>-8516915.38100758</v>
      </c>
      <c r="BV158" s="10" t="n">
        <f aca="false">BV145+BV150</f>
        <v>-9140880.33711427</v>
      </c>
      <c r="BW158" s="10" t="n">
        <f aca="false">BW145+BW150</f>
        <v>-9697083.29322096</v>
      </c>
      <c r="BX158" s="10" t="n">
        <f aca="false">BX145+BX150</f>
        <v>-10333527.5484498</v>
      </c>
      <c r="BY158" s="10" t="n">
        <f aca="false">BY145+BY150</f>
        <v>-10969971.8036786</v>
      </c>
      <c r="BZ158" s="10" t="n">
        <f aca="false">BZ145+BZ150</f>
        <v>-11538654.0589074</v>
      </c>
      <c r="CA158" s="10" t="n">
        <f aca="false">CA145+CA150</f>
        <v>-12201000.0497793</v>
      </c>
      <c r="CB158" s="10" t="n">
        <f aca="false">CB145+CB150</f>
        <v>-12837444.3050081</v>
      </c>
      <c r="CC158" s="10" t="n">
        <f aca="false">CC145+CC150</f>
        <v>-13397389.560237</v>
      </c>
      <c r="CD158" s="10" t="n">
        <f aca="false">CD145+CD150</f>
        <v>-14033833.8154658</v>
      </c>
      <c r="CE158" s="10" t="n">
        <f aca="false">CE145+CE150</f>
        <v>-14670278.0706946</v>
      </c>
      <c r="CF158" s="10" t="n">
        <f aca="false">CF145+CF150</f>
        <v>-15253872.736728</v>
      </c>
      <c r="CG158" s="10" t="n">
        <f aca="false">CG145+CG150</f>
        <v>-15890316.9919568</v>
      </c>
      <c r="CH158" s="10" t="n">
        <f aca="false">CH145+CH150</f>
        <v>-16526761.2471856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-629394.297525885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-977117.243956794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-568357.490547702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2331226.85122743</v>
      </c>
      <c r="G160" s="61" t="n">
        <f aca="false">G158+G146+G151+G152+G153+G154+G159</f>
        <v>2548101.31326093</v>
      </c>
      <c r="H160" s="61" t="n">
        <f aca="false">H158+H146+H151+H152+H153+H154+H159</f>
        <v>2768405.94749538</v>
      </c>
      <c r="I160" s="61" t="n">
        <f aca="false">I158+I146+I151+I152+I153+I154+I159</f>
        <v>3177906.93761659</v>
      </c>
      <c r="J160" s="61" t="n">
        <f aca="false">J158+J146+J151+J152+J153+J154+J159</f>
        <v>3616336.82868477</v>
      </c>
      <c r="K160" s="61" t="n">
        <f aca="false">K158+K146+K151+K152+K153+K154+K159</f>
        <v>3811527.84175295</v>
      </c>
      <c r="L160" s="61" t="n">
        <f aca="false">L158+L146+L151+L152+L153+L154+L159</f>
        <v>4039850.68522113</v>
      </c>
      <c r="M160" s="61" t="n">
        <f aca="false">M158+M146+M151+M152+M153+M154+M159</f>
        <v>4018173.52868931</v>
      </c>
      <c r="N160" s="61" t="n">
        <f aca="false">N158+N146+N151+N152+N153+N154+N159</f>
        <v>3617102.07463161</v>
      </c>
      <c r="O160" s="61" t="n">
        <f aca="false">O158+O146+O151+O152+O153+O154+O159</f>
        <v>3842812.89280447</v>
      </c>
      <c r="P160" s="61" t="n">
        <f aca="false">P158+P146+P151+P152+P153+P154+P159</f>
        <v>4231297.88845144</v>
      </c>
      <c r="Q160" s="61" t="n">
        <f aca="false">Q158+Q146+Q151+Q152+Q153+Q154+Q159</f>
        <v>4619782.88409841</v>
      </c>
      <c r="R160" s="61" t="n">
        <f aca="false">R158+R146+R151+R152+R153+R154+R159</f>
        <v>4774324.10578174</v>
      </c>
      <c r="S160" s="61" t="n">
        <f aca="false">S158+S146+S151+S152+S153+S154+S159</f>
        <v>4842962.08986507</v>
      </c>
      <c r="T160" s="61" t="n">
        <f aca="false">T158+T146+T151+T152+T153+T154+T159</f>
        <v>4928172.33634841</v>
      </c>
      <c r="U160" s="61" t="n">
        <f aca="false">U158+U146+U151+U152+U153+U154+U159</f>
        <v>5029954.83883174</v>
      </c>
      <c r="V160" s="61" t="n">
        <f aca="false">V158+V146+V151+V152+V153+V154+V159</f>
        <v>5118006.45222034</v>
      </c>
      <c r="W160" s="61" t="n">
        <f aca="false">W158+W146+W151+W152+W153+W154+W159</f>
        <v>5322616.07832349</v>
      </c>
      <c r="X160" s="61" t="n">
        <f aca="false">X158+X146+X151+X152+X153+X154+X159</f>
        <v>5573812.20371208</v>
      </c>
      <c r="Y160" s="61" t="n">
        <f aca="false">Y158+Y146+Y151+Y152+Y153+Y154+Y159</f>
        <v>5591580.59150068</v>
      </c>
      <c r="Z160" s="61" t="n">
        <f aca="false">Z158+Z146+Z151+Z152+Z153+Z154+Z159</f>
        <v>4886268.06408463</v>
      </c>
      <c r="AA160" s="61" t="n">
        <f aca="false">AA158+AA146+AA151+AA152+AA153+AA154+AA159</f>
        <v>6026678.89496722</v>
      </c>
      <c r="AB160" s="61" t="n">
        <f aca="false">AB158+AB146+AB151+AB152+AB153+AB154+AB159</f>
        <v>6125050.89901837</v>
      </c>
      <c r="AC160" s="61" t="n">
        <f aca="false">AC158+AC146+AC151+AC152+AC153+AC154+AC159</f>
        <v>5759142.65640286</v>
      </c>
      <c r="AD160" s="61" t="n">
        <f aca="false">AD158+AD146+AD151+AD152+AD153+AD154+AD159</f>
        <v>5978472.36978735</v>
      </c>
      <c r="AE160" s="61" t="n">
        <f aca="false">AE158+AE146+AE151+AE152+AE153+AE154+AE159</f>
        <v>6222231.83997183</v>
      </c>
      <c r="AF160" s="61" t="n">
        <f aca="false">AF158+AF146+AF151+AF152+AF153+AF154+AF159</f>
        <v>6466491.85415631</v>
      </c>
      <c r="AG160" s="61" t="n">
        <f aca="false">AG158+AG146+AG151+AG152+AG153+AG154+AG159</f>
        <v>6701752.4187408</v>
      </c>
      <c r="AH160" s="61" t="n">
        <f aca="false">AH158+AH146+AH151+AH152+AH153+AH154+AH159</f>
        <v>6836834.52637832</v>
      </c>
      <c r="AI160" s="61" t="n">
        <f aca="false">AI158+AI146+AI151+AI152+AI153+AI154+AI159</f>
        <v>6967141.04681583</v>
      </c>
      <c r="AJ160" s="61" t="n">
        <f aca="false">AJ158+AJ146+AJ151+AJ152+AJ153+AJ154+AJ159</f>
        <v>6940464.98892607</v>
      </c>
      <c r="AK160" s="61" t="n">
        <f aca="false">AK158+AK146+AK151+AK152+AK153+AK154+AK159</f>
        <v>6647717.21903632</v>
      </c>
      <c r="AL160" s="61" t="n">
        <f aca="false">AL158+AL146+AL151+AL152+AL153+AL154+AL159</f>
        <v>6020540.24659886</v>
      </c>
      <c r="AM160" s="61" t="n">
        <f aca="false">AM158+AM146+AM151+AM152+AM153+AM154+AM159</f>
        <v>6442228.5183624</v>
      </c>
      <c r="AN160" s="61" t="n">
        <f aca="false">AN158+AN146+AN151+AN152+AN153+AN154+AN159</f>
        <v>6279487.59397824</v>
      </c>
      <c r="AO160" s="61" t="n">
        <f aca="false">AO158+AO146+AO151+AO152+AO153+AO154+AO159</f>
        <v>6100674.95759408</v>
      </c>
      <c r="AP160" s="61" t="n">
        <f aca="false">AP158+AP146+AP151+AP152+AP153+AP154+AP159</f>
        <v>5881382.81880992</v>
      </c>
      <c r="AQ160" s="61" t="n">
        <f aca="false">AQ158+AQ146+AQ151+AQ152+AQ153+AQ154+AQ159</f>
        <v>5670426.75842576</v>
      </c>
      <c r="AR160" s="61" t="n">
        <f aca="false">AR158+AR146+AR151+AR152+AR153+AR154+AR159</f>
        <v>5443398.9860416</v>
      </c>
      <c r="AS160" s="61" t="n">
        <f aca="false">AS158+AS146+AS151+AS152+AS153+AS154+AS159</f>
        <v>5096609.74697866</v>
      </c>
      <c r="AT160" s="61" t="n">
        <f aca="false">AT158+AT146+AT151+AT152+AT153+AT154+AT159</f>
        <v>4733248.25191571</v>
      </c>
      <c r="AU160" s="61" t="n">
        <f aca="false">AU158+AU146+AU151+AU152+AU153+AU154+AU159</f>
        <v>4314957.42085276</v>
      </c>
      <c r="AV160" s="61" t="n">
        <f aca="false">AV158+AV146+AV151+AV152+AV153+AV154+AV159</f>
        <v>3918451.40738982</v>
      </c>
      <c r="AW160" s="61" t="n">
        <f aca="false">AW158+AW146+AW151+AW152+AW153+AW154+AW159</f>
        <v>3521444.83712687</v>
      </c>
      <c r="AX160" s="61" t="n">
        <f aca="false">AX158+AX146+AX151+AX152+AX153+AX154+AX159</f>
        <v>3123937.72286392</v>
      </c>
      <c r="AY160" s="61" t="n">
        <f aca="false">AY158+AY146+AY151+AY152+AY153+AY154+AY159</f>
        <v>2713935.34547305</v>
      </c>
      <c r="AZ160" s="61" t="n">
        <f aca="false">AZ158+AZ146+AZ151+AZ152+AZ153+AZ154+AZ159</f>
        <v>2303432.41768218</v>
      </c>
      <c r="BA160" s="61" t="n">
        <f aca="false">BA158+BA146+BA151+BA152+BA153+BA154+BA159</f>
        <v>1892428.9394913</v>
      </c>
      <c r="BB160" s="61" t="n">
        <f aca="false">BB158+BB146+BB151+BB152+BB153+BB154+BB159</f>
        <v>1456028.97122043</v>
      </c>
      <c r="BC160" s="61" t="n">
        <f aca="false">BC158+BC146+BC151+BC152+BC153+BC154+BC159</f>
        <v>1044024.39222956</v>
      </c>
      <c r="BD160" s="61" t="n">
        <f aca="false">BD158+BD146+BD151+BD152+BD153+BD154+BD159</f>
        <v>631519.262838685</v>
      </c>
      <c r="BE160" s="61" t="n">
        <f aca="false">BE158+BE146+BE151+BE152+BE153+BE154+BE159</f>
        <v>218513.583047813</v>
      </c>
      <c r="BF160" s="61" t="n">
        <f aca="false">BF158+BF146+BF151+BF152+BF153+BF154+BF159</f>
        <v>-194992.647143059</v>
      </c>
      <c r="BG160" s="61" t="n">
        <f aca="false">BG158+BG146+BG151+BG152+BG153+BG154+BG159</f>
        <v>-788376.830027265</v>
      </c>
      <c r="BH160" s="61" t="n">
        <f aca="false">BH158+BH146+BH151+BH152+BH153+BH154+BH159</f>
        <v>-1330329.69435147</v>
      </c>
      <c r="BI160" s="61" t="n">
        <f aca="false">BI158+BI146+BI151+BI152+BI153+BI154+BI159</f>
        <v>-1872783.10907568</v>
      </c>
      <c r="BJ160" s="61" t="n">
        <f aca="false">BJ158+BJ146+BJ151+BJ152+BJ153+BJ154+BJ159</f>
        <v>-2347961.78459988</v>
      </c>
      <c r="BK160" s="61" t="n">
        <f aca="false">BK158+BK146+BK151+BK152+BK153+BK154+BK159</f>
        <v>-2971926.74070657</v>
      </c>
      <c r="BL160" s="61" t="n">
        <f aca="false">BL158+BL146+BL151+BL152+BL153+BL154+BL159</f>
        <v>-3595891.69681326</v>
      </c>
      <c r="BM160" s="61" t="n">
        <f aca="false">BM158+BM146+BM151+BM152+BM153+BM154+BM159</f>
        <v>-4219856.65291995</v>
      </c>
      <c r="BN160" s="61" t="n">
        <f aca="false">BN158+BN146+BN151+BN152+BN153+BN154+BN159</f>
        <v>-4869215.46750024</v>
      </c>
      <c r="BO160" s="61" t="n">
        <f aca="false">BO158+BO146+BO151+BO152+BO153+BO154+BO159</f>
        <v>-5493180.42360693</v>
      </c>
      <c r="BP160" s="61" t="n">
        <f aca="false">BP158+BP146+BP151+BP152+BP153+BP154+BP159</f>
        <v>-6065631.85971362</v>
      </c>
      <c r="BQ160" s="61" t="n">
        <f aca="false">BQ158+BQ146+BQ151+BQ152+BQ153+BQ154+BQ159</f>
        <v>-6689596.81582031</v>
      </c>
      <c r="BR160" s="61" t="n">
        <f aca="false">BR158+BR146+BR151+BR152+BR153+BR154+BR159</f>
        <v>-7313561.771927</v>
      </c>
      <c r="BS160" s="61" t="n">
        <f aca="false">BS158+BS146+BS151+BS152+BS153+BS154+BS159</f>
        <v>-7892950.42490089</v>
      </c>
      <c r="BT160" s="61" t="n">
        <f aca="false">BT158+BT146+BT151+BT152+BT153+BT154+BT159</f>
        <v>-8516915.38100758</v>
      </c>
      <c r="BU160" s="61" t="n">
        <f aca="false">BU158+BU146+BU151+BU152+BU153+BU154+BU159</f>
        <v>-9140880.33711427</v>
      </c>
      <c r="BV160" s="61" t="n">
        <f aca="false">BV158+BV146+BV151+BV152+BV153+BV154+BV159</f>
        <v>-9697083.29322096</v>
      </c>
      <c r="BW160" s="61" t="n">
        <f aca="false">BW158+BW146+BW151+BW152+BW153+BW154+BW159</f>
        <v>-10333527.5484498</v>
      </c>
      <c r="BX160" s="61" t="n">
        <f aca="false">BX158+BX146+BX151+BX152+BX153+BX154+BX159</f>
        <v>-10969971.8036786</v>
      </c>
      <c r="BY160" s="61" t="n">
        <f aca="false">BY158+BY146+BY151+BY152+BY153+BY154+BY159</f>
        <v>-11538654.0589074</v>
      </c>
      <c r="BZ160" s="61" t="n">
        <f aca="false">BZ158+BZ146+BZ151+BZ152+BZ153+BZ154+BZ159</f>
        <v>-12201000.0497793</v>
      </c>
      <c r="CA160" s="61" t="n">
        <f aca="false">CA158+CA146+CA151+CA152+CA153+CA154+CA159</f>
        <v>-12837444.3050082</v>
      </c>
      <c r="CB160" s="61" t="n">
        <f aca="false">CB158+CB146+CB151+CB152+CB153+CB154+CB159</f>
        <v>-13397389.560237</v>
      </c>
      <c r="CC160" s="61" t="n">
        <f aca="false">CC158+CC146+CC151+CC152+CC153+CC154+CC159</f>
        <v>-14033833.8154658</v>
      </c>
      <c r="CD160" s="61" t="n">
        <f aca="false">CD158+CD146+CD151+CD152+CD153+CD154+CD159</f>
        <v>-14670278.0706946</v>
      </c>
      <c r="CE160" s="61" t="n">
        <f aca="false">CE158+CE146+CE151+CE152+CE153+CE154+CE159</f>
        <v>-15253872.736728</v>
      </c>
      <c r="CF160" s="61" t="n">
        <f aca="false">CF158+CF146+CF151+CF152+CF153+CF154+CF159</f>
        <v>-15890316.9919568</v>
      </c>
      <c r="CG160" s="61" t="n">
        <f aca="false">CG158+CG146+CG151+CG152+CG153+CG154+CG159</f>
        <v>-16526761.2471856</v>
      </c>
      <c r="CH160" s="61" t="n">
        <f aca="false">CH158+CH146+CH151+CH152+CH153+CH154+CH159</f>
        <v>-17080098.475808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24784936.501511</v>
      </c>
      <c r="H3" s="65" t="n">
        <f aca="false">Model!U7+Model!V7+Model!W7</f>
        <v>22354845.67036</v>
      </c>
      <c r="I3" s="65" t="n">
        <f aca="false">Model!X7+Model!Y7+Model!Z7</f>
        <v>18455897.61331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801115.491413192</v>
      </c>
      <c r="D5" s="10" t="n">
        <f aca="false">Model!I8+Model!J8+Model!K8</f>
        <v>1108218.14712919</v>
      </c>
      <c r="E5" s="10" t="n">
        <f aca="false">Model!L8+Model!M8+Model!N8</f>
        <v>1102633.29039217</v>
      </c>
      <c r="F5" s="10" t="n">
        <f aca="false">Model!O8+Model!P8+Model!Q8</f>
        <v>1323088.33909347</v>
      </c>
      <c r="G5" s="10" t="n">
        <f aca="false">Model!R8+Model!S8+Model!T8</f>
        <v>966959.324483083</v>
      </c>
      <c r="H5" s="10" t="n">
        <f aca="false">Model!U8+Model!V8+Model!W8</f>
        <v>885665.663298872</v>
      </c>
      <c r="I5" s="10" t="n">
        <f aca="false">Model!X8+Model!Y8+Model!Z8</f>
        <v>848222.629293404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844661.419044771</v>
      </c>
      <c r="D6" s="10" t="n">
        <f aca="false">Model!I9+Model!J9+Model!K9</f>
        <v>1145650.44976077</v>
      </c>
      <c r="E6" s="10" t="n">
        <f aca="false">Model!L9+Model!M9+Model!N9</f>
        <v>1127838.34302375</v>
      </c>
      <c r="F6" s="10" t="n">
        <f aca="false">Model!O9+Model!P9+Model!Q9</f>
        <v>1348293.39172505</v>
      </c>
      <c r="G6" s="10" t="n">
        <f aca="false">Model!R9+Model!S9+Model!T9</f>
        <v>984388.377114662</v>
      </c>
      <c r="H6" s="10" t="n">
        <f aca="false">Model!U9+Model!V9+Model!W9</f>
        <v>890179.347509399</v>
      </c>
      <c r="I6" s="10" t="n">
        <f aca="false">Model!X9+Model!Y9+Model!Z9</f>
        <v>848222.629293404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224761.572795625</v>
      </c>
      <c r="D7" s="10" t="n">
        <f aca="false">Model!I10+Model!J10+Model!K10</f>
        <v>329460.916367624</v>
      </c>
      <c r="E7" s="10" t="n">
        <f aca="false">Model!L10+Model!M10+Model!N10</f>
        <v>332262.880788619</v>
      </c>
      <c r="F7" s="10" t="n">
        <f aca="false">Model!O10+Model!P10+Model!Q10</f>
        <v>405747.897022386</v>
      </c>
      <c r="G7" s="10" t="n">
        <f aca="false">Model!R10+Model!S10+Model!T10</f>
        <v>301962.767152256</v>
      </c>
      <c r="H7" s="10" t="n">
        <f aca="false">Model!U10+Model!V10+Model!W10</f>
        <v>290923.642152256</v>
      </c>
      <c r="I7" s="10" t="n">
        <f aca="false">Model!X10+Model!Y10+Model!Z10</f>
        <v>282740.876431135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2515065.20325359</v>
      </c>
      <c r="D9" s="12" t="n">
        <f aca="false">Model!I12+Model!J12+Model!K12</f>
        <v>3344340.41325758</v>
      </c>
      <c r="E9" s="12" t="n">
        <f aca="false">Model!L12+Model!M12+Model!N12</f>
        <v>2562734.51420455</v>
      </c>
      <c r="F9" s="12" t="n">
        <f aca="false">Model!O12+Model!P12+Model!Q12</f>
        <v>3756131.17784091</v>
      </c>
      <c r="G9" s="12" t="n">
        <f aca="false">Model!R12+Model!S12+Model!T12</f>
        <v>2253310.46875</v>
      </c>
      <c r="H9" s="12" t="n">
        <f aca="false">Model!U12+Model!V12+Model!W12</f>
        <v>2066768.65296053</v>
      </c>
      <c r="I9" s="12" t="n">
        <f aca="false">Model!X12+Model!Y12+Model!Z12</f>
        <v>1979186.13501794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-823806.333333333</v>
      </c>
      <c r="D13" s="10" t="n">
        <f aca="false">Model!I16+Model!J16+Model!K16</f>
        <v>-834223</v>
      </c>
      <c r="E13" s="10" t="n">
        <f aca="false">Model!L16+Model!M16+Model!N16</f>
        <v>-834223</v>
      </c>
      <c r="F13" s="10" t="n">
        <f aca="false">Model!O16+Model!P16+Model!Q16</f>
        <v>-850907.46</v>
      </c>
      <c r="G13" s="10" t="n">
        <f aca="false">Model!R16+Model!S16+Model!T16</f>
        <v>-850907.46</v>
      </c>
      <c r="H13" s="10" t="n">
        <f aca="false">Model!U16+Model!V16+Model!W16</f>
        <v>-850907.46</v>
      </c>
      <c r="I13" s="10" t="n">
        <f aca="false">Model!X16+Model!Y16+Model!Z16</f>
        <v>-850907.46</v>
      </c>
      <c r="J13" s="10" t="n">
        <f aca="false">Model!AA16+Model!AB16+Model!AC16</f>
        <v>-867925.6092</v>
      </c>
      <c r="K13" s="10" t="n">
        <f aca="false">Model!AD16+Model!AE16+Model!AF16</f>
        <v>-867925.6092</v>
      </c>
      <c r="L13" s="10" t="n">
        <f aca="false">Model!AG16+Model!AH16+Model!AI16</f>
        <v>-867925.6092</v>
      </c>
      <c r="M13" s="10" t="n">
        <f aca="false">Model!AJ16+Model!AK16+Model!AL16</f>
        <v>-867925.6092</v>
      </c>
      <c r="N13" s="10" t="n">
        <f aca="false">Model!AM16+Model!AN16+Model!AO16</f>
        <v>-885284.121384</v>
      </c>
      <c r="O13" s="10" t="n">
        <f aca="false">Model!AP16+Model!AQ16+Model!AR16</f>
        <v>-885284.121384</v>
      </c>
      <c r="P13" s="10" t="n">
        <f aca="false">Model!AS16+Model!AT16+Model!AU16</f>
        <v>-885284.121384</v>
      </c>
      <c r="Q13" s="10" t="n">
        <f aca="false">Model!AV16+Model!AW16+Model!AX16</f>
        <v>-885284.121384</v>
      </c>
      <c r="R13" s="10" t="n">
        <f aca="false">Model!AY16+Model!AZ16+Model!BA16</f>
        <v>-902989.80381168</v>
      </c>
      <c r="S13" s="10" t="n">
        <f aca="false">Model!BB16+Model!BC16+Model!BD16</f>
        <v>-902989.80381168</v>
      </c>
      <c r="T13" s="10" t="n">
        <f aca="false">Model!BE16+Model!BF16+Model!BG16</f>
        <v>-902989.80381168</v>
      </c>
      <c r="U13" s="10" t="n">
        <f aca="false">Model!BH16+Model!BI16+Model!BJ16</f>
        <v>-902989.80381168</v>
      </c>
      <c r="V13" s="10" t="n">
        <f aca="false">Model!BK16+Model!BL16+Model!BM16</f>
        <v>-921049.599887914</v>
      </c>
      <c r="W13" s="10" t="n">
        <f aca="false">Model!BN16+Model!BO16+Model!BP16</f>
        <v>-921049.599887914</v>
      </c>
      <c r="X13" s="10" t="n">
        <f aca="false">Model!BQ16+Model!BR16+Model!BS16</f>
        <v>-921049.599887914</v>
      </c>
      <c r="Y13" s="10" t="n">
        <f aca="false">Model!BT16+Model!BU16+Model!BV16</f>
        <v>-921049.599887914</v>
      </c>
      <c r="Z13" s="10" t="n">
        <f aca="false">Model!BW16+Model!BX16+Model!BY16</f>
        <v>-939470.591885672</v>
      </c>
      <c r="AA13" s="10" t="n">
        <f aca="false">Model!BZ16+Model!CA16+Model!CB16</f>
        <v>-939470.591885672</v>
      </c>
      <c r="AB13" s="10" t="n">
        <f aca="false">Model!CC16+Model!CD16+Model!CE16</f>
        <v>-939470.591885672</v>
      </c>
      <c r="AC13" s="10" t="n">
        <f aca="false">Model!CF16+Model!CG16+Model!CH16</f>
        <v>-939470.591885672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-1641320.20353333</v>
      </c>
      <c r="D15" s="12" t="n">
        <f aca="false">Model!I38+Model!J38+Model!K38</f>
        <v>-1712171.149</v>
      </c>
      <c r="E15" s="12" t="n">
        <f aca="false">Model!L38+Model!M38+Model!N38</f>
        <v>-1336739.105</v>
      </c>
      <c r="F15" s="12" t="n">
        <f aca="false">Model!O38+Model!P38+Model!Q38</f>
        <v>-2834643.9121</v>
      </c>
      <c r="G15" s="12" t="n">
        <f aca="false">Model!R38+Model!S38+Model!T38</f>
        <v>-1363473.8871</v>
      </c>
      <c r="H15" s="12" t="n">
        <f aca="false">Model!U38+Model!V38+Model!W38</f>
        <v>-1363473.8871</v>
      </c>
      <c r="I15" s="12" t="n">
        <f aca="false">Model!X38+Model!Y38+Model!Z38</f>
        <v>-1363473.8871</v>
      </c>
      <c r="J15" s="12" t="n">
        <f aca="false">Model!AA38+Model!AB38+Model!AC38</f>
        <v>-2734768.904842</v>
      </c>
      <c r="K15" s="12" t="n">
        <f aca="false">Model!AD38+Model!AE38+Model!AF38</f>
        <v>-1390743.364842</v>
      </c>
      <c r="L15" s="12" t="n">
        <f aca="false">Model!AG38+Model!AH38+Model!AI38</f>
        <v>-1390743.364842</v>
      </c>
      <c r="M15" s="12" t="n">
        <f aca="false">Model!AJ38+Model!AK38+Model!AL38</f>
        <v>-1390743.364842</v>
      </c>
      <c r="N15" s="12" t="n">
        <f aca="false">Model!AM38+Model!AN38+Model!AO38</f>
        <v>-1418558.23213884</v>
      </c>
      <c r="O15" s="12" t="n">
        <f aca="false">Model!AP38+Model!AQ38+Model!AR38</f>
        <v>-1418558.23213884</v>
      </c>
      <c r="P15" s="12" t="n">
        <f aca="false">Model!AS38+Model!AT38+Model!AU38</f>
        <v>-1418558.23213884</v>
      </c>
      <c r="Q15" s="12" t="n">
        <f aca="false">Model!AV38+Model!AW38+Model!AX38</f>
        <v>-1418558.23213884</v>
      </c>
      <c r="R15" s="12" t="n">
        <f aca="false">Model!AY38+Model!AZ38+Model!BA38</f>
        <v>-1446929.39678162</v>
      </c>
      <c r="S15" s="12" t="n">
        <f aca="false">Model!BB38+Model!BC38+Model!BD38</f>
        <v>-1446929.39678162</v>
      </c>
      <c r="T15" s="12" t="n">
        <f aca="false">Model!BE38+Model!BF38+Model!BG38</f>
        <v>-1446929.39678162</v>
      </c>
      <c r="U15" s="12" t="n">
        <f aca="false">Model!BH38+Model!BI38+Model!BJ38</f>
        <v>-1446929.39678162</v>
      </c>
      <c r="V15" s="12" t="n">
        <f aca="false">Model!BK38+Model!BL38+Model!BM38</f>
        <v>-1475867.98471725</v>
      </c>
      <c r="W15" s="12" t="n">
        <f aca="false">Model!BN38+Model!BO38+Model!BP38</f>
        <v>-1475867.98471725</v>
      </c>
      <c r="X15" s="12" t="n">
        <f aca="false">Model!BQ38+Model!BR38+Model!BS38</f>
        <v>-1475867.98471725</v>
      </c>
      <c r="Y15" s="12" t="n">
        <f aca="false">Model!BT38+Model!BU38+Model!BV38</f>
        <v>-1475867.98471725</v>
      </c>
      <c r="Z15" s="12" t="n">
        <f aca="false">Model!BW38+Model!BX38+Model!BY38</f>
        <v>-1505385.34441159</v>
      </c>
      <c r="AA15" s="12" t="n">
        <f aca="false">Model!BZ38+Model!CA38+Model!CB38</f>
        <v>-1505385.34441159</v>
      </c>
      <c r="AB15" s="12" t="n">
        <f aca="false">Model!CC38+Model!CD38+Model!CE38</f>
        <v>-1505385.34441159</v>
      </c>
      <c r="AC15" s="12" t="n">
        <f aca="false">Model!CF38+Model!CG38+Model!CH38</f>
        <v>-1505385.34441159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873744.999720255</v>
      </c>
      <c r="D16" s="16" t="n">
        <f aca="false">Model!I40+Model!J40+Model!K40</f>
        <v>1632169.26425758</v>
      </c>
      <c r="E16" s="16" t="n">
        <f aca="false">Model!L40+Model!M40+Model!N40</f>
        <v>1225995.40920455</v>
      </c>
      <c r="F16" s="16" t="n">
        <f aca="false">Model!O40+Model!P40+Model!Q40</f>
        <v>921487.265740909</v>
      </c>
      <c r="G16" s="16" t="n">
        <f aca="false">Model!R40+Model!S40+Model!T40</f>
        <v>889836.58165</v>
      </c>
      <c r="H16" s="16" t="n">
        <f aca="false">Model!U40+Model!V40+Model!W40</f>
        <v>703294.765860526</v>
      </c>
      <c r="I16" s="16" t="n">
        <f aca="false">Model!X40+Model!Y40+Model!Z40</f>
        <v>615712.247917943</v>
      </c>
      <c r="J16" s="16" t="n">
        <f aca="false">Model!AA40+Model!AB40+Model!AC40</f>
        <v>-391543.816538571</v>
      </c>
      <c r="K16" s="16" t="n">
        <f aca="false">Model!AD40+Model!AE40+Model!AF40</f>
        <v>563961.058453455</v>
      </c>
      <c r="L16" s="16" t="n">
        <f aca="false">Model!AG40+Model!AH40+Model!AI40</f>
        <v>362603.056559515</v>
      </c>
      <c r="M16" s="16" t="n">
        <f aca="false">Model!AJ40+Model!AK40+Model!AL40</f>
        <v>-226353.762569273</v>
      </c>
      <c r="N16" s="16" t="n">
        <f aca="false">Model!AM40+Model!AN40+Model!AO40</f>
        <v>-434224.118502477</v>
      </c>
      <c r="O16" s="16" t="n">
        <f aca="false">Model!AP40+Model!AQ40+Model!AR40</f>
        <v>-434224.118502477</v>
      </c>
      <c r="P16" s="16" t="n">
        <f aca="false">Model!AS40+Model!AT40+Model!AU40</f>
        <v>-948619.23213884</v>
      </c>
      <c r="Q16" s="16" t="n">
        <f aca="false">Model!AV40+Model!AW40+Model!AX40</f>
        <v>-948619.23213884</v>
      </c>
      <c r="R16" s="16" t="n">
        <f aca="false">Model!AY40+Model!AZ40+Model!BA40</f>
        <v>-976990.396781617</v>
      </c>
      <c r="S16" s="16" t="n">
        <f aca="false">Model!BB40+Model!BC40+Model!BD40</f>
        <v>-976990.396781617</v>
      </c>
      <c r="T16" s="16" t="n">
        <f aca="false">Model!BE40+Model!BF40+Model!BG40</f>
        <v>-1133636.73011495</v>
      </c>
      <c r="U16" s="16" t="n">
        <f aca="false">Model!BH40+Model!BI40+Model!BJ40</f>
        <v>-1446929.39678162</v>
      </c>
      <c r="V16" s="16" t="n">
        <f aca="false">Model!BK40+Model!BL40+Model!BM40</f>
        <v>-1475867.98471725</v>
      </c>
      <c r="W16" s="16" t="n">
        <f aca="false">Model!BN40+Model!BO40+Model!BP40</f>
        <v>-1475867.98471725</v>
      </c>
      <c r="X16" s="16" t="n">
        <f aca="false">Model!BQ40+Model!BR40+Model!BS40</f>
        <v>-1475867.98471725</v>
      </c>
      <c r="Y16" s="16" t="n">
        <f aca="false">Model!BT40+Model!BU40+Model!BV40</f>
        <v>-1475867.98471725</v>
      </c>
      <c r="Z16" s="16" t="n">
        <f aca="false">Model!BW40+Model!BX40+Model!BY40</f>
        <v>-1505385.34441159</v>
      </c>
      <c r="AA16" s="16" t="n">
        <f aca="false">Model!BZ40+Model!CA40+Model!CB40</f>
        <v>-1505385.34441159</v>
      </c>
      <c r="AB16" s="16" t="n">
        <f aca="false">Model!CC40+Model!CD40+Model!CE40</f>
        <v>-1505385.34441159</v>
      </c>
      <c r="AC16" s="16" t="n">
        <f aca="false">Model!CF40+Model!CG40+Model!CH40</f>
        <v>-1505385.34441159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0.347404512053979</v>
      </c>
      <c r="D17" s="17" t="n">
        <f aca="false">IF((Model!I12+Model!J12+Model!K12)&lt;&gt;0,(Model!I40+Model!J40+Model!K40)/(Model!I12+Model!J12+Model!K12),0)</f>
        <v>0.488039213289221</v>
      </c>
      <c r="E17" s="17" t="n">
        <f aca="false">IF((Model!L12+Model!M12+Model!N12)&lt;&gt;0,(Model!L40+Model!M40+Model!N40)/(Model!L12+Model!M12+Model!N12),0)</f>
        <v>0.478393451373595</v>
      </c>
      <c r="F17" s="17" t="n">
        <f aca="false">IF((Model!O12+Model!P12+Model!Q12)&lt;&gt;0,(Model!O40+Model!P40+Model!Q40)/(Model!O12+Model!P12+Model!Q12),0)</f>
        <v>0.24532882961521</v>
      </c>
      <c r="G17" s="17" t="n">
        <f aca="false">IF((Model!R12+Model!S12+Model!T12)&lt;&gt;0,(Model!R40+Model!S40+Model!T40)/(Model!R12+Model!S12+Model!T12),0)</f>
        <v>0.394901898336108</v>
      </c>
      <c r="H17" s="17" t="n">
        <f aca="false">IF((Model!U12+Model!V12+Model!W12)&lt;&gt;0,(Model!U40+Model!V40+Model!W40)/(Model!U12+Model!V12+Model!W12),0)</f>
        <v>0.340287126405318</v>
      </c>
      <c r="I17" s="17" t="n">
        <f aca="false">IF((Model!X12+Model!Y12+Model!Z12)&lt;&gt;0,(Model!X40+Model!Y40+Model!Z40)/(Model!X12+Model!Y12+Model!Z12),0)</f>
        <v>0.311093654620999</v>
      </c>
      <c r="J17" s="17" t="n">
        <f aca="false">IF((Model!AA12+Model!AB12+Model!AC12)&lt;&gt;0,(Model!AA40+Model!AB40+Model!AC40)/(Model!AA12+Model!AB12+Model!AC12),0)</f>
        <v>-0.167096118291419</v>
      </c>
      <c r="K17" s="17" t="n">
        <f aca="false">IF((Model!AD12+Model!AE12+Model!AF12)&lt;&gt;0,(Model!AD40+Model!AE40+Model!AF40)/(Model!AD12+Model!AE12+Model!AF12),0)</f>
        <v>0.288514750226363</v>
      </c>
      <c r="L17" s="17" t="n">
        <f aca="false">IF((Model!AG12+Model!AH12+Model!AI12)&lt;&gt;0,(Model!AG40+Model!AH40+Model!AI40)/(Model!AG12+Model!AH12+Model!AI12),0)</f>
        <v>0.206806283192841</v>
      </c>
      <c r="M17" s="17" t="n">
        <f aca="false">IF((Model!AJ12+Model!AK12+Model!AL12)&lt;&gt;0,(Model!AJ40+Model!AK40+Model!AL40)/(Model!AJ12+Model!AK12+Model!AL12),0)</f>
        <v>-0.194396928766335</v>
      </c>
      <c r="N17" s="17" t="n">
        <f aca="false">IF((Model!AM12+Model!AN12+Model!AO12)&lt;&gt;0,(Model!AM40+Model!AN40+Model!AO40)/(Model!AM12+Model!AN12+Model!AO12),0)</f>
        <v>-0.441134887521423</v>
      </c>
      <c r="O17" s="17" t="n">
        <f aca="false">IF((Model!AP12+Model!AQ12+Model!AR12)&lt;&gt;0,(Model!AP40+Model!AQ40+Model!AR40)/(Model!AP12+Model!AQ12+Model!AR12),0)</f>
        <v>-0.441134887521423</v>
      </c>
      <c r="P17" s="17" t="n">
        <f aca="false">IF((Model!AS12+Model!AT12+Model!AU12)&lt;&gt;0,(Model!AS40+Model!AT40+Model!AU40)/(Model!AS12+Model!AT12+Model!AU12),0)</f>
        <v>-2.01860078039669</v>
      </c>
      <c r="Q17" s="17" t="n">
        <f aca="false">IF((Model!AV12+Model!AW12+Model!AX12)&lt;&gt;0,(Model!AV40+Model!AW40+Model!AX40)/(Model!AV12+Model!AW12+Model!AX12),0)</f>
        <v>-2.01860078039669</v>
      </c>
      <c r="R17" s="17" t="n">
        <f aca="false">IF((Model!AY12+Model!AZ12+Model!BA12)&lt;&gt;0,(Model!AY40+Model!AZ40+Model!BA40)/(Model!AY12+Model!AZ12+Model!BA12),0)</f>
        <v>-2.07897279600462</v>
      </c>
      <c r="S17" s="17" t="n">
        <f aca="false">IF((Model!BB12+Model!BC12+Model!BD12)&lt;&gt;0,(Model!BB40+Model!BC40+Model!BD40)/(Model!BB12+Model!BC12+Model!BD12),0)</f>
        <v>-2.07897279600462</v>
      </c>
      <c r="T17" s="17" t="n">
        <f aca="false">IF((Model!BE12+Model!BF12+Model!BG12)&lt;&gt;0,(Model!BE40+Model!BF40+Model!BG40)/(Model!BE12+Model!BF12+Model!BG12),0)</f>
        <v>-3.61845919400694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602051.2</v>
      </c>
      <c r="D19" s="19" t="n">
        <f aca="false">Model!I63+Model!J63+Model!K63</f>
        <v>180646.38</v>
      </c>
      <c r="E19" s="19" t="n">
        <f aca="false">Model!L63+Model!M63+Model!N63</f>
        <v>207666.8712</v>
      </c>
      <c r="F19" s="19" t="n">
        <f aca="false">Model!O63+Model!P63+Model!Q63</f>
        <v>207666.8712</v>
      </c>
      <c r="G19" s="19" t="n">
        <f aca="false">Model!R63+Model!S63+Model!T63</f>
        <v>197880.4956</v>
      </c>
      <c r="H19" s="19" t="n">
        <f aca="false">Model!U63+Model!V63+Model!W63</f>
        <v>404405.8444</v>
      </c>
      <c r="I19" s="19" t="n">
        <f aca="false">Model!X63+Model!Y63+Model!Z63</f>
        <v>540924.6068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-672916.87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-70865.6699999999</v>
      </c>
      <c r="D21" s="16" t="n">
        <f aca="false">Model!I86+Model!J86+Model!K86</f>
        <v>-199047.37</v>
      </c>
      <c r="E21" s="16" t="n">
        <f aca="false">Model!L86+Model!M86+Model!N86</f>
        <v>-151026.8788</v>
      </c>
      <c r="F21" s="16" t="n">
        <f aca="false">Model!O86+Model!P86+Model!Q86</f>
        <v>-158200.7538</v>
      </c>
      <c r="G21" s="16" t="n">
        <f aca="false">Model!R86+Model!S86+Model!T86</f>
        <v>-191447.1294</v>
      </c>
      <c r="H21" s="16" t="n">
        <f aca="false">Model!U86+Model!V86+Model!W86</f>
        <v>17118.2194</v>
      </c>
      <c r="I21" s="16" t="n">
        <f aca="false">Model!X86+Model!Y86+Model!Z86</f>
        <v>175056.9818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802879.329720255</v>
      </c>
      <c r="D23" s="16" t="n">
        <f aca="false">Model!I95+Model!J95+Model!K95</f>
        <v>1433121.89425758</v>
      </c>
      <c r="E23" s="16" t="n">
        <f aca="false">Model!L95+Model!M95+Model!N95</f>
        <v>1074968.53040455</v>
      </c>
      <c r="F23" s="16" t="n">
        <f aca="false">Model!O95+Model!P95+Model!Q95</f>
        <v>763286.511940909</v>
      </c>
      <c r="G23" s="16" t="n">
        <f aca="false">Model!R95+Model!S95+Model!T95</f>
        <v>698389.45225</v>
      </c>
      <c r="H23" s="16" t="n">
        <f aca="false">Model!U95+Model!V95+Model!W95</f>
        <v>720412.985260526</v>
      </c>
      <c r="I23" s="16" t="n">
        <f aca="false">Model!X95+Model!Y95+Model!Z95</f>
        <v>790769.229717943</v>
      </c>
      <c r="J23" s="16" t="n">
        <f aca="false">Model!AA95+Model!AB95+Model!AC95</f>
        <v>-104242.651638571</v>
      </c>
      <c r="K23" s="16" t="n">
        <f aca="false">Model!AD95+Model!AE95+Model!AF95</f>
        <v>707349.197753455</v>
      </c>
      <c r="L23" s="16" t="n">
        <f aca="false">Model!AG95+Model!AH95+Model!AI95</f>
        <v>500649.192659515</v>
      </c>
      <c r="M23" s="16" t="n">
        <f aca="false">Model!AJ95+Model!AK95+Model!AL95</f>
        <v>-128243.309669273</v>
      </c>
      <c r="N23" s="16" t="n">
        <f aca="false">Model!AM95+Model!AN95+Model!AO95</f>
        <v>-488222.779552477</v>
      </c>
      <c r="O23" s="16" t="n">
        <f aca="false">Model!AP95+Model!AQ95+Model!AR95</f>
        <v>-657275.971552477</v>
      </c>
      <c r="P23" s="16" t="n">
        <f aca="false">Model!AS95+Model!AT95+Model!AU95</f>
        <v>-1128441.56518884</v>
      </c>
      <c r="Q23" s="16" t="n">
        <f aca="false">Model!AV95+Model!AW95+Model!AX95</f>
        <v>-1191019.69798884</v>
      </c>
      <c r="R23" s="16" t="n">
        <f aca="false">Model!AY95+Model!AZ95+Model!BA95</f>
        <v>-1231508.78337262</v>
      </c>
      <c r="S23" s="16" t="n">
        <f aca="false">Model!BB95+Model!BC95+Model!BD95</f>
        <v>-1260909.67665262</v>
      </c>
      <c r="T23" s="16" t="n">
        <f aca="false">Model!BE95+Model!BF95+Model!BG95</f>
        <v>-1419896.09286595</v>
      </c>
      <c r="U23" s="16" t="n">
        <f aca="false">Model!BH95+Model!BI95+Model!BJ95</f>
        <v>-1559584.95457262</v>
      </c>
      <c r="V23" s="16" t="n">
        <f aca="false">Model!BK95+Model!BL95+Model!BM95</f>
        <v>-1871894.86832007</v>
      </c>
      <c r="W23" s="16" t="n">
        <f aca="false">Model!BN95+Model!BO95+Model!BP95</f>
        <v>-1845775.20679367</v>
      </c>
      <c r="X23" s="16" t="n">
        <f aca="false">Model!BQ95+Model!BR95+Model!BS95</f>
        <v>-1827318.56518727</v>
      </c>
      <c r="Y23" s="16" t="n">
        <f aca="false">Model!BT95+Model!BU95+Model!BV95</f>
        <v>-1804132.86832007</v>
      </c>
      <c r="Z23" s="16" t="n">
        <f aca="false">Model!BW95+Model!BX95+Model!BY95</f>
        <v>-1841570.76568647</v>
      </c>
      <c r="AA23" s="16" t="n">
        <f aca="false">Model!BZ95+Model!CA95+Model!CB95</f>
        <v>-1858735.50132954</v>
      </c>
      <c r="AB23" s="16" t="n">
        <f aca="false">Model!CC95+Model!CD95+Model!CE95</f>
        <v>-1856483.17649101</v>
      </c>
      <c r="AC23" s="16" t="n">
        <f aca="false">Model!CF95+Model!CG95+Model!CH95</f>
        <v>-1826225.73907999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-171223.12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-120000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2615490.46749538</v>
      </c>
      <c r="D42" s="21" t="n">
        <f aca="false">Model!K147</f>
        <v>4247659.73175295</v>
      </c>
      <c r="E42" s="21" t="n">
        <f aca="false">Model!N147</f>
        <v>5473655.1409575</v>
      </c>
      <c r="F42" s="21" t="n">
        <f aca="false">Model!Q147</f>
        <v>6395142.40669841</v>
      </c>
      <c r="G42" s="21" t="n">
        <f aca="false">Model!T147</f>
        <v>7284978.98834841</v>
      </c>
      <c r="H42" s="21" t="n">
        <f aca="false">Model!W147</f>
        <v>7988273.75420893</v>
      </c>
      <c r="I42" s="21" t="n">
        <f aca="false">Model!Z147</f>
        <v>8603986.00212687</v>
      </c>
      <c r="J42" s="21" t="n">
        <f aca="false">Model!AC147</f>
        <v>8212442.18558831</v>
      </c>
      <c r="K42" s="21" t="n">
        <f aca="false">Model!AF147</f>
        <v>8776403.24404176</v>
      </c>
      <c r="L42" s="21" t="n">
        <f aca="false">Model!AI147</f>
        <v>9139006.30060128</v>
      </c>
      <c r="M42" s="21" t="n">
        <f aca="false">Model!AL147</f>
        <v>8912652.538032</v>
      </c>
      <c r="N42" s="21" t="n">
        <f aca="false">Model!AO147</f>
        <v>8478428.41952953</v>
      </c>
      <c r="O42" s="21" t="n">
        <f aca="false">Model!AR147</f>
        <v>8044204.30102705</v>
      </c>
      <c r="P42" s="21" t="n">
        <f aca="false">Model!AU147</f>
        <v>7095585.06888821</v>
      </c>
      <c r="Q42" s="21" t="n">
        <f aca="false">Model!AX147</f>
        <v>6146965.83674937</v>
      </c>
      <c r="R42" s="21" t="n">
        <f aca="false">Model!BA147</f>
        <v>5169975.43996775</v>
      </c>
      <c r="S42" s="21" t="n">
        <f aca="false">Model!BD147</f>
        <v>4192985.04318613</v>
      </c>
      <c r="T42" s="21" t="n">
        <f aca="false">Model!BG147</f>
        <v>3059348.31307118</v>
      </c>
      <c r="U42" s="21" t="n">
        <f aca="false">Model!BJ147</f>
        <v>1612418.91628956</v>
      </c>
      <c r="V42" s="21" t="n">
        <f aca="false">Model!BM147</f>
        <v>136550.931572315</v>
      </c>
      <c r="W42" s="21" t="n">
        <f aca="false">Model!BP147</f>
        <v>-1339317.05314493</v>
      </c>
      <c r="X42" s="21" t="n">
        <f aca="false">Model!BS147</f>
        <v>-2815185.03786218</v>
      </c>
      <c r="Y42" s="21" t="n">
        <f aca="false">Model!BV147</f>
        <v>-4291053.02257943</v>
      </c>
      <c r="Z42" s="21" t="n">
        <f aca="false">Model!BY147</f>
        <v>-5796438.36699103</v>
      </c>
      <c r="AA42" s="21" t="n">
        <f aca="false">Model!CB147</f>
        <v>-7301823.71140262</v>
      </c>
      <c r="AB42" s="21" t="n">
        <f aca="false">Model!CE147</f>
        <v>-8807209.05581421</v>
      </c>
      <c r="AC42" s="21" t="n">
        <f aca="false">Model!CH147</f>
        <v>-10312594.4002258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152915.48</v>
      </c>
      <c r="D43" s="21" t="n">
        <f aca="false">Model!K155</f>
        <v>-436131.89</v>
      </c>
      <c r="E43" s="21" t="n">
        <f aca="false">Model!N155</f>
        <v>-1227158.7688</v>
      </c>
      <c r="F43" s="21" t="n">
        <f aca="false">Model!Q155</f>
        <v>-1775359.5226</v>
      </c>
      <c r="G43" s="21" t="n">
        <f aca="false">Model!T155</f>
        <v>-2356806.652</v>
      </c>
      <c r="H43" s="21" t="n">
        <f aca="false">Model!W155</f>
        <v>-2665657.67588545</v>
      </c>
      <c r="I43" s="21" t="n">
        <f aca="false">Model!Z155</f>
        <v>-2740600.69408545</v>
      </c>
      <c r="J43" s="21" t="n">
        <f aca="false">Model!AC155</f>
        <v>-2453299.52918545</v>
      </c>
      <c r="K43" s="21" t="n">
        <f aca="false">Model!AF155</f>
        <v>-2309911.38988545</v>
      </c>
      <c r="L43" s="21" t="n">
        <f aca="false">Model!AI155</f>
        <v>-2171865.25378545</v>
      </c>
      <c r="M43" s="21" t="n">
        <f aca="false">Model!AL155</f>
        <v>-2323754.80088545</v>
      </c>
      <c r="N43" s="21" t="n">
        <f aca="false">Model!AO155</f>
        <v>-2377753.46193544</v>
      </c>
      <c r="O43" s="21" t="n">
        <f aca="false">Model!AR155</f>
        <v>-2600805.31498545</v>
      </c>
      <c r="P43" s="21" t="n">
        <f aca="false">Model!AU155</f>
        <v>-2780627.64803545</v>
      </c>
      <c r="Q43" s="21" t="n">
        <f aca="false">Model!AX155</f>
        <v>-3023028.11388545</v>
      </c>
      <c r="R43" s="21" t="n">
        <f aca="false">Model!BA155</f>
        <v>-3277546.50047645</v>
      </c>
      <c r="S43" s="21" t="n">
        <f aca="false">Model!BD155</f>
        <v>-3561465.78034745</v>
      </c>
      <c r="T43" s="21" t="n">
        <f aca="false">Model!BG155</f>
        <v>-3847725.14309845</v>
      </c>
      <c r="U43" s="21" t="n">
        <f aca="false">Model!BJ155</f>
        <v>-3960380.70088945</v>
      </c>
      <c r="V43" s="21" t="n">
        <f aca="false">Model!BM155</f>
        <v>-4356407.58449227</v>
      </c>
      <c r="W43" s="21" t="n">
        <f aca="false">Model!BP155</f>
        <v>-4726314.80656869</v>
      </c>
      <c r="X43" s="21" t="n">
        <f aca="false">Model!BS155</f>
        <v>-5077765.38703871</v>
      </c>
      <c r="Y43" s="21" t="n">
        <f aca="false">Model!BV155</f>
        <v>-5406030.27064153</v>
      </c>
      <c r="Z43" s="21" t="n">
        <f aca="false">Model!BY155</f>
        <v>-5742215.6919164</v>
      </c>
      <c r="AA43" s="21" t="n">
        <f aca="false">Model!CB155</f>
        <v>-6095565.84883435</v>
      </c>
      <c r="AB43" s="21" t="n">
        <f aca="false">Model!CE155</f>
        <v>-6446663.68091377</v>
      </c>
      <c r="AC43" s="21" t="n">
        <f aca="false">Model!CH155</f>
        <v>-6767504.07558217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-629394.297525885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-977117.243956794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-568357.490547702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2768405.94749538</v>
      </c>
      <c r="D45" s="23" t="n">
        <f aca="false">Model!K160</f>
        <v>3811527.84175295</v>
      </c>
      <c r="E45" s="23" t="n">
        <f aca="false">Model!N160</f>
        <v>3617102.07463161</v>
      </c>
      <c r="F45" s="23" t="n">
        <f aca="false">Model!Q160</f>
        <v>4619782.88409841</v>
      </c>
      <c r="G45" s="23" t="n">
        <f aca="false">Model!T160</f>
        <v>4928172.33634841</v>
      </c>
      <c r="H45" s="23" t="n">
        <f aca="false">Model!W160</f>
        <v>5322616.07832349</v>
      </c>
      <c r="I45" s="23" t="n">
        <f aca="false">Model!Z160</f>
        <v>4886268.06408463</v>
      </c>
      <c r="J45" s="23" t="n">
        <f aca="false">Model!AC160</f>
        <v>5759142.65640286</v>
      </c>
      <c r="K45" s="23" t="n">
        <f aca="false">Model!AF160</f>
        <v>6466491.85415631</v>
      </c>
      <c r="L45" s="23" t="n">
        <f aca="false">Model!AI160</f>
        <v>6967141.04681583</v>
      </c>
      <c r="M45" s="23" t="n">
        <f aca="false">Model!AL160</f>
        <v>6020540.24659886</v>
      </c>
      <c r="N45" s="23" t="n">
        <f aca="false">Model!AO160</f>
        <v>6100674.95759408</v>
      </c>
      <c r="O45" s="23" t="n">
        <f aca="false">Model!AR160</f>
        <v>5443398.9860416</v>
      </c>
      <c r="P45" s="23" t="n">
        <f aca="false">Model!AU160</f>
        <v>4314957.42085276</v>
      </c>
      <c r="Q45" s="23" t="n">
        <f aca="false">Model!AX160</f>
        <v>3123937.72286392</v>
      </c>
      <c r="R45" s="23" t="n">
        <f aca="false">Model!BA160</f>
        <v>1892428.9394913</v>
      </c>
      <c r="S45" s="23" t="n">
        <f aca="false">Model!BD160</f>
        <v>631519.262838685</v>
      </c>
      <c r="T45" s="23" t="n">
        <f aca="false">Model!BG160</f>
        <v>-788376.830027265</v>
      </c>
      <c r="U45" s="23" t="n">
        <f aca="false">Model!BJ160</f>
        <v>-2347961.78459988</v>
      </c>
      <c r="V45" s="23" t="n">
        <f aca="false">Model!BM160</f>
        <v>-4219856.65291995</v>
      </c>
      <c r="W45" s="23" t="n">
        <f aca="false">Model!BP160</f>
        <v>-6065631.85971362</v>
      </c>
      <c r="X45" s="23" t="n">
        <f aca="false">Model!BS160</f>
        <v>-7892950.42490089</v>
      </c>
      <c r="Y45" s="23" t="n">
        <f aca="false">Model!BV160</f>
        <v>-9697083.29322096</v>
      </c>
      <c r="Z45" s="23" t="n">
        <f aca="false">Model!BY160</f>
        <v>-11538654.0589074</v>
      </c>
      <c r="AA45" s="23" t="n">
        <f aca="false">Model!CB160</f>
        <v>-13397389.560237</v>
      </c>
      <c r="AB45" s="23" t="n">
        <f aca="false">Model!CE160</f>
        <v>-15253872.736728</v>
      </c>
      <c r="AC45" s="23" t="n">
        <f aca="false">Model!CH160</f>
        <v>-17080098.475808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266611.58</v>
      </c>
      <c r="H14" s="68" t="n">
        <f aca="false">Model!H53+Model!H54+Model!H55</f>
        <v>12631.58</v>
      </c>
      <c r="I14" s="68" t="n">
        <f aca="false">Model!I53+Model!I54+Model!I55</f>
        <v>12631.58</v>
      </c>
      <c r="J14" s="68" t="n">
        <f aca="false">Model!J53+Model!J54+Model!J55</f>
        <v>12631.58</v>
      </c>
      <c r="K14" s="68" t="n">
        <f aca="false">Model!K53+Model!K54+Model!K55</f>
        <v>12631.58</v>
      </c>
      <c r="L14" s="68" t="n">
        <f aca="false">Model!L53+Model!L54+Model!L55</f>
        <v>12631.58</v>
      </c>
      <c r="M14" s="68" t="n">
        <f aca="false">Model!M53+Model!M54+Model!M55</f>
        <v>12631.58</v>
      </c>
      <c r="N14" s="68" t="n">
        <f aca="false">Model!N53+Model!N54+Model!N55</f>
        <v>12631.58</v>
      </c>
      <c r="O14" s="68" t="n">
        <f aca="false">Model!O53+Model!O54+Model!O55</f>
        <v>12631.58</v>
      </c>
      <c r="P14" s="68" t="n">
        <f aca="false">Model!P53+Model!P54+Model!P55</f>
        <v>12631.58</v>
      </c>
      <c r="Q14" s="68" t="n">
        <f aca="false">Model!Q53+Model!Q54+Model!Q55</f>
        <v>12631.58</v>
      </c>
      <c r="R14" s="68" t="n">
        <f aca="false">Model!R53+Model!R54+Model!R55</f>
        <v>12631.58</v>
      </c>
      <c r="S14" s="68" t="n">
        <f aca="false">Model!S53+Model!S54+Model!S55</f>
        <v>12631.58</v>
      </c>
      <c r="T14" s="68" t="n">
        <f aca="false">Model!T53+Model!T54+Model!T55</f>
        <v>12631.58</v>
      </c>
      <c r="U14" s="68" t="n">
        <f aca="false">Model!U53+Model!U54+Model!U55</f>
        <v>12631.58</v>
      </c>
      <c r="V14" s="68" t="n">
        <f aca="false">Model!V53+Model!V54+Model!V55</f>
        <v>12631.58</v>
      </c>
      <c r="W14" s="68" t="n">
        <f aca="false">Model!W53+Model!W54+Model!W55</f>
        <v>12631.58</v>
      </c>
      <c r="X14" s="68" t="n">
        <f aca="false">Model!X53+Model!X54+Model!X55</f>
        <v>12631.58</v>
      </c>
      <c r="Y14" s="68" t="n">
        <f aca="false">Model!Y53+Model!Y54+Model!Y55</f>
        <v>12631.58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192797.63</v>
      </c>
      <c r="I20" s="68" t="n">
        <f aca="false">Model!I56+Model!I57+Model!I58</f>
        <v>11052.63</v>
      </c>
      <c r="J20" s="68" t="n">
        <f aca="false">Model!J56+Model!J57+Model!J58</f>
        <v>11052.63</v>
      </c>
      <c r="K20" s="68" t="n">
        <f aca="false">Model!K56+Model!K57+Model!K58</f>
        <v>11052.63</v>
      </c>
      <c r="L20" s="68" t="n">
        <f aca="false">Model!L56+Model!L57+Model!L58</f>
        <v>11052.63</v>
      </c>
      <c r="M20" s="68" t="n">
        <f aca="false">Model!M56+Model!M57+Model!M58</f>
        <v>11052.63</v>
      </c>
      <c r="N20" s="68" t="n">
        <f aca="false">Model!N56+Model!N57+Model!N58</f>
        <v>11052.63</v>
      </c>
      <c r="O20" s="68" t="n">
        <f aca="false">Model!O56+Model!O57+Model!O58</f>
        <v>11052.63</v>
      </c>
      <c r="P20" s="68" t="n">
        <f aca="false">Model!P56+Model!P57+Model!P58</f>
        <v>11052.63</v>
      </c>
      <c r="Q20" s="68" t="n">
        <f aca="false">Model!Q56+Model!Q57+Model!Q58</f>
        <v>11052.63</v>
      </c>
      <c r="R20" s="68" t="n">
        <f aca="false">Model!R56+Model!R57+Model!R58</f>
        <v>11052.63</v>
      </c>
      <c r="S20" s="68" t="n">
        <f aca="false">Model!S56+Model!S57+Model!S58</f>
        <v>11052.63</v>
      </c>
      <c r="T20" s="68" t="n">
        <f aca="false">Model!T56+Model!T57+Model!T58</f>
        <v>11052.63</v>
      </c>
      <c r="U20" s="68" t="n">
        <f aca="false">Model!U56+Model!U57+Model!U58</f>
        <v>11052.63</v>
      </c>
      <c r="V20" s="68" t="n">
        <f aca="false">Model!V56+Model!V57+Model!V58</f>
        <v>11052.63</v>
      </c>
      <c r="W20" s="68" t="n">
        <f aca="false">Model!W56+Model!W57+Model!W58</f>
        <v>11052.63</v>
      </c>
      <c r="X20" s="68" t="n">
        <f aca="false">Model!X56+Model!X57+Model!X58</f>
        <v>11052.63</v>
      </c>
      <c r="Y20" s="68" t="n">
        <f aca="false">Model!Y56+Model!Y57+Model!Y58</f>
        <v>11052.63</v>
      </c>
      <c r="Z20" s="68" t="n">
        <f aca="false">Model!Z56+Model!Z57+Model!Z58</f>
        <v>11052.63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-4486236.70753333</v>
      </c>
      <c r="C42" s="89" t="n">
        <f aca="false">'Annual Summary'!C15</f>
        <v>-6898330.7913</v>
      </c>
      <c r="D42" s="89" t="n">
        <f aca="false">'Annual Summary'!D15</f>
        <v>-6879729.521626</v>
      </c>
      <c r="E42" s="89" t="n">
        <f aca="false">'Annual Summary'!E15</f>
        <v>-5646418.06125852</v>
      </c>
      <c r="F42" s="89" t="n">
        <f aca="false">'Annual Summary'!F15</f>
        <v>-5759346.42248369</v>
      </c>
      <c r="G42" s="89" t="n">
        <f aca="false">'Annual Summary'!G15</f>
        <v>-5874533.35093336</v>
      </c>
      <c r="H42" s="89" t="n">
        <f aca="false">'Annual Summary'!H15</f>
        <v>-5992024.01795203</v>
      </c>
      <c r="I42" s="89" t="n">
        <f aca="false">'Annual Summary'!I15</f>
        <v>-1505385.34441159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2595744.04175295</v>
      </c>
      <c r="C43" s="77" t="n">
        <f aca="false">'Annual Summary'!C16</f>
        <v>3740614.02245598</v>
      </c>
      <c r="D43" s="77" t="n">
        <f aca="false">'Annual Summary'!D16</f>
        <v>1150732.54639234</v>
      </c>
      <c r="E43" s="77" t="n">
        <f aca="false">'Annual Summary'!E16</f>
        <v>-2043421.23171307</v>
      </c>
      <c r="F43" s="77" t="n">
        <f aca="false">'Annual Summary'!F16</f>
        <v>-4036236.75581702</v>
      </c>
      <c r="G43" s="77" t="n">
        <f aca="false">'Annual Summary'!G16</f>
        <v>-5874533.35093336</v>
      </c>
      <c r="H43" s="77" t="n">
        <f aca="false">'Annual Summary'!H16</f>
        <v>-5992024.01795203</v>
      </c>
      <c r="I43" s="77" t="n">
        <f aca="false">'Annual Summary'!I16</f>
        <v>-1505385.34441159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-1411304.37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-436131.89</v>
      </c>
      <c r="C50" s="91" t="n">
        <f aca="false">'Annual Summary'!C43</f>
        <v>-2665657.67588545</v>
      </c>
      <c r="D50" s="91" t="n">
        <f aca="false">'Annual Summary'!D43</f>
        <v>-2171865.25378545</v>
      </c>
      <c r="E50" s="91" t="n">
        <f aca="false">'Annual Summary'!E43</f>
        <v>-2780627.64803545</v>
      </c>
      <c r="F50" s="91" t="n">
        <f aca="false">'Annual Summary'!F43</f>
        <v>-3847725.14309845</v>
      </c>
      <c r="G50" s="91" t="n">
        <f aca="false">'Annual Summary'!G43</f>
        <v>-5077765.38703871</v>
      </c>
      <c r="H50" s="91" t="n">
        <f aca="false">'Annual Summary'!H43</f>
        <v>-6446663.68091377</v>
      </c>
      <c r="I50" s="91" t="n">
        <f aca="false">'Annual Summary'!I43</f>
        <v>-6767504.07558217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4247659.73175295</v>
      </c>
      <c r="C52" s="91" t="n">
        <f aca="false">'Annual Summary'!C42</f>
        <v>7988273.75420893</v>
      </c>
      <c r="D52" s="91" t="n">
        <f aca="false">'Annual Summary'!D42</f>
        <v>9139006.30060128</v>
      </c>
      <c r="E52" s="91" t="n">
        <f aca="false">'Annual Summary'!E42</f>
        <v>7095585.06888821</v>
      </c>
      <c r="F52" s="91" t="n">
        <f aca="false">'Annual Summary'!F42</f>
        <v>3059348.31307118</v>
      </c>
      <c r="G52" s="91" t="n">
        <f aca="false">'Annual Summary'!G42</f>
        <v>-2815185.03786218</v>
      </c>
      <c r="H52" s="91" t="n">
        <f aca="false">'Annual Summary'!H42</f>
        <v>-8807209.05581421</v>
      </c>
      <c r="I52" s="91" t="n">
        <f aca="false">'Annual Summary'!I42</f>
        <v>-10312594.4002258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4247659.73175295</v>
      </c>
      <c r="C71" s="81" t="n">
        <f aca="false">'Annual Summary'!C42</f>
        <v>7988273.75420893</v>
      </c>
      <c r="D71" s="81" t="n">
        <f aca="false">'Annual Summary'!E42</f>
        <v>7095585.06888821</v>
      </c>
      <c r="E71" s="81" t="n">
        <f aca="false">'Annual Summary'!G42</f>
        <v>-2815185.03786218</v>
      </c>
      <c r="F71" s="81" t="n">
        <f aca="false">'Annual Summary'!I42</f>
        <v>-10312594.4002258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-436131.89</v>
      </c>
      <c r="C72" s="97" t="n">
        <f aca="false">'Annual Summary'!C43</f>
        <v>-2665657.67588545</v>
      </c>
      <c r="D72" s="97" t="n">
        <f aca="false">'Annual Summary'!E43</f>
        <v>-2780627.64803545</v>
      </c>
      <c r="E72" s="97" t="n">
        <f aca="false">'Annual Summary'!G43</f>
        <v>-5077765.38703871</v>
      </c>
      <c r="F72" s="97" t="n">
        <f aca="false">'Annual Summary'!I43</f>
        <v>-6767504.07558217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-436131.89</v>
      </c>
      <c r="C100" s="81" t="n">
        <f aca="false">'Annual Summary'!C43</f>
        <v>-2665657.67588545</v>
      </c>
      <c r="D100" s="81" t="n">
        <f aca="false">'Annual Summary'!D43</f>
        <v>-2171865.25378545</v>
      </c>
      <c r="E100" s="81" t="n">
        <f aca="false">'Annual Summary'!E43</f>
        <v>-2780627.64803545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-224311.835376667</v>
      </c>
      <c r="C101" s="81" t="n">
        <f aca="false">'Annual Summary'!C15*0.05</f>
        <v>-344916.539565</v>
      </c>
      <c r="D101" s="81" t="n">
        <f aca="false">'Annual Summary'!D15*0.05</f>
        <v>-343986.4760813</v>
      </c>
      <c r="E101" s="81" t="n">
        <f aca="false">'Annual Summary'!E15*0.05</f>
        <v>-282320.903062926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-660443.725376667</v>
      </c>
      <c r="C102" s="81" t="n">
        <f aca="false">C100+C101</f>
        <v>-3010574.21545045</v>
      </c>
      <c r="D102" s="81" t="n">
        <f aca="false">D100+D101</f>
        <v>-2515851.72986675</v>
      </c>
      <c r="E102" s="81" t="n">
        <f aca="false">E100+E101</f>
        <v>-3062948.55109837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-660443.725376667</v>
      </c>
      <c r="C103" s="69" t="n">
        <f aca="false">C102-C99</f>
        <v>-3010574.21545045</v>
      </c>
      <c r="D103" s="69" t="n">
        <f aca="false">D102-D99</f>
        <v>-2515851.72986675</v>
      </c>
      <c r="E103" s="69" t="n">
        <f aca="false">E102-E99</f>
        <v>-3062948.55109837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282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282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278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278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4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5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282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 t="n"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 t="n">
        <f aca="false">C17+D17+E17+F17+G17+H17+I17+J17</f>
        <v>-1675044</v>
      </c>
      <c r="C17" s="65" t="n">
        <f aca="false">SUM(C100:K100)</f>
        <v>0</v>
      </c>
      <c r="D17" s="65" t="n">
        <f aca="false">SUM(L100:W100)</f>
        <v>-325008</v>
      </c>
      <c r="E17" s="65" t="n">
        <f aca="false">SUM(X100:AI100)</f>
        <v>-450012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 t="n">
        <f aca="false">C18+D18+E18+F18+G18+H18+I18+J18</f>
        <v>-536016</v>
      </c>
      <c r="C18" s="65" t="n">
        <f aca="false">SUM(C101:K101)</f>
        <v>0</v>
      </c>
      <c r="D18" s="65" t="n">
        <f aca="false">SUM(L101:W101)</f>
        <v>-134004</v>
      </c>
      <c r="E18" s="65" t="n">
        <f aca="false">SUM(X101:AI101)</f>
        <v>-134004</v>
      </c>
      <c r="F18" s="65" t="n">
        <f aca="false">SUM(AJ101:AU101)</f>
        <v>-134004</v>
      </c>
      <c r="G18" s="65" t="n">
        <f aca="false">SUM(AV101:BG101)</f>
        <v>-134004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 t="n">
        <f aca="false">C19+D19+E19+F19+G19+H19+I19+J19</f>
        <v>6798605</v>
      </c>
      <c r="C19" s="137" t="n">
        <f aca="false">SUM(C102:K102)</f>
        <v>0</v>
      </c>
      <c r="D19" s="137" t="n">
        <f aca="false">SUM(L102:W102)</f>
        <v>625369.66</v>
      </c>
      <c r="E19" s="137" t="n">
        <f aca="false">SUM(X102:AI102)</f>
        <v>3114001.39</v>
      </c>
      <c r="F19" s="137" t="n">
        <f aca="false">SUM(AJ102:AU102)</f>
        <v>1843283.01</v>
      </c>
      <c r="G19" s="137" t="n">
        <f aca="false">SUM(AV102:BG102)</f>
        <v>785316.42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 t="n">
        <f aca="false">C20+D20+E20+F20+G20+H20+I20+J20</f>
        <v>900966.5</v>
      </c>
      <c r="C20" s="65" t="n">
        <f aca="false">SUM(C103:K103)</f>
        <v>0</v>
      </c>
      <c r="D20" s="65" t="n">
        <f aca="false">SUM(L103:W103)</f>
        <v>108438.166</v>
      </c>
      <c r="E20" s="65" t="n">
        <f aca="false">SUM(X103:AI103)</f>
        <v>369801.739</v>
      </c>
      <c r="F20" s="65" t="n">
        <f aca="false">SUM(AJ103:AU103)</f>
        <v>242729.901</v>
      </c>
      <c r="G20" s="65" t="n">
        <f aca="false">SUM(AV103:BG103)</f>
        <v>136933.242</v>
      </c>
      <c r="H20" s="65" t="n">
        <f aca="false">SUM(BH103:BS103)</f>
        <v>43063.452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 t="n">
        <f aca="false">C21+D21+E21+F21+G21+H21+I21+J21</f>
        <v>5897638.5</v>
      </c>
      <c r="C21" s="137" t="n">
        <f aca="false">SUM(C104:K104)</f>
        <v>0</v>
      </c>
      <c r="D21" s="137" t="n">
        <f aca="false">SUM(L104:W104)</f>
        <v>516931.494</v>
      </c>
      <c r="E21" s="137" t="n">
        <f aca="false">SUM(X104:AI104)</f>
        <v>2744199.651</v>
      </c>
      <c r="F21" s="137" t="n">
        <f aca="false">SUM(AJ104:AU104)</f>
        <v>1600553.109</v>
      </c>
      <c r="G21" s="137" t="n">
        <f aca="false">SUM(AV104:BG104)</f>
        <v>648383.178</v>
      </c>
      <c r="H21" s="137" t="n">
        <f aca="false">SUM(BH104:BS104)</f>
        <v>387571.068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s">
        <v>570</v>
      </c>
      <c r="B22" s="7" t="n">
        <f aca="false">C22+D22+E22+F22+G22+H22+I22+J22</f>
        <v>2359055.4</v>
      </c>
      <c r="C22" s="65" t="n">
        <f aca="false">SUM(C105:K105)</f>
        <v>0</v>
      </c>
      <c r="D22" s="65" t="n">
        <f aca="false">SUM(L105:W105)</f>
        <v>206772.5976</v>
      </c>
      <c r="E22" s="65" t="n">
        <f aca="false">SUM(X105:AI105)</f>
        <v>1097679.8604</v>
      </c>
      <c r="F22" s="65" t="n">
        <f aca="false">SUM(AJ105:AU105)</f>
        <v>640221.2436</v>
      </c>
      <c r="G22" s="65" t="n">
        <f aca="false">SUM(AV105:BG105)</f>
        <v>259353.2712</v>
      </c>
      <c r="H22" s="65" t="n">
        <f aca="false">SUM(BH105:BS105)</f>
        <v>155028.4272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 t="n">
        <f aca="false">C23+D23+E23+F23+G23+H23+I23+J23</f>
        <v>3538583.1</v>
      </c>
      <c r="C23" s="65" t="n">
        <f aca="false">SUM(C106:K106)</f>
        <v>0</v>
      </c>
      <c r="D23" s="65" t="n">
        <f aca="false">SUM(L106:W106)</f>
        <v>310158.8964</v>
      </c>
      <c r="E23" s="65" t="n">
        <f aca="false">SUM(X106:AI106)</f>
        <v>1646519.7906</v>
      </c>
      <c r="F23" s="65" t="n">
        <f aca="false">SUM(AJ106:AU106)</f>
        <v>960331.8654</v>
      </c>
      <c r="G23" s="65" t="n">
        <f aca="false">SUM(AV106:BG106)</f>
        <v>389029.9068</v>
      </c>
      <c r="H23" s="65" t="n">
        <f aca="false">SUM(BH106:BS106)</f>
        <v>232542.6408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 t="n">
        <f aca="false">C24+D24+E24+F24+G24+H24+I24+J24</f>
        <v>4439549.6</v>
      </c>
      <c r="C24" s="139" t="n">
        <f aca="false">SUM(C107:K107)</f>
        <v>0</v>
      </c>
      <c r="D24" s="139" t="n">
        <f aca="false">SUM(L107:W107)</f>
        <v>418597.0624</v>
      </c>
      <c r="E24" s="139" t="n">
        <f aca="false">SUM(X107:AI107)</f>
        <v>2016321.5296</v>
      </c>
      <c r="F24" s="139" t="n">
        <f aca="false">SUM(AJ107:AU107)</f>
        <v>1203061.7664</v>
      </c>
      <c r="G24" s="139" t="n">
        <f aca="false">SUM(AV107:BG107)</f>
        <v>525963.1488</v>
      </c>
      <c r="H24" s="139" t="n">
        <f aca="false">SUM(BH107:BS107)</f>
        <v>275606.0928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s">
        <v>619</v>
      </c>
      <c r="B44" s="65" t="n">
        <v>110000</v>
      </c>
      <c r="C44" s="65" t="n">
        <v>9167</v>
      </c>
      <c r="D44" s="110" t="s">
        <v>372</v>
      </c>
      <c r="E44" s="110" t="s">
        <v>620</v>
      </c>
      <c r="F44" s="110" t="n">
        <v>48</v>
      </c>
      <c r="G44" s="65" t="n">
        <v>440016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s">
        <v>372</v>
      </c>
      <c r="E45" s="110" t="s">
        <v>620</v>
      </c>
      <c r="F45" s="110" t="n">
        <v>48</v>
      </c>
      <c r="G45" s="65" t="n">
        <v>360000</v>
      </c>
    </row>
    <row r="46" customFormat="false" ht="15" hidden="false" customHeight="true" outlineLevel="0" collapsed="false">
      <c r="A46" s="110" t="s">
        <v>622</v>
      </c>
      <c r="B46" s="65" t="n">
        <v>125000</v>
      </c>
      <c r="C46" s="65" t="n">
        <v>10417</v>
      </c>
      <c r="D46" s="110" t="s">
        <v>378</v>
      </c>
      <c r="E46" s="110" t="s">
        <v>620</v>
      </c>
      <c r="F46" s="110" t="n">
        <v>42</v>
      </c>
      <c r="G46" s="65" t="n">
        <v>437514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s">
        <v>378</v>
      </c>
      <c r="E47" s="110" t="s">
        <v>620</v>
      </c>
      <c r="F47" s="110" t="n">
        <v>42</v>
      </c>
      <c r="G47" s="65" t="n">
        <v>437514</v>
      </c>
    </row>
    <row r="48" customFormat="false" ht="15" hidden="false" customHeight="true" outlineLevel="0" collapsed="false">
      <c r="A48" s="150" t="s">
        <v>624</v>
      </c>
      <c r="G48" s="151" t="n">
        <v>1675044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 t="n">
        <v>40000</v>
      </c>
      <c r="C53" s="65" t="n">
        <v>3333</v>
      </c>
      <c r="D53" s="110" t="n">
        <v>4</v>
      </c>
      <c r="E53" s="65" t="n">
        <v>160000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 t="n">
        <v>536000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 t="n">
        <v>9009665</v>
      </c>
    </row>
    <row r="61" customFormat="false" ht="15" hidden="false" customHeight="true" outlineLevel="0" collapsed="false">
      <c r="A61" s="110" t="s">
        <v>565</v>
      </c>
      <c r="B61" s="65" t="n">
        <v>-1675044</v>
      </c>
    </row>
    <row r="62" customFormat="false" ht="15" hidden="false" customHeight="true" outlineLevel="0" collapsed="false">
      <c r="A62" s="110" t="s">
        <v>566</v>
      </c>
      <c r="B62" s="65" t="n">
        <v>-536000</v>
      </c>
    </row>
    <row r="63" customFormat="false" ht="15" hidden="false" customHeight="true" outlineLevel="0" collapsed="false">
      <c r="A63" s="141" t="s">
        <v>567</v>
      </c>
      <c r="B63" s="144" t="n">
        <v>6798621</v>
      </c>
    </row>
    <row r="64" customFormat="false" ht="15" hidden="false" customHeight="true" outlineLevel="0" collapsed="false">
      <c r="A64" s="110" t="s">
        <v>636</v>
      </c>
      <c r="B64" s="65" t="n">
        <v>-900966.5</v>
      </c>
    </row>
    <row r="65" customFormat="false" ht="15" hidden="false" customHeight="true" outlineLevel="0" collapsed="false">
      <c r="A65" s="141" t="s">
        <v>569</v>
      </c>
      <c r="B65" s="144" t="n">
        <v>5897654.5</v>
      </c>
    </row>
    <row r="66" customFormat="false" ht="15" hidden="false" customHeight="true" outlineLevel="0" collapsed="false">
      <c r="A66" s="110" t="s">
        <v>637</v>
      </c>
      <c r="B66" s="65" t="n">
        <v>-2359061.8</v>
      </c>
    </row>
    <row r="67" customFormat="false" ht="15" hidden="false" customHeight="true" outlineLevel="0" collapsed="false">
      <c r="A67" s="141" t="s">
        <v>571</v>
      </c>
      <c r="B67" s="144" t="n">
        <v>3538592.7</v>
      </c>
    </row>
    <row r="68" customFormat="false" ht="15" hidden="false" customHeight="true" outlineLevel="0" collapsed="false">
      <c r="A68" s="110" t="s">
        <v>568</v>
      </c>
      <c r="B68" s="65" t="n">
        <v>900966.5</v>
      </c>
    </row>
    <row r="69" customFormat="false" ht="15" hidden="false" customHeight="true" outlineLevel="0" collapsed="false">
      <c r="A69" s="141" t="s">
        <v>572</v>
      </c>
      <c r="B69" s="144" t="n">
        <v>4439559.2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s">
        <v>661</v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s">
        <v>663</v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s">
        <v>665</v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s">
        <v>667</v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s">
        <v>674</v>
      </c>
      <c r="B95" s="159" t="n">
        <v>0.4</v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B98" s="162" t="s">
        <v>317</v>
      </c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 t="n">
        <f aca="false">SUM(C100:CH100)</f>
        <v>-1675044</v>
      </c>
      <c r="C100" s="161"/>
      <c r="D100" s="161"/>
      <c r="E100" s="161"/>
      <c r="F100" s="161"/>
      <c r="G100" s="161"/>
      <c r="H100" s="161"/>
      <c r="I100" s="161"/>
      <c r="J100" s="161"/>
      <c r="K100" s="161"/>
      <c r="L100" s="165" t="n">
        <v>-16667</v>
      </c>
      <c r="M100" s="165" t="n">
        <v>-16667</v>
      </c>
      <c r="N100" s="165" t="n">
        <v>-16667</v>
      </c>
      <c r="O100" s="165" t="n">
        <v>-16667</v>
      </c>
      <c r="P100" s="165" t="n">
        <v>-16667</v>
      </c>
      <c r="Q100" s="165" t="n">
        <v>-16667</v>
      </c>
      <c r="R100" s="165" t="n">
        <v>-37501</v>
      </c>
      <c r="S100" s="165" t="n">
        <v>-37501</v>
      </c>
      <c r="T100" s="165" t="n">
        <v>-37501</v>
      </c>
      <c r="U100" s="165" t="n">
        <v>-37501</v>
      </c>
      <c r="V100" s="165" t="n">
        <v>-37501</v>
      </c>
      <c r="W100" s="165" t="n">
        <v>-37501</v>
      </c>
      <c r="X100" s="165" t="n">
        <v>-37501</v>
      </c>
      <c r="Y100" s="165" t="n">
        <v>-37501</v>
      </c>
      <c r="Z100" s="165" t="n">
        <v>-37501</v>
      </c>
      <c r="AA100" s="165" t="n">
        <v>-37501</v>
      </c>
      <c r="AB100" s="165" t="n">
        <v>-37501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/>
      <c r="BI100" s="161"/>
      <c r="BJ100" s="161"/>
      <c r="BK100" s="161"/>
      <c r="BL100" s="161"/>
      <c r="BM100" s="161"/>
      <c r="BN100" s="161"/>
      <c r="BO100" s="161"/>
      <c r="BP100" s="161"/>
      <c r="BQ100" s="161"/>
      <c r="BR100" s="161"/>
      <c r="BS100" s="161"/>
      <c r="BT100" s="161"/>
      <c r="BU100" s="161"/>
      <c r="BV100" s="161"/>
      <c r="BW100" s="161"/>
      <c r="BX100" s="161"/>
      <c r="BY100" s="161"/>
      <c r="BZ100" s="161"/>
      <c r="CA100" s="161"/>
      <c r="CB100" s="161"/>
      <c r="CC100" s="161"/>
      <c r="CD100" s="161"/>
      <c r="CE100" s="161"/>
      <c r="CF100" s="161"/>
      <c r="CG100" s="161"/>
      <c r="CH100" s="161"/>
    </row>
    <row r="101" customFormat="false" ht="15" hidden="false" customHeight="true" outlineLevel="0" collapsed="false">
      <c r="A101" s="163" t="s">
        <v>566</v>
      </c>
      <c r="B101" s="164" t="n">
        <f aca="false">SUM(C101:CH101)</f>
        <v>-536016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 t="n">
        <v>-11167</v>
      </c>
      <c r="M101" s="165" t="n">
        <v>-11167</v>
      </c>
      <c r="N101" s="165" t="n">
        <v>-11167</v>
      </c>
      <c r="O101" s="165" t="n">
        <v>-11167</v>
      </c>
      <c r="P101" s="165" t="n">
        <v>-11167</v>
      </c>
      <c r="Q101" s="165" t="n">
        <v>-11167</v>
      </c>
      <c r="R101" s="165" t="n">
        <v>-11167</v>
      </c>
      <c r="S101" s="165" t="n">
        <v>-11167</v>
      </c>
      <c r="T101" s="165" t="n">
        <v>-11167</v>
      </c>
      <c r="U101" s="165" t="n">
        <v>-11167</v>
      </c>
      <c r="V101" s="165" t="n">
        <v>-11167</v>
      </c>
      <c r="W101" s="165" t="n">
        <v>-11167</v>
      </c>
      <c r="X101" s="165" t="n">
        <v>-11167</v>
      </c>
      <c r="Y101" s="165" t="n">
        <v>-11167</v>
      </c>
      <c r="Z101" s="165" t="n">
        <v>-11167</v>
      </c>
      <c r="AA101" s="165" t="n">
        <v>-11167</v>
      </c>
      <c r="AB101" s="165" t="n">
        <v>-11167</v>
      </c>
      <c r="AC101" s="165" t="n">
        <v>-11167</v>
      </c>
      <c r="AD101" s="165" t="n">
        <v>-11167</v>
      </c>
      <c r="AE101" s="165" t="n">
        <v>-11167</v>
      </c>
      <c r="AF101" s="165" t="n">
        <v>-11167</v>
      </c>
      <c r="AG101" s="165" t="n">
        <v>-11167</v>
      </c>
      <c r="AH101" s="165" t="n">
        <v>-11167</v>
      </c>
      <c r="AI101" s="165" t="n">
        <v>-11167</v>
      </c>
      <c r="AJ101" s="165" t="n">
        <v>-11167</v>
      </c>
      <c r="AK101" s="165" t="n">
        <v>-11167</v>
      </c>
      <c r="AL101" s="165" t="n">
        <v>-11167</v>
      </c>
      <c r="AM101" s="165" t="n">
        <v>-11167</v>
      </c>
      <c r="AN101" s="165" t="n">
        <v>-11167</v>
      </c>
      <c r="AO101" s="165" t="n">
        <v>-11167</v>
      </c>
      <c r="AP101" s="165" t="n">
        <v>-11167</v>
      </c>
      <c r="AQ101" s="165" t="n">
        <v>-11167</v>
      </c>
      <c r="AR101" s="165" t="n">
        <v>-11167</v>
      </c>
      <c r="AS101" s="165" t="n">
        <v>-11167</v>
      </c>
      <c r="AT101" s="165" t="n">
        <v>-11167</v>
      </c>
      <c r="AU101" s="165" t="n">
        <v>-11167</v>
      </c>
      <c r="AV101" s="165" t="n">
        <v>-11167</v>
      </c>
      <c r="AW101" s="165" t="n">
        <v>-11167</v>
      </c>
      <c r="AX101" s="165" t="n">
        <v>-11167</v>
      </c>
      <c r="AY101" s="165" t="n">
        <v>-11167</v>
      </c>
      <c r="AZ101" s="165" t="n">
        <v>-11167</v>
      </c>
      <c r="BA101" s="165" t="n">
        <v>-11167</v>
      </c>
      <c r="BB101" s="165" t="n">
        <v>-11167</v>
      </c>
      <c r="BC101" s="165" t="n">
        <v>-11167</v>
      </c>
      <c r="BD101" s="165" t="n">
        <v>-11167</v>
      </c>
      <c r="BE101" s="165" t="n">
        <v>-11167</v>
      </c>
      <c r="BF101" s="165" t="n">
        <v>-11167</v>
      </c>
      <c r="BG101" s="165" t="n">
        <v>-11167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 t="n">
        <f aca="false">SUM(C102:CH102)</f>
        <v>6798605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 t="n">
        <f aca="false">L99+L100+L101</f>
        <v>17216.36</v>
      </c>
      <c r="M102" s="166" t="n">
        <f aca="false">M99+M100+M101</f>
        <v>17216.36</v>
      </c>
      <c r="N102" s="166" t="n">
        <f aca="false">N99+N100+N101</f>
        <v>17216.36</v>
      </c>
      <c r="O102" s="166" t="n">
        <f aca="false">O99+O100+O101</f>
        <v>17216.36</v>
      </c>
      <c r="P102" s="166" t="n">
        <f aca="false">P99+P100+P101</f>
        <v>17216.36</v>
      </c>
      <c r="Q102" s="166" t="n">
        <f aca="false">Q99+Q100+Q101</f>
        <v>17216.36</v>
      </c>
      <c r="R102" s="166" t="n">
        <f aca="false">R99+R100+R101</f>
        <v>22276.52</v>
      </c>
      <c r="S102" s="166" t="n">
        <f aca="false">S99+S100+S101</f>
        <v>48170.68</v>
      </c>
      <c r="T102" s="166" t="n">
        <f aca="false">T99+T100+T101</f>
        <v>74064.84</v>
      </c>
      <c r="U102" s="166" t="n">
        <f aca="false">U99+U100+U101</f>
        <v>99958.99</v>
      </c>
      <c r="V102" s="166" t="n">
        <f aca="false">V99+V100+V101</f>
        <v>125853.16</v>
      </c>
      <c r="W102" s="166" t="n">
        <f aca="false">W99+W100+W101</f>
        <v>151747.31</v>
      </c>
      <c r="X102" s="166" t="n">
        <f aca="false">X99+X100+X101</f>
        <v>177641.46</v>
      </c>
      <c r="Y102" s="166" t="n">
        <f aca="false">Y99+Y100+Y101</f>
        <v>203535.62</v>
      </c>
      <c r="Z102" s="166" t="n">
        <f aca="false">Z99+Z100+Z101</f>
        <v>229429.79</v>
      </c>
      <c r="AA102" s="166" t="n">
        <f aca="false">AA99+AA100+AA101</f>
        <v>255323.94</v>
      </c>
      <c r="AB102" s="166" t="n">
        <f aca="false">AB99+AB100+AB101</f>
        <v>281218.11</v>
      </c>
      <c r="AC102" s="166" t="n">
        <f aca="false">AC99+AC100+AC101</f>
        <v>352162.61</v>
      </c>
      <c r="AD102" s="166" t="n">
        <f aca="false">AD99+AD100+AD101</f>
        <v>262844.01</v>
      </c>
      <c r="AE102" s="166" t="n">
        <f aca="false">AE99+AE100+AE101</f>
        <v>263626.13</v>
      </c>
      <c r="AF102" s="166" t="n">
        <f aca="false">AF99+AF100+AF101</f>
        <v>264408.23</v>
      </c>
      <c r="AG102" s="166" t="n">
        <f aca="false">AG99+AG100+AG101</f>
        <v>265190.34</v>
      </c>
      <c r="AH102" s="166" t="n">
        <f aca="false">AH99+AH100+AH101</f>
        <v>265972.44</v>
      </c>
      <c r="AI102" s="166" t="n">
        <f aca="false">AI99+AI100+AI101</f>
        <v>292648.71</v>
      </c>
      <c r="AJ102" s="166" t="n">
        <f aca="false">AJ99+AJ100+AJ101</f>
        <v>267536.67</v>
      </c>
      <c r="AK102" s="166" t="n">
        <f aca="false">AK99+AK100+AK101</f>
        <v>242424.62</v>
      </c>
      <c r="AL102" s="166" t="n">
        <f aca="false">AL99+AL100+AL101</f>
        <v>217312.57</v>
      </c>
      <c r="AM102" s="166" t="n">
        <f aca="false">AM99+AM100+AM101</f>
        <v>192200.51</v>
      </c>
      <c r="AN102" s="166" t="n">
        <f aca="false">AN99+AN100+AN101</f>
        <v>167088.47</v>
      </c>
      <c r="AO102" s="166" t="n">
        <f aca="false">AO99+AO100+AO101</f>
        <v>141976.42</v>
      </c>
      <c r="AP102" s="166" t="n">
        <f aca="false">AP99+AP100+AP101</f>
        <v>116864.36</v>
      </c>
      <c r="AQ102" s="166" t="n">
        <f aca="false">AQ99+AQ100+AQ101</f>
        <v>91752.32</v>
      </c>
      <c r="AR102" s="166" t="n">
        <f aca="false">AR99+AR100+AR101</f>
        <v>66640.27</v>
      </c>
      <c r="AS102" s="166" t="n">
        <f aca="false">AS99+AS100+AS101</f>
        <v>147427.1</v>
      </c>
      <c r="AT102" s="166" t="n">
        <f aca="false">AT99+AT100+AT101</f>
        <v>121532.95</v>
      </c>
      <c r="AU102" s="166" t="n">
        <f aca="false">AU99+AU100+AU101</f>
        <v>70526.75</v>
      </c>
      <c r="AV102" s="166" t="n">
        <f aca="false">AV99+AV100+AV101</f>
        <v>69744.64</v>
      </c>
      <c r="AW102" s="166" t="n">
        <f aca="false">AW99+AW100+AW101</f>
        <v>68962.52</v>
      </c>
      <c r="AX102" s="166" t="n">
        <f aca="false">AX99+AX100+AX101</f>
        <v>68180.42</v>
      </c>
      <c r="AY102" s="166" t="n">
        <f aca="false">AY99+AY100+AY101</f>
        <v>67398.31</v>
      </c>
      <c r="AZ102" s="166" t="n">
        <f aca="false">AZ99+AZ100+AZ101</f>
        <v>66616.2</v>
      </c>
      <c r="BA102" s="166" t="n">
        <f aca="false">BA99+BA100+BA101</f>
        <v>65834.09</v>
      </c>
      <c r="BB102" s="166" t="n">
        <f aca="false">BB99+BB100+BB101</f>
        <v>65051.98</v>
      </c>
      <c r="BC102" s="166" t="n">
        <f aca="false">BC99+BC100+BC101</f>
        <v>64269.87</v>
      </c>
      <c r="BD102" s="166" t="n">
        <f aca="false">BD99+BD100+BD101</f>
        <v>63487.76</v>
      </c>
      <c r="BE102" s="166" t="n">
        <f aca="false">BE99+BE100+BE101</f>
        <v>62705.65</v>
      </c>
      <c r="BF102" s="166" t="n">
        <f aca="false">BF99+BF100+BF101</f>
        <v>61923.54</v>
      </c>
      <c r="BG102" s="166" t="n">
        <f aca="false">BG99+BG100+BG101</f>
        <v>61141.44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 t="n">
        <f aca="false">SUM(C103:CH103)</f>
        <v>900966.5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 t="n">
        <f aca="false">L99*$B$94</f>
        <v>4505.036</v>
      </c>
      <c r="M103" s="166" t="n">
        <f aca="false">M99*$B$94</f>
        <v>4505.036</v>
      </c>
      <c r="N103" s="166" t="n">
        <f aca="false">N99*$B$94</f>
        <v>4505.036</v>
      </c>
      <c r="O103" s="166" t="n">
        <f aca="false">O99*$B$94</f>
        <v>4505.036</v>
      </c>
      <c r="P103" s="166" t="n">
        <f aca="false">P99*$B$94</f>
        <v>4505.036</v>
      </c>
      <c r="Q103" s="166" t="n">
        <f aca="false">Q99*$B$94</f>
        <v>4505.036</v>
      </c>
      <c r="R103" s="166" t="n">
        <f aca="false">R99*$B$94</f>
        <v>7094.452</v>
      </c>
      <c r="S103" s="166" t="n">
        <f aca="false">S99*$B$94</f>
        <v>9683.868</v>
      </c>
      <c r="T103" s="166" t="n">
        <f aca="false">T99*$B$94</f>
        <v>12273.284</v>
      </c>
      <c r="U103" s="166" t="n">
        <f aca="false">U99*$B$94</f>
        <v>14862.699</v>
      </c>
      <c r="V103" s="166" t="n">
        <f aca="false">V99*$B$94</f>
        <v>17452.116</v>
      </c>
      <c r="W103" s="166" t="n">
        <f aca="false">W99*$B$94</f>
        <v>20041.531</v>
      </c>
      <c r="X103" s="166" t="n">
        <f aca="false">X99*$B$94</f>
        <v>22630.946</v>
      </c>
      <c r="Y103" s="166" t="n">
        <f aca="false">Y99*$B$94</f>
        <v>25220.362</v>
      </c>
      <c r="Z103" s="166" t="n">
        <f aca="false">Z99*$B$94</f>
        <v>27809.779</v>
      </c>
      <c r="AA103" s="166" t="n">
        <f aca="false">AA99*$B$94</f>
        <v>30399.194</v>
      </c>
      <c r="AB103" s="166" t="n">
        <f aca="false">AB99*$B$94</f>
        <v>32988.611</v>
      </c>
      <c r="AC103" s="166" t="n">
        <f aca="false">AC99*$B$94</f>
        <v>40083.061</v>
      </c>
      <c r="AD103" s="166" t="n">
        <f aca="false">AD99*$B$94</f>
        <v>31151.201</v>
      </c>
      <c r="AE103" s="166" t="n">
        <f aca="false">AE99*$B$94</f>
        <v>31229.413</v>
      </c>
      <c r="AF103" s="166" t="n">
        <f aca="false">AF99*$B$94</f>
        <v>31307.623</v>
      </c>
      <c r="AG103" s="166" t="n">
        <f aca="false">AG99*$B$94</f>
        <v>31385.834</v>
      </c>
      <c r="AH103" s="166" t="n">
        <f aca="false">AH99*$B$94</f>
        <v>31464.044</v>
      </c>
      <c r="AI103" s="166" t="n">
        <f aca="false">AI99*$B$94</f>
        <v>34131.671</v>
      </c>
      <c r="AJ103" s="166" t="n">
        <f aca="false">AJ99*$B$94</f>
        <v>31620.467</v>
      </c>
      <c r="AK103" s="166" t="n">
        <f aca="false">AK99*$B$94</f>
        <v>29109.262</v>
      </c>
      <c r="AL103" s="166" t="n">
        <f aca="false">AL99*$B$94</f>
        <v>26598.057</v>
      </c>
      <c r="AM103" s="166" t="n">
        <f aca="false">AM99*$B$94</f>
        <v>24086.851</v>
      </c>
      <c r="AN103" s="166" t="n">
        <f aca="false">AN99*$B$94</f>
        <v>21575.647</v>
      </c>
      <c r="AO103" s="166" t="n">
        <f aca="false">AO99*$B$94</f>
        <v>19064.442</v>
      </c>
      <c r="AP103" s="166" t="n">
        <f aca="false">AP99*$B$94</f>
        <v>16553.236</v>
      </c>
      <c r="AQ103" s="166" t="n">
        <f aca="false">AQ99*$B$94</f>
        <v>14042.032</v>
      </c>
      <c r="AR103" s="166" t="n">
        <f aca="false">AR99*$B$94</f>
        <v>11530.827</v>
      </c>
      <c r="AS103" s="166" t="n">
        <f aca="false">AS99*$B$94</f>
        <v>19609.51</v>
      </c>
      <c r="AT103" s="166" t="n">
        <f aca="false">AT99*$B$94</f>
        <v>17020.095</v>
      </c>
      <c r="AU103" s="166" t="n">
        <f aca="false">AU99*$B$94</f>
        <v>11919.475</v>
      </c>
      <c r="AV103" s="166" t="n">
        <f aca="false">AV99*$B$94</f>
        <v>11841.264</v>
      </c>
      <c r="AW103" s="166" t="n">
        <f aca="false">AW99*$B$94</f>
        <v>11763.052</v>
      </c>
      <c r="AX103" s="166" t="n">
        <f aca="false">AX99*$B$94</f>
        <v>11684.842</v>
      </c>
      <c r="AY103" s="166" t="n">
        <f aca="false">AY99*$B$94</f>
        <v>11606.631</v>
      </c>
      <c r="AZ103" s="166" t="n">
        <f aca="false">AZ99*$B$94</f>
        <v>11528.42</v>
      </c>
      <c r="BA103" s="166" t="n">
        <f aca="false">BA99*$B$94</f>
        <v>11450.209</v>
      </c>
      <c r="BB103" s="166" t="n">
        <f aca="false">BB99*$B$94</f>
        <v>11371.998</v>
      </c>
      <c r="BC103" s="166" t="n">
        <f aca="false">BC99*$B$94</f>
        <v>11293.787</v>
      </c>
      <c r="BD103" s="166" t="n">
        <f aca="false">BD99*$B$94</f>
        <v>11215.576</v>
      </c>
      <c r="BE103" s="166" t="n">
        <f aca="false">BE99*$B$94</f>
        <v>11137.365</v>
      </c>
      <c r="BF103" s="166" t="n">
        <f aca="false">BF99*$B$94</f>
        <v>11059.154</v>
      </c>
      <c r="BG103" s="166" t="n">
        <f aca="false">BG99*$B$94</f>
        <v>10980.944</v>
      </c>
      <c r="BH103" s="166" t="n">
        <f aca="false">BH99*$B$94</f>
        <v>10902.732</v>
      </c>
      <c r="BI103" s="166" t="n">
        <f aca="false">BI99*$B$94</f>
        <v>10824.521</v>
      </c>
      <c r="BJ103" s="166" t="n">
        <f aca="false">BJ99*$B$94</f>
        <v>21336.199</v>
      </c>
      <c r="BK103" s="166" t="n">
        <f aca="false">BK99*$B$94</f>
        <v>0</v>
      </c>
      <c r="BL103" s="166" t="n">
        <f aca="false">BL99*$B$94</f>
        <v>0</v>
      </c>
      <c r="BM103" s="166" t="n">
        <f aca="false">BM99*$B$94</f>
        <v>0</v>
      </c>
      <c r="BN103" s="166" t="n">
        <f aca="false">BN99*$B$94</f>
        <v>0</v>
      </c>
      <c r="BO103" s="166" t="n">
        <f aca="false">BO99*$B$94</f>
        <v>0</v>
      </c>
      <c r="BP103" s="166" t="n">
        <f aca="false">BP99*$B$94</f>
        <v>0</v>
      </c>
      <c r="BQ103" s="166" t="n">
        <f aca="false">BQ99*$B$94</f>
        <v>0</v>
      </c>
      <c r="BR103" s="166" t="n">
        <f aca="false">BR99*$B$94</f>
        <v>0</v>
      </c>
      <c r="BS103" s="166" t="n">
        <f aca="false">BS99*$B$94</f>
        <v>0</v>
      </c>
      <c r="BT103" s="166" t="n">
        <f aca="false">BT99*$B$94</f>
        <v>0</v>
      </c>
      <c r="BU103" s="166" t="n">
        <f aca="false">BU99*$B$94</f>
        <v>0</v>
      </c>
      <c r="BV103" s="166" t="n">
        <f aca="false">BV99*$B$94</f>
        <v>0</v>
      </c>
      <c r="BW103" s="166" t="n">
        <f aca="false">BW99*$B$94</f>
        <v>0</v>
      </c>
      <c r="BX103" s="166" t="n">
        <f aca="false">BX99*$B$94</f>
        <v>0</v>
      </c>
      <c r="BY103" s="166" t="n">
        <f aca="false">BY99*$B$94</f>
        <v>0</v>
      </c>
      <c r="BZ103" s="166" t="n">
        <f aca="false">BZ99*$B$94</f>
        <v>0</v>
      </c>
      <c r="CA103" s="166" t="n">
        <f aca="false">CA99*$B$94</f>
        <v>0</v>
      </c>
      <c r="CB103" s="166" t="n">
        <f aca="false">CB99*$B$94</f>
        <v>0</v>
      </c>
      <c r="CC103" s="166" t="n">
        <f aca="false">CC99*$B$94</f>
        <v>0</v>
      </c>
      <c r="CD103" s="166" t="n">
        <f aca="false">CD99*$B$94</f>
        <v>0</v>
      </c>
      <c r="CE103" s="166" t="n">
        <f aca="false">CE99*$B$94</f>
        <v>0</v>
      </c>
      <c r="CF103" s="166" t="n">
        <f aca="false">CF99*$B$94</f>
        <v>0</v>
      </c>
      <c r="CG103" s="166" t="n">
        <f aca="false">CG99*$B$94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 t="n">
        <f aca="false">SUM(C104:CH104)</f>
        <v>5897638.5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 t="n">
        <f aca="false">L102-L103</f>
        <v>12711.324</v>
      </c>
      <c r="M104" s="166" t="n">
        <f aca="false">M102-M103</f>
        <v>12711.324</v>
      </c>
      <c r="N104" s="166" t="n">
        <f aca="false">N102-N103</f>
        <v>12711.324</v>
      </c>
      <c r="O104" s="166" t="n">
        <f aca="false">O102-O103</f>
        <v>12711.324</v>
      </c>
      <c r="P104" s="166" t="n">
        <f aca="false">P102-P103</f>
        <v>12711.324</v>
      </c>
      <c r="Q104" s="166" t="n">
        <f aca="false">Q102-Q103</f>
        <v>12711.324</v>
      </c>
      <c r="R104" s="166" t="n">
        <f aca="false">R102-R103</f>
        <v>15182.068</v>
      </c>
      <c r="S104" s="166" t="n">
        <f aca="false">S102-S103</f>
        <v>38486.812</v>
      </c>
      <c r="T104" s="166" t="n">
        <f aca="false">T102-T103</f>
        <v>61791.556</v>
      </c>
      <c r="U104" s="166" t="n">
        <f aca="false">U102-U103</f>
        <v>85096.291</v>
      </c>
      <c r="V104" s="166" t="n">
        <f aca="false">V102-V103</f>
        <v>108401.044</v>
      </c>
      <c r="W104" s="166" t="n">
        <f aca="false">W102-W103</f>
        <v>131705.779</v>
      </c>
      <c r="X104" s="166" t="n">
        <f aca="false">X102-X103</f>
        <v>155010.514</v>
      </c>
      <c r="Y104" s="166" t="n">
        <f aca="false">Y102-Y103</f>
        <v>178315.258</v>
      </c>
      <c r="Z104" s="166" t="n">
        <f aca="false">Z102-Z103</f>
        <v>201620.011</v>
      </c>
      <c r="AA104" s="166" t="n">
        <f aca="false">AA102-AA103</f>
        <v>224924.746</v>
      </c>
      <c r="AB104" s="166" t="n">
        <f aca="false">AB102-AB103</f>
        <v>248229.499</v>
      </c>
      <c r="AC104" s="166" t="n">
        <f aca="false">AC102-AC103</f>
        <v>312079.549</v>
      </c>
      <c r="AD104" s="166" t="n">
        <f aca="false">AD102-AD103</f>
        <v>231692.809</v>
      </c>
      <c r="AE104" s="166" t="n">
        <f aca="false">AE102-AE103</f>
        <v>232396.717</v>
      </c>
      <c r="AF104" s="166" t="n">
        <f aca="false">AF102-AF103</f>
        <v>233100.607</v>
      </c>
      <c r="AG104" s="166" t="n">
        <f aca="false">AG102-AG103</f>
        <v>233804.506</v>
      </c>
      <c r="AH104" s="166" t="n">
        <f aca="false">AH102-AH103</f>
        <v>234508.396</v>
      </c>
      <c r="AI104" s="166" t="n">
        <f aca="false">AI102-AI103</f>
        <v>258517.039</v>
      </c>
      <c r="AJ104" s="166" t="n">
        <f aca="false">AJ102-AJ103</f>
        <v>235916.203</v>
      </c>
      <c r="AK104" s="166" t="n">
        <f aca="false">AK102-AK103</f>
        <v>213315.358</v>
      </c>
      <c r="AL104" s="166" t="n">
        <f aca="false">AL102-AL103</f>
        <v>190714.513</v>
      </c>
      <c r="AM104" s="166" t="n">
        <f aca="false">AM102-AM103</f>
        <v>168113.659</v>
      </c>
      <c r="AN104" s="166" t="n">
        <f aca="false">AN102-AN103</f>
        <v>145512.823</v>
      </c>
      <c r="AO104" s="166" t="n">
        <f aca="false">AO102-AO103</f>
        <v>122911.978</v>
      </c>
      <c r="AP104" s="166" t="n">
        <f aca="false">AP102-AP103</f>
        <v>100311.124</v>
      </c>
      <c r="AQ104" s="166" t="n">
        <f aca="false">AQ102-AQ103</f>
        <v>77710.288</v>
      </c>
      <c r="AR104" s="166" t="n">
        <f aca="false">AR102-AR103</f>
        <v>55109.443</v>
      </c>
      <c r="AS104" s="166" t="n">
        <f aca="false">AS102-AS103</f>
        <v>127817.59</v>
      </c>
      <c r="AT104" s="166" t="n">
        <f aca="false">AT102-AT103</f>
        <v>104512.855</v>
      </c>
      <c r="AU104" s="166" t="n">
        <f aca="false">AU102-AU103</f>
        <v>58607.275</v>
      </c>
      <c r="AV104" s="166" t="n">
        <f aca="false">AV102-AV103</f>
        <v>57903.376</v>
      </c>
      <c r="AW104" s="166" t="n">
        <f aca="false">AW102-AW103</f>
        <v>57199.468</v>
      </c>
      <c r="AX104" s="166" t="n">
        <f aca="false">AX102-AX103</f>
        <v>56495.578</v>
      </c>
      <c r="AY104" s="166" t="n">
        <f aca="false">AY102-AY103</f>
        <v>55791.679</v>
      </c>
      <c r="AZ104" s="166" t="n">
        <f aca="false">AZ102-AZ103</f>
        <v>55087.78</v>
      </c>
      <c r="BA104" s="166" t="n">
        <f aca="false">BA102-BA103</f>
        <v>54383.881</v>
      </c>
      <c r="BB104" s="166" t="n">
        <f aca="false">BB102-BB103</f>
        <v>53679.982</v>
      </c>
      <c r="BC104" s="166" t="n">
        <f aca="false">BC102-BC103</f>
        <v>52976.083</v>
      </c>
      <c r="BD104" s="166" t="n">
        <f aca="false">BD102-BD103</f>
        <v>52272.184</v>
      </c>
      <c r="BE104" s="166" t="n">
        <f aca="false">BE102-BE103</f>
        <v>51568.285</v>
      </c>
      <c r="BF104" s="166" t="n">
        <f aca="false">BF102-BF103</f>
        <v>50864.386</v>
      </c>
      <c r="BG104" s="166" t="n">
        <f aca="false">BG102-BG103</f>
        <v>50160.496</v>
      </c>
      <c r="BH104" s="166" t="n">
        <f aca="false">BH102-BH103</f>
        <v>98124.588</v>
      </c>
      <c r="BI104" s="166" t="n">
        <f aca="false">BI102-BI103</f>
        <v>97420.689</v>
      </c>
      <c r="BJ104" s="166" t="n">
        <f aca="false">BJ102-BJ103</f>
        <v>192025.791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s">
        <v>570</v>
      </c>
      <c r="B105" s="164" t="n">
        <f aca="false">SUM(C105:CH105)</f>
        <v>2359055.4</v>
      </c>
      <c r="C105" s="166" t="n">
        <f aca="false">MAX(0,C104)*$B$95</f>
        <v>0</v>
      </c>
      <c r="D105" s="166" t="n">
        <f aca="false">MAX(0,D104)*$B$95</f>
        <v>0</v>
      </c>
      <c r="E105" s="166" t="n">
        <f aca="false">MAX(0,E104)*$B$95</f>
        <v>0</v>
      </c>
      <c r="F105" s="166" t="n">
        <f aca="false">MAX(0,F104)*$B$95</f>
        <v>0</v>
      </c>
      <c r="G105" s="166" t="n">
        <f aca="false">MAX(0,G104)*$B$95</f>
        <v>0</v>
      </c>
      <c r="H105" s="166" t="n">
        <f aca="false">MAX(0,H104)*$B$95</f>
        <v>0</v>
      </c>
      <c r="I105" s="166" t="n">
        <f aca="false">MAX(0,I104)*$B$95</f>
        <v>0</v>
      </c>
      <c r="J105" s="166" t="n">
        <f aca="false">MAX(0,J104)*$B$95</f>
        <v>0</v>
      </c>
      <c r="K105" s="166" t="n">
        <f aca="false">MAX(0,K104)*$B$95</f>
        <v>0</v>
      </c>
      <c r="L105" s="166" t="n">
        <f aca="false">MAX(0,L104)*$B$95</f>
        <v>5084.5296</v>
      </c>
      <c r="M105" s="166" t="n">
        <f aca="false">MAX(0,M104)*$B$95</f>
        <v>5084.5296</v>
      </c>
      <c r="N105" s="166" t="n">
        <f aca="false">MAX(0,N104)*$B$95</f>
        <v>5084.5296</v>
      </c>
      <c r="O105" s="166" t="n">
        <f aca="false">MAX(0,O104)*$B$95</f>
        <v>5084.5296</v>
      </c>
      <c r="P105" s="166" t="n">
        <f aca="false">MAX(0,P104)*$B$95</f>
        <v>5084.5296</v>
      </c>
      <c r="Q105" s="166" t="n">
        <f aca="false">MAX(0,Q104)*$B$95</f>
        <v>5084.5296</v>
      </c>
      <c r="R105" s="166" t="n">
        <f aca="false">MAX(0,R104)*$B$95</f>
        <v>6072.8272</v>
      </c>
      <c r="S105" s="166" t="n">
        <f aca="false">MAX(0,S104)*$B$95</f>
        <v>15394.7248</v>
      </c>
      <c r="T105" s="166" t="n">
        <f aca="false">MAX(0,T104)*$B$95</f>
        <v>24716.6224</v>
      </c>
      <c r="U105" s="166" t="n">
        <f aca="false">MAX(0,U104)*$B$95</f>
        <v>34038.5164</v>
      </c>
      <c r="V105" s="166" t="n">
        <f aca="false">MAX(0,V104)*$B$95</f>
        <v>43360.4176</v>
      </c>
      <c r="W105" s="166" t="n">
        <f aca="false">MAX(0,W104)*$B$95</f>
        <v>52682.3116</v>
      </c>
      <c r="X105" s="166" t="n">
        <f aca="false">MAX(0,X104)*$B$95</f>
        <v>62004.2056</v>
      </c>
      <c r="Y105" s="166" t="n">
        <f aca="false">MAX(0,Y104)*$B$95</f>
        <v>71326.1032</v>
      </c>
      <c r="Z105" s="166" t="n">
        <f aca="false">MAX(0,Z104)*$B$95</f>
        <v>80648.0044</v>
      </c>
      <c r="AA105" s="166" t="n">
        <f aca="false">MAX(0,AA104)*$B$95</f>
        <v>89969.8984</v>
      </c>
      <c r="AB105" s="166" t="n">
        <f aca="false">MAX(0,AB104)*$B$95</f>
        <v>99291.7996</v>
      </c>
      <c r="AC105" s="166" t="n">
        <f aca="false">MAX(0,AC104)*$B$95</f>
        <v>124831.8196</v>
      </c>
      <c r="AD105" s="166" t="n">
        <f aca="false">MAX(0,AD104)*$B$95</f>
        <v>92677.1236</v>
      </c>
      <c r="AE105" s="166" t="n">
        <f aca="false">MAX(0,AE104)*$B$95</f>
        <v>92958.6868</v>
      </c>
      <c r="AF105" s="166" t="n">
        <f aca="false">MAX(0,AF104)*$B$95</f>
        <v>93240.2428</v>
      </c>
      <c r="AG105" s="166" t="n">
        <f aca="false">MAX(0,AG104)*$B$95</f>
        <v>93521.8024</v>
      </c>
      <c r="AH105" s="166" t="n">
        <f aca="false">MAX(0,AH104)*$B$95</f>
        <v>93803.3584</v>
      </c>
      <c r="AI105" s="166" t="n">
        <f aca="false">MAX(0,AI104)*$B$95</f>
        <v>103406.8156</v>
      </c>
      <c r="AJ105" s="166" t="n">
        <f aca="false">MAX(0,AJ104)*$B$95</f>
        <v>94366.4812</v>
      </c>
      <c r="AK105" s="166" t="n">
        <f aca="false">MAX(0,AK104)*$B$95</f>
        <v>85326.1432</v>
      </c>
      <c r="AL105" s="166" t="n">
        <f aca="false">MAX(0,AL104)*$B$95</f>
        <v>76285.8052</v>
      </c>
      <c r="AM105" s="166" t="n">
        <f aca="false">MAX(0,AM104)*$B$95</f>
        <v>67245.4636</v>
      </c>
      <c r="AN105" s="166" t="n">
        <f aca="false">MAX(0,AN104)*$B$95</f>
        <v>58205.1292</v>
      </c>
      <c r="AO105" s="166" t="n">
        <f aca="false">MAX(0,AO104)*$B$95</f>
        <v>49164.7912</v>
      </c>
      <c r="AP105" s="166" t="n">
        <f aca="false">MAX(0,AP104)*$B$95</f>
        <v>40124.4496</v>
      </c>
      <c r="AQ105" s="166" t="n">
        <f aca="false">MAX(0,AQ104)*$B$95</f>
        <v>31084.1152</v>
      </c>
      <c r="AR105" s="166" t="n">
        <f aca="false">MAX(0,AR104)*$B$95</f>
        <v>22043.7772</v>
      </c>
      <c r="AS105" s="166" t="n">
        <f aca="false">MAX(0,AS104)*$B$95</f>
        <v>51127.036</v>
      </c>
      <c r="AT105" s="166" t="n">
        <f aca="false">MAX(0,AT104)*$B$95</f>
        <v>41805.142</v>
      </c>
      <c r="AU105" s="166" t="n">
        <f aca="false">MAX(0,AU104)*$B$95</f>
        <v>23442.91</v>
      </c>
      <c r="AV105" s="166" t="n">
        <f aca="false">MAX(0,AV104)*$B$95</f>
        <v>23161.3504</v>
      </c>
      <c r="AW105" s="166" t="n">
        <f aca="false">MAX(0,AW104)*$B$95</f>
        <v>22879.7872</v>
      </c>
      <c r="AX105" s="166" t="n">
        <f aca="false">MAX(0,AX104)*$B$95</f>
        <v>22598.2312</v>
      </c>
      <c r="AY105" s="166" t="n">
        <f aca="false">MAX(0,AY104)*$B$95</f>
        <v>22316.6716</v>
      </c>
      <c r="AZ105" s="166" t="n">
        <f aca="false">MAX(0,AZ104)*$B$95</f>
        <v>22035.112</v>
      </c>
      <c r="BA105" s="166" t="n">
        <f aca="false">MAX(0,BA104)*$B$95</f>
        <v>21753.5524</v>
      </c>
      <c r="BB105" s="166" t="n">
        <f aca="false">MAX(0,BB104)*$B$95</f>
        <v>21471.9928</v>
      </c>
      <c r="BC105" s="166" t="n">
        <f aca="false">MAX(0,BC104)*$B$95</f>
        <v>21190.4332</v>
      </c>
      <c r="BD105" s="166" t="n">
        <f aca="false">MAX(0,BD104)*$B$95</f>
        <v>20908.8736</v>
      </c>
      <c r="BE105" s="166" t="n">
        <f aca="false">MAX(0,BE104)*$B$95</f>
        <v>20627.314</v>
      </c>
      <c r="BF105" s="166" t="n">
        <f aca="false">MAX(0,BF104)*$B$95</f>
        <v>20345.7544</v>
      </c>
      <c r="BG105" s="166" t="n">
        <f aca="false">MAX(0,BG104)*$B$95</f>
        <v>20064.1984</v>
      </c>
      <c r="BH105" s="166" t="n">
        <f aca="false">MAX(0,BH104)*$B$95</f>
        <v>39249.8352</v>
      </c>
      <c r="BI105" s="166" t="n">
        <f aca="false">MAX(0,BI104)*$B$95</f>
        <v>38968.2756</v>
      </c>
      <c r="BJ105" s="166" t="n">
        <f aca="false">MAX(0,BJ104)*$B$95</f>
        <v>76810.3164</v>
      </c>
      <c r="BK105" s="166" t="n">
        <f aca="false">MAX(0,BK104)*$B$95</f>
        <v>0</v>
      </c>
      <c r="BL105" s="166" t="n">
        <f aca="false">MAX(0,BL104)*$B$95</f>
        <v>0</v>
      </c>
      <c r="BM105" s="166" t="n">
        <f aca="false">MAX(0,BM104)*$B$95</f>
        <v>0</v>
      </c>
      <c r="BN105" s="166" t="n">
        <f aca="false">MAX(0,BN104)*$B$95</f>
        <v>0</v>
      </c>
      <c r="BO105" s="166" t="n">
        <f aca="false">MAX(0,BO104)*$B$95</f>
        <v>0</v>
      </c>
      <c r="BP105" s="166" t="n">
        <f aca="false">MAX(0,BP104)*$B$95</f>
        <v>0</v>
      </c>
      <c r="BQ105" s="166" t="n">
        <f aca="false">MAX(0,BQ104)*$B$95</f>
        <v>0</v>
      </c>
      <c r="BR105" s="166" t="n">
        <f aca="false">MAX(0,BR104)*$B$95</f>
        <v>0</v>
      </c>
      <c r="BS105" s="166" t="n">
        <f aca="false">MAX(0,BS104)*$B$95</f>
        <v>0</v>
      </c>
      <c r="BT105" s="166" t="n">
        <f aca="false">MAX(0,BT104)*$B$95</f>
        <v>0</v>
      </c>
      <c r="BU105" s="166" t="n">
        <f aca="false">MAX(0,BU104)*$B$95</f>
        <v>0</v>
      </c>
      <c r="BV105" s="166" t="n">
        <f aca="false">MAX(0,BV104)*$B$95</f>
        <v>0</v>
      </c>
      <c r="BW105" s="166" t="n">
        <f aca="false">MAX(0,BW104)*$B$95</f>
        <v>0</v>
      </c>
      <c r="BX105" s="166" t="n">
        <f aca="false">MAX(0,BX104)*$B$95</f>
        <v>0</v>
      </c>
      <c r="BY105" s="166" t="n">
        <f aca="false">MAX(0,BY104)*$B$95</f>
        <v>0</v>
      </c>
      <c r="BZ105" s="166" t="n">
        <f aca="false">MAX(0,BZ104)*$B$95</f>
        <v>0</v>
      </c>
      <c r="CA105" s="166" t="n">
        <f aca="false">MAX(0,CA104)*$B$95</f>
        <v>0</v>
      </c>
      <c r="CB105" s="166" t="n">
        <f aca="false">MAX(0,CB104)*$B$95</f>
        <v>0</v>
      </c>
      <c r="CC105" s="166" t="n">
        <f aca="false">MAX(0,CC104)*$B$95</f>
        <v>0</v>
      </c>
      <c r="CD105" s="166" t="n">
        <f aca="false">MAX(0,CD104)*$B$95</f>
        <v>0</v>
      </c>
      <c r="CE105" s="166" t="n">
        <f aca="false">MAX(0,CE104)*$B$95</f>
        <v>0</v>
      </c>
      <c r="CF105" s="166" t="n">
        <f aca="false">MAX(0,CF104)*$B$95</f>
        <v>0</v>
      </c>
      <c r="CG105" s="166" t="n">
        <f aca="false">MAX(0,CG104)*$B$95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 t="n">
        <f aca="false">SUM(C106:CH106)</f>
        <v>3538583.1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 t="n">
        <f aca="false">L104-L105</f>
        <v>7626.7944</v>
      </c>
      <c r="M106" s="166" t="n">
        <f aca="false">M104-M105</f>
        <v>7626.7944</v>
      </c>
      <c r="N106" s="166" t="n">
        <f aca="false">N104-N105</f>
        <v>7626.7944</v>
      </c>
      <c r="O106" s="166" t="n">
        <f aca="false">O104-O105</f>
        <v>7626.7944</v>
      </c>
      <c r="P106" s="166" t="n">
        <f aca="false">P104-P105</f>
        <v>7626.7944</v>
      </c>
      <c r="Q106" s="166" t="n">
        <f aca="false">Q104-Q105</f>
        <v>7626.7944</v>
      </c>
      <c r="R106" s="166" t="n">
        <f aca="false">R104-R105</f>
        <v>9109.2408</v>
      </c>
      <c r="S106" s="166" t="n">
        <f aca="false">S104-S105</f>
        <v>23092.0872</v>
      </c>
      <c r="T106" s="166" t="n">
        <f aca="false">T104-T105</f>
        <v>37074.9336</v>
      </c>
      <c r="U106" s="166" t="n">
        <f aca="false">U104-U105</f>
        <v>51057.7746</v>
      </c>
      <c r="V106" s="166" t="n">
        <f aca="false">V104-V105</f>
        <v>65040.6264</v>
      </c>
      <c r="W106" s="166" t="n">
        <f aca="false">W104-W105</f>
        <v>79023.4674</v>
      </c>
      <c r="X106" s="166" t="n">
        <f aca="false">X104-X105</f>
        <v>93006.3084</v>
      </c>
      <c r="Y106" s="166" t="n">
        <f aca="false">Y104-Y105</f>
        <v>106989.1548</v>
      </c>
      <c r="Z106" s="166" t="n">
        <f aca="false">Z104-Z105</f>
        <v>120972.0066</v>
      </c>
      <c r="AA106" s="166" t="n">
        <f aca="false">AA104-AA105</f>
        <v>134954.8476</v>
      </c>
      <c r="AB106" s="166" t="n">
        <f aca="false">AB104-AB105</f>
        <v>148937.6994</v>
      </c>
      <c r="AC106" s="166" t="n">
        <f aca="false">AC104-AC105</f>
        <v>187247.7294</v>
      </c>
      <c r="AD106" s="166" t="n">
        <f aca="false">AD104-AD105</f>
        <v>139015.6854</v>
      </c>
      <c r="AE106" s="166" t="n">
        <f aca="false">AE104-AE105</f>
        <v>139438.0302</v>
      </c>
      <c r="AF106" s="166" t="n">
        <f aca="false">AF104-AF105</f>
        <v>139860.3642</v>
      </c>
      <c r="AG106" s="166" t="n">
        <f aca="false">AG104-AG105</f>
        <v>140282.7036</v>
      </c>
      <c r="AH106" s="166" t="n">
        <f aca="false">AH104-AH105</f>
        <v>140705.0376</v>
      </c>
      <c r="AI106" s="166" t="n">
        <f aca="false">AI104-AI105</f>
        <v>155110.2234</v>
      </c>
      <c r="AJ106" s="166" t="n">
        <f aca="false">AJ104-AJ105</f>
        <v>141549.7218</v>
      </c>
      <c r="AK106" s="166" t="n">
        <f aca="false">AK104-AK105</f>
        <v>127989.2148</v>
      </c>
      <c r="AL106" s="166" t="n">
        <f aca="false">AL104-AL105</f>
        <v>114428.7078</v>
      </c>
      <c r="AM106" s="166" t="n">
        <f aca="false">AM104-AM105</f>
        <v>100868.1954</v>
      </c>
      <c r="AN106" s="166" t="n">
        <f aca="false">AN104-AN105</f>
        <v>87307.6938</v>
      </c>
      <c r="AO106" s="166" t="n">
        <f aca="false">AO104-AO105</f>
        <v>73747.1868</v>
      </c>
      <c r="AP106" s="166" t="n">
        <f aca="false">AP104-AP105</f>
        <v>60186.6744</v>
      </c>
      <c r="AQ106" s="166" t="n">
        <f aca="false">AQ104-AQ105</f>
        <v>46626.1728</v>
      </c>
      <c r="AR106" s="166" t="n">
        <f aca="false">AR104-AR105</f>
        <v>33065.6658</v>
      </c>
      <c r="AS106" s="166" t="n">
        <f aca="false">AS104-AS105</f>
        <v>76690.554</v>
      </c>
      <c r="AT106" s="166" t="n">
        <f aca="false">AT104-AT105</f>
        <v>62707.713</v>
      </c>
      <c r="AU106" s="166" t="n">
        <f aca="false">AU104-AU105</f>
        <v>35164.365</v>
      </c>
      <c r="AV106" s="166" t="n">
        <f aca="false">AV104-AV105</f>
        <v>34742.0256</v>
      </c>
      <c r="AW106" s="166" t="n">
        <f aca="false">AW104-AW105</f>
        <v>34319.6808</v>
      </c>
      <c r="AX106" s="166" t="n">
        <f aca="false">AX104-AX105</f>
        <v>33897.3468</v>
      </c>
      <c r="AY106" s="166" t="n">
        <f aca="false">AY104-AY105</f>
        <v>33475.0074</v>
      </c>
      <c r="AZ106" s="166" t="n">
        <f aca="false">AZ104-AZ105</f>
        <v>33052.668</v>
      </c>
      <c r="BA106" s="166" t="n">
        <f aca="false">BA104-BA105</f>
        <v>32630.3286</v>
      </c>
      <c r="BB106" s="166" t="n">
        <f aca="false">BB104-BB105</f>
        <v>32207.9892</v>
      </c>
      <c r="BC106" s="166" t="n">
        <f aca="false">BC104-BC105</f>
        <v>31785.6498</v>
      </c>
      <c r="BD106" s="166" t="n">
        <f aca="false">BD104-BD105</f>
        <v>31363.3104</v>
      </c>
      <c r="BE106" s="166" t="n">
        <f aca="false">BE104-BE105</f>
        <v>30940.971</v>
      </c>
      <c r="BF106" s="166" t="n">
        <f aca="false">BF104-BF105</f>
        <v>30518.6316</v>
      </c>
      <c r="BG106" s="166" t="n">
        <f aca="false">BG104-BG105</f>
        <v>30096.2976</v>
      </c>
      <c r="BH106" s="166" t="n">
        <f aca="false">BH104-BH105</f>
        <v>58874.7528</v>
      </c>
      <c r="BI106" s="166" t="n">
        <f aca="false">BI104-BI105</f>
        <v>58452.4134</v>
      </c>
      <c r="BJ106" s="166" t="n">
        <f aca="false">BJ104-BJ105</f>
        <v>115215.4746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 t="n">
        <f aca="false">SUM(C107:CH107)</f>
        <v>4439549.6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 t="n">
        <f aca="false">L103+L106</f>
        <v>12131.8304</v>
      </c>
      <c r="M107" s="166" t="n">
        <f aca="false">M103+M106</f>
        <v>12131.8304</v>
      </c>
      <c r="N107" s="166" t="n">
        <f aca="false">N103+N106</f>
        <v>12131.8304</v>
      </c>
      <c r="O107" s="166" t="n">
        <f aca="false">O103+O106</f>
        <v>12131.8304</v>
      </c>
      <c r="P107" s="166" t="n">
        <f aca="false">P103+P106</f>
        <v>12131.8304</v>
      </c>
      <c r="Q107" s="166" t="n">
        <f aca="false">Q103+Q106</f>
        <v>12131.8304</v>
      </c>
      <c r="R107" s="166" t="n">
        <f aca="false">R103+R106</f>
        <v>16203.6928</v>
      </c>
      <c r="S107" s="166" t="n">
        <f aca="false">S103+S106</f>
        <v>32775.9552</v>
      </c>
      <c r="T107" s="166" t="n">
        <f aca="false">T103+T106</f>
        <v>49348.2176</v>
      </c>
      <c r="U107" s="166" t="n">
        <f aca="false">U103+U106</f>
        <v>65920.4736</v>
      </c>
      <c r="V107" s="166" t="n">
        <f aca="false">V103+V106</f>
        <v>82492.7424</v>
      </c>
      <c r="W107" s="166" t="n">
        <f aca="false">W103+W106</f>
        <v>99064.9984</v>
      </c>
      <c r="X107" s="166" t="n">
        <f aca="false">X103+X106</f>
        <v>115637.2544</v>
      </c>
      <c r="Y107" s="166" t="n">
        <f aca="false">Y103+Y106</f>
        <v>132209.5168</v>
      </c>
      <c r="Z107" s="166" t="n">
        <f aca="false">Z103+Z106</f>
        <v>148781.7856</v>
      </c>
      <c r="AA107" s="166" t="n">
        <f aca="false">AA103+AA106</f>
        <v>165354.0416</v>
      </c>
      <c r="AB107" s="166" t="n">
        <f aca="false">AB103+AB106</f>
        <v>181926.3104</v>
      </c>
      <c r="AC107" s="166" t="n">
        <f aca="false">AC103+AC106</f>
        <v>227330.7904</v>
      </c>
      <c r="AD107" s="166" t="n">
        <f aca="false">AD103+AD106</f>
        <v>170166.8864</v>
      </c>
      <c r="AE107" s="166" t="n">
        <f aca="false">AE103+AE106</f>
        <v>170667.4432</v>
      </c>
      <c r="AF107" s="166" t="n">
        <f aca="false">AF103+AF106</f>
        <v>171167.9872</v>
      </c>
      <c r="AG107" s="166" t="n">
        <f aca="false">AG103+AG106</f>
        <v>171668.5376</v>
      </c>
      <c r="AH107" s="166" t="n">
        <f aca="false">AH103+AH106</f>
        <v>172169.0816</v>
      </c>
      <c r="AI107" s="166" t="n">
        <f aca="false">AI103+AI106</f>
        <v>189241.8944</v>
      </c>
      <c r="AJ107" s="166" t="n">
        <f aca="false">AJ103+AJ106</f>
        <v>173170.1888</v>
      </c>
      <c r="AK107" s="166" t="n">
        <f aca="false">AK103+AK106</f>
        <v>157098.4768</v>
      </c>
      <c r="AL107" s="166" t="n">
        <f aca="false">AL103+AL106</f>
        <v>141026.7648</v>
      </c>
      <c r="AM107" s="166" t="n">
        <f aca="false">AM103+AM106</f>
        <v>124955.0464</v>
      </c>
      <c r="AN107" s="166" t="n">
        <f aca="false">AN103+AN106</f>
        <v>108883.3408</v>
      </c>
      <c r="AO107" s="166" t="n">
        <f aca="false">AO103+AO106</f>
        <v>92811.6288</v>
      </c>
      <c r="AP107" s="166" t="n">
        <f aca="false">AP103+AP106</f>
        <v>76739.9104</v>
      </c>
      <c r="AQ107" s="166" t="n">
        <f aca="false">AQ103+AQ106</f>
        <v>60668.2048</v>
      </c>
      <c r="AR107" s="166" t="n">
        <f aca="false">AR103+AR106</f>
        <v>44596.4928</v>
      </c>
      <c r="AS107" s="166" t="n">
        <f aca="false">AS103+AS106</f>
        <v>96300.064</v>
      </c>
      <c r="AT107" s="166" t="n">
        <f aca="false">AT103+AT106</f>
        <v>79727.808</v>
      </c>
      <c r="AU107" s="166" t="n">
        <f aca="false">AU103+AU106</f>
        <v>47083.84</v>
      </c>
      <c r="AV107" s="166" t="n">
        <f aca="false">AV103+AV106</f>
        <v>46583.2896</v>
      </c>
      <c r="AW107" s="166" t="n">
        <f aca="false">AW103+AW106</f>
        <v>46082.7328</v>
      </c>
      <c r="AX107" s="166" t="n">
        <f aca="false">AX103+AX106</f>
        <v>45582.1888</v>
      </c>
      <c r="AY107" s="166" t="n">
        <f aca="false">AY103+AY106</f>
        <v>45081.6384</v>
      </c>
      <c r="AZ107" s="166" t="n">
        <f aca="false">AZ103+AZ106</f>
        <v>44581.088</v>
      </c>
      <c r="BA107" s="166" t="n">
        <f aca="false">BA103+BA106</f>
        <v>44080.5376</v>
      </c>
      <c r="BB107" s="166" t="n">
        <f aca="false">BB103+BB106</f>
        <v>43579.9872</v>
      </c>
      <c r="BC107" s="166" t="n">
        <f aca="false">BC103+BC106</f>
        <v>43079.4368</v>
      </c>
      <c r="BD107" s="166" t="n">
        <f aca="false">BD103+BD106</f>
        <v>42578.8864</v>
      </c>
      <c r="BE107" s="166" t="n">
        <f aca="false">BE103+BE106</f>
        <v>42078.336</v>
      </c>
      <c r="BF107" s="166" t="n">
        <f aca="false">BF103+BF106</f>
        <v>41577.7856</v>
      </c>
      <c r="BG107" s="166" t="n">
        <f aca="false">BG103+BG106</f>
        <v>41077.2416</v>
      </c>
      <c r="BH107" s="166" t="n">
        <f aca="false">BH103+BH106</f>
        <v>69777.4848</v>
      </c>
      <c r="BI107" s="166" t="n">
        <f aca="false">BI103+BI106</f>
        <v>69276.9344</v>
      </c>
      <c r="BJ107" s="166" t="n">
        <f aca="false">BJ103+BJ106</f>
        <v>136551.6736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