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<sst xmlns="http://schemas.openxmlformats.org/spreadsheetml/2006/main" count="1173" uniqueCount="696">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</sst>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4278346.6172676</v>
      </c>
      <c r="D5" s="10" t="n">
        <f aca="false">Model!X8+Model!Y8+Model!Z8+Model!AA8+Model!AB8+Model!AC8+Model!AD8+Model!AE8+Model!AF8+Model!AG8+Model!AH8+Model!AI8</f>
        <v>3175775.394865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4350699.45937286</v>
      </c>
      <c r="D6" s="10" t="n">
        <f aca="false">Model!X9+Model!Y9+Model!Z9+Model!AA9+Model!AB9+Model!AC9+Model!AD9+Model!AE9+Model!AF9+Model!AG9+Model!AH9+Model!AI9</f>
        <v>3175775.394865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1330897.18711552</v>
      </c>
      <c r="D7" s="10" t="n">
        <f aca="false">Model!X10+Model!Y10+Model!Z10+Model!AA10+Model!AB10+Model!AC10+Model!AD10+Model!AE10+Model!AF10+Model!AG10+Model!AH10+Model!AI10</f>
        <v>1058591.79828833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10638944.813756</v>
      </c>
      <c r="D9" s="12" t="n">
        <f aca="false">Model!X12+Model!Y12+Model!Z12+Model!AA12+Model!AB12+Model!AC12+Model!AD12+Model!AE12+Model!AF12+Model!AG12+Model!AH12+Model!AI12</f>
        <v>8030462.06801834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-6898330.7913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3740614.02245598</v>
      </c>
      <c r="D16" s="16" t="n">
        <f aca="false">Model!X40+Model!Y40+Model!Z40+Model!AA40+Model!AB40+Model!AC40+Model!AD40+Model!AE40+Model!AF40+Model!AG40+Model!AH40+Model!AI40</f>
        <v>1150732.54639234</v>
      </c>
      <c r="E16" s="16" t="n">
        <f aca="false">Model!AJ40+Model!AK40+Model!AL40+Model!AM40+Model!AN40+Model!AO40+Model!AP40+Model!AQ40+Model!AR40+Model!AS40+Model!AT40+Model!AU40</f>
        <v>-2043421.23171307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0.351596336661078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0.143295931995642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-0.567144887543756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3257057.47985598</v>
      </c>
      <c r="D23" s="16" t="n">
        <f aca="false">Model!X95+Model!Y95+Model!Z95+Model!AA95+Model!AB95+Model!AC95+Model!AD95+Model!AE95+Model!AF95+Model!AG95+Model!AH95+Model!AI95</f>
        <v>1894524.96849234</v>
      </c>
      <c r="E23" s="16" t="n">
        <f aca="false">Model!AJ95+Model!AK95+Model!AL95+Model!AM95+Model!AN95+Model!AO95+Model!AP95+Model!AQ95+Model!AR95+Model!AS95+Model!AT95+Model!AU95</f>
        <v>-2402183.62596307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7988273.75420893</v>
      </c>
      <c r="D42" s="21" t="n">
        <f aca="false">Model!AI147</f>
        <v>9139006.30060128</v>
      </c>
      <c r="E42" s="21" t="n">
        <f aca="false">Model!AU147</f>
        <v>7095585.06888821</v>
      </c>
      <c r="F42" s="21" t="n">
        <f aca="false">Model!BG147</f>
        <v>3059348.31307118</v>
      </c>
      <c r="G42" s="21" t="n">
        <f aca="false">Model!BS147</f>
        <v>-2815185.03786218</v>
      </c>
      <c r="H42" s="21" t="n">
        <f aca="false">Model!CE147</f>
        <v>-8807209.05581421</v>
      </c>
      <c r="I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-977117.243956794</v>
      </c>
      <c r="E44" s="21" t="n">
        <f aca="false">Model!AJ159+Model!AK159+Model!AL159+Model!AM159+Model!AN159+Model!AO159+Model!AP159+Model!AQ159+Model!AR159+Model!AS159+Model!AT159+Model!AU159</f>
        <v>-568357.490547702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5322616.07832349</v>
      </c>
      <c r="D45" s="23" t="n">
        <f aca="false">Model!AI160</f>
        <v>6967141.04681583</v>
      </c>
      <c r="E45" s="23" t="n">
        <f aca="false">Model!AU160</f>
        <v>4314957.42085276</v>
      </c>
      <c r="F45" s="23" t="n">
        <f aca="false">Model!BG160</f>
        <v>-788376.830027265</v>
      </c>
      <c r="G45" s="23" t="n">
        <f aca="false">Model!BS160</f>
        <v>-7892950.42490089</v>
      </c>
      <c r="H45" s="23" t="n">
        <f aca="false">Model!CE160</f>
        <v>-15253872.736728</v>
      </c>
      <c r="I45" s="23" t="n">
        <f aca="false">Model!CH160</f>
        <v>-17080098.475808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359322.566494361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303818.378994361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303818.378994361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303818.378994361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290923.642152256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290923.642152256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290923.642152256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290923.642152256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266375.344988893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367724.250704887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308332.063204887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308332.063204887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308332.063204887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290923.642152256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290923.642152256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290923.642152256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290923.642152256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266375.344988893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108013.672384085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96974.5473840852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96974.5473840852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96974.5473840852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96974.5473840852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96974.5473840852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96974.5473840852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96974.5473840852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88791.7816629642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835060.489583333</v>
      </c>
      <c r="S12" s="12" t="n">
        <f aca="false">S8+S9+S10+S11</f>
        <v>709124.989583333</v>
      </c>
      <c r="T12" s="12" t="n">
        <f aca="false">T8+T9+T10+T11</f>
        <v>709124.989583333</v>
      </c>
      <c r="U12" s="12" t="n">
        <f aca="false">U8+U9+U10+U11</f>
        <v>709124.989583333</v>
      </c>
      <c r="V12" s="12" t="n">
        <f aca="false">V8+V9+V10+V11</f>
        <v>678821.831688597</v>
      </c>
      <c r="W12" s="12" t="n">
        <f aca="false">W8+W9+W10+W11</f>
        <v>678821.831688597</v>
      </c>
      <c r="X12" s="12" t="n">
        <f aca="false">X8+X9+X10+X11</f>
        <v>678821.831688597</v>
      </c>
      <c r="Y12" s="12" t="n">
        <f aca="false">Y8+Y9+Y10+Y11</f>
        <v>678821.831688597</v>
      </c>
      <c r="Z12" s="12" t="n">
        <f aca="false">Z8+Z9+Z10+Z11</f>
        <v>621542.47164075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-454491.2957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-454491.2957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380569.193883333</v>
      </c>
      <c r="S40" s="16" t="n">
        <f aca="false">S12+S38</f>
        <v>254633.693883333</v>
      </c>
      <c r="T40" s="16" t="n">
        <f aca="false">T12+T38</f>
        <v>254633.693883333</v>
      </c>
      <c r="U40" s="16" t="n">
        <f aca="false">U12+U38</f>
        <v>254633.693883333</v>
      </c>
      <c r="V40" s="16" t="n">
        <f aca="false">V12+V38</f>
        <v>224330.535988597</v>
      </c>
      <c r="W40" s="16" t="n">
        <f aca="false">W12+W38</f>
        <v>224330.535988597</v>
      </c>
      <c r="X40" s="16" t="n">
        <f aca="false">X12+X38</f>
        <v>224330.535988597</v>
      </c>
      <c r="Y40" s="16" t="n">
        <f aca="false">Y12+Y38</f>
        <v>224330.535988597</v>
      </c>
      <c r="Z40" s="16" t="n">
        <f aca="false">Z12+Z38</f>
        <v>167051.17594075</v>
      </c>
      <c r="AA40" s="16" t="n">
        <f aca="false">AA12+AA38</f>
        <v>112834.537825793</v>
      </c>
      <c r="AB40" s="16" t="n">
        <f aca="false">AB12+AB38</f>
        <v>31340.6861511515</v>
      </c>
      <c r="AC40" s="16" t="n">
        <f aca="false">AC12+AC38</f>
        <v>-535719.040515515</v>
      </c>
      <c r="AD40" s="16" t="n">
        <f aca="false">AD12+AD38</f>
        <v>187987.019484485</v>
      </c>
      <c r="AE40" s="16" t="n">
        <f aca="false">AE12+AE38</f>
        <v>187987.019484485</v>
      </c>
      <c r="AF40" s="16" t="n">
        <f aca="false">AF12+AF38</f>
        <v>187987.019484485</v>
      </c>
      <c r="AG40" s="16" t="n">
        <f aca="false">AG12+AG38</f>
        <v>187987.019484485</v>
      </c>
      <c r="AH40" s="16" t="n">
        <f aca="false">AH12+AH38</f>
        <v>87308.0185375152</v>
      </c>
      <c r="AI40" s="16" t="n">
        <f aca="false">AI12+AI38</f>
        <v>87308.0185375152</v>
      </c>
      <c r="AJ40" s="16" t="n">
        <f aca="false">AJ12+AJ38</f>
        <v>-75451.2541897575</v>
      </c>
      <c r="AK40" s="16" t="n">
        <f aca="false">AK12+AK38</f>
        <v>-75451.2541897575</v>
      </c>
      <c r="AL40" s="16" t="n">
        <f aca="false">AL12+AL38</f>
        <v>-75451.2541897575</v>
      </c>
      <c r="AM40" s="16" t="n">
        <f aca="false">AM12+AM38</f>
        <v>-144741.372834159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0.455738474793873</v>
      </c>
      <c r="S41" s="32" t="n">
        <f aca="false">IF(S12&lt;&gt;0,S40/S12,0)</f>
        <v>0.359081540805593</v>
      </c>
      <c r="T41" s="32" t="n">
        <f aca="false">IF(T12&lt;&gt;0,T40/T12,0)</f>
        <v>0.359081540805593</v>
      </c>
      <c r="U41" s="32" t="n">
        <f aca="false">IF(U12&lt;&gt;0,U40/U12,0)</f>
        <v>0.359081540805593</v>
      </c>
      <c r="V41" s="32" t="n">
        <f aca="false">IF(V12&lt;&gt;0,V40/V12,0)</f>
        <v>0.330470420243505</v>
      </c>
      <c r="W41" s="32" t="n">
        <f aca="false">IF(W12&lt;&gt;0,W40/W12,0)</f>
        <v>0.330470420243505</v>
      </c>
      <c r="X41" s="32" t="n">
        <f aca="false">IF(X12&lt;&gt;0,X40/X12,0)</f>
        <v>0.330470420243505</v>
      </c>
      <c r="Y41" s="32" t="n">
        <f aca="false">IF(Y12&lt;&gt;0,Y40/Y12,0)</f>
        <v>0.330470420243505</v>
      </c>
      <c r="Z41" s="32" t="n">
        <f aca="false">IF(Z12&lt;&gt;0,Z40/Z12,0)</f>
        <v>0.268768722272136</v>
      </c>
      <c r="AA41" s="32" t="n">
        <f aca="false">IF(AA12&lt;&gt;0,AA40/AA12,0)</f>
        <v>0.19575203410583</v>
      </c>
      <c r="AB41" s="32" t="n">
        <f aca="false">IF(AB12&lt;&gt;0,AB40/AB12,0)</f>
        <v>0.0633245204786434</v>
      </c>
      <c r="AC41" s="32" t="n">
        <f aca="false">IF(AC12&lt;&gt;0,AC40/AC12,0)</f>
        <v>-0.421199979958004</v>
      </c>
      <c r="AD41" s="32" t="n">
        <f aca="false">IF(AD12&lt;&gt;0,AD40/AD12,0)</f>
        <v>0.288514750226363</v>
      </c>
      <c r="AE41" s="32" t="n">
        <f aca="false">IF(AE12&lt;&gt;0,AE40/AE12,0)</f>
        <v>0.288514750226363</v>
      </c>
      <c r="AF41" s="32" t="n">
        <f aca="false">IF(AF12&lt;&gt;0,AF40/AF12,0)</f>
        <v>0.288514750226363</v>
      </c>
      <c r="AG41" s="32" t="n">
        <f aca="false">IF(AG12&lt;&gt;0,AG40/AG12,0)</f>
        <v>0.288514750226363</v>
      </c>
      <c r="AH41" s="32" t="n">
        <f aca="false">IF(AH12&lt;&gt;0,AH40/AH12,0)</f>
        <v>0.158485641073814</v>
      </c>
      <c r="AI41" s="32" t="n">
        <f aca="false">IF(AI12&lt;&gt;0,AI40/AI12,0)</f>
        <v>0.158485641073814</v>
      </c>
      <c r="AJ41" s="32" t="n">
        <f aca="false">IF(AJ12&lt;&gt;0,AJ40/AJ12,0)</f>
        <v>-0.194396928766335</v>
      </c>
      <c r="AK41" s="32" t="n">
        <f aca="false">IF(AK12&lt;&gt;0,AK40/AK12,0)</f>
        <v>-0.194396928766335</v>
      </c>
      <c r="AL41" s="32" t="n">
        <f aca="false">IF(AL12&lt;&gt;0,AL40/AL12,0)</f>
        <v>-0.194396928766335</v>
      </c>
      <c r="AM41" s="32" t="n">
        <f aca="false">IF(AM12&lt;&gt;0,AM40/AM12,0)</f>
        <v>-0.441134887521423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572</v>
      </c>
      <c r="B62" s="33">
        <v>4101960.074</v>
      </c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23132.2304</v>
      </c>
      <c r="M62" s="10" t="n">
        <f aca="false">IF(Uplifters!$B$2="Yes",Uplifters!M107,0)</f>
        <v>16882.0304</v>
      </c>
      <c r="N62" s="10" t="n">
        <f aca="false">IF(Uplifters!$B$2="Yes",Uplifters!N107,0)</f>
        <v>16882.0304</v>
      </c>
      <c r="O62" s="10" t="n">
        <f aca="false">IF(Uplifters!$B$2="Yes",Uplifters!O107,0)</f>
        <v>16882.0304</v>
      </c>
      <c r="P62" s="10" t="n">
        <f aca="false">IF(Uplifters!$B$2="Yes",Uplifters!P107,0)</f>
        <v>12382.0304</v>
      </c>
      <c r="Q62" s="10" t="n">
        <f aca="false">IF(Uplifters!$B$2="Yes",Uplifters!Q107,0)</f>
        <v>12382.0304</v>
      </c>
      <c r="R62" s="10" t="n">
        <f aca="false">IF(Uplifters!$B$2="Yes",Uplifters!R107,0)</f>
        <v>28954.2928</v>
      </c>
      <c r="S62" s="10" t="n">
        <f aca="false">IF(Uplifters!$B$2="Yes",Uplifters!S107,0)</f>
        <v>45526.555199999995</v>
      </c>
      <c r="T62" s="10" t="n">
        <f aca="false">IF(Uplifters!$B$2="Yes",Uplifters!T107,0)</f>
        <v>62098.817599999995</v>
      </c>
      <c r="U62" s="10" t="n">
        <f aca="false">IF(Uplifters!$B$2="Yes",Uplifters!U107,0)</f>
        <v>72225.794</v>
      </c>
      <c r="V62" s="10" t="n">
        <f aca="false">IF(Uplifters!$B$2="Yes",Uplifters!V107,0)</f>
        <v>87762.296</v>
      </c>
      <c r="W62" s="10" t="n">
        <f aca="false">IF(Uplifters!$B$2="Yes",Uplifters!W107,0)</f>
        <v>103298.786</v>
      </c>
      <c r="X62" s="10" t="n">
        <f aca="false">IF(Uplifters!$B$2="Yes",Uplifters!X107,0)</f>
        <v>118835.276</v>
      </c>
      <c r="Y62" s="10" t="n">
        <f aca="false">IF(Uplifters!$B$2="Yes",Uplifters!Y107,0)</f>
        <v>134371.772</v>
      </c>
      <c r="Z62" s="10" t="n">
        <f aca="false">IF(Uplifters!$B$2="Yes",Uplifters!Z107,0)</f>
        <v>149908.27399999998</v>
      </c>
      <c r="AA62" s="10" t="n">
        <f aca="false">IF(Uplifters!$B$2="Yes",Uplifters!AA107,0)</f>
        <v>152699.367</v>
      </c>
      <c r="AB62" s="10" t="n">
        <f aca="false">IF(Uplifters!$B$2="Yes",Uplifters!AB107,0)</f>
        <v>166941.1605</v>
      </c>
      <c r="AC62" s="10" t="n">
        <f aca="false">IF(Uplifters!$B$2="Yes",Uplifters!AC107,0)</f>
        <v>200231.2855</v>
      </c>
      <c r="AD62" s="10" t="n">
        <f aca="false">IF(Uplifters!$B$2="Yes",Uplifters!AD107,0)</f>
        <v>151106.05550000002</v>
      </c>
      <c r="AE62" s="10" t="n">
        <f aca="false">IF(Uplifters!$B$2="Yes",Uplifters!AE107,0)</f>
        <v>151536.22149999999</v>
      </c>
      <c r="AF62" s="10" t="n">
        <f aca="false">IF(Uplifters!$B$2="Yes",Uplifters!AF107,0)</f>
        <v>151966.37649999998</v>
      </c>
      <c r="AG62" s="10" t="n">
        <f aca="false">IF(Uplifters!$B$2="Yes",Uplifters!AG107,0)</f>
        <v>152396.537</v>
      </c>
      <c r="AH62" s="10" t="n">
        <f aca="false">IF(Uplifters!$B$2="Yes",Uplifters!AH107,0)</f>
        <v>152826.69199999998</v>
      </c>
      <c r="AI62" s="10" t="n">
        <f aca="false">IF(Uplifters!$B$2="Yes",Uplifters!AI107,0)</f>
        <v>167498.6405</v>
      </c>
      <c r="AJ62" s="10" t="n">
        <f aca="false">IF(Uplifters!$B$2="Yes",Uplifters!AJ107,0)</f>
        <v>153687.0185</v>
      </c>
      <c r="AK62" s="10" t="n">
        <f aca="false">IF(Uplifters!$B$2="Yes",Uplifters!AK107,0)</f>
        <v>139875.391</v>
      </c>
      <c r="AL62" s="10" t="n">
        <f aca="false">IF(Uplifters!$B$2="Yes",Uplifters!AL107,0)</f>
        <v>126063.7635</v>
      </c>
      <c r="AM62" s="10" t="n">
        <f aca="false">IF(Uplifters!$B$2="Yes",Uplifters!AM107,0)</f>
        <v>112252.1305</v>
      </c>
      <c r="AN62" s="10" t="n">
        <f aca="false">IF(Uplifters!$B$2="Yes",Uplifters!AN107,0)</f>
        <v>90627.735</v>
      </c>
      <c r="AO62" s="10" t="n">
        <f aca="false">IF(Uplifters!$B$2="Yes",Uplifters!AO107,0)</f>
        <v>78071.71</v>
      </c>
      <c r="AP62" s="10" t="n">
        <f aca="false">IF(Uplifters!$B$2="Yes",Uplifters!AP107,0)</f>
        <v>65515.67999999999</v>
      </c>
      <c r="AQ62" s="10" t="n">
        <f aca="false">IF(Uplifters!$B$2="Yes",Uplifters!AQ107,0)</f>
        <v>52959.66</v>
      </c>
      <c r="AR62" s="10" t="n">
        <f aca="false">IF(Uplifters!$B$2="Yes",Uplifters!AR107,0)</f>
        <v>39919.048500000004</v>
      </c>
      <c r="AS62" s="10" t="n">
        <f aca="false">IF(Uplifters!$B$2="Yes",Uplifters!AS107,0)</f>
        <v>80797.05</v>
      </c>
      <c r="AT62" s="10" t="n">
        <f aca="false">IF(Uplifters!$B$2="Yes",Uplifters!AT107,0)</f>
        <v>67849.975</v>
      </c>
      <c r="AU62" s="10" t="n">
        <f aca="false">IF(Uplifters!$B$2="Yes",Uplifters!AU107,0)</f>
        <v>42056.6125</v>
      </c>
      <c r="AV62" s="10" t="n">
        <f aca="false">IF(Uplifters!$B$2="Yes",Uplifters!AV107,0)</f>
        <v>41626.452</v>
      </c>
      <c r="AW62" s="10" t="n">
        <f aca="false">IF(Uplifters!$B$2="Yes",Uplifters!AW107,0)</f>
        <v>41196.286</v>
      </c>
      <c r="AX62" s="10" t="n">
        <f aca="false">IF(Uplifters!$B$2="Yes",Uplifters!AX107,0)</f>
        <v>40766.130999999994</v>
      </c>
      <c r="AY62" s="10" t="n">
        <f aca="false">IF(Uplifters!$B$2="Yes",Uplifters!AY107,0)</f>
        <v>40335.970499999996</v>
      </c>
      <c r="AZ62" s="10" t="n">
        <f aca="false">IF(Uplifters!$B$2="Yes",Uplifters!AZ107,0)</f>
        <v>39905.81</v>
      </c>
      <c r="BA62" s="10" t="n">
        <f aca="false">IF(Uplifters!$B$2="Yes",Uplifters!BA107,0)</f>
        <v>39475.6495</v>
      </c>
      <c r="BB62" s="10" t="n">
        <f aca="false">IF(Uplifters!$B$2="Yes",Uplifters!BB107,0)</f>
        <v>39045.489</v>
      </c>
      <c r="BC62" s="10" t="n">
        <f aca="false">IF(Uplifters!$B$2="Yes",Uplifters!BC107,0)</f>
        <v>38615.3285</v>
      </c>
      <c r="BD62" s="10" t="n">
        <f aca="false">IF(Uplifters!$B$2="Yes",Uplifters!BD107,0)</f>
        <v>38185.168</v>
      </c>
      <c r="BE62" s="10" t="n">
        <f aca="false">IF(Uplifters!$B$2="Yes",Uplifters!BE107,0)</f>
        <v>37755.0075</v>
      </c>
      <c r="BF62" s="10" t="n">
        <f aca="false">IF(Uplifters!$B$2="Yes",Uplifters!BF107,0)</f>
        <v>37324.846999999994</v>
      </c>
      <c r="BG62" s="10" t="n">
        <f aca="false">IF(Uplifters!$B$2="Yes",Uplifters!BG107,0)</f>
        <v>36894.692</v>
      </c>
      <c r="BH62" s="10" t="n">
        <f aca="false">IF(Uplifters!$B$2="Yes",Uplifters!BH107,0)</f>
        <v>59965.026000000005</v>
      </c>
      <c r="BI62" s="10" t="n">
        <f aca="false">IF(Uplifters!$B$2="Yes",Uplifters!BI107,0)</f>
        <v>59534.86550000001</v>
      </c>
      <c r="BJ62" s="10" t="n">
        <f aca="false">IF(Uplifters!$B$2="Yes",Uplifters!BJ107,0)</f>
        <v>112930.995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835060.489583333</v>
      </c>
      <c r="S89" s="10" t="n">
        <f aca="false">S12</f>
        <v>709124.989583333</v>
      </c>
      <c r="T89" s="10" t="n">
        <f aca="false">T12</f>
        <v>709124.989583333</v>
      </c>
      <c r="U89" s="10" t="n">
        <f aca="false">U12</f>
        <v>709124.989583333</v>
      </c>
      <c r="V89" s="10" t="n">
        <f aca="false">V12</f>
        <v>678821.831688597</v>
      </c>
      <c r="W89" s="10" t="n">
        <f aca="false">W12</f>
        <v>678821.831688597</v>
      </c>
      <c r="X89" s="10" t="n">
        <f aca="false">X12</f>
        <v>678821.831688597</v>
      </c>
      <c r="Y89" s="10" t="n">
        <f aca="false">Y12</f>
        <v>678821.831688597</v>
      </c>
      <c r="Z89" s="10" t="n">
        <f aca="false">Z12</f>
        <v>621542.47164075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884448.392383333</v>
      </c>
      <c r="S91" s="12" t="n">
        <f aca="false">S89+S90</f>
        <v>775085.154783333</v>
      </c>
      <c r="T91" s="12" t="n">
        <f aca="false">T89+T90</f>
        <v>791657.417183333</v>
      </c>
      <c r="U91" s="12" t="n">
        <f aca="false">U89+U90</f>
        <v>808229.673183333</v>
      </c>
      <c r="V91" s="12" t="n">
        <f aca="false">V89+V90</f>
        <v>794498.784088597</v>
      </c>
      <c r="W91" s="12" t="n">
        <f aca="false">W89+W90</f>
        <v>868446.040088597</v>
      </c>
      <c r="X91" s="12" t="n">
        <f aca="false">X89+X90</f>
        <v>827643.296088597</v>
      </c>
      <c r="Y91" s="12" t="n">
        <f aca="false">Y89+Y90</f>
        <v>844215.558488597</v>
      </c>
      <c r="Z91" s="12" t="n">
        <f aca="false">Z89+Z90</f>
        <v>848251.88724075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-454491.2957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-454491.2957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-599907.1707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-576447.1707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284541.221683333</v>
      </c>
      <c r="S95" s="16" t="n">
        <f aca="false">S91+S94</f>
        <v>198637.984083333</v>
      </c>
      <c r="T95" s="16" t="n">
        <f aca="false">T91+T94</f>
        <v>215210.246483333</v>
      </c>
      <c r="U95" s="16" t="n">
        <f aca="false">U91+U94</f>
        <v>231782.502483333</v>
      </c>
      <c r="V95" s="16" t="n">
        <f aca="false">V91+V94</f>
        <v>218051.613388596</v>
      </c>
      <c r="W95" s="16" t="n">
        <f aca="false">W91+W94</f>
        <v>270578.869388597</v>
      </c>
      <c r="X95" s="16" t="n">
        <f aca="false">X91+X94</f>
        <v>251196.125388597</v>
      </c>
      <c r="Y95" s="16" t="n">
        <f aca="false">Y91+Y94</f>
        <v>267768.387788596</v>
      </c>
      <c r="Z95" s="16" t="n">
        <f aca="false">Z91+Z94</f>
        <v>271804.71654075</v>
      </c>
      <c r="AA95" s="16" t="n">
        <f aca="false">AA91+AA94</f>
        <v>163293.586925793</v>
      </c>
      <c r="AB95" s="16" t="n">
        <f aca="false">AB91+AB94</f>
        <v>98372.0040511515</v>
      </c>
      <c r="AC95" s="16" t="n">
        <f aca="false">AC91+AC94</f>
        <v>-365908.242615515</v>
      </c>
      <c r="AD95" s="16" t="n">
        <f aca="false">AD91+AD94</f>
        <v>219329.713384485</v>
      </c>
      <c r="AE95" s="16" t="n">
        <f aca="false">AE91+AE94</f>
        <v>243759.470184485</v>
      </c>
      <c r="AF95" s="16" t="n">
        <f aca="false">AF91+AF94</f>
        <v>244260.014184485</v>
      </c>
      <c r="AG95" s="16" t="n">
        <f aca="false">AG91+AG94</f>
        <v>235260.564584485</v>
      </c>
      <c r="AH95" s="16" t="n">
        <f aca="false">AH91+AH94</f>
        <v>135082.107637515</v>
      </c>
      <c r="AI95" s="16" t="n">
        <f aca="false">AI91+AI94</f>
        <v>130306.520437515</v>
      </c>
      <c r="AJ95" s="16" t="n">
        <f aca="false">AJ91+AJ94</f>
        <v>-26676.0578897576</v>
      </c>
      <c r="AK95" s="16" t="n">
        <f aca="false">AK91+AK94</f>
        <v>-42747.7698897575</v>
      </c>
      <c r="AL95" s="16" t="n">
        <f aca="false">AL91+AL94</f>
        <v>-58819.4818897576</v>
      </c>
      <c r="AM95" s="16" t="n">
        <f aca="false">AM91+AM94</f>
        <v>-146669.218784159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6775711.60058174</v>
      </c>
      <c r="T145" s="10" t="n">
        <f aca="false">S147</f>
        <v>7030345.29446507</v>
      </c>
      <c r="U145" s="10" t="n">
        <f aca="false">T147</f>
        <v>7284978.98834841</v>
      </c>
      <c r="V145" s="10" t="n">
        <f aca="false">U147</f>
        <v>7539612.68223174</v>
      </c>
      <c r="W145" s="10" t="n">
        <f aca="false">V147</f>
        <v>7763943.21822034</v>
      </c>
      <c r="X145" s="10" t="n">
        <f aca="false">W147</f>
        <v>7988273.75420893</v>
      </c>
      <c r="Y145" s="10" t="n">
        <f aca="false">X147</f>
        <v>8212604.29019753</v>
      </c>
      <c r="Z145" s="10" t="n">
        <f aca="false">Y147</f>
        <v>8436934.82618612</v>
      </c>
      <c r="AA145" s="10" t="n">
        <f aca="false">Z147</f>
        <v>8603986.00212687</v>
      </c>
      <c r="AB145" s="10" t="n">
        <f aca="false">AA147</f>
        <v>8716820.53995267</v>
      </c>
      <c r="AC145" s="10" t="n">
        <f aca="false">AB147</f>
        <v>8748161.22610382</v>
      </c>
      <c r="AD145" s="10" t="n">
        <f aca="false">AC147</f>
        <v>8212442.18558831</v>
      </c>
      <c r="AE145" s="10" t="n">
        <f aca="false">AD147</f>
        <v>8400429.20507279</v>
      </c>
      <c r="AF145" s="10" t="n">
        <f aca="false">AE147</f>
        <v>8588416.22455728</v>
      </c>
      <c r="AG145" s="10" t="n">
        <f aca="false">AF147</f>
        <v>8776403.24404176</v>
      </c>
      <c r="AH145" s="10" t="n">
        <f aca="false">AG147</f>
        <v>8964390.26352624</v>
      </c>
      <c r="AI145" s="10" t="n">
        <f aca="false">AH147</f>
        <v>9051698.28206376</v>
      </c>
      <c r="AJ145" s="10" t="n">
        <f aca="false">AI147</f>
        <v>9139006.30060128</v>
      </c>
      <c r="AK145" s="10" t="n">
        <f aca="false">AJ147</f>
        <v>9063555.04641152</v>
      </c>
      <c r="AL145" s="10" t="n">
        <f aca="false">AK147</f>
        <v>8988103.79222176</v>
      </c>
      <c r="AM145" s="10" t="n">
        <f aca="false">AL147</f>
        <v>8912652.538032</v>
      </c>
      <c r="AN145" s="10" t="n">
        <f aca="false">AM147</f>
        <v>8767911.16519784</v>
      </c>
      <c r="AO145" s="10" t="n">
        <f aca="false">AN147</f>
        <v>8623169.79236369</v>
      </c>
      <c r="AP145" s="10" t="n">
        <f aca="false">AO147</f>
        <v>8478428.41952953</v>
      </c>
      <c r="AQ145" s="10" t="n">
        <f aca="false">AP147</f>
        <v>8333687.04669537</v>
      </c>
      <c r="AR145" s="10" t="n">
        <f aca="false">AQ147</f>
        <v>8188945.67386121</v>
      </c>
      <c r="AS145" s="10" t="n">
        <f aca="false">AR147</f>
        <v>8044204.30102705</v>
      </c>
      <c r="AT145" s="10" t="n">
        <f aca="false">AS147</f>
        <v>7727997.8903141</v>
      </c>
      <c r="AU145" s="10" t="n">
        <f aca="false">AT147</f>
        <v>7411791.47960115</v>
      </c>
      <c r="AV145" s="10" t="n">
        <f aca="false">AU147</f>
        <v>7095585.06888821</v>
      </c>
      <c r="AW145" s="10" t="n">
        <f aca="false">AV147</f>
        <v>6779378.65817526</v>
      </c>
      <c r="AX145" s="10" t="n">
        <f aca="false">AW147</f>
        <v>6463172.24746231</v>
      </c>
      <c r="AY145" s="10" t="n">
        <f aca="false">AX147</f>
        <v>6146965.83674937</v>
      </c>
      <c r="AZ145" s="10" t="n">
        <f aca="false">AY147</f>
        <v>5821302.37115549</v>
      </c>
      <c r="BA145" s="10" t="n">
        <f aca="false">AZ147</f>
        <v>5495638.90556162</v>
      </c>
      <c r="BB145" s="10" t="n">
        <f aca="false">BA147</f>
        <v>5169975.43996775</v>
      </c>
      <c r="BC145" s="10" t="n">
        <f aca="false">BB147</f>
        <v>4844311.97437388</v>
      </c>
      <c r="BD145" s="10" t="n">
        <f aca="false">BC147</f>
        <v>4518648.50878</v>
      </c>
      <c r="BE145" s="10" t="n">
        <f aca="false">BD147</f>
        <v>4192985.04318613</v>
      </c>
      <c r="BF145" s="10" t="n">
        <f aca="false">BE147</f>
        <v>3867321.57759226</v>
      </c>
      <c r="BG145" s="10" t="n">
        <f aca="false">BF147</f>
        <v>3541658.11199839</v>
      </c>
      <c r="BH145" s="10" t="n">
        <f aca="false">BG147</f>
        <v>3059348.31307118</v>
      </c>
      <c r="BI145" s="10" t="n">
        <f aca="false">BH147</f>
        <v>2577038.51414398</v>
      </c>
      <c r="BJ145" s="10" t="n">
        <f aca="false">BI147</f>
        <v>2094728.71521677</v>
      </c>
      <c r="BK145" s="10" t="n">
        <f aca="false">BJ147</f>
        <v>1612418.91628956</v>
      </c>
      <c r="BL145" s="10" t="n">
        <f aca="false">BK147</f>
        <v>1120462.92138381</v>
      </c>
      <c r="BM145" s="10" t="n">
        <f aca="false">BL147</f>
        <v>628506.926478064</v>
      </c>
      <c r="BN145" s="10" t="n">
        <f aca="false">BM147</f>
        <v>136550.931572315</v>
      </c>
      <c r="BO145" s="10" t="n">
        <f aca="false">BN147</f>
        <v>-355405.063333435</v>
      </c>
      <c r="BP145" s="10" t="n">
        <f aca="false">BO147</f>
        <v>-847361.058239185</v>
      </c>
      <c r="BQ145" s="10" t="n">
        <f aca="false">BP147</f>
        <v>-1339317.05314493</v>
      </c>
      <c r="BR145" s="10" t="n">
        <f aca="false">BQ147</f>
        <v>-1831273.04805068</v>
      </c>
      <c r="BS145" s="10" t="n">
        <f aca="false">BR147</f>
        <v>-2323229.04295643</v>
      </c>
      <c r="BT145" s="10" t="n">
        <f aca="false">BS147</f>
        <v>-2815185.03786218</v>
      </c>
      <c r="BU145" s="10" t="n">
        <f aca="false">BT147</f>
        <v>-3307141.03276793</v>
      </c>
      <c r="BV145" s="10" t="n">
        <f aca="false">BU147</f>
        <v>-3799097.02767368</v>
      </c>
      <c r="BW145" s="10" t="n">
        <f aca="false">BV147</f>
        <v>-4291053.02257943</v>
      </c>
      <c r="BX145" s="10" t="n">
        <f aca="false">BW147</f>
        <v>-4792848.1373833</v>
      </c>
      <c r="BY145" s="10" t="n">
        <f aca="false">BX147</f>
        <v>-5294643.25218716</v>
      </c>
      <c r="BZ145" s="10" t="n">
        <f aca="false">BY147</f>
        <v>-5796438.36699103</v>
      </c>
      <c r="CA145" s="10" t="n">
        <f aca="false">BZ147</f>
        <v>-6298233.48179489</v>
      </c>
      <c r="CB145" s="10" t="n">
        <f aca="false">CA147</f>
        <v>-6800028.59659876</v>
      </c>
      <c r="CC145" s="10" t="n">
        <f aca="false">CB147</f>
        <v>-7301823.71140262</v>
      </c>
      <c r="CD145" s="10" t="n">
        <f aca="false">CC147</f>
        <v>-7803618.82620649</v>
      </c>
      <c r="CE145" s="10" t="n">
        <f aca="false">CD147</f>
        <v>-8305413.94101035</v>
      </c>
      <c r="CF145" s="10" t="n">
        <f aca="false">CE147</f>
        <v>-8807209.05581421</v>
      </c>
      <c r="CG145" s="10" t="n">
        <f aca="false">CF147</f>
        <v>-9309004.17061808</v>
      </c>
      <c r="CH145" s="10" t="n">
        <f aca="false">CG147</f>
        <v>-9810799.28542195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380569.193883333</v>
      </c>
      <c r="S146" s="10" t="n">
        <f aca="false">S40</f>
        <v>254633.693883333</v>
      </c>
      <c r="T146" s="10" t="n">
        <f aca="false">T40</f>
        <v>254633.693883333</v>
      </c>
      <c r="U146" s="10" t="n">
        <f aca="false">U40</f>
        <v>254633.693883333</v>
      </c>
      <c r="V146" s="10" t="n">
        <f aca="false">V40</f>
        <v>224330.535988597</v>
      </c>
      <c r="W146" s="10" t="n">
        <f aca="false">W40</f>
        <v>224330.535988597</v>
      </c>
      <c r="X146" s="10" t="n">
        <f aca="false">X40</f>
        <v>224330.535988597</v>
      </c>
      <c r="Y146" s="10" t="n">
        <f aca="false">Y40</f>
        <v>224330.535988597</v>
      </c>
      <c r="Z146" s="10" t="n">
        <f aca="false">Z40</f>
        <v>167051.17594075</v>
      </c>
      <c r="AA146" s="10" t="n">
        <f aca="false">AA40</f>
        <v>112834.537825793</v>
      </c>
      <c r="AB146" s="10" t="n">
        <f aca="false">AB40</f>
        <v>31340.6861511515</v>
      </c>
      <c r="AC146" s="10" t="n">
        <f aca="false">AC40</f>
        <v>-535719.040515515</v>
      </c>
      <c r="AD146" s="10" t="n">
        <f aca="false">AD40</f>
        <v>187987.019484485</v>
      </c>
      <c r="AE146" s="10" t="n">
        <f aca="false">AE40</f>
        <v>187987.019484485</v>
      </c>
      <c r="AF146" s="10" t="n">
        <f aca="false">AF40</f>
        <v>187987.019484485</v>
      </c>
      <c r="AG146" s="10" t="n">
        <f aca="false">AG40</f>
        <v>187987.019484485</v>
      </c>
      <c r="AH146" s="10" t="n">
        <f aca="false">AH40</f>
        <v>87308.0185375152</v>
      </c>
      <c r="AI146" s="10" t="n">
        <f aca="false">AI40</f>
        <v>87308.0185375152</v>
      </c>
      <c r="AJ146" s="10" t="n">
        <f aca="false">AJ40</f>
        <v>-75451.2541897575</v>
      </c>
      <c r="AK146" s="10" t="n">
        <f aca="false">AK40</f>
        <v>-75451.2541897575</v>
      </c>
      <c r="AL146" s="10" t="n">
        <f aca="false">AL40</f>
        <v>-75451.2541897575</v>
      </c>
      <c r="AM146" s="10" t="n">
        <f aca="false">AM40</f>
        <v>-144741.372834159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6775711.60058174</v>
      </c>
      <c r="S147" s="61" t="n">
        <f aca="false">S145+S146</f>
        <v>7030345.29446507</v>
      </c>
      <c r="T147" s="61" t="n">
        <f aca="false">T145+T146</f>
        <v>7284978.98834841</v>
      </c>
      <c r="U147" s="61" t="n">
        <f aca="false">U145+U146</f>
        <v>7539612.68223174</v>
      </c>
      <c r="V147" s="61" t="n">
        <f aca="false">V145+V146</f>
        <v>7763943.21822034</v>
      </c>
      <c r="W147" s="61" t="n">
        <f aca="false">W145+W146</f>
        <v>7988273.75420893</v>
      </c>
      <c r="X147" s="61" t="n">
        <f aca="false">X145+X146</f>
        <v>8212604.29019753</v>
      </c>
      <c r="Y147" s="61" t="n">
        <f aca="false">Y145+Y146</f>
        <v>8436934.82618612</v>
      </c>
      <c r="Z147" s="61" t="n">
        <f aca="false">Z145+Z146</f>
        <v>8603986.00212687</v>
      </c>
      <c r="AA147" s="61" t="n">
        <f aca="false">AA145+AA146</f>
        <v>8716820.53995267</v>
      </c>
      <c r="AB147" s="61" t="n">
        <f aca="false">AB145+AB146</f>
        <v>8748161.22610382</v>
      </c>
      <c r="AC147" s="61" t="n">
        <f aca="false">AC145+AC146</f>
        <v>8212442.18558831</v>
      </c>
      <c r="AD147" s="61" t="n">
        <f aca="false">AD145+AD146</f>
        <v>8400429.20507279</v>
      </c>
      <c r="AE147" s="61" t="n">
        <f aca="false">AE145+AE146</f>
        <v>8588416.22455728</v>
      </c>
      <c r="AF147" s="61" t="n">
        <f aca="false">AF145+AF146</f>
        <v>8776403.24404176</v>
      </c>
      <c r="AG147" s="61" t="n">
        <f aca="false">AG145+AG146</f>
        <v>8964390.26352624</v>
      </c>
      <c r="AH147" s="61" t="n">
        <f aca="false">AH145+AH146</f>
        <v>9051698.28206376</v>
      </c>
      <c r="AI147" s="61" t="n">
        <f aca="false">AI145+AI146</f>
        <v>9139006.30060128</v>
      </c>
      <c r="AJ147" s="61" t="n">
        <f aca="false">AJ145+AJ146</f>
        <v>9063555.04641152</v>
      </c>
      <c r="AK147" s="61" t="n">
        <f aca="false">AK145+AK146</f>
        <v>8988103.79222176</v>
      </c>
      <c r="AL147" s="61" t="n">
        <f aca="false">AL145+AL146</f>
        <v>8912652.538032</v>
      </c>
      <c r="AM147" s="61" t="n">
        <f aca="false">AM145+AM146</f>
        <v>8767911.16519784</v>
      </c>
      <c r="AN147" s="61" t="n">
        <f aca="false">AN145+AN146</f>
        <v>8623169.79236369</v>
      </c>
      <c r="AO147" s="61" t="n">
        <f aca="false">AO145+AO146</f>
        <v>8478428.41952953</v>
      </c>
      <c r="AP147" s="61" t="n">
        <f aca="false">AP145+AP146</f>
        <v>8333687.04669537</v>
      </c>
      <c r="AQ147" s="61" t="n">
        <f aca="false">AQ145+AQ146</f>
        <v>8188945.67386121</v>
      </c>
      <c r="AR147" s="61" t="n">
        <f aca="false">AR145+AR146</f>
        <v>8044204.30102705</v>
      </c>
      <c r="AS147" s="61" t="n">
        <f aca="false">AS145+AS146</f>
        <v>7727997.8903141</v>
      </c>
      <c r="AT147" s="61" t="n">
        <f aca="false">AT145+AT146</f>
        <v>7411791.47960115</v>
      </c>
      <c r="AU147" s="61" t="n">
        <f aca="false">AU145+AU146</f>
        <v>7095585.06888821</v>
      </c>
      <c r="AV147" s="61" t="n">
        <f aca="false">AV145+AV146</f>
        <v>6779378.65817526</v>
      </c>
      <c r="AW147" s="61" t="n">
        <f aca="false">AW145+AW146</f>
        <v>6463172.24746231</v>
      </c>
      <c r="AX147" s="61" t="n">
        <f aca="false">AX145+AX146</f>
        <v>6146965.83674937</v>
      </c>
      <c r="AY147" s="61" t="n">
        <f aca="false">AY145+AY146</f>
        <v>5821302.37115549</v>
      </c>
      <c r="AZ147" s="61" t="n">
        <f aca="false">AZ145+AZ146</f>
        <v>5495638.90556162</v>
      </c>
      <c r="BA147" s="61" t="n">
        <f aca="false">BA145+BA146</f>
        <v>5169975.43996775</v>
      </c>
      <c r="BB147" s="61" t="n">
        <f aca="false">BB145+BB146</f>
        <v>4844311.97437388</v>
      </c>
      <c r="BC147" s="61" t="n">
        <f aca="false">BC145+BC146</f>
        <v>4518648.50878</v>
      </c>
      <c r="BD147" s="61" t="n">
        <f aca="false">BD145+BD146</f>
        <v>4192985.04318613</v>
      </c>
      <c r="BE147" s="61" t="n">
        <f aca="false">BE145+BE146</f>
        <v>3867321.57759226</v>
      </c>
      <c r="BF147" s="61" t="n">
        <f aca="false">BF145+BF146</f>
        <v>3541658.11199839</v>
      </c>
      <c r="BG147" s="61" t="n">
        <f aca="false">BG145+BG146</f>
        <v>3059348.31307118</v>
      </c>
      <c r="BH147" s="61" t="n">
        <f aca="false">BH145+BH146</f>
        <v>2577038.51414398</v>
      </c>
      <c r="BI147" s="61" t="n">
        <f aca="false">BI145+BI146</f>
        <v>2094728.71521677</v>
      </c>
      <c r="BJ147" s="61" t="n">
        <f aca="false">BJ145+BJ146</f>
        <v>1612418.91628956</v>
      </c>
      <c r="BK147" s="61" t="n">
        <f aca="false">BK145+BK146</f>
        <v>1120462.92138381</v>
      </c>
      <c r="BL147" s="61" t="n">
        <f aca="false">BL145+BL146</f>
        <v>628506.926478064</v>
      </c>
      <c r="BM147" s="61" t="n">
        <f aca="false">BM145+BM146</f>
        <v>136550.931572315</v>
      </c>
      <c r="BN147" s="61" t="n">
        <f aca="false">BN145+BN146</f>
        <v>-355405.063333435</v>
      </c>
      <c r="BO147" s="61" t="n">
        <f aca="false">BO145+BO146</f>
        <v>-847361.058239185</v>
      </c>
      <c r="BP147" s="61" t="n">
        <f aca="false">BP145+BP146</f>
        <v>-1339317.05314493</v>
      </c>
      <c r="BQ147" s="61" t="n">
        <f aca="false">BQ145+BQ146</f>
        <v>-1831273.04805068</v>
      </c>
      <c r="BR147" s="61" t="n">
        <f aca="false">BR145+BR146</f>
        <v>-2323229.04295643</v>
      </c>
      <c r="BS147" s="61" t="n">
        <f aca="false">BS145+BS146</f>
        <v>-2815185.03786218</v>
      </c>
      <c r="BT147" s="61" t="n">
        <f aca="false">BT145+BT146</f>
        <v>-3307141.03276793</v>
      </c>
      <c r="BU147" s="61" t="n">
        <f aca="false">BU145+BU146</f>
        <v>-3799097.02767368</v>
      </c>
      <c r="BV147" s="61" t="n">
        <f aca="false">BV145+BV146</f>
        <v>-4291053.02257943</v>
      </c>
      <c r="BW147" s="61" t="n">
        <f aca="false">BW145+BW146</f>
        <v>-4792848.1373833</v>
      </c>
      <c r="BX147" s="61" t="n">
        <f aca="false">BX145+BX146</f>
        <v>-5294643.25218716</v>
      </c>
      <c r="BY147" s="61" t="n">
        <f aca="false">BY145+BY146</f>
        <v>-5796438.36699103</v>
      </c>
      <c r="BZ147" s="61" t="n">
        <f aca="false">BZ145+BZ146</f>
        <v>-6298233.48179489</v>
      </c>
      <c r="CA147" s="61" t="n">
        <f aca="false">CA145+CA146</f>
        <v>-6800028.59659876</v>
      </c>
      <c r="CB147" s="61" t="n">
        <f aca="false">CB145+CB146</f>
        <v>-7301823.71140262</v>
      </c>
      <c r="CC147" s="61" t="n">
        <f aca="false">CC145+CC146</f>
        <v>-7803618.82620649</v>
      </c>
      <c r="CD147" s="61" t="n">
        <f aca="false">CD145+CD146</f>
        <v>-8305413.94101035</v>
      </c>
      <c r="CE147" s="61" t="n">
        <f aca="false">CE145+CE146</f>
        <v>-8807209.05581421</v>
      </c>
      <c r="CF147" s="61" t="n">
        <f aca="false">CF145+CF146</f>
        <v>-9309004.17061808</v>
      </c>
      <c r="CG147" s="61" t="n">
        <f aca="false">CG145+CG146</f>
        <v>-9810799.28542195</v>
      </c>
      <c r="CH147" s="61" t="n">
        <f aca="false">CH145+CH146</f>
        <v>-10312594.4002258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-616474.182933333</v>
      </c>
      <c r="M155" s="61" t="n">
        <f aca="false">M150+M151+M152+M153+M154</f>
        <v>-1046816.47586667</v>
      </c>
      <c r="N155" s="61" t="n">
        <f aca="false">N150+N151+N152+N153+N154</f>
        <v>-1227158.7688</v>
      </c>
      <c r="O155" s="61" t="n">
        <f aca="false">O150+O151+O152+O153+O154</f>
        <v>-1409892.3534</v>
      </c>
      <c r="P155" s="61" t="n">
        <f aca="false">P150+P151+P152+P153+P154</f>
        <v>-1592625.938</v>
      </c>
      <c r="Q155" s="61" t="n">
        <f aca="false">Q150+Q151+Q152+Q153+Q154</f>
        <v>-1775359.5226</v>
      </c>
      <c r="R155" s="61" t="n">
        <f aca="false">R150+R151+R152+R153+R154</f>
        <v>-2001387.4948</v>
      </c>
      <c r="S155" s="61" t="n">
        <f aca="false">S150+S151+S152+S153+S154</f>
        <v>-2187383.2046</v>
      </c>
      <c r="T155" s="61" t="n">
        <f aca="false">T150+T151+T152+T153+T154</f>
        <v>-2356806.652</v>
      </c>
      <c r="U155" s="61" t="n">
        <f aca="false">U150+U151+U152+U153+U154</f>
        <v>-2509657.8434</v>
      </c>
      <c r="V155" s="61" t="n">
        <f aca="false">V150+V151+V152+V153+V154</f>
        <v>-2645936.766</v>
      </c>
      <c r="W155" s="61" t="n">
        <f aca="false">W150+W151+W152+W153+W154</f>
        <v>-2665657.67588545</v>
      </c>
      <c r="X155" s="61" t="n">
        <f aca="false">X150+X151+X152+X153+X154</f>
        <v>-2638792.08648545</v>
      </c>
      <c r="Y155" s="61" t="n">
        <f aca="false">Y150+Y151+Y152+Y153+Y154</f>
        <v>-2845354.23468545</v>
      </c>
      <c r="Z155" s="61" t="n">
        <f aca="false">Z150+Z151+Z152+Z153+Z154</f>
        <v>-2740600.69408545</v>
      </c>
      <c r="AA155" s="61" t="n">
        <f aca="false">AA150+AA151+AA152+AA153+AA154</f>
        <v>-2690141.64498545</v>
      </c>
      <c r="AB155" s="61" t="n">
        <f aca="false">AB150+AB151+AB152+AB153+AB154</f>
        <v>-2623110.32708545</v>
      </c>
      <c r="AC155" s="61" t="n">
        <f aca="false">AC150+AC151+AC152+AC153+AC154</f>
        <v>-2453299.52918545</v>
      </c>
      <c r="AD155" s="61" t="n">
        <f aca="false">AD150+AD151+AD152+AD153+AD154</f>
        <v>-2421956.83528545</v>
      </c>
      <c r="AE155" s="61" t="n">
        <f aca="false">AE150+AE151+AE152+AE153+AE154</f>
        <v>-2366184.38458545</v>
      </c>
      <c r="AF155" s="61" t="n">
        <f aca="false">AF150+AF151+AF152+AF153+AF154</f>
        <v>-2309911.38988545</v>
      </c>
      <c r="AG155" s="61" t="n">
        <f aca="false">AG150+AG151+AG152+AG153+AG154</f>
        <v>-2262637.84478545</v>
      </c>
      <c r="AH155" s="61" t="n">
        <f aca="false">AH150+AH151+AH152+AH153+AH154</f>
        <v>-2214863.75568545</v>
      </c>
      <c r="AI155" s="61" t="n">
        <f aca="false">AI150+AI151+AI152+AI153+AI154</f>
        <v>-2171865.25378545</v>
      </c>
      <c r="AJ155" s="61" t="n">
        <f aca="false">AJ150+AJ151+AJ152+AJ153+AJ154</f>
        <v>-2123090.05748545</v>
      </c>
      <c r="AK155" s="61" t="n">
        <f aca="false">AK150+AK151+AK152+AK153+AK154</f>
        <v>-2340386.57318545</v>
      </c>
      <c r="AL155" s="61" t="n">
        <f aca="false">AL150+AL151+AL152+AL153+AL154</f>
        <v>-2323754.80088545</v>
      </c>
      <c r="AM155" s="61" t="n">
        <f aca="false">AM150+AM151+AM152+AM153+AM154</f>
        <v>-2325682.64683545</v>
      </c>
      <c r="AN155" s="61" t="n">
        <f aca="false">AN150+AN151+AN152+AN153+AN154</f>
        <v>-2343682.19838545</v>
      </c>
      <c r="AO155" s="61" t="n">
        <f aca="false">AO150+AO151+AO152+AO153+AO154</f>
        <v>-2377753.46193544</v>
      </c>
      <c r="AP155" s="61" t="n">
        <f aca="false">AP150+AP151+AP152+AP153+AP154</f>
        <v>-2452304.22788544</v>
      </c>
      <c r="AQ155" s="61" t="n">
        <f aca="false">AQ150+AQ151+AQ152+AQ153+AQ154</f>
        <v>-2518518.91543544</v>
      </c>
      <c r="AR155" s="61" t="n">
        <f aca="false">AR150+AR151+AR152+AR153+AR154</f>
        <v>-2600805.31498545</v>
      </c>
      <c r="AS155" s="61" t="n">
        <f aca="false">AS150+AS151+AS152+AS153+AS154</f>
        <v>-2631388.14333545</v>
      </c>
      <c r="AT155" s="61" t="n">
        <f aca="false">AT150+AT151+AT152+AT153+AT154</f>
        <v>-2678543.22768545</v>
      </c>
      <c r="AU155" s="61" t="n">
        <f aca="false">AU150+AU151+AU152+AU153+AU154</f>
        <v>-2780627.64803545</v>
      </c>
      <c r="AV155" s="61" t="n">
        <f aca="false">AV150+AV151+AV152+AV153+AV154</f>
        <v>-2860927.25078545</v>
      </c>
      <c r="AW155" s="61" t="n">
        <f aca="false">AW150+AW151+AW152+AW153+AW154</f>
        <v>-2941727.41033545</v>
      </c>
      <c r="AX155" s="61" t="n">
        <f aca="false">AX150+AX151+AX152+AX153+AX154</f>
        <v>-3023028.11388545</v>
      </c>
      <c r="AY155" s="61" t="n">
        <f aca="false">AY150+AY151+AY152+AY153+AY154</f>
        <v>-3107367.02568245</v>
      </c>
      <c r="AZ155" s="61" t="n">
        <f aca="false">AZ150+AZ151+AZ152+AZ153+AZ154</f>
        <v>-3192206.48787945</v>
      </c>
      <c r="BA155" s="61" t="n">
        <f aca="false">BA150+BA151+BA152+BA153+BA154</f>
        <v>-3277546.50047645</v>
      </c>
      <c r="BB155" s="61" t="n">
        <f aca="false">BB150+BB151+BB152+BB153+BB154</f>
        <v>-3388283.00315345</v>
      </c>
      <c r="BC155" s="61" t="n">
        <f aca="false">BC150+BC151+BC152+BC153+BC154</f>
        <v>-3474624.11655045</v>
      </c>
      <c r="BD155" s="61" t="n">
        <f aca="false">BD150+BD151+BD152+BD153+BD154</f>
        <v>-3561465.78034745</v>
      </c>
      <c r="BE155" s="61" t="n">
        <f aca="false">BE150+BE151+BE152+BE153+BE154</f>
        <v>-3648807.99454445</v>
      </c>
      <c r="BF155" s="61" t="n">
        <f aca="false">BF150+BF151+BF152+BF153+BF154</f>
        <v>-3736650.75914145</v>
      </c>
      <c r="BG155" s="61" t="n">
        <f aca="false">BG150+BG151+BG152+BG153+BG154</f>
        <v>-3847725.14309845</v>
      </c>
      <c r="BH155" s="61" t="n">
        <f aca="false">BH150+BH151+BH152+BH153+BH154</f>
        <v>-3907368.20849545</v>
      </c>
      <c r="BI155" s="61" t="n">
        <f aca="false">BI150+BI151+BI152+BI153+BI154</f>
        <v>-3967511.82429245</v>
      </c>
      <c r="BJ155" s="61" t="n">
        <f aca="false">BJ150+BJ151+BJ152+BJ153+BJ154</f>
        <v>-3960380.70088945</v>
      </c>
      <c r="BK155" s="61" t="n">
        <f aca="false">BK150+BK151+BK152+BK153+BK154</f>
        <v>-4092389.66209039</v>
      </c>
      <c r="BL155" s="61" t="n">
        <f aca="false">BL150+BL151+BL152+BL153+BL154</f>
        <v>-4224398.62329133</v>
      </c>
      <c r="BM155" s="61" t="n">
        <f aca="false">BM150+BM151+BM152+BM153+BM154</f>
        <v>-4356407.58449227</v>
      </c>
      <c r="BN155" s="61" t="n">
        <f aca="false">BN150+BN151+BN152+BN153+BN154</f>
        <v>-4513810.40416681</v>
      </c>
      <c r="BO155" s="61" t="n">
        <f aca="false">BO150+BO151+BO152+BO153+BO154</f>
        <v>-4645819.36536775</v>
      </c>
      <c r="BP155" s="61" t="n">
        <f aca="false">BP150+BP151+BP152+BP153+BP154</f>
        <v>-4726314.80656869</v>
      </c>
      <c r="BQ155" s="61" t="n">
        <f aca="false">BQ150+BQ151+BQ152+BQ153+BQ154</f>
        <v>-4858323.76776963</v>
      </c>
      <c r="BR155" s="61" t="n">
        <f aca="false">BR150+BR151+BR152+BR153+BR154</f>
        <v>-4990332.72897057</v>
      </c>
      <c r="BS155" s="61" t="n">
        <f aca="false">BS150+BS151+BS152+BS153+BS154</f>
        <v>-5077765.38703871</v>
      </c>
      <c r="BT155" s="61" t="n">
        <f aca="false">BT150+BT151+BT152+BT153+BT154</f>
        <v>-5209774.34823965</v>
      </c>
      <c r="BU155" s="61" t="n">
        <f aca="false">BU150+BU151+BU152+BU153+BU154</f>
        <v>-5341783.30944059</v>
      </c>
      <c r="BV155" s="61" t="n">
        <f aca="false">BV150+BV151+BV152+BV153+BV154</f>
        <v>-5406030.27064153</v>
      </c>
      <c r="BW155" s="61" t="n">
        <f aca="false">BW150+BW151+BW152+BW153+BW154</f>
        <v>-5540679.41106649</v>
      </c>
      <c r="BX155" s="61" t="n">
        <f aca="false">BX150+BX151+BX152+BX153+BX154</f>
        <v>-5675328.55149145</v>
      </c>
      <c r="BY155" s="61" t="n">
        <f aca="false">BY150+BY151+BY152+BY153+BY154</f>
        <v>-5742215.6919164</v>
      </c>
      <c r="BZ155" s="61" t="n">
        <f aca="false">BZ150+BZ151+BZ152+BZ153+BZ154</f>
        <v>-5902766.56798443</v>
      </c>
      <c r="CA155" s="61" t="n">
        <f aca="false">CA150+CA151+CA152+CA153+CA154</f>
        <v>-6037415.70840939</v>
      </c>
      <c r="CB155" s="61" t="n">
        <f aca="false">CB150+CB151+CB152+CB153+CB154</f>
        <v>-6095565.84883435</v>
      </c>
      <c r="CC155" s="61" t="n">
        <f aca="false">CC150+CC151+CC152+CC153+CC154</f>
        <v>-6230214.98925931</v>
      </c>
      <c r="CD155" s="61" t="n">
        <f aca="false">CD150+CD151+CD152+CD153+CD154</f>
        <v>-6364864.12968427</v>
      </c>
      <c r="CE155" s="61" t="n">
        <f aca="false">CE150+CE151+CE152+CE153+CE154</f>
        <v>-6446663.68091377</v>
      </c>
      <c r="CF155" s="61" t="n">
        <f aca="false">CF150+CF151+CF152+CF153+CF154</f>
        <v>-6581312.82133873</v>
      </c>
      <c r="CG155" s="61" t="n">
        <f aca="false">CG150+CG151+CG152+CG153+CG154</f>
        <v>-6715961.96176369</v>
      </c>
      <c r="CH155" s="61" t="n">
        <f aca="false">CH150+CH151+CH152+CH153+CH154</f>
        <v>-6767504.07558217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4774324.10578174</v>
      </c>
      <c r="T158" s="10" t="n">
        <f aca="false">T145+T150</f>
        <v>4842962.08986507</v>
      </c>
      <c r="U158" s="10" t="n">
        <f aca="false">U145+U150</f>
        <v>4928172.33634841</v>
      </c>
      <c r="V158" s="10" t="n">
        <f aca="false">V145+V150</f>
        <v>5029954.83883174</v>
      </c>
      <c r="W158" s="10" t="n">
        <f aca="false">W145+W150</f>
        <v>5118006.45222034</v>
      </c>
      <c r="X158" s="10" t="n">
        <f aca="false">X145+X150</f>
        <v>5322616.07832349</v>
      </c>
      <c r="Y158" s="10" t="n">
        <f aca="false">Y145+Y150</f>
        <v>5573812.20371208</v>
      </c>
      <c r="Z158" s="10" t="n">
        <f aca="false">Z145+Z150</f>
        <v>5591580.59150068</v>
      </c>
      <c r="AA158" s="10" t="n">
        <f aca="false">AA145+AA150</f>
        <v>5863385.30804143</v>
      </c>
      <c r="AB158" s="10" t="n">
        <f aca="false">AB145+AB150</f>
        <v>6026678.89496722</v>
      </c>
      <c r="AC158" s="10" t="n">
        <f aca="false">AC145+AC150</f>
        <v>6125050.89901838</v>
      </c>
      <c r="AD158" s="10" t="n">
        <f aca="false">AD145+AD150</f>
        <v>5759142.65640286</v>
      </c>
      <c r="AE158" s="10" t="n">
        <f aca="false">AE145+AE150</f>
        <v>5978472.36978735</v>
      </c>
      <c r="AF158" s="10" t="n">
        <f aca="false">AF145+AF150</f>
        <v>6222231.83997183</v>
      </c>
      <c r="AG158" s="10" t="n">
        <f aca="false">AG145+AG150</f>
        <v>6466491.85415631</v>
      </c>
      <c r="AH158" s="10" t="n">
        <f aca="false">AH145+AH150</f>
        <v>6701752.4187408</v>
      </c>
      <c r="AI158" s="10" t="n">
        <f aca="false">AI145+AI150</f>
        <v>6836834.52637832</v>
      </c>
      <c r="AJ158" s="10" t="n">
        <f aca="false">AJ145+AJ150</f>
        <v>6967141.04681583</v>
      </c>
      <c r="AK158" s="10" t="n">
        <f aca="false">AK145+AK150</f>
        <v>6940464.98892607</v>
      </c>
      <c r="AL158" s="10" t="n">
        <f aca="false">AL145+AL150</f>
        <v>6647717.21903632</v>
      </c>
      <c r="AM158" s="10" t="n">
        <f aca="false">AM145+AM150</f>
        <v>6588897.73714656</v>
      </c>
      <c r="AN158" s="10" t="n">
        <f aca="false">AN145+AN150</f>
        <v>6442228.5183624</v>
      </c>
      <c r="AO158" s="10" t="n">
        <f aca="false">AO145+AO150</f>
        <v>6279487.59397824</v>
      </c>
      <c r="AP158" s="10" t="n">
        <f aca="false">AP145+AP150</f>
        <v>6100674.95759408</v>
      </c>
      <c r="AQ158" s="10" t="n">
        <f aca="false">AQ145+AQ150</f>
        <v>5881382.81880992</v>
      </c>
      <c r="AR158" s="10" t="n">
        <f aca="false">AR145+AR150</f>
        <v>5670426.75842576</v>
      </c>
      <c r="AS158" s="10" t="n">
        <f aca="false">AS145+AS150</f>
        <v>5443398.9860416</v>
      </c>
      <c r="AT158" s="10" t="n">
        <f aca="false">AT145+AT150</f>
        <v>5096609.74697866</v>
      </c>
      <c r="AU158" s="10" t="n">
        <f aca="false">AU145+AU150</f>
        <v>4733248.25191571</v>
      </c>
      <c r="AV158" s="10" t="n">
        <f aca="false">AV145+AV150</f>
        <v>4314957.42085276</v>
      </c>
      <c r="AW158" s="10" t="n">
        <f aca="false">AW145+AW150</f>
        <v>3918451.40738982</v>
      </c>
      <c r="AX158" s="10" t="n">
        <f aca="false">AX145+AX150</f>
        <v>3521444.83712687</v>
      </c>
      <c r="AY158" s="10" t="n">
        <f aca="false">AY145+AY150</f>
        <v>3123937.72286392</v>
      </c>
      <c r="AZ158" s="10" t="n">
        <f aca="false">AZ145+AZ150</f>
        <v>2713935.34547305</v>
      </c>
      <c r="BA158" s="10" t="n">
        <f aca="false">BA145+BA150</f>
        <v>2303432.41768218</v>
      </c>
      <c r="BB158" s="10" t="n">
        <f aca="false">BB145+BB150</f>
        <v>1892428.9394913</v>
      </c>
      <c r="BC158" s="10" t="n">
        <f aca="false">BC145+BC150</f>
        <v>1456028.97122043</v>
      </c>
      <c r="BD158" s="10" t="n">
        <f aca="false">BD145+BD150</f>
        <v>1044024.39222956</v>
      </c>
      <c r="BE158" s="10" t="n">
        <f aca="false">BE145+BE150</f>
        <v>631519.262838685</v>
      </c>
      <c r="BF158" s="10" t="n">
        <f aca="false">BF145+BF150</f>
        <v>218513.583047813</v>
      </c>
      <c r="BG158" s="10" t="n">
        <f aca="false">BG145+BG150</f>
        <v>-194992.647143059</v>
      </c>
      <c r="BH158" s="10" t="n">
        <f aca="false">BH145+BH150</f>
        <v>-788376.830027265</v>
      </c>
      <c r="BI158" s="10" t="n">
        <f aca="false">BI145+BI150</f>
        <v>-1330329.69435147</v>
      </c>
      <c r="BJ158" s="10" t="n">
        <f aca="false">BJ145+BJ150</f>
        <v>-1872783.10907568</v>
      </c>
      <c r="BK158" s="10" t="n">
        <f aca="false">BK145+BK150</f>
        <v>-2347961.78459988</v>
      </c>
      <c r="BL158" s="10" t="n">
        <f aca="false">BL145+BL150</f>
        <v>-2971926.74070657</v>
      </c>
      <c r="BM158" s="10" t="n">
        <f aca="false">BM145+BM150</f>
        <v>-3595891.69681326</v>
      </c>
      <c r="BN158" s="10" t="n">
        <f aca="false">BN145+BN150</f>
        <v>-4219856.65291995</v>
      </c>
      <c r="BO158" s="10" t="n">
        <f aca="false">BO145+BO150</f>
        <v>-4869215.46750024</v>
      </c>
      <c r="BP158" s="10" t="n">
        <f aca="false">BP145+BP150</f>
        <v>-5493180.42360693</v>
      </c>
      <c r="BQ158" s="10" t="n">
        <f aca="false">BQ145+BQ150</f>
        <v>-6065631.85971362</v>
      </c>
      <c r="BR158" s="10" t="n">
        <f aca="false">BR145+BR150</f>
        <v>-6689596.81582031</v>
      </c>
      <c r="BS158" s="10" t="n">
        <f aca="false">BS145+BS150</f>
        <v>-7313561.771927</v>
      </c>
      <c r="BT158" s="10" t="n">
        <f aca="false">BT145+BT150</f>
        <v>-7892950.42490089</v>
      </c>
      <c r="BU158" s="10" t="n">
        <f aca="false">BU145+BU150</f>
        <v>-8516915.38100758</v>
      </c>
      <c r="BV158" s="10" t="n">
        <f aca="false">BV145+BV150</f>
        <v>-9140880.33711427</v>
      </c>
      <c r="BW158" s="10" t="n">
        <f aca="false">BW145+BW150</f>
        <v>-9697083.29322096</v>
      </c>
      <c r="BX158" s="10" t="n">
        <f aca="false">BX145+BX150</f>
        <v>-10333527.5484498</v>
      </c>
      <c r="BY158" s="10" t="n">
        <f aca="false">BY145+BY150</f>
        <v>-10969971.8036786</v>
      </c>
      <c r="BZ158" s="10" t="n">
        <f aca="false">BZ145+BZ150</f>
        <v>-11538654.0589074</v>
      </c>
      <c r="CA158" s="10" t="n">
        <f aca="false">CA145+CA150</f>
        <v>-12201000.0497793</v>
      </c>
      <c r="CB158" s="10" t="n">
        <f aca="false">CB145+CB150</f>
        <v>-12837444.3050081</v>
      </c>
      <c r="CC158" s="10" t="n">
        <f aca="false">CC145+CC150</f>
        <v>-13397389.560237</v>
      </c>
      <c r="CD158" s="10" t="n">
        <f aca="false">CD145+CD150</f>
        <v>-14033833.8154658</v>
      </c>
      <c r="CE158" s="10" t="n">
        <f aca="false">CE145+CE150</f>
        <v>-14670278.0706946</v>
      </c>
      <c r="CF158" s="10" t="n">
        <f aca="false">CF145+CF150</f>
        <v>-15253872.736728</v>
      </c>
      <c r="CG158" s="10" t="n">
        <f aca="false">CG145+CG150</f>
        <v>-15890316.9919568</v>
      </c>
      <c r="CH158" s="10" t="n">
        <f aca="false">CH145+CH150</f>
        <v>-16526761.2471856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-977117.243956794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-568357.490547702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4039850.68522113</v>
      </c>
      <c r="M160" s="61" t="n">
        <f aca="false">M158+M146+M151+M152+M153+M154+M159</f>
        <v>4018173.52868931</v>
      </c>
      <c r="N160" s="61" t="n">
        <f aca="false">N158+N146+N151+N152+N153+N154+N159</f>
        <v>3617102.07463161</v>
      </c>
      <c r="O160" s="61" t="n">
        <f aca="false">O158+O146+O151+O152+O153+O154+O159</f>
        <v>3842812.89280447</v>
      </c>
      <c r="P160" s="61" t="n">
        <f aca="false">P158+P146+P151+P152+P153+P154+P159</f>
        <v>4231297.88845144</v>
      </c>
      <c r="Q160" s="61" t="n">
        <f aca="false">Q158+Q146+Q151+Q152+Q153+Q154+Q159</f>
        <v>4619782.88409841</v>
      </c>
      <c r="R160" s="61" t="n">
        <f aca="false">R158+R146+R151+R152+R153+R154+R159</f>
        <v>4774324.10578174</v>
      </c>
      <c r="S160" s="61" t="n">
        <f aca="false">S158+S146+S151+S152+S153+S154+S159</f>
        <v>4842962.08986507</v>
      </c>
      <c r="T160" s="61" t="n">
        <f aca="false">T158+T146+T151+T152+T153+T154+T159</f>
        <v>4928172.33634841</v>
      </c>
      <c r="U160" s="61" t="n">
        <f aca="false">U158+U146+U151+U152+U153+U154+U159</f>
        <v>5029954.83883174</v>
      </c>
      <c r="V160" s="61" t="n">
        <f aca="false">V158+V146+V151+V152+V153+V154+V159</f>
        <v>5118006.45222034</v>
      </c>
      <c r="W160" s="61" t="n">
        <f aca="false">W158+W146+W151+W152+W153+W154+W159</f>
        <v>5322616.07832349</v>
      </c>
      <c r="X160" s="61" t="n">
        <f aca="false">X158+X146+X151+X152+X153+X154+X159</f>
        <v>5573812.20371208</v>
      </c>
      <c r="Y160" s="61" t="n">
        <f aca="false">Y158+Y146+Y151+Y152+Y153+Y154+Y159</f>
        <v>5591580.59150068</v>
      </c>
      <c r="Z160" s="61" t="n">
        <f aca="false">Z158+Z146+Z151+Z152+Z153+Z154+Z159</f>
        <v>4886268.06408463</v>
      </c>
      <c r="AA160" s="61" t="n">
        <f aca="false">AA158+AA146+AA151+AA152+AA153+AA154+AA159</f>
        <v>6026678.89496722</v>
      </c>
      <c r="AB160" s="61" t="n">
        <f aca="false">AB158+AB146+AB151+AB152+AB153+AB154+AB159</f>
        <v>6125050.89901837</v>
      </c>
      <c r="AC160" s="61" t="n">
        <f aca="false">AC158+AC146+AC151+AC152+AC153+AC154+AC159</f>
        <v>5759142.65640286</v>
      </c>
      <c r="AD160" s="61" t="n">
        <f aca="false">AD158+AD146+AD151+AD152+AD153+AD154+AD159</f>
        <v>5978472.36978735</v>
      </c>
      <c r="AE160" s="61" t="n">
        <f aca="false">AE158+AE146+AE151+AE152+AE153+AE154+AE159</f>
        <v>6222231.83997183</v>
      </c>
      <c r="AF160" s="61" t="n">
        <f aca="false">AF158+AF146+AF151+AF152+AF153+AF154+AF159</f>
        <v>6466491.85415631</v>
      </c>
      <c r="AG160" s="61" t="n">
        <f aca="false">AG158+AG146+AG151+AG152+AG153+AG154+AG159</f>
        <v>6701752.4187408</v>
      </c>
      <c r="AH160" s="61" t="n">
        <f aca="false">AH158+AH146+AH151+AH152+AH153+AH154+AH159</f>
        <v>6836834.52637832</v>
      </c>
      <c r="AI160" s="61" t="n">
        <f aca="false">AI158+AI146+AI151+AI152+AI153+AI154+AI159</f>
        <v>6967141.04681583</v>
      </c>
      <c r="AJ160" s="61" t="n">
        <f aca="false">AJ158+AJ146+AJ151+AJ152+AJ153+AJ154+AJ159</f>
        <v>6940464.98892607</v>
      </c>
      <c r="AK160" s="61" t="n">
        <f aca="false">AK158+AK146+AK151+AK152+AK153+AK154+AK159</f>
        <v>6647717.21903632</v>
      </c>
      <c r="AL160" s="61" t="n">
        <f aca="false">AL158+AL146+AL151+AL152+AL153+AL154+AL159</f>
        <v>6020540.24659886</v>
      </c>
      <c r="AM160" s="61" t="n">
        <f aca="false">AM158+AM146+AM151+AM152+AM153+AM154+AM159</f>
        <v>6442228.5183624</v>
      </c>
      <c r="AN160" s="61" t="n">
        <f aca="false">AN158+AN146+AN151+AN152+AN153+AN154+AN159</f>
        <v>6279487.59397824</v>
      </c>
      <c r="AO160" s="61" t="n">
        <f aca="false">AO158+AO146+AO151+AO152+AO153+AO154+AO159</f>
        <v>6100674.95759408</v>
      </c>
      <c r="AP160" s="61" t="n">
        <f aca="false">AP158+AP146+AP151+AP152+AP153+AP154+AP159</f>
        <v>5881382.81880992</v>
      </c>
      <c r="AQ160" s="61" t="n">
        <f aca="false">AQ158+AQ146+AQ151+AQ152+AQ153+AQ154+AQ159</f>
        <v>5670426.75842576</v>
      </c>
      <c r="AR160" s="61" t="n">
        <f aca="false">AR158+AR146+AR151+AR152+AR153+AR154+AR159</f>
        <v>5443398.9860416</v>
      </c>
      <c r="AS160" s="61" t="n">
        <f aca="false">AS158+AS146+AS151+AS152+AS153+AS154+AS159</f>
        <v>5096609.74697866</v>
      </c>
      <c r="AT160" s="61" t="n">
        <f aca="false">AT158+AT146+AT151+AT152+AT153+AT154+AT159</f>
        <v>4733248.25191571</v>
      </c>
      <c r="AU160" s="61" t="n">
        <f aca="false">AU158+AU146+AU151+AU152+AU153+AU154+AU159</f>
        <v>4314957.42085276</v>
      </c>
      <c r="AV160" s="61" t="n">
        <f aca="false">AV158+AV146+AV151+AV152+AV153+AV154+AV159</f>
        <v>3918451.40738982</v>
      </c>
      <c r="AW160" s="61" t="n">
        <f aca="false">AW158+AW146+AW151+AW152+AW153+AW154+AW159</f>
        <v>3521444.83712687</v>
      </c>
      <c r="AX160" s="61" t="n">
        <f aca="false">AX158+AX146+AX151+AX152+AX153+AX154+AX159</f>
        <v>3123937.72286392</v>
      </c>
      <c r="AY160" s="61" t="n">
        <f aca="false">AY158+AY146+AY151+AY152+AY153+AY154+AY159</f>
        <v>2713935.34547305</v>
      </c>
      <c r="AZ160" s="61" t="n">
        <f aca="false">AZ158+AZ146+AZ151+AZ152+AZ153+AZ154+AZ159</f>
        <v>2303432.41768218</v>
      </c>
      <c r="BA160" s="61" t="n">
        <f aca="false">BA158+BA146+BA151+BA152+BA153+BA154+BA159</f>
        <v>1892428.9394913</v>
      </c>
      <c r="BB160" s="61" t="n">
        <f aca="false">BB158+BB146+BB151+BB152+BB153+BB154+BB159</f>
        <v>1456028.97122043</v>
      </c>
      <c r="BC160" s="61" t="n">
        <f aca="false">BC158+BC146+BC151+BC152+BC153+BC154+BC159</f>
        <v>1044024.39222956</v>
      </c>
      <c r="BD160" s="61" t="n">
        <f aca="false">BD158+BD146+BD151+BD152+BD153+BD154+BD159</f>
        <v>631519.262838685</v>
      </c>
      <c r="BE160" s="61" t="n">
        <f aca="false">BE158+BE146+BE151+BE152+BE153+BE154+BE159</f>
        <v>218513.583047813</v>
      </c>
      <c r="BF160" s="61" t="n">
        <f aca="false">BF158+BF146+BF151+BF152+BF153+BF154+BF159</f>
        <v>-194992.647143059</v>
      </c>
      <c r="BG160" s="61" t="n">
        <f aca="false">BG158+BG146+BG151+BG152+BG153+BG154+BG159</f>
        <v>-788376.830027265</v>
      </c>
      <c r="BH160" s="61" t="n">
        <f aca="false">BH158+BH146+BH151+BH152+BH153+BH154+BH159</f>
        <v>-1330329.69435147</v>
      </c>
      <c r="BI160" s="61" t="n">
        <f aca="false">BI158+BI146+BI151+BI152+BI153+BI154+BI159</f>
        <v>-1872783.10907568</v>
      </c>
      <c r="BJ160" s="61" t="n">
        <f aca="false">BJ158+BJ146+BJ151+BJ152+BJ153+BJ154+BJ159</f>
        <v>-2347961.78459988</v>
      </c>
      <c r="BK160" s="61" t="n">
        <f aca="false">BK158+BK146+BK151+BK152+BK153+BK154+BK159</f>
        <v>-2971926.74070657</v>
      </c>
      <c r="BL160" s="61" t="n">
        <f aca="false">BL158+BL146+BL151+BL152+BL153+BL154+BL159</f>
        <v>-3595891.69681326</v>
      </c>
      <c r="BM160" s="61" t="n">
        <f aca="false">BM158+BM146+BM151+BM152+BM153+BM154+BM159</f>
        <v>-4219856.65291995</v>
      </c>
      <c r="BN160" s="61" t="n">
        <f aca="false">BN158+BN146+BN151+BN152+BN153+BN154+BN159</f>
        <v>-4869215.46750024</v>
      </c>
      <c r="BO160" s="61" t="n">
        <f aca="false">BO158+BO146+BO151+BO152+BO153+BO154+BO159</f>
        <v>-5493180.42360693</v>
      </c>
      <c r="BP160" s="61" t="n">
        <f aca="false">BP158+BP146+BP151+BP152+BP153+BP154+BP159</f>
        <v>-6065631.85971362</v>
      </c>
      <c r="BQ160" s="61" t="n">
        <f aca="false">BQ158+BQ146+BQ151+BQ152+BQ153+BQ154+BQ159</f>
        <v>-6689596.81582031</v>
      </c>
      <c r="BR160" s="61" t="n">
        <f aca="false">BR158+BR146+BR151+BR152+BR153+BR154+BR159</f>
        <v>-7313561.771927</v>
      </c>
      <c r="BS160" s="61" t="n">
        <f aca="false">BS158+BS146+BS151+BS152+BS153+BS154+BS159</f>
        <v>-7892950.42490089</v>
      </c>
      <c r="BT160" s="61" t="n">
        <f aca="false">BT158+BT146+BT151+BT152+BT153+BT154+BT159</f>
        <v>-8516915.38100758</v>
      </c>
      <c r="BU160" s="61" t="n">
        <f aca="false">BU158+BU146+BU151+BU152+BU153+BU154+BU159</f>
        <v>-9140880.33711427</v>
      </c>
      <c r="BV160" s="61" t="n">
        <f aca="false">BV158+BV146+BV151+BV152+BV153+BV154+BV159</f>
        <v>-9697083.29322096</v>
      </c>
      <c r="BW160" s="61" t="n">
        <f aca="false">BW158+BW146+BW151+BW152+BW153+BW154+BW159</f>
        <v>-10333527.5484498</v>
      </c>
      <c r="BX160" s="61" t="n">
        <f aca="false">BX158+BX146+BX151+BX152+BX153+BX154+BX159</f>
        <v>-10969971.8036786</v>
      </c>
      <c r="BY160" s="61" t="n">
        <f aca="false">BY158+BY146+BY151+BY152+BY153+BY154+BY159</f>
        <v>-11538654.0589074</v>
      </c>
      <c r="BZ160" s="61" t="n">
        <f aca="false">BZ158+BZ146+BZ151+BZ152+BZ153+BZ154+BZ159</f>
        <v>-12201000.0497793</v>
      </c>
      <c r="CA160" s="61" t="n">
        <f aca="false">CA158+CA146+CA151+CA152+CA153+CA154+CA159</f>
        <v>-12837444.3050082</v>
      </c>
      <c r="CB160" s="61" t="n">
        <f aca="false">CB158+CB146+CB151+CB152+CB153+CB154+CB159</f>
        <v>-13397389.560237</v>
      </c>
      <c r="CC160" s="61" t="n">
        <f aca="false">CC158+CC146+CC151+CC152+CC153+CC154+CC159</f>
        <v>-14033833.8154658</v>
      </c>
      <c r="CD160" s="61" t="n">
        <f aca="false">CD158+CD146+CD151+CD152+CD153+CD154+CD159</f>
        <v>-14670278.0706946</v>
      </c>
      <c r="CE160" s="61" t="n">
        <f aca="false">CE158+CE146+CE151+CE152+CE153+CE154+CE159</f>
        <v>-15253872.736728</v>
      </c>
      <c r="CF160" s="61" t="n">
        <f aca="false">CF158+CF146+CF151+CF152+CF153+CF154+CF159</f>
        <v>-15890316.9919568</v>
      </c>
      <c r="CG160" s="61" t="n">
        <f aca="false">CG158+CG146+CG151+CG152+CG153+CG154+CG159</f>
        <v>-16526761.2471856</v>
      </c>
      <c r="CH160" s="61" t="n">
        <f aca="false">CH158+CH146+CH151+CH152+CH153+CH154+CH159</f>
        <v>-17080098.475808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24784936.501511</v>
      </c>
      <c r="H3" s="65" t="n">
        <f aca="false">Model!U7+Model!V7+Model!W7</f>
        <v>22354845.67036</v>
      </c>
      <c r="I3" s="65" t="n">
        <f aca="false">Model!X7+Model!Y7+Model!Z7</f>
        <v>18455897.61331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966959.324483083</v>
      </c>
      <c r="H5" s="10" t="n">
        <f aca="false">Model!U8+Model!V8+Model!W8</f>
        <v>885665.663298872</v>
      </c>
      <c r="I5" s="10" t="n">
        <f aca="false">Model!X8+Model!Y8+Model!Z8</f>
        <v>848222.629293404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984388.377114662</v>
      </c>
      <c r="H6" s="10" t="n">
        <f aca="false">Model!U9+Model!V9+Model!W9</f>
        <v>890179.347509399</v>
      </c>
      <c r="I6" s="10" t="n">
        <f aca="false">Model!X9+Model!Y9+Model!Z9</f>
        <v>848222.629293404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301962.767152256</v>
      </c>
      <c r="H7" s="10" t="n">
        <f aca="false">Model!U10+Model!V10+Model!W10</f>
        <v>290923.642152256</v>
      </c>
      <c r="I7" s="10" t="n">
        <f aca="false">Model!X10+Model!Y10+Model!Z10</f>
        <v>282740.876431135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2253310.46875</v>
      </c>
      <c r="H9" s="12" t="n">
        <f aca="false">Model!U12+Model!V12+Model!W12</f>
        <v>2066768.65296053</v>
      </c>
      <c r="I9" s="12" t="n">
        <f aca="false">Model!X12+Model!Y12+Model!Z12</f>
        <v>1979186.13501794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-1363473.8871</v>
      </c>
      <c r="H15" s="12" t="n">
        <f aca="false">Model!U38+Model!V38+Model!W38</f>
        <v>-1363473.8871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889836.58165</v>
      </c>
      <c r="H16" s="16" t="n">
        <f aca="false">Model!U40+Model!V40+Model!W40</f>
        <v>703294.765860526</v>
      </c>
      <c r="I16" s="16" t="n">
        <f aca="false">Model!X40+Model!Y40+Model!Z40</f>
        <v>615712.247917943</v>
      </c>
      <c r="J16" s="16" t="n">
        <f aca="false">Model!AA40+Model!AB40+Model!AC40</f>
        <v>-391543.816538571</v>
      </c>
      <c r="K16" s="16" t="n">
        <f aca="false">Model!AD40+Model!AE40+Model!AF40</f>
        <v>563961.058453455</v>
      </c>
      <c r="L16" s="16" t="n">
        <f aca="false">Model!AG40+Model!AH40+Model!AI40</f>
        <v>362603.056559515</v>
      </c>
      <c r="M16" s="16" t="n">
        <f aca="false">Model!AJ40+Model!AK40+Model!AL40</f>
        <v>-226353.762569273</v>
      </c>
      <c r="N16" s="16" t="n">
        <f aca="false">Model!AM40+Model!AN40+Model!AO40</f>
        <v>-434224.118502477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0.394901898336108</v>
      </c>
      <c r="H17" s="17" t="n">
        <f aca="false">IF((Model!U12+Model!V12+Model!W12)&lt;&gt;0,(Model!U40+Model!V40+Model!W40)/(Model!U12+Model!V12+Model!W12),0)</f>
        <v>0.340287126405318</v>
      </c>
      <c r="I17" s="17" t="n">
        <f aca="false">IF((Model!X12+Model!Y12+Model!Z12)&lt;&gt;0,(Model!X40+Model!Y40+Model!Z40)/(Model!X12+Model!Y12+Model!Z12),0)</f>
        <v>0.311093654620999</v>
      </c>
      <c r="J17" s="17" t="n">
        <f aca="false">IF((Model!AA12+Model!AB12+Model!AC12)&lt;&gt;0,(Model!AA40+Model!AB40+Model!AC40)/(Model!AA12+Model!AB12+Model!AC12),0)</f>
        <v>-0.167096118291419</v>
      </c>
      <c r="K17" s="17" t="n">
        <f aca="false">IF((Model!AD12+Model!AE12+Model!AF12)&lt;&gt;0,(Model!AD40+Model!AE40+Model!AF40)/(Model!AD12+Model!AE12+Model!AF12),0)</f>
        <v>0.288514750226363</v>
      </c>
      <c r="L17" s="17" t="n">
        <f aca="false">IF((Model!AG12+Model!AH12+Model!AI12)&lt;&gt;0,(Model!AG40+Model!AH40+Model!AI40)/(Model!AG12+Model!AH12+Model!AI12),0)</f>
        <v>0.206806283192841</v>
      </c>
      <c r="M17" s="17" t="n">
        <f aca="false">IF((Model!AJ12+Model!AK12+Model!AL12)&lt;&gt;0,(Model!AJ40+Model!AK40+Model!AL40)/(Model!AJ12+Model!AK12+Model!AL12),0)</f>
        <v>-0.194396928766335</v>
      </c>
      <c r="N17" s="17" t="n">
        <f aca="false">IF((Model!AM12+Model!AN12+Model!AO12)&lt;&gt;0,(Model!AM40+Model!AN40+Model!AO40)/(Model!AM12+Model!AN12+Model!AO12),0)</f>
        <v>-0.441134887521423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698389.45225</v>
      </c>
      <c r="H23" s="16" t="n">
        <f aca="false">Model!U95+Model!V95+Model!W95</f>
        <v>720412.985260526</v>
      </c>
      <c r="I23" s="16" t="n">
        <f aca="false">Model!X95+Model!Y95+Model!Z95</f>
        <v>790769.229717943</v>
      </c>
      <c r="J23" s="16" t="n">
        <f aca="false">Model!AA95+Model!AB95+Model!AC95</f>
        <v>-104242.651638571</v>
      </c>
      <c r="K23" s="16" t="n">
        <f aca="false">Model!AD95+Model!AE95+Model!AF95</f>
        <v>707349.197753455</v>
      </c>
      <c r="L23" s="16" t="n">
        <f aca="false">Model!AG95+Model!AH95+Model!AI95</f>
        <v>500649.192659515</v>
      </c>
      <c r="M23" s="16" t="n">
        <f aca="false">Model!AJ95+Model!AK95+Model!AL95</f>
        <v>-128243.309669273</v>
      </c>
      <c r="N23" s="16" t="n">
        <f aca="false">Model!AM95+Model!AN95+Model!AO95</f>
        <v>-488222.779552477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7284978.98834841</v>
      </c>
      <c r="H42" s="21" t="n">
        <f aca="false">Model!W147</f>
        <v>7988273.75420893</v>
      </c>
      <c r="I42" s="21" t="n">
        <f aca="false">Model!Z147</f>
        <v>8603986.00212687</v>
      </c>
      <c r="J42" s="21" t="n">
        <f aca="false">Model!AC147</f>
        <v>8212442.18558831</v>
      </c>
      <c r="K42" s="21" t="n">
        <f aca="false">Model!AF147</f>
        <v>8776403.24404176</v>
      </c>
      <c r="L42" s="21" t="n">
        <f aca="false">Model!AI147</f>
        <v>9139006.30060128</v>
      </c>
      <c r="M42" s="21" t="n">
        <f aca="false">Model!AL147</f>
        <v>8912652.538032</v>
      </c>
      <c r="N42" s="21" t="n">
        <f aca="false">Model!AO147</f>
        <v>8478428.41952953</v>
      </c>
      <c r="O42" s="21" t="n">
        <f aca="false">Model!AR147</f>
        <v>8044204.30102705</v>
      </c>
      <c r="P42" s="21" t="n">
        <f aca="false">Model!AU147</f>
        <v>7095585.06888821</v>
      </c>
      <c r="Q42" s="21" t="n">
        <f aca="false">Model!AX147</f>
        <v>6146965.83674937</v>
      </c>
      <c r="R42" s="21" t="n">
        <f aca="false">Model!BA147</f>
        <v>5169975.43996775</v>
      </c>
      <c r="S42" s="21" t="n">
        <f aca="false">Model!BD147</f>
        <v>4192985.04318613</v>
      </c>
      <c r="T42" s="21" t="n">
        <f aca="false">Model!BG147</f>
        <v>3059348.31307118</v>
      </c>
      <c r="U42" s="21" t="n">
        <f aca="false">Model!BJ147</f>
        <v>1612418.91628956</v>
      </c>
      <c r="V42" s="21" t="n">
        <f aca="false">Model!BM147</f>
        <v>136550.931572315</v>
      </c>
      <c r="W42" s="21" t="n">
        <f aca="false">Model!BP147</f>
        <v>-1339317.05314493</v>
      </c>
      <c r="X42" s="21" t="n">
        <f aca="false">Model!BS147</f>
        <v>-2815185.03786218</v>
      </c>
      <c r="Y42" s="21" t="n">
        <f aca="false">Model!BV147</f>
        <v>-4291053.02257943</v>
      </c>
      <c r="Z42" s="21" t="n">
        <f aca="false">Model!BY147</f>
        <v>-5796438.36699103</v>
      </c>
      <c r="AA42" s="21" t="n">
        <f aca="false">Model!CB147</f>
        <v>-7301823.71140262</v>
      </c>
      <c r="AB42" s="21" t="n">
        <f aca="false">Model!CE147</f>
        <v>-8807209.05581421</v>
      </c>
      <c r="AC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-977117.243956794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-568357.490547702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4928172.33634841</v>
      </c>
      <c r="H45" s="23" t="n">
        <f aca="false">Model!W160</f>
        <v>5322616.07832349</v>
      </c>
      <c r="I45" s="23" t="n">
        <f aca="false">Model!Z160</f>
        <v>4886268.06408463</v>
      </c>
      <c r="J45" s="23" t="n">
        <f aca="false">Model!AC160</f>
        <v>5759142.65640286</v>
      </c>
      <c r="K45" s="23" t="n">
        <f aca="false">Model!AF160</f>
        <v>6466491.85415631</v>
      </c>
      <c r="L45" s="23" t="n">
        <f aca="false">Model!AI160</f>
        <v>6967141.04681583</v>
      </c>
      <c r="M45" s="23" t="n">
        <f aca="false">Model!AL160</f>
        <v>6020540.24659886</v>
      </c>
      <c r="N45" s="23" t="n">
        <f aca="false">Model!AO160</f>
        <v>6100674.95759408</v>
      </c>
      <c r="O45" s="23" t="n">
        <f aca="false">Model!AR160</f>
        <v>5443398.9860416</v>
      </c>
      <c r="P45" s="23" t="n">
        <f aca="false">Model!AU160</f>
        <v>4314957.42085276</v>
      </c>
      <c r="Q45" s="23" t="n">
        <f aca="false">Model!AX160</f>
        <v>3123937.72286392</v>
      </c>
      <c r="R45" s="23" t="n">
        <f aca="false">Model!BA160</f>
        <v>1892428.9394913</v>
      </c>
      <c r="S45" s="23" t="n">
        <f aca="false">Model!BD160</f>
        <v>631519.262838685</v>
      </c>
      <c r="T45" s="23" t="n">
        <f aca="false">Model!BG160</f>
        <v>-788376.830027265</v>
      </c>
      <c r="U45" s="23" t="n">
        <f aca="false">Model!BJ160</f>
        <v>-2347961.78459988</v>
      </c>
      <c r="V45" s="23" t="n">
        <f aca="false">Model!BM160</f>
        <v>-4219856.65291995</v>
      </c>
      <c r="W45" s="23" t="n">
        <f aca="false">Model!BP160</f>
        <v>-6065631.85971362</v>
      </c>
      <c r="X45" s="23" t="n">
        <f aca="false">Model!BS160</f>
        <v>-7892950.42490089</v>
      </c>
      <c r="Y45" s="23" t="n">
        <f aca="false">Model!BV160</f>
        <v>-9697083.29322096</v>
      </c>
      <c r="Z45" s="23" t="n">
        <f aca="false">Model!BY160</f>
        <v>-11538654.0589074</v>
      </c>
      <c r="AA45" s="23" t="n">
        <f aca="false">Model!CB160</f>
        <v>-13397389.560237</v>
      </c>
      <c r="AB45" s="23" t="n">
        <f aca="false">Model!CE160</f>
        <v>-15253872.736728</v>
      </c>
      <c r="AC45" s="23" t="n">
        <f aca="false">Model!CH160</f>
        <v>-17080098.475808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-6898330.7913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3740614.02245598</v>
      </c>
      <c r="D43" s="77" t="n">
        <f aca="false">'Annual Summary'!D16</f>
        <v>1150732.54639234</v>
      </c>
      <c r="E43" s="77" t="n">
        <f aca="false">'Annual Summary'!E16</f>
        <v>-2043421.23171307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-2665657.67588545</v>
      </c>
      <c r="D50" s="91" t="n">
        <f aca="false">'Annual Summary'!D43</f>
        <v>-2171865.25378545</v>
      </c>
      <c r="E50" s="91" t="n">
        <f aca="false">'Annual Summary'!E43</f>
        <v>-2780627.64803545</v>
      </c>
      <c r="F50" s="91" t="n">
        <f aca="false">'Annual Summary'!F43</f>
        <v>-3847725.14309845</v>
      </c>
      <c r="G50" s="91" t="n">
        <f aca="false">'Annual Summary'!G43</f>
        <v>-5077765.38703871</v>
      </c>
      <c r="H50" s="91" t="n">
        <f aca="false">'Annual Summary'!H43</f>
        <v>-6446663.68091377</v>
      </c>
      <c r="I50" s="91" t="n">
        <f aca="false">'Annual Summary'!I43</f>
        <v>-6767504.07558217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7988273.75420893</v>
      </c>
      <c r="D52" s="91" t="n">
        <f aca="false">'Annual Summary'!D42</f>
        <v>9139006.30060128</v>
      </c>
      <c r="E52" s="91" t="n">
        <f aca="false">'Annual Summary'!E42</f>
        <v>7095585.06888821</v>
      </c>
      <c r="F52" s="91" t="n">
        <f aca="false">'Annual Summary'!F42</f>
        <v>3059348.31307118</v>
      </c>
      <c r="G52" s="91" t="n">
        <f aca="false">'Annual Summary'!G42</f>
        <v>-2815185.03786218</v>
      </c>
      <c r="H52" s="91" t="n">
        <f aca="false">'Annual Summary'!H42</f>
        <v>-8807209.05581421</v>
      </c>
      <c r="I52" s="91" t="n">
        <f aca="false">'Annual Summary'!I42</f>
        <v>-10312594.4002258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7988273.75420893</v>
      </c>
      <c r="D71" s="81" t="n">
        <f aca="false">'Annual Summary'!E42</f>
        <v>7095585.06888821</v>
      </c>
      <c r="E71" s="81" t="n">
        <f aca="false">'Annual Summary'!G42</f>
        <v>-2815185.03786218</v>
      </c>
      <c r="F71" s="81" t="n">
        <f aca="false">'Annual Summary'!I42</f>
        <v>-10312594.4002258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-2665657.67588545</v>
      </c>
      <c r="D72" s="97" t="n">
        <f aca="false">'Annual Summary'!E43</f>
        <v>-2780627.64803545</v>
      </c>
      <c r="E72" s="97" t="n">
        <f aca="false">'Annual Summary'!G43</f>
        <v>-5077765.38703871</v>
      </c>
      <c r="F72" s="97" t="n">
        <f aca="false">'Annual Summary'!I43</f>
        <v>-6767504.07558217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-2665657.67588545</v>
      </c>
      <c r="D100" s="81" t="n">
        <f aca="false">'Annual Summary'!D43</f>
        <v>-2171865.25378545</v>
      </c>
      <c r="E100" s="81" t="n">
        <f aca="false">'Annual Summary'!E43</f>
        <v>-2780627.64803545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-344916.539565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-3010574.21545045</v>
      </c>
      <c r="D102" s="81" t="n">
        <f aca="false">D100+D101</f>
        <v>-2515851.72986675</v>
      </c>
      <c r="E102" s="81" t="n">
        <f aca="false">E100+E101</f>
        <v>-3062948.55109837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-3010574.21545045</v>
      </c>
      <c r="D103" s="69" t="n">
        <f aca="false">D102-D99</f>
        <v>-2515851.72986675</v>
      </c>
      <c r="E103" s="69" t="n">
        <f aca="false">E102-E99</f>
        <v>-3062948.55109837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>
        <f>B16</f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>
        <f>C19+D19+E19+F19+G19+H19+I19+J19</f>
        <v>7053626</v>
      </c>
      <c r="C19" s="137" t="n">
        <f aca="false">SUM(C102:K102)</f>
        <v>0</v>
      </c>
      <c r="D19" s="137">
        <f>SUM(L102:W102)</f>
        <v>768293.6599999999</v>
      </c>
      <c r="E19" s="137">
        <f>SUM(X102:AI102)</f>
        <v>3186090.3899999997</v>
      </c>
      <c r="F19" s="137">
        <f>SUM(AJ102:AU102)</f>
        <v>1863287.0100000002</v>
      </c>
      <c r="G19" s="137">
        <f>SUM(AV102:BG102)</f>
        <v>805320.4200000002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>
        <f>C21+D21+E21+F21+G21+H21+I21+J21</f>
        <v>6490433.382999999</v>
      </c>
      <c r="C21" s="137" t="n">
        <f aca="false">SUM(C104:K104)</f>
        <v>0</v>
      </c>
      <c r="D21" s="137">
        <f>SUM(L104:W104)</f>
        <v>674711.8399999999</v>
      </c>
      <c r="E21" s="137">
        <f>SUM(X104:AI104)</f>
        <v>3036090.3899999997</v>
      </c>
      <c r="F21" s="137">
        <f>SUM(AJ104:AU104)</f>
        <v>1714836.708</v>
      </c>
      <c r="G21" s="137">
        <f>SUM(AV104:BG104)</f>
        <v>668387.178</v>
      </c>
      <c r="H21" s="137">
        <f>SUM(BH104:BS104)</f>
        <v>396407.267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>
        <f>C24+D24+E24+F24+G24+H24+I24+J24</f>
        <v>4101960.074</v>
      </c>
      <c r="C24" s="139" t="n">
        <f aca="false">SUM(C107:K107)</f>
        <v>0</v>
      </c>
      <c r="D24" s="139">
        <f>SUM(L107:W107)</f>
        <v>498408.924</v>
      </c>
      <c r="E24" s="139">
        <f>SUM(X107:AI107)</f>
        <v>1850317.658</v>
      </c>
      <c r="F24" s="139">
        <f>SUM(AJ107:AU107)</f>
        <v>1049675.7745</v>
      </c>
      <c r="G24" s="139">
        <f>SUM(AV107:BG107)</f>
        <v>471126.831</v>
      </c>
      <c r="H24" s="139">
        <f>SUM(BH107:BS107)</f>
        <v>232430.88650000002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620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620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620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620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0" t="s">
        <v>624</v>
      </c>
      <c r="G48" s="151">
        <f>SUM(G44:G47)</f>
        <v>1500039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>
        <v>456000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>
        <f>B16</f>
        <v>9009665</v>
      </c>
    </row>
    <row r="61" customFormat="false" ht="15" hidden="false" customHeight="true" outlineLevel="0" collapsed="false">
      <c r="A61" s="110" t="s">
        <v>565</v>
      </c>
      <c r="B61" s="65">
        <f>B17</f>
        <v>-1500039</v>
      </c>
    </row>
    <row r="62" customFormat="false" ht="15" hidden="false" customHeight="true" outlineLevel="0" collapsed="false">
      <c r="A62" s="110" t="s">
        <v>566</v>
      </c>
      <c r="B62" s="65">
        <f>B18</f>
        <v>-456000</v>
      </c>
    </row>
    <row r="63" customFormat="false" ht="15" hidden="false" customHeight="true" outlineLevel="0" collapsed="false">
      <c r="A63" s="141" t="s">
        <v>567</v>
      </c>
      <c r="B63" s="144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1" t="s">
        <v>569</v>
      </c>
      <c r="B65" s="144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1" t="s">
        <v>571</v>
      </c>
      <c r="B67" s="144">
        <f>B65+B66</f>
        <v>3538767.4570000004</v>
      </c>
    </row>
    <row r="68" customFormat="false" ht="15" hidden="false" customHeight="true" outlineLevel="0" collapsed="false">
      <c r="A68" s="110" t="s">
        <v>568</v>
      </c>
      <c r="B68" s="65">
        <f>B20</f>
        <v>563192.617</v>
      </c>
    </row>
    <row r="69" customFormat="false" ht="15" hidden="false" customHeight="true" outlineLevel="0" collapsed="false">
      <c r="A69" s="141" t="s">
        <v>572</v>
      </c>
      <c r="B69" s="144">
        <f>B67+B68</f>
        <v>4101960.0740000005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inlineStr">
        <is>
          <t>SP Overhead is 10% of all fee revenue, capped at $150,000 per year, retained by Six Peak.</t>
        </is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inlineStr">
        <is>
          <t>Schuyler bonus: 40% on first 20 deals (Mo 10-24), 45% on next 20 (Mo 25-37), 50% on final 20 (Mo 38+). Paid on positive months only.</t>
        </is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inlineStr">
        <is>
          <t>Other OpEx: Acctg/Audit/Tax ($40K/yr), Insurance ($20K/yr), Office ($2,500/mo), Computer ($24K/yr).</t>
        </is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59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>
        <f>SUM(C100:CH100)</f>
        <v>-1500039</v>
      </c>
      <c r="C100" s="161">
        <v>0</v>
      </c>
      <c r="D100" s="161">
        <v>0</v>
      </c>
      <c r="E100" s="161">
        <v>0</v>
      </c>
      <c r="F100" s="161">
        <v>0</v>
      </c>
      <c r="G100" s="161">
        <v>0</v>
      </c>
      <c r="H100" s="161">
        <v>0</v>
      </c>
      <c r="I100" s="161">
        <v>0</v>
      </c>
      <c r="J100" s="161">
        <v>0</v>
      </c>
      <c r="K100" s="161">
        <v>0</v>
      </c>
      <c r="L100" s="165">
        <v>0</v>
      </c>
      <c r="M100" s="165">
        <v>-10417</v>
      </c>
      <c r="N100" s="165">
        <v>-10417</v>
      </c>
      <c r="O100" s="165">
        <v>-10417</v>
      </c>
      <c r="P100" s="165">
        <v>-17917</v>
      </c>
      <c r="Q100" s="165">
        <v>-17917</v>
      </c>
      <c r="R100" s="165">
        <v>-17917</v>
      </c>
      <c r="S100" s="165">
        <v>-17917</v>
      </c>
      <c r="T100" s="165">
        <v>-17917</v>
      </c>
      <c r="U100" s="165">
        <v>-27084</v>
      </c>
      <c r="V100" s="165">
        <v>-27084</v>
      </c>
      <c r="W100" s="165">
        <v>-27084</v>
      </c>
      <c r="X100" s="165">
        <v>-27084</v>
      </c>
      <c r="Y100" s="165">
        <v>-27084</v>
      </c>
      <c r="Z100" s="165">
        <v>-27084</v>
      </c>
      <c r="AA100" s="165">
        <v>-27084</v>
      </c>
      <c r="AB100" s="165">
        <v>-27084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>
        <v>0</v>
      </c>
      <c r="BI100" s="161">
        <v>0</v>
      </c>
      <c r="BJ100" s="161">
        <v>0</v>
      </c>
      <c r="BK100" s="161">
        <v>0</v>
      </c>
      <c r="BL100" s="161">
        <v>0</v>
      </c>
      <c r="BM100" s="161">
        <v>0</v>
      </c>
      <c r="BN100" s="161">
        <v>0</v>
      </c>
      <c r="BO100" s="161">
        <v>0</v>
      </c>
      <c r="BP100" s="161">
        <v>0</v>
      </c>
      <c r="BQ100" s="161">
        <v>0</v>
      </c>
      <c r="BR100" s="161">
        <v>0</v>
      </c>
      <c r="BS100" s="161">
        <v>0</v>
      </c>
      <c r="BT100" s="161">
        <v>0</v>
      </c>
      <c r="BU100" s="161">
        <v>0</v>
      </c>
      <c r="BV100" s="161">
        <v>0</v>
      </c>
      <c r="BW100" s="161">
        <v>0</v>
      </c>
      <c r="BX100" s="161">
        <v>0</v>
      </c>
      <c r="BY100" s="161">
        <v>0</v>
      </c>
      <c r="BZ100" s="161">
        <v>0</v>
      </c>
      <c r="CA100" s="161">
        <v>0</v>
      </c>
      <c r="CB100" s="161">
        <v>0</v>
      </c>
      <c r="CC100" s="161">
        <v>0</v>
      </c>
      <c r="CD100" s="161">
        <v>0</v>
      </c>
      <c r="CE100" s="161">
        <v>0</v>
      </c>
      <c r="CF100" s="161">
        <v>0</v>
      </c>
      <c r="CG100" s="161">
        <v>0</v>
      </c>
      <c r="CH100" s="161"/>
    </row>
    <row r="101" customFormat="false" ht="15" hidden="false" customHeight="true" outlineLevel="0" collapsed="false">
      <c r="A101" s="163" t="s">
        <v>566</v>
      </c>
      <c r="B101" s="164">
        <f>SUM(C101:CH101)</f>
        <v>-456000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>
        <v>-9500</v>
      </c>
      <c r="M101" s="165">
        <v>-9500</v>
      </c>
      <c r="N101" s="165">
        <v>-9500</v>
      </c>
      <c r="O101" s="165">
        <v>-9500</v>
      </c>
      <c r="P101" s="165">
        <v>-9500</v>
      </c>
      <c r="Q101" s="165">
        <v>-9500</v>
      </c>
      <c r="R101" s="165">
        <v>-9500</v>
      </c>
      <c r="S101" s="165">
        <v>-9500</v>
      </c>
      <c r="T101" s="165">
        <v>-9500</v>
      </c>
      <c r="U101" s="165">
        <v>-9500</v>
      </c>
      <c r="V101" s="165">
        <v>-9500</v>
      </c>
      <c r="W101" s="165">
        <v>-9500</v>
      </c>
      <c r="X101" s="165">
        <v>-9500</v>
      </c>
      <c r="Y101" s="165">
        <v>-9500</v>
      </c>
      <c r="Z101" s="165">
        <v>-9500</v>
      </c>
      <c r="AA101" s="165">
        <v>-9500</v>
      </c>
      <c r="AB101" s="165">
        <v>-9500</v>
      </c>
      <c r="AC101" s="165">
        <v>-9500</v>
      </c>
      <c r="AD101" s="165">
        <v>-9500</v>
      </c>
      <c r="AE101" s="165">
        <v>-9500</v>
      </c>
      <c r="AF101" s="165">
        <v>-9500</v>
      </c>
      <c r="AG101" s="165">
        <v>-9500</v>
      </c>
      <c r="AH101" s="165">
        <v>-9500</v>
      </c>
      <c r="AI101" s="165">
        <v>-9500</v>
      </c>
      <c r="AJ101" s="165">
        <v>-9500</v>
      </c>
      <c r="AK101" s="165">
        <v>-9500</v>
      </c>
      <c r="AL101" s="165">
        <v>-9500</v>
      </c>
      <c r="AM101" s="165">
        <v>-9500</v>
      </c>
      <c r="AN101" s="165">
        <v>-9500</v>
      </c>
      <c r="AO101" s="165">
        <v>-9500</v>
      </c>
      <c r="AP101" s="165">
        <v>-9500</v>
      </c>
      <c r="AQ101" s="165">
        <v>-9500</v>
      </c>
      <c r="AR101" s="165">
        <v>-9500</v>
      </c>
      <c r="AS101" s="165">
        <v>-9500</v>
      </c>
      <c r="AT101" s="165">
        <v>-9500</v>
      </c>
      <c r="AU101" s="165">
        <v>-9500</v>
      </c>
      <c r="AV101" s="165">
        <v>-9500</v>
      </c>
      <c r="AW101" s="165">
        <v>-9500</v>
      </c>
      <c r="AX101" s="165">
        <v>-9500</v>
      </c>
      <c r="AY101" s="165">
        <v>-9500</v>
      </c>
      <c r="AZ101" s="165">
        <v>-9500</v>
      </c>
      <c r="BA101" s="165">
        <v>-9500</v>
      </c>
      <c r="BB101" s="165">
        <v>-9500</v>
      </c>
      <c r="BC101" s="165">
        <v>-9500</v>
      </c>
      <c r="BD101" s="165">
        <v>-9500</v>
      </c>
      <c r="BE101" s="165">
        <v>-9500</v>
      </c>
      <c r="BF101" s="165">
        <v>-9500</v>
      </c>
      <c r="BG101" s="165">
        <v>-9500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>
        <f>SUM(C102:CH102)</f>
        <v>7053625.999999999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>
        <f>L99+L100+L101</f>
        <v>35550.36</v>
      </c>
      <c r="M102" s="166">
        <f>M99+M100+M101</f>
        <v>25133.36</v>
      </c>
      <c r="N102" s="166">
        <f>N99+N100+N101</f>
        <v>25133.36</v>
      </c>
      <c r="O102" s="166">
        <f>O99+O100+O101</f>
        <v>25133.36</v>
      </c>
      <c r="P102" s="166">
        <f>P99+P100+P101</f>
        <v>17633.36</v>
      </c>
      <c r="Q102" s="166">
        <f>Q99+Q100+Q101</f>
        <v>17633.36</v>
      </c>
      <c r="R102" s="166">
        <f>R99+R100+R101</f>
        <v>43527.520000000004</v>
      </c>
      <c r="S102" s="166">
        <f>S99+S100+S101</f>
        <v>69421.68</v>
      </c>
      <c r="T102" s="166">
        <f>T99+T100+T101</f>
        <v>95315.84</v>
      </c>
      <c r="U102" s="166">
        <f>U99+U100+U101</f>
        <v>112042.98999999999</v>
      </c>
      <c r="V102" s="166">
        <f>V99+V100+V101</f>
        <v>137937.16</v>
      </c>
      <c r="W102" s="166">
        <f>W99+W100+W101</f>
        <v>163831.31</v>
      </c>
      <c r="X102" s="166">
        <f>X99+X100+X101</f>
        <v>189725.46</v>
      </c>
      <c r="Y102" s="166">
        <f>Y99+Y100+Y101</f>
        <v>215619.62</v>
      </c>
      <c r="Z102" s="166">
        <f>Z99+Z100+Z101</f>
        <v>241513.78999999998</v>
      </c>
      <c r="AA102" s="166">
        <f>AA99+AA100+AA101</f>
        <v>267407.94</v>
      </c>
      <c r="AB102" s="166">
        <f>AB99+AB100+AB101</f>
        <v>293302.11</v>
      </c>
      <c r="AC102" s="166">
        <f>AC99+AC100+AC101</f>
        <v>353829.61</v>
      </c>
      <c r="AD102" s="166">
        <f>AD99+AD100+AD101</f>
        <v>264511.01</v>
      </c>
      <c r="AE102" s="166">
        <f>AE99+AE100+AE101</f>
        <v>265293.13</v>
      </c>
      <c r="AF102" s="166">
        <f>AF99+AF100+AF101</f>
        <v>266075.23</v>
      </c>
      <c r="AG102" s="166">
        <f>AG99+AG100+AG101</f>
        <v>266857.34</v>
      </c>
      <c r="AH102" s="166">
        <f>AH99+AH100+AH101</f>
        <v>267639.44</v>
      </c>
      <c r="AI102" s="166">
        <f>AI99+AI100+AI101</f>
        <v>294315.71</v>
      </c>
      <c r="AJ102" s="166">
        <f>AJ99+AJ100+AJ101</f>
        <v>269203.67</v>
      </c>
      <c r="AK102" s="166">
        <f>AK99+AK100+AK101</f>
        <v>244091.62</v>
      </c>
      <c r="AL102" s="166">
        <f>AL99+AL100+AL101</f>
        <v>218979.57</v>
      </c>
      <c r="AM102" s="166">
        <f>AM99+AM100+AM101</f>
        <v>193867.51</v>
      </c>
      <c r="AN102" s="166">
        <f>AN99+AN100+AN101</f>
        <v>168755.47</v>
      </c>
      <c r="AO102" s="166">
        <f>AO99+AO100+AO101</f>
        <v>143643.42</v>
      </c>
      <c r="AP102" s="166">
        <f>AP99+AP100+AP101</f>
        <v>118531.35999999999</v>
      </c>
      <c r="AQ102" s="166">
        <f>AQ99+AQ100+AQ101</f>
        <v>93419.32</v>
      </c>
      <c r="AR102" s="166">
        <f>AR99+AR100+AR101</f>
        <v>68307.27</v>
      </c>
      <c r="AS102" s="166">
        <f>AS99+AS100+AS101</f>
        <v>149094.1</v>
      </c>
      <c r="AT102" s="166">
        <f>AT99+AT100+AT101</f>
        <v>123199.95000000001</v>
      </c>
      <c r="AU102" s="166">
        <f>AU99+AU100+AU101</f>
        <v>72193.75</v>
      </c>
      <c r="AV102" s="166">
        <f>AV99+AV100+AV101</f>
        <v>71411.64</v>
      </c>
      <c r="AW102" s="166">
        <f>AW99+AW100+AW101</f>
        <v>70629.52</v>
      </c>
      <c r="AX102" s="166">
        <f>AX99+AX100+AX101</f>
        <v>69847.42</v>
      </c>
      <c r="AY102" s="166">
        <f>AY99+AY100+AY101</f>
        <v>69065.31</v>
      </c>
      <c r="AZ102" s="166">
        <f>AZ99+AZ100+AZ101</f>
        <v>68283.2</v>
      </c>
      <c r="BA102" s="166">
        <f>BA99+BA100+BA101</f>
        <v>67501.09</v>
      </c>
      <c r="BB102" s="166">
        <f>BB99+BB100+BB101</f>
        <v>66718.98</v>
      </c>
      <c r="BC102" s="166">
        <f>BC99+BC100+BC101</f>
        <v>65936.87</v>
      </c>
      <c r="BD102" s="166">
        <f>BD99+BD100+BD101</f>
        <v>65154.759999999995</v>
      </c>
      <c r="BE102" s="166">
        <f>BE99+BE100+BE101</f>
        <v>64372.649999999994</v>
      </c>
      <c r="BF102" s="166">
        <f>BF99+BF100+BF101</f>
        <v>63590.53999999999</v>
      </c>
      <c r="BG102" s="166">
        <f>BG99+BG100+BG101</f>
        <v>62808.44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>
        <f>SUM(C103:CH103)</f>
        <v>563192.6169999999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>
        <f>MIN(L99*$B$94,12500)</f>
        <v>4505.036</v>
      </c>
      <c r="M103" s="166">
        <f>MIN(M99*$B$94,12500)</f>
        <v>4505.036</v>
      </c>
      <c r="N103" s="166">
        <f>MIN(N99*$B$94,12500)</f>
        <v>4505.036</v>
      </c>
      <c r="O103" s="166">
        <f>MIN(O99*$B$94,12500)</f>
        <v>4505.036</v>
      </c>
      <c r="P103" s="166">
        <f>MIN(P99*$B$94,12500)</f>
        <v>4505.036</v>
      </c>
      <c r="Q103" s="166">
        <f>MIN(Q99*$B$94,12500)</f>
        <v>4505.036</v>
      </c>
      <c r="R103" s="166">
        <f>MIN(R99*$B$94,12500)</f>
        <v>7094.452000000001</v>
      </c>
      <c r="S103" s="166">
        <f>MIN(S99*$B$94,12500)</f>
        <v>9683.868</v>
      </c>
      <c r="T103" s="166">
        <f>MIN(T99*$B$94,12500)</f>
        <v>12273.284</v>
      </c>
      <c r="U103" s="166">
        <f>MIN(U99*$B$94,12500)</f>
        <v>12500</v>
      </c>
      <c r="V103" s="166">
        <f>MIN(V99*$B$94,12500)</f>
        <v>12500</v>
      </c>
      <c r="W103" s="166">
        <f>MIN(W99*$B$94,12500)</f>
        <v>12500</v>
      </c>
      <c r="X103" s="166">
        <f>MIN(X99*$B$94,12500)</f>
        <v>12500</v>
      </c>
      <c r="Y103" s="166">
        <f>MIN(Y99*$B$94,12500)</f>
        <v>12500</v>
      </c>
      <c r="Z103" s="166">
        <f>MIN(Z99*$B$94,12500)</f>
        <v>12500</v>
      </c>
      <c r="AA103" s="166">
        <f>MIN(AA99*$B$94,12500)</f>
        <v>12500</v>
      </c>
      <c r="AB103" s="166">
        <f>MIN(AB99*$B$94,12500)</f>
        <v>12500</v>
      </c>
      <c r="AC103" s="166">
        <f>MIN(AC99*$B$94,12500)</f>
        <v>12500</v>
      </c>
      <c r="AD103" s="166">
        <f>MIN(AD99*$B$94,12500)</f>
        <v>12500</v>
      </c>
      <c r="AE103" s="166">
        <f>MIN(AE99*$B$94,12500)</f>
        <v>12500</v>
      </c>
      <c r="AF103" s="166">
        <f>MIN(AF99*$B$94,12500)</f>
        <v>12500</v>
      </c>
      <c r="AG103" s="166">
        <f>MIN(AG99*$B$94,12500)</f>
        <v>12500</v>
      </c>
      <c r="AH103" s="166">
        <f>MIN(AH99*$B$94,12500)</f>
        <v>12500</v>
      </c>
      <c r="AI103" s="166">
        <f>MIN(AI99*$B$94,12500)</f>
        <v>12500</v>
      </c>
      <c r="AJ103" s="166">
        <f>MIN(AJ99*$B$94,12500)</f>
        <v>12500</v>
      </c>
      <c r="AK103" s="166">
        <f>MIN(AK99*$B$94,12500)</f>
        <v>12500</v>
      </c>
      <c r="AL103" s="166">
        <f>MIN(AL99*$B$94,12500)</f>
        <v>12500</v>
      </c>
      <c r="AM103" s="166">
        <f>MIN(AM99*$B$94,12500)</f>
        <v>12500</v>
      </c>
      <c r="AN103" s="166">
        <f>MIN(AN99*$B$94,12500)</f>
        <v>12500</v>
      </c>
      <c r="AO103" s="166">
        <f>MIN(AO99*$B$94,12500)</f>
        <v>12500</v>
      </c>
      <c r="AP103" s="166">
        <f>MIN(AP99*$B$94,12500)</f>
        <v>12500</v>
      </c>
      <c r="AQ103" s="166">
        <f>MIN(AQ99*$B$94,12500)</f>
        <v>12500</v>
      </c>
      <c r="AR103" s="166">
        <f>MIN(AR99*$B$94,12500)</f>
        <v>11530.827000000001</v>
      </c>
      <c r="AS103" s="166">
        <f>MIN(AS99*$B$94,12500)</f>
        <v>12500</v>
      </c>
      <c r="AT103" s="166">
        <f>MIN(AT99*$B$94,12500)</f>
        <v>12500</v>
      </c>
      <c r="AU103" s="166">
        <f>MIN(AU99*$B$94,12500)</f>
        <v>11919.475</v>
      </c>
      <c r="AV103" s="166">
        <f>MIN(AV99*$B$94,12500)</f>
        <v>11841.264000000001</v>
      </c>
      <c r="AW103" s="166">
        <f>MIN(AW99*$B$94,12500)</f>
        <v>11763.052000000001</v>
      </c>
      <c r="AX103" s="166">
        <f>MIN(AX99*$B$94,12500)</f>
        <v>11684.842</v>
      </c>
      <c r="AY103" s="166">
        <f>MIN(AY99*$B$94,12500)</f>
        <v>11606.631000000001</v>
      </c>
      <c r="AZ103" s="166">
        <f>MIN(AZ99*$B$94,12500)</f>
        <v>11528.42</v>
      </c>
      <c r="BA103" s="166">
        <f>MIN(BA99*$B$94,12500)</f>
        <v>11450.209</v>
      </c>
      <c r="BB103" s="166">
        <f>MIN(BB99*$B$94,12500)</f>
        <v>11371.998</v>
      </c>
      <c r="BC103" s="166">
        <f>MIN(BC99*$B$94,12500)</f>
        <v>11293.787</v>
      </c>
      <c r="BD103" s="166">
        <f>MIN(BD99*$B$94,12500)</f>
        <v>11215.576000000001</v>
      </c>
      <c r="BE103" s="166">
        <f>MIN(BE99*$B$94,12500)</f>
        <v>11137.365</v>
      </c>
      <c r="BF103" s="166">
        <f>MIN(BF99*$B$94,12500)</f>
        <v>11059.154</v>
      </c>
      <c r="BG103" s="166">
        <f>MIN(BG99*$B$94,12500)</f>
        <v>10980.944000000001</v>
      </c>
      <c r="BH103" s="166">
        <f>MIN(BH99*$B$94,12500)</f>
        <v>10902.732000000002</v>
      </c>
      <c r="BI103" s="166">
        <f>MIN(BI99*$B$94,12500)</f>
        <v>10824.521</v>
      </c>
      <c r="BJ103" s="166">
        <f>MIN(BJ99*$B$94,12500)</f>
        <v>12500</v>
      </c>
      <c r="BK103" s="166">
        <f>MIN(BK99*$B$94,12500)</f>
        <v>0</v>
      </c>
      <c r="BL103" s="166">
        <f>MIN(BL99*$B$94,12500)</f>
        <v>0</v>
      </c>
      <c r="BM103" s="166">
        <f>MIN(BM99*$B$94,12500)</f>
        <v>0</v>
      </c>
      <c r="BN103" s="166">
        <f>MIN(BN99*$B$94,12500)</f>
        <v>0</v>
      </c>
      <c r="BO103" s="166">
        <f>MIN(BO99*$B$94,12500)</f>
        <v>0</v>
      </c>
      <c r="BP103" s="166">
        <f>MIN(BP99*$B$94,12500)</f>
        <v>0</v>
      </c>
      <c r="BQ103" s="166">
        <f>MIN(BQ99*$B$94,12500)</f>
        <v>0</v>
      </c>
      <c r="BR103" s="166">
        <f>MIN(BR99*$B$94,12500)</f>
        <v>0</v>
      </c>
      <c r="BS103" s="166">
        <f>MIN(BS99*$B$94,12500)</f>
        <v>0</v>
      </c>
      <c r="BT103" s="166">
        <f>MIN(BT99*$B$94,12500)</f>
        <v>0</v>
      </c>
      <c r="BU103" s="166">
        <f>MIN(BU99*$B$94,12500)</f>
        <v>0</v>
      </c>
      <c r="BV103" s="166">
        <f>MIN(BV99*$B$94,12500)</f>
        <v>0</v>
      </c>
      <c r="BW103" s="166">
        <f>MIN(BW99*$B$94,12500)</f>
        <v>0</v>
      </c>
      <c r="BX103" s="166">
        <f>MIN(BX99*$B$94,12500)</f>
        <v>0</v>
      </c>
      <c r="BY103" s="166">
        <f>MIN(BY99*$B$94,12500)</f>
        <v>0</v>
      </c>
      <c r="BZ103" s="166">
        <f>MIN(BZ99*$B$94,12500)</f>
        <v>0</v>
      </c>
      <c r="CA103" s="166">
        <f>MIN(CA99*$B$94,12500)</f>
        <v>0</v>
      </c>
      <c r="CB103" s="166">
        <f>MIN(CB99*$B$94,12500)</f>
        <v>0</v>
      </c>
      <c r="CC103" s="166">
        <f>MIN(CC99*$B$94,12500)</f>
        <v>0</v>
      </c>
      <c r="CD103" s="166">
        <f>MIN(CD99*$B$94,12500)</f>
        <v>0</v>
      </c>
      <c r="CE103" s="166">
        <f>MIN(CE99*$B$94,12500)</f>
        <v>0</v>
      </c>
      <c r="CF103" s="166">
        <f>MIN(CF99*$B$94,12500)</f>
        <v>0</v>
      </c>
      <c r="CG103" s="166">
        <f>MIN(CG99*$B$94,12500)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>
        <f>SUM(C104:CH104)</f>
        <v>6490433.383000001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>
        <f>L102-L103</f>
        <v>31045.324</v>
      </c>
      <c r="M104" s="166">
        <f>M102-M103</f>
        <v>20628.324</v>
      </c>
      <c r="N104" s="166">
        <f>N102-N103</f>
        <v>20628.324</v>
      </c>
      <c r="O104" s="166">
        <f>O102-O103</f>
        <v>20628.324</v>
      </c>
      <c r="P104" s="166">
        <f>P102-P103</f>
        <v>13128.324</v>
      </c>
      <c r="Q104" s="166">
        <f>Q102-Q103</f>
        <v>13128.324</v>
      </c>
      <c r="R104" s="166">
        <f>R102-R103</f>
        <v>36433.068</v>
      </c>
      <c r="S104" s="166">
        <f>S102-S103</f>
        <v>59737.81199999999</v>
      </c>
      <c r="T104" s="166">
        <f>T102-T103</f>
        <v>83042.556</v>
      </c>
      <c r="U104" s="166">
        <f>U102-U103</f>
        <v>99542.98999999999</v>
      </c>
      <c r="V104" s="166">
        <f>V102-V103</f>
        <v>125437.16</v>
      </c>
      <c r="W104" s="166">
        <f>W102-W103</f>
        <v>151331.31</v>
      </c>
      <c r="X104" s="166">
        <f>X102-X103</f>
        <v>177225.46</v>
      </c>
      <c r="Y104" s="166">
        <f>Y102-Y103</f>
        <v>203119.62</v>
      </c>
      <c r="Z104" s="166">
        <f>Z102-Z103</f>
        <v>229013.78999999998</v>
      </c>
      <c r="AA104" s="166">
        <f>AA102-AA103</f>
        <v>254907.94</v>
      </c>
      <c r="AB104" s="166">
        <f>AB102-AB103</f>
        <v>280802.11</v>
      </c>
      <c r="AC104" s="166">
        <f>AC102-AC103</f>
        <v>341329.61</v>
      </c>
      <c r="AD104" s="166">
        <f>AD102-AD103</f>
        <v>252011.01</v>
      </c>
      <c r="AE104" s="166">
        <f>AE102-AE103</f>
        <v>252793.13</v>
      </c>
      <c r="AF104" s="166">
        <f>AF102-AF103</f>
        <v>253575.22999999998</v>
      </c>
      <c r="AG104" s="166">
        <f>AG102-AG103</f>
        <v>254357.34000000003</v>
      </c>
      <c r="AH104" s="166">
        <f>AH102-AH103</f>
        <v>255139.44</v>
      </c>
      <c r="AI104" s="166">
        <f>AI102-AI103</f>
        <v>281815.71</v>
      </c>
      <c r="AJ104" s="166">
        <f>AJ102-AJ103</f>
        <v>256703.66999999998</v>
      </c>
      <c r="AK104" s="166">
        <f>AK102-AK103</f>
        <v>231591.62</v>
      </c>
      <c r="AL104" s="166">
        <f>AL102-AL103</f>
        <v>206479.57</v>
      </c>
      <c r="AM104" s="166">
        <f>AM102-AM103</f>
        <v>181367.51</v>
      </c>
      <c r="AN104" s="166">
        <f>AN102-AN103</f>
        <v>156255.47</v>
      </c>
      <c r="AO104" s="166">
        <f>AO102-AO103</f>
        <v>131143.42</v>
      </c>
      <c r="AP104" s="166">
        <f>AP102-AP103</f>
        <v>106031.35999999999</v>
      </c>
      <c r="AQ104" s="166">
        <f>AQ102-AQ103</f>
        <v>80919.32</v>
      </c>
      <c r="AR104" s="166">
        <f>AR102-AR103</f>
        <v>56776.443</v>
      </c>
      <c r="AS104" s="166">
        <f>AS102-AS103</f>
        <v>136594.1</v>
      </c>
      <c r="AT104" s="166">
        <f>AT102-AT103</f>
        <v>110699.95000000001</v>
      </c>
      <c r="AU104" s="166">
        <f>AU102-AU103</f>
        <v>60274.275</v>
      </c>
      <c r="AV104" s="166">
        <f>AV102-AV103</f>
        <v>59570.376</v>
      </c>
      <c r="AW104" s="166">
        <f>AW102-AW103</f>
        <v>58866.468</v>
      </c>
      <c r="AX104" s="166">
        <f>AX102-AX103</f>
        <v>58162.577999999994</v>
      </c>
      <c r="AY104" s="166">
        <f>AY102-AY103</f>
        <v>57458.679</v>
      </c>
      <c r="AZ104" s="166">
        <f>AZ102-AZ103</f>
        <v>56754.78</v>
      </c>
      <c r="BA104" s="166">
        <f>BA102-BA103</f>
        <v>56050.880999999994</v>
      </c>
      <c r="BB104" s="166">
        <f>BB102-BB103</f>
        <v>55346.981999999996</v>
      </c>
      <c r="BC104" s="166">
        <f>BC102-BC103</f>
        <v>54643.083</v>
      </c>
      <c r="BD104" s="166">
        <f>BD102-BD103</f>
        <v>53939.183999999994</v>
      </c>
      <c r="BE104" s="166">
        <f>BE102-BE103</f>
        <v>53235.284999999996</v>
      </c>
      <c r="BF104" s="166">
        <f>BF102-BF103</f>
        <v>52531.38599999999</v>
      </c>
      <c r="BG104" s="166">
        <f>BG102-BG103</f>
        <v>51827.496</v>
      </c>
      <c r="BH104" s="166" t="n">
        <f aca="false">BH102-BH103</f>
        <v>98124.588</v>
      </c>
      <c r="BI104" s="166" t="n">
        <f aca="false">BI102-BI103</f>
        <v>97420.689</v>
      </c>
      <c r="BJ104" s="166">
        <f>BJ102-BJ103</f>
        <v>200861.99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inlineStr">
        <is>
          <t>Schuyler Bonus (40/45/50%)</t>
        </is>
      </c>
      <c r="B105" s="164">
        <f>SUM(C105:CH105)</f>
        <v>2951665.926000001</v>
      </c>
      <c r="C105" s="166">
        <v>0</v>
      </c>
      <c r="D105" s="166">
        <v>0</v>
      </c>
      <c r="E105" s="166">
        <v>0</v>
      </c>
      <c r="F105" s="166">
        <v>0</v>
      </c>
      <c r="G105" s="166">
        <v>0</v>
      </c>
      <c r="H105" s="166">
        <v>0</v>
      </c>
      <c r="I105" s="166">
        <v>0</v>
      </c>
      <c r="J105" s="166">
        <v>0</v>
      </c>
      <c r="K105" s="166">
        <v>0</v>
      </c>
      <c r="L105" s="166">
        <f>MAX(0,L104)*0.4</f>
        <v>12418.1296</v>
      </c>
      <c r="M105" s="166">
        <f>MAX(0,M104)*0.4</f>
        <v>8251.329600000001</v>
      </c>
      <c r="N105" s="166">
        <f>MAX(0,N104)*0.4</f>
        <v>8251.329600000001</v>
      </c>
      <c r="O105" s="166">
        <f>MAX(0,O104)*0.4</f>
        <v>8251.329600000001</v>
      </c>
      <c r="P105" s="166">
        <f>MAX(0,P104)*0.4</f>
        <v>5251.329600000001</v>
      </c>
      <c r="Q105" s="166">
        <f>MAX(0,Q104)*0.4</f>
        <v>5251.329600000001</v>
      </c>
      <c r="R105" s="166">
        <f>MAX(0,R104)*0.4</f>
        <v>14573.227200000001</v>
      </c>
      <c r="S105" s="166">
        <f>MAX(0,S104)*0.4</f>
        <v>23895.124799999998</v>
      </c>
      <c r="T105" s="166">
        <f>MAX(0,T104)*0.4</f>
        <v>33217.0224</v>
      </c>
      <c r="U105" s="166">
        <f>MAX(0,U104)*0.4</f>
        <v>39817.195999999996</v>
      </c>
      <c r="V105" s="166">
        <f>MAX(0,V104)*0.4</f>
        <v>50174.864</v>
      </c>
      <c r="W105" s="166">
        <f>MAX(0,W104)*0.4</f>
        <v>60532.524000000005</v>
      </c>
      <c r="X105" s="166">
        <f>MAX(0,X104)*0.4</f>
        <v>70890.184</v>
      </c>
      <c r="Y105" s="166">
        <f>MAX(0,Y104)*0.4</f>
        <v>81247.848</v>
      </c>
      <c r="Z105" s="166">
        <f>MAX(0,Z104)*0.4</f>
        <v>91605.516</v>
      </c>
      <c r="AA105" s="166">
        <f>MAX(0,AA104)*0.45</f>
        <v>114708.573</v>
      </c>
      <c r="AB105" s="166">
        <f>MAX(0,AB104)*0.45</f>
        <v>126360.9495</v>
      </c>
      <c r="AC105" s="166">
        <f>MAX(0,AC104)*0.45</f>
        <v>153598.3245</v>
      </c>
      <c r="AD105" s="166">
        <f>MAX(0,AD104)*0.45</f>
        <v>113404.9545</v>
      </c>
      <c r="AE105" s="166">
        <f>MAX(0,AE104)*0.45</f>
        <v>113756.9085</v>
      </c>
      <c r="AF105" s="166">
        <f>MAX(0,AF104)*0.45</f>
        <v>114108.8535</v>
      </c>
      <c r="AG105" s="166">
        <f>MAX(0,AG104)*0.45</f>
        <v>114460.80300000001</v>
      </c>
      <c r="AH105" s="166">
        <f>MAX(0,AH104)*0.45</f>
        <v>114812.748</v>
      </c>
      <c r="AI105" s="166">
        <f>MAX(0,AI104)*0.45</f>
        <v>126817.06950000001</v>
      </c>
      <c r="AJ105" s="166">
        <f>MAX(0,AJ104)*0.45</f>
        <v>115516.65149999999</v>
      </c>
      <c r="AK105" s="166">
        <f>MAX(0,AK104)*0.45</f>
        <v>104216.229</v>
      </c>
      <c r="AL105" s="166">
        <f>MAX(0,AL104)*0.45</f>
        <v>92915.8065</v>
      </c>
      <c r="AM105" s="166">
        <f>MAX(0,AM104)*0.45</f>
        <v>81615.37950000001</v>
      </c>
      <c r="AN105" s="166">
        <f>MAX(0,AN104)*0.5</f>
        <v>78127.735</v>
      </c>
      <c r="AO105" s="166">
        <f>MAX(0,AO104)*0.5</f>
        <v>65571.71</v>
      </c>
      <c r="AP105" s="166">
        <f>MAX(0,AP104)*0.5</f>
        <v>53015.67999999999</v>
      </c>
      <c r="AQ105" s="166">
        <f>MAX(0,AQ104)*0.5</f>
        <v>40459.66</v>
      </c>
      <c r="AR105" s="166">
        <f>MAX(0,AR104)*0.5</f>
        <v>28388.2215</v>
      </c>
      <c r="AS105" s="166">
        <f>MAX(0,AS104)*0.5</f>
        <v>68297.05</v>
      </c>
      <c r="AT105" s="166">
        <f>MAX(0,AT104)*0.5</f>
        <v>55349.975000000006</v>
      </c>
      <c r="AU105" s="166">
        <f>MAX(0,AU104)*0.5</f>
        <v>30137.1375</v>
      </c>
      <c r="AV105" s="166">
        <f>MAX(0,AV104)*0.5</f>
        <v>29785.188</v>
      </c>
      <c r="AW105" s="166">
        <f>MAX(0,AW104)*0.5</f>
        <v>29433.234</v>
      </c>
      <c r="AX105" s="166">
        <f>MAX(0,AX104)*0.5</f>
        <v>29081.288999999997</v>
      </c>
      <c r="AY105" s="166">
        <f>MAX(0,AY104)*0.5</f>
        <v>28729.3395</v>
      </c>
      <c r="AZ105" s="166">
        <f>MAX(0,AZ104)*0.5</f>
        <v>28377.39</v>
      </c>
      <c r="BA105" s="166">
        <f>MAX(0,BA104)*0.5</f>
        <v>28025.440499999997</v>
      </c>
      <c r="BB105" s="166">
        <f>MAX(0,BB104)*0.5</f>
        <v>27673.490999999998</v>
      </c>
      <c r="BC105" s="166">
        <f>MAX(0,BC104)*0.5</f>
        <v>27321.5415</v>
      </c>
      <c r="BD105" s="166">
        <f>MAX(0,BD104)*0.5</f>
        <v>26969.591999999997</v>
      </c>
      <c r="BE105" s="166">
        <f>MAX(0,BE104)*0.5</f>
        <v>26617.642499999998</v>
      </c>
      <c r="BF105" s="166">
        <f>MAX(0,BF104)*0.5</f>
        <v>26265.692999999996</v>
      </c>
      <c r="BG105" s="166">
        <f>MAX(0,BG104)*0.5</f>
        <v>25913.748</v>
      </c>
      <c r="BH105" s="166">
        <f>MAX(0,BH104)*0.5</f>
        <v>49062.294</v>
      </c>
      <c r="BI105" s="166">
        <f>MAX(0,BI104)*0.5</f>
        <v>48710.34450000001</v>
      </c>
      <c r="BJ105" s="166">
        <f>MAX(0,BJ104)*0.5</f>
        <v>100430.995</v>
      </c>
      <c r="BK105" s="166">
        <f>MAX(0,BK104)*0.5</f>
        <v>0</v>
      </c>
      <c r="BL105" s="166">
        <f>MAX(0,BL104)*0.5</f>
        <v>0</v>
      </c>
      <c r="BM105" s="166">
        <f>MAX(0,BM104)*0.5</f>
        <v>0</v>
      </c>
      <c r="BN105" s="166">
        <f>MAX(0,BN104)*0.5</f>
        <v>0</v>
      </c>
      <c r="BO105" s="166">
        <f>MAX(0,BO104)*0.5</f>
        <v>0</v>
      </c>
      <c r="BP105" s="166">
        <f>MAX(0,BP104)*0.5</f>
        <v>0</v>
      </c>
      <c r="BQ105" s="166">
        <f>MAX(0,BQ104)*0.5</f>
        <v>0</v>
      </c>
      <c r="BR105" s="166">
        <f>MAX(0,BR104)*0.5</f>
        <v>0</v>
      </c>
      <c r="BS105" s="166">
        <f>MAX(0,BS104)*0.5</f>
        <v>0</v>
      </c>
      <c r="BT105" s="166">
        <f>MAX(0,BT104)*0.5</f>
        <v>0</v>
      </c>
      <c r="BU105" s="166">
        <f>MAX(0,BU104)*0.5</f>
        <v>0</v>
      </c>
      <c r="BV105" s="166">
        <f>MAX(0,BV104)*0.5</f>
        <v>0</v>
      </c>
      <c r="BW105" s="166">
        <f>MAX(0,BW104)*0.5</f>
        <v>0</v>
      </c>
      <c r="BX105" s="166">
        <f>MAX(0,BX104)*0.5</f>
        <v>0</v>
      </c>
      <c r="BY105" s="166">
        <f>MAX(0,BY104)*0.5</f>
        <v>0</v>
      </c>
      <c r="BZ105" s="166">
        <f>MAX(0,BZ104)*0.5</f>
        <v>0</v>
      </c>
      <c r="CA105" s="166">
        <f>MAX(0,CA104)*0.5</f>
        <v>0</v>
      </c>
      <c r="CB105" s="166">
        <f>MAX(0,CB104)*0.5</f>
        <v>0</v>
      </c>
      <c r="CC105" s="166">
        <f>MAX(0,CC104)*0.5</f>
        <v>0</v>
      </c>
      <c r="CD105" s="166">
        <f>MAX(0,CD104)*0.5</f>
        <v>0</v>
      </c>
      <c r="CE105" s="166">
        <f>MAX(0,CE104)*0.5</f>
        <v>0</v>
      </c>
      <c r="CF105" s="166">
        <f>MAX(0,CF104)*0.5</f>
        <v>0</v>
      </c>
      <c r="CG105" s="166">
        <f>MAX(0,CG104)*0.5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>
        <f>B104-B105</f>
        <v>3538767.4570000004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>
        <f>L104-L105</f>
        <v>18627.1944</v>
      </c>
      <c r="M106" s="166">
        <f>M104-M105</f>
        <v>12376.9944</v>
      </c>
      <c r="N106" s="166">
        <f>N104-N105</f>
        <v>12376.9944</v>
      </c>
      <c r="O106" s="166">
        <f>O104-O105</f>
        <v>12376.9944</v>
      </c>
      <c r="P106" s="166">
        <f>P104-P105</f>
        <v>7876.9944</v>
      </c>
      <c r="Q106" s="166">
        <f>Q104-Q105</f>
        <v>7876.9944</v>
      </c>
      <c r="R106" s="166">
        <f>R104-R105</f>
        <v>21859.840799999998</v>
      </c>
      <c r="S106" s="166">
        <f>S104-S105</f>
        <v>35842.68719999999</v>
      </c>
      <c r="T106" s="166">
        <f>T104-T105</f>
        <v>49825.533599999995</v>
      </c>
      <c r="U106" s="166">
        <f>U104-U105</f>
        <v>59725.793999999994</v>
      </c>
      <c r="V106" s="166">
        <f>V104-V105</f>
        <v>75262.296</v>
      </c>
      <c r="W106" s="166">
        <f>W104-W105</f>
        <v>90798.786</v>
      </c>
      <c r="X106" s="166">
        <f>X104-X105</f>
        <v>106335.276</v>
      </c>
      <c r="Y106" s="166">
        <f>Y104-Y105</f>
        <v>121871.772</v>
      </c>
      <c r="Z106" s="166">
        <f>Z104-Z105</f>
        <v>137408.27399999998</v>
      </c>
      <c r="AA106" s="166">
        <f>AA104-AA105</f>
        <v>140199.367</v>
      </c>
      <c r="AB106" s="166">
        <f>AB104-AB105</f>
        <v>154441.1605</v>
      </c>
      <c r="AC106" s="166">
        <f>AC104-AC105</f>
        <v>187731.2855</v>
      </c>
      <c r="AD106" s="166">
        <f>AD104-AD105</f>
        <v>138606.05550000002</v>
      </c>
      <c r="AE106" s="166">
        <f>AE104-AE105</f>
        <v>139036.22149999999</v>
      </c>
      <c r="AF106" s="166">
        <f>AF104-AF105</f>
        <v>139466.37649999998</v>
      </c>
      <c r="AG106" s="166">
        <f>AG104-AG105</f>
        <v>139896.537</v>
      </c>
      <c r="AH106" s="166">
        <f>AH104-AH105</f>
        <v>140326.69199999998</v>
      </c>
      <c r="AI106" s="166">
        <f>AI104-AI105</f>
        <v>154998.6405</v>
      </c>
      <c r="AJ106" s="166">
        <f>AJ104-AJ105</f>
        <v>141187.0185</v>
      </c>
      <c r="AK106" s="166">
        <f>AK104-AK105</f>
        <v>127375.39099999999</v>
      </c>
      <c r="AL106" s="166">
        <f>AL104-AL105</f>
        <v>113563.7635</v>
      </c>
      <c r="AM106" s="166">
        <f>AM104-AM105</f>
        <v>99752.1305</v>
      </c>
      <c r="AN106" s="166">
        <f>AN104-AN105</f>
        <v>78127.735</v>
      </c>
      <c r="AO106" s="166">
        <f>AO104-AO105</f>
        <v>65571.71</v>
      </c>
      <c r="AP106" s="166">
        <f>AP104-AP105</f>
        <v>53015.67999999999</v>
      </c>
      <c r="AQ106" s="166">
        <f>AQ104-AQ105</f>
        <v>40459.66</v>
      </c>
      <c r="AR106" s="166">
        <f>AR104-AR105</f>
        <v>28388.2215</v>
      </c>
      <c r="AS106" s="166">
        <f>AS104-AS105</f>
        <v>68297.05</v>
      </c>
      <c r="AT106" s="166">
        <f>AT104-AT105</f>
        <v>55349.975000000006</v>
      </c>
      <c r="AU106" s="166">
        <f>AU104-AU105</f>
        <v>30137.1375</v>
      </c>
      <c r="AV106" s="166">
        <f>AV104-AV105</f>
        <v>29785.188</v>
      </c>
      <c r="AW106" s="166">
        <f>AW104-AW105</f>
        <v>29433.234</v>
      </c>
      <c r="AX106" s="166">
        <f>AX104-AX105</f>
        <v>29081.288999999997</v>
      </c>
      <c r="AY106" s="166">
        <f>AY104-AY105</f>
        <v>28729.3395</v>
      </c>
      <c r="AZ106" s="166">
        <f>AZ104-AZ105</f>
        <v>28377.39</v>
      </c>
      <c r="BA106" s="166">
        <f>BA104-BA105</f>
        <v>28025.440499999997</v>
      </c>
      <c r="BB106" s="166">
        <f>BB104-BB105</f>
        <v>27673.490999999998</v>
      </c>
      <c r="BC106" s="166">
        <f>BC104-BC105</f>
        <v>27321.5415</v>
      </c>
      <c r="BD106" s="166">
        <f>BD104-BD105</f>
        <v>26969.591999999997</v>
      </c>
      <c r="BE106" s="166">
        <f>BE104-BE105</f>
        <v>26617.642499999998</v>
      </c>
      <c r="BF106" s="166">
        <f>BF104-BF105</f>
        <v>26265.692999999996</v>
      </c>
      <c r="BG106" s="166">
        <f>BG104-BG105</f>
        <v>25913.748</v>
      </c>
      <c r="BH106" s="166">
        <f>BH104-BH105</f>
        <v>49062.294</v>
      </c>
      <c r="BI106" s="166">
        <f>BI104-BI105</f>
        <v>48710.34450000001</v>
      </c>
      <c r="BJ106" s="166">
        <f>BJ104-BJ105</f>
        <v>100430.995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>
        <f>B103+B106</f>
        <v>4101960.074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>
        <f>L103+L106</f>
        <v>23132.2304</v>
      </c>
      <c r="M107" s="166">
        <f>M103+M106</f>
        <v>16882.0304</v>
      </c>
      <c r="N107" s="166">
        <f>N103+N106</f>
        <v>16882.0304</v>
      </c>
      <c r="O107" s="166">
        <f>O103+O106</f>
        <v>16882.0304</v>
      </c>
      <c r="P107" s="166">
        <f>P103+P106</f>
        <v>12382.0304</v>
      </c>
      <c r="Q107" s="166">
        <f>Q103+Q106</f>
        <v>12382.0304</v>
      </c>
      <c r="R107" s="166">
        <f>R103+R106</f>
        <v>28954.2928</v>
      </c>
      <c r="S107" s="166">
        <f>S103+S106</f>
        <v>45526.555199999995</v>
      </c>
      <c r="T107" s="166">
        <f>T103+T106</f>
        <v>62098.817599999995</v>
      </c>
      <c r="U107" s="166">
        <f>U103+U106</f>
        <v>72225.794</v>
      </c>
      <c r="V107" s="166">
        <f>V103+V106</f>
        <v>87762.296</v>
      </c>
      <c r="W107" s="166">
        <f>W103+W106</f>
        <v>103298.786</v>
      </c>
      <c r="X107" s="166">
        <f>X103+X106</f>
        <v>118835.276</v>
      </c>
      <c r="Y107" s="166">
        <f>Y103+Y106</f>
        <v>134371.772</v>
      </c>
      <c r="Z107" s="166">
        <f>Z103+Z106</f>
        <v>149908.27399999998</v>
      </c>
      <c r="AA107" s="166">
        <f>AA103+AA106</f>
        <v>152699.367</v>
      </c>
      <c r="AB107" s="166">
        <f>AB103+AB106</f>
        <v>166941.1605</v>
      </c>
      <c r="AC107" s="166">
        <f>AC103+AC106</f>
        <v>200231.2855</v>
      </c>
      <c r="AD107" s="166">
        <f>AD103+AD106</f>
        <v>151106.05550000002</v>
      </c>
      <c r="AE107" s="166">
        <f>AE103+AE106</f>
        <v>151536.22149999999</v>
      </c>
      <c r="AF107" s="166">
        <f>AF103+AF106</f>
        <v>151966.37649999998</v>
      </c>
      <c r="AG107" s="166">
        <f>AG103+AG106</f>
        <v>152396.537</v>
      </c>
      <c r="AH107" s="166">
        <f>AH103+AH106</f>
        <v>152826.69199999998</v>
      </c>
      <c r="AI107" s="166">
        <f>AI103+AI106</f>
        <v>167498.6405</v>
      </c>
      <c r="AJ107" s="166">
        <f>AJ103+AJ106</f>
        <v>153687.0185</v>
      </c>
      <c r="AK107" s="166">
        <f>AK103+AK106</f>
        <v>139875.391</v>
      </c>
      <c r="AL107" s="166">
        <f>AL103+AL106</f>
        <v>126063.7635</v>
      </c>
      <c r="AM107" s="166">
        <f>AM103+AM106</f>
        <v>112252.1305</v>
      </c>
      <c r="AN107" s="166">
        <f>AN103+AN106</f>
        <v>90627.735</v>
      </c>
      <c r="AO107" s="166">
        <f>AO103+AO106</f>
        <v>78071.71</v>
      </c>
      <c r="AP107" s="166">
        <f>AP103+AP106</f>
        <v>65515.67999999999</v>
      </c>
      <c r="AQ107" s="166">
        <f>AQ103+AQ106</f>
        <v>52959.66</v>
      </c>
      <c r="AR107" s="166">
        <f>AR103+AR106</f>
        <v>39919.048500000004</v>
      </c>
      <c r="AS107" s="166">
        <f>AS103+AS106</f>
        <v>80797.05</v>
      </c>
      <c r="AT107" s="166">
        <f>AT103+AT106</f>
        <v>67849.975</v>
      </c>
      <c r="AU107" s="166">
        <f>AU103+AU106</f>
        <v>42056.6125</v>
      </c>
      <c r="AV107" s="166">
        <f>AV103+AV106</f>
        <v>41626.452</v>
      </c>
      <c r="AW107" s="166">
        <f>AW103+AW106</f>
        <v>41196.286</v>
      </c>
      <c r="AX107" s="166">
        <f>AX103+AX106</f>
        <v>40766.130999999994</v>
      </c>
      <c r="AY107" s="166">
        <f>AY103+AY106</f>
        <v>40335.970499999996</v>
      </c>
      <c r="AZ107" s="166">
        <f>AZ103+AZ106</f>
        <v>39905.81</v>
      </c>
      <c r="BA107" s="166">
        <f>BA103+BA106</f>
        <v>39475.6495</v>
      </c>
      <c r="BB107" s="166">
        <f>BB103+BB106</f>
        <v>39045.489</v>
      </c>
      <c r="BC107" s="166">
        <f>BC103+BC106</f>
        <v>38615.3285</v>
      </c>
      <c r="BD107" s="166">
        <f>BD103+BD106</f>
        <v>38185.168</v>
      </c>
      <c r="BE107" s="166">
        <f>BE103+BE106</f>
        <v>37755.0075</v>
      </c>
      <c r="BF107" s="166">
        <f>BF103+BF106</f>
        <v>37324.846999999994</v>
      </c>
      <c r="BG107" s="166">
        <f>BG103+BG106</f>
        <v>36894.692</v>
      </c>
      <c r="BH107" s="166">
        <f>BH103+BH106</f>
        <v>59965.026000000005</v>
      </c>
      <c r="BI107" s="166">
        <f>BI103+BI106</f>
        <v>59534.86550000001</v>
      </c>
      <c r="BJ107" s="166">
        <f>BJ103+BJ106</f>
        <v>112930.995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