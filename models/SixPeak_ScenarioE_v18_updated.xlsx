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<sst xmlns="http://schemas.openxmlformats.org/spreadsheetml/2006/main" count="1173" uniqueCount="696">
  <si>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</si>
  <si>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</si>
  <si>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</si>
  <si>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</si>
  <si>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</si>
  <si>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</si>
  <si>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</si>
  <si>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</si>
  <si>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</si>
  <si>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</si>
  <si>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</si>
  <si>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</si>
  <si>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</si>
  <si>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</si>
  <si>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</si>
  <si>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</si>
  <si>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</si>
  <si>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</si>
  <si>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</si>
  <si>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</si>
  <si>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</si>
  <si>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</si>
  <si>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</si>
  <si>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</si>
  <si>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</si>
  <si>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</si>
  <si>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</si>
  <si>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</si>
  <si>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</si>
  <si>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</si>
  <si>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PIC (LIHTC)</t>
  </si>
  <si>
    <t xml:space="preserve">  Reseda Steyn Fee + PIC (LIHTC)</t>
  </si>
  <si>
    <t xml:space="preserve">  3rd St Steyn Fee + PIC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</si>
  <si>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</si>
  <si>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</si>
  <si>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</si>
  <si>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</si>
  <si>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</si>
  <si>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PIC Repayment (in Steyn + PIC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</si>
  <si>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</si>
  <si>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</si>
  <si>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</si>
  <si>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</si>
  <si>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</si>
  <si>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</si>
  <si>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</si>
  <si>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</si>
  <si>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</si>
  <si>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</si>
  <si>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</si>
  <si>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</si>
  <si>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</si>
  <si>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</si>
  <si>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</si>
  <si>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</si>
  <si>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</si>
  <si>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</si>
  <si>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</si>
  <si>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</si>
  <si>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</si>
  <si>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</si>
  <si>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</si>
  <si>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</si>
  <si>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</si>
  <si>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</si>
  <si>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</si>
  <si>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</si>
  <si>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</si>
  <si>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</si>
  <si>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</si>
  <si>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</si>
  <si>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</si>
  <si>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</si>
  <si>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</si>
  <si>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</si>
  <si>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</si>
  <si>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</si>
  <si>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</si>
  <si>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</si>
  <si>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</si>
  <si>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</si>
  <si>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</si>
  <si>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</si>
  <si>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</si>
  <si>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</si>
  <si>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</si>
  <si>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</si>
  <si>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</si>
  <si>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</si>
  <si>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</si>
  <si>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</si>
  <si>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</si>
  <si>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</si>
  <si>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</si>
  <si>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</si>
  <si>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</si>
  <si>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</si>
  <si>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</si>
  <si>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</si>
  <si>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</si>
  <si>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</si>
  <si>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</si>
  <si>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</si>
  <si>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</si>
  <si>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</si>
  <si>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</si>
  <si>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</si>
  <si>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</si>
  <si>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</si>
  <si>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</si>
  <si>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</si>
  <si>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</si>
  <si>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</si>
  <si>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</si>
  <si>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</si>
  <si>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</si>
  <si>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</si>
  <si>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</si>
  <si>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</si>
  <si>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</si>
  <si>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PIC (from LIHTC Revenue)</t>
  </si>
  <si>
    <t xml:space="preserve">Reseda Steyn Fee + PIC (from LIHTC Revenue)</t>
  </si>
  <si>
    <t xml:space="preserve">3rd St Steyn Fee + PIC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</si>
  <si>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</si>
  <si>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</si>
  <si>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</si>
  <si>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</si>
  <si>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</si>
  <si>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</si>
  <si>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</si>
  <si>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</si>
  <si>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</si>
  <si>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</si>
  <si>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</si>
  <si>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</si>
  <si>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</si>
  <si>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</si>
  <si>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</si>
  <si>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PIC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</si>
  <si>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</si>
  <si>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</si>
  <si>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</si>
  <si>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</si>
  <si>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PIC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</si>
  <si>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</si>
  <si>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</si>
  <si>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</si>
  <si>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</si>
  <si>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PIC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</si>
  <si>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</si>
  <si>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</si>
  <si>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</si>
  <si>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</si>
  <si>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PIC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</si>
  <si>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</si>
  <si>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</si>
  <si>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</si>
  <si>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</si>
  <si>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</si>
  <si>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</si>
  <si>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</si>
  <si>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</si>
  <si>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</si>
  <si>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</si>
  <si>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</si>
  <si>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</si>
  <si>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</si>
  <si>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</si>
  <si>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</si>
  <si>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</si>
  <si>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PIC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</si>
  <si>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</si>
  <si>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</si>
  <si>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</si>
  <si>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</si>
  <si>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</si>
  <si>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PIC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</si>
  <si>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</si>
  <si>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</si>
  <si>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</si>
  <si>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</si>
  <si>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</si>
  <si>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</si>
  <si>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</si>
  <si>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</si>
  <si>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</si>
  <si>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</si>
  <si>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</si>
  <si>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</si>
  <si>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</si>
  <si>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</si>
  <si>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</si>
  <si>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</si>
  <si>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</si>
  <si>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</si>
  <si>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</si>
  <si>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</si>
  <si>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</si>
  <si>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</si>
  <si>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</si>
  <si>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</si>
  <si>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</si>
  <si>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</si>
  <si>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</si>
  <si>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</si>
  <si>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</si>
  <si>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</si>
  <si>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</si>
  <si>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</si>
  <si>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</si>
  <si>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</si>
  <si>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</si>
  <si>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</si>
  <si>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</si>
  <si>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</si>
  <si>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</si>
  <si>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</si>
  <si>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</si>
  <si>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</si>
  <si>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</si>
  <si>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</si>
  <si>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</si>
  <si>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</si>
  <si>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</si>
  <si>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</si>
  <si>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</si>
  <si>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</si>
  <si>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</si>
  <si>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</si>
  <si>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</si>
  <si>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</si>
  <si>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</si>
  <si>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</si>
  <si>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</si>
  <si>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</si>
  <si>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</si>
  <si>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</si>
  <si>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</si>
  <si>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</si>
  <si>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</si>
  <si>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</si>
  <si>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</si>
  <si>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</si>
  <si>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</si>
  <si>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</si>
  <si>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</si>
  <si>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</si>
  <si>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</si>
  <si>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</si>
  <si>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</si>
  <si>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</si>
  <si>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</si>
  <si>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</si>
  <si>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</si>
  <si>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</si>
  <si>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</si>
  <si>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</si>
  <si>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PIC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</si>
  <si>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</si>
  <si>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</si>
  <si>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</si>
  <si>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</si>
  <si>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</si>
  <si>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</si>
  <si>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</si>
  <si>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</si>
  <si>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</si>
  <si>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</si>
  <si>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</si>
  <si>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</si>
  <si>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</si>
  <si>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</si>
  <si>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</si>
  <si>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</si>
  <si>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</si>
  <si>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</si>
  <si>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</si>
  <si>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</si>
  <si>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</si>
  <si>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</si>
  <si>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</si>
  <si>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</si>
  <si>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</si>
  <si>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</si>
  <si>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</si>
  <si>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</si>
  <si>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</si>
  <si>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</si>
  <si>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</si>
  <si>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PIC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</si>
  <si>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</si>
  <si>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</si>
  <si>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</si>
  <si>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</si>
  <si>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</si>
  <si>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</si>
  <si>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</si>
  <si>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</si>
  <si>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</si>
  <si>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</si>
  <si>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</si>
  <si>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</si>
  <si>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</si>
  <si>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</si>
  <si>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</si>
  <si>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</si>
  <si>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PIC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</si>
  <si>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</si>
  <si>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</si>
  <si>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</si>
  <si>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</si>
  <si>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</si>
  <si>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</si>
  <si>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</si>
  <si>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</si>
  <si>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</si>
  <si>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</si>
  <si>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</si>
  <si>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</si>
  <si>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</si>
  <si>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</si>
  <si>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</si>
  <si>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</si>
  <si>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</si>
  <si>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</si>
  <si>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</si>
  <si>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</si>
  <si>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</si>
  <si>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</si>
  <si>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</si>
  <si>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</si>
  <si>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</si>
  <si>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</si>
  <si>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</si>
  <si>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</si>
  <si>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</si>
  <si>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</si>
  <si>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</si>
  <si>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</si>
  <si>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</si>
  <si>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(PIC) — PAYOFF &amp; STEYN RETURNS</t>
  </si>
  <si>
    <t xml:space="preserve">Reseda is the only active PIC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</si>
  <si>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</si>
  <si>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</si>
  <si>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</si>
  <si>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</si>
  <si>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</si>
  <si>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</si>
  <si>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</si>
  <si>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</si>
  <si>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</si>
  <si>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</si>
  <si>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</si>
  <si>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PIC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</si>
  <si>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</si>
  <si>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</si>
  <si>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</si>
  <si>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</si>
  <si>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</si>
  <si>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</si>
  <si>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</si>
  <si>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</si>
  <si>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</si>
  <si>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</si>
  <si>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</si>
  <si>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</si>
  <si>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</si>
  <si>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</si>
  <si>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</si>
  <si>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</si>
  <si>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</si>
  <si>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</si>
  <si>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</si>
  <si>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</si>
  <si>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</si>
  <si>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</si>
  <si>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</si>
  <si>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</si>
  <si>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</si>
  <si>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</si>
  <si>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</si>
  <si>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</si>
  <si>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</si>
  <si>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</si>
  <si>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</si>
  <si>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</si>
  <si>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</si>
  <si>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</si>
  <si>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</si>
  <si>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</si>
  <si>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</si>
  <si>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</si>
  <si>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</si>
  <si>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</si>
  <si>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</si>
  <si>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</si>
  <si>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</si>
  <si>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</si>
  <si>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</si>
  <si>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</si>
  <si>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</si>
  <si>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</si>
  <si>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</si>
  <si>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</si>
  <si>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</si>
  <si>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</si>
  <si>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</si>
  <si>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</si>
  <si>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</si>
  <si>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</si>
  <si>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</si>
  <si>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</si>
  <si>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</si>
  <si>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</si>
  <si>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</si>
  <si>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</si>
  <si>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</si>
  <si>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</si>
  <si>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</si>
  <si>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</si>
  <si>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</si>
  <si>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</si>
  <si>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</si>
  <si>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</si>
  <si>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</si>
  <si>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</si>
  <si>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</si>
  <si>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</si>
  <si>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</si>
  <si>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</si>
  <si>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</si>
  <si>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</si>
  <si>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</si>
  <si>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</si>
  <si>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</si>
  <si>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</si>
  <si>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</si>
  <si>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</si>
  <si>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</si>
  <si>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</si>
  <si>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</si>
  <si>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</si>
  <si>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</si>
  <si>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</si>
  <si>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</si>
  <si>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</si>
  <si>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</si>
  <si>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</si>
  <si>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</si>
  <si>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</si>
  <si>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</si>
  <si>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</si>
  <si>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</si>
  <si>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PIC Detail Parameters</t>
  </si>
  <si>
    <t xml:space="preserve">Reseda - Initial PIC Balance</t>
  </si>
  <si>
    <t xml:space="preserve">Reseda - Monthly PIC Ramp</t>
  </si>
  <si>
    <t xml:space="preserve">Reseda - PIC Ramp Until Month</t>
  </si>
  <si>
    <t xml:space="preserve">3rd St - Initial PIC Balance</t>
  </si>
  <si>
    <t xml:space="preserve">3rd St - Monthly PIC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</si>
  <si>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</si>
  <si>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</si>
  <si>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</si>
  <si>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</si>
  <si>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</si>
  <si>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</si>
  <si>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</si>
  <si>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</si>
  <si>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</si>
  <si>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</si>
  <si>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</si>
  <si>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</si>
  <si>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</si>
  <si>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</si>
  <si>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</si>
  <si>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</si>
  <si>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</si>
  <si>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</si>
  <si>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</si>
  <si>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</si>
  <si>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</si>
  <si>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</si>
  <si>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</si>
  <si>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</si>
  <si>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</si>
  <si>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</si>
  <si>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</si>
  <si>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</si>
  <si>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</si>
  <si>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</si>
  <si>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</si>
  <si>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</si>
  <si>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</si>
  <si>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</si>
  <si>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</si>
  <si>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</si>
  <si>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</si>
  <si>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</si>
  <si>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</si>
  <si>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</si>
  <si>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</si>
  <si>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</si>
  <si>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</si>
  <si>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</si>
  <si>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</si>
  <si>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</si>
  <si>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</si>
  <si>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</si>
  <si>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</si>
  <si>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</si>
  <si>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</si>
  <si>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</si>
  <si>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</si>
  <si>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</si>
  <si>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</si>
  <si>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</si>
  <si>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</si>
  <si>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</si>
  <si>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</si>
  <si>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</si>
  <si>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</si>
  <si>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</si>
  <si>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</si>
  <si>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</si>
  <si>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</si>
  <si>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</si>
  <si>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</si>
  <si>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</si>
  <si>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</si>
  <si>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</si>
  <si>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</si>
  <si>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</si>
  <si>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</si>
  <si>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</si>
  <si>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</si>
  <si>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</si>
  <si>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</si>
  <si>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</si>
  <si>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</si>
  <si>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</si>
  <si>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</si>
  <si>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</si>
  <si>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</si>
  <si>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</si>
  <si>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PIC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</si>
  <si>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</si>
  <si>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</si>
  <si>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</si>
  <si>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</si>
  <si>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PIC Bal</t>
  </si>
  <si>
    <t xml:space="preserve">PIC Interest</t>
  </si>
  <si>
    <t xml:space="preserve">PIC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</si>
  <si>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</si>
  <si>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</si>
  <si>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</si>
  <si>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</si>
  <si>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</si>
  <si>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</si>
  <si>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</si>
  <si>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</si>
  <si>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</si>
  <si>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</si>
  <si>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</si>
  <si>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</si>
  <si>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</si>
  <si>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</si>
  <si>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</si>
  <si>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</si>
  <si>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</si>
  <si>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</si>
  <si>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</si>
  <si>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</si>
  <si>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</si>
  <si>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</si>
  <si>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</si>
  <si>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</si>
  <si>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</si>
  <si>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</si>
  <si>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</si>
  <si>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</si>
  <si>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</si>
  <si>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</si>
  <si>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</si>
  <si>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</si>
  <si>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</si>
  <si>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</si>
  <si>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</si>
  <si>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</si>
  <si>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</si>
  <si>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</si>
  <si>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</si>
  <si>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</si>
  <si>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</si>
  <si>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</si>
  <si>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</si>
  <si>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</si>
  <si>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</si>
  <si>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</si>
  <si>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</si>
  <si>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</si>
  <si>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</si>
  <si>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</si>
  <si>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</si>
  <si>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</si>
  <si>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</si>
  <si>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</si>
  <si>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</si>
  <si>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</si>
  <si>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</si>
  <si>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</si>
  <si>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</si>
  <si>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</si>
  <si>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</si>
  <si>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</si>
  <si>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</si>
  <si>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</si>
  <si>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</si>
  <si>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</si>
  <si>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</si>
  <si>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</si>
  <si>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</si>
  <si>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</si>
  <si>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</si>
  <si>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</si>
  <si>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</si>
  <si>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</si>
  <si>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</si>
  <si>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</si>
  <si>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</si>
  <si>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</si>
  <si>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</si>
  <si>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</si>
  <si>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</si>
  <si>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</si>
  <si>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</si>
  <si>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</si>
  <si>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</si>
  <si>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</si>
  <si>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</si>
  <si>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</si>
  <si>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</si>
  <si>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</si>
  <si>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</si>
  <si>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</si>
  <si>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</si>
  <si>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</si>
  <si>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</si>
  <si>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</si>
  <si>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</si>
  <si>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</si>
  <si>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</si>
  <si>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</si>
  <si>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</si>
  <si>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</si>
  <si>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</si>
  <si>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</si>
  <si>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</si>
  <si>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</si>
  <si>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</si>
  <si>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</si>
  <si>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</si>
  <si>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</si>
  <si>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</si>
  <si>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</si>
  <si>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</si>
  <si>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</si>
  <si>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</si>
  <si>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</si>
  <si>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</si>
  <si>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</si>
  <si>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</si>
  <si>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</si>
  <si>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</si>
  <si>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</si>
  <si>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</si>
  <si>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</si>
  <si>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</si>
  <si>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</si>
  <si>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</si>
  <si>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</si>
  <si>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</si>
  <si>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</si>
  <si>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</si>
  <si>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</si>
  <si>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</si>
  <si>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</si>
  <si>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</si>
  <si>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</si>
  <si>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</si>
  <si>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</si>
  <si>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PIC Interest</t>
  </si>
  <si>
    <t xml:space="preserve">Combined Net Income to Six Peak</t>
  </si>
  <si>
    <t xml:space="preserve">Interest Carry = Steyn balance accrual (GMP + Liquidity unpaid balance interest)</t>
  </si>
  <si>
    <t xml:space="preserve">PIC Interest = 15% annual (3.75% quarterly) on Project Investment Capital</t>
  </si>
  <si>
    <t xml:space="preserve">3rd St: 36 remaining quarterly LIHTC payments at $73,155; PIC balance of $570K fully repaid post-model</t>
  </si>
  <si>
    <t xml:space="preserve">Reseda: 28 remaining quarterly LIHTC payments at $81,362; PIC and Steyn fully repaid in-model</t>
  </si>
  <si>
    <t xml:space="preserve">Reseda: 28 post-model quarterly LIHTC payments at $81,362; PIC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</si>
</sst>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49799774.8170812</v>
      </c>
      <c r="C3" s="7" t="n">
        <f aca="false">Model!L7+Model!M7+Model!N7+Model!O7+Model!P7+Model!Q7+Model!R7+Model!S7+Model!T7+Model!U7+Model!V7+Model!W7</f>
        <v>92633001.8915188</v>
      </c>
      <c r="D3" s="7" t="n">
        <f aca="false">Model!X7+Model!Y7+Model!Z7+Model!AA7+Model!AB7+Model!AC7+Model!AD7+Model!AE7+Model!AF7+Model!AG7+Model!AH7+Model!AI7</f>
        <v>74015215.945938</v>
      </c>
      <c r="E3" s="7" t="n">
        <f aca="false">Model!AJ7+Model!AK7+Model!AL7+Model!AM7+Model!AN7+Model!AO7+Model!AP7+Model!AQ7+Model!AR7+Model!AS7+Model!AT7+Model!AU7</f>
        <v>35500058.29045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2232648.81587491</v>
      </c>
      <c r="C5" s="10" t="n">
        <f aca="false">Model!L8+Model!M8+Model!N8+Model!O8+Model!P8+Model!Q8+Model!R8+Model!S8+Model!T8+Model!U8+Model!V8+Model!W8</f>
        <v>4101873.2577324</v>
      </c>
      <c r="D5" s="10" t="n">
        <f aca="false">Model!X8+Model!Y8+Model!Z8+Model!AA8+Model!AB8+Model!AC8+Model!AD8+Model!AE8+Model!AF8+Model!AG8+Model!AH8+Model!AI8</f>
        <v>4002490.49312201</v>
      </c>
      <c r="E5" s="10" t="n">
        <f aca="false">Model!AJ8+Model!AK8+Model!AL8+Model!AM8+Model!AN8+Model!AO8+Model!AP8+Model!AQ8+Model!AR8+Model!AS8+Model!AT8+Model!AU8</f>
        <v>1738689.8066473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2357172.97376965</v>
      </c>
      <c r="C6" s="10" t="n">
        <f aca="false">Model!L9+Model!M9+Model!N9+Model!O9+Model!P9+Model!Q9+Model!R9+Model!S9+Model!T9+Model!U9+Model!V9+Model!W9</f>
        <v>4174226.09983766</v>
      </c>
      <c r="D6" s="10" t="n">
        <f aca="false">Model!X9+Model!Y9+Model!Z9+Model!AA9+Model!AB9+Model!AC9+Model!AD9+Model!AE9+Model!AF9+Model!AG9+Model!AH9+Model!AI9</f>
        <v>4002490.49312201</v>
      </c>
      <c r="E6" s="10" t="n">
        <f aca="false">Model!AJ9+Model!AK9+Model!AL9+Model!AM9+Model!AN9+Model!AO9+Model!AP9+Model!AQ9+Model!AR9+Model!AS9+Model!AT9+Model!AU9</f>
        <v>1738689.8066473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619717.290598656</v>
      </c>
      <c r="C7" s="10" t="n">
        <f aca="false">Model!L10+Model!M10+Model!N10+Model!O10+Model!P10+Model!Q10+Model!R10+Model!S10+Model!T10+Model!U10+Model!V10+Model!W10</f>
        <v>1272072.73393712</v>
      </c>
      <c r="D7" s="10" t="n">
        <f aca="false">Model!X10+Model!Y10+Model!Z10+Model!AA10+Model!AB10+Model!AC10+Model!AD10+Model!AE10+Model!AF10+Model!AG10+Model!AH10+Model!AI10</f>
        <v>1334163.49770734</v>
      </c>
      <c r="E7" s="10" t="n">
        <f aca="false">Model!AJ10+Model!AK10+Model!AL10+Model!AM10+Model!AN10+Model!AO10+Model!AP10+Model!AQ10+Model!AR10+Model!AS10+Model!AT10+Model!AU10</f>
        <v>579563.268882433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1134400.23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6615076.70024322</v>
      </c>
      <c r="C9" s="12" t="n">
        <f aca="false">Model!L12+Model!M12+Model!N12+Model!O12+Model!P12+Model!Q12+Model!R12+Model!S12+Model!T12+Model!U12+Model!V12+Model!W12</f>
        <v>10682572.3215072</v>
      </c>
      <c r="D9" s="12" t="n">
        <f aca="false">Model!X12+Model!Y12+Model!Z12+Model!AA12+Model!AB12+Model!AC12+Model!AD12+Model!AE12+Model!AF12+Model!AG12+Model!AH12+Model!AI12</f>
        <v>9959463.96395136</v>
      </c>
      <c r="E9" s="12" t="n">
        <f aca="false">Model!AJ12+Model!AK12+Model!AL12+Model!AM12+Model!AN12+Model!AO12+Model!AP12+Model!AQ12+Model!AR12+Model!AS12+Model!AT12+Model!AU12</f>
        <v>4056942.88217703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-2457867.165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-2218919</v>
      </c>
      <c r="C13" s="10" t="n">
        <f aca="false">Model!L16+Model!M16+Model!N16+Model!O16+Model!P16+Model!Q16+Model!R16+Model!S16+Model!T16+Model!U16+Model!V16+Model!W16</f>
        <v>-3133195.38</v>
      </c>
      <c r="D13" s="10" t="n">
        <f aca="false">Model!X16+Model!Y16+Model!Z16+Model!AA16+Model!AB16+Model!AC16+Model!AD16+Model!AE16+Model!AF16+Model!AG16+Model!AH16+Model!AI16</f>
        <v>-3195859.2876</v>
      </c>
      <c r="E13" s="10" t="n">
        <f aca="false">Model!AJ16+Model!AK16+Model!AL16+Model!AM16+Model!AN16+Model!AO16+Model!AP16+Model!AQ16+Model!AR16+Model!AS16+Model!AT16+Model!AU16</f>
        <v>-3259776.473352</v>
      </c>
      <c r="F13" s="10" t="n">
        <f aca="false">Model!AV16+Model!AW16+Model!AX16+Model!AY16+Model!AZ16+Model!BA16+Model!BB16+Model!BC16+Model!BD16+Model!BE16+Model!BF16+Model!BG16</f>
        <v>-3324972.00281904</v>
      </c>
      <c r="G13" s="10" t="n">
        <f aca="false">Model!BH16+Model!BI16+Model!BJ16+Model!BK16+Model!BL16+Model!BM16+Model!BN16+Model!BO16+Model!BP16+Model!BQ16+Model!BR16+Model!BS16</f>
        <v>-3391471.44287542</v>
      </c>
      <c r="H13" s="10" t="n">
        <f aca="false">Model!BT16+Model!BU16+Model!BV16+Model!BW16+Model!BX16+Model!BY16+Model!BZ16+Model!CA16+Model!CB16+Model!CC16+Model!CD16+Model!CE16</f>
        <v>-3459300.87173293</v>
      </c>
      <c r="I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-4338997.1242</v>
      </c>
      <c r="C15" s="12" t="n">
        <f aca="false">Model!L38+Model!M38+Model!N38+Model!O38+Model!P38+Model!Q38+Model!R38+Model!S38+Model!T38+Model!U38+Model!V38+Model!W38</f>
        <v>-7558959.1813</v>
      </c>
      <c r="D15" s="12" t="n">
        <f aca="false">Model!X38+Model!Y38+Model!Z38+Model!AA38+Model!AB38+Model!AC38+Model!AD38+Model!AE38+Model!AF38+Model!AG38+Model!AH38+Model!AI38</f>
        <v>-6547139.396626</v>
      </c>
      <c r="E15" s="12" t="n">
        <f aca="false">Model!AJ38+Model!AK38+Model!AL38+Model!AM38+Model!AN38+Model!AO38+Model!AP38+Model!AQ38+Model!AR38+Model!AS38+Model!AT38+Model!AU38</f>
        <v>-5307176.13375852</v>
      </c>
      <c r="F15" s="12" t="n">
        <f aca="false">Model!AV38+Model!AW38+Model!AX38+Model!AY38+Model!AZ38+Model!BA38+Model!BB38+Model!BC38+Model!BD38+Model!BE38+Model!BF38+Model!BG38</f>
        <v>-5413319.65643369</v>
      </c>
      <c r="G15" s="12" t="n">
        <f aca="false">Model!BH38+Model!BI38+Model!BJ38+Model!BK38+Model!BL38+Model!BM38+Model!BN38+Model!BO38+Model!BP38+Model!BQ38+Model!BR38+Model!BS38</f>
        <v>-5521586.04956237</v>
      </c>
      <c r="H15" s="12" t="n">
        <f aca="false">Model!BT38+Model!BU38+Model!BV38+Model!BW38+Model!BX38+Model!BY38+Model!BZ38+Model!CA38+Model!CB38+Model!CC38+Model!CD38+Model!CE38</f>
        <v>-5632017.77055361</v>
      </c>
      <c r="I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2276079.57604322</v>
      </c>
      <c r="C16" s="16" t="n">
        <f aca="false">Model!L40+Model!M40+Model!N40+Model!O40+Model!P40+Model!Q40+Model!R40+Model!S40+Model!T40+Model!U40+Model!V40+Model!W40</f>
        <v>3123613.14020718</v>
      </c>
      <c r="D16" s="16" t="n">
        <f aca="false">Model!X40+Model!Y40+Model!Z40+Model!AA40+Model!AB40+Model!AC40+Model!AD40+Model!AE40+Model!AF40+Model!AG40+Model!AH40+Model!AI40</f>
        <v>3412324.56732536</v>
      </c>
      <c r="E16" s="16" t="n">
        <f aca="false">Model!AJ40+Model!AK40+Model!AL40+Model!AM40+Model!AN40+Model!AO40+Model!AP40+Model!AQ40+Model!AR40+Model!AS40+Model!AT40+Model!AU40</f>
        <v>-1250233.25158149</v>
      </c>
      <c r="F16" s="16" t="n">
        <f aca="false">Model!AV40+Model!AW40+Model!AX40+Model!AY40+Model!AZ40+Model!BA40+Model!BB40+Model!BC40+Model!BD40+Model!BE40+Model!BF40+Model!BG40</f>
        <v>-3690209.98976702</v>
      </c>
      <c r="G16" s="16" t="n">
        <f aca="false">Model!BH40+Model!BI40+Model!BJ40+Model!BK40+Model!BL40+Model!BM40+Model!BN40+Model!BO40+Model!BP40+Model!BQ40+Model!BR40+Model!BS40</f>
        <v>-5521586.04956237</v>
      </c>
      <c r="H16" s="16" t="n">
        <f aca="false">Model!BT40+Model!BU40+Model!BV40+Model!BW40+Model!BX40+Model!BY40+Model!BZ40+Model!CA40+Model!CB40+Model!CC40+Model!CD40+Model!CE40</f>
        <v>-5632017.77055361</v>
      </c>
      <c r="I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0.34407455562224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0.292402714083987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0.342621307700534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-0.308171272776359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-2.14159902944871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370447.9</v>
      </c>
      <c r="C19" s="19" t="n">
        <f aca="false">Model!L63+Model!M63+Model!N63+Model!O63+Model!P63+Model!Q63+Model!R63+Model!S63+Model!T63+Model!U63+Model!V63+Model!W63</f>
        <v>733409.5624</v>
      </c>
      <c r="D19" s="19" t="n">
        <f aca="false">Model!X63+Model!Y63+Model!Z63+Model!AA63+Model!AB63+Model!AC63+Model!AD63+Model!AE63+Model!AF63+Model!AG63+Model!AH63+Model!AI63</f>
        <v>2216571.5296</v>
      </c>
      <c r="E19" s="19" t="n">
        <f aca="false">Model!AJ63+Model!AK63+Model!AL63+Model!AM63+Model!AN63+Model!AO63+Model!AP63+Model!AQ63+Model!AR63+Model!AS63+Model!AT63+Model!AU63</f>
        <v>1366426.7664</v>
      </c>
      <c r="F19" s="19" t="n">
        <f aca="false">Model!AV63+Model!AW63+Model!AX63+Model!AY63+Model!AZ63+Model!BA63+Model!BB63+Model!BC63+Model!BD63+Model!BE63+Model!BF63+Model!BG63</f>
        <v>1802920.1488</v>
      </c>
      <c r="G19" s="19" t="n">
        <f aca="false">Model!BH63+Model!BI63+Model!BJ63+Model!BK63+Model!BL63+Model!BM63+Model!BN63+Model!BO63+Model!BP63+Model!BQ63+Model!BR63+Model!BS63</f>
        <v>822166.0928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-1120081.25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-749633.35</v>
      </c>
      <c r="C21" s="16" t="n">
        <f aca="false">Model!L86+Model!M86+Model!N86+Model!O86+Model!P86+Model!Q86+Model!R86+Model!S86+Model!T86+Model!U86+Model!V86+Model!W86</f>
        <v>-767767.0626</v>
      </c>
      <c r="D21" s="16" t="n">
        <f aca="false">Model!X86+Model!Y86+Model!Z86+Model!AA86+Model!AB86+Model!AC86+Model!AD86+Model!AE86+Model!AF86+Model!AG86+Model!AH86+Model!AI86</f>
        <v>685371.3721</v>
      </c>
      <c r="E21" s="16" t="n">
        <f aca="false">Model!AJ86+Model!AK86+Model!AL86+Model!AM86+Model!AN86+Model!AO86+Model!AP86+Model!AQ86+Model!AR86+Model!AS86+Model!AT86+Model!AU86</f>
        <v>-358762.39425</v>
      </c>
      <c r="F21" s="16" t="n">
        <f aca="false">Model!AV86+Model!AW86+Model!AX86+Model!AY86+Model!AZ86+Model!BA86+Model!BB86+Model!BC86+Model!BD86+Model!BE86+Model!BF86+Model!BG86</f>
        <v>-1067097.495063</v>
      </c>
      <c r="G21" s="16" t="n">
        <f aca="false">Model!BH86+Model!BI86+Model!BJ86+Model!BK86+Model!BL86+Model!BM86+Model!BN86+Model!BO86+Model!BP86+Model!BQ86+Model!BR86+Model!BS86</f>
        <v>-1230040.24394026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1526446.22604322</v>
      </c>
      <c r="C23" s="16" t="n">
        <f aca="false">Model!L95+Model!M95+Model!N95+Model!O95+Model!P95+Model!Q95+Model!R95+Model!S95+Model!T95+Model!U95+Model!V95+Model!W95</f>
        <v>2355846.07760718</v>
      </c>
      <c r="D23" s="16" t="n">
        <f aca="false">Model!X95+Model!Y95+Model!Z95+Model!AA95+Model!AB95+Model!AC95+Model!AD95+Model!AE95+Model!AF95+Model!AG95+Model!AH95+Model!AI95</f>
        <v>4097695.93942535</v>
      </c>
      <c r="E23" s="16" t="n">
        <f aca="false">Model!AJ95+Model!AK95+Model!AL95+Model!AM95+Model!AN95+Model!AO95+Model!AP95+Model!AQ95+Model!AR95+Model!AS95+Model!AT95+Model!AU95</f>
        <v>-1608995.64583149</v>
      </c>
      <c r="F23" s="16" t="n">
        <f aca="false">Model!AV95+Model!AW95+Model!AX95+Model!AY95+Model!AZ95+Model!BA95+Model!BB95+Model!BC95+Model!BD95+Model!BE95+Model!BF95+Model!BG95</f>
        <v>-4757307.48483003</v>
      </c>
      <c r="G23" s="16" t="n">
        <f aca="false">Model!BH95+Model!BI95+Model!BJ95+Model!BK95+Model!BL95+Model!BM95+Model!BN95+Model!BO95+Model!BP95+Model!BQ95+Model!BR95+Model!BS95</f>
        <v>-6751626.29350262</v>
      </c>
      <c r="H23" s="16" t="n">
        <f aca="false">Model!BT95+Model!BU95+Model!BV95+Model!BW95+Model!BX95+Model!BY95+Model!BZ95+Model!CA95+Model!CB95+Model!CC95+Model!CD95+Model!CE95</f>
        <v>-7000916.06442868</v>
      </c>
      <c r="I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-0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-250000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250000</v>
      </c>
      <c r="F36" s="10" t="n">
        <f aca="false">Model!BG107</f>
        <v>250000</v>
      </c>
      <c r="G36" s="10" t="n">
        <f aca="false">Model!BS107</f>
        <v>250000</v>
      </c>
      <c r="H36" s="10" t="n">
        <f aca="false">Model!CE107</f>
        <v>250000</v>
      </c>
      <c r="I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3927995.26604322</v>
      </c>
      <c r="C42" s="21" t="n">
        <f aca="false">Model!W147</f>
        <v>7051608.4062504</v>
      </c>
      <c r="D42" s="21" t="n">
        <f aca="false">Model!AI147</f>
        <v>10463932.9735757</v>
      </c>
      <c r="E42" s="21" t="n">
        <f aca="false">Model!AU147</f>
        <v>9213699.72199426</v>
      </c>
      <c r="F42" s="21" t="n">
        <f aca="false">Model!BG147</f>
        <v>5523489.73222723</v>
      </c>
      <c r="G42" s="21" t="n">
        <f aca="false">Model!BS147</f>
        <v>1903.68266486865</v>
      </c>
      <c r="H42" s="21" t="n">
        <f aca="false">Model!CE147</f>
        <v>-5630114.08788874</v>
      </c>
      <c r="I42" s="21" t="n">
        <f aca="false">Model!CH147</f>
        <v>-7045054.5130032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-688002.19</v>
      </c>
      <c r="C43" s="21" t="n">
        <f aca="false">Model!W155</f>
        <v>-3201738.49588545</v>
      </c>
      <c r="D43" s="21" t="n">
        <f aca="false">Model!AI155</f>
        <v>-2766367.12378544</v>
      </c>
      <c r="E43" s="21" t="n">
        <f aca="false">Model!AU155</f>
        <v>-3375129.51803544</v>
      </c>
      <c r="F43" s="21" t="n">
        <f aca="false">Model!BG155</f>
        <v>-4442227.01309845</v>
      </c>
      <c r="G43" s="21" t="n">
        <f aca="false">Model!BS155</f>
        <v>-5672267.25703871</v>
      </c>
      <c r="H43" s="21" t="n">
        <f aca="false">Model!CE155</f>
        <v>-7041165.55091377</v>
      </c>
      <c r="I43" s="21" t="n">
        <f aca="false">Model!CH155</f>
        <v>-7362005.94558217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-457933.867812966</v>
      </c>
      <c r="D44" s="21" t="n">
        <f aca="false">Model!X159+Model!Y159+Model!Z159+Model!AA159+Model!AB159+Model!AC159+Model!AD159+Model!AE159+Model!AF159+Model!AG159+Model!AH159+Model!AI159</f>
        <v>-706753.823282153</v>
      </c>
      <c r="E44" s="21" t="n">
        <f aca="false">Model!AJ159+Model!AK159+Model!AL159+Model!AM159+Model!AN159+Model!AO159+Model!AP159+Model!AQ159+Model!AR159+Model!AS159+Model!AT159+Model!AU159</f>
        <v>-1229308.78182761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3239993.07604322</v>
      </c>
      <c r="C45" s="23" t="n">
        <f aca="false">Model!W160</f>
        <v>3849869.91036495</v>
      </c>
      <c r="D45" s="23" t="n">
        <f aca="false">Model!AI160</f>
        <v>7697565.8497903</v>
      </c>
      <c r="E45" s="23" t="n">
        <f aca="false">Model!AU160</f>
        <v>5838570.20395881</v>
      </c>
      <c r="F45" s="23" t="n">
        <f aca="false">Model!BG160</f>
        <v>1081262.71912879</v>
      </c>
      <c r="G45" s="23" t="n">
        <f aca="false">Model!BS160</f>
        <v>-5670363.57437384</v>
      </c>
      <c r="H45" s="23" t="n">
        <f aca="false">Model!CE160</f>
        <v>-12671279.6388025</v>
      </c>
      <c r="I45" s="23" t="n">
        <f aca="false">Model!CH160</f>
        <v>-14407060.4585854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5588599.45019762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5710673.97288332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6380432.8722675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7051517.79007647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6909835.47156294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7106252.13265953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7246741.44652729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7327821.52794079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8074323.19199373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8133889.63282423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8129424.46262029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7843516.98514798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7467947.788651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7566271.175986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7974169.60377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7901583.674484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7861060.268914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7751472.788812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7579463.816981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7351630.335235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7073914.137236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6466763.935056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6392386.61868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5525502.443855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5475342.946834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5367788.190784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5212062.392123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5019014.573595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4799873.766747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4565383.481339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4007107.137234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3841163.012343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3450195.72653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244226.278238209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244226.278238209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304874.427332536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348022.570595523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323656.070595523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323656.070595523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323656.070595523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323656.070595523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397141.086829289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397141.086829289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397141.086829289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354343.868613295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298839.681113295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298839.681113295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337749.34276743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324854.605925325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324854.605925325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324854.605925325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324854.605925325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324854.605925325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324854.605925325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289928.669493336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357062.812350478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357062.812350478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357062.812350478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357062.812350478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357062.812350478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313914.669087491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313914.669087491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244160.695061517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205251.033407382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205251.033407382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179528.820745044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258741.587448735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258741.587448735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319389.736543062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362537.879806049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332057.754806049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332057.754806049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332057.754806049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332057.754806049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405542.771039815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405542.771039815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405542.771039815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362745.552823821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303353.365323821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303353.365323821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342263.026977956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324854.605925325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324854.605925325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324854.605925325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324854.605925325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324854.605925325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324854.605925325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289928.669493336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357062.812350478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357062.812350478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357062.812350478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357062.812350478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357062.812350478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313914.669087491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313914.669087491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244160.695061517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205251.033407382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205251.033407382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179528.820745044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67316.4512987013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67316.4512987013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87532.5009968102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101915.215417806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96124.8404178059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96124.8404178059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96124.8404178059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96124.8404178059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120619.845829061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120619.845829061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120619.845829061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106354.10642373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95314.9814237298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95314.9814237298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108284.868641775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108284.868641775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108284.868641775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108284.868641775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108284.868641775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108284.868641775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108284.868641775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96642.8898311119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119020.93745016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119020.93745016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119020.93745016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119020.93745016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119020.93745016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104638.223029164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104638.223029164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81386.8983538392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68417.011135794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68417.011135794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59842.9402483482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227699.34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227699.34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570284.316985646</v>
      </c>
      <c r="H12" s="12" t="n">
        <f aca="false">H8+H9+H10+H11</f>
        <v>570284.316985646</v>
      </c>
      <c r="I12" s="12" t="n">
        <f aca="false">I8+I9+I10+I11</f>
        <v>1153856.48987241</v>
      </c>
      <c r="J12" s="12" t="n">
        <f aca="false">J8+J9+J10+J11</f>
        <v>1131426.74081938</v>
      </c>
      <c r="K12" s="12" t="n">
        <f aca="false">K8+K9+K10+K11</f>
        <v>751838.665819378</v>
      </c>
      <c r="L12" s="12" t="n">
        <f aca="false">L8+L9+L10+L11</f>
        <v>751838.665819378</v>
      </c>
      <c r="M12" s="12" t="n">
        <f aca="false">M8+M9+M10+M11</f>
        <v>751838.665819378</v>
      </c>
      <c r="N12" s="12" t="n">
        <f aca="false">N8+N9+N10+N11</f>
        <v>751838.665819378</v>
      </c>
      <c r="O12" s="12" t="n">
        <f aca="false">O8+O9+O10+O11</f>
        <v>1602305.25369817</v>
      </c>
      <c r="P12" s="12" t="n">
        <f aca="false">P8+P9+P10+P11</f>
        <v>923303.703698166</v>
      </c>
      <c r="Q12" s="12" t="n">
        <f aca="false">Q8+Q9+Q10+Q11</f>
        <v>923303.703698166</v>
      </c>
      <c r="R12" s="12" t="n">
        <f aca="false">R8+R9+R10+R11</f>
        <v>1051142.86786085</v>
      </c>
      <c r="S12" s="12" t="n">
        <f aca="false">S8+S9+S10+S11</f>
        <v>697508.027860845</v>
      </c>
      <c r="T12" s="12" t="n">
        <f aca="false">T8+T9+T10+T11</f>
        <v>697508.027860845</v>
      </c>
      <c r="U12" s="12" t="n">
        <f aca="false">U8+U9+U10+U11</f>
        <v>1015996.57838716</v>
      </c>
      <c r="V12" s="12" t="n">
        <f aca="false">V8+V9+V10+V11</f>
        <v>757994.080492424</v>
      </c>
      <c r="W12" s="12" t="n">
        <f aca="false">W8+W9+W10+W11</f>
        <v>757994.080492424</v>
      </c>
      <c r="X12" s="12" t="n">
        <f aca="false">X8+X9+X10+X11</f>
        <v>757994.080492424</v>
      </c>
      <c r="Y12" s="12" t="n">
        <f aca="false">Y8+Y9+Y10+Y11</f>
        <v>757994.080492424</v>
      </c>
      <c r="Z12" s="12" t="n">
        <f aca="false">Z8+Z9+Z10+Z11</f>
        <v>757994.080492424</v>
      </c>
      <c r="AA12" s="12" t="n">
        <f aca="false">AA8+AA9+AA10+AA11</f>
        <v>757994.080492424</v>
      </c>
      <c r="AB12" s="12" t="n">
        <f aca="false">AB8+AB9+AB10+AB11</f>
        <v>676500.228817783</v>
      </c>
      <c r="AC12" s="12" t="n">
        <f aca="false">AC8+AC9+AC10+AC11</f>
        <v>1453466.04215112</v>
      </c>
      <c r="AD12" s="12" t="n">
        <f aca="false">AD8+AD9+AD10+AD11</f>
        <v>833146.562151116</v>
      </c>
      <c r="AE12" s="12" t="n">
        <f aca="false">AE8+AE9+AE10+AE11</f>
        <v>833146.562151116</v>
      </c>
      <c r="AF12" s="12" t="n">
        <f aca="false">AF8+AF9+AF10+AF11</f>
        <v>833146.562151116</v>
      </c>
      <c r="AG12" s="12" t="n">
        <f aca="false">AG8+AG9+AG10+AG11</f>
        <v>833146.562151116</v>
      </c>
      <c r="AH12" s="12" t="n">
        <f aca="false">AH8+AH9+AH10+AH11</f>
        <v>732467.561204147</v>
      </c>
      <c r="AI12" s="12" t="n">
        <f aca="false">AI8+AI9+AI10+AI11</f>
        <v>732467.561204147</v>
      </c>
      <c r="AJ12" s="12" t="n">
        <f aca="false">AJ8+AJ9+AJ10+AJ11</f>
        <v>569708.288476874</v>
      </c>
      <c r="AK12" s="12" t="n">
        <f aca="false">AK8+AK9+AK10+AK11</f>
        <v>478919.077950558</v>
      </c>
      <c r="AL12" s="12" t="n">
        <f aca="false">AL8+AL9+AL10+AL11</f>
        <v>478919.077950558</v>
      </c>
      <c r="AM12" s="12" t="n">
        <f aca="false">AM8+AM9+AM10+AM11</f>
        <v>418900.581738437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-493348.57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-493348.57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-257241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-257241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-257241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-257241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-257241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-257241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-257241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-257241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-257241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-262385.82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-262385.82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-262385.82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-262385.82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-262385.82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-262385.82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-262385.82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-262385.82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-262385.82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-262385.82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-262385.82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-262385.82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-267633.5364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-267633.5364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-267633.5364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-267633.5364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-267633.5364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-267633.5364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-267633.5364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-267633.5364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-267633.5364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-267633.5364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-267633.5364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-267633.5364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-272986.207128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-272986.207128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-272986.207128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-272986.207128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-272986.207128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-272986.207128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-272986.207128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-272986.207128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-272986.207128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-272986.207128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-272986.207128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-272986.207128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-278445.93127056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-278445.93127056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-278445.93127056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-278445.93127056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-278445.93127056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-278445.93127056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-278445.93127056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-278445.93127056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-278445.93127056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-278445.93127056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-278445.93127056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-278445.93127056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-284014.849895971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-284014.849895971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-284014.849895971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-284014.849895971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-284014.849895971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-284014.849895971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-284014.849895971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-284014.849895971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-284014.849895971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-284014.849895971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-284014.849895971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-284014.849895971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-289695.146893891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-289695.146893891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-289695.146893891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-289695.146893891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-289695.146893891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-289695.146893891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-289695.146893891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-289695.146893891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-289695.146893891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-289695.146893891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-289695.146893891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-289695.146893891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-39211.15</v>
      </c>
      <c r="G18" s="10" t="n">
        <f aca="false">-Helpers!G4*Assumptions!$B$20</f>
        <v>-39211.15</v>
      </c>
      <c r="H18" s="10" t="n">
        <f aca="false">-Helpers!H4*Assumptions!$B$20</f>
        <v>-39211.15</v>
      </c>
      <c r="I18" s="10" t="n">
        <f aca="false">-Helpers!I4*Assumptions!$B$20</f>
        <v>-39211.15</v>
      </c>
      <c r="J18" s="10" t="n">
        <f aca="false">-Helpers!J4*Assumptions!$B$20</f>
        <v>-39211.15</v>
      </c>
      <c r="K18" s="10" t="n">
        <f aca="false">-Helpers!K4*Assumptions!$B$20</f>
        <v>-39211.15</v>
      </c>
      <c r="L18" s="10" t="n">
        <f aca="false">-Helpers!L4*Assumptions!$B$20</f>
        <v>-39211.15</v>
      </c>
      <c r="M18" s="10" t="n">
        <f aca="false">-Helpers!M4*Assumptions!$B$20</f>
        <v>-39211.15</v>
      </c>
      <c r="N18" s="10" t="n">
        <f aca="false">-Helpers!N4*Assumptions!$B$20</f>
        <v>-39211.15</v>
      </c>
      <c r="O18" s="10" t="n">
        <f aca="false">-Helpers!O4*Assumptions!$B$20</f>
        <v>-39995.373</v>
      </c>
      <c r="P18" s="10" t="n">
        <f aca="false">-Helpers!P4*Assumptions!$B$20</f>
        <v>-39995.373</v>
      </c>
      <c r="Q18" s="10" t="n">
        <f aca="false">-Helpers!Q4*Assumptions!$B$20</f>
        <v>-39995.373</v>
      </c>
      <c r="R18" s="10" t="n">
        <f aca="false">-Helpers!R4*Assumptions!$B$20</f>
        <v>-39995.373</v>
      </c>
      <c r="S18" s="10" t="n">
        <f aca="false">-Helpers!S4*Assumptions!$B$20</f>
        <v>-39995.373</v>
      </c>
      <c r="T18" s="10" t="n">
        <f aca="false">-Helpers!T4*Assumptions!$B$20</f>
        <v>-39995.373</v>
      </c>
      <c r="U18" s="10" t="n">
        <f aca="false">-Helpers!U4*Assumptions!$B$20</f>
        <v>-39995.373</v>
      </c>
      <c r="V18" s="10" t="n">
        <f aca="false">-Helpers!V4*Assumptions!$B$20</f>
        <v>-39995.373</v>
      </c>
      <c r="W18" s="10" t="n">
        <f aca="false">-Helpers!W4*Assumptions!$B$20</f>
        <v>-39995.373</v>
      </c>
      <c r="X18" s="10" t="n">
        <f aca="false">-Helpers!X4*Assumptions!$B$20</f>
        <v>-39995.373</v>
      </c>
      <c r="Y18" s="10" t="n">
        <f aca="false">-Helpers!Y4*Assumptions!$B$20</f>
        <v>-39995.373</v>
      </c>
      <c r="Z18" s="10" t="n">
        <f aca="false">-Helpers!Z4*Assumptions!$B$20</f>
        <v>-39995.373</v>
      </c>
      <c r="AA18" s="10" t="n">
        <f aca="false">-Helpers!AA4*Assumptions!$B$20</f>
        <v>-40795.28046</v>
      </c>
      <c r="AB18" s="10" t="n">
        <f aca="false">-Helpers!AB4*Assumptions!$B$20</f>
        <v>-40795.28046</v>
      </c>
      <c r="AC18" s="10" t="n">
        <f aca="false">-Helpers!AC4*Assumptions!$B$20</f>
        <v>-40795.28046</v>
      </c>
      <c r="AD18" s="10" t="n">
        <f aca="false">-Helpers!AD4*Assumptions!$B$20</f>
        <v>-40795.28046</v>
      </c>
      <c r="AE18" s="10" t="n">
        <f aca="false">-Helpers!AE4*Assumptions!$B$20</f>
        <v>-40795.28046</v>
      </c>
      <c r="AF18" s="10" t="n">
        <f aca="false">-Helpers!AF4*Assumptions!$B$20</f>
        <v>-40795.28046</v>
      </c>
      <c r="AG18" s="10" t="n">
        <f aca="false">-Helpers!AG4*Assumptions!$B$20</f>
        <v>-40795.28046</v>
      </c>
      <c r="AH18" s="10" t="n">
        <f aca="false">-Helpers!AH4*Assumptions!$B$20</f>
        <v>-40795.28046</v>
      </c>
      <c r="AI18" s="10" t="n">
        <f aca="false">-Helpers!AI4*Assumptions!$B$20</f>
        <v>-40795.28046</v>
      </c>
      <c r="AJ18" s="10" t="n">
        <f aca="false">-Helpers!AJ4*Assumptions!$B$20</f>
        <v>-40795.28046</v>
      </c>
      <c r="AK18" s="10" t="n">
        <f aca="false">-Helpers!AK4*Assumptions!$B$20</f>
        <v>-40795.28046</v>
      </c>
      <c r="AL18" s="10" t="n">
        <f aca="false">-Helpers!AL4*Assumptions!$B$20</f>
        <v>-40795.28046</v>
      </c>
      <c r="AM18" s="10" t="n">
        <f aca="false">-Helpers!AM4*Assumptions!$B$20</f>
        <v>-41611.1860692</v>
      </c>
      <c r="AN18" s="10" t="n">
        <f aca="false">-Helpers!AN4*Assumptions!$B$20</f>
        <v>-41611.1860692</v>
      </c>
      <c r="AO18" s="10" t="n">
        <f aca="false">-Helpers!AO4*Assumptions!$B$20</f>
        <v>-41611.1860692</v>
      </c>
      <c r="AP18" s="10" t="n">
        <f aca="false">-Helpers!AP4*Assumptions!$B$20</f>
        <v>-41611.1860692</v>
      </c>
      <c r="AQ18" s="10" t="n">
        <f aca="false">-Helpers!AQ4*Assumptions!$B$20</f>
        <v>-41611.1860692</v>
      </c>
      <c r="AR18" s="10" t="n">
        <f aca="false">-Helpers!AR4*Assumptions!$B$20</f>
        <v>-41611.1860692</v>
      </c>
      <c r="AS18" s="10" t="n">
        <f aca="false">-Helpers!AS4*Assumptions!$B$20</f>
        <v>-41611.1860692</v>
      </c>
      <c r="AT18" s="10" t="n">
        <f aca="false">-Helpers!AT4*Assumptions!$B$20</f>
        <v>-41611.1860692</v>
      </c>
      <c r="AU18" s="10" t="n">
        <f aca="false">-Helpers!AU4*Assumptions!$B$20</f>
        <v>-41611.1860692</v>
      </c>
      <c r="AV18" s="10" t="n">
        <f aca="false">-Helpers!AV4*Assumptions!$B$20</f>
        <v>-41611.1860692</v>
      </c>
      <c r="AW18" s="10" t="n">
        <f aca="false">-Helpers!AW4*Assumptions!$B$20</f>
        <v>-41611.1860692</v>
      </c>
      <c r="AX18" s="10" t="n">
        <f aca="false">-Helpers!AX4*Assumptions!$B$20</f>
        <v>-41611.1860692</v>
      </c>
      <c r="AY18" s="10" t="n">
        <f aca="false">-Helpers!AY4*Assumptions!$B$20</f>
        <v>-42443.409790584</v>
      </c>
      <c r="AZ18" s="10" t="n">
        <f aca="false">-Helpers!AZ4*Assumptions!$B$20</f>
        <v>-42443.409790584</v>
      </c>
      <c r="BA18" s="10" t="n">
        <f aca="false">-Helpers!BA4*Assumptions!$B$20</f>
        <v>-42443.409790584</v>
      </c>
      <c r="BB18" s="10" t="n">
        <f aca="false">-Helpers!BB4*Assumptions!$B$20</f>
        <v>-42443.409790584</v>
      </c>
      <c r="BC18" s="10" t="n">
        <f aca="false">-Helpers!BC4*Assumptions!$B$20</f>
        <v>-42443.409790584</v>
      </c>
      <c r="BD18" s="10" t="n">
        <f aca="false">-Helpers!BD4*Assumptions!$B$20</f>
        <v>-42443.409790584</v>
      </c>
      <c r="BE18" s="10" t="n">
        <f aca="false">-Helpers!BE4*Assumptions!$B$20</f>
        <v>-42443.409790584</v>
      </c>
      <c r="BF18" s="10" t="n">
        <f aca="false">-Helpers!BF4*Assumptions!$B$20</f>
        <v>-42443.409790584</v>
      </c>
      <c r="BG18" s="10" t="n">
        <f aca="false">-Helpers!BG4*Assumptions!$B$20</f>
        <v>-42443.409790584</v>
      </c>
      <c r="BH18" s="10" t="n">
        <f aca="false">-Helpers!BH4*Assumptions!$B$20</f>
        <v>-42443.409790584</v>
      </c>
      <c r="BI18" s="10" t="n">
        <f aca="false">-Helpers!BI4*Assumptions!$B$20</f>
        <v>-42443.409790584</v>
      </c>
      <c r="BJ18" s="10" t="n">
        <f aca="false">-Helpers!BJ4*Assumptions!$B$20</f>
        <v>-42443.409790584</v>
      </c>
      <c r="BK18" s="10" t="n">
        <f aca="false">-Helpers!BK4*Assumptions!$B$20</f>
        <v>-43292.2779863957</v>
      </c>
      <c r="BL18" s="10" t="n">
        <f aca="false">-Helpers!BL4*Assumptions!$B$20</f>
        <v>-43292.2779863957</v>
      </c>
      <c r="BM18" s="10" t="n">
        <f aca="false">-Helpers!BM4*Assumptions!$B$20</f>
        <v>-43292.2779863957</v>
      </c>
      <c r="BN18" s="10" t="n">
        <f aca="false">-Helpers!BN4*Assumptions!$B$20</f>
        <v>-43292.2779863957</v>
      </c>
      <c r="BO18" s="10" t="n">
        <f aca="false">-Helpers!BO4*Assumptions!$B$20</f>
        <v>-43292.2779863957</v>
      </c>
      <c r="BP18" s="10" t="n">
        <f aca="false">-Helpers!BP4*Assumptions!$B$20</f>
        <v>-43292.2779863957</v>
      </c>
      <c r="BQ18" s="10" t="n">
        <f aca="false">-Helpers!BQ4*Assumptions!$B$20</f>
        <v>-43292.2779863957</v>
      </c>
      <c r="BR18" s="10" t="n">
        <f aca="false">-Helpers!BR4*Assumptions!$B$20</f>
        <v>-43292.2779863957</v>
      </c>
      <c r="BS18" s="10" t="n">
        <f aca="false">-Helpers!BS4*Assumptions!$B$20</f>
        <v>-43292.2779863957</v>
      </c>
      <c r="BT18" s="10" t="n">
        <f aca="false">-Helpers!BT4*Assumptions!$B$20</f>
        <v>-43292.2779863957</v>
      </c>
      <c r="BU18" s="10" t="n">
        <f aca="false">-Helpers!BU4*Assumptions!$B$20</f>
        <v>-43292.2779863957</v>
      </c>
      <c r="BV18" s="10" t="n">
        <f aca="false">-Helpers!BV4*Assumptions!$B$20</f>
        <v>-43292.2779863957</v>
      </c>
      <c r="BW18" s="10" t="n">
        <f aca="false">-Helpers!BW4*Assumptions!$B$20</f>
        <v>-44158.1235461236</v>
      </c>
      <c r="BX18" s="10" t="n">
        <f aca="false">-Helpers!BX4*Assumptions!$B$20</f>
        <v>-44158.1235461236</v>
      </c>
      <c r="BY18" s="10" t="n">
        <f aca="false">-Helpers!BY4*Assumptions!$B$20</f>
        <v>-44158.1235461236</v>
      </c>
      <c r="BZ18" s="10" t="n">
        <f aca="false">-Helpers!BZ4*Assumptions!$B$20</f>
        <v>-44158.1235461236</v>
      </c>
      <c r="CA18" s="10" t="n">
        <f aca="false">-Helpers!CA4*Assumptions!$B$20</f>
        <v>-44158.1235461236</v>
      </c>
      <c r="CB18" s="10" t="n">
        <f aca="false">-Helpers!CB4*Assumptions!$B$20</f>
        <v>-44158.1235461236</v>
      </c>
      <c r="CC18" s="10" t="n">
        <f aca="false">-Helpers!CC4*Assumptions!$B$20</f>
        <v>-44158.1235461236</v>
      </c>
      <c r="CD18" s="10" t="n">
        <f aca="false">-Helpers!CD4*Assumptions!$B$20</f>
        <v>-44158.1235461236</v>
      </c>
      <c r="CE18" s="10" t="n">
        <f aca="false">-Helpers!CE4*Assumptions!$B$20</f>
        <v>-44158.1235461236</v>
      </c>
      <c r="CF18" s="10" t="n">
        <f aca="false">-Helpers!CF4*Assumptions!$B$20</f>
        <v>-44158.1235461236</v>
      </c>
      <c r="CG18" s="10" t="n">
        <f aca="false">-Helpers!CG4*Assumptions!$B$20</f>
        <v>-44158.1235461236</v>
      </c>
      <c r="CH18" s="10" t="n">
        <f aca="false">-Helpers!CH4*Assumptions!$B$20</f>
        <v>-44158.1235461236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-1307.03833333333</v>
      </c>
      <c r="G19" s="10" t="n">
        <f aca="false">-Helpers!G4*Assumptions!$B$21</f>
        <v>-1307.03833333333</v>
      </c>
      <c r="H19" s="10" t="n">
        <f aca="false">-Helpers!H4*Assumptions!$B$21</f>
        <v>-1307.03833333333</v>
      </c>
      <c r="I19" s="10" t="n">
        <f aca="false">-Helpers!I4*Assumptions!$B$21</f>
        <v>-1307.03833333333</v>
      </c>
      <c r="J19" s="10" t="n">
        <f aca="false">-Helpers!J4*Assumptions!$B$21</f>
        <v>-1307.03833333333</v>
      </c>
      <c r="K19" s="10" t="n">
        <f aca="false">-Helpers!K4*Assumptions!$B$21</f>
        <v>-1307.03833333333</v>
      </c>
      <c r="L19" s="10" t="n">
        <f aca="false">-Helpers!L4*Assumptions!$B$21</f>
        <v>-1307.03833333333</v>
      </c>
      <c r="M19" s="10" t="n">
        <f aca="false">-Helpers!M4*Assumptions!$B$21</f>
        <v>-1307.03833333333</v>
      </c>
      <c r="N19" s="10" t="n">
        <f aca="false">-Helpers!N4*Assumptions!$B$21</f>
        <v>-1307.03833333333</v>
      </c>
      <c r="O19" s="10" t="n">
        <f aca="false">-Helpers!O4*Assumptions!$B$21</f>
        <v>-1333.1791</v>
      </c>
      <c r="P19" s="10" t="n">
        <f aca="false">-Helpers!P4*Assumptions!$B$21</f>
        <v>-1333.1791</v>
      </c>
      <c r="Q19" s="10" t="n">
        <f aca="false">-Helpers!Q4*Assumptions!$B$21</f>
        <v>-1333.1791</v>
      </c>
      <c r="R19" s="10" t="n">
        <f aca="false">-Helpers!R4*Assumptions!$B$21</f>
        <v>-1333.1791</v>
      </c>
      <c r="S19" s="10" t="n">
        <f aca="false">-Helpers!S4*Assumptions!$B$21</f>
        <v>-1333.1791</v>
      </c>
      <c r="T19" s="10" t="n">
        <f aca="false">-Helpers!T4*Assumptions!$B$21</f>
        <v>-1333.1791</v>
      </c>
      <c r="U19" s="10" t="n">
        <f aca="false">-Helpers!U4*Assumptions!$B$21</f>
        <v>-1333.1791</v>
      </c>
      <c r="V19" s="10" t="n">
        <f aca="false">-Helpers!V4*Assumptions!$B$21</f>
        <v>-1333.1791</v>
      </c>
      <c r="W19" s="10" t="n">
        <f aca="false">-Helpers!W4*Assumptions!$B$21</f>
        <v>-1333.1791</v>
      </c>
      <c r="X19" s="10" t="n">
        <f aca="false">-Helpers!X4*Assumptions!$B$21</f>
        <v>-1333.1791</v>
      </c>
      <c r="Y19" s="10" t="n">
        <f aca="false">-Helpers!Y4*Assumptions!$B$21</f>
        <v>-1333.1791</v>
      </c>
      <c r="Z19" s="10" t="n">
        <f aca="false">-Helpers!Z4*Assumptions!$B$21</f>
        <v>-1333.1791</v>
      </c>
      <c r="AA19" s="10" t="n">
        <f aca="false">-Helpers!AA4*Assumptions!$B$21</f>
        <v>-1359.842682</v>
      </c>
      <c r="AB19" s="10" t="n">
        <f aca="false">-Helpers!AB4*Assumptions!$B$21</f>
        <v>-1359.842682</v>
      </c>
      <c r="AC19" s="10" t="n">
        <f aca="false">-Helpers!AC4*Assumptions!$B$21</f>
        <v>-1359.842682</v>
      </c>
      <c r="AD19" s="10" t="n">
        <f aca="false">-Helpers!AD4*Assumptions!$B$21</f>
        <v>-1359.842682</v>
      </c>
      <c r="AE19" s="10" t="n">
        <f aca="false">-Helpers!AE4*Assumptions!$B$21</f>
        <v>-1359.842682</v>
      </c>
      <c r="AF19" s="10" t="n">
        <f aca="false">-Helpers!AF4*Assumptions!$B$21</f>
        <v>-1359.842682</v>
      </c>
      <c r="AG19" s="10" t="n">
        <f aca="false">-Helpers!AG4*Assumptions!$B$21</f>
        <v>-1359.842682</v>
      </c>
      <c r="AH19" s="10" t="n">
        <f aca="false">-Helpers!AH4*Assumptions!$B$21</f>
        <v>-1359.842682</v>
      </c>
      <c r="AI19" s="10" t="n">
        <f aca="false">-Helpers!AI4*Assumptions!$B$21</f>
        <v>-1359.842682</v>
      </c>
      <c r="AJ19" s="10" t="n">
        <f aca="false">-Helpers!AJ4*Assumptions!$B$21</f>
        <v>-1359.842682</v>
      </c>
      <c r="AK19" s="10" t="n">
        <f aca="false">-Helpers!AK4*Assumptions!$B$21</f>
        <v>-1359.842682</v>
      </c>
      <c r="AL19" s="10" t="n">
        <f aca="false">-Helpers!AL4*Assumptions!$B$21</f>
        <v>-1359.842682</v>
      </c>
      <c r="AM19" s="10" t="n">
        <f aca="false">-Helpers!AM4*Assumptions!$B$21</f>
        <v>-1387.03953564</v>
      </c>
      <c r="AN19" s="10" t="n">
        <f aca="false">-Helpers!AN4*Assumptions!$B$21</f>
        <v>-1387.03953564</v>
      </c>
      <c r="AO19" s="10" t="n">
        <f aca="false">-Helpers!AO4*Assumptions!$B$21</f>
        <v>-1387.03953564</v>
      </c>
      <c r="AP19" s="10" t="n">
        <f aca="false">-Helpers!AP4*Assumptions!$B$21</f>
        <v>-1387.03953564</v>
      </c>
      <c r="AQ19" s="10" t="n">
        <f aca="false">-Helpers!AQ4*Assumptions!$B$21</f>
        <v>-1387.03953564</v>
      </c>
      <c r="AR19" s="10" t="n">
        <f aca="false">-Helpers!AR4*Assumptions!$B$21</f>
        <v>-1387.03953564</v>
      </c>
      <c r="AS19" s="10" t="n">
        <f aca="false">-Helpers!AS4*Assumptions!$B$21</f>
        <v>-1387.03953564</v>
      </c>
      <c r="AT19" s="10" t="n">
        <f aca="false">-Helpers!AT4*Assumptions!$B$21</f>
        <v>-1387.03953564</v>
      </c>
      <c r="AU19" s="10" t="n">
        <f aca="false">-Helpers!AU4*Assumptions!$B$21</f>
        <v>-1387.03953564</v>
      </c>
      <c r="AV19" s="10" t="n">
        <f aca="false">-Helpers!AV4*Assumptions!$B$21</f>
        <v>-1387.03953564</v>
      </c>
      <c r="AW19" s="10" t="n">
        <f aca="false">-Helpers!AW4*Assumptions!$B$21</f>
        <v>-1387.03953564</v>
      </c>
      <c r="AX19" s="10" t="n">
        <f aca="false">-Helpers!AX4*Assumptions!$B$21</f>
        <v>-1387.03953564</v>
      </c>
      <c r="AY19" s="10" t="n">
        <f aca="false">-Helpers!AY4*Assumptions!$B$21</f>
        <v>-1414.7803263528</v>
      </c>
      <c r="AZ19" s="10" t="n">
        <f aca="false">-Helpers!AZ4*Assumptions!$B$21</f>
        <v>-1414.7803263528</v>
      </c>
      <c r="BA19" s="10" t="n">
        <f aca="false">-Helpers!BA4*Assumptions!$B$21</f>
        <v>-1414.7803263528</v>
      </c>
      <c r="BB19" s="10" t="n">
        <f aca="false">-Helpers!BB4*Assumptions!$B$21</f>
        <v>-1414.7803263528</v>
      </c>
      <c r="BC19" s="10" t="n">
        <f aca="false">-Helpers!BC4*Assumptions!$B$21</f>
        <v>-1414.7803263528</v>
      </c>
      <c r="BD19" s="10" t="n">
        <f aca="false">-Helpers!BD4*Assumptions!$B$21</f>
        <v>-1414.7803263528</v>
      </c>
      <c r="BE19" s="10" t="n">
        <f aca="false">-Helpers!BE4*Assumptions!$B$21</f>
        <v>-1414.7803263528</v>
      </c>
      <c r="BF19" s="10" t="n">
        <f aca="false">-Helpers!BF4*Assumptions!$B$21</f>
        <v>-1414.7803263528</v>
      </c>
      <c r="BG19" s="10" t="n">
        <f aca="false">-Helpers!BG4*Assumptions!$B$21</f>
        <v>-1414.7803263528</v>
      </c>
      <c r="BH19" s="10" t="n">
        <f aca="false">-Helpers!BH4*Assumptions!$B$21</f>
        <v>-1414.7803263528</v>
      </c>
      <c r="BI19" s="10" t="n">
        <f aca="false">-Helpers!BI4*Assumptions!$B$21</f>
        <v>-1414.7803263528</v>
      </c>
      <c r="BJ19" s="10" t="n">
        <f aca="false">-Helpers!BJ4*Assumptions!$B$21</f>
        <v>-1414.7803263528</v>
      </c>
      <c r="BK19" s="10" t="n">
        <f aca="false">-Helpers!BK4*Assumptions!$B$21</f>
        <v>-1443.07593287986</v>
      </c>
      <c r="BL19" s="10" t="n">
        <f aca="false">-Helpers!BL4*Assumptions!$B$21</f>
        <v>-1443.07593287986</v>
      </c>
      <c r="BM19" s="10" t="n">
        <f aca="false">-Helpers!BM4*Assumptions!$B$21</f>
        <v>-1443.07593287986</v>
      </c>
      <c r="BN19" s="10" t="n">
        <f aca="false">-Helpers!BN4*Assumptions!$B$21</f>
        <v>-1443.07593287986</v>
      </c>
      <c r="BO19" s="10" t="n">
        <f aca="false">-Helpers!BO4*Assumptions!$B$21</f>
        <v>-1443.07593287986</v>
      </c>
      <c r="BP19" s="10" t="n">
        <f aca="false">-Helpers!BP4*Assumptions!$B$21</f>
        <v>-1443.07593287986</v>
      </c>
      <c r="BQ19" s="10" t="n">
        <f aca="false">-Helpers!BQ4*Assumptions!$B$21</f>
        <v>-1443.07593287986</v>
      </c>
      <c r="BR19" s="10" t="n">
        <f aca="false">-Helpers!BR4*Assumptions!$B$21</f>
        <v>-1443.07593287986</v>
      </c>
      <c r="BS19" s="10" t="n">
        <f aca="false">-Helpers!BS4*Assumptions!$B$21</f>
        <v>-1443.07593287986</v>
      </c>
      <c r="BT19" s="10" t="n">
        <f aca="false">-Helpers!BT4*Assumptions!$B$21</f>
        <v>-1443.07593287986</v>
      </c>
      <c r="BU19" s="10" t="n">
        <f aca="false">-Helpers!BU4*Assumptions!$B$21</f>
        <v>-1443.07593287986</v>
      </c>
      <c r="BV19" s="10" t="n">
        <f aca="false">-Helpers!BV4*Assumptions!$B$21</f>
        <v>-1443.07593287986</v>
      </c>
      <c r="BW19" s="10" t="n">
        <f aca="false">-Helpers!BW4*Assumptions!$B$21</f>
        <v>-1471.93745153745</v>
      </c>
      <c r="BX19" s="10" t="n">
        <f aca="false">-Helpers!BX4*Assumptions!$B$21</f>
        <v>-1471.93745153745</v>
      </c>
      <c r="BY19" s="10" t="n">
        <f aca="false">-Helpers!BY4*Assumptions!$B$21</f>
        <v>-1471.93745153745</v>
      </c>
      <c r="BZ19" s="10" t="n">
        <f aca="false">-Helpers!BZ4*Assumptions!$B$21</f>
        <v>-1471.93745153745</v>
      </c>
      <c r="CA19" s="10" t="n">
        <f aca="false">-Helpers!CA4*Assumptions!$B$21</f>
        <v>-1471.93745153745</v>
      </c>
      <c r="CB19" s="10" t="n">
        <f aca="false">-Helpers!CB4*Assumptions!$B$21</f>
        <v>-1471.93745153745</v>
      </c>
      <c r="CC19" s="10" t="n">
        <f aca="false">-Helpers!CC4*Assumptions!$B$21</f>
        <v>-1471.93745153745</v>
      </c>
      <c r="CD19" s="10" t="n">
        <f aca="false">-Helpers!CD4*Assumptions!$B$21</f>
        <v>-1471.93745153745</v>
      </c>
      <c r="CE19" s="10" t="n">
        <f aca="false">-Helpers!CE4*Assumptions!$B$21</f>
        <v>-1471.93745153745</v>
      </c>
      <c r="CF19" s="10" t="n">
        <f aca="false">-Helpers!CF4*Assumptions!$B$21</f>
        <v>-1471.93745153745</v>
      </c>
      <c r="CG19" s="10" t="n">
        <f aca="false">-Helpers!CG4*Assumptions!$B$21</f>
        <v>-1471.93745153745</v>
      </c>
      <c r="CH19" s="10" t="n">
        <f aca="false">-Helpers!CH4*Assumptions!$B$21</f>
        <v>-1471.93745153745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-31630.3276666667</v>
      </c>
      <c r="G20" s="10" t="n">
        <f aca="false">-Helpers!G4*Assumptions!$B$22</f>
        <v>-31630.3276666667</v>
      </c>
      <c r="H20" s="10" t="n">
        <f aca="false">-Helpers!H4*Assumptions!$B$22</f>
        <v>-31630.3276666667</v>
      </c>
      <c r="I20" s="10" t="n">
        <f aca="false">-Helpers!I4*Assumptions!$B$22</f>
        <v>-31630.3276666667</v>
      </c>
      <c r="J20" s="10" t="n">
        <f aca="false">-Helpers!J4*Assumptions!$B$22</f>
        <v>-31630.3276666667</v>
      </c>
      <c r="K20" s="10" t="n">
        <f aca="false">-Helpers!K4*Assumptions!$B$22</f>
        <v>-31630.3276666667</v>
      </c>
      <c r="L20" s="10" t="n">
        <f aca="false">-Helpers!L4*Assumptions!$B$22</f>
        <v>-31630.3276666667</v>
      </c>
      <c r="M20" s="10" t="n">
        <f aca="false">-Helpers!M4*Assumptions!$B$22</f>
        <v>-31630.3276666667</v>
      </c>
      <c r="N20" s="10" t="n">
        <f aca="false">-Helpers!N4*Assumptions!$B$22</f>
        <v>-31630.3276666667</v>
      </c>
      <c r="O20" s="10" t="n">
        <f aca="false">-Helpers!O4*Assumptions!$B$22</f>
        <v>-32262.93422</v>
      </c>
      <c r="P20" s="10" t="n">
        <f aca="false">-Helpers!P4*Assumptions!$B$22</f>
        <v>-32262.93422</v>
      </c>
      <c r="Q20" s="10" t="n">
        <f aca="false">-Helpers!Q4*Assumptions!$B$22</f>
        <v>-32262.93422</v>
      </c>
      <c r="R20" s="10" t="n">
        <f aca="false">-Helpers!R4*Assumptions!$B$22</f>
        <v>-32262.93422</v>
      </c>
      <c r="S20" s="10" t="n">
        <f aca="false">-Helpers!S4*Assumptions!$B$22</f>
        <v>-32262.93422</v>
      </c>
      <c r="T20" s="10" t="n">
        <f aca="false">-Helpers!T4*Assumptions!$B$22</f>
        <v>-32262.93422</v>
      </c>
      <c r="U20" s="10" t="n">
        <f aca="false">-Helpers!U4*Assumptions!$B$22</f>
        <v>-32262.93422</v>
      </c>
      <c r="V20" s="10" t="n">
        <f aca="false">-Helpers!V4*Assumptions!$B$22</f>
        <v>-32262.93422</v>
      </c>
      <c r="W20" s="10" t="n">
        <f aca="false">-Helpers!W4*Assumptions!$B$22</f>
        <v>-32262.93422</v>
      </c>
      <c r="X20" s="10" t="n">
        <f aca="false">-Helpers!X4*Assumptions!$B$22</f>
        <v>-32262.93422</v>
      </c>
      <c r="Y20" s="10" t="n">
        <f aca="false">-Helpers!Y4*Assumptions!$B$22</f>
        <v>-32262.93422</v>
      </c>
      <c r="Z20" s="10" t="n">
        <f aca="false">-Helpers!Z4*Assumptions!$B$22</f>
        <v>-32262.93422</v>
      </c>
      <c r="AA20" s="10" t="n">
        <f aca="false">-Helpers!AA4*Assumptions!$B$22</f>
        <v>-32908.1929044</v>
      </c>
      <c r="AB20" s="10" t="n">
        <f aca="false">-Helpers!AB4*Assumptions!$B$22</f>
        <v>-32908.1929044</v>
      </c>
      <c r="AC20" s="10" t="n">
        <f aca="false">-Helpers!AC4*Assumptions!$B$22</f>
        <v>-32908.1929044</v>
      </c>
      <c r="AD20" s="10" t="n">
        <f aca="false">-Helpers!AD4*Assumptions!$B$22</f>
        <v>-32908.1929044</v>
      </c>
      <c r="AE20" s="10" t="n">
        <f aca="false">-Helpers!AE4*Assumptions!$B$22</f>
        <v>-32908.1929044</v>
      </c>
      <c r="AF20" s="10" t="n">
        <f aca="false">-Helpers!AF4*Assumptions!$B$22</f>
        <v>-32908.1929044</v>
      </c>
      <c r="AG20" s="10" t="n">
        <f aca="false">-Helpers!AG4*Assumptions!$B$22</f>
        <v>-32908.1929044</v>
      </c>
      <c r="AH20" s="10" t="n">
        <f aca="false">-Helpers!AH4*Assumptions!$B$22</f>
        <v>-32908.1929044</v>
      </c>
      <c r="AI20" s="10" t="n">
        <f aca="false">-Helpers!AI4*Assumptions!$B$22</f>
        <v>-32908.1929044</v>
      </c>
      <c r="AJ20" s="10" t="n">
        <f aca="false">-Helpers!AJ4*Assumptions!$B$22</f>
        <v>-32908.1929044</v>
      </c>
      <c r="AK20" s="10" t="n">
        <f aca="false">-Helpers!AK4*Assumptions!$B$22</f>
        <v>-32908.1929044</v>
      </c>
      <c r="AL20" s="10" t="n">
        <f aca="false">-Helpers!AL4*Assumptions!$B$22</f>
        <v>-32908.1929044</v>
      </c>
      <c r="AM20" s="10" t="n">
        <f aca="false">-Helpers!AM4*Assumptions!$B$22</f>
        <v>-33566.356762488</v>
      </c>
      <c r="AN20" s="10" t="n">
        <f aca="false">-Helpers!AN4*Assumptions!$B$22</f>
        <v>-33566.356762488</v>
      </c>
      <c r="AO20" s="10" t="n">
        <f aca="false">-Helpers!AO4*Assumptions!$B$22</f>
        <v>-33566.356762488</v>
      </c>
      <c r="AP20" s="10" t="n">
        <f aca="false">-Helpers!AP4*Assumptions!$B$22</f>
        <v>-33566.356762488</v>
      </c>
      <c r="AQ20" s="10" t="n">
        <f aca="false">-Helpers!AQ4*Assumptions!$B$22</f>
        <v>-33566.356762488</v>
      </c>
      <c r="AR20" s="10" t="n">
        <f aca="false">-Helpers!AR4*Assumptions!$B$22</f>
        <v>-33566.356762488</v>
      </c>
      <c r="AS20" s="10" t="n">
        <f aca="false">-Helpers!AS4*Assumptions!$B$22</f>
        <v>-33566.356762488</v>
      </c>
      <c r="AT20" s="10" t="n">
        <f aca="false">-Helpers!AT4*Assumptions!$B$22</f>
        <v>-33566.356762488</v>
      </c>
      <c r="AU20" s="10" t="n">
        <f aca="false">-Helpers!AU4*Assumptions!$B$22</f>
        <v>-33566.356762488</v>
      </c>
      <c r="AV20" s="10" t="n">
        <f aca="false">-Helpers!AV4*Assumptions!$B$22</f>
        <v>-33566.356762488</v>
      </c>
      <c r="AW20" s="10" t="n">
        <f aca="false">-Helpers!AW4*Assumptions!$B$22</f>
        <v>-33566.356762488</v>
      </c>
      <c r="AX20" s="10" t="n">
        <f aca="false">-Helpers!AX4*Assumptions!$B$22</f>
        <v>-33566.356762488</v>
      </c>
      <c r="AY20" s="10" t="n">
        <f aca="false">-Helpers!AY4*Assumptions!$B$22</f>
        <v>-34237.6838977378</v>
      </c>
      <c r="AZ20" s="10" t="n">
        <f aca="false">-Helpers!AZ4*Assumptions!$B$22</f>
        <v>-34237.6838977378</v>
      </c>
      <c r="BA20" s="10" t="n">
        <f aca="false">-Helpers!BA4*Assumptions!$B$22</f>
        <v>-34237.6838977378</v>
      </c>
      <c r="BB20" s="10" t="n">
        <f aca="false">-Helpers!BB4*Assumptions!$B$22</f>
        <v>-34237.6838977378</v>
      </c>
      <c r="BC20" s="10" t="n">
        <f aca="false">-Helpers!BC4*Assumptions!$B$22</f>
        <v>-34237.6838977378</v>
      </c>
      <c r="BD20" s="10" t="n">
        <f aca="false">-Helpers!BD4*Assumptions!$B$22</f>
        <v>-34237.6838977378</v>
      </c>
      <c r="BE20" s="10" t="n">
        <f aca="false">-Helpers!BE4*Assumptions!$B$22</f>
        <v>-34237.6838977378</v>
      </c>
      <c r="BF20" s="10" t="n">
        <f aca="false">-Helpers!BF4*Assumptions!$B$22</f>
        <v>-34237.6838977378</v>
      </c>
      <c r="BG20" s="10" t="n">
        <f aca="false">-Helpers!BG4*Assumptions!$B$22</f>
        <v>-34237.6838977378</v>
      </c>
      <c r="BH20" s="10" t="n">
        <f aca="false">-Helpers!BH4*Assumptions!$B$22</f>
        <v>-34237.6838977378</v>
      </c>
      <c r="BI20" s="10" t="n">
        <f aca="false">-Helpers!BI4*Assumptions!$B$22</f>
        <v>-34237.6838977378</v>
      </c>
      <c r="BJ20" s="10" t="n">
        <f aca="false">-Helpers!BJ4*Assumptions!$B$22</f>
        <v>-34237.6838977378</v>
      </c>
      <c r="BK20" s="10" t="n">
        <f aca="false">-Helpers!BK4*Assumptions!$B$22</f>
        <v>-34922.4375756925</v>
      </c>
      <c r="BL20" s="10" t="n">
        <f aca="false">-Helpers!BL4*Assumptions!$B$22</f>
        <v>-34922.4375756925</v>
      </c>
      <c r="BM20" s="10" t="n">
        <f aca="false">-Helpers!BM4*Assumptions!$B$22</f>
        <v>-34922.4375756925</v>
      </c>
      <c r="BN20" s="10" t="n">
        <f aca="false">-Helpers!BN4*Assumptions!$B$22</f>
        <v>-34922.4375756925</v>
      </c>
      <c r="BO20" s="10" t="n">
        <f aca="false">-Helpers!BO4*Assumptions!$B$22</f>
        <v>-34922.4375756925</v>
      </c>
      <c r="BP20" s="10" t="n">
        <f aca="false">-Helpers!BP4*Assumptions!$B$22</f>
        <v>-34922.4375756925</v>
      </c>
      <c r="BQ20" s="10" t="n">
        <f aca="false">-Helpers!BQ4*Assumptions!$B$22</f>
        <v>-34922.4375756925</v>
      </c>
      <c r="BR20" s="10" t="n">
        <f aca="false">-Helpers!BR4*Assumptions!$B$22</f>
        <v>-34922.4375756925</v>
      </c>
      <c r="BS20" s="10" t="n">
        <f aca="false">-Helpers!BS4*Assumptions!$B$22</f>
        <v>-34922.4375756925</v>
      </c>
      <c r="BT20" s="10" t="n">
        <f aca="false">-Helpers!BT4*Assumptions!$B$22</f>
        <v>-34922.4375756925</v>
      </c>
      <c r="BU20" s="10" t="n">
        <f aca="false">-Helpers!BU4*Assumptions!$B$22</f>
        <v>-34922.4375756925</v>
      </c>
      <c r="BV20" s="10" t="n">
        <f aca="false">-Helpers!BV4*Assumptions!$B$22</f>
        <v>-34922.4375756925</v>
      </c>
      <c r="BW20" s="10" t="n">
        <f aca="false">-Helpers!BW4*Assumptions!$B$22</f>
        <v>-35620.8863272064</v>
      </c>
      <c r="BX20" s="10" t="n">
        <f aca="false">-Helpers!BX4*Assumptions!$B$22</f>
        <v>-35620.8863272064</v>
      </c>
      <c r="BY20" s="10" t="n">
        <f aca="false">-Helpers!BY4*Assumptions!$B$22</f>
        <v>-35620.8863272064</v>
      </c>
      <c r="BZ20" s="10" t="n">
        <f aca="false">-Helpers!BZ4*Assumptions!$B$22</f>
        <v>-35620.8863272064</v>
      </c>
      <c r="CA20" s="10" t="n">
        <f aca="false">-Helpers!CA4*Assumptions!$B$22</f>
        <v>-35620.8863272064</v>
      </c>
      <c r="CB20" s="10" t="n">
        <f aca="false">-Helpers!CB4*Assumptions!$B$22</f>
        <v>-35620.8863272064</v>
      </c>
      <c r="CC20" s="10" t="n">
        <f aca="false">-Helpers!CC4*Assumptions!$B$22</f>
        <v>-35620.8863272064</v>
      </c>
      <c r="CD20" s="10" t="n">
        <f aca="false">-Helpers!CD4*Assumptions!$B$22</f>
        <v>-35620.8863272064</v>
      </c>
      <c r="CE20" s="10" t="n">
        <f aca="false">-Helpers!CE4*Assumptions!$B$22</f>
        <v>-35620.8863272064</v>
      </c>
      <c r="CF20" s="10" t="n">
        <f aca="false">-Helpers!CF4*Assumptions!$B$22</f>
        <v>-35620.8863272064</v>
      </c>
      <c r="CG20" s="10" t="n">
        <f aca="false">-Helpers!CG4*Assumptions!$B$22</f>
        <v>-35620.8863272064</v>
      </c>
      <c r="CH20" s="10" t="n">
        <f aca="false">-Helpers!CH4*Assumptions!$B$22</f>
        <v>-35620.8863272064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-2352.669</v>
      </c>
      <c r="G21" s="10" t="n">
        <f aca="false">-Helpers!G4*Assumptions!$B$23</f>
        <v>-2352.669</v>
      </c>
      <c r="H21" s="10" t="n">
        <f aca="false">-Helpers!H4*Assumptions!$B$23</f>
        <v>-2352.669</v>
      </c>
      <c r="I21" s="10" t="n">
        <f aca="false">-Helpers!I4*Assumptions!$B$23</f>
        <v>-2352.669</v>
      </c>
      <c r="J21" s="10" t="n">
        <f aca="false">-Helpers!J4*Assumptions!$B$23</f>
        <v>-2352.669</v>
      </c>
      <c r="K21" s="10" t="n">
        <f aca="false">-Helpers!K4*Assumptions!$B$23</f>
        <v>-2352.669</v>
      </c>
      <c r="L21" s="10" t="n">
        <f aca="false">-Helpers!L4*Assumptions!$B$23</f>
        <v>-2352.669</v>
      </c>
      <c r="M21" s="10" t="n">
        <f aca="false">-Helpers!M4*Assumptions!$B$23</f>
        <v>-2352.669</v>
      </c>
      <c r="N21" s="10" t="n">
        <f aca="false">-Helpers!N4*Assumptions!$B$23</f>
        <v>-2352.669</v>
      </c>
      <c r="O21" s="10" t="n">
        <f aca="false">-Helpers!O4*Assumptions!$B$23</f>
        <v>-2399.72238</v>
      </c>
      <c r="P21" s="10" t="n">
        <f aca="false">-Helpers!P4*Assumptions!$B$23</f>
        <v>-2399.72238</v>
      </c>
      <c r="Q21" s="10" t="n">
        <f aca="false">-Helpers!Q4*Assumptions!$B$23</f>
        <v>-2399.72238</v>
      </c>
      <c r="R21" s="10" t="n">
        <f aca="false">-Helpers!R4*Assumptions!$B$23</f>
        <v>-2399.72238</v>
      </c>
      <c r="S21" s="10" t="n">
        <f aca="false">-Helpers!S4*Assumptions!$B$23</f>
        <v>-2399.72238</v>
      </c>
      <c r="T21" s="10" t="n">
        <f aca="false">-Helpers!T4*Assumptions!$B$23</f>
        <v>-2399.72238</v>
      </c>
      <c r="U21" s="10" t="n">
        <f aca="false">-Helpers!U4*Assumptions!$B$23</f>
        <v>-2399.72238</v>
      </c>
      <c r="V21" s="10" t="n">
        <f aca="false">-Helpers!V4*Assumptions!$B$23</f>
        <v>-2399.72238</v>
      </c>
      <c r="W21" s="10" t="n">
        <f aca="false">-Helpers!W4*Assumptions!$B$23</f>
        <v>-2399.72238</v>
      </c>
      <c r="X21" s="10" t="n">
        <f aca="false">-Helpers!X4*Assumptions!$B$23</f>
        <v>-2399.72238</v>
      </c>
      <c r="Y21" s="10" t="n">
        <f aca="false">-Helpers!Y4*Assumptions!$B$23</f>
        <v>-2399.72238</v>
      </c>
      <c r="Z21" s="10" t="n">
        <f aca="false">-Helpers!Z4*Assumptions!$B$23</f>
        <v>-2399.72238</v>
      </c>
      <c r="AA21" s="10" t="n">
        <f aca="false">-Helpers!AA4*Assumptions!$B$23</f>
        <v>-2447.7168276</v>
      </c>
      <c r="AB21" s="10" t="n">
        <f aca="false">-Helpers!AB4*Assumptions!$B$23</f>
        <v>-2447.7168276</v>
      </c>
      <c r="AC21" s="10" t="n">
        <f aca="false">-Helpers!AC4*Assumptions!$B$23</f>
        <v>-2447.7168276</v>
      </c>
      <c r="AD21" s="10" t="n">
        <f aca="false">-Helpers!AD4*Assumptions!$B$23</f>
        <v>-2447.7168276</v>
      </c>
      <c r="AE21" s="10" t="n">
        <f aca="false">-Helpers!AE4*Assumptions!$B$23</f>
        <v>-2447.7168276</v>
      </c>
      <c r="AF21" s="10" t="n">
        <f aca="false">-Helpers!AF4*Assumptions!$B$23</f>
        <v>-2447.7168276</v>
      </c>
      <c r="AG21" s="10" t="n">
        <f aca="false">-Helpers!AG4*Assumptions!$B$23</f>
        <v>-2447.7168276</v>
      </c>
      <c r="AH21" s="10" t="n">
        <f aca="false">-Helpers!AH4*Assumptions!$B$23</f>
        <v>-2447.7168276</v>
      </c>
      <c r="AI21" s="10" t="n">
        <f aca="false">-Helpers!AI4*Assumptions!$B$23</f>
        <v>-2447.7168276</v>
      </c>
      <c r="AJ21" s="10" t="n">
        <f aca="false">-Helpers!AJ4*Assumptions!$B$23</f>
        <v>-2447.7168276</v>
      </c>
      <c r="AK21" s="10" t="n">
        <f aca="false">-Helpers!AK4*Assumptions!$B$23</f>
        <v>-2447.7168276</v>
      </c>
      <c r="AL21" s="10" t="n">
        <f aca="false">-Helpers!AL4*Assumptions!$B$23</f>
        <v>-2447.7168276</v>
      </c>
      <c r="AM21" s="10" t="n">
        <f aca="false">-Helpers!AM4*Assumptions!$B$23</f>
        <v>-2496.671164152</v>
      </c>
      <c r="AN21" s="10" t="n">
        <f aca="false">-Helpers!AN4*Assumptions!$B$23</f>
        <v>-2496.671164152</v>
      </c>
      <c r="AO21" s="10" t="n">
        <f aca="false">-Helpers!AO4*Assumptions!$B$23</f>
        <v>-2496.671164152</v>
      </c>
      <c r="AP21" s="10" t="n">
        <f aca="false">-Helpers!AP4*Assumptions!$B$23</f>
        <v>-2496.671164152</v>
      </c>
      <c r="AQ21" s="10" t="n">
        <f aca="false">-Helpers!AQ4*Assumptions!$B$23</f>
        <v>-2496.671164152</v>
      </c>
      <c r="AR21" s="10" t="n">
        <f aca="false">-Helpers!AR4*Assumptions!$B$23</f>
        <v>-2496.671164152</v>
      </c>
      <c r="AS21" s="10" t="n">
        <f aca="false">-Helpers!AS4*Assumptions!$B$23</f>
        <v>-2496.671164152</v>
      </c>
      <c r="AT21" s="10" t="n">
        <f aca="false">-Helpers!AT4*Assumptions!$B$23</f>
        <v>-2496.671164152</v>
      </c>
      <c r="AU21" s="10" t="n">
        <f aca="false">-Helpers!AU4*Assumptions!$B$23</f>
        <v>-2496.671164152</v>
      </c>
      <c r="AV21" s="10" t="n">
        <f aca="false">-Helpers!AV4*Assumptions!$B$23</f>
        <v>-2496.671164152</v>
      </c>
      <c r="AW21" s="10" t="n">
        <f aca="false">-Helpers!AW4*Assumptions!$B$23</f>
        <v>-2496.671164152</v>
      </c>
      <c r="AX21" s="10" t="n">
        <f aca="false">-Helpers!AX4*Assumptions!$B$23</f>
        <v>-2496.671164152</v>
      </c>
      <c r="AY21" s="10" t="n">
        <f aca="false">-Helpers!AY4*Assumptions!$B$23</f>
        <v>-2546.60458743504</v>
      </c>
      <c r="AZ21" s="10" t="n">
        <f aca="false">-Helpers!AZ4*Assumptions!$B$23</f>
        <v>-2546.60458743504</v>
      </c>
      <c r="BA21" s="10" t="n">
        <f aca="false">-Helpers!BA4*Assumptions!$B$23</f>
        <v>-2546.60458743504</v>
      </c>
      <c r="BB21" s="10" t="n">
        <f aca="false">-Helpers!BB4*Assumptions!$B$23</f>
        <v>-2546.60458743504</v>
      </c>
      <c r="BC21" s="10" t="n">
        <f aca="false">-Helpers!BC4*Assumptions!$B$23</f>
        <v>-2546.60458743504</v>
      </c>
      <c r="BD21" s="10" t="n">
        <f aca="false">-Helpers!BD4*Assumptions!$B$23</f>
        <v>-2546.60458743504</v>
      </c>
      <c r="BE21" s="10" t="n">
        <f aca="false">-Helpers!BE4*Assumptions!$B$23</f>
        <v>-2546.60458743504</v>
      </c>
      <c r="BF21" s="10" t="n">
        <f aca="false">-Helpers!BF4*Assumptions!$B$23</f>
        <v>-2546.60458743504</v>
      </c>
      <c r="BG21" s="10" t="n">
        <f aca="false">-Helpers!BG4*Assumptions!$B$23</f>
        <v>-2546.60458743504</v>
      </c>
      <c r="BH21" s="10" t="n">
        <f aca="false">-Helpers!BH4*Assumptions!$B$23</f>
        <v>-2546.60458743504</v>
      </c>
      <c r="BI21" s="10" t="n">
        <f aca="false">-Helpers!BI4*Assumptions!$B$23</f>
        <v>-2546.60458743504</v>
      </c>
      <c r="BJ21" s="10" t="n">
        <f aca="false">-Helpers!BJ4*Assumptions!$B$23</f>
        <v>-2546.60458743504</v>
      </c>
      <c r="BK21" s="10" t="n">
        <f aca="false">-Helpers!BK4*Assumptions!$B$23</f>
        <v>-2597.53667918374</v>
      </c>
      <c r="BL21" s="10" t="n">
        <f aca="false">-Helpers!BL4*Assumptions!$B$23</f>
        <v>-2597.53667918374</v>
      </c>
      <c r="BM21" s="10" t="n">
        <f aca="false">-Helpers!BM4*Assumptions!$B$23</f>
        <v>-2597.53667918374</v>
      </c>
      <c r="BN21" s="10" t="n">
        <f aca="false">-Helpers!BN4*Assumptions!$B$23</f>
        <v>-2597.53667918374</v>
      </c>
      <c r="BO21" s="10" t="n">
        <f aca="false">-Helpers!BO4*Assumptions!$B$23</f>
        <v>-2597.53667918374</v>
      </c>
      <c r="BP21" s="10" t="n">
        <f aca="false">-Helpers!BP4*Assumptions!$B$23</f>
        <v>-2597.53667918374</v>
      </c>
      <c r="BQ21" s="10" t="n">
        <f aca="false">-Helpers!BQ4*Assumptions!$B$23</f>
        <v>-2597.53667918374</v>
      </c>
      <c r="BR21" s="10" t="n">
        <f aca="false">-Helpers!BR4*Assumptions!$B$23</f>
        <v>-2597.53667918374</v>
      </c>
      <c r="BS21" s="10" t="n">
        <f aca="false">-Helpers!BS4*Assumptions!$B$23</f>
        <v>-2597.53667918374</v>
      </c>
      <c r="BT21" s="10" t="n">
        <f aca="false">-Helpers!BT4*Assumptions!$B$23</f>
        <v>-2597.53667918374</v>
      </c>
      <c r="BU21" s="10" t="n">
        <f aca="false">-Helpers!BU4*Assumptions!$B$23</f>
        <v>-2597.53667918374</v>
      </c>
      <c r="BV21" s="10" t="n">
        <f aca="false">-Helpers!BV4*Assumptions!$B$23</f>
        <v>-2597.53667918374</v>
      </c>
      <c r="BW21" s="10" t="n">
        <f aca="false">-Helpers!BW4*Assumptions!$B$23</f>
        <v>-2649.48741276742</v>
      </c>
      <c r="BX21" s="10" t="n">
        <f aca="false">-Helpers!BX4*Assumptions!$B$23</f>
        <v>-2649.48741276742</v>
      </c>
      <c r="BY21" s="10" t="n">
        <f aca="false">-Helpers!BY4*Assumptions!$B$23</f>
        <v>-2649.48741276742</v>
      </c>
      <c r="BZ21" s="10" t="n">
        <f aca="false">-Helpers!BZ4*Assumptions!$B$23</f>
        <v>-2649.48741276742</v>
      </c>
      <c r="CA21" s="10" t="n">
        <f aca="false">-Helpers!CA4*Assumptions!$B$23</f>
        <v>-2649.48741276742</v>
      </c>
      <c r="CB21" s="10" t="n">
        <f aca="false">-Helpers!CB4*Assumptions!$B$23</f>
        <v>-2649.48741276742</v>
      </c>
      <c r="CC21" s="10" t="n">
        <f aca="false">-Helpers!CC4*Assumptions!$B$23</f>
        <v>-2649.48741276742</v>
      </c>
      <c r="CD21" s="10" t="n">
        <f aca="false">-Helpers!CD4*Assumptions!$B$23</f>
        <v>-2649.48741276742</v>
      </c>
      <c r="CE21" s="10" t="n">
        <f aca="false">-Helpers!CE4*Assumptions!$B$23</f>
        <v>-2649.48741276742</v>
      </c>
      <c r="CF21" s="10" t="n">
        <f aca="false">-Helpers!CF4*Assumptions!$B$23</f>
        <v>-2649.48741276742</v>
      </c>
      <c r="CG21" s="10" t="n">
        <f aca="false">-Helpers!CG4*Assumptions!$B$23</f>
        <v>-2649.48741276742</v>
      </c>
      <c r="CH21" s="10" t="n">
        <f aca="false">-Helpers!CH4*Assumptions!$B$23</f>
        <v>-2649.48741276742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-736775.383533333</v>
      </c>
      <c r="G38" s="12" t="n">
        <f aca="false">G15+G16+G17+G18+G19+G20+G21+SUM(G22:G37)</f>
        <v>-418808.868333333</v>
      </c>
      <c r="H38" s="12" t="n">
        <f aca="false">H15+H16+H17+H18+H19+H20+H21+SUM(H22:H37)</f>
        <v>-418808.868333333</v>
      </c>
      <c r="I38" s="12" t="n">
        <f aca="false">I15+I16+I17+I18+I19+I20+I21+SUM(I22:I37)</f>
        <v>-636891.715333333</v>
      </c>
      <c r="J38" s="12" t="n">
        <f aca="false">J15+J16+J17+J18+J19+J20+J21+SUM(J22:J37)</f>
        <v>-576158.065333333</v>
      </c>
      <c r="K38" s="12" t="n">
        <f aca="false">K15+K16+K17+K18+K19+K20+K21+SUM(K22:K37)</f>
        <v>-418808.868333333</v>
      </c>
      <c r="L38" s="12" t="n">
        <f aca="false">L15+L16+L17+L18+L19+L20+L21+SUM(L22:L37)</f>
        <v>-418808.868333333</v>
      </c>
      <c r="M38" s="12" t="n">
        <f aca="false">M15+M16+M17+M18+M19+M20+M21+SUM(M22:M37)</f>
        <v>-418808.868333333</v>
      </c>
      <c r="N38" s="12" t="n">
        <f aca="false">N15+N16+N17+N18+N19+N20+N21+SUM(N22:N37)</f>
        <v>-418808.868333333</v>
      </c>
      <c r="O38" s="12" t="n">
        <f aca="false">O15+O16+O17+O18+O19+O20+O21+SUM(O22:O37)</f>
        <v>-1898355.0707</v>
      </c>
      <c r="P38" s="12" t="n">
        <f aca="false">P15+P16+P17+P18+P19+P20+P21+SUM(P22:P37)</f>
        <v>-427185.0457</v>
      </c>
      <c r="Q38" s="12" t="n">
        <f aca="false">Q15+Q16+Q17+Q18+Q19+Q20+Q21+SUM(Q22:Q37)</f>
        <v>-427185.0457</v>
      </c>
      <c r="R38" s="12" t="n">
        <f aca="false">R15+R16+R17+R18+R19+R20+R21+SUM(R22:R37)</f>
        <v>-920533.6157</v>
      </c>
      <c r="S38" s="12" t="n">
        <f aca="false">S15+S16+S17+S18+S19+S20+S21+SUM(S22:S37)</f>
        <v>-427185.0457</v>
      </c>
      <c r="T38" s="12" t="n">
        <f aca="false">T15+T16+T17+T18+T19+T20+T21+SUM(T22:T37)</f>
        <v>-427185.0457</v>
      </c>
      <c r="U38" s="12" t="n">
        <f aca="false">U15+U16+U17+U18+U19+U20+U21+SUM(U22:U37)</f>
        <v>-920533.6157</v>
      </c>
      <c r="V38" s="12" t="n">
        <f aca="false">V15+V16+V17+V18+V19+V20+V21+SUM(V22:V37)</f>
        <v>-427185.0457</v>
      </c>
      <c r="W38" s="12" t="n">
        <f aca="false">W15+W16+W17+W18+W19+W20+W21+SUM(W22:W37)</f>
        <v>-427185.0457</v>
      </c>
      <c r="X38" s="12" t="n">
        <f aca="false">X15+X16+X17+X18+X19+X20+X21+SUM(X22:X37)</f>
        <v>-427185.0457</v>
      </c>
      <c r="Y38" s="12" t="n">
        <f aca="false">Y15+Y16+Y17+Y18+Y19+Y20+Y21+SUM(Y22:Y37)</f>
        <v>-427185.0457</v>
      </c>
      <c r="Z38" s="12" t="n">
        <f aca="false">Z15+Z16+Z17+Z18+Z19+Z20+Z21+SUM(Z22:Z37)</f>
        <v>-427185.0457</v>
      </c>
      <c r="AA38" s="12" t="n">
        <f aca="false">AA15+AA16+AA17+AA18+AA19+AA20+AA21+SUM(AA22:AA37)</f>
        <v>-435728.746614</v>
      </c>
      <c r="AB38" s="12" t="n">
        <f aca="false">AB15+AB16+AB17+AB18+AB19+AB20+AB21+SUM(AB22:AB37)</f>
        <v>-435728.746614</v>
      </c>
      <c r="AC38" s="12" t="n">
        <f aca="false">AC15+AC16+AC17+AC18+AC19+AC20+AC21+SUM(AC22:AC37)</f>
        <v>-1779754.286614</v>
      </c>
      <c r="AD38" s="12" t="n">
        <f aca="false">AD15+AD16+AD17+AD18+AD19+AD20+AD21+SUM(AD22:AD37)</f>
        <v>-435728.746614</v>
      </c>
      <c r="AE38" s="12" t="n">
        <f aca="false">AE15+AE16+AE17+AE18+AE19+AE20+AE21+SUM(AE22:AE37)</f>
        <v>-435728.746614</v>
      </c>
      <c r="AF38" s="12" t="n">
        <f aca="false">AF15+AF16+AF17+AF18+AF19+AF20+AF21+SUM(AF22:AF37)</f>
        <v>-435728.746614</v>
      </c>
      <c r="AG38" s="12" t="n">
        <f aca="false">AG15+AG16+AG17+AG18+AG19+AG20+AG21+SUM(AG22:AG37)</f>
        <v>-435728.746614</v>
      </c>
      <c r="AH38" s="12" t="n">
        <f aca="false">AH15+AH16+AH17+AH18+AH19+AH20+AH21+SUM(AH22:AH37)</f>
        <v>-435728.746614</v>
      </c>
      <c r="AI38" s="12" t="n">
        <f aca="false">AI15+AI16+AI17+AI18+AI19+AI20+AI21+SUM(AI22:AI37)</f>
        <v>-435728.746614</v>
      </c>
      <c r="AJ38" s="12" t="n">
        <f aca="false">AJ15+AJ16+AJ17+AJ18+AJ19+AJ20+AJ21+SUM(AJ22:AJ37)</f>
        <v>-435728.746614</v>
      </c>
      <c r="AK38" s="12" t="n">
        <f aca="false">AK15+AK16+AK17+AK18+AK19+AK20+AK21+SUM(AK22:AK37)</f>
        <v>-435728.746614</v>
      </c>
      <c r="AL38" s="12" t="n">
        <f aca="false">AL15+AL16+AL17+AL18+AL19+AL20+AL21+SUM(AL22:AL37)</f>
        <v>-435728.746614</v>
      </c>
      <c r="AM38" s="12" t="n">
        <f aca="false">AM15+AM16+AM17+AM18+AM19+AM20+AM21+SUM(AM22:AM37)</f>
        <v>-444443.32154628</v>
      </c>
      <c r="AN38" s="12" t="n">
        <f aca="false">AN15+AN16+AN17+AN18+AN19+AN20+AN21+SUM(AN22:AN37)</f>
        <v>-444443.32154628</v>
      </c>
      <c r="AO38" s="12" t="n">
        <f aca="false">AO15+AO16+AO17+AO18+AO19+AO20+AO21+SUM(AO22:AO37)</f>
        <v>-444443.32154628</v>
      </c>
      <c r="AP38" s="12" t="n">
        <f aca="false">AP15+AP16+AP17+AP18+AP19+AP20+AP21+SUM(AP22:AP37)</f>
        <v>-444443.32154628</v>
      </c>
      <c r="AQ38" s="12" t="n">
        <f aca="false">AQ15+AQ16+AQ17+AQ18+AQ19+AQ20+AQ21+SUM(AQ22:AQ37)</f>
        <v>-444443.32154628</v>
      </c>
      <c r="AR38" s="12" t="n">
        <f aca="false">AR15+AR16+AR17+AR18+AR19+AR20+AR21+SUM(AR22:AR37)</f>
        <v>-444443.32154628</v>
      </c>
      <c r="AS38" s="12" t="n">
        <f aca="false">AS15+AS16+AS17+AS18+AS19+AS20+AS21+SUM(AS22:AS37)</f>
        <v>-444443.32154628</v>
      </c>
      <c r="AT38" s="12" t="n">
        <f aca="false">AT15+AT16+AT17+AT18+AT19+AT20+AT21+SUM(AT22:AT37)</f>
        <v>-444443.32154628</v>
      </c>
      <c r="AU38" s="12" t="n">
        <f aca="false">AU15+AU16+AU17+AU18+AU19+AU20+AU21+SUM(AU22:AU37)</f>
        <v>-444443.32154628</v>
      </c>
      <c r="AV38" s="12" t="n">
        <f aca="false">AV15+AV16+AV17+AV18+AV19+AV20+AV21+SUM(AV22:AV37)</f>
        <v>-444443.32154628</v>
      </c>
      <c r="AW38" s="12" t="n">
        <f aca="false">AW15+AW16+AW17+AW18+AW19+AW20+AW21+SUM(AW22:AW37)</f>
        <v>-444443.32154628</v>
      </c>
      <c r="AX38" s="12" t="n">
        <f aca="false">AX15+AX16+AX17+AX18+AX19+AX20+AX21+SUM(AX22:AX37)</f>
        <v>-444443.32154628</v>
      </c>
      <c r="AY38" s="12" t="n">
        <f aca="false">AY15+AY16+AY17+AY18+AY19+AY20+AY21+SUM(AY22:AY37)</f>
        <v>-453332.187977206</v>
      </c>
      <c r="AZ38" s="12" t="n">
        <f aca="false">AZ15+AZ16+AZ17+AZ18+AZ19+AZ20+AZ21+SUM(AZ22:AZ37)</f>
        <v>-453332.187977206</v>
      </c>
      <c r="BA38" s="12" t="n">
        <f aca="false">BA15+BA16+BA17+BA18+BA19+BA20+BA21+SUM(BA22:BA37)</f>
        <v>-453332.187977206</v>
      </c>
      <c r="BB38" s="12" t="n">
        <f aca="false">BB15+BB16+BB17+BB18+BB19+BB20+BB21+SUM(BB22:BB37)</f>
        <v>-453332.187977206</v>
      </c>
      <c r="BC38" s="12" t="n">
        <f aca="false">BC15+BC16+BC17+BC18+BC19+BC20+BC21+SUM(BC22:BC37)</f>
        <v>-453332.187977206</v>
      </c>
      <c r="BD38" s="12" t="n">
        <f aca="false">BD15+BD16+BD17+BD18+BD19+BD20+BD21+SUM(BD22:BD37)</f>
        <v>-453332.187977206</v>
      </c>
      <c r="BE38" s="12" t="n">
        <f aca="false">BE15+BE16+BE17+BE18+BE19+BE20+BE21+SUM(BE22:BE37)</f>
        <v>-453332.187977206</v>
      </c>
      <c r="BF38" s="12" t="n">
        <f aca="false">BF15+BF16+BF17+BF18+BF19+BF20+BF21+SUM(BF22:BF37)</f>
        <v>-453332.187977206</v>
      </c>
      <c r="BG38" s="12" t="n">
        <f aca="false">BG15+BG16+BG17+BG18+BG19+BG20+BG21+SUM(BG22:BG37)</f>
        <v>-453332.187977206</v>
      </c>
      <c r="BH38" s="12" t="n">
        <f aca="false">BH15+BH16+BH17+BH18+BH19+BH20+BH21+SUM(BH22:BH37)</f>
        <v>-453332.187977206</v>
      </c>
      <c r="BI38" s="12" t="n">
        <f aca="false">BI15+BI16+BI17+BI18+BI19+BI20+BI21+SUM(BI22:BI37)</f>
        <v>-453332.187977206</v>
      </c>
      <c r="BJ38" s="12" t="n">
        <f aca="false">BJ15+BJ16+BJ17+BJ18+BJ19+BJ20+BJ21+SUM(BJ22:BJ37)</f>
        <v>-453332.187977206</v>
      </c>
      <c r="BK38" s="12" t="n">
        <f aca="false">BK15+BK16+BK17+BK18+BK19+BK20+BK21+SUM(BK22:BK37)</f>
        <v>-462398.83173675</v>
      </c>
      <c r="BL38" s="12" t="n">
        <f aca="false">BL15+BL16+BL17+BL18+BL19+BL20+BL21+SUM(BL22:BL37)</f>
        <v>-462398.83173675</v>
      </c>
      <c r="BM38" s="12" t="n">
        <f aca="false">BM15+BM16+BM17+BM18+BM19+BM20+BM21+SUM(BM22:BM37)</f>
        <v>-462398.83173675</v>
      </c>
      <c r="BN38" s="12" t="n">
        <f aca="false">BN15+BN16+BN17+BN18+BN19+BN20+BN21+SUM(BN22:BN37)</f>
        <v>-462398.83173675</v>
      </c>
      <c r="BO38" s="12" t="n">
        <f aca="false">BO15+BO16+BO17+BO18+BO19+BO20+BO21+SUM(BO22:BO37)</f>
        <v>-462398.83173675</v>
      </c>
      <c r="BP38" s="12" t="n">
        <f aca="false">BP15+BP16+BP17+BP18+BP19+BP20+BP21+SUM(BP22:BP37)</f>
        <v>-462398.83173675</v>
      </c>
      <c r="BQ38" s="12" t="n">
        <f aca="false">BQ15+BQ16+BQ17+BQ18+BQ19+BQ20+BQ21+SUM(BQ22:BQ37)</f>
        <v>-462398.83173675</v>
      </c>
      <c r="BR38" s="12" t="n">
        <f aca="false">BR15+BR16+BR17+BR18+BR19+BR20+BR21+SUM(BR22:BR37)</f>
        <v>-462398.83173675</v>
      </c>
      <c r="BS38" s="12" t="n">
        <f aca="false">BS15+BS16+BS17+BS18+BS19+BS20+BS21+SUM(BS22:BS37)</f>
        <v>-462398.83173675</v>
      </c>
      <c r="BT38" s="12" t="n">
        <f aca="false">BT15+BT16+BT17+BT18+BT19+BT20+BT21+SUM(BT22:BT37)</f>
        <v>-462398.83173675</v>
      </c>
      <c r="BU38" s="12" t="n">
        <f aca="false">BU15+BU16+BU17+BU18+BU19+BU20+BU21+SUM(BU22:BU37)</f>
        <v>-462398.83173675</v>
      </c>
      <c r="BV38" s="12" t="n">
        <f aca="false">BV15+BV16+BV17+BV18+BV19+BV20+BV21+SUM(BV22:BV37)</f>
        <v>-462398.83173675</v>
      </c>
      <c r="BW38" s="12" t="n">
        <f aca="false">BW15+BW16+BW17+BW18+BW19+BW20+BW21+SUM(BW22:BW37)</f>
        <v>-471646.808371485</v>
      </c>
      <c r="BX38" s="12" t="n">
        <f aca="false">BX15+BX16+BX17+BX18+BX19+BX20+BX21+SUM(BX22:BX37)</f>
        <v>-471646.808371485</v>
      </c>
      <c r="BY38" s="12" t="n">
        <f aca="false">BY15+BY16+BY17+BY18+BY19+BY20+BY21+SUM(BY22:BY37)</f>
        <v>-471646.808371485</v>
      </c>
      <c r="BZ38" s="12" t="n">
        <f aca="false">BZ15+BZ16+BZ17+BZ18+BZ19+BZ20+BZ21+SUM(BZ22:BZ37)</f>
        <v>-471646.808371485</v>
      </c>
      <c r="CA38" s="12" t="n">
        <f aca="false">CA15+CA16+CA17+CA18+CA19+CA20+CA21+SUM(CA22:CA37)</f>
        <v>-471646.808371485</v>
      </c>
      <c r="CB38" s="12" t="n">
        <f aca="false">CB15+CB16+CB17+CB18+CB19+CB20+CB21+SUM(CB22:CB37)</f>
        <v>-471646.808371485</v>
      </c>
      <c r="CC38" s="12" t="n">
        <f aca="false">CC15+CC16+CC17+CC18+CC19+CC20+CC21+SUM(CC22:CC37)</f>
        <v>-471646.808371485</v>
      </c>
      <c r="CD38" s="12" t="n">
        <f aca="false">CD15+CD16+CD17+CD18+CD19+CD20+CD21+SUM(CD22:CD37)</f>
        <v>-471646.808371485</v>
      </c>
      <c r="CE38" s="12" t="n">
        <f aca="false">CE15+CE16+CE17+CE18+CE19+CE20+CE21+SUM(CE22:CE37)</f>
        <v>-471646.808371485</v>
      </c>
      <c r="CF38" s="12" t="n">
        <f aca="false">CF15+CF16+CF17+CF18+CF19+CF20+CF21+SUM(CF22:CF37)</f>
        <v>-471646.808371485</v>
      </c>
      <c r="CG38" s="12" t="n">
        <f aca="false">CG15+CG16+CG17+CG18+CG19+CG20+CG21+SUM(CG22:CG37)</f>
        <v>-471646.808371485</v>
      </c>
      <c r="CH38" s="12" t="n">
        <f aca="false">CH15+CH16+CH17+CH18+CH19+CH20+CH21+SUM(CH22:CH37)</f>
        <v>-471646.808371485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478035.653452313</v>
      </c>
      <c r="G40" s="16" t="n">
        <f aca="false">G12+G38</f>
        <v>151475.448652313</v>
      </c>
      <c r="H40" s="16" t="n">
        <f aca="false">H12+H38</f>
        <v>151475.448652313</v>
      </c>
      <c r="I40" s="16" t="n">
        <f aca="false">I12+I38</f>
        <v>516964.774539075</v>
      </c>
      <c r="J40" s="16" t="n">
        <f aca="false">J12+J38</f>
        <v>555268.675486045</v>
      </c>
      <c r="K40" s="16" t="n">
        <f aca="false">K12+K38</f>
        <v>333029.797486045</v>
      </c>
      <c r="L40" s="16" t="n">
        <f aca="false">L12+L38</f>
        <v>333029.797486045</v>
      </c>
      <c r="M40" s="16" t="n">
        <f aca="false">M12+M38</f>
        <v>333029.797486045</v>
      </c>
      <c r="N40" s="16" t="n">
        <f aca="false">N12+N38</f>
        <v>333029.797486045</v>
      </c>
      <c r="O40" s="16" t="n">
        <f aca="false">O12+O38</f>
        <v>-296049.817001834</v>
      </c>
      <c r="P40" s="16" t="n">
        <f aca="false">P12+P38</f>
        <v>496118.657998166</v>
      </c>
      <c r="Q40" s="16" t="n">
        <f aca="false">Q12+Q38</f>
        <v>496118.657998166</v>
      </c>
      <c r="R40" s="16" t="n">
        <f aca="false">R12+R38</f>
        <v>130609.252160845</v>
      </c>
      <c r="S40" s="16" t="n">
        <f aca="false">S12+S38</f>
        <v>270322.982160845</v>
      </c>
      <c r="T40" s="16" t="n">
        <f aca="false">T12+T38</f>
        <v>270322.982160845</v>
      </c>
      <c r="U40" s="16" t="n">
        <f aca="false">U12+U38</f>
        <v>95462.9626871608</v>
      </c>
      <c r="V40" s="16" t="n">
        <f aca="false">V12+V38</f>
        <v>330809.034792424</v>
      </c>
      <c r="W40" s="16" t="n">
        <f aca="false">W12+W38</f>
        <v>330809.034792424</v>
      </c>
      <c r="X40" s="16" t="n">
        <f aca="false">X12+X38</f>
        <v>330809.034792424</v>
      </c>
      <c r="Y40" s="16" t="n">
        <f aca="false">Y12+Y38</f>
        <v>330809.034792424</v>
      </c>
      <c r="Z40" s="16" t="n">
        <f aca="false">Z12+Z38</f>
        <v>330809.034792424</v>
      </c>
      <c r="AA40" s="16" t="n">
        <f aca="false">AA12+AA38</f>
        <v>322265.333878424</v>
      </c>
      <c r="AB40" s="16" t="n">
        <f aca="false">AB12+AB38</f>
        <v>240771.482203783</v>
      </c>
      <c r="AC40" s="16" t="n">
        <f aca="false">AC12+AC38</f>
        <v>-326288.244462884</v>
      </c>
      <c r="AD40" s="16" t="n">
        <f aca="false">AD12+AD38</f>
        <v>397417.815537116</v>
      </c>
      <c r="AE40" s="16" t="n">
        <f aca="false">AE12+AE38</f>
        <v>397417.815537116</v>
      </c>
      <c r="AF40" s="16" t="n">
        <f aca="false">AF12+AF38</f>
        <v>397417.815537116</v>
      </c>
      <c r="AG40" s="16" t="n">
        <f aca="false">AG12+AG38</f>
        <v>397417.815537116</v>
      </c>
      <c r="AH40" s="16" t="n">
        <f aca="false">AH12+AH38</f>
        <v>296738.814590147</v>
      </c>
      <c r="AI40" s="16" t="n">
        <f aca="false">AI12+AI38</f>
        <v>296738.814590147</v>
      </c>
      <c r="AJ40" s="16" t="n">
        <f aca="false">AJ12+AJ38</f>
        <v>133979.541862874</v>
      </c>
      <c r="AK40" s="16" t="n">
        <f aca="false">AK12+AK38</f>
        <v>43190.3313365583</v>
      </c>
      <c r="AL40" s="16" t="n">
        <f aca="false">AL12+AL38</f>
        <v>43190.3313365583</v>
      </c>
      <c r="AM40" s="16" t="n">
        <f aca="false">AM12+AM38</f>
        <v>-25542.7398078431</v>
      </c>
      <c r="AN40" s="16" t="n">
        <f aca="false">AN12+AN38</f>
        <v>-116331.950334159</v>
      </c>
      <c r="AO40" s="16" t="n">
        <f aca="false">AO12+AO38</f>
        <v>-116331.950334159</v>
      </c>
      <c r="AP40" s="16" t="n">
        <f aca="false">AP12+AP38</f>
        <v>-116331.950334159</v>
      </c>
      <c r="AQ40" s="16" t="n">
        <f aca="false">AQ12+AQ38</f>
        <v>-116331.950334159</v>
      </c>
      <c r="AR40" s="16" t="n">
        <f aca="false">AR12+AR38</f>
        <v>-116331.950334159</v>
      </c>
      <c r="AS40" s="16" t="n">
        <f aca="false">AS12+AS38</f>
        <v>-287796.988212947</v>
      </c>
      <c r="AT40" s="16" t="n">
        <f aca="false">AT12+AT38</f>
        <v>-287796.988212947</v>
      </c>
      <c r="AU40" s="16" t="n">
        <f aca="false">AU12+AU38</f>
        <v>-287796.988212947</v>
      </c>
      <c r="AV40" s="16" t="n">
        <f aca="false">AV12+AV38</f>
        <v>-287796.988212947</v>
      </c>
      <c r="AW40" s="16" t="n">
        <f aca="false">AW12+AW38</f>
        <v>-287796.988212947</v>
      </c>
      <c r="AX40" s="16" t="n">
        <f aca="false">AX12+AX38</f>
        <v>-287796.988212947</v>
      </c>
      <c r="AY40" s="16" t="n">
        <f aca="false">AY12+AY38</f>
        <v>-296685.854643872</v>
      </c>
      <c r="AZ40" s="16" t="n">
        <f aca="false">AZ12+AZ38</f>
        <v>-296685.854643872</v>
      </c>
      <c r="BA40" s="16" t="n">
        <f aca="false">BA12+BA38</f>
        <v>-296685.854643872</v>
      </c>
      <c r="BB40" s="16" t="n">
        <f aca="false">BB12+BB38</f>
        <v>-296685.854643872</v>
      </c>
      <c r="BC40" s="16" t="n">
        <f aca="false">BC12+BC38</f>
        <v>-296685.854643872</v>
      </c>
      <c r="BD40" s="16" t="n">
        <f aca="false">BD12+BD38</f>
        <v>-296685.854643872</v>
      </c>
      <c r="BE40" s="16" t="n">
        <f aca="false">BE12+BE38</f>
        <v>-296685.854643872</v>
      </c>
      <c r="BF40" s="16" t="n">
        <f aca="false">BF12+BF38</f>
        <v>-296685.854643872</v>
      </c>
      <c r="BG40" s="16" t="n">
        <f aca="false">BG12+BG38</f>
        <v>-453332.187977206</v>
      </c>
      <c r="BH40" s="16" t="n">
        <f aca="false">BH12+BH38</f>
        <v>-453332.187977206</v>
      </c>
      <c r="BI40" s="16" t="n">
        <f aca="false">BI12+BI38</f>
        <v>-453332.187977206</v>
      </c>
      <c r="BJ40" s="16" t="n">
        <f aca="false">BJ12+BJ38</f>
        <v>-453332.187977206</v>
      </c>
      <c r="BK40" s="16" t="n">
        <f aca="false">BK12+BK38</f>
        <v>-462398.83173675</v>
      </c>
      <c r="BL40" s="16" t="n">
        <f aca="false">BL12+BL38</f>
        <v>-462398.83173675</v>
      </c>
      <c r="BM40" s="16" t="n">
        <f aca="false">BM12+BM38</f>
        <v>-462398.83173675</v>
      </c>
      <c r="BN40" s="16" t="n">
        <f aca="false">BN12+BN38</f>
        <v>-462398.83173675</v>
      </c>
      <c r="BO40" s="16" t="n">
        <f aca="false">BO12+BO38</f>
        <v>-462398.83173675</v>
      </c>
      <c r="BP40" s="16" t="n">
        <f aca="false">BP12+BP38</f>
        <v>-462398.83173675</v>
      </c>
      <c r="BQ40" s="16" t="n">
        <f aca="false">BQ12+BQ38</f>
        <v>-462398.83173675</v>
      </c>
      <c r="BR40" s="16" t="n">
        <f aca="false">BR12+BR38</f>
        <v>-462398.83173675</v>
      </c>
      <c r="BS40" s="16" t="n">
        <f aca="false">BS12+BS38</f>
        <v>-462398.83173675</v>
      </c>
      <c r="BT40" s="16" t="n">
        <f aca="false">BT12+BT38</f>
        <v>-462398.83173675</v>
      </c>
      <c r="BU40" s="16" t="n">
        <f aca="false">BU12+BU38</f>
        <v>-462398.83173675</v>
      </c>
      <c r="BV40" s="16" t="n">
        <f aca="false">BV12+BV38</f>
        <v>-462398.83173675</v>
      </c>
      <c r="BW40" s="16" t="n">
        <f aca="false">BW12+BW38</f>
        <v>-471646.808371485</v>
      </c>
      <c r="BX40" s="16" t="n">
        <f aca="false">BX12+BX38</f>
        <v>-471646.808371485</v>
      </c>
      <c r="BY40" s="16" t="n">
        <f aca="false">BY12+BY38</f>
        <v>-471646.808371485</v>
      </c>
      <c r="BZ40" s="16" t="n">
        <f aca="false">BZ12+BZ38</f>
        <v>-471646.808371485</v>
      </c>
      <c r="CA40" s="16" t="n">
        <f aca="false">CA12+CA38</f>
        <v>-471646.808371485</v>
      </c>
      <c r="CB40" s="16" t="n">
        <f aca="false">CB12+CB38</f>
        <v>-471646.808371485</v>
      </c>
      <c r="CC40" s="16" t="n">
        <f aca="false">CC12+CC38</f>
        <v>-471646.808371485</v>
      </c>
      <c r="CD40" s="16" t="n">
        <f aca="false">CD12+CD38</f>
        <v>-471646.808371485</v>
      </c>
      <c r="CE40" s="16" t="n">
        <f aca="false">CE12+CE38</f>
        <v>-471646.808371485</v>
      </c>
      <c r="CF40" s="16" t="n">
        <f aca="false">CF12+CF38</f>
        <v>-471646.808371485</v>
      </c>
      <c r="CG40" s="16" t="n">
        <f aca="false">CG12+CG38</f>
        <v>-471646.808371485</v>
      </c>
      <c r="CH40" s="16" t="n">
        <f aca="false">CH12+CH38</f>
        <v>-471646.808371485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0.393506182359422</v>
      </c>
      <c r="G41" s="32" t="n">
        <f aca="false">IF(G12&lt;&gt;0,G40/G12,0)</f>
        <v>0.26561391246557</v>
      </c>
      <c r="H41" s="32" t="n">
        <f aca="false">IF(H12&lt;&gt;0,H40/H12,0)</f>
        <v>0.26561391246557</v>
      </c>
      <c r="I41" s="32" t="n">
        <f aca="false">IF(I12&lt;&gt;0,I40/I12,0)</f>
        <v>0.448032124511637</v>
      </c>
      <c r="J41" s="32" t="n">
        <f aca="false">IF(J12&lt;&gt;0,J40/J12,0)</f>
        <v>0.49076856278288</v>
      </c>
      <c r="K41" s="32" t="n">
        <f aca="false">IF(K12&lt;&gt;0,K40/K12,0)</f>
        <v>0.442953804621232</v>
      </c>
      <c r="L41" s="32" t="n">
        <f aca="false">IF(L12&lt;&gt;0,L40/L12,0)</f>
        <v>0.442953804621232</v>
      </c>
      <c r="M41" s="32" t="n">
        <f aca="false">IF(M12&lt;&gt;0,M40/M12,0)</f>
        <v>0.442953804621232</v>
      </c>
      <c r="N41" s="32" t="n">
        <f aca="false">IF(N12&lt;&gt;0,N40/N12,0)</f>
        <v>0.442953804621232</v>
      </c>
      <c r="O41" s="32" t="n">
        <f aca="false">IF(O12&lt;&gt;0,O40/O12,0)</f>
        <v>-0.18476492935322</v>
      </c>
      <c r="P41" s="32" t="n">
        <f aca="false">IF(P12&lt;&gt;0,P40/P12,0)</f>
        <v>0.537329868829759</v>
      </c>
      <c r="Q41" s="32" t="n">
        <f aca="false">IF(Q12&lt;&gt;0,Q40/Q12,0)</f>
        <v>0.537329868829759</v>
      </c>
      <c r="R41" s="32" t="n">
        <f aca="false">IF(R12&lt;&gt;0,R40/R12,0)</f>
        <v>0.124254519679751</v>
      </c>
      <c r="S41" s="32" t="n">
        <f aca="false">IF(S12&lt;&gt;0,S40/S12,0)</f>
        <v>0.387555370494998</v>
      </c>
      <c r="T41" s="32" t="n">
        <f aca="false">IF(T12&lt;&gt;0,T40/T12,0)</f>
        <v>0.387555370494998</v>
      </c>
      <c r="U41" s="32" t="n">
        <f aca="false">IF(U12&lt;&gt;0,U40/U12,0)</f>
        <v>0.0939599253756377</v>
      </c>
      <c r="V41" s="32" t="n">
        <f aca="false">IF(V12&lt;&gt;0,V40/V12,0)</f>
        <v>0.436426936972274</v>
      </c>
      <c r="W41" s="32" t="n">
        <f aca="false">IF(W12&lt;&gt;0,W40/W12,0)</f>
        <v>0.436426936972274</v>
      </c>
      <c r="X41" s="32" t="n">
        <f aca="false">IF(X12&lt;&gt;0,X40/X12,0)</f>
        <v>0.436426936972274</v>
      </c>
      <c r="Y41" s="32" t="n">
        <f aca="false">IF(Y12&lt;&gt;0,Y40/Y12,0)</f>
        <v>0.436426936972274</v>
      </c>
      <c r="Z41" s="32" t="n">
        <f aca="false">IF(Z12&lt;&gt;0,Z40/Z12,0)</f>
        <v>0.436426936972274</v>
      </c>
      <c r="AA41" s="32" t="n">
        <f aca="false">IF(AA12&lt;&gt;0,AA40/AA12,0)</f>
        <v>0.42515547571172</v>
      </c>
      <c r="AB41" s="32" t="n">
        <f aca="false">IF(AB12&lt;&gt;0,AB40/AB12,0)</f>
        <v>0.355907466024872</v>
      </c>
      <c r="AC41" s="32" t="n">
        <f aca="false">IF(AC12&lt;&gt;0,AC40/AC12,0)</f>
        <v>-0.22448976102667</v>
      </c>
      <c r="AD41" s="32" t="n">
        <f aca="false">IF(AD12&lt;&gt;0,AD40/AD12,0)</f>
        <v>0.477008288326865</v>
      </c>
      <c r="AE41" s="32" t="n">
        <f aca="false">IF(AE12&lt;&gt;0,AE40/AE12,0)</f>
        <v>0.477008288326865</v>
      </c>
      <c r="AF41" s="32" t="n">
        <f aca="false">IF(AF12&lt;&gt;0,AF40/AF12,0)</f>
        <v>0.477008288326865</v>
      </c>
      <c r="AG41" s="32" t="n">
        <f aca="false">IF(AG12&lt;&gt;0,AG40/AG12,0)</f>
        <v>0.477008288326865</v>
      </c>
      <c r="AH41" s="32" t="n">
        <f aca="false">IF(AH12&lt;&gt;0,AH40/AH12,0)</f>
        <v>0.405122124592549</v>
      </c>
      <c r="AI41" s="32" t="n">
        <f aca="false">IF(AI12&lt;&gt;0,AI40/AI12,0)</f>
        <v>0.405122124592549</v>
      </c>
      <c r="AJ41" s="32" t="n">
        <f aca="false">IF(AJ12&lt;&gt;0,AJ40/AJ12,0)</f>
        <v>0.235172182979944</v>
      </c>
      <c r="AK41" s="32" t="n">
        <f aca="false">IF(AK12&lt;&gt;0,AK40/AK12,0)</f>
        <v>0.0901829418059163</v>
      </c>
      <c r="AL41" s="32" t="n">
        <f aca="false">IF(AL12&lt;&gt;0,AL40/AL12,0)</f>
        <v>0.0901829418059163</v>
      </c>
      <c r="AM41" s="32" t="n">
        <f aca="false">IF(AM12&lt;&gt;0,AM40/AM12,0)</f>
        <v>-0.0609756608640664</v>
      </c>
      <c r="AN41" s="32" t="n">
        <f aca="false">IF(AN12&lt;&gt;0,AN40/AN12,0)</f>
        <v>-0.354550194052712</v>
      </c>
      <c r="AO41" s="32" t="n">
        <f aca="false">IF(AO12&lt;&gt;0,AO40/AO12,0)</f>
        <v>-0.354550194052712</v>
      </c>
      <c r="AP41" s="32" t="n">
        <f aca="false">IF(AP12&lt;&gt;0,AP40/AP12,0)</f>
        <v>-0.354550194052712</v>
      </c>
      <c r="AQ41" s="32" t="n">
        <f aca="false">IF(AQ12&lt;&gt;0,AQ40/AQ12,0)</f>
        <v>-0.354550194052712</v>
      </c>
      <c r="AR41" s="32" t="n">
        <f aca="false">IF(AR12&lt;&gt;0,AR40/AR12,0)</f>
        <v>-0.354550194052712</v>
      </c>
      <c r="AS41" s="32" t="n">
        <f aca="false">IF(AS12&lt;&gt;0,AS40/AS12,0)</f>
        <v>-1.83724050278619</v>
      </c>
      <c r="AT41" s="32" t="n">
        <f aca="false">IF(AT12&lt;&gt;0,AT40/AT12,0)</f>
        <v>-1.83724050278619</v>
      </c>
      <c r="AU41" s="32" t="n">
        <f aca="false">IF(AU12&lt;&gt;0,AU40/AU12,0)</f>
        <v>-1.83724050278619</v>
      </c>
      <c r="AV41" s="32" t="n">
        <f aca="false">IF(AV12&lt;&gt;0,AV40/AV12,0)</f>
        <v>-1.83724050278619</v>
      </c>
      <c r="AW41" s="32" t="n">
        <f aca="false">IF(AW12&lt;&gt;0,AW40/AW12,0)</f>
        <v>-1.83724050278619</v>
      </c>
      <c r="AX41" s="32" t="n">
        <f aca="false">IF(AX12&lt;&gt;0,AX40/AX12,0)</f>
        <v>-1.83724050278619</v>
      </c>
      <c r="AY41" s="32" t="n">
        <f aca="false">IF(AY12&lt;&gt;0,AY40/AY12,0)</f>
        <v>-1.89398531284191</v>
      </c>
      <c r="AZ41" s="32" t="n">
        <f aca="false">IF(AZ12&lt;&gt;0,AZ40/AZ12,0)</f>
        <v>-1.89398531284191</v>
      </c>
      <c r="BA41" s="32" t="n">
        <f aca="false">IF(BA12&lt;&gt;0,BA40/BA12,0)</f>
        <v>-1.89398531284191</v>
      </c>
      <c r="BB41" s="32" t="n">
        <f aca="false">IF(BB12&lt;&gt;0,BB40/BB12,0)</f>
        <v>-1.89398531284191</v>
      </c>
      <c r="BC41" s="32" t="n">
        <f aca="false">IF(BC12&lt;&gt;0,BC40/BC12,0)</f>
        <v>-1.89398531284191</v>
      </c>
      <c r="BD41" s="32" t="n">
        <f aca="false">IF(BD12&lt;&gt;0,BD40/BD12,0)</f>
        <v>-1.89398531284191</v>
      </c>
      <c r="BE41" s="32" t="n">
        <f aca="false">IF(BE12&lt;&gt;0,BE40/BE12,0)</f>
        <v>-1.89398531284191</v>
      </c>
      <c r="BF41" s="32" t="n">
        <f aca="false">IF(BF12&lt;&gt;0,BF40/BF12,0)</f>
        <v>-1.89398531284191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0</v>
      </c>
      <c r="H53" s="10" t="n">
        <f aca="false">IF(Projects!$G$11="Yes",6315.79,0)</f>
        <v>0</v>
      </c>
      <c r="I53" s="10" t="n">
        <f aca="false">IF(Projects!$G$11="Yes",6315.79,0)</f>
        <v>0</v>
      </c>
      <c r="J53" s="10" t="n">
        <f aca="false">IF(Projects!$G$11="Yes",6315.79,0)</f>
        <v>0</v>
      </c>
      <c r="K53" s="10" t="n">
        <f aca="false">IF(Projects!$G$11="Yes",6315.79,0)</f>
        <v>0</v>
      </c>
      <c r="L53" s="10" t="n">
        <f aca="false">IF(Projects!$G$11="Yes",6315.79,0)</f>
        <v>0</v>
      </c>
      <c r="M53" s="10" t="n">
        <f aca="false">IF(Projects!$G$11="Yes",6315.79,0)</f>
        <v>0</v>
      </c>
      <c r="N53" s="10" t="n">
        <f aca="false">IF(Projects!$G$11="Yes",6315.79,0)</f>
        <v>0</v>
      </c>
      <c r="O53" s="10" t="n">
        <f aca="false">IF(Projects!$G$11="Yes",6315.79,0)</f>
        <v>0</v>
      </c>
      <c r="P53" s="10" t="n">
        <f aca="false">IF(Projects!$G$11="Yes",6315.79,0)</f>
        <v>0</v>
      </c>
      <c r="Q53" s="10" t="n">
        <f aca="false">IF(Projects!$G$11="Yes",6315.79,0)</f>
        <v>0</v>
      </c>
      <c r="R53" s="10" t="n">
        <f aca="false">IF(Projects!$G$11="Yes",6315.79,0)</f>
        <v>0</v>
      </c>
      <c r="S53" s="10" t="n">
        <f aca="false">IF(Projects!$G$11="Yes",6315.79,0)</f>
        <v>0</v>
      </c>
      <c r="T53" s="10" t="n">
        <f aca="false">IF(Projects!$G$11="Yes",6315.79,0)</f>
        <v>0</v>
      </c>
      <c r="U53" s="10" t="n">
        <f aca="false">IF(Projects!$G$11="Yes",6315.79,0)</f>
        <v>0</v>
      </c>
      <c r="V53" s="10" t="n">
        <f aca="false">IF(Projects!$G$11="Yes",6315.79,0)</f>
        <v>0</v>
      </c>
      <c r="W53" s="10" t="n">
        <f aca="false">IF(Projects!$G$11="Yes",6315.79,0)</f>
        <v>0</v>
      </c>
      <c r="X53" s="10" t="n">
        <f aca="false">IF(Projects!$G$11="Yes",6315.79,0)</f>
        <v>0</v>
      </c>
      <c r="Y53" s="10" t="n">
        <f aca="false">IF(Projects!$G$11="Yes",6315.79,0)</f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0</v>
      </c>
      <c r="H54" s="10" t="n">
        <f aca="false">IF(Projects!$G$11="Yes",6315.79,0)</f>
        <v>0</v>
      </c>
      <c r="I54" s="10" t="n">
        <f aca="false">IF(Projects!$G$11="Yes",6315.79,0)</f>
        <v>0</v>
      </c>
      <c r="J54" s="10" t="n">
        <f aca="false">IF(Projects!$G$11="Yes",6315.79,0)</f>
        <v>0</v>
      </c>
      <c r="K54" s="10" t="n">
        <f aca="false">IF(Projects!$G$11="Yes",6315.79,0)</f>
        <v>0</v>
      </c>
      <c r="L54" s="10" t="n">
        <f aca="false">IF(Projects!$G$11="Yes",6315.79,0)</f>
        <v>0</v>
      </c>
      <c r="M54" s="10" t="n">
        <f aca="false">IF(Projects!$G$11="Yes",6315.79,0)</f>
        <v>0</v>
      </c>
      <c r="N54" s="10" t="n">
        <f aca="false">IF(Projects!$G$11="Yes",6315.79,0)</f>
        <v>0</v>
      </c>
      <c r="O54" s="10" t="n">
        <f aca="false">IF(Projects!$G$11="Yes",6315.79,0)</f>
        <v>0</v>
      </c>
      <c r="P54" s="10" t="n">
        <f aca="false">IF(Projects!$G$11="Yes",6315.79,0)</f>
        <v>0</v>
      </c>
      <c r="Q54" s="10" t="n">
        <f aca="false">IF(Projects!$G$11="Yes",6315.79,0)</f>
        <v>0</v>
      </c>
      <c r="R54" s="10" t="n">
        <f aca="false">IF(Projects!$G$11="Yes",6315.79,0)</f>
        <v>0</v>
      </c>
      <c r="S54" s="10" t="n">
        <f aca="false">IF(Projects!$G$11="Yes",6315.79,0)</f>
        <v>0</v>
      </c>
      <c r="T54" s="10" t="n">
        <f aca="false">IF(Projects!$G$11="Yes",6315.79,0)</f>
        <v>0</v>
      </c>
      <c r="U54" s="10" t="n">
        <f aca="false">IF(Projects!$G$11="Yes",6315.79,0)</f>
        <v>0</v>
      </c>
      <c r="V54" s="10" t="n">
        <f aca="false">IF(Projects!$G$11="Yes",6315.79,0)</f>
        <v>0</v>
      </c>
      <c r="W54" s="10" t="n">
        <f aca="false">IF(Projects!$G$11="Yes",6315.79,0)</f>
        <v>0</v>
      </c>
      <c r="X54" s="10" t="n">
        <f aca="false">IF(Projects!$G$11="Yes",6315.79,0)</f>
        <v>0</v>
      </c>
      <c r="Y54" s="10" t="n">
        <f aca="false">IF(Projects!$G$11="Yes",6315.79,0)</f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0</v>
      </c>
      <c r="I56" s="10" t="n">
        <f aca="false">IF(Projects!$G$12="Yes",6315.79,0)</f>
        <v>0</v>
      </c>
      <c r="J56" s="10" t="n">
        <f aca="false">IF(Projects!$G$12="Yes",6315.79,0)</f>
        <v>0</v>
      </c>
      <c r="K56" s="10" t="n">
        <f aca="false">IF(Projects!$G$12="Yes",6315.79,0)</f>
        <v>0</v>
      </c>
      <c r="L56" s="10" t="n">
        <f aca="false">IF(Projects!$G$12="Yes",6315.79,0)</f>
        <v>0</v>
      </c>
      <c r="M56" s="10" t="n">
        <f aca="false">IF(Projects!$G$12="Yes",6315.79,0)</f>
        <v>0</v>
      </c>
      <c r="N56" s="10" t="n">
        <f aca="false">IF(Projects!$G$12="Yes",6315.79,0)</f>
        <v>0</v>
      </c>
      <c r="O56" s="10" t="n">
        <f aca="false">IF(Projects!$G$12="Yes",6315.79,0)</f>
        <v>0</v>
      </c>
      <c r="P56" s="10" t="n">
        <f aca="false">IF(Projects!$G$12="Yes",6315.79,0)</f>
        <v>0</v>
      </c>
      <c r="Q56" s="10" t="n">
        <f aca="false">IF(Projects!$G$12="Yes",6315.79,0)</f>
        <v>0</v>
      </c>
      <c r="R56" s="10" t="n">
        <f aca="false">IF(Projects!$G$12="Yes",6315.79,0)</f>
        <v>0</v>
      </c>
      <c r="S56" s="10" t="n">
        <f aca="false">IF(Projects!$G$12="Yes",6315.79,0)</f>
        <v>0</v>
      </c>
      <c r="T56" s="10" t="n">
        <f aca="false">IF(Projects!$G$12="Yes",6315.79,0)</f>
        <v>0</v>
      </c>
      <c r="U56" s="10" t="n">
        <f aca="false">IF(Projects!$G$12="Yes",6315.79,0)</f>
        <v>0</v>
      </c>
      <c r="V56" s="10" t="n">
        <f aca="false">IF(Projects!$G$12="Yes",6315.79,0)</f>
        <v>0</v>
      </c>
      <c r="W56" s="10" t="n">
        <f aca="false">IF(Projects!$G$12="Yes",6315.79,0)</f>
        <v>0</v>
      </c>
      <c r="X56" s="10" t="n">
        <f aca="false">IF(Projects!$G$12="Yes",6315.79,0)</f>
        <v>0</v>
      </c>
      <c r="Y56" s="10" t="n">
        <f aca="false">IF(Projects!$G$12="Yes",6315.79,0)</f>
        <v>0</v>
      </c>
      <c r="Z56" s="10" t="n">
        <f aca="false">IF(Projects!$G$12="Yes",6315.79,0)</f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0</v>
      </c>
      <c r="I57" s="10" t="n">
        <f aca="false">IF(Projects!$G$12="Yes",4736.84,0)</f>
        <v>0</v>
      </c>
      <c r="J57" s="10" t="n">
        <f aca="false">IF(Projects!$G$12="Yes",4736.84,0)</f>
        <v>0</v>
      </c>
      <c r="K57" s="10" t="n">
        <f aca="false">IF(Projects!$G$12="Yes",4736.84,0)</f>
        <v>0</v>
      </c>
      <c r="L57" s="10" t="n">
        <f aca="false">IF(Projects!$G$12="Yes",4736.84,0)</f>
        <v>0</v>
      </c>
      <c r="M57" s="10" t="n">
        <f aca="false">IF(Projects!$G$12="Yes",4736.84,0)</f>
        <v>0</v>
      </c>
      <c r="N57" s="10" t="n">
        <f aca="false">IF(Projects!$G$12="Yes",4736.84,0)</f>
        <v>0</v>
      </c>
      <c r="O57" s="10" t="n">
        <f aca="false">IF(Projects!$G$12="Yes",4736.84,0)</f>
        <v>0</v>
      </c>
      <c r="P57" s="10" t="n">
        <f aca="false">IF(Projects!$G$12="Yes",4736.84,0)</f>
        <v>0</v>
      </c>
      <c r="Q57" s="10" t="n">
        <f aca="false">IF(Projects!$G$12="Yes",4736.84,0)</f>
        <v>0</v>
      </c>
      <c r="R57" s="10" t="n">
        <f aca="false">IF(Projects!$G$12="Yes",4736.84,0)</f>
        <v>0</v>
      </c>
      <c r="S57" s="10" t="n">
        <f aca="false">IF(Projects!$G$12="Yes",4736.84,0)</f>
        <v>0</v>
      </c>
      <c r="T57" s="10" t="n">
        <f aca="false">IF(Projects!$G$12="Yes",4736.84,0)</f>
        <v>0</v>
      </c>
      <c r="U57" s="10" t="n">
        <f aca="false">IF(Projects!$G$12="Yes",4736.84,0)</f>
        <v>0</v>
      </c>
      <c r="V57" s="10" t="n">
        <f aca="false">IF(Projects!$G$12="Yes",4736.84,0)</f>
        <v>0</v>
      </c>
      <c r="W57" s="10" t="n">
        <f aca="false">IF(Projects!$G$12="Yes",4736.84,0)</f>
        <v>0</v>
      </c>
      <c r="X57" s="10" t="n">
        <f aca="false">IF(Projects!$G$12="Yes",4736.84,0)</f>
        <v>0</v>
      </c>
      <c r="Y57" s="10" t="n">
        <f aca="false">IF(Projects!$G$12="Yes",4736.84,0)</f>
        <v>0</v>
      </c>
      <c r="Z57" s="10" t="n">
        <f aca="false">IF(Projects!$G$12="Yes",4736.84,0)</f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12131.8304</v>
      </c>
      <c r="M62" s="10" t="n">
        <f aca="false">IF(Uplifters!$B$2="Yes",Uplifters!M107,0)</f>
        <v>12131.8304</v>
      </c>
      <c r="N62" s="10" t="n">
        <f aca="false">IF(Uplifters!$B$2="Yes",Uplifters!N107,0)</f>
        <v>12131.8304</v>
      </c>
      <c r="O62" s="10" t="n">
        <f aca="false">IF(Uplifters!$B$2="Yes",Uplifters!O107,0)</f>
        <v>12131.8304</v>
      </c>
      <c r="P62" s="10" t="n">
        <f aca="false">IF(Uplifters!$B$2="Yes",Uplifters!P107,0)</f>
        <v>12131.8304</v>
      </c>
      <c r="Q62" s="10" t="n">
        <f aca="false">IF(Uplifters!$B$2="Yes",Uplifters!Q107,0)</f>
        <v>12131.8304</v>
      </c>
      <c r="R62" s="10" t="n">
        <f aca="false">IF(Uplifters!$B$2="Yes",Uplifters!R107,0)</f>
        <v>16203.6928</v>
      </c>
      <c r="S62" s="10" t="n">
        <f aca="false">IF(Uplifters!$B$2="Yes",Uplifters!S107,0)</f>
        <v>32775.9552</v>
      </c>
      <c r="T62" s="10" t="n">
        <f aca="false">IF(Uplifters!$B$2="Yes",Uplifters!T107,0)</f>
        <v>49348.2176</v>
      </c>
      <c r="U62" s="10" t="n">
        <f aca="false">IF(Uplifters!$B$2="Yes",Uplifters!U107,0)</f>
        <v>65920.4736</v>
      </c>
      <c r="V62" s="10" t="n">
        <f aca="false">IF(Uplifters!$B$2="Yes",Uplifters!V107,0)</f>
        <v>82492.7424</v>
      </c>
      <c r="W62" s="10" t="n">
        <f aca="false">IF(Uplifters!$B$2="Yes",Uplifters!W107,0)</f>
        <v>99064.9984</v>
      </c>
      <c r="X62" s="10" t="n">
        <f aca="false">IF(Uplifters!$B$2="Yes",Uplifters!X107,0)</f>
        <v>115637.2544</v>
      </c>
      <c r="Y62" s="10" t="n">
        <f aca="false">IF(Uplifters!$B$2="Yes",Uplifters!Y107,0)</f>
        <v>132209.5168</v>
      </c>
      <c r="Z62" s="10" t="n">
        <f aca="false">IF(Uplifters!$B$2="Yes",Uplifters!Z107,0)</f>
        <v>148781.7856</v>
      </c>
      <c r="AA62" s="10" t="n">
        <f aca="false">IF(Uplifters!$B$2="Yes",Uplifters!AA107,0)</f>
        <v>165354.0416</v>
      </c>
      <c r="AB62" s="10" t="n">
        <f aca="false">IF(Uplifters!$B$2="Yes",Uplifters!AB107,0)</f>
        <v>181926.3104</v>
      </c>
      <c r="AC62" s="10" t="n">
        <f aca="false">IF(Uplifters!$B$2="Yes",Uplifters!AC107,0)</f>
        <v>227330.7904</v>
      </c>
      <c r="AD62" s="10" t="n">
        <f aca="false">IF(Uplifters!$B$2="Yes",Uplifters!AD107,0)</f>
        <v>170166.8864</v>
      </c>
      <c r="AE62" s="10" t="n">
        <f aca="false">IF(Uplifters!$B$2="Yes",Uplifters!AE107,0)</f>
        <v>170667.4432</v>
      </c>
      <c r="AF62" s="10" t="n">
        <f aca="false">IF(Uplifters!$B$2="Yes",Uplifters!AF107,0)</f>
        <v>171167.9872</v>
      </c>
      <c r="AG62" s="10" t="n">
        <f aca="false">IF(Uplifters!$B$2="Yes",Uplifters!AG107,0)</f>
        <v>171668.5376</v>
      </c>
      <c r="AH62" s="10" t="n">
        <f aca="false">IF(Uplifters!$B$2="Yes",Uplifters!AH107,0)</f>
        <v>172169.0816</v>
      </c>
      <c r="AI62" s="10" t="n">
        <f aca="false">IF(Uplifters!$B$2="Yes",Uplifters!AI107,0)</f>
        <v>189241.8944</v>
      </c>
      <c r="AJ62" s="10" t="n">
        <f aca="false">IF(Uplifters!$B$2="Yes",Uplifters!AJ107,0)</f>
        <v>173170.1888</v>
      </c>
      <c r="AK62" s="10" t="n">
        <f aca="false">IF(Uplifters!$B$2="Yes",Uplifters!AK107,0)</f>
        <v>157098.4768</v>
      </c>
      <c r="AL62" s="10" t="n">
        <f aca="false">IF(Uplifters!$B$2="Yes",Uplifters!AL107,0)</f>
        <v>141026.7648</v>
      </c>
      <c r="AM62" s="10" t="n">
        <f aca="false">IF(Uplifters!$B$2="Yes",Uplifters!AM107,0)</f>
        <v>124955.0464</v>
      </c>
      <c r="AN62" s="10" t="n">
        <f aca="false">IF(Uplifters!$B$2="Yes",Uplifters!AN107,0)</f>
        <v>108883.3408</v>
      </c>
      <c r="AO62" s="10" t="n">
        <f aca="false">IF(Uplifters!$B$2="Yes",Uplifters!AO107,0)</f>
        <v>92811.6288</v>
      </c>
      <c r="AP62" s="10" t="n">
        <f aca="false">IF(Uplifters!$B$2="Yes",Uplifters!AP107,0)</f>
        <v>76739.9104</v>
      </c>
      <c r="AQ62" s="10" t="n">
        <f aca="false">IF(Uplifters!$B$2="Yes",Uplifters!AQ107,0)</f>
        <v>60668.2048</v>
      </c>
      <c r="AR62" s="10" t="n">
        <f aca="false">IF(Uplifters!$B$2="Yes",Uplifters!AR107,0)</f>
        <v>44596.4928</v>
      </c>
      <c r="AS62" s="10" t="n">
        <f aca="false">IF(Uplifters!$B$2="Yes",Uplifters!AS107,0)</f>
        <v>96300.064</v>
      </c>
      <c r="AT62" s="10" t="n">
        <f aca="false">IF(Uplifters!$B$2="Yes",Uplifters!AT107,0)</f>
        <v>79727.808</v>
      </c>
      <c r="AU62" s="10" t="n">
        <f aca="false">IF(Uplifters!$B$2="Yes",Uplifters!AU107,0)</f>
        <v>47083.84</v>
      </c>
      <c r="AV62" s="10" t="n">
        <f aca="false">IF(Uplifters!$B$2="Yes",Uplifters!AV107,0)</f>
        <v>46583.2896</v>
      </c>
      <c r="AW62" s="10" t="n">
        <f aca="false">IF(Uplifters!$B$2="Yes",Uplifters!AW107,0)</f>
        <v>46082.7328</v>
      </c>
      <c r="AX62" s="10" t="n">
        <f aca="false">IF(Uplifters!$B$2="Yes",Uplifters!AX107,0)</f>
        <v>45582.1888</v>
      </c>
      <c r="AY62" s="10" t="n">
        <f aca="false">IF(Uplifters!$B$2="Yes",Uplifters!AY107,0)</f>
        <v>45081.6384</v>
      </c>
      <c r="AZ62" s="10" t="n">
        <f aca="false">IF(Uplifters!$B$2="Yes",Uplifters!AZ107,0)</f>
        <v>44581.088</v>
      </c>
      <c r="BA62" s="10" t="n">
        <f aca="false">IF(Uplifters!$B$2="Yes",Uplifters!BA107,0)</f>
        <v>44080.5376</v>
      </c>
      <c r="BB62" s="10" t="n">
        <f aca="false">IF(Uplifters!$B$2="Yes",Uplifters!BB107,0)</f>
        <v>43579.9872</v>
      </c>
      <c r="BC62" s="10" t="n">
        <f aca="false">IF(Uplifters!$B$2="Yes",Uplifters!BC107,0)</f>
        <v>43079.4368</v>
      </c>
      <c r="BD62" s="10" t="n">
        <f aca="false">IF(Uplifters!$B$2="Yes",Uplifters!BD107,0)</f>
        <v>42578.8864</v>
      </c>
      <c r="BE62" s="10" t="n">
        <f aca="false">IF(Uplifters!$B$2="Yes",Uplifters!BE107,0)</f>
        <v>42078.336</v>
      </c>
      <c r="BF62" s="10" t="n">
        <f aca="false">IF(Uplifters!$B$2="Yes",Uplifters!BF107,0)</f>
        <v>41577.7856</v>
      </c>
      <c r="BG62" s="10" t="n">
        <f aca="false">IF(Uplifters!$B$2="Yes",Uplifters!BG107,0)</f>
        <v>41077.2416</v>
      </c>
      <c r="BH62" s="10" t="n">
        <f aca="false">IF(Uplifters!$B$2="Yes",Uplifters!BH107,0)</f>
        <v>69777.4848</v>
      </c>
      <c r="BI62" s="10" t="n">
        <f aca="false">IF(Uplifters!$B$2="Yes",Uplifters!BI107,0)</f>
        <v>69276.9344</v>
      </c>
      <c r="BJ62" s="10" t="n">
        <f aca="false">IF(Uplifters!$B$2="Yes",Uplifters!BJ107,0)</f>
        <v>136551.6736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43614.58</v>
      </c>
      <c r="H63" s="34" t="n">
        <f aca="false">SUM(H46:H62)</f>
        <v>42781.25</v>
      </c>
      <c r="I63" s="34" t="n">
        <f aca="false">SUM(I46:I62)</f>
        <v>42781.25</v>
      </c>
      <c r="J63" s="34" t="n">
        <f aca="false">SUM(J46:J62)</f>
        <v>33406.25</v>
      </c>
      <c r="K63" s="34" t="n">
        <f aca="false">SUM(K46:K62)</f>
        <v>33406.25</v>
      </c>
      <c r="L63" s="34" t="n">
        <f aca="false">SUM(L46:L62)</f>
        <v>45538.0804</v>
      </c>
      <c r="M63" s="34" t="n">
        <f aca="false">SUM(M46:M62)</f>
        <v>45538.0804</v>
      </c>
      <c r="N63" s="34" t="n">
        <f aca="false">SUM(N46:N62)</f>
        <v>45538.0804</v>
      </c>
      <c r="O63" s="34" t="n">
        <f aca="false">SUM(O46:O62)</f>
        <v>45538.0804</v>
      </c>
      <c r="P63" s="34" t="n">
        <f aca="false">SUM(P46:P62)</f>
        <v>45538.0804</v>
      </c>
      <c r="Q63" s="34" t="n">
        <f aca="false">SUM(Q46:Q62)</f>
        <v>45538.0804</v>
      </c>
      <c r="R63" s="34" t="n">
        <f aca="false">SUM(R46:R62)</f>
        <v>25703.6928</v>
      </c>
      <c r="S63" s="34" t="n">
        <f aca="false">SUM(S46:S62)</f>
        <v>42275.9552</v>
      </c>
      <c r="T63" s="34" t="n">
        <f aca="false">SUM(T46:T62)</f>
        <v>58848.2176</v>
      </c>
      <c r="U63" s="34" t="n">
        <f aca="false">SUM(U46:U62)</f>
        <v>75420.4736</v>
      </c>
      <c r="V63" s="34" t="n">
        <f aca="false">SUM(V46:V62)</f>
        <v>91992.7424</v>
      </c>
      <c r="W63" s="34" t="n">
        <f aca="false">SUM(W46:W62)</f>
        <v>165939.9984</v>
      </c>
      <c r="X63" s="34" t="n">
        <f aca="false">SUM(X46:X62)</f>
        <v>125137.2544</v>
      </c>
      <c r="Y63" s="34" t="n">
        <f aca="false">SUM(Y46:Y62)</f>
        <v>141709.5168</v>
      </c>
      <c r="Z63" s="34" t="n">
        <f aca="false">SUM(Z46:Z62)</f>
        <v>215656.7856</v>
      </c>
      <c r="AA63" s="34" t="n">
        <f aca="false">SUM(AA46:AA62)</f>
        <v>174854.0416</v>
      </c>
      <c r="AB63" s="34" t="n">
        <f aca="false">SUM(AB46:AB62)</f>
        <v>191426.3104</v>
      </c>
      <c r="AC63" s="34" t="n">
        <f aca="false">SUM(AC46:AC62)</f>
        <v>294205.7904</v>
      </c>
      <c r="AD63" s="34" t="n">
        <f aca="false">SUM(AD46:AD62)</f>
        <v>179666.8864</v>
      </c>
      <c r="AE63" s="34" t="n">
        <f aca="false">SUM(AE46:AE62)</f>
        <v>180167.4432</v>
      </c>
      <c r="AF63" s="34" t="n">
        <f aca="false">SUM(AF46:AF62)</f>
        <v>180667.9872</v>
      </c>
      <c r="AG63" s="34" t="n">
        <f aca="false">SUM(AG46:AG62)</f>
        <v>171668.5376</v>
      </c>
      <c r="AH63" s="34" t="n">
        <f aca="false">SUM(AH46:AH62)</f>
        <v>172169.0816</v>
      </c>
      <c r="AI63" s="34" t="n">
        <f aca="false">SUM(AI46:AI62)</f>
        <v>189241.8944</v>
      </c>
      <c r="AJ63" s="34" t="n">
        <f aca="false">SUM(AJ46:AJ62)</f>
        <v>173170.1888</v>
      </c>
      <c r="AK63" s="34" t="n">
        <f aca="false">SUM(AK46:AK62)</f>
        <v>157098.4768</v>
      </c>
      <c r="AL63" s="34" t="n">
        <f aca="false">SUM(AL46:AL62)</f>
        <v>141026.7648</v>
      </c>
      <c r="AM63" s="34" t="n">
        <f aca="false">SUM(AM46:AM62)</f>
        <v>124955.0464</v>
      </c>
      <c r="AN63" s="34" t="n">
        <f aca="false">SUM(AN46:AN62)</f>
        <v>108883.3408</v>
      </c>
      <c r="AO63" s="34" t="n">
        <f aca="false">SUM(AO46:AO62)</f>
        <v>92811.6288</v>
      </c>
      <c r="AP63" s="34" t="n">
        <f aca="false">SUM(AP46:AP62)</f>
        <v>76739.9104</v>
      </c>
      <c r="AQ63" s="34" t="n">
        <f aca="false">SUM(AQ46:AQ62)</f>
        <v>60668.2048</v>
      </c>
      <c r="AR63" s="34" t="n">
        <f aca="false">SUM(AR46:AR62)</f>
        <v>126279.4928</v>
      </c>
      <c r="AS63" s="34" t="n">
        <f aca="false">SUM(AS46:AS62)</f>
        <v>96300.064</v>
      </c>
      <c r="AT63" s="34" t="n">
        <f aca="false">SUM(AT46:AT62)</f>
        <v>79727.808</v>
      </c>
      <c r="AU63" s="34" t="n">
        <f aca="false">SUM(AU46:AU62)</f>
        <v>128765.84</v>
      </c>
      <c r="AV63" s="34" t="n">
        <f aca="false">SUM(AV46:AV62)</f>
        <v>46583.2896</v>
      </c>
      <c r="AW63" s="34" t="n">
        <f aca="false">SUM(AW46:AW62)</f>
        <v>46082.7328</v>
      </c>
      <c r="AX63" s="34" t="n">
        <f aca="false">SUM(AX46:AX62)</f>
        <v>127264.1888</v>
      </c>
      <c r="AY63" s="34" t="n">
        <f aca="false">SUM(AY46:AY62)</f>
        <v>45081.6384</v>
      </c>
      <c r="AZ63" s="34" t="n">
        <f aca="false">SUM(AZ46:AZ62)</f>
        <v>44581.088</v>
      </c>
      <c r="BA63" s="34" t="n">
        <f aca="false">SUM(BA46:BA62)</f>
        <v>977601.5376</v>
      </c>
      <c r="BB63" s="34" t="n">
        <f aca="false">SUM(BB46:BB62)</f>
        <v>43579.9872</v>
      </c>
      <c r="BC63" s="34" t="n">
        <f aca="false">SUM(BC46:BC62)</f>
        <v>43079.4368</v>
      </c>
      <c r="BD63" s="34" t="n">
        <f aca="false">SUM(BD46:BD62)</f>
        <v>173456.8864</v>
      </c>
      <c r="BE63" s="34" t="n">
        <f aca="false">SUM(BE46:BE62)</f>
        <v>42078.336</v>
      </c>
      <c r="BF63" s="34" t="n">
        <f aca="false">SUM(BF46:BF62)</f>
        <v>41577.7856</v>
      </c>
      <c r="BG63" s="34" t="n">
        <f aca="false">SUM(BG46:BG62)</f>
        <v>171953.2416</v>
      </c>
      <c r="BH63" s="34" t="n">
        <f aca="false">SUM(BH46:BH62)</f>
        <v>69777.4848</v>
      </c>
      <c r="BI63" s="34" t="n">
        <f aca="false">SUM(BI46:BI62)</f>
        <v>69276.9344</v>
      </c>
      <c r="BJ63" s="34" t="n">
        <f aca="false">SUM(BJ46:BJ62)</f>
        <v>267427.6736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-0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-0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-119564.583333333</v>
      </c>
      <c r="H84" s="12" t="n">
        <f aca="false">H65+H66+H67+H68+H69+SUM(H70:H83)</f>
        <v>-119564.583333333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-75950.0033333333</v>
      </c>
      <c r="H86" s="16" t="n">
        <f aca="false">H63+H84</f>
        <v>-76783.3333333333</v>
      </c>
      <c r="I86" s="16" t="n">
        <f aca="false">I63+I84</f>
        <v>-76783.3333333333</v>
      </c>
      <c r="J86" s="16" t="n">
        <f aca="false">J63+J84</f>
        <v>-86158.3333333333</v>
      </c>
      <c r="K86" s="16" t="n">
        <f aca="false">K63+K84</f>
        <v>-107158.333333333</v>
      </c>
      <c r="L86" s="16" t="n">
        <f aca="false">L63+L84</f>
        <v>-74026.5029333333</v>
      </c>
      <c r="M86" s="16" t="n">
        <f aca="false">M63+M84</f>
        <v>-74026.5029333333</v>
      </c>
      <c r="N86" s="16" t="n">
        <f aca="false">N63+N84</f>
        <v>-74026.5029333333</v>
      </c>
      <c r="O86" s="16" t="n">
        <f aca="false">O63+O84</f>
        <v>-76417.7946</v>
      </c>
      <c r="P86" s="16" t="n">
        <f aca="false">P63+P84</f>
        <v>-76417.7946</v>
      </c>
      <c r="Q86" s="16" t="n">
        <f aca="false">Q63+Q84</f>
        <v>-76417.7946</v>
      </c>
      <c r="R86" s="16" t="n">
        <f aca="false">R63+R84</f>
        <v>-119712.1822</v>
      </c>
      <c r="S86" s="16" t="n">
        <f aca="false">S63+S84</f>
        <v>-79679.9198</v>
      </c>
      <c r="T86" s="16" t="n">
        <f aca="false">T63+T84</f>
        <v>-63107.6574</v>
      </c>
      <c r="U86" s="16" t="n">
        <f aca="false">U63+U84</f>
        <v>-46535.4014</v>
      </c>
      <c r="V86" s="16" t="n">
        <f aca="false">V63+V84</f>
        <v>-29963.1326</v>
      </c>
      <c r="W86" s="16" t="n">
        <f aca="false">W63+W84</f>
        <v>22564.1234</v>
      </c>
      <c r="X86" s="16" t="n">
        <f aca="false">X63+X84</f>
        <v>3181.37939999999</v>
      </c>
      <c r="Y86" s="16" t="n">
        <f aca="false">Y63+Y84</f>
        <v>19753.6418</v>
      </c>
      <c r="Z86" s="16" t="n">
        <f aca="false">Z63+Z84</f>
        <v>93700.9106</v>
      </c>
      <c r="AA86" s="16" t="n">
        <f aca="false">AA63+AA84</f>
        <v>50459.0491</v>
      </c>
      <c r="AB86" s="16" t="n">
        <f aca="false">AB63+AB84</f>
        <v>67031.3179</v>
      </c>
      <c r="AC86" s="16" t="n">
        <f aca="false">AC63+AC84</f>
        <v>169810.7979</v>
      </c>
      <c r="AD86" s="16" t="n">
        <f aca="false">AD63+AD84</f>
        <v>31342.6939</v>
      </c>
      <c r="AE86" s="16" t="n">
        <f aca="false">AE63+AE84</f>
        <v>55772.4507</v>
      </c>
      <c r="AF86" s="16" t="n">
        <f aca="false">AF63+AF84</f>
        <v>56272.9947</v>
      </c>
      <c r="AG86" s="16" t="n">
        <f aca="false">AG63+AG84</f>
        <v>47273.5451</v>
      </c>
      <c r="AH86" s="16" t="n">
        <f aca="false">AH63+AH84</f>
        <v>47774.0891</v>
      </c>
      <c r="AI86" s="16" t="n">
        <f aca="false">AI63+AI84</f>
        <v>42998.5019</v>
      </c>
      <c r="AJ86" s="16" t="n">
        <f aca="false">AJ63+AJ84</f>
        <v>48775.1963</v>
      </c>
      <c r="AK86" s="16" t="n">
        <f aca="false">AK63+AK84</f>
        <v>32703.4843</v>
      </c>
      <c r="AL86" s="16" t="n">
        <f aca="false">AL63+AL84</f>
        <v>16631.7723</v>
      </c>
      <c r="AM86" s="16" t="n">
        <f aca="false">AM63+AM84</f>
        <v>-1927.84595</v>
      </c>
      <c r="AN86" s="16" t="n">
        <f aca="false">AN63+AN84</f>
        <v>-17999.55155</v>
      </c>
      <c r="AO86" s="16" t="n">
        <f aca="false">AO63+AO84</f>
        <v>-34071.26355</v>
      </c>
      <c r="AP86" s="16" t="n">
        <f aca="false">AP63+AP84</f>
        <v>-74550.76595</v>
      </c>
      <c r="AQ86" s="16" t="n">
        <f aca="false">AQ63+AQ84</f>
        <v>-66214.68755</v>
      </c>
      <c r="AR86" s="16" t="n">
        <f aca="false">AR63+AR84</f>
        <v>-82286.39955</v>
      </c>
      <c r="AS86" s="16" t="n">
        <f aca="false">AS63+AS84</f>
        <v>-30582.82835</v>
      </c>
      <c r="AT86" s="16" t="n">
        <f aca="false">AT63+AT84</f>
        <v>-47155.08435</v>
      </c>
      <c r="AU86" s="16" t="n">
        <f aca="false">AU63+AU84</f>
        <v>-102084.42035</v>
      </c>
      <c r="AV86" s="16" t="n">
        <f aca="false">AV63+AV84</f>
        <v>-80299.60275</v>
      </c>
      <c r="AW86" s="16" t="n">
        <f aca="false">AW63+AW84</f>
        <v>-80800.15955</v>
      </c>
      <c r="AX86" s="16" t="n">
        <f aca="false">AX63+AX84</f>
        <v>-81300.70355</v>
      </c>
      <c r="AY86" s="16" t="n">
        <f aca="false">AY63+AY84</f>
        <v>-84338.911797</v>
      </c>
      <c r="AZ86" s="16" t="n">
        <f aca="false">AZ63+AZ84</f>
        <v>-84839.462197</v>
      </c>
      <c r="BA86" s="16" t="n">
        <f aca="false">BA63+BA84</f>
        <v>-85340.0125969999</v>
      </c>
      <c r="BB86" s="16" t="n">
        <f aca="false">BB63+BB84</f>
        <v>-110736.502677</v>
      </c>
      <c r="BC86" s="16" t="n">
        <f aca="false">BC63+BC84</f>
        <v>-86341.113397</v>
      </c>
      <c r="BD86" s="16" t="n">
        <f aca="false">BD63+BD84</f>
        <v>-86841.663797</v>
      </c>
      <c r="BE86" s="16" t="n">
        <f aca="false">BE63+BE84</f>
        <v>-87342.214197</v>
      </c>
      <c r="BF86" s="16" t="n">
        <f aca="false">BF63+BF84</f>
        <v>-87842.764597</v>
      </c>
      <c r="BG86" s="16" t="n">
        <f aca="false">BG63+BG84</f>
        <v>-111074.383957</v>
      </c>
      <c r="BH86" s="16" t="n">
        <f aca="false">BH63+BH84</f>
        <v>-59643.065397</v>
      </c>
      <c r="BI86" s="16" t="n">
        <f aca="false">BI63+BI84</f>
        <v>-60143.615797</v>
      </c>
      <c r="BJ86" s="16" t="n">
        <f aca="false">BJ63+BJ84</f>
        <v>7131.12340300001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570284.316985646</v>
      </c>
      <c r="H89" s="10" t="n">
        <f aca="false">H12</f>
        <v>570284.316985646</v>
      </c>
      <c r="I89" s="10" t="n">
        <f aca="false">I12</f>
        <v>1153856.48987241</v>
      </c>
      <c r="J89" s="10" t="n">
        <f aca="false">J12</f>
        <v>1131426.74081938</v>
      </c>
      <c r="K89" s="10" t="n">
        <f aca="false">K12</f>
        <v>751838.665819378</v>
      </c>
      <c r="L89" s="10" t="n">
        <f aca="false">L12</f>
        <v>751838.665819378</v>
      </c>
      <c r="M89" s="10" t="n">
        <f aca="false">M12</f>
        <v>751838.665819378</v>
      </c>
      <c r="N89" s="10" t="n">
        <f aca="false">N12</f>
        <v>751838.665819378</v>
      </c>
      <c r="O89" s="10" t="n">
        <f aca="false">O12</f>
        <v>1602305.25369817</v>
      </c>
      <c r="P89" s="10" t="n">
        <f aca="false">P12</f>
        <v>923303.703698166</v>
      </c>
      <c r="Q89" s="10" t="n">
        <f aca="false">Q12</f>
        <v>923303.703698166</v>
      </c>
      <c r="R89" s="10" t="n">
        <f aca="false">R12</f>
        <v>1051142.86786085</v>
      </c>
      <c r="S89" s="10" t="n">
        <f aca="false">S12</f>
        <v>697508.027860845</v>
      </c>
      <c r="T89" s="10" t="n">
        <f aca="false">T12</f>
        <v>697508.027860845</v>
      </c>
      <c r="U89" s="10" t="n">
        <f aca="false">U12</f>
        <v>1015996.57838716</v>
      </c>
      <c r="V89" s="10" t="n">
        <f aca="false">V12</f>
        <v>757994.080492424</v>
      </c>
      <c r="W89" s="10" t="n">
        <f aca="false">W12</f>
        <v>757994.080492424</v>
      </c>
      <c r="X89" s="10" t="n">
        <f aca="false">X12</f>
        <v>757994.080492424</v>
      </c>
      <c r="Y89" s="10" t="n">
        <f aca="false">Y12</f>
        <v>757994.080492424</v>
      </c>
      <c r="Z89" s="10" t="n">
        <f aca="false">Z12</f>
        <v>757994.080492424</v>
      </c>
      <c r="AA89" s="10" t="n">
        <f aca="false">AA12</f>
        <v>757994.080492424</v>
      </c>
      <c r="AB89" s="10" t="n">
        <f aca="false">AB12</f>
        <v>676500.228817783</v>
      </c>
      <c r="AC89" s="10" t="n">
        <f aca="false">AC12</f>
        <v>1453466.04215112</v>
      </c>
      <c r="AD89" s="10" t="n">
        <f aca="false">AD12</f>
        <v>833146.562151116</v>
      </c>
      <c r="AE89" s="10" t="n">
        <f aca="false">AE12</f>
        <v>833146.562151116</v>
      </c>
      <c r="AF89" s="10" t="n">
        <f aca="false">AF12</f>
        <v>833146.562151116</v>
      </c>
      <c r="AG89" s="10" t="n">
        <f aca="false">AG12</f>
        <v>833146.562151116</v>
      </c>
      <c r="AH89" s="10" t="n">
        <f aca="false">AH12</f>
        <v>732467.561204147</v>
      </c>
      <c r="AI89" s="10" t="n">
        <f aca="false">AI12</f>
        <v>732467.561204147</v>
      </c>
      <c r="AJ89" s="10" t="n">
        <f aca="false">AJ12</f>
        <v>569708.288476874</v>
      </c>
      <c r="AK89" s="10" t="n">
        <f aca="false">AK12</f>
        <v>478919.077950558</v>
      </c>
      <c r="AL89" s="10" t="n">
        <f aca="false">AL12</f>
        <v>478919.077950558</v>
      </c>
      <c r="AM89" s="10" t="n">
        <f aca="false">AM12</f>
        <v>418900.581738437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43614.58</v>
      </c>
      <c r="H90" s="10" t="n">
        <f aca="false">H63</f>
        <v>42781.25</v>
      </c>
      <c r="I90" s="10" t="n">
        <f aca="false">I63</f>
        <v>42781.25</v>
      </c>
      <c r="J90" s="10" t="n">
        <f aca="false">J63</f>
        <v>33406.25</v>
      </c>
      <c r="K90" s="10" t="n">
        <f aca="false">K63</f>
        <v>33406.25</v>
      </c>
      <c r="L90" s="10" t="n">
        <f aca="false">L63</f>
        <v>45538.0804</v>
      </c>
      <c r="M90" s="10" t="n">
        <f aca="false">M63</f>
        <v>45538.0804</v>
      </c>
      <c r="N90" s="10" t="n">
        <f aca="false">N63</f>
        <v>45538.0804</v>
      </c>
      <c r="O90" s="10" t="n">
        <f aca="false">O63</f>
        <v>45538.0804</v>
      </c>
      <c r="P90" s="10" t="n">
        <f aca="false">P63</f>
        <v>45538.0804</v>
      </c>
      <c r="Q90" s="10" t="n">
        <f aca="false">Q63</f>
        <v>45538.0804</v>
      </c>
      <c r="R90" s="10" t="n">
        <f aca="false">R63</f>
        <v>25703.6928</v>
      </c>
      <c r="S90" s="10" t="n">
        <f aca="false">S63</f>
        <v>42275.9552</v>
      </c>
      <c r="T90" s="10" t="n">
        <f aca="false">T63</f>
        <v>58848.2176</v>
      </c>
      <c r="U90" s="10" t="n">
        <f aca="false">U63</f>
        <v>75420.4736</v>
      </c>
      <c r="V90" s="10" t="n">
        <f aca="false">V63</f>
        <v>91992.7424</v>
      </c>
      <c r="W90" s="10" t="n">
        <f aca="false">W63</f>
        <v>165939.9984</v>
      </c>
      <c r="X90" s="10" t="n">
        <f aca="false">X63</f>
        <v>125137.2544</v>
      </c>
      <c r="Y90" s="10" t="n">
        <f aca="false">Y63</f>
        <v>141709.5168</v>
      </c>
      <c r="Z90" s="10" t="n">
        <f aca="false">Z63</f>
        <v>215656.7856</v>
      </c>
      <c r="AA90" s="10" t="n">
        <f aca="false">AA63</f>
        <v>174854.0416</v>
      </c>
      <c r="AB90" s="10" t="n">
        <f aca="false">AB63</f>
        <v>191426.3104</v>
      </c>
      <c r="AC90" s="10" t="n">
        <f aca="false">AC63</f>
        <v>294205.7904</v>
      </c>
      <c r="AD90" s="10" t="n">
        <f aca="false">AD63</f>
        <v>179666.8864</v>
      </c>
      <c r="AE90" s="10" t="n">
        <f aca="false">AE63</f>
        <v>180167.4432</v>
      </c>
      <c r="AF90" s="10" t="n">
        <f aca="false">AF63</f>
        <v>180667.9872</v>
      </c>
      <c r="AG90" s="10" t="n">
        <f aca="false">AG63</f>
        <v>171668.5376</v>
      </c>
      <c r="AH90" s="10" t="n">
        <f aca="false">AH63</f>
        <v>172169.0816</v>
      </c>
      <c r="AI90" s="10" t="n">
        <f aca="false">AI63</f>
        <v>189241.8944</v>
      </c>
      <c r="AJ90" s="10" t="n">
        <f aca="false">AJ63</f>
        <v>173170.1888</v>
      </c>
      <c r="AK90" s="10" t="n">
        <f aca="false">AK63</f>
        <v>157098.4768</v>
      </c>
      <c r="AL90" s="10" t="n">
        <f aca="false">AL63</f>
        <v>141026.7648</v>
      </c>
      <c r="AM90" s="10" t="n">
        <f aca="false">AM63</f>
        <v>124955.0464</v>
      </c>
      <c r="AN90" s="10" t="n">
        <f aca="false">AN63</f>
        <v>108883.3408</v>
      </c>
      <c r="AO90" s="10" t="n">
        <f aca="false">AO63</f>
        <v>92811.6288</v>
      </c>
      <c r="AP90" s="10" t="n">
        <f aca="false">AP63</f>
        <v>76739.9104</v>
      </c>
      <c r="AQ90" s="10" t="n">
        <f aca="false">AQ63</f>
        <v>60668.2048</v>
      </c>
      <c r="AR90" s="10" t="n">
        <f aca="false">AR63</f>
        <v>126279.4928</v>
      </c>
      <c r="AS90" s="10" t="n">
        <f aca="false">AS63</f>
        <v>96300.064</v>
      </c>
      <c r="AT90" s="10" t="n">
        <f aca="false">AT63</f>
        <v>79727.808</v>
      </c>
      <c r="AU90" s="10" t="n">
        <f aca="false">AU63</f>
        <v>128765.84</v>
      </c>
      <c r="AV90" s="10" t="n">
        <f aca="false">AV63</f>
        <v>46583.2896</v>
      </c>
      <c r="AW90" s="10" t="n">
        <f aca="false">AW63</f>
        <v>46082.7328</v>
      </c>
      <c r="AX90" s="10" t="n">
        <f aca="false">AX63</f>
        <v>127264.1888</v>
      </c>
      <c r="AY90" s="10" t="n">
        <f aca="false">AY63</f>
        <v>45081.6384</v>
      </c>
      <c r="AZ90" s="10" t="n">
        <f aca="false">AZ63</f>
        <v>44581.088</v>
      </c>
      <c r="BA90" s="10" t="n">
        <f aca="false">BA63</f>
        <v>977601.5376</v>
      </c>
      <c r="BB90" s="10" t="n">
        <f aca="false">BB63</f>
        <v>43579.9872</v>
      </c>
      <c r="BC90" s="10" t="n">
        <f aca="false">BC63</f>
        <v>43079.4368</v>
      </c>
      <c r="BD90" s="10" t="n">
        <f aca="false">BD63</f>
        <v>173456.8864</v>
      </c>
      <c r="BE90" s="10" t="n">
        <f aca="false">BE63</f>
        <v>42078.336</v>
      </c>
      <c r="BF90" s="10" t="n">
        <f aca="false">BF63</f>
        <v>41577.7856</v>
      </c>
      <c r="BG90" s="10" t="n">
        <f aca="false">BG63</f>
        <v>171953.2416</v>
      </c>
      <c r="BH90" s="10" t="n">
        <f aca="false">BH63</f>
        <v>69777.4848</v>
      </c>
      <c r="BI90" s="10" t="n">
        <f aca="false">BI63</f>
        <v>69276.9344</v>
      </c>
      <c r="BJ90" s="10" t="n">
        <f aca="false">BJ63</f>
        <v>267427.6736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613898.896985646</v>
      </c>
      <c r="H91" s="12" t="n">
        <f aca="false">H89+H90</f>
        <v>613065.566985646</v>
      </c>
      <c r="I91" s="12" t="n">
        <f aca="false">I89+I90</f>
        <v>1196637.73987241</v>
      </c>
      <c r="J91" s="12" t="n">
        <f aca="false">J89+J90</f>
        <v>1164832.99081938</v>
      </c>
      <c r="K91" s="12" t="n">
        <f aca="false">K89+K90</f>
        <v>785244.915819378</v>
      </c>
      <c r="L91" s="12" t="n">
        <f aca="false">L89+L90</f>
        <v>797376.746219378</v>
      </c>
      <c r="M91" s="12" t="n">
        <f aca="false">M89+M90</f>
        <v>797376.746219378</v>
      </c>
      <c r="N91" s="12" t="n">
        <f aca="false">N89+N90</f>
        <v>797376.746219378</v>
      </c>
      <c r="O91" s="12" t="n">
        <f aca="false">O89+O90</f>
        <v>1647843.33409817</v>
      </c>
      <c r="P91" s="12" t="n">
        <f aca="false">P89+P90</f>
        <v>968841.784098166</v>
      </c>
      <c r="Q91" s="12" t="n">
        <f aca="false">Q89+Q90</f>
        <v>968841.784098166</v>
      </c>
      <c r="R91" s="12" t="n">
        <f aca="false">R89+R90</f>
        <v>1076846.56066085</v>
      </c>
      <c r="S91" s="12" t="n">
        <f aca="false">S89+S90</f>
        <v>739783.983060845</v>
      </c>
      <c r="T91" s="12" t="n">
        <f aca="false">T89+T90</f>
        <v>756356.245460845</v>
      </c>
      <c r="U91" s="12" t="n">
        <f aca="false">U89+U90</f>
        <v>1091417.05198716</v>
      </c>
      <c r="V91" s="12" t="n">
        <f aca="false">V89+V90</f>
        <v>849986.822892424</v>
      </c>
      <c r="W91" s="12" t="n">
        <f aca="false">W89+W90</f>
        <v>923934.078892424</v>
      </c>
      <c r="X91" s="12" t="n">
        <f aca="false">X89+X90</f>
        <v>883131.334892424</v>
      </c>
      <c r="Y91" s="12" t="n">
        <f aca="false">Y89+Y90</f>
        <v>899703.597292424</v>
      </c>
      <c r="Z91" s="12" t="n">
        <f aca="false">Z89+Z90</f>
        <v>973650.866092424</v>
      </c>
      <c r="AA91" s="12" t="n">
        <f aca="false">AA89+AA90</f>
        <v>932848.122092424</v>
      </c>
      <c r="AB91" s="12" t="n">
        <f aca="false">AB89+AB90</f>
        <v>867926.539217783</v>
      </c>
      <c r="AC91" s="12" t="n">
        <f aca="false">AC89+AC90</f>
        <v>1747671.83255112</v>
      </c>
      <c r="AD91" s="12" t="n">
        <f aca="false">AD89+AD90</f>
        <v>1012813.44855112</v>
      </c>
      <c r="AE91" s="12" t="n">
        <f aca="false">AE89+AE90</f>
        <v>1013314.00535112</v>
      </c>
      <c r="AF91" s="12" t="n">
        <f aca="false">AF89+AF90</f>
        <v>1013814.54935112</v>
      </c>
      <c r="AG91" s="12" t="n">
        <f aca="false">AG89+AG90</f>
        <v>1004815.09975112</v>
      </c>
      <c r="AH91" s="12" t="n">
        <f aca="false">AH89+AH90</f>
        <v>904636.642804147</v>
      </c>
      <c r="AI91" s="12" t="n">
        <f aca="false">AI89+AI90</f>
        <v>921709.455604147</v>
      </c>
      <c r="AJ91" s="12" t="n">
        <f aca="false">AJ89+AJ90</f>
        <v>742878.477276874</v>
      </c>
      <c r="AK91" s="12" t="n">
        <f aca="false">AK89+AK90</f>
        <v>636017.554750558</v>
      </c>
      <c r="AL91" s="12" t="n">
        <f aca="false">AL89+AL90</f>
        <v>619945.842750558</v>
      </c>
      <c r="AM91" s="12" t="n">
        <f aca="false">AM89+AM90</f>
        <v>543855.628138437</v>
      </c>
      <c r="AN91" s="12" t="n">
        <f aca="false">AN89+AN90</f>
        <v>436994.712012121</v>
      </c>
      <c r="AO91" s="12" t="n">
        <f aca="false">AO89+AO90</f>
        <v>420923.000012121</v>
      </c>
      <c r="AP91" s="12" t="n">
        <f aca="false">AP89+AP90</f>
        <v>404851.281612121</v>
      </c>
      <c r="AQ91" s="12" t="n">
        <f aca="false">AQ89+AQ90</f>
        <v>388779.576012121</v>
      </c>
      <c r="AR91" s="12" t="n">
        <f aca="false">AR89+AR90</f>
        <v>454390.864012121</v>
      </c>
      <c r="AS91" s="12" t="n">
        <f aca="false">AS89+AS90</f>
        <v>252946.397333333</v>
      </c>
      <c r="AT91" s="12" t="n">
        <f aca="false">AT89+AT90</f>
        <v>236374.141333333</v>
      </c>
      <c r="AU91" s="12" t="n">
        <f aca="false">AU89+AU90</f>
        <v>285412.173333333</v>
      </c>
      <c r="AV91" s="12" t="n">
        <f aca="false">AV89+AV90</f>
        <v>203229.622933333</v>
      </c>
      <c r="AW91" s="12" t="n">
        <f aca="false">AW89+AW90</f>
        <v>202729.066133333</v>
      </c>
      <c r="AX91" s="12" t="n">
        <f aca="false">AX89+AX90</f>
        <v>283910.522133333</v>
      </c>
      <c r="AY91" s="12" t="n">
        <f aca="false">AY89+AY90</f>
        <v>201727.971733333</v>
      </c>
      <c r="AZ91" s="12" t="n">
        <f aca="false">AZ89+AZ90</f>
        <v>201227.421333333</v>
      </c>
      <c r="BA91" s="12" t="n">
        <f aca="false">BA89+BA90</f>
        <v>1134247.87093333</v>
      </c>
      <c r="BB91" s="12" t="n">
        <f aca="false">BB89+BB90</f>
        <v>200226.320533333</v>
      </c>
      <c r="BC91" s="12" t="n">
        <f aca="false">BC89+BC90</f>
        <v>199725.770133333</v>
      </c>
      <c r="BD91" s="12" t="n">
        <f aca="false">BD89+BD90</f>
        <v>330103.219733333</v>
      </c>
      <c r="BE91" s="12" t="n">
        <f aca="false">BE89+BE90</f>
        <v>198724.669333333</v>
      </c>
      <c r="BF91" s="12" t="n">
        <f aca="false">BF89+BF90</f>
        <v>198224.118933333</v>
      </c>
      <c r="BG91" s="12" t="n">
        <f aca="false">BG89+BG90</f>
        <v>171953.2416</v>
      </c>
      <c r="BH91" s="12" t="n">
        <f aca="false">BH89+BH90</f>
        <v>69777.4848</v>
      </c>
      <c r="BI91" s="12" t="n">
        <f aca="false">BI89+BI90</f>
        <v>69276.9344</v>
      </c>
      <c r="BJ91" s="12" t="n">
        <f aca="false">BJ89+BJ90</f>
        <v>267427.6736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-736775.383533333</v>
      </c>
      <c r="G92" s="10" t="n">
        <f aca="false">G38</f>
        <v>-418808.868333333</v>
      </c>
      <c r="H92" s="10" t="n">
        <f aca="false">H38</f>
        <v>-418808.868333333</v>
      </c>
      <c r="I92" s="10" t="n">
        <f aca="false">I38</f>
        <v>-636891.715333333</v>
      </c>
      <c r="J92" s="10" t="n">
        <f aca="false">J38</f>
        <v>-576158.065333333</v>
      </c>
      <c r="K92" s="10" t="n">
        <f aca="false">K38</f>
        <v>-418808.868333333</v>
      </c>
      <c r="L92" s="10" t="n">
        <f aca="false">L38</f>
        <v>-418808.868333333</v>
      </c>
      <c r="M92" s="10" t="n">
        <f aca="false">M38</f>
        <v>-418808.868333333</v>
      </c>
      <c r="N92" s="10" t="n">
        <f aca="false">N38</f>
        <v>-418808.868333333</v>
      </c>
      <c r="O92" s="10" t="n">
        <f aca="false">O38</f>
        <v>-1898355.0707</v>
      </c>
      <c r="P92" s="10" t="n">
        <f aca="false">P38</f>
        <v>-427185.0457</v>
      </c>
      <c r="Q92" s="10" t="n">
        <f aca="false">Q38</f>
        <v>-427185.0457</v>
      </c>
      <c r="R92" s="10" t="n">
        <f aca="false">R38</f>
        <v>-920533.6157</v>
      </c>
      <c r="S92" s="10" t="n">
        <f aca="false">S38</f>
        <v>-427185.0457</v>
      </c>
      <c r="T92" s="10" t="n">
        <f aca="false">T38</f>
        <v>-427185.0457</v>
      </c>
      <c r="U92" s="10" t="n">
        <f aca="false">U38</f>
        <v>-920533.6157</v>
      </c>
      <c r="V92" s="10" t="n">
        <f aca="false">V38</f>
        <v>-427185.0457</v>
      </c>
      <c r="W92" s="10" t="n">
        <f aca="false">W38</f>
        <v>-427185.0457</v>
      </c>
      <c r="X92" s="10" t="n">
        <f aca="false">X38</f>
        <v>-427185.0457</v>
      </c>
      <c r="Y92" s="10" t="n">
        <f aca="false">Y38</f>
        <v>-427185.0457</v>
      </c>
      <c r="Z92" s="10" t="n">
        <f aca="false">Z38</f>
        <v>-427185.0457</v>
      </c>
      <c r="AA92" s="10" t="n">
        <f aca="false">AA38</f>
        <v>-435728.746614</v>
      </c>
      <c r="AB92" s="10" t="n">
        <f aca="false">AB38</f>
        <v>-435728.746614</v>
      </c>
      <c r="AC92" s="10" t="n">
        <f aca="false">AC38</f>
        <v>-1779754.286614</v>
      </c>
      <c r="AD92" s="10" t="n">
        <f aca="false">AD38</f>
        <v>-435728.746614</v>
      </c>
      <c r="AE92" s="10" t="n">
        <f aca="false">AE38</f>
        <v>-435728.746614</v>
      </c>
      <c r="AF92" s="10" t="n">
        <f aca="false">AF38</f>
        <v>-435728.746614</v>
      </c>
      <c r="AG92" s="10" t="n">
        <f aca="false">AG38</f>
        <v>-435728.746614</v>
      </c>
      <c r="AH92" s="10" t="n">
        <f aca="false">AH38</f>
        <v>-435728.746614</v>
      </c>
      <c r="AI92" s="10" t="n">
        <f aca="false">AI38</f>
        <v>-435728.746614</v>
      </c>
      <c r="AJ92" s="10" t="n">
        <f aca="false">AJ38</f>
        <v>-435728.746614</v>
      </c>
      <c r="AK92" s="10" t="n">
        <f aca="false">AK38</f>
        <v>-435728.746614</v>
      </c>
      <c r="AL92" s="10" t="n">
        <f aca="false">AL38</f>
        <v>-435728.746614</v>
      </c>
      <c r="AM92" s="10" t="n">
        <f aca="false">AM38</f>
        <v>-444443.32154628</v>
      </c>
      <c r="AN92" s="10" t="n">
        <f aca="false">AN38</f>
        <v>-444443.32154628</v>
      </c>
      <c r="AO92" s="10" t="n">
        <f aca="false">AO38</f>
        <v>-444443.32154628</v>
      </c>
      <c r="AP92" s="10" t="n">
        <f aca="false">AP38</f>
        <v>-444443.32154628</v>
      </c>
      <c r="AQ92" s="10" t="n">
        <f aca="false">AQ38</f>
        <v>-444443.32154628</v>
      </c>
      <c r="AR92" s="10" t="n">
        <f aca="false">AR38</f>
        <v>-444443.32154628</v>
      </c>
      <c r="AS92" s="10" t="n">
        <f aca="false">AS38</f>
        <v>-444443.32154628</v>
      </c>
      <c r="AT92" s="10" t="n">
        <f aca="false">AT38</f>
        <v>-444443.32154628</v>
      </c>
      <c r="AU92" s="10" t="n">
        <f aca="false">AU38</f>
        <v>-444443.32154628</v>
      </c>
      <c r="AV92" s="10" t="n">
        <f aca="false">AV38</f>
        <v>-444443.32154628</v>
      </c>
      <c r="AW92" s="10" t="n">
        <f aca="false">AW38</f>
        <v>-444443.32154628</v>
      </c>
      <c r="AX92" s="10" t="n">
        <f aca="false">AX38</f>
        <v>-444443.32154628</v>
      </c>
      <c r="AY92" s="10" t="n">
        <f aca="false">AY38</f>
        <v>-453332.187977206</v>
      </c>
      <c r="AZ92" s="10" t="n">
        <f aca="false">AZ38</f>
        <v>-453332.187977206</v>
      </c>
      <c r="BA92" s="10" t="n">
        <f aca="false">BA38</f>
        <v>-453332.187977206</v>
      </c>
      <c r="BB92" s="10" t="n">
        <f aca="false">BB38</f>
        <v>-453332.187977206</v>
      </c>
      <c r="BC92" s="10" t="n">
        <f aca="false">BC38</f>
        <v>-453332.187977206</v>
      </c>
      <c r="BD92" s="10" t="n">
        <f aca="false">BD38</f>
        <v>-453332.187977206</v>
      </c>
      <c r="BE92" s="10" t="n">
        <f aca="false">BE38</f>
        <v>-453332.187977206</v>
      </c>
      <c r="BF92" s="10" t="n">
        <f aca="false">BF38</f>
        <v>-453332.187977206</v>
      </c>
      <c r="BG92" s="10" t="n">
        <f aca="false">BG38</f>
        <v>-453332.187977206</v>
      </c>
      <c r="BH92" s="10" t="n">
        <f aca="false">BH38</f>
        <v>-453332.187977206</v>
      </c>
      <c r="BI92" s="10" t="n">
        <f aca="false">BI38</f>
        <v>-453332.187977206</v>
      </c>
      <c r="BJ92" s="10" t="n">
        <f aca="false">BJ38</f>
        <v>-453332.187977206</v>
      </c>
      <c r="BK92" s="10" t="n">
        <f aca="false">BK38</f>
        <v>-462398.83173675</v>
      </c>
      <c r="BL92" s="10" t="n">
        <f aca="false">BL38</f>
        <v>-462398.83173675</v>
      </c>
      <c r="BM92" s="10" t="n">
        <f aca="false">BM38</f>
        <v>-462398.83173675</v>
      </c>
      <c r="BN92" s="10" t="n">
        <f aca="false">BN38</f>
        <v>-462398.83173675</v>
      </c>
      <c r="BO92" s="10" t="n">
        <f aca="false">BO38</f>
        <v>-462398.83173675</v>
      </c>
      <c r="BP92" s="10" t="n">
        <f aca="false">BP38</f>
        <v>-462398.83173675</v>
      </c>
      <c r="BQ92" s="10" t="n">
        <f aca="false">BQ38</f>
        <v>-462398.83173675</v>
      </c>
      <c r="BR92" s="10" t="n">
        <f aca="false">BR38</f>
        <v>-462398.83173675</v>
      </c>
      <c r="BS92" s="10" t="n">
        <f aca="false">BS38</f>
        <v>-462398.83173675</v>
      </c>
      <c r="BT92" s="10" t="n">
        <f aca="false">BT38</f>
        <v>-462398.83173675</v>
      </c>
      <c r="BU92" s="10" t="n">
        <f aca="false">BU38</f>
        <v>-462398.83173675</v>
      </c>
      <c r="BV92" s="10" t="n">
        <f aca="false">BV38</f>
        <v>-462398.83173675</v>
      </c>
      <c r="BW92" s="10" t="n">
        <f aca="false">BW38</f>
        <v>-471646.808371485</v>
      </c>
      <c r="BX92" s="10" t="n">
        <f aca="false">BX38</f>
        <v>-471646.808371485</v>
      </c>
      <c r="BY92" s="10" t="n">
        <f aca="false">BY38</f>
        <v>-471646.808371485</v>
      </c>
      <c r="BZ92" s="10" t="n">
        <f aca="false">BZ38</f>
        <v>-471646.808371485</v>
      </c>
      <c r="CA92" s="10" t="n">
        <f aca="false">CA38</f>
        <v>-471646.808371485</v>
      </c>
      <c r="CB92" s="10" t="n">
        <f aca="false">CB38</f>
        <v>-471646.808371485</v>
      </c>
      <c r="CC92" s="10" t="n">
        <f aca="false">CC38</f>
        <v>-471646.808371485</v>
      </c>
      <c r="CD92" s="10" t="n">
        <f aca="false">CD38</f>
        <v>-471646.808371485</v>
      </c>
      <c r="CE92" s="10" t="n">
        <f aca="false">CE38</f>
        <v>-471646.808371485</v>
      </c>
      <c r="CF92" s="10" t="n">
        <f aca="false">CF38</f>
        <v>-471646.808371485</v>
      </c>
      <c r="CG92" s="10" t="n">
        <f aca="false">CG38</f>
        <v>-471646.808371485</v>
      </c>
      <c r="CH92" s="10" t="n">
        <f aca="false">CH38</f>
        <v>-471646.808371485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-119564.583333333</v>
      </c>
      <c r="H93" s="10" t="n">
        <f aca="false">H84</f>
        <v>-119564.583333333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-879339.966866667</v>
      </c>
      <c r="G94" s="12" t="n">
        <f aca="false">G92+G93</f>
        <v>-538373.451666667</v>
      </c>
      <c r="H94" s="12" t="n">
        <f aca="false">H92+H93</f>
        <v>-538373.451666667</v>
      </c>
      <c r="I94" s="12" t="n">
        <f aca="false">I92+I93</f>
        <v>-756456.298666667</v>
      </c>
      <c r="J94" s="12" t="n">
        <f aca="false">J92+J93</f>
        <v>-695722.648666667</v>
      </c>
      <c r="K94" s="12" t="n">
        <f aca="false">K92+K93</f>
        <v>-559373.451666667</v>
      </c>
      <c r="L94" s="12" t="n">
        <f aca="false">L92+L93</f>
        <v>-538373.451666667</v>
      </c>
      <c r="M94" s="12" t="n">
        <f aca="false">M92+M93</f>
        <v>-538373.451666667</v>
      </c>
      <c r="N94" s="12" t="n">
        <f aca="false">N92+N93</f>
        <v>-538373.451666667</v>
      </c>
      <c r="O94" s="12" t="n">
        <f aca="false">O92+O93</f>
        <v>-2020310.9457</v>
      </c>
      <c r="P94" s="12" t="n">
        <f aca="false">P92+P93</f>
        <v>-549140.9207</v>
      </c>
      <c r="Q94" s="12" t="n">
        <f aca="false">Q92+Q93</f>
        <v>-549140.9207</v>
      </c>
      <c r="R94" s="12" t="n">
        <f aca="false">R92+R93</f>
        <v>-1065949.4907</v>
      </c>
      <c r="S94" s="12" t="n">
        <f aca="false">S92+S93</f>
        <v>-549140.9207</v>
      </c>
      <c r="T94" s="12" t="n">
        <f aca="false">T92+T93</f>
        <v>-549140.9207</v>
      </c>
      <c r="U94" s="12" t="n">
        <f aca="false">U92+U93</f>
        <v>-1042489.4907</v>
      </c>
      <c r="V94" s="12" t="n">
        <f aca="false">V92+V93</f>
        <v>-549140.9207</v>
      </c>
      <c r="W94" s="12" t="n">
        <f aca="false">W92+W93</f>
        <v>-570560.9207</v>
      </c>
      <c r="X94" s="12" t="n">
        <f aca="false">X92+X93</f>
        <v>-549140.9207</v>
      </c>
      <c r="Y94" s="12" t="n">
        <f aca="false">Y92+Y93</f>
        <v>-549140.9207</v>
      </c>
      <c r="Z94" s="12" t="n">
        <f aca="false">Z92+Z93</f>
        <v>-549140.9207</v>
      </c>
      <c r="AA94" s="12" t="n">
        <f aca="false">AA92+AA93</f>
        <v>-560123.739114</v>
      </c>
      <c r="AB94" s="12" t="n">
        <f aca="false">AB92+AB93</f>
        <v>-560123.739114</v>
      </c>
      <c r="AC94" s="12" t="n">
        <f aca="false">AC92+AC93</f>
        <v>-1904149.279114</v>
      </c>
      <c r="AD94" s="12" t="n">
        <f aca="false">AD92+AD93</f>
        <v>-584052.939114</v>
      </c>
      <c r="AE94" s="12" t="n">
        <f aca="false">AE92+AE93</f>
        <v>-560123.739114</v>
      </c>
      <c r="AF94" s="12" t="n">
        <f aca="false">AF92+AF93</f>
        <v>-560123.739114</v>
      </c>
      <c r="AG94" s="12" t="n">
        <f aca="false">AG92+AG93</f>
        <v>-560123.739114</v>
      </c>
      <c r="AH94" s="12" t="n">
        <f aca="false">AH92+AH93</f>
        <v>-560123.739114</v>
      </c>
      <c r="AI94" s="12" t="n">
        <f aca="false">AI92+AI93</f>
        <v>-581972.139114</v>
      </c>
      <c r="AJ94" s="12" t="n">
        <f aca="false">AJ92+AJ93</f>
        <v>-560123.739114</v>
      </c>
      <c r="AK94" s="12" t="n">
        <f aca="false">AK92+AK93</f>
        <v>-560123.739114</v>
      </c>
      <c r="AL94" s="12" t="n">
        <f aca="false">AL92+AL93</f>
        <v>-560123.739114</v>
      </c>
      <c r="AM94" s="12" t="n">
        <f aca="false">AM92+AM93</f>
        <v>-571326.21389628</v>
      </c>
      <c r="AN94" s="12" t="n">
        <f aca="false">AN92+AN93</f>
        <v>-571326.21389628</v>
      </c>
      <c r="AO94" s="12" t="n">
        <f aca="false">AO92+AO93</f>
        <v>-571326.21389628</v>
      </c>
      <c r="AP94" s="12" t="n">
        <f aca="false">AP92+AP93</f>
        <v>-595733.99789628</v>
      </c>
      <c r="AQ94" s="12" t="n">
        <f aca="false">AQ92+AQ93</f>
        <v>-571326.21389628</v>
      </c>
      <c r="AR94" s="12" t="n">
        <f aca="false">AR92+AR93</f>
        <v>-653009.21389628</v>
      </c>
      <c r="AS94" s="12" t="n">
        <f aca="false">AS92+AS93</f>
        <v>-571326.21389628</v>
      </c>
      <c r="AT94" s="12" t="n">
        <f aca="false">AT92+AT93</f>
        <v>-571326.21389628</v>
      </c>
      <c r="AU94" s="12" t="n">
        <f aca="false">AU92+AU93</f>
        <v>-675293.58189628</v>
      </c>
      <c r="AV94" s="12" t="n">
        <f aca="false">AV92+AV93</f>
        <v>-571326.21389628</v>
      </c>
      <c r="AW94" s="12" t="n">
        <f aca="false">AW92+AW93</f>
        <v>-571326.21389628</v>
      </c>
      <c r="AX94" s="12" t="n">
        <f aca="false">AX92+AX93</f>
        <v>-653008.21389628</v>
      </c>
      <c r="AY94" s="12" t="n">
        <f aca="false">AY92+AY93</f>
        <v>-582752.738174206</v>
      </c>
      <c r="AZ94" s="12" t="n">
        <f aca="false">AZ92+AZ93</f>
        <v>-582752.738174206</v>
      </c>
      <c r="BA94" s="12" t="n">
        <f aca="false">BA92+BA93</f>
        <v>-1516273.73817421</v>
      </c>
      <c r="BB94" s="12" t="n">
        <f aca="false">BB92+BB93</f>
        <v>-607648.677854206</v>
      </c>
      <c r="BC94" s="12" t="n">
        <f aca="false">BC92+BC93</f>
        <v>-582752.738174206</v>
      </c>
      <c r="BD94" s="12" t="n">
        <f aca="false">BD92+BD93</f>
        <v>-713630.738174206</v>
      </c>
      <c r="BE94" s="12" t="n">
        <f aca="false">BE92+BE93</f>
        <v>-582752.738174206</v>
      </c>
      <c r="BF94" s="12" t="n">
        <f aca="false">BF92+BF93</f>
        <v>-582752.738174206</v>
      </c>
      <c r="BG94" s="12" t="n">
        <f aca="false">BG92+BG93</f>
        <v>-736359.813534206</v>
      </c>
      <c r="BH94" s="12" t="n">
        <f aca="false">BH92+BH93</f>
        <v>-582752.738174206</v>
      </c>
      <c r="BI94" s="12" t="n">
        <f aca="false">BI92+BI93</f>
        <v>-582752.738174206</v>
      </c>
      <c r="BJ94" s="12" t="n">
        <f aca="false">BJ92+BJ93</f>
        <v>-713628.738174206</v>
      </c>
      <c r="BK94" s="12" t="n">
        <f aca="false">BK92+BK93</f>
        <v>-594407.79293769</v>
      </c>
      <c r="BL94" s="12" t="n">
        <f aca="false">BL92+BL93</f>
        <v>-594407.79293769</v>
      </c>
      <c r="BM94" s="12" t="n">
        <f aca="false">BM92+BM93</f>
        <v>-725283.79293769</v>
      </c>
      <c r="BN94" s="12" t="n">
        <f aca="false">BN92+BN93</f>
        <v>-619801.65141129</v>
      </c>
      <c r="BO94" s="12" t="n">
        <f aca="false">BO92+BO93</f>
        <v>-594407.79293769</v>
      </c>
      <c r="BP94" s="12" t="n">
        <f aca="false">BP92+BP93</f>
        <v>-685300.27293769</v>
      </c>
      <c r="BQ94" s="12" t="n">
        <f aca="false">BQ92+BQ93</f>
        <v>-594407.79293769</v>
      </c>
      <c r="BR94" s="12" t="n">
        <f aca="false">BR92+BR93</f>
        <v>-594407.79293769</v>
      </c>
      <c r="BS94" s="12" t="n">
        <f aca="false">BS92+BS93</f>
        <v>-692233.48980489</v>
      </c>
      <c r="BT94" s="12" t="n">
        <f aca="false">BT92+BT93</f>
        <v>-594407.79293769</v>
      </c>
      <c r="BU94" s="12" t="n">
        <f aca="false">BU92+BU93</f>
        <v>-594407.79293769</v>
      </c>
      <c r="BV94" s="12" t="n">
        <f aca="false">BV92+BV93</f>
        <v>-669047.79293769</v>
      </c>
      <c r="BW94" s="12" t="n">
        <f aca="false">BW92+BW93</f>
        <v>-606295.948796444</v>
      </c>
      <c r="BX94" s="12" t="n">
        <f aca="false">BX92+BX93</f>
        <v>-606295.948796444</v>
      </c>
      <c r="BY94" s="12" t="n">
        <f aca="false">BY92+BY93</f>
        <v>-754091.948796444</v>
      </c>
      <c r="BZ94" s="12" t="n">
        <f aca="false">BZ92+BZ93</f>
        <v>-632197.684439516</v>
      </c>
      <c r="CA94" s="12" t="n">
        <f aca="false">CA92+CA93</f>
        <v>-606295.948796444</v>
      </c>
      <c r="CB94" s="12" t="n">
        <f aca="false">CB92+CB93</f>
        <v>-760813.948796444</v>
      </c>
      <c r="CC94" s="12" t="n">
        <f aca="false">CC92+CC93</f>
        <v>-606295.948796444</v>
      </c>
      <c r="CD94" s="12" t="n">
        <f aca="false">CD92+CD93</f>
        <v>-606295.948796444</v>
      </c>
      <c r="CE94" s="12" t="n">
        <f aca="false">CE92+CE93</f>
        <v>-784462.359600988</v>
      </c>
      <c r="CF94" s="12" t="n">
        <f aca="false">CF92+CF93</f>
        <v>-606295.948796444</v>
      </c>
      <c r="CG94" s="12" t="n">
        <f aca="false">CG92+CG93</f>
        <v>-606295.948796444</v>
      </c>
      <c r="CH94" s="12" t="n">
        <f aca="false">CH92+CH93</f>
        <v>-754204.922189964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379085.650118979</v>
      </c>
      <c r="G95" s="16" t="n">
        <f aca="false">G91+G94</f>
        <v>75525.4453189792</v>
      </c>
      <c r="H95" s="16" t="n">
        <f aca="false">H91+H94</f>
        <v>74692.1153189793</v>
      </c>
      <c r="I95" s="16" t="n">
        <f aca="false">I91+I94</f>
        <v>440181.441205741</v>
      </c>
      <c r="J95" s="16" t="n">
        <f aca="false">J91+J94</f>
        <v>469110.342152711</v>
      </c>
      <c r="K95" s="16" t="n">
        <f aca="false">K91+K94</f>
        <v>225871.464152711</v>
      </c>
      <c r="L95" s="16" t="n">
        <f aca="false">L91+L94</f>
        <v>259003.294552711</v>
      </c>
      <c r="M95" s="16" t="n">
        <f aca="false">M91+M94</f>
        <v>259003.294552711</v>
      </c>
      <c r="N95" s="16" t="n">
        <f aca="false">N91+N94</f>
        <v>259003.294552711</v>
      </c>
      <c r="O95" s="16" t="n">
        <f aca="false">O91+O94</f>
        <v>-372467.611601834</v>
      </c>
      <c r="P95" s="16" t="n">
        <f aca="false">P91+P94</f>
        <v>419700.863398166</v>
      </c>
      <c r="Q95" s="16" t="n">
        <f aca="false">Q91+Q94</f>
        <v>419700.863398166</v>
      </c>
      <c r="R95" s="16" t="n">
        <f aca="false">R91+R94</f>
        <v>10897.0699608454</v>
      </c>
      <c r="S95" s="16" t="n">
        <f aca="false">S91+S94</f>
        <v>190643.062360845</v>
      </c>
      <c r="T95" s="16" t="n">
        <f aca="false">T91+T94</f>
        <v>207215.324760845</v>
      </c>
      <c r="U95" s="16" t="n">
        <f aca="false">U91+U94</f>
        <v>48927.5612871609</v>
      </c>
      <c r="V95" s="16" t="n">
        <f aca="false">V91+V94</f>
        <v>300845.902192424</v>
      </c>
      <c r="W95" s="16" t="n">
        <f aca="false">W91+W94</f>
        <v>353373.158192424</v>
      </c>
      <c r="X95" s="16" t="n">
        <f aca="false">X91+X94</f>
        <v>333990.414192424</v>
      </c>
      <c r="Y95" s="16" t="n">
        <f aca="false">Y91+Y94</f>
        <v>350562.676592424</v>
      </c>
      <c r="Z95" s="16" t="n">
        <f aca="false">Z91+Z94</f>
        <v>424509.945392424</v>
      </c>
      <c r="AA95" s="16" t="n">
        <f aca="false">AA91+AA94</f>
        <v>372724.382978424</v>
      </c>
      <c r="AB95" s="16" t="n">
        <f aca="false">AB91+AB94</f>
        <v>307802.800103783</v>
      </c>
      <c r="AC95" s="16" t="n">
        <f aca="false">AC91+AC94</f>
        <v>-156477.446562884</v>
      </c>
      <c r="AD95" s="16" t="n">
        <f aca="false">AD91+AD94</f>
        <v>428760.509437116</v>
      </c>
      <c r="AE95" s="16" t="n">
        <f aca="false">AE91+AE94</f>
        <v>453190.266237116</v>
      </c>
      <c r="AF95" s="16" t="n">
        <f aca="false">AF91+AF94</f>
        <v>453690.810237116</v>
      </c>
      <c r="AG95" s="16" t="n">
        <f aca="false">AG91+AG94</f>
        <v>444691.360637116</v>
      </c>
      <c r="AH95" s="16" t="n">
        <f aca="false">AH91+AH94</f>
        <v>344512.903690147</v>
      </c>
      <c r="AI95" s="16" t="n">
        <f aca="false">AI91+AI94</f>
        <v>339737.316490147</v>
      </c>
      <c r="AJ95" s="16" t="n">
        <f aca="false">AJ91+AJ94</f>
        <v>182754.738162874</v>
      </c>
      <c r="AK95" s="16" t="n">
        <f aca="false">AK91+AK94</f>
        <v>75893.8156365582</v>
      </c>
      <c r="AL95" s="16" t="n">
        <f aca="false">AL91+AL94</f>
        <v>59822.1036365582</v>
      </c>
      <c r="AM95" s="16" t="n">
        <f aca="false">AM91+AM94</f>
        <v>-27470.585757843</v>
      </c>
      <c r="AN95" s="16" t="n">
        <f aca="false">AN91+AN94</f>
        <v>-134331.501884159</v>
      </c>
      <c r="AO95" s="16" t="n">
        <f aca="false">AO91+AO94</f>
        <v>-150403.213884159</v>
      </c>
      <c r="AP95" s="16" t="n">
        <f aca="false">AP91+AP94</f>
        <v>-190882.716284159</v>
      </c>
      <c r="AQ95" s="16" t="n">
        <f aca="false">AQ91+AQ94</f>
        <v>-182546.637884159</v>
      </c>
      <c r="AR95" s="16" t="n">
        <f aca="false">AR91+AR94</f>
        <v>-198618.349884159</v>
      </c>
      <c r="AS95" s="16" t="n">
        <f aca="false">AS91+AS94</f>
        <v>-318379.816562947</v>
      </c>
      <c r="AT95" s="16" t="n">
        <f aca="false">AT91+AT94</f>
        <v>-334952.072562947</v>
      </c>
      <c r="AU95" s="16" t="n">
        <f aca="false">AU91+AU94</f>
        <v>-389881.408562947</v>
      </c>
      <c r="AV95" s="16" t="n">
        <f aca="false">AV91+AV94</f>
        <v>-368096.590962947</v>
      </c>
      <c r="AW95" s="16" t="n">
        <f aca="false">AW91+AW94</f>
        <v>-368597.147762947</v>
      </c>
      <c r="AX95" s="16" t="n">
        <f aca="false">AX91+AX94</f>
        <v>-369097.691762947</v>
      </c>
      <c r="AY95" s="16" t="n">
        <f aca="false">AY91+AY94</f>
        <v>-381024.766440872</v>
      </c>
      <c r="AZ95" s="16" t="n">
        <f aca="false">AZ91+AZ94</f>
        <v>-381525.316840872</v>
      </c>
      <c r="BA95" s="16" t="n">
        <f aca="false">BA91+BA94</f>
        <v>-382025.867240872</v>
      </c>
      <c r="BB95" s="16" t="n">
        <f aca="false">BB91+BB94</f>
        <v>-407422.357320872</v>
      </c>
      <c r="BC95" s="16" t="n">
        <f aca="false">BC91+BC94</f>
        <v>-383026.968040872</v>
      </c>
      <c r="BD95" s="16" t="n">
        <f aca="false">BD91+BD94</f>
        <v>-383527.518440872</v>
      </c>
      <c r="BE95" s="16" t="n">
        <f aca="false">BE91+BE94</f>
        <v>-384028.068840872</v>
      </c>
      <c r="BF95" s="16" t="n">
        <f aca="false">BF91+BF94</f>
        <v>-384528.619240872</v>
      </c>
      <c r="BG95" s="16" t="n">
        <f aca="false">BG91+BG94</f>
        <v>-564406.571934206</v>
      </c>
      <c r="BH95" s="16" t="n">
        <f aca="false">BH91+BH94</f>
        <v>-512975.253374206</v>
      </c>
      <c r="BI95" s="16" t="n">
        <f aca="false">BI91+BI94</f>
        <v>-513475.803774206</v>
      </c>
      <c r="BJ95" s="16" t="n">
        <f aca="false">BJ91+BJ94</f>
        <v>-446201.064574206</v>
      </c>
      <c r="BK95" s="16" t="n">
        <f aca="false">BK91+BK94</f>
        <v>-594407.79293769</v>
      </c>
      <c r="BL95" s="16" t="n">
        <f aca="false">BL91+BL94</f>
        <v>-594407.79293769</v>
      </c>
      <c r="BM95" s="16" t="n">
        <f aca="false">BM91+BM94</f>
        <v>-594407.79293769</v>
      </c>
      <c r="BN95" s="16" t="n">
        <f aca="false">BN91+BN94</f>
        <v>-619801.65141129</v>
      </c>
      <c r="BO95" s="16" t="n">
        <f aca="false">BO91+BO94</f>
        <v>-594407.79293769</v>
      </c>
      <c r="BP95" s="16" t="n">
        <f aca="false">BP91+BP94</f>
        <v>-542894.27293769</v>
      </c>
      <c r="BQ95" s="16" t="n">
        <f aca="false">BQ91+BQ94</f>
        <v>-594407.79293769</v>
      </c>
      <c r="BR95" s="16" t="n">
        <f aca="false">BR91+BR94</f>
        <v>-594407.79293769</v>
      </c>
      <c r="BS95" s="16" t="n">
        <f aca="false">BS91+BS94</f>
        <v>-549831.48980489</v>
      </c>
      <c r="BT95" s="16" t="n">
        <f aca="false">BT91+BT94</f>
        <v>-594407.79293769</v>
      </c>
      <c r="BU95" s="16" t="n">
        <f aca="false">BU91+BU94</f>
        <v>-594407.79293769</v>
      </c>
      <c r="BV95" s="16" t="n">
        <f aca="false">BV91+BV94</f>
        <v>-526645.79293769</v>
      </c>
      <c r="BW95" s="16" t="n">
        <f aca="false">BW91+BW94</f>
        <v>-606295.948796444</v>
      </c>
      <c r="BX95" s="16" t="n">
        <f aca="false">BX91+BX94</f>
        <v>-606295.948796444</v>
      </c>
      <c r="BY95" s="16" t="n">
        <f aca="false">BY91+BY94</f>
        <v>-538533.948796444</v>
      </c>
      <c r="BZ95" s="16" t="n">
        <f aca="false">BZ91+BZ94</f>
        <v>-632197.684439516</v>
      </c>
      <c r="CA95" s="16" t="n">
        <f aca="false">CA91+CA94</f>
        <v>-606295.948796444</v>
      </c>
      <c r="CB95" s="16" t="n">
        <f aca="false">CB91+CB94</f>
        <v>-529796.948796444</v>
      </c>
      <c r="CC95" s="16" t="n">
        <f aca="false">CC91+CC94</f>
        <v>-606295.948796444</v>
      </c>
      <c r="CD95" s="16" t="n">
        <f aca="false">CD91+CD94</f>
        <v>-606295.948796444</v>
      </c>
      <c r="CE95" s="16" t="n">
        <f aca="false">CE91+CE94</f>
        <v>-553446.359600988</v>
      </c>
      <c r="CF95" s="16" t="n">
        <f aca="false">CF91+CF94</f>
        <v>-606295.948796444</v>
      </c>
      <c r="CG95" s="16" t="n">
        <f aca="false">CG91+CG94</f>
        <v>-606295.948796444</v>
      </c>
      <c r="CH95" s="16" t="n">
        <f aca="false">CH91+CH94</f>
        <v>-523188.922189964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250000</v>
      </c>
      <c r="AM105" s="10" t="n">
        <f aca="false">AL107</f>
        <v>250000</v>
      </c>
      <c r="AN105" s="10" t="n">
        <f aca="false">AM107</f>
        <v>250000</v>
      </c>
      <c r="AO105" s="10" t="n">
        <f aca="false">AN107</f>
        <v>250000</v>
      </c>
      <c r="AP105" s="10" t="n">
        <f aca="false">AO107</f>
        <v>250000</v>
      </c>
      <c r="AQ105" s="10" t="n">
        <f aca="false">AP107</f>
        <v>250000</v>
      </c>
      <c r="AR105" s="10" t="n">
        <f aca="false">AQ107</f>
        <v>250000</v>
      </c>
      <c r="AS105" s="10" t="n">
        <f aca="false">AR107</f>
        <v>250000</v>
      </c>
      <c r="AT105" s="10" t="n">
        <f aca="false">AS107</f>
        <v>250000</v>
      </c>
      <c r="AU105" s="10" t="n">
        <f aca="false">AT107</f>
        <v>250000</v>
      </c>
      <c r="AV105" s="10" t="n">
        <f aca="false">AU107</f>
        <v>250000</v>
      </c>
      <c r="AW105" s="10" t="n">
        <f aca="false">AV107</f>
        <v>250000</v>
      </c>
      <c r="AX105" s="10" t="n">
        <f aca="false">AW107</f>
        <v>250000</v>
      </c>
      <c r="AY105" s="10" t="n">
        <f aca="false">AX107</f>
        <v>250000</v>
      </c>
      <c r="AZ105" s="10" t="n">
        <f aca="false">AY107</f>
        <v>250000</v>
      </c>
      <c r="BA105" s="10" t="n">
        <f aca="false">AZ107</f>
        <v>250000</v>
      </c>
      <c r="BB105" s="10" t="n">
        <f aca="false">BA107</f>
        <v>250000</v>
      </c>
      <c r="BC105" s="10" t="n">
        <f aca="false">BB107</f>
        <v>250000</v>
      </c>
      <c r="BD105" s="10" t="n">
        <f aca="false">BC107</f>
        <v>250000</v>
      </c>
      <c r="BE105" s="10" t="n">
        <f aca="false">BD107</f>
        <v>250000</v>
      </c>
      <c r="BF105" s="10" t="n">
        <f aca="false">BE107</f>
        <v>250000</v>
      </c>
      <c r="BG105" s="10" t="n">
        <f aca="false">BF107</f>
        <v>250000</v>
      </c>
      <c r="BH105" s="10" t="n">
        <f aca="false">BG107</f>
        <v>250000</v>
      </c>
      <c r="BI105" s="10" t="n">
        <f aca="false">BH107</f>
        <v>250000</v>
      </c>
      <c r="BJ105" s="10" t="n">
        <f aca="false">BI107</f>
        <v>250000</v>
      </c>
      <c r="BK105" s="10" t="n">
        <f aca="false">BJ107</f>
        <v>250000</v>
      </c>
      <c r="BL105" s="10" t="n">
        <f aca="false">BK107</f>
        <v>250000</v>
      </c>
      <c r="BM105" s="10" t="n">
        <f aca="false">BL107</f>
        <v>250000</v>
      </c>
      <c r="BN105" s="10" t="n">
        <f aca="false">BM107</f>
        <v>250000</v>
      </c>
      <c r="BO105" s="10" t="n">
        <f aca="false">BN107</f>
        <v>250000</v>
      </c>
      <c r="BP105" s="10" t="n">
        <f aca="false">BO107</f>
        <v>250000</v>
      </c>
      <c r="BQ105" s="10" t="n">
        <f aca="false">BP107</f>
        <v>250000</v>
      </c>
      <c r="BR105" s="10" t="n">
        <f aca="false">BQ107</f>
        <v>250000</v>
      </c>
      <c r="BS105" s="10" t="n">
        <f aca="false">BR107</f>
        <v>250000</v>
      </c>
      <c r="BT105" s="10" t="n">
        <f aca="false">BS107</f>
        <v>250000</v>
      </c>
      <c r="BU105" s="10" t="n">
        <f aca="false">BT107</f>
        <v>250000</v>
      </c>
      <c r="BV105" s="10" t="n">
        <f aca="false">BU107</f>
        <v>250000</v>
      </c>
      <c r="BW105" s="10" t="n">
        <f aca="false">BV107</f>
        <v>250000</v>
      </c>
      <c r="BX105" s="10" t="n">
        <f aca="false">BW107</f>
        <v>250000</v>
      </c>
      <c r="BY105" s="10" t="n">
        <f aca="false">BX107</f>
        <v>250000</v>
      </c>
      <c r="BZ105" s="10" t="n">
        <f aca="false">BY107</f>
        <v>250000</v>
      </c>
      <c r="CA105" s="10" t="n">
        <f aca="false">BZ107</f>
        <v>250000</v>
      </c>
      <c r="CB105" s="10" t="n">
        <f aca="false">CA107</f>
        <v>250000</v>
      </c>
      <c r="CC105" s="10" t="n">
        <f aca="false">CB107</f>
        <v>250000</v>
      </c>
      <c r="CD105" s="10" t="n">
        <f aca="false">CC107</f>
        <v>250000</v>
      </c>
      <c r="CE105" s="10" t="n">
        <f aca="false">CD107</f>
        <v>250000</v>
      </c>
      <c r="CF105" s="10" t="n">
        <f aca="false">CE107</f>
        <v>250000</v>
      </c>
      <c r="CG105" s="10" t="n">
        <f aca="false">CF107</f>
        <v>250000</v>
      </c>
      <c r="CH105" s="10" t="n">
        <f aca="false">CG107</f>
        <v>250000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-250000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250000</v>
      </c>
      <c r="AL107" s="34" t="n">
        <f aca="false">MAX(0,AL105+AL106)</f>
        <v>250000</v>
      </c>
      <c r="AM107" s="34" t="n">
        <f aca="false">MAX(0,AM105+AM106)</f>
        <v>250000</v>
      </c>
      <c r="AN107" s="34" t="n">
        <f aca="false">MAX(0,AN105+AN106)</f>
        <v>250000</v>
      </c>
      <c r="AO107" s="34" t="n">
        <f aca="false">MAX(0,AO105+AO106)</f>
        <v>250000</v>
      </c>
      <c r="AP107" s="34" t="n">
        <f aca="false">MAX(0,AP105+AP106)</f>
        <v>250000</v>
      </c>
      <c r="AQ107" s="34" t="n">
        <f aca="false">MAX(0,AQ105+AQ106)</f>
        <v>250000</v>
      </c>
      <c r="AR107" s="34" t="n">
        <f aca="false">MAX(0,AR105+AR106)</f>
        <v>250000</v>
      </c>
      <c r="AS107" s="34" t="n">
        <f aca="false">MAX(0,AS105+AS106)</f>
        <v>250000</v>
      </c>
      <c r="AT107" s="34" t="n">
        <f aca="false">MAX(0,AT105+AT106)</f>
        <v>250000</v>
      </c>
      <c r="AU107" s="34" t="n">
        <f aca="false">MAX(0,AU105+AU106)</f>
        <v>250000</v>
      </c>
      <c r="AV107" s="34" t="n">
        <f aca="false">MAX(0,AV105+AV106)</f>
        <v>250000</v>
      </c>
      <c r="AW107" s="34" t="n">
        <f aca="false">MAX(0,AW105+AW106)</f>
        <v>250000</v>
      </c>
      <c r="AX107" s="34" t="n">
        <f aca="false">MAX(0,AX105+AX106)</f>
        <v>250000</v>
      </c>
      <c r="AY107" s="34" t="n">
        <f aca="false">MAX(0,AY105+AY106)</f>
        <v>250000</v>
      </c>
      <c r="AZ107" s="34" t="n">
        <f aca="false">MAX(0,AZ105+AZ106)</f>
        <v>250000</v>
      </c>
      <c r="BA107" s="34" t="n">
        <f aca="false">MAX(0,BA105+BA106)</f>
        <v>250000</v>
      </c>
      <c r="BB107" s="34" t="n">
        <f aca="false">MAX(0,BB105+BB106)</f>
        <v>250000</v>
      </c>
      <c r="BC107" s="34" t="n">
        <f aca="false">MAX(0,BC105+BC106)</f>
        <v>250000</v>
      </c>
      <c r="BD107" s="34" t="n">
        <f aca="false">MAX(0,BD105+BD106)</f>
        <v>250000</v>
      </c>
      <c r="BE107" s="34" t="n">
        <f aca="false">MAX(0,BE105+BE106)</f>
        <v>250000</v>
      </c>
      <c r="BF107" s="34" t="n">
        <f aca="false">MAX(0,BF105+BF106)</f>
        <v>250000</v>
      </c>
      <c r="BG107" s="34" t="n">
        <f aca="false">MAX(0,BG105+BG106)</f>
        <v>250000</v>
      </c>
      <c r="BH107" s="34" t="n">
        <f aca="false">MAX(0,BH105+BH106)</f>
        <v>250000</v>
      </c>
      <c r="BI107" s="34" t="n">
        <f aca="false">MAX(0,BI105+BI106)</f>
        <v>250000</v>
      </c>
      <c r="BJ107" s="34" t="n">
        <f aca="false">MAX(0,BJ105+BJ106)</f>
        <v>250000</v>
      </c>
      <c r="BK107" s="34" t="n">
        <f aca="false">MAX(0,BK105+BK106)</f>
        <v>250000</v>
      </c>
      <c r="BL107" s="34" t="n">
        <f aca="false">MAX(0,BL105+BL106)</f>
        <v>250000</v>
      </c>
      <c r="BM107" s="34" t="n">
        <f aca="false">MAX(0,BM105+BM106)</f>
        <v>250000</v>
      </c>
      <c r="BN107" s="34" t="n">
        <f aca="false">MAX(0,BN105+BN106)</f>
        <v>250000</v>
      </c>
      <c r="BO107" s="34" t="n">
        <f aca="false">MAX(0,BO105+BO106)</f>
        <v>250000</v>
      </c>
      <c r="BP107" s="34" t="n">
        <f aca="false">MAX(0,BP105+BP106)</f>
        <v>250000</v>
      </c>
      <c r="BQ107" s="34" t="n">
        <f aca="false">MAX(0,BQ105+BQ106)</f>
        <v>250000</v>
      </c>
      <c r="BR107" s="34" t="n">
        <f aca="false">MAX(0,BR105+BR106)</f>
        <v>250000</v>
      </c>
      <c r="BS107" s="34" t="n">
        <f aca="false">MAX(0,BS105+BS106)</f>
        <v>250000</v>
      </c>
      <c r="BT107" s="34" t="n">
        <f aca="false">MAX(0,BT105+BT106)</f>
        <v>250000</v>
      </c>
      <c r="BU107" s="34" t="n">
        <f aca="false">MAX(0,BU105+BU106)</f>
        <v>250000</v>
      </c>
      <c r="BV107" s="34" t="n">
        <f aca="false">MAX(0,BV105+BV106)</f>
        <v>250000</v>
      </c>
      <c r="BW107" s="34" t="n">
        <f aca="false">MAX(0,BW105+BW106)</f>
        <v>250000</v>
      </c>
      <c r="BX107" s="34" t="n">
        <f aca="false">MAX(0,BX105+BX106)</f>
        <v>250000</v>
      </c>
      <c r="BY107" s="34" t="n">
        <f aca="false">MAX(0,BY105+BY106)</f>
        <v>250000</v>
      </c>
      <c r="BZ107" s="34" t="n">
        <f aca="false">MAX(0,BZ105+BZ106)</f>
        <v>250000</v>
      </c>
      <c r="CA107" s="34" t="n">
        <f aca="false">MAX(0,CA105+CA106)</f>
        <v>250000</v>
      </c>
      <c r="CB107" s="34" t="n">
        <f aca="false">MAX(0,CB105+CB106)</f>
        <v>250000</v>
      </c>
      <c r="CC107" s="34" t="n">
        <f aca="false">MAX(0,CC105+CC106)</f>
        <v>250000</v>
      </c>
      <c r="CD107" s="34" t="n">
        <f aca="false">MAX(0,CD105+CD106)</f>
        <v>250000</v>
      </c>
      <c r="CE107" s="34" t="n">
        <f aca="false">MAX(0,CE105+CE106)</f>
        <v>250000</v>
      </c>
      <c r="CF107" s="34" t="n">
        <f aca="false">MAX(0,CF105+CF106)</f>
        <v>250000</v>
      </c>
      <c r="CG107" s="34" t="n">
        <f aca="false">MAX(0,CG105+CG106)</f>
        <v>250000</v>
      </c>
      <c r="CH107" s="34" t="n">
        <f aca="false">MAX(0,CH105+CH106)</f>
        <v>250000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2219781.12122743</v>
      </c>
      <c r="H145" s="10" t="n">
        <f aca="false">G147</f>
        <v>2371256.56987974</v>
      </c>
      <c r="I145" s="10" t="n">
        <f aca="false">H147</f>
        <v>2522732.01853206</v>
      </c>
      <c r="J145" s="10" t="n">
        <f aca="false">I147</f>
        <v>3039696.79307113</v>
      </c>
      <c r="K145" s="10" t="n">
        <f aca="false">J147</f>
        <v>3594965.46855718</v>
      </c>
      <c r="L145" s="10" t="n">
        <f aca="false">K147</f>
        <v>3927995.26604322</v>
      </c>
      <c r="M145" s="10" t="n">
        <f aca="false">L147</f>
        <v>4261025.06352927</v>
      </c>
      <c r="N145" s="10" t="n">
        <f aca="false">M147</f>
        <v>4594054.86101531</v>
      </c>
      <c r="O145" s="10" t="n">
        <f aca="false">N147</f>
        <v>4927084.65850136</v>
      </c>
      <c r="P145" s="10" t="n">
        <f aca="false">O147</f>
        <v>4631034.84149952</v>
      </c>
      <c r="Q145" s="10" t="n">
        <f aca="false">P147</f>
        <v>5127153.49949769</v>
      </c>
      <c r="R145" s="10" t="n">
        <f aca="false">Q147</f>
        <v>5623272.15749585</v>
      </c>
      <c r="S145" s="10" t="n">
        <f aca="false">R147</f>
        <v>5753881.4096567</v>
      </c>
      <c r="T145" s="10" t="n">
        <f aca="false">S147</f>
        <v>6024204.39181754</v>
      </c>
      <c r="U145" s="10" t="n">
        <f aca="false">T147</f>
        <v>6294527.37397839</v>
      </c>
      <c r="V145" s="10" t="n">
        <f aca="false">U147</f>
        <v>6389990.33666555</v>
      </c>
      <c r="W145" s="10" t="n">
        <f aca="false">V147</f>
        <v>6720799.37145797</v>
      </c>
      <c r="X145" s="10" t="n">
        <f aca="false">W147</f>
        <v>7051608.4062504</v>
      </c>
      <c r="Y145" s="10" t="n">
        <f aca="false">X147</f>
        <v>7382417.44104282</v>
      </c>
      <c r="Z145" s="10" t="n">
        <f aca="false">Y147</f>
        <v>7713226.47583525</v>
      </c>
      <c r="AA145" s="10" t="n">
        <f aca="false">Z147</f>
        <v>8044035.51062767</v>
      </c>
      <c r="AB145" s="10" t="n">
        <f aca="false">AA147</f>
        <v>8366300.84450609</v>
      </c>
      <c r="AC145" s="10" t="n">
        <f aca="false">AB147</f>
        <v>8607072.32670988</v>
      </c>
      <c r="AD145" s="10" t="n">
        <f aca="false">AC147</f>
        <v>8280784.08224699</v>
      </c>
      <c r="AE145" s="10" t="n">
        <f aca="false">AD147</f>
        <v>8678201.89778411</v>
      </c>
      <c r="AF145" s="10" t="n">
        <f aca="false">AE147</f>
        <v>9075619.71332122</v>
      </c>
      <c r="AG145" s="10" t="n">
        <f aca="false">AF147</f>
        <v>9473037.52885834</v>
      </c>
      <c r="AH145" s="10" t="n">
        <f aca="false">AG147</f>
        <v>9870455.34439546</v>
      </c>
      <c r="AI145" s="10" t="n">
        <f aca="false">AH147</f>
        <v>10167194.1589856</v>
      </c>
      <c r="AJ145" s="10" t="n">
        <f aca="false">AI147</f>
        <v>10463932.9735757</v>
      </c>
      <c r="AK145" s="10" t="n">
        <f aca="false">AJ147</f>
        <v>10597912.5154386</v>
      </c>
      <c r="AL145" s="10" t="n">
        <f aca="false">AK147</f>
        <v>10641102.8467752</v>
      </c>
      <c r="AM145" s="10" t="n">
        <f aca="false">AL147</f>
        <v>10684293.1781117</v>
      </c>
      <c r="AN145" s="10" t="n">
        <f aca="false">AM147</f>
        <v>10658750.4383039</v>
      </c>
      <c r="AO145" s="10" t="n">
        <f aca="false">AN147</f>
        <v>10542418.4879697</v>
      </c>
      <c r="AP145" s="10" t="n">
        <f aca="false">AO147</f>
        <v>10426086.5376356</v>
      </c>
      <c r="AQ145" s="10" t="n">
        <f aca="false">AP147</f>
        <v>10309754.5873014</v>
      </c>
      <c r="AR145" s="10" t="n">
        <f aca="false">AQ147</f>
        <v>10193422.6369673</v>
      </c>
      <c r="AS145" s="10" t="n">
        <f aca="false">AR147</f>
        <v>10077090.6866331</v>
      </c>
      <c r="AT145" s="10" t="n">
        <f aca="false">AS147</f>
        <v>9789293.69842015</v>
      </c>
      <c r="AU145" s="10" t="n">
        <f aca="false">AT147</f>
        <v>9501496.7102072</v>
      </c>
      <c r="AV145" s="10" t="n">
        <f aca="false">AU147</f>
        <v>9213699.72199426</v>
      </c>
      <c r="AW145" s="10" t="n">
        <f aca="false">AV147</f>
        <v>8925902.73378131</v>
      </c>
      <c r="AX145" s="10" t="n">
        <f aca="false">AW147</f>
        <v>8638105.74556836</v>
      </c>
      <c r="AY145" s="10" t="n">
        <f aca="false">AX147</f>
        <v>8350308.75735542</v>
      </c>
      <c r="AZ145" s="10" t="n">
        <f aca="false">AY147</f>
        <v>8053622.90271154</v>
      </c>
      <c r="BA145" s="10" t="n">
        <f aca="false">AZ147</f>
        <v>7756937.04806767</v>
      </c>
      <c r="BB145" s="10" t="n">
        <f aca="false">BA147</f>
        <v>7460251.1934238</v>
      </c>
      <c r="BC145" s="10" t="n">
        <f aca="false">BB147</f>
        <v>7163565.33877993</v>
      </c>
      <c r="BD145" s="10" t="n">
        <f aca="false">BC147</f>
        <v>6866879.48413606</v>
      </c>
      <c r="BE145" s="10" t="n">
        <f aca="false">BD147</f>
        <v>6570193.62949218</v>
      </c>
      <c r="BF145" s="10" t="n">
        <f aca="false">BE147</f>
        <v>6273507.77484831</v>
      </c>
      <c r="BG145" s="10" t="n">
        <f aca="false">BF147</f>
        <v>5976821.92020444</v>
      </c>
      <c r="BH145" s="10" t="n">
        <f aca="false">BG147</f>
        <v>5523489.73222723</v>
      </c>
      <c r="BI145" s="10" t="n">
        <f aca="false">BH147</f>
        <v>5070157.54425003</v>
      </c>
      <c r="BJ145" s="10" t="n">
        <f aca="false">BI147</f>
        <v>4616825.35627282</v>
      </c>
      <c r="BK145" s="10" t="n">
        <f aca="false">BJ147</f>
        <v>4163493.16829562</v>
      </c>
      <c r="BL145" s="10" t="n">
        <f aca="false">BK147</f>
        <v>3701094.33655887</v>
      </c>
      <c r="BM145" s="10" t="n">
        <f aca="false">BL147</f>
        <v>3238695.50482212</v>
      </c>
      <c r="BN145" s="10" t="n">
        <f aca="false">BM147</f>
        <v>2776296.67308537</v>
      </c>
      <c r="BO145" s="10" t="n">
        <f aca="false">BN147</f>
        <v>2313897.84134862</v>
      </c>
      <c r="BP145" s="10" t="n">
        <f aca="false">BO147</f>
        <v>1851499.00961187</v>
      </c>
      <c r="BQ145" s="10" t="n">
        <f aca="false">BP147</f>
        <v>1389100.17787512</v>
      </c>
      <c r="BR145" s="10" t="n">
        <f aca="false">BQ147</f>
        <v>926701.346138368</v>
      </c>
      <c r="BS145" s="10" t="n">
        <f aca="false">BR147</f>
        <v>464302.514401618</v>
      </c>
      <c r="BT145" s="10" t="n">
        <f aca="false">BS147</f>
        <v>1903.68266486865</v>
      </c>
      <c r="BU145" s="10" t="n">
        <f aca="false">BT147</f>
        <v>-460495.149071881</v>
      </c>
      <c r="BV145" s="10" t="n">
        <f aca="false">BU147</f>
        <v>-922893.980808631</v>
      </c>
      <c r="BW145" s="10" t="n">
        <f aca="false">BV147</f>
        <v>-1385292.81254538</v>
      </c>
      <c r="BX145" s="10" t="n">
        <f aca="false">BW147</f>
        <v>-1856939.62091687</v>
      </c>
      <c r="BY145" s="10" t="n">
        <f aca="false">BX147</f>
        <v>-2328586.42928835</v>
      </c>
      <c r="BZ145" s="10" t="n">
        <f aca="false">BY147</f>
        <v>-2800233.23765984</v>
      </c>
      <c r="CA145" s="10" t="n">
        <f aca="false">BZ147</f>
        <v>-3271880.04603132</v>
      </c>
      <c r="CB145" s="10" t="n">
        <f aca="false">CA147</f>
        <v>-3743526.8544028</v>
      </c>
      <c r="CC145" s="10" t="n">
        <f aca="false">CB147</f>
        <v>-4215173.66277429</v>
      </c>
      <c r="CD145" s="10" t="n">
        <f aca="false">CC147</f>
        <v>-4686820.47114577</v>
      </c>
      <c r="CE145" s="10" t="n">
        <f aca="false">CD147</f>
        <v>-5158467.27951726</v>
      </c>
      <c r="CF145" s="10" t="n">
        <f aca="false">CE147</f>
        <v>-5630114.08788874</v>
      </c>
      <c r="CG145" s="10" t="n">
        <f aca="false">CF147</f>
        <v>-6101760.89626023</v>
      </c>
      <c r="CH145" s="10" t="n">
        <f aca="false">CG147</f>
        <v>-6573407.70463171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478035.653452313</v>
      </c>
      <c r="G146" s="10" t="n">
        <f aca="false">G40</f>
        <v>151475.448652313</v>
      </c>
      <c r="H146" s="10" t="n">
        <f aca="false">H40</f>
        <v>151475.448652313</v>
      </c>
      <c r="I146" s="10" t="n">
        <f aca="false">I40</f>
        <v>516964.774539075</v>
      </c>
      <c r="J146" s="10" t="n">
        <f aca="false">J40</f>
        <v>555268.675486045</v>
      </c>
      <c r="K146" s="10" t="n">
        <f aca="false">K40</f>
        <v>333029.797486045</v>
      </c>
      <c r="L146" s="10" t="n">
        <f aca="false">L40</f>
        <v>333029.797486045</v>
      </c>
      <c r="M146" s="10" t="n">
        <f aca="false">M40</f>
        <v>333029.797486045</v>
      </c>
      <c r="N146" s="10" t="n">
        <f aca="false">N40</f>
        <v>333029.797486045</v>
      </c>
      <c r="O146" s="10" t="n">
        <f aca="false">O40</f>
        <v>-296049.817001834</v>
      </c>
      <c r="P146" s="10" t="n">
        <f aca="false">P40</f>
        <v>496118.657998166</v>
      </c>
      <c r="Q146" s="10" t="n">
        <f aca="false">Q40</f>
        <v>496118.657998166</v>
      </c>
      <c r="R146" s="10" t="n">
        <f aca="false">R40</f>
        <v>130609.252160845</v>
      </c>
      <c r="S146" s="10" t="n">
        <f aca="false">S40</f>
        <v>270322.982160845</v>
      </c>
      <c r="T146" s="10" t="n">
        <f aca="false">T40</f>
        <v>270322.982160845</v>
      </c>
      <c r="U146" s="10" t="n">
        <f aca="false">U40</f>
        <v>95462.9626871608</v>
      </c>
      <c r="V146" s="10" t="n">
        <f aca="false">V40</f>
        <v>330809.034792424</v>
      </c>
      <c r="W146" s="10" t="n">
        <f aca="false">W40</f>
        <v>330809.034792424</v>
      </c>
      <c r="X146" s="10" t="n">
        <f aca="false">X40</f>
        <v>330809.034792424</v>
      </c>
      <c r="Y146" s="10" t="n">
        <f aca="false">Y40</f>
        <v>330809.034792424</v>
      </c>
      <c r="Z146" s="10" t="n">
        <f aca="false">Z40</f>
        <v>330809.034792424</v>
      </c>
      <c r="AA146" s="10" t="n">
        <f aca="false">AA40</f>
        <v>322265.333878424</v>
      </c>
      <c r="AB146" s="10" t="n">
        <f aca="false">AB40</f>
        <v>240771.482203783</v>
      </c>
      <c r="AC146" s="10" t="n">
        <f aca="false">AC40</f>
        <v>-326288.244462884</v>
      </c>
      <c r="AD146" s="10" t="n">
        <f aca="false">AD40</f>
        <v>397417.815537116</v>
      </c>
      <c r="AE146" s="10" t="n">
        <f aca="false">AE40</f>
        <v>397417.815537116</v>
      </c>
      <c r="AF146" s="10" t="n">
        <f aca="false">AF40</f>
        <v>397417.815537116</v>
      </c>
      <c r="AG146" s="10" t="n">
        <f aca="false">AG40</f>
        <v>397417.815537116</v>
      </c>
      <c r="AH146" s="10" t="n">
        <f aca="false">AH40</f>
        <v>296738.814590147</v>
      </c>
      <c r="AI146" s="10" t="n">
        <f aca="false">AI40</f>
        <v>296738.814590147</v>
      </c>
      <c r="AJ146" s="10" t="n">
        <f aca="false">AJ40</f>
        <v>133979.541862874</v>
      </c>
      <c r="AK146" s="10" t="n">
        <f aca="false">AK40</f>
        <v>43190.3313365583</v>
      </c>
      <c r="AL146" s="10" t="n">
        <f aca="false">AL40</f>
        <v>43190.3313365583</v>
      </c>
      <c r="AM146" s="10" t="n">
        <f aca="false">AM40</f>
        <v>-25542.7398078431</v>
      </c>
      <c r="AN146" s="10" t="n">
        <f aca="false">AN40</f>
        <v>-116331.950334159</v>
      </c>
      <c r="AO146" s="10" t="n">
        <f aca="false">AO40</f>
        <v>-116331.950334159</v>
      </c>
      <c r="AP146" s="10" t="n">
        <f aca="false">AP40</f>
        <v>-116331.950334159</v>
      </c>
      <c r="AQ146" s="10" t="n">
        <f aca="false">AQ40</f>
        <v>-116331.950334159</v>
      </c>
      <c r="AR146" s="10" t="n">
        <f aca="false">AR40</f>
        <v>-116331.950334159</v>
      </c>
      <c r="AS146" s="10" t="n">
        <f aca="false">AS40</f>
        <v>-287796.988212947</v>
      </c>
      <c r="AT146" s="10" t="n">
        <f aca="false">AT40</f>
        <v>-287796.988212947</v>
      </c>
      <c r="AU146" s="10" t="n">
        <f aca="false">AU40</f>
        <v>-287796.988212947</v>
      </c>
      <c r="AV146" s="10" t="n">
        <f aca="false">AV40</f>
        <v>-287796.988212947</v>
      </c>
      <c r="AW146" s="10" t="n">
        <f aca="false">AW40</f>
        <v>-287796.988212947</v>
      </c>
      <c r="AX146" s="10" t="n">
        <f aca="false">AX40</f>
        <v>-287796.988212947</v>
      </c>
      <c r="AY146" s="10" t="n">
        <f aca="false">AY40</f>
        <v>-296685.854643872</v>
      </c>
      <c r="AZ146" s="10" t="n">
        <f aca="false">AZ40</f>
        <v>-296685.854643872</v>
      </c>
      <c r="BA146" s="10" t="n">
        <f aca="false">BA40</f>
        <v>-296685.854643872</v>
      </c>
      <c r="BB146" s="10" t="n">
        <f aca="false">BB40</f>
        <v>-296685.854643872</v>
      </c>
      <c r="BC146" s="10" t="n">
        <f aca="false">BC40</f>
        <v>-296685.854643872</v>
      </c>
      <c r="BD146" s="10" t="n">
        <f aca="false">BD40</f>
        <v>-296685.854643872</v>
      </c>
      <c r="BE146" s="10" t="n">
        <f aca="false">BE40</f>
        <v>-296685.854643872</v>
      </c>
      <c r="BF146" s="10" t="n">
        <f aca="false">BF40</f>
        <v>-296685.854643872</v>
      </c>
      <c r="BG146" s="10" t="n">
        <f aca="false">BG40</f>
        <v>-453332.187977206</v>
      </c>
      <c r="BH146" s="10" t="n">
        <f aca="false">BH40</f>
        <v>-453332.187977206</v>
      </c>
      <c r="BI146" s="10" t="n">
        <f aca="false">BI40</f>
        <v>-453332.187977206</v>
      </c>
      <c r="BJ146" s="10" t="n">
        <f aca="false">BJ40</f>
        <v>-453332.187977206</v>
      </c>
      <c r="BK146" s="10" t="n">
        <f aca="false">BK40</f>
        <v>-462398.83173675</v>
      </c>
      <c r="BL146" s="10" t="n">
        <f aca="false">BL40</f>
        <v>-462398.83173675</v>
      </c>
      <c r="BM146" s="10" t="n">
        <f aca="false">BM40</f>
        <v>-462398.83173675</v>
      </c>
      <c r="BN146" s="10" t="n">
        <f aca="false">BN40</f>
        <v>-462398.83173675</v>
      </c>
      <c r="BO146" s="10" t="n">
        <f aca="false">BO40</f>
        <v>-462398.83173675</v>
      </c>
      <c r="BP146" s="10" t="n">
        <f aca="false">BP40</f>
        <v>-462398.83173675</v>
      </c>
      <c r="BQ146" s="10" t="n">
        <f aca="false">BQ40</f>
        <v>-462398.83173675</v>
      </c>
      <c r="BR146" s="10" t="n">
        <f aca="false">BR40</f>
        <v>-462398.83173675</v>
      </c>
      <c r="BS146" s="10" t="n">
        <f aca="false">BS40</f>
        <v>-462398.83173675</v>
      </c>
      <c r="BT146" s="10" t="n">
        <f aca="false">BT40</f>
        <v>-462398.83173675</v>
      </c>
      <c r="BU146" s="10" t="n">
        <f aca="false">BU40</f>
        <v>-462398.83173675</v>
      </c>
      <c r="BV146" s="10" t="n">
        <f aca="false">BV40</f>
        <v>-462398.83173675</v>
      </c>
      <c r="BW146" s="10" t="n">
        <f aca="false">BW40</f>
        <v>-471646.808371485</v>
      </c>
      <c r="BX146" s="10" t="n">
        <f aca="false">BX40</f>
        <v>-471646.808371485</v>
      </c>
      <c r="BY146" s="10" t="n">
        <f aca="false">BY40</f>
        <v>-471646.808371485</v>
      </c>
      <c r="BZ146" s="10" t="n">
        <f aca="false">BZ40</f>
        <v>-471646.808371485</v>
      </c>
      <c r="CA146" s="10" t="n">
        <f aca="false">CA40</f>
        <v>-471646.808371485</v>
      </c>
      <c r="CB146" s="10" t="n">
        <f aca="false">CB40</f>
        <v>-471646.808371485</v>
      </c>
      <c r="CC146" s="10" t="n">
        <f aca="false">CC40</f>
        <v>-471646.808371485</v>
      </c>
      <c r="CD146" s="10" t="n">
        <f aca="false">CD40</f>
        <v>-471646.808371485</v>
      </c>
      <c r="CE146" s="10" t="n">
        <f aca="false">CE40</f>
        <v>-471646.808371485</v>
      </c>
      <c r="CF146" s="10" t="n">
        <f aca="false">CF40</f>
        <v>-471646.808371485</v>
      </c>
      <c r="CG146" s="10" t="n">
        <f aca="false">CG40</f>
        <v>-471646.808371485</v>
      </c>
      <c r="CH146" s="10" t="n">
        <f aca="false">CH40</f>
        <v>-471646.808371485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2219781.12122743</v>
      </c>
      <c r="G147" s="61" t="n">
        <f aca="false">G145+G146</f>
        <v>2371256.56987974</v>
      </c>
      <c r="H147" s="61" t="n">
        <f aca="false">H145+H146</f>
        <v>2522732.01853206</v>
      </c>
      <c r="I147" s="61" t="n">
        <f aca="false">I145+I146</f>
        <v>3039696.79307113</v>
      </c>
      <c r="J147" s="61" t="n">
        <f aca="false">J145+J146</f>
        <v>3594965.46855718</v>
      </c>
      <c r="K147" s="61" t="n">
        <f aca="false">K145+K146</f>
        <v>3927995.26604322</v>
      </c>
      <c r="L147" s="61" t="n">
        <f aca="false">L145+L146</f>
        <v>4261025.06352927</v>
      </c>
      <c r="M147" s="61" t="n">
        <f aca="false">M145+M146</f>
        <v>4594054.86101531</v>
      </c>
      <c r="N147" s="61" t="n">
        <f aca="false">N145+N146</f>
        <v>4927084.65850136</v>
      </c>
      <c r="O147" s="61" t="n">
        <f aca="false">O145+O146</f>
        <v>4631034.84149952</v>
      </c>
      <c r="P147" s="61" t="n">
        <f aca="false">P145+P146</f>
        <v>5127153.49949769</v>
      </c>
      <c r="Q147" s="61" t="n">
        <f aca="false">Q145+Q146</f>
        <v>5623272.15749585</v>
      </c>
      <c r="R147" s="61" t="n">
        <f aca="false">R145+R146</f>
        <v>5753881.4096567</v>
      </c>
      <c r="S147" s="61" t="n">
        <f aca="false">S145+S146</f>
        <v>6024204.39181754</v>
      </c>
      <c r="T147" s="61" t="n">
        <f aca="false">T145+T146</f>
        <v>6294527.37397839</v>
      </c>
      <c r="U147" s="61" t="n">
        <f aca="false">U145+U146</f>
        <v>6389990.33666555</v>
      </c>
      <c r="V147" s="61" t="n">
        <f aca="false">V145+V146</f>
        <v>6720799.37145797</v>
      </c>
      <c r="W147" s="61" t="n">
        <f aca="false">W145+W146</f>
        <v>7051608.4062504</v>
      </c>
      <c r="X147" s="61" t="n">
        <f aca="false">X145+X146</f>
        <v>7382417.44104282</v>
      </c>
      <c r="Y147" s="61" t="n">
        <f aca="false">Y145+Y146</f>
        <v>7713226.47583525</v>
      </c>
      <c r="Z147" s="61" t="n">
        <f aca="false">Z145+Z146</f>
        <v>8044035.51062767</v>
      </c>
      <c r="AA147" s="61" t="n">
        <f aca="false">AA145+AA146</f>
        <v>8366300.84450609</v>
      </c>
      <c r="AB147" s="61" t="n">
        <f aca="false">AB145+AB146</f>
        <v>8607072.32670988</v>
      </c>
      <c r="AC147" s="61" t="n">
        <f aca="false">AC145+AC146</f>
        <v>8280784.08224699</v>
      </c>
      <c r="AD147" s="61" t="n">
        <f aca="false">AD145+AD146</f>
        <v>8678201.89778411</v>
      </c>
      <c r="AE147" s="61" t="n">
        <f aca="false">AE145+AE146</f>
        <v>9075619.71332122</v>
      </c>
      <c r="AF147" s="61" t="n">
        <f aca="false">AF145+AF146</f>
        <v>9473037.52885834</v>
      </c>
      <c r="AG147" s="61" t="n">
        <f aca="false">AG145+AG146</f>
        <v>9870455.34439546</v>
      </c>
      <c r="AH147" s="61" t="n">
        <f aca="false">AH145+AH146</f>
        <v>10167194.1589856</v>
      </c>
      <c r="AI147" s="61" t="n">
        <f aca="false">AI145+AI146</f>
        <v>10463932.9735757</v>
      </c>
      <c r="AJ147" s="61" t="n">
        <f aca="false">AJ145+AJ146</f>
        <v>10597912.5154386</v>
      </c>
      <c r="AK147" s="61" t="n">
        <f aca="false">AK145+AK146</f>
        <v>10641102.8467752</v>
      </c>
      <c r="AL147" s="61" t="n">
        <f aca="false">AL145+AL146</f>
        <v>10684293.1781117</v>
      </c>
      <c r="AM147" s="61" t="n">
        <f aca="false">AM145+AM146</f>
        <v>10658750.4383039</v>
      </c>
      <c r="AN147" s="61" t="n">
        <f aca="false">AN145+AN146</f>
        <v>10542418.4879697</v>
      </c>
      <c r="AO147" s="61" t="n">
        <f aca="false">AO145+AO146</f>
        <v>10426086.5376356</v>
      </c>
      <c r="AP147" s="61" t="n">
        <f aca="false">AP145+AP146</f>
        <v>10309754.5873014</v>
      </c>
      <c r="AQ147" s="61" t="n">
        <f aca="false">AQ145+AQ146</f>
        <v>10193422.6369673</v>
      </c>
      <c r="AR147" s="61" t="n">
        <f aca="false">AR145+AR146</f>
        <v>10077090.6866331</v>
      </c>
      <c r="AS147" s="61" t="n">
        <f aca="false">AS145+AS146</f>
        <v>9789293.69842015</v>
      </c>
      <c r="AT147" s="61" t="n">
        <f aca="false">AT145+AT146</f>
        <v>9501496.7102072</v>
      </c>
      <c r="AU147" s="61" t="n">
        <f aca="false">AU145+AU146</f>
        <v>9213699.72199426</v>
      </c>
      <c r="AV147" s="61" t="n">
        <f aca="false">AV145+AV146</f>
        <v>8925902.73378131</v>
      </c>
      <c r="AW147" s="61" t="n">
        <f aca="false">AW145+AW146</f>
        <v>8638105.74556836</v>
      </c>
      <c r="AX147" s="61" t="n">
        <f aca="false">AX145+AX146</f>
        <v>8350308.75735542</v>
      </c>
      <c r="AY147" s="61" t="n">
        <f aca="false">AY145+AY146</f>
        <v>8053622.90271154</v>
      </c>
      <c r="AZ147" s="61" t="n">
        <f aca="false">AZ145+AZ146</f>
        <v>7756937.04806767</v>
      </c>
      <c r="BA147" s="61" t="n">
        <f aca="false">BA145+BA146</f>
        <v>7460251.1934238</v>
      </c>
      <c r="BB147" s="61" t="n">
        <f aca="false">BB145+BB146</f>
        <v>7163565.33877993</v>
      </c>
      <c r="BC147" s="61" t="n">
        <f aca="false">BC145+BC146</f>
        <v>6866879.48413606</v>
      </c>
      <c r="BD147" s="61" t="n">
        <f aca="false">BD145+BD146</f>
        <v>6570193.62949218</v>
      </c>
      <c r="BE147" s="61" t="n">
        <f aca="false">BE145+BE146</f>
        <v>6273507.77484831</v>
      </c>
      <c r="BF147" s="61" t="n">
        <f aca="false">BF145+BF146</f>
        <v>5976821.92020444</v>
      </c>
      <c r="BG147" s="61" t="n">
        <f aca="false">BG145+BG146</f>
        <v>5523489.73222723</v>
      </c>
      <c r="BH147" s="61" t="n">
        <f aca="false">BH145+BH146</f>
        <v>5070157.54425003</v>
      </c>
      <c r="BI147" s="61" t="n">
        <f aca="false">BI145+BI146</f>
        <v>4616825.35627282</v>
      </c>
      <c r="BJ147" s="61" t="n">
        <f aca="false">BJ145+BJ146</f>
        <v>4163493.16829562</v>
      </c>
      <c r="BK147" s="61" t="n">
        <f aca="false">BK145+BK146</f>
        <v>3701094.33655887</v>
      </c>
      <c r="BL147" s="61" t="n">
        <f aca="false">BL145+BL146</f>
        <v>3238695.50482212</v>
      </c>
      <c r="BM147" s="61" t="n">
        <f aca="false">BM145+BM146</f>
        <v>2776296.67308537</v>
      </c>
      <c r="BN147" s="61" t="n">
        <f aca="false">BN145+BN146</f>
        <v>2313897.84134862</v>
      </c>
      <c r="BO147" s="61" t="n">
        <f aca="false">BO145+BO146</f>
        <v>1851499.00961187</v>
      </c>
      <c r="BP147" s="61" t="n">
        <f aca="false">BP145+BP146</f>
        <v>1389100.17787512</v>
      </c>
      <c r="BQ147" s="61" t="n">
        <f aca="false">BQ145+BQ146</f>
        <v>926701.346138368</v>
      </c>
      <c r="BR147" s="61" t="n">
        <f aca="false">BR145+BR146</f>
        <v>464302.514401618</v>
      </c>
      <c r="BS147" s="61" t="n">
        <f aca="false">BS145+BS146</f>
        <v>1903.68266486865</v>
      </c>
      <c r="BT147" s="61" t="n">
        <f aca="false">BT145+BT146</f>
        <v>-460495.149071881</v>
      </c>
      <c r="BU147" s="61" t="n">
        <f aca="false">BU145+BU146</f>
        <v>-922893.980808631</v>
      </c>
      <c r="BV147" s="61" t="n">
        <f aca="false">BV145+BV146</f>
        <v>-1385292.81254538</v>
      </c>
      <c r="BW147" s="61" t="n">
        <f aca="false">BW145+BW146</f>
        <v>-1856939.62091687</v>
      </c>
      <c r="BX147" s="61" t="n">
        <f aca="false">BX145+BX146</f>
        <v>-2328586.42928835</v>
      </c>
      <c r="BY147" s="61" t="n">
        <f aca="false">BY145+BY146</f>
        <v>-2800233.23765984</v>
      </c>
      <c r="BZ147" s="61" t="n">
        <f aca="false">BZ145+BZ146</f>
        <v>-3271880.04603132</v>
      </c>
      <c r="CA147" s="61" t="n">
        <f aca="false">CA145+CA146</f>
        <v>-3743526.8544028</v>
      </c>
      <c r="CB147" s="61" t="n">
        <f aca="false">CB145+CB146</f>
        <v>-4215173.66277429</v>
      </c>
      <c r="CC147" s="61" t="n">
        <f aca="false">CC145+CC146</f>
        <v>-4686820.47114577</v>
      </c>
      <c r="CD147" s="61" t="n">
        <f aca="false">CD145+CD146</f>
        <v>-5158467.27951726</v>
      </c>
      <c r="CE147" s="61" t="n">
        <f aca="false">CE145+CE146</f>
        <v>-5630114.08788874</v>
      </c>
      <c r="CF147" s="61" t="n">
        <f aca="false">CF145+CF146</f>
        <v>-6101760.89626023</v>
      </c>
      <c r="CG147" s="61" t="n">
        <f aca="false">CG145+CG146</f>
        <v>-6573407.70463171</v>
      </c>
      <c r="CH147" s="61" t="n">
        <f aca="false">CH145+CH146</f>
        <v>-7045054.5130032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48881.1433333334</v>
      </c>
      <c r="I150" s="10" t="n">
        <f aca="false">H155</f>
        <v>-27902.19</v>
      </c>
      <c r="J150" s="10" t="n">
        <f aca="false">I155</f>
        <v>-234685.523333333</v>
      </c>
      <c r="K150" s="10" t="n">
        <f aca="false">J155</f>
        <v>-450843.856666667</v>
      </c>
      <c r="L150" s="10" t="n">
        <f aca="false">K155</f>
        <v>-688002.19</v>
      </c>
      <c r="M150" s="10" t="n">
        <f aca="false">L155</f>
        <v>-892028.692933333</v>
      </c>
      <c r="N150" s="10" t="n">
        <f aca="false">M155</f>
        <v>-1346055.19586667</v>
      </c>
      <c r="O150" s="10" t="n">
        <f aca="false">N155</f>
        <v>-1550081.6988</v>
      </c>
      <c r="P150" s="10" t="n">
        <f aca="false">O155</f>
        <v>-1756499.4934</v>
      </c>
      <c r="Q150" s="10" t="n">
        <f aca="false">P155</f>
        <v>-1962917.288</v>
      </c>
      <c r="R150" s="10" t="n">
        <f aca="false">Q155</f>
        <v>-2169335.0826</v>
      </c>
      <c r="S150" s="10" t="n">
        <f aca="false">R155</f>
        <v>-2419047.2648</v>
      </c>
      <c r="T150" s="10" t="n">
        <f aca="false">S155</f>
        <v>-2628727.1846</v>
      </c>
      <c r="U150" s="10" t="n">
        <f aca="false">T155</f>
        <v>-2821834.842</v>
      </c>
      <c r="V150" s="10" t="n">
        <f aca="false">U155</f>
        <v>-2998370.2434</v>
      </c>
      <c r="W150" s="10" t="n">
        <f aca="false">V155</f>
        <v>-3158333.376</v>
      </c>
      <c r="X150" s="10" t="n">
        <f aca="false">W155</f>
        <v>-3201738.49588545</v>
      </c>
      <c r="Y150" s="10" t="n">
        <f aca="false">X155</f>
        <v>-3198557.11648545</v>
      </c>
      <c r="Z150" s="10" t="n">
        <f aca="false">Y155</f>
        <v>-3428803.47468545</v>
      </c>
      <c r="AA150" s="10" t="n">
        <f aca="false">Z155</f>
        <v>-3335102.56408545</v>
      </c>
      <c r="AB150" s="10" t="n">
        <f aca="false">AA155</f>
        <v>-3284643.51498545</v>
      </c>
      <c r="AC150" s="10" t="n">
        <f aca="false">AB155</f>
        <v>-3217612.19708545</v>
      </c>
      <c r="AD150" s="10" t="n">
        <f aca="false">AC155</f>
        <v>-3047801.39918544</v>
      </c>
      <c r="AE150" s="10" t="n">
        <f aca="false">AD155</f>
        <v>-3016458.70528545</v>
      </c>
      <c r="AF150" s="10" t="n">
        <f aca="false">AE155</f>
        <v>-2960686.25458545</v>
      </c>
      <c r="AG150" s="10" t="n">
        <f aca="false">AF155</f>
        <v>-2904413.25988545</v>
      </c>
      <c r="AH150" s="10" t="n">
        <f aca="false">AG155</f>
        <v>-2857139.71478544</v>
      </c>
      <c r="AI150" s="10" t="n">
        <f aca="false">AH155</f>
        <v>-2809365.62568544</v>
      </c>
      <c r="AJ150" s="10" t="n">
        <f aca="false">AI155</f>
        <v>-2766367.12378544</v>
      </c>
      <c r="AK150" s="10" t="n">
        <f aca="false">AJ155</f>
        <v>-2717591.92748544</v>
      </c>
      <c r="AL150" s="10" t="n">
        <f aca="false">AK155</f>
        <v>-2934888.44318544</v>
      </c>
      <c r="AM150" s="10" t="n">
        <f aca="false">AL155</f>
        <v>-2918256.67088544</v>
      </c>
      <c r="AN150" s="10" t="n">
        <f aca="false">AM155</f>
        <v>-2920184.51683544</v>
      </c>
      <c r="AO150" s="10" t="n">
        <f aca="false">AN155</f>
        <v>-2938184.06838544</v>
      </c>
      <c r="AP150" s="10" t="n">
        <f aca="false">AO155</f>
        <v>-2972255.33193544</v>
      </c>
      <c r="AQ150" s="10" t="n">
        <f aca="false">AP155</f>
        <v>-3046806.09788544</v>
      </c>
      <c r="AR150" s="10" t="n">
        <f aca="false">AQ155</f>
        <v>-3113020.78543544</v>
      </c>
      <c r="AS150" s="10" t="n">
        <f aca="false">AR155</f>
        <v>-3195307.18498544</v>
      </c>
      <c r="AT150" s="10" t="n">
        <f aca="false">AS155</f>
        <v>-3225890.01333544</v>
      </c>
      <c r="AU150" s="10" t="n">
        <f aca="false">AT155</f>
        <v>-3273045.09768544</v>
      </c>
      <c r="AV150" s="10" t="n">
        <f aca="false">AU155</f>
        <v>-3375129.51803544</v>
      </c>
      <c r="AW150" s="10" t="n">
        <f aca="false">AV155</f>
        <v>-3455429.12078544</v>
      </c>
      <c r="AX150" s="10" t="n">
        <f aca="false">AW155</f>
        <v>-3536229.28033544</v>
      </c>
      <c r="AY150" s="10" t="n">
        <f aca="false">AX155</f>
        <v>-3617529.98388544</v>
      </c>
      <c r="AZ150" s="10" t="n">
        <f aca="false">AY155</f>
        <v>-3701868.89568245</v>
      </c>
      <c r="BA150" s="10" t="n">
        <f aca="false">AZ155</f>
        <v>-3786708.35787945</v>
      </c>
      <c r="BB150" s="10" t="n">
        <f aca="false">BA155</f>
        <v>-3872048.37047644</v>
      </c>
      <c r="BC150" s="10" t="n">
        <f aca="false">BB155</f>
        <v>-3982784.87315345</v>
      </c>
      <c r="BD150" s="10" t="n">
        <f aca="false">BC155</f>
        <v>-4069125.98655044</v>
      </c>
      <c r="BE150" s="10" t="n">
        <f aca="false">BD155</f>
        <v>-4155967.65034744</v>
      </c>
      <c r="BF150" s="10" t="n">
        <f aca="false">BE155</f>
        <v>-4243309.86454445</v>
      </c>
      <c r="BG150" s="10" t="n">
        <f aca="false">BF155</f>
        <v>-4331152.62914144</v>
      </c>
      <c r="BH150" s="10" t="n">
        <f aca="false">BG155</f>
        <v>-4442227.01309845</v>
      </c>
      <c r="BI150" s="10" t="n">
        <f aca="false">BH155</f>
        <v>-4501870.07849545</v>
      </c>
      <c r="BJ150" s="10" t="n">
        <f aca="false">BI155</f>
        <v>-4562013.69429245</v>
      </c>
      <c r="BK150" s="10" t="n">
        <f aca="false">BJ155</f>
        <v>-4554882.57088945</v>
      </c>
      <c r="BL150" s="10" t="n">
        <f aca="false">BK155</f>
        <v>-4686891.53209039</v>
      </c>
      <c r="BM150" s="10" t="n">
        <f aca="false">BL155</f>
        <v>-4818900.49329133</v>
      </c>
      <c r="BN150" s="10" t="n">
        <f aca="false">BM155</f>
        <v>-4950909.45449227</v>
      </c>
      <c r="BO150" s="10" t="n">
        <f aca="false">BN155</f>
        <v>-5108312.27416681</v>
      </c>
      <c r="BP150" s="10" t="n">
        <f aca="false">BO155</f>
        <v>-5240321.23536775</v>
      </c>
      <c r="BQ150" s="10" t="n">
        <f aca="false">BP155</f>
        <v>-5320816.67656869</v>
      </c>
      <c r="BR150" s="10" t="n">
        <f aca="false">BQ155</f>
        <v>-5452825.63776963</v>
      </c>
      <c r="BS150" s="10" t="n">
        <f aca="false">BR155</f>
        <v>-5584834.59897057</v>
      </c>
      <c r="BT150" s="10" t="n">
        <f aca="false">BS155</f>
        <v>-5672267.25703871</v>
      </c>
      <c r="BU150" s="10" t="n">
        <f aca="false">BT155</f>
        <v>-5804276.21823965</v>
      </c>
      <c r="BV150" s="10" t="n">
        <f aca="false">BU155</f>
        <v>-5936285.17944059</v>
      </c>
      <c r="BW150" s="10" t="n">
        <f aca="false">BV155</f>
        <v>-6000532.14064153</v>
      </c>
      <c r="BX150" s="10" t="n">
        <f aca="false">BW155</f>
        <v>-6135181.28106649</v>
      </c>
      <c r="BY150" s="10" t="n">
        <f aca="false">BX155</f>
        <v>-6269830.42149145</v>
      </c>
      <c r="BZ150" s="10" t="n">
        <f aca="false">BY155</f>
        <v>-6336717.5619164</v>
      </c>
      <c r="CA150" s="10" t="n">
        <f aca="false">BZ155</f>
        <v>-6497268.43798444</v>
      </c>
      <c r="CB150" s="10" t="n">
        <f aca="false">CA155</f>
        <v>-6631917.57840939</v>
      </c>
      <c r="CC150" s="10" t="n">
        <f aca="false">CB155</f>
        <v>-6690067.71883435</v>
      </c>
      <c r="CD150" s="10" t="n">
        <f aca="false">CC155</f>
        <v>-6824716.85925931</v>
      </c>
      <c r="CE150" s="10" t="n">
        <f aca="false">CD155</f>
        <v>-6959365.99968427</v>
      </c>
      <c r="CF150" s="10" t="n">
        <f aca="false">CE155</f>
        <v>-7041165.55091377</v>
      </c>
      <c r="CG150" s="10" t="n">
        <f aca="false">CF155</f>
        <v>-7175814.69133873</v>
      </c>
      <c r="CH150" s="10" t="n">
        <f aca="false">CG155</f>
        <v>-7310463.83176369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-75950.0033333333</v>
      </c>
      <c r="H151" s="10" t="n">
        <f aca="false">H86</f>
        <v>-76783.3333333333</v>
      </c>
      <c r="I151" s="10" t="n">
        <f aca="false">I86</f>
        <v>-76783.3333333333</v>
      </c>
      <c r="J151" s="10" t="n">
        <f aca="false">J86</f>
        <v>-86158.3333333333</v>
      </c>
      <c r="K151" s="10" t="n">
        <f aca="false">K86</f>
        <v>-107158.333333333</v>
      </c>
      <c r="L151" s="10" t="n">
        <f aca="false">L86</f>
        <v>-74026.5029333333</v>
      </c>
      <c r="M151" s="10" t="n">
        <f aca="false">M86</f>
        <v>-74026.5029333333</v>
      </c>
      <c r="N151" s="10" t="n">
        <f aca="false">N86</f>
        <v>-74026.5029333333</v>
      </c>
      <c r="O151" s="10" t="n">
        <f aca="false">O86</f>
        <v>-76417.7946</v>
      </c>
      <c r="P151" s="10" t="n">
        <f aca="false">P86</f>
        <v>-76417.7946</v>
      </c>
      <c r="Q151" s="10" t="n">
        <f aca="false">Q86</f>
        <v>-76417.7946</v>
      </c>
      <c r="R151" s="10" t="n">
        <f aca="false">R86</f>
        <v>-119712.1822</v>
      </c>
      <c r="S151" s="10" t="n">
        <f aca="false">S86</f>
        <v>-79679.9198</v>
      </c>
      <c r="T151" s="10" t="n">
        <f aca="false">T86</f>
        <v>-63107.6574</v>
      </c>
      <c r="U151" s="10" t="n">
        <f aca="false">U86</f>
        <v>-46535.4014</v>
      </c>
      <c r="V151" s="10" t="n">
        <f aca="false">V86</f>
        <v>-29963.1326</v>
      </c>
      <c r="W151" s="10" t="n">
        <f aca="false">W86</f>
        <v>22564.1234</v>
      </c>
      <c r="X151" s="10" t="n">
        <f aca="false">X86</f>
        <v>3181.37939999999</v>
      </c>
      <c r="Y151" s="10" t="n">
        <f aca="false">Y86</f>
        <v>19753.6418</v>
      </c>
      <c r="Z151" s="10" t="n">
        <f aca="false">Z86</f>
        <v>93700.9106</v>
      </c>
      <c r="AA151" s="10" t="n">
        <f aca="false">AA86</f>
        <v>50459.0491</v>
      </c>
      <c r="AB151" s="10" t="n">
        <f aca="false">AB86</f>
        <v>67031.3179</v>
      </c>
      <c r="AC151" s="10" t="n">
        <f aca="false">AC86</f>
        <v>169810.7979</v>
      </c>
      <c r="AD151" s="10" t="n">
        <f aca="false">AD86</f>
        <v>31342.6939</v>
      </c>
      <c r="AE151" s="10" t="n">
        <f aca="false">AE86</f>
        <v>55772.4507</v>
      </c>
      <c r="AF151" s="10" t="n">
        <f aca="false">AF86</f>
        <v>56272.9947</v>
      </c>
      <c r="AG151" s="10" t="n">
        <f aca="false">AG86</f>
        <v>47273.5451</v>
      </c>
      <c r="AH151" s="10" t="n">
        <f aca="false">AH86</f>
        <v>47774.0891</v>
      </c>
      <c r="AI151" s="10" t="n">
        <f aca="false">AI86</f>
        <v>42998.5019</v>
      </c>
      <c r="AJ151" s="10" t="n">
        <f aca="false">AJ86</f>
        <v>48775.1963</v>
      </c>
      <c r="AK151" s="10" t="n">
        <f aca="false">AK86</f>
        <v>32703.4843</v>
      </c>
      <c r="AL151" s="10" t="n">
        <f aca="false">AL86</f>
        <v>16631.7723</v>
      </c>
      <c r="AM151" s="10" t="n">
        <f aca="false">AM86</f>
        <v>-1927.84595</v>
      </c>
      <c r="AN151" s="10" t="n">
        <f aca="false">AN86</f>
        <v>-17999.55155</v>
      </c>
      <c r="AO151" s="10" t="n">
        <f aca="false">AO86</f>
        <v>-34071.26355</v>
      </c>
      <c r="AP151" s="10" t="n">
        <f aca="false">AP86</f>
        <v>-74550.76595</v>
      </c>
      <c r="AQ151" s="10" t="n">
        <f aca="false">AQ86</f>
        <v>-66214.68755</v>
      </c>
      <c r="AR151" s="10" t="n">
        <f aca="false">AR86</f>
        <v>-82286.39955</v>
      </c>
      <c r="AS151" s="10" t="n">
        <f aca="false">AS86</f>
        <v>-30582.82835</v>
      </c>
      <c r="AT151" s="10" t="n">
        <f aca="false">AT86</f>
        <v>-47155.08435</v>
      </c>
      <c r="AU151" s="10" t="n">
        <f aca="false">AU86</f>
        <v>-102084.42035</v>
      </c>
      <c r="AV151" s="10" t="n">
        <f aca="false">AV86</f>
        <v>-80299.60275</v>
      </c>
      <c r="AW151" s="10" t="n">
        <f aca="false">AW86</f>
        <v>-80800.15955</v>
      </c>
      <c r="AX151" s="10" t="n">
        <f aca="false">AX86</f>
        <v>-81300.70355</v>
      </c>
      <c r="AY151" s="10" t="n">
        <f aca="false">AY86</f>
        <v>-84338.911797</v>
      </c>
      <c r="AZ151" s="10" t="n">
        <f aca="false">AZ86</f>
        <v>-84839.462197</v>
      </c>
      <c r="BA151" s="10" t="n">
        <f aca="false">BA86</f>
        <v>-85340.0125969999</v>
      </c>
      <c r="BB151" s="10" t="n">
        <f aca="false">BB86</f>
        <v>-110736.502677</v>
      </c>
      <c r="BC151" s="10" t="n">
        <f aca="false">BC86</f>
        <v>-86341.113397</v>
      </c>
      <c r="BD151" s="10" t="n">
        <f aca="false">BD86</f>
        <v>-86841.663797</v>
      </c>
      <c r="BE151" s="10" t="n">
        <f aca="false">BE86</f>
        <v>-87342.214197</v>
      </c>
      <c r="BF151" s="10" t="n">
        <f aca="false">BF86</f>
        <v>-87842.764597</v>
      </c>
      <c r="BG151" s="10" t="n">
        <f aca="false">BG86</f>
        <v>-111074.383957</v>
      </c>
      <c r="BH151" s="10" t="n">
        <f aca="false">BH86</f>
        <v>-59643.065397</v>
      </c>
      <c r="BI151" s="10" t="n">
        <f aca="false">BI86</f>
        <v>-60143.615797</v>
      </c>
      <c r="BJ151" s="10" t="n">
        <f aca="false">BJ86</f>
        <v>7131.12340300001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-250000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48881.1433333334</v>
      </c>
      <c r="H155" s="61" t="n">
        <f aca="false">H150+H151+H152+H153+H154</f>
        <v>-27902.19</v>
      </c>
      <c r="I155" s="61" t="n">
        <f aca="false">I150+I151+I152+I153+I154</f>
        <v>-234685.523333333</v>
      </c>
      <c r="J155" s="61" t="n">
        <f aca="false">J150+J151+J152+J153+J154</f>
        <v>-450843.856666667</v>
      </c>
      <c r="K155" s="61" t="n">
        <f aca="false">K150+K151+K152+K153+K154</f>
        <v>-688002.19</v>
      </c>
      <c r="L155" s="61" t="n">
        <f aca="false">L150+L151+L152+L153+L154</f>
        <v>-892028.692933333</v>
      </c>
      <c r="M155" s="61" t="n">
        <f aca="false">M150+M151+M152+M153+M154</f>
        <v>-1346055.19586667</v>
      </c>
      <c r="N155" s="61" t="n">
        <f aca="false">N150+N151+N152+N153+N154</f>
        <v>-1550081.6988</v>
      </c>
      <c r="O155" s="61" t="n">
        <f aca="false">O150+O151+O152+O153+O154</f>
        <v>-1756499.4934</v>
      </c>
      <c r="P155" s="61" t="n">
        <f aca="false">P150+P151+P152+P153+P154</f>
        <v>-1962917.288</v>
      </c>
      <c r="Q155" s="61" t="n">
        <f aca="false">Q150+Q151+Q152+Q153+Q154</f>
        <v>-2169335.0826</v>
      </c>
      <c r="R155" s="61" t="n">
        <f aca="false">R150+R151+R152+R153+R154</f>
        <v>-2419047.2648</v>
      </c>
      <c r="S155" s="61" t="n">
        <f aca="false">S150+S151+S152+S153+S154</f>
        <v>-2628727.1846</v>
      </c>
      <c r="T155" s="61" t="n">
        <f aca="false">T150+T151+T152+T153+T154</f>
        <v>-2821834.842</v>
      </c>
      <c r="U155" s="61" t="n">
        <f aca="false">U150+U151+U152+U153+U154</f>
        <v>-2998370.2434</v>
      </c>
      <c r="V155" s="61" t="n">
        <f aca="false">V150+V151+V152+V153+V154</f>
        <v>-3158333.376</v>
      </c>
      <c r="W155" s="61" t="n">
        <f aca="false">W150+W151+W152+W153+W154</f>
        <v>-3201738.49588545</v>
      </c>
      <c r="X155" s="61" t="n">
        <f aca="false">X150+X151+X152+X153+X154</f>
        <v>-3198557.11648545</v>
      </c>
      <c r="Y155" s="61" t="n">
        <f aca="false">Y150+Y151+Y152+Y153+Y154</f>
        <v>-3428803.47468545</v>
      </c>
      <c r="Z155" s="61" t="n">
        <f aca="false">Z150+Z151+Z152+Z153+Z154</f>
        <v>-3335102.56408545</v>
      </c>
      <c r="AA155" s="61" t="n">
        <f aca="false">AA150+AA151+AA152+AA153+AA154</f>
        <v>-3284643.51498545</v>
      </c>
      <c r="AB155" s="61" t="n">
        <f aca="false">AB150+AB151+AB152+AB153+AB154</f>
        <v>-3217612.19708545</v>
      </c>
      <c r="AC155" s="61" t="n">
        <f aca="false">AC150+AC151+AC152+AC153+AC154</f>
        <v>-3047801.39918544</v>
      </c>
      <c r="AD155" s="61" t="n">
        <f aca="false">AD150+AD151+AD152+AD153+AD154</f>
        <v>-3016458.70528545</v>
      </c>
      <c r="AE155" s="61" t="n">
        <f aca="false">AE150+AE151+AE152+AE153+AE154</f>
        <v>-2960686.25458545</v>
      </c>
      <c r="AF155" s="61" t="n">
        <f aca="false">AF150+AF151+AF152+AF153+AF154</f>
        <v>-2904413.25988545</v>
      </c>
      <c r="AG155" s="61" t="n">
        <f aca="false">AG150+AG151+AG152+AG153+AG154</f>
        <v>-2857139.71478544</v>
      </c>
      <c r="AH155" s="61" t="n">
        <f aca="false">AH150+AH151+AH152+AH153+AH154</f>
        <v>-2809365.62568544</v>
      </c>
      <c r="AI155" s="61" t="n">
        <f aca="false">AI150+AI151+AI152+AI153+AI154</f>
        <v>-2766367.12378544</v>
      </c>
      <c r="AJ155" s="61" t="n">
        <f aca="false">AJ150+AJ151+AJ152+AJ153+AJ154</f>
        <v>-2717591.92748544</v>
      </c>
      <c r="AK155" s="61" t="n">
        <f aca="false">AK150+AK151+AK152+AK153+AK154</f>
        <v>-2934888.44318544</v>
      </c>
      <c r="AL155" s="61" t="n">
        <f aca="false">AL150+AL151+AL152+AL153+AL154</f>
        <v>-2918256.67088544</v>
      </c>
      <c r="AM155" s="61" t="n">
        <f aca="false">AM150+AM151+AM152+AM153+AM154</f>
        <v>-2920184.51683544</v>
      </c>
      <c r="AN155" s="61" t="n">
        <f aca="false">AN150+AN151+AN152+AN153+AN154</f>
        <v>-2938184.06838544</v>
      </c>
      <c r="AO155" s="61" t="n">
        <f aca="false">AO150+AO151+AO152+AO153+AO154</f>
        <v>-2972255.33193544</v>
      </c>
      <c r="AP155" s="61" t="n">
        <f aca="false">AP150+AP151+AP152+AP153+AP154</f>
        <v>-3046806.09788544</v>
      </c>
      <c r="AQ155" s="61" t="n">
        <f aca="false">AQ150+AQ151+AQ152+AQ153+AQ154</f>
        <v>-3113020.78543544</v>
      </c>
      <c r="AR155" s="61" t="n">
        <f aca="false">AR150+AR151+AR152+AR153+AR154</f>
        <v>-3195307.18498544</v>
      </c>
      <c r="AS155" s="61" t="n">
        <f aca="false">AS150+AS151+AS152+AS153+AS154</f>
        <v>-3225890.01333544</v>
      </c>
      <c r="AT155" s="61" t="n">
        <f aca="false">AT150+AT151+AT152+AT153+AT154</f>
        <v>-3273045.09768544</v>
      </c>
      <c r="AU155" s="61" t="n">
        <f aca="false">AU150+AU151+AU152+AU153+AU154</f>
        <v>-3375129.51803544</v>
      </c>
      <c r="AV155" s="61" t="n">
        <f aca="false">AV150+AV151+AV152+AV153+AV154</f>
        <v>-3455429.12078544</v>
      </c>
      <c r="AW155" s="61" t="n">
        <f aca="false">AW150+AW151+AW152+AW153+AW154</f>
        <v>-3536229.28033544</v>
      </c>
      <c r="AX155" s="61" t="n">
        <f aca="false">AX150+AX151+AX152+AX153+AX154</f>
        <v>-3617529.98388544</v>
      </c>
      <c r="AY155" s="61" t="n">
        <f aca="false">AY150+AY151+AY152+AY153+AY154</f>
        <v>-3701868.89568245</v>
      </c>
      <c r="AZ155" s="61" t="n">
        <f aca="false">AZ150+AZ151+AZ152+AZ153+AZ154</f>
        <v>-3786708.35787945</v>
      </c>
      <c r="BA155" s="61" t="n">
        <f aca="false">BA150+BA151+BA152+BA153+BA154</f>
        <v>-3872048.37047644</v>
      </c>
      <c r="BB155" s="61" t="n">
        <f aca="false">BB150+BB151+BB152+BB153+BB154</f>
        <v>-3982784.87315345</v>
      </c>
      <c r="BC155" s="61" t="n">
        <f aca="false">BC150+BC151+BC152+BC153+BC154</f>
        <v>-4069125.98655044</v>
      </c>
      <c r="BD155" s="61" t="n">
        <f aca="false">BD150+BD151+BD152+BD153+BD154</f>
        <v>-4155967.65034744</v>
      </c>
      <c r="BE155" s="61" t="n">
        <f aca="false">BE150+BE151+BE152+BE153+BE154</f>
        <v>-4243309.86454445</v>
      </c>
      <c r="BF155" s="61" t="n">
        <f aca="false">BF150+BF151+BF152+BF153+BF154</f>
        <v>-4331152.62914144</v>
      </c>
      <c r="BG155" s="61" t="n">
        <f aca="false">BG150+BG151+BG152+BG153+BG154</f>
        <v>-4442227.01309845</v>
      </c>
      <c r="BH155" s="61" t="n">
        <f aca="false">BH150+BH151+BH152+BH153+BH154</f>
        <v>-4501870.07849545</v>
      </c>
      <c r="BI155" s="61" t="n">
        <f aca="false">BI150+BI151+BI152+BI153+BI154</f>
        <v>-4562013.69429245</v>
      </c>
      <c r="BJ155" s="61" t="n">
        <f aca="false">BJ150+BJ151+BJ152+BJ153+BJ154</f>
        <v>-4554882.57088945</v>
      </c>
      <c r="BK155" s="61" t="n">
        <f aca="false">BK150+BK151+BK152+BK153+BK154</f>
        <v>-4686891.53209039</v>
      </c>
      <c r="BL155" s="61" t="n">
        <f aca="false">BL150+BL151+BL152+BL153+BL154</f>
        <v>-4818900.49329133</v>
      </c>
      <c r="BM155" s="61" t="n">
        <f aca="false">BM150+BM151+BM152+BM153+BM154</f>
        <v>-4950909.45449227</v>
      </c>
      <c r="BN155" s="61" t="n">
        <f aca="false">BN150+BN151+BN152+BN153+BN154</f>
        <v>-5108312.27416681</v>
      </c>
      <c r="BO155" s="61" t="n">
        <f aca="false">BO150+BO151+BO152+BO153+BO154</f>
        <v>-5240321.23536775</v>
      </c>
      <c r="BP155" s="61" t="n">
        <f aca="false">BP150+BP151+BP152+BP153+BP154</f>
        <v>-5320816.67656869</v>
      </c>
      <c r="BQ155" s="61" t="n">
        <f aca="false">BQ150+BQ151+BQ152+BQ153+BQ154</f>
        <v>-5452825.63776963</v>
      </c>
      <c r="BR155" s="61" t="n">
        <f aca="false">BR150+BR151+BR152+BR153+BR154</f>
        <v>-5584834.59897057</v>
      </c>
      <c r="BS155" s="61" t="n">
        <f aca="false">BS150+BS151+BS152+BS153+BS154</f>
        <v>-5672267.25703871</v>
      </c>
      <c r="BT155" s="61" t="n">
        <f aca="false">BT150+BT151+BT152+BT153+BT154</f>
        <v>-5804276.21823965</v>
      </c>
      <c r="BU155" s="61" t="n">
        <f aca="false">BU150+BU151+BU152+BU153+BU154</f>
        <v>-5936285.17944059</v>
      </c>
      <c r="BV155" s="61" t="n">
        <f aca="false">BV150+BV151+BV152+BV153+BV154</f>
        <v>-6000532.14064153</v>
      </c>
      <c r="BW155" s="61" t="n">
        <f aca="false">BW150+BW151+BW152+BW153+BW154</f>
        <v>-6135181.28106649</v>
      </c>
      <c r="BX155" s="61" t="n">
        <f aca="false">BX150+BX151+BX152+BX153+BX154</f>
        <v>-6269830.42149145</v>
      </c>
      <c r="BY155" s="61" t="n">
        <f aca="false">BY150+BY151+BY152+BY153+BY154</f>
        <v>-6336717.5619164</v>
      </c>
      <c r="BZ155" s="61" t="n">
        <f aca="false">BZ150+BZ151+BZ152+BZ153+BZ154</f>
        <v>-6497268.43798444</v>
      </c>
      <c r="CA155" s="61" t="n">
        <f aca="false">CA150+CA151+CA152+CA153+CA154</f>
        <v>-6631917.57840939</v>
      </c>
      <c r="CB155" s="61" t="n">
        <f aca="false">CB150+CB151+CB152+CB153+CB154</f>
        <v>-6690067.71883435</v>
      </c>
      <c r="CC155" s="61" t="n">
        <f aca="false">CC150+CC151+CC152+CC153+CC154</f>
        <v>-6824716.85925931</v>
      </c>
      <c r="CD155" s="61" t="n">
        <f aca="false">CD150+CD151+CD152+CD153+CD154</f>
        <v>-6959365.99968427</v>
      </c>
      <c r="CE155" s="61" t="n">
        <f aca="false">CE150+CE151+CE152+CE153+CE154</f>
        <v>-7041165.55091377</v>
      </c>
      <c r="CF155" s="61" t="n">
        <f aca="false">CF150+CF151+CF152+CF153+CF154</f>
        <v>-7175814.69133873</v>
      </c>
      <c r="CG155" s="61" t="n">
        <f aca="false">CG150+CG151+CG152+CG153+CG154</f>
        <v>-7310463.83176369</v>
      </c>
      <c r="CH155" s="61" t="n">
        <f aca="false">CH150+CH151+CH152+CH153+CH154</f>
        <v>-7362005.94558217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2344612.2678941</v>
      </c>
      <c r="H158" s="10" t="n">
        <f aca="false">H145+H150</f>
        <v>2420137.71321308</v>
      </c>
      <c r="I158" s="10" t="n">
        <f aca="false">I145+I150</f>
        <v>2494829.82853206</v>
      </c>
      <c r="J158" s="10" t="n">
        <f aca="false">J145+J150</f>
        <v>2805011.2697378</v>
      </c>
      <c r="K158" s="10" t="n">
        <f aca="false">K145+K150</f>
        <v>3144121.61189051</v>
      </c>
      <c r="L158" s="10" t="n">
        <f aca="false">L145+L150</f>
        <v>3239993.07604322</v>
      </c>
      <c r="M158" s="10" t="n">
        <f aca="false">M145+M150</f>
        <v>3368996.37059593</v>
      </c>
      <c r="N158" s="10" t="n">
        <f aca="false">N145+N150</f>
        <v>3247999.66514864</v>
      </c>
      <c r="O158" s="10" t="n">
        <f aca="false">O145+O150</f>
        <v>3377002.95970135</v>
      </c>
      <c r="P158" s="10" t="n">
        <f aca="false">P145+P150</f>
        <v>2874535.34809952</v>
      </c>
      <c r="Q158" s="10" t="n">
        <f aca="false">Q145+Q150</f>
        <v>3164236.21149769</v>
      </c>
      <c r="R158" s="10" t="n">
        <f aca="false">R145+R150</f>
        <v>3453937.07489585</v>
      </c>
      <c r="S158" s="10" t="n">
        <f aca="false">S145+S150</f>
        <v>3334834.1448567</v>
      </c>
      <c r="T158" s="10" t="n">
        <f aca="false">T145+T150</f>
        <v>3395477.20721754</v>
      </c>
      <c r="U158" s="10" t="n">
        <f aca="false">U145+U150</f>
        <v>3472692.53197839</v>
      </c>
      <c r="V158" s="10" t="n">
        <f aca="false">V145+V150</f>
        <v>3391620.09326555</v>
      </c>
      <c r="W158" s="10" t="n">
        <f aca="false">W145+W150</f>
        <v>3562465.99545797</v>
      </c>
      <c r="X158" s="10" t="n">
        <f aca="false">X145+X150</f>
        <v>3849869.91036495</v>
      </c>
      <c r="Y158" s="10" t="n">
        <f aca="false">Y145+Y150</f>
        <v>4183860.32455738</v>
      </c>
      <c r="Z158" s="10" t="n">
        <f aca="false">Z145+Z150</f>
        <v>4284423.0011498</v>
      </c>
      <c r="AA158" s="10" t="n">
        <f aca="false">AA145+AA150</f>
        <v>4708932.94654222</v>
      </c>
      <c r="AB158" s="10" t="n">
        <f aca="false">AB145+AB150</f>
        <v>5081657.32952065</v>
      </c>
      <c r="AC158" s="10" t="n">
        <f aca="false">AC145+AC150</f>
        <v>5389460.12962443</v>
      </c>
      <c r="AD158" s="10" t="n">
        <f aca="false">AD145+AD150</f>
        <v>5232982.68306155</v>
      </c>
      <c r="AE158" s="10" t="n">
        <f aca="false">AE145+AE150</f>
        <v>5661743.19249866</v>
      </c>
      <c r="AF158" s="10" t="n">
        <f aca="false">AF145+AF150</f>
        <v>6114933.45873578</v>
      </c>
      <c r="AG158" s="10" t="n">
        <f aca="false">AG145+AG150</f>
        <v>6568624.26897289</v>
      </c>
      <c r="AH158" s="10" t="n">
        <f aca="false">AH145+AH150</f>
        <v>7013315.62961001</v>
      </c>
      <c r="AI158" s="10" t="n">
        <f aca="false">AI145+AI150</f>
        <v>7357828.53330016</v>
      </c>
      <c r="AJ158" s="10" t="n">
        <f aca="false">AJ145+AJ150</f>
        <v>7697565.8497903</v>
      </c>
      <c r="AK158" s="10" t="n">
        <f aca="false">AK145+AK150</f>
        <v>7880320.58795318</v>
      </c>
      <c r="AL158" s="10" t="n">
        <f aca="false">AL145+AL150</f>
        <v>7706214.40358974</v>
      </c>
      <c r="AM158" s="10" t="n">
        <f aca="false">AM145+AM150</f>
        <v>7766036.50722629</v>
      </c>
      <c r="AN158" s="10" t="n">
        <f aca="false">AN145+AN150</f>
        <v>7738565.92146845</v>
      </c>
      <c r="AO158" s="10" t="n">
        <f aca="false">AO145+AO150</f>
        <v>7604234.41958429</v>
      </c>
      <c r="AP158" s="10" t="n">
        <f aca="false">AP145+AP150</f>
        <v>7453831.20570013</v>
      </c>
      <c r="AQ158" s="10" t="n">
        <f aca="false">AQ145+AQ150</f>
        <v>7262948.48941597</v>
      </c>
      <c r="AR158" s="10" t="n">
        <f aca="false">AR145+AR150</f>
        <v>7080401.85153181</v>
      </c>
      <c r="AS158" s="10" t="n">
        <f aca="false">AS145+AS150</f>
        <v>6881783.50164765</v>
      </c>
      <c r="AT158" s="10" t="n">
        <f aca="false">AT145+AT150</f>
        <v>6563403.68508471</v>
      </c>
      <c r="AU158" s="10" t="n">
        <f aca="false">AU145+AU150</f>
        <v>6228451.61252176</v>
      </c>
      <c r="AV158" s="10" t="n">
        <f aca="false">AV145+AV150</f>
        <v>5838570.20395881</v>
      </c>
      <c r="AW158" s="10" t="n">
        <f aca="false">AW145+AW150</f>
        <v>5470473.61299587</v>
      </c>
      <c r="AX158" s="10" t="n">
        <f aca="false">AX145+AX150</f>
        <v>5101876.46523292</v>
      </c>
      <c r="AY158" s="10" t="n">
        <f aca="false">AY145+AY150</f>
        <v>4732778.77346997</v>
      </c>
      <c r="AZ158" s="10" t="n">
        <f aca="false">AZ145+AZ150</f>
        <v>4351754.0070291</v>
      </c>
      <c r="BA158" s="10" t="n">
        <f aca="false">BA145+BA150</f>
        <v>3970228.69018823</v>
      </c>
      <c r="BB158" s="10" t="n">
        <f aca="false">BB145+BB150</f>
        <v>3588202.82294736</v>
      </c>
      <c r="BC158" s="10" t="n">
        <f aca="false">BC145+BC150</f>
        <v>3180780.46562648</v>
      </c>
      <c r="BD158" s="10" t="n">
        <f aca="false">BD145+BD150</f>
        <v>2797753.49758561</v>
      </c>
      <c r="BE158" s="10" t="n">
        <f aca="false">BE145+BE150</f>
        <v>2414225.97914474</v>
      </c>
      <c r="BF158" s="10" t="n">
        <f aca="false">BF145+BF150</f>
        <v>2030197.91030387</v>
      </c>
      <c r="BG158" s="10" t="n">
        <f aca="false">BG145+BG150</f>
        <v>1645669.291063</v>
      </c>
      <c r="BH158" s="10" t="n">
        <f aca="false">BH145+BH150</f>
        <v>1081262.71912879</v>
      </c>
      <c r="BI158" s="10" t="n">
        <f aca="false">BI145+BI150</f>
        <v>568287.465754584</v>
      </c>
      <c r="BJ158" s="10" t="n">
        <f aca="false">BJ145+BJ150</f>
        <v>54811.6619803775</v>
      </c>
      <c r="BK158" s="10" t="n">
        <f aca="false">BK145+BK150</f>
        <v>-391389.402593828</v>
      </c>
      <c r="BL158" s="10" t="n">
        <f aca="false">BL145+BL150</f>
        <v>-985797.195531518</v>
      </c>
      <c r="BM158" s="10" t="n">
        <f aca="false">BM145+BM150</f>
        <v>-1580204.98846921</v>
      </c>
      <c r="BN158" s="10" t="n">
        <f aca="false">BN145+BN150</f>
        <v>-2174612.7814069</v>
      </c>
      <c r="BO158" s="10" t="n">
        <f aca="false">BO145+BO150</f>
        <v>-2794414.43281819</v>
      </c>
      <c r="BP158" s="10" t="n">
        <f aca="false">BP145+BP150</f>
        <v>-3388822.22575588</v>
      </c>
      <c r="BQ158" s="10" t="n">
        <f aca="false">BQ145+BQ150</f>
        <v>-3931716.49869357</v>
      </c>
      <c r="BR158" s="10" t="n">
        <f aca="false">BR145+BR150</f>
        <v>-4526124.29163126</v>
      </c>
      <c r="BS158" s="10" t="n">
        <f aca="false">BS145+BS150</f>
        <v>-5120532.08456895</v>
      </c>
      <c r="BT158" s="10" t="n">
        <f aca="false">BT145+BT150</f>
        <v>-5670363.57437384</v>
      </c>
      <c r="BU158" s="10" t="n">
        <f aca="false">BU145+BU150</f>
        <v>-6264771.36731153</v>
      </c>
      <c r="BV158" s="10" t="n">
        <f aca="false">BV145+BV150</f>
        <v>-6859179.16024922</v>
      </c>
      <c r="BW158" s="10" t="n">
        <f aca="false">BW145+BW150</f>
        <v>-7385824.95318691</v>
      </c>
      <c r="BX158" s="10" t="n">
        <f aca="false">BX145+BX150</f>
        <v>-7992120.90198335</v>
      </c>
      <c r="BY158" s="10" t="n">
        <f aca="false">BY145+BY150</f>
        <v>-8598416.8507798</v>
      </c>
      <c r="BZ158" s="10" t="n">
        <f aca="false">BZ145+BZ150</f>
        <v>-9136950.79957624</v>
      </c>
      <c r="CA158" s="10" t="n">
        <f aca="false">CA145+CA150</f>
        <v>-9769148.48401576</v>
      </c>
      <c r="CB158" s="10" t="n">
        <f aca="false">CB145+CB150</f>
        <v>-10375444.4328122</v>
      </c>
      <c r="CC158" s="10" t="n">
        <f aca="false">CC145+CC150</f>
        <v>-10905241.3816086</v>
      </c>
      <c r="CD158" s="10" t="n">
        <f aca="false">CD145+CD150</f>
        <v>-11511537.3304051</v>
      </c>
      <c r="CE158" s="10" t="n">
        <f aca="false">CE145+CE150</f>
        <v>-12117833.2792015</v>
      </c>
      <c r="CF158" s="10" t="n">
        <f aca="false">CF145+CF150</f>
        <v>-12671279.6388025</v>
      </c>
      <c r="CG158" s="10" t="n">
        <f aca="false">CG145+CG150</f>
        <v>-13277575.587599</v>
      </c>
      <c r="CH158" s="10" t="n">
        <f aca="false">CH145+CH150</f>
        <v>-13883871.5363954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-457933.867812966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-706753.823282153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-1229308.78182761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2344612.2678941</v>
      </c>
      <c r="G160" s="61" t="n">
        <f aca="false">G158+G146+G151+G152+G153+G154+G159</f>
        <v>2420137.71321308</v>
      </c>
      <c r="H160" s="61" t="n">
        <f aca="false">H158+H146+H151+H152+H153+H154+H159</f>
        <v>2494829.82853206</v>
      </c>
      <c r="I160" s="61" t="n">
        <f aca="false">I158+I146+I151+I152+I153+I154+I159</f>
        <v>2805011.2697378</v>
      </c>
      <c r="J160" s="61" t="n">
        <f aca="false">J158+J146+J151+J152+J153+J154+J159</f>
        <v>3144121.61189051</v>
      </c>
      <c r="K160" s="61" t="n">
        <f aca="false">K158+K146+K151+K152+K153+K154+K159</f>
        <v>3239993.07604322</v>
      </c>
      <c r="L160" s="61" t="n">
        <f aca="false">L158+L146+L151+L152+L153+L154+L159</f>
        <v>3368996.37059593</v>
      </c>
      <c r="M160" s="61" t="n">
        <f aca="false">M158+M146+M151+M152+M153+M154+M159</f>
        <v>3247999.66514864</v>
      </c>
      <c r="N160" s="61" t="n">
        <f aca="false">N158+N146+N151+N152+N153+N154+N159</f>
        <v>2919069.09188839</v>
      </c>
      <c r="O160" s="61" t="n">
        <f aca="false">O158+O146+O151+O152+O153+O154+O159</f>
        <v>2874535.34809952</v>
      </c>
      <c r="P160" s="61" t="n">
        <f aca="false">P158+P146+P151+P152+P153+P154+P159</f>
        <v>3164236.21149769</v>
      </c>
      <c r="Q160" s="61" t="n">
        <f aca="false">Q158+Q146+Q151+Q152+Q153+Q154+Q159</f>
        <v>3453937.07489585</v>
      </c>
      <c r="R160" s="61" t="n">
        <f aca="false">R158+R146+R151+R152+R153+R154+R159</f>
        <v>3334834.1448567</v>
      </c>
      <c r="S160" s="61" t="n">
        <f aca="false">S158+S146+S151+S152+S153+S154+S159</f>
        <v>3395477.20721754</v>
      </c>
      <c r="T160" s="61" t="n">
        <f aca="false">T158+T146+T151+T152+T153+T154+T159</f>
        <v>3472692.53197839</v>
      </c>
      <c r="U160" s="61" t="n">
        <f aca="false">U158+U146+U151+U152+U153+U154+U159</f>
        <v>3391620.09326555</v>
      </c>
      <c r="V160" s="61" t="n">
        <f aca="false">V158+V146+V151+V152+V153+V154+V159</f>
        <v>3562465.99545797</v>
      </c>
      <c r="W160" s="61" t="n">
        <f aca="false">W158+W146+W151+W152+W153+W154+W159</f>
        <v>3849869.91036495</v>
      </c>
      <c r="X160" s="61" t="n">
        <f aca="false">X158+X146+X151+X152+X153+X154+X159</f>
        <v>4183860.32455738</v>
      </c>
      <c r="Y160" s="61" t="n">
        <f aca="false">Y158+Y146+Y151+Y152+Y153+Y154+Y159</f>
        <v>4284423.0011498</v>
      </c>
      <c r="Z160" s="61" t="n">
        <f aca="false">Z158+Z146+Z151+Z152+Z153+Z154+Z159</f>
        <v>4002179.12326007</v>
      </c>
      <c r="AA160" s="61" t="n">
        <f aca="false">AA158+AA146+AA151+AA152+AA153+AA154+AA159</f>
        <v>5081657.32952065</v>
      </c>
      <c r="AB160" s="61" t="n">
        <f aca="false">AB158+AB146+AB151+AB152+AB153+AB154+AB159</f>
        <v>5389460.12962443</v>
      </c>
      <c r="AC160" s="61" t="n">
        <f aca="false">AC158+AC146+AC151+AC152+AC153+AC154+AC159</f>
        <v>5232982.68306155</v>
      </c>
      <c r="AD160" s="61" t="n">
        <f aca="false">AD158+AD146+AD151+AD152+AD153+AD154+AD159</f>
        <v>5661743.19249866</v>
      </c>
      <c r="AE160" s="61" t="n">
        <f aca="false">AE158+AE146+AE151+AE152+AE153+AE154+AE159</f>
        <v>6114933.45873578</v>
      </c>
      <c r="AF160" s="61" t="n">
        <f aca="false">AF158+AF146+AF151+AF152+AF153+AF154+AF159</f>
        <v>6568624.2689729</v>
      </c>
      <c r="AG160" s="61" t="n">
        <f aca="false">AG158+AG146+AG151+AG152+AG153+AG154+AG159</f>
        <v>7013315.62961001</v>
      </c>
      <c r="AH160" s="61" t="n">
        <f aca="false">AH158+AH146+AH151+AH152+AH153+AH154+AH159</f>
        <v>7357828.53330016</v>
      </c>
      <c r="AI160" s="61" t="n">
        <f aca="false">AI158+AI146+AI151+AI152+AI153+AI154+AI159</f>
        <v>7697565.8497903</v>
      </c>
      <c r="AJ160" s="61" t="n">
        <f aca="false">AJ158+AJ146+AJ151+AJ152+AJ153+AJ154+AJ159</f>
        <v>7880320.58795318</v>
      </c>
      <c r="AK160" s="61" t="n">
        <f aca="false">AK158+AK146+AK151+AK152+AK153+AK154+AK159</f>
        <v>7706214.40358974</v>
      </c>
      <c r="AL160" s="61" t="n">
        <f aca="false">AL158+AL146+AL151+AL152+AL153+AL154+AL159</f>
        <v>6536727.72539869</v>
      </c>
      <c r="AM160" s="61" t="n">
        <f aca="false">AM158+AM146+AM151+AM152+AM153+AM154+AM159</f>
        <v>7738565.92146845</v>
      </c>
      <c r="AN160" s="61" t="n">
        <f aca="false">AN158+AN146+AN151+AN152+AN153+AN154+AN159</f>
        <v>7604234.41958429</v>
      </c>
      <c r="AO160" s="61" t="n">
        <f aca="false">AO158+AO146+AO151+AO152+AO153+AO154+AO159</f>
        <v>7453831.20570013</v>
      </c>
      <c r="AP160" s="61" t="n">
        <f aca="false">AP158+AP146+AP151+AP152+AP153+AP154+AP159</f>
        <v>7262948.48941597</v>
      </c>
      <c r="AQ160" s="61" t="n">
        <f aca="false">AQ158+AQ146+AQ151+AQ152+AQ153+AQ154+AQ159</f>
        <v>7080401.85153181</v>
      </c>
      <c r="AR160" s="61" t="n">
        <f aca="false">AR158+AR146+AR151+AR152+AR153+AR154+AR159</f>
        <v>6881783.50164765</v>
      </c>
      <c r="AS160" s="61" t="n">
        <f aca="false">AS158+AS146+AS151+AS152+AS153+AS154+AS159</f>
        <v>6563403.68508471</v>
      </c>
      <c r="AT160" s="61" t="n">
        <f aca="false">AT158+AT146+AT151+AT152+AT153+AT154+AT159</f>
        <v>6228451.61252176</v>
      </c>
      <c r="AU160" s="61" t="n">
        <f aca="false">AU158+AU146+AU151+AU152+AU153+AU154+AU159</f>
        <v>5838570.20395881</v>
      </c>
      <c r="AV160" s="61" t="n">
        <f aca="false">AV158+AV146+AV151+AV152+AV153+AV154+AV159</f>
        <v>5470473.61299587</v>
      </c>
      <c r="AW160" s="61" t="n">
        <f aca="false">AW158+AW146+AW151+AW152+AW153+AW154+AW159</f>
        <v>5101876.46523292</v>
      </c>
      <c r="AX160" s="61" t="n">
        <f aca="false">AX158+AX146+AX151+AX152+AX153+AX154+AX159</f>
        <v>4732778.77346997</v>
      </c>
      <c r="AY160" s="61" t="n">
        <f aca="false">AY158+AY146+AY151+AY152+AY153+AY154+AY159</f>
        <v>4351754.0070291</v>
      </c>
      <c r="AZ160" s="61" t="n">
        <f aca="false">AZ158+AZ146+AZ151+AZ152+AZ153+AZ154+AZ159</f>
        <v>3970228.69018823</v>
      </c>
      <c r="BA160" s="61" t="n">
        <f aca="false">BA158+BA146+BA151+BA152+BA153+BA154+BA159</f>
        <v>3588202.82294736</v>
      </c>
      <c r="BB160" s="61" t="n">
        <f aca="false">BB158+BB146+BB151+BB152+BB153+BB154+BB159</f>
        <v>3180780.46562648</v>
      </c>
      <c r="BC160" s="61" t="n">
        <f aca="false">BC158+BC146+BC151+BC152+BC153+BC154+BC159</f>
        <v>2797753.49758561</v>
      </c>
      <c r="BD160" s="61" t="n">
        <f aca="false">BD158+BD146+BD151+BD152+BD153+BD154+BD159</f>
        <v>2414225.97914474</v>
      </c>
      <c r="BE160" s="61" t="n">
        <f aca="false">BE158+BE146+BE151+BE152+BE153+BE154+BE159</f>
        <v>2030197.91030387</v>
      </c>
      <c r="BF160" s="61" t="n">
        <f aca="false">BF158+BF146+BF151+BF152+BF153+BF154+BF159</f>
        <v>1645669.291063</v>
      </c>
      <c r="BG160" s="61" t="n">
        <f aca="false">BG158+BG146+BG151+BG152+BG153+BG154+BG159</f>
        <v>1081262.71912879</v>
      </c>
      <c r="BH160" s="61" t="n">
        <f aca="false">BH158+BH146+BH151+BH152+BH153+BH154+BH159</f>
        <v>568287.465754584</v>
      </c>
      <c r="BI160" s="61" t="n">
        <f aca="false">BI158+BI146+BI151+BI152+BI153+BI154+BI159</f>
        <v>54811.6619803779</v>
      </c>
      <c r="BJ160" s="61" t="n">
        <f aca="false">BJ158+BJ146+BJ151+BJ152+BJ153+BJ154+BJ159</f>
        <v>-391389.402593828</v>
      </c>
      <c r="BK160" s="61" t="n">
        <f aca="false">BK158+BK146+BK151+BK152+BK153+BK154+BK159</f>
        <v>-985797.195531518</v>
      </c>
      <c r="BL160" s="61" t="n">
        <f aca="false">BL158+BL146+BL151+BL152+BL153+BL154+BL159</f>
        <v>-1580204.98846921</v>
      </c>
      <c r="BM160" s="61" t="n">
        <f aca="false">BM158+BM146+BM151+BM152+BM153+BM154+BM159</f>
        <v>-2174612.7814069</v>
      </c>
      <c r="BN160" s="61" t="n">
        <f aca="false">BN158+BN146+BN151+BN152+BN153+BN154+BN159</f>
        <v>-2794414.43281819</v>
      </c>
      <c r="BO160" s="61" t="n">
        <f aca="false">BO158+BO146+BO151+BO152+BO153+BO154+BO159</f>
        <v>-3388822.22575588</v>
      </c>
      <c r="BP160" s="61" t="n">
        <f aca="false">BP158+BP146+BP151+BP152+BP153+BP154+BP159</f>
        <v>-3931716.49869357</v>
      </c>
      <c r="BQ160" s="61" t="n">
        <f aca="false">BQ158+BQ146+BQ151+BQ152+BQ153+BQ154+BQ159</f>
        <v>-4526124.29163126</v>
      </c>
      <c r="BR160" s="61" t="n">
        <f aca="false">BR158+BR146+BR151+BR152+BR153+BR154+BR159</f>
        <v>-5120532.08456895</v>
      </c>
      <c r="BS160" s="61" t="n">
        <f aca="false">BS158+BS146+BS151+BS152+BS153+BS154+BS159</f>
        <v>-5670363.57437384</v>
      </c>
      <c r="BT160" s="61" t="n">
        <f aca="false">BT158+BT146+BT151+BT152+BT153+BT154+BT159</f>
        <v>-6264771.36731153</v>
      </c>
      <c r="BU160" s="61" t="n">
        <f aca="false">BU158+BU146+BU151+BU152+BU153+BU154+BU159</f>
        <v>-6859179.16024922</v>
      </c>
      <c r="BV160" s="61" t="n">
        <f aca="false">BV158+BV146+BV151+BV152+BV153+BV154+BV159</f>
        <v>-7385824.95318691</v>
      </c>
      <c r="BW160" s="61" t="n">
        <f aca="false">BW158+BW146+BW151+BW152+BW153+BW154+BW159</f>
        <v>-7992120.90198335</v>
      </c>
      <c r="BX160" s="61" t="n">
        <f aca="false">BX158+BX146+BX151+BX152+BX153+BX154+BX159</f>
        <v>-8598416.8507798</v>
      </c>
      <c r="BY160" s="61" t="n">
        <f aca="false">BY158+BY146+BY151+BY152+BY153+BY154+BY159</f>
        <v>-9136950.79957624</v>
      </c>
      <c r="BZ160" s="61" t="n">
        <f aca="false">BZ158+BZ146+BZ151+BZ152+BZ153+BZ154+BZ159</f>
        <v>-9769148.48401576</v>
      </c>
      <c r="CA160" s="61" t="n">
        <f aca="false">CA158+CA146+CA151+CA152+CA153+CA154+CA159</f>
        <v>-10375444.4328122</v>
      </c>
      <c r="CB160" s="61" t="n">
        <f aca="false">CB158+CB146+CB151+CB152+CB153+CB154+CB159</f>
        <v>-10905241.3816086</v>
      </c>
      <c r="CC160" s="61" t="n">
        <f aca="false">CC158+CC146+CC151+CC152+CC153+CC154+CC159</f>
        <v>-11511537.3304051</v>
      </c>
      <c r="CD160" s="61" t="n">
        <f aca="false">CD158+CD146+CD151+CD152+CD153+CD154+CD159</f>
        <v>-12117833.2792015</v>
      </c>
      <c r="CE160" s="61" t="n">
        <f aca="false">CE158+CE146+CE151+CE152+CE153+CE154+CE159</f>
        <v>-12671279.6388025</v>
      </c>
      <c r="CF160" s="61" t="n">
        <f aca="false">CF158+CF146+CF151+CF152+CF153+CF154+CF159</f>
        <v>-13277575.587599</v>
      </c>
      <c r="CG160" s="61" t="n">
        <f aca="false">CG158+CG146+CG151+CG152+CG153+CG154+CG159</f>
        <v>-13883871.5363954</v>
      </c>
      <c r="CH160" s="61" t="n">
        <f aca="false">CH158+CH146+CH151+CH152+CH153+CH154+CH159</f>
        <v>-14407060.4585854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16700979.110481</v>
      </c>
      <c r="D3" s="65" t="n">
        <f aca="false">Model!I7+Model!J7+Model!K7</f>
        <v>20341786.1339069</v>
      </c>
      <c r="E3" s="65" t="n">
        <f aca="false">Model!L7+Model!M7+Model!N7</f>
        <v>21680815.1071276</v>
      </c>
      <c r="F3" s="65" t="n">
        <f aca="false">Model!O7+Model!P7+Model!Q7</f>
        <v>24337637.2874382</v>
      </c>
      <c r="G3" s="65" t="n">
        <f aca="false">Model!R7+Model!S7+Model!T7</f>
        <v>22877735.949785</v>
      </c>
      <c r="H3" s="65" t="n">
        <f aca="false">Model!U7+Model!V7+Model!W7</f>
        <v>23736813.547168</v>
      </c>
      <c r="I3" s="65" t="n">
        <f aca="false">Model!X7+Model!Y7+Model!Z7</f>
        <v>22682566.941028</v>
      </c>
      <c r="J3" s="65" t="n">
        <f aca="false">Model!AA7+Model!AB7+Model!AC7</f>
        <v>19933064.690972</v>
      </c>
      <c r="K3" s="65" t="n">
        <f aca="false">Model!AD7+Model!AE7+Model!AF7</f>
        <v>16368633.581473</v>
      </c>
      <c r="L3" s="65" t="n">
        <f aca="false">Model!AG7+Model!AH7+Model!AI7</f>
        <v>15030950.732465</v>
      </c>
      <c r="M3" s="65" t="n">
        <f aca="false">Model!AJ7+Model!AK7+Model!AL7</f>
        <v>12413653.630916</v>
      </c>
      <c r="N3" s="65" t="n">
        <f aca="false">Model!AM7+Model!AN7+Model!AO7</f>
        <v>9362879.381546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732678.834714627</v>
      </c>
      <c r="D5" s="10" t="n">
        <f aca="false">Model!I8+Model!J8+Model!K8</f>
        <v>976553.068523582</v>
      </c>
      <c r="E5" s="10" t="n">
        <f aca="false">Model!L8+Model!M8+Model!N8</f>
        <v>970968.211786569</v>
      </c>
      <c r="F5" s="10" t="n">
        <f aca="false">Model!O8+Model!P8+Model!Q8</f>
        <v>1191423.26048787</v>
      </c>
      <c r="G5" s="10" t="n">
        <f aca="false">Model!R8+Model!S8+Model!T8</f>
        <v>952023.230839884</v>
      </c>
      <c r="H5" s="10" t="n">
        <f aca="false">Model!U8+Model!V8+Model!W8</f>
        <v>987458.554618079</v>
      </c>
      <c r="I5" s="10" t="n">
        <f aca="false">Model!X8+Model!Y8+Model!Z8</f>
        <v>974563.817775974</v>
      </c>
      <c r="J5" s="10" t="n">
        <f aca="false">Model!AA8+Model!AB8+Model!AC8</f>
        <v>971846.087769139</v>
      </c>
      <c r="K5" s="10" t="n">
        <f aca="false">Model!AD8+Model!AE8+Model!AF8</f>
        <v>1071188.43705144</v>
      </c>
      <c r="L5" s="10" t="n">
        <f aca="false">Model!AG8+Model!AH8+Model!AI8</f>
        <v>984892.150525461</v>
      </c>
      <c r="M5" s="10" t="n">
        <f aca="false">Model!AJ8+Model!AK8+Model!AL8</f>
        <v>654662.761876282</v>
      </c>
      <c r="N5" s="10" t="n">
        <f aca="false">Model!AM8+Model!AN8+Model!AO8</f>
        <v>460767.138926863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776224.762346206</v>
      </c>
      <c r="D6" s="10" t="n">
        <f aca="false">Model!I9+Model!J9+Model!K9</f>
        <v>1013985.37115516</v>
      </c>
      <c r="E6" s="10" t="n">
        <f aca="false">Model!L9+Model!M9+Model!N9</f>
        <v>996173.264418148</v>
      </c>
      <c r="F6" s="10" t="n">
        <f aca="false">Model!O9+Model!P9+Model!Q9</f>
        <v>1216628.31311945</v>
      </c>
      <c r="G6" s="10" t="n">
        <f aca="false">Model!R9+Model!S9+Model!T9</f>
        <v>969452.283471463</v>
      </c>
      <c r="H6" s="10" t="n">
        <f aca="false">Model!U9+Model!V9+Model!W9</f>
        <v>991972.238828605</v>
      </c>
      <c r="I6" s="10" t="n">
        <f aca="false">Model!X9+Model!Y9+Model!Z9</f>
        <v>974563.817775974</v>
      </c>
      <c r="J6" s="10" t="n">
        <f aca="false">Model!AA9+Model!AB9+Model!AC9</f>
        <v>971846.087769139</v>
      </c>
      <c r="K6" s="10" t="n">
        <f aca="false">Model!AD9+Model!AE9+Model!AF9</f>
        <v>1071188.43705144</v>
      </c>
      <c r="L6" s="10" t="n">
        <f aca="false">Model!AG9+Model!AH9+Model!AI9</f>
        <v>984892.150525461</v>
      </c>
      <c r="M6" s="10" t="n">
        <f aca="false">Model!AJ9+Model!AK9+Model!AL9</f>
        <v>654662.761876282</v>
      </c>
      <c r="N6" s="10" t="n">
        <f aca="false">Model!AM9+Model!AN9+Model!AO9</f>
        <v>460767.138926863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201949.353896104</v>
      </c>
      <c r="D7" s="10" t="n">
        <f aca="false">Model!I10+Model!J10+Model!K10</f>
        <v>285572.556832422</v>
      </c>
      <c r="E7" s="10" t="n">
        <f aca="false">Model!L10+Model!M10+Model!N10</f>
        <v>288374.521253418</v>
      </c>
      <c r="F7" s="10" t="n">
        <f aca="false">Model!O10+Model!P10+Model!Q10</f>
        <v>361859.537487184</v>
      </c>
      <c r="G7" s="10" t="n">
        <f aca="false">Model!R10+Model!S10+Model!T10</f>
        <v>296984.069271189</v>
      </c>
      <c r="H7" s="10" t="n">
        <f aca="false">Model!U10+Model!V10+Model!W10</f>
        <v>324854.605925325</v>
      </c>
      <c r="I7" s="10" t="n">
        <f aca="false">Model!X10+Model!Y10+Model!Z10</f>
        <v>324854.605925325</v>
      </c>
      <c r="J7" s="10" t="n">
        <f aca="false">Model!AA10+Model!AB10+Model!AC10</f>
        <v>323948.695923046</v>
      </c>
      <c r="K7" s="10" t="n">
        <f aca="false">Model!AD10+Model!AE10+Model!AF10</f>
        <v>357062.812350479</v>
      </c>
      <c r="L7" s="10" t="n">
        <f aca="false">Model!AG10+Model!AH10+Model!AI10</f>
        <v>328297.383508487</v>
      </c>
      <c r="M7" s="10" t="n">
        <f aca="false">Model!AJ10+Model!AK10+Model!AL10</f>
        <v>218220.920625427</v>
      </c>
      <c r="N7" s="10" t="n">
        <f aca="false">Model!AM10+Model!AN10+Model!AO10</f>
        <v>153589.046308954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227699.34</v>
      </c>
      <c r="H8" s="10" t="n">
        <f aca="false">Model!U11+Model!V11+Model!W11</f>
        <v>227699.34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2355379.67095694</v>
      </c>
      <c r="D9" s="12" t="n">
        <f aca="false">Model!I12+Model!J12+Model!K12</f>
        <v>3037121.89651116</v>
      </c>
      <c r="E9" s="12" t="n">
        <f aca="false">Model!L12+Model!M12+Model!N12</f>
        <v>2255515.99745813</v>
      </c>
      <c r="F9" s="12" t="n">
        <f aca="false">Model!O12+Model!P12+Model!Q12</f>
        <v>3448912.6610945</v>
      </c>
      <c r="G9" s="12" t="n">
        <f aca="false">Model!R12+Model!S12+Model!T12</f>
        <v>2446158.92358254</v>
      </c>
      <c r="H9" s="12" t="n">
        <f aca="false">Model!U12+Model!V12+Model!W12</f>
        <v>2531984.73937201</v>
      </c>
      <c r="I9" s="12" t="n">
        <f aca="false">Model!X12+Model!Y12+Model!Z12</f>
        <v>2273982.24147727</v>
      </c>
      <c r="J9" s="12" t="n">
        <f aca="false">Model!AA12+Model!AB12+Model!AC12</f>
        <v>2887960.35146132</v>
      </c>
      <c r="K9" s="12" t="n">
        <f aca="false">Model!AD12+Model!AE12+Model!AF12</f>
        <v>2499439.68645335</v>
      </c>
      <c r="L9" s="12" t="n">
        <f aca="false">Model!AG12+Model!AH12+Model!AI12</f>
        <v>2298081.68455941</v>
      </c>
      <c r="M9" s="12" t="n">
        <f aca="false">Model!AJ12+Model!AK12+Model!AL12</f>
        <v>1527546.44437799</v>
      </c>
      <c r="N9" s="12" t="n">
        <f aca="false">Model!AM12+Model!AN12+Model!AO12</f>
        <v>1075123.32416268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-493348.57</v>
      </c>
      <c r="H12" s="10" t="n">
        <f aca="false">Model!U15+Model!V15+Model!W15</f>
        <v>-493348.57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-771723</v>
      </c>
      <c r="D13" s="10" t="n">
        <f aca="false">Model!I16+Model!J16+Model!K16</f>
        <v>-771723</v>
      </c>
      <c r="E13" s="10" t="n">
        <f aca="false">Model!L16+Model!M16+Model!N16</f>
        <v>-771723</v>
      </c>
      <c r="F13" s="10" t="n">
        <f aca="false">Model!O16+Model!P16+Model!Q16</f>
        <v>-787157.46</v>
      </c>
      <c r="G13" s="10" t="n">
        <f aca="false">Model!R16+Model!S16+Model!T16</f>
        <v>-787157.46</v>
      </c>
      <c r="H13" s="10" t="n">
        <f aca="false">Model!U16+Model!V16+Model!W16</f>
        <v>-787157.46</v>
      </c>
      <c r="I13" s="10" t="n">
        <f aca="false">Model!X16+Model!Y16+Model!Z16</f>
        <v>-787157.46</v>
      </c>
      <c r="J13" s="10" t="n">
        <f aca="false">Model!AA16+Model!AB16+Model!AC16</f>
        <v>-802900.6092</v>
      </c>
      <c r="K13" s="10" t="n">
        <f aca="false">Model!AD16+Model!AE16+Model!AF16</f>
        <v>-802900.6092</v>
      </c>
      <c r="L13" s="10" t="n">
        <f aca="false">Model!AG16+Model!AH16+Model!AI16</f>
        <v>-802900.6092</v>
      </c>
      <c r="M13" s="10" t="n">
        <f aca="false">Model!AJ16+Model!AK16+Model!AL16</f>
        <v>-802900.6092</v>
      </c>
      <c r="N13" s="10" t="n">
        <f aca="false">Model!AM16+Model!AN16+Model!AO16</f>
        <v>-818958.621384</v>
      </c>
      <c r="O13" s="10" t="n">
        <f aca="false">Model!AP16+Model!AQ16+Model!AR16</f>
        <v>-818958.621384</v>
      </c>
      <c r="P13" s="10" t="n">
        <f aca="false">Model!AS16+Model!AT16+Model!AU16</f>
        <v>-818958.621384</v>
      </c>
      <c r="Q13" s="10" t="n">
        <f aca="false">Model!AV16+Model!AW16+Model!AX16</f>
        <v>-818958.621384</v>
      </c>
      <c r="R13" s="10" t="n">
        <f aca="false">Model!AY16+Model!AZ16+Model!BA16</f>
        <v>-835337.79381168</v>
      </c>
      <c r="S13" s="10" t="n">
        <f aca="false">Model!BB16+Model!BC16+Model!BD16</f>
        <v>-835337.79381168</v>
      </c>
      <c r="T13" s="10" t="n">
        <f aca="false">Model!BE16+Model!BF16+Model!BG16</f>
        <v>-835337.79381168</v>
      </c>
      <c r="U13" s="10" t="n">
        <f aca="false">Model!BH16+Model!BI16+Model!BJ16</f>
        <v>-835337.79381168</v>
      </c>
      <c r="V13" s="10" t="n">
        <f aca="false">Model!BK16+Model!BL16+Model!BM16</f>
        <v>-852044.549687914</v>
      </c>
      <c r="W13" s="10" t="n">
        <f aca="false">Model!BN16+Model!BO16+Model!BP16</f>
        <v>-852044.549687914</v>
      </c>
      <c r="X13" s="10" t="n">
        <f aca="false">Model!BQ16+Model!BR16+Model!BS16</f>
        <v>-852044.549687914</v>
      </c>
      <c r="Y13" s="10" t="n">
        <f aca="false">Model!BT16+Model!BU16+Model!BV16</f>
        <v>-852044.549687914</v>
      </c>
      <c r="Z13" s="10" t="n">
        <f aca="false">Model!BW16+Model!BX16+Model!BY16</f>
        <v>-869085.440681672</v>
      </c>
      <c r="AA13" s="10" t="n">
        <f aca="false">Model!BZ16+Model!CA16+Model!CB16</f>
        <v>-869085.440681672</v>
      </c>
      <c r="AB13" s="10" t="n">
        <f aca="false">Model!CC16+Model!CD16+Model!CE16</f>
        <v>-869085.440681672</v>
      </c>
      <c r="AC13" s="10" t="n">
        <f aca="false">Model!CF16+Model!CG16+Model!CH16</f>
        <v>-869085.440681672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-1574393.1202</v>
      </c>
      <c r="D15" s="12" t="n">
        <f aca="false">Model!I38+Model!J38+Model!K38</f>
        <v>-1631858.649</v>
      </c>
      <c r="E15" s="12" t="n">
        <f aca="false">Model!L38+Model!M38+Model!N38</f>
        <v>-1256426.605</v>
      </c>
      <c r="F15" s="12" t="n">
        <f aca="false">Model!O38+Model!P38+Model!Q38</f>
        <v>-2752725.1621</v>
      </c>
      <c r="G15" s="12" t="n">
        <f aca="false">Model!R38+Model!S38+Model!T38</f>
        <v>-1774903.7071</v>
      </c>
      <c r="H15" s="12" t="n">
        <f aca="false">Model!U38+Model!V38+Model!W38</f>
        <v>-1774903.7071</v>
      </c>
      <c r="I15" s="12" t="n">
        <f aca="false">Model!X38+Model!Y38+Model!Z38</f>
        <v>-1281555.1371</v>
      </c>
      <c r="J15" s="12" t="n">
        <f aca="false">Model!AA38+Model!AB38+Model!AC38</f>
        <v>-2651211.779842</v>
      </c>
      <c r="K15" s="12" t="n">
        <f aca="false">Model!AD38+Model!AE38+Model!AF38</f>
        <v>-1307186.239842</v>
      </c>
      <c r="L15" s="12" t="n">
        <f aca="false">Model!AG38+Model!AH38+Model!AI38</f>
        <v>-1307186.239842</v>
      </c>
      <c r="M15" s="12" t="n">
        <f aca="false">Model!AJ38+Model!AK38+Model!AL38</f>
        <v>-1307186.239842</v>
      </c>
      <c r="N15" s="12" t="n">
        <f aca="false">Model!AM38+Model!AN38+Model!AO38</f>
        <v>-1333329.96463884</v>
      </c>
      <c r="O15" s="12" t="n">
        <f aca="false">Model!AP38+Model!AQ38+Model!AR38</f>
        <v>-1333329.96463884</v>
      </c>
      <c r="P15" s="12" t="n">
        <f aca="false">Model!AS38+Model!AT38+Model!AU38</f>
        <v>-1333329.96463884</v>
      </c>
      <c r="Q15" s="12" t="n">
        <f aca="false">Model!AV38+Model!AW38+Model!AX38</f>
        <v>-1333329.96463884</v>
      </c>
      <c r="R15" s="12" t="n">
        <f aca="false">Model!AY38+Model!AZ38+Model!BA38</f>
        <v>-1359996.56393162</v>
      </c>
      <c r="S15" s="12" t="n">
        <f aca="false">Model!BB38+Model!BC38+Model!BD38</f>
        <v>-1359996.56393162</v>
      </c>
      <c r="T15" s="12" t="n">
        <f aca="false">Model!BE38+Model!BF38+Model!BG38</f>
        <v>-1359996.56393162</v>
      </c>
      <c r="U15" s="12" t="n">
        <f aca="false">Model!BH38+Model!BI38+Model!BJ38</f>
        <v>-1359996.56393162</v>
      </c>
      <c r="V15" s="12" t="n">
        <f aca="false">Model!BK38+Model!BL38+Model!BM38</f>
        <v>-1387196.49521025</v>
      </c>
      <c r="W15" s="12" t="n">
        <f aca="false">Model!BN38+Model!BO38+Model!BP38</f>
        <v>-1387196.49521025</v>
      </c>
      <c r="X15" s="12" t="n">
        <f aca="false">Model!BQ38+Model!BR38+Model!BS38</f>
        <v>-1387196.49521025</v>
      </c>
      <c r="Y15" s="12" t="n">
        <f aca="false">Model!BT38+Model!BU38+Model!BV38</f>
        <v>-1387196.49521025</v>
      </c>
      <c r="Z15" s="12" t="n">
        <f aca="false">Model!BW38+Model!BX38+Model!BY38</f>
        <v>-1414940.42511445</v>
      </c>
      <c r="AA15" s="12" t="n">
        <f aca="false">Model!BZ38+Model!CA38+Model!CB38</f>
        <v>-1414940.42511445</v>
      </c>
      <c r="AB15" s="12" t="n">
        <f aca="false">Model!CC38+Model!CD38+Model!CE38</f>
        <v>-1414940.42511445</v>
      </c>
      <c r="AC15" s="12" t="n">
        <f aca="false">Model!CF38+Model!CG38+Model!CH38</f>
        <v>-1414940.42511445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780986.550756938</v>
      </c>
      <c r="D16" s="16" t="n">
        <f aca="false">Model!I40+Model!J40+Model!K40</f>
        <v>1405263.24751116</v>
      </c>
      <c r="E16" s="16" t="n">
        <f aca="false">Model!L40+Model!M40+Model!N40</f>
        <v>999089.392458134</v>
      </c>
      <c r="F16" s="16" t="n">
        <f aca="false">Model!O40+Model!P40+Model!Q40</f>
        <v>696187.498994497</v>
      </c>
      <c r="G16" s="16" t="n">
        <f aca="false">Model!R40+Model!S40+Model!T40</f>
        <v>671255.216482536</v>
      </c>
      <c r="H16" s="16" t="n">
        <f aca="false">Model!U40+Model!V40+Model!W40</f>
        <v>757081.032272009</v>
      </c>
      <c r="I16" s="16" t="n">
        <f aca="false">Model!X40+Model!Y40+Model!Z40</f>
        <v>992427.104377272</v>
      </c>
      <c r="J16" s="16" t="n">
        <f aca="false">Model!AA40+Model!AB40+Model!AC40</f>
        <v>236748.571619323</v>
      </c>
      <c r="K16" s="16" t="n">
        <f aca="false">Model!AD40+Model!AE40+Model!AF40</f>
        <v>1192253.44661135</v>
      </c>
      <c r="L16" s="16" t="n">
        <f aca="false">Model!AG40+Model!AH40+Model!AI40</f>
        <v>990895.44471741</v>
      </c>
      <c r="M16" s="16" t="n">
        <f aca="false">Model!AJ40+Model!AK40+Model!AL40</f>
        <v>220360.204535991</v>
      </c>
      <c r="N16" s="16" t="n">
        <f aca="false">Model!AM40+Model!AN40+Model!AO40</f>
        <v>-258206.640476161</v>
      </c>
      <c r="O16" s="16" t="n">
        <f aca="false">Model!AP40+Model!AQ40+Model!AR40</f>
        <v>-348995.851002477</v>
      </c>
      <c r="P16" s="16" t="n">
        <f aca="false">Model!AS40+Model!AT40+Model!AU40</f>
        <v>-863390.96463884</v>
      </c>
      <c r="Q16" s="16" t="n">
        <f aca="false">Model!AV40+Model!AW40+Model!AX40</f>
        <v>-863390.96463884</v>
      </c>
      <c r="R16" s="16" t="n">
        <f aca="false">Model!AY40+Model!AZ40+Model!BA40</f>
        <v>-890057.563931617</v>
      </c>
      <c r="S16" s="16" t="n">
        <f aca="false">Model!BB40+Model!BC40+Model!BD40</f>
        <v>-890057.563931617</v>
      </c>
      <c r="T16" s="16" t="n">
        <f aca="false">Model!BE40+Model!BF40+Model!BG40</f>
        <v>-1046703.89726495</v>
      </c>
      <c r="U16" s="16" t="n">
        <f aca="false">Model!BH40+Model!BI40+Model!BJ40</f>
        <v>-1359996.56393162</v>
      </c>
      <c r="V16" s="16" t="n">
        <f aca="false">Model!BK40+Model!BL40+Model!BM40</f>
        <v>-1387196.49521025</v>
      </c>
      <c r="W16" s="16" t="n">
        <f aca="false">Model!BN40+Model!BO40+Model!BP40</f>
        <v>-1387196.49521025</v>
      </c>
      <c r="X16" s="16" t="n">
        <f aca="false">Model!BQ40+Model!BR40+Model!BS40</f>
        <v>-1387196.49521025</v>
      </c>
      <c r="Y16" s="16" t="n">
        <f aca="false">Model!BT40+Model!BU40+Model!BV40</f>
        <v>-1387196.49521025</v>
      </c>
      <c r="Z16" s="16" t="n">
        <f aca="false">Model!BW40+Model!BX40+Model!BY40</f>
        <v>-1414940.42511445</v>
      </c>
      <c r="AA16" s="16" t="n">
        <f aca="false">Model!BZ40+Model!CA40+Model!CB40</f>
        <v>-1414940.42511445</v>
      </c>
      <c r="AB16" s="16" t="n">
        <f aca="false">Model!CC40+Model!CD40+Model!CE40</f>
        <v>-1414940.42511445</v>
      </c>
      <c r="AC16" s="16" t="n">
        <f aca="false">Model!CF40+Model!CG40+Model!CH40</f>
        <v>-1414940.42511445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0.331575652276748</v>
      </c>
      <c r="D17" s="17" t="n">
        <f aca="false">IF((Model!I12+Model!J12+Model!K12)&lt;&gt;0,(Model!I40+Model!J40+Model!K40)/(Model!I12+Model!J12+Model!K12),0)</f>
        <v>0.462695701850306</v>
      </c>
      <c r="E17" s="17" t="n">
        <f aca="false">IF((Model!L12+Model!M12+Model!N12)&lt;&gt;0,(Model!L40+Model!M40+Model!N40)/(Model!L12+Model!M12+Model!N12),0)</f>
        <v>0.442953804621232</v>
      </c>
      <c r="F17" s="17" t="n">
        <f aca="false">IF((Model!O12+Model!P12+Model!Q12)&lt;&gt;0,(Model!O40+Model!P40+Model!Q40)/(Model!O12+Model!P12+Model!Q12),0)</f>
        <v>0.201857097411555</v>
      </c>
      <c r="G17" s="17" t="n">
        <f aca="false">IF((Model!R12+Model!S12+Model!T12)&lt;&gt;0,(Model!R40+Model!S40+Model!T40)/(Model!R12+Model!S12+Model!T12),0)</f>
        <v>0.274411940291862</v>
      </c>
      <c r="H17" s="17" t="n">
        <f aca="false">IF((Model!U12+Model!V12+Model!W12)&lt;&gt;0,(Model!U40+Model!V40+Model!W40)/(Model!U12+Model!V12+Model!W12),0)</f>
        <v>0.299006949172917</v>
      </c>
      <c r="I17" s="17" t="n">
        <f aca="false">IF((Model!X12+Model!Y12+Model!Z12)&lt;&gt;0,(Model!X40+Model!Y40+Model!Z40)/(Model!X12+Model!Y12+Model!Z12),0)</f>
        <v>0.436426936972274</v>
      </c>
      <c r="J17" s="17" t="n">
        <f aca="false">IF((Model!AA12+Model!AB12+Model!AC12)&lt;&gt;0,(Model!AA40+Model!AB40+Model!AC40)/(Model!AA12+Model!AB12+Model!AC12),0)</f>
        <v>0.0819777776725804</v>
      </c>
      <c r="K17" s="17" t="n">
        <f aca="false">IF((Model!AD12+Model!AE12+Model!AF12)&lt;&gt;0,(Model!AD40+Model!AE40+Model!AF40)/(Model!AD12+Model!AE12+Model!AF12),0)</f>
        <v>0.477008288326865</v>
      </c>
      <c r="L17" s="17" t="n">
        <f aca="false">IF((Model!AG12+Model!AH12+Model!AI12)&lt;&gt;0,(Model!AG40+Model!AH40+Model!AI40)/(Model!AG12+Model!AH12+Model!AI12),0)</f>
        <v>0.431183735275879</v>
      </c>
      <c r="M17" s="17" t="n">
        <f aca="false">IF((Model!AJ12+Model!AK12+Model!AL12)&lt;&gt;0,(Model!AJ40+Model!AK40+Model!AL40)/(Model!AJ12+Model!AK12+Model!AL12),0)</f>
        <v>0.14425761347356</v>
      </c>
      <c r="N17" s="17" t="n">
        <f aca="false">IF((Model!AM12+Model!AN12+Model!AO12)&lt;&gt;0,(Model!AM40+Model!AN40+Model!AO40)/(Model!AM12+Model!AN12+Model!AO12),0)</f>
        <v>-0.240164671971242</v>
      </c>
      <c r="O17" s="17" t="n">
        <f aca="false">IF((Model!AP12+Model!AQ12+Model!AR12)&lt;&gt;0,(Model!AP40+Model!AQ40+Model!AR40)/(Model!AP12+Model!AQ12+Model!AR12),0)</f>
        <v>-0.354550194052712</v>
      </c>
      <c r="P17" s="17" t="n">
        <f aca="false">IF((Model!AS12+Model!AT12+Model!AU12)&lt;&gt;0,(Model!AS40+Model!AT40+Model!AU40)/(Model!AS12+Model!AT12+Model!AU12),0)</f>
        <v>-1.83724050278619</v>
      </c>
      <c r="Q17" s="17" t="n">
        <f aca="false">IF((Model!AV12+Model!AW12+Model!AX12)&lt;&gt;0,(Model!AV40+Model!AW40+Model!AX40)/(Model!AV12+Model!AW12+Model!AX12),0)</f>
        <v>-1.83724050278619</v>
      </c>
      <c r="R17" s="17" t="n">
        <f aca="false">IF((Model!AY12+Model!AZ12+Model!BA12)&lt;&gt;0,(Model!AY40+Model!AZ40+Model!BA40)/(Model!AY12+Model!AZ12+Model!BA12),0)</f>
        <v>-1.89398531284192</v>
      </c>
      <c r="S17" s="17" t="n">
        <f aca="false">IF((Model!BB12+Model!BC12+Model!BD12)&lt;&gt;0,(Model!BB40+Model!BC40+Model!BD40)/(Model!BB12+Model!BC12+Model!BD12),0)</f>
        <v>-1.89398531284192</v>
      </c>
      <c r="T17" s="17" t="n">
        <f aca="false">IF((Model!BE12+Model!BF12+Model!BG12)&lt;&gt;0,(Model!BE40+Model!BF40+Model!BG40)/(Model!BE12+Model!BF12+Model!BG12),0)</f>
        <v>-3.34097796926287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130010.41</v>
      </c>
      <c r="D19" s="19" t="n">
        <f aca="false">Model!I63+Model!J63+Model!K63</f>
        <v>109593.75</v>
      </c>
      <c r="E19" s="19" t="n">
        <f aca="false">Model!L63+Model!M63+Model!N63</f>
        <v>136614.2412</v>
      </c>
      <c r="F19" s="19" t="n">
        <f aca="false">Model!O63+Model!P63+Model!Q63</f>
        <v>136614.2412</v>
      </c>
      <c r="G19" s="19" t="n">
        <f aca="false">Model!R63+Model!S63+Model!T63</f>
        <v>126827.8656</v>
      </c>
      <c r="H19" s="19" t="n">
        <f aca="false">Model!U63+Model!V63+Model!W63</f>
        <v>333353.2144</v>
      </c>
      <c r="I19" s="19" t="n">
        <f aca="false">Model!X63+Model!Y63+Model!Z63</f>
        <v>482503.5568</v>
      </c>
      <c r="J19" s="19" t="n">
        <f aca="false">Model!AA63+Model!AB63+Model!AC63</f>
        <v>660486.1424</v>
      </c>
      <c r="K19" s="19" t="n">
        <f aca="false">Model!AD63+Model!AE63+Model!AF63</f>
        <v>540502.3168</v>
      </c>
      <c r="L19" s="19" t="n">
        <f aca="false">Model!AG63+Model!AH63+Model!AI63</f>
        <v>533079.5136</v>
      </c>
      <c r="M19" s="19" t="n">
        <f aca="false">Model!AJ63+Model!AK63+Model!AL63</f>
        <v>471295.4304</v>
      </c>
      <c r="N19" s="19" t="n">
        <f aca="false">Model!AM63+Model!AN63+Model!AO63</f>
        <v>326650.016</v>
      </c>
      <c r="O19" s="19" t="n">
        <f aca="false">Model!AP63+Model!AQ63+Model!AR63</f>
        <v>263687.608</v>
      </c>
      <c r="P19" s="19" t="n">
        <f aca="false">Model!AS63+Model!AT63+Model!AU63</f>
        <v>304793.712</v>
      </c>
      <c r="Q19" s="19" t="n">
        <f aca="false">Model!AV63+Model!AW63+Model!AX63</f>
        <v>219930.2112</v>
      </c>
      <c r="R19" s="19" t="n">
        <f aca="false">Model!AY63+Model!AZ63+Model!BA63</f>
        <v>1067264.264</v>
      </c>
      <c r="S19" s="19" t="n">
        <f aca="false">Model!BB63+Model!BC63+Model!BD63</f>
        <v>260116.3104</v>
      </c>
      <c r="T19" s="19" t="n">
        <f aca="false">Model!BE63+Model!BF63+Model!BG63</f>
        <v>255609.3632</v>
      </c>
      <c r="U19" s="19" t="n">
        <f aca="false">Model!BH63+Model!BI63+Model!BJ63</f>
        <v>406482.0928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-381693.75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-251683.34</v>
      </c>
      <c r="D21" s="16" t="n">
        <f aca="false">Model!I86+Model!J86+Model!K86</f>
        <v>-270100</v>
      </c>
      <c r="E21" s="16" t="n">
        <f aca="false">Model!L86+Model!M86+Model!N86</f>
        <v>-222079.5088</v>
      </c>
      <c r="F21" s="16" t="n">
        <f aca="false">Model!O86+Model!P86+Model!Q86</f>
        <v>-229253.3838</v>
      </c>
      <c r="G21" s="16" t="n">
        <f aca="false">Model!R86+Model!S86+Model!T86</f>
        <v>-262499.7594</v>
      </c>
      <c r="H21" s="16" t="n">
        <f aca="false">Model!U86+Model!V86+Model!W86</f>
        <v>-53934.4106</v>
      </c>
      <c r="I21" s="16" t="n">
        <f aca="false">Model!X86+Model!Y86+Model!Z86</f>
        <v>116635.9318</v>
      </c>
      <c r="J21" s="16" t="n">
        <f aca="false">Model!AA86+Model!AB86+Model!AC86</f>
        <v>287301.1649</v>
      </c>
      <c r="K21" s="16" t="n">
        <f aca="false">Model!AD86+Model!AE86+Model!AF86</f>
        <v>143388.1393</v>
      </c>
      <c r="L21" s="16" t="n">
        <f aca="false">Model!AG86+Model!AH86+Model!AI86</f>
        <v>138046.1361</v>
      </c>
      <c r="M21" s="16" t="n">
        <f aca="false">Model!AJ86+Model!AK86+Model!AL86</f>
        <v>98110.4529</v>
      </c>
      <c r="N21" s="16" t="n">
        <f aca="false">Model!AM86+Model!AN86+Model!AO86</f>
        <v>-53998.66105</v>
      </c>
      <c r="O21" s="16" t="n">
        <f aca="false">Model!AP86+Model!AQ86+Model!AR86</f>
        <v>-223051.85305</v>
      </c>
      <c r="P21" s="16" t="n">
        <f aca="false">Model!AS86+Model!AT86+Model!AU86</f>
        <v>-179822.33305</v>
      </c>
      <c r="Q21" s="16" t="n">
        <f aca="false">Model!AV86+Model!AW86+Model!AX86</f>
        <v>-242400.46585</v>
      </c>
      <c r="R21" s="16" t="n">
        <f aca="false">Model!AY86+Model!AZ86+Model!BA86</f>
        <v>-254518.386591</v>
      </c>
      <c r="S21" s="16" t="n">
        <f aca="false">Model!BB86+Model!BC86+Model!BD86</f>
        <v>-283919.279871</v>
      </c>
      <c r="T21" s="16" t="n">
        <f aca="false">Model!BE86+Model!BF86+Model!BG86</f>
        <v>-286259.362751</v>
      </c>
      <c r="U21" s="16" t="n">
        <f aca="false">Model!BH86+Model!BI86+Model!BJ86</f>
        <v>-112655.557791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529303.210756938</v>
      </c>
      <c r="D23" s="16" t="n">
        <f aca="false">Model!I95+Model!J95+Model!K95</f>
        <v>1135163.24751116</v>
      </c>
      <c r="E23" s="16" t="n">
        <f aca="false">Model!L95+Model!M95+Model!N95</f>
        <v>777009.883658134</v>
      </c>
      <c r="F23" s="16" t="n">
        <f aca="false">Model!O95+Model!P95+Model!Q95</f>
        <v>466934.115194497</v>
      </c>
      <c r="G23" s="16" t="n">
        <f aca="false">Model!R95+Model!S95+Model!T95</f>
        <v>408755.457082536</v>
      </c>
      <c r="H23" s="16" t="n">
        <f aca="false">Model!U95+Model!V95+Model!W95</f>
        <v>703146.621672009</v>
      </c>
      <c r="I23" s="16" t="n">
        <f aca="false">Model!X95+Model!Y95+Model!Z95</f>
        <v>1109063.03617727</v>
      </c>
      <c r="J23" s="16" t="n">
        <f aca="false">Model!AA95+Model!AB95+Model!AC95</f>
        <v>524049.736519323</v>
      </c>
      <c r="K23" s="16" t="n">
        <f aca="false">Model!AD95+Model!AE95+Model!AF95</f>
        <v>1335641.58591135</v>
      </c>
      <c r="L23" s="16" t="n">
        <f aca="false">Model!AG95+Model!AH95+Model!AI95</f>
        <v>1128941.58081741</v>
      </c>
      <c r="M23" s="16" t="n">
        <f aca="false">Model!AJ95+Model!AK95+Model!AL95</f>
        <v>318470.65743599</v>
      </c>
      <c r="N23" s="16" t="n">
        <f aca="false">Model!AM95+Model!AN95+Model!AO95</f>
        <v>-312205.301526161</v>
      </c>
      <c r="O23" s="16" t="n">
        <f aca="false">Model!AP95+Model!AQ95+Model!AR95</f>
        <v>-572047.704052477</v>
      </c>
      <c r="P23" s="16" t="n">
        <f aca="false">Model!AS95+Model!AT95+Model!AU95</f>
        <v>-1043213.29768884</v>
      </c>
      <c r="Q23" s="16" t="n">
        <f aca="false">Model!AV95+Model!AW95+Model!AX95</f>
        <v>-1105791.43048884</v>
      </c>
      <c r="R23" s="16" t="n">
        <f aca="false">Model!AY95+Model!AZ95+Model!BA95</f>
        <v>-1144575.95052262</v>
      </c>
      <c r="S23" s="16" t="n">
        <f aca="false">Model!BB95+Model!BC95+Model!BD95</f>
        <v>-1173976.84380262</v>
      </c>
      <c r="T23" s="16" t="n">
        <f aca="false">Model!BE95+Model!BF95+Model!BG95</f>
        <v>-1332963.26001595</v>
      </c>
      <c r="U23" s="16" t="n">
        <f aca="false">Model!BH95+Model!BI95+Model!BJ95</f>
        <v>-1472652.12172262</v>
      </c>
      <c r="V23" s="16" t="n">
        <f aca="false">Model!BK95+Model!BL95+Model!BM95</f>
        <v>-1783223.37881307</v>
      </c>
      <c r="W23" s="16" t="n">
        <f aca="false">Model!BN95+Model!BO95+Model!BP95</f>
        <v>-1757103.71728667</v>
      </c>
      <c r="X23" s="16" t="n">
        <f aca="false">Model!BQ95+Model!BR95+Model!BS95</f>
        <v>-1738647.07568027</v>
      </c>
      <c r="Y23" s="16" t="n">
        <f aca="false">Model!BT95+Model!BU95+Model!BV95</f>
        <v>-1715461.37881307</v>
      </c>
      <c r="Z23" s="16" t="n">
        <f aca="false">Model!BW95+Model!BX95+Model!BY95</f>
        <v>-1751125.84638933</v>
      </c>
      <c r="AA23" s="16" t="n">
        <f aca="false">Model!BZ95+Model!CA95+Model!CB95</f>
        <v>-1768290.5820324</v>
      </c>
      <c r="AB23" s="16" t="n">
        <f aca="false">Model!CC95+Model!CD95+Model!CE95</f>
        <v>-1766038.25719387</v>
      </c>
      <c r="AC23" s="16" t="n">
        <f aca="false">Model!CF95+Model!CG95+Model!CH95</f>
        <v>-1735780.81978285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-0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-250000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250000</v>
      </c>
      <c r="N36" s="10" t="n">
        <f aca="false">Model!AO107</f>
        <v>250000</v>
      </c>
      <c r="O36" s="10" t="n">
        <f aca="false">Model!AR107</f>
        <v>250000</v>
      </c>
      <c r="P36" s="10" t="n">
        <f aca="false">Model!AU107</f>
        <v>250000</v>
      </c>
      <c r="Q36" s="10" t="n">
        <f aca="false">Model!AX107</f>
        <v>250000</v>
      </c>
      <c r="R36" s="10" t="n">
        <f aca="false">Model!BA107</f>
        <v>250000</v>
      </c>
      <c r="S36" s="10" t="n">
        <f aca="false">Model!BD107</f>
        <v>250000</v>
      </c>
      <c r="T36" s="10" t="n">
        <f aca="false">Model!BG107</f>
        <v>250000</v>
      </c>
      <c r="U36" s="10" t="n">
        <f aca="false">Model!BJ107</f>
        <v>250000</v>
      </c>
      <c r="V36" s="10" t="n">
        <f aca="false">Model!BM107</f>
        <v>250000</v>
      </c>
      <c r="W36" s="10" t="n">
        <f aca="false">Model!BP107</f>
        <v>250000</v>
      </c>
      <c r="X36" s="10" t="n">
        <f aca="false">Model!BS107</f>
        <v>250000</v>
      </c>
      <c r="Y36" s="10" t="n">
        <f aca="false">Model!BV107</f>
        <v>250000</v>
      </c>
      <c r="Z36" s="10" t="n">
        <f aca="false">Model!BY107</f>
        <v>250000</v>
      </c>
      <c r="AA36" s="10" t="n">
        <f aca="false">Model!CB107</f>
        <v>250000</v>
      </c>
      <c r="AB36" s="10" t="n">
        <f aca="false">Model!CE107</f>
        <v>250000</v>
      </c>
      <c r="AC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2522732.01853206</v>
      </c>
      <c r="D42" s="21" t="n">
        <f aca="false">Model!K147</f>
        <v>3927995.26604322</v>
      </c>
      <c r="E42" s="21" t="n">
        <f aca="false">Model!N147</f>
        <v>4927084.65850136</v>
      </c>
      <c r="F42" s="21" t="n">
        <f aca="false">Model!Q147</f>
        <v>5623272.15749585</v>
      </c>
      <c r="G42" s="21" t="n">
        <f aca="false">Model!T147</f>
        <v>6294527.37397839</v>
      </c>
      <c r="H42" s="21" t="n">
        <f aca="false">Model!W147</f>
        <v>7051608.4062504</v>
      </c>
      <c r="I42" s="21" t="n">
        <f aca="false">Model!Z147</f>
        <v>8044035.51062767</v>
      </c>
      <c r="J42" s="21" t="n">
        <f aca="false">Model!AC147</f>
        <v>8280784.08224699</v>
      </c>
      <c r="K42" s="21" t="n">
        <f aca="false">Model!AF147</f>
        <v>9473037.52885834</v>
      </c>
      <c r="L42" s="21" t="n">
        <f aca="false">Model!AI147</f>
        <v>10463932.9735757</v>
      </c>
      <c r="M42" s="21" t="n">
        <f aca="false">Model!AL147</f>
        <v>10684293.1781117</v>
      </c>
      <c r="N42" s="21" t="n">
        <f aca="false">Model!AO147</f>
        <v>10426086.5376356</v>
      </c>
      <c r="O42" s="21" t="n">
        <f aca="false">Model!AR147</f>
        <v>10077090.6866331</v>
      </c>
      <c r="P42" s="21" t="n">
        <f aca="false">Model!AU147</f>
        <v>9213699.72199426</v>
      </c>
      <c r="Q42" s="21" t="n">
        <f aca="false">Model!AX147</f>
        <v>8350308.75735542</v>
      </c>
      <c r="R42" s="21" t="n">
        <f aca="false">Model!BA147</f>
        <v>7460251.1934238</v>
      </c>
      <c r="S42" s="21" t="n">
        <f aca="false">Model!BD147</f>
        <v>6570193.62949218</v>
      </c>
      <c r="T42" s="21" t="n">
        <f aca="false">Model!BG147</f>
        <v>5523489.73222723</v>
      </c>
      <c r="U42" s="21" t="n">
        <f aca="false">Model!BJ147</f>
        <v>4163493.16829562</v>
      </c>
      <c r="V42" s="21" t="n">
        <f aca="false">Model!BM147</f>
        <v>2776296.67308537</v>
      </c>
      <c r="W42" s="21" t="n">
        <f aca="false">Model!BP147</f>
        <v>1389100.17787512</v>
      </c>
      <c r="X42" s="21" t="n">
        <f aca="false">Model!BS147</f>
        <v>1903.68266486865</v>
      </c>
      <c r="Y42" s="21" t="n">
        <f aca="false">Model!BV147</f>
        <v>-1385292.81254538</v>
      </c>
      <c r="Z42" s="21" t="n">
        <f aca="false">Model!BY147</f>
        <v>-2800233.23765984</v>
      </c>
      <c r="AA42" s="21" t="n">
        <f aca="false">Model!CB147</f>
        <v>-4215173.66277429</v>
      </c>
      <c r="AB42" s="21" t="n">
        <f aca="false">Model!CE147</f>
        <v>-5630114.08788874</v>
      </c>
      <c r="AC42" s="21" t="n">
        <f aca="false">Model!CH147</f>
        <v>-7045054.5130032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-27902.19</v>
      </c>
      <c r="D43" s="21" t="n">
        <f aca="false">Model!K155</f>
        <v>-688002.19</v>
      </c>
      <c r="E43" s="21" t="n">
        <f aca="false">Model!N155</f>
        <v>-1550081.6988</v>
      </c>
      <c r="F43" s="21" t="n">
        <f aca="false">Model!Q155</f>
        <v>-2169335.0826</v>
      </c>
      <c r="G43" s="21" t="n">
        <f aca="false">Model!T155</f>
        <v>-2821834.842</v>
      </c>
      <c r="H43" s="21" t="n">
        <f aca="false">Model!W155</f>
        <v>-3201738.49588545</v>
      </c>
      <c r="I43" s="21" t="n">
        <f aca="false">Model!Z155</f>
        <v>-3335102.56408545</v>
      </c>
      <c r="J43" s="21" t="n">
        <f aca="false">Model!AC155</f>
        <v>-3047801.39918544</v>
      </c>
      <c r="K43" s="21" t="n">
        <f aca="false">Model!AF155</f>
        <v>-2904413.25988545</v>
      </c>
      <c r="L43" s="21" t="n">
        <f aca="false">Model!AI155</f>
        <v>-2766367.12378544</v>
      </c>
      <c r="M43" s="21" t="n">
        <f aca="false">Model!AL155</f>
        <v>-2918256.67088544</v>
      </c>
      <c r="N43" s="21" t="n">
        <f aca="false">Model!AO155</f>
        <v>-2972255.33193544</v>
      </c>
      <c r="O43" s="21" t="n">
        <f aca="false">Model!AR155</f>
        <v>-3195307.18498544</v>
      </c>
      <c r="P43" s="21" t="n">
        <f aca="false">Model!AU155</f>
        <v>-3375129.51803544</v>
      </c>
      <c r="Q43" s="21" t="n">
        <f aca="false">Model!AX155</f>
        <v>-3617529.98388544</v>
      </c>
      <c r="R43" s="21" t="n">
        <f aca="false">Model!BA155</f>
        <v>-3872048.37047644</v>
      </c>
      <c r="S43" s="21" t="n">
        <f aca="false">Model!BD155</f>
        <v>-4155967.65034744</v>
      </c>
      <c r="T43" s="21" t="n">
        <f aca="false">Model!BG155</f>
        <v>-4442227.01309845</v>
      </c>
      <c r="U43" s="21" t="n">
        <f aca="false">Model!BJ155</f>
        <v>-4554882.57088945</v>
      </c>
      <c r="V43" s="21" t="n">
        <f aca="false">Model!BM155</f>
        <v>-4950909.45449227</v>
      </c>
      <c r="W43" s="21" t="n">
        <f aca="false">Model!BP155</f>
        <v>-5320816.67656869</v>
      </c>
      <c r="X43" s="21" t="n">
        <f aca="false">Model!BS155</f>
        <v>-5672267.25703871</v>
      </c>
      <c r="Y43" s="21" t="n">
        <f aca="false">Model!BV155</f>
        <v>-6000532.14064153</v>
      </c>
      <c r="Z43" s="21" t="n">
        <f aca="false">Model!BY155</f>
        <v>-6336717.5619164</v>
      </c>
      <c r="AA43" s="21" t="n">
        <f aca="false">Model!CB155</f>
        <v>-6690067.71883435</v>
      </c>
      <c r="AB43" s="21" t="n">
        <f aca="false">Model!CE155</f>
        <v>-7041165.55091377</v>
      </c>
      <c r="AC43" s="21" t="n">
        <f aca="false">Model!CH155</f>
        <v>-7362005.94558217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-457933.867812966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-706753.823282153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-1229308.78182761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2494829.82853206</v>
      </c>
      <c r="D45" s="23" t="n">
        <f aca="false">Model!K160</f>
        <v>3239993.07604322</v>
      </c>
      <c r="E45" s="23" t="n">
        <f aca="false">Model!N160</f>
        <v>2919069.09188839</v>
      </c>
      <c r="F45" s="23" t="n">
        <f aca="false">Model!Q160</f>
        <v>3453937.07489585</v>
      </c>
      <c r="G45" s="23" t="n">
        <f aca="false">Model!T160</f>
        <v>3472692.53197839</v>
      </c>
      <c r="H45" s="23" t="n">
        <f aca="false">Model!W160</f>
        <v>3849869.91036495</v>
      </c>
      <c r="I45" s="23" t="n">
        <f aca="false">Model!Z160</f>
        <v>4002179.12326007</v>
      </c>
      <c r="J45" s="23" t="n">
        <f aca="false">Model!AC160</f>
        <v>5232982.68306155</v>
      </c>
      <c r="K45" s="23" t="n">
        <f aca="false">Model!AF160</f>
        <v>6568624.2689729</v>
      </c>
      <c r="L45" s="23" t="n">
        <f aca="false">Model!AI160</f>
        <v>7697565.8497903</v>
      </c>
      <c r="M45" s="23" t="n">
        <f aca="false">Model!AL160</f>
        <v>6536727.72539869</v>
      </c>
      <c r="N45" s="23" t="n">
        <f aca="false">Model!AO160</f>
        <v>7453831.20570013</v>
      </c>
      <c r="O45" s="23" t="n">
        <f aca="false">Model!AR160</f>
        <v>6881783.50164765</v>
      </c>
      <c r="P45" s="23" t="n">
        <f aca="false">Model!AU160</f>
        <v>5838570.20395881</v>
      </c>
      <c r="Q45" s="23" t="n">
        <f aca="false">Model!AX160</f>
        <v>4732778.77346997</v>
      </c>
      <c r="R45" s="23" t="n">
        <f aca="false">Model!BA160</f>
        <v>3588202.82294736</v>
      </c>
      <c r="S45" s="23" t="n">
        <f aca="false">Model!BD160</f>
        <v>2414225.97914474</v>
      </c>
      <c r="T45" s="23" t="n">
        <f aca="false">Model!BG160</f>
        <v>1081262.71912879</v>
      </c>
      <c r="U45" s="23" t="n">
        <f aca="false">Model!BJ160</f>
        <v>-391389.402593828</v>
      </c>
      <c r="V45" s="23" t="n">
        <f aca="false">Model!BM160</f>
        <v>-2174612.7814069</v>
      </c>
      <c r="W45" s="23" t="n">
        <f aca="false">Model!BP160</f>
        <v>-3931716.49869357</v>
      </c>
      <c r="X45" s="23" t="n">
        <f aca="false">Model!BS160</f>
        <v>-5670363.57437384</v>
      </c>
      <c r="Y45" s="23" t="n">
        <f aca="false">Model!BV160</f>
        <v>-7385824.95318691</v>
      </c>
      <c r="Z45" s="23" t="n">
        <f aca="false">Model!BY160</f>
        <v>-9136950.79957624</v>
      </c>
      <c r="AA45" s="23" t="n">
        <f aca="false">Model!CB160</f>
        <v>-10905241.3816086</v>
      </c>
      <c r="AB45" s="23" t="n">
        <f aca="false">Model!CE160</f>
        <v>-12671279.6388025</v>
      </c>
      <c r="AC45" s="23" t="n">
        <f aca="false">Model!CH160</f>
        <v>-14407060.4585854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0</v>
      </c>
      <c r="H14" s="68" t="n">
        <f aca="false">Model!H53+Model!H54+Model!H55</f>
        <v>0</v>
      </c>
      <c r="I14" s="68" t="n">
        <f aca="false">Model!I53+Model!I54+Model!I55</f>
        <v>0</v>
      </c>
      <c r="J14" s="68" t="n">
        <f aca="false">Model!J53+Model!J54+Model!J55</f>
        <v>0</v>
      </c>
      <c r="K14" s="68" t="n">
        <f aca="false">Model!K53+Model!K54+Model!K55</f>
        <v>0</v>
      </c>
      <c r="L14" s="68" t="n">
        <f aca="false">Model!L53+Model!L54+Model!L55</f>
        <v>0</v>
      </c>
      <c r="M14" s="68" t="n">
        <f aca="false">Model!M53+Model!M54+Model!M55</f>
        <v>0</v>
      </c>
      <c r="N14" s="68" t="n">
        <f aca="false">Model!N53+Model!N54+Model!N55</f>
        <v>0</v>
      </c>
      <c r="O14" s="68" t="n">
        <f aca="false">Model!O53+Model!O54+Model!O55</f>
        <v>0</v>
      </c>
      <c r="P14" s="68" t="n">
        <f aca="false">Model!P53+Model!P54+Model!P55</f>
        <v>0</v>
      </c>
      <c r="Q14" s="68" t="n">
        <f aca="false">Model!Q53+Model!Q54+Model!Q55</f>
        <v>0</v>
      </c>
      <c r="R14" s="68" t="n">
        <f aca="false">Model!R53+Model!R54+Model!R55</f>
        <v>0</v>
      </c>
      <c r="S14" s="68" t="n">
        <f aca="false">Model!S53+Model!S54+Model!S55</f>
        <v>0</v>
      </c>
      <c r="T14" s="68" t="n">
        <f aca="false">Model!T53+Model!T54+Model!T55</f>
        <v>0</v>
      </c>
      <c r="U14" s="68" t="n">
        <f aca="false">Model!U53+Model!U54+Model!U55</f>
        <v>0</v>
      </c>
      <c r="V14" s="68" t="n">
        <f aca="false">Model!V53+Model!V54+Model!V55</f>
        <v>0</v>
      </c>
      <c r="W14" s="68" t="n">
        <f aca="false">Model!W53+Model!W54+Model!W55</f>
        <v>0</v>
      </c>
      <c r="X14" s="68" t="n">
        <f aca="false">Model!X53+Model!X54+Model!X55</f>
        <v>0</v>
      </c>
      <c r="Y14" s="68" t="n">
        <f aca="false">Model!Y53+Model!Y54+Model!Y55</f>
        <v>0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0</v>
      </c>
      <c r="H16" s="69" t="n">
        <f aca="false">H14+H15</f>
        <v>0</v>
      </c>
      <c r="I16" s="69" t="n">
        <f aca="false">I14+I15</f>
        <v>0</v>
      </c>
      <c r="J16" s="69" t="n">
        <f aca="false">J14+J15</f>
        <v>0</v>
      </c>
      <c r="K16" s="69" t="n">
        <f aca="false">K14+K15</f>
        <v>0</v>
      </c>
      <c r="L16" s="69" t="n">
        <f aca="false">L14+L15</f>
        <v>0</v>
      </c>
      <c r="M16" s="69" t="n">
        <f aca="false">M14+M15</f>
        <v>0</v>
      </c>
      <c r="N16" s="69" t="n">
        <f aca="false">N14+N15</f>
        <v>0</v>
      </c>
      <c r="O16" s="69" t="n">
        <f aca="false">O14+O15</f>
        <v>0</v>
      </c>
      <c r="P16" s="69" t="n">
        <f aca="false">P14+P15</f>
        <v>0</v>
      </c>
      <c r="Q16" s="69" t="n">
        <f aca="false">Q14+Q15</f>
        <v>0</v>
      </c>
      <c r="R16" s="69" t="n">
        <f aca="false">R14+R15</f>
        <v>0</v>
      </c>
      <c r="S16" s="69" t="n">
        <f aca="false">S14+S15</f>
        <v>0</v>
      </c>
      <c r="T16" s="69" t="n">
        <f aca="false">T14+T15</f>
        <v>0</v>
      </c>
      <c r="U16" s="69" t="n">
        <f aca="false">U14+U15</f>
        <v>0</v>
      </c>
      <c r="V16" s="69" t="n">
        <f aca="false">V14+V15</f>
        <v>0</v>
      </c>
      <c r="W16" s="69" t="n">
        <f aca="false">W14+W15</f>
        <v>0</v>
      </c>
      <c r="X16" s="69" t="n">
        <f aca="false">X14+X15</f>
        <v>0</v>
      </c>
      <c r="Y16" s="69" t="n">
        <f aca="false">Y14+Y15</f>
        <v>0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0</v>
      </c>
      <c r="H17" s="70" t="n">
        <f aca="false">G17+H16</f>
        <v>0</v>
      </c>
      <c r="I17" s="70" t="n">
        <f aca="false">H17+I16</f>
        <v>0</v>
      </c>
      <c r="J17" s="70" t="n">
        <f aca="false">I17+J16</f>
        <v>0</v>
      </c>
      <c r="K17" s="70" t="n">
        <f aca="false">J17+K16</f>
        <v>0</v>
      </c>
      <c r="L17" s="70" t="n">
        <f aca="false">K17+L16</f>
        <v>0</v>
      </c>
      <c r="M17" s="70" t="n">
        <f aca="false">L17+M16</f>
        <v>0</v>
      </c>
      <c r="N17" s="70" t="n">
        <f aca="false">M17+N16</f>
        <v>0</v>
      </c>
      <c r="O17" s="70" t="n">
        <f aca="false">N17+O16</f>
        <v>0</v>
      </c>
      <c r="P17" s="70" t="n">
        <f aca="false">O17+P16</f>
        <v>0</v>
      </c>
      <c r="Q17" s="70" t="n">
        <f aca="false">P17+Q16</f>
        <v>0</v>
      </c>
      <c r="R17" s="70" t="n">
        <f aca="false">Q17+R16</f>
        <v>0</v>
      </c>
      <c r="S17" s="70" t="n">
        <f aca="false">R17+S16</f>
        <v>0</v>
      </c>
      <c r="T17" s="70" t="n">
        <f aca="false">S17+T16</f>
        <v>0</v>
      </c>
      <c r="U17" s="70" t="n">
        <f aca="false">T17+U16</f>
        <v>0</v>
      </c>
      <c r="V17" s="70" t="n">
        <f aca="false">U17+V16</f>
        <v>0</v>
      </c>
      <c r="W17" s="70" t="n">
        <f aca="false">V17+W16</f>
        <v>0</v>
      </c>
      <c r="X17" s="70" t="n">
        <f aca="false">W17+X16</f>
        <v>0</v>
      </c>
      <c r="Y17" s="70" t="n">
        <f aca="false">X17+Y16</f>
        <v>0</v>
      </c>
      <c r="Z17" s="70" t="n">
        <f aca="false">Y17+Z16</f>
        <v>0</v>
      </c>
      <c r="AA17" s="70" t="n">
        <f aca="false">Z17+AA16</f>
        <v>0</v>
      </c>
      <c r="AB17" s="70" t="n">
        <f aca="false">AA17+AB16</f>
        <v>0</v>
      </c>
      <c r="AC17" s="70" t="n">
        <f aca="false">AB17+AC16</f>
        <v>0</v>
      </c>
      <c r="AD17" s="70" t="n">
        <f aca="false">AC17+AD16</f>
        <v>0</v>
      </c>
      <c r="AE17" s="70" t="n">
        <f aca="false">AD17+AE16</f>
        <v>0</v>
      </c>
      <c r="AF17" s="70" t="n">
        <f aca="false">AE17+AF16</f>
        <v>0</v>
      </c>
      <c r="AG17" s="70" t="n">
        <f aca="false">AF17+AG16</f>
        <v>0</v>
      </c>
      <c r="AH17" s="70" t="n">
        <f aca="false">AG17+AH16</f>
        <v>0</v>
      </c>
      <c r="AI17" s="70" t="n">
        <f aca="false">AH17+AI16</f>
        <v>0</v>
      </c>
      <c r="AJ17" s="70" t="n">
        <f aca="false">AI17+AJ16</f>
        <v>0</v>
      </c>
      <c r="AK17" s="70" t="n">
        <f aca="false">AJ17+AK16</f>
        <v>0</v>
      </c>
      <c r="AL17" s="70" t="n">
        <f aca="false">AK17+AL16</f>
        <v>0</v>
      </c>
      <c r="AM17" s="70" t="n">
        <f aca="false">AL17+AM16</f>
        <v>0</v>
      </c>
      <c r="AN17" s="70" t="n">
        <f aca="false">AM17+AN16</f>
        <v>0</v>
      </c>
      <c r="AO17" s="70" t="n">
        <f aca="false">AN17+AO16</f>
        <v>0</v>
      </c>
      <c r="AP17" s="70" t="n">
        <f aca="false">AO17+AP16</f>
        <v>0</v>
      </c>
      <c r="AQ17" s="70" t="n">
        <f aca="false">AP17+AQ16</f>
        <v>0</v>
      </c>
      <c r="AR17" s="70" t="n">
        <f aca="false">AQ17+AR16</f>
        <v>0</v>
      </c>
      <c r="AS17" s="70" t="n">
        <f aca="false">AR17+AS16</f>
        <v>0</v>
      </c>
      <c r="AT17" s="70" t="n">
        <f aca="false">AS17+AT16</f>
        <v>0</v>
      </c>
      <c r="AU17" s="70" t="n">
        <f aca="false">AT17+AU16</f>
        <v>0</v>
      </c>
      <c r="AV17" s="70" t="n">
        <f aca="false">AU17+AV16</f>
        <v>0</v>
      </c>
      <c r="AW17" s="70" t="n">
        <f aca="false">AV17+AW16</f>
        <v>0</v>
      </c>
      <c r="AX17" s="70" t="n">
        <f aca="false">AW17+AX16</f>
        <v>0</v>
      </c>
      <c r="AY17" s="70" t="n">
        <f aca="false">AX17+AY16</f>
        <v>0</v>
      </c>
      <c r="AZ17" s="70" t="n">
        <f aca="false">AY17+AZ16</f>
        <v>0</v>
      </c>
      <c r="BA17" s="70" t="n">
        <f aca="false">AZ17+BA16</f>
        <v>0</v>
      </c>
      <c r="BB17" s="70" t="n">
        <f aca="false">BA17+BB16</f>
        <v>0</v>
      </c>
      <c r="BC17" s="70" t="n">
        <f aca="false">BB17+BC16</f>
        <v>0</v>
      </c>
      <c r="BD17" s="70" t="n">
        <f aca="false">BC17+BD16</f>
        <v>0</v>
      </c>
      <c r="BE17" s="70" t="n">
        <f aca="false">BD17+BE16</f>
        <v>0</v>
      </c>
      <c r="BF17" s="70" t="n">
        <f aca="false">BE17+BF16</f>
        <v>0</v>
      </c>
      <c r="BG17" s="70" t="n">
        <f aca="false">BF17+BG16</f>
        <v>0</v>
      </c>
      <c r="BH17" s="70" t="n">
        <f aca="false">BG17+BH16</f>
        <v>0</v>
      </c>
      <c r="BI17" s="70" t="n">
        <f aca="false">BH17+BI16</f>
        <v>0</v>
      </c>
      <c r="BJ17" s="70" t="n">
        <f aca="false">BI17+BJ16</f>
        <v>0</v>
      </c>
      <c r="BK17" s="70" t="n">
        <f aca="false">BJ17+BK16</f>
        <v>0</v>
      </c>
      <c r="BL17" s="70" t="n">
        <f aca="false">BK17+BL16</f>
        <v>0</v>
      </c>
      <c r="BM17" s="70" t="n">
        <f aca="false">BL17+BM16</f>
        <v>0</v>
      </c>
      <c r="BN17" s="70" t="n">
        <f aca="false">BM17+BN16</f>
        <v>0</v>
      </c>
      <c r="BO17" s="70" t="n">
        <f aca="false">BN17+BO16</f>
        <v>0</v>
      </c>
      <c r="BP17" s="70" t="n">
        <f aca="false">BO17+BP16</f>
        <v>0</v>
      </c>
      <c r="BQ17" s="70" t="n">
        <f aca="false">BP17+BQ16</f>
        <v>0</v>
      </c>
      <c r="BR17" s="70" t="n">
        <f aca="false">BQ17+BR16</f>
        <v>0</v>
      </c>
      <c r="BS17" s="70" t="n">
        <f aca="false">BR17+BS16</f>
        <v>0</v>
      </c>
      <c r="BT17" s="70" t="n">
        <f aca="false">BS17+BT16</f>
        <v>0</v>
      </c>
      <c r="BU17" s="70" t="n">
        <f aca="false">BT17+BU16</f>
        <v>0</v>
      </c>
      <c r="BV17" s="70" t="n">
        <f aca="false">BU17+BV16</f>
        <v>0</v>
      </c>
      <c r="BW17" s="70" t="n">
        <f aca="false">BV17+BW16</f>
        <v>0</v>
      </c>
      <c r="BX17" s="70" t="n">
        <f aca="false">BW17+BX16</f>
        <v>0</v>
      </c>
      <c r="BY17" s="70" t="n">
        <f aca="false">BX17+BY16</f>
        <v>0</v>
      </c>
      <c r="BZ17" s="70" t="n">
        <f aca="false">BY17+BZ16</f>
        <v>0</v>
      </c>
      <c r="CA17" s="70" t="n">
        <f aca="false">BZ17+CA16</f>
        <v>0</v>
      </c>
      <c r="CB17" s="70" t="n">
        <f aca="false">CA17+CB16</f>
        <v>0</v>
      </c>
      <c r="CC17" s="70" t="n">
        <f aca="false">CB17+CC16</f>
        <v>0</v>
      </c>
      <c r="CD17" s="70" t="n">
        <f aca="false">CC17+CD16</f>
        <v>0</v>
      </c>
      <c r="CE17" s="70" t="n">
        <f aca="false">CD17+CE16</f>
        <v>0</v>
      </c>
      <c r="CF17" s="70" t="n">
        <f aca="false">CE17+CF16</f>
        <v>0</v>
      </c>
      <c r="CG17" s="70" t="n">
        <f aca="false">CF17+CG16</f>
        <v>0</v>
      </c>
      <c r="CH17" s="7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0</v>
      </c>
      <c r="I20" s="68" t="n">
        <f aca="false">Model!I56+Model!I57+Model!I58</f>
        <v>0</v>
      </c>
      <c r="J20" s="68" t="n">
        <f aca="false">Model!J56+Model!J57+Model!J58</f>
        <v>0</v>
      </c>
      <c r="K20" s="68" t="n">
        <f aca="false">Model!K56+Model!K57+Model!K58</f>
        <v>0</v>
      </c>
      <c r="L20" s="68" t="n">
        <f aca="false">Model!L56+Model!L57+Model!L58</f>
        <v>0</v>
      </c>
      <c r="M20" s="68" t="n">
        <f aca="false">Model!M56+Model!M57+Model!M58</f>
        <v>0</v>
      </c>
      <c r="N20" s="68" t="n">
        <f aca="false">Model!N56+Model!N57+Model!N58</f>
        <v>0</v>
      </c>
      <c r="O20" s="68" t="n">
        <f aca="false">Model!O56+Model!O57+Model!O58</f>
        <v>0</v>
      </c>
      <c r="P20" s="68" t="n">
        <f aca="false">Model!P56+Model!P57+Model!P58</f>
        <v>0</v>
      </c>
      <c r="Q20" s="68" t="n">
        <f aca="false">Model!Q56+Model!Q57+Model!Q58</f>
        <v>0</v>
      </c>
      <c r="R20" s="68" t="n">
        <f aca="false">Model!R56+Model!R57+Model!R58</f>
        <v>0</v>
      </c>
      <c r="S20" s="68" t="n">
        <f aca="false">Model!S56+Model!S57+Model!S58</f>
        <v>0</v>
      </c>
      <c r="T20" s="68" t="n">
        <f aca="false">Model!T56+Model!T57+Model!T58</f>
        <v>0</v>
      </c>
      <c r="U20" s="68" t="n">
        <f aca="false">Model!U56+Model!U57+Model!U58</f>
        <v>0</v>
      </c>
      <c r="V20" s="68" t="n">
        <f aca="false">Model!V56+Model!V57+Model!V58</f>
        <v>0</v>
      </c>
      <c r="W20" s="68" t="n">
        <f aca="false">Model!W56+Model!W57+Model!W58</f>
        <v>0</v>
      </c>
      <c r="X20" s="68" t="n">
        <f aca="false">Model!X56+Model!X57+Model!X58</f>
        <v>0</v>
      </c>
      <c r="Y20" s="68" t="n">
        <f aca="false">Model!Y56+Model!Y57+Model!Y58</f>
        <v>0</v>
      </c>
      <c r="Z20" s="68" t="n">
        <f aca="false">Model!Z56+Model!Z57+Model!Z58</f>
        <v>0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0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0</v>
      </c>
      <c r="I22" s="69" t="n">
        <f aca="false">I20+I21</f>
        <v>0</v>
      </c>
      <c r="J22" s="69" t="n">
        <f aca="false">J20+J21</f>
        <v>0</v>
      </c>
      <c r="K22" s="69" t="n">
        <f aca="false">K20+K21</f>
        <v>0</v>
      </c>
      <c r="L22" s="69" t="n">
        <f aca="false">L20+L21</f>
        <v>0</v>
      </c>
      <c r="M22" s="69" t="n">
        <f aca="false">M20+M21</f>
        <v>0</v>
      </c>
      <c r="N22" s="69" t="n">
        <f aca="false">N20+N21</f>
        <v>0</v>
      </c>
      <c r="O22" s="69" t="n">
        <f aca="false">O20+O21</f>
        <v>0</v>
      </c>
      <c r="P22" s="69" t="n">
        <f aca="false">P20+P21</f>
        <v>0</v>
      </c>
      <c r="Q22" s="69" t="n">
        <f aca="false">Q20+Q21</f>
        <v>0</v>
      </c>
      <c r="R22" s="69" t="n">
        <f aca="false">R20+R21</f>
        <v>0</v>
      </c>
      <c r="S22" s="69" t="n">
        <f aca="false">S20+S21</f>
        <v>0</v>
      </c>
      <c r="T22" s="69" t="n">
        <f aca="false">T20+T21</f>
        <v>0</v>
      </c>
      <c r="U22" s="69" t="n">
        <f aca="false">U20+U21</f>
        <v>0</v>
      </c>
      <c r="V22" s="69" t="n">
        <f aca="false">V20+V21</f>
        <v>0</v>
      </c>
      <c r="W22" s="69" t="n">
        <f aca="false">W20+W21</f>
        <v>0</v>
      </c>
      <c r="X22" s="69" t="n">
        <f aca="false">X20+X21</f>
        <v>0</v>
      </c>
      <c r="Y22" s="69" t="n">
        <f aca="false">Y20+Y21</f>
        <v>0</v>
      </c>
      <c r="Z22" s="69" t="n">
        <f aca="false">Z20+Z21</f>
        <v>0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0</v>
      </c>
      <c r="I23" s="70" t="n">
        <f aca="false">H23+I22</f>
        <v>0</v>
      </c>
      <c r="J23" s="70" t="n">
        <f aca="false">I23+J22</f>
        <v>0</v>
      </c>
      <c r="K23" s="70" t="n">
        <f aca="false">J23+K22</f>
        <v>0</v>
      </c>
      <c r="L23" s="70" t="n">
        <f aca="false">K23+L22</f>
        <v>0</v>
      </c>
      <c r="M23" s="70" t="n">
        <f aca="false">L23+M22</f>
        <v>0</v>
      </c>
      <c r="N23" s="70" t="n">
        <f aca="false">M23+N22</f>
        <v>0</v>
      </c>
      <c r="O23" s="70" t="n">
        <f aca="false">N23+O22</f>
        <v>0</v>
      </c>
      <c r="P23" s="70" t="n">
        <f aca="false">O23+P22</f>
        <v>0</v>
      </c>
      <c r="Q23" s="70" t="n">
        <f aca="false">P23+Q22</f>
        <v>0</v>
      </c>
      <c r="R23" s="70" t="n">
        <f aca="false">Q23+R22</f>
        <v>0</v>
      </c>
      <c r="S23" s="70" t="n">
        <f aca="false">R23+S22</f>
        <v>0</v>
      </c>
      <c r="T23" s="70" t="n">
        <f aca="false">S23+T22</f>
        <v>0</v>
      </c>
      <c r="U23" s="70" t="n">
        <f aca="false">T23+U22</f>
        <v>0</v>
      </c>
      <c r="V23" s="70" t="n">
        <f aca="false">U23+V22</f>
        <v>0</v>
      </c>
      <c r="W23" s="70" t="n">
        <f aca="false">V23+W22</f>
        <v>0</v>
      </c>
      <c r="X23" s="70" t="n">
        <f aca="false">W23+X22</f>
        <v>0</v>
      </c>
      <c r="Y23" s="70" t="n">
        <f aca="false">X23+Y22</f>
        <v>0</v>
      </c>
      <c r="Z23" s="70" t="n">
        <f aca="false">Y23+Z22</f>
        <v>0</v>
      </c>
      <c r="AA23" s="70" t="n">
        <f aca="false">Z23+AA22</f>
        <v>0</v>
      </c>
      <c r="AB23" s="70" t="n">
        <f aca="false">AA23+AB22</f>
        <v>0</v>
      </c>
      <c r="AC23" s="70" t="n">
        <f aca="false">AB23+AC22</f>
        <v>0</v>
      </c>
      <c r="AD23" s="70" t="n">
        <f aca="false">AC23+AD22</f>
        <v>0</v>
      </c>
      <c r="AE23" s="70" t="n">
        <f aca="false">AD23+AE22</f>
        <v>0</v>
      </c>
      <c r="AF23" s="70" t="n">
        <f aca="false">AE23+AF22</f>
        <v>0</v>
      </c>
      <c r="AG23" s="70" t="n">
        <f aca="false">AF23+AG22</f>
        <v>0</v>
      </c>
      <c r="AH23" s="70" t="n">
        <f aca="false">AG23+AH22</f>
        <v>0</v>
      </c>
      <c r="AI23" s="70" t="n">
        <f aca="false">AH23+AI22</f>
        <v>0</v>
      </c>
      <c r="AJ23" s="70" t="n">
        <f aca="false">AI23+AJ22</f>
        <v>0</v>
      </c>
      <c r="AK23" s="70" t="n">
        <f aca="false">AJ23+AK22</f>
        <v>0</v>
      </c>
      <c r="AL23" s="70" t="n">
        <f aca="false">AK23+AL22</f>
        <v>0</v>
      </c>
      <c r="AM23" s="70" t="n">
        <f aca="false">AL23+AM22</f>
        <v>0</v>
      </c>
      <c r="AN23" s="70" t="n">
        <f aca="false">AM23+AN22</f>
        <v>0</v>
      </c>
      <c r="AO23" s="70" t="n">
        <f aca="false">AN23+AO22</f>
        <v>0</v>
      </c>
      <c r="AP23" s="70" t="n">
        <f aca="false">AO23+AP22</f>
        <v>0</v>
      </c>
      <c r="AQ23" s="70" t="n">
        <f aca="false">AP23+AQ22</f>
        <v>0</v>
      </c>
      <c r="AR23" s="70" t="n">
        <f aca="false">AQ23+AR22</f>
        <v>0</v>
      </c>
      <c r="AS23" s="70" t="n">
        <f aca="false">AR23+AS22</f>
        <v>0</v>
      </c>
      <c r="AT23" s="70" t="n">
        <f aca="false">AS23+AT22</f>
        <v>0</v>
      </c>
      <c r="AU23" s="70" t="n">
        <f aca="false">AT23+AU22</f>
        <v>0</v>
      </c>
      <c r="AV23" s="70" t="n">
        <f aca="false">AU23+AV22</f>
        <v>0</v>
      </c>
      <c r="AW23" s="70" t="n">
        <f aca="false">AV23+AW22</f>
        <v>0</v>
      </c>
      <c r="AX23" s="70" t="n">
        <f aca="false">AW23+AX22</f>
        <v>0</v>
      </c>
      <c r="AY23" s="70" t="n">
        <f aca="false">AX23+AY22</f>
        <v>0</v>
      </c>
      <c r="AZ23" s="70" t="n">
        <f aca="false">AY23+AZ22</f>
        <v>0</v>
      </c>
      <c r="BA23" s="70" t="n">
        <f aca="false">AZ23+BA22</f>
        <v>0</v>
      </c>
      <c r="BB23" s="70" t="n">
        <f aca="false">BA23+BB22</f>
        <v>0</v>
      </c>
      <c r="BC23" s="70" t="n">
        <f aca="false">BB23+BC22</f>
        <v>0</v>
      </c>
      <c r="BD23" s="70" t="n">
        <f aca="false">BC23+BD22</f>
        <v>0</v>
      </c>
      <c r="BE23" s="70" t="n">
        <f aca="false">BD23+BE22</f>
        <v>0</v>
      </c>
      <c r="BF23" s="70" t="n">
        <f aca="false">BE23+BF22</f>
        <v>0</v>
      </c>
      <c r="BG23" s="70" t="n">
        <f aca="false">BF23+BG22</f>
        <v>0</v>
      </c>
      <c r="BH23" s="70" t="n">
        <f aca="false">BG23+BH22</f>
        <v>0</v>
      </c>
      <c r="BI23" s="70" t="n">
        <f aca="false">BH23+BI22</f>
        <v>0</v>
      </c>
      <c r="BJ23" s="70" t="n">
        <f aca="false">BI23+BJ22</f>
        <v>0</v>
      </c>
      <c r="BK23" s="70" t="n">
        <f aca="false">BJ23+BK22</f>
        <v>0</v>
      </c>
      <c r="BL23" s="70" t="n">
        <f aca="false">BK23+BL22</f>
        <v>0</v>
      </c>
      <c r="BM23" s="70" t="n">
        <f aca="false">BL23+BM22</f>
        <v>0</v>
      </c>
      <c r="BN23" s="70" t="n">
        <f aca="false">BM23+BN22</f>
        <v>0</v>
      </c>
      <c r="BO23" s="70" t="n">
        <f aca="false">BN23+BO22</f>
        <v>0</v>
      </c>
      <c r="BP23" s="70" t="n">
        <f aca="false">BO23+BP22</f>
        <v>0</v>
      </c>
      <c r="BQ23" s="70" t="n">
        <f aca="false">BP23+BQ22</f>
        <v>0</v>
      </c>
      <c r="BR23" s="70" t="n">
        <f aca="false">BQ23+BR22</f>
        <v>0</v>
      </c>
      <c r="BS23" s="70" t="n">
        <f aca="false">BR23+BS22</f>
        <v>0</v>
      </c>
      <c r="BT23" s="70" t="n">
        <f aca="false">BS23+BT22</f>
        <v>0</v>
      </c>
      <c r="BU23" s="70" t="n">
        <f aca="false">BT23+BU22</f>
        <v>0</v>
      </c>
      <c r="BV23" s="70" t="n">
        <f aca="false">BU23+BV22</f>
        <v>0</v>
      </c>
      <c r="BW23" s="70" t="n">
        <f aca="false">BV23+BW22</f>
        <v>0</v>
      </c>
      <c r="BX23" s="70" t="n">
        <f aca="false">BW23+BX22</f>
        <v>0</v>
      </c>
      <c r="BY23" s="70" t="n">
        <f aca="false">BX23+BY22</f>
        <v>0</v>
      </c>
      <c r="BZ23" s="70" t="n">
        <f aca="false">BY23+BZ22</f>
        <v>0</v>
      </c>
      <c r="CA23" s="70" t="n">
        <f aca="false">BZ23+CA22</f>
        <v>0</v>
      </c>
      <c r="CB23" s="70" t="n">
        <f aca="false">CA23+CB22</f>
        <v>0</v>
      </c>
      <c r="CC23" s="70" t="n">
        <f aca="false">CB23+CC22</f>
        <v>0</v>
      </c>
      <c r="CD23" s="70" t="n">
        <f aca="false">CC23+CD22</f>
        <v>0</v>
      </c>
      <c r="CE23" s="70" t="n">
        <f aca="false">CD23+CE22</f>
        <v>0</v>
      </c>
      <c r="CF23" s="70" t="n">
        <f aca="false">CE23+CF22</f>
        <v>0</v>
      </c>
      <c r="CG23" s="70" t="n">
        <f aca="false">CF23+CG22</f>
        <v>0</v>
      </c>
      <c r="CH23" s="7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33281.25</v>
      </c>
      <c r="H45" s="69" t="n">
        <f aca="false">H5+H10+H16+H22+H28+H35+H41</f>
        <v>33281.25</v>
      </c>
      <c r="I45" s="69" t="n">
        <f aca="false">I5+I10+I16+I22+I28+I35+I41</f>
        <v>33281.25</v>
      </c>
      <c r="J45" s="69" t="n">
        <f aca="false">J5+J10+J16+J22+J28+J35+J41</f>
        <v>23906.25</v>
      </c>
      <c r="K45" s="69" t="n">
        <f aca="false">K5+K10+K16+K22+K28+K35+K41</f>
        <v>23906.25</v>
      </c>
      <c r="L45" s="69" t="n">
        <f aca="false">L5+L10+L16+L22+L28+L35+L41</f>
        <v>23906.25</v>
      </c>
      <c r="M45" s="69" t="n">
        <f aca="false">M5+M10+M16+M22+M28+M35+M41</f>
        <v>23906.25</v>
      </c>
      <c r="N45" s="69" t="n">
        <f aca="false">N5+N10+N16+N22+N28+N35+N41</f>
        <v>23906.25</v>
      </c>
      <c r="O45" s="69" t="n">
        <f aca="false">O5+O10+O16+O22+O28+O35+O41</f>
        <v>23906.25</v>
      </c>
      <c r="P45" s="69" t="n">
        <f aca="false">P5+P10+P16+P22+P28+P35+P41</f>
        <v>23906.25</v>
      </c>
      <c r="Q45" s="69" t="n">
        <f aca="false">Q5+Q10+Q16+Q22+Q28+Q35+Q41</f>
        <v>23906.25</v>
      </c>
      <c r="R45" s="69" t="n">
        <f aca="false">R5+R10+R16+R22+R28+R35+R41</f>
        <v>0</v>
      </c>
      <c r="S45" s="69" t="n">
        <f aca="false">S5+S10+S16+S22+S28+S35+S41</f>
        <v>0</v>
      </c>
      <c r="T45" s="69" t="n">
        <f aca="false">T5+T10+T16+T22+T28+T35+T41</f>
        <v>0</v>
      </c>
      <c r="U45" s="69" t="n">
        <f aca="false">U5+U10+U16+U22+U28+U35+U41</f>
        <v>0</v>
      </c>
      <c r="V45" s="69" t="n">
        <f aca="false">V5+V10+V16+V22+V28+V35+V41</f>
        <v>0</v>
      </c>
      <c r="W45" s="69" t="n">
        <f aca="false">W5+W10+W16+W22+W28+W35+W41</f>
        <v>57375</v>
      </c>
      <c r="X45" s="69" t="n">
        <f aca="false">X5+X10+X16+X22+X28+X35+X41</f>
        <v>0</v>
      </c>
      <c r="Y45" s="69" t="n">
        <f aca="false">Y5+Y10+Y16+Y22+Y28+Y35+Y41</f>
        <v>0</v>
      </c>
      <c r="Z45" s="69" t="n">
        <f aca="false">Z5+Z10+Z16+Z22+Z28+Z35+Z41</f>
        <v>57375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166406.25</v>
      </c>
      <c r="H46" s="70" t="n">
        <f aca="false">G46+H45</f>
        <v>199687.5</v>
      </c>
      <c r="I46" s="70" t="n">
        <f aca="false">H46+I45</f>
        <v>232968.75</v>
      </c>
      <c r="J46" s="70" t="n">
        <f aca="false">I46+J45</f>
        <v>256875</v>
      </c>
      <c r="K46" s="70" t="n">
        <f aca="false">J46+K45</f>
        <v>280781.25</v>
      </c>
      <c r="L46" s="70" t="n">
        <f aca="false">K46+L45</f>
        <v>304687.5</v>
      </c>
      <c r="M46" s="70" t="n">
        <f aca="false">L46+M45</f>
        <v>328593.75</v>
      </c>
      <c r="N46" s="70" t="n">
        <f aca="false">M46+N45</f>
        <v>352500</v>
      </c>
      <c r="O46" s="70" t="n">
        <f aca="false">N46+O45</f>
        <v>376406.25</v>
      </c>
      <c r="P46" s="70" t="n">
        <f aca="false">O46+P45</f>
        <v>400312.5</v>
      </c>
      <c r="Q46" s="70" t="n">
        <f aca="false">P46+Q45</f>
        <v>424218.75</v>
      </c>
      <c r="R46" s="70" t="n">
        <f aca="false">Q46+R45</f>
        <v>424218.75</v>
      </c>
      <c r="S46" s="70" t="n">
        <f aca="false">R46+S45</f>
        <v>424218.75</v>
      </c>
      <c r="T46" s="70" t="n">
        <f aca="false">S46+T45</f>
        <v>424218.75</v>
      </c>
      <c r="U46" s="70" t="n">
        <f aca="false">T46+U45</f>
        <v>424218.75</v>
      </c>
      <c r="V46" s="70" t="n">
        <f aca="false">U46+V45</f>
        <v>424218.75</v>
      </c>
      <c r="W46" s="70" t="n">
        <f aca="false">V46+W45</f>
        <v>481593.75</v>
      </c>
      <c r="X46" s="70" t="n">
        <f aca="false">W46+X45</f>
        <v>481593.75</v>
      </c>
      <c r="Y46" s="70" t="n">
        <f aca="false">X46+Y45</f>
        <v>481593.75</v>
      </c>
      <c r="Z46" s="70" t="n">
        <f aca="false">Y46+Z45</f>
        <v>538968.75</v>
      </c>
      <c r="AA46" s="70" t="n">
        <f aca="false">Z46+AA45</f>
        <v>538968.75</v>
      </c>
      <c r="AB46" s="70" t="n">
        <f aca="false">AA46+AB45</f>
        <v>538968.75</v>
      </c>
      <c r="AC46" s="70" t="n">
        <f aca="false">AB46+AC45</f>
        <v>596343.75</v>
      </c>
      <c r="AD46" s="70" t="n">
        <f aca="false">AC46+AD45</f>
        <v>596343.75</v>
      </c>
      <c r="AE46" s="70" t="n">
        <f aca="false">AD46+AE45</f>
        <v>596343.75</v>
      </c>
      <c r="AF46" s="70" t="n">
        <f aca="false">AE46+AF45</f>
        <v>596343.75</v>
      </c>
      <c r="AG46" s="70" t="n">
        <f aca="false">AF46+AG45</f>
        <v>596343.75</v>
      </c>
      <c r="AH46" s="70" t="n">
        <f aca="false">AG46+AH45</f>
        <v>596343.75</v>
      </c>
      <c r="AI46" s="70" t="n">
        <f aca="false">AH46+AI45</f>
        <v>596343.75</v>
      </c>
      <c r="AJ46" s="70" t="n">
        <f aca="false">AI46+AJ45</f>
        <v>596343.75</v>
      </c>
      <c r="AK46" s="70" t="n">
        <f aca="false">AJ46+AK45</f>
        <v>596343.75</v>
      </c>
      <c r="AL46" s="70" t="n">
        <f aca="false">AK46+AL45</f>
        <v>596343.75</v>
      </c>
      <c r="AM46" s="70" t="n">
        <f aca="false">AL46+AM45</f>
        <v>596343.75</v>
      </c>
      <c r="AN46" s="70" t="n">
        <f aca="false">AM46+AN45</f>
        <v>596343.75</v>
      </c>
      <c r="AO46" s="70" t="n">
        <f aca="false">AN46+AO45</f>
        <v>596343.75</v>
      </c>
      <c r="AP46" s="70" t="n">
        <f aca="false">AO46+AP45</f>
        <v>596343.75</v>
      </c>
      <c r="AQ46" s="70" t="n">
        <f aca="false">AP46+AQ45</f>
        <v>596343.75</v>
      </c>
      <c r="AR46" s="70" t="n">
        <f aca="false">AQ46+AR45</f>
        <v>596343.75</v>
      </c>
      <c r="AS46" s="70" t="n">
        <f aca="false">AR46+AS45</f>
        <v>596343.75</v>
      </c>
      <c r="AT46" s="70" t="n">
        <f aca="false">AS46+AT45</f>
        <v>596343.75</v>
      </c>
      <c r="AU46" s="70" t="n">
        <f aca="false">AT46+AU45</f>
        <v>596343.75</v>
      </c>
      <c r="AV46" s="70" t="n">
        <f aca="false">AU46+AV45</f>
        <v>596343.75</v>
      </c>
      <c r="AW46" s="70" t="n">
        <f aca="false">AV46+AW45</f>
        <v>596343.75</v>
      </c>
      <c r="AX46" s="70" t="n">
        <f aca="false">AW46+AX45</f>
        <v>596343.75</v>
      </c>
      <c r="AY46" s="70" t="n">
        <f aca="false">AX46+AY45</f>
        <v>596343.75</v>
      </c>
      <c r="AZ46" s="70" t="n">
        <f aca="false">AY46+AZ45</f>
        <v>596343.75</v>
      </c>
      <c r="BA46" s="70" t="n">
        <f aca="false">AZ46+BA45</f>
        <v>596343.75</v>
      </c>
      <c r="BB46" s="70" t="n">
        <f aca="false">BA46+BB45</f>
        <v>596343.75</v>
      </c>
      <c r="BC46" s="70" t="n">
        <f aca="false">BB46+BC45</f>
        <v>596343.75</v>
      </c>
      <c r="BD46" s="70" t="n">
        <f aca="false">BC46+BD45</f>
        <v>596343.75</v>
      </c>
      <c r="BE46" s="70" t="n">
        <f aca="false">BD46+BE45</f>
        <v>596343.75</v>
      </c>
      <c r="BF46" s="70" t="n">
        <f aca="false">BE46+BF45</f>
        <v>596343.75</v>
      </c>
      <c r="BG46" s="70" t="n">
        <f aca="false">BF46+BG45</f>
        <v>596343.75</v>
      </c>
      <c r="BH46" s="70" t="n">
        <f aca="false">BG46+BH45</f>
        <v>596343.75</v>
      </c>
      <c r="BI46" s="70" t="n">
        <f aca="false">BH46+BI45</f>
        <v>596343.75</v>
      </c>
      <c r="BJ46" s="70" t="n">
        <f aca="false">BI46+BJ45</f>
        <v>596343.75</v>
      </c>
      <c r="BK46" s="70" t="n">
        <f aca="false">BJ46+BK45</f>
        <v>596343.75</v>
      </c>
      <c r="BL46" s="70" t="n">
        <f aca="false">BK46+BL45</f>
        <v>596343.75</v>
      </c>
      <c r="BM46" s="70" t="n">
        <f aca="false">BL46+BM45</f>
        <v>596343.75</v>
      </c>
      <c r="BN46" s="70" t="n">
        <f aca="false">BM46+BN45</f>
        <v>596343.75</v>
      </c>
      <c r="BO46" s="70" t="n">
        <f aca="false">BN46+BO45</f>
        <v>596343.75</v>
      </c>
      <c r="BP46" s="70" t="n">
        <f aca="false">BO46+BP45</f>
        <v>647857.27</v>
      </c>
      <c r="BQ46" s="70" t="n">
        <f aca="false">BP46+BQ45</f>
        <v>647857.27</v>
      </c>
      <c r="BR46" s="70" t="n">
        <f aca="false">BQ46+BR45</f>
        <v>647857.27</v>
      </c>
      <c r="BS46" s="70" t="n">
        <f aca="false">BR46+BS45</f>
        <v>715619.27</v>
      </c>
      <c r="BT46" s="70" t="n">
        <f aca="false">BS46+BT45</f>
        <v>715619.27</v>
      </c>
      <c r="BU46" s="70" t="n">
        <f aca="false">BT46+BU45</f>
        <v>715619.27</v>
      </c>
      <c r="BV46" s="70" t="n">
        <f aca="false">BU46+BV45</f>
        <v>783381.27</v>
      </c>
      <c r="BW46" s="70" t="n">
        <f aca="false">BV46+BW45</f>
        <v>783381.27</v>
      </c>
      <c r="BX46" s="70" t="n">
        <f aca="false">BW46+BX45</f>
        <v>783381.27</v>
      </c>
      <c r="BY46" s="70" t="n">
        <f aca="false">BX46+BY45</f>
        <v>777987.27</v>
      </c>
      <c r="BZ46" s="70" t="n">
        <f aca="false">BY46+BZ45</f>
        <v>777987.27</v>
      </c>
      <c r="CA46" s="70" t="n">
        <f aca="false">BZ46+CA45</f>
        <v>777987.27</v>
      </c>
      <c r="CB46" s="70" t="n">
        <f aca="false">CA46+CB45</f>
        <v>781331.27</v>
      </c>
      <c r="CC46" s="70" t="n">
        <f aca="false">CB46+CC45</f>
        <v>781331.27</v>
      </c>
      <c r="CD46" s="70" t="n">
        <f aca="false">CC46+CD45</f>
        <v>781331.27</v>
      </c>
      <c r="CE46" s="70" t="n">
        <f aca="false">CD46+CE45</f>
        <v>784675.27</v>
      </c>
      <c r="CF46" s="70" t="n">
        <f aca="false">CE46+CF45</f>
        <v>784675.27</v>
      </c>
      <c r="CG46" s="70" t="n">
        <f aca="false">CF46+CG45</f>
        <v>784675.27</v>
      </c>
      <c r="CH46" s="70" t="n">
        <f aca="false">CG46+CH45</f>
        <v>794627.296606479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No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No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1134400.23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-4338997.1242</v>
      </c>
      <c r="C42" s="89" t="n">
        <f aca="false">'Annual Summary'!C15</f>
        <v>-7558959.1813</v>
      </c>
      <c r="D42" s="89" t="n">
        <f aca="false">'Annual Summary'!D15</f>
        <v>-6547139.396626</v>
      </c>
      <c r="E42" s="89" t="n">
        <f aca="false">'Annual Summary'!E15</f>
        <v>-5307176.13375852</v>
      </c>
      <c r="F42" s="89" t="n">
        <f aca="false">'Annual Summary'!F15</f>
        <v>-5413319.65643369</v>
      </c>
      <c r="G42" s="89" t="n">
        <f aca="false">'Annual Summary'!G15</f>
        <v>-5521586.04956237</v>
      </c>
      <c r="H42" s="89" t="n">
        <f aca="false">'Annual Summary'!H15</f>
        <v>-5632017.77055361</v>
      </c>
      <c r="I42" s="89" t="n">
        <f aca="false">'Annual Summary'!I15</f>
        <v>-1414940.42511445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2276079.57604322</v>
      </c>
      <c r="C43" s="77" t="n">
        <f aca="false">'Annual Summary'!C16</f>
        <v>3123613.14020718</v>
      </c>
      <c r="D43" s="77" t="n">
        <f aca="false">'Annual Summary'!D16</f>
        <v>3412324.56732536</v>
      </c>
      <c r="E43" s="77" t="n">
        <f aca="false">'Annual Summary'!E16</f>
        <v>-1250233.25158149</v>
      </c>
      <c r="F43" s="77" t="n">
        <f aca="false">'Annual Summary'!F16</f>
        <v>-3690209.98976702</v>
      </c>
      <c r="G43" s="77" t="n">
        <f aca="false">'Annual Summary'!G16</f>
        <v>-5521586.04956237</v>
      </c>
      <c r="H43" s="77" t="n">
        <f aca="false">'Annual Summary'!H16</f>
        <v>-5632017.77055361</v>
      </c>
      <c r="I43" s="77" t="n">
        <f aca="false">'Annual Summary'!I16</f>
        <v>-1414940.42511445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-1120081.25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-688002.19</v>
      </c>
      <c r="C50" s="91" t="n">
        <f aca="false">'Annual Summary'!C43</f>
        <v>-3201738.49588545</v>
      </c>
      <c r="D50" s="91" t="n">
        <f aca="false">'Annual Summary'!D43</f>
        <v>-2766367.12378544</v>
      </c>
      <c r="E50" s="91" t="n">
        <f aca="false">'Annual Summary'!E43</f>
        <v>-3375129.51803544</v>
      </c>
      <c r="F50" s="91" t="n">
        <f aca="false">'Annual Summary'!F43</f>
        <v>-4442227.01309845</v>
      </c>
      <c r="G50" s="91" t="n">
        <f aca="false">'Annual Summary'!G43</f>
        <v>-5672267.25703871</v>
      </c>
      <c r="H50" s="91" t="n">
        <f aca="false">'Annual Summary'!H43</f>
        <v>-7041165.55091377</v>
      </c>
      <c r="I50" s="91" t="n">
        <f aca="false">'Annual Summary'!I43</f>
        <v>-7362005.94558217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3927995.26604322</v>
      </c>
      <c r="C52" s="91" t="n">
        <f aca="false">'Annual Summary'!C42</f>
        <v>7051608.4062504</v>
      </c>
      <c r="D52" s="91" t="n">
        <f aca="false">'Annual Summary'!D42</f>
        <v>10463932.9735757</v>
      </c>
      <c r="E52" s="91" t="n">
        <f aca="false">'Annual Summary'!E42</f>
        <v>9213699.72199426</v>
      </c>
      <c r="F52" s="91" t="n">
        <f aca="false">'Annual Summary'!F42</f>
        <v>5523489.73222723</v>
      </c>
      <c r="G52" s="91" t="n">
        <f aca="false">'Annual Summary'!G42</f>
        <v>1903.68266486865</v>
      </c>
      <c r="H52" s="91" t="n">
        <f aca="false">'Annual Summary'!H42</f>
        <v>-5630114.08788874</v>
      </c>
      <c r="I52" s="91" t="n">
        <f aca="false">'Annual Summary'!I42</f>
        <v>-7045054.5130032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3927995.26604322</v>
      </c>
      <c r="C71" s="81" t="n">
        <f aca="false">'Annual Summary'!C42</f>
        <v>7051608.4062504</v>
      </c>
      <c r="D71" s="81" t="n">
        <f aca="false">'Annual Summary'!E42</f>
        <v>9213699.72199426</v>
      </c>
      <c r="E71" s="81" t="n">
        <f aca="false">'Annual Summary'!G42</f>
        <v>1903.68266486865</v>
      </c>
      <c r="F71" s="81" t="n">
        <f aca="false">'Annual Summary'!I42</f>
        <v>-7045054.5130032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-688002.19</v>
      </c>
      <c r="C72" s="97" t="n">
        <f aca="false">'Annual Summary'!C43</f>
        <v>-3201738.49588545</v>
      </c>
      <c r="D72" s="97" t="n">
        <f aca="false">'Annual Summary'!E43</f>
        <v>-3375129.51803544</v>
      </c>
      <c r="E72" s="97" t="n">
        <f aca="false">'Annual Summary'!G43</f>
        <v>-5672267.25703871</v>
      </c>
      <c r="F72" s="97" t="n">
        <f aca="false">'Annual Summary'!I43</f>
        <v>-7362005.94558217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-688002.19</v>
      </c>
      <c r="C100" s="81" t="n">
        <f aca="false">'Annual Summary'!C43</f>
        <v>-3201738.49588545</v>
      </c>
      <c r="D100" s="81" t="n">
        <f aca="false">'Annual Summary'!D43</f>
        <v>-2766367.12378544</v>
      </c>
      <c r="E100" s="81" t="n">
        <f aca="false">'Annual Summary'!E43</f>
        <v>-3375129.51803544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-216949.85621</v>
      </c>
      <c r="C101" s="81" t="n">
        <f aca="false">'Annual Summary'!C15*0.05</f>
        <v>-377947.959065</v>
      </c>
      <c r="D101" s="81" t="n">
        <f aca="false">'Annual Summary'!D15*0.05</f>
        <v>-327356.9698313</v>
      </c>
      <c r="E101" s="81" t="n">
        <f aca="false">'Annual Summary'!E15*0.05</f>
        <v>-265358.806687926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-904952.04621</v>
      </c>
      <c r="C102" s="81" t="n">
        <f aca="false">C100+C101</f>
        <v>-3579686.45495045</v>
      </c>
      <c r="D102" s="81" t="n">
        <f aca="false">D100+D101</f>
        <v>-3093724.09361674</v>
      </c>
      <c r="E102" s="81" t="n">
        <f aca="false">E100+E101</f>
        <v>-3640488.32472337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-904952.04621</v>
      </c>
      <c r="C103" s="69" t="n">
        <f aca="false">C102-C99</f>
        <v>-3579686.45495045</v>
      </c>
      <c r="D103" s="69" t="n">
        <f aca="false">D102-D99</f>
        <v>-3093724.09361674</v>
      </c>
      <c r="E103" s="69" t="n">
        <f aca="false">E102-E99</f>
        <v>-3640488.32472337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278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278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282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282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999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999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261407.666666667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261407.666666667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261407.666666667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261407.666666667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261407.666666667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261407.666666667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261407.666666667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261407.666666667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261407.666666667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1" t="s">
        <v>552</v>
      </c>
    </row>
    <row r="2" customFormat="false" ht="15" hidden="false" customHeight="true" outlineLevel="0" collapsed="false">
      <c r="A2" s="110" t="s">
        <v>270</v>
      </c>
      <c r="B2" s="6" t="s">
        <v>282</v>
      </c>
    </row>
    <row r="4" customFormat="false" ht="15" hidden="false" customHeight="true" outlineLevel="0" collapsed="false">
      <c r="A4" s="132" t="s">
        <v>553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customFormat="false" ht="15" hidden="false" customHeight="true" outlineLevel="0" collapsed="false">
      <c r="A5" s="110" t="s">
        <v>554</v>
      </c>
      <c r="B5" s="110" t="s">
        <v>552</v>
      </c>
    </row>
    <row r="6" customFormat="false" ht="15" hidden="false" customHeight="true" outlineLevel="0" collapsed="false">
      <c r="A6" s="110" t="s">
        <v>555</v>
      </c>
      <c r="B6" s="110" t="s">
        <v>556</v>
      </c>
    </row>
    <row r="7" customFormat="false" ht="15" hidden="false" customHeight="true" outlineLevel="0" collapsed="false">
      <c r="A7" s="110" t="s">
        <v>557</v>
      </c>
      <c r="B7" s="133" t="n">
        <v>60</v>
      </c>
    </row>
    <row r="8" customFormat="false" ht="15" hidden="false" customHeight="true" outlineLevel="0" collapsed="false">
      <c r="A8" s="110" t="s">
        <v>558</v>
      </c>
      <c r="B8" s="110" t="s">
        <v>559</v>
      </c>
    </row>
    <row r="9" customFormat="false" ht="15" hidden="false" customHeight="true" outlineLevel="0" collapsed="false">
      <c r="A9" s="110" t="s">
        <v>560</v>
      </c>
      <c r="B9" s="65" t="n">
        <v>1400000</v>
      </c>
    </row>
    <row r="10" customFormat="false" ht="15" hidden="false" customHeight="true" outlineLevel="0" collapsed="false">
      <c r="A10" s="110" t="s">
        <v>561</v>
      </c>
      <c r="B10" s="65" t="n">
        <v>1609391</v>
      </c>
    </row>
    <row r="11" customFormat="false" ht="15" hidden="false" customHeight="true" outlineLevel="0" collapsed="false">
      <c r="A11" s="110" t="s">
        <v>562</v>
      </c>
      <c r="B11" s="65" t="n">
        <v>3419763</v>
      </c>
    </row>
    <row r="12" customFormat="false" ht="15" hidden="false" customHeight="true" outlineLevel="0" collapsed="false">
      <c r="A12" s="110" t="s">
        <v>563</v>
      </c>
      <c r="B12" s="7" t="n">
        <v>9009665</v>
      </c>
    </row>
    <row r="14" customFormat="false" ht="15" hidden="false" customHeight="true" outlineLevel="0" collapsed="false">
      <c r="A14" s="134" t="s">
        <v>564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customFormat="false" ht="15" hidden="false" customHeight="true" outlineLevel="0" collapsed="false">
      <c r="B15" s="135" t="s">
        <v>317</v>
      </c>
      <c r="C15" s="135" t="s">
        <v>1</v>
      </c>
      <c r="D15" s="135" t="s">
        <v>2</v>
      </c>
      <c r="E15" s="135" t="s">
        <v>3</v>
      </c>
      <c r="F15" s="135" t="s">
        <v>4</v>
      </c>
      <c r="G15" s="135" t="s">
        <v>5</v>
      </c>
      <c r="H15" s="135" t="s">
        <v>6</v>
      </c>
      <c r="I15" s="135" t="s">
        <v>7</v>
      </c>
      <c r="J15" s="135" t="s">
        <v>8</v>
      </c>
    </row>
    <row r="16" customFormat="false" ht="15" hidden="false" customHeight="true" outlineLevel="0" collapsed="false">
      <c r="A16" s="110" t="s">
        <v>563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565</v>
      </c>
      <c r="B17" s="7" t="n">
        <f aca="false">C17+D17+E17+F17+G17+H17+I17+J17</f>
        <v>-1675044</v>
      </c>
      <c r="C17" s="65" t="n">
        <f aca="false">SUM(C100:K100)</f>
        <v>0</v>
      </c>
      <c r="D17" s="65" t="n">
        <f aca="false">SUM(L100:W100)</f>
        <v>-325008</v>
      </c>
      <c r="E17" s="65" t="n">
        <f aca="false">SUM(X100:AI100)</f>
        <v>-450012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566</v>
      </c>
      <c r="B18" s="7" t="n">
        <f aca="false">C18+D18+E18+F18+G18+H18+I18+J18</f>
        <v>-536016</v>
      </c>
      <c r="C18" s="65" t="n">
        <f aca="false">SUM(C101:K101)</f>
        <v>0</v>
      </c>
      <c r="D18" s="65" t="n">
        <f aca="false">SUM(L101:W101)</f>
        <v>-134004</v>
      </c>
      <c r="E18" s="65" t="n">
        <f aca="false">SUM(X101:AI101)</f>
        <v>-134004</v>
      </c>
      <c r="F18" s="65" t="n">
        <f aca="false">SUM(AJ101:AU101)</f>
        <v>-134004</v>
      </c>
      <c r="G18" s="65" t="n">
        <f aca="false">SUM(AV101:BG101)</f>
        <v>-134004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6" t="s">
        <v>567</v>
      </c>
      <c r="B19" s="137" t="n">
        <f aca="false">C19+D19+E19+F19+G19+H19+I19+J19</f>
        <v>6798605</v>
      </c>
      <c r="C19" s="137" t="n">
        <f aca="false">SUM(C102:K102)</f>
        <v>0</v>
      </c>
      <c r="D19" s="137" t="n">
        <f aca="false">SUM(L102:W102)</f>
        <v>625369.66</v>
      </c>
      <c r="E19" s="137" t="n">
        <f aca="false">SUM(X102:AI102)</f>
        <v>3114001.39</v>
      </c>
      <c r="F19" s="137" t="n">
        <f aca="false">SUM(AJ102:AU102)</f>
        <v>1843283.01</v>
      </c>
      <c r="G19" s="137" t="n">
        <f aca="false">SUM(AV102:BG102)</f>
        <v>785316.42</v>
      </c>
      <c r="H19" s="137" t="n">
        <f aca="false">SUM(BH102:BS102)</f>
        <v>430634.52</v>
      </c>
      <c r="I19" s="137" t="n">
        <f aca="false">SUM(BT102:CE102)</f>
        <v>0</v>
      </c>
      <c r="J19" s="137" t="n">
        <f aca="false">SUM(CF102:CH102)</f>
        <v>0</v>
      </c>
    </row>
    <row r="20" customFormat="false" ht="15" hidden="false" customHeight="true" outlineLevel="0" collapsed="false">
      <c r="A20" s="110" t="s">
        <v>568</v>
      </c>
      <c r="B20" s="7" t="n">
        <f aca="false">C20+D20+E20+F20+G20+H20+I20+J20</f>
        <v>900966.5</v>
      </c>
      <c r="C20" s="65" t="n">
        <f aca="false">SUM(C103:K103)</f>
        <v>0</v>
      </c>
      <c r="D20" s="65" t="n">
        <f aca="false">SUM(L103:W103)</f>
        <v>108438.166</v>
      </c>
      <c r="E20" s="65" t="n">
        <f aca="false">SUM(X103:AI103)</f>
        <v>369801.739</v>
      </c>
      <c r="F20" s="65" t="n">
        <f aca="false">SUM(AJ103:AU103)</f>
        <v>242729.901</v>
      </c>
      <c r="G20" s="65" t="n">
        <f aca="false">SUM(AV103:BG103)</f>
        <v>136933.242</v>
      </c>
      <c r="H20" s="65" t="n">
        <f aca="false">SUM(BH103:BS103)</f>
        <v>43063.452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6" t="s">
        <v>569</v>
      </c>
      <c r="B21" s="137" t="n">
        <f aca="false">C21+D21+E21+F21+G21+H21+I21+J21</f>
        <v>5897638.5</v>
      </c>
      <c r="C21" s="137" t="n">
        <f aca="false">SUM(C104:K104)</f>
        <v>0</v>
      </c>
      <c r="D21" s="137" t="n">
        <f aca="false">SUM(L104:W104)</f>
        <v>516931.494</v>
      </c>
      <c r="E21" s="137" t="n">
        <f aca="false">SUM(X104:AI104)</f>
        <v>2744199.651</v>
      </c>
      <c r="F21" s="137" t="n">
        <f aca="false">SUM(AJ104:AU104)</f>
        <v>1600553.109</v>
      </c>
      <c r="G21" s="137" t="n">
        <f aca="false">SUM(AV104:BG104)</f>
        <v>648383.178</v>
      </c>
      <c r="H21" s="137" t="n">
        <f aca="false">SUM(BH104:BS104)</f>
        <v>387571.068</v>
      </c>
      <c r="I21" s="137" t="n">
        <f aca="false">SUM(BT104:CE104)</f>
        <v>0</v>
      </c>
      <c r="J21" s="137" t="n">
        <f aca="false">SUM(CF104:CH104)</f>
        <v>0</v>
      </c>
    </row>
    <row r="22" customFormat="false" ht="15" hidden="false" customHeight="true" outlineLevel="0" collapsed="false">
      <c r="A22" s="110" t="s">
        <v>570</v>
      </c>
      <c r="B22" s="7" t="n">
        <f aca="false">C22+D22+E22+F22+G22+H22+I22+J22</f>
        <v>2359055.4</v>
      </c>
      <c r="C22" s="65" t="n">
        <f aca="false">SUM(C105:K105)</f>
        <v>0</v>
      </c>
      <c r="D22" s="65" t="n">
        <f aca="false">SUM(L105:W105)</f>
        <v>206772.5976</v>
      </c>
      <c r="E22" s="65" t="n">
        <f aca="false">SUM(X105:AI105)</f>
        <v>1097679.8604</v>
      </c>
      <c r="F22" s="65" t="n">
        <f aca="false">SUM(AJ105:AU105)</f>
        <v>640221.2436</v>
      </c>
      <c r="G22" s="65" t="n">
        <f aca="false">SUM(AV105:BG105)</f>
        <v>259353.2712</v>
      </c>
      <c r="H22" s="65" t="n">
        <f aca="false">SUM(BH105:BS105)</f>
        <v>155028.4272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571</v>
      </c>
      <c r="B23" s="7" t="n">
        <f aca="false">C23+D23+E23+F23+G23+H23+I23+J23</f>
        <v>3538583.1</v>
      </c>
      <c r="C23" s="65" t="n">
        <f aca="false">SUM(C106:K106)</f>
        <v>0</v>
      </c>
      <c r="D23" s="65" t="n">
        <f aca="false">SUM(L106:W106)</f>
        <v>310158.8964</v>
      </c>
      <c r="E23" s="65" t="n">
        <f aca="false">SUM(X106:AI106)</f>
        <v>1646519.7906</v>
      </c>
      <c r="F23" s="65" t="n">
        <f aca="false">SUM(AJ106:AU106)</f>
        <v>960331.8654</v>
      </c>
      <c r="G23" s="65" t="n">
        <f aca="false">SUM(AV106:BG106)</f>
        <v>389029.9068</v>
      </c>
      <c r="H23" s="65" t="n">
        <f aca="false">SUM(BH106:BS106)</f>
        <v>232542.6408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38" t="s">
        <v>572</v>
      </c>
      <c r="B24" s="139" t="n">
        <f aca="false">C24+D24+E24+F24+G24+H24+I24+J24</f>
        <v>4439549.6</v>
      </c>
      <c r="C24" s="139" t="n">
        <f aca="false">SUM(C107:K107)</f>
        <v>0</v>
      </c>
      <c r="D24" s="139" t="n">
        <f aca="false">SUM(L107:W107)</f>
        <v>418597.0624</v>
      </c>
      <c r="E24" s="139" t="n">
        <f aca="false">SUM(X107:AI107)</f>
        <v>2016321.5296</v>
      </c>
      <c r="F24" s="139" t="n">
        <f aca="false">SUM(AJ107:AU107)</f>
        <v>1203061.7664</v>
      </c>
      <c r="G24" s="139" t="n">
        <f aca="false">SUM(AV107:BG107)</f>
        <v>525963.1488</v>
      </c>
      <c r="H24" s="139" t="n">
        <f aca="false">SUM(BH107:BS107)</f>
        <v>275606.0928</v>
      </c>
      <c r="I24" s="139" t="n">
        <f aca="false">SUM(BT107:CE107)</f>
        <v>0</v>
      </c>
      <c r="J24" s="139" t="n">
        <f aca="false">SUM(CF107:CH107)</f>
        <v>0</v>
      </c>
    </row>
    <row r="26" customFormat="false" ht="15" hidden="false" customHeight="true" outlineLevel="0" collapsed="false">
      <c r="A26" s="140" t="s">
        <v>573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customFormat="false" ht="15" hidden="false" customHeight="true" outlineLevel="0" collapsed="false">
      <c r="A27" s="141" t="s">
        <v>574</v>
      </c>
      <c r="B27" s="141" t="s">
        <v>575</v>
      </c>
      <c r="C27" s="141" t="s">
        <v>576</v>
      </c>
      <c r="D27" s="141" t="s">
        <v>560</v>
      </c>
      <c r="E27" s="141" t="s">
        <v>577</v>
      </c>
    </row>
    <row r="28" customFormat="false" ht="15" hidden="false" customHeight="true" outlineLevel="0" collapsed="false">
      <c r="A28" s="110" t="s">
        <v>578</v>
      </c>
      <c r="B28" s="133" t="n">
        <v>6</v>
      </c>
      <c r="C28" s="110" t="s">
        <v>579</v>
      </c>
      <c r="D28" s="65" t="n">
        <v>1400000</v>
      </c>
      <c r="E28" s="142" t="s">
        <v>580</v>
      </c>
    </row>
    <row r="29" customFormat="false" ht="15" hidden="false" customHeight="true" outlineLevel="0" collapsed="false">
      <c r="A29" s="110" t="s">
        <v>581</v>
      </c>
      <c r="B29" s="133" t="n">
        <v>18</v>
      </c>
      <c r="C29" s="110" t="s">
        <v>582</v>
      </c>
      <c r="D29" s="65" t="n">
        <v>1400000</v>
      </c>
      <c r="E29" s="142" t="s">
        <v>583</v>
      </c>
    </row>
    <row r="30" customFormat="false" ht="15" hidden="false" customHeight="true" outlineLevel="0" collapsed="false">
      <c r="A30" s="110" t="s">
        <v>584</v>
      </c>
      <c r="B30" s="133" t="n">
        <v>18</v>
      </c>
      <c r="C30" s="110" t="s">
        <v>585</v>
      </c>
      <c r="D30" s="65" t="n">
        <v>1400000</v>
      </c>
      <c r="E30" s="142" t="s">
        <v>586</v>
      </c>
    </row>
    <row r="31" customFormat="false" ht="15" hidden="false" customHeight="true" outlineLevel="0" collapsed="false">
      <c r="A31" s="110" t="s">
        <v>587</v>
      </c>
      <c r="B31" s="133" t="n">
        <v>18</v>
      </c>
      <c r="C31" s="110" t="s">
        <v>588</v>
      </c>
      <c r="D31" s="65" t="n">
        <v>1400000</v>
      </c>
      <c r="E31" s="142" t="s">
        <v>589</v>
      </c>
    </row>
    <row r="32" customFormat="false" ht="15" hidden="false" customHeight="true" outlineLevel="0" collapsed="false">
      <c r="A32" s="141" t="s">
        <v>317</v>
      </c>
      <c r="B32" s="143" t="n">
        <v>60</v>
      </c>
      <c r="C32" s="141" t="s">
        <v>590</v>
      </c>
      <c r="D32" s="144" t="n">
        <v>1400000</v>
      </c>
    </row>
    <row r="34" customFormat="false" ht="15" hidden="false" customHeight="true" outlineLevel="0" collapsed="false">
      <c r="A34" s="145" t="s">
        <v>591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customFormat="false" ht="15" hidden="false" customHeight="true" outlineLevel="0" collapsed="false">
      <c r="A35" s="146" t="s">
        <v>592</v>
      </c>
      <c r="B35" s="146" t="s">
        <v>593</v>
      </c>
      <c r="C35" s="146" t="s">
        <v>594</v>
      </c>
      <c r="D35" s="146" t="s">
        <v>595</v>
      </c>
      <c r="E35" s="146" t="s">
        <v>596</v>
      </c>
      <c r="F35" s="146" t="s">
        <v>235</v>
      </c>
    </row>
    <row r="36" customFormat="false" ht="15" hidden="false" customHeight="true" outlineLevel="0" collapsed="false">
      <c r="A36" s="110" t="s">
        <v>597</v>
      </c>
      <c r="B36" s="110" t="s">
        <v>598</v>
      </c>
      <c r="C36" s="110" t="s">
        <v>599</v>
      </c>
      <c r="D36" s="65" t="n">
        <v>14000</v>
      </c>
      <c r="E36" s="65" t="n">
        <v>840000</v>
      </c>
      <c r="F36" s="147" t="s">
        <v>600</v>
      </c>
    </row>
    <row r="37" customFormat="false" ht="15" hidden="false" customHeight="true" outlineLevel="0" collapsed="false">
      <c r="A37" s="110" t="s">
        <v>601</v>
      </c>
      <c r="B37" s="110" t="s">
        <v>602</v>
      </c>
      <c r="C37" s="110" t="s">
        <v>603</v>
      </c>
      <c r="D37" s="65" t="n">
        <v>96563</v>
      </c>
      <c r="E37" s="65" t="n">
        <v>5793808</v>
      </c>
      <c r="F37" s="147" t="s">
        <v>604</v>
      </c>
    </row>
    <row r="38" customFormat="false" ht="15" hidden="false" customHeight="true" outlineLevel="0" collapsed="false">
      <c r="A38" s="110" t="s">
        <v>605</v>
      </c>
      <c r="B38" s="110" t="s">
        <v>606</v>
      </c>
      <c r="C38" s="110" t="s">
        <v>607</v>
      </c>
      <c r="D38" s="65" t="n">
        <v>5400</v>
      </c>
      <c r="E38" s="65" t="n">
        <v>324000</v>
      </c>
      <c r="F38" s="147" t="s">
        <v>608</v>
      </c>
    </row>
    <row r="39" customFormat="false" ht="15" hidden="false" customHeight="true" outlineLevel="0" collapsed="false">
      <c r="A39" s="110" t="s">
        <v>609</v>
      </c>
      <c r="B39" s="110" t="s">
        <v>598</v>
      </c>
      <c r="C39" s="110" t="s">
        <v>610</v>
      </c>
      <c r="D39" s="65" t="n">
        <v>34198</v>
      </c>
      <c r="E39" s="65" t="n">
        <v>2051858</v>
      </c>
      <c r="F39" s="147" t="s">
        <v>611</v>
      </c>
    </row>
    <row r="40" customFormat="false" ht="15" hidden="false" customHeight="true" outlineLevel="0" collapsed="false">
      <c r="A40" s="146" t="s">
        <v>563</v>
      </c>
      <c r="D40" s="148" t="n">
        <v>150161</v>
      </c>
      <c r="E40" s="148" t="n">
        <v>9009665</v>
      </c>
    </row>
    <row r="42" customFormat="false" ht="15" hidden="false" customHeight="true" outlineLevel="0" collapsed="false">
      <c r="A42" s="149" t="s">
        <v>612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customFormat="false" ht="15" hidden="false" customHeight="true" outlineLevel="0" collapsed="false">
      <c r="A43" s="150" t="s">
        <v>468</v>
      </c>
      <c r="B43" s="150" t="s">
        <v>613</v>
      </c>
      <c r="C43" s="150" t="s">
        <v>614</v>
      </c>
      <c r="D43" s="150" t="s">
        <v>615</v>
      </c>
      <c r="E43" s="150" t="s">
        <v>616</v>
      </c>
      <c r="F43" s="150" t="s">
        <v>617</v>
      </c>
      <c r="G43" s="150" t="s">
        <v>618</v>
      </c>
    </row>
    <row r="44" customFormat="false" ht="15" hidden="false" customHeight="true" outlineLevel="0" collapsed="false">
      <c r="A44" s="110" t="s">
        <v>619</v>
      </c>
      <c r="B44" s="65" t="n">
        <v>110000</v>
      </c>
      <c r="C44" s="65" t="n">
        <v>9167</v>
      </c>
      <c r="D44" s="110" t="s">
        <v>372</v>
      </c>
      <c r="E44" s="110" t="s">
        <v>620</v>
      </c>
      <c r="F44" s="110" t="n">
        <v>48</v>
      </c>
      <c r="G44" s="65" t="n">
        <v>440016</v>
      </c>
    </row>
    <row r="45" customFormat="false" ht="15" hidden="false" customHeight="true" outlineLevel="0" collapsed="false">
      <c r="A45" s="110" t="s">
        <v>621</v>
      </c>
      <c r="B45" s="65" t="n">
        <v>90000</v>
      </c>
      <c r="C45" s="65" t="n">
        <v>7500</v>
      </c>
      <c r="D45" s="110" t="s">
        <v>372</v>
      </c>
      <c r="E45" s="110" t="s">
        <v>620</v>
      </c>
      <c r="F45" s="110" t="n">
        <v>48</v>
      </c>
      <c r="G45" s="65" t="n">
        <v>360000</v>
      </c>
    </row>
    <row r="46" customFormat="false" ht="15" hidden="false" customHeight="true" outlineLevel="0" collapsed="false">
      <c r="A46" s="110" t="s">
        <v>622</v>
      </c>
      <c r="B46" s="65" t="n">
        <v>125000</v>
      </c>
      <c r="C46" s="65" t="n">
        <v>10417</v>
      </c>
      <c r="D46" s="110" t="s">
        <v>378</v>
      </c>
      <c r="E46" s="110" t="s">
        <v>620</v>
      </c>
      <c r="F46" s="110" t="n">
        <v>42</v>
      </c>
      <c r="G46" s="65" t="n">
        <v>437514</v>
      </c>
    </row>
    <row r="47" customFormat="false" ht="15" hidden="false" customHeight="true" outlineLevel="0" collapsed="false">
      <c r="A47" s="110" t="s">
        <v>623</v>
      </c>
      <c r="B47" s="65" t="n">
        <v>125000</v>
      </c>
      <c r="C47" s="65" t="n">
        <v>10417</v>
      </c>
      <c r="D47" s="110" t="s">
        <v>378</v>
      </c>
      <c r="E47" s="110" t="s">
        <v>620</v>
      </c>
      <c r="F47" s="110" t="n">
        <v>42</v>
      </c>
      <c r="G47" s="65" t="n">
        <v>437514</v>
      </c>
    </row>
    <row r="48" customFormat="false" ht="15" hidden="false" customHeight="true" outlineLevel="0" collapsed="false">
      <c r="A48" s="150" t="s">
        <v>624</v>
      </c>
      <c r="G48" s="151" t="n">
        <v>1675044</v>
      </c>
    </row>
    <row r="50" customFormat="false" ht="15" hidden="false" customHeight="true" outlineLevel="0" collapsed="false">
      <c r="A50" s="152" t="s">
        <v>625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customFormat="false" ht="15" hidden="false" customHeight="true" outlineLevel="0" collapsed="false">
      <c r="A51" s="153" t="s">
        <v>626</v>
      </c>
      <c r="B51" s="153" t="s">
        <v>627</v>
      </c>
      <c r="C51" s="153" t="s">
        <v>614</v>
      </c>
      <c r="D51" s="153" t="s">
        <v>628</v>
      </c>
      <c r="E51" s="153" t="s">
        <v>317</v>
      </c>
    </row>
    <row r="52" customFormat="false" ht="15" hidden="false" customHeight="true" outlineLevel="0" collapsed="false">
      <c r="A52" s="110" t="s">
        <v>629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114</v>
      </c>
      <c r="B53" s="65" t="n">
        <v>40000</v>
      </c>
      <c r="C53" s="65" t="n">
        <v>3333</v>
      </c>
      <c r="D53" s="110" t="n">
        <v>4</v>
      </c>
      <c r="E53" s="65" t="n">
        <v>160000</v>
      </c>
    </row>
    <row r="54" customFormat="false" ht="15" hidden="false" customHeight="true" outlineLevel="0" collapsed="false">
      <c r="A54" s="110" t="s">
        <v>630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631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3" t="s">
        <v>632</v>
      </c>
      <c r="E56" s="154" t="n">
        <v>536000</v>
      </c>
    </row>
    <row r="57" customFormat="false" ht="15" hidden="false" customHeight="true" outlineLevel="0" collapsed="false">
      <c r="A57" s="155" t="s">
        <v>633</v>
      </c>
    </row>
    <row r="59" customFormat="false" ht="15" hidden="false" customHeight="true" outlineLevel="0" collapsed="false">
      <c r="A59" s="156" t="s">
        <v>634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customFormat="false" ht="15" hidden="false" customHeight="true" outlineLevel="0" collapsed="false">
      <c r="A60" s="110" t="s">
        <v>635</v>
      </c>
      <c r="B60" s="65" t="n">
        <v>9009665</v>
      </c>
    </row>
    <row r="61" customFormat="false" ht="15" hidden="false" customHeight="true" outlineLevel="0" collapsed="false">
      <c r="A61" s="110" t="s">
        <v>565</v>
      </c>
      <c r="B61" s="65" t="n">
        <v>-1675044</v>
      </c>
    </row>
    <row r="62" customFormat="false" ht="15" hidden="false" customHeight="true" outlineLevel="0" collapsed="false">
      <c r="A62" s="110" t="s">
        <v>566</v>
      </c>
      <c r="B62" s="65" t="n">
        <v>-536000</v>
      </c>
    </row>
    <row r="63" customFormat="false" ht="15" hidden="false" customHeight="true" outlineLevel="0" collapsed="false">
      <c r="A63" s="141" t="s">
        <v>567</v>
      </c>
      <c r="B63" s="144" t="n">
        <v>6798621</v>
      </c>
    </row>
    <row r="64" customFormat="false" ht="15" hidden="false" customHeight="true" outlineLevel="0" collapsed="false">
      <c r="A64" s="110" t="s">
        <v>636</v>
      </c>
      <c r="B64" s="65" t="n">
        <v>-900966.5</v>
      </c>
    </row>
    <row r="65" customFormat="false" ht="15" hidden="false" customHeight="true" outlineLevel="0" collapsed="false">
      <c r="A65" s="141" t="s">
        <v>569</v>
      </c>
      <c r="B65" s="144" t="n">
        <v>5897654.5</v>
      </c>
    </row>
    <row r="66" customFormat="false" ht="15" hidden="false" customHeight="true" outlineLevel="0" collapsed="false">
      <c r="A66" s="110" t="s">
        <v>637</v>
      </c>
      <c r="B66" s="65" t="n">
        <v>-2359061.8</v>
      </c>
    </row>
    <row r="67" customFormat="false" ht="15" hidden="false" customHeight="true" outlineLevel="0" collapsed="false">
      <c r="A67" s="141" t="s">
        <v>571</v>
      </c>
      <c r="B67" s="144" t="n">
        <v>3538592.7</v>
      </c>
    </row>
    <row r="68" customFormat="false" ht="15" hidden="false" customHeight="true" outlineLevel="0" collapsed="false">
      <c r="A68" s="110" t="s">
        <v>568</v>
      </c>
      <c r="B68" s="65" t="n">
        <v>900966.5</v>
      </c>
    </row>
    <row r="69" customFormat="false" ht="15" hidden="false" customHeight="true" outlineLevel="0" collapsed="false">
      <c r="A69" s="141" t="s">
        <v>572</v>
      </c>
      <c r="B69" s="144" t="n">
        <v>4439559.2</v>
      </c>
    </row>
    <row r="71" customFormat="false" ht="15" hidden="false" customHeight="true" outlineLevel="0" collapsed="false">
      <c r="A71" s="145" t="s">
        <v>638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customFormat="false" ht="15" hidden="false" customHeight="true" outlineLevel="0" collapsed="false">
      <c r="A72" s="146" t="s">
        <v>467</v>
      </c>
      <c r="B72" s="146" t="s">
        <v>468</v>
      </c>
      <c r="C72" s="146" t="s">
        <v>639</v>
      </c>
    </row>
    <row r="73" customFormat="false" ht="31.5" hidden="false" customHeight="true" outlineLevel="0" collapsed="false">
      <c r="A73" s="6" t="s">
        <v>513</v>
      </c>
      <c r="B73" s="110" t="s">
        <v>640</v>
      </c>
      <c r="C73" s="157" t="s">
        <v>641</v>
      </c>
      <c r="D73" s="157"/>
      <c r="E73" s="157"/>
      <c r="F73" s="157"/>
      <c r="G73" s="157"/>
    </row>
    <row r="74" customFormat="false" ht="31.5" hidden="false" customHeight="true" outlineLevel="0" collapsed="false">
      <c r="A74" s="6" t="s">
        <v>507</v>
      </c>
      <c r="B74" s="110" t="s">
        <v>642</v>
      </c>
      <c r="C74" s="157" t="s">
        <v>643</v>
      </c>
      <c r="D74" s="157"/>
      <c r="E74" s="157"/>
      <c r="F74" s="157"/>
      <c r="G74" s="157"/>
    </row>
    <row r="75" customFormat="false" ht="31.5" hidden="false" customHeight="true" outlineLevel="0" collapsed="false">
      <c r="A75" s="6" t="s">
        <v>515</v>
      </c>
      <c r="B75" s="110" t="s">
        <v>644</v>
      </c>
      <c r="C75" s="157" t="s">
        <v>645</v>
      </c>
      <c r="D75" s="157"/>
      <c r="E75" s="157"/>
      <c r="F75" s="157"/>
      <c r="G75" s="157"/>
    </row>
    <row r="76" customFormat="false" ht="31.5" hidden="false" customHeight="true" outlineLevel="0" collapsed="false">
      <c r="A76" s="6" t="s">
        <v>519</v>
      </c>
      <c r="B76" s="110" t="s">
        <v>646</v>
      </c>
      <c r="C76" s="157" t="s">
        <v>647</v>
      </c>
      <c r="D76" s="157"/>
      <c r="E76" s="157"/>
      <c r="F76" s="157"/>
      <c r="G76" s="157"/>
    </row>
    <row r="77" customFormat="false" ht="31.5" hidden="false" customHeight="true" outlineLevel="0" collapsed="false">
      <c r="A77" s="6" t="s">
        <v>517</v>
      </c>
      <c r="B77" s="110" t="s">
        <v>646</v>
      </c>
      <c r="C77" s="157" t="s">
        <v>648</v>
      </c>
      <c r="D77" s="157"/>
      <c r="E77" s="157"/>
      <c r="F77" s="157"/>
      <c r="G77" s="157"/>
    </row>
    <row r="78" customFormat="false" ht="31.5" hidden="false" customHeight="true" outlineLevel="0" collapsed="false">
      <c r="A78" s="6" t="s">
        <v>511</v>
      </c>
      <c r="B78" s="110" t="s">
        <v>649</v>
      </c>
      <c r="C78" s="157" t="s">
        <v>650</v>
      </c>
      <c r="D78" s="157"/>
      <c r="E78" s="157"/>
      <c r="F78" s="157"/>
      <c r="G78" s="157"/>
    </row>
    <row r="80" customFormat="false" ht="15" hidden="false" customHeight="true" outlineLevel="0" collapsed="false">
      <c r="A80" s="158" t="s">
        <v>651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customFormat="false" ht="27.75" hidden="false" customHeight="true" outlineLevel="0" collapsed="false">
      <c r="A81" s="6" t="s">
        <v>652</v>
      </c>
      <c r="B81" s="157" t="s">
        <v>653</v>
      </c>
      <c r="C81" s="157"/>
      <c r="D81" s="157"/>
      <c r="E81" s="157"/>
      <c r="F81" s="157"/>
      <c r="G81" s="157"/>
    </row>
    <row r="82" customFormat="false" ht="27.75" hidden="false" customHeight="true" outlineLevel="0" collapsed="false">
      <c r="A82" s="6" t="s">
        <v>654</v>
      </c>
      <c r="B82" s="157" t="s">
        <v>655</v>
      </c>
      <c r="C82" s="157"/>
      <c r="D82" s="157"/>
      <c r="E82" s="157"/>
      <c r="F82" s="157"/>
      <c r="G82" s="157"/>
    </row>
    <row r="83" customFormat="false" ht="27.75" hidden="false" customHeight="true" outlineLevel="0" collapsed="false">
      <c r="A83" s="6" t="s">
        <v>656</v>
      </c>
      <c r="B83" s="157" t="s">
        <v>657</v>
      </c>
      <c r="C83" s="157"/>
      <c r="D83" s="157"/>
      <c r="E83" s="157"/>
      <c r="F83" s="157"/>
      <c r="G83" s="157"/>
    </row>
    <row r="84" customFormat="false" ht="27.75" hidden="false" customHeight="true" outlineLevel="0" collapsed="false">
      <c r="A84" s="6" t="s">
        <v>658</v>
      </c>
      <c r="B84" s="157" t="s">
        <v>659</v>
      </c>
      <c r="C84" s="157"/>
      <c r="D84" s="157"/>
      <c r="E84" s="157"/>
      <c r="F84" s="157"/>
      <c r="G84" s="157"/>
    </row>
    <row r="85" customFormat="false" ht="27.75" hidden="false" customHeight="true" outlineLevel="0" collapsed="false">
      <c r="A85" s="6" t="s">
        <v>660</v>
      </c>
      <c r="B85" s="157" t="s">
        <v>661</v>
      </c>
      <c r="C85" s="157"/>
      <c r="D85" s="157"/>
      <c r="E85" s="157"/>
      <c r="F85" s="157"/>
      <c r="G85" s="157"/>
    </row>
    <row r="86" customFormat="false" ht="27.75" hidden="false" customHeight="true" outlineLevel="0" collapsed="false">
      <c r="A86" s="6" t="s">
        <v>662</v>
      </c>
      <c r="B86" s="157" t="s">
        <v>663</v>
      </c>
      <c r="C86" s="157"/>
      <c r="D86" s="157"/>
      <c r="E86" s="157"/>
      <c r="F86" s="157"/>
      <c r="G86" s="157"/>
    </row>
    <row r="87" customFormat="false" ht="27.75" hidden="false" customHeight="true" outlineLevel="0" collapsed="false">
      <c r="A87" s="6" t="s">
        <v>664</v>
      </c>
      <c r="B87" s="157" t="s">
        <v>665</v>
      </c>
      <c r="C87" s="157"/>
      <c r="D87" s="157"/>
      <c r="E87" s="157"/>
      <c r="F87" s="157"/>
      <c r="G87" s="157"/>
    </row>
    <row r="88" customFormat="false" ht="27.75" hidden="false" customHeight="true" outlineLevel="0" collapsed="false">
      <c r="A88" s="6" t="s">
        <v>666</v>
      </c>
      <c r="B88" s="157" t="s">
        <v>667</v>
      </c>
      <c r="C88" s="157"/>
      <c r="D88" s="157"/>
      <c r="E88" s="157"/>
      <c r="F88" s="157"/>
      <c r="G88" s="157"/>
    </row>
    <row r="89" customFormat="false" ht="27.75" hidden="false" customHeight="true" outlineLevel="0" collapsed="false">
      <c r="A89" s="6" t="s">
        <v>668</v>
      </c>
      <c r="B89" s="157" t="s">
        <v>669</v>
      </c>
      <c r="C89" s="157"/>
      <c r="D89" s="157"/>
      <c r="E89" s="157"/>
      <c r="F89" s="157"/>
      <c r="G89" s="157"/>
    </row>
    <row r="90" customFormat="false" ht="27.75" hidden="false" customHeight="true" outlineLevel="0" collapsed="false">
      <c r="A90" s="6" t="s">
        <v>670</v>
      </c>
      <c r="B90" s="157" t="s">
        <v>671</v>
      </c>
      <c r="C90" s="157"/>
      <c r="D90" s="157"/>
      <c r="E90" s="157"/>
      <c r="F90" s="157"/>
      <c r="G90" s="157"/>
    </row>
    <row r="93" customFormat="false" ht="15" hidden="false" customHeight="true" outlineLevel="0" collapsed="false">
      <c r="A93" s="140" t="s">
        <v>672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customFormat="false" ht="15" hidden="false" customHeight="true" outlineLevel="0" collapsed="false">
      <c r="A94" s="110" t="s">
        <v>673</v>
      </c>
      <c r="B94" s="159" t="n">
        <v>0.1</v>
      </c>
    </row>
    <row r="95" customFormat="false" ht="15" hidden="false" customHeight="true" outlineLevel="0" collapsed="false">
      <c r="A95" s="110" t="s">
        <v>674</v>
      </c>
      <c r="B95" s="159" t="n">
        <v>0.4</v>
      </c>
    </row>
    <row r="97" customFormat="false" ht="15" hidden="false" customHeight="true" outlineLevel="0" collapsed="false">
      <c r="A97" s="160" t="s">
        <v>675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customFormat="false" ht="15" hidden="false" customHeight="true" outlineLevel="0" collapsed="false">
      <c r="A98" s="161"/>
      <c r="B98" s="162" t="s">
        <v>317</v>
      </c>
      <c r="C98" s="163" t="n">
        <v>1</v>
      </c>
      <c r="D98" s="163" t="n">
        <v>2</v>
      </c>
      <c r="E98" s="163" t="n">
        <v>3</v>
      </c>
      <c r="F98" s="163" t="n">
        <v>4</v>
      </c>
      <c r="G98" s="163" t="n">
        <v>5</v>
      </c>
      <c r="H98" s="163" t="n">
        <v>6</v>
      </c>
      <c r="I98" s="163" t="n">
        <v>7</v>
      </c>
      <c r="J98" s="163" t="n">
        <v>8</v>
      </c>
      <c r="K98" s="163" t="n">
        <v>9</v>
      </c>
      <c r="L98" s="163" t="n">
        <v>10</v>
      </c>
      <c r="M98" s="163" t="n">
        <v>11</v>
      </c>
      <c r="N98" s="163" t="n">
        <v>12</v>
      </c>
      <c r="O98" s="163" t="n">
        <v>13</v>
      </c>
      <c r="P98" s="163" t="n">
        <v>14</v>
      </c>
      <c r="Q98" s="163" t="n">
        <v>15</v>
      </c>
      <c r="R98" s="163" t="n">
        <v>16</v>
      </c>
      <c r="S98" s="163" t="n">
        <v>17</v>
      </c>
      <c r="T98" s="163" t="n">
        <v>18</v>
      </c>
      <c r="U98" s="163" t="n">
        <v>19</v>
      </c>
      <c r="V98" s="163" t="n">
        <v>20</v>
      </c>
      <c r="W98" s="163" t="n">
        <v>21</v>
      </c>
      <c r="X98" s="163" t="n">
        <v>22</v>
      </c>
      <c r="Y98" s="163" t="n">
        <v>23</v>
      </c>
      <c r="Z98" s="163" t="n">
        <v>24</v>
      </c>
      <c r="AA98" s="163" t="n">
        <v>25</v>
      </c>
      <c r="AB98" s="163" t="n">
        <v>26</v>
      </c>
      <c r="AC98" s="163" t="n">
        <v>27</v>
      </c>
      <c r="AD98" s="163" t="n">
        <v>28</v>
      </c>
      <c r="AE98" s="163" t="n">
        <v>29</v>
      </c>
      <c r="AF98" s="163" t="n">
        <v>30</v>
      </c>
      <c r="AG98" s="163" t="n">
        <v>31</v>
      </c>
      <c r="AH98" s="163" t="n">
        <v>32</v>
      </c>
      <c r="AI98" s="163" t="n">
        <v>33</v>
      </c>
      <c r="AJ98" s="163" t="n">
        <v>34</v>
      </c>
      <c r="AK98" s="163" t="n">
        <v>35</v>
      </c>
      <c r="AL98" s="163" t="n">
        <v>36</v>
      </c>
      <c r="AM98" s="163" t="n">
        <v>37</v>
      </c>
      <c r="AN98" s="163" t="n">
        <v>38</v>
      </c>
      <c r="AO98" s="163" t="n">
        <v>39</v>
      </c>
      <c r="AP98" s="163" t="n">
        <v>40</v>
      </c>
      <c r="AQ98" s="163" t="n">
        <v>41</v>
      </c>
      <c r="AR98" s="163" t="n">
        <v>42</v>
      </c>
      <c r="AS98" s="163" t="n">
        <v>43</v>
      </c>
      <c r="AT98" s="163" t="n">
        <v>44</v>
      </c>
      <c r="AU98" s="163" t="n">
        <v>45</v>
      </c>
      <c r="AV98" s="163" t="n">
        <v>46</v>
      </c>
      <c r="AW98" s="163" t="n">
        <v>47</v>
      </c>
      <c r="AX98" s="163" t="n">
        <v>48</v>
      </c>
      <c r="AY98" s="163" t="n">
        <v>49</v>
      </c>
      <c r="AZ98" s="163" t="n">
        <v>50</v>
      </c>
      <c r="BA98" s="163" t="n">
        <v>51</v>
      </c>
      <c r="BB98" s="163" t="n">
        <v>52</v>
      </c>
      <c r="BC98" s="163" t="n">
        <v>53</v>
      </c>
      <c r="BD98" s="163" t="n">
        <v>54</v>
      </c>
      <c r="BE98" s="163" t="n">
        <v>55</v>
      </c>
      <c r="BF98" s="163" t="n">
        <v>56</v>
      </c>
      <c r="BG98" s="163" t="n">
        <v>57</v>
      </c>
      <c r="BH98" s="163" t="n">
        <v>58</v>
      </c>
      <c r="BI98" s="163" t="n">
        <v>59</v>
      </c>
      <c r="BJ98" s="163" t="n">
        <v>60</v>
      </c>
      <c r="BK98" s="163" t="n">
        <v>61</v>
      </c>
      <c r="BL98" s="163" t="n">
        <v>62</v>
      </c>
      <c r="BM98" s="163" t="n">
        <v>63</v>
      </c>
      <c r="BN98" s="163" t="n">
        <v>64</v>
      </c>
      <c r="BO98" s="163" t="n">
        <v>65</v>
      </c>
      <c r="BP98" s="163" t="n">
        <v>66</v>
      </c>
      <c r="BQ98" s="163" t="n">
        <v>67</v>
      </c>
      <c r="BR98" s="163" t="n">
        <v>68</v>
      </c>
      <c r="BS98" s="163" t="n">
        <v>69</v>
      </c>
      <c r="BT98" s="163" t="n">
        <v>70</v>
      </c>
      <c r="BU98" s="163" t="n">
        <v>71</v>
      </c>
      <c r="BV98" s="163" t="n">
        <v>72</v>
      </c>
      <c r="BW98" s="163" t="n">
        <v>73</v>
      </c>
      <c r="BX98" s="163" t="n">
        <v>74</v>
      </c>
      <c r="BY98" s="163" t="n">
        <v>75</v>
      </c>
      <c r="BZ98" s="163" t="n">
        <v>76</v>
      </c>
      <c r="CA98" s="163" t="n">
        <v>77</v>
      </c>
      <c r="CB98" s="163" t="n">
        <v>78</v>
      </c>
      <c r="CC98" s="163" t="n">
        <v>79</v>
      </c>
      <c r="CD98" s="163" t="n">
        <v>80</v>
      </c>
      <c r="CE98" s="163" t="n">
        <v>81</v>
      </c>
      <c r="CF98" s="163" t="n">
        <v>82</v>
      </c>
      <c r="CG98" s="163" t="n">
        <v>83</v>
      </c>
      <c r="CH98" s="163" t="n">
        <v>84</v>
      </c>
    </row>
    <row r="99" customFormat="false" ht="15" hidden="false" customHeight="true" outlineLevel="0" collapsed="false">
      <c r="A99" s="163" t="s">
        <v>563</v>
      </c>
      <c r="B99" s="164" t="n">
        <f aca="false">SUM(C99:CH99)</f>
        <v>9009665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5" t="n">
        <v>45050.36</v>
      </c>
      <c r="M99" s="165" t="n">
        <v>45050.36</v>
      </c>
      <c r="N99" s="165" t="n">
        <v>45050.36</v>
      </c>
      <c r="O99" s="165" t="n">
        <v>45050.36</v>
      </c>
      <c r="P99" s="165" t="n">
        <v>45050.36</v>
      </c>
      <c r="Q99" s="165" t="n">
        <v>45050.36</v>
      </c>
      <c r="R99" s="165" t="n">
        <v>70944.52</v>
      </c>
      <c r="S99" s="165" t="n">
        <v>96838.68</v>
      </c>
      <c r="T99" s="165" t="n">
        <v>122732.84</v>
      </c>
      <c r="U99" s="165" t="n">
        <v>148626.99</v>
      </c>
      <c r="V99" s="165" t="n">
        <v>174521.16</v>
      </c>
      <c r="W99" s="165" t="n">
        <v>200415.31</v>
      </c>
      <c r="X99" s="165" t="n">
        <v>226309.46</v>
      </c>
      <c r="Y99" s="165" t="n">
        <v>252203.62</v>
      </c>
      <c r="Z99" s="165" t="n">
        <v>278097.79</v>
      </c>
      <c r="AA99" s="165" t="n">
        <v>303991.94</v>
      </c>
      <c r="AB99" s="165" t="n">
        <v>329886.11</v>
      </c>
      <c r="AC99" s="165" t="n">
        <v>400830.61</v>
      </c>
      <c r="AD99" s="165" t="n">
        <v>311512.01</v>
      </c>
      <c r="AE99" s="165" t="n">
        <v>312294.13</v>
      </c>
      <c r="AF99" s="165" t="n">
        <v>313076.23</v>
      </c>
      <c r="AG99" s="165" t="n">
        <v>313858.34</v>
      </c>
      <c r="AH99" s="165" t="n">
        <v>314640.44</v>
      </c>
      <c r="AI99" s="165" t="n">
        <v>341316.71</v>
      </c>
      <c r="AJ99" s="165" t="n">
        <v>316204.67</v>
      </c>
      <c r="AK99" s="165" t="n">
        <v>291092.62</v>
      </c>
      <c r="AL99" s="165" t="n">
        <v>265980.57</v>
      </c>
      <c r="AM99" s="165" t="n">
        <v>240868.51</v>
      </c>
      <c r="AN99" s="165" t="n">
        <v>215756.47</v>
      </c>
      <c r="AO99" s="165" t="n">
        <v>190644.42</v>
      </c>
      <c r="AP99" s="165" t="n">
        <v>165532.36</v>
      </c>
      <c r="AQ99" s="165" t="n">
        <v>140420.32</v>
      </c>
      <c r="AR99" s="165" t="n">
        <v>115308.27</v>
      </c>
      <c r="AS99" s="165" t="n">
        <v>196095.1</v>
      </c>
      <c r="AT99" s="165" t="n">
        <v>170200.95</v>
      </c>
      <c r="AU99" s="165" t="n">
        <v>119194.75</v>
      </c>
      <c r="AV99" s="165" t="n">
        <v>118412.64</v>
      </c>
      <c r="AW99" s="165" t="n">
        <v>117630.52</v>
      </c>
      <c r="AX99" s="165" t="n">
        <v>116848.42</v>
      </c>
      <c r="AY99" s="165" t="n">
        <v>116066.31</v>
      </c>
      <c r="AZ99" s="165" t="n">
        <v>115284.2</v>
      </c>
      <c r="BA99" s="165" t="n">
        <v>114502.09</v>
      </c>
      <c r="BB99" s="165" t="n">
        <v>113719.98</v>
      </c>
      <c r="BC99" s="165" t="n">
        <v>112937.87</v>
      </c>
      <c r="BD99" s="165" t="n">
        <v>112155.76</v>
      </c>
      <c r="BE99" s="165" t="n">
        <v>111373.65</v>
      </c>
      <c r="BF99" s="165" t="n">
        <v>110591.54</v>
      </c>
      <c r="BG99" s="165" t="n">
        <v>109809.44</v>
      </c>
      <c r="BH99" s="165" t="n">
        <v>109027.32</v>
      </c>
      <c r="BI99" s="165" t="n">
        <v>108245.21</v>
      </c>
      <c r="BJ99" s="165" t="n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customFormat="false" ht="15" hidden="false" customHeight="true" outlineLevel="0" collapsed="false">
      <c r="A100" s="163" t="s">
        <v>565</v>
      </c>
      <c r="B100" s="164" t="n">
        <f aca="false">SUM(C100:CH100)</f>
        <v>-1675044</v>
      </c>
      <c r="C100" s="161"/>
      <c r="D100" s="161"/>
      <c r="E100" s="161"/>
      <c r="F100" s="161"/>
      <c r="G100" s="161"/>
      <c r="H100" s="161"/>
      <c r="I100" s="161"/>
      <c r="J100" s="161"/>
      <c r="K100" s="161"/>
      <c r="L100" s="165" t="n">
        <v>-16667</v>
      </c>
      <c r="M100" s="165" t="n">
        <v>-16667</v>
      </c>
      <c r="N100" s="165" t="n">
        <v>-16667</v>
      </c>
      <c r="O100" s="165" t="n">
        <v>-16667</v>
      </c>
      <c r="P100" s="165" t="n">
        <v>-16667</v>
      </c>
      <c r="Q100" s="165" t="n">
        <v>-16667</v>
      </c>
      <c r="R100" s="165" t="n">
        <v>-37501</v>
      </c>
      <c r="S100" s="165" t="n">
        <v>-37501</v>
      </c>
      <c r="T100" s="165" t="n">
        <v>-37501</v>
      </c>
      <c r="U100" s="165" t="n">
        <v>-37501</v>
      </c>
      <c r="V100" s="165" t="n">
        <v>-37501</v>
      </c>
      <c r="W100" s="165" t="n">
        <v>-37501</v>
      </c>
      <c r="X100" s="165" t="n">
        <v>-37501</v>
      </c>
      <c r="Y100" s="165" t="n">
        <v>-37501</v>
      </c>
      <c r="Z100" s="165" t="n">
        <v>-37501</v>
      </c>
      <c r="AA100" s="165" t="n">
        <v>-37501</v>
      </c>
      <c r="AB100" s="165" t="n">
        <v>-37501</v>
      </c>
      <c r="AC100" s="165" t="n">
        <v>-37501</v>
      </c>
      <c r="AD100" s="165" t="n">
        <v>-37501</v>
      </c>
      <c r="AE100" s="165" t="n">
        <v>-37501</v>
      </c>
      <c r="AF100" s="165" t="n">
        <v>-37501</v>
      </c>
      <c r="AG100" s="165" t="n">
        <v>-37501</v>
      </c>
      <c r="AH100" s="165" t="n">
        <v>-37501</v>
      </c>
      <c r="AI100" s="165" t="n">
        <v>-37501</v>
      </c>
      <c r="AJ100" s="165" t="n">
        <v>-37501</v>
      </c>
      <c r="AK100" s="165" t="n">
        <v>-37501</v>
      </c>
      <c r="AL100" s="165" t="n">
        <v>-37501</v>
      </c>
      <c r="AM100" s="165" t="n">
        <v>-37501</v>
      </c>
      <c r="AN100" s="165" t="n">
        <v>-37501</v>
      </c>
      <c r="AO100" s="165" t="n">
        <v>-37501</v>
      </c>
      <c r="AP100" s="165" t="n">
        <v>-37501</v>
      </c>
      <c r="AQ100" s="165" t="n">
        <v>-37501</v>
      </c>
      <c r="AR100" s="165" t="n">
        <v>-37501</v>
      </c>
      <c r="AS100" s="165" t="n">
        <v>-37501</v>
      </c>
      <c r="AT100" s="165" t="n">
        <v>-37501</v>
      </c>
      <c r="AU100" s="165" t="n">
        <v>-37501</v>
      </c>
      <c r="AV100" s="165" t="n">
        <v>-37501</v>
      </c>
      <c r="AW100" s="165" t="n">
        <v>-37501</v>
      </c>
      <c r="AX100" s="165" t="n">
        <v>-37501</v>
      </c>
      <c r="AY100" s="165" t="n">
        <v>-37501</v>
      </c>
      <c r="AZ100" s="165" t="n">
        <v>-37501</v>
      </c>
      <c r="BA100" s="165" t="n">
        <v>-37501</v>
      </c>
      <c r="BB100" s="165" t="n">
        <v>-37501</v>
      </c>
      <c r="BC100" s="165" t="n">
        <v>-37501</v>
      </c>
      <c r="BD100" s="165" t="n">
        <v>-37501</v>
      </c>
      <c r="BE100" s="165" t="n">
        <v>-37501</v>
      </c>
      <c r="BF100" s="165" t="n">
        <v>-37501</v>
      </c>
      <c r="BG100" s="165" t="n">
        <v>-37501</v>
      </c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61"/>
      <c r="CE100" s="161"/>
      <c r="CF100" s="161"/>
      <c r="CG100" s="161"/>
      <c r="CH100" s="161"/>
    </row>
    <row r="101" customFormat="false" ht="15" hidden="false" customHeight="true" outlineLevel="0" collapsed="false">
      <c r="A101" s="163" t="s">
        <v>566</v>
      </c>
      <c r="B101" s="164" t="n">
        <f aca="false">SUM(C101:CH101)</f>
        <v>-536016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5" t="n">
        <v>-11167</v>
      </c>
      <c r="M101" s="165" t="n">
        <v>-11167</v>
      </c>
      <c r="N101" s="165" t="n">
        <v>-11167</v>
      </c>
      <c r="O101" s="165" t="n">
        <v>-11167</v>
      </c>
      <c r="P101" s="165" t="n">
        <v>-11167</v>
      </c>
      <c r="Q101" s="165" t="n">
        <v>-11167</v>
      </c>
      <c r="R101" s="165" t="n">
        <v>-11167</v>
      </c>
      <c r="S101" s="165" t="n">
        <v>-11167</v>
      </c>
      <c r="T101" s="165" t="n">
        <v>-11167</v>
      </c>
      <c r="U101" s="165" t="n">
        <v>-11167</v>
      </c>
      <c r="V101" s="165" t="n">
        <v>-11167</v>
      </c>
      <c r="W101" s="165" t="n">
        <v>-11167</v>
      </c>
      <c r="X101" s="165" t="n">
        <v>-11167</v>
      </c>
      <c r="Y101" s="165" t="n">
        <v>-11167</v>
      </c>
      <c r="Z101" s="165" t="n">
        <v>-11167</v>
      </c>
      <c r="AA101" s="165" t="n">
        <v>-11167</v>
      </c>
      <c r="AB101" s="165" t="n">
        <v>-11167</v>
      </c>
      <c r="AC101" s="165" t="n">
        <v>-11167</v>
      </c>
      <c r="AD101" s="165" t="n">
        <v>-11167</v>
      </c>
      <c r="AE101" s="165" t="n">
        <v>-11167</v>
      </c>
      <c r="AF101" s="165" t="n">
        <v>-11167</v>
      </c>
      <c r="AG101" s="165" t="n">
        <v>-11167</v>
      </c>
      <c r="AH101" s="165" t="n">
        <v>-11167</v>
      </c>
      <c r="AI101" s="165" t="n">
        <v>-11167</v>
      </c>
      <c r="AJ101" s="165" t="n">
        <v>-11167</v>
      </c>
      <c r="AK101" s="165" t="n">
        <v>-11167</v>
      </c>
      <c r="AL101" s="165" t="n">
        <v>-11167</v>
      </c>
      <c r="AM101" s="165" t="n">
        <v>-11167</v>
      </c>
      <c r="AN101" s="165" t="n">
        <v>-11167</v>
      </c>
      <c r="AO101" s="165" t="n">
        <v>-11167</v>
      </c>
      <c r="AP101" s="165" t="n">
        <v>-11167</v>
      </c>
      <c r="AQ101" s="165" t="n">
        <v>-11167</v>
      </c>
      <c r="AR101" s="165" t="n">
        <v>-11167</v>
      </c>
      <c r="AS101" s="165" t="n">
        <v>-11167</v>
      </c>
      <c r="AT101" s="165" t="n">
        <v>-11167</v>
      </c>
      <c r="AU101" s="165" t="n">
        <v>-11167</v>
      </c>
      <c r="AV101" s="165" t="n">
        <v>-11167</v>
      </c>
      <c r="AW101" s="165" t="n">
        <v>-11167</v>
      </c>
      <c r="AX101" s="165" t="n">
        <v>-11167</v>
      </c>
      <c r="AY101" s="165" t="n">
        <v>-11167</v>
      </c>
      <c r="AZ101" s="165" t="n">
        <v>-11167</v>
      </c>
      <c r="BA101" s="165" t="n">
        <v>-11167</v>
      </c>
      <c r="BB101" s="165" t="n">
        <v>-11167</v>
      </c>
      <c r="BC101" s="165" t="n">
        <v>-11167</v>
      </c>
      <c r="BD101" s="165" t="n">
        <v>-11167</v>
      </c>
      <c r="BE101" s="165" t="n">
        <v>-11167</v>
      </c>
      <c r="BF101" s="165" t="n">
        <v>-11167</v>
      </c>
      <c r="BG101" s="165" t="n">
        <v>-11167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customFormat="false" ht="15" hidden="false" customHeight="true" outlineLevel="0" collapsed="false">
      <c r="A102" s="163" t="s">
        <v>567</v>
      </c>
      <c r="B102" s="164" t="n">
        <f aca="false">SUM(C102:CH102)</f>
        <v>6798605</v>
      </c>
      <c r="C102" s="166" t="n">
        <f aca="false">C99+C100+C101</f>
        <v>0</v>
      </c>
      <c r="D102" s="166" t="n">
        <f aca="false">D99+D100+D101</f>
        <v>0</v>
      </c>
      <c r="E102" s="166" t="n">
        <f aca="false">E99+E100+E101</f>
        <v>0</v>
      </c>
      <c r="F102" s="166" t="n">
        <f aca="false">F99+F100+F101</f>
        <v>0</v>
      </c>
      <c r="G102" s="166" t="n">
        <f aca="false">G99+G100+G101</f>
        <v>0</v>
      </c>
      <c r="H102" s="166" t="n">
        <f aca="false">H99+H100+H101</f>
        <v>0</v>
      </c>
      <c r="I102" s="166" t="n">
        <f aca="false">I99+I100+I101</f>
        <v>0</v>
      </c>
      <c r="J102" s="166" t="n">
        <f aca="false">J99+J100+J101</f>
        <v>0</v>
      </c>
      <c r="K102" s="166" t="n">
        <f aca="false">K99+K100+K101</f>
        <v>0</v>
      </c>
      <c r="L102" s="166" t="n">
        <f aca="false">L99+L100+L101</f>
        <v>17216.36</v>
      </c>
      <c r="M102" s="166" t="n">
        <f aca="false">M99+M100+M101</f>
        <v>17216.36</v>
      </c>
      <c r="N102" s="166" t="n">
        <f aca="false">N99+N100+N101</f>
        <v>17216.36</v>
      </c>
      <c r="O102" s="166" t="n">
        <f aca="false">O99+O100+O101</f>
        <v>17216.36</v>
      </c>
      <c r="P102" s="166" t="n">
        <f aca="false">P99+P100+P101</f>
        <v>17216.36</v>
      </c>
      <c r="Q102" s="166" t="n">
        <f aca="false">Q99+Q100+Q101</f>
        <v>17216.36</v>
      </c>
      <c r="R102" s="166" t="n">
        <f aca="false">R99+R100+R101</f>
        <v>22276.52</v>
      </c>
      <c r="S102" s="166" t="n">
        <f aca="false">S99+S100+S101</f>
        <v>48170.68</v>
      </c>
      <c r="T102" s="166" t="n">
        <f aca="false">T99+T100+T101</f>
        <v>74064.84</v>
      </c>
      <c r="U102" s="166" t="n">
        <f aca="false">U99+U100+U101</f>
        <v>99958.99</v>
      </c>
      <c r="V102" s="166" t="n">
        <f aca="false">V99+V100+V101</f>
        <v>125853.16</v>
      </c>
      <c r="W102" s="166" t="n">
        <f aca="false">W99+W100+W101</f>
        <v>151747.31</v>
      </c>
      <c r="X102" s="166" t="n">
        <f aca="false">X99+X100+X101</f>
        <v>177641.46</v>
      </c>
      <c r="Y102" s="166" t="n">
        <f aca="false">Y99+Y100+Y101</f>
        <v>203535.62</v>
      </c>
      <c r="Z102" s="166" t="n">
        <f aca="false">Z99+Z100+Z101</f>
        <v>229429.79</v>
      </c>
      <c r="AA102" s="166" t="n">
        <f aca="false">AA99+AA100+AA101</f>
        <v>255323.94</v>
      </c>
      <c r="AB102" s="166" t="n">
        <f aca="false">AB99+AB100+AB101</f>
        <v>281218.11</v>
      </c>
      <c r="AC102" s="166" t="n">
        <f aca="false">AC99+AC100+AC101</f>
        <v>352162.61</v>
      </c>
      <c r="AD102" s="166" t="n">
        <f aca="false">AD99+AD100+AD101</f>
        <v>262844.01</v>
      </c>
      <c r="AE102" s="166" t="n">
        <f aca="false">AE99+AE100+AE101</f>
        <v>263626.13</v>
      </c>
      <c r="AF102" s="166" t="n">
        <f aca="false">AF99+AF100+AF101</f>
        <v>264408.23</v>
      </c>
      <c r="AG102" s="166" t="n">
        <f aca="false">AG99+AG100+AG101</f>
        <v>265190.34</v>
      </c>
      <c r="AH102" s="166" t="n">
        <f aca="false">AH99+AH100+AH101</f>
        <v>265972.44</v>
      </c>
      <c r="AI102" s="166" t="n">
        <f aca="false">AI99+AI100+AI101</f>
        <v>292648.71</v>
      </c>
      <c r="AJ102" s="166" t="n">
        <f aca="false">AJ99+AJ100+AJ101</f>
        <v>267536.67</v>
      </c>
      <c r="AK102" s="166" t="n">
        <f aca="false">AK99+AK100+AK101</f>
        <v>242424.62</v>
      </c>
      <c r="AL102" s="166" t="n">
        <f aca="false">AL99+AL100+AL101</f>
        <v>217312.57</v>
      </c>
      <c r="AM102" s="166" t="n">
        <f aca="false">AM99+AM100+AM101</f>
        <v>192200.51</v>
      </c>
      <c r="AN102" s="166" t="n">
        <f aca="false">AN99+AN100+AN101</f>
        <v>167088.47</v>
      </c>
      <c r="AO102" s="166" t="n">
        <f aca="false">AO99+AO100+AO101</f>
        <v>141976.42</v>
      </c>
      <c r="AP102" s="166" t="n">
        <f aca="false">AP99+AP100+AP101</f>
        <v>116864.36</v>
      </c>
      <c r="AQ102" s="166" t="n">
        <f aca="false">AQ99+AQ100+AQ101</f>
        <v>91752.32</v>
      </c>
      <c r="AR102" s="166" t="n">
        <f aca="false">AR99+AR100+AR101</f>
        <v>66640.27</v>
      </c>
      <c r="AS102" s="166" t="n">
        <f aca="false">AS99+AS100+AS101</f>
        <v>147427.1</v>
      </c>
      <c r="AT102" s="166" t="n">
        <f aca="false">AT99+AT100+AT101</f>
        <v>121532.95</v>
      </c>
      <c r="AU102" s="166" t="n">
        <f aca="false">AU99+AU100+AU101</f>
        <v>70526.75</v>
      </c>
      <c r="AV102" s="166" t="n">
        <f aca="false">AV99+AV100+AV101</f>
        <v>69744.64</v>
      </c>
      <c r="AW102" s="166" t="n">
        <f aca="false">AW99+AW100+AW101</f>
        <v>68962.52</v>
      </c>
      <c r="AX102" s="166" t="n">
        <f aca="false">AX99+AX100+AX101</f>
        <v>68180.42</v>
      </c>
      <c r="AY102" s="166" t="n">
        <f aca="false">AY99+AY100+AY101</f>
        <v>67398.31</v>
      </c>
      <c r="AZ102" s="166" t="n">
        <f aca="false">AZ99+AZ100+AZ101</f>
        <v>66616.2</v>
      </c>
      <c r="BA102" s="166" t="n">
        <f aca="false">BA99+BA100+BA101</f>
        <v>65834.09</v>
      </c>
      <c r="BB102" s="166" t="n">
        <f aca="false">BB99+BB100+BB101</f>
        <v>65051.98</v>
      </c>
      <c r="BC102" s="166" t="n">
        <f aca="false">BC99+BC100+BC101</f>
        <v>64269.87</v>
      </c>
      <c r="BD102" s="166" t="n">
        <f aca="false">BD99+BD100+BD101</f>
        <v>63487.76</v>
      </c>
      <c r="BE102" s="166" t="n">
        <f aca="false">BE99+BE100+BE101</f>
        <v>62705.65</v>
      </c>
      <c r="BF102" s="166" t="n">
        <f aca="false">BF99+BF100+BF101</f>
        <v>61923.54</v>
      </c>
      <c r="BG102" s="166" t="n">
        <f aca="false">BG99+BG100+BG101</f>
        <v>61141.44</v>
      </c>
      <c r="BH102" s="166" t="n">
        <f aca="false">BH99+BH100+BH101</f>
        <v>109027.32</v>
      </c>
      <c r="BI102" s="166" t="n">
        <f aca="false">BI99+BI100+BI101</f>
        <v>108245.21</v>
      </c>
      <c r="BJ102" s="166" t="n">
        <f aca="false">BJ99+BJ100+BJ101</f>
        <v>213361.99</v>
      </c>
      <c r="BK102" s="166" t="n">
        <f aca="false">BK99+BK100+BK101</f>
        <v>0</v>
      </c>
      <c r="BL102" s="166" t="n">
        <f aca="false">BL99+BL100+BL101</f>
        <v>0</v>
      </c>
      <c r="BM102" s="166" t="n">
        <f aca="false">BM99+BM100+BM101</f>
        <v>0</v>
      </c>
      <c r="BN102" s="166" t="n">
        <f aca="false">BN99+BN100+BN101</f>
        <v>0</v>
      </c>
      <c r="BO102" s="166" t="n">
        <f aca="false">BO99+BO100+BO101</f>
        <v>0</v>
      </c>
      <c r="BP102" s="166" t="n">
        <f aca="false">BP99+BP100+BP101</f>
        <v>0</v>
      </c>
      <c r="BQ102" s="166" t="n">
        <f aca="false">BQ99+BQ100+BQ101</f>
        <v>0</v>
      </c>
      <c r="BR102" s="166" t="n">
        <f aca="false">BR99+BR100+BR101</f>
        <v>0</v>
      </c>
      <c r="BS102" s="166" t="n">
        <f aca="false">BS99+BS100+BS101</f>
        <v>0</v>
      </c>
      <c r="BT102" s="166" t="n">
        <f aca="false">BT99+BT100+BT101</f>
        <v>0</v>
      </c>
      <c r="BU102" s="166" t="n">
        <f aca="false">BU99+BU100+BU101</f>
        <v>0</v>
      </c>
      <c r="BV102" s="166" t="n">
        <f aca="false">BV99+BV100+BV101</f>
        <v>0</v>
      </c>
      <c r="BW102" s="166" t="n">
        <f aca="false">BW99+BW100+BW101</f>
        <v>0</v>
      </c>
      <c r="BX102" s="166" t="n">
        <f aca="false">BX99+BX100+BX101</f>
        <v>0</v>
      </c>
      <c r="BY102" s="166" t="n">
        <f aca="false">BY99+BY100+BY101</f>
        <v>0</v>
      </c>
      <c r="BZ102" s="166" t="n">
        <f aca="false">BZ99+BZ100+BZ101</f>
        <v>0</v>
      </c>
      <c r="CA102" s="166" t="n">
        <f aca="false">CA99+CA100+CA101</f>
        <v>0</v>
      </c>
      <c r="CB102" s="166" t="n">
        <f aca="false">CB99+CB100+CB101</f>
        <v>0</v>
      </c>
      <c r="CC102" s="166" t="n">
        <f aca="false">CC99+CC100+CC101</f>
        <v>0</v>
      </c>
      <c r="CD102" s="166" t="n">
        <f aca="false">CD99+CD100+CD101</f>
        <v>0</v>
      </c>
      <c r="CE102" s="166" t="n">
        <f aca="false">CE99+CE100+CE101</f>
        <v>0</v>
      </c>
      <c r="CF102" s="166" t="n">
        <f aca="false">CF99+CF100+CF101</f>
        <v>0</v>
      </c>
      <c r="CG102" s="166" t="n">
        <f aca="false">CG99+CG100+CG101</f>
        <v>0</v>
      </c>
      <c r="CH102" s="166" t="n">
        <f aca="false">CH99+CH100+CH101</f>
        <v>0</v>
      </c>
    </row>
    <row r="103" customFormat="false" ht="15" hidden="false" customHeight="true" outlineLevel="0" collapsed="false">
      <c r="A103" s="163" t="s">
        <v>568</v>
      </c>
      <c r="B103" s="164" t="n">
        <f aca="false">SUM(C103:CH103)</f>
        <v>900966.5</v>
      </c>
      <c r="C103" s="166" t="n">
        <f aca="false">C99*$B$94</f>
        <v>0</v>
      </c>
      <c r="D103" s="166" t="n">
        <f aca="false">D99*$B$94</f>
        <v>0</v>
      </c>
      <c r="E103" s="166" t="n">
        <f aca="false">E99*$B$94</f>
        <v>0</v>
      </c>
      <c r="F103" s="166" t="n">
        <f aca="false">F99*$B$94</f>
        <v>0</v>
      </c>
      <c r="G103" s="166" t="n">
        <f aca="false">G99*$B$94</f>
        <v>0</v>
      </c>
      <c r="H103" s="166" t="n">
        <f aca="false">H99*$B$94</f>
        <v>0</v>
      </c>
      <c r="I103" s="166" t="n">
        <f aca="false">I99*$B$94</f>
        <v>0</v>
      </c>
      <c r="J103" s="166" t="n">
        <f aca="false">J99*$B$94</f>
        <v>0</v>
      </c>
      <c r="K103" s="166" t="n">
        <f aca="false">K99*$B$94</f>
        <v>0</v>
      </c>
      <c r="L103" s="166" t="n">
        <f aca="false">L99*$B$94</f>
        <v>4505.036</v>
      </c>
      <c r="M103" s="166" t="n">
        <f aca="false">M99*$B$94</f>
        <v>4505.036</v>
      </c>
      <c r="N103" s="166" t="n">
        <f aca="false">N99*$B$94</f>
        <v>4505.036</v>
      </c>
      <c r="O103" s="166" t="n">
        <f aca="false">O99*$B$94</f>
        <v>4505.036</v>
      </c>
      <c r="P103" s="166" t="n">
        <f aca="false">P99*$B$94</f>
        <v>4505.036</v>
      </c>
      <c r="Q103" s="166" t="n">
        <f aca="false">Q99*$B$94</f>
        <v>4505.036</v>
      </c>
      <c r="R103" s="166" t="n">
        <f aca="false">R99*$B$94</f>
        <v>7094.452</v>
      </c>
      <c r="S103" s="166" t="n">
        <f aca="false">S99*$B$94</f>
        <v>9683.868</v>
      </c>
      <c r="T103" s="166" t="n">
        <f aca="false">T99*$B$94</f>
        <v>12273.284</v>
      </c>
      <c r="U103" s="166" t="n">
        <f aca="false">U99*$B$94</f>
        <v>14862.699</v>
      </c>
      <c r="V103" s="166" t="n">
        <f aca="false">V99*$B$94</f>
        <v>17452.116</v>
      </c>
      <c r="W103" s="166" t="n">
        <f aca="false">W99*$B$94</f>
        <v>20041.531</v>
      </c>
      <c r="X103" s="166" t="n">
        <f aca="false">X99*$B$94</f>
        <v>22630.946</v>
      </c>
      <c r="Y103" s="166" t="n">
        <f aca="false">Y99*$B$94</f>
        <v>25220.362</v>
      </c>
      <c r="Z103" s="166" t="n">
        <f aca="false">Z99*$B$94</f>
        <v>27809.779</v>
      </c>
      <c r="AA103" s="166" t="n">
        <f aca="false">AA99*$B$94</f>
        <v>30399.194</v>
      </c>
      <c r="AB103" s="166" t="n">
        <f aca="false">AB99*$B$94</f>
        <v>32988.611</v>
      </c>
      <c r="AC103" s="166" t="n">
        <f aca="false">AC99*$B$94</f>
        <v>40083.061</v>
      </c>
      <c r="AD103" s="166" t="n">
        <f aca="false">AD99*$B$94</f>
        <v>31151.201</v>
      </c>
      <c r="AE103" s="166" t="n">
        <f aca="false">AE99*$B$94</f>
        <v>31229.413</v>
      </c>
      <c r="AF103" s="166" t="n">
        <f aca="false">AF99*$B$94</f>
        <v>31307.623</v>
      </c>
      <c r="AG103" s="166" t="n">
        <f aca="false">AG99*$B$94</f>
        <v>31385.834</v>
      </c>
      <c r="AH103" s="166" t="n">
        <f aca="false">AH99*$B$94</f>
        <v>31464.044</v>
      </c>
      <c r="AI103" s="166" t="n">
        <f aca="false">AI99*$B$94</f>
        <v>34131.671</v>
      </c>
      <c r="AJ103" s="166" t="n">
        <f aca="false">AJ99*$B$94</f>
        <v>31620.467</v>
      </c>
      <c r="AK103" s="166" t="n">
        <f aca="false">AK99*$B$94</f>
        <v>29109.262</v>
      </c>
      <c r="AL103" s="166" t="n">
        <f aca="false">AL99*$B$94</f>
        <v>26598.057</v>
      </c>
      <c r="AM103" s="166" t="n">
        <f aca="false">AM99*$B$94</f>
        <v>24086.851</v>
      </c>
      <c r="AN103" s="166" t="n">
        <f aca="false">AN99*$B$94</f>
        <v>21575.647</v>
      </c>
      <c r="AO103" s="166" t="n">
        <f aca="false">AO99*$B$94</f>
        <v>19064.442</v>
      </c>
      <c r="AP103" s="166" t="n">
        <f aca="false">AP99*$B$94</f>
        <v>16553.236</v>
      </c>
      <c r="AQ103" s="166" t="n">
        <f aca="false">AQ99*$B$94</f>
        <v>14042.032</v>
      </c>
      <c r="AR103" s="166" t="n">
        <f aca="false">AR99*$B$94</f>
        <v>11530.827</v>
      </c>
      <c r="AS103" s="166" t="n">
        <f aca="false">AS99*$B$94</f>
        <v>19609.51</v>
      </c>
      <c r="AT103" s="166" t="n">
        <f aca="false">AT99*$B$94</f>
        <v>17020.095</v>
      </c>
      <c r="AU103" s="166" t="n">
        <f aca="false">AU99*$B$94</f>
        <v>11919.475</v>
      </c>
      <c r="AV103" s="166" t="n">
        <f aca="false">AV99*$B$94</f>
        <v>11841.264</v>
      </c>
      <c r="AW103" s="166" t="n">
        <f aca="false">AW99*$B$94</f>
        <v>11763.052</v>
      </c>
      <c r="AX103" s="166" t="n">
        <f aca="false">AX99*$B$94</f>
        <v>11684.842</v>
      </c>
      <c r="AY103" s="166" t="n">
        <f aca="false">AY99*$B$94</f>
        <v>11606.631</v>
      </c>
      <c r="AZ103" s="166" t="n">
        <f aca="false">AZ99*$B$94</f>
        <v>11528.42</v>
      </c>
      <c r="BA103" s="166" t="n">
        <f aca="false">BA99*$B$94</f>
        <v>11450.209</v>
      </c>
      <c r="BB103" s="166" t="n">
        <f aca="false">BB99*$B$94</f>
        <v>11371.998</v>
      </c>
      <c r="BC103" s="166" t="n">
        <f aca="false">BC99*$B$94</f>
        <v>11293.787</v>
      </c>
      <c r="BD103" s="166" t="n">
        <f aca="false">BD99*$B$94</f>
        <v>11215.576</v>
      </c>
      <c r="BE103" s="166" t="n">
        <f aca="false">BE99*$B$94</f>
        <v>11137.365</v>
      </c>
      <c r="BF103" s="166" t="n">
        <f aca="false">BF99*$B$94</f>
        <v>11059.154</v>
      </c>
      <c r="BG103" s="166" t="n">
        <f aca="false">BG99*$B$94</f>
        <v>10980.944</v>
      </c>
      <c r="BH103" s="166" t="n">
        <f aca="false">BH99*$B$94</f>
        <v>10902.732</v>
      </c>
      <c r="BI103" s="166" t="n">
        <f aca="false">BI99*$B$94</f>
        <v>10824.521</v>
      </c>
      <c r="BJ103" s="166" t="n">
        <f aca="false">BJ99*$B$94</f>
        <v>21336.199</v>
      </c>
      <c r="BK103" s="166" t="n">
        <f aca="false">BK99*$B$94</f>
        <v>0</v>
      </c>
      <c r="BL103" s="166" t="n">
        <f aca="false">BL99*$B$94</f>
        <v>0</v>
      </c>
      <c r="BM103" s="166" t="n">
        <f aca="false">BM99*$B$94</f>
        <v>0</v>
      </c>
      <c r="BN103" s="166" t="n">
        <f aca="false">BN99*$B$94</f>
        <v>0</v>
      </c>
      <c r="BO103" s="166" t="n">
        <f aca="false">BO99*$B$94</f>
        <v>0</v>
      </c>
      <c r="BP103" s="166" t="n">
        <f aca="false">BP99*$B$94</f>
        <v>0</v>
      </c>
      <c r="BQ103" s="166" t="n">
        <f aca="false">BQ99*$B$94</f>
        <v>0</v>
      </c>
      <c r="BR103" s="166" t="n">
        <f aca="false">BR99*$B$94</f>
        <v>0</v>
      </c>
      <c r="BS103" s="166" t="n">
        <f aca="false">BS99*$B$94</f>
        <v>0</v>
      </c>
      <c r="BT103" s="166" t="n">
        <f aca="false">BT99*$B$94</f>
        <v>0</v>
      </c>
      <c r="BU103" s="166" t="n">
        <f aca="false">BU99*$B$94</f>
        <v>0</v>
      </c>
      <c r="BV103" s="166" t="n">
        <f aca="false">BV99*$B$94</f>
        <v>0</v>
      </c>
      <c r="BW103" s="166" t="n">
        <f aca="false">BW99*$B$94</f>
        <v>0</v>
      </c>
      <c r="BX103" s="166" t="n">
        <f aca="false">BX99*$B$94</f>
        <v>0</v>
      </c>
      <c r="BY103" s="166" t="n">
        <f aca="false">BY99*$B$94</f>
        <v>0</v>
      </c>
      <c r="BZ103" s="166" t="n">
        <f aca="false">BZ99*$B$94</f>
        <v>0</v>
      </c>
      <c r="CA103" s="166" t="n">
        <f aca="false">CA99*$B$94</f>
        <v>0</v>
      </c>
      <c r="CB103" s="166" t="n">
        <f aca="false">CB99*$B$94</f>
        <v>0</v>
      </c>
      <c r="CC103" s="166" t="n">
        <f aca="false">CC99*$B$94</f>
        <v>0</v>
      </c>
      <c r="CD103" s="166" t="n">
        <f aca="false">CD99*$B$94</f>
        <v>0</v>
      </c>
      <c r="CE103" s="166" t="n">
        <f aca="false">CE99*$B$94</f>
        <v>0</v>
      </c>
      <c r="CF103" s="166" t="n">
        <f aca="false">CF99*$B$94</f>
        <v>0</v>
      </c>
      <c r="CG103" s="166" t="n">
        <f aca="false">CG99*$B$94</f>
        <v>0</v>
      </c>
      <c r="CH103" s="166" t="n">
        <f aca="false">CH99*$B$94</f>
        <v>0</v>
      </c>
    </row>
    <row r="104" customFormat="false" ht="15" hidden="false" customHeight="true" outlineLevel="0" collapsed="false">
      <c r="A104" s="163" t="s">
        <v>569</v>
      </c>
      <c r="B104" s="164" t="n">
        <f aca="false">SUM(C104:CH104)</f>
        <v>5897638.5</v>
      </c>
      <c r="C104" s="166" t="n">
        <f aca="false">C102-C103</f>
        <v>0</v>
      </c>
      <c r="D104" s="166" t="n">
        <f aca="false">D102-D103</f>
        <v>0</v>
      </c>
      <c r="E104" s="166" t="n">
        <f aca="false">E102-E103</f>
        <v>0</v>
      </c>
      <c r="F104" s="166" t="n">
        <f aca="false">F102-F103</f>
        <v>0</v>
      </c>
      <c r="G104" s="166" t="n">
        <f aca="false">G102-G103</f>
        <v>0</v>
      </c>
      <c r="H104" s="166" t="n">
        <f aca="false">H102-H103</f>
        <v>0</v>
      </c>
      <c r="I104" s="166" t="n">
        <f aca="false">I102-I103</f>
        <v>0</v>
      </c>
      <c r="J104" s="166" t="n">
        <f aca="false">J102-J103</f>
        <v>0</v>
      </c>
      <c r="K104" s="166" t="n">
        <f aca="false">K102-K103</f>
        <v>0</v>
      </c>
      <c r="L104" s="166" t="n">
        <f aca="false">L102-L103</f>
        <v>12711.324</v>
      </c>
      <c r="M104" s="166" t="n">
        <f aca="false">M102-M103</f>
        <v>12711.324</v>
      </c>
      <c r="N104" s="166" t="n">
        <f aca="false">N102-N103</f>
        <v>12711.324</v>
      </c>
      <c r="O104" s="166" t="n">
        <f aca="false">O102-O103</f>
        <v>12711.324</v>
      </c>
      <c r="P104" s="166" t="n">
        <f aca="false">P102-P103</f>
        <v>12711.324</v>
      </c>
      <c r="Q104" s="166" t="n">
        <f aca="false">Q102-Q103</f>
        <v>12711.324</v>
      </c>
      <c r="R104" s="166" t="n">
        <f aca="false">R102-R103</f>
        <v>15182.068</v>
      </c>
      <c r="S104" s="166" t="n">
        <f aca="false">S102-S103</f>
        <v>38486.812</v>
      </c>
      <c r="T104" s="166" t="n">
        <f aca="false">T102-T103</f>
        <v>61791.556</v>
      </c>
      <c r="U104" s="166" t="n">
        <f aca="false">U102-U103</f>
        <v>85096.291</v>
      </c>
      <c r="V104" s="166" t="n">
        <f aca="false">V102-V103</f>
        <v>108401.044</v>
      </c>
      <c r="W104" s="166" t="n">
        <f aca="false">W102-W103</f>
        <v>131705.779</v>
      </c>
      <c r="X104" s="166" t="n">
        <f aca="false">X102-X103</f>
        <v>155010.514</v>
      </c>
      <c r="Y104" s="166" t="n">
        <f aca="false">Y102-Y103</f>
        <v>178315.258</v>
      </c>
      <c r="Z104" s="166" t="n">
        <f aca="false">Z102-Z103</f>
        <v>201620.011</v>
      </c>
      <c r="AA104" s="166" t="n">
        <f aca="false">AA102-AA103</f>
        <v>224924.746</v>
      </c>
      <c r="AB104" s="166" t="n">
        <f aca="false">AB102-AB103</f>
        <v>248229.499</v>
      </c>
      <c r="AC104" s="166" t="n">
        <f aca="false">AC102-AC103</f>
        <v>312079.549</v>
      </c>
      <c r="AD104" s="166" t="n">
        <f aca="false">AD102-AD103</f>
        <v>231692.809</v>
      </c>
      <c r="AE104" s="166" t="n">
        <f aca="false">AE102-AE103</f>
        <v>232396.717</v>
      </c>
      <c r="AF104" s="166" t="n">
        <f aca="false">AF102-AF103</f>
        <v>233100.607</v>
      </c>
      <c r="AG104" s="166" t="n">
        <f aca="false">AG102-AG103</f>
        <v>233804.506</v>
      </c>
      <c r="AH104" s="166" t="n">
        <f aca="false">AH102-AH103</f>
        <v>234508.396</v>
      </c>
      <c r="AI104" s="166" t="n">
        <f aca="false">AI102-AI103</f>
        <v>258517.039</v>
      </c>
      <c r="AJ104" s="166" t="n">
        <f aca="false">AJ102-AJ103</f>
        <v>235916.203</v>
      </c>
      <c r="AK104" s="166" t="n">
        <f aca="false">AK102-AK103</f>
        <v>213315.358</v>
      </c>
      <c r="AL104" s="166" t="n">
        <f aca="false">AL102-AL103</f>
        <v>190714.513</v>
      </c>
      <c r="AM104" s="166" t="n">
        <f aca="false">AM102-AM103</f>
        <v>168113.659</v>
      </c>
      <c r="AN104" s="166" t="n">
        <f aca="false">AN102-AN103</f>
        <v>145512.823</v>
      </c>
      <c r="AO104" s="166" t="n">
        <f aca="false">AO102-AO103</f>
        <v>122911.978</v>
      </c>
      <c r="AP104" s="166" t="n">
        <f aca="false">AP102-AP103</f>
        <v>100311.124</v>
      </c>
      <c r="AQ104" s="166" t="n">
        <f aca="false">AQ102-AQ103</f>
        <v>77710.288</v>
      </c>
      <c r="AR104" s="166" t="n">
        <f aca="false">AR102-AR103</f>
        <v>55109.443</v>
      </c>
      <c r="AS104" s="166" t="n">
        <f aca="false">AS102-AS103</f>
        <v>127817.59</v>
      </c>
      <c r="AT104" s="166" t="n">
        <f aca="false">AT102-AT103</f>
        <v>104512.855</v>
      </c>
      <c r="AU104" s="166" t="n">
        <f aca="false">AU102-AU103</f>
        <v>58607.275</v>
      </c>
      <c r="AV104" s="166" t="n">
        <f aca="false">AV102-AV103</f>
        <v>57903.376</v>
      </c>
      <c r="AW104" s="166" t="n">
        <f aca="false">AW102-AW103</f>
        <v>57199.468</v>
      </c>
      <c r="AX104" s="166" t="n">
        <f aca="false">AX102-AX103</f>
        <v>56495.578</v>
      </c>
      <c r="AY104" s="166" t="n">
        <f aca="false">AY102-AY103</f>
        <v>55791.679</v>
      </c>
      <c r="AZ104" s="166" t="n">
        <f aca="false">AZ102-AZ103</f>
        <v>55087.78</v>
      </c>
      <c r="BA104" s="166" t="n">
        <f aca="false">BA102-BA103</f>
        <v>54383.881</v>
      </c>
      <c r="BB104" s="166" t="n">
        <f aca="false">BB102-BB103</f>
        <v>53679.982</v>
      </c>
      <c r="BC104" s="166" t="n">
        <f aca="false">BC102-BC103</f>
        <v>52976.083</v>
      </c>
      <c r="BD104" s="166" t="n">
        <f aca="false">BD102-BD103</f>
        <v>52272.184</v>
      </c>
      <c r="BE104" s="166" t="n">
        <f aca="false">BE102-BE103</f>
        <v>51568.285</v>
      </c>
      <c r="BF104" s="166" t="n">
        <f aca="false">BF102-BF103</f>
        <v>50864.386</v>
      </c>
      <c r="BG104" s="166" t="n">
        <f aca="false">BG102-BG103</f>
        <v>50160.496</v>
      </c>
      <c r="BH104" s="166" t="n">
        <f aca="false">BH102-BH103</f>
        <v>98124.588</v>
      </c>
      <c r="BI104" s="166" t="n">
        <f aca="false">BI102-BI103</f>
        <v>97420.689</v>
      </c>
      <c r="BJ104" s="166" t="n">
        <f aca="false">BJ102-BJ103</f>
        <v>192025.791</v>
      </c>
      <c r="BK104" s="166" t="n">
        <f aca="false">BK102-BK103</f>
        <v>0</v>
      </c>
      <c r="BL104" s="166" t="n">
        <f aca="false">BL102-BL103</f>
        <v>0</v>
      </c>
      <c r="BM104" s="166" t="n">
        <f aca="false">BM102-BM103</f>
        <v>0</v>
      </c>
      <c r="BN104" s="166" t="n">
        <f aca="false">BN102-BN103</f>
        <v>0</v>
      </c>
      <c r="BO104" s="166" t="n">
        <f aca="false">BO102-BO103</f>
        <v>0</v>
      </c>
      <c r="BP104" s="166" t="n">
        <f aca="false">BP102-BP103</f>
        <v>0</v>
      </c>
      <c r="BQ104" s="166" t="n">
        <f aca="false">BQ102-BQ103</f>
        <v>0</v>
      </c>
      <c r="BR104" s="166" t="n">
        <f aca="false">BR102-BR103</f>
        <v>0</v>
      </c>
      <c r="BS104" s="166" t="n">
        <f aca="false">BS102-BS103</f>
        <v>0</v>
      </c>
      <c r="BT104" s="166" t="n">
        <f aca="false">BT102-BT103</f>
        <v>0</v>
      </c>
      <c r="BU104" s="166" t="n">
        <f aca="false">BU102-BU103</f>
        <v>0</v>
      </c>
      <c r="BV104" s="166" t="n">
        <f aca="false">BV102-BV103</f>
        <v>0</v>
      </c>
      <c r="BW104" s="166" t="n">
        <f aca="false">BW102-BW103</f>
        <v>0</v>
      </c>
      <c r="BX104" s="166" t="n">
        <f aca="false">BX102-BX103</f>
        <v>0</v>
      </c>
      <c r="BY104" s="166" t="n">
        <f aca="false">BY102-BY103</f>
        <v>0</v>
      </c>
      <c r="BZ104" s="166" t="n">
        <f aca="false">BZ102-BZ103</f>
        <v>0</v>
      </c>
      <c r="CA104" s="166" t="n">
        <f aca="false">CA102-CA103</f>
        <v>0</v>
      </c>
      <c r="CB104" s="166" t="n">
        <f aca="false">CB102-CB103</f>
        <v>0</v>
      </c>
      <c r="CC104" s="166" t="n">
        <f aca="false">CC102-CC103</f>
        <v>0</v>
      </c>
      <c r="CD104" s="166" t="n">
        <f aca="false">CD102-CD103</f>
        <v>0</v>
      </c>
      <c r="CE104" s="166" t="n">
        <f aca="false">CE102-CE103</f>
        <v>0</v>
      </c>
      <c r="CF104" s="166" t="n">
        <f aca="false">CF102-CF103</f>
        <v>0</v>
      </c>
      <c r="CG104" s="166" t="n">
        <f aca="false">CG102-CG103</f>
        <v>0</v>
      </c>
      <c r="CH104" s="166" t="n">
        <f aca="false">CH102-CH103</f>
        <v>0</v>
      </c>
    </row>
    <row r="105" customFormat="false" ht="15" hidden="false" customHeight="true" outlineLevel="0" collapsed="false">
      <c r="A105" s="163" t="s">
        <v>570</v>
      </c>
      <c r="B105" s="164" t="n">
        <f aca="false">SUM(C105:CH105)</f>
        <v>2359055.4</v>
      </c>
      <c r="C105" s="166" t="n">
        <f aca="false">MAX(0,C104)*$B$95</f>
        <v>0</v>
      </c>
      <c r="D105" s="166" t="n">
        <f aca="false">MAX(0,D104)*$B$95</f>
        <v>0</v>
      </c>
      <c r="E105" s="166" t="n">
        <f aca="false">MAX(0,E104)*$B$95</f>
        <v>0</v>
      </c>
      <c r="F105" s="166" t="n">
        <f aca="false">MAX(0,F104)*$B$95</f>
        <v>0</v>
      </c>
      <c r="G105" s="166" t="n">
        <f aca="false">MAX(0,G104)*$B$95</f>
        <v>0</v>
      </c>
      <c r="H105" s="166" t="n">
        <f aca="false">MAX(0,H104)*$B$95</f>
        <v>0</v>
      </c>
      <c r="I105" s="166" t="n">
        <f aca="false">MAX(0,I104)*$B$95</f>
        <v>0</v>
      </c>
      <c r="J105" s="166" t="n">
        <f aca="false">MAX(0,J104)*$B$95</f>
        <v>0</v>
      </c>
      <c r="K105" s="166" t="n">
        <f aca="false">MAX(0,K104)*$B$95</f>
        <v>0</v>
      </c>
      <c r="L105" s="166" t="n">
        <f aca="false">MAX(0,L104)*$B$95</f>
        <v>5084.5296</v>
      </c>
      <c r="M105" s="166" t="n">
        <f aca="false">MAX(0,M104)*$B$95</f>
        <v>5084.5296</v>
      </c>
      <c r="N105" s="166" t="n">
        <f aca="false">MAX(0,N104)*$B$95</f>
        <v>5084.5296</v>
      </c>
      <c r="O105" s="166" t="n">
        <f aca="false">MAX(0,O104)*$B$95</f>
        <v>5084.5296</v>
      </c>
      <c r="P105" s="166" t="n">
        <f aca="false">MAX(0,P104)*$B$95</f>
        <v>5084.5296</v>
      </c>
      <c r="Q105" s="166" t="n">
        <f aca="false">MAX(0,Q104)*$B$95</f>
        <v>5084.5296</v>
      </c>
      <c r="R105" s="166" t="n">
        <f aca="false">MAX(0,R104)*$B$95</f>
        <v>6072.8272</v>
      </c>
      <c r="S105" s="166" t="n">
        <f aca="false">MAX(0,S104)*$B$95</f>
        <v>15394.7248</v>
      </c>
      <c r="T105" s="166" t="n">
        <f aca="false">MAX(0,T104)*$B$95</f>
        <v>24716.6224</v>
      </c>
      <c r="U105" s="166" t="n">
        <f aca="false">MAX(0,U104)*$B$95</f>
        <v>34038.5164</v>
      </c>
      <c r="V105" s="166" t="n">
        <f aca="false">MAX(0,V104)*$B$95</f>
        <v>43360.4176</v>
      </c>
      <c r="W105" s="166" t="n">
        <f aca="false">MAX(0,W104)*$B$95</f>
        <v>52682.3116</v>
      </c>
      <c r="X105" s="166" t="n">
        <f aca="false">MAX(0,X104)*$B$95</f>
        <v>62004.2056</v>
      </c>
      <c r="Y105" s="166" t="n">
        <f aca="false">MAX(0,Y104)*$B$95</f>
        <v>71326.1032</v>
      </c>
      <c r="Z105" s="166" t="n">
        <f aca="false">MAX(0,Z104)*$B$95</f>
        <v>80648.0044</v>
      </c>
      <c r="AA105" s="166" t="n">
        <f aca="false">MAX(0,AA104)*$B$95</f>
        <v>89969.8984</v>
      </c>
      <c r="AB105" s="166" t="n">
        <f aca="false">MAX(0,AB104)*$B$95</f>
        <v>99291.7996</v>
      </c>
      <c r="AC105" s="166" t="n">
        <f aca="false">MAX(0,AC104)*$B$95</f>
        <v>124831.8196</v>
      </c>
      <c r="AD105" s="166" t="n">
        <f aca="false">MAX(0,AD104)*$B$95</f>
        <v>92677.1236</v>
      </c>
      <c r="AE105" s="166" t="n">
        <f aca="false">MAX(0,AE104)*$B$95</f>
        <v>92958.6868</v>
      </c>
      <c r="AF105" s="166" t="n">
        <f aca="false">MAX(0,AF104)*$B$95</f>
        <v>93240.2428</v>
      </c>
      <c r="AG105" s="166" t="n">
        <f aca="false">MAX(0,AG104)*$B$95</f>
        <v>93521.8024</v>
      </c>
      <c r="AH105" s="166" t="n">
        <f aca="false">MAX(0,AH104)*$B$95</f>
        <v>93803.3584</v>
      </c>
      <c r="AI105" s="166" t="n">
        <f aca="false">MAX(0,AI104)*$B$95</f>
        <v>103406.8156</v>
      </c>
      <c r="AJ105" s="166" t="n">
        <f aca="false">MAX(0,AJ104)*$B$95</f>
        <v>94366.4812</v>
      </c>
      <c r="AK105" s="166" t="n">
        <f aca="false">MAX(0,AK104)*$B$95</f>
        <v>85326.1432</v>
      </c>
      <c r="AL105" s="166" t="n">
        <f aca="false">MAX(0,AL104)*$B$95</f>
        <v>76285.8052</v>
      </c>
      <c r="AM105" s="166" t="n">
        <f aca="false">MAX(0,AM104)*$B$95</f>
        <v>67245.4636</v>
      </c>
      <c r="AN105" s="166" t="n">
        <f aca="false">MAX(0,AN104)*$B$95</f>
        <v>58205.1292</v>
      </c>
      <c r="AO105" s="166" t="n">
        <f aca="false">MAX(0,AO104)*$B$95</f>
        <v>49164.7912</v>
      </c>
      <c r="AP105" s="166" t="n">
        <f aca="false">MAX(0,AP104)*$B$95</f>
        <v>40124.4496</v>
      </c>
      <c r="AQ105" s="166" t="n">
        <f aca="false">MAX(0,AQ104)*$B$95</f>
        <v>31084.1152</v>
      </c>
      <c r="AR105" s="166" t="n">
        <f aca="false">MAX(0,AR104)*$B$95</f>
        <v>22043.7772</v>
      </c>
      <c r="AS105" s="166" t="n">
        <f aca="false">MAX(0,AS104)*$B$95</f>
        <v>51127.036</v>
      </c>
      <c r="AT105" s="166" t="n">
        <f aca="false">MAX(0,AT104)*$B$95</f>
        <v>41805.142</v>
      </c>
      <c r="AU105" s="166" t="n">
        <f aca="false">MAX(0,AU104)*$B$95</f>
        <v>23442.91</v>
      </c>
      <c r="AV105" s="166" t="n">
        <f aca="false">MAX(0,AV104)*$B$95</f>
        <v>23161.3504</v>
      </c>
      <c r="AW105" s="166" t="n">
        <f aca="false">MAX(0,AW104)*$B$95</f>
        <v>22879.7872</v>
      </c>
      <c r="AX105" s="166" t="n">
        <f aca="false">MAX(0,AX104)*$B$95</f>
        <v>22598.2312</v>
      </c>
      <c r="AY105" s="166" t="n">
        <f aca="false">MAX(0,AY104)*$B$95</f>
        <v>22316.6716</v>
      </c>
      <c r="AZ105" s="166" t="n">
        <f aca="false">MAX(0,AZ104)*$B$95</f>
        <v>22035.112</v>
      </c>
      <c r="BA105" s="166" t="n">
        <f aca="false">MAX(0,BA104)*$B$95</f>
        <v>21753.5524</v>
      </c>
      <c r="BB105" s="166" t="n">
        <f aca="false">MAX(0,BB104)*$B$95</f>
        <v>21471.9928</v>
      </c>
      <c r="BC105" s="166" t="n">
        <f aca="false">MAX(0,BC104)*$B$95</f>
        <v>21190.4332</v>
      </c>
      <c r="BD105" s="166" t="n">
        <f aca="false">MAX(0,BD104)*$B$95</f>
        <v>20908.8736</v>
      </c>
      <c r="BE105" s="166" t="n">
        <f aca="false">MAX(0,BE104)*$B$95</f>
        <v>20627.314</v>
      </c>
      <c r="BF105" s="166" t="n">
        <f aca="false">MAX(0,BF104)*$B$95</f>
        <v>20345.7544</v>
      </c>
      <c r="BG105" s="166" t="n">
        <f aca="false">MAX(0,BG104)*$B$95</f>
        <v>20064.1984</v>
      </c>
      <c r="BH105" s="166" t="n">
        <f aca="false">MAX(0,BH104)*$B$95</f>
        <v>39249.8352</v>
      </c>
      <c r="BI105" s="166" t="n">
        <f aca="false">MAX(0,BI104)*$B$95</f>
        <v>38968.2756</v>
      </c>
      <c r="BJ105" s="166" t="n">
        <f aca="false">MAX(0,BJ104)*$B$95</f>
        <v>76810.3164</v>
      </c>
      <c r="BK105" s="166" t="n">
        <f aca="false">MAX(0,BK104)*$B$95</f>
        <v>0</v>
      </c>
      <c r="BL105" s="166" t="n">
        <f aca="false">MAX(0,BL104)*$B$95</f>
        <v>0</v>
      </c>
      <c r="BM105" s="166" t="n">
        <f aca="false">MAX(0,BM104)*$B$95</f>
        <v>0</v>
      </c>
      <c r="BN105" s="166" t="n">
        <f aca="false">MAX(0,BN104)*$B$95</f>
        <v>0</v>
      </c>
      <c r="BO105" s="166" t="n">
        <f aca="false">MAX(0,BO104)*$B$95</f>
        <v>0</v>
      </c>
      <c r="BP105" s="166" t="n">
        <f aca="false">MAX(0,BP104)*$B$95</f>
        <v>0</v>
      </c>
      <c r="BQ105" s="166" t="n">
        <f aca="false">MAX(0,BQ104)*$B$95</f>
        <v>0</v>
      </c>
      <c r="BR105" s="166" t="n">
        <f aca="false">MAX(0,BR104)*$B$95</f>
        <v>0</v>
      </c>
      <c r="BS105" s="166" t="n">
        <f aca="false">MAX(0,BS104)*$B$95</f>
        <v>0</v>
      </c>
      <c r="BT105" s="166" t="n">
        <f aca="false">MAX(0,BT104)*$B$95</f>
        <v>0</v>
      </c>
      <c r="BU105" s="166" t="n">
        <f aca="false">MAX(0,BU104)*$B$95</f>
        <v>0</v>
      </c>
      <c r="BV105" s="166" t="n">
        <f aca="false">MAX(0,BV104)*$B$95</f>
        <v>0</v>
      </c>
      <c r="BW105" s="166" t="n">
        <f aca="false">MAX(0,BW104)*$B$95</f>
        <v>0</v>
      </c>
      <c r="BX105" s="166" t="n">
        <f aca="false">MAX(0,BX104)*$B$95</f>
        <v>0</v>
      </c>
      <c r="BY105" s="166" t="n">
        <f aca="false">MAX(0,BY104)*$B$95</f>
        <v>0</v>
      </c>
      <c r="BZ105" s="166" t="n">
        <f aca="false">MAX(0,BZ104)*$B$95</f>
        <v>0</v>
      </c>
      <c r="CA105" s="166" t="n">
        <f aca="false">MAX(0,CA104)*$B$95</f>
        <v>0</v>
      </c>
      <c r="CB105" s="166" t="n">
        <f aca="false">MAX(0,CB104)*$B$95</f>
        <v>0</v>
      </c>
      <c r="CC105" s="166" t="n">
        <f aca="false">MAX(0,CC104)*$B$95</f>
        <v>0</v>
      </c>
      <c r="CD105" s="166" t="n">
        <f aca="false">MAX(0,CD104)*$B$95</f>
        <v>0</v>
      </c>
      <c r="CE105" s="166" t="n">
        <f aca="false">MAX(0,CE104)*$B$95</f>
        <v>0</v>
      </c>
      <c r="CF105" s="166" t="n">
        <f aca="false">MAX(0,CF104)*$B$95</f>
        <v>0</v>
      </c>
      <c r="CG105" s="166" t="n">
        <f aca="false">MAX(0,CG104)*$B$95</f>
        <v>0</v>
      </c>
      <c r="CH105" s="166" t="n">
        <f aca="false">MAX(0,CH104)*$B$95</f>
        <v>0</v>
      </c>
    </row>
    <row r="106" customFormat="false" ht="15" hidden="false" customHeight="true" outlineLevel="0" collapsed="false">
      <c r="A106" s="163" t="s">
        <v>571</v>
      </c>
      <c r="B106" s="164" t="n">
        <f aca="false">SUM(C106:CH106)</f>
        <v>3538583.1</v>
      </c>
      <c r="C106" s="166" t="n">
        <f aca="false">C104-C105</f>
        <v>0</v>
      </c>
      <c r="D106" s="166" t="n">
        <f aca="false">D104-D105</f>
        <v>0</v>
      </c>
      <c r="E106" s="166" t="n">
        <f aca="false">E104-E105</f>
        <v>0</v>
      </c>
      <c r="F106" s="166" t="n">
        <f aca="false">F104-F105</f>
        <v>0</v>
      </c>
      <c r="G106" s="166" t="n">
        <f aca="false">G104-G105</f>
        <v>0</v>
      </c>
      <c r="H106" s="166" t="n">
        <f aca="false">H104-H105</f>
        <v>0</v>
      </c>
      <c r="I106" s="166" t="n">
        <f aca="false">I104-I105</f>
        <v>0</v>
      </c>
      <c r="J106" s="166" t="n">
        <f aca="false">J104-J105</f>
        <v>0</v>
      </c>
      <c r="K106" s="166" t="n">
        <f aca="false">K104-K105</f>
        <v>0</v>
      </c>
      <c r="L106" s="166" t="n">
        <f aca="false">L104-L105</f>
        <v>7626.7944</v>
      </c>
      <c r="M106" s="166" t="n">
        <f aca="false">M104-M105</f>
        <v>7626.7944</v>
      </c>
      <c r="N106" s="166" t="n">
        <f aca="false">N104-N105</f>
        <v>7626.7944</v>
      </c>
      <c r="O106" s="166" t="n">
        <f aca="false">O104-O105</f>
        <v>7626.7944</v>
      </c>
      <c r="P106" s="166" t="n">
        <f aca="false">P104-P105</f>
        <v>7626.7944</v>
      </c>
      <c r="Q106" s="166" t="n">
        <f aca="false">Q104-Q105</f>
        <v>7626.7944</v>
      </c>
      <c r="R106" s="166" t="n">
        <f aca="false">R104-R105</f>
        <v>9109.2408</v>
      </c>
      <c r="S106" s="166" t="n">
        <f aca="false">S104-S105</f>
        <v>23092.0872</v>
      </c>
      <c r="T106" s="166" t="n">
        <f aca="false">T104-T105</f>
        <v>37074.9336</v>
      </c>
      <c r="U106" s="166" t="n">
        <f aca="false">U104-U105</f>
        <v>51057.7746</v>
      </c>
      <c r="V106" s="166" t="n">
        <f aca="false">V104-V105</f>
        <v>65040.6264</v>
      </c>
      <c r="W106" s="166" t="n">
        <f aca="false">W104-W105</f>
        <v>79023.4674</v>
      </c>
      <c r="X106" s="166" t="n">
        <f aca="false">X104-X105</f>
        <v>93006.3084</v>
      </c>
      <c r="Y106" s="166" t="n">
        <f aca="false">Y104-Y105</f>
        <v>106989.1548</v>
      </c>
      <c r="Z106" s="166" t="n">
        <f aca="false">Z104-Z105</f>
        <v>120972.0066</v>
      </c>
      <c r="AA106" s="166" t="n">
        <f aca="false">AA104-AA105</f>
        <v>134954.8476</v>
      </c>
      <c r="AB106" s="166" t="n">
        <f aca="false">AB104-AB105</f>
        <v>148937.6994</v>
      </c>
      <c r="AC106" s="166" t="n">
        <f aca="false">AC104-AC105</f>
        <v>187247.7294</v>
      </c>
      <c r="AD106" s="166" t="n">
        <f aca="false">AD104-AD105</f>
        <v>139015.6854</v>
      </c>
      <c r="AE106" s="166" t="n">
        <f aca="false">AE104-AE105</f>
        <v>139438.0302</v>
      </c>
      <c r="AF106" s="166" t="n">
        <f aca="false">AF104-AF105</f>
        <v>139860.3642</v>
      </c>
      <c r="AG106" s="166" t="n">
        <f aca="false">AG104-AG105</f>
        <v>140282.7036</v>
      </c>
      <c r="AH106" s="166" t="n">
        <f aca="false">AH104-AH105</f>
        <v>140705.0376</v>
      </c>
      <c r="AI106" s="166" t="n">
        <f aca="false">AI104-AI105</f>
        <v>155110.2234</v>
      </c>
      <c r="AJ106" s="166" t="n">
        <f aca="false">AJ104-AJ105</f>
        <v>141549.7218</v>
      </c>
      <c r="AK106" s="166" t="n">
        <f aca="false">AK104-AK105</f>
        <v>127989.2148</v>
      </c>
      <c r="AL106" s="166" t="n">
        <f aca="false">AL104-AL105</f>
        <v>114428.7078</v>
      </c>
      <c r="AM106" s="166" t="n">
        <f aca="false">AM104-AM105</f>
        <v>100868.1954</v>
      </c>
      <c r="AN106" s="166" t="n">
        <f aca="false">AN104-AN105</f>
        <v>87307.6938</v>
      </c>
      <c r="AO106" s="166" t="n">
        <f aca="false">AO104-AO105</f>
        <v>73747.1868</v>
      </c>
      <c r="AP106" s="166" t="n">
        <f aca="false">AP104-AP105</f>
        <v>60186.6744</v>
      </c>
      <c r="AQ106" s="166" t="n">
        <f aca="false">AQ104-AQ105</f>
        <v>46626.1728</v>
      </c>
      <c r="AR106" s="166" t="n">
        <f aca="false">AR104-AR105</f>
        <v>33065.6658</v>
      </c>
      <c r="AS106" s="166" t="n">
        <f aca="false">AS104-AS105</f>
        <v>76690.554</v>
      </c>
      <c r="AT106" s="166" t="n">
        <f aca="false">AT104-AT105</f>
        <v>62707.713</v>
      </c>
      <c r="AU106" s="166" t="n">
        <f aca="false">AU104-AU105</f>
        <v>35164.365</v>
      </c>
      <c r="AV106" s="166" t="n">
        <f aca="false">AV104-AV105</f>
        <v>34742.0256</v>
      </c>
      <c r="AW106" s="166" t="n">
        <f aca="false">AW104-AW105</f>
        <v>34319.6808</v>
      </c>
      <c r="AX106" s="166" t="n">
        <f aca="false">AX104-AX105</f>
        <v>33897.3468</v>
      </c>
      <c r="AY106" s="166" t="n">
        <f aca="false">AY104-AY105</f>
        <v>33475.0074</v>
      </c>
      <c r="AZ106" s="166" t="n">
        <f aca="false">AZ104-AZ105</f>
        <v>33052.668</v>
      </c>
      <c r="BA106" s="166" t="n">
        <f aca="false">BA104-BA105</f>
        <v>32630.3286</v>
      </c>
      <c r="BB106" s="166" t="n">
        <f aca="false">BB104-BB105</f>
        <v>32207.9892</v>
      </c>
      <c r="BC106" s="166" t="n">
        <f aca="false">BC104-BC105</f>
        <v>31785.6498</v>
      </c>
      <c r="BD106" s="166" t="n">
        <f aca="false">BD104-BD105</f>
        <v>31363.3104</v>
      </c>
      <c r="BE106" s="166" t="n">
        <f aca="false">BE104-BE105</f>
        <v>30940.971</v>
      </c>
      <c r="BF106" s="166" t="n">
        <f aca="false">BF104-BF105</f>
        <v>30518.6316</v>
      </c>
      <c r="BG106" s="166" t="n">
        <f aca="false">BG104-BG105</f>
        <v>30096.2976</v>
      </c>
      <c r="BH106" s="166" t="n">
        <f aca="false">BH104-BH105</f>
        <v>58874.7528</v>
      </c>
      <c r="BI106" s="166" t="n">
        <f aca="false">BI104-BI105</f>
        <v>58452.4134</v>
      </c>
      <c r="BJ106" s="166" t="n">
        <f aca="false">BJ104-BJ105</f>
        <v>115215.4746</v>
      </c>
      <c r="BK106" s="166" t="n">
        <f aca="false">BK104-BK105</f>
        <v>0</v>
      </c>
      <c r="BL106" s="166" t="n">
        <f aca="false">BL104-BL105</f>
        <v>0</v>
      </c>
      <c r="BM106" s="166" t="n">
        <f aca="false">BM104-BM105</f>
        <v>0</v>
      </c>
      <c r="BN106" s="166" t="n">
        <f aca="false">BN104-BN105</f>
        <v>0</v>
      </c>
      <c r="BO106" s="166" t="n">
        <f aca="false">BO104-BO105</f>
        <v>0</v>
      </c>
      <c r="BP106" s="166" t="n">
        <f aca="false">BP104-BP105</f>
        <v>0</v>
      </c>
      <c r="BQ106" s="166" t="n">
        <f aca="false">BQ104-BQ105</f>
        <v>0</v>
      </c>
      <c r="BR106" s="166" t="n">
        <f aca="false">BR104-BR105</f>
        <v>0</v>
      </c>
      <c r="BS106" s="166" t="n">
        <f aca="false">BS104-BS105</f>
        <v>0</v>
      </c>
      <c r="BT106" s="166" t="n">
        <f aca="false">BT104-BT105</f>
        <v>0</v>
      </c>
      <c r="BU106" s="166" t="n">
        <f aca="false">BU104-BU105</f>
        <v>0</v>
      </c>
      <c r="BV106" s="166" t="n">
        <f aca="false">BV104-BV105</f>
        <v>0</v>
      </c>
      <c r="BW106" s="166" t="n">
        <f aca="false">BW104-BW105</f>
        <v>0</v>
      </c>
      <c r="BX106" s="166" t="n">
        <f aca="false">BX104-BX105</f>
        <v>0</v>
      </c>
      <c r="BY106" s="166" t="n">
        <f aca="false">BY104-BY105</f>
        <v>0</v>
      </c>
      <c r="BZ106" s="166" t="n">
        <f aca="false">BZ104-BZ105</f>
        <v>0</v>
      </c>
      <c r="CA106" s="166" t="n">
        <f aca="false">CA104-CA105</f>
        <v>0</v>
      </c>
      <c r="CB106" s="166" t="n">
        <f aca="false">CB104-CB105</f>
        <v>0</v>
      </c>
      <c r="CC106" s="166" t="n">
        <f aca="false">CC104-CC105</f>
        <v>0</v>
      </c>
      <c r="CD106" s="166" t="n">
        <f aca="false">CD104-CD105</f>
        <v>0</v>
      </c>
      <c r="CE106" s="166" t="n">
        <f aca="false">CE104-CE105</f>
        <v>0</v>
      </c>
      <c r="CF106" s="166" t="n">
        <f aca="false">CF104-CF105</f>
        <v>0</v>
      </c>
      <c r="CG106" s="166" t="n">
        <f aca="false">CG104-CG105</f>
        <v>0</v>
      </c>
      <c r="CH106" s="166" t="n">
        <f aca="false">CH104-CH105</f>
        <v>0</v>
      </c>
    </row>
    <row r="107" customFormat="false" ht="15" hidden="false" customHeight="true" outlineLevel="0" collapsed="false">
      <c r="A107" s="163" t="s">
        <v>572</v>
      </c>
      <c r="B107" s="164" t="n">
        <f aca="false">SUM(C107:CH107)</f>
        <v>4439549.6</v>
      </c>
      <c r="C107" s="166" t="n">
        <f aca="false">C103+C106</f>
        <v>0</v>
      </c>
      <c r="D107" s="166" t="n">
        <f aca="false">D103+D106</f>
        <v>0</v>
      </c>
      <c r="E107" s="166" t="n">
        <f aca="false">E103+E106</f>
        <v>0</v>
      </c>
      <c r="F107" s="166" t="n">
        <f aca="false">F103+F106</f>
        <v>0</v>
      </c>
      <c r="G107" s="166" t="n">
        <f aca="false">G103+G106</f>
        <v>0</v>
      </c>
      <c r="H107" s="166" t="n">
        <f aca="false">H103+H106</f>
        <v>0</v>
      </c>
      <c r="I107" s="166" t="n">
        <f aca="false">I103+I106</f>
        <v>0</v>
      </c>
      <c r="J107" s="166" t="n">
        <f aca="false">J103+J106</f>
        <v>0</v>
      </c>
      <c r="K107" s="166" t="n">
        <f aca="false">K103+K106</f>
        <v>0</v>
      </c>
      <c r="L107" s="166" t="n">
        <f aca="false">L103+L106</f>
        <v>12131.8304</v>
      </c>
      <c r="M107" s="166" t="n">
        <f aca="false">M103+M106</f>
        <v>12131.8304</v>
      </c>
      <c r="N107" s="166" t="n">
        <f aca="false">N103+N106</f>
        <v>12131.8304</v>
      </c>
      <c r="O107" s="166" t="n">
        <f aca="false">O103+O106</f>
        <v>12131.8304</v>
      </c>
      <c r="P107" s="166" t="n">
        <f aca="false">P103+P106</f>
        <v>12131.8304</v>
      </c>
      <c r="Q107" s="166" t="n">
        <f aca="false">Q103+Q106</f>
        <v>12131.8304</v>
      </c>
      <c r="R107" s="166" t="n">
        <f aca="false">R103+R106</f>
        <v>16203.6928</v>
      </c>
      <c r="S107" s="166" t="n">
        <f aca="false">S103+S106</f>
        <v>32775.9552</v>
      </c>
      <c r="T107" s="166" t="n">
        <f aca="false">T103+T106</f>
        <v>49348.2176</v>
      </c>
      <c r="U107" s="166" t="n">
        <f aca="false">U103+U106</f>
        <v>65920.4736</v>
      </c>
      <c r="V107" s="166" t="n">
        <f aca="false">V103+V106</f>
        <v>82492.7424</v>
      </c>
      <c r="W107" s="166" t="n">
        <f aca="false">W103+W106</f>
        <v>99064.9984</v>
      </c>
      <c r="X107" s="166" t="n">
        <f aca="false">X103+X106</f>
        <v>115637.2544</v>
      </c>
      <c r="Y107" s="166" t="n">
        <f aca="false">Y103+Y106</f>
        <v>132209.5168</v>
      </c>
      <c r="Z107" s="166" t="n">
        <f aca="false">Z103+Z106</f>
        <v>148781.7856</v>
      </c>
      <c r="AA107" s="166" t="n">
        <f aca="false">AA103+AA106</f>
        <v>165354.0416</v>
      </c>
      <c r="AB107" s="166" t="n">
        <f aca="false">AB103+AB106</f>
        <v>181926.3104</v>
      </c>
      <c r="AC107" s="166" t="n">
        <f aca="false">AC103+AC106</f>
        <v>227330.7904</v>
      </c>
      <c r="AD107" s="166" t="n">
        <f aca="false">AD103+AD106</f>
        <v>170166.8864</v>
      </c>
      <c r="AE107" s="166" t="n">
        <f aca="false">AE103+AE106</f>
        <v>170667.4432</v>
      </c>
      <c r="AF107" s="166" t="n">
        <f aca="false">AF103+AF106</f>
        <v>171167.9872</v>
      </c>
      <c r="AG107" s="166" t="n">
        <f aca="false">AG103+AG106</f>
        <v>171668.5376</v>
      </c>
      <c r="AH107" s="166" t="n">
        <f aca="false">AH103+AH106</f>
        <v>172169.0816</v>
      </c>
      <c r="AI107" s="166" t="n">
        <f aca="false">AI103+AI106</f>
        <v>189241.8944</v>
      </c>
      <c r="AJ107" s="166" t="n">
        <f aca="false">AJ103+AJ106</f>
        <v>173170.1888</v>
      </c>
      <c r="AK107" s="166" t="n">
        <f aca="false">AK103+AK106</f>
        <v>157098.4768</v>
      </c>
      <c r="AL107" s="166" t="n">
        <f aca="false">AL103+AL106</f>
        <v>141026.7648</v>
      </c>
      <c r="AM107" s="166" t="n">
        <f aca="false">AM103+AM106</f>
        <v>124955.0464</v>
      </c>
      <c r="AN107" s="166" t="n">
        <f aca="false">AN103+AN106</f>
        <v>108883.3408</v>
      </c>
      <c r="AO107" s="166" t="n">
        <f aca="false">AO103+AO106</f>
        <v>92811.6288</v>
      </c>
      <c r="AP107" s="166" t="n">
        <f aca="false">AP103+AP106</f>
        <v>76739.9104</v>
      </c>
      <c r="AQ107" s="166" t="n">
        <f aca="false">AQ103+AQ106</f>
        <v>60668.2048</v>
      </c>
      <c r="AR107" s="166" t="n">
        <f aca="false">AR103+AR106</f>
        <v>44596.4928</v>
      </c>
      <c r="AS107" s="166" t="n">
        <f aca="false">AS103+AS106</f>
        <v>96300.064</v>
      </c>
      <c r="AT107" s="166" t="n">
        <f aca="false">AT103+AT106</f>
        <v>79727.808</v>
      </c>
      <c r="AU107" s="166" t="n">
        <f aca="false">AU103+AU106</f>
        <v>47083.84</v>
      </c>
      <c r="AV107" s="166" t="n">
        <f aca="false">AV103+AV106</f>
        <v>46583.2896</v>
      </c>
      <c r="AW107" s="166" t="n">
        <f aca="false">AW103+AW106</f>
        <v>46082.7328</v>
      </c>
      <c r="AX107" s="166" t="n">
        <f aca="false">AX103+AX106</f>
        <v>45582.1888</v>
      </c>
      <c r="AY107" s="166" t="n">
        <f aca="false">AY103+AY106</f>
        <v>45081.6384</v>
      </c>
      <c r="AZ107" s="166" t="n">
        <f aca="false">AZ103+AZ106</f>
        <v>44581.088</v>
      </c>
      <c r="BA107" s="166" t="n">
        <f aca="false">BA103+BA106</f>
        <v>44080.5376</v>
      </c>
      <c r="BB107" s="166" t="n">
        <f aca="false">BB103+BB106</f>
        <v>43579.9872</v>
      </c>
      <c r="BC107" s="166" t="n">
        <f aca="false">BC103+BC106</f>
        <v>43079.4368</v>
      </c>
      <c r="BD107" s="166" t="n">
        <f aca="false">BD103+BD106</f>
        <v>42578.8864</v>
      </c>
      <c r="BE107" s="166" t="n">
        <f aca="false">BE103+BE106</f>
        <v>42078.336</v>
      </c>
      <c r="BF107" s="166" t="n">
        <f aca="false">BF103+BF106</f>
        <v>41577.7856</v>
      </c>
      <c r="BG107" s="166" t="n">
        <f aca="false">BG103+BG106</f>
        <v>41077.2416</v>
      </c>
      <c r="BH107" s="166" t="n">
        <f aca="false">BH103+BH106</f>
        <v>69777.4848</v>
      </c>
      <c r="BI107" s="166" t="n">
        <f aca="false">BI103+BI106</f>
        <v>69276.9344</v>
      </c>
      <c r="BJ107" s="166" t="n">
        <f aca="false">BJ103+BJ106</f>
        <v>136551.6736</v>
      </c>
      <c r="BK107" s="166" t="n">
        <f aca="false">BK103+BK106</f>
        <v>0</v>
      </c>
      <c r="BL107" s="166" t="n">
        <f aca="false">BL103+BL106</f>
        <v>0</v>
      </c>
      <c r="BM107" s="166" t="n">
        <f aca="false">BM103+BM106</f>
        <v>0</v>
      </c>
      <c r="BN107" s="166" t="n">
        <f aca="false">BN103+BN106</f>
        <v>0</v>
      </c>
      <c r="BO107" s="166" t="n">
        <f aca="false">BO103+BO106</f>
        <v>0</v>
      </c>
      <c r="BP107" s="166" t="n">
        <f aca="false">BP103+BP106</f>
        <v>0</v>
      </c>
      <c r="BQ107" s="166" t="n">
        <f aca="false">BQ103+BQ106</f>
        <v>0</v>
      </c>
      <c r="BR107" s="166" t="n">
        <f aca="false">BR103+BR106</f>
        <v>0</v>
      </c>
      <c r="BS107" s="166" t="n">
        <f aca="false">BS103+BS106</f>
        <v>0</v>
      </c>
      <c r="BT107" s="166" t="n">
        <f aca="false">BT103+BT106</f>
        <v>0</v>
      </c>
      <c r="BU107" s="166" t="n">
        <f aca="false">BU103+BU106</f>
        <v>0</v>
      </c>
      <c r="BV107" s="166" t="n">
        <f aca="false">BV103+BV106</f>
        <v>0</v>
      </c>
      <c r="BW107" s="166" t="n">
        <f aca="false">BW103+BW106</f>
        <v>0</v>
      </c>
      <c r="BX107" s="166" t="n">
        <f aca="false">BX103+BX106</f>
        <v>0</v>
      </c>
      <c r="BY107" s="166" t="n">
        <f aca="false">BY103+BY106</f>
        <v>0</v>
      </c>
      <c r="BZ107" s="166" t="n">
        <f aca="false">BZ103+BZ106</f>
        <v>0</v>
      </c>
      <c r="CA107" s="166" t="n">
        <f aca="false">CA103+CA106</f>
        <v>0</v>
      </c>
      <c r="CB107" s="166" t="n">
        <f aca="false">CB103+CB106</f>
        <v>0</v>
      </c>
      <c r="CC107" s="166" t="n">
        <f aca="false">CC103+CC106</f>
        <v>0</v>
      </c>
      <c r="CD107" s="166" t="n">
        <f aca="false">CD103+CD106</f>
        <v>0</v>
      </c>
      <c r="CE107" s="166" t="n">
        <f aca="false">CE103+CE106</f>
        <v>0</v>
      </c>
      <c r="CF107" s="166" t="n">
        <f aca="false">CF103+CF106</f>
        <v>0</v>
      </c>
      <c r="CG107" s="166" t="n">
        <f aca="false">CG103+CG106</f>
        <v>0</v>
      </c>
      <c r="CH107" s="16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</row>
    <row r="3" customFormat="false" ht="15" hidden="false" customHeight="true" outlineLevel="0" collapsed="false">
      <c r="A3" s="169"/>
      <c r="B3" s="170" t="s">
        <v>677</v>
      </c>
      <c r="C3" s="170" t="s">
        <v>678</v>
      </c>
      <c r="D3" s="170" t="s">
        <v>679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1" t="s">
        <v>49</v>
      </c>
      <c r="B5" s="172"/>
      <c r="C5" s="172"/>
      <c r="D5" s="172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3" t="s">
        <v>680</v>
      </c>
      <c r="B6" s="174" t="n">
        <f aca="false">SUM(Model!C59:CH59)</f>
        <v>1063981</v>
      </c>
      <c r="C6" s="174" t="n">
        <f aca="false">Helpers!B47</f>
        <v>1912475</v>
      </c>
      <c r="D6" s="174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681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3" t="s">
        <v>682</v>
      </c>
      <c r="B8" s="174" t="n">
        <f aca="false">-Assumptions!$B$53*Assumptions!$B$48</f>
        <v>-150000</v>
      </c>
      <c r="C8" s="174" t="n">
        <v>0</v>
      </c>
      <c r="D8" s="174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549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1" t="s">
        <v>683</v>
      </c>
      <c r="B10" s="144" t="n">
        <f aca="false">SUM(B6:B9)</f>
        <v>484296.52</v>
      </c>
      <c r="C10" s="144" t="n">
        <f aca="false">SUM(C6:C9)</f>
        <v>1912475</v>
      </c>
      <c r="D10" s="144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5"/>
      <c r="B11" s="176"/>
      <c r="C11" s="176"/>
      <c r="D11" s="176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684</v>
      </c>
      <c r="B12" s="112"/>
      <c r="C12" s="177"/>
      <c r="D12" s="177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3" t="s">
        <v>680</v>
      </c>
      <c r="B13" s="174" t="n">
        <f aca="false">SUM(Model!C61:CH61)</f>
        <v>292621</v>
      </c>
      <c r="C13" s="174" t="n">
        <f aca="false">Helpers!B48</f>
        <v>2633580</v>
      </c>
      <c r="D13" s="174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78" t="s">
        <v>681</v>
      </c>
      <c r="B14" s="179" t="n">
        <f aca="false">-Projects!$B$14*Assumptions!$B$47</f>
        <v>-413546.32</v>
      </c>
      <c r="C14" s="179" t="n">
        <v>0</v>
      </c>
      <c r="D14" s="179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3" t="s">
        <v>682</v>
      </c>
      <c r="B15" s="174" t="n">
        <f aca="false">-Assumptions!$B$55*Assumptions!$B$48</f>
        <v>-150000</v>
      </c>
      <c r="C15" s="174" t="n">
        <v>0</v>
      </c>
      <c r="D15" s="174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78" t="s">
        <v>549</v>
      </c>
      <c r="B16" s="179" t="n">
        <f aca="false">-SUM(Model!C121:CH121)</f>
        <v>-603840.547005172</v>
      </c>
      <c r="C16" s="179" t="n">
        <f aca="false">-Helpers!F93</f>
        <v>-240125.881206445</v>
      </c>
      <c r="D16" s="179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0"/>
      <c r="B18" s="181"/>
      <c r="C18" s="181"/>
      <c r="D18" s="181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2" t="s">
        <v>54</v>
      </c>
      <c r="B19" s="183"/>
      <c r="C19" s="183"/>
      <c r="D19" s="183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4" t="s">
        <v>680</v>
      </c>
      <c r="B20" s="185" t="n">
        <f aca="false">SUM(Model!C60:CH60)</f>
        <v>1681289</v>
      </c>
      <c r="C20" s="185" t="n">
        <f aca="false">Helpers!B49</f>
        <v>2278136</v>
      </c>
      <c r="D20" s="185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6" t="s">
        <v>681</v>
      </c>
      <c r="B21" s="187" t="n">
        <f aca="false">-Projects!$B$13*Assumptions!$B$47</f>
        <v>-452667.7</v>
      </c>
      <c r="C21" s="187" t="n">
        <v>0</v>
      </c>
      <c r="D21" s="187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4" t="s">
        <v>682</v>
      </c>
      <c r="B22" s="185" t="n">
        <f aca="false">-Assumptions!$B$54*Assumptions!$B$48</f>
        <v>-150000</v>
      </c>
      <c r="C22" s="185" t="n">
        <v>0</v>
      </c>
      <c r="D22" s="185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549</v>
      </c>
      <c r="B23" s="65" t="n">
        <f aca="false">-SUM(Model!C126:CH126)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6" t="s">
        <v>683</v>
      </c>
      <c r="B24" s="148" t="n">
        <f aca="false">SUM(B20:B23)</f>
        <v>340608.026606479</v>
      </c>
      <c r="C24" s="148" t="n">
        <f aca="false">SUM(C20:C23)</f>
        <v>2278136</v>
      </c>
      <c r="D24" s="148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29"/>
      <c r="B25" s="188"/>
      <c r="C25" s="188"/>
      <c r="D25" s="188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89" t="s">
        <v>685</v>
      </c>
      <c r="B26" s="190"/>
      <c r="C26" s="190"/>
      <c r="D26" s="190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1" t="s">
        <v>686</v>
      </c>
      <c r="B27" s="192" t="n">
        <f aca="false">B6+B13+B20</f>
        <v>3037891</v>
      </c>
      <c r="C27" s="192" t="n">
        <f aca="false">C6+C13+C20</f>
        <v>6824191</v>
      </c>
      <c r="D27" s="192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687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3" t="s">
        <v>688</v>
      </c>
      <c r="B29" s="194" t="n">
        <f aca="false">B8+B15+B22</f>
        <v>-450000</v>
      </c>
      <c r="C29" s="194" t="n">
        <f aca="false">C8+C15+C22</f>
        <v>0</v>
      </c>
      <c r="D29" s="194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5" t="s">
        <v>689</v>
      </c>
      <c r="B30" s="196" t="n">
        <f aca="false">B9+B16+B23</f>
        <v>-1341853.82039869</v>
      </c>
      <c r="C30" s="196" t="n">
        <f aca="false">C9+C16+C23</f>
        <v>-240125.881206445</v>
      </c>
      <c r="D30" s="196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197"/>
      <c r="B32" s="198"/>
      <c r="C32" s="198"/>
      <c r="D32" s="198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29"/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197"/>
      <c r="B34" s="198"/>
      <c r="C34" s="198"/>
      <c r="D34" s="198"/>
    </row>
    <row r="35" customFormat="false" ht="15" hidden="false" customHeight="true" outlineLevel="0" collapsed="false">
      <c r="A35" s="175"/>
      <c r="B35" s="176"/>
      <c r="C35" s="176"/>
      <c r="D35" s="176"/>
    </row>
    <row r="36" customFormat="false" ht="15" hidden="false" customHeight="false" outlineLevel="0" collapsed="false"/>
    <row r="37" customFormat="false" ht="15" hidden="false" customHeight="true" outlineLevel="0" collapsed="false">
      <c r="A37" s="199"/>
    </row>
    <row r="38" customFormat="false" ht="15" hidden="false" customHeight="true" outlineLevel="0" collapsed="false">
      <c r="A38" s="200"/>
    </row>
    <row r="39" customFormat="false" ht="15" hidden="false" customHeight="true" outlineLevel="0" collapsed="false">
      <c r="A39" s="200"/>
    </row>
    <row r="40" customFormat="false" ht="15" hidden="false" customHeight="true" outlineLevel="0" collapsed="false">
      <c r="A40" s="200" t="s">
        <v>691</v>
      </c>
    </row>
    <row r="41" customFormat="false" ht="15" hidden="false" customHeight="true" outlineLevel="0" collapsed="false">
      <c r="A41" s="200" t="s">
        <v>692</v>
      </c>
    </row>
    <row r="42" customFormat="false" ht="15" hidden="false" customHeight="true" outlineLevel="0" collapsed="false">
      <c r="A42" s="200" t="s">
        <v>693</v>
      </c>
    </row>
    <row r="43" customFormat="false" ht="15" hidden="false" customHeight="true" outlineLevel="0" collapsed="false">
      <c r="A43" s="200" t="s">
        <v>694</v>
      </c>
    </row>
    <row r="44" customFormat="false" ht="15" hidden="false" customHeight="true" outlineLevel="0" collapsed="false">
      <c r="A44" s="20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