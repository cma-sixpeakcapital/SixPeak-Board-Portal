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<sst xmlns="http://schemas.openxmlformats.org/spreadsheetml/2006/main" count="1173" uniqueCount="696">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</sst>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92633001.8915188</v>
      </c>
      <c r="D3" s="7" t="n">
        <f aca="false">Model!X7+Model!Y7+Model!Z7+Model!AA7+Model!AB7+Model!AC7+Model!AD7+Model!AE7+Model!AF7+Model!AG7+Model!AH7+Model!AI7</f>
        <v>74015215.945938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4101873.2577324</v>
      </c>
      <c r="D5" s="10" t="n">
        <f aca="false">Model!X8+Model!Y8+Model!Z8+Model!AA8+Model!AB8+Model!AC8+Model!AD8+Model!AE8+Model!AF8+Model!AG8+Model!AH8+Model!AI8</f>
        <v>4002490.49312201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4174226.09983766</v>
      </c>
      <c r="D6" s="10" t="n">
        <f aca="false">Model!X9+Model!Y9+Model!Z9+Model!AA9+Model!AB9+Model!AC9+Model!AD9+Model!AE9+Model!AF9+Model!AG9+Model!AH9+Model!AI9</f>
        <v>4002490.49312201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1272072.73393712</v>
      </c>
      <c r="D7" s="10" t="n">
        <f aca="false">Model!X10+Model!Y10+Model!Z10+Model!AA10+Model!AB10+Model!AC10+Model!AD10+Model!AE10+Model!AF10+Model!AG10+Model!AH10+Model!AI10</f>
        <v>1334163.49770734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10682572.3215072</v>
      </c>
      <c r="D9" s="12" t="n">
        <f aca="false">Model!X12+Model!Y12+Model!Z12+Model!AA12+Model!AB12+Model!AC12+Model!AD12+Model!AE12+Model!AF12+Model!AG12+Model!AH12+Model!AI12</f>
        <v>9959463.96395136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-7558959.1813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3123613.14020718</v>
      </c>
      <c r="D16" s="16" t="n">
        <f aca="false">Model!X40+Model!Y40+Model!Z40+Model!AA40+Model!AB40+Model!AC40+Model!AD40+Model!AE40+Model!AF40+Model!AG40+Model!AH40+Model!AI40</f>
        <v>3412324.56732536</v>
      </c>
      <c r="E16" s="16" t="n">
        <f aca="false">Model!AJ40+Model!AK40+Model!AL40+Model!AM40+Model!AN40+Model!AO40+Model!AP40+Model!AQ40+Model!AR40+Model!AS40+Model!AT40+Model!AU40</f>
        <v>-1250233.25158149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0.292402714083987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0.342621307700534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-0.308171272776359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2355846.07760718</v>
      </c>
      <c r="D23" s="16" t="n">
        <f aca="false">Model!X95+Model!Y95+Model!Z95+Model!AA95+Model!AB95+Model!AC95+Model!AD95+Model!AE95+Model!AF95+Model!AG95+Model!AH95+Model!AI95</f>
        <v>4097695.93942535</v>
      </c>
      <c r="E23" s="16" t="n">
        <f aca="false">Model!AJ95+Model!AK95+Model!AL95+Model!AM95+Model!AN95+Model!AO95+Model!AP95+Model!AQ95+Model!AR95+Model!AS95+Model!AT95+Model!AU95</f>
        <v>-1608995.64583149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7051608.4062504</v>
      </c>
      <c r="D42" s="21" t="n">
        <f aca="false">Model!AI147</f>
        <v>10463932.9735757</v>
      </c>
      <c r="E42" s="21" t="n">
        <f aca="false">Model!AU147</f>
        <v>9213699.72199426</v>
      </c>
      <c r="F42" s="21" t="n">
        <f aca="false">Model!BG147</f>
        <v>5523489.73222723</v>
      </c>
      <c r="G42" s="21" t="n">
        <f aca="false">Model!BS147</f>
        <v>1903.68266486865</v>
      </c>
      <c r="H42" s="21" t="n">
        <f aca="false">Model!CE147</f>
        <v>-5630114.08788874</v>
      </c>
      <c r="I42" s="21" t="n">
        <f aca="false">Model!CH147</f>
        <v>-7045054.5130032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-706753.823282153</v>
      </c>
      <c r="E44" s="21" t="n">
        <f aca="false">Model!AJ159+Model!AK159+Model!AL159+Model!AM159+Model!AN159+Model!AO159+Model!AP159+Model!AQ159+Model!AR159+Model!AS159+Model!AT159+Model!AU159</f>
        <v>-1229308.78182761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3849869.91036495</v>
      </c>
      <c r="D45" s="23" t="n">
        <f aca="false">Model!AI160</f>
        <v>7697565.8497903</v>
      </c>
      <c r="E45" s="23" t="n">
        <f aca="false">Model!AU160</f>
        <v>5838570.20395881</v>
      </c>
      <c r="F45" s="23" t="n">
        <f aca="false">Model!BG160</f>
        <v>1081262.71912879</v>
      </c>
      <c r="G45" s="23" t="n">
        <f aca="false">Model!BS160</f>
        <v>-5670363.57437384</v>
      </c>
      <c r="H45" s="23" t="n">
        <f aca="false">Model!CE160</f>
        <v>-12671279.6388025</v>
      </c>
      <c r="I45" s="23" t="n">
        <f aca="false">Model!CH160</f>
        <v>-14407060.4585854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7843516.98514798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7467947.788651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7566271.175986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7974169.60377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7901583.674484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7861060.268914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7751472.788812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7579463.816981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7351630.335235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354343.868613295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298839.681113295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298839.681113295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337749.34276743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324854.605925325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324854.605925325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324854.605925325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324854.605925325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324854.605925325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362745.552823821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303353.365323821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303353.365323821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342263.026977956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324854.605925325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324854.605925325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324854.605925325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324854.605925325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324854.605925325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106354.10642373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95314.9814237298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95314.9814237298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108284.868641775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108284.868641775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108284.868641775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108284.868641775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108284.868641775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108284.868641775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1051142.86786085</v>
      </c>
      <c r="S12" s="12" t="n">
        <f aca="false">S8+S9+S10+S11</f>
        <v>697508.027860845</v>
      </c>
      <c r="T12" s="12" t="n">
        <f aca="false">T8+T9+T10+T11</f>
        <v>697508.027860845</v>
      </c>
      <c r="U12" s="12" t="n">
        <f aca="false">U8+U9+U10+U11</f>
        <v>1015996.57838716</v>
      </c>
      <c r="V12" s="12" t="n">
        <f aca="false">V8+V9+V10+V11</f>
        <v>757994.080492424</v>
      </c>
      <c r="W12" s="12" t="n">
        <f aca="false">W8+W9+W10+W11</f>
        <v>757994.080492424</v>
      </c>
      <c r="X12" s="12" t="n">
        <f aca="false">X8+X9+X10+X11</f>
        <v>757994.080492424</v>
      </c>
      <c r="Y12" s="12" t="n">
        <f aca="false">Y8+Y9+Y10+Y11</f>
        <v>757994.080492424</v>
      </c>
      <c r="Z12" s="12" t="n">
        <f aca="false">Z8+Z9+Z10+Z11</f>
        <v>757994.080492424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-920533.6157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-920533.6157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130609.252160845</v>
      </c>
      <c r="S40" s="16" t="n">
        <f aca="false">S12+S38</f>
        <v>270322.982160845</v>
      </c>
      <c r="T40" s="16" t="n">
        <f aca="false">T12+T38</f>
        <v>270322.982160845</v>
      </c>
      <c r="U40" s="16" t="n">
        <f aca="false">U12+U38</f>
        <v>95462.9626871608</v>
      </c>
      <c r="V40" s="16" t="n">
        <f aca="false">V12+V38</f>
        <v>330809.034792424</v>
      </c>
      <c r="W40" s="16" t="n">
        <f aca="false">W12+W38</f>
        <v>330809.034792424</v>
      </c>
      <c r="X40" s="16" t="n">
        <f aca="false">X12+X38</f>
        <v>330809.034792424</v>
      </c>
      <c r="Y40" s="16" t="n">
        <f aca="false">Y12+Y38</f>
        <v>330809.034792424</v>
      </c>
      <c r="Z40" s="16" t="n">
        <f aca="false">Z12+Z38</f>
        <v>330809.034792424</v>
      </c>
      <c r="AA40" s="16" t="n">
        <f aca="false">AA12+AA38</f>
        <v>322265.333878424</v>
      </c>
      <c r="AB40" s="16" t="n">
        <f aca="false">AB12+AB38</f>
        <v>240771.482203783</v>
      </c>
      <c r="AC40" s="16" t="n">
        <f aca="false">AC12+AC38</f>
        <v>-326288.244462884</v>
      </c>
      <c r="AD40" s="16" t="n">
        <f aca="false">AD12+AD38</f>
        <v>397417.815537116</v>
      </c>
      <c r="AE40" s="16" t="n">
        <f aca="false">AE12+AE38</f>
        <v>397417.815537116</v>
      </c>
      <c r="AF40" s="16" t="n">
        <f aca="false">AF12+AF38</f>
        <v>397417.815537116</v>
      </c>
      <c r="AG40" s="16" t="n">
        <f aca="false">AG12+AG38</f>
        <v>397417.815537116</v>
      </c>
      <c r="AH40" s="16" t="n">
        <f aca="false">AH12+AH38</f>
        <v>296738.814590147</v>
      </c>
      <c r="AI40" s="16" t="n">
        <f aca="false">AI12+AI38</f>
        <v>296738.814590147</v>
      </c>
      <c r="AJ40" s="16" t="n">
        <f aca="false">AJ12+AJ38</f>
        <v>133979.541862874</v>
      </c>
      <c r="AK40" s="16" t="n">
        <f aca="false">AK12+AK38</f>
        <v>43190.3313365583</v>
      </c>
      <c r="AL40" s="16" t="n">
        <f aca="false">AL12+AL38</f>
        <v>43190.3313365583</v>
      </c>
      <c r="AM40" s="16" t="n">
        <f aca="false">AM12+AM38</f>
        <v>-25542.7398078431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0.124254519679751</v>
      </c>
      <c r="S41" s="32" t="n">
        <f aca="false">IF(S12&lt;&gt;0,S40/S12,0)</f>
        <v>0.387555370494998</v>
      </c>
      <c r="T41" s="32" t="n">
        <f aca="false">IF(T12&lt;&gt;0,T40/T12,0)</f>
        <v>0.387555370494998</v>
      </c>
      <c r="U41" s="32" t="n">
        <f aca="false">IF(U12&lt;&gt;0,U40/U12,0)</f>
        <v>0.0939599253756377</v>
      </c>
      <c r="V41" s="32" t="n">
        <f aca="false">IF(V12&lt;&gt;0,V40/V12,0)</f>
        <v>0.436426936972274</v>
      </c>
      <c r="W41" s="32" t="n">
        <f aca="false">IF(W12&lt;&gt;0,W40/W12,0)</f>
        <v>0.436426936972274</v>
      </c>
      <c r="X41" s="32" t="n">
        <f aca="false">IF(X12&lt;&gt;0,X40/X12,0)</f>
        <v>0.436426936972274</v>
      </c>
      <c r="Y41" s="32" t="n">
        <f aca="false">IF(Y12&lt;&gt;0,Y40/Y12,0)</f>
        <v>0.436426936972274</v>
      </c>
      <c r="Z41" s="32" t="n">
        <f aca="false">IF(Z12&lt;&gt;0,Z40/Z12,0)</f>
        <v>0.436426936972274</v>
      </c>
      <c r="AA41" s="32" t="n">
        <f aca="false">IF(AA12&lt;&gt;0,AA40/AA12,0)</f>
        <v>0.42515547571172</v>
      </c>
      <c r="AB41" s="32" t="n">
        <f aca="false">IF(AB12&lt;&gt;0,AB40/AB12,0)</f>
        <v>0.355907466024872</v>
      </c>
      <c r="AC41" s="32" t="n">
        <f aca="false">IF(AC12&lt;&gt;0,AC40/AC12,0)</f>
        <v>-0.22448976102667</v>
      </c>
      <c r="AD41" s="32" t="n">
        <f aca="false">IF(AD12&lt;&gt;0,AD40/AD12,0)</f>
        <v>0.477008288326865</v>
      </c>
      <c r="AE41" s="32" t="n">
        <f aca="false">IF(AE12&lt;&gt;0,AE40/AE12,0)</f>
        <v>0.477008288326865</v>
      </c>
      <c r="AF41" s="32" t="n">
        <f aca="false">IF(AF12&lt;&gt;0,AF40/AF12,0)</f>
        <v>0.477008288326865</v>
      </c>
      <c r="AG41" s="32" t="n">
        <f aca="false">IF(AG12&lt;&gt;0,AG40/AG12,0)</f>
        <v>0.477008288326865</v>
      </c>
      <c r="AH41" s="32" t="n">
        <f aca="false">IF(AH12&lt;&gt;0,AH40/AH12,0)</f>
        <v>0.405122124592549</v>
      </c>
      <c r="AI41" s="32" t="n">
        <f aca="false">IF(AI12&lt;&gt;0,AI40/AI12,0)</f>
        <v>0.405122124592549</v>
      </c>
      <c r="AJ41" s="32" t="n">
        <f aca="false">IF(AJ12&lt;&gt;0,AJ40/AJ12,0)</f>
        <v>0.235172182979944</v>
      </c>
      <c r="AK41" s="32" t="n">
        <f aca="false">IF(AK12&lt;&gt;0,AK40/AK12,0)</f>
        <v>0.0901829418059163</v>
      </c>
      <c r="AL41" s="32" t="n">
        <f aca="false">IF(AL12&lt;&gt;0,AL40/AL12,0)</f>
        <v>0.0901829418059163</v>
      </c>
      <c r="AM41" s="32" t="n">
        <f aca="false">IF(AM12&lt;&gt;0,AM40/AM12,0)</f>
        <v>-0.0609756608640664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1051142.86786085</v>
      </c>
      <c r="S89" s="10" t="n">
        <f aca="false">S12</f>
        <v>697508.027860845</v>
      </c>
      <c r="T89" s="10" t="n">
        <f aca="false">T12</f>
        <v>697508.027860845</v>
      </c>
      <c r="U89" s="10" t="n">
        <f aca="false">U12</f>
        <v>1015996.57838716</v>
      </c>
      <c r="V89" s="10" t="n">
        <f aca="false">V12</f>
        <v>757994.080492424</v>
      </c>
      <c r="W89" s="10" t="n">
        <f aca="false">W12</f>
        <v>757994.080492424</v>
      </c>
      <c r="X89" s="10" t="n">
        <f aca="false">X12</f>
        <v>757994.080492424</v>
      </c>
      <c r="Y89" s="10" t="n">
        <f aca="false">Y12</f>
        <v>757994.080492424</v>
      </c>
      <c r="Z89" s="10" t="n">
        <f aca="false">Z12</f>
        <v>757994.080492424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1076846.56066085</v>
      </c>
      <c r="S91" s="12" t="n">
        <f aca="false">S89+S90</f>
        <v>739783.983060845</v>
      </c>
      <c r="T91" s="12" t="n">
        <f aca="false">T89+T90</f>
        <v>756356.245460845</v>
      </c>
      <c r="U91" s="12" t="n">
        <f aca="false">U89+U90</f>
        <v>1091417.05198716</v>
      </c>
      <c r="V91" s="12" t="n">
        <f aca="false">V89+V90</f>
        <v>849986.822892424</v>
      </c>
      <c r="W91" s="12" t="n">
        <f aca="false">W89+W90</f>
        <v>923934.078892424</v>
      </c>
      <c r="X91" s="12" t="n">
        <f aca="false">X89+X90</f>
        <v>883131.334892424</v>
      </c>
      <c r="Y91" s="12" t="n">
        <f aca="false">Y89+Y90</f>
        <v>899703.597292424</v>
      </c>
      <c r="Z91" s="12" t="n">
        <f aca="false">Z89+Z90</f>
        <v>973650.866092424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-920533.6157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-920533.6157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-1065949.4907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-1042489.4907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10897.0699608454</v>
      </c>
      <c r="S95" s="16" t="n">
        <f aca="false">S91+S94</f>
        <v>190643.062360845</v>
      </c>
      <c r="T95" s="16" t="n">
        <f aca="false">T91+T94</f>
        <v>207215.324760845</v>
      </c>
      <c r="U95" s="16" t="n">
        <f aca="false">U91+U94</f>
        <v>48927.5612871609</v>
      </c>
      <c r="V95" s="16" t="n">
        <f aca="false">V91+V94</f>
        <v>300845.902192424</v>
      </c>
      <c r="W95" s="16" t="n">
        <f aca="false">W91+W94</f>
        <v>353373.158192424</v>
      </c>
      <c r="X95" s="16" t="n">
        <f aca="false">X91+X94</f>
        <v>333990.414192424</v>
      </c>
      <c r="Y95" s="16" t="n">
        <f aca="false">Y91+Y94</f>
        <v>350562.676592424</v>
      </c>
      <c r="Z95" s="16" t="n">
        <f aca="false">Z91+Z94</f>
        <v>424509.945392424</v>
      </c>
      <c r="AA95" s="16" t="n">
        <f aca="false">AA91+AA94</f>
        <v>372724.382978424</v>
      </c>
      <c r="AB95" s="16" t="n">
        <f aca="false">AB91+AB94</f>
        <v>307802.800103783</v>
      </c>
      <c r="AC95" s="16" t="n">
        <f aca="false">AC91+AC94</f>
        <v>-156477.446562884</v>
      </c>
      <c r="AD95" s="16" t="n">
        <f aca="false">AD91+AD94</f>
        <v>428760.509437116</v>
      </c>
      <c r="AE95" s="16" t="n">
        <f aca="false">AE91+AE94</f>
        <v>453190.266237116</v>
      </c>
      <c r="AF95" s="16" t="n">
        <f aca="false">AF91+AF94</f>
        <v>453690.810237116</v>
      </c>
      <c r="AG95" s="16" t="n">
        <f aca="false">AG91+AG94</f>
        <v>444691.360637116</v>
      </c>
      <c r="AH95" s="16" t="n">
        <f aca="false">AH91+AH94</f>
        <v>344512.903690147</v>
      </c>
      <c r="AI95" s="16" t="n">
        <f aca="false">AI91+AI94</f>
        <v>339737.316490147</v>
      </c>
      <c r="AJ95" s="16" t="n">
        <f aca="false">AJ91+AJ94</f>
        <v>182754.738162874</v>
      </c>
      <c r="AK95" s="16" t="n">
        <f aca="false">AK91+AK94</f>
        <v>75893.8156365582</v>
      </c>
      <c r="AL95" s="16" t="n">
        <f aca="false">AL91+AL94</f>
        <v>59822.1036365582</v>
      </c>
      <c r="AM95" s="16" t="n">
        <f aca="false">AM91+AM94</f>
        <v>-27470.585757843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5753881.4096567</v>
      </c>
      <c r="T145" s="10" t="n">
        <f aca="false">S147</f>
        <v>6024204.39181754</v>
      </c>
      <c r="U145" s="10" t="n">
        <f aca="false">T147</f>
        <v>6294527.37397839</v>
      </c>
      <c r="V145" s="10" t="n">
        <f aca="false">U147</f>
        <v>6389990.33666555</v>
      </c>
      <c r="W145" s="10" t="n">
        <f aca="false">V147</f>
        <v>6720799.37145797</v>
      </c>
      <c r="X145" s="10" t="n">
        <f aca="false">W147</f>
        <v>7051608.4062504</v>
      </c>
      <c r="Y145" s="10" t="n">
        <f aca="false">X147</f>
        <v>7382417.44104282</v>
      </c>
      <c r="Z145" s="10" t="n">
        <f aca="false">Y147</f>
        <v>7713226.47583525</v>
      </c>
      <c r="AA145" s="10" t="n">
        <f aca="false">Z147</f>
        <v>8044035.51062767</v>
      </c>
      <c r="AB145" s="10" t="n">
        <f aca="false">AA147</f>
        <v>8366300.84450609</v>
      </c>
      <c r="AC145" s="10" t="n">
        <f aca="false">AB147</f>
        <v>8607072.32670988</v>
      </c>
      <c r="AD145" s="10" t="n">
        <f aca="false">AC147</f>
        <v>8280784.08224699</v>
      </c>
      <c r="AE145" s="10" t="n">
        <f aca="false">AD147</f>
        <v>8678201.89778411</v>
      </c>
      <c r="AF145" s="10" t="n">
        <f aca="false">AE147</f>
        <v>9075619.71332122</v>
      </c>
      <c r="AG145" s="10" t="n">
        <f aca="false">AF147</f>
        <v>9473037.52885834</v>
      </c>
      <c r="AH145" s="10" t="n">
        <f aca="false">AG147</f>
        <v>9870455.34439546</v>
      </c>
      <c r="AI145" s="10" t="n">
        <f aca="false">AH147</f>
        <v>10167194.1589856</v>
      </c>
      <c r="AJ145" s="10" t="n">
        <f aca="false">AI147</f>
        <v>10463932.9735757</v>
      </c>
      <c r="AK145" s="10" t="n">
        <f aca="false">AJ147</f>
        <v>10597912.5154386</v>
      </c>
      <c r="AL145" s="10" t="n">
        <f aca="false">AK147</f>
        <v>10641102.8467752</v>
      </c>
      <c r="AM145" s="10" t="n">
        <f aca="false">AL147</f>
        <v>10684293.1781117</v>
      </c>
      <c r="AN145" s="10" t="n">
        <f aca="false">AM147</f>
        <v>10658750.4383039</v>
      </c>
      <c r="AO145" s="10" t="n">
        <f aca="false">AN147</f>
        <v>10542418.4879697</v>
      </c>
      <c r="AP145" s="10" t="n">
        <f aca="false">AO147</f>
        <v>10426086.5376356</v>
      </c>
      <c r="AQ145" s="10" t="n">
        <f aca="false">AP147</f>
        <v>10309754.5873014</v>
      </c>
      <c r="AR145" s="10" t="n">
        <f aca="false">AQ147</f>
        <v>10193422.6369673</v>
      </c>
      <c r="AS145" s="10" t="n">
        <f aca="false">AR147</f>
        <v>10077090.6866331</v>
      </c>
      <c r="AT145" s="10" t="n">
        <f aca="false">AS147</f>
        <v>9789293.69842015</v>
      </c>
      <c r="AU145" s="10" t="n">
        <f aca="false">AT147</f>
        <v>9501496.7102072</v>
      </c>
      <c r="AV145" s="10" t="n">
        <f aca="false">AU147</f>
        <v>9213699.72199426</v>
      </c>
      <c r="AW145" s="10" t="n">
        <f aca="false">AV147</f>
        <v>8925902.73378131</v>
      </c>
      <c r="AX145" s="10" t="n">
        <f aca="false">AW147</f>
        <v>8638105.74556836</v>
      </c>
      <c r="AY145" s="10" t="n">
        <f aca="false">AX147</f>
        <v>8350308.75735542</v>
      </c>
      <c r="AZ145" s="10" t="n">
        <f aca="false">AY147</f>
        <v>8053622.90271154</v>
      </c>
      <c r="BA145" s="10" t="n">
        <f aca="false">AZ147</f>
        <v>7756937.04806767</v>
      </c>
      <c r="BB145" s="10" t="n">
        <f aca="false">BA147</f>
        <v>7460251.1934238</v>
      </c>
      <c r="BC145" s="10" t="n">
        <f aca="false">BB147</f>
        <v>7163565.33877993</v>
      </c>
      <c r="BD145" s="10" t="n">
        <f aca="false">BC147</f>
        <v>6866879.48413606</v>
      </c>
      <c r="BE145" s="10" t="n">
        <f aca="false">BD147</f>
        <v>6570193.62949218</v>
      </c>
      <c r="BF145" s="10" t="n">
        <f aca="false">BE147</f>
        <v>6273507.77484831</v>
      </c>
      <c r="BG145" s="10" t="n">
        <f aca="false">BF147</f>
        <v>5976821.92020444</v>
      </c>
      <c r="BH145" s="10" t="n">
        <f aca="false">BG147</f>
        <v>5523489.73222723</v>
      </c>
      <c r="BI145" s="10" t="n">
        <f aca="false">BH147</f>
        <v>5070157.54425003</v>
      </c>
      <c r="BJ145" s="10" t="n">
        <f aca="false">BI147</f>
        <v>4616825.35627282</v>
      </c>
      <c r="BK145" s="10" t="n">
        <f aca="false">BJ147</f>
        <v>4163493.16829562</v>
      </c>
      <c r="BL145" s="10" t="n">
        <f aca="false">BK147</f>
        <v>3701094.33655887</v>
      </c>
      <c r="BM145" s="10" t="n">
        <f aca="false">BL147</f>
        <v>3238695.50482212</v>
      </c>
      <c r="BN145" s="10" t="n">
        <f aca="false">BM147</f>
        <v>2776296.67308537</v>
      </c>
      <c r="BO145" s="10" t="n">
        <f aca="false">BN147</f>
        <v>2313897.84134862</v>
      </c>
      <c r="BP145" s="10" t="n">
        <f aca="false">BO147</f>
        <v>1851499.00961187</v>
      </c>
      <c r="BQ145" s="10" t="n">
        <f aca="false">BP147</f>
        <v>1389100.17787512</v>
      </c>
      <c r="BR145" s="10" t="n">
        <f aca="false">BQ147</f>
        <v>926701.346138368</v>
      </c>
      <c r="BS145" s="10" t="n">
        <f aca="false">BR147</f>
        <v>464302.514401618</v>
      </c>
      <c r="BT145" s="10" t="n">
        <f aca="false">BS147</f>
        <v>1903.68266486865</v>
      </c>
      <c r="BU145" s="10" t="n">
        <f aca="false">BT147</f>
        <v>-460495.149071881</v>
      </c>
      <c r="BV145" s="10" t="n">
        <f aca="false">BU147</f>
        <v>-922893.980808631</v>
      </c>
      <c r="BW145" s="10" t="n">
        <f aca="false">BV147</f>
        <v>-1385292.81254538</v>
      </c>
      <c r="BX145" s="10" t="n">
        <f aca="false">BW147</f>
        <v>-1856939.62091687</v>
      </c>
      <c r="BY145" s="10" t="n">
        <f aca="false">BX147</f>
        <v>-2328586.42928835</v>
      </c>
      <c r="BZ145" s="10" t="n">
        <f aca="false">BY147</f>
        <v>-2800233.23765984</v>
      </c>
      <c r="CA145" s="10" t="n">
        <f aca="false">BZ147</f>
        <v>-3271880.04603132</v>
      </c>
      <c r="CB145" s="10" t="n">
        <f aca="false">CA147</f>
        <v>-3743526.8544028</v>
      </c>
      <c r="CC145" s="10" t="n">
        <f aca="false">CB147</f>
        <v>-4215173.66277429</v>
      </c>
      <c r="CD145" s="10" t="n">
        <f aca="false">CC147</f>
        <v>-4686820.47114577</v>
      </c>
      <c r="CE145" s="10" t="n">
        <f aca="false">CD147</f>
        <v>-5158467.27951726</v>
      </c>
      <c r="CF145" s="10" t="n">
        <f aca="false">CE147</f>
        <v>-5630114.08788874</v>
      </c>
      <c r="CG145" s="10" t="n">
        <f aca="false">CF147</f>
        <v>-6101760.89626023</v>
      </c>
      <c r="CH145" s="10" t="n">
        <f aca="false">CG147</f>
        <v>-6573407.70463171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130609.252160845</v>
      </c>
      <c r="S146" s="10" t="n">
        <f aca="false">S40</f>
        <v>270322.982160845</v>
      </c>
      <c r="T146" s="10" t="n">
        <f aca="false">T40</f>
        <v>270322.982160845</v>
      </c>
      <c r="U146" s="10" t="n">
        <f aca="false">U40</f>
        <v>95462.9626871608</v>
      </c>
      <c r="V146" s="10" t="n">
        <f aca="false">V40</f>
        <v>330809.034792424</v>
      </c>
      <c r="W146" s="10" t="n">
        <f aca="false">W40</f>
        <v>330809.034792424</v>
      </c>
      <c r="X146" s="10" t="n">
        <f aca="false">X40</f>
        <v>330809.034792424</v>
      </c>
      <c r="Y146" s="10" t="n">
        <f aca="false">Y40</f>
        <v>330809.034792424</v>
      </c>
      <c r="Z146" s="10" t="n">
        <f aca="false">Z40</f>
        <v>330809.034792424</v>
      </c>
      <c r="AA146" s="10" t="n">
        <f aca="false">AA40</f>
        <v>322265.333878424</v>
      </c>
      <c r="AB146" s="10" t="n">
        <f aca="false">AB40</f>
        <v>240771.482203783</v>
      </c>
      <c r="AC146" s="10" t="n">
        <f aca="false">AC40</f>
        <v>-326288.244462884</v>
      </c>
      <c r="AD146" s="10" t="n">
        <f aca="false">AD40</f>
        <v>397417.815537116</v>
      </c>
      <c r="AE146" s="10" t="n">
        <f aca="false">AE40</f>
        <v>397417.815537116</v>
      </c>
      <c r="AF146" s="10" t="n">
        <f aca="false">AF40</f>
        <v>397417.815537116</v>
      </c>
      <c r="AG146" s="10" t="n">
        <f aca="false">AG40</f>
        <v>397417.815537116</v>
      </c>
      <c r="AH146" s="10" t="n">
        <f aca="false">AH40</f>
        <v>296738.814590147</v>
      </c>
      <c r="AI146" s="10" t="n">
        <f aca="false">AI40</f>
        <v>296738.814590147</v>
      </c>
      <c r="AJ146" s="10" t="n">
        <f aca="false">AJ40</f>
        <v>133979.541862874</v>
      </c>
      <c r="AK146" s="10" t="n">
        <f aca="false">AK40</f>
        <v>43190.3313365583</v>
      </c>
      <c r="AL146" s="10" t="n">
        <f aca="false">AL40</f>
        <v>43190.3313365583</v>
      </c>
      <c r="AM146" s="10" t="n">
        <f aca="false">AM40</f>
        <v>-25542.7398078431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2219781.12122743</v>
      </c>
      <c r="G147" s="61" t="n">
        <f aca="false">G145+G146</f>
        <v>2371256.56987974</v>
      </c>
      <c r="H147" s="61" t="n">
        <f aca="false">H145+H146</f>
        <v>2522732.01853206</v>
      </c>
      <c r="I147" s="61" t="n">
        <f aca="false">I145+I146</f>
        <v>3039696.79307113</v>
      </c>
      <c r="J147" s="61" t="n">
        <f aca="false">J145+J146</f>
        <v>3594965.46855718</v>
      </c>
      <c r="K147" s="61" t="n">
        <f aca="false">K145+K146</f>
        <v>3927995.26604322</v>
      </c>
      <c r="L147" s="61" t="n">
        <f aca="false">L145+L146</f>
        <v>4261025.06352927</v>
      </c>
      <c r="M147" s="61" t="n">
        <f aca="false">M145+M146</f>
        <v>4594054.86101531</v>
      </c>
      <c r="N147" s="61" t="n">
        <f aca="false">N145+N146</f>
        <v>4927084.65850136</v>
      </c>
      <c r="O147" s="61" t="n">
        <f aca="false">O145+O146</f>
        <v>4631034.84149952</v>
      </c>
      <c r="P147" s="61" t="n">
        <f aca="false">P145+P146</f>
        <v>5127153.49949769</v>
      </c>
      <c r="Q147" s="61" t="n">
        <f aca="false">Q145+Q146</f>
        <v>5623272.15749585</v>
      </c>
      <c r="R147" s="61" t="n">
        <f aca="false">R145+R146</f>
        <v>5753881.4096567</v>
      </c>
      <c r="S147" s="61" t="n">
        <f aca="false">S145+S146</f>
        <v>6024204.39181754</v>
      </c>
      <c r="T147" s="61" t="n">
        <f aca="false">T145+T146</f>
        <v>6294527.37397839</v>
      </c>
      <c r="U147" s="61" t="n">
        <f aca="false">U145+U146</f>
        <v>6389990.33666555</v>
      </c>
      <c r="V147" s="61" t="n">
        <f aca="false">V145+V146</f>
        <v>6720799.37145797</v>
      </c>
      <c r="W147" s="61" t="n">
        <f aca="false">W145+W146</f>
        <v>7051608.4062504</v>
      </c>
      <c r="X147" s="61" t="n">
        <f aca="false">X145+X146</f>
        <v>7382417.44104282</v>
      </c>
      <c r="Y147" s="61" t="n">
        <f aca="false">Y145+Y146</f>
        <v>7713226.47583525</v>
      </c>
      <c r="Z147" s="61" t="n">
        <f aca="false">Z145+Z146</f>
        <v>8044035.51062767</v>
      </c>
      <c r="AA147" s="61" t="n">
        <f aca="false">AA145+AA146</f>
        <v>8366300.84450609</v>
      </c>
      <c r="AB147" s="61" t="n">
        <f aca="false">AB145+AB146</f>
        <v>8607072.32670988</v>
      </c>
      <c r="AC147" s="61" t="n">
        <f aca="false">AC145+AC146</f>
        <v>8280784.08224699</v>
      </c>
      <c r="AD147" s="61" t="n">
        <f aca="false">AD145+AD146</f>
        <v>8678201.89778411</v>
      </c>
      <c r="AE147" s="61" t="n">
        <f aca="false">AE145+AE146</f>
        <v>9075619.71332122</v>
      </c>
      <c r="AF147" s="61" t="n">
        <f aca="false">AF145+AF146</f>
        <v>9473037.52885834</v>
      </c>
      <c r="AG147" s="61" t="n">
        <f aca="false">AG145+AG146</f>
        <v>9870455.34439546</v>
      </c>
      <c r="AH147" s="61" t="n">
        <f aca="false">AH145+AH146</f>
        <v>10167194.1589856</v>
      </c>
      <c r="AI147" s="61" t="n">
        <f aca="false">AI145+AI146</f>
        <v>10463932.9735757</v>
      </c>
      <c r="AJ147" s="61" t="n">
        <f aca="false">AJ145+AJ146</f>
        <v>10597912.5154386</v>
      </c>
      <c r="AK147" s="61" t="n">
        <f aca="false">AK145+AK146</f>
        <v>10641102.8467752</v>
      </c>
      <c r="AL147" s="61" t="n">
        <f aca="false">AL145+AL146</f>
        <v>10684293.1781117</v>
      </c>
      <c r="AM147" s="61" t="n">
        <f aca="false">AM145+AM146</f>
        <v>10658750.4383039</v>
      </c>
      <c r="AN147" s="61" t="n">
        <f aca="false">AN145+AN146</f>
        <v>10542418.4879697</v>
      </c>
      <c r="AO147" s="61" t="n">
        <f aca="false">AO145+AO146</f>
        <v>10426086.5376356</v>
      </c>
      <c r="AP147" s="61" t="n">
        <f aca="false">AP145+AP146</f>
        <v>10309754.5873014</v>
      </c>
      <c r="AQ147" s="61" t="n">
        <f aca="false">AQ145+AQ146</f>
        <v>10193422.6369673</v>
      </c>
      <c r="AR147" s="61" t="n">
        <f aca="false">AR145+AR146</f>
        <v>10077090.6866331</v>
      </c>
      <c r="AS147" s="61" t="n">
        <f aca="false">AS145+AS146</f>
        <v>9789293.69842015</v>
      </c>
      <c r="AT147" s="61" t="n">
        <f aca="false">AT145+AT146</f>
        <v>9501496.7102072</v>
      </c>
      <c r="AU147" s="61" t="n">
        <f aca="false">AU145+AU146</f>
        <v>9213699.72199426</v>
      </c>
      <c r="AV147" s="61" t="n">
        <f aca="false">AV145+AV146</f>
        <v>8925902.73378131</v>
      </c>
      <c r="AW147" s="61" t="n">
        <f aca="false">AW145+AW146</f>
        <v>8638105.74556836</v>
      </c>
      <c r="AX147" s="61" t="n">
        <f aca="false">AX145+AX146</f>
        <v>8350308.75735542</v>
      </c>
      <c r="AY147" s="61" t="n">
        <f aca="false">AY145+AY146</f>
        <v>8053622.90271154</v>
      </c>
      <c r="AZ147" s="61" t="n">
        <f aca="false">AZ145+AZ146</f>
        <v>7756937.04806767</v>
      </c>
      <c r="BA147" s="61" t="n">
        <f aca="false">BA145+BA146</f>
        <v>7460251.1934238</v>
      </c>
      <c r="BB147" s="61" t="n">
        <f aca="false">BB145+BB146</f>
        <v>7163565.33877993</v>
      </c>
      <c r="BC147" s="61" t="n">
        <f aca="false">BC145+BC146</f>
        <v>6866879.48413606</v>
      </c>
      <c r="BD147" s="61" t="n">
        <f aca="false">BD145+BD146</f>
        <v>6570193.62949218</v>
      </c>
      <c r="BE147" s="61" t="n">
        <f aca="false">BE145+BE146</f>
        <v>6273507.77484831</v>
      </c>
      <c r="BF147" s="61" t="n">
        <f aca="false">BF145+BF146</f>
        <v>5976821.92020444</v>
      </c>
      <c r="BG147" s="61" t="n">
        <f aca="false">BG145+BG146</f>
        <v>5523489.73222723</v>
      </c>
      <c r="BH147" s="61" t="n">
        <f aca="false">BH145+BH146</f>
        <v>5070157.54425003</v>
      </c>
      <c r="BI147" s="61" t="n">
        <f aca="false">BI145+BI146</f>
        <v>4616825.35627282</v>
      </c>
      <c r="BJ147" s="61" t="n">
        <f aca="false">BJ145+BJ146</f>
        <v>4163493.16829562</v>
      </c>
      <c r="BK147" s="61" t="n">
        <f aca="false">BK145+BK146</f>
        <v>3701094.33655887</v>
      </c>
      <c r="BL147" s="61" t="n">
        <f aca="false">BL145+BL146</f>
        <v>3238695.50482212</v>
      </c>
      <c r="BM147" s="61" t="n">
        <f aca="false">BM145+BM146</f>
        <v>2776296.67308537</v>
      </c>
      <c r="BN147" s="61" t="n">
        <f aca="false">BN145+BN146</f>
        <v>2313897.84134862</v>
      </c>
      <c r="BO147" s="61" t="n">
        <f aca="false">BO145+BO146</f>
        <v>1851499.00961187</v>
      </c>
      <c r="BP147" s="61" t="n">
        <f aca="false">BP145+BP146</f>
        <v>1389100.17787512</v>
      </c>
      <c r="BQ147" s="61" t="n">
        <f aca="false">BQ145+BQ146</f>
        <v>926701.346138368</v>
      </c>
      <c r="BR147" s="61" t="n">
        <f aca="false">BR145+BR146</f>
        <v>464302.514401618</v>
      </c>
      <c r="BS147" s="61" t="n">
        <f aca="false">BS145+BS146</f>
        <v>1903.68266486865</v>
      </c>
      <c r="BT147" s="61" t="n">
        <f aca="false">BT145+BT146</f>
        <v>-460495.149071881</v>
      </c>
      <c r="BU147" s="61" t="n">
        <f aca="false">BU145+BU146</f>
        <v>-922893.980808631</v>
      </c>
      <c r="BV147" s="61" t="n">
        <f aca="false">BV145+BV146</f>
        <v>-1385292.81254538</v>
      </c>
      <c r="BW147" s="61" t="n">
        <f aca="false">BW145+BW146</f>
        <v>-1856939.62091687</v>
      </c>
      <c r="BX147" s="61" t="n">
        <f aca="false">BX145+BX146</f>
        <v>-2328586.42928835</v>
      </c>
      <c r="BY147" s="61" t="n">
        <f aca="false">BY145+BY146</f>
        <v>-2800233.23765984</v>
      </c>
      <c r="BZ147" s="61" t="n">
        <f aca="false">BZ145+BZ146</f>
        <v>-3271880.04603132</v>
      </c>
      <c r="CA147" s="61" t="n">
        <f aca="false">CA145+CA146</f>
        <v>-3743526.8544028</v>
      </c>
      <c r="CB147" s="61" t="n">
        <f aca="false">CB145+CB146</f>
        <v>-4215173.66277429</v>
      </c>
      <c r="CC147" s="61" t="n">
        <f aca="false">CC145+CC146</f>
        <v>-4686820.47114577</v>
      </c>
      <c r="CD147" s="61" t="n">
        <f aca="false">CD145+CD146</f>
        <v>-5158467.27951726</v>
      </c>
      <c r="CE147" s="61" t="n">
        <f aca="false">CE145+CE146</f>
        <v>-5630114.08788874</v>
      </c>
      <c r="CF147" s="61" t="n">
        <f aca="false">CF145+CF146</f>
        <v>-6101760.89626023</v>
      </c>
      <c r="CG147" s="61" t="n">
        <f aca="false">CG145+CG146</f>
        <v>-6573407.70463171</v>
      </c>
      <c r="CH147" s="61" t="n">
        <f aca="false">CH145+CH146</f>
        <v>-7045054.5130032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48881.1433333334</v>
      </c>
      <c r="H155" s="61" t="n">
        <f aca="false">H150+H151+H152+H153+H154</f>
        <v>-27902.19</v>
      </c>
      <c r="I155" s="61" t="n">
        <f aca="false">I150+I151+I152+I153+I154</f>
        <v>-234685.523333333</v>
      </c>
      <c r="J155" s="61" t="n">
        <f aca="false">J150+J151+J152+J153+J154</f>
        <v>-450843.856666667</v>
      </c>
      <c r="K155" s="61" t="n">
        <f aca="false">K150+K151+K152+K153+K154</f>
        <v>-688002.19</v>
      </c>
      <c r="L155" s="61" t="n">
        <f aca="false">L150+L151+L152+L153+L154</f>
        <v>-892028.692933333</v>
      </c>
      <c r="M155" s="61" t="n">
        <f aca="false">M150+M151+M152+M153+M154</f>
        <v>-1346055.19586667</v>
      </c>
      <c r="N155" s="61" t="n">
        <f aca="false">N150+N151+N152+N153+N154</f>
        <v>-1550081.6988</v>
      </c>
      <c r="O155" s="61" t="n">
        <f aca="false">O150+O151+O152+O153+O154</f>
        <v>-1756499.4934</v>
      </c>
      <c r="P155" s="61" t="n">
        <f aca="false">P150+P151+P152+P153+P154</f>
        <v>-1962917.288</v>
      </c>
      <c r="Q155" s="61" t="n">
        <f aca="false">Q150+Q151+Q152+Q153+Q154</f>
        <v>-2169335.0826</v>
      </c>
      <c r="R155" s="61" t="n">
        <f aca="false">R150+R151+R152+R153+R154</f>
        <v>-2419047.2648</v>
      </c>
      <c r="S155" s="61" t="n">
        <f aca="false">S150+S151+S152+S153+S154</f>
        <v>-2628727.1846</v>
      </c>
      <c r="T155" s="61" t="n">
        <f aca="false">T150+T151+T152+T153+T154</f>
        <v>-2821834.842</v>
      </c>
      <c r="U155" s="61" t="n">
        <f aca="false">U150+U151+U152+U153+U154</f>
        <v>-2998370.2434</v>
      </c>
      <c r="V155" s="61" t="n">
        <f aca="false">V150+V151+V152+V153+V154</f>
        <v>-3158333.376</v>
      </c>
      <c r="W155" s="61" t="n">
        <f aca="false">W150+W151+W152+W153+W154</f>
        <v>-3201738.49588545</v>
      </c>
      <c r="X155" s="61" t="n">
        <f aca="false">X150+X151+X152+X153+X154</f>
        <v>-3198557.11648545</v>
      </c>
      <c r="Y155" s="61" t="n">
        <f aca="false">Y150+Y151+Y152+Y153+Y154</f>
        <v>-3428803.47468545</v>
      </c>
      <c r="Z155" s="61" t="n">
        <f aca="false">Z150+Z151+Z152+Z153+Z154</f>
        <v>-3335102.56408545</v>
      </c>
      <c r="AA155" s="61" t="n">
        <f aca="false">AA150+AA151+AA152+AA153+AA154</f>
        <v>-3284643.51498545</v>
      </c>
      <c r="AB155" s="61" t="n">
        <f aca="false">AB150+AB151+AB152+AB153+AB154</f>
        <v>-3217612.19708545</v>
      </c>
      <c r="AC155" s="61" t="n">
        <f aca="false">AC150+AC151+AC152+AC153+AC154</f>
        <v>-3047801.39918544</v>
      </c>
      <c r="AD155" s="61" t="n">
        <f aca="false">AD150+AD151+AD152+AD153+AD154</f>
        <v>-3016458.70528545</v>
      </c>
      <c r="AE155" s="61" t="n">
        <f aca="false">AE150+AE151+AE152+AE153+AE154</f>
        <v>-2960686.25458545</v>
      </c>
      <c r="AF155" s="61" t="n">
        <f aca="false">AF150+AF151+AF152+AF153+AF154</f>
        <v>-2904413.25988545</v>
      </c>
      <c r="AG155" s="61" t="n">
        <f aca="false">AG150+AG151+AG152+AG153+AG154</f>
        <v>-2857139.71478544</v>
      </c>
      <c r="AH155" s="61" t="n">
        <f aca="false">AH150+AH151+AH152+AH153+AH154</f>
        <v>-2809365.62568544</v>
      </c>
      <c r="AI155" s="61" t="n">
        <f aca="false">AI150+AI151+AI152+AI153+AI154</f>
        <v>-2766367.12378544</v>
      </c>
      <c r="AJ155" s="61" t="n">
        <f aca="false">AJ150+AJ151+AJ152+AJ153+AJ154</f>
        <v>-2717591.92748544</v>
      </c>
      <c r="AK155" s="61" t="n">
        <f aca="false">AK150+AK151+AK152+AK153+AK154</f>
        <v>-2934888.44318544</v>
      </c>
      <c r="AL155" s="61" t="n">
        <f aca="false">AL150+AL151+AL152+AL153+AL154</f>
        <v>-2918256.67088544</v>
      </c>
      <c r="AM155" s="61" t="n">
        <f aca="false">AM150+AM151+AM152+AM153+AM154</f>
        <v>-2920184.51683544</v>
      </c>
      <c r="AN155" s="61" t="n">
        <f aca="false">AN150+AN151+AN152+AN153+AN154</f>
        <v>-2938184.06838544</v>
      </c>
      <c r="AO155" s="61" t="n">
        <f aca="false">AO150+AO151+AO152+AO153+AO154</f>
        <v>-2972255.33193544</v>
      </c>
      <c r="AP155" s="61" t="n">
        <f aca="false">AP150+AP151+AP152+AP153+AP154</f>
        <v>-3046806.09788544</v>
      </c>
      <c r="AQ155" s="61" t="n">
        <f aca="false">AQ150+AQ151+AQ152+AQ153+AQ154</f>
        <v>-3113020.78543544</v>
      </c>
      <c r="AR155" s="61" t="n">
        <f aca="false">AR150+AR151+AR152+AR153+AR154</f>
        <v>-3195307.18498544</v>
      </c>
      <c r="AS155" s="61" t="n">
        <f aca="false">AS150+AS151+AS152+AS153+AS154</f>
        <v>-3225890.01333544</v>
      </c>
      <c r="AT155" s="61" t="n">
        <f aca="false">AT150+AT151+AT152+AT153+AT154</f>
        <v>-3273045.09768544</v>
      </c>
      <c r="AU155" s="61" t="n">
        <f aca="false">AU150+AU151+AU152+AU153+AU154</f>
        <v>-3375129.51803544</v>
      </c>
      <c r="AV155" s="61" t="n">
        <f aca="false">AV150+AV151+AV152+AV153+AV154</f>
        <v>-3455429.12078544</v>
      </c>
      <c r="AW155" s="61" t="n">
        <f aca="false">AW150+AW151+AW152+AW153+AW154</f>
        <v>-3536229.28033544</v>
      </c>
      <c r="AX155" s="61" t="n">
        <f aca="false">AX150+AX151+AX152+AX153+AX154</f>
        <v>-3617529.98388544</v>
      </c>
      <c r="AY155" s="61" t="n">
        <f aca="false">AY150+AY151+AY152+AY153+AY154</f>
        <v>-3701868.89568245</v>
      </c>
      <c r="AZ155" s="61" t="n">
        <f aca="false">AZ150+AZ151+AZ152+AZ153+AZ154</f>
        <v>-3786708.35787945</v>
      </c>
      <c r="BA155" s="61" t="n">
        <f aca="false">BA150+BA151+BA152+BA153+BA154</f>
        <v>-3872048.37047644</v>
      </c>
      <c r="BB155" s="61" t="n">
        <f aca="false">BB150+BB151+BB152+BB153+BB154</f>
        <v>-3982784.87315345</v>
      </c>
      <c r="BC155" s="61" t="n">
        <f aca="false">BC150+BC151+BC152+BC153+BC154</f>
        <v>-4069125.98655044</v>
      </c>
      <c r="BD155" s="61" t="n">
        <f aca="false">BD150+BD151+BD152+BD153+BD154</f>
        <v>-4155967.65034744</v>
      </c>
      <c r="BE155" s="61" t="n">
        <f aca="false">BE150+BE151+BE152+BE153+BE154</f>
        <v>-4243309.86454445</v>
      </c>
      <c r="BF155" s="61" t="n">
        <f aca="false">BF150+BF151+BF152+BF153+BF154</f>
        <v>-4331152.62914144</v>
      </c>
      <c r="BG155" s="61" t="n">
        <f aca="false">BG150+BG151+BG152+BG153+BG154</f>
        <v>-4442227.01309845</v>
      </c>
      <c r="BH155" s="61" t="n">
        <f aca="false">BH150+BH151+BH152+BH153+BH154</f>
        <v>-4501870.07849545</v>
      </c>
      <c r="BI155" s="61" t="n">
        <f aca="false">BI150+BI151+BI152+BI153+BI154</f>
        <v>-4562013.69429245</v>
      </c>
      <c r="BJ155" s="61" t="n">
        <f aca="false">BJ150+BJ151+BJ152+BJ153+BJ154</f>
        <v>-4554882.57088945</v>
      </c>
      <c r="BK155" s="61" t="n">
        <f aca="false">BK150+BK151+BK152+BK153+BK154</f>
        <v>-4686891.53209039</v>
      </c>
      <c r="BL155" s="61" t="n">
        <f aca="false">BL150+BL151+BL152+BL153+BL154</f>
        <v>-4818900.49329133</v>
      </c>
      <c r="BM155" s="61" t="n">
        <f aca="false">BM150+BM151+BM152+BM153+BM154</f>
        <v>-4950909.45449227</v>
      </c>
      <c r="BN155" s="61" t="n">
        <f aca="false">BN150+BN151+BN152+BN153+BN154</f>
        <v>-5108312.27416681</v>
      </c>
      <c r="BO155" s="61" t="n">
        <f aca="false">BO150+BO151+BO152+BO153+BO154</f>
        <v>-5240321.23536775</v>
      </c>
      <c r="BP155" s="61" t="n">
        <f aca="false">BP150+BP151+BP152+BP153+BP154</f>
        <v>-5320816.67656869</v>
      </c>
      <c r="BQ155" s="61" t="n">
        <f aca="false">BQ150+BQ151+BQ152+BQ153+BQ154</f>
        <v>-5452825.63776963</v>
      </c>
      <c r="BR155" s="61" t="n">
        <f aca="false">BR150+BR151+BR152+BR153+BR154</f>
        <v>-5584834.59897057</v>
      </c>
      <c r="BS155" s="61" t="n">
        <f aca="false">BS150+BS151+BS152+BS153+BS154</f>
        <v>-5672267.25703871</v>
      </c>
      <c r="BT155" s="61" t="n">
        <f aca="false">BT150+BT151+BT152+BT153+BT154</f>
        <v>-5804276.21823965</v>
      </c>
      <c r="BU155" s="61" t="n">
        <f aca="false">BU150+BU151+BU152+BU153+BU154</f>
        <v>-5936285.17944059</v>
      </c>
      <c r="BV155" s="61" t="n">
        <f aca="false">BV150+BV151+BV152+BV153+BV154</f>
        <v>-6000532.14064153</v>
      </c>
      <c r="BW155" s="61" t="n">
        <f aca="false">BW150+BW151+BW152+BW153+BW154</f>
        <v>-6135181.28106649</v>
      </c>
      <c r="BX155" s="61" t="n">
        <f aca="false">BX150+BX151+BX152+BX153+BX154</f>
        <v>-6269830.42149145</v>
      </c>
      <c r="BY155" s="61" t="n">
        <f aca="false">BY150+BY151+BY152+BY153+BY154</f>
        <v>-6336717.5619164</v>
      </c>
      <c r="BZ155" s="61" t="n">
        <f aca="false">BZ150+BZ151+BZ152+BZ153+BZ154</f>
        <v>-6497268.43798444</v>
      </c>
      <c r="CA155" s="61" t="n">
        <f aca="false">CA150+CA151+CA152+CA153+CA154</f>
        <v>-6631917.57840939</v>
      </c>
      <c r="CB155" s="61" t="n">
        <f aca="false">CB150+CB151+CB152+CB153+CB154</f>
        <v>-6690067.71883435</v>
      </c>
      <c r="CC155" s="61" t="n">
        <f aca="false">CC150+CC151+CC152+CC153+CC154</f>
        <v>-6824716.85925931</v>
      </c>
      <c r="CD155" s="61" t="n">
        <f aca="false">CD150+CD151+CD152+CD153+CD154</f>
        <v>-6959365.99968427</v>
      </c>
      <c r="CE155" s="61" t="n">
        <f aca="false">CE150+CE151+CE152+CE153+CE154</f>
        <v>-7041165.55091377</v>
      </c>
      <c r="CF155" s="61" t="n">
        <f aca="false">CF150+CF151+CF152+CF153+CF154</f>
        <v>-7175814.69133873</v>
      </c>
      <c r="CG155" s="61" t="n">
        <f aca="false">CG150+CG151+CG152+CG153+CG154</f>
        <v>-7310463.83176369</v>
      </c>
      <c r="CH155" s="61" t="n">
        <f aca="false">CH150+CH151+CH152+CH153+CH154</f>
        <v>-7362005.94558217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3334834.1448567</v>
      </c>
      <c r="T158" s="10" t="n">
        <f aca="false">T145+T150</f>
        <v>3395477.20721754</v>
      </c>
      <c r="U158" s="10" t="n">
        <f aca="false">U145+U150</f>
        <v>3472692.53197839</v>
      </c>
      <c r="V158" s="10" t="n">
        <f aca="false">V145+V150</f>
        <v>3391620.09326555</v>
      </c>
      <c r="W158" s="10" t="n">
        <f aca="false">W145+W150</f>
        <v>3562465.99545797</v>
      </c>
      <c r="X158" s="10" t="n">
        <f aca="false">X145+X150</f>
        <v>3849869.91036495</v>
      </c>
      <c r="Y158" s="10" t="n">
        <f aca="false">Y145+Y150</f>
        <v>4183860.32455738</v>
      </c>
      <c r="Z158" s="10" t="n">
        <f aca="false">Z145+Z150</f>
        <v>4284423.0011498</v>
      </c>
      <c r="AA158" s="10" t="n">
        <f aca="false">AA145+AA150</f>
        <v>4708932.94654222</v>
      </c>
      <c r="AB158" s="10" t="n">
        <f aca="false">AB145+AB150</f>
        <v>5081657.32952065</v>
      </c>
      <c r="AC158" s="10" t="n">
        <f aca="false">AC145+AC150</f>
        <v>5389460.12962443</v>
      </c>
      <c r="AD158" s="10" t="n">
        <f aca="false">AD145+AD150</f>
        <v>5232982.68306155</v>
      </c>
      <c r="AE158" s="10" t="n">
        <f aca="false">AE145+AE150</f>
        <v>5661743.19249866</v>
      </c>
      <c r="AF158" s="10" t="n">
        <f aca="false">AF145+AF150</f>
        <v>6114933.45873578</v>
      </c>
      <c r="AG158" s="10" t="n">
        <f aca="false">AG145+AG150</f>
        <v>6568624.26897289</v>
      </c>
      <c r="AH158" s="10" t="n">
        <f aca="false">AH145+AH150</f>
        <v>7013315.62961001</v>
      </c>
      <c r="AI158" s="10" t="n">
        <f aca="false">AI145+AI150</f>
        <v>7357828.53330016</v>
      </c>
      <c r="AJ158" s="10" t="n">
        <f aca="false">AJ145+AJ150</f>
        <v>7697565.8497903</v>
      </c>
      <c r="AK158" s="10" t="n">
        <f aca="false">AK145+AK150</f>
        <v>7880320.58795318</v>
      </c>
      <c r="AL158" s="10" t="n">
        <f aca="false">AL145+AL150</f>
        <v>7706214.40358974</v>
      </c>
      <c r="AM158" s="10" t="n">
        <f aca="false">AM145+AM150</f>
        <v>7766036.50722629</v>
      </c>
      <c r="AN158" s="10" t="n">
        <f aca="false">AN145+AN150</f>
        <v>7738565.92146845</v>
      </c>
      <c r="AO158" s="10" t="n">
        <f aca="false">AO145+AO150</f>
        <v>7604234.41958429</v>
      </c>
      <c r="AP158" s="10" t="n">
        <f aca="false">AP145+AP150</f>
        <v>7453831.20570013</v>
      </c>
      <c r="AQ158" s="10" t="n">
        <f aca="false">AQ145+AQ150</f>
        <v>7262948.48941597</v>
      </c>
      <c r="AR158" s="10" t="n">
        <f aca="false">AR145+AR150</f>
        <v>7080401.85153181</v>
      </c>
      <c r="AS158" s="10" t="n">
        <f aca="false">AS145+AS150</f>
        <v>6881783.50164765</v>
      </c>
      <c r="AT158" s="10" t="n">
        <f aca="false">AT145+AT150</f>
        <v>6563403.68508471</v>
      </c>
      <c r="AU158" s="10" t="n">
        <f aca="false">AU145+AU150</f>
        <v>6228451.61252176</v>
      </c>
      <c r="AV158" s="10" t="n">
        <f aca="false">AV145+AV150</f>
        <v>5838570.20395881</v>
      </c>
      <c r="AW158" s="10" t="n">
        <f aca="false">AW145+AW150</f>
        <v>5470473.61299587</v>
      </c>
      <c r="AX158" s="10" t="n">
        <f aca="false">AX145+AX150</f>
        <v>5101876.46523292</v>
      </c>
      <c r="AY158" s="10" t="n">
        <f aca="false">AY145+AY150</f>
        <v>4732778.77346997</v>
      </c>
      <c r="AZ158" s="10" t="n">
        <f aca="false">AZ145+AZ150</f>
        <v>4351754.0070291</v>
      </c>
      <c r="BA158" s="10" t="n">
        <f aca="false">BA145+BA150</f>
        <v>3970228.69018823</v>
      </c>
      <c r="BB158" s="10" t="n">
        <f aca="false">BB145+BB150</f>
        <v>3588202.82294736</v>
      </c>
      <c r="BC158" s="10" t="n">
        <f aca="false">BC145+BC150</f>
        <v>3180780.46562648</v>
      </c>
      <c r="BD158" s="10" t="n">
        <f aca="false">BD145+BD150</f>
        <v>2797753.49758561</v>
      </c>
      <c r="BE158" s="10" t="n">
        <f aca="false">BE145+BE150</f>
        <v>2414225.97914474</v>
      </c>
      <c r="BF158" s="10" t="n">
        <f aca="false">BF145+BF150</f>
        <v>2030197.91030387</v>
      </c>
      <c r="BG158" s="10" t="n">
        <f aca="false">BG145+BG150</f>
        <v>1645669.291063</v>
      </c>
      <c r="BH158" s="10" t="n">
        <f aca="false">BH145+BH150</f>
        <v>1081262.71912879</v>
      </c>
      <c r="BI158" s="10" t="n">
        <f aca="false">BI145+BI150</f>
        <v>568287.465754584</v>
      </c>
      <c r="BJ158" s="10" t="n">
        <f aca="false">BJ145+BJ150</f>
        <v>54811.6619803775</v>
      </c>
      <c r="BK158" s="10" t="n">
        <f aca="false">BK145+BK150</f>
        <v>-391389.402593828</v>
      </c>
      <c r="BL158" s="10" t="n">
        <f aca="false">BL145+BL150</f>
        <v>-985797.195531518</v>
      </c>
      <c r="BM158" s="10" t="n">
        <f aca="false">BM145+BM150</f>
        <v>-1580204.98846921</v>
      </c>
      <c r="BN158" s="10" t="n">
        <f aca="false">BN145+BN150</f>
        <v>-2174612.7814069</v>
      </c>
      <c r="BO158" s="10" t="n">
        <f aca="false">BO145+BO150</f>
        <v>-2794414.43281819</v>
      </c>
      <c r="BP158" s="10" t="n">
        <f aca="false">BP145+BP150</f>
        <v>-3388822.22575588</v>
      </c>
      <c r="BQ158" s="10" t="n">
        <f aca="false">BQ145+BQ150</f>
        <v>-3931716.49869357</v>
      </c>
      <c r="BR158" s="10" t="n">
        <f aca="false">BR145+BR150</f>
        <v>-4526124.29163126</v>
      </c>
      <c r="BS158" s="10" t="n">
        <f aca="false">BS145+BS150</f>
        <v>-5120532.08456895</v>
      </c>
      <c r="BT158" s="10" t="n">
        <f aca="false">BT145+BT150</f>
        <v>-5670363.57437384</v>
      </c>
      <c r="BU158" s="10" t="n">
        <f aca="false">BU145+BU150</f>
        <v>-6264771.36731153</v>
      </c>
      <c r="BV158" s="10" t="n">
        <f aca="false">BV145+BV150</f>
        <v>-6859179.16024922</v>
      </c>
      <c r="BW158" s="10" t="n">
        <f aca="false">BW145+BW150</f>
        <v>-7385824.95318691</v>
      </c>
      <c r="BX158" s="10" t="n">
        <f aca="false">BX145+BX150</f>
        <v>-7992120.90198335</v>
      </c>
      <c r="BY158" s="10" t="n">
        <f aca="false">BY145+BY150</f>
        <v>-8598416.8507798</v>
      </c>
      <c r="BZ158" s="10" t="n">
        <f aca="false">BZ145+BZ150</f>
        <v>-9136950.79957624</v>
      </c>
      <c r="CA158" s="10" t="n">
        <f aca="false">CA145+CA150</f>
        <v>-9769148.48401576</v>
      </c>
      <c r="CB158" s="10" t="n">
        <f aca="false">CB145+CB150</f>
        <v>-10375444.4328122</v>
      </c>
      <c r="CC158" s="10" t="n">
        <f aca="false">CC145+CC150</f>
        <v>-10905241.3816086</v>
      </c>
      <c r="CD158" s="10" t="n">
        <f aca="false">CD145+CD150</f>
        <v>-11511537.3304051</v>
      </c>
      <c r="CE158" s="10" t="n">
        <f aca="false">CE145+CE150</f>
        <v>-12117833.2792015</v>
      </c>
      <c r="CF158" s="10" t="n">
        <f aca="false">CF145+CF150</f>
        <v>-12671279.6388025</v>
      </c>
      <c r="CG158" s="10" t="n">
        <f aca="false">CG145+CG150</f>
        <v>-13277575.587599</v>
      </c>
      <c r="CH158" s="10" t="n">
        <f aca="false">CH145+CH150</f>
        <v>-13883871.5363954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-706753.823282153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-1229308.78182761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2344612.2678941</v>
      </c>
      <c r="G160" s="61" t="n">
        <f aca="false">G158+G146+G151+G152+G153+G154+G159</f>
        <v>2420137.71321308</v>
      </c>
      <c r="H160" s="61" t="n">
        <f aca="false">H158+H146+H151+H152+H153+H154+H159</f>
        <v>2494829.82853206</v>
      </c>
      <c r="I160" s="61" t="n">
        <f aca="false">I158+I146+I151+I152+I153+I154+I159</f>
        <v>2805011.2697378</v>
      </c>
      <c r="J160" s="61" t="n">
        <f aca="false">J158+J146+J151+J152+J153+J154+J159</f>
        <v>3144121.61189051</v>
      </c>
      <c r="K160" s="61" t="n">
        <f aca="false">K158+K146+K151+K152+K153+K154+K159</f>
        <v>3239993.07604322</v>
      </c>
      <c r="L160" s="61" t="n">
        <f aca="false">L158+L146+L151+L152+L153+L154+L159</f>
        <v>3368996.37059593</v>
      </c>
      <c r="M160" s="61" t="n">
        <f aca="false">M158+M146+M151+M152+M153+M154+M159</f>
        <v>3247999.66514864</v>
      </c>
      <c r="N160" s="61" t="n">
        <f aca="false">N158+N146+N151+N152+N153+N154+N159</f>
        <v>2919069.09188839</v>
      </c>
      <c r="O160" s="61" t="n">
        <f aca="false">O158+O146+O151+O152+O153+O154+O159</f>
        <v>2874535.34809952</v>
      </c>
      <c r="P160" s="61" t="n">
        <f aca="false">P158+P146+P151+P152+P153+P154+P159</f>
        <v>3164236.21149769</v>
      </c>
      <c r="Q160" s="61" t="n">
        <f aca="false">Q158+Q146+Q151+Q152+Q153+Q154+Q159</f>
        <v>3453937.07489585</v>
      </c>
      <c r="R160" s="61" t="n">
        <f aca="false">R158+R146+R151+R152+R153+R154+R159</f>
        <v>3334834.1448567</v>
      </c>
      <c r="S160" s="61" t="n">
        <f aca="false">S158+S146+S151+S152+S153+S154+S159</f>
        <v>3395477.20721754</v>
      </c>
      <c r="T160" s="61" t="n">
        <f aca="false">T158+T146+T151+T152+T153+T154+T159</f>
        <v>3472692.53197839</v>
      </c>
      <c r="U160" s="61" t="n">
        <f aca="false">U158+U146+U151+U152+U153+U154+U159</f>
        <v>3391620.09326555</v>
      </c>
      <c r="V160" s="61" t="n">
        <f aca="false">V158+V146+V151+V152+V153+V154+V159</f>
        <v>3562465.99545797</v>
      </c>
      <c r="W160" s="61" t="n">
        <f aca="false">W158+W146+W151+W152+W153+W154+W159</f>
        <v>3849869.91036495</v>
      </c>
      <c r="X160" s="61" t="n">
        <f aca="false">X158+X146+X151+X152+X153+X154+X159</f>
        <v>4183860.32455738</v>
      </c>
      <c r="Y160" s="61" t="n">
        <f aca="false">Y158+Y146+Y151+Y152+Y153+Y154+Y159</f>
        <v>4284423.0011498</v>
      </c>
      <c r="Z160" s="61" t="n">
        <f aca="false">Z158+Z146+Z151+Z152+Z153+Z154+Z159</f>
        <v>4002179.12326007</v>
      </c>
      <c r="AA160" s="61" t="n">
        <f aca="false">AA158+AA146+AA151+AA152+AA153+AA154+AA159</f>
        <v>5081657.32952065</v>
      </c>
      <c r="AB160" s="61" t="n">
        <f aca="false">AB158+AB146+AB151+AB152+AB153+AB154+AB159</f>
        <v>5389460.12962443</v>
      </c>
      <c r="AC160" s="61" t="n">
        <f aca="false">AC158+AC146+AC151+AC152+AC153+AC154+AC159</f>
        <v>5232982.68306155</v>
      </c>
      <c r="AD160" s="61" t="n">
        <f aca="false">AD158+AD146+AD151+AD152+AD153+AD154+AD159</f>
        <v>5661743.19249866</v>
      </c>
      <c r="AE160" s="61" t="n">
        <f aca="false">AE158+AE146+AE151+AE152+AE153+AE154+AE159</f>
        <v>6114933.45873578</v>
      </c>
      <c r="AF160" s="61" t="n">
        <f aca="false">AF158+AF146+AF151+AF152+AF153+AF154+AF159</f>
        <v>6568624.2689729</v>
      </c>
      <c r="AG160" s="61" t="n">
        <f aca="false">AG158+AG146+AG151+AG152+AG153+AG154+AG159</f>
        <v>7013315.62961001</v>
      </c>
      <c r="AH160" s="61" t="n">
        <f aca="false">AH158+AH146+AH151+AH152+AH153+AH154+AH159</f>
        <v>7357828.53330016</v>
      </c>
      <c r="AI160" s="61" t="n">
        <f aca="false">AI158+AI146+AI151+AI152+AI153+AI154+AI159</f>
        <v>7697565.8497903</v>
      </c>
      <c r="AJ160" s="61" t="n">
        <f aca="false">AJ158+AJ146+AJ151+AJ152+AJ153+AJ154+AJ159</f>
        <v>7880320.58795318</v>
      </c>
      <c r="AK160" s="61" t="n">
        <f aca="false">AK158+AK146+AK151+AK152+AK153+AK154+AK159</f>
        <v>7706214.40358974</v>
      </c>
      <c r="AL160" s="61" t="n">
        <f aca="false">AL158+AL146+AL151+AL152+AL153+AL154+AL159</f>
        <v>6536727.72539869</v>
      </c>
      <c r="AM160" s="61" t="n">
        <f aca="false">AM158+AM146+AM151+AM152+AM153+AM154+AM159</f>
        <v>7738565.92146845</v>
      </c>
      <c r="AN160" s="61" t="n">
        <f aca="false">AN158+AN146+AN151+AN152+AN153+AN154+AN159</f>
        <v>7604234.41958429</v>
      </c>
      <c r="AO160" s="61" t="n">
        <f aca="false">AO158+AO146+AO151+AO152+AO153+AO154+AO159</f>
        <v>7453831.20570013</v>
      </c>
      <c r="AP160" s="61" t="n">
        <f aca="false">AP158+AP146+AP151+AP152+AP153+AP154+AP159</f>
        <v>7262948.48941597</v>
      </c>
      <c r="AQ160" s="61" t="n">
        <f aca="false">AQ158+AQ146+AQ151+AQ152+AQ153+AQ154+AQ159</f>
        <v>7080401.85153181</v>
      </c>
      <c r="AR160" s="61" t="n">
        <f aca="false">AR158+AR146+AR151+AR152+AR153+AR154+AR159</f>
        <v>6881783.50164765</v>
      </c>
      <c r="AS160" s="61" t="n">
        <f aca="false">AS158+AS146+AS151+AS152+AS153+AS154+AS159</f>
        <v>6563403.68508471</v>
      </c>
      <c r="AT160" s="61" t="n">
        <f aca="false">AT158+AT146+AT151+AT152+AT153+AT154+AT159</f>
        <v>6228451.61252176</v>
      </c>
      <c r="AU160" s="61" t="n">
        <f aca="false">AU158+AU146+AU151+AU152+AU153+AU154+AU159</f>
        <v>5838570.20395881</v>
      </c>
      <c r="AV160" s="61" t="n">
        <f aca="false">AV158+AV146+AV151+AV152+AV153+AV154+AV159</f>
        <v>5470473.61299587</v>
      </c>
      <c r="AW160" s="61" t="n">
        <f aca="false">AW158+AW146+AW151+AW152+AW153+AW154+AW159</f>
        <v>5101876.46523292</v>
      </c>
      <c r="AX160" s="61" t="n">
        <f aca="false">AX158+AX146+AX151+AX152+AX153+AX154+AX159</f>
        <v>4732778.77346997</v>
      </c>
      <c r="AY160" s="61" t="n">
        <f aca="false">AY158+AY146+AY151+AY152+AY153+AY154+AY159</f>
        <v>4351754.0070291</v>
      </c>
      <c r="AZ160" s="61" t="n">
        <f aca="false">AZ158+AZ146+AZ151+AZ152+AZ153+AZ154+AZ159</f>
        <v>3970228.69018823</v>
      </c>
      <c r="BA160" s="61" t="n">
        <f aca="false">BA158+BA146+BA151+BA152+BA153+BA154+BA159</f>
        <v>3588202.82294736</v>
      </c>
      <c r="BB160" s="61" t="n">
        <f aca="false">BB158+BB146+BB151+BB152+BB153+BB154+BB159</f>
        <v>3180780.46562648</v>
      </c>
      <c r="BC160" s="61" t="n">
        <f aca="false">BC158+BC146+BC151+BC152+BC153+BC154+BC159</f>
        <v>2797753.49758561</v>
      </c>
      <c r="BD160" s="61" t="n">
        <f aca="false">BD158+BD146+BD151+BD152+BD153+BD154+BD159</f>
        <v>2414225.97914474</v>
      </c>
      <c r="BE160" s="61" t="n">
        <f aca="false">BE158+BE146+BE151+BE152+BE153+BE154+BE159</f>
        <v>2030197.91030387</v>
      </c>
      <c r="BF160" s="61" t="n">
        <f aca="false">BF158+BF146+BF151+BF152+BF153+BF154+BF159</f>
        <v>1645669.291063</v>
      </c>
      <c r="BG160" s="61" t="n">
        <f aca="false">BG158+BG146+BG151+BG152+BG153+BG154+BG159</f>
        <v>1081262.71912879</v>
      </c>
      <c r="BH160" s="61" t="n">
        <f aca="false">BH158+BH146+BH151+BH152+BH153+BH154+BH159</f>
        <v>568287.465754584</v>
      </c>
      <c r="BI160" s="61" t="n">
        <f aca="false">BI158+BI146+BI151+BI152+BI153+BI154+BI159</f>
        <v>54811.6619803779</v>
      </c>
      <c r="BJ160" s="61" t="n">
        <f aca="false">BJ158+BJ146+BJ151+BJ152+BJ153+BJ154+BJ159</f>
        <v>-391389.402593828</v>
      </c>
      <c r="BK160" s="61" t="n">
        <f aca="false">BK158+BK146+BK151+BK152+BK153+BK154+BK159</f>
        <v>-985797.195531518</v>
      </c>
      <c r="BL160" s="61" t="n">
        <f aca="false">BL158+BL146+BL151+BL152+BL153+BL154+BL159</f>
        <v>-1580204.98846921</v>
      </c>
      <c r="BM160" s="61" t="n">
        <f aca="false">BM158+BM146+BM151+BM152+BM153+BM154+BM159</f>
        <v>-2174612.7814069</v>
      </c>
      <c r="BN160" s="61" t="n">
        <f aca="false">BN158+BN146+BN151+BN152+BN153+BN154+BN159</f>
        <v>-2794414.43281819</v>
      </c>
      <c r="BO160" s="61" t="n">
        <f aca="false">BO158+BO146+BO151+BO152+BO153+BO154+BO159</f>
        <v>-3388822.22575588</v>
      </c>
      <c r="BP160" s="61" t="n">
        <f aca="false">BP158+BP146+BP151+BP152+BP153+BP154+BP159</f>
        <v>-3931716.49869357</v>
      </c>
      <c r="BQ160" s="61" t="n">
        <f aca="false">BQ158+BQ146+BQ151+BQ152+BQ153+BQ154+BQ159</f>
        <v>-4526124.29163126</v>
      </c>
      <c r="BR160" s="61" t="n">
        <f aca="false">BR158+BR146+BR151+BR152+BR153+BR154+BR159</f>
        <v>-5120532.08456895</v>
      </c>
      <c r="BS160" s="61" t="n">
        <f aca="false">BS158+BS146+BS151+BS152+BS153+BS154+BS159</f>
        <v>-5670363.57437384</v>
      </c>
      <c r="BT160" s="61" t="n">
        <f aca="false">BT158+BT146+BT151+BT152+BT153+BT154+BT159</f>
        <v>-6264771.36731153</v>
      </c>
      <c r="BU160" s="61" t="n">
        <f aca="false">BU158+BU146+BU151+BU152+BU153+BU154+BU159</f>
        <v>-6859179.16024922</v>
      </c>
      <c r="BV160" s="61" t="n">
        <f aca="false">BV158+BV146+BV151+BV152+BV153+BV154+BV159</f>
        <v>-7385824.95318691</v>
      </c>
      <c r="BW160" s="61" t="n">
        <f aca="false">BW158+BW146+BW151+BW152+BW153+BW154+BW159</f>
        <v>-7992120.90198335</v>
      </c>
      <c r="BX160" s="61" t="n">
        <f aca="false">BX158+BX146+BX151+BX152+BX153+BX154+BX159</f>
        <v>-8598416.8507798</v>
      </c>
      <c r="BY160" s="61" t="n">
        <f aca="false">BY158+BY146+BY151+BY152+BY153+BY154+BY159</f>
        <v>-9136950.79957624</v>
      </c>
      <c r="BZ160" s="61" t="n">
        <f aca="false">BZ158+BZ146+BZ151+BZ152+BZ153+BZ154+BZ159</f>
        <v>-9769148.48401576</v>
      </c>
      <c r="CA160" s="61" t="n">
        <f aca="false">CA158+CA146+CA151+CA152+CA153+CA154+CA159</f>
        <v>-10375444.4328122</v>
      </c>
      <c r="CB160" s="61" t="n">
        <f aca="false">CB158+CB146+CB151+CB152+CB153+CB154+CB159</f>
        <v>-10905241.3816086</v>
      </c>
      <c r="CC160" s="61" t="n">
        <f aca="false">CC158+CC146+CC151+CC152+CC153+CC154+CC159</f>
        <v>-11511537.3304051</v>
      </c>
      <c r="CD160" s="61" t="n">
        <f aca="false">CD158+CD146+CD151+CD152+CD153+CD154+CD159</f>
        <v>-12117833.2792015</v>
      </c>
      <c r="CE160" s="61" t="n">
        <f aca="false">CE158+CE146+CE151+CE152+CE153+CE154+CE159</f>
        <v>-12671279.6388025</v>
      </c>
      <c r="CF160" s="61" t="n">
        <f aca="false">CF158+CF146+CF151+CF152+CF153+CF154+CF159</f>
        <v>-13277575.587599</v>
      </c>
      <c r="CG160" s="61" t="n">
        <f aca="false">CG158+CG146+CG151+CG152+CG153+CG154+CG159</f>
        <v>-13883871.5363954</v>
      </c>
      <c r="CH160" s="61" t="n">
        <f aca="false">CH158+CH146+CH151+CH152+CH153+CH154+CH159</f>
        <v>-14407060.4585854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22877735.949785</v>
      </c>
      <c r="H3" s="65" t="n">
        <f aca="false">Model!U7+Model!V7+Model!W7</f>
        <v>23736813.547168</v>
      </c>
      <c r="I3" s="65" t="n">
        <f aca="false">Model!X7+Model!Y7+Model!Z7</f>
        <v>22682566.941028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952023.230839884</v>
      </c>
      <c r="H5" s="10" t="n">
        <f aca="false">Model!U8+Model!V8+Model!W8</f>
        <v>987458.554618079</v>
      </c>
      <c r="I5" s="10" t="n">
        <f aca="false">Model!X8+Model!Y8+Model!Z8</f>
        <v>974563.817775974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969452.283471463</v>
      </c>
      <c r="H6" s="10" t="n">
        <f aca="false">Model!U9+Model!V9+Model!W9</f>
        <v>991972.238828605</v>
      </c>
      <c r="I6" s="10" t="n">
        <f aca="false">Model!X9+Model!Y9+Model!Z9</f>
        <v>974563.817775974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296984.069271189</v>
      </c>
      <c r="H7" s="10" t="n">
        <f aca="false">Model!U10+Model!V10+Model!W10</f>
        <v>324854.605925325</v>
      </c>
      <c r="I7" s="10" t="n">
        <f aca="false">Model!X10+Model!Y10+Model!Z10</f>
        <v>324854.605925325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2446158.92358254</v>
      </c>
      <c r="H9" s="12" t="n">
        <f aca="false">Model!U12+Model!V12+Model!W12</f>
        <v>2531984.73937201</v>
      </c>
      <c r="I9" s="12" t="n">
        <f aca="false">Model!X12+Model!Y12+Model!Z12</f>
        <v>2273982.24147727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-1774903.7071</v>
      </c>
      <c r="H15" s="12" t="n">
        <f aca="false">Model!U38+Model!V38+Model!W38</f>
        <v>-1774903.7071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671255.216482536</v>
      </c>
      <c r="H16" s="16" t="n">
        <f aca="false">Model!U40+Model!V40+Model!W40</f>
        <v>757081.032272009</v>
      </c>
      <c r="I16" s="16" t="n">
        <f aca="false">Model!X40+Model!Y40+Model!Z40</f>
        <v>992427.104377272</v>
      </c>
      <c r="J16" s="16" t="n">
        <f aca="false">Model!AA40+Model!AB40+Model!AC40</f>
        <v>236748.571619323</v>
      </c>
      <c r="K16" s="16" t="n">
        <f aca="false">Model!AD40+Model!AE40+Model!AF40</f>
        <v>1192253.44661135</v>
      </c>
      <c r="L16" s="16" t="n">
        <f aca="false">Model!AG40+Model!AH40+Model!AI40</f>
        <v>990895.44471741</v>
      </c>
      <c r="M16" s="16" t="n">
        <f aca="false">Model!AJ40+Model!AK40+Model!AL40</f>
        <v>220360.204535991</v>
      </c>
      <c r="N16" s="16" t="n">
        <f aca="false">Model!AM40+Model!AN40+Model!AO40</f>
        <v>-258206.640476161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0.274411940291862</v>
      </c>
      <c r="H17" s="17" t="n">
        <f aca="false">IF((Model!U12+Model!V12+Model!W12)&lt;&gt;0,(Model!U40+Model!V40+Model!W40)/(Model!U12+Model!V12+Model!W12),0)</f>
        <v>0.299006949172917</v>
      </c>
      <c r="I17" s="17" t="n">
        <f aca="false">IF((Model!X12+Model!Y12+Model!Z12)&lt;&gt;0,(Model!X40+Model!Y40+Model!Z40)/(Model!X12+Model!Y12+Model!Z12),0)</f>
        <v>0.436426936972274</v>
      </c>
      <c r="J17" s="17" t="n">
        <f aca="false">IF((Model!AA12+Model!AB12+Model!AC12)&lt;&gt;0,(Model!AA40+Model!AB40+Model!AC40)/(Model!AA12+Model!AB12+Model!AC12),0)</f>
        <v>0.0819777776725804</v>
      </c>
      <c r="K17" s="17" t="n">
        <f aca="false">IF((Model!AD12+Model!AE12+Model!AF12)&lt;&gt;0,(Model!AD40+Model!AE40+Model!AF40)/(Model!AD12+Model!AE12+Model!AF12),0)</f>
        <v>0.477008288326865</v>
      </c>
      <c r="L17" s="17" t="n">
        <f aca="false">IF((Model!AG12+Model!AH12+Model!AI12)&lt;&gt;0,(Model!AG40+Model!AH40+Model!AI40)/(Model!AG12+Model!AH12+Model!AI12),0)</f>
        <v>0.431183735275879</v>
      </c>
      <c r="M17" s="17" t="n">
        <f aca="false">IF((Model!AJ12+Model!AK12+Model!AL12)&lt;&gt;0,(Model!AJ40+Model!AK40+Model!AL40)/(Model!AJ12+Model!AK12+Model!AL12),0)</f>
        <v>0.14425761347356</v>
      </c>
      <c r="N17" s="17" t="n">
        <f aca="false">IF((Model!AM12+Model!AN12+Model!AO12)&lt;&gt;0,(Model!AM40+Model!AN40+Model!AO40)/(Model!AM12+Model!AN12+Model!AO12),0)</f>
        <v>-0.240164671971242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408755.457082536</v>
      </c>
      <c r="H23" s="16" t="n">
        <f aca="false">Model!U95+Model!V95+Model!W95</f>
        <v>703146.621672009</v>
      </c>
      <c r="I23" s="16" t="n">
        <f aca="false">Model!X95+Model!Y95+Model!Z95</f>
        <v>1109063.03617727</v>
      </c>
      <c r="J23" s="16" t="n">
        <f aca="false">Model!AA95+Model!AB95+Model!AC95</f>
        <v>524049.736519323</v>
      </c>
      <c r="K23" s="16" t="n">
        <f aca="false">Model!AD95+Model!AE95+Model!AF95</f>
        <v>1335641.58591135</v>
      </c>
      <c r="L23" s="16" t="n">
        <f aca="false">Model!AG95+Model!AH95+Model!AI95</f>
        <v>1128941.58081741</v>
      </c>
      <c r="M23" s="16" t="n">
        <f aca="false">Model!AJ95+Model!AK95+Model!AL95</f>
        <v>318470.65743599</v>
      </c>
      <c r="N23" s="16" t="n">
        <f aca="false">Model!AM95+Model!AN95+Model!AO95</f>
        <v>-312205.301526161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6294527.37397839</v>
      </c>
      <c r="H42" s="21" t="n">
        <f aca="false">Model!W147</f>
        <v>7051608.4062504</v>
      </c>
      <c r="I42" s="21" t="n">
        <f aca="false">Model!Z147</f>
        <v>8044035.51062767</v>
      </c>
      <c r="J42" s="21" t="n">
        <f aca="false">Model!AC147</f>
        <v>8280784.08224699</v>
      </c>
      <c r="K42" s="21" t="n">
        <f aca="false">Model!AF147</f>
        <v>9473037.52885834</v>
      </c>
      <c r="L42" s="21" t="n">
        <f aca="false">Model!AI147</f>
        <v>10463932.9735757</v>
      </c>
      <c r="M42" s="21" t="n">
        <f aca="false">Model!AL147</f>
        <v>10684293.1781117</v>
      </c>
      <c r="N42" s="21" t="n">
        <f aca="false">Model!AO147</f>
        <v>10426086.5376356</v>
      </c>
      <c r="O42" s="21" t="n">
        <f aca="false">Model!AR147</f>
        <v>10077090.6866331</v>
      </c>
      <c r="P42" s="21" t="n">
        <f aca="false">Model!AU147</f>
        <v>9213699.72199426</v>
      </c>
      <c r="Q42" s="21" t="n">
        <f aca="false">Model!AX147</f>
        <v>8350308.75735542</v>
      </c>
      <c r="R42" s="21" t="n">
        <f aca="false">Model!BA147</f>
        <v>7460251.1934238</v>
      </c>
      <c r="S42" s="21" t="n">
        <f aca="false">Model!BD147</f>
        <v>6570193.62949218</v>
      </c>
      <c r="T42" s="21" t="n">
        <f aca="false">Model!BG147</f>
        <v>5523489.73222723</v>
      </c>
      <c r="U42" s="21" t="n">
        <f aca="false">Model!BJ147</f>
        <v>4163493.16829562</v>
      </c>
      <c r="V42" s="21" t="n">
        <f aca="false">Model!BM147</f>
        <v>2776296.67308537</v>
      </c>
      <c r="W42" s="21" t="n">
        <f aca="false">Model!BP147</f>
        <v>1389100.17787512</v>
      </c>
      <c r="X42" s="21" t="n">
        <f aca="false">Model!BS147</f>
        <v>1903.68266486865</v>
      </c>
      <c r="Y42" s="21" t="n">
        <f aca="false">Model!BV147</f>
        <v>-1385292.81254538</v>
      </c>
      <c r="Z42" s="21" t="n">
        <f aca="false">Model!BY147</f>
        <v>-2800233.23765984</v>
      </c>
      <c r="AA42" s="21" t="n">
        <f aca="false">Model!CB147</f>
        <v>-4215173.66277429</v>
      </c>
      <c r="AB42" s="21" t="n">
        <f aca="false">Model!CE147</f>
        <v>-5630114.08788874</v>
      </c>
      <c r="AC42" s="21" t="n">
        <f aca="false">Model!CH147</f>
        <v>-7045054.5130032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-706753.823282153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-1229308.78182761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3472692.53197839</v>
      </c>
      <c r="H45" s="23" t="n">
        <f aca="false">Model!W160</f>
        <v>3849869.91036495</v>
      </c>
      <c r="I45" s="23" t="n">
        <f aca="false">Model!Z160</f>
        <v>4002179.12326007</v>
      </c>
      <c r="J45" s="23" t="n">
        <f aca="false">Model!AC160</f>
        <v>5232982.68306155</v>
      </c>
      <c r="K45" s="23" t="n">
        <f aca="false">Model!AF160</f>
        <v>6568624.2689729</v>
      </c>
      <c r="L45" s="23" t="n">
        <f aca="false">Model!AI160</f>
        <v>7697565.8497903</v>
      </c>
      <c r="M45" s="23" t="n">
        <f aca="false">Model!AL160</f>
        <v>6536727.72539869</v>
      </c>
      <c r="N45" s="23" t="n">
        <f aca="false">Model!AO160</f>
        <v>7453831.20570013</v>
      </c>
      <c r="O45" s="23" t="n">
        <f aca="false">Model!AR160</f>
        <v>6881783.50164765</v>
      </c>
      <c r="P45" s="23" t="n">
        <f aca="false">Model!AU160</f>
        <v>5838570.20395881</v>
      </c>
      <c r="Q45" s="23" t="n">
        <f aca="false">Model!AX160</f>
        <v>4732778.77346997</v>
      </c>
      <c r="R45" s="23" t="n">
        <f aca="false">Model!BA160</f>
        <v>3588202.82294736</v>
      </c>
      <c r="S45" s="23" t="n">
        <f aca="false">Model!BD160</f>
        <v>2414225.97914474</v>
      </c>
      <c r="T45" s="23" t="n">
        <f aca="false">Model!BG160</f>
        <v>1081262.71912879</v>
      </c>
      <c r="U45" s="23" t="n">
        <f aca="false">Model!BJ160</f>
        <v>-391389.402593828</v>
      </c>
      <c r="V45" s="23" t="n">
        <f aca="false">Model!BM160</f>
        <v>-2174612.7814069</v>
      </c>
      <c r="W45" s="23" t="n">
        <f aca="false">Model!BP160</f>
        <v>-3931716.49869357</v>
      </c>
      <c r="X45" s="23" t="n">
        <f aca="false">Model!BS160</f>
        <v>-5670363.57437384</v>
      </c>
      <c r="Y45" s="23" t="n">
        <f aca="false">Model!BV160</f>
        <v>-7385824.95318691</v>
      </c>
      <c r="Z45" s="23" t="n">
        <f aca="false">Model!BY160</f>
        <v>-9136950.79957624</v>
      </c>
      <c r="AA45" s="23" t="n">
        <f aca="false">Model!CB160</f>
        <v>-10905241.3816086</v>
      </c>
      <c r="AB45" s="23" t="n">
        <f aca="false">Model!CE160</f>
        <v>-12671279.6388025</v>
      </c>
      <c r="AC45" s="23" t="n">
        <f aca="false">Model!CH160</f>
        <v>-14407060.4585854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0</v>
      </c>
      <c r="H14" s="68" t="n">
        <f aca="false">Model!H53+Model!H54+Model!H55</f>
        <v>0</v>
      </c>
      <c r="I14" s="68" t="n">
        <f aca="false">Model!I53+Model!I54+Model!I55</f>
        <v>0</v>
      </c>
      <c r="J14" s="68" t="n">
        <f aca="false">Model!J53+Model!J54+Model!J55</f>
        <v>0</v>
      </c>
      <c r="K14" s="68" t="n">
        <f aca="false">Model!K53+Model!K54+Model!K55</f>
        <v>0</v>
      </c>
      <c r="L14" s="68" t="n">
        <f aca="false">Model!L53+Model!L54+Model!L55</f>
        <v>0</v>
      </c>
      <c r="M14" s="68" t="n">
        <f aca="false">Model!M53+Model!M54+Model!M55</f>
        <v>0</v>
      </c>
      <c r="N14" s="68" t="n">
        <f aca="false">Model!N53+Model!N54+Model!N55</f>
        <v>0</v>
      </c>
      <c r="O14" s="68" t="n">
        <f aca="false">Model!O53+Model!O54+Model!O55</f>
        <v>0</v>
      </c>
      <c r="P14" s="68" t="n">
        <f aca="false">Model!P53+Model!P54+Model!P55</f>
        <v>0</v>
      </c>
      <c r="Q14" s="68" t="n">
        <f aca="false">Model!Q53+Model!Q54+Model!Q55</f>
        <v>0</v>
      </c>
      <c r="R14" s="68" t="n">
        <f aca="false">Model!R53+Model!R54+Model!R55</f>
        <v>0</v>
      </c>
      <c r="S14" s="68" t="n">
        <f aca="false">Model!S53+Model!S54+Model!S55</f>
        <v>0</v>
      </c>
      <c r="T14" s="68" t="n">
        <f aca="false">Model!T53+Model!T54+Model!T55</f>
        <v>0</v>
      </c>
      <c r="U14" s="68" t="n">
        <f aca="false">Model!U53+Model!U54+Model!U55</f>
        <v>0</v>
      </c>
      <c r="V14" s="68" t="n">
        <f aca="false">Model!V53+Model!V54+Model!V55</f>
        <v>0</v>
      </c>
      <c r="W14" s="68" t="n">
        <f aca="false">Model!W53+Model!W54+Model!W55</f>
        <v>0</v>
      </c>
      <c r="X14" s="68" t="n">
        <f aca="false">Model!X53+Model!X54+Model!X55</f>
        <v>0</v>
      </c>
      <c r="Y14" s="68" t="n">
        <f aca="false">Model!Y53+Model!Y54+Model!Y55</f>
        <v>0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0</v>
      </c>
      <c r="I20" s="68" t="n">
        <f aca="false">Model!I56+Model!I57+Model!I58</f>
        <v>0</v>
      </c>
      <c r="J20" s="68" t="n">
        <f aca="false">Model!J56+Model!J57+Model!J58</f>
        <v>0</v>
      </c>
      <c r="K20" s="68" t="n">
        <f aca="false">Model!K56+Model!K57+Model!K58</f>
        <v>0</v>
      </c>
      <c r="L20" s="68" t="n">
        <f aca="false">Model!L56+Model!L57+Model!L58</f>
        <v>0</v>
      </c>
      <c r="M20" s="68" t="n">
        <f aca="false">Model!M56+Model!M57+Model!M58</f>
        <v>0</v>
      </c>
      <c r="N20" s="68" t="n">
        <f aca="false">Model!N56+Model!N57+Model!N58</f>
        <v>0</v>
      </c>
      <c r="O20" s="68" t="n">
        <f aca="false">Model!O56+Model!O57+Model!O58</f>
        <v>0</v>
      </c>
      <c r="P20" s="68" t="n">
        <f aca="false">Model!P56+Model!P57+Model!P58</f>
        <v>0</v>
      </c>
      <c r="Q20" s="68" t="n">
        <f aca="false">Model!Q56+Model!Q57+Model!Q58</f>
        <v>0</v>
      </c>
      <c r="R20" s="68" t="n">
        <f aca="false">Model!R56+Model!R57+Model!R58</f>
        <v>0</v>
      </c>
      <c r="S20" s="68" t="n">
        <f aca="false">Model!S56+Model!S57+Model!S58</f>
        <v>0</v>
      </c>
      <c r="T20" s="68" t="n">
        <f aca="false">Model!T56+Model!T57+Model!T58</f>
        <v>0</v>
      </c>
      <c r="U20" s="68" t="n">
        <f aca="false">Model!U56+Model!U57+Model!U58</f>
        <v>0</v>
      </c>
      <c r="V20" s="68" t="n">
        <f aca="false">Model!V56+Model!V57+Model!V58</f>
        <v>0</v>
      </c>
      <c r="W20" s="68" t="n">
        <f aca="false">Model!W56+Model!W57+Model!W58</f>
        <v>0</v>
      </c>
      <c r="X20" s="68" t="n">
        <f aca="false">Model!X56+Model!X57+Model!X58</f>
        <v>0</v>
      </c>
      <c r="Y20" s="68" t="n">
        <f aca="false">Model!Y56+Model!Y57+Model!Y58</f>
        <v>0</v>
      </c>
      <c r="Z20" s="68" t="n">
        <f aca="false">Model!Z56+Model!Z57+Model!Z58</f>
        <v>0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-4338997.1242</v>
      </c>
      <c r="C42" s="89" t="n">
        <f aca="false">'Annual Summary'!C15</f>
        <v>-7558959.1813</v>
      </c>
      <c r="D42" s="89" t="n">
        <f aca="false">'Annual Summary'!D15</f>
        <v>-6547139.396626</v>
      </c>
      <c r="E42" s="89" t="n">
        <f aca="false">'Annual Summary'!E15</f>
        <v>-5307176.13375852</v>
      </c>
      <c r="F42" s="89" t="n">
        <f aca="false">'Annual Summary'!F15</f>
        <v>-5413319.65643369</v>
      </c>
      <c r="G42" s="89" t="n">
        <f aca="false">'Annual Summary'!G15</f>
        <v>-5521586.04956237</v>
      </c>
      <c r="H42" s="89" t="n">
        <f aca="false">'Annual Summary'!H15</f>
        <v>-5632017.77055361</v>
      </c>
      <c r="I42" s="89" t="n">
        <f aca="false">'Annual Summary'!I15</f>
        <v>-1414940.42511445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2276079.57604322</v>
      </c>
      <c r="C43" s="77" t="n">
        <f aca="false">'Annual Summary'!C16</f>
        <v>3123613.14020718</v>
      </c>
      <c r="D43" s="77" t="n">
        <f aca="false">'Annual Summary'!D16</f>
        <v>3412324.56732536</v>
      </c>
      <c r="E43" s="77" t="n">
        <f aca="false">'Annual Summary'!E16</f>
        <v>-1250233.25158149</v>
      </c>
      <c r="F43" s="77" t="n">
        <f aca="false">'Annual Summary'!F16</f>
        <v>-3690209.98976702</v>
      </c>
      <c r="G43" s="77" t="n">
        <f aca="false">'Annual Summary'!G16</f>
        <v>-5521586.04956237</v>
      </c>
      <c r="H43" s="77" t="n">
        <f aca="false">'Annual Summary'!H16</f>
        <v>-5632017.77055361</v>
      </c>
      <c r="I43" s="77" t="n">
        <f aca="false">'Annual Summary'!I16</f>
        <v>-1414940.42511445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-1120081.25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-688002.19</v>
      </c>
      <c r="C50" s="91" t="n">
        <f aca="false">'Annual Summary'!C43</f>
        <v>-3201738.49588545</v>
      </c>
      <c r="D50" s="91" t="n">
        <f aca="false">'Annual Summary'!D43</f>
        <v>-2766367.12378544</v>
      </c>
      <c r="E50" s="91" t="n">
        <f aca="false">'Annual Summary'!E43</f>
        <v>-3375129.51803544</v>
      </c>
      <c r="F50" s="91" t="n">
        <f aca="false">'Annual Summary'!F43</f>
        <v>-4442227.01309845</v>
      </c>
      <c r="G50" s="91" t="n">
        <f aca="false">'Annual Summary'!G43</f>
        <v>-5672267.25703871</v>
      </c>
      <c r="H50" s="91" t="n">
        <f aca="false">'Annual Summary'!H43</f>
        <v>-7041165.55091377</v>
      </c>
      <c r="I50" s="91" t="n">
        <f aca="false">'Annual Summary'!I43</f>
        <v>-7362005.94558217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3927995.26604322</v>
      </c>
      <c r="C52" s="91" t="n">
        <f aca="false">'Annual Summary'!C42</f>
        <v>7051608.4062504</v>
      </c>
      <c r="D52" s="91" t="n">
        <f aca="false">'Annual Summary'!D42</f>
        <v>10463932.9735757</v>
      </c>
      <c r="E52" s="91" t="n">
        <f aca="false">'Annual Summary'!E42</f>
        <v>9213699.72199426</v>
      </c>
      <c r="F52" s="91" t="n">
        <f aca="false">'Annual Summary'!F42</f>
        <v>5523489.73222723</v>
      </c>
      <c r="G52" s="91" t="n">
        <f aca="false">'Annual Summary'!G42</f>
        <v>1903.68266486865</v>
      </c>
      <c r="H52" s="91" t="n">
        <f aca="false">'Annual Summary'!H42</f>
        <v>-5630114.08788874</v>
      </c>
      <c r="I52" s="91" t="n">
        <f aca="false">'Annual Summary'!I42</f>
        <v>-7045054.5130032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3927995.26604322</v>
      </c>
      <c r="C71" s="81" t="n">
        <f aca="false">'Annual Summary'!C42</f>
        <v>7051608.4062504</v>
      </c>
      <c r="D71" s="81" t="n">
        <f aca="false">'Annual Summary'!E42</f>
        <v>9213699.72199426</v>
      </c>
      <c r="E71" s="81" t="n">
        <f aca="false">'Annual Summary'!G42</f>
        <v>1903.68266486865</v>
      </c>
      <c r="F71" s="81" t="n">
        <f aca="false">'Annual Summary'!I42</f>
        <v>-7045054.5130032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-688002.19</v>
      </c>
      <c r="C72" s="97" t="n">
        <f aca="false">'Annual Summary'!C43</f>
        <v>-3201738.49588545</v>
      </c>
      <c r="D72" s="97" t="n">
        <f aca="false">'Annual Summary'!E43</f>
        <v>-3375129.51803544</v>
      </c>
      <c r="E72" s="97" t="n">
        <f aca="false">'Annual Summary'!G43</f>
        <v>-5672267.25703871</v>
      </c>
      <c r="F72" s="97" t="n">
        <f aca="false">'Annual Summary'!I43</f>
        <v>-7362005.94558217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-688002.19</v>
      </c>
      <c r="C100" s="81" t="n">
        <f aca="false">'Annual Summary'!C43</f>
        <v>-3201738.49588545</v>
      </c>
      <c r="D100" s="81" t="n">
        <f aca="false">'Annual Summary'!D43</f>
        <v>-2766367.12378544</v>
      </c>
      <c r="E100" s="81" t="n">
        <f aca="false">'Annual Summary'!E43</f>
        <v>-3375129.51803544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-216949.85621</v>
      </c>
      <c r="C101" s="81" t="n">
        <f aca="false">'Annual Summary'!C15*0.05</f>
        <v>-377947.959065</v>
      </c>
      <c r="D101" s="81" t="n">
        <f aca="false">'Annual Summary'!D15*0.05</f>
        <v>-327356.9698313</v>
      </c>
      <c r="E101" s="81" t="n">
        <f aca="false">'Annual Summary'!E15*0.05</f>
        <v>-265358.806687926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-904952.04621</v>
      </c>
      <c r="C102" s="81" t="n">
        <f aca="false">C100+C101</f>
        <v>-3579686.45495045</v>
      </c>
      <c r="D102" s="81" t="n">
        <f aca="false">D100+D101</f>
        <v>-3093724.09361674</v>
      </c>
      <c r="E102" s="81" t="n">
        <f aca="false">E100+E101</f>
        <v>-3640488.32472337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-904952.04621</v>
      </c>
      <c r="C103" s="69" t="n">
        <f aca="false">C102-C99</f>
        <v>-3579686.45495045</v>
      </c>
      <c r="D103" s="69" t="n">
        <f aca="false">D102-D99</f>
        <v>-3093724.09361674</v>
      </c>
      <c r="E103" s="69" t="n">
        <f aca="false">E102-E99</f>
        <v>-3640488.32472337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278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278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282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282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