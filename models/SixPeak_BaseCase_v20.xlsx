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cma\repos\SixPeak-Board-Portal\models\"/>
    </mc:Choice>
  </mc:AlternateContent>
  <xr:revisionPtr revIDLastSave="0" documentId="13_ncr:1_{900A8A4C-F076-4A7C-9A22-6E38E4800710}" xr6:coauthVersionLast="47" xr6:coauthVersionMax="47" xr10:uidLastSave="{00000000-0000-0000-0000-000000000000}"/>
  <bookViews>
    <workbookView xWindow="32700" yWindow="870" windowWidth="37995" windowHeight="19500" tabRatio="500" activeTab="8" xr2:uid="{00000000-000D-0000-FFFF-FFFF00000000}"/>
  </bookViews>
  <sheets>
    <sheet name="Annual Summary" sheetId="1" r:id="rId1"/>
    <sheet name="Model" sheetId="2" r:id="rId2"/>
    <sheet name="QTR Summary" sheetId="3" r:id="rId3"/>
    <sheet name="Appendix" sheetId="4" state="hidden" r:id="rId4"/>
    <sheet name="Sensitivity" sheetId="5" state="hidden" r:id="rId5"/>
    <sheet name="Curves" sheetId="6" state="hidden" r:id="rId6"/>
    <sheet name="Assumptions" sheetId="7" r:id="rId7"/>
    <sheet name="Projects" sheetId="8" r:id="rId8"/>
    <sheet name="Personnel" sheetId="9" r:id="rId9"/>
    <sheet name="Escalation" sheetId="10" state="hidden" r:id="rId10"/>
    <sheet name="Helpers" sheetId="11" state="hidden" r:id="rId11"/>
    <sheet name="Uplifters" sheetId="12" r:id="rId12"/>
    <sheet name="LIHTC Project P&amp;L" sheetId="13" r:id="rId1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9" i="13" l="1"/>
  <c r="C28" i="13"/>
  <c r="B22" i="13"/>
  <c r="D22" i="13" s="1"/>
  <c r="B21" i="13"/>
  <c r="D21" i="13" s="1"/>
  <c r="B15" i="13"/>
  <c r="D15" i="13" s="1"/>
  <c r="B14" i="13"/>
  <c r="D14" i="13" s="1"/>
  <c r="B13" i="13"/>
  <c r="D9" i="13"/>
  <c r="B8" i="13"/>
  <c r="B7" i="13"/>
  <c r="BS106" i="12"/>
  <c r="O105" i="12"/>
  <c r="O106" i="12" s="1"/>
  <c r="K104" i="12"/>
  <c r="K106" i="12" s="1"/>
  <c r="CH103" i="12"/>
  <c r="CG103" i="12"/>
  <c r="CF103" i="12"/>
  <c r="CE103" i="12"/>
  <c r="CD103" i="12"/>
  <c r="CC103" i="12"/>
  <c r="CB103" i="12"/>
  <c r="CA103" i="12"/>
  <c r="BZ103" i="12"/>
  <c r="BY103" i="12"/>
  <c r="BX103" i="12"/>
  <c r="BW103" i="12"/>
  <c r="BV103" i="12"/>
  <c r="BU103" i="12"/>
  <c r="BT103" i="12"/>
  <c r="BS103" i="12"/>
  <c r="BR103" i="12"/>
  <c r="BQ103" i="12"/>
  <c r="BP103" i="12"/>
  <c r="BO103" i="12"/>
  <c r="BN103" i="12"/>
  <c r="BM103" i="12"/>
  <c r="BL103" i="12"/>
  <c r="BK103" i="12"/>
  <c r="BJ103" i="12"/>
  <c r="BI103" i="12"/>
  <c r="BH103" i="12"/>
  <c r="BG103" i="12"/>
  <c r="BF103" i="12"/>
  <c r="BE103" i="12"/>
  <c r="BD103" i="12"/>
  <c r="BC103" i="12"/>
  <c r="BB103" i="12"/>
  <c r="BA103" i="12"/>
  <c r="AZ103" i="12"/>
  <c r="AY103" i="12"/>
  <c r="AX103" i="12"/>
  <c r="AW103" i="12"/>
  <c r="AV103" i="12"/>
  <c r="AU103" i="12"/>
  <c r="AT103" i="12"/>
  <c r="AS103" i="12"/>
  <c r="AR103" i="12"/>
  <c r="AQ103" i="12"/>
  <c r="AP103" i="12"/>
  <c r="AO103" i="12"/>
  <c r="AN103" i="12"/>
  <c r="AM103" i="12"/>
  <c r="AL103" i="12"/>
  <c r="AK103" i="12"/>
  <c r="AJ103" i="12"/>
  <c r="AI103" i="12"/>
  <c r="AH103" i="12"/>
  <c r="AG103" i="12"/>
  <c r="AF103" i="12"/>
  <c r="AE103" i="12"/>
  <c r="AD103" i="12"/>
  <c r="AC103" i="12"/>
  <c r="AB103" i="12"/>
  <c r="AA103" i="12"/>
  <c r="Z103" i="12"/>
  <c r="Y103" i="12"/>
  <c r="X103" i="12"/>
  <c r="W103" i="12"/>
  <c r="V103" i="12"/>
  <c r="U103" i="12"/>
  <c r="T103" i="12"/>
  <c r="S103" i="12"/>
  <c r="R103" i="12"/>
  <c r="Q103" i="12"/>
  <c r="P103" i="12"/>
  <c r="O103" i="12"/>
  <c r="N103" i="12"/>
  <c r="M103" i="12"/>
  <c r="L103" i="12"/>
  <c r="K103" i="12"/>
  <c r="J103" i="12"/>
  <c r="J107" i="12" s="1"/>
  <c r="I103" i="12"/>
  <c r="H103" i="12"/>
  <c r="G103" i="12"/>
  <c r="F103" i="12"/>
  <c r="E103" i="12"/>
  <c r="D103" i="12"/>
  <c r="C103" i="12"/>
  <c r="CH102" i="12"/>
  <c r="CH104" i="12" s="1"/>
  <c r="CG102" i="12"/>
  <c r="CG104" i="12" s="1"/>
  <c r="CF102" i="12"/>
  <c r="CF104" i="12" s="1"/>
  <c r="CE102" i="12"/>
  <c r="CE104" i="12" s="1"/>
  <c r="CE105" i="12" s="1"/>
  <c r="CD102" i="12"/>
  <c r="CC102" i="12"/>
  <c r="CB102" i="12"/>
  <c r="CA102" i="12"/>
  <c r="CA104" i="12" s="1"/>
  <c r="CA105" i="12" s="1"/>
  <c r="BZ102" i="12"/>
  <c r="BZ104" i="12" s="1"/>
  <c r="BY102" i="12"/>
  <c r="BY104" i="12" s="1"/>
  <c r="BX102" i="12"/>
  <c r="BX104" i="12" s="1"/>
  <c r="BX105" i="12" s="1"/>
  <c r="BW102" i="12"/>
  <c r="BV102" i="12"/>
  <c r="BU102" i="12"/>
  <c r="BT102" i="12"/>
  <c r="BS102" i="12"/>
  <c r="BS104" i="12" s="1"/>
  <c r="BS105" i="12" s="1"/>
  <c r="BR102" i="12"/>
  <c r="BR104" i="12" s="1"/>
  <c r="BQ102" i="12"/>
  <c r="BQ104" i="12" s="1"/>
  <c r="BP102" i="12"/>
  <c r="BP104" i="12" s="1"/>
  <c r="BO102" i="12"/>
  <c r="BN102" i="12"/>
  <c r="BM102" i="12"/>
  <c r="BL102" i="12"/>
  <c r="BK102" i="12"/>
  <c r="BK104" i="12" s="1"/>
  <c r="BK105" i="12" s="1"/>
  <c r="BJ102" i="12"/>
  <c r="BJ104" i="12" s="1"/>
  <c r="BI102" i="12"/>
  <c r="BH102" i="12"/>
  <c r="BH104" i="12" s="1"/>
  <c r="BH105" i="12" s="1"/>
  <c r="BG102" i="12"/>
  <c r="BF102" i="12"/>
  <c r="BE102" i="12"/>
  <c r="BD102" i="12"/>
  <c r="BC102" i="12"/>
  <c r="BC104" i="12" s="1"/>
  <c r="BC105" i="12" s="1"/>
  <c r="BB102" i="12"/>
  <c r="BB104" i="12" s="1"/>
  <c r="BA102" i="12"/>
  <c r="BA104" i="12" s="1"/>
  <c r="AZ102" i="12"/>
  <c r="AZ104" i="12" s="1"/>
  <c r="AY102" i="12"/>
  <c r="AX102" i="12"/>
  <c r="AW102" i="12"/>
  <c r="AV102" i="12"/>
  <c r="AU102" i="12"/>
  <c r="AU104" i="12" s="1"/>
  <c r="AU105" i="12" s="1"/>
  <c r="AT102" i="12"/>
  <c r="AT104" i="12" s="1"/>
  <c r="AS102" i="12"/>
  <c r="AS104" i="12" s="1"/>
  <c r="AR102" i="12"/>
  <c r="AR104" i="12" s="1"/>
  <c r="AQ102" i="12"/>
  <c r="AP102" i="12"/>
  <c r="AO102" i="12"/>
  <c r="AN102" i="12"/>
  <c r="AM102" i="12"/>
  <c r="AM104" i="12" s="1"/>
  <c r="AM105" i="12" s="1"/>
  <c r="AL102" i="12"/>
  <c r="AL104" i="12" s="1"/>
  <c r="AK102" i="12"/>
  <c r="AJ102" i="12"/>
  <c r="AJ104" i="12" s="1"/>
  <c r="AI102" i="12"/>
  <c r="AH102" i="12"/>
  <c r="AG102" i="12"/>
  <c r="AF102" i="12"/>
  <c r="AE102" i="12"/>
  <c r="AE104" i="12" s="1"/>
  <c r="AE105" i="12" s="1"/>
  <c r="AE106" i="12" s="1"/>
  <c r="AD102" i="12"/>
  <c r="AD104" i="12" s="1"/>
  <c r="AC102" i="12"/>
  <c r="AB102" i="12"/>
  <c r="AB104" i="12" s="1"/>
  <c r="AA102" i="12"/>
  <c r="Z102" i="12"/>
  <c r="Y102" i="12"/>
  <c r="X102" i="12"/>
  <c r="W102" i="12"/>
  <c r="W104" i="12" s="1"/>
  <c r="W105" i="12" s="1"/>
  <c r="V102" i="12"/>
  <c r="V104" i="12" s="1"/>
  <c r="U102" i="12"/>
  <c r="T102" i="12"/>
  <c r="T104" i="12" s="1"/>
  <c r="S102" i="12"/>
  <c r="R102" i="12"/>
  <c r="Q102" i="12"/>
  <c r="P102" i="12"/>
  <c r="O102" i="12"/>
  <c r="O104" i="12" s="1"/>
  <c r="N102" i="12"/>
  <c r="N104" i="12" s="1"/>
  <c r="M102" i="12"/>
  <c r="L102" i="12"/>
  <c r="K102" i="12"/>
  <c r="J102" i="12"/>
  <c r="J104" i="12" s="1"/>
  <c r="J106" i="12" s="1"/>
  <c r="I102" i="12"/>
  <c r="H102" i="12"/>
  <c r="G102" i="12"/>
  <c r="G104" i="12" s="1"/>
  <c r="G106" i="12" s="1"/>
  <c r="F102" i="12"/>
  <c r="F104" i="12" s="1"/>
  <c r="F106" i="12" s="1"/>
  <c r="E102" i="12"/>
  <c r="D102" i="12"/>
  <c r="D104" i="12" s="1"/>
  <c r="D106" i="12" s="1"/>
  <c r="C102" i="12"/>
  <c r="B101" i="12"/>
  <c r="B100" i="12"/>
  <c r="B99" i="12"/>
  <c r="G47" i="12"/>
  <c r="G46" i="12"/>
  <c r="G45" i="12"/>
  <c r="G48" i="12" s="1"/>
  <c r="G44" i="12"/>
  <c r="C22" i="12"/>
  <c r="J20" i="12"/>
  <c r="J18" i="12"/>
  <c r="I18" i="12"/>
  <c r="H18" i="12"/>
  <c r="G18" i="12"/>
  <c r="F18" i="12"/>
  <c r="E18" i="12"/>
  <c r="D18" i="12"/>
  <c r="C18" i="12"/>
  <c r="J17" i="12"/>
  <c r="I17" i="12"/>
  <c r="H17" i="12"/>
  <c r="G17" i="12"/>
  <c r="F17" i="12"/>
  <c r="E17" i="12"/>
  <c r="D17" i="12"/>
  <c r="C17" i="12"/>
  <c r="J16" i="12"/>
  <c r="I16" i="12"/>
  <c r="H16" i="12"/>
  <c r="G16" i="12"/>
  <c r="F16" i="12"/>
  <c r="E16" i="12"/>
  <c r="D16" i="12"/>
  <c r="C16" i="12"/>
  <c r="C25" i="11"/>
  <c r="C23" i="11"/>
  <c r="C22" i="11"/>
  <c r="C19" i="11"/>
  <c r="C20" i="11" s="1"/>
  <c r="C21" i="11" s="1"/>
  <c r="D19" i="11" s="1"/>
  <c r="CH15" i="11"/>
  <c r="CG15" i="11"/>
  <c r="CG140" i="2" s="1"/>
  <c r="CF15" i="11"/>
  <c r="CF140" i="2" s="1"/>
  <c r="CE15" i="11"/>
  <c r="CD15" i="11"/>
  <c r="CC15" i="11"/>
  <c r="CB15" i="11"/>
  <c r="CA15" i="11"/>
  <c r="BZ15" i="11"/>
  <c r="BY15" i="11"/>
  <c r="BY140" i="2" s="1"/>
  <c r="BX15" i="11"/>
  <c r="BX140" i="2" s="1"/>
  <c r="BW15" i="11"/>
  <c r="BV15" i="11"/>
  <c r="BU15" i="11"/>
  <c r="BT15" i="11"/>
  <c r="BS15" i="11"/>
  <c r="BR15" i="11"/>
  <c r="BQ15" i="11"/>
  <c r="BQ140" i="2" s="1"/>
  <c r="BP15" i="11"/>
  <c r="BP140" i="2" s="1"/>
  <c r="BO15" i="11"/>
  <c r="BN15" i="11"/>
  <c r="BM15" i="11"/>
  <c r="BL15" i="11"/>
  <c r="BK15" i="11"/>
  <c r="BJ15" i="11"/>
  <c r="BI15" i="11"/>
  <c r="BI140" i="2" s="1"/>
  <c r="BH15" i="11"/>
  <c r="BH140" i="2" s="1"/>
  <c r="BG15" i="11"/>
  <c r="BF15" i="11"/>
  <c r="BE15" i="11"/>
  <c r="BD15" i="11"/>
  <c r="BC15" i="11"/>
  <c r="BB15" i="11"/>
  <c r="BA15" i="11"/>
  <c r="BA140" i="2" s="1"/>
  <c r="AZ15" i="11"/>
  <c r="AZ140" i="2" s="1"/>
  <c r="AY15" i="11"/>
  <c r="AX15" i="11"/>
  <c r="AW15" i="11"/>
  <c r="AV15" i="11"/>
  <c r="AU15" i="11"/>
  <c r="AT15" i="11"/>
  <c r="AS15" i="11"/>
  <c r="AS140" i="2" s="1"/>
  <c r="AR15" i="11"/>
  <c r="AR140" i="2" s="1"/>
  <c r="AQ15" i="11"/>
  <c r="AP15" i="11"/>
  <c r="AO15" i="11"/>
  <c r="AN15" i="11"/>
  <c r="AM15" i="11"/>
  <c r="AL15" i="11"/>
  <c r="AK15" i="11"/>
  <c r="AK140" i="2" s="1"/>
  <c r="AJ15" i="11"/>
  <c r="AJ140" i="2" s="1"/>
  <c r="AI15" i="11"/>
  <c r="AH15" i="11"/>
  <c r="AG15" i="11"/>
  <c r="AF15" i="11"/>
  <c r="AE15" i="11"/>
  <c r="AD15" i="11"/>
  <c r="AC15" i="11"/>
  <c r="AC140" i="2" s="1"/>
  <c r="AB15" i="11"/>
  <c r="AB140" i="2" s="1"/>
  <c r="AA15" i="11"/>
  <c r="Z15" i="11"/>
  <c r="Y15" i="11"/>
  <c r="X15" i="11"/>
  <c r="W15" i="11"/>
  <c r="V15" i="11"/>
  <c r="U15" i="11"/>
  <c r="U140" i="2" s="1"/>
  <c r="T15" i="11"/>
  <c r="T140" i="2" s="1"/>
  <c r="S15" i="11"/>
  <c r="R15" i="11"/>
  <c r="Q15" i="11"/>
  <c r="P15" i="11"/>
  <c r="O15" i="11"/>
  <c r="N15" i="11"/>
  <c r="M15" i="11"/>
  <c r="M140" i="2" s="1"/>
  <c r="L15" i="11"/>
  <c r="L140" i="2" s="1"/>
  <c r="K15" i="11"/>
  <c r="J15" i="11"/>
  <c r="I15" i="11"/>
  <c r="H15" i="11"/>
  <c r="G15" i="11"/>
  <c r="F15" i="11"/>
  <c r="E15" i="11"/>
  <c r="E140" i="2" s="1"/>
  <c r="D15" i="11"/>
  <c r="D140" i="2" s="1"/>
  <c r="C15" i="11"/>
  <c r="CH14" i="11"/>
  <c r="CG14" i="11"/>
  <c r="CF14" i="11"/>
  <c r="CE14" i="11"/>
  <c r="CD14" i="11"/>
  <c r="CC14" i="11"/>
  <c r="CC139" i="2" s="1"/>
  <c r="CB14" i="11"/>
  <c r="CB139" i="2" s="1"/>
  <c r="CA14" i="11"/>
  <c r="BZ14" i="11"/>
  <c r="BY14" i="11"/>
  <c r="BX14" i="11"/>
  <c r="BW14" i="11"/>
  <c r="BV14" i="11"/>
  <c r="BU14" i="11"/>
  <c r="BU139" i="2" s="1"/>
  <c r="BT14" i="11"/>
  <c r="BT139" i="2" s="1"/>
  <c r="BS14" i="11"/>
  <c r="BR14" i="11"/>
  <c r="BQ14" i="11"/>
  <c r="BP14" i="11"/>
  <c r="BO14" i="11"/>
  <c r="BN14" i="11"/>
  <c r="BM14" i="11"/>
  <c r="BM139" i="2" s="1"/>
  <c r="BL14" i="11"/>
  <c r="BL139" i="2" s="1"/>
  <c r="BK14" i="11"/>
  <c r="BJ14" i="11"/>
  <c r="BI14" i="11"/>
  <c r="BH14" i="11"/>
  <c r="BG14" i="11"/>
  <c r="BF14" i="11"/>
  <c r="BE14" i="11"/>
  <c r="BE139" i="2" s="1"/>
  <c r="BD14" i="11"/>
  <c r="BD139" i="2" s="1"/>
  <c r="BC14" i="11"/>
  <c r="BB14" i="11"/>
  <c r="BA14" i="11"/>
  <c r="AZ14" i="11"/>
  <c r="AY14" i="11"/>
  <c r="AX14" i="11"/>
  <c r="AW14" i="11"/>
  <c r="AW139" i="2" s="1"/>
  <c r="AV14" i="11"/>
  <c r="AV139" i="2" s="1"/>
  <c r="AU14" i="11"/>
  <c r="AT14" i="11"/>
  <c r="AS14" i="11"/>
  <c r="AR14" i="11"/>
  <c r="AQ14" i="11"/>
  <c r="AP14" i="11"/>
  <c r="AO14" i="11"/>
  <c r="AO139" i="2" s="1"/>
  <c r="AN14" i="11"/>
  <c r="AN139" i="2" s="1"/>
  <c r="AM14" i="11"/>
  <c r="AL14" i="11"/>
  <c r="AK14" i="11"/>
  <c r="AJ14" i="11"/>
  <c r="AI14" i="11"/>
  <c r="AH14" i="11"/>
  <c r="AG14" i="11"/>
  <c r="AG139" i="2" s="1"/>
  <c r="AF14" i="11"/>
  <c r="AF139" i="2" s="1"/>
  <c r="AE14" i="11"/>
  <c r="AD14" i="11"/>
  <c r="AC14" i="11"/>
  <c r="AB14" i="11"/>
  <c r="AA14" i="11"/>
  <c r="Z14" i="11"/>
  <c r="Y14" i="11"/>
  <c r="Y139" i="2" s="1"/>
  <c r="X14" i="11"/>
  <c r="X139" i="2" s="1"/>
  <c r="W14" i="11"/>
  <c r="V14" i="11"/>
  <c r="U14" i="11"/>
  <c r="T14" i="11"/>
  <c r="S14" i="11"/>
  <c r="R14" i="11"/>
  <c r="Q14" i="11"/>
  <c r="Q139" i="2" s="1"/>
  <c r="P14" i="11"/>
  <c r="P139" i="2" s="1"/>
  <c r="O14" i="11"/>
  <c r="N14" i="11"/>
  <c r="M14" i="11"/>
  <c r="L14" i="11"/>
  <c r="K14" i="11"/>
  <c r="J14" i="11"/>
  <c r="I14" i="11"/>
  <c r="I139" i="2" s="1"/>
  <c r="H14" i="11"/>
  <c r="H139" i="2" s="1"/>
  <c r="G14" i="11"/>
  <c r="F14" i="11"/>
  <c r="E14" i="11"/>
  <c r="D14" i="11"/>
  <c r="C14" i="11"/>
  <c r="CH13" i="11"/>
  <c r="CG13" i="11"/>
  <c r="CG138" i="2" s="1"/>
  <c r="CF13" i="11"/>
  <c r="CF138" i="2" s="1"/>
  <c r="CE13" i="11"/>
  <c r="CD13" i="11"/>
  <c r="CC13" i="11"/>
  <c r="CB13" i="11"/>
  <c r="CA13" i="11"/>
  <c r="BZ13" i="11"/>
  <c r="BY13" i="11"/>
  <c r="BY138" i="2" s="1"/>
  <c r="BX13" i="11"/>
  <c r="BX138" i="2" s="1"/>
  <c r="BW13" i="11"/>
  <c r="BV13" i="11"/>
  <c r="BU13" i="11"/>
  <c r="BT13" i="11"/>
  <c r="BS13" i="11"/>
  <c r="BR13" i="11"/>
  <c r="BQ13" i="11"/>
  <c r="BQ138" i="2" s="1"/>
  <c r="BP13" i="11"/>
  <c r="BP138" i="2" s="1"/>
  <c r="BO13" i="11"/>
  <c r="BN13" i="11"/>
  <c r="BM13" i="11"/>
  <c r="BL13" i="11"/>
  <c r="BK13" i="11"/>
  <c r="BJ13" i="11"/>
  <c r="BI13" i="11"/>
  <c r="BI138" i="2" s="1"/>
  <c r="BH13" i="11"/>
  <c r="BH138" i="2" s="1"/>
  <c r="BG13" i="11"/>
  <c r="BF13" i="11"/>
  <c r="BE13" i="11"/>
  <c r="BD13" i="11"/>
  <c r="BC13" i="11"/>
  <c r="BB13" i="11"/>
  <c r="BA13" i="11"/>
  <c r="BA138" i="2" s="1"/>
  <c r="AZ13" i="11"/>
  <c r="AZ138" i="2" s="1"/>
  <c r="AY13" i="11"/>
  <c r="AX13" i="11"/>
  <c r="AW13" i="11"/>
  <c r="AV13" i="11"/>
  <c r="AU13" i="11"/>
  <c r="AT13" i="11"/>
  <c r="AS13" i="11"/>
  <c r="AS138" i="2" s="1"/>
  <c r="AR13" i="11"/>
  <c r="AR138" i="2" s="1"/>
  <c r="AQ13" i="11"/>
  <c r="AP13" i="11"/>
  <c r="AO13" i="11"/>
  <c r="AN13" i="11"/>
  <c r="AM13" i="11"/>
  <c r="AL13" i="11"/>
  <c r="AK13" i="11"/>
  <c r="AK138" i="2" s="1"/>
  <c r="AJ13" i="11"/>
  <c r="AJ138" i="2" s="1"/>
  <c r="AI13" i="11"/>
  <c r="AH13" i="11"/>
  <c r="AG13" i="11"/>
  <c r="AF13" i="11"/>
  <c r="AE13" i="11"/>
  <c r="AD13" i="11"/>
  <c r="AC13" i="11"/>
  <c r="AC138" i="2" s="1"/>
  <c r="AB13" i="11"/>
  <c r="AB138" i="2" s="1"/>
  <c r="AA13" i="11"/>
  <c r="Z13" i="11"/>
  <c r="Y13" i="11"/>
  <c r="X13" i="11"/>
  <c r="W13" i="11"/>
  <c r="V13" i="11"/>
  <c r="U13" i="11"/>
  <c r="U138" i="2" s="1"/>
  <c r="T13" i="11"/>
  <c r="T138" i="2" s="1"/>
  <c r="S13" i="11"/>
  <c r="R13" i="11"/>
  <c r="Q13" i="11"/>
  <c r="P13" i="11"/>
  <c r="O13" i="11"/>
  <c r="N13" i="11"/>
  <c r="M13" i="11"/>
  <c r="M138" i="2" s="1"/>
  <c r="L13" i="11"/>
  <c r="L138" i="2" s="1"/>
  <c r="K13" i="11"/>
  <c r="J13" i="11"/>
  <c r="I13" i="11"/>
  <c r="H13" i="11"/>
  <c r="G13" i="11"/>
  <c r="F13" i="11"/>
  <c r="E13" i="11"/>
  <c r="E138" i="2" s="1"/>
  <c r="D13" i="11"/>
  <c r="D138" i="2" s="1"/>
  <c r="C13" i="11"/>
  <c r="CH12" i="11"/>
  <c r="CG12" i="11"/>
  <c r="CF12" i="11"/>
  <c r="CE12" i="11"/>
  <c r="CD12" i="11"/>
  <c r="CC12" i="11"/>
  <c r="CC137" i="2" s="1"/>
  <c r="CB12" i="11"/>
  <c r="CB137" i="2" s="1"/>
  <c r="CA12" i="11"/>
  <c r="BZ12" i="11"/>
  <c r="BY12" i="11"/>
  <c r="BX12" i="11"/>
  <c r="BW12" i="11"/>
  <c r="BV12" i="11"/>
  <c r="BU12" i="11"/>
  <c r="BU137" i="2" s="1"/>
  <c r="BT12" i="11"/>
  <c r="BT137" i="2" s="1"/>
  <c r="BS12" i="11"/>
  <c r="BR12" i="11"/>
  <c r="BQ12" i="11"/>
  <c r="BP12" i="11"/>
  <c r="BO12" i="11"/>
  <c r="BN12" i="11"/>
  <c r="BM12" i="11"/>
  <c r="BM137" i="2" s="1"/>
  <c r="BL12" i="11"/>
  <c r="BL137" i="2" s="1"/>
  <c r="BK12" i="11"/>
  <c r="BJ12" i="11"/>
  <c r="BI12" i="11"/>
  <c r="BH12" i="11"/>
  <c r="BG12" i="11"/>
  <c r="BF12" i="11"/>
  <c r="BE12" i="11"/>
  <c r="BE137" i="2" s="1"/>
  <c r="BD12" i="11"/>
  <c r="BD137" i="2" s="1"/>
  <c r="BC12" i="11"/>
  <c r="BB12" i="11"/>
  <c r="BA12" i="11"/>
  <c r="AZ12" i="11"/>
  <c r="AY12" i="11"/>
  <c r="AX12" i="11"/>
  <c r="AW12" i="11"/>
  <c r="AW137" i="2" s="1"/>
  <c r="AV12" i="11"/>
  <c r="AV137" i="2" s="1"/>
  <c r="AU12" i="11"/>
  <c r="AT12" i="11"/>
  <c r="AS12" i="11"/>
  <c r="AR12" i="11"/>
  <c r="AQ12" i="11"/>
  <c r="AP12" i="11"/>
  <c r="AO12" i="11"/>
  <c r="AO137" i="2" s="1"/>
  <c r="AN12" i="11"/>
  <c r="AN137" i="2" s="1"/>
  <c r="AM12" i="11"/>
  <c r="AL12" i="11"/>
  <c r="AK12" i="11"/>
  <c r="AJ12" i="11"/>
  <c r="AI12" i="11"/>
  <c r="AH12" i="11"/>
  <c r="AG12" i="11"/>
  <c r="AG137" i="2" s="1"/>
  <c r="AF12" i="11"/>
  <c r="AF137" i="2" s="1"/>
  <c r="AE12" i="11"/>
  <c r="AD12" i="11"/>
  <c r="AC12" i="11"/>
  <c r="AB12" i="11"/>
  <c r="AA12" i="11"/>
  <c r="Z12" i="11"/>
  <c r="Y12" i="11"/>
  <c r="Y137" i="2" s="1"/>
  <c r="X12" i="11"/>
  <c r="X137" i="2" s="1"/>
  <c r="W12" i="11"/>
  <c r="V12" i="11"/>
  <c r="U12" i="11"/>
  <c r="T12" i="11"/>
  <c r="S12" i="11"/>
  <c r="R12" i="11"/>
  <c r="Q12" i="11"/>
  <c r="Q137" i="2" s="1"/>
  <c r="P12" i="11"/>
  <c r="P137" i="2" s="1"/>
  <c r="O12" i="11"/>
  <c r="N12" i="11"/>
  <c r="M12" i="11"/>
  <c r="L12" i="11"/>
  <c r="K12" i="11"/>
  <c r="J12" i="11"/>
  <c r="I12" i="11"/>
  <c r="I137" i="2" s="1"/>
  <c r="H12" i="11"/>
  <c r="H137" i="2" s="1"/>
  <c r="G12" i="11"/>
  <c r="F12" i="11"/>
  <c r="E12" i="11"/>
  <c r="D12" i="11"/>
  <c r="C12" i="11"/>
  <c r="CH11" i="11"/>
  <c r="CG11" i="11"/>
  <c r="CG136" i="2" s="1"/>
  <c r="CF11" i="11"/>
  <c r="CF136" i="2" s="1"/>
  <c r="CE11" i="11"/>
  <c r="CD11" i="11"/>
  <c r="CC11" i="11"/>
  <c r="CB11" i="11"/>
  <c r="CA11" i="11"/>
  <c r="BZ11" i="11"/>
  <c r="BY11" i="11"/>
  <c r="BY136" i="2" s="1"/>
  <c r="BX11" i="11"/>
  <c r="BX136" i="2" s="1"/>
  <c r="BW11" i="11"/>
  <c r="BV11" i="11"/>
  <c r="BU11" i="11"/>
  <c r="BT11" i="11"/>
  <c r="BS11" i="11"/>
  <c r="BR11" i="11"/>
  <c r="BQ11" i="11"/>
  <c r="BQ136" i="2" s="1"/>
  <c r="BP11" i="11"/>
  <c r="BP136" i="2" s="1"/>
  <c r="BO11" i="11"/>
  <c r="BN11" i="11"/>
  <c r="BM11" i="11"/>
  <c r="BL11" i="11"/>
  <c r="BK11" i="11"/>
  <c r="BJ11" i="11"/>
  <c r="BI11" i="11"/>
  <c r="BI136" i="2" s="1"/>
  <c r="BH11" i="11"/>
  <c r="BH136" i="2" s="1"/>
  <c r="BG11" i="11"/>
  <c r="BF11" i="11"/>
  <c r="BE11" i="11"/>
  <c r="BD11" i="11"/>
  <c r="BC11" i="11"/>
  <c r="BB11" i="11"/>
  <c r="BA11" i="11"/>
  <c r="BA136" i="2" s="1"/>
  <c r="AZ11" i="11"/>
  <c r="AZ136" i="2" s="1"/>
  <c r="AY11" i="11"/>
  <c r="AX11" i="11"/>
  <c r="AW11" i="11"/>
  <c r="AV11" i="11"/>
  <c r="AU11" i="11"/>
  <c r="AT11" i="11"/>
  <c r="AS11" i="11"/>
  <c r="AS136" i="2" s="1"/>
  <c r="AR11" i="11"/>
  <c r="AR136" i="2" s="1"/>
  <c r="AQ11" i="11"/>
  <c r="AP11" i="11"/>
  <c r="AO11" i="11"/>
  <c r="AN11" i="11"/>
  <c r="AM11" i="11"/>
  <c r="AL11" i="11"/>
  <c r="AK11" i="11"/>
  <c r="AK136" i="2" s="1"/>
  <c r="AJ11" i="11"/>
  <c r="AJ136" i="2" s="1"/>
  <c r="AI11" i="11"/>
  <c r="AH11" i="11"/>
  <c r="AG11" i="11"/>
  <c r="AF11" i="11"/>
  <c r="AE11" i="11"/>
  <c r="AD11" i="11"/>
  <c r="AC11" i="11"/>
  <c r="AC136" i="2" s="1"/>
  <c r="AB11" i="11"/>
  <c r="AB136" i="2" s="1"/>
  <c r="AA11" i="11"/>
  <c r="Z11" i="11"/>
  <c r="Y11" i="11"/>
  <c r="X11" i="11"/>
  <c r="W11" i="11"/>
  <c r="V11" i="11"/>
  <c r="U11" i="11"/>
  <c r="U136" i="2" s="1"/>
  <c r="T11" i="11"/>
  <c r="T136" i="2" s="1"/>
  <c r="S11" i="11"/>
  <c r="R11" i="11"/>
  <c r="Q11" i="11"/>
  <c r="P11" i="11"/>
  <c r="O11" i="11"/>
  <c r="N11" i="11"/>
  <c r="M11" i="11"/>
  <c r="M136" i="2" s="1"/>
  <c r="L11" i="11"/>
  <c r="L136" i="2" s="1"/>
  <c r="K11" i="11"/>
  <c r="J11" i="11"/>
  <c r="I11" i="11"/>
  <c r="H11" i="11"/>
  <c r="G11" i="11"/>
  <c r="F11" i="11"/>
  <c r="E11" i="11"/>
  <c r="E136" i="2" s="1"/>
  <c r="D11" i="11"/>
  <c r="D136" i="2" s="1"/>
  <c r="C11" i="11"/>
  <c r="CH10" i="11"/>
  <c r="CG10" i="11"/>
  <c r="CF10" i="11"/>
  <c r="CE10" i="11"/>
  <c r="CD10" i="11"/>
  <c r="CC10" i="11"/>
  <c r="CC135" i="2" s="1"/>
  <c r="CB10" i="11"/>
  <c r="CB135" i="2" s="1"/>
  <c r="CA10" i="11"/>
  <c r="BZ10" i="11"/>
  <c r="BY10" i="11"/>
  <c r="BX10" i="11"/>
  <c r="BW10" i="11"/>
  <c r="BV10" i="11"/>
  <c r="BU10" i="11"/>
  <c r="BU135" i="2" s="1"/>
  <c r="BT10" i="11"/>
  <c r="BT135" i="2" s="1"/>
  <c r="BS10" i="11"/>
  <c r="BR10" i="11"/>
  <c r="BQ10" i="11"/>
  <c r="BP10" i="11"/>
  <c r="BO10" i="11"/>
  <c r="BN10" i="11"/>
  <c r="BM10" i="11"/>
  <c r="BM135" i="2" s="1"/>
  <c r="BL10" i="11"/>
  <c r="BL135" i="2" s="1"/>
  <c r="BK10" i="11"/>
  <c r="BJ10" i="11"/>
  <c r="BI10" i="11"/>
  <c r="BH10" i="11"/>
  <c r="BG10" i="11"/>
  <c r="BF10" i="11"/>
  <c r="BE10" i="11"/>
  <c r="BE135" i="2" s="1"/>
  <c r="BD10" i="11"/>
  <c r="BD135" i="2" s="1"/>
  <c r="BC10" i="11"/>
  <c r="BB10" i="11"/>
  <c r="BA10" i="11"/>
  <c r="AZ10" i="11"/>
  <c r="AY10" i="11"/>
  <c r="AX10" i="11"/>
  <c r="AW10" i="11"/>
  <c r="AW135" i="2" s="1"/>
  <c r="AV10" i="11"/>
  <c r="AV135" i="2" s="1"/>
  <c r="AU10" i="11"/>
  <c r="AT10" i="11"/>
  <c r="AS10" i="11"/>
  <c r="AR10" i="11"/>
  <c r="AQ10" i="11"/>
  <c r="AP10" i="11"/>
  <c r="AO10" i="11"/>
  <c r="AO135" i="2" s="1"/>
  <c r="AN10" i="11"/>
  <c r="AN135" i="2" s="1"/>
  <c r="AM10" i="11"/>
  <c r="AL10" i="11"/>
  <c r="AK10" i="11"/>
  <c r="AJ10" i="11"/>
  <c r="AI10" i="11"/>
  <c r="AH10" i="11"/>
  <c r="AG10" i="11"/>
  <c r="AG135" i="2" s="1"/>
  <c r="AF10" i="11"/>
  <c r="AF135" i="2" s="1"/>
  <c r="AE10" i="11"/>
  <c r="AD10" i="11"/>
  <c r="AC10" i="11"/>
  <c r="AB10" i="11"/>
  <c r="AA10" i="11"/>
  <c r="Z10" i="11"/>
  <c r="Y10" i="11"/>
  <c r="Y135" i="2" s="1"/>
  <c r="X10" i="11"/>
  <c r="X135" i="2" s="1"/>
  <c r="W10" i="11"/>
  <c r="V10" i="11"/>
  <c r="U10" i="11"/>
  <c r="T10" i="11"/>
  <c r="S10" i="11"/>
  <c r="R10" i="11"/>
  <c r="Q10" i="11"/>
  <c r="Q135" i="2" s="1"/>
  <c r="P10" i="11"/>
  <c r="P135" i="2" s="1"/>
  <c r="O10" i="11"/>
  <c r="N10" i="11"/>
  <c r="M10" i="11"/>
  <c r="L10" i="11"/>
  <c r="K10" i="11"/>
  <c r="J10" i="11"/>
  <c r="I10" i="11"/>
  <c r="I135" i="2" s="1"/>
  <c r="H10" i="11"/>
  <c r="H135" i="2" s="1"/>
  <c r="G10" i="11"/>
  <c r="F10" i="11"/>
  <c r="E10" i="11"/>
  <c r="D10" i="11"/>
  <c r="C10" i="11"/>
  <c r="CH9" i="11"/>
  <c r="CG9" i="11"/>
  <c r="CG134" i="2" s="1"/>
  <c r="CF9" i="11"/>
  <c r="CF134" i="2" s="1"/>
  <c r="CE9" i="11"/>
  <c r="CD9" i="11"/>
  <c r="CC9" i="11"/>
  <c r="CB9" i="11"/>
  <c r="CA9" i="11"/>
  <c r="BZ9" i="11"/>
  <c r="BY9" i="11"/>
  <c r="BY134" i="2" s="1"/>
  <c r="BX9" i="11"/>
  <c r="BW9" i="11"/>
  <c r="BV9" i="11"/>
  <c r="BU9" i="11"/>
  <c r="BT9" i="11"/>
  <c r="BS9" i="11"/>
  <c r="BR9" i="11"/>
  <c r="BQ9" i="11"/>
  <c r="BQ134" i="2" s="1"/>
  <c r="BP9" i="11"/>
  <c r="BP134" i="2" s="1"/>
  <c r="BO9" i="11"/>
  <c r="BN9" i="11"/>
  <c r="BM9" i="11"/>
  <c r="BL9" i="11"/>
  <c r="BK9" i="11"/>
  <c r="BJ9" i="11"/>
  <c r="BI9" i="11"/>
  <c r="BI134" i="2" s="1"/>
  <c r="BH9" i="11"/>
  <c r="BG9" i="11"/>
  <c r="BF9" i="11"/>
  <c r="BE9" i="11"/>
  <c r="BD9" i="11"/>
  <c r="BC9" i="11"/>
  <c r="BB9" i="11"/>
  <c r="BA9" i="11"/>
  <c r="BA134" i="2" s="1"/>
  <c r="AZ9" i="11"/>
  <c r="AZ134" i="2" s="1"/>
  <c r="AY9" i="11"/>
  <c r="AX9" i="11"/>
  <c r="AW9" i="11"/>
  <c r="AV9" i="11"/>
  <c r="AU9" i="11"/>
  <c r="AT9" i="11"/>
  <c r="AS9" i="11"/>
  <c r="AS134" i="2" s="1"/>
  <c r="AR9" i="11"/>
  <c r="AR134" i="2" s="1"/>
  <c r="AQ9" i="11"/>
  <c r="AP9" i="11"/>
  <c r="AO9" i="11"/>
  <c r="AN9" i="11"/>
  <c r="AM9" i="11"/>
  <c r="AL9" i="11"/>
  <c r="AK9" i="11"/>
  <c r="AK134" i="2" s="1"/>
  <c r="AJ9" i="11"/>
  <c r="AJ134" i="2" s="1"/>
  <c r="AI9" i="11"/>
  <c r="AH9" i="11"/>
  <c r="AG9" i="11"/>
  <c r="AF9" i="11"/>
  <c r="AE9" i="11"/>
  <c r="AD9" i="11"/>
  <c r="AC9" i="11"/>
  <c r="AC134" i="2" s="1"/>
  <c r="AB9" i="11"/>
  <c r="AB134" i="2" s="1"/>
  <c r="AA9" i="11"/>
  <c r="Z9" i="11"/>
  <c r="Y9" i="11"/>
  <c r="X9" i="11"/>
  <c r="W9" i="11"/>
  <c r="V9" i="11"/>
  <c r="U9" i="11"/>
  <c r="U134" i="2" s="1"/>
  <c r="T9" i="11"/>
  <c r="T134" i="2" s="1"/>
  <c r="T141" i="2" s="1"/>
  <c r="G40" i="3" s="1"/>
  <c r="S9" i="11"/>
  <c r="R9" i="11"/>
  <c r="Q9" i="11"/>
  <c r="P9" i="11"/>
  <c r="O9" i="11"/>
  <c r="N9" i="11"/>
  <c r="M9" i="11"/>
  <c r="M134" i="2" s="1"/>
  <c r="L9" i="11"/>
  <c r="L134" i="2" s="1"/>
  <c r="K9" i="11"/>
  <c r="J9" i="11"/>
  <c r="I9" i="11"/>
  <c r="H9" i="11"/>
  <c r="G9" i="11"/>
  <c r="F9" i="11"/>
  <c r="E9" i="11"/>
  <c r="E134" i="2" s="1"/>
  <c r="D9" i="11"/>
  <c r="D134" i="2" s="1"/>
  <c r="C9" i="11"/>
  <c r="CH8" i="11"/>
  <c r="CH16" i="11" s="1"/>
  <c r="CG8" i="11"/>
  <c r="CF8" i="11"/>
  <c r="CE8" i="11"/>
  <c r="CD8" i="11"/>
  <c r="CD16" i="11" s="1"/>
  <c r="CC8" i="11"/>
  <c r="CB8" i="11"/>
  <c r="CA8" i="11"/>
  <c r="BZ8" i="11"/>
  <c r="BZ16" i="11" s="1"/>
  <c r="BY8" i="11"/>
  <c r="BX8" i="11"/>
  <c r="BW8" i="11"/>
  <c r="BV8" i="11"/>
  <c r="BV16" i="11" s="1"/>
  <c r="BU8" i="11"/>
  <c r="BT8" i="11"/>
  <c r="BS8" i="11"/>
  <c r="BR8" i="11"/>
  <c r="BR16" i="11" s="1"/>
  <c r="BQ8" i="11"/>
  <c r="BP8" i="11"/>
  <c r="BO8" i="11"/>
  <c r="BN8" i="11"/>
  <c r="BN16" i="11" s="1"/>
  <c r="BM8" i="11"/>
  <c r="BL8" i="11"/>
  <c r="BK8" i="11"/>
  <c r="BJ8" i="11"/>
  <c r="BJ16" i="11" s="1"/>
  <c r="BI8" i="11"/>
  <c r="BH8" i="11"/>
  <c r="BG8" i="11"/>
  <c r="BF8" i="11"/>
  <c r="BF16" i="11" s="1"/>
  <c r="BE8" i="11"/>
  <c r="BD8" i="11"/>
  <c r="BC8" i="11"/>
  <c r="BB8" i="11"/>
  <c r="BB16" i="11" s="1"/>
  <c r="BA8" i="11"/>
  <c r="AZ8" i="11"/>
  <c r="AY8" i="11"/>
  <c r="AX8" i="11"/>
  <c r="AX16" i="11" s="1"/>
  <c r="AW8" i="11"/>
  <c r="AV8" i="11"/>
  <c r="AU8" i="11"/>
  <c r="AT8" i="11"/>
  <c r="AT16" i="11" s="1"/>
  <c r="AS8" i="11"/>
  <c r="AR8" i="11"/>
  <c r="AQ8" i="11"/>
  <c r="AP8" i="11"/>
  <c r="AP16" i="11" s="1"/>
  <c r="AO8" i="11"/>
  <c r="AN8" i="11"/>
  <c r="AM8" i="11"/>
  <c r="AL8" i="11"/>
  <c r="AL16" i="11" s="1"/>
  <c r="AK8" i="11"/>
  <c r="AJ8" i="11"/>
  <c r="AI8" i="11"/>
  <c r="AH8" i="11"/>
  <c r="AH16" i="11" s="1"/>
  <c r="AG8" i="11"/>
  <c r="AF8" i="11"/>
  <c r="AE8" i="11"/>
  <c r="AD8" i="11"/>
  <c r="AD16" i="11" s="1"/>
  <c r="AC8" i="11"/>
  <c r="AB8" i="11"/>
  <c r="AA8" i="11"/>
  <c r="Z8" i="11"/>
  <c r="Z16" i="11" s="1"/>
  <c r="Y8" i="11"/>
  <c r="X8" i="11"/>
  <c r="X16" i="11" s="1"/>
  <c r="W8" i="11"/>
  <c r="V8" i="11"/>
  <c r="V16" i="11" s="1"/>
  <c r="U8" i="11"/>
  <c r="T8" i="11"/>
  <c r="S8" i="11"/>
  <c r="R8" i="11"/>
  <c r="R16" i="11" s="1"/>
  <c r="Q8" i="11"/>
  <c r="P8" i="11"/>
  <c r="P16" i="11" s="1"/>
  <c r="O8" i="11"/>
  <c r="N8" i="11"/>
  <c r="N16" i="11" s="1"/>
  <c r="M8" i="11"/>
  <c r="L8" i="11"/>
  <c r="K8" i="11"/>
  <c r="J8" i="11"/>
  <c r="J16" i="11" s="1"/>
  <c r="I8" i="11"/>
  <c r="H8" i="11"/>
  <c r="G8" i="11"/>
  <c r="F8" i="11"/>
  <c r="F16" i="11" s="1"/>
  <c r="E8" i="11"/>
  <c r="D8" i="11"/>
  <c r="C8" i="11"/>
  <c r="B85" i="10"/>
  <c r="B84" i="10"/>
  <c r="CG36" i="2" s="1"/>
  <c r="B83" i="10"/>
  <c r="CF27" i="2" s="1"/>
  <c r="B82" i="10"/>
  <c r="B81" i="10"/>
  <c r="B80" i="10"/>
  <c r="B79" i="10"/>
  <c r="B78" i="10"/>
  <c r="B77" i="10"/>
  <c r="B76" i="10"/>
  <c r="BY36" i="2" s="1"/>
  <c r="B75" i="10"/>
  <c r="BX26" i="2" s="1"/>
  <c r="B74" i="10"/>
  <c r="B73" i="10"/>
  <c r="B72" i="10"/>
  <c r="B71" i="10"/>
  <c r="B70" i="10"/>
  <c r="B69" i="10"/>
  <c r="B68" i="10"/>
  <c r="BQ36" i="2" s="1"/>
  <c r="B67" i="10"/>
  <c r="BP25" i="2" s="1"/>
  <c r="B66" i="10"/>
  <c r="B65" i="10"/>
  <c r="B64" i="10"/>
  <c r="B63" i="10"/>
  <c r="B62" i="10"/>
  <c r="B61" i="10"/>
  <c r="B60" i="10"/>
  <c r="BI38" i="2" s="1"/>
  <c r="B59" i="10"/>
  <c r="BH24" i="2" s="1"/>
  <c r="B58" i="10"/>
  <c r="B57" i="10"/>
  <c r="B56" i="10"/>
  <c r="B55" i="10"/>
  <c r="B54" i="10"/>
  <c r="B53" i="10"/>
  <c r="B52" i="10"/>
  <c r="B51" i="10"/>
  <c r="AZ30" i="2" s="1"/>
  <c r="B50" i="10"/>
  <c r="B49" i="10"/>
  <c r="B48" i="10"/>
  <c r="B47" i="10"/>
  <c r="B46" i="10"/>
  <c r="B45" i="10"/>
  <c r="B44" i="10"/>
  <c r="B43" i="10"/>
  <c r="AR30" i="2" s="1"/>
  <c r="B42" i="10"/>
  <c r="B41" i="10"/>
  <c r="B40" i="10"/>
  <c r="B39" i="10"/>
  <c r="B38" i="10"/>
  <c r="B37" i="10"/>
  <c r="B36" i="10"/>
  <c r="B35" i="10"/>
  <c r="AJ32" i="2" s="1"/>
  <c r="B34" i="10"/>
  <c r="B33" i="10"/>
  <c r="B32" i="10"/>
  <c r="B31" i="10"/>
  <c r="B30" i="10"/>
  <c r="B29" i="10"/>
  <c r="B28" i="10"/>
  <c r="B27" i="10"/>
  <c r="AB28" i="2" s="1"/>
  <c r="B26" i="10"/>
  <c r="B25" i="10"/>
  <c r="B24" i="10"/>
  <c r="B23" i="10"/>
  <c r="B22" i="10"/>
  <c r="B21" i="10"/>
  <c r="B20" i="10"/>
  <c r="U36" i="2" s="1"/>
  <c r="B19" i="10"/>
  <c r="T27" i="2" s="1"/>
  <c r="B18" i="10"/>
  <c r="B17" i="10"/>
  <c r="B16" i="10"/>
  <c r="B15" i="10"/>
  <c r="B14" i="10"/>
  <c r="B13" i="10"/>
  <c r="B12" i="10"/>
  <c r="M36" i="2" s="1"/>
  <c r="B11" i="10"/>
  <c r="L26" i="2" s="1"/>
  <c r="B10" i="10"/>
  <c r="B9" i="10"/>
  <c r="B8" i="10"/>
  <c r="B7" i="10"/>
  <c r="B6" i="10"/>
  <c r="B5" i="10"/>
  <c r="B4" i="10"/>
  <c r="E36" i="2" s="1"/>
  <c r="B3" i="10"/>
  <c r="D25" i="2" s="1"/>
  <c r="B2" i="10"/>
  <c r="S16" i="8"/>
  <c r="O16" i="8"/>
  <c r="I16" i="8"/>
  <c r="S15" i="8"/>
  <c r="O15" i="8"/>
  <c r="I15" i="8"/>
  <c r="S14" i="8"/>
  <c r="I14" i="8"/>
  <c r="S13" i="8"/>
  <c r="I13" i="8"/>
  <c r="S12" i="8"/>
  <c r="I12" i="8"/>
  <c r="S11" i="8"/>
  <c r="I11" i="8"/>
  <c r="S10" i="8"/>
  <c r="O10" i="8"/>
  <c r="I10" i="8"/>
  <c r="S9" i="8"/>
  <c r="I9" i="8"/>
  <c r="S8" i="8"/>
  <c r="P8" i="8"/>
  <c r="O8" i="8"/>
  <c r="I8" i="8"/>
  <c r="S7" i="8"/>
  <c r="O7" i="8"/>
  <c r="I7" i="8"/>
  <c r="S6" i="8"/>
  <c r="O6" i="8"/>
  <c r="Q6" i="8" s="1"/>
  <c r="R6" i="8" s="1"/>
  <c r="I6" i="8"/>
  <c r="S5" i="8"/>
  <c r="I5" i="8"/>
  <c r="S4" i="8"/>
  <c r="I4" i="8"/>
  <c r="S3" i="8"/>
  <c r="O3" i="8"/>
  <c r="Q3" i="8" s="1"/>
  <c r="R3" i="8" s="1"/>
  <c r="I3" i="8"/>
  <c r="S2" i="8"/>
  <c r="O2" i="8"/>
  <c r="Q2" i="8" s="1"/>
  <c r="R2" i="8" s="1"/>
  <c r="I2" i="8"/>
  <c r="B59" i="7"/>
  <c r="B42" i="7"/>
  <c r="B35" i="7"/>
  <c r="B12" i="7"/>
  <c r="P5" i="8" s="1"/>
  <c r="B11" i="7"/>
  <c r="O11" i="8" s="1"/>
  <c r="B10" i="7"/>
  <c r="N10" i="8" s="1"/>
  <c r="B9" i="7"/>
  <c r="B7" i="7"/>
  <c r="E99" i="5"/>
  <c r="B99" i="5"/>
  <c r="E98" i="5"/>
  <c r="D98" i="5"/>
  <c r="D99" i="5" s="1"/>
  <c r="C98" i="5"/>
  <c r="C99" i="5" s="1"/>
  <c r="B98" i="5"/>
  <c r="F70" i="5"/>
  <c r="E70" i="5"/>
  <c r="D70" i="5"/>
  <c r="C70" i="5"/>
  <c r="B70" i="5"/>
  <c r="I54" i="5"/>
  <c r="H54" i="5"/>
  <c r="G54" i="5"/>
  <c r="F54" i="5"/>
  <c r="E54" i="5"/>
  <c r="D54" i="5"/>
  <c r="C54" i="5"/>
  <c r="B54" i="5"/>
  <c r="I51" i="5"/>
  <c r="H51" i="5"/>
  <c r="G51" i="5"/>
  <c r="F51" i="5"/>
  <c r="E51" i="5"/>
  <c r="D51" i="5"/>
  <c r="C51" i="5"/>
  <c r="B51" i="5"/>
  <c r="I48" i="5"/>
  <c r="H48" i="5"/>
  <c r="G48" i="5"/>
  <c r="F48" i="5"/>
  <c r="E48" i="5"/>
  <c r="D48" i="5"/>
  <c r="C48" i="5"/>
  <c r="B48" i="5"/>
  <c r="I45" i="5"/>
  <c r="H45" i="5"/>
  <c r="G45" i="5"/>
  <c r="F45" i="5"/>
  <c r="E45" i="5"/>
  <c r="D45" i="5"/>
  <c r="C45" i="5"/>
  <c r="B45" i="5"/>
  <c r="B36" i="5"/>
  <c r="B35" i="5"/>
  <c r="B34" i="5"/>
  <c r="B33" i="5"/>
  <c r="B32" i="5"/>
  <c r="B31" i="5"/>
  <c r="B30" i="5"/>
  <c r="B29" i="5"/>
  <c r="B28" i="5"/>
  <c r="B27" i="5"/>
  <c r="B26" i="5"/>
  <c r="B25" i="5"/>
  <c r="B24" i="5"/>
  <c r="B17" i="5"/>
  <c r="B16" i="5"/>
  <c r="B15" i="5"/>
  <c r="B14" i="5"/>
  <c r="B13" i="5"/>
  <c r="B12" i="5"/>
  <c r="B11" i="5"/>
  <c r="B10" i="5"/>
  <c r="B9" i="5"/>
  <c r="B8" i="5"/>
  <c r="B7" i="5"/>
  <c r="B6" i="5"/>
  <c r="B5" i="5"/>
  <c r="CH34" i="4"/>
  <c r="CG34" i="4"/>
  <c r="CF34" i="4"/>
  <c r="CE34" i="4"/>
  <c r="CD34" i="4"/>
  <c r="CC34" i="4"/>
  <c r="CB34" i="4"/>
  <c r="CA34" i="4"/>
  <c r="BZ34" i="4"/>
  <c r="BY34" i="4"/>
  <c r="BX34" i="4"/>
  <c r="BW34" i="4"/>
  <c r="BV34" i="4"/>
  <c r="BU34" i="4"/>
  <c r="BT34" i="4"/>
  <c r="BS34" i="4"/>
  <c r="BR34" i="4"/>
  <c r="BQ34" i="4"/>
  <c r="BP34" i="4"/>
  <c r="BO34" i="4"/>
  <c r="BN34" i="4"/>
  <c r="BM34" i="4"/>
  <c r="BL34" i="4"/>
  <c r="BK34" i="4"/>
  <c r="BJ34" i="4"/>
  <c r="BI34" i="4"/>
  <c r="BH34" i="4"/>
  <c r="BG34" i="4"/>
  <c r="BF34" i="4"/>
  <c r="BE34" i="4"/>
  <c r="BD34" i="4"/>
  <c r="BC34" i="4"/>
  <c r="BB34" i="4"/>
  <c r="BA34" i="4"/>
  <c r="AZ34" i="4"/>
  <c r="AY34" i="4"/>
  <c r="AX34" i="4"/>
  <c r="AW34" i="4"/>
  <c r="AV34" i="4"/>
  <c r="AU34" i="4"/>
  <c r="AT34" i="4"/>
  <c r="AS34" i="4"/>
  <c r="AR34" i="4"/>
  <c r="AQ34" i="4"/>
  <c r="AP34" i="4"/>
  <c r="AO34" i="4"/>
  <c r="AN34" i="4"/>
  <c r="AM34" i="4"/>
  <c r="AL34" i="4"/>
  <c r="AK34" i="4"/>
  <c r="AJ34" i="4"/>
  <c r="AI34" i="4"/>
  <c r="AH34" i="4"/>
  <c r="AG34" i="4"/>
  <c r="AF34" i="4"/>
  <c r="AE34" i="4"/>
  <c r="AD34" i="4"/>
  <c r="AC34" i="4"/>
  <c r="AB34" i="4"/>
  <c r="AA34" i="4"/>
  <c r="Z34" i="4"/>
  <c r="Y34" i="4"/>
  <c r="X34" i="4"/>
  <c r="W34" i="4"/>
  <c r="V34" i="4"/>
  <c r="U34" i="4"/>
  <c r="T34" i="4"/>
  <c r="S34" i="4"/>
  <c r="R34" i="4"/>
  <c r="Q34" i="4"/>
  <c r="P34" i="4"/>
  <c r="O34" i="4"/>
  <c r="N34" i="4"/>
  <c r="M34" i="4"/>
  <c r="L34" i="4"/>
  <c r="K34" i="4"/>
  <c r="J34" i="4"/>
  <c r="I34" i="4"/>
  <c r="H34" i="4"/>
  <c r="G34" i="4"/>
  <c r="F34" i="4"/>
  <c r="E34" i="4"/>
  <c r="D34" i="4"/>
  <c r="C34" i="4"/>
  <c r="CG32" i="4"/>
  <c r="CF32" i="4"/>
  <c r="CD32" i="4"/>
  <c r="CC32" i="4"/>
  <c r="CA32" i="4"/>
  <c r="BZ32" i="4"/>
  <c r="BX32" i="4"/>
  <c r="BW32" i="4"/>
  <c r="BU32" i="4"/>
  <c r="BT32" i="4"/>
  <c r="BR32" i="4"/>
  <c r="BQ32" i="4"/>
  <c r="BO32" i="4"/>
  <c r="BN32" i="4"/>
  <c r="BL32" i="4"/>
  <c r="BK32" i="4"/>
  <c r="BI32" i="4"/>
  <c r="BH32" i="4"/>
  <c r="BF32" i="4"/>
  <c r="BE32" i="4"/>
  <c r="BC32" i="4"/>
  <c r="BB32" i="4"/>
  <c r="AZ32" i="4"/>
  <c r="AY32" i="4"/>
  <c r="AX32" i="4"/>
  <c r="AW32" i="4"/>
  <c r="AV32" i="4"/>
  <c r="AU32" i="4"/>
  <c r="AT32" i="4"/>
  <c r="AS32" i="4"/>
  <c r="AR32" i="4"/>
  <c r="AQ32" i="4"/>
  <c r="AP32" i="4"/>
  <c r="AO32" i="4"/>
  <c r="AN32" i="4"/>
  <c r="AM32" i="4"/>
  <c r="AL32" i="4"/>
  <c r="AK32" i="4"/>
  <c r="AJ32" i="4"/>
  <c r="AI32" i="4"/>
  <c r="AH32" i="4"/>
  <c r="AG32" i="4"/>
  <c r="AF32" i="4"/>
  <c r="AE32" i="4"/>
  <c r="AD32" i="4"/>
  <c r="AC32" i="4"/>
  <c r="AB32" i="4"/>
  <c r="AA32" i="4"/>
  <c r="Z32" i="4"/>
  <c r="Y32" i="4"/>
  <c r="X32" i="4"/>
  <c r="W32" i="4"/>
  <c r="V32" i="4"/>
  <c r="U32" i="4"/>
  <c r="T32" i="4"/>
  <c r="S32" i="4"/>
  <c r="R32" i="4"/>
  <c r="Q32" i="4"/>
  <c r="P32" i="4"/>
  <c r="O32" i="4"/>
  <c r="N32" i="4"/>
  <c r="M32" i="4"/>
  <c r="L32" i="4"/>
  <c r="K32" i="4"/>
  <c r="J32" i="4"/>
  <c r="I32" i="4"/>
  <c r="H32" i="4"/>
  <c r="G32" i="4"/>
  <c r="F32" i="4"/>
  <c r="E32" i="4"/>
  <c r="D32" i="4"/>
  <c r="C32" i="4"/>
  <c r="CG26" i="4"/>
  <c r="CF26" i="4"/>
  <c r="CD26" i="4"/>
  <c r="CC26" i="4"/>
  <c r="CA26" i="4"/>
  <c r="BZ26" i="4"/>
  <c r="BX26" i="4"/>
  <c r="BW26" i="4"/>
  <c r="BU26" i="4"/>
  <c r="BT26" i="4"/>
  <c r="BR26" i="4"/>
  <c r="BQ26" i="4"/>
  <c r="BO26" i="4"/>
  <c r="BN26" i="4"/>
  <c r="BL26" i="4"/>
  <c r="BK26" i="4"/>
  <c r="BI26" i="4"/>
  <c r="BH26" i="4"/>
  <c r="BF26" i="4"/>
  <c r="BE26" i="4"/>
  <c r="BC26" i="4"/>
  <c r="BB26" i="4"/>
  <c r="AZ26" i="4"/>
  <c r="AY26" i="4"/>
  <c r="AW26" i="4"/>
  <c r="AV26" i="4"/>
  <c r="AT26" i="4"/>
  <c r="AS26" i="4"/>
  <c r="AQ26" i="4"/>
  <c r="AP26" i="4"/>
  <c r="AO26" i="4"/>
  <c r="AN26" i="4"/>
  <c r="AM26" i="4"/>
  <c r="AL26" i="4"/>
  <c r="AK26" i="4"/>
  <c r="AJ26" i="4"/>
  <c r="AI26" i="4"/>
  <c r="AH26" i="4"/>
  <c r="AG26" i="4"/>
  <c r="AF26" i="4"/>
  <c r="AE26" i="4"/>
  <c r="AD26" i="4"/>
  <c r="AC26" i="4"/>
  <c r="AB26" i="4"/>
  <c r="AA26" i="4"/>
  <c r="Z26" i="4"/>
  <c r="Y26" i="4"/>
  <c r="X26" i="4"/>
  <c r="W26" i="4"/>
  <c r="V26" i="4"/>
  <c r="U26" i="4"/>
  <c r="T26" i="4"/>
  <c r="S26" i="4"/>
  <c r="R26" i="4"/>
  <c r="Q26" i="4"/>
  <c r="P26" i="4"/>
  <c r="O26" i="4"/>
  <c r="N26" i="4"/>
  <c r="M26" i="4"/>
  <c r="L26" i="4"/>
  <c r="K26" i="4"/>
  <c r="J26" i="4"/>
  <c r="I26" i="4"/>
  <c r="H26" i="4"/>
  <c r="G26" i="4"/>
  <c r="F26" i="4"/>
  <c r="E26" i="4"/>
  <c r="D26" i="4"/>
  <c r="C26" i="4"/>
  <c r="CE22" i="4"/>
  <c r="BR22" i="4"/>
  <c r="BP22" i="4"/>
  <c r="BH22" i="4"/>
  <c r="BE22" i="4"/>
  <c r="BB22" i="4"/>
  <c r="AW22" i="4"/>
  <c r="AQ22" i="4"/>
  <c r="AB22" i="4"/>
  <c r="H21" i="4"/>
  <c r="CH20" i="4"/>
  <c r="CH22" i="4" s="1"/>
  <c r="CG20" i="4"/>
  <c r="CG22" i="4" s="1"/>
  <c r="CF20" i="4"/>
  <c r="CF22" i="4" s="1"/>
  <c r="CE20" i="4"/>
  <c r="CD20" i="4"/>
  <c r="CD22" i="4" s="1"/>
  <c r="CC20" i="4"/>
  <c r="CC22" i="4" s="1"/>
  <c r="CB20" i="4"/>
  <c r="CB22" i="4" s="1"/>
  <c r="CA20" i="4"/>
  <c r="CA22" i="4" s="1"/>
  <c r="BZ20" i="4"/>
  <c r="BZ22" i="4" s="1"/>
  <c r="BY20" i="4"/>
  <c r="BY22" i="4" s="1"/>
  <c r="BX20" i="4"/>
  <c r="BX22" i="4" s="1"/>
  <c r="BW20" i="4"/>
  <c r="BW22" i="4" s="1"/>
  <c r="BV20" i="4"/>
  <c r="BV22" i="4" s="1"/>
  <c r="BU20" i="4"/>
  <c r="BU22" i="4" s="1"/>
  <c r="BT20" i="4"/>
  <c r="BT22" i="4" s="1"/>
  <c r="BS20" i="4"/>
  <c r="BS22" i="4" s="1"/>
  <c r="BR20" i="4"/>
  <c r="BQ20" i="4"/>
  <c r="BQ22" i="4" s="1"/>
  <c r="BP20" i="4"/>
  <c r="BO20" i="4"/>
  <c r="BO22" i="4" s="1"/>
  <c r="BN20" i="4"/>
  <c r="BN22" i="4" s="1"/>
  <c r="BM20" i="4"/>
  <c r="BM22" i="4" s="1"/>
  <c r="BL20" i="4"/>
  <c r="BL22" i="4" s="1"/>
  <c r="BK20" i="4"/>
  <c r="BK22" i="4" s="1"/>
  <c r="BJ20" i="4"/>
  <c r="BJ22" i="4" s="1"/>
  <c r="BI20" i="4"/>
  <c r="BI22" i="4" s="1"/>
  <c r="BH20" i="4"/>
  <c r="BG20" i="4"/>
  <c r="BG22" i="4" s="1"/>
  <c r="BF20" i="4"/>
  <c r="BF22" i="4" s="1"/>
  <c r="BE20" i="4"/>
  <c r="BD20" i="4"/>
  <c r="BD22" i="4" s="1"/>
  <c r="BC20" i="4"/>
  <c r="BC22" i="4" s="1"/>
  <c r="BB20" i="4"/>
  <c r="BA20" i="4"/>
  <c r="BA22" i="4" s="1"/>
  <c r="AZ20" i="4"/>
  <c r="AZ22" i="4" s="1"/>
  <c r="AY20" i="4"/>
  <c r="AY22" i="4" s="1"/>
  <c r="AX20" i="4"/>
  <c r="AX22" i="4" s="1"/>
  <c r="AW20" i="4"/>
  <c r="AV20" i="4"/>
  <c r="AV22" i="4" s="1"/>
  <c r="AU20" i="4"/>
  <c r="AU22" i="4" s="1"/>
  <c r="AT20" i="4"/>
  <c r="AT22" i="4" s="1"/>
  <c r="AS20" i="4"/>
  <c r="AS22" i="4" s="1"/>
  <c r="AR20" i="4"/>
  <c r="AR22" i="4" s="1"/>
  <c r="AQ20" i="4"/>
  <c r="AP20" i="4"/>
  <c r="AP22" i="4" s="1"/>
  <c r="AO20" i="4"/>
  <c r="AO22" i="4" s="1"/>
  <c r="AN20" i="4"/>
  <c r="AN22" i="4" s="1"/>
  <c r="AM20" i="4"/>
  <c r="AM22" i="4" s="1"/>
  <c r="AL20" i="4"/>
  <c r="AL22" i="4" s="1"/>
  <c r="AK20" i="4"/>
  <c r="AK22" i="4" s="1"/>
  <c r="AJ20" i="4"/>
  <c r="AJ22" i="4" s="1"/>
  <c r="AI20" i="4"/>
  <c r="AI22" i="4" s="1"/>
  <c r="AH20" i="4"/>
  <c r="AH22" i="4" s="1"/>
  <c r="AG20" i="4"/>
  <c r="AG22" i="4" s="1"/>
  <c r="AF20" i="4"/>
  <c r="AF22" i="4" s="1"/>
  <c r="AE20" i="4"/>
  <c r="AE22" i="4" s="1"/>
  <c r="AD20" i="4"/>
  <c r="AD22" i="4" s="1"/>
  <c r="AC20" i="4"/>
  <c r="AC22" i="4" s="1"/>
  <c r="AB20" i="4"/>
  <c r="AA20" i="4"/>
  <c r="AA22" i="4" s="1"/>
  <c r="G20" i="4"/>
  <c r="G22" i="4" s="1"/>
  <c r="F20" i="4"/>
  <c r="F22" i="4" s="1"/>
  <c r="E20" i="4"/>
  <c r="E22" i="4" s="1"/>
  <c r="D20" i="4"/>
  <c r="D22" i="4" s="1"/>
  <c r="C20" i="4"/>
  <c r="C22" i="4" s="1"/>
  <c r="C23" i="4" s="1"/>
  <c r="D23" i="4" s="1"/>
  <c r="E23" i="4" s="1"/>
  <c r="BY16" i="4"/>
  <c r="BI16" i="4"/>
  <c r="BE16" i="4"/>
  <c r="AP16" i="4"/>
  <c r="AO16" i="4"/>
  <c r="G15" i="4"/>
  <c r="CH14" i="4"/>
  <c r="CH16" i="4" s="1"/>
  <c r="CG14" i="4"/>
  <c r="CG16" i="4" s="1"/>
  <c r="CF14" i="4"/>
  <c r="CF16" i="4" s="1"/>
  <c r="CE14" i="4"/>
  <c r="CE16" i="4" s="1"/>
  <c r="CD14" i="4"/>
  <c r="CD16" i="4" s="1"/>
  <c r="CC14" i="4"/>
  <c r="CC16" i="4" s="1"/>
  <c r="CB14" i="4"/>
  <c r="CB16" i="4" s="1"/>
  <c r="CA14" i="4"/>
  <c r="CA16" i="4" s="1"/>
  <c r="BZ14" i="4"/>
  <c r="BZ16" i="4" s="1"/>
  <c r="BY14" i="4"/>
  <c r="BX14" i="4"/>
  <c r="BX16" i="4" s="1"/>
  <c r="BW14" i="4"/>
  <c r="BW16" i="4" s="1"/>
  <c r="BV14" i="4"/>
  <c r="BV16" i="4" s="1"/>
  <c r="BU14" i="4"/>
  <c r="BU16" i="4" s="1"/>
  <c r="BT14" i="4"/>
  <c r="BT16" i="4" s="1"/>
  <c r="BS14" i="4"/>
  <c r="BS16" i="4" s="1"/>
  <c r="BR14" i="4"/>
  <c r="BR16" i="4" s="1"/>
  <c r="BQ14" i="4"/>
  <c r="BQ16" i="4" s="1"/>
  <c r="BP14" i="4"/>
  <c r="BP16" i="4" s="1"/>
  <c r="BO14" i="4"/>
  <c r="BO16" i="4" s="1"/>
  <c r="BN14" i="4"/>
  <c r="BN16" i="4" s="1"/>
  <c r="BM14" i="4"/>
  <c r="BM16" i="4" s="1"/>
  <c r="BL14" i="4"/>
  <c r="BL16" i="4" s="1"/>
  <c r="BK14" i="4"/>
  <c r="BK16" i="4" s="1"/>
  <c r="BJ14" i="4"/>
  <c r="BJ16" i="4" s="1"/>
  <c r="BI14" i="4"/>
  <c r="BH14" i="4"/>
  <c r="BH16" i="4" s="1"/>
  <c r="BG14" i="4"/>
  <c r="BG16" i="4" s="1"/>
  <c r="BF14" i="4"/>
  <c r="BF16" i="4" s="1"/>
  <c r="BE14" i="4"/>
  <c r="BD14" i="4"/>
  <c r="BD16" i="4" s="1"/>
  <c r="BC14" i="4"/>
  <c r="BC16" i="4" s="1"/>
  <c r="BB14" i="4"/>
  <c r="BB16" i="4" s="1"/>
  <c r="BA14" i="4"/>
  <c r="BA16" i="4" s="1"/>
  <c r="AZ14" i="4"/>
  <c r="AZ16" i="4" s="1"/>
  <c r="AY14" i="4"/>
  <c r="AY16" i="4" s="1"/>
  <c r="AX14" i="4"/>
  <c r="AX16" i="4" s="1"/>
  <c r="AW14" i="4"/>
  <c r="AW16" i="4" s="1"/>
  <c r="AV14" i="4"/>
  <c r="AV16" i="4" s="1"/>
  <c r="AU14" i="4"/>
  <c r="AU16" i="4" s="1"/>
  <c r="AT14" i="4"/>
  <c r="AT16" i="4" s="1"/>
  <c r="AS14" i="4"/>
  <c r="AS16" i="4" s="1"/>
  <c r="AR14" i="4"/>
  <c r="AR16" i="4" s="1"/>
  <c r="AQ14" i="4"/>
  <c r="AQ16" i="4" s="1"/>
  <c r="AP14" i="4"/>
  <c r="AO14" i="4"/>
  <c r="AN14" i="4"/>
  <c r="AN16" i="4" s="1"/>
  <c r="AM14" i="4"/>
  <c r="AM16" i="4" s="1"/>
  <c r="AL14" i="4"/>
  <c r="AL16" i="4" s="1"/>
  <c r="AK14" i="4"/>
  <c r="AK16" i="4" s="1"/>
  <c r="AJ14" i="4"/>
  <c r="AJ16" i="4" s="1"/>
  <c r="AI14" i="4"/>
  <c r="AI16" i="4" s="1"/>
  <c r="AH14" i="4"/>
  <c r="AH16" i="4" s="1"/>
  <c r="AG14" i="4"/>
  <c r="AG16" i="4" s="1"/>
  <c r="AF14" i="4"/>
  <c r="AF16" i="4" s="1"/>
  <c r="AE14" i="4"/>
  <c r="AE16" i="4" s="1"/>
  <c r="AD14" i="4"/>
  <c r="AD16" i="4" s="1"/>
  <c r="AC14" i="4"/>
  <c r="AC16" i="4" s="1"/>
  <c r="AB14" i="4"/>
  <c r="AB16" i="4" s="1"/>
  <c r="AA14" i="4"/>
  <c r="AA16" i="4" s="1"/>
  <c r="Z14" i="4"/>
  <c r="Z16" i="4" s="1"/>
  <c r="F14" i="4"/>
  <c r="F16" i="4" s="1"/>
  <c r="E14" i="4"/>
  <c r="E16" i="4" s="1"/>
  <c r="D14" i="4"/>
  <c r="D16" i="4" s="1"/>
  <c r="C14" i="4"/>
  <c r="C16" i="4" s="1"/>
  <c r="C17" i="4" s="1"/>
  <c r="D17" i="4" s="1"/>
  <c r="CH10" i="4"/>
  <c r="BX10" i="4"/>
  <c r="BU10" i="4"/>
  <c r="BS10" i="4"/>
  <c r="BK10" i="4"/>
  <c r="AU10" i="4"/>
  <c r="U10" i="4"/>
  <c r="T10" i="4"/>
  <c r="CH9" i="4"/>
  <c r="CG9" i="4"/>
  <c r="CG10" i="4" s="1"/>
  <c r="CF9" i="4"/>
  <c r="CF10" i="4" s="1"/>
  <c r="CE9" i="4"/>
  <c r="CE10" i="4" s="1"/>
  <c r="CD9" i="4"/>
  <c r="CD10" i="4" s="1"/>
  <c r="CC9" i="4"/>
  <c r="CC10" i="4" s="1"/>
  <c r="CB9" i="4"/>
  <c r="CB10" i="4" s="1"/>
  <c r="CA9" i="4"/>
  <c r="CA10" i="4" s="1"/>
  <c r="BZ9" i="4"/>
  <c r="BZ10" i="4" s="1"/>
  <c r="BY9" i="4"/>
  <c r="BY10" i="4" s="1"/>
  <c r="BX9" i="4"/>
  <c r="BW9" i="4"/>
  <c r="BW10" i="4" s="1"/>
  <c r="BV9" i="4"/>
  <c r="BV10" i="4" s="1"/>
  <c r="BU9" i="4"/>
  <c r="BT9" i="4"/>
  <c r="BT10" i="4" s="1"/>
  <c r="BS9" i="4"/>
  <c r="BR9" i="4"/>
  <c r="BR10" i="4" s="1"/>
  <c r="BQ9" i="4"/>
  <c r="BQ10" i="4" s="1"/>
  <c r="BP9" i="4"/>
  <c r="BP10" i="4" s="1"/>
  <c r="BO9" i="4"/>
  <c r="BO10" i="4" s="1"/>
  <c r="BN9" i="4"/>
  <c r="BN10" i="4" s="1"/>
  <c r="BM9" i="4"/>
  <c r="BM10" i="4" s="1"/>
  <c r="BL9" i="4"/>
  <c r="BL10" i="4" s="1"/>
  <c r="BK9" i="4"/>
  <c r="BJ9" i="4"/>
  <c r="BJ10" i="4" s="1"/>
  <c r="BI9" i="4"/>
  <c r="BI10" i="4" s="1"/>
  <c r="BH9" i="4"/>
  <c r="BH10" i="4" s="1"/>
  <c r="BG9" i="4"/>
  <c r="BG10" i="4" s="1"/>
  <c r="BF9" i="4"/>
  <c r="BF10" i="4" s="1"/>
  <c r="BE9" i="4"/>
  <c r="BE10" i="4" s="1"/>
  <c r="BD9" i="4"/>
  <c r="BD10" i="4" s="1"/>
  <c r="BC9" i="4"/>
  <c r="BC10" i="4" s="1"/>
  <c r="BB9" i="4"/>
  <c r="BB10" i="4" s="1"/>
  <c r="BA9" i="4"/>
  <c r="BA10" i="4" s="1"/>
  <c r="AZ9" i="4"/>
  <c r="AZ10" i="4" s="1"/>
  <c r="AY9" i="4"/>
  <c r="AY10" i="4" s="1"/>
  <c r="AX9" i="4"/>
  <c r="AX10" i="4" s="1"/>
  <c r="AW9" i="4"/>
  <c r="AW10" i="4" s="1"/>
  <c r="AV9" i="4"/>
  <c r="AV10" i="4" s="1"/>
  <c r="AU9" i="4"/>
  <c r="AT9" i="4"/>
  <c r="AT10" i="4" s="1"/>
  <c r="AS9" i="4"/>
  <c r="AS10" i="4" s="1"/>
  <c r="AR9" i="4"/>
  <c r="AR10" i="4" s="1"/>
  <c r="AQ9" i="4"/>
  <c r="AQ10" i="4" s="1"/>
  <c r="AP9" i="4"/>
  <c r="AP10" i="4" s="1"/>
  <c r="AO9" i="4"/>
  <c r="AO10" i="4" s="1"/>
  <c r="AN9" i="4"/>
  <c r="AN10" i="4" s="1"/>
  <c r="AM9" i="4"/>
  <c r="AM10" i="4" s="1"/>
  <c r="AL9" i="4"/>
  <c r="AL10" i="4" s="1"/>
  <c r="AK9" i="4"/>
  <c r="AK10" i="4" s="1"/>
  <c r="AJ9" i="4"/>
  <c r="AJ10" i="4" s="1"/>
  <c r="AI9" i="4"/>
  <c r="AI10" i="4" s="1"/>
  <c r="AH9" i="4"/>
  <c r="AH10" i="4" s="1"/>
  <c r="AG9" i="4"/>
  <c r="AG10" i="4" s="1"/>
  <c r="AF9" i="4"/>
  <c r="AF10" i="4" s="1"/>
  <c r="AE9" i="4"/>
  <c r="AE10" i="4" s="1"/>
  <c r="AD9" i="4"/>
  <c r="AD10" i="4" s="1"/>
  <c r="AB9" i="4"/>
  <c r="AB10" i="4" s="1"/>
  <c r="AA9" i="4"/>
  <c r="AA10" i="4" s="1"/>
  <c r="Y9" i="4"/>
  <c r="Y10" i="4" s="1"/>
  <c r="X9" i="4"/>
  <c r="X10" i="4" s="1"/>
  <c r="V9" i="4"/>
  <c r="V10" i="4" s="1"/>
  <c r="U9" i="4"/>
  <c r="T9" i="4"/>
  <c r="S9" i="4"/>
  <c r="S10" i="4" s="1"/>
  <c r="R9" i="4"/>
  <c r="R10" i="4" s="1"/>
  <c r="CB5" i="4"/>
  <c r="BR5" i="4"/>
  <c r="BQ5" i="4"/>
  <c r="BC5" i="4"/>
  <c r="BB5" i="4"/>
  <c r="AN5" i="4"/>
  <c r="AC5" i="4"/>
  <c r="AA5" i="4"/>
  <c r="P5" i="4"/>
  <c r="O5" i="4"/>
  <c r="CH4" i="4"/>
  <c r="CH5" i="4" s="1"/>
  <c r="CG4" i="4"/>
  <c r="CG5" i="4" s="1"/>
  <c r="CF4" i="4"/>
  <c r="CF5" i="4" s="1"/>
  <c r="CE4" i="4"/>
  <c r="CE5" i="4" s="1"/>
  <c r="CD4" i="4"/>
  <c r="CD5" i="4" s="1"/>
  <c r="CC4" i="4"/>
  <c r="CC5" i="4" s="1"/>
  <c r="CB4" i="4"/>
  <c r="CA4" i="4"/>
  <c r="CA5" i="4" s="1"/>
  <c r="BZ4" i="4"/>
  <c r="BZ5" i="4" s="1"/>
  <c r="BY4" i="4"/>
  <c r="BY5" i="4" s="1"/>
  <c r="BX4" i="4"/>
  <c r="BX5" i="4" s="1"/>
  <c r="BW4" i="4"/>
  <c r="BW5" i="4" s="1"/>
  <c r="BV4" i="4"/>
  <c r="BV5" i="4" s="1"/>
  <c r="BU4" i="4"/>
  <c r="BU5" i="4" s="1"/>
  <c r="BT4" i="4"/>
  <c r="BT5" i="4" s="1"/>
  <c r="BS4" i="4"/>
  <c r="BS5" i="4" s="1"/>
  <c r="BR4" i="4"/>
  <c r="BQ4" i="4"/>
  <c r="BP4" i="4"/>
  <c r="BP5" i="4" s="1"/>
  <c r="BO4" i="4"/>
  <c r="BO5" i="4" s="1"/>
  <c r="BN4" i="4"/>
  <c r="BN5" i="4" s="1"/>
  <c r="BM4" i="4"/>
  <c r="BM5" i="4" s="1"/>
  <c r="BL4" i="4"/>
  <c r="BL5" i="4" s="1"/>
  <c r="BK4" i="4"/>
  <c r="BK5" i="4" s="1"/>
  <c r="BJ4" i="4"/>
  <c r="BJ5" i="4" s="1"/>
  <c r="BI4" i="4"/>
  <c r="BI5" i="4" s="1"/>
  <c r="BH4" i="4"/>
  <c r="BH5" i="4" s="1"/>
  <c r="BG4" i="4"/>
  <c r="BG5" i="4" s="1"/>
  <c r="BF4" i="4"/>
  <c r="BF5" i="4" s="1"/>
  <c r="BE4" i="4"/>
  <c r="BE5" i="4" s="1"/>
  <c r="BD4" i="4"/>
  <c r="BD5" i="4" s="1"/>
  <c r="BC4" i="4"/>
  <c r="BB4" i="4"/>
  <c r="BA4" i="4"/>
  <c r="BA5" i="4" s="1"/>
  <c r="AZ4" i="4"/>
  <c r="AZ5" i="4" s="1"/>
  <c r="AY4" i="4"/>
  <c r="AY5" i="4" s="1"/>
  <c r="AX4" i="4"/>
  <c r="AX5" i="4" s="1"/>
  <c r="AW4" i="4"/>
  <c r="AW5" i="4" s="1"/>
  <c r="AV4" i="4"/>
  <c r="AV5" i="4" s="1"/>
  <c r="AU4" i="4"/>
  <c r="AU5" i="4" s="1"/>
  <c r="AT4" i="4"/>
  <c r="AT5" i="4" s="1"/>
  <c r="AS4" i="4"/>
  <c r="AS5" i="4" s="1"/>
  <c r="AR4" i="4"/>
  <c r="AR5" i="4" s="1"/>
  <c r="AQ4" i="4"/>
  <c r="AQ5" i="4" s="1"/>
  <c r="AP4" i="4"/>
  <c r="AP5" i="4" s="1"/>
  <c r="AO4" i="4"/>
  <c r="AO5" i="4" s="1"/>
  <c r="AN4" i="4"/>
  <c r="AM4" i="4"/>
  <c r="AM5" i="4" s="1"/>
  <c r="AL4" i="4"/>
  <c r="AL5" i="4" s="1"/>
  <c r="AK4" i="4"/>
  <c r="AK5" i="4" s="1"/>
  <c r="AJ4" i="4"/>
  <c r="AJ5" i="4" s="1"/>
  <c r="AI4" i="4"/>
  <c r="AI5" i="4" s="1"/>
  <c r="AH4" i="4"/>
  <c r="AH5" i="4" s="1"/>
  <c r="AG4" i="4"/>
  <c r="AG5" i="4" s="1"/>
  <c r="AF4" i="4"/>
  <c r="AF5" i="4" s="1"/>
  <c r="AE4" i="4"/>
  <c r="AE5" i="4" s="1"/>
  <c r="AD4" i="4"/>
  <c r="AD5" i="4" s="1"/>
  <c r="AC4" i="4"/>
  <c r="AB4" i="4"/>
  <c r="AB5" i="4" s="1"/>
  <c r="AA4" i="4"/>
  <c r="Z4" i="4"/>
  <c r="Z5" i="4" s="1"/>
  <c r="Y4" i="4"/>
  <c r="Y5" i="4" s="1"/>
  <c r="X4" i="4"/>
  <c r="X5" i="4" s="1"/>
  <c r="W4" i="4"/>
  <c r="W5" i="4" s="1"/>
  <c r="V4" i="4"/>
  <c r="V5" i="4" s="1"/>
  <c r="U4" i="4"/>
  <c r="U5" i="4" s="1"/>
  <c r="T4" i="4"/>
  <c r="T5" i="4" s="1"/>
  <c r="S4" i="4"/>
  <c r="S5" i="4" s="1"/>
  <c r="R4" i="4"/>
  <c r="R5" i="4" s="1"/>
  <c r="Q4" i="4"/>
  <c r="Q5" i="4" s="1"/>
  <c r="P4" i="4"/>
  <c r="O4" i="4"/>
  <c r="N4" i="4"/>
  <c r="N5" i="4" s="1"/>
  <c r="M4" i="4"/>
  <c r="M5" i="4" s="1"/>
  <c r="L4" i="4"/>
  <c r="L5" i="4" s="1"/>
  <c r="K4" i="4"/>
  <c r="K5" i="4" s="1"/>
  <c r="J4" i="4"/>
  <c r="J5" i="4" s="1"/>
  <c r="AB44" i="3"/>
  <c r="AA44" i="3"/>
  <c r="Z44" i="3"/>
  <c r="X44" i="3"/>
  <c r="W44" i="3"/>
  <c r="V44" i="3"/>
  <c r="T44" i="3"/>
  <c r="S44" i="3"/>
  <c r="R44" i="3"/>
  <c r="P44" i="3"/>
  <c r="O44" i="3"/>
  <c r="N44" i="3"/>
  <c r="L44" i="3"/>
  <c r="K44" i="3"/>
  <c r="J44" i="3"/>
  <c r="H44" i="3"/>
  <c r="G44" i="3"/>
  <c r="F44" i="3"/>
  <c r="D44" i="3"/>
  <c r="C44" i="3"/>
  <c r="B44" i="3"/>
  <c r="AC37" i="3"/>
  <c r="AB37" i="3"/>
  <c r="AA37" i="3"/>
  <c r="Z37" i="3"/>
  <c r="Y37" i="3"/>
  <c r="X37" i="3"/>
  <c r="W37" i="3"/>
  <c r="V37" i="3"/>
  <c r="U37" i="3"/>
  <c r="T37" i="3"/>
  <c r="S37" i="3"/>
  <c r="R37" i="3"/>
  <c r="Q37" i="3"/>
  <c r="P37" i="3"/>
  <c r="O37" i="3"/>
  <c r="N37" i="3"/>
  <c r="M37" i="3"/>
  <c r="L37" i="3"/>
  <c r="K37" i="3"/>
  <c r="J37" i="3"/>
  <c r="I37" i="3"/>
  <c r="H37" i="3"/>
  <c r="G37" i="3"/>
  <c r="F37" i="3"/>
  <c r="E37" i="3"/>
  <c r="D37" i="3"/>
  <c r="C37" i="3"/>
  <c r="B37" i="3"/>
  <c r="AB35" i="3"/>
  <c r="AA35" i="3"/>
  <c r="Z35" i="3"/>
  <c r="X35" i="3"/>
  <c r="W35" i="3"/>
  <c r="V35" i="3"/>
  <c r="T35" i="3"/>
  <c r="S35" i="3"/>
  <c r="R35" i="3"/>
  <c r="P35" i="3"/>
  <c r="O35" i="3"/>
  <c r="N35" i="3"/>
  <c r="L35" i="3"/>
  <c r="K35" i="3"/>
  <c r="J35" i="3"/>
  <c r="H35" i="3"/>
  <c r="G35" i="3"/>
  <c r="F35" i="3"/>
  <c r="D35" i="3"/>
  <c r="C35" i="3"/>
  <c r="B35" i="3"/>
  <c r="CH154" i="2"/>
  <c r="CF154" i="2"/>
  <c r="CE154" i="2"/>
  <c r="CD154" i="2"/>
  <c r="CC154" i="2"/>
  <c r="CB154" i="2"/>
  <c r="CA154" i="2"/>
  <c r="BZ154" i="2"/>
  <c r="BY154" i="2"/>
  <c r="BX154" i="2"/>
  <c r="BW154" i="2"/>
  <c r="BV154" i="2"/>
  <c r="BT154" i="2"/>
  <c r="BS154" i="2"/>
  <c r="BR154" i="2"/>
  <c r="BQ154" i="2"/>
  <c r="BP154" i="2"/>
  <c r="BO154" i="2"/>
  <c r="BN154" i="2"/>
  <c r="BM154" i="2"/>
  <c r="BL154" i="2"/>
  <c r="BK154" i="2"/>
  <c r="BJ154" i="2"/>
  <c r="BH154" i="2"/>
  <c r="BG154" i="2"/>
  <c r="BF154" i="2"/>
  <c r="BE154" i="2"/>
  <c r="BD154" i="2"/>
  <c r="BC154" i="2"/>
  <c r="BB154" i="2"/>
  <c r="BA154" i="2"/>
  <c r="AZ154" i="2"/>
  <c r="AY154" i="2"/>
  <c r="AX154" i="2"/>
  <c r="AV154" i="2"/>
  <c r="AU154" i="2"/>
  <c r="AT154" i="2"/>
  <c r="AS154" i="2"/>
  <c r="AR154" i="2"/>
  <c r="AQ154" i="2"/>
  <c r="AP154" i="2"/>
  <c r="AO154" i="2"/>
  <c r="AN154" i="2"/>
  <c r="AM154" i="2"/>
  <c r="AL154" i="2"/>
  <c r="AJ154" i="2"/>
  <c r="AI154" i="2"/>
  <c r="AH154" i="2"/>
  <c r="AG154" i="2"/>
  <c r="AF154" i="2"/>
  <c r="AE154" i="2"/>
  <c r="AD154" i="2"/>
  <c r="AC154" i="2"/>
  <c r="AB154" i="2"/>
  <c r="AA154" i="2"/>
  <c r="Z154" i="2"/>
  <c r="X154" i="2"/>
  <c r="W154" i="2"/>
  <c r="V154" i="2"/>
  <c r="U154" i="2"/>
  <c r="T154" i="2"/>
  <c r="S154" i="2"/>
  <c r="R154" i="2"/>
  <c r="Q154" i="2"/>
  <c r="P154" i="2"/>
  <c r="O154" i="2"/>
  <c r="N154" i="2"/>
  <c r="L154" i="2"/>
  <c r="K154" i="2"/>
  <c r="J154" i="2"/>
  <c r="I154" i="2"/>
  <c r="H154" i="2"/>
  <c r="G154" i="2"/>
  <c r="F154" i="2"/>
  <c r="E154" i="2"/>
  <c r="D154" i="2"/>
  <c r="C154" i="2"/>
  <c r="C151" i="2"/>
  <c r="C146" i="2"/>
  <c r="CH140" i="2"/>
  <c r="CE140" i="2"/>
  <c r="CD140" i="2"/>
  <c r="CC140" i="2"/>
  <c r="CB140" i="2"/>
  <c r="CA140" i="2"/>
  <c r="BZ140" i="2"/>
  <c r="BW140" i="2"/>
  <c r="BV140" i="2"/>
  <c r="BU140" i="2"/>
  <c r="BT140" i="2"/>
  <c r="BS140" i="2"/>
  <c r="BR140" i="2"/>
  <c r="BO140" i="2"/>
  <c r="BN140" i="2"/>
  <c r="BM140" i="2"/>
  <c r="BL140" i="2"/>
  <c r="BK140" i="2"/>
  <c r="BJ140" i="2"/>
  <c r="BG140" i="2"/>
  <c r="BF140" i="2"/>
  <c r="BE140" i="2"/>
  <c r="BD140" i="2"/>
  <c r="BC140" i="2"/>
  <c r="BB140" i="2"/>
  <c r="AY140" i="2"/>
  <c r="AX140" i="2"/>
  <c r="AW140" i="2"/>
  <c r="AV140" i="2"/>
  <c r="AU140" i="2"/>
  <c r="AT140" i="2"/>
  <c r="AQ140" i="2"/>
  <c r="AP140" i="2"/>
  <c r="AO140" i="2"/>
  <c r="AN140" i="2"/>
  <c r="AM140" i="2"/>
  <c r="AL140" i="2"/>
  <c r="AI140" i="2"/>
  <c r="AH140" i="2"/>
  <c r="AG140" i="2"/>
  <c r="AF140" i="2"/>
  <c r="AE140" i="2"/>
  <c r="AD140" i="2"/>
  <c r="AA140" i="2"/>
  <c r="Z140" i="2"/>
  <c r="Y140" i="2"/>
  <c r="X140" i="2"/>
  <c r="W140" i="2"/>
  <c r="V140" i="2"/>
  <c r="S140" i="2"/>
  <c r="R140" i="2"/>
  <c r="Q140" i="2"/>
  <c r="P140" i="2"/>
  <c r="O140" i="2"/>
  <c r="N140" i="2"/>
  <c r="K140" i="2"/>
  <c r="J140" i="2"/>
  <c r="I140" i="2"/>
  <c r="H140" i="2"/>
  <c r="G140" i="2"/>
  <c r="F140" i="2"/>
  <c r="C140" i="2"/>
  <c r="CH139" i="2"/>
  <c r="CG139" i="2"/>
  <c r="CF139" i="2"/>
  <c r="CE139" i="2"/>
  <c r="CD139" i="2"/>
  <c r="CA139" i="2"/>
  <c r="BZ139" i="2"/>
  <c r="BY139" i="2"/>
  <c r="BX139" i="2"/>
  <c r="BW139" i="2"/>
  <c r="BV139" i="2"/>
  <c r="BS139" i="2"/>
  <c r="BR139" i="2"/>
  <c r="BQ139" i="2"/>
  <c r="BP139" i="2"/>
  <c r="BO139" i="2"/>
  <c r="BN139" i="2"/>
  <c r="BK139" i="2"/>
  <c r="BJ139" i="2"/>
  <c r="BI139" i="2"/>
  <c r="BH139" i="2"/>
  <c r="BG139" i="2"/>
  <c r="BF139" i="2"/>
  <c r="BC139" i="2"/>
  <c r="BB139" i="2"/>
  <c r="BA139" i="2"/>
  <c r="AZ139" i="2"/>
  <c r="AY139" i="2"/>
  <c r="AX139" i="2"/>
  <c r="AU139" i="2"/>
  <c r="AT139" i="2"/>
  <c r="AS139" i="2"/>
  <c r="AR139" i="2"/>
  <c r="AQ139" i="2"/>
  <c r="AP139" i="2"/>
  <c r="AM139" i="2"/>
  <c r="AL139" i="2"/>
  <c r="AK139" i="2"/>
  <c r="AJ139" i="2"/>
  <c r="AI139" i="2"/>
  <c r="AH139" i="2"/>
  <c r="AE139" i="2"/>
  <c r="AD139" i="2"/>
  <c r="AC139" i="2"/>
  <c r="AB139" i="2"/>
  <c r="AA139" i="2"/>
  <c r="Z139" i="2"/>
  <c r="W139" i="2"/>
  <c r="V139" i="2"/>
  <c r="U139" i="2"/>
  <c r="T139" i="2"/>
  <c r="S139" i="2"/>
  <c r="R139" i="2"/>
  <c r="O139" i="2"/>
  <c r="N139" i="2"/>
  <c r="M139" i="2"/>
  <c r="L139" i="2"/>
  <c r="K139" i="2"/>
  <c r="J139" i="2"/>
  <c r="G139" i="2"/>
  <c r="F139" i="2"/>
  <c r="E139" i="2"/>
  <c r="D139" i="2"/>
  <c r="C139" i="2"/>
  <c r="CH138" i="2"/>
  <c r="CE138" i="2"/>
  <c r="CD138" i="2"/>
  <c r="CC138" i="2"/>
  <c r="CB138" i="2"/>
  <c r="CA138" i="2"/>
  <c r="BZ138" i="2"/>
  <c r="BW138" i="2"/>
  <c r="BV138" i="2"/>
  <c r="BU138" i="2"/>
  <c r="BT138" i="2"/>
  <c r="BS138" i="2"/>
  <c r="BR138" i="2"/>
  <c r="BO138" i="2"/>
  <c r="BN138" i="2"/>
  <c r="BM138" i="2"/>
  <c r="BL138" i="2"/>
  <c r="BK138" i="2"/>
  <c r="BJ138" i="2"/>
  <c r="BG138" i="2"/>
  <c r="BF138" i="2"/>
  <c r="BE138" i="2"/>
  <c r="BD138" i="2"/>
  <c r="BC138" i="2"/>
  <c r="BB138" i="2"/>
  <c r="AY138" i="2"/>
  <c r="AX138" i="2"/>
  <c r="AW138" i="2"/>
  <c r="AV138" i="2"/>
  <c r="AU138" i="2"/>
  <c r="AT138" i="2"/>
  <c r="AQ138" i="2"/>
  <c r="AP138" i="2"/>
  <c r="AO138" i="2"/>
  <c r="AN138" i="2"/>
  <c r="AM138" i="2"/>
  <c r="AL138" i="2"/>
  <c r="AI138" i="2"/>
  <c r="AH138" i="2"/>
  <c r="AG138" i="2"/>
  <c r="AF138" i="2"/>
  <c r="AE138" i="2"/>
  <c r="AD138" i="2"/>
  <c r="AA138" i="2"/>
  <c r="Z138" i="2"/>
  <c r="Y138" i="2"/>
  <c r="X138" i="2"/>
  <c r="W138" i="2"/>
  <c r="V138" i="2"/>
  <c r="S138" i="2"/>
  <c r="R138" i="2"/>
  <c r="Q138" i="2"/>
  <c r="P138" i="2"/>
  <c r="O138" i="2"/>
  <c r="N138" i="2"/>
  <c r="K138" i="2"/>
  <c r="J138" i="2"/>
  <c r="I138" i="2"/>
  <c r="H138" i="2"/>
  <c r="G138" i="2"/>
  <c r="F138" i="2"/>
  <c r="C138" i="2"/>
  <c r="CH137" i="2"/>
  <c r="CG137" i="2"/>
  <c r="CF137" i="2"/>
  <c r="CE137" i="2"/>
  <c r="CD137" i="2"/>
  <c r="CA137" i="2"/>
  <c r="BZ137" i="2"/>
  <c r="BY137" i="2"/>
  <c r="BX137" i="2"/>
  <c r="BW137" i="2"/>
  <c r="BV137" i="2"/>
  <c r="BS137" i="2"/>
  <c r="BR137" i="2"/>
  <c r="BQ137" i="2"/>
  <c r="BP137" i="2"/>
  <c r="BO137" i="2"/>
  <c r="BN137" i="2"/>
  <c r="BK137" i="2"/>
  <c r="BJ137" i="2"/>
  <c r="BI137" i="2"/>
  <c r="BH137" i="2"/>
  <c r="BG137" i="2"/>
  <c r="BF137" i="2"/>
  <c r="BC137" i="2"/>
  <c r="BB137" i="2"/>
  <c r="BA137" i="2"/>
  <c r="AZ137" i="2"/>
  <c r="AY137" i="2"/>
  <c r="AX137" i="2"/>
  <c r="AU137" i="2"/>
  <c r="AT137" i="2"/>
  <c r="AS137" i="2"/>
  <c r="AR137" i="2"/>
  <c r="AQ137" i="2"/>
  <c r="AP137" i="2"/>
  <c r="AM137" i="2"/>
  <c r="AL137" i="2"/>
  <c r="AK137" i="2"/>
  <c r="AJ137" i="2"/>
  <c r="AI137" i="2"/>
  <c r="AH137" i="2"/>
  <c r="AE137" i="2"/>
  <c r="AD137" i="2"/>
  <c r="AC137" i="2"/>
  <c r="AB137" i="2"/>
  <c r="AA137" i="2"/>
  <c r="Z137" i="2"/>
  <c r="W137" i="2"/>
  <c r="V137" i="2"/>
  <c r="U137" i="2"/>
  <c r="T137" i="2"/>
  <c r="S137" i="2"/>
  <c r="R137" i="2"/>
  <c r="O137" i="2"/>
  <c r="N137" i="2"/>
  <c r="M137" i="2"/>
  <c r="L137" i="2"/>
  <c r="K137" i="2"/>
  <c r="J137" i="2"/>
  <c r="G137" i="2"/>
  <c r="F137" i="2"/>
  <c r="E137" i="2"/>
  <c r="D137" i="2"/>
  <c r="C137" i="2"/>
  <c r="CH136" i="2"/>
  <c r="CE136" i="2"/>
  <c r="CD136" i="2"/>
  <c r="CC136" i="2"/>
  <c r="CB136" i="2"/>
  <c r="CA136" i="2"/>
  <c r="BZ136" i="2"/>
  <c r="BW136" i="2"/>
  <c r="BV136" i="2"/>
  <c r="BU136" i="2"/>
  <c r="BT136" i="2"/>
  <c r="BS136" i="2"/>
  <c r="BR136" i="2"/>
  <c r="BO136" i="2"/>
  <c r="BN136" i="2"/>
  <c r="BM136" i="2"/>
  <c r="BL136" i="2"/>
  <c r="BK136" i="2"/>
  <c r="BJ136" i="2"/>
  <c r="BG136" i="2"/>
  <c r="BF136" i="2"/>
  <c r="BE136" i="2"/>
  <c r="BD136" i="2"/>
  <c r="BC136" i="2"/>
  <c r="BB136" i="2"/>
  <c r="AY136" i="2"/>
  <c r="AX136" i="2"/>
  <c r="AW136" i="2"/>
  <c r="AV136" i="2"/>
  <c r="AU136" i="2"/>
  <c r="AT136" i="2"/>
  <c r="AQ136" i="2"/>
  <c r="AP136" i="2"/>
  <c r="AO136" i="2"/>
  <c r="AN136" i="2"/>
  <c r="AM136" i="2"/>
  <c r="AL136" i="2"/>
  <c r="AI136" i="2"/>
  <c r="AH136" i="2"/>
  <c r="AG136" i="2"/>
  <c r="AF136" i="2"/>
  <c r="AE136" i="2"/>
  <c r="AD136" i="2"/>
  <c r="AA136" i="2"/>
  <c r="Z136" i="2"/>
  <c r="Y136" i="2"/>
  <c r="X136" i="2"/>
  <c r="W136" i="2"/>
  <c r="V136" i="2"/>
  <c r="S136" i="2"/>
  <c r="R136" i="2"/>
  <c r="Q136" i="2"/>
  <c r="P136" i="2"/>
  <c r="O136" i="2"/>
  <c r="N136" i="2"/>
  <c r="K136" i="2"/>
  <c r="J136" i="2"/>
  <c r="I136" i="2"/>
  <c r="H136" i="2"/>
  <c r="G136" i="2"/>
  <c r="F136" i="2"/>
  <c r="C136" i="2"/>
  <c r="CH135" i="2"/>
  <c r="CG135" i="2"/>
  <c r="CF135" i="2"/>
  <c r="CE135" i="2"/>
  <c r="CD135" i="2"/>
  <c r="CA135" i="2"/>
  <c r="BZ135" i="2"/>
  <c r="BY135" i="2"/>
  <c r="BX135" i="2"/>
  <c r="BW135" i="2"/>
  <c r="BV135" i="2"/>
  <c r="BS135" i="2"/>
  <c r="BR135" i="2"/>
  <c r="BQ135" i="2"/>
  <c r="BP135" i="2"/>
  <c r="BO135" i="2"/>
  <c r="BN135" i="2"/>
  <c r="BK135" i="2"/>
  <c r="BJ135" i="2"/>
  <c r="BI135" i="2"/>
  <c r="BH135" i="2"/>
  <c r="BG135" i="2"/>
  <c r="BF135" i="2"/>
  <c r="BC135" i="2"/>
  <c r="BB135" i="2"/>
  <c r="BA135" i="2"/>
  <c r="AZ135" i="2"/>
  <c r="AY135" i="2"/>
  <c r="AX135" i="2"/>
  <c r="AU135" i="2"/>
  <c r="AT135" i="2"/>
  <c r="AS135" i="2"/>
  <c r="AR135" i="2"/>
  <c r="AQ135" i="2"/>
  <c r="AP135" i="2"/>
  <c r="AM135" i="2"/>
  <c r="AL135" i="2"/>
  <c r="AK135" i="2"/>
  <c r="AJ135" i="2"/>
  <c r="AI135" i="2"/>
  <c r="AH135" i="2"/>
  <c r="AE135" i="2"/>
  <c r="AD135" i="2"/>
  <c r="AC135" i="2"/>
  <c r="AB135" i="2"/>
  <c r="AA135" i="2"/>
  <c r="Z135" i="2"/>
  <c r="W135" i="2"/>
  <c r="V135" i="2"/>
  <c r="U135" i="2"/>
  <c r="T135" i="2"/>
  <c r="S135" i="2"/>
  <c r="R135" i="2"/>
  <c r="O135" i="2"/>
  <c r="N135" i="2"/>
  <c r="M135" i="2"/>
  <c r="L135" i="2"/>
  <c r="K135" i="2"/>
  <c r="J135" i="2"/>
  <c r="G135" i="2"/>
  <c r="F135" i="2"/>
  <c r="E135" i="2"/>
  <c r="D135" i="2"/>
  <c r="C135" i="2"/>
  <c r="CH134" i="2"/>
  <c r="CE134" i="2"/>
  <c r="CD134" i="2"/>
  <c r="CC134" i="2"/>
  <c r="CB134" i="2"/>
  <c r="CA134" i="2"/>
  <c r="BZ134" i="2"/>
  <c r="BW134" i="2"/>
  <c r="BV134" i="2"/>
  <c r="BU134" i="2"/>
  <c r="BT134" i="2"/>
  <c r="BS134" i="2"/>
  <c r="BR134" i="2"/>
  <c r="BO134" i="2"/>
  <c r="BN134" i="2"/>
  <c r="BM134" i="2"/>
  <c r="BL134" i="2"/>
  <c r="BK134" i="2"/>
  <c r="BJ134" i="2"/>
  <c r="BG134" i="2"/>
  <c r="BF134" i="2"/>
  <c r="BE134" i="2"/>
  <c r="BD134" i="2"/>
  <c r="BC134" i="2"/>
  <c r="BB134" i="2"/>
  <c r="AY134" i="2"/>
  <c r="AX134" i="2"/>
  <c r="AW134" i="2"/>
  <c r="AV134" i="2"/>
  <c r="AU134" i="2"/>
  <c r="AT134" i="2"/>
  <c r="AQ134" i="2"/>
  <c r="AP134" i="2"/>
  <c r="AO134" i="2"/>
  <c r="AN134" i="2"/>
  <c r="AM134" i="2"/>
  <c r="AL134" i="2"/>
  <c r="AI134" i="2"/>
  <c r="AH134" i="2"/>
  <c r="AG134" i="2"/>
  <c r="AF134" i="2"/>
  <c r="AE134" i="2"/>
  <c r="AD134" i="2"/>
  <c r="AA134" i="2"/>
  <c r="Z134" i="2"/>
  <c r="Y134" i="2"/>
  <c r="X134" i="2"/>
  <c r="W134" i="2"/>
  <c r="V134" i="2"/>
  <c r="S134" i="2"/>
  <c r="R134" i="2"/>
  <c r="Q134" i="2"/>
  <c r="P134" i="2"/>
  <c r="O134" i="2"/>
  <c r="N134" i="2"/>
  <c r="K134" i="2"/>
  <c r="J134" i="2"/>
  <c r="I134" i="2"/>
  <c r="H134" i="2"/>
  <c r="G134" i="2"/>
  <c r="F134" i="2"/>
  <c r="C134" i="2"/>
  <c r="CH133" i="2"/>
  <c r="CG133" i="2"/>
  <c r="CF133" i="2"/>
  <c r="CD133" i="2"/>
  <c r="CD141" i="2" s="1"/>
  <c r="CA133" i="2"/>
  <c r="CA141" i="2" s="1"/>
  <c r="BZ133" i="2"/>
  <c r="BY133" i="2"/>
  <c r="BX133" i="2"/>
  <c r="BV133" i="2"/>
  <c r="BS133" i="2"/>
  <c r="BS141" i="2" s="1"/>
  <c r="X40" i="3" s="1"/>
  <c r="BR133" i="2"/>
  <c r="BQ133" i="2"/>
  <c r="BP133" i="2"/>
  <c r="BN133" i="2"/>
  <c r="BK133" i="2"/>
  <c r="BJ133" i="2"/>
  <c r="BI133" i="2"/>
  <c r="BH133" i="2"/>
  <c r="BF133" i="2"/>
  <c r="BC133" i="2"/>
  <c r="BB133" i="2"/>
  <c r="BA133" i="2"/>
  <c r="AZ133" i="2"/>
  <c r="AZ141" i="2" s="1"/>
  <c r="AX133" i="2"/>
  <c r="AU133" i="2"/>
  <c r="AT133" i="2"/>
  <c r="AS133" i="2"/>
  <c r="AR133" i="2"/>
  <c r="AP133" i="2"/>
  <c r="AP141" i="2" s="1"/>
  <c r="AM133" i="2"/>
  <c r="AM141" i="2" s="1"/>
  <c r="AL133" i="2"/>
  <c r="AK133" i="2"/>
  <c r="AJ133" i="2"/>
  <c r="AH133" i="2"/>
  <c r="AE133" i="2"/>
  <c r="AD133" i="2"/>
  <c r="AC133" i="2"/>
  <c r="AB133" i="2"/>
  <c r="Z133" i="2"/>
  <c r="X133" i="2"/>
  <c r="X141" i="2" s="1"/>
  <c r="W133" i="2"/>
  <c r="V133" i="2"/>
  <c r="U133" i="2"/>
  <c r="T133" i="2"/>
  <c r="R133" i="2"/>
  <c r="O133" i="2"/>
  <c r="O141" i="2" s="1"/>
  <c r="N133" i="2"/>
  <c r="M133" i="2"/>
  <c r="L133" i="2"/>
  <c r="J133" i="2"/>
  <c r="G133" i="2"/>
  <c r="G141" i="2" s="1"/>
  <c r="F133" i="2"/>
  <c r="E133" i="2"/>
  <c r="D133" i="2"/>
  <c r="O128" i="2"/>
  <c r="C126" i="2"/>
  <c r="AC123" i="2"/>
  <c r="C121" i="2"/>
  <c r="C116" i="2"/>
  <c r="C111" i="2"/>
  <c r="C108" i="2"/>
  <c r="D106" i="2" s="1"/>
  <c r="D108" i="2" s="1"/>
  <c r="E106" i="2" s="1"/>
  <c r="E108" i="2" s="1"/>
  <c r="C106" i="2"/>
  <c r="C99" i="2"/>
  <c r="C100" i="2" s="1"/>
  <c r="C82" i="2"/>
  <c r="CH81" i="2"/>
  <c r="CG81" i="2"/>
  <c r="CF81" i="2"/>
  <c r="AC27" i="3" s="1"/>
  <c r="CE81" i="2"/>
  <c r="CD81" i="2"/>
  <c r="CC81" i="2"/>
  <c r="AB27" i="3" s="1"/>
  <c r="CB81" i="2"/>
  <c r="CA81" i="2"/>
  <c r="BZ81" i="2"/>
  <c r="BY81" i="2"/>
  <c r="BX81" i="2"/>
  <c r="BW81" i="2"/>
  <c r="BV81" i="2"/>
  <c r="BU81" i="2"/>
  <c r="BT81" i="2"/>
  <c r="BS81" i="2"/>
  <c r="BR81" i="2"/>
  <c r="BQ81" i="2"/>
  <c r="BP81" i="2"/>
  <c r="BO81" i="2"/>
  <c r="BN81" i="2"/>
  <c r="BM81" i="2"/>
  <c r="BL81" i="2"/>
  <c r="BK81" i="2"/>
  <c r="BJ81" i="2"/>
  <c r="BI81" i="2"/>
  <c r="BH81" i="2"/>
  <c r="U27" i="3" s="1"/>
  <c r="BG81" i="2"/>
  <c r="BF81" i="2"/>
  <c r="BE81" i="2"/>
  <c r="T27" i="3" s="1"/>
  <c r="BD81" i="2"/>
  <c r="BC81" i="2"/>
  <c r="BB81" i="2"/>
  <c r="BA81" i="2"/>
  <c r="AZ81" i="2"/>
  <c r="AY81" i="2"/>
  <c r="AX81" i="2"/>
  <c r="AW81" i="2"/>
  <c r="AV81" i="2"/>
  <c r="AU81" i="2"/>
  <c r="AT81" i="2"/>
  <c r="AS81" i="2"/>
  <c r="AR81" i="2"/>
  <c r="AQ81" i="2"/>
  <c r="AP81" i="2"/>
  <c r="AO81" i="2"/>
  <c r="AN81" i="2"/>
  <c r="AM81" i="2"/>
  <c r="AL81" i="2"/>
  <c r="AK81" i="2"/>
  <c r="AJ81" i="2"/>
  <c r="M27" i="3" s="1"/>
  <c r="AI81" i="2"/>
  <c r="AH81" i="2"/>
  <c r="AG81" i="2"/>
  <c r="L27" i="3" s="1"/>
  <c r="AF81" i="2"/>
  <c r="AE81" i="2"/>
  <c r="AD81" i="2"/>
  <c r="AC81" i="2"/>
  <c r="AB81" i="2"/>
  <c r="AA81" i="2"/>
  <c r="Z81" i="2"/>
  <c r="Y81" i="2"/>
  <c r="X81" i="2"/>
  <c r="W81" i="2"/>
  <c r="V81" i="2"/>
  <c r="U81" i="2"/>
  <c r="T81" i="2"/>
  <c r="S81" i="2"/>
  <c r="R81" i="2"/>
  <c r="Q81" i="2"/>
  <c r="P81" i="2"/>
  <c r="O81" i="2"/>
  <c r="N81" i="2"/>
  <c r="M81" i="2"/>
  <c r="L81" i="2"/>
  <c r="E27" i="3" s="1"/>
  <c r="K81" i="2"/>
  <c r="J81" i="2"/>
  <c r="I81" i="2"/>
  <c r="D27" i="3" s="1"/>
  <c r="H81" i="2"/>
  <c r="G81" i="2"/>
  <c r="F81" i="2"/>
  <c r="E81" i="2"/>
  <c r="D81" i="2"/>
  <c r="C81" i="2"/>
  <c r="CH80" i="2"/>
  <c r="CG80" i="2"/>
  <c r="CF80" i="2"/>
  <c r="CE80" i="2"/>
  <c r="CD80" i="2"/>
  <c r="CC80" i="2"/>
  <c r="CB80" i="2"/>
  <c r="CA80" i="2"/>
  <c r="BZ80" i="2"/>
  <c r="BY80" i="2"/>
  <c r="BX80" i="2"/>
  <c r="BW80" i="2"/>
  <c r="BV80" i="2"/>
  <c r="BU80" i="2"/>
  <c r="BT80" i="2"/>
  <c r="Y26" i="3" s="1"/>
  <c r="BS80" i="2"/>
  <c r="BR80" i="2"/>
  <c r="BQ80" i="2"/>
  <c r="X26" i="3" s="1"/>
  <c r="BP80" i="2"/>
  <c r="BO80" i="2"/>
  <c r="BN80" i="2"/>
  <c r="BM80" i="2"/>
  <c r="BL80" i="2"/>
  <c r="BK80" i="2"/>
  <c r="BJ80" i="2"/>
  <c r="BI80" i="2"/>
  <c r="BH80" i="2"/>
  <c r="BG80" i="2"/>
  <c r="BF80" i="2"/>
  <c r="BE80" i="2"/>
  <c r="BD80" i="2"/>
  <c r="BC80" i="2"/>
  <c r="BB80" i="2"/>
  <c r="BA80" i="2"/>
  <c r="AZ80" i="2"/>
  <c r="AY80" i="2"/>
  <c r="AX80" i="2"/>
  <c r="AW80" i="2"/>
  <c r="AV80" i="2"/>
  <c r="Q26" i="3" s="1"/>
  <c r="AU80" i="2"/>
  <c r="AT80" i="2"/>
  <c r="AS80" i="2"/>
  <c r="P26" i="3" s="1"/>
  <c r="AR80" i="2"/>
  <c r="AQ80" i="2"/>
  <c r="AP80" i="2"/>
  <c r="AO80" i="2"/>
  <c r="AN80" i="2"/>
  <c r="AM80" i="2"/>
  <c r="AL80" i="2"/>
  <c r="AK80" i="2"/>
  <c r="AJ80" i="2"/>
  <c r="AI80" i="2"/>
  <c r="AH80" i="2"/>
  <c r="AG80" i="2"/>
  <c r="AF80" i="2"/>
  <c r="AE80" i="2"/>
  <c r="AD80" i="2"/>
  <c r="AC80" i="2"/>
  <c r="AB80" i="2"/>
  <c r="AA80" i="2"/>
  <c r="Z80" i="2"/>
  <c r="Y80" i="2"/>
  <c r="X80" i="2"/>
  <c r="I26" i="3" s="1"/>
  <c r="W80" i="2"/>
  <c r="V80" i="2"/>
  <c r="U80" i="2"/>
  <c r="H26" i="3" s="1"/>
  <c r="T80" i="2"/>
  <c r="S80" i="2"/>
  <c r="R80" i="2"/>
  <c r="Q80" i="2"/>
  <c r="P80" i="2"/>
  <c r="O80" i="2"/>
  <c r="N80" i="2"/>
  <c r="M80" i="2"/>
  <c r="L80" i="2"/>
  <c r="K80" i="2"/>
  <c r="J80" i="2"/>
  <c r="I80" i="2"/>
  <c r="H80" i="2"/>
  <c r="G80" i="2"/>
  <c r="F80" i="2"/>
  <c r="E80" i="2"/>
  <c r="D80" i="2"/>
  <c r="C80" i="2"/>
  <c r="BZ79" i="2"/>
  <c r="BN79" i="2"/>
  <c r="BB79" i="2"/>
  <c r="AP79" i="2"/>
  <c r="AD79" i="2"/>
  <c r="R79" i="2"/>
  <c r="F79" i="2"/>
  <c r="CE78" i="2"/>
  <c r="BS78" i="2"/>
  <c r="BG78" i="2"/>
  <c r="AU78" i="2"/>
  <c r="AI78" i="2"/>
  <c r="W78" i="2"/>
  <c r="K78" i="2"/>
  <c r="CH77" i="2"/>
  <c r="CE77" i="2"/>
  <c r="CD77" i="2"/>
  <c r="CC77" i="2"/>
  <c r="CB77" i="2"/>
  <c r="CA77" i="2"/>
  <c r="BZ77" i="2"/>
  <c r="BW77" i="2"/>
  <c r="BV77" i="2"/>
  <c r="BU77" i="2"/>
  <c r="BT77" i="2"/>
  <c r="BS77" i="2"/>
  <c r="BR77" i="2"/>
  <c r="BO77" i="2"/>
  <c r="BN77" i="2"/>
  <c r="BM77" i="2"/>
  <c r="BL77" i="2"/>
  <c r="BK77" i="2"/>
  <c r="BJ77" i="2"/>
  <c r="BG77" i="2"/>
  <c r="BF77" i="2"/>
  <c r="BE77" i="2"/>
  <c r="BD77" i="2"/>
  <c r="BC77" i="2"/>
  <c r="BB77" i="2"/>
  <c r="AY77" i="2"/>
  <c r="AX77" i="2"/>
  <c r="AW77" i="2"/>
  <c r="AV77" i="2"/>
  <c r="AU77" i="2"/>
  <c r="AT77" i="2"/>
  <c r="AQ77" i="2"/>
  <c r="AP77" i="2"/>
  <c r="AO77" i="2"/>
  <c r="AN77" i="2"/>
  <c r="AM77" i="2"/>
  <c r="AL77" i="2"/>
  <c r="AI77" i="2"/>
  <c r="AH77" i="2"/>
  <c r="AG77" i="2"/>
  <c r="AF77" i="2"/>
  <c r="AE77" i="2"/>
  <c r="AD77" i="2"/>
  <c r="AA77" i="2"/>
  <c r="Z77" i="2"/>
  <c r="Y77" i="2"/>
  <c r="X77" i="2"/>
  <c r="W77" i="2"/>
  <c r="V77" i="2"/>
  <c r="S77" i="2"/>
  <c r="R77" i="2"/>
  <c r="Q77" i="2"/>
  <c r="P77" i="2"/>
  <c r="O77" i="2"/>
  <c r="N77" i="2"/>
  <c r="K77" i="2"/>
  <c r="J77" i="2"/>
  <c r="I77" i="2"/>
  <c r="H77" i="2"/>
  <c r="G77" i="2"/>
  <c r="F77" i="2"/>
  <c r="C77" i="2"/>
  <c r="CH76" i="2"/>
  <c r="CE76" i="2"/>
  <c r="CD76" i="2"/>
  <c r="CC76" i="2"/>
  <c r="CB76" i="2"/>
  <c r="CA76" i="2"/>
  <c r="BZ76" i="2"/>
  <c r="BW76" i="2"/>
  <c r="BV76" i="2"/>
  <c r="BU76" i="2"/>
  <c r="BT76" i="2"/>
  <c r="BS76" i="2"/>
  <c r="BR76" i="2"/>
  <c r="BO76" i="2"/>
  <c r="BN76" i="2"/>
  <c r="BM76" i="2"/>
  <c r="BL76" i="2"/>
  <c r="BK76" i="2"/>
  <c r="BJ76" i="2"/>
  <c r="BG76" i="2"/>
  <c r="BF76" i="2"/>
  <c r="BE76" i="2"/>
  <c r="BD76" i="2"/>
  <c r="BC76" i="2"/>
  <c r="BB76" i="2"/>
  <c r="AY76" i="2"/>
  <c r="AX76" i="2"/>
  <c r="AW76" i="2"/>
  <c r="AV76" i="2"/>
  <c r="AU76" i="2"/>
  <c r="AT76" i="2"/>
  <c r="AQ76" i="2"/>
  <c r="AP76" i="2"/>
  <c r="AO76" i="2"/>
  <c r="AN76" i="2"/>
  <c r="AM76" i="2"/>
  <c r="AL76" i="2"/>
  <c r="AI76" i="2"/>
  <c r="AH76" i="2"/>
  <c r="AG76" i="2"/>
  <c r="AF76" i="2"/>
  <c r="AE76" i="2"/>
  <c r="AD76" i="2"/>
  <c r="AA76" i="2"/>
  <c r="Z76" i="2"/>
  <c r="Y76" i="2"/>
  <c r="X76" i="2"/>
  <c r="W76" i="2"/>
  <c r="V76" i="2"/>
  <c r="S76" i="2"/>
  <c r="R76" i="2"/>
  <c r="Q76" i="2"/>
  <c r="P76" i="2"/>
  <c r="O76" i="2"/>
  <c r="N76" i="2"/>
  <c r="K76" i="2"/>
  <c r="J76" i="2"/>
  <c r="I76" i="2"/>
  <c r="H76" i="2"/>
  <c r="G76" i="2"/>
  <c r="F76" i="2"/>
  <c r="C76" i="2"/>
  <c r="CH75" i="2"/>
  <c r="CE75" i="2"/>
  <c r="CD75" i="2"/>
  <c r="CC75" i="2"/>
  <c r="CB75" i="2"/>
  <c r="CA75" i="2"/>
  <c r="BZ75" i="2"/>
  <c r="BW75" i="2"/>
  <c r="BV75" i="2"/>
  <c r="BU75" i="2"/>
  <c r="BT75" i="2"/>
  <c r="BS75" i="2"/>
  <c r="BR75" i="2"/>
  <c r="BO75" i="2"/>
  <c r="BN75" i="2"/>
  <c r="BM75" i="2"/>
  <c r="BL75" i="2"/>
  <c r="BK75" i="2"/>
  <c r="BJ75" i="2"/>
  <c r="BG75" i="2"/>
  <c r="BF75" i="2"/>
  <c r="BE75" i="2"/>
  <c r="BD75" i="2"/>
  <c r="BC75" i="2"/>
  <c r="BB75" i="2"/>
  <c r="AY75" i="2"/>
  <c r="AX75" i="2"/>
  <c r="AW75" i="2"/>
  <c r="AV75" i="2"/>
  <c r="AU75" i="2"/>
  <c r="AT75" i="2"/>
  <c r="AQ75" i="2"/>
  <c r="AP75" i="2"/>
  <c r="AO75" i="2"/>
  <c r="AN75" i="2"/>
  <c r="AM75" i="2"/>
  <c r="AL75" i="2"/>
  <c r="AI75" i="2"/>
  <c r="AH75" i="2"/>
  <c r="AG75" i="2"/>
  <c r="AF75" i="2"/>
  <c r="AE75" i="2"/>
  <c r="AD75" i="2"/>
  <c r="AA75" i="2"/>
  <c r="Z75" i="2"/>
  <c r="Y75" i="2"/>
  <c r="X75" i="2"/>
  <c r="W75" i="2"/>
  <c r="V75" i="2"/>
  <c r="S75" i="2"/>
  <c r="R75" i="2"/>
  <c r="Q75" i="2"/>
  <c r="P75" i="2"/>
  <c r="O75" i="2"/>
  <c r="N75" i="2"/>
  <c r="K75" i="2"/>
  <c r="J75" i="2"/>
  <c r="I75" i="2"/>
  <c r="H75" i="2"/>
  <c r="G75" i="2"/>
  <c r="F75" i="2"/>
  <c r="C75" i="2"/>
  <c r="CH74" i="2"/>
  <c r="CE74" i="2"/>
  <c r="CD74" i="2"/>
  <c r="CC74" i="2"/>
  <c r="CB74" i="2"/>
  <c r="CA74" i="2"/>
  <c r="BZ74" i="2"/>
  <c r="BW74" i="2"/>
  <c r="BV74" i="2"/>
  <c r="BU74" i="2"/>
  <c r="BT74" i="2"/>
  <c r="BS74" i="2"/>
  <c r="BR74" i="2"/>
  <c r="BO74" i="2"/>
  <c r="BN74" i="2"/>
  <c r="BM74" i="2"/>
  <c r="BL74" i="2"/>
  <c r="BK74" i="2"/>
  <c r="BJ74" i="2"/>
  <c r="BG74" i="2"/>
  <c r="BF74" i="2"/>
  <c r="BE74" i="2"/>
  <c r="BD74" i="2"/>
  <c r="BC74" i="2"/>
  <c r="BB74" i="2"/>
  <c r="AY74" i="2"/>
  <c r="AX74" i="2"/>
  <c r="AW74" i="2"/>
  <c r="AV74" i="2"/>
  <c r="AU74" i="2"/>
  <c r="AT74" i="2"/>
  <c r="AQ74" i="2"/>
  <c r="AP74" i="2"/>
  <c r="AO74" i="2"/>
  <c r="AN74" i="2"/>
  <c r="AM74" i="2"/>
  <c r="AL74" i="2"/>
  <c r="AI74" i="2"/>
  <c r="AH74" i="2"/>
  <c r="AG74" i="2"/>
  <c r="AF74" i="2"/>
  <c r="AE74" i="2"/>
  <c r="AD74" i="2"/>
  <c r="AA74" i="2"/>
  <c r="Z74" i="2"/>
  <c r="Y74" i="2"/>
  <c r="X74" i="2"/>
  <c r="W74" i="2"/>
  <c r="V74" i="2"/>
  <c r="S74" i="2"/>
  <c r="R74" i="2"/>
  <c r="Q74" i="2"/>
  <c r="P74" i="2"/>
  <c r="O74" i="2"/>
  <c r="N74" i="2"/>
  <c r="K74" i="2"/>
  <c r="J74" i="2"/>
  <c r="I74" i="2"/>
  <c r="H74" i="2"/>
  <c r="G74" i="2"/>
  <c r="F74" i="2"/>
  <c r="C74" i="2"/>
  <c r="CH73" i="2"/>
  <c r="CE73" i="2"/>
  <c r="CD73" i="2"/>
  <c r="CC73" i="2"/>
  <c r="CB73" i="2"/>
  <c r="CA73" i="2"/>
  <c r="BZ73" i="2"/>
  <c r="BW73" i="2"/>
  <c r="BV73" i="2"/>
  <c r="BU73" i="2"/>
  <c r="BT73" i="2"/>
  <c r="BS73" i="2"/>
  <c r="BR73" i="2"/>
  <c r="BO73" i="2"/>
  <c r="BN73" i="2"/>
  <c r="BM73" i="2"/>
  <c r="BL73" i="2"/>
  <c r="BK73" i="2"/>
  <c r="BJ73" i="2"/>
  <c r="BG73" i="2"/>
  <c r="BF73" i="2"/>
  <c r="BE73" i="2"/>
  <c r="BD73" i="2"/>
  <c r="BC73" i="2"/>
  <c r="BB73" i="2"/>
  <c r="AY73" i="2"/>
  <c r="AX73" i="2"/>
  <c r="AW73" i="2"/>
  <c r="AV73" i="2"/>
  <c r="AU73" i="2"/>
  <c r="AT73" i="2"/>
  <c r="AQ73" i="2"/>
  <c r="AP73" i="2"/>
  <c r="AO73" i="2"/>
  <c r="AN73" i="2"/>
  <c r="AM73" i="2"/>
  <c r="AL73" i="2"/>
  <c r="AI73" i="2"/>
  <c r="AH73" i="2"/>
  <c r="AG73" i="2"/>
  <c r="AF73" i="2"/>
  <c r="AE73" i="2"/>
  <c r="AD73" i="2"/>
  <c r="AA73" i="2"/>
  <c r="Z73" i="2"/>
  <c r="Y73" i="2"/>
  <c r="X73" i="2"/>
  <c r="W73" i="2"/>
  <c r="V73" i="2"/>
  <c r="S73" i="2"/>
  <c r="R73" i="2"/>
  <c r="Q73" i="2"/>
  <c r="P73" i="2"/>
  <c r="O73" i="2"/>
  <c r="N73" i="2"/>
  <c r="K73" i="2"/>
  <c r="J73" i="2"/>
  <c r="I73" i="2"/>
  <c r="H73" i="2"/>
  <c r="G73" i="2"/>
  <c r="F73" i="2"/>
  <c r="C73" i="2"/>
  <c r="CH72" i="2"/>
  <c r="CE72" i="2"/>
  <c r="CD72" i="2"/>
  <c r="CC72" i="2"/>
  <c r="CB72" i="2"/>
  <c r="CA72" i="2"/>
  <c r="BZ72" i="2"/>
  <c r="BW72" i="2"/>
  <c r="BV72" i="2"/>
  <c r="BU72" i="2"/>
  <c r="BT72" i="2"/>
  <c r="BS72" i="2"/>
  <c r="BR72" i="2"/>
  <c r="BO72" i="2"/>
  <c r="BN72" i="2"/>
  <c r="BM72" i="2"/>
  <c r="BL72" i="2"/>
  <c r="BK72" i="2"/>
  <c r="BJ72" i="2"/>
  <c r="BG72" i="2"/>
  <c r="BF72" i="2"/>
  <c r="BE72" i="2"/>
  <c r="BD72" i="2"/>
  <c r="BC72" i="2"/>
  <c r="BB72" i="2"/>
  <c r="AY72" i="2"/>
  <c r="AX72" i="2"/>
  <c r="AW72" i="2"/>
  <c r="AV72" i="2"/>
  <c r="AU72" i="2"/>
  <c r="AT72" i="2"/>
  <c r="AQ72" i="2"/>
  <c r="AP72" i="2"/>
  <c r="AO72" i="2"/>
  <c r="AN72" i="2"/>
  <c r="AM72" i="2"/>
  <c r="AL72" i="2"/>
  <c r="AI72" i="2"/>
  <c r="AH72" i="2"/>
  <c r="AG72" i="2"/>
  <c r="AF72" i="2"/>
  <c r="AE72" i="2"/>
  <c r="AD72" i="2"/>
  <c r="AA72" i="2"/>
  <c r="Z72" i="2"/>
  <c r="Y72" i="2"/>
  <c r="X72" i="2"/>
  <c r="W72" i="2"/>
  <c r="V72" i="2"/>
  <c r="S72" i="2"/>
  <c r="R72" i="2"/>
  <c r="Q72" i="2"/>
  <c r="P72" i="2"/>
  <c r="O72" i="2"/>
  <c r="N72" i="2"/>
  <c r="K72" i="2"/>
  <c r="J72" i="2"/>
  <c r="I72" i="2"/>
  <c r="H72" i="2"/>
  <c r="G72" i="2"/>
  <c r="F72" i="2"/>
  <c r="C72" i="2"/>
  <c r="CH71" i="2"/>
  <c r="CE71" i="2"/>
  <c r="CD71" i="2"/>
  <c r="CC71" i="2"/>
  <c r="CB71" i="2"/>
  <c r="CA71" i="2"/>
  <c r="BZ71" i="2"/>
  <c r="BW71" i="2"/>
  <c r="BV71" i="2"/>
  <c r="BU71" i="2"/>
  <c r="BT71" i="2"/>
  <c r="BS71" i="2"/>
  <c r="BR71" i="2"/>
  <c r="BO71" i="2"/>
  <c r="BN71" i="2"/>
  <c r="BM71" i="2"/>
  <c r="BL71" i="2"/>
  <c r="BK71" i="2"/>
  <c r="BJ71" i="2"/>
  <c r="BG71" i="2"/>
  <c r="BF71" i="2"/>
  <c r="BE71" i="2"/>
  <c r="BD71" i="2"/>
  <c r="BC71" i="2"/>
  <c r="BB71" i="2"/>
  <c r="AY71" i="2"/>
  <c r="AX71" i="2"/>
  <c r="AW71" i="2"/>
  <c r="AV71" i="2"/>
  <c r="AU71" i="2"/>
  <c r="AT71" i="2"/>
  <c r="AQ71" i="2"/>
  <c r="AP71" i="2"/>
  <c r="AO71" i="2"/>
  <c r="AN71" i="2"/>
  <c r="AM71" i="2"/>
  <c r="AL71" i="2"/>
  <c r="AI71" i="2"/>
  <c r="AH71" i="2"/>
  <c r="AG71" i="2"/>
  <c r="AF71" i="2"/>
  <c r="AE71" i="2"/>
  <c r="AD71" i="2"/>
  <c r="AA71" i="2"/>
  <c r="Z71" i="2"/>
  <c r="Y71" i="2"/>
  <c r="X71" i="2"/>
  <c r="W71" i="2"/>
  <c r="V71" i="2"/>
  <c r="S71" i="2"/>
  <c r="R71" i="2"/>
  <c r="Q71" i="2"/>
  <c r="P71" i="2"/>
  <c r="O71" i="2"/>
  <c r="N71" i="2"/>
  <c r="K71" i="2"/>
  <c r="J71" i="2"/>
  <c r="I71" i="2"/>
  <c r="H71" i="2"/>
  <c r="G71" i="2"/>
  <c r="F71" i="2"/>
  <c r="C71" i="2"/>
  <c r="AH64" i="2"/>
  <c r="CH63" i="2"/>
  <c r="CG63" i="2"/>
  <c r="CF63" i="2"/>
  <c r="CE63" i="2"/>
  <c r="CD63" i="2"/>
  <c r="CC63" i="2"/>
  <c r="CB63" i="2"/>
  <c r="CA63" i="2"/>
  <c r="BZ63" i="2"/>
  <c r="BY63" i="2"/>
  <c r="BX63" i="2"/>
  <c r="BW63" i="2"/>
  <c r="BV63" i="2"/>
  <c r="BU63" i="2"/>
  <c r="BT63" i="2"/>
  <c r="BS63" i="2"/>
  <c r="BR63" i="2"/>
  <c r="BQ63" i="2"/>
  <c r="BP63" i="2"/>
  <c r="BO63" i="2"/>
  <c r="BN63" i="2"/>
  <c r="BM63" i="2"/>
  <c r="BL63" i="2"/>
  <c r="BK63" i="2"/>
  <c r="BJ63" i="2"/>
  <c r="BI63" i="2"/>
  <c r="BH63" i="2"/>
  <c r="BG63" i="2"/>
  <c r="BF63" i="2"/>
  <c r="BE63" i="2"/>
  <c r="BD63" i="2"/>
  <c r="BC63" i="2"/>
  <c r="BB63" i="2"/>
  <c r="BA63" i="2"/>
  <c r="AZ63" i="2"/>
  <c r="AY63" i="2"/>
  <c r="AX63" i="2"/>
  <c r="AW63" i="2"/>
  <c r="AV63" i="2"/>
  <c r="AU63" i="2"/>
  <c r="AT63" i="2"/>
  <c r="AS63" i="2"/>
  <c r="AR63" i="2"/>
  <c r="AQ63" i="2"/>
  <c r="AP63" i="2"/>
  <c r="AO63" i="2"/>
  <c r="AN63" i="2"/>
  <c r="AM63" i="2"/>
  <c r="AL63" i="2"/>
  <c r="AK63" i="2"/>
  <c r="AJ63" i="2"/>
  <c r="AI63" i="2"/>
  <c r="AH63" i="2"/>
  <c r="AG63" i="2"/>
  <c r="AF63" i="2"/>
  <c r="AE63" i="2"/>
  <c r="AD63" i="2"/>
  <c r="AC63" i="2"/>
  <c r="AB63" i="2"/>
  <c r="AA63" i="2"/>
  <c r="Z63" i="2"/>
  <c r="Y63" i="2"/>
  <c r="X63" i="2"/>
  <c r="W63" i="2"/>
  <c r="V63" i="2"/>
  <c r="U63" i="2"/>
  <c r="T63" i="2"/>
  <c r="S63" i="2"/>
  <c r="R63" i="2"/>
  <c r="Q63" i="2"/>
  <c r="P63" i="2"/>
  <c r="O63" i="2"/>
  <c r="N63" i="2"/>
  <c r="M63" i="2"/>
  <c r="L63" i="2"/>
  <c r="K63" i="2"/>
  <c r="J63" i="2"/>
  <c r="I63" i="2"/>
  <c r="H63" i="2"/>
  <c r="G63" i="2"/>
  <c r="F63" i="2"/>
  <c r="E63" i="2"/>
  <c r="D63" i="2"/>
  <c r="C63" i="2"/>
  <c r="CH62" i="2"/>
  <c r="CE62" i="2"/>
  <c r="CB62" i="2"/>
  <c r="BY62" i="2"/>
  <c r="CH61" i="2"/>
  <c r="CH32" i="4" s="1"/>
  <c r="CE61" i="2"/>
  <c r="CE32" i="4" s="1"/>
  <c r="CB61" i="2"/>
  <c r="CB32" i="4" s="1"/>
  <c r="BY61" i="2"/>
  <c r="BY32" i="4" s="1"/>
  <c r="BV61" i="2"/>
  <c r="BV32" i="4" s="1"/>
  <c r="BS61" i="2"/>
  <c r="BS32" i="4" s="1"/>
  <c r="BP61" i="2"/>
  <c r="BP32" i="4" s="1"/>
  <c r="BM61" i="2"/>
  <c r="BM32" i="4" s="1"/>
  <c r="BJ61" i="2"/>
  <c r="BJ32" i="4" s="1"/>
  <c r="BG61" i="2"/>
  <c r="BG32" i="4" s="1"/>
  <c r="BD61" i="2"/>
  <c r="BD32" i="4" s="1"/>
  <c r="BA61" i="2"/>
  <c r="CH60" i="2"/>
  <c r="CH26" i="4" s="1"/>
  <c r="CE60" i="2"/>
  <c r="CE26" i="4" s="1"/>
  <c r="CB60" i="2"/>
  <c r="CB26" i="4" s="1"/>
  <c r="BY60" i="2"/>
  <c r="BY26" i="4" s="1"/>
  <c r="BV60" i="2"/>
  <c r="BV26" i="4" s="1"/>
  <c r="BS60" i="2"/>
  <c r="BS26" i="4" s="1"/>
  <c r="BP60" i="2"/>
  <c r="BP26" i="4" s="1"/>
  <c r="BM60" i="2"/>
  <c r="BM26" i="4" s="1"/>
  <c r="BJ60" i="2"/>
  <c r="BJ26" i="4" s="1"/>
  <c r="BG60" i="2"/>
  <c r="BG26" i="4" s="1"/>
  <c r="BD60" i="2"/>
  <c r="BD26" i="4" s="1"/>
  <c r="BA60" i="2"/>
  <c r="BA26" i="4" s="1"/>
  <c r="AX60" i="2"/>
  <c r="AX26" i="4" s="1"/>
  <c r="AU60" i="2"/>
  <c r="AU26" i="4" s="1"/>
  <c r="AR60" i="2"/>
  <c r="H59" i="2"/>
  <c r="Z58" i="2"/>
  <c r="Y58" i="2"/>
  <c r="X58" i="2"/>
  <c r="W58" i="2"/>
  <c r="V58" i="2"/>
  <c r="U58" i="2"/>
  <c r="T58" i="2"/>
  <c r="S58" i="2"/>
  <c r="R58" i="2"/>
  <c r="Q58" i="2"/>
  <c r="P58" i="2"/>
  <c r="O58" i="2"/>
  <c r="N58" i="2"/>
  <c r="M58" i="2"/>
  <c r="L58" i="2"/>
  <c r="K58" i="2"/>
  <c r="J58" i="2"/>
  <c r="I58" i="2"/>
  <c r="H58" i="2"/>
  <c r="Z57" i="2"/>
  <c r="Z20" i="4" s="1"/>
  <c r="Z22" i="4" s="1"/>
  <c r="Y57" i="2"/>
  <c r="Y20" i="4" s="1"/>
  <c r="Y22" i="4" s="1"/>
  <c r="X57" i="2"/>
  <c r="X20" i="4" s="1"/>
  <c r="X22" i="4" s="1"/>
  <c r="W57" i="2"/>
  <c r="V57" i="2"/>
  <c r="U57" i="2"/>
  <c r="T57" i="2"/>
  <c r="T20" i="4" s="1"/>
  <c r="T22" i="4" s="1"/>
  <c r="S57" i="2"/>
  <c r="R57" i="2"/>
  <c r="R20" i="4" s="1"/>
  <c r="R22" i="4" s="1"/>
  <c r="Q57" i="2"/>
  <c r="Q20" i="4" s="1"/>
  <c r="Q22" i="4" s="1"/>
  <c r="P57" i="2"/>
  <c r="P20" i="4" s="1"/>
  <c r="P22" i="4" s="1"/>
  <c r="O57" i="2"/>
  <c r="N57" i="2"/>
  <c r="M57" i="2"/>
  <c r="L57" i="2"/>
  <c r="L20" i="4" s="1"/>
  <c r="L22" i="4" s="1"/>
  <c r="K57" i="2"/>
  <c r="J57" i="2"/>
  <c r="J20" i="4" s="1"/>
  <c r="J22" i="4" s="1"/>
  <c r="I57" i="2"/>
  <c r="I20" i="4" s="1"/>
  <c r="I22" i="4" s="1"/>
  <c r="H57" i="2"/>
  <c r="G56" i="2"/>
  <c r="Y55" i="2"/>
  <c r="X55" i="2"/>
  <c r="W55" i="2"/>
  <c r="V55" i="2"/>
  <c r="U55" i="2"/>
  <c r="T55" i="2"/>
  <c r="S55" i="2"/>
  <c r="R55" i="2"/>
  <c r="Q55" i="2"/>
  <c r="P55" i="2"/>
  <c r="O55" i="2"/>
  <c r="N55" i="2"/>
  <c r="M55" i="2"/>
  <c r="L55" i="2"/>
  <c r="K55" i="2"/>
  <c r="J55" i="2"/>
  <c r="I55" i="2"/>
  <c r="H55" i="2"/>
  <c r="G55" i="2"/>
  <c r="Y54" i="2"/>
  <c r="X54" i="2"/>
  <c r="X14" i="4" s="1"/>
  <c r="X16" i="4" s="1"/>
  <c r="W54" i="2"/>
  <c r="W14" i="4" s="1"/>
  <c r="W16" i="4" s="1"/>
  <c r="V54" i="2"/>
  <c r="V14" i="4" s="1"/>
  <c r="V16" i="4" s="1"/>
  <c r="U54" i="2"/>
  <c r="T54" i="2"/>
  <c r="S54" i="2"/>
  <c r="R54" i="2"/>
  <c r="R14" i="4" s="1"/>
  <c r="R16" i="4" s="1"/>
  <c r="Q54" i="2"/>
  <c r="P54" i="2"/>
  <c r="P14" i="4" s="1"/>
  <c r="P16" i="4" s="1"/>
  <c r="O54" i="2"/>
  <c r="O14" i="4" s="1"/>
  <c r="O16" i="4" s="1"/>
  <c r="N54" i="2"/>
  <c r="N14" i="4" s="1"/>
  <c r="N16" i="4" s="1"/>
  <c r="M54" i="2"/>
  <c r="L54" i="2"/>
  <c r="K54" i="2"/>
  <c r="J54" i="2"/>
  <c r="J14" i="4" s="1"/>
  <c r="J16" i="4" s="1"/>
  <c r="I54" i="2"/>
  <c r="H54" i="2"/>
  <c r="H14" i="4" s="1"/>
  <c r="H16" i="4" s="1"/>
  <c r="G54" i="2"/>
  <c r="G14" i="4" s="1"/>
  <c r="G16" i="4" s="1"/>
  <c r="I52" i="2"/>
  <c r="I4" i="4" s="1"/>
  <c r="I5" i="4" s="1"/>
  <c r="H52" i="2"/>
  <c r="H4" i="4" s="1"/>
  <c r="H5" i="4" s="1"/>
  <c r="G52" i="2"/>
  <c r="G4" i="4" s="1"/>
  <c r="G5" i="4" s="1"/>
  <c r="F52" i="2"/>
  <c r="F4" i="4" s="1"/>
  <c r="F5" i="4" s="1"/>
  <c r="E52" i="2"/>
  <c r="E4" i="4" s="1"/>
  <c r="E5" i="4" s="1"/>
  <c r="D52" i="2"/>
  <c r="D4" i="4" s="1"/>
  <c r="D5" i="4" s="1"/>
  <c r="C52" i="2"/>
  <c r="C4" i="4" s="1"/>
  <c r="C5" i="4" s="1"/>
  <c r="AC51" i="2"/>
  <c r="AC9" i="4" s="1"/>
  <c r="AC10" i="4" s="1"/>
  <c r="Z50" i="2"/>
  <c r="Z9" i="4" s="1"/>
  <c r="Z10" i="4" s="1"/>
  <c r="W49" i="2"/>
  <c r="W9" i="4" s="1"/>
  <c r="W10" i="4" s="1"/>
  <c r="Q48" i="2"/>
  <c r="Q9" i="4" s="1"/>
  <c r="Q10" i="4" s="1"/>
  <c r="P48" i="2"/>
  <c r="P9" i="4" s="1"/>
  <c r="P10" i="4" s="1"/>
  <c r="O48" i="2"/>
  <c r="O9" i="4" s="1"/>
  <c r="O10" i="4" s="1"/>
  <c r="N48" i="2"/>
  <c r="N9" i="4" s="1"/>
  <c r="N10" i="4" s="1"/>
  <c r="M48" i="2"/>
  <c r="M9" i="4" s="1"/>
  <c r="M10" i="4" s="1"/>
  <c r="L48" i="2"/>
  <c r="L9" i="4" s="1"/>
  <c r="L10" i="4" s="1"/>
  <c r="K48" i="2"/>
  <c r="K9" i="4" s="1"/>
  <c r="K10" i="4" s="1"/>
  <c r="J48" i="2"/>
  <c r="J9" i="4" s="1"/>
  <c r="J10" i="4" s="1"/>
  <c r="I48" i="2"/>
  <c r="I9" i="4" s="1"/>
  <c r="I10" i="4" s="1"/>
  <c r="H48" i="2"/>
  <c r="H9" i="4" s="1"/>
  <c r="H10" i="4" s="1"/>
  <c r="G48" i="2"/>
  <c r="G9" i="4" s="1"/>
  <c r="G10" i="4" s="1"/>
  <c r="F48" i="2"/>
  <c r="F9" i="4" s="1"/>
  <c r="F10" i="4" s="1"/>
  <c r="E48" i="2"/>
  <c r="E9" i="4" s="1"/>
  <c r="E10" i="4" s="1"/>
  <c r="D48" i="2"/>
  <c r="D9" i="4" s="1"/>
  <c r="D10" i="4" s="1"/>
  <c r="C48" i="2"/>
  <c r="C9" i="4" s="1"/>
  <c r="C10" i="4" s="1"/>
  <c r="C11" i="4" s="1"/>
  <c r="CH47" i="2"/>
  <c r="CG47" i="2"/>
  <c r="CF47" i="2"/>
  <c r="CF64" i="2" s="1"/>
  <c r="CE47" i="2"/>
  <c r="CD47" i="2"/>
  <c r="CD64" i="2" s="1"/>
  <c r="CC47" i="2"/>
  <c r="CC64" i="2" s="1"/>
  <c r="CB47" i="2"/>
  <c r="CB64" i="2" s="1"/>
  <c r="CA47" i="2"/>
  <c r="CA64" i="2" s="1"/>
  <c r="BZ47" i="2"/>
  <c r="BY47" i="2"/>
  <c r="BX47" i="2"/>
  <c r="BX64" i="2" s="1"/>
  <c r="BW47" i="2"/>
  <c r="BV47" i="2"/>
  <c r="BU47" i="2"/>
  <c r="BU64" i="2" s="1"/>
  <c r="BT47" i="2"/>
  <c r="BT64" i="2" s="1"/>
  <c r="BS47" i="2"/>
  <c r="BS64" i="2" s="1"/>
  <c r="BR47" i="2"/>
  <c r="BQ47" i="2"/>
  <c r="BP47" i="2"/>
  <c r="BP64" i="2" s="1"/>
  <c r="BO47" i="2"/>
  <c r="BN47" i="2"/>
  <c r="BN64" i="2" s="1"/>
  <c r="BM47" i="2"/>
  <c r="BM64" i="2" s="1"/>
  <c r="BL47" i="2"/>
  <c r="BL64" i="2" s="1"/>
  <c r="BK47" i="2"/>
  <c r="BK64" i="2" s="1"/>
  <c r="BJ47" i="2"/>
  <c r="BI47" i="2"/>
  <c r="BH47" i="2"/>
  <c r="BH64" i="2" s="1"/>
  <c r="BG47" i="2"/>
  <c r="BF47" i="2"/>
  <c r="BF64" i="2" s="1"/>
  <c r="BE47" i="2"/>
  <c r="BE64" i="2" s="1"/>
  <c r="BD47" i="2"/>
  <c r="BD64" i="2" s="1"/>
  <c r="BC47" i="2"/>
  <c r="BC64" i="2" s="1"/>
  <c r="BB47" i="2"/>
  <c r="BA47" i="2"/>
  <c r="AZ47" i="2"/>
  <c r="AZ64" i="2" s="1"/>
  <c r="AY47" i="2"/>
  <c r="AX47" i="2"/>
  <c r="AW47" i="2"/>
  <c r="AW64" i="2" s="1"/>
  <c r="AV47" i="2"/>
  <c r="AV64" i="2" s="1"/>
  <c r="AU47" i="2"/>
  <c r="AU64" i="2" s="1"/>
  <c r="AT47" i="2"/>
  <c r="AS47" i="2"/>
  <c r="AR47" i="2"/>
  <c r="AR64" i="2" s="1"/>
  <c r="AQ47" i="2"/>
  <c r="AP47" i="2"/>
  <c r="AP64" i="2" s="1"/>
  <c r="AO47" i="2"/>
  <c r="AO64" i="2" s="1"/>
  <c r="AN47" i="2"/>
  <c r="AN64" i="2" s="1"/>
  <c r="AM47" i="2"/>
  <c r="AM64" i="2" s="1"/>
  <c r="AL47" i="2"/>
  <c r="AK47" i="2"/>
  <c r="AJ47" i="2"/>
  <c r="AJ64" i="2" s="1"/>
  <c r="AI47" i="2"/>
  <c r="AH47" i="2"/>
  <c r="AG47" i="2"/>
  <c r="AG64" i="2" s="1"/>
  <c r="AF47" i="2"/>
  <c r="AF64" i="2" s="1"/>
  <c r="AE47" i="2"/>
  <c r="AE64" i="2" s="1"/>
  <c r="AD47" i="2"/>
  <c r="AC47" i="2"/>
  <c r="AB47" i="2"/>
  <c r="AB64" i="2" s="1"/>
  <c r="AA47" i="2"/>
  <c r="Z47" i="2"/>
  <c r="Y47" i="2"/>
  <c r="Y64" i="2" s="1"/>
  <c r="X47" i="2"/>
  <c r="W47" i="2"/>
  <c r="W64" i="2" s="1"/>
  <c r="V47" i="2"/>
  <c r="U47" i="2"/>
  <c r="T47" i="2"/>
  <c r="S47" i="2"/>
  <c r="R47" i="2"/>
  <c r="R64" i="2" s="1"/>
  <c r="Q47" i="2"/>
  <c r="Q64" i="2" s="1"/>
  <c r="P47" i="2"/>
  <c r="O47" i="2"/>
  <c r="N47" i="2"/>
  <c r="M47" i="2"/>
  <c r="L47" i="2"/>
  <c r="K47" i="2"/>
  <c r="J47" i="2"/>
  <c r="J64" i="2" s="1"/>
  <c r="I47" i="2"/>
  <c r="I64" i="2" s="1"/>
  <c r="H47" i="2"/>
  <c r="G47" i="2"/>
  <c r="G64" i="2" s="1"/>
  <c r="F47" i="2"/>
  <c r="E47" i="2"/>
  <c r="D47" i="2"/>
  <c r="C47" i="2"/>
  <c r="CH38" i="2"/>
  <c r="CG38" i="2"/>
  <c r="CE38" i="2"/>
  <c r="CD38" i="2"/>
  <c r="CC38" i="2"/>
  <c r="CB38" i="2"/>
  <c r="CA38" i="2"/>
  <c r="BZ38" i="2"/>
  <c r="BW38" i="2"/>
  <c r="BV38" i="2"/>
  <c r="BU38" i="2"/>
  <c r="BT38" i="2"/>
  <c r="BS38" i="2"/>
  <c r="BR38" i="2"/>
  <c r="BO38" i="2"/>
  <c r="BN38" i="2"/>
  <c r="BM38" i="2"/>
  <c r="BL38" i="2"/>
  <c r="BK38" i="2"/>
  <c r="BJ38" i="2"/>
  <c r="BG38" i="2"/>
  <c r="BF38" i="2"/>
  <c r="BE38" i="2"/>
  <c r="BD38" i="2"/>
  <c r="BC38" i="2"/>
  <c r="BB38" i="2"/>
  <c r="BA38" i="2"/>
  <c r="AY38" i="2"/>
  <c r="AX38" i="2"/>
  <c r="AW38" i="2"/>
  <c r="AV38" i="2"/>
  <c r="AU38" i="2"/>
  <c r="AT38" i="2"/>
  <c r="AQ38" i="2"/>
  <c r="AP38" i="2"/>
  <c r="AO38" i="2"/>
  <c r="AN38" i="2"/>
  <c r="AM38" i="2"/>
  <c r="AL38" i="2"/>
  <c r="AI38" i="2"/>
  <c r="AH38" i="2"/>
  <c r="AG38" i="2"/>
  <c r="AF38" i="2"/>
  <c r="AE38" i="2"/>
  <c r="AD38" i="2"/>
  <c r="AA38" i="2"/>
  <c r="Z38" i="2"/>
  <c r="Y38" i="2"/>
  <c r="X38" i="2"/>
  <c r="W38" i="2"/>
  <c r="V38" i="2"/>
  <c r="U38" i="2"/>
  <c r="S38" i="2"/>
  <c r="R38" i="2"/>
  <c r="Q38" i="2"/>
  <c r="P38" i="2"/>
  <c r="O38" i="2"/>
  <c r="N38" i="2"/>
  <c r="K38" i="2"/>
  <c r="J38" i="2"/>
  <c r="I38" i="2"/>
  <c r="H38" i="2"/>
  <c r="G38" i="2"/>
  <c r="F38" i="2"/>
  <c r="C38" i="2"/>
  <c r="CH37" i="2"/>
  <c r="CE37" i="2"/>
  <c r="CD37" i="2"/>
  <c r="CC37" i="2"/>
  <c r="CB37" i="2"/>
  <c r="CA37" i="2"/>
  <c r="BZ37" i="2"/>
  <c r="BW37" i="2"/>
  <c r="BV37" i="2"/>
  <c r="BU37" i="2"/>
  <c r="BT37" i="2"/>
  <c r="BS37" i="2"/>
  <c r="BR37" i="2"/>
  <c r="BO37" i="2"/>
  <c r="BN37" i="2"/>
  <c r="BM37" i="2"/>
  <c r="BL37" i="2"/>
  <c r="BK37" i="2"/>
  <c r="BJ37" i="2"/>
  <c r="BG37" i="2"/>
  <c r="BF37" i="2"/>
  <c r="BE37" i="2"/>
  <c r="BD37" i="2"/>
  <c r="BC37" i="2"/>
  <c r="BB37" i="2"/>
  <c r="AY37" i="2"/>
  <c r="AX37" i="2"/>
  <c r="AW37" i="2"/>
  <c r="AV37" i="2"/>
  <c r="AU37" i="2"/>
  <c r="AT37" i="2"/>
  <c r="AQ37" i="2"/>
  <c r="AP37" i="2"/>
  <c r="AO37" i="2"/>
  <c r="AN37" i="2"/>
  <c r="AM37" i="2"/>
  <c r="AL37" i="2"/>
  <c r="AI37" i="2"/>
  <c r="AH37" i="2"/>
  <c r="AG37" i="2"/>
  <c r="AF37" i="2"/>
  <c r="AE37" i="2"/>
  <c r="AD37" i="2"/>
  <c r="AA37" i="2"/>
  <c r="Z37" i="2"/>
  <c r="Y37" i="2"/>
  <c r="X37" i="2"/>
  <c r="W37" i="2"/>
  <c r="V37" i="2"/>
  <c r="S37" i="2"/>
  <c r="R37" i="2"/>
  <c r="Q37" i="2"/>
  <c r="P37" i="2"/>
  <c r="O37" i="2"/>
  <c r="N37" i="2"/>
  <c r="K37" i="2"/>
  <c r="J37" i="2"/>
  <c r="I37" i="2"/>
  <c r="H37" i="2"/>
  <c r="G37" i="2"/>
  <c r="F37" i="2"/>
  <c r="C37" i="2"/>
  <c r="CH36" i="2"/>
  <c r="CE36" i="2"/>
  <c r="CD36" i="2"/>
  <c r="CC36" i="2"/>
  <c r="CB36" i="2"/>
  <c r="CA36" i="2"/>
  <c r="BZ36" i="2"/>
  <c r="BW36" i="2"/>
  <c r="BV36" i="2"/>
  <c r="BU36" i="2"/>
  <c r="BT36" i="2"/>
  <c r="BS36" i="2"/>
  <c r="BR36" i="2"/>
  <c r="BO36" i="2"/>
  <c r="BN36" i="2"/>
  <c r="BM36" i="2"/>
  <c r="BL36" i="2"/>
  <c r="BK36" i="2"/>
  <c r="BJ36" i="2"/>
  <c r="BI36" i="2"/>
  <c r="BG36" i="2"/>
  <c r="BF36" i="2"/>
  <c r="BE36" i="2"/>
  <c r="BD36" i="2"/>
  <c r="BC36" i="2"/>
  <c r="BB36" i="2"/>
  <c r="AY36" i="2"/>
  <c r="AX36" i="2"/>
  <c r="AW36" i="2"/>
  <c r="AV36" i="2"/>
  <c r="AU36" i="2"/>
  <c r="AT36" i="2"/>
  <c r="AQ36" i="2"/>
  <c r="AP36" i="2"/>
  <c r="AO36" i="2"/>
  <c r="AN36" i="2"/>
  <c r="AM36" i="2"/>
  <c r="AL36" i="2"/>
  <c r="AI36" i="2"/>
  <c r="AH36" i="2"/>
  <c r="AG36" i="2"/>
  <c r="AF36" i="2"/>
  <c r="AE36" i="2"/>
  <c r="AD36" i="2"/>
  <c r="AC36" i="2"/>
  <c r="AA36" i="2"/>
  <c r="Z36" i="2"/>
  <c r="Y36" i="2"/>
  <c r="X36" i="2"/>
  <c r="W36" i="2"/>
  <c r="V36" i="2"/>
  <c r="S36" i="2"/>
  <c r="R36" i="2"/>
  <c r="Q36" i="2"/>
  <c r="P36" i="2"/>
  <c r="O36" i="2"/>
  <c r="N36" i="2"/>
  <c r="K36" i="2"/>
  <c r="J36" i="2"/>
  <c r="I36" i="2"/>
  <c r="H36" i="2"/>
  <c r="G36" i="2"/>
  <c r="F36" i="2"/>
  <c r="C36" i="2"/>
  <c r="CH35" i="2"/>
  <c r="CE35" i="2"/>
  <c r="CD35" i="2"/>
  <c r="CC35" i="2"/>
  <c r="CB35" i="2"/>
  <c r="CA35" i="2"/>
  <c r="BZ35" i="2"/>
  <c r="BW35" i="2"/>
  <c r="BV35" i="2"/>
  <c r="BU35" i="2"/>
  <c r="BT35" i="2"/>
  <c r="BS35" i="2"/>
  <c r="BR35" i="2"/>
  <c r="BO35" i="2"/>
  <c r="BN35" i="2"/>
  <c r="BM35" i="2"/>
  <c r="BL35" i="2"/>
  <c r="BK35" i="2"/>
  <c r="BJ35" i="2"/>
  <c r="BG35" i="2"/>
  <c r="BF35" i="2"/>
  <c r="BE35" i="2"/>
  <c r="BD35" i="2"/>
  <c r="BC35" i="2"/>
  <c r="BB35" i="2"/>
  <c r="AY35" i="2"/>
  <c r="AX35" i="2"/>
  <c r="AW35" i="2"/>
  <c r="AV35" i="2"/>
  <c r="AU35" i="2"/>
  <c r="AT35" i="2"/>
  <c r="AQ35" i="2"/>
  <c r="AP35" i="2"/>
  <c r="AO35" i="2"/>
  <c r="AN35" i="2"/>
  <c r="AM35" i="2"/>
  <c r="AL35" i="2"/>
  <c r="AI35" i="2"/>
  <c r="AH35" i="2"/>
  <c r="AG35" i="2"/>
  <c r="AF35" i="2"/>
  <c r="AE35" i="2"/>
  <c r="AD35" i="2"/>
  <c r="AA35" i="2"/>
  <c r="Z35" i="2"/>
  <c r="Y35" i="2"/>
  <c r="X35" i="2"/>
  <c r="W35" i="2"/>
  <c r="V35" i="2"/>
  <c r="S35" i="2"/>
  <c r="R35" i="2"/>
  <c r="Q35" i="2"/>
  <c r="P35" i="2"/>
  <c r="O35" i="2"/>
  <c r="N35" i="2"/>
  <c r="K35" i="2"/>
  <c r="J35" i="2"/>
  <c r="I35" i="2"/>
  <c r="H35" i="2"/>
  <c r="G35" i="2"/>
  <c r="F35" i="2"/>
  <c r="C35" i="2"/>
  <c r="CH34" i="2"/>
  <c r="CE34" i="2"/>
  <c r="CD34" i="2"/>
  <c r="CC34" i="2"/>
  <c r="CB34" i="2"/>
  <c r="CA34" i="2"/>
  <c r="BZ34" i="2"/>
  <c r="BW34" i="2"/>
  <c r="BV34" i="2"/>
  <c r="BU34" i="2"/>
  <c r="BT34" i="2"/>
  <c r="BS34" i="2"/>
  <c r="BR34" i="2"/>
  <c r="BO34" i="2"/>
  <c r="BN34" i="2"/>
  <c r="BM34" i="2"/>
  <c r="BL34" i="2"/>
  <c r="BK34" i="2"/>
  <c r="BJ34" i="2"/>
  <c r="BG34" i="2"/>
  <c r="BF34" i="2"/>
  <c r="BE34" i="2"/>
  <c r="BD34" i="2"/>
  <c r="BC34" i="2"/>
  <c r="BB34" i="2"/>
  <c r="AY34" i="2"/>
  <c r="AX34" i="2"/>
  <c r="AW34" i="2"/>
  <c r="AV34" i="2"/>
  <c r="AU34" i="2"/>
  <c r="AT34" i="2"/>
  <c r="AQ34" i="2"/>
  <c r="AP34" i="2"/>
  <c r="AO34" i="2"/>
  <c r="AN34" i="2"/>
  <c r="AM34" i="2"/>
  <c r="AL34" i="2"/>
  <c r="AI34" i="2"/>
  <c r="AH34" i="2"/>
  <c r="AG34" i="2"/>
  <c r="AF34" i="2"/>
  <c r="AE34" i="2"/>
  <c r="AD34" i="2"/>
  <c r="AA34" i="2"/>
  <c r="Z34" i="2"/>
  <c r="Y34" i="2"/>
  <c r="X34" i="2"/>
  <c r="W34" i="2"/>
  <c r="V34" i="2"/>
  <c r="S34" i="2"/>
  <c r="R34" i="2"/>
  <c r="Q34" i="2"/>
  <c r="P34" i="2"/>
  <c r="O34" i="2"/>
  <c r="N34" i="2"/>
  <c r="K34" i="2"/>
  <c r="J34" i="2"/>
  <c r="I34" i="2"/>
  <c r="H34" i="2"/>
  <c r="G34" i="2"/>
  <c r="F34" i="2"/>
  <c r="C34" i="2"/>
  <c r="CH33" i="2"/>
  <c r="CF33" i="2"/>
  <c r="CE33" i="2"/>
  <c r="CD33" i="2"/>
  <c r="CC33" i="2"/>
  <c r="CB33" i="2"/>
  <c r="CA33" i="2"/>
  <c r="BZ33" i="2"/>
  <c r="BW33" i="2"/>
  <c r="BV33" i="2"/>
  <c r="BU33" i="2"/>
  <c r="BT33" i="2"/>
  <c r="BS33" i="2"/>
  <c r="BR33" i="2"/>
  <c r="BO33" i="2"/>
  <c r="BN33" i="2"/>
  <c r="BM33" i="2"/>
  <c r="BL33" i="2"/>
  <c r="BK33" i="2"/>
  <c r="BJ33" i="2"/>
  <c r="BG33" i="2"/>
  <c r="BF33" i="2"/>
  <c r="BE33" i="2"/>
  <c r="BD33" i="2"/>
  <c r="BC33" i="2"/>
  <c r="BB33" i="2"/>
  <c r="AY33" i="2"/>
  <c r="AX33" i="2"/>
  <c r="AW33" i="2"/>
  <c r="AV33" i="2"/>
  <c r="AU33" i="2"/>
  <c r="AT33" i="2"/>
  <c r="AQ33" i="2"/>
  <c r="AP33" i="2"/>
  <c r="AO33" i="2"/>
  <c r="AN33" i="2"/>
  <c r="AM33" i="2"/>
  <c r="AL33" i="2"/>
  <c r="AI33" i="2"/>
  <c r="AH33" i="2"/>
  <c r="AG33" i="2"/>
  <c r="AF33" i="2"/>
  <c r="AE33" i="2"/>
  <c r="AD33" i="2"/>
  <c r="AA33" i="2"/>
  <c r="Z33" i="2"/>
  <c r="Y33" i="2"/>
  <c r="X33" i="2"/>
  <c r="W33" i="2"/>
  <c r="V33" i="2"/>
  <c r="S33" i="2"/>
  <c r="R33" i="2"/>
  <c r="Q33" i="2"/>
  <c r="P33" i="2"/>
  <c r="O33" i="2"/>
  <c r="N33" i="2"/>
  <c r="K33" i="2"/>
  <c r="J33" i="2"/>
  <c r="I33" i="2"/>
  <c r="H33" i="2"/>
  <c r="G33" i="2"/>
  <c r="F33" i="2"/>
  <c r="C33" i="2"/>
  <c r="CH32" i="2"/>
  <c r="CF32" i="2"/>
  <c r="CE32" i="2"/>
  <c r="CD32" i="2"/>
  <c r="CC32" i="2"/>
  <c r="CB32" i="2"/>
  <c r="CA32" i="2"/>
  <c r="BZ32" i="2"/>
  <c r="BW32" i="2"/>
  <c r="BV32" i="2"/>
  <c r="BU32" i="2"/>
  <c r="BT32" i="2"/>
  <c r="BS32" i="2"/>
  <c r="BR32" i="2"/>
  <c r="BO32" i="2"/>
  <c r="BN32" i="2"/>
  <c r="BM32" i="2"/>
  <c r="BL32" i="2"/>
  <c r="BK32" i="2"/>
  <c r="BJ32" i="2"/>
  <c r="BG32" i="2"/>
  <c r="BF32" i="2"/>
  <c r="BE32" i="2"/>
  <c r="BD32" i="2"/>
  <c r="BC32" i="2"/>
  <c r="BB32" i="2"/>
  <c r="AZ32" i="2"/>
  <c r="AY32" i="2"/>
  <c r="AX32" i="2"/>
  <c r="AW32" i="2"/>
  <c r="AV32" i="2"/>
  <c r="AU32" i="2"/>
  <c r="AT32" i="2"/>
  <c r="AQ32" i="2"/>
  <c r="AP32" i="2"/>
  <c r="AO32" i="2"/>
  <c r="AN32" i="2"/>
  <c r="AM32" i="2"/>
  <c r="AL32" i="2"/>
  <c r="AI32" i="2"/>
  <c r="AH32" i="2"/>
  <c r="AG32" i="2"/>
  <c r="AF32" i="2"/>
  <c r="AE32" i="2"/>
  <c r="AD32" i="2"/>
  <c r="AB32" i="2"/>
  <c r="AA32" i="2"/>
  <c r="Z32" i="2"/>
  <c r="Y32" i="2"/>
  <c r="X32" i="2"/>
  <c r="W32" i="2"/>
  <c r="V32" i="2"/>
  <c r="T32" i="2"/>
  <c r="S32" i="2"/>
  <c r="R32" i="2"/>
  <c r="Q32" i="2"/>
  <c r="P32" i="2"/>
  <c r="O32" i="2"/>
  <c r="N32" i="2"/>
  <c r="K32" i="2"/>
  <c r="J32" i="2"/>
  <c r="I32" i="2"/>
  <c r="H32" i="2"/>
  <c r="G32" i="2"/>
  <c r="F32" i="2"/>
  <c r="C32" i="2"/>
  <c r="CH31" i="2"/>
  <c r="CE31" i="2"/>
  <c r="CD31" i="2"/>
  <c r="CC31" i="2"/>
  <c r="CB31" i="2"/>
  <c r="CA31" i="2"/>
  <c r="BZ31" i="2"/>
  <c r="BW31" i="2"/>
  <c r="BV31" i="2"/>
  <c r="BU31" i="2"/>
  <c r="BT31" i="2"/>
  <c r="BS31" i="2"/>
  <c r="BR31" i="2"/>
  <c r="BO31" i="2"/>
  <c r="BN31" i="2"/>
  <c r="BM31" i="2"/>
  <c r="BL31" i="2"/>
  <c r="BK31" i="2"/>
  <c r="BJ31" i="2"/>
  <c r="BG31" i="2"/>
  <c r="BF31" i="2"/>
  <c r="BE31" i="2"/>
  <c r="BD31" i="2"/>
  <c r="BC31" i="2"/>
  <c r="BB31" i="2"/>
  <c r="AY31" i="2"/>
  <c r="AX31" i="2"/>
  <c r="AW31" i="2"/>
  <c r="AV31" i="2"/>
  <c r="AU31" i="2"/>
  <c r="AT31" i="2"/>
  <c r="AQ31" i="2"/>
  <c r="AP31" i="2"/>
  <c r="AO31" i="2"/>
  <c r="AN31" i="2"/>
  <c r="AM31" i="2"/>
  <c r="AL31" i="2"/>
  <c r="AI31" i="2"/>
  <c r="AH31" i="2"/>
  <c r="AG31" i="2"/>
  <c r="AF31" i="2"/>
  <c r="AE31" i="2"/>
  <c r="AD31" i="2"/>
  <c r="AA31" i="2"/>
  <c r="Z31" i="2"/>
  <c r="Y31" i="2"/>
  <c r="X31" i="2"/>
  <c r="W31" i="2"/>
  <c r="V31" i="2"/>
  <c r="S31" i="2"/>
  <c r="R31" i="2"/>
  <c r="Q31" i="2"/>
  <c r="P31" i="2"/>
  <c r="O31" i="2"/>
  <c r="N31" i="2"/>
  <c r="K31" i="2"/>
  <c r="J31" i="2"/>
  <c r="I31" i="2"/>
  <c r="H31" i="2"/>
  <c r="G31" i="2"/>
  <c r="F31" i="2"/>
  <c r="C31" i="2"/>
  <c r="CH30" i="2"/>
  <c r="CE30" i="2"/>
  <c r="CD30" i="2"/>
  <c r="CC30" i="2"/>
  <c r="CB30" i="2"/>
  <c r="CA30" i="2"/>
  <c r="BZ30" i="2"/>
  <c r="BW30" i="2"/>
  <c r="BV30" i="2"/>
  <c r="BU30" i="2"/>
  <c r="BT30" i="2"/>
  <c r="BS30" i="2"/>
  <c r="BR30" i="2"/>
  <c r="BO30" i="2"/>
  <c r="BN30" i="2"/>
  <c r="BM30" i="2"/>
  <c r="BL30" i="2"/>
  <c r="BK30" i="2"/>
  <c r="BJ30" i="2"/>
  <c r="BH30" i="2"/>
  <c r="BG30" i="2"/>
  <c r="BF30" i="2"/>
  <c r="BE30" i="2"/>
  <c r="BD30" i="2"/>
  <c r="BC30" i="2"/>
  <c r="BB30" i="2"/>
  <c r="AY30" i="2"/>
  <c r="AX30" i="2"/>
  <c r="AW30" i="2"/>
  <c r="AV30" i="2"/>
  <c r="AU30" i="2"/>
  <c r="AT30" i="2"/>
  <c r="AQ30" i="2"/>
  <c r="AP30" i="2"/>
  <c r="AO30" i="2"/>
  <c r="AN30" i="2"/>
  <c r="AM30" i="2"/>
  <c r="AL30" i="2"/>
  <c r="AJ30" i="2"/>
  <c r="AI30" i="2"/>
  <c r="AH30" i="2"/>
  <c r="AG30" i="2"/>
  <c r="AF30" i="2"/>
  <c r="AE30" i="2"/>
  <c r="AD30" i="2"/>
  <c r="AB30" i="2"/>
  <c r="AA30" i="2"/>
  <c r="Z30" i="2"/>
  <c r="Y30" i="2"/>
  <c r="X30" i="2"/>
  <c r="W30" i="2"/>
  <c r="V30" i="2"/>
  <c r="S30" i="2"/>
  <c r="R30" i="2"/>
  <c r="Q30" i="2"/>
  <c r="P30" i="2"/>
  <c r="O30" i="2"/>
  <c r="N30" i="2"/>
  <c r="K30" i="2"/>
  <c r="J30" i="2"/>
  <c r="I30" i="2"/>
  <c r="H30" i="2"/>
  <c r="G30" i="2"/>
  <c r="F30" i="2"/>
  <c r="C30" i="2"/>
  <c r="CH29" i="2"/>
  <c r="CF29" i="2"/>
  <c r="CE29" i="2"/>
  <c r="CD29" i="2"/>
  <c r="CC29" i="2"/>
  <c r="CB29" i="2"/>
  <c r="CA29" i="2"/>
  <c r="BZ29" i="2"/>
  <c r="BW29" i="2"/>
  <c r="BV29" i="2"/>
  <c r="BU29" i="2"/>
  <c r="BT29" i="2"/>
  <c r="BS29" i="2"/>
  <c r="BR29" i="2"/>
  <c r="BO29" i="2"/>
  <c r="BN29" i="2"/>
  <c r="BM29" i="2"/>
  <c r="BL29" i="2"/>
  <c r="BK29" i="2"/>
  <c r="BJ29" i="2"/>
  <c r="BG29" i="2"/>
  <c r="BF29" i="2"/>
  <c r="BE29" i="2"/>
  <c r="BD29" i="2"/>
  <c r="BC29" i="2"/>
  <c r="BB29" i="2"/>
  <c r="AZ29" i="2"/>
  <c r="AY29" i="2"/>
  <c r="AX29" i="2"/>
  <c r="AW29" i="2"/>
  <c r="AV29" i="2"/>
  <c r="AU29" i="2"/>
  <c r="AT29" i="2"/>
  <c r="AQ29" i="2"/>
  <c r="AP29" i="2"/>
  <c r="AO29" i="2"/>
  <c r="AN29" i="2"/>
  <c r="AM29" i="2"/>
  <c r="AL29" i="2"/>
  <c r="AI29" i="2"/>
  <c r="AH29" i="2"/>
  <c r="AG29" i="2"/>
  <c r="AF29" i="2"/>
  <c r="AE29" i="2"/>
  <c r="AD29" i="2"/>
  <c r="AB29" i="2"/>
  <c r="AA29" i="2"/>
  <c r="Z29" i="2"/>
  <c r="Y29" i="2"/>
  <c r="X29" i="2"/>
  <c r="W29" i="2"/>
  <c r="V29" i="2"/>
  <c r="T29" i="2"/>
  <c r="S29" i="2"/>
  <c r="R29" i="2"/>
  <c r="Q29" i="2"/>
  <c r="P29" i="2"/>
  <c r="O29" i="2"/>
  <c r="N29" i="2"/>
  <c r="K29" i="2"/>
  <c r="J29" i="2"/>
  <c r="I29" i="2"/>
  <c r="H29" i="2"/>
  <c r="G29" i="2"/>
  <c r="F29" i="2"/>
  <c r="C29" i="2"/>
  <c r="CH28" i="2"/>
  <c r="CF28" i="2"/>
  <c r="CE28" i="2"/>
  <c r="CD28" i="2"/>
  <c r="CC28" i="2"/>
  <c r="CB28" i="2"/>
  <c r="CA28" i="2"/>
  <c r="BZ28" i="2"/>
  <c r="BX28" i="2"/>
  <c r="BW28" i="2"/>
  <c r="BV28" i="2"/>
  <c r="BU28" i="2"/>
  <c r="BT28" i="2"/>
  <c r="BS28" i="2"/>
  <c r="BR28" i="2"/>
  <c r="BO28" i="2"/>
  <c r="BN28" i="2"/>
  <c r="BM28" i="2"/>
  <c r="BL28" i="2"/>
  <c r="BK28" i="2"/>
  <c r="BJ28" i="2"/>
  <c r="BG28" i="2"/>
  <c r="BF28" i="2"/>
  <c r="BE28" i="2"/>
  <c r="BD28" i="2"/>
  <c r="BC28" i="2"/>
  <c r="BB28" i="2"/>
  <c r="AY28" i="2"/>
  <c r="AX28" i="2"/>
  <c r="AW28" i="2"/>
  <c r="AV28" i="2"/>
  <c r="AU28" i="2"/>
  <c r="AT28" i="2"/>
  <c r="AR28" i="2"/>
  <c r="AQ28" i="2"/>
  <c r="AP28" i="2"/>
  <c r="AO28" i="2"/>
  <c r="AN28" i="2"/>
  <c r="AM28" i="2"/>
  <c r="AL28" i="2"/>
  <c r="AI28" i="2"/>
  <c r="AH28" i="2"/>
  <c r="AG28" i="2"/>
  <c r="AF28" i="2"/>
  <c r="AE28" i="2"/>
  <c r="AD28" i="2"/>
  <c r="AA28" i="2"/>
  <c r="Z28" i="2"/>
  <c r="Y28" i="2"/>
  <c r="X28" i="2"/>
  <c r="W28" i="2"/>
  <c r="V28" i="2"/>
  <c r="T28" i="2"/>
  <c r="S28" i="2"/>
  <c r="R28" i="2"/>
  <c r="Q28" i="2"/>
  <c r="P28" i="2"/>
  <c r="O28" i="2"/>
  <c r="N28" i="2"/>
  <c r="L28" i="2"/>
  <c r="K28" i="2"/>
  <c r="J28" i="2"/>
  <c r="I28" i="2"/>
  <c r="H28" i="2"/>
  <c r="G28" i="2"/>
  <c r="F28" i="2"/>
  <c r="C28" i="2"/>
  <c r="CH27" i="2"/>
  <c r="CE27" i="2"/>
  <c r="CD27" i="2"/>
  <c r="CC27" i="2"/>
  <c r="CB27" i="2"/>
  <c r="CA27" i="2"/>
  <c r="BZ27" i="2"/>
  <c r="BX27" i="2"/>
  <c r="BW27" i="2"/>
  <c r="BV27" i="2"/>
  <c r="BU27" i="2"/>
  <c r="BT27" i="2"/>
  <c r="BS27" i="2"/>
  <c r="BR27" i="2"/>
  <c r="BP27" i="2"/>
  <c r="BO27" i="2"/>
  <c r="BN27" i="2"/>
  <c r="BM27" i="2"/>
  <c r="BL27" i="2"/>
  <c r="BK27" i="2"/>
  <c r="BJ27" i="2"/>
  <c r="BG27" i="2"/>
  <c r="BF27" i="2"/>
  <c r="BE27" i="2"/>
  <c r="BD27" i="2"/>
  <c r="BC27" i="2"/>
  <c r="BB27" i="2"/>
  <c r="AY27" i="2"/>
  <c r="AX27" i="2"/>
  <c r="AW27" i="2"/>
  <c r="AV27" i="2"/>
  <c r="AU27" i="2"/>
  <c r="AT27" i="2"/>
  <c r="AQ27" i="2"/>
  <c r="AP27" i="2"/>
  <c r="AO27" i="2"/>
  <c r="AN27" i="2"/>
  <c r="AM27" i="2"/>
  <c r="AL27" i="2"/>
  <c r="AJ27" i="2"/>
  <c r="AI27" i="2"/>
  <c r="AH27" i="2"/>
  <c r="AG27" i="2"/>
  <c r="AF27" i="2"/>
  <c r="AE27" i="2"/>
  <c r="AD27" i="2"/>
  <c r="AA27" i="2"/>
  <c r="Z27" i="2"/>
  <c r="Y27" i="2"/>
  <c r="X27" i="2"/>
  <c r="W27" i="2"/>
  <c r="V27" i="2"/>
  <c r="S27" i="2"/>
  <c r="R27" i="2"/>
  <c r="Q27" i="2"/>
  <c r="P27" i="2"/>
  <c r="O27" i="2"/>
  <c r="N27" i="2"/>
  <c r="L27" i="2"/>
  <c r="K27" i="2"/>
  <c r="J27" i="2"/>
  <c r="I27" i="2"/>
  <c r="H27" i="2"/>
  <c r="G27" i="2"/>
  <c r="F27" i="2"/>
  <c r="D27" i="2"/>
  <c r="C27" i="2"/>
  <c r="CH26" i="2"/>
  <c r="CE26" i="2"/>
  <c r="CD26" i="2"/>
  <c r="CC26" i="2"/>
  <c r="CB26" i="2"/>
  <c r="CA26" i="2"/>
  <c r="BZ26" i="2"/>
  <c r="BW26" i="2"/>
  <c r="BV26" i="2"/>
  <c r="BU26" i="2"/>
  <c r="BT26" i="2"/>
  <c r="BS26" i="2"/>
  <c r="BR26" i="2"/>
  <c r="BP26" i="2"/>
  <c r="BO26" i="2"/>
  <c r="BN26" i="2"/>
  <c r="BM26" i="2"/>
  <c r="BL26" i="2"/>
  <c r="BK26" i="2"/>
  <c r="BJ26" i="2"/>
  <c r="BH26" i="2"/>
  <c r="BG26" i="2"/>
  <c r="BF26" i="2"/>
  <c r="BE26" i="2"/>
  <c r="BD26" i="2"/>
  <c r="BC26" i="2"/>
  <c r="BB26" i="2"/>
  <c r="AY26" i="2"/>
  <c r="AX26" i="2"/>
  <c r="AW26" i="2"/>
  <c r="AV26" i="2"/>
  <c r="AU26" i="2"/>
  <c r="AT26" i="2"/>
  <c r="AQ26" i="2"/>
  <c r="AP26" i="2"/>
  <c r="AO26" i="2"/>
  <c r="AN26" i="2"/>
  <c r="AM26" i="2"/>
  <c r="AL26" i="2"/>
  <c r="AI26" i="2"/>
  <c r="AH26" i="2"/>
  <c r="AG26" i="2"/>
  <c r="AF26" i="2"/>
  <c r="AE26" i="2"/>
  <c r="AD26" i="2"/>
  <c r="AB26" i="2"/>
  <c r="AA26" i="2"/>
  <c r="Z26" i="2"/>
  <c r="Y26" i="2"/>
  <c r="X26" i="2"/>
  <c r="W26" i="2"/>
  <c r="V26" i="2"/>
  <c r="S26" i="2"/>
  <c r="R26" i="2"/>
  <c r="Q26" i="2"/>
  <c r="P26" i="2"/>
  <c r="O26" i="2"/>
  <c r="N26" i="2"/>
  <c r="K26" i="2"/>
  <c r="J26" i="2"/>
  <c r="I26" i="2"/>
  <c r="H26" i="2"/>
  <c r="G26" i="2"/>
  <c r="F26" i="2"/>
  <c r="D26" i="2"/>
  <c r="C26" i="2"/>
  <c r="CH25" i="2"/>
  <c r="CF25" i="2"/>
  <c r="CE25" i="2"/>
  <c r="CD25" i="2"/>
  <c r="CC25" i="2"/>
  <c r="CB25" i="2"/>
  <c r="CA25" i="2"/>
  <c r="BZ25" i="2"/>
  <c r="BW25" i="2"/>
  <c r="BV25" i="2"/>
  <c r="BU25" i="2"/>
  <c r="BT25" i="2"/>
  <c r="BS25" i="2"/>
  <c r="BR25" i="2"/>
  <c r="BO25" i="2"/>
  <c r="BN25" i="2"/>
  <c r="BM25" i="2"/>
  <c r="BL25" i="2"/>
  <c r="BK25" i="2"/>
  <c r="BJ25" i="2"/>
  <c r="BH25" i="2"/>
  <c r="BG25" i="2"/>
  <c r="BF25" i="2"/>
  <c r="BE25" i="2"/>
  <c r="BD25" i="2"/>
  <c r="BC25" i="2"/>
  <c r="BB25" i="2"/>
  <c r="AZ25" i="2"/>
  <c r="AY25" i="2"/>
  <c r="AX25" i="2"/>
  <c r="AW25" i="2"/>
  <c r="AV25" i="2"/>
  <c r="AU25" i="2"/>
  <c r="AT25" i="2"/>
  <c r="AQ25" i="2"/>
  <c r="AP25" i="2"/>
  <c r="AO25" i="2"/>
  <c r="AN25" i="2"/>
  <c r="AM25" i="2"/>
  <c r="AL25" i="2"/>
  <c r="AI25" i="2"/>
  <c r="AH25" i="2"/>
  <c r="AG25" i="2"/>
  <c r="AF25" i="2"/>
  <c r="AE25" i="2"/>
  <c r="AD25" i="2"/>
  <c r="AA25" i="2"/>
  <c r="Z25" i="2"/>
  <c r="Y25" i="2"/>
  <c r="X25" i="2"/>
  <c r="W25" i="2"/>
  <c r="V25" i="2"/>
  <c r="T25" i="2"/>
  <c r="S25" i="2"/>
  <c r="R25" i="2"/>
  <c r="Q25" i="2"/>
  <c r="P25" i="2"/>
  <c r="O25" i="2"/>
  <c r="N25" i="2"/>
  <c r="K25" i="2"/>
  <c r="J25" i="2"/>
  <c r="I25" i="2"/>
  <c r="H25" i="2"/>
  <c r="G25" i="2"/>
  <c r="F25" i="2"/>
  <c r="C25" i="2"/>
  <c r="CH24" i="2"/>
  <c r="CE24" i="2"/>
  <c r="CD24" i="2"/>
  <c r="CC24" i="2"/>
  <c r="CB24" i="2"/>
  <c r="CA24" i="2"/>
  <c r="BZ24" i="2"/>
  <c r="BX24" i="2"/>
  <c r="BW24" i="2"/>
  <c r="BV24" i="2"/>
  <c r="BU24" i="2"/>
  <c r="BT24" i="2"/>
  <c r="BS24" i="2"/>
  <c r="BR24" i="2"/>
  <c r="BO24" i="2"/>
  <c r="BN24" i="2"/>
  <c r="BM24" i="2"/>
  <c r="BL24" i="2"/>
  <c r="BK24" i="2"/>
  <c r="BJ24" i="2"/>
  <c r="BG24" i="2"/>
  <c r="BF24" i="2"/>
  <c r="BE24" i="2"/>
  <c r="BD24" i="2"/>
  <c r="BC24" i="2"/>
  <c r="BB24" i="2"/>
  <c r="AZ24" i="2"/>
  <c r="AY24" i="2"/>
  <c r="AX24" i="2"/>
  <c r="AW24" i="2"/>
  <c r="AV24" i="2"/>
  <c r="AU24" i="2"/>
  <c r="AT24" i="2"/>
  <c r="AR24" i="2"/>
  <c r="AQ24" i="2"/>
  <c r="AP24" i="2"/>
  <c r="AO24" i="2"/>
  <c r="AN24" i="2"/>
  <c r="AM24" i="2"/>
  <c r="AL24" i="2"/>
  <c r="AI24" i="2"/>
  <c r="AH24" i="2"/>
  <c r="AG24" i="2"/>
  <c r="AF24" i="2"/>
  <c r="AE24" i="2"/>
  <c r="AD24" i="2"/>
  <c r="AA24" i="2"/>
  <c r="Z24" i="2"/>
  <c r="Y24" i="2"/>
  <c r="X24" i="2"/>
  <c r="W24" i="2"/>
  <c r="V24" i="2"/>
  <c r="S24" i="2"/>
  <c r="R24" i="2"/>
  <c r="Q24" i="2"/>
  <c r="P24" i="2"/>
  <c r="O24" i="2"/>
  <c r="N24" i="2"/>
  <c r="L24" i="2"/>
  <c r="K24" i="2"/>
  <c r="J24" i="2"/>
  <c r="I24" i="2"/>
  <c r="H24" i="2"/>
  <c r="G24" i="2"/>
  <c r="F24" i="2"/>
  <c r="C24" i="2"/>
  <c r="CH23" i="2"/>
  <c r="CE23" i="2"/>
  <c r="CD23" i="2"/>
  <c r="CC23" i="2"/>
  <c r="CB23" i="2"/>
  <c r="CA23" i="2"/>
  <c r="BZ23" i="2"/>
  <c r="BW23" i="2"/>
  <c r="BV23" i="2"/>
  <c r="BU23" i="2"/>
  <c r="BT23" i="2"/>
  <c r="BS23" i="2"/>
  <c r="BR23" i="2"/>
  <c r="BQ23" i="2"/>
  <c r="BO23" i="2"/>
  <c r="BN23" i="2"/>
  <c r="BM23" i="2"/>
  <c r="BL23" i="2"/>
  <c r="BK23" i="2"/>
  <c r="BJ23" i="2"/>
  <c r="BI23" i="2"/>
  <c r="BG23" i="2"/>
  <c r="BF23" i="2"/>
  <c r="BE23" i="2"/>
  <c r="BD23" i="2"/>
  <c r="BC23" i="2"/>
  <c r="BB23" i="2"/>
  <c r="BA23" i="2"/>
  <c r="AY23" i="2"/>
  <c r="AX23" i="2"/>
  <c r="AW23" i="2"/>
  <c r="AV23" i="2"/>
  <c r="AU23" i="2"/>
  <c r="AT23" i="2"/>
  <c r="AS23" i="2"/>
  <c r="AQ23" i="2"/>
  <c r="AP23" i="2"/>
  <c r="AO23" i="2"/>
  <c r="AN23" i="2"/>
  <c r="AM23" i="2"/>
  <c r="AL23" i="2"/>
  <c r="AK23" i="2"/>
  <c r="AI23" i="2"/>
  <c r="AH23" i="2"/>
  <c r="AG23" i="2"/>
  <c r="AF23" i="2"/>
  <c r="AE23" i="2"/>
  <c r="AD23" i="2"/>
  <c r="AC23" i="2"/>
  <c r="AA23" i="2"/>
  <c r="Z23" i="2"/>
  <c r="Y23" i="2"/>
  <c r="X23" i="2"/>
  <c r="W23" i="2"/>
  <c r="V23" i="2"/>
  <c r="U23" i="2"/>
  <c r="S23" i="2"/>
  <c r="R23" i="2"/>
  <c r="Q23" i="2"/>
  <c r="P23" i="2"/>
  <c r="O23" i="2"/>
  <c r="N23" i="2"/>
  <c r="M23" i="2"/>
  <c r="K23" i="2"/>
  <c r="J23" i="2"/>
  <c r="I23" i="2"/>
  <c r="H23" i="2"/>
  <c r="G23" i="2"/>
  <c r="F23" i="2"/>
  <c r="E23" i="2"/>
  <c r="C23" i="2"/>
  <c r="CH15" i="2"/>
  <c r="CG15" i="2"/>
  <c r="CF15" i="2"/>
  <c r="CE15" i="2"/>
  <c r="CD15" i="2"/>
  <c r="CC15" i="2"/>
  <c r="CB15" i="2"/>
  <c r="CA15" i="2"/>
  <c r="BZ15" i="2"/>
  <c r="BY15" i="2"/>
  <c r="BX15" i="2"/>
  <c r="BW15" i="2"/>
  <c r="BV15" i="2"/>
  <c r="BU15" i="2"/>
  <c r="BT15" i="2"/>
  <c r="BS15" i="2"/>
  <c r="BR15" i="2"/>
  <c r="BQ15" i="2"/>
  <c r="BP15" i="2"/>
  <c r="BO15" i="2"/>
  <c r="BN15" i="2"/>
  <c r="BM15" i="2"/>
  <c r="BL15" i="2"/>
  <c r="BK15" i="2"/>
  <c r="BJ15" i="2"/>
  <c r="BI15" i="2"/>
  <c r="BH15" i="2"/>
  <c r="BG15" i="2"/>
  <c r="BF15" i="2"/>
  <c r="BE15" i="2"/>
  <c r="BD15" i="2"/>
  <c r="BC15" i="2"/>
  <c r="BB15" i="2"/>
  <c r="BA15" i="2"/>
  <c r="AZ15" i="2"/>
  <c r="AY15" i="2"/>
  <c r="AX15" i="2"/>
  <c r="AW15" i="2"/>
  <c r="AV15" i="2"/>
  <c r="AU15" i="2"/>
  <c r="AT15" i="2"/>
  <c r="AS15" i="2"/>
  <c r="AR15" i="2"/>
  <c r="AQ15" i="2"/>
  <c r="AP15" i="2"/>
  <c r="AO15" i="2"/>
  <c r="AN15" i="2"/>
  <c r="AM15" i="2"/>
  <c r="AL15" i="2"/>
  <c r="AK15" i="2"/>
  <c r="AJ15" i="2"/>
  <c r="AI15" i="2"/>
  <c r="AH15" i="2"/>
  <c r="AG15" i="2"/>
  <c r="AF15" i="2"/>
  <c r="AE15" i="2"/>
  <c r="AD15" i="2"/>
  <c r="AC15" i="2"/>
  <c r="AB15" i="2"/>
  <c r="AA15" i="2"/>
  <c r="Z15" i="2"/>
  <c r="Y15" i="2"/>
  <c r="X15" i="2"/>
  <c r="W15" i="2"/>
  <c r="V15" i="2"/>
  <c r="U15" i="2"/>
  <c r="T15" i="2"/>
  <c r="S15" i="2"/>
  <c r="R15" i="2"/>
  <c r="C12" i="1" s="1"/>
  <c r="Q15" i="2"/>
  <c r="P15" i="2"/>
  <c r="O15" i="2"/>
  <c r="N15" i="2"/>
  <c r="M15" i="2"/>
  <c r="L15" i="2"/>
  <c r="E12" i="3" s="1"/>
  <c r="K15" i="2"/>
  <c r="J15" i="2"/>
  <c r="I15" i="2"/>
  <c r="H15" i="2"/>
  <c r="G15" i="2"/>
  <c r="F15" i="2"/>
  <c r="E15" i="2"/>
  <c r="D15" i="2"/>
  <c r="C15" i="2"/>
  <c r="BT12" i="2"/>
  <c r="CH11" i="2"/>
  <c r="CG11" i="2"/>
  <c r="CF11" i="2"/>
  <c r="CE11" i="2"/>
  <c r="CD11" i="2"/>
  <c r="CC11" i="2"/>
  <c r="AB8" i="3" s="1"/>
  <c r="CB11" i="2"/>
  <c r="CA11" i="2"/>
  <c r="BZ11" i="2"/>
  <c r="BY11" i="2"/>
  <c r="BX11" i="2"/>
  <c r="BW11" i="2"/>
  <c r="BV11" i="2"/>
  <c r="BU11" i="2"/>
  <c r="BT11" i="2"/>
  <c r="BS11" i="2"/>
  <c r="BR11" i="2"/>
  <c r="BQ11" i="2"/>
  <c r="BP11" i="2"/>
  <c r="BO11" i="2"/>
  <c r="BN11" i="2"/>
  <c r="BM11" i="2"/>
  <c r="BL11" i="2"/>
  <c r="BK11" i="2"/>
  <c r="BJ11" i="2"/>
  <c r="BI11" i="2"/>
  <c r="BH11" i="2"/>
  <c r="BG11" i="2"/>
  <c r="BF11" i="2"/>
  <c r="BE11" i="2"/>
  <c r="T8" i="3" s="1"/>
  <c r="BD11" i="2"/>
  <c r="BC11" i="2"/>
  <c r="BB11" i="2"/>
  <c r="BA11" i="2"/>
  <c r="AZ11" i="2"/>
  <c r="AY11" i="2"/>
  <c r="AX11" i="2"/>
  <c r="AW11" i="2"/>
  <c r="AV11" i="2"/>
  <c r="AU11" i="2"/>
  <c r="AT11" i="2"/>
  <c r="AS11" i="2"/>
  <c r="AR11" i="2"/>
  <c r="AQ11" i="2"/>
  <c r="AP11" i="2"/>
  <c r="AO11" i="2"/>
  <c r="AN11" i="2"/>
  <c r="AM11" i="2"/>
  <c r="AL11" i="2"/>
  <c r="AK11" i="2"/>
  <c r="AJ11" i="2"/>
  <c r="AI11" i="2"/>
  <c r="AH11" i="2"/>
  <c r="AG11" i="2"/>
  <c r="L8" i="3" s="1"/>
  <c r="AF11" i="2"/>
  <c r="AE11" i="2"/>
  <c r="AD11" i="2"/>
  <c r="AC11" i="2"/>
  <c r="AB11" i="2"/>
  <c r="AA11" i="2"/>
  <c r="Z11" i="2"/>
  <c r="Y11" i="2"/>
  <c r="X11" i="2"/>
  <c r="W11" i="2"/>
  <c r="V11" i="2"/>
  <c r="U11" i="2"/>
  <c r="T11" i="2"/>
  <c r="S11" i="2"/>
  <c r="R11" i="2"/>
  <c r="Q11" i="2"/>
  <c r="P11" i="2"/>
  <c r="O11" i="2"/>
  <c r="C8" i="1" s="1"/>
  <c r="C41" i="5" s="1"/>
  <c r="N11" i="2"/>
  <c r="M11" i="2"/>
  <c r="L11" i="2"/>
  <c r="E8" i="3" s="1"/>
  <c r="K11" i="2"/>
  <c r="J11" i="2"/>
  <c r="I11" i="2"/>
  <c r="D8" i="3" s="1"/>
  <c r="H11" i="2"/>
  <c r="G11" i="2"/>
  <c r="F11" i="2"/>
  <c r="E11" i="2"/>
  <c r="D11" i="2"/>
  <c r="C11" i="2"/>
  <c r="CH10" i="2"/>
  <c r="CG10" i="2"/>
  <c r="CF10" i="2"/>
  <c r="CE10" i="2"/>
  <c r="CD10" i="2"/>
  <c r="CC10" i="2"/>
  <c r="CB10" i="2"/>
  <c r="CA10" i="2"/>
  <c r="BZ10" i="2"/>
  <c r="BY10" i="2"/>
  <c r="BX10" i="2"/>
  <c r="BW10" i="2"/>
  <c r="BV10" i="2"/>
  <c r="BU10" i="2"/>
  <c r="BT10" i="2"/>
  <c r="Y7" i="3" s="1"/>
  <c r="BS10" i="2"/>
  <c r="BR10" i="2"/>
  <c r="BQ10" i="2"/>
  <c r="BP10" i="2"/>
  <c r="BO10" i="2"/>
  <c r="BN10" i="2"/>
  <c r="BM10" i="2"/>
  <c r="BL10" i="2"/>
  <c r="BK10" i="2"/>
  <c r="BJ10" i="2"/>
  <c r="BI10" i="2"/>
  <c r="BH10" i="2"/>
  <c r="BG10" i="2"/>
  <c r="BF10" i="2"/>
  <c r="BE10" i="2"/>
  <c r="BD10" i="2"/>
  <c r="BC10" i="2"/>
  <c r="BB10" i="2"/>
  <c r="BA10" i="2"/>
  <c r="AZ10" i="2"/>
  <c r="AY10" i="2"/>
  <c r="AX10" i="2"/>
  <c r="AW10" i="2"/>
  <c r="AV10" i="2"/>
  <c r="AU10" i="2"/>
  <c r="AT10" i="2"/>
  <c r="AS10" i="2"/>
  <c r="AR10" i="2"/>
  <c r="AQ10" i="2"/>
  <c r="AP10" i="2"/>
  <c r="AO10" i="2"/>
  <c r="AN10" i="2"/>
  <c r="AM10" i="2"/>
  <c r="AL10" i="2"/>
  <c r="AK10" i="2"/>
  <c r="AJ10" i="2"/>
  <c r="AI10" i="2"/>
  <c r="AH10" i="2"/>
  <c r="AG10" i="2"/>
  <c r="AF10" i="2"/>
  <c r="AE10" i="2"/>
  <c r="AD10" i="2"/>
  <c r="AC10" i="2"/>
  <c r="AB10" i="2"/>
  <c r="AA10" i="2"/>
  <c r="Z10" i="2"/>
  <c r="Y10" i="2"/>
  <c r="X10" i="2"/>
  <c r="W10" i="2"/>
  <c r="V10" i="2"/>
  <c r="U10" i="2"/>
  <c r="T10" i="2"/>
  <c r="S10" i="2"/>
  <c r="R10" i="2"/>
  <c r="Q10" i="2"/>
  <c r="P10" i="2"/>
  <c r="O10" i="2"/>
  <c r="N10" i="2"/>
  <c r="M10" i="2"/>
  <c r="L10" i="2"/>
  <c r="K10" i="2"/>
  <c r="J10" i="2"/>
  <c r="I10" i="2"/>
  <c r="H10" i="2"/>
  <c r="G10" i="2"/>
  <c r="F10" i="2"/>
  <c r="E10" i="2"/>
  <c r="D10" i="2"/>
  <c r="C10" i="2"/>
  <c r="CH9" i="2"/>
  <c r="CG9" i="2"/>
  <c r="CF9" i="2"/>
  <c r="CE9" i="2"/>
  <c r="CD9" i="2"/>
  <c r="CC9" i="2"/>
  <c r="CB9" i="2"/>
  <c r="CA9" i="2"/>
  <c r="BZ9" i="2"/>
  <c r="BY9" i="2"/>
  <c r="BX9" i="2"/>
  <c r="BW9" i="2"/>
  <c r="BV9" i="2"/>
  <c r="BU9" i="2"/>
  <c r="BT9" i="2"/>
  <c r="BS9" i="2"/>
  <c r="BR9" i="2"/>
  <c r="BQ9" i="2"/>
  <c r="BP9" i="2"/>
  <c r="BO9" i="2"/>
  <c r="BN9" i="2"/>
  <c r="BM9" i="2"/>
  <c r="BL9" i="2"/>
  <c r="BK9" i="2"/>
  <c r="BJ9" i="2"/>
  <c r="BI9" i="2"/>
  <c r="BH9" i="2"/>
  <c r="BG9" i="2"/>
  <c r="BF9" i="2"/>
  <c r="BE9" i="2"/>
  <c r="BD9" i="2"/>
  <c r="BC9" i="2"/>
  <c r="BB9" i="2"/>
  <c r="BA9" i="2"/>
  <c r="AZ9" i="2"/>
  <c r="AY9" i="2"/>
  <c r="AX9" i="2"/>
  <c r="AW9" i="2"/>
  <c r="AV9" i="2"/>
  <c r="AU9" i="2"/>
  <c r="AT9" i="2"/>
  <c r="AS9" i="2"/>
  <c r="AR9" i="2"/>
  <c r="AQ9" i="2"/>
  <c r="AP9" i="2"/>
  <c r="AO9" i="2"/>
  <c r="AN9" i="2"/>
  <c r="AM9" i="2"/>
  <c r="AL9" i="2"/>
  <c r="AK9" i="2"/>
  <c r="AJ9" i="2"/>
  <c r="AI9" i="2"/>
  <c r="AH9" i="2"/>
  <c r="AG9" i="2"/>
  <c r="AF9" i="2"/>
  <c r="AE9" i="2"/>
  <c r="AD9" i="2"/>
  <c r="AC9" i="2"/>
  <c r="AB9" i="2"/>
  <c r="AA9" i="2"/>
  <c r="Z9" i="2"/>
  <c r="Y9" i="2"/>
  <c r="X9" i="2"/>
  <c r="W9" i="2"/>
  <c r="V9" i="2"/>
  <c r="U9" i="2"/>
  <c r="T9" i="2"/>
  <c r="S9" i="2"/>
  <c r="R9" i="2"/>
  <c r="Q9" i="2"/>
  <c r="P9" i="2"/>
  <c r="O9" i="2"/>
  <c r="N9" i="2"/>
  <c r="M9" i="2"/>
  <c r="L9" i="2"/>
  <c r="E6" i="3" s="1"/>
  <c r="K9" i="2"/>
  <c r="J9" i="2"/>
  <c r="I9" i="2"/>
  <c r="H9" i="2"/>
  <c r="G9" i="2"/>
  <c r="F9" i="2"/>
  <c r="E9" i="2"/>
  <c r="D9" i="2"/>
  <c r="C9" i="2"/>
  <c r="CH8" i="2"/>
  <c r="CH12" i="2" s="1"/>
  <c r="CG8" i="2"/>
  <c r="CF8" i="2"/>
  <c r="CE8" i="2"/>
  <c r="CE12" i="2" s="1"/>
  <c r="CD8" i="2"/>
  <c r="CD12" i="2" s="1"/>
  <c r="CC8" i="2"/>
  <c r="CB8" i="2"/>
  <c r="CB12" i="2" s="1"/>
  <c r="CA8" i="2"/>
  <c r="BZ8" i="2"/>
  <c r="BY8" i="2"/>
  <c r="BY12" i="2" s="1"/>
  <c r="BX8" i="2"/>
  <c r="BX12" i="2" s="1"/>
  <c r="BX42" i="2" s="1"/>
  <c r="BW8" i="2"/>
  <c r="H5" i="1" s="1"/>
  <c r="BV8" i="2"/>
  <c r="BV12" i="2" s="1"/>
  <c r="BU8" i="2"/>
  <c r="BT8" i="2"/>
  <c r="Y5" i="3" s="1"/>
  <c r="BS8" i="2"/>
  <c r="BR8" i="2"/>
  <c r="BR12" i="2" s="1"/>
  <c r="BQ8" i="2"/>
  <c r="BP8" i="2"/>
  <c r="BP12" i="2" s="1"/>
  <c r="BP42" i="2" s="1"/>
  <c r="BO8" i="2"/>
  <c r="BO12" i="2" s="1"/>
  <c r="BN8" i="2"/>
  <c r="BM8" i="2"/>
  <c r="BL8" i="2"/>
  <c r="BL12" i="2" s="1"/>
  <c r="BK8" i="2"/>
  <c r="BJ8" i="2"/>
  <c r="BJ12" i="2" s="1"/>
  <c r="BI8" i="2"/>
  <c r="BI12" i="2" s="1"/>
  <c r="BH8" i="2"/>
  <c r="BG8" i="2"/>
  <c r="BG12" i="2" s="1"/>
  <c r="BF8" i="2"/>
  <c r="BF12" i="2" s="1"/>
  <c r="BE8" i="2"/>
  <c r="BD8" i="2"/>
  <c r="BD12" i="2" s="1"/>
  <c r="BC8" i="2"/>
  <c r="BB8" i="2"/>
  <c r="BA8" i="2"/>
  <c r="BA12" i="2" s="1"/>
  <c r="AZ8" i="2"/>
  <c r="AZ12" i="2" s="1"/>
  <c r="AY8" i="2"/>
  <c r="AX8" i="2"/>
  <c r="AX12" i="2" s="1"/>
  <c r="AW8" i="2"/>
  <c r="AV8" i="2"/>
  <c r="AU8" i="2"/>
  <c r="AT8" i="2"/>
  <c r="AT12" i="2" s="1"/>
  <c r="AS8" i="2"/>
  <c r="AR8" i="2"/>
  <c r="AR12" i="2" s="1"/>
  <c r="AQ8" i="2"/>
  <c r="AQ12" i="2" s="1"/>
  <c r="AP8" i="2"/>
  <c r="AO8" i="2"/>
  <c r="AN8" i="2"/>
  <c r="AN12" i="2" s="1"/>
  <c r="AM8" i="2"/>
  <c r="AL8" i="2"/>
  <c r="AL12" i="2" s="1"/>
  <c r="AK8" i="2"/>
  <c r="AK12" i="2" s="1"/>
  <c r="AJ8" i="2"/>
  <c r="AI8" i="2"/>
  <c r="AI12" i="2" s="1"/>
  <c r="AH8" i="2"/>
  <c r="AH12" i="2" s="1"/>
  <c r="AG8" i="2"/>
  <c r="AF8" i="2"/>
  <c r="AF12" i="2" s="1"/>
  <c r="AE8" i="2"/>
  <c r="AD8" i="2"/>
  <c r="AC8" i="2"/>
  <c r="AC12" i="2" s="1"/>
  <c r="AB8" i="2"/>
  <c r="AB12" i="2" s="1"/>
  <c r="AA8" i="2"/>
  <c r="Z8" i="2"/>
  <c r="Z12" i="2" s="1"/>
  <c r="Y8" i="2"/>
  <c r="X8" i="2"/>
  <c r="X12" i="2" s="1"/>
  <c r="W8" i="2"/>
  <c r="V8" i="2"/>
  <c r="V12" i="2" s="1"/>
  <c r="U8" i="2"/>
  <c r="T8" i="2"/>
  <c r="T12" i="2" s="1"/>
  <c r="S8" i="2"/>
  <c r="S12" i="2" s="1"/>
  <c r="R8" i="2"/>
  <c r="Q8" i="2"/>
  <c r="P8" i="2"/>
  <c r="P12" i="2" s="1"/>
  <c r="O8" i="2"/>
  <c r="N8" i="2"/>
  <c r="N12" i="2" s="1"/>
  <c r="M8" i="2"/>
  <c r="L8" i="2"/>
  <c r="K8" i="2"/>
  <c r="K12" i="2" s="1"/>
  <c r="J8" i="2"/>
  <c r="J12" i="2" s="1"/>
  <c r="I8" i="2"/>
  <c r="H8" i="2"/>
  <c r="H12" i="2" s="1"/>
  <c r="G8" i="2"/>
  <c r="F8" i="2"/>
  <c r="E8" i="2"/>
  <c r="E12" i="2" s="1"/>
  <c r="D8" i="2"/>
  <c r="D12" i="2" s="1"/>
  <c r="C8" i="2"/>
  <c r="CH7" i="2"/>
  <c r="CG7" i="2"/>
  <c r="CF7" i="2"/>
  <c r="CE7" i="2"/>
  <c r="CD7" i="2"/>
  <c r="CC7" i="2"/>
  <c r="CB7" i="2"/>
  <c r="CA7" i="2"/>
  <c r="BZ7" i="2"/>
  <c r="BY7" i="2"/>
  <c r="BX7" i="2"/>
  <c r="BW7" i="2"/>
  <c r="BV7" i="2"/>
  <c r="BU7" i="2"/>
  <c r="BT7" i="2"/>
  <c r="BS7" i="2"/>
  <c r="BR7" i="2"/>
  <c r="BQ7" i="2"/>
  <c r="BP7" i="2"/>
  <c r="BO7" i="2"/>
  <c r="BN7" i="2"/>
  <c r="BM7" i="2"/>
  <c r="BL7" i="2"/>
  <c r="BK7" i="2"/>
  <c r="BJ7" i="2"/>
  <c r="BI7" i="2"/>
  <c r="BH7" i="2"/>
  <c r="BG7" i="2"/>
  <c r="BF7" i="2"/>
  <c r="BE7" i="2"/>
  <c r="BD7" i="2"/>
  <c r="BC7" i="2"/>
  <c r="BB7" i="2"/>
  <c r="BA7" i="2"/>
  <c r="AZ7" i="2"/>
  <c r="AY7" i="2"/>
  <c r="AX7" i="2"/>
  <c r="AW7" i="2"/>
  <c r="AV7" i="2"/>
  <c r="AU7" i="2"/>
  <c r="AT7" i="2"/>
  <c r="AS7" i="2"/>
  <c r="AR7" i="2"/>
  <c r="AQ7" i="2"/>
  <c r="AP7" i="2"/>
  <c r="AO7" i="2"/>
  <c r="AN7" i="2"/>
  <c r="AM7" i="2"/>
  <c r="AL7" i="2"/>
  <c r="AK7" i="2"/>
  <c r="AJ7" i="2"/>
  <c r="AI7" i="2"/>
  <c r="AH7" i="2"/>
  <c r="AG7" i="2"/>
  <c r="AF7" i="2"/>
  <c r="AE7" i="2"/>
  <c r="AD7" i="2"/>
  <c r="AC7" i="2"/>
  <c r="AB7" i="2"/>
  <c r="AA7" i="2"/>
  <c r="Z7" i="2"/>
  <c r="Y7" i="2"/>
  <c r="X7" i="2"/>
  <c r="W7" i="2"/>
  <c r="V7" i="2"/>
  <c r="U7" i="2"/>
  <c r="T7" i="2"/>
  <c r="S7" i="2"/>
  <c r="R7" i="2"/>
  <c r="Q7" i="2"/>
  <c r="P7" i="2"/>
  <c r="O7" i="2"/>
  <c r="N7" i="2"/>
  <c r="M7" i="2"/>
  <c r="L7" i="2"/>
  <c r="E3" i="3" s="1"/>
  <c r="K7" i="2"/>
  <c r="J7" i="2"/>
  <c r="I7" i="2"/>
  <c r="H7" i="2"/>
  <c r="G7" i="2"/>
  <c r="F7" i="2"/>
  <c r="E7" i="2"/>
  <c r="D7" i="2"/>
  <c r="C7" i="2"/>
  <c r="B44" i="1"/>
  <c r="G40" i="1"/>
  <c r="I37" i="1"/>
  <c r="I55" i="5" s="1"/>
  <c r="H37" i="1"/>
  <c r="H55" i="5" s="1"/>
  <c r="G37" i="1"/>
  <c r="G55" i="5" s="1"/>
  <c r="F37" i="1"/>
  <c r="F55" i="5" s="1"/>
  <c r="E37" i="1"/>
  <c r="E55" i="5" s="1"/>
  <c r="D37" i="1"/>
  <c r="D55" i="5" s="1"/>
  <c r="C37" i="1"/>
  <c r="C55" i="5" s="1"/>
  <c r="B37" i="1"/>
  <c r="B55" i="5" s="1"/>
  <c r="B35" i="1"/>
  <c r="H27" i="1"/>
  <c r="C27" i="1"/>
  <c r="H26" i="1"/>
  <c r="C26" i="1"/>
  <c r="H7" i="1"/>
  <c r="D38" i="9"/>
  <c r="D37" i="9"/>
  <c r="D36" i="9"/>
  <c r="D35" i="9"/>
  <c r="D34" i="9"/>
  <c r="D33" i="9"/>
  <c r="D32" i="9"/>
  <c r="CB18" i="2" s="1"/>
  <c r="D29" i="9"/>
  <c r="D28" i="9"/>
  <c r="D27" i="9"/>
  <c r="D26" i="9"/>
  <c r="D25" i="9"/>
  <c r="D24" i="9"/>
  <c r="D23" i="9"/>
  <c r="D22" i="9"/>
  <c r="D21" i="9"/>
  <c r="D20" i="9"/>
  <c r="D19" i="9"/>
  <c r="D18" i="9"/>
  <c r="D17" i="9"/>
  <c r="D16" i="9"/>
  <c r="D15" i="9"/>
  <c r="D14" i="9"/>
  <c r="AK16" i="2" s="1"/>
  <c r="D13" i="9"/>
  <c r="D12" i="9"/>
  <c r="D11" i="9"/>
  <c r="D10" i="9"/>
  <c r="D9" i="9"/>
  <c r="D8" i="9"/>
  <c r="D7" i="9"/>
  <c r="BQ16" i="2" s="1"/>
  <c r="D6" i="9"/>
  <c r="CC17" i="2" s="1"/>
  <c r="D5" i="9"/>
  <c r="D4" i="9"/>
  <c r="D3" i="9"/>
  <c r="D2" i="9"/>
  <c r="AG17" i="2" s="1"/>
  <c r="AN16" i="2" l="1"/>
  <c r="M18" i="2"/>
  <c r="D24" i="2"/>
  <c r="BP24" i="2"/>
  <c r="L25" i="2"/>
  <c r="BX25" i="2"/>
  <c r="T26" i="2"/>
  <c r="CF26" i="2"/>
  <c r="AB27" i="2"/>
  <c r="AJ28" i="2"/>
  <c r="AR29" i="2"/>
  <c r="AR32" i="2"/>
  <c r="M38" i="2"/>
  <c r="BY38" i="2"/>
  <c r="Z64" i="2"/>
  <c r="Z91" i="2" s="1"/>
  <c r="L3" i="3"/>
  <c r="T3" i="3"/>
  <c r="H3" i="1"/>
  <c r="AB3" i="3"/>
  <c r="C5" i="1"/>
  <c r="H5" i="3"/>
  <c r="P5" i="3"/>
  <c r="X5" i="3"/>
  <c r="I5" i="1"/>
  <c r="D6" i="3"/>
  <c r="L6" i="3"/>
  <c r="T6" i="3"/>
  <c r="H6" i="1"/>
  <c r="AB6" i="3"/>
  <c r="C7" i="1"/>
  <c r="H7" i="3"/>
  <c r="P7" i="3"/>
  <c r="X7" i="3"/>
  <c r="I7" i="1"/>
  <c r="H8" i="1"/>
  <c r="H41" i="5" s="1"/>
  <c r="B12" i="1"/>
  <c r="H12" i="1"/>
  <c r="P18" i="2"/>
  <c r="AJ29" i="2"/>
  <c r="E38" i="2"/>
  <c r="BQ38" i="2"/>
  <c r="BD16" i="2"/>
  <c r="BA16" i="2"/>
  <c r="BT16" i="2"/>
  <c r="H16" i="2"/>
  <c r="D3" i="3"/>
  <c r="CG16" i="2"/>
  <c r="AC18" i="2"/>
  <c r="D76" i="2"/>
  <c r="D74" i="2"/>
  <c r="D72" i="2"/>
  <c r="D37" i="2"/>
  <c r="D35" i="2"/>
  <c r="D77" i="2"/>
  <c r="D75" i="2"/>
  <c r="D73" i="2"/>
  <c r="D71" i="2"/>
  <c r="D36" i="2"/>
  <c r="D34" i="2"/>
  <c r="D33" i="2"/>
  <c r="D31" i="2"/>
  <c r="D38" i="2"/>
  <c r="L76" i="2"/>
  <c r="L74" i="2"/>
  <c r="L72" i="2"/>
  <c r="L37" i="2"/>
  <c r="L35" i="2"/>
  <c r="L77" i="2"/>
  <c r="L75" i="2"/>
  <c r="L73" i="2"/>
  <c r="L71" i="2"/>
  <c r="L36" i="2"/>
  <c r="L34" i="2"/>
  <c r="L33" i="2"/>
  <c r="L31" i="2"/>
  <c r="L38" i="2"/>
  <c r="T76" i="2"/>
  <c r="T74" i="2"/>
  <c r="T72" i="2"/>
  <c r="T37" i="2"/>
  <c r="T35" i="2"/>
  <c r="T77" i="2"/>
  <c r="T75" i="2"/>
  <c r="T73" i="2"/>
  <c r="T71" i="2"/>
  <c r="T36" i="2"/>
  <c r="T34" i="2"/>
  <c r="T33" i="2"/>
  <c r="T31" i="2"/>
  <c r="T38" i="2"/>
  <c r="AB76" i="2"/>
  <c r="AB74" i="2"/>
  <c r="AB72" i="2"/>
  <c r="AB37" i="2"/>
  <c r="AB35" i="2"/>
  <c r="AB77" i="2"/>
  <c r="AB75" i="2"/>
  <c r="AB73" i="2"/>
  <c r="AB71" i="2"/>
  <c r="AB36" i="2"/>
  <c r="AB34" i="2"/>
  <c r="AB33" i="2"/>
  <c r="AB31" i="2"/>
  <c r="AB38" i="2"/>
  <c r="AJ76" i="2"/>
  <c r="AJ74" i="2"/>
  <c r="AJ72" i="2"/>
  <c r="AJ37" i="2"/>
  <c r="AJ35" i="2"/>
  <c r="AJ77" i="2"/>
  <c r="AJ75" i="2"/>
  <c r="AJ73" i="2"/>
  <c r="AJ71" i="2"/>
  <c r="AJ36" i="2"/>
  <c r="AJ34" i="2"/>
  <c r="AJ33" i="2"/>
  <c r="AJ31" i="2"/>
  <c r="AJ38" i="2"/>
  <c r="AR76" i="2"/>
  <c r="AR74" i="2"/>
  <c r="AR72" i="2"/>
  <c r="AR37" i="2"/>
  <c r="AR35" i="2"/>
  <c r="AR77" i="2"/>
  <c r="AR75" i="2"/>
  <c r="AR73" i="2"/>
  <c r="AR71" i="2"/>
  <c r="AR36" i="2"/>
  <c r="AR34" i="2"/>
  <c r="AR33" i="2"/>
  <c r="AR31" i="2"/>
  <c r="AR38" i="2"/>
  <c r="AZ76" i="2"/>
  <c r="AZ74" i="2"/>
  <c r="AZ72" i="2"/>
  <c r="AZ37" i="2"/>
  <c r="AZ35" i="2"/>
  <c r="AZ77" i="2"/>
  <c r="AZ75" i="2"/>
  <c r="AZ73" i="2"/>
  <c r="AZ71" i="2"/>
  <c r="AZ36" i="2"/>
  <c r="AZ34" i="2"/>
  <c r="AZ33" i="2"/>
  <c r="AZ31" i="2"/>
  <c r="AZ38" i="2"/>
  <c r="BH76" i="2"/>
  <c r="BH74" i="2"/>
  <c r="BH72" i="2"/>
  <c r="BH37" i="2"/>
  <c r="BH35" i="2"/>
  <c r="BH77" i="2"/>
  <c r="BH75" i="2"/>
  <c r="BH73" i="2"/>
  <c r="BH71" i="2"/>
  <c r="BH36" i="2"/>
  <c r="BH34" i="2"/>
  <c r="BH33" i="2"/>
  <c r="BH31" i="2"/>
  <c r="BH38" i="2"/>
  <c r="BP76" i="2"/>
  <c r="BP74" i="2"/>
  <c r="BP72" i="2"/>
  <c r="BP37" i="2"/>
  <c r="BP35" i="2"/>
  <c r="BP77" i="2"/>
  <c r="BP75" i="2"/>
  <c r="BP73" i="2"/>
  <c r="BP71" i="2"/>
  <c r="BP36" i="2"/>
  <c r="BP34" i="2"/>
  <c r="BP33" i="2"/>
  <c r="BP31" i="2"/>
  <c r="BP38" i="2"/>
  <c r="BX76" i="2"/>
  <c r="BX74" i="2"/>
  <c r="BX72" i="2"/>
  <c r="BX37" i="2"/>
  <c r="BX35" i="2"/>
  <c r="BX77" i="2"/>
  <c r="BX75" i="2"/>
  <c r="BX73" i="2"/>
  <c r="BX71" i="2"/>
  <c r="BX36" i="2"/>
  <c r="BX34" i="2"/>
  <c r="BX31" i="2"/>
  <c r="BX38" i="2"/>
  <c r="CF76" i="2"/>
  <c r="CF74" i="2"/>
  <c r="CF72" i="2"/>
  <c r="CF37" i="2"/>
  <c r="CF35" i="2"/>
  <c r="CF77" i="2"/>
  <c r="CF75" i="2"/>
  <c r="CF73" i="2"/>
  <c r="CF71" i="2"/>
  <c r="CF36" i="2"/>
  <c r="CF34" i="2"/>
  <c r="CF31" i="2"/>
  <c r="CF38" i="2"/>
  <c r="H16" i="11"/>
  <c r="H133" i="2"/>
  <c r="H141" i="2" s="1"/>
  <c r="C40" i="3" s="1"/>
  <c r="AF16" i="11"/>
  <c r="AF133" i="2"/>
  <c r="AF141" i="2" s="1"/>
  <c r="K40" i="3" s="1"/>
  <c r="AN16" i="11"/>
  <c r="AN133" i="2"/>
  <c r="AN141" i="2" s="1"/>
  <c r="AV16" i="11"/>
  <c r="AV133" i="2"/>
  <c r="AV141" i="2" s="1"/>
  <c r="BD16" i="11"/>
  <c r="BD133" i="2"/>
  <c r="BD141" i="2" s="1"/>
  <c r="S40" i="3" s="1"/>
  <c r="BL16" i="11"/>
  <c r="BL133" i="2"/>
  <c r="BL141" i="2" s="1"/>
  <c r="BT16" i="11"/>
  <c r="BT133" i="2"/>
  <c r="BT141" i="2" s="1"/>
  <c r="CB16" i="11"/>
  <c r="CB133" i="2"/>
  <c r="CB141" i="2" s="1"/>
  <c r="AA40" i="3" s="1"/>
  <c r="BH16" i="11"/>
  <c r="BH134" i="2"/>
  <c r="BX16" i="11"/>
  <c r="BX134" i="2"/>
  <c r="BX141" i="2" s="1"/>
  <c r="G12" i="2"/>
  <c r="W12" i="2"/>
  <c r="AE12" i="2"/>
  <c r="AE90" i="2" s="1"/>
  <c r="AE92" i="2" s="1"/>
  <c r="AU12" i="2"/>
  <c r="BC12" i="2"/>
  <c r="BS12" i="2"/>
  <c r="CA12" i="2"/>
  <c r="D17" i="2"/>
  <c r="BI18" i="2"/>
  <c r="E76" i="2"/>
  <c r="E74" i="2"/>
  <c r="E72" i="2"/>
  <c r="E37" i="2"/>
  <c r="E35" i="2"/>
  <c r="E77" i="2"/>
  <c r="E75" i="2"/>
  <c r="E73" i="2"/>
  <c r="E71" i="2"/>
  <c r="E34" i="2"/>
  <c r="E33" i="2"/>
  <c r="E31" i="2"/>
  <c r="E29" i="2"/>
  <c r="E27" i="2"/>
  <c r="E25" i="2"/>
  <c r="E32" i="2"/>
  <c r="E30" i="2"/>
  <c r="E28" i="2"/>
  <c r="E26" i="2"/>
  <c r="E24" i="2"/>
  <c r="M76" i="2"/>
  <c r="M74" i="2"/>
  <c r="M72" i="2"/>
  <c r="M37" i="2"/>
  <c r="M35" i="2"/>
  <c r="M77" i="2"/>
  <c r="M75" i="2"/>
  <c r="M73" i="2"/>
  <c r="M71" i="2"/>
  <c r="M34" i="2"/>
  <c r="M33" i="2"/>
  <c r="M31" i="2"/>
  <c r="M29" i="2"/>
  <c r="M27" i="2"/>
  <c r="M25" i="2"/>
  <c r="M32" i="2"/>
  <c r="M30" i="2"/>
  <c r="M28" i="2"/>
  <c r="M26" i="2"/>
  <c r="M24" i="2"/>
  <c r="U76" i="2"/>
  <c r="U74" i="2"/>
  <c r="U72" i="2"/>
  <c r="U37" i="2"/>
  <c r="U35" i="2"/>
  <c r="U77" i="2"/>
  <c r="U75" i="2"/>
  <c r="U73" i="2"/>
  <c r="U71" i="2"/>
  <c r="U34" i="2"/>
  <c r="U33" i="2"/>
  <c r="U31" i="2"/>
  <c r="U29" i="2"/>
  <c r="U27" i="2"/>
  <c r="U25" i="2"/>
  <c r="U32" i="2"/>
  <c r="U30" i="2"/>
  <c r="U28" i="2"/>
  <c r="U26" i="2"/>
  <c r="U24" i="2"/>
  <c r="AC76" i="2"/>
  <c r="AC74" i="2"/>
  <c r="AC72" i="2"/>
  <c r="AC37" i="2"/>
  <c r="AC35" i="2"/>
  <c r="AC77" i="2"/>
  <c r="AC75" i="2"/>
  <c r="AC73" i="2"/>
  <c r="AC71" i="2"/>
  <c r="AC34" i="2"/>
  <c r="AC33" i="2"/>
  <c r="AC31" i="2"/>
  <c r="AC29" i="2"/>
  <c r="AC27" i="2"/>
  <c r="AC25" i="2"/>
  <c r="AC32" i="2"/>
  <c r="AC30" i="2"/>
  <c r="AC28" i="2"/>
  <c r="AC26" i="2"/>
  <c r="AC24" i="2"/>
  <c r="AK76" i="2"/>
  <c r="AK74" i="2"/>
  <c r="AK72" i="2"/>
  <c r="AK37" i="2"/>
  <c r="AK35" i="2"/>
  <c r="AK77" i="2"/>
  <c r="AK75" i="2"/>
  <c r="AK73" i="2"/>
  <c r="AK71" i="2"/>
  <c r="AK34" i="2"/>
  <c r="AK33" i="2"/>
  <c r="AK31" i="2"/>
  <c r="AK29" i="2"/>
  <c r="AK27" i="2"/>
  <c r="AK25" i="2"/>
  <c r="AK32" i="2"/>
  <c r="AK30" i="2"/>
  <c r="AK28" i="2"/>
  <c r="AK26" i="2"/>
  <c r="AK24" i="2"/>
  <c r="AS76" i="2"/>
  <c r="AS74" i="2"/>
  <c r="AS72" i="2"/>
  <c r="AS37" i="2"/>
  <c r="AS35" i="2"/>
  <c r="AS77" i="2"/>
  <c r="AS75" i="2"/>
  <c r="AS73" i="2"/>
  <c r="AS71" i="2"/>
  <c r="AS34" i="2"/>
  <c r="AS33" i="2"/>
  <c r="AS31" i="2"/>
  <c r="AS29" i="2"/>
  <c r="AS27" i="2"/>
  <c r="AS25" i="2"/>
  <c r="AS32" i="2"/>
  <c r="AS30" i="2"/>
  <c r="AS28" i="2"/>
  <c r="AS26" i="2"/>
  <c r="AS24" i="2"/>
  <c r="BA76" i="2"/>
  <c r="BA74" i="2"/>
  <c r="BA72" i="2"/>
  <c r="BA37" i="2"/>
  <c r="BA35" i="2"/>
  <c r="BA77" i="2"/>
  <c r="BA75" i="2"/>
  <c r="BA73" i="2"/>
  <c r="BA71" i="2"/>
  <c r="BA34" i="2"/>
  <c r="BA33" i="2"/>
  <c r="BA31" i="2"/>
  <c r="BA29" i="2"/>
  <c r="BA27" i="2"/>
  <c r="BA25" i="2"/>
  <c r="BA32" i="2"/>
  <c r="BA30" i="2"/>
  <c r="BA28" i="2"/>
  <c r="BA26" i="2"/>
  <c r="BA24" i="2"/>
  <c r="BI76" i="2"/>
  <c r="BI74" i="2"/>
  <c r="BI72" i="2"/>
  <c r="BI37" i="2"/>
  <c r="BI35" i="2"/>
  <c r="BI77" i="2"/>
  <c r="BI75" i="2"/>
  <c r="BI73" i="2"/>
  <c r="BI71" i="2"/>
  <c r="BI34" i="2"/>
  <c r="BI33" i="2"/>
  <c r="BI31" i="2"/>
  <c r="BI29" i="2"/>
  <c r="BI27" i="2"/>
  <c r="BI25" i="2"/>
  <c r="BI32" i="2"/>
  <c r="BI30" i="2"/>
  <c r="BI28" i="2"/>
  <c r="BI26" i="2"/>
  <c r="BI24" i="2"/>
  <c r="BQ76" i="2"/>
  <c r="BQ74" i="2"/>
  <c r="BQ72" i="2"/>
  <c r="BQ37" i="2"/>
  <c r="BQ35" i="2"/>
  <c r="BQ33" i="2"/>
  <c r="BQ77" i="2"/>
  <c r="BQ75" i="2"/>
  <c r="BQ73" i="2"/>
  <c r="BQ71" i="2"/>
  <c r="BQ34" i="2"/>
  <c r="BQ31" i="2"/>
  <c r="BQ29" i="2"/>
  <c r="BQ27" i="2"/>
  <c r="BQ25" i="2"/>
  <c r="BQ32" i="2"/>
  <c r="BQ30" i="2"/>
  <c r="BQ28" i="2"/>
  <c r="BQ26" i="2"/>
  <c r="BQ24" i="2"/>
  <c r="BY76" i="2"/>
  <c r="BY74" i="2"/>
  <c r="BY72" i="2"/>
  <c r="BY37" i="2"/>
  <c r="BY35" i="2"/>
  <c r="BY33" i="2"/>
  <c r="BY77" i="2"/>
  <c r="BY75" i="2"/>
  <c r="BY73" i="2"/>
  <c r="BY71" i="2"/>
  <c r="BY34" i="2"/>
  <c r="BY31" i="2"/>
  <c r="BY29" i="2"/>
  <c r="BY27" i="2"/>
  <c r="BY25" i="2"/>
  <c r="BY23" i="2"/>
  <c r="BY32" i="2"/>
  <c r="BY30" i="2"/>
  <c r="BY28" i="2"/>
  <c r="BY26" i="2"/>
  <c r="BY24" i="2"/>
  <c r="CG76" i="2"/>
  <c r="CG74" i="2"/>
  <c r="CG72" i="2"/>
  <c r="CG37" i="2"/>
  <c r="CG35" i="2"/>
  <c r="CG33" i="2"/>
  <c r="CG77" i="2"/>
  <c r="CG75" i="2"/>
  <c r="CG73" i="2"/>
  <c r="CG71" i="2"/>
  <c r="CG34" i="2"/>
  <c r="CG31" i="2"/>
  <c r="CG29" i="2"/>
  <c r="CG27" i="2"/>
  <c r="CG25" i="2"/>
  <c r="CG23" i="2"/>
  <c r="CG32" i="2"/>
  <c r="CG30" i="2"/>
  <c r="CG28" i="2"/>
  <c r="CG26" i="2"/>
  <c r="CG24" i="2"/>
  <c r="I16" i="11"/>
  <c r="I133" i="2"/>
  <c r="I141" i="2" s="1"/>
  <c r="Q16" i="11"/>
  <c r="Q133" i="2"/>
  <c r="Q141" i="2" s="1"/>
  <c r="F40" i="3" s="1"/>
  <c r="Y16" i="11"/>
  <c r="Y133" i="2"/>
  <c r="Y141" i="2" s="1"/>
  <c r="AG16" i="11"/>
  <c r="AG133" i="2"/>
  <c r="AG141" i="2" s="1"/>
  <c r="AO16" i="11"/>
  <c r="AO133" i="2"/>
  <c r="AO141" i="2" s="1"/>
  <c r="N40" i="3" s="1"/>
  <c r="AW16" i="11"/>
  <c r="AW133" i="2"/>
  <c r="AW141" i="2" s="1"/>
  <c r="BE16" i="11"/>
  <c r="BE133" i="2"/>
  <c r="BE141" i="2" s="1"/>
  <c r="BM16" i="11"/>
  <c r="BM133" i="2"/>
  <c r="BM141" i="2" s="1"/>
  <c r="V40" i="3" s="1"/>
  <c r="BU16" i="11"/>
  <c r="BU133" i="2"/>
  <c r="BU141" i="2" s="1"/>
  <c r="CC16" i="11"/>
  <c r="CC133" i="2"/>
  <c r="CC141" i="2" s="1"/>
  <c r="BH17" i="2"/>
  <c r="CB16" i="2"/>
  <c r="AF18" i="2"/>
  <c r="B6" i="1"/>
  <c r="B8" i="1"/>
  <c r="B41" i="5" s="1"/>
  <c r="E16" i="2"/>
  <c r="Q17" i="2"/>
  <c r="AJ24" i="2"/>
  <c r="AR25" i="2"/>
  <c r="AZ26" i="2"/>
  <c r="BH27" i="2"/>
  <c r="D28" i="2"/>
  <c r="BP28" i="2"/>
  <c r="L29" i="2"/>
  <c r="BX29" i="2"/>
  <c r="T30" i="2"/>
  <c r="CF30" i="2"/>
  <c r="L32" i="2"/>
  <c r="BX32" i="2"/>
  <c r="BX33" i="2"/>
  <c r="BA36" i="2"/>
  <c r="AS38" i="2"/>
  <c r="P133" i="2"/>
  <c r="P141" i="2" s="1"/>
  <c r="BG66" i="2"/>
  <c r="BO66" i="2"/>
  <c r="AY66" i="2"/>
  <c r="AI66" i="2"/>
  <c r="S66" i="2"/>
  <c r="C66" i="2"/>
  <c r="AV18" i="2"/>
  <c r="CE66" i="2"/>
  <c r="AS18" i="2"/>
  <c r="BY18" i="2"/>
  <c r="B3" i="1"/>
  <c r="U16" i="2"/>
  <c r="CF23" i="2"/>
  <c r="AB24" i="2"/>
  <c r="AJ25" i="2"/>
  <c r="AR26" i="2"/>
  <c r="AZ27" i="2"/>
  <c r="BH28" i="2"/>
  <c r="D29" i="2"/>
  <c r="BP29" i="2"/>
  <c r="L30" i="2"/>
  <c r="BX30" i="2"/>
  <c r="D32" i="2"/>
  <c r="BP32" i="2"/>
  <c r="AS36" i="2"/>
  <c r="AK38" i="2"/>
  <c r="AW17" i="2"/>
  <c r="AJ17" i="2"/>
  <c r="BP17" i="2"/>
  <c r="C3" i="3"/>
  <c r="K3" i="3"/>
  <c r="S3" i="3"/>
  <c r="AA3" i="3"/>
  <c r="G5" i="3"/>
  <c r="O5" i="3"/>
  <c r="W5" i="3"/>
  <c r="C6" i="3"/>
  <c r="K6" i="3"/>
  <c r="S6" i="3"/>
  <c r="AA6" i="3"/>
  <c r="G7" i="3"/>
  <c r="O7" i="3"/>
  <c r="W7" i="3"/>
  <c r="C8" i="3"/>
  <c r="K8" i="3"/>
  <c r="S8" i="3"/>
  <c r="AA8" i="3"/>
  <c r="D12" i="3"/>
  <c r="L12" i="3"/>
  <c r="T12" i="3"/>
  <c r="AB12" i="3"/>
  <c r="X16" i="2"/>
  <c r="BM17" i="2"/>
  <c r="D23" i="2"/>
  <c r="L23" i="2"/>
  <c r="T23" i="2"/>
  <c r="AB23" i="2"/>
  <c r="AJ23" i="2"/>
  <c r="AR23" i="2"/>
  <c r="AZ23" i="2"/>
  <c r="BH23" i="2"/>
  <c r="BP23" i="2"/>
  <c r="BX23" i="2"/>
  <c r="T24" i="2"/>
  <c r="CF24" i="2"/>
  <c r="AB25" i="2"/>
  <c r="AJ26" i="2"/>
  <c r="AR27" i="2"/>
  <c r="AZ28" i="2"/>
  <c r="BH29" i="2"/>
  <c r="D30" i="2"/>
  <c r="BP30" i="2"/>
  <c r="BH32" i="2"/>
  <c r="AK36" i="2"/>
  <c r="AC38" i="2"/>
  <c r="P64" i="2"/>
  <c r="X64" i="2"/>
  <c r="BI141" i="2"/>
  <c r="BA141" i="2"/>
  <c r="R40" i="3" s="1"/>
  <c r="AR141" i="2"/>
  <c r="O40" i="3" s="1"/>
  <c r="C12" i="3"/>
  <c r="K12" i="3"/>
  <c r="S12" i="3"/>
  <c r="AA12" i="3"/>
  <c r="Z141" i="2"/>
  <c r="I40" i="3" s="1"/>
  <c r="AJ141" i="2"/>
  <c r="AS141" i="2"/>
  <c r="N141" i="2"/>
  <c r="E40" i="3" s="1"/>
  <c r="AT141" i="2"/>
  <c r="BZ141" i="2"/>
  <c r="R141" i="2"/>
  <c r="AB141" i="2"/>
  <c r="AK141" i="2"/>
  <c r="BC141" i="2"/>
  <c r="AE141" i="2"/>
  <c r="BK141" i="2"/>
  <c r="AC141" i="2"/>
  <c r="J40" i="3" s="1"/>
  <c r="AU141" i="2"/>
  <c r="CF141" i="2"/>
  <c r="B26" i="1"/>
  <c r="E26" i="1"/>
  <c r="G26" i="1"/>
  <c r="I26" i="1"/>
  <c r="D27" i="1"/>
  <c r="F27" i="1"/>
  <c r="L141" i="2"/>
  <c r="U141" i="2"/>
  <c r="CG141" i="2"/>
  <c r="E64" i="2"/>
  <c r="M64" i="2"/>
  <c r="U64" i="2"/>
  <c r="H19" i="3" s="1"/>
  <c r="AC64" i="2"/>
  <c r="AK64" i="2"/>
  <c r="M19" i="3" s="1"/>
  <c r="AS64" i="2"/>
  <c r="BA64" i="2"/>
  <c r="BI64" i="2"/>
  <c r="BQ64" i="2"/>
  <c r="BY64" i="2"/>
  <c r="CG64" i="2"/>
  <c r="L14" i="4"/>
  <c r="L16" i="4" s="1"/>
  <c r="T14" i="4"/>
  <c r="T16" i="4" s="1"/>
  <c r="N20" i="4"/>
  <c r="N22" i="4" s="1"/>
  <c r="V20" i="4"/>
  <c r="V22" i="4" s="1"/>
  <c r="D141" i="2"/>
  <c r="M141" i="2"/>
  <c r="BP141" i="2"/>
  <c r="W40" i="3" s="1"/>
  <c r="BY141" i="2"/>
  <c r="Z40" i="3" s="1"/>
  <c r="C26" i="11"/>
  <c r="C27" i="11" s="1"/>
  <c r="D25" i="11" s="1"/>
  <c r="D26" i="11" s="1"/>
  <c r="F64" i="2"/>
  <c r="AD64" i="2"/>
  <c r="AL64" i="2"/>
  <c r="AL91" i="2" s="1"/>
  <c r="AT64" i="2"/>
  <c r="BB64" i="2"/>
  <c r="S19" i="3" s="1"/>
  <c r="BJ64" i="2"/>
  <c r="BR64" i="2"/>
  <c r="BZ64" i="2"/>
  <c r="H19" i="1" s="1"/>
  <c r="CH64" i="2"/>
  <c r="M14" i="4"/>
  <c r="M16" i="4" s="1"/>
  <c r="U14" i="4"/>
  <c r="U16" i="4" s="1"/>
  <c r="O20" i="4"/>
  <c r="O22" i="4" s="1"/>
  <c r="W20" i="4"/>
  <c r="W22" i="4" s="1"/>
  <c r="E141" i="2"/>
  <c r="B40" i="3" s="1"/>
  <c r="W141" i="2"/>
  <c r="BH141" i="2"/>
  <c r="BQ141" i="2"/>
  <c r="O4" i="8"/>
  <c r="O13" i="8"/>
  <c r="C159" i="2"/>
  <c r="P4" i="8"/>
  <c r="P11" i="8"/>
  <c r="N16" i="8"/>
  <c r="CA16" i="11"/>
  <c r="CA106" i="12"/>
  <c r="N9" i="8"/>
  <c r="P104" i="12"/>
  <c r="AF104" i="12"/>
  <c r="AN104" i="12"/>
  <c r="BD104" i="12"/>
  <c r="BL104" i="12"/>
  <c r="CB104" i="12"/>
  <c r="CB105" i="12" s="1"/>
  <c r="CB106" i="12" s="1"/>
  <c r="CB107" i="12" s="1"/>
  <c r="O9" i="8"/>
  <c r="N14" i="8"/>
  <c r="P16" i="8"/>
  <c r="N12" i="8"/>
  <c r="C24" i="11"/>
  <c r="D22" i="11" s="1"/>
  <c r="R104" i="12"/>
  <c r="Z104" i="12"/>
  <c r="AH104" i="12"/>
  <c r="AH105" i="12" s="1"/>
  <c r="AH106" i="12" s="1"/>
  <c r="AH107" i="12" s="1"/>
  <c r="AP104" i="12"/>
  <c r="AX104" i="12"/>
  <c r="AX105" i="12" s="1"/>
  <c r="BF104" i="12"/>
  <c r="BF105" i="12" s="1"/>
  <c r="BN104" i="12"/>
  <c r="BV104" i="12"/>
  <c r="CD104" i="12"/>
  <c r="B29" i="13"/>
  <c r="N8" i="8"/>
  <c r="Q8" i="8" s="1"/>
  <c r="R8" i="8" s="1"/>
  <c r="O12" i="8"/>
  <c r="D8" i="13"/>
  <c r="AK90" i="2"/>
  <c r="BL90" i="2"/>
  <c r="BL42" i="2"/>
  <c r="E90" i="2"/>
  <c r="BI90" i="2"/>
  <c r="BI42" i="2"/>
  <c r="P90" i="2"/>
  <c r="AN90" i="2"/>
  <c r="AC90" i="2"/>
  <c r="BY90" i="2"/>
  <c r="BY42" i="2"/>
  <c r="H90" i="2"/>
  <c r="X90" i="2"/>
  <c r="BD90" i="2"/>
  <c r="BA90" i="2"/>
  <c r="AF90" i="2"/>
  <c r="CB42" i="2"/>
  <c r="CB90" i="2"/>
  <c r="AC8" i="3"/>
  <c r="I8" i="1"/>
  <c r="I41" i="5" s="1"/>
  <c r="U91" i="2"/>
  <c r="P19" i="3"/>
  <c r="AS91" i="2"/>
  <c r="BY91" i="2"/>
  <c r="W91" i="2"/>
  <c r="Q12" i="2"/>
  <c r="Y12" i="2"/>
  <c r="AO12" i="2"/>
  <c r="AW12" i="2"/>
  <c r="BM12" i="2"/>
  <c r="BU12" i="2"/>
  <c r="U12" i="3"/>
  <c r="G12" i="1"/>
  <c r="F91" i="2"/>
  <c r="N64" i="2"/>
  <c r="V64" i="2"/>
  <c r="K19" i="3"/>
  <c r="AD91" i="2"/>
  <c r="AT91" i="2"/>
  <c r="BB91" i="2"/>
  <c r="BJ91" i="2"/>
  <c r="BR91" i="2"/>
  <c r="AA19" i="3"/>
  <c r="CH91" i="2"/>
  <c r="BF91" i="2"/>
  <c r="F66" i="2"/>
  <c r="AL66" i="2"/>
  <c r="BR66" i="2"/>
  <c r="CA17" i="2"/>
  <c r="J90" i="2"/>
  <c r="Z90" i="2"/>
  <c r="AH90" i="2"/>
  <c r="AX90" i="2"/>
  <c r="BF90" i="2"/>
  <c r="BV90" i="2"/>
  <c r="BV42" i="2"/>
  <c r="CD90" i="2"/>
  <c r="CD92" i="2" s="1"/>
  <c r="CD42" i="2"/>
  <c r="AC16" i="2"/>
  <c r="BI16" i="2"/>
  <c r="I17" i="2"/>
  <c r="AO17" i="2"/>
  <c r="BU17" i="2"/>
  <c r="U18" i="2"/>
  <c r="BA18" i="2"/>
  <c r="CG18" i="2"/>
  <c r="AE91" i="2"/>
  <c r="V19" i="3"/>
  <c r="BK91" i="2"/>
  <c r="K66" i="2"/>
  <c r="AQ66" i="2"/>
  <c r="BW66" i="2"/>
  <c r="M3" i="3"/>
  <c r="E3" i="1"/>
  <c r="AC3" i="3"/>
  <c r="I3" i="1"/>
  <c r="Q5" i="3"/>
  <c r="F5" i="1"/>
  <c r="M6" i="3"/>
  <c r="E6" i="1"/>
  <c r="U6" i="3"/>
  <c r="G6" i="1"/>
  <c r="AC6" i="3"/>
  <c r="I6" i="1"/>
  <c r="I7" i="3"/>
  <c r="D7" i="1"/>
  <c r="Q7" i="3"/>
  <c r="F7" i="1"/>
  <c r="M8" i="3"/>
  <c r="E8" i="1"/>
  <c r="E41" i="5" s="1"/>
  <c r="U8" i="3"/>
  <c r="G8" i="1"/>
  <c r="G41" i="5" s="1"/>
  <c r="E91" i="2"/>
  <c r="AC91" i="2"/>
  <c r="BA91" i="2"/>
  <c r="X19" i="3"/>
  <c r="BQ91" i="2"/>
  <c r="BC91" i="2"/>
  <c r="C6" i="1"/>
  <c r="M12" i="3"/>
  <c r="E12" i="1"/>
  <c r="AC12" i="3"/>
  <c r="I12" i="1"/>
  <c r="K90" i="2"/>
  <c r="S90" i="2"/>
  <c r="AI90" i="2"/>
  <c r="AQ90" i="2"/>
  <c r="BG90" i="2"/>
  <c r="BG42" i="2"/>
  <c r="BO42" i="2"/>
  <c r="BO90" i="2"/>
  <c r="CE90" i="2"/>
  <c r="CE42" i="2"/>
  <c r="BQ12" i="2"/>
  <c r="AF16" i="2"/>
  <c r="BL16" i="2"/>
  <c r="L17" i="2"/>
  <c r="AR17" i="2"/>
  <c r="BX17" i="2"/>
  <c r="X18" i="2"/>
  <c r="BD18" i="2"/>
  <c r="H64" i="2"/>
  <c r="P91" i="2"/>
  <c r="X91" i="2"/>
  <c r="AF91" i="2"/>
  <c r="AN91" i="2"/>
  <c r="AV91" i="2"/>
  <c r="BD91" i="2"/>
  <c r="BL91" i="2"/>
  <c r="BT91" i="2"/>
  <c r="CB91" i="2"/>
  <c r="AH91" i="2"/>
  <c r="BN91" i="2"/>
  <c r="N66" i="2"/>
  <c r="AT66" i="2"/>
  <c r="BZ66" i="2"/>
  <c r="B27" i="1"/>
  <c r="D90" i="2"/>
  <c r="AR90" i="2"/>
  <c r="BX90" i="2"/>
  <c r="Y17" i="3"/>
  <c r="Y9" i="3"/>
  <c r="BT90" i="2"/>
  <c r="BT92" i="2" s="1"/>
  <c r="BT42" i="2"/>
  <c r="Q91" i="2"/>
  <c r="AG91" i="2"/>
  <c r="AW91" i="2"/>
  <c r="BU91" i="2"/>
  <c r="G91" i="2"/>
  <c r="N19" i="3"/>
  <c r="AM91" i="2"/>
  <c r="B5" i="1"/>
  <c r="D6" i="1"/>
  <c r="F6" i="1"/>
  <c r="E7" i="1"/>
  <c r="G7" i="1"/>
  <c r="T17" i="2"/>
  <c r="BL18" i="2"/>
  <c r="J91" i="2"/>
  <c r="AP91" i="2"/>
  <c r="BV64" i="2"/>
  <c r="V66" i="2"/>
  <c r="BB66" i="2"/>
  <c r="CH66" i="2"/>
  <c r="U3" i="3"/>
  <c r="G3" i="1"/>
  <c r="I5" i="3"/>
  <c r="D5" i="1"/>
  <c r="AB90" i="2"/>
  <c r="AZ90" i="2"/>
  <c r="Y91" i="2"/>
  <c r="AO91" i="2"/>
  <c r="BE91" i="2"/>
  <c r="CC91" i="2"/>
  <c r="BS91" i="2"/>
  <c r="C3" i="1"/>
  <c r="D3" i="1"/>
  <c r="F3" i="1"/>
  <c r="E5" i="1"/>
  <c r="G5" i="1"/>
  <c r="B7" i="1"/>
  <c r="D8" i="1"/>
  <c r="D41" i="5" s="1"/>
  <c r="AS12" i="2"/>
  <c r="AZ17" i="2"/>
  <c r="N90" i="2"/>
  <c r="V90" i="2"/>
  <c r="AL90" i="2"/>
  <c r="AT90" i="2"/>
  <c r="BJ90" i="2"/>
  <c r="BJ92" i="2" s="1"/>
  <c r="BJ42" i="2"/>
  <c r="BR42" i="2"/>
  <c r="BR90" i="2"/>
  <c r="BR92" i="2" s="1"/>
  <c r="CH90" i="2"/>
  <c r="CH92" i="2" s="1"/>
  <c r="CH42" i="2"/>
  <c r="AV12" i="2"/>
  <c r="F12" i="1"/>
  <c r="M16" i="2"/>
  <c r="AS16" i="2"/>
  <c r="BY16" i="2"/>
  <c r="Y17" i="2"/>
  <c r="BE17" i="2"/>
  <c r="E18" i="2"/>
  <c r="AK18" i="2"/>
  <c r="BQ18" i="2"/>
  <c r="C64" i="2"/>
  <c r="K64" i="2"/>
  <c r="S64" i="2"/>
  <c r="AA64" i="2"/>
  <c r="D19" i="1" s="1"/>
  <c r="AI64" i="2"/>
  <c r="AQ64" i="2"/>
  <c r="AY64" i="2"/>
  <c r="BG64" i="2"/>
  <c r="BO64" i="2"/>
  <c r="W19" i="3" s="1"/>
  <c r="BW64" i="2"/>
  <c r="CE64" i="2"/>
  <c r="AB19" i="3" s="1"/>
  <c r="O64" i="2"/>
  <c r="AU91" i="2"/>
  <c r="CA91" i="2"/>
  <c r="AA66" i="2"/>
  <c r="T90" i="2"/>
  <c r="BP90" i="2"/>
  <c r="D19" i="3"/>
  <c r="I91" i="2"/>
  <c r="BM91" i="2"/>
  <c r="F8" i="1"/>
  <c r="F41" i="5" s="1"/>
  <c r="M12" i="2"/>
  <c r="CF17" i="2"/>
  <c r="CE5" i="11"/>
  <c r="BW5" i="11"/>
  <c r="BO5" i="11"/>
  <c r="BG5" i="11"/>
  <c r="AY5" i="11"/>
  <c r="AQ5" i="11"/>
  <c r="AI5" i="11"/>
  <c r="AA5" i="11"/>
  <c r="S5" i="11"/>
  <c r="K5" i="11"/>
  <c r="C5" i="11"/>
  <c r="CD5" i="11"/>
  <c r="BV5" i="11"/>
  <c r="BN5" i="11"/>
  <c r="BF5" i="11"/>
  <c r="AX5" i="11"/>
  <c r="AP5" i="11"/>
  <c r="AH5" i="11"/>
  <c r="Z5" i="11"/>
  <c r="R5" i="11"/>
  <c r="J5" i="11"/>
  <c r="CB5" i="11"/>
  <c r="BT5" i="11"/>
  <c r="BL5" i="11"/>
  <c r="BD5" i="11"/>
  <c r="AV5" i="11"/>
  <c r="AN5" i="11"/>
  <c r="AF5" i="11"/>
  <c r="X5" i="11"/>
  <c r="P5" i="11"/>
  <c r="H5" i="11"/>
  <c r="CH5" i="11"/>
  <c r="BZ5" i="11"/>
  <c r="BR5" i="11"/>
  <c r="BJ5" i="11"/>
  <c r="BB5" i="11"/>
  <c r="AT5" i="11"/>
  <c r="AL5" i="11"/>
  <c r="AD5" i="11"/>
  <c r="V5" i="11"/>
  <c r="N5" i="11"/>
  <c r="F5" i="11"/>
  <c r="CA5" i="11"/>
  <c r="BK5" i="11"/>
  <c r="AU5" i="11"/>
  <c r="AE5" i="11"/>
  <c r="O5" i="11"/>
  <c r="BY5" i="11"/>
  <c r="BI5" i="11"/>
  <c r="AS5" i="11"/>
  <c r="AC5" i="11"/>
  <c r="M5" i="11"/>
  <c r="BU5" i="11"/>
  <c r="BE5" i="11"/>
  <c r="AO5" i="11"/>
  <c r="Y5" i="11"/>
  <c r="I5" i="11"/>
  <c r="BS5" i="11"/>
  <c r="AW5" i="11"/>
  <c r="U5" i="11"/>
  <c r="BP5" i="11"/>
  <c r="AM5" i="11"/>
  <c r="Q5" i="11"/>
  <c r="BM5" i="11"/>
  <c r="AG5" i="11"/>
  <c r="BH5" i="11"/>
  <c r="AB5" i="11"/>
  <c r="CG5" i="11"/>
  <c r="BA5" i="11"/>
  <c r="T5" i="11"/>
  <c r="BC5" i="11"/>
  <c r="E5" i="11"/>
  <c r="AZ5" i="11"/>
  <c r="D5" i="11"/>
  <c r="AR5" i="11"/>
  <c r="CF5" i="11"/>
  <c r="G5" i="11"/>
  <c r="CC5" i="11"/>
  <c r="BX5" i="11"/>
  <c r="BQ5" i="11"/>
  <c r="AJ5" i="11"/>
  <c r="W5" i="11"/>
  <c r="AK5" i="11"/>
  <c r="L5" i="11"/>
  <c r="CD66" i="2"/>
  <c r="BV66" i="2"/>
  <c r="BN66" i="2"/>
  <c r="BF66" i="2"/>
  <c r="AX66" i="2"/>
  <c r="AP66" i="2"/>
  <c r="AH66" i="2"/>
  <c r="Z66" i="2"/>
  <c r="R66" i="2"/>
  <c r="J66" i="2"/>
  <c r="CF18" i="2"/>
  <c r="BX18" i="2"/>
  <c r="BP18" i="2"/>
  <c r="BH18" i="2"/>
  <c r="AZ18" i="2"/>
  <c r="AR18" i="2"/>
  <c r="AJ18" i="2"/>
  <c r="AB18" i="2"/>
  <c r="T18" i="2"/>
  <c r="L18" i="2"/>
  <c r="D18" i="2"/>
  <c r="CC66" i="2"/>
  <c r="BU66" i="2"/>
  <c r="BM66" i="2"/>
  <c r="BE66" i="2"/>
  <c r="AW66" i="2"/>
  <c r="AO66" i="2"/>
  <c r="AG66" i="2"/>
  <c r="Y66" i="2"/>
  <c r="Q66" i="2"/>
  <c r="I66" i="2"/>
  <c r="CE18" i="2"/>
  <c r="BW18" i="2"/>
  <c r="Z14" i="3" s="1"/>
  <c r="BO18" i="2"/>
  <c r="BG18" i="2"/>
  <c r="AY18" i="2"/>
  <c r="AQ18" i="2"/>
  <c r="AI18" i="2"/>
  <c r="AA18" i="2"/>
  <c r="J14" i="3" s="1"/>
  <c r="S18" i="2"/>
  <c r="K18" i="2"/>
  <c r="C18" i="2"/>
  <c r="CB66" i="2"/>
  <c r="BT66" i="2"/>
  <c r="BL66" i="2"/>
  <c r="BD66" i="2"/>
  <c r="AV66" i="2"/>
  <c r="AN66" i="2"/>
  <c r="AF66" i="2"/>
  <c r="X66" i="2"/>
  <c r="P66" i="2"/>
  <c r="H66" i="2"/>
  <c r="CD18" i="2"/>
  <c r="BV18" i="2"/>
  <c r="BN18" i="2"/>
  <c r="W14" i="3" s="1"/>
  <c r="BF18" i="2"/>
  <c r="AX18" i="2"/>
  <c r="AP18" i="2"/>
  <c r="AH18" i="2"/>
  <c r="Z18" i="2"/>
  <c r="R18" i="2"/>
  <c r="J18" i="2"/>
  <c r="CA66" i="2"/>
  <c r="BS66" i="2"/>
  <c r="BK66" i="2"/>
  <c r="BC66" i="2"/>
  <c r="AU66" i="2"/>
  <c r="AM66" i="2"/>
  <c r="AE66" i="2"/>
  <c r="W66" i="2"/>
  <c r="O66" i="2"/>
  <c r="G66" i="2"/>
  <c r="CC18" i="2"/>
  <c r="AB14" i="3" s="1"/>
  <c r="BU18" i="2"/>
  <c r="BM18" i="2"/>
  <c r="BE18" i="2"/>
  <c r="T14" i="3" s="1"/>
  <c r="AW18" i="2"/>
  <c r="AO18" i="2"/>
  <c r="AG18" i="2"/>
  <c r="L14" i="3" s="1"/>
  <c r="Y18" i="2"/>
  <c r="Q18" i="2"/>
  <c r="I18" i="2"/>
  <c r="CG66" i="2"/>
  <c r="BY66" i="2"/>
  <c r="BQ66" i="2"/>
  <c r="BI66" i="2"/>
  <c r="BA66" i="2"/>
  <c r="AS66" i="2"/>
  <c r="AK66" i="2"/>
  <c r="AC66" i="2"/>
  <c r="U66" i="2"/>
  <c r="M66" i="2"/>
  <c r="E66" i="2"/>
  <c r="CA18" i="2"/>
  <c r="BS18" i="2"/>
  <c r="BK18" i="2"/>
  <c r="V14" i="3" s="1"/>
  <c r="BC18" i="2"/>
  <c r="AU18" i="2"/>
  <c r="AM18" i="2"/>
  <c r="AE18" i="2"/>
  <c r="W18" i="2"/>
  <c r="O18" i="2"/>
  <c r="G18" i="2"/>
  <c r="CF66" i="2"/>
  <c r="BX66" i="2"/>
  <c r="BP66" i="2"/>
  <c r="BH66" i="2"/>
  <c r="AZ66" i="2"/>
  <c r="AR66" i="2"/>
  <c r="AJ66" i="2"/>
  <c r="AB66" i="2"/>
  <c r="T66" i="2"/>
  <c r="L66" i="2"/>
  <c r="D66" i="2"/>
  <c r="CH18" i="2"/>
  <c r="BZ18" i="2"/>
  <c r="AA14" i="3" s="1"/>
  <c r="BR18" i="2"/>
  <c r="BJ18" i="2"/>
  <c r="BB18" i="2"/>
  <c r="AT18" i="2"/>
  <c r="AL18" i="2"/>
  <c r="AD18" i="2"/>
  <c r="V18" i="2"/>
  <c r="N18" i="2"/>
  <c r="F18" i="2"/>
  <c r="D12" i="1"/>
  <c r="CF16" i="2"/>
  <c r="G90" i="2"/>
  <c r="W90" i="2"/>
  <c r="AU90" i="2"/>
  <c r="AU92" i="2" s="1"/>
  <c r="BC90" i="2"/>
  <c r="BC92" i="2" s="1"/>
  <c r="BS42" i="2"/>
  <c r="BS90" i="2"/>
  <c r="BS92" i="2" s="1"/>
  <c r="CA90" i="2"/>
  <c r="CA42" i="2"/>
  <c r="U12" i="2"/>
  <c r="CG12" i="2"/>
  <c r="P16" i="2"/>
  <c r="AV16" i="2"/>
  <c r="AB17" i="2"/>
  <c r="H18" i="2"/>
  <c r="AN18" i="2"/>
  <c r="BT18" i="2"/>
  <c r="D64" i="2"/>
  <c r="L64" i="2"/>
  <c r="T64" i="2"/>
  <c r="G19" i="3" s="1"/>
  <c r="AB91" i="2"/>
  <c r="AJ91" i="2"/>
  <c r="AR91" i="2"/>
  <c r="AZ91" i="2"/>
  <c r="U19" i="3"/>
  <c r="BH91" i="2"/>
  <c r="G19" i="1"/>
  <c r="BP91" i="2"/>
  <c r="BX91" i="2"/>
  <c r="AC19" i="3"/>
  <c r="CF91" i="2"/>
  <c r="I19" i="1"/>
  <c r="R91" i="2"/>
  <c r="AX64" i="2"/>
  <c r="CD91" i="2"/>
  <c r="AD66" i="2"/>
  <c r="BJ66" i="2"/>
  <c r="M91" i="2"/>
  <c r="BI91" i="2"/>
  <c r="CG91" i="2"/>
  <c r="B20" i="13"/>
  <c r="B39" i="11"/>
  <c r="B44" i="11" s="1"/>
  <c r="B34" i="11"/>
  <c r="B49" i="11" s="1"/>
  <c r="C20" i="13" s="1"/>
  <c r="C24" i="13" s="1"/>
  <c r="BA32" i="4"/>
  <c r="K16" i="11"/>
  <c r="K133" i="2"/>
  <c r="K141" i="2" s="1"/>
  <c r="AA16" i="11"/>
  <c r="AA133" i="2"/>
  <c r="AA141" i="2" s="1"/>
  <c r="AQ16" i="11"/>
  <c r="AQ133" i="2"/>
  <c r="AQ141" i="2" s="1"/>
  <c r="BW16" i="11"/>
  <c r="BW133" i="2"/>
  <c r="BW141" i="2" s="1"/>
  <c r="I27" i="1"/>
  <c r="G3" i="3"/>
  <c r="O3" i="3"/>
  <c r="W3" i="3"/>
  <c r="C5" i="3"/>
  <c r="K5" i="3"/>
  <c r="S5" i="3"/>
  <c r="AA5" i="3"/>
  <c r="G6" i="3"/>
  <c r="O6" i="3"/>
  <c r="W6" i="3"/>
  <c r="C7" i="3"/>
  <c r="K7" i="3"/>
  <c r="S7" i="3"/>
  <c r="AA7" i="3"/>
  <c r="G8" i="3"/>
  <c r="O8" i="3"/>
  <c r="W8" i="3"/>
  <c r="F12" i="2"/>
  <c r="AD12" i="2"/>
  <c r="BB12" i="2"/>
  <c r="BZ12" i="2"/>
  <c r="G12" i="3"/>
  <c r="O12" i="3"/>
  <c r="W12" i="3"/>
  <c r="F16" i="2"/>
  <c r="N16" i="2"/>
  <c r="V16" i="2"/>
  <c r="AD16" i="2"/>
  <c r="AL16" i="2"/>
  <c r="AT16" i="2"/>
  <c r="BB16" i="2"/>
  <c r="BJ16" i="2"/>
  <c r="BR16" i="2"/>
  <c r="BZ16" i="2"/>
  <c r="CH16" i="2"/>
  <c r="J17" i="2"/>
  <c r="R17" i="2"/>
  <c r="Z17" i="2"/>
  <c r="AH17" i="2"/>
  <c r="AP17" i="2"/>
  <c r="AX17" i="2"/>
  <c r="BF17" i="2"/>
  <c r="BN17" i="2"/>
  <c r="BV17" i="2"/>
  <c r="CD17" i="2"/>
  <c r="B6" i="13"/>
  <c r="B32" i="11"/>
  <c r="B37" i="11"/>
  <c r="B42" i="11" s="1"/>
  <c r="AR26" i="4"/>
  <c r="C26" i="3"/>
  <c r="K26" i="3"/>
  <c r="S26" i="3"/>
  <c r="AA26" i="3"/>
  <c r="G27" i="3"/>
  <c r="O27" i="3"/>
  <c r="W27" i="3"/>
  <c r="B36" i="3"/>
  <c r="F106" i="2"/>
  <c r="F108" i="2" s="1"/>
  <c r="G106" i="2" s="1"/>
  <c r="G108" i="2" s="1"/>
  <c r="H106" i="2" s="1"/>
  <c r="H108" i="2" s="1"/>
  <c r="C16" i="11"/>
  <c r="C133" i="2"/>
  <c r="C141" i="2" s="1"/>
  <c r="S16" i="11"/>
  <c r="S133" i="2"/>
  <c r="S141" i="2" s="1"/>
  <c r="AI16" i="11"/>
  <c r="AI133" i="2"/>
  <c r="AI141" i="2" s="1"/>
  <c r="AY16" i="11"/>
  <c r="AY133" i="2"/>
  <c r="AY141" i="2" s="1"/>
  <c r="BG16" i="11"/>
  <c r="BG133" i="2"/>
  <c r="BG141" i="2" s="1"/>
  <c r="BO16" i="11"/>
  <c r="BO133" i="2"/>
  <c r="BO141" i="2" s="1"/>
  <c r="CE16" i="11"/>
  <c r="CE133" i="2"/>
  <c r="CE141" i="2" s="1"/>
  <c r="B3" i="3"/>
  <c r="J3" i="3"/>
  <c r="R3" i="3"/>
  <c r="Z3" i="3"/>
  <c r="F5" i="3"/>
  <c r="N5" i="3"/>
  <c r="V5" i="3"/>
  <c r="B6" i="3"/>
  <c r="J6" i="3"/>
  <c r="R6" i="3"/>
  <c r="Z6" i="3"/>
  <c r="F7" i="3"/>
  <c r="N7" i="3"/>
  <c r="V7" i="3"/>
  <c r="B8" i="3"/>
  <c r="J8" i="3"/>
  <c r="R8" i="3"/>
  <c r="Z8" i="3"/>
  <c r="O12" i="2"/>
  <c r="AM12" i="2"/>
  <c r="BK12" i="2"/>
  <c r="B12" i="3"/>
  <c r="J12" i="3"/>
  <c r="R12" i="3"/>
  <c r="Z12" i="3"/>
  <c r="G16" i="2"/>
  <c r="O16" i="2"/>
  <c r="W16" i="2"/>
  <c r="AE16" i="2"/>
  <c r="AM16" i="2"/>
  <c r="AU16" i="2"/>
  <c r="BC16" i="2"/>
  <c r="BK16" i="2"/>
  <c r="BS16" i="2"/>
  <c r="CA16" i="2"/>
  <c r="C17" i="2"/>
  <c r="K17" i="2"/>
  <c r="S17" i="2"/>
  <c r="AA17" i="2"/>
  <c r="AI17" i="2"/>
  <c r="AQ17" i="2"/>
  <c r="AY17" i="2"/>
  <c r="BG17" i="2"/>
  <c r="BO17" i="2"/>
  <c r="BW17" i="2"/>
  <c r="CE17" i="2"/>
  <c r="D11" i="4"/>
  <c r="E11" i="4" s="1"/>
  <c r="F11" i="4" s="1"/>
  <c r="G11" i="4" s="1"/>
  <c r="H11" i="4" s="1"/>
  <c r="I11" i="4" s="1"/>
  <c r="J11" i="4" s="1"/>
  <c r="K11" i="4" s="1"/>
  <c r="L11" i="4" s="1"/>
  <c r="M11" i="4" s="1"/>
  <c r="N11" i="4" s="1"/>
  <c r="O11" i="4" s="1"/>
  <c r="P11" i="4" s="1"/>
  <c r="Q11" i="4" s="1"/>
  <c r="R11" i="4" s="1"/>
  <c r="S11" i="4" s="1"/>
  <c r="T11" i="4" s="1"/>
  <c r="U11" i="4" s="1"/>
  <c r="V11" i="4" s="1"/>
  <c r="W11" i="4" s="1"/>
  <c r="X11" i="4" s="1"/>
  <c r="Y11" i="4" s="1"/>
  <c r="Z11" i="4" s="1"/>
  <c r="AA11" i="4" s="1"/>
  <c r="AB11" i="4" s="1"/>
  <c r="AC11" i="4" s="1"/>
  <c r="AD11" i="4" s="1"/>
  <c r="AE11" i="4" s="1"/>
  <c r="AF11" i="4" s="1"/>
  <c r="AG11" i="4" s="1"/>
  <c r="AH11" i="4" s="1"/>
  <c r="AI11" i="4" s="1"/>
  <c r="AJ11" i="4" s="1"/>
  <c r="AK11" i="4" s="1"/>
  <c r="AL11" i="4" s="1"/>
  <c r="AM11" i="4" s="1"/>
  <c r="AN11" i="4" s="1"/>
  <c r="AO11" i="4" s="1"/>
  <c r="AP11" i="4" s="1"/>
  <c r="AQ11" i="4" s="1"/>
  <c r="AR11" i="4" s="1"/>
  <c r="AS11" i="4" s="1"/>
  <c r="AT11" i="4" s="1"/>
  <c r="AU11" i="4" s="1"/>
  <c r="AV11" i="4" s="1"/>
  <c r="AW11" i="4" s="1"/>
  <c r="AX11" i="4" s="1"/>
  <c r="AY11" i="4" s="1"/>
  <c r="AZ11" i="4" s="1"/>
  <c r="BA11" i="4" s="1"/>
  <c r="BB11" i="4" s="1"/>
  <c r="BC11" i="4" s="1"/>
  <c r="BD11" i="4" s="1"/>
  <c r="BE11" i="4" s="1"/>
  <c r="BF11" i="4" s="1"/>
  <c r="BG11" i="4" s="1"/>
  <c r="BH11" i="4" s="1"/>
  <c r="BI11" i="4" s="1"/>
  <c r="BJ11" i="4" s="1"/>
  <c r="BK11" i="4" s="1"/>
  <c r="BL11" i="4" s="1"/>
  <c r="BM11" i="4" s="1"/>
  <c r="BN11" i="4" s="1"/>
  <c r="BO11" i="4" s="1"/>
  <c r="BP11" i="4" s="1"/>
  <c r="BQ11" i="4" s="1"/>
  <c r="BR11" i="4" s="1"/>
  <c r="BS11" i="4" s="1"/>
  <c r="BT11" i="4" s="1"/>
  <c r="BU11" i="4" s="1"/>
  <c r="BV11" i="4" s="1"/>
  <c r="BW11" i="4" s="1"/>
  <c r="BX11" i="4" s="1"/>
  <c r="BY11" i="4" s="1"/>
  <c r="BZ11" i="4" s="1"/>
  <c r="CA11" i="4" s="1"/>
  <c r="CB11" i="4" s="1"/>
  <c r="CC11" i="4" s="1"/>
  <c r="CD11" i="4" s="1"/>
  <c r="CE11" i="4" s="1"/>
  <c r="CF11" i="4" s="1"/>
  <c r="CG11" i="4" s="1"/>
  <c r="CH11" i="4" s="1"/>
  <c r="H20" i="4"/>
  <c r="H22" i="4" s="1"/>
  <c r="F26" i="3"/>
  <c r="N26" i="3"/>
  <c r="V26" i="3"/>
  <c r="B27" i="3"/>
  <c r="J27" i="3"/>
  <c r="R27" i="3"/>
  <c r="Z27" i="3"/>
  <c r="C20" i="12"/>
  <c r="D20" i="12"/>
  <c r="D26" i="1"/>
  <c r="H3" i="3"/>
  <c r="P3" i="3"/>
  <c r="X3" i="3"/>
  <c r="D5" i="3"/>
  <c r="L5" i="3"/>
  <c r="T5" i="3"/>
  <c r="AB5" i="3"/>
  <c r="H6" i="3"/>
  <c r="P6" i="3"/>
  <c r="X6" i="3"/>
  <c r="D7" i="3"/>
  <c r="L7" i="3"/>
  <c r="T7" i="3"/>
  <c r="AB7" i="3"/>
  <c r="H8" i="3"/>
  <c r="P8" i="3"/>
  <c r="X8" i="3"/>
  <c r="I12" i="2"/>
  <c r="AG12" i="2"/>
  <c r="BE12" i="2"/>
  <c r="CC12" i="2"/>
  <c r="H12" i="3"/>
  <c r="P12" i="3"/>
  <c r="X12" i="3"/>
  <c r="I16" i="2"/>
  <c r="Q16" i="2"/>
  <c r="Y16" i="2"/>
  <c r="AG16" i="2"/>
  <c r="AO16" i="2"/>
  <c r="AW16" i="2"/>
  <c r="BE16" i="2"/>
  <c r="BM16" i="2"/>
  <c r="BU16" i="2"/>
  <c r="CC16" i="2"/>
  <c r="E17" i="2"/>
  <c r="M17" i="2"/>
  <c r="U17" i="2"/>
  <c r="AC17" i="2"/>
  <c r="AK17" i="2"/>
  <c r="AS17" i="2"/>
  <c r="BA17" i="2"/>
  <c r="BI17" i="2"/>
  <c r="BQ17" i="2"/>
  <c r="BY17" i="2"/>
  <c r="CG17" i="2"/>
  <c r="C6" i="4"/>
  <c r="D6" i="4" s="1"/>
  <c r="E6" i="4" s="1"/>
  <c r="F6" i="4" s="1"/>
  <c r="G6" i="4" s="1"/>
  <c r="H6" i="4" s="1"/>
  <c r="I6" i="4" s="1"/>
  <c r="J6" i="4" s="1"/>
  <c r="K6" i="4" s="1"/>
  <c r="L6" i="4" s="1"/>
  <c r="M6" i="4" s="1"/>
  <c r="N6" i="4" s="1"/>
  <c r="O6" i="4" s="1"/>
  <c r="P6" i="4" s="1"/>
  <c r="Q6" i="4" s="1"/>
  <c r="R6" i="4" s="1"/>
  <c r="S6" i="4" s="1"/>
  <c r="T6" i="4" s="1"/>
  <c r="U6" i="4" s="1"/>
  <c r="V6" i="4" s="1"/>
  <c r="W6" i="4" s="1"/>
  <c r="X6" i="4" s="1"/>
  <c r="Y6" i="4" s="1"/>
  <c r="Z6" i="4" s="1"/>
  <c r="AA6" i="4" s="1"/>
  <c r="AB6" i="4" s="1"/>
  <c r="AC6" i="4" s="1"/>
  <c r="AD6" i="4" s="1"/>
  <c r="AE6" i="4" s="1"/>
  <c r="AF6" i="4" s="1"/>
  <c r="AG6" i="4" s="1"/>
  <c r="AH6" i="4" s="1"/>
  <c r="AI6" i="4" s="1"/>
  <c r="AJ6" i="4" s="1"/>
  <c r="AK6" i="4" s="1"/>
  <c r="AL6" i="4" s="1"/>
  <c r="AM6" i="4" s="1"/>
  <c r="AN6" i="4" s="1"/>
  <c r="AO6" i="4" s="1"/>
  <c r="AP6" i="4" s="1"/>
  <c r="AQ6" i="4" s="1"/>
  <c r="AR6" i="4" s="1"/>
  <c r="AS6" i="4" s="1"/>
  <c r="AT6" i="4" s="1"/>
  <c r="AU6" i="4" s="1"/>
  <c r="AV6" i="4" s="1"/>
  <c r="AW6" i="4" s="1"/>
  <c r="AX6" i="4" s="1"/>
  <c r="AY6" i="4" s="1"/>
  <c r="AZ6" i="4" s="1"/>
  <c r="BA6" i="4" s="1"/>
  <c r="BB6" i="4" s="1"/>
  <c r="BC6" i="4" s="1"/>
  <c r="BD6" i="4" s="1"/>
  <c r="BE6" i="4" s="1"/>
  <c r="BF6" i="4" s="1"/>
  <c r="BG6" i="4" s="1"/>
  <c r="BH6" i="4" s="1"/>
  <c r="BI6" i="4" s="1"/>
  <c r="BJ6" i="4" s="1"/>
  <c r="BK6" i="4" s="1"/>
  <c r="BL6" i="4" s="1"/>
  <c r="BM6" i="4" s="1"/>
  <c r="BN6" i="4" s="1"/>
  <c r="BO6" i="4" s="1"/>
  <c r="BP6" i="4" s="1"/>
  <c r="BQ6" i="4" s="1"/>
  <c r="BR6" i="4" s="1"/>
  <c r="BS6" i="4" s="1"/>
  <c r="BT6" i="4" s="1"/>
  <c r="BU6" i="4" s="1"/>
  <c r="BV6" i="4" s="1"/>
  <c r="BW6" i="4" s="1"/>
  <c r="BX6" i="4" s="1"/>
  <c r="BY6" i="4" s="1"/>
  <c r="BZ6" i="4" s="1"/>
  <c r="CA6" i="4" s="1"/>
  <c r="CB6" i="4" s="1"/>
  <c r="CC6" i="4" s="1"/>
  <c r="CD6" i="4" s="1"/>
  <c r="CE6" i="4" s="1"/>
  <c r="CF6" i="4" s="1"/>
  <c r="CG6" i="4" s="1"/>
  <c r="CH6" i="4" s="1"/>
  <c r="B38" i="11"/>
  <c r="B43" i="11" s="1"/>
  <c r="B33" i="11"/>
  <c r="D26" i="3"/>
  <c r="L26" i="3"/>
  <c r="T26" i="3"/>
  <c r="AB26" i="3"/>
  <c r="H27" i="3"/>
  <c r="P27" i="3"/>
  <c r="X27" i="3"/>
  <c r="R12" i="2"/>
  <c r="AP12" i="2"/>
  <c r="BN12" i="2"/>
  <c r="J16" i="2"/>
  <c r="R16" i="2"/>
  <c r="Z16" i="2"/>
  <c r="AH16" i="2"/>
  <c r="AP16" i="2"/>
  <c r="AX16" i="2"/>
  <c r="BF16" i="2"/>
  <c r="BN16" i="2"/>
  <c r="BV16" i="2"/>
  <c r="CD16" i="2"/>
  <c r="F17" i="2"/>
  <c r="N17" i="2"/>
  <c r="V17" i="2"/>
  <c r="AD17" i="2"/>
  <c r="AL17" i="2"/>
  <c r="AT17" i="2"/>
  <c r="BB17" i="2"/>
  <c r="BJ17" i="2"/>
  <c r="BR17" i="2"/>
  <c r="BZ17" i="2"/>
  <c r="CH17" i="2"/>
  <c r="I14" i="4"/>
  <c r="I16" i="4" s="1"/>
  <c r="Q14" i="4"/>
  <c r="Q16" i="4" s="1"/>
  <c r="Y14" i="4"/>
  <c r="Y16" i="4" s="1"/>
  <c r="K20" i="4"/>
  <c r="K22" i="4" s="1"/>
  <c r="S20" i="4"/>
  <c r="S22" i="4" s="1"/>
  <c r="G26" i="3"/>
  <c r="O26" i="3"/>
  <c r="W26" i="3"/>
  <c r="C27" i="3"/>
  <c r="K27" i="3"/>
  <c r="S27" i="3"/>
  <c r="AA27" i="3"/>
  <c r="C112" i="2"/>
  <c r="C115" i="2" s="1"/>
  <c r="D111" i="2" s="1"/>
  <c r="E27" i="1"/>
  <c r="F26" i="1"/>
  <c r="F3" i="3"/>
  <c r="N3" i="3"/>
  <c r="V3" i="3"/>
  <c r="B5" i="3"/>
  <c r="J5" i="3"/>
  <c r="R5" i="3"/>
  <c r="Z5" i="3"/>
  <c r="F6" i="3"/>
  <c r="N6" i="3"/>
  <c r="V6" i="3"/>
  <c r="B7" i="3"/>
  <c r="J7" i="3"/>
  <c r="R7" i="3"/>
  <c r="Z7" i="3"/>
  <c r="F8" i="3"/>
  <c r="N8" i="3"/>
  <c r="V8" i="3"/>
  <c r="C12" i="2"/>
  <c r="AA12" i="2"/>
  <c r="AY12" i="2"/>
  <c r="BW12" i="2"/>
  <c r="F12" i="3"/>
  <c r="N12" i="3"/>
  <c r="V12" i="3"/>
  <c r="C16" i="2"/>
  <c r="K16" i="2"/>
  <c r="S16" i="2"/>
  <c r="AA16" i="2"/>
  <c r="AI16" i="2"/>
  <c r="AQ16" i="2"/>
  <c r="AY16" i="2"/>
  <c r="BG16" i="2"/>
  <c r="BO16" i="2"/>
  <c r="BW16" i="2"/>
  <c r="CE16" i="2"/>
  <c r="G17" i="2"/>
  <c r="O17" i="2"/>
  <c r="W17" i="2"/>
  <c r="AE17" i="2"/>
  <c r="AM17" i="2"/>
  <c r="AU17" i="2"/>
  <c r="BC17" i="2"/>
  <c r="BK17" i="2"/>
  <c r="BS17" i="2"/>
  <c r="B26" i="3"/>
  <c r="J26" i="3"/>
  <c r="R26" i="3"/>
  <c r="Z26" i="3"/>
  <c r="F27" i="3"/>
  <c r="N27" i="3"/>
  <c r="V27" i="3"/>
  <c r="C27" i="4"/>
  <c r="CA4" i="11"/>
  <c r="BS4" i="11"/>
  <c r="BK4" i="11"/>
  <c r="BC4" i="11"/>
  <c r="AU4" i="11"/>
  <c r="AM4" i="11"/>
  <c r="AE4" i="11"/>
  <c r="W4" i="11"/>
  <c r="O4" i="11"/>
  <c r="G4" i="11"/>
  <c r="CH4" i="11"/>
  <c r="BZ4" i="11"/>
  <c r="BR4" i="11"/>
  <c r="BJ4" i="11"/>
  <c r="BB4" i="11"/>
  <c r="AT4" i="11"/>
  <c r="AL4" i="11"/>
  <c r="AD4" i="11"/>
  <c r="V4" i="11"/>
  <c r="N4" i="11"/>
  <c r="F4" i="11"/>
  <c r="CF4" i="11"/>
  <c r="BX4" i="11"/>
  <c r="BP4" i="11"/>
  <c r="BH4" i="11"/>
  <c r="AZ4" i="11"/>
  <c r="AR4" i="11"/>
  <c r="AJ4" i="11"/>
  <c r="AB4" i="11"/>
  <c r="T4" i="11"/>
  <c r="L4" i="11"/>
  <c r="D4" i="11"/>
  <c r="CD4" i="11"/>
  <c r="BV4" i="11"/>
  <c r="BN4" i="11"/>
  <c r="BF4" i="11"/>
  <c r="AX4" i="11"/>
  <c r="AP4" i="11"/>
  <c r="AH4" i="11"/>
  <c r="Z4" i="11"/>
  <c r="R4" i="11"/>
  <c r="J4" i="11"/>
  <c r="CE4" i="11"/>
  <c r="BO4" i="11"/>
  <c r="AY4" i="11"/>
  <c r="AI4" i="11"/>
  <c r="S4" i="11"/>
  <c r="C4" i="11"/>
  <c r="CC4" i="11"/>
  <c r="BM4" i="11"/>
  <c r="AW4" i="11"/>
  <c r="AG4" i="11"/>
  <c r="Q4" i="11"/>
  <c r="BY4" i="11"/>
  <c r="BI4" i="11"/>
  <c r="AS4" i="11"/>
  <c r="AC4" i="11"/>
  <c r="M4" i="11"/>
  <c r="CB4" i="11"/>
  <c r="BD4" i="11"/>
  <c r="AA4" i="11"/>
  <c r="E4" i="11"/>
  <c r="BU4" i="11"/>
  <c r="AV4" i="11"/>
  <c r="X4" i="11"/>
  <c r="CG4" i="11"/>
  <c r="AQ4" i="11"/>
  <c r="K4" i="11"/>
  <c r="BW4" i="11"/>
  <c r="AO4" i="11"/>
  <c r="I4" i="11"/>
  <c r="BQ4" i="11"/>
  <c r="AK4" i="11"/>
  <c r="AF4" i="11"/>
  <c r="Y4" i="11"/>
  <c r="BT4" i="11"/>
  <c r="U4" i="11"/>
  <c r="BL4" i="11"/>
  <c r="BE4" i="11"/>
  <c r="AN4" i="11"/>
  <c r="P4" i="11"/>
  <c r="BG4" i="11"/>
  <c r="BA4" i="11"/>
  <c r="H4" i="11"/>
  <c r="G27" i="1"/>
  <c r="I3" i="3"/>
  <c r="Q3" i="3"/>
  <c r="Y3" i="3"/>
  <c r="E5" i="3"/>
  <c r="M5" i="3"/>
  <c r="U5" i="3"/>
  <c r="AC5" i="3"/>
  <c r="I6" i="3"/>
  <c r="Q6" i="3"/>
  <c r="Y6" i="3"/>
  <c r="E7" i="3"/>
  <c r="M7" i="3"/>
  <c r="U7" i="3"/>
  <c r="AC7" i="3"/>
  <c r="I8" i="3"/>
  <c r="Q8" i="3"/>
  <c r="Y8" i="3"/>
  <c r="L12" i="2"/>
  <c r="AJ12" i="2"/>
  <c r="BH12" i="2"/>
  <c r="CF12" i="2"/>
  <c r="I12" i="3"/>
  <c r="Q12" i="3"/>
  <c r="Y12" i="3"/>
  <c r="D16" i="2"/>
  <c r="L16" i="2"/>
  <c r="T16" i="2"/>
  <c r="AB16" i="2"/>
  <c r="AJ16" i="2"/>
  <c r="AR16" i="2"/>
  <c r="AZ16" i="2"/>
  <c r="BH16" i="2"/>
  <c r="BP16" i="2"/>
  <c r="BX16" i="2"/>
  <c r="H17" i="2"/>
  <c r="P17" i="2"/>
  <c r="X17" i="2"/>
  <c r="AF17" i="2"/>
  <c r="AN17" i="2"/>
  <c r="AV17" i="2"/>
  <c r="BD17" i="2"/>
  <c r="BL17" i="2"/>
  <c r="BT17" i="2"/>
  <c r="CB17" i="2"/>
  <c r="K14" i="4"/>
  <c r="K16" i="4" s="1"/>
  <c r="S14" i="4"/>
  <c r="S16" i="4" s="1"/>
  <c r="M20" i="4"/>
  <c r="M22" i="4" s="1"/>
  <c r="U20" i="4"/>
  <c r="U22" i="4" s="1"/>
  <c r="E26" i="3"/>
  <c r="M26" i="3"/>
  <c r="U26" i="3"/>
  <c r="AC26" i="3"/>
  <c r="I27" i="3"/>
  <c r="Q27" i="3"/>
  <c r="Y27" i="3"/>
  <c r="C127" i="2"/>
  <c r="AH141" i="2"/>
  <c r="J141" i="2"/>
  <c r="BV141" i="2"/>
  <c r="Y40" i="3" s="1"/>
  <c r="BN141" i="2"/>
  <c r="BF141" i="2"/>
  <c r="C102" i="2"/>
  <c r="D99" i="2" s="1"/>
  <c r="AX141" i="2"/>
  <c r="Q40" i="3" s="1"/>
  <c r="C117" i="2"/>
  <c r="C120" i="2" s="1"/>
  <c r="D116" i="2" s="1"/>
  <c r="C101" i="2"/>
  <c r="C122" i="2"/>
  <c r="F141" i="2"/>
  <c r="V141" i="2"/>
  <c r="AD141" i="2"/>
  <c r="AL141" i="2"/>
  <c r="M40" i="3" s="1"/>
  <c r="BB141" i="2"/>
  <c r="BJ141" i="2"/>
  <c r="U40" i="3" s="1"/>
  <c r="BR141" i="2"/>
  <c r="CH141" i="2"/>
  <c r="F23" i="4"/>
  <c r="G23" i="4" s="1"/>
  <c r="E17" i="4"/>
  <c r="F17" i="4" s="1"/>
  <c r="G17" i="4" s="1"/>
  <c r="H17" i="4" s="1"/>
  <c r="C28" i="4"/>
  <c r="BY16" i="11"/>
  <c r="D20" i="11"/>
  <c r="E16" i="11"/>
  <c r="M16" i="11"/>
  <c r="U16" i="11"/>
  <c r="AC16" i="11"/>
  <c r="AK16" i="11"/>
  <c r="AS16" i="11"/>
  <c r="BA16" i="11"/>
  <c r="BI16" i="11"/>
  <c r="BQ16" i="11"/>
  <c r="CG16" i="11"/>
  <c r="P12" i="8"/>
  <c r="Q12" i="8" s="1"/>
  <c r="R12" i="8" s="1"/>
  <c r="P13" i="8"/>
  <c r="P15" i="8"/>
  <c r="P7" i="8"/>
  <c r="P9" i="8"/>
  <c r="Q9" i="8" s="1"/>
  <c r="R9" i="8" s="1"/>
  <c r="P10" i="8"/>
  <c r="Q10" i="8" s="1"/>
  <c r="R10" i="8" s="1"/>
  <c r="D16" i="11"/>
  <c r="L16" i="11"/>
  <c r="T16" i="11"/>
  <c r="AB16" i="11"/>
  <c r="AJ16" i="11"/>
  <c r="AR16" i="11"/>
  <c r="AZ16" i="11"/>
  <c r="BP16" i="11"/>
  <c r="CF16" i="11"/>
  <c r="H104" i="12"/>
  <c r="H106" i="12" s="1"/>
  <c r="C19" i="12"/>
  <c r="P105" i="12"/>
  <c r="P106" i="12" s="1"/>
  <c r="P107" i="12" s="1"/>
  <c r="E19" i="12"/>
  <c r="X104" i="12"/>
  <c r="AF105" i="12"/>
  <c r="AF106" i="12" s="1"/>
  <c r="AF107" i="12" s="1"/>
  <c r="AN105" i="12"/>
  <c r="AN106" i="12" s="1"/>
  <c r="AN107" i="12" s="1"/>
  <c r="AV104" i="12"/>
  <c r="G19" i="12"/>
  <c r="BD105" i="12"/>
  <c r="BD106" i="12" s="1"/>
  <c r="BD107" i="12" s="1"/>
  <c r="BL105" i="12"/>
  <c r="BL106" i="12" s="1"/>
  <c r="BL107" i="12" s="1"/>
  <c r="I19" i="12"/>
  <c r="BT104" i="12"/>
  <c r="Q16" i="8"/>
  <c r="R16" i="8" s="1"/>
  <c r="P14" i="8"/>
  <c r="G16" i="11"/>
  <c r="O16" i="11"/>
  <c r="W16" i="11"/>
  <c r="AE16" i="11"/>
  <c r="AM16" i="11"/>
  <c r="AU16" i="11"/>
  <c r="BC16" i="11"/>
  <c r="BK16" i="11"/>
  <c r="BS16" i="11"/>
  <c r="D23" i="11"/>
  <c r="D24" i="11" s="1"/>
  <c r="E22" i="11" s="1"/>
  <c r="N7" i="8"/>
  <c r="N15" i="8"/>
  <c r="N13" i="8"/>
  <c r="O14" i="8"/>
  <c r="CF105" i="12"/>
  <c r="J21" i="12"/>
  <c r="U104" i="12"/>
  <c r="BA105" i="12"/>
  <c r="BA106" i="12" s="1"/>
  <c r="BA107" i="12" s="1"/>
  <c r="BQ105" i="12"/>
  <c r="BQ106" i="12" s="1"/>
  <c r="BQ107" i="12" s="1"/>
  <c r="N5" i="8"/>
  <c r="N11" i="8"/>
  <c r="Q11" i="8" s="1"/>
  <c r="R11" i="8" s="1"/>
  <c r="AJ105" i="12"/>
  <c r="AJ106" i="12" s="1"/>
  <c r="AJ107" i="12" s="1"/>
  <c r="N4" i="8"/>
  <c r="Q4" i="8" s="1"/>
  <c r="R4" i="8" s="1"/>
  <c r="O5" i="8"/>
  <c r="G20" i="12"/>
  <c r="BP105" i="12"/>
  <c r="BP106" i="12" s="1"/>
  <c r="BP107" i="12" s="1"/>
  <c r="E104" i="12"/>
  <c r="E106" i="12" s="1"/>
  <c r="E107" i="12" s="1"/>
  <c r="B102" i="12"/>
  <c r="M104" i="12"/>
  <c r="AC104" i="12"/>
  <c r="AK104" i="12"/>
  <c r="F19" i="12"/>
  <c r="AS105" i="12"/>
  <c r="AS106" i="12" s="1"/>
  <c r="AS107" i="12" s="1"/>
  <c r="BI104" i="12"/>
  <c r="H19" i="12"/>
  <c r="BY105" i="12"/>
  <c r="BY106" i="12" s="1"/>
  <c r="BY107" i="12" s="1"/>
  <c r="CG105" i="12"/>
  <c r="CG106" i="12" s="1"/>
  <c r="CG107" i="12" s="1"/>
  <c r="F20" i="12"/>
  <c r="B17" i="12"/>
  <c r="B61" i="12" s="1"/>
  <c r="J19" i="12"/>
  <c r="AU106" i="12"/>
  <c r="BK106" i="12"/>
  <c r="BK107" i="12" s="1"/>
  <c r="B103" i="12"/>
  <c r="K107" i="12"/>
  <c r="S104" i="12"/>
  <c r="AI104" i="12"/>
  <c r="AQ104" i="12"/>
  <c r="AY104" i="12"/>
  <c r="BG104" i="12"/>
  <c r="BO104" i="12"/>
  <c r="BW104" i="12"/>
  <c r="AA104" i="12"/>
  <c r="N105" i="12"/>
  <c r="N106" i="12" s="1"/>
  <c r="N107" i="12" s="1"/>
  <c r="V105" i="12"/>
  <c r="V106" i="12" s="1"/>
  <c r="V107" i="12" s="1"/>
  <c r="AD105" i="12"/>
  <c r="AD106" i="12" s="1"/>
  <c r="AD107" i="12" s="1"/>
  <c r="AL105" i="12"/>
  <c r="AL106" i="12" s="1"/>
  <c r="AL107" i="12" s="1"/>
  <c r="AT105" i="12"/>
  <c r="AT106" i="12" s="1"/>
  <c r="AT107" i="12" s="1"/>
  <c r="BB105" i="12"/>
  <c r="BB106" i="12" s="1"/>
  <c r="BB107" i="12" s="1"/>
  <c r="BJ105" i="12"/>
  <c r="BJ106" i="12" s="1"/>
  <c r="BR106" i="12"/>
  <c r="BR105" i="12"/>
  <c r="BZ105" i="12"/>
  <c r="BZ106" i="12" s="1"/>
  <c r="BZ107" i="12" s="1"/>
  <c r="CH105" i="12"/>
  <c r="CH106" i="12" s="1"/>
  <c r="CH107" i="12" s="1"/>
  <c r="T105" i="12"/>
  <c r="T106" i="12" s="1"/>
  <c r="T107" i="12" s="1"/>
  <c r="R105" i="12"/>
  <c r="R106" i="12" s="1"/>
  <c r="R107" i="12" s="1"/>
  <c r="Z105" i="12"/>
  <c r="Z106" i="12"/>
  <c r="Z107" i="12" s="1"/>
  <c r="AP105" i="12"/>
  <c r="AP106" i="12" s="1"/>
  <c r="AP107" i="12" s="1"/>
  <c r="BN105" i="12"/>
  <c r="BN106" i="12"/>
  <c r="BN107" i="12" s="1"/>
  <c r="CD105" i="12"/>
  <c r="CD106" i="12" s="1"/>
  <c r="CD107" i="12" s="1"/>
  <c r="AX106" i="12"/>
  <c r="AX107" i="12" s="1"/>
  <c r="C104" i="12"/>
  <c r="B16" i="12"/>
  <c r="D19" i="12"/>
  <c r="AB105" i="12"/>
  <c r="AB106" i="12" s="1"/>
  <c r="AB107" i="12" s="1"/>
  <c r="AR105" i="12"/>
  <c r="AR106" i="12" s="1"/>
  <c r="AR107" i="12" s="1"/>
  <c r="H107" i="12"/>
  <c r="E20" i="12"/>
  <c r="I20" i="12"/>
  <c r="AZ105" i="12"/>
  <c r="AZ106" i="12" s="1"/>
  <c r="AZ107" i="12" s="1"/>
  <c r="BF106" i="12"/>
  <c r="BF107" i="12" s="1"/>
  <c r="BC106" i="12"/>
  <c r="BC107" i="12" s="1"/>
  <c r="B18" i="12"/>
  <c r="B62" i="12" s="1"/>
  <c r="I104" i="12"/>
  <c r="I106" i="12" s="1"/>
  <c r="I107" i="12" s="1"/>
  <c r="Q104" i="12"/>
  <c r="Y104" i="12"/>
  <c r="AG104" i="12"/>
  <c r="AO104" i="12"/>
  <c r="AW104" i="12"/>
  <c r="BE104" i="12"/>
  <c r="BM104" i="12"/>
  <c r="BU104" i="12"/>
  <c r="CC104" i="12"/>
  <c r="D107" i="12"/>
  <c r="L104" i="12"/>
  <c r="BH106" i="12"/>
  <c r="BX106" i="12"/>
  <c r="BX107" i="12" s="1"/>
  <c r="AM106" i="12"/>
  <c r="B28" i="13"/>
  <c r="D7" i="13"/>
  <c r="D28" i="13" s="1"/>
  <c r="H20" i="12"/>
  <c r="CE106" i="12"/>
  <c r="CE107" i="12" s="1"/>
  <c r="F107" i="12"/>
  <c r="BJ107" i="12"/>
  <c r="BR107" i="12"/>
  <c r="W106" i="12"/>
  <c r="W107" i="12" s="1"/>
  <c r="D29" i="13"/>
  <c r="G107" i="12"/>
  <c r="O107" i="12"/>
  <c r="AE107" i="12"/>
  <c r="AM107" i="12"/>
  <c r="AU107" i="12"/>
  <c r="BS107" i="12"/>
  <c r="CA107" i="12"/>
  <c r="X13" i="3" l="1"/>
  <c r="AK91" i="2"/>
  <c r="K14" i="3"/>
  <c r="O14" i="3"/>
  <c r="BZ91" i="2"/>
  <c r="P40" i="3"/>
  <c r="E40" i="1"/>
  <c r="D13" i="1"/>
  <c r="E19" i="1"/>
  <c r="P14" i="3"/>
  <c r="H14" i="3"/>
  <c r="H40" i="3"/>
  <c r="C40" i="1"/>
  <c r="Q14" i="8"/>
  <c r="R14" i="8" s="1"/>
  <c r="H23" i="4"/>
  <c r="I23" i="4" s="1"/>
  <c r="J23" i="4" s="1"/>
  <c r="K23" i="4" s="1"/>
  <c r="L23" i="4" s="1"/>
  <c r="M23" i="4" s="1"/>
  <c r="N23" i="4" s="1"/>
  <c r="O23" i="4" s="1"/>
  <c r="P23" i="4" s="1"/>
  <c r="Q23" i="4" s="1"/>
  <c r="R23" i="4" s="1"/>
  <c r="S23" i="4" s="1"/>
  <c r="T23" i="4" s="1"/>
  <c r="U23" i="4" s="1"/>
  <c r="V23" i="4" s="1"/>
  <c r="W23" i="4" s="1"/>
  <c r="X23" i="4" s="1"/>
  <c r="Y23" i="4" s="1"/>
  <c r="Z23" i="4" s="1"/>
  <c r="AA23" i="4" s="1"/>
  <c r="AB23" i="4" s="1"/>
  <c r="AC23" i="4" s="1"/>
  <c r="AD23" i="4" s="1"/>
  <c r="AE23" i="4" s="1"/>
  <c r="AF23" i="4" s="1"/>
  <c r="AG23" i="4" s="1"/>
  <c r="AH23" i="4" s="1"/>
  <c r="AI23" i="4" s="1"/>
  <c r="AJ23" i="4" s="1"/>
  <c r="AK23" i="4" s="1"/>
  <c r="AL23" i="4" s="1"/>
  <c r="AM23" i="4" s="1"/>
  <c r="AN23" i="4" s="1"/>
  <c r="AO23" i="4" s="1"/>
  <c r="AP23" i="4" s="1"/>
  <c r="AQ23" i="4" s="1"/>
  <c r="AR23" i="4" s="1"/>
  <c r="AS23" i="4" s="1"/>
  <c r="AT23" i="4" s="1"/>
  <c r="AU23" i="4" s="1"/>
  <c r="AV23" i="4" s="1"/>
  <c r="AW23" i="4" s="1"/>
  <c r="AX23" i="4" s="1"/>
  <c r="AY23" i="4" s="1"/>
  <c r="AZ23" i="4" s="1"/>
  <c r="BA23" i="4" s="1"/>
  <c r="BB23" i="4" s="1"/>
  <c r="BC23" i="4" s="1"/>
  <c r="BD23" i="4" s="1"/>
  <c r="BE23" i="4" s="1"/>
  <c r="BF23" i="4" s="1"/>
  <c r="BG23" i="4" s="1"/>
  <c r="BH23" i="4" s="1"/>
  <c r="BI23" i="4" s="1"/>
  <c r="BJ23" i="4" s="1"/>
  <c r="BK23" i="4" s="1"/>
  <c r="BL23" i="4" s="1"/>
  <c r="BM23" i="4" s="1"/>
  <c r="BN23" i="4" s="1"/>
  <c r="BO23" i="4" s="1"/>
  <c r="BP23" i="4" s="1"/>
  <c r="BQ23" i="4" s="1"/>
  <c r="BR23" i="4" s="1"/>
  <c r="BS23" i="4" s="1"/>
  <c r="BT23" i="4" s="1"/>
  <c r="BU23" i="4" s="1"/>
  <c r="BV23" i="4" s="1"/>
  <c r="BW23" i="4" s="1"/>
  <c r="BX23" i="4" s="1"/>
  <c r="BY23" i="4" s="1"/>
  <c r="BZ23" i="4" s="1"/>
  <c r="CA23" i="4" s="1"/>
  <c r="CB23" i="4" s="1"/>
  <c r="CC23" i="4" s="1"/>
  <c r="CD23" i="4" s="1"/>
  <c r="CE23" i="4" s="1"/>
  <c r="CF23" i="4" s="1"/>
  <c r="CG23" i="4" s="1"/>
  <c r="CH23" i="4" s="1"/>
  <c r="BV105" i="12"/>
  <c r="BV106" i="12" s="1"/>
  <c r="BV107" i="12" s="1"/>
  <c r="Q13" i="8"/>
  <c r="R13" i="8" s="1"/>
  <c r="Q15" i="8"/>
  <c r="R15" i="8" s="1"/>
  <c r="D9" i="1"/>
  <c r="G14" i="3"/>
  <c r="BY92" i="2"/>
  <c r="Y13" i="3"/>
  <c r="R14" i="3"/>
  <c r="AL92" i="2"/>
  <c r="I19" i="3"/>
  <c r="AF92" i="2"/>
  <c r="AB17" i="3"/>
  <c r="AB9" i="3"/>
  <c r="CC90" i="2"/>
  <c r="CC92" i="2" s="1"/>
  <c r="CC42" i="2"/>
  <c r="BG91" i="2"/>
  <c r="T19" i="3"/>
  <c r="I21" i="12"/>
  <c r="BT105" i="12"/>
  <c r="BT106" i="12" s="1"/>
  <c r="E23" i="11"/>
  <c r="L106" i="12"/>
  <c r="D21" i="12"/>
  <c r="L105" i="12"/>
  <c r="M14" i="3"/>
  <c r="E14" i="1"/>
  <c r="G70" i="2"/>
  <c r="G68" i="2"/>
  <c r="G69" i="2"/>
  <c r="G67" i="2"/>
  <c r="BP69" i="2"/>
  <c r="BP67" i="2"/>
  <c r="BP70" i="2"/>
  <c r="BP68" i="2"/>
  <c r="AY69" i="2"/>
  <c r="AY67" i="2"/>
  <c r="AY70" i="2"/>
  <c r="AY68" i="2"/>
  <c r="S105" i="12"/>
  <c r="S106" i="12"/>
  <c r="S107" i="12" s="1"/>
  <c r="C29" i="4"/>
  <c r="AG105" i="12"/>
  <c r="AG106" i="12" s="1"/>
  <c r="AG107" i="12" s="1"/>
  <c r="H91" i="2"/>
  <c r="C19" i="3"/>
  <c r="X9" i="3"/>
  <c r="X17" i="3"/>
  <c r="BQ90" i="2"/>
  <c r="BQ92" i="2" s="1"/>
  <c r="BQ42" i="2"/>
  <c r="AK105" i="12"/>
  <c r="F22" i="12" s="1"/>
  <c r="F21" i="12"/>
  <c r="AC105" i="12"/>
  <c r="AC106" i="12" s="1"/>
  <c r="AC107" i="12" s="1"/>
  <c r="AW105" i="12"/>
  <c r="AW106" i="12" s="1"/>
  <c r="AW107" i="12" s="1"/>
  <c r="M105" i="12"/>
  <c r="M106" i="12" s="1"/>
  <c r="M107" i="12" s="1"/>
  <c r="BA69" i="2"/>
  <c r="BA67" i="2"/>
  <c r="BA70" i="2"/>
  <c r="BA68" i="2"/>
  <c r="BU70" i="2"/>
  <c r="BU68" i="2"/>
  <c r="BU69" i="2"/>
  <c r="BU67" i="2"/>
  <c r="AU70" i="2"/>
  <c r="AU68" i="2"/>
  <c r="AU67" i="2"/>
  <c r="AU69" i="2"/>
  <c r="AT69" i="2"/>
  <c r="AT67" i="2"/>
  <c r="AT70" i="2"/>
  <c r="AT68" i="2"/>
  <c r="X70" i="2"/>
  <c r="X68" i="2"/>
  <c r="X69" i="2"/>
  <c r="X67" i="2"/>
  <c r="J70" i="2"/>
  <c r="J68" i="2"/>
  <c r="J69" i="2"/>
  <c r="J67" i="2"/>
  <c r="BV70" i="2"/>
  <c r="BV68" i="2"/>
  <c r="BV67" i="2"/>
  <c r="BV69" i="2"/>
  <c r="AO105" i="12"/>
  <c r="AO106" i="12" s="1"/>
  <c r="AO107" i="12" s="1"/>
  <c r="BG105" i="12"/>
  <c r="BG106" i="12"/>
  <c r="BG107" i="12" s="1"/>
  <c r="E21" i="12"/>
  <c r="X105" i="12"/>
  <c r="E22" i="12" s="1"/>
  <c r="F19" i="1"/>
  <c r="Y105" i="12"/>
  <c r="Y106" i="12" s="1"/>
  <c r="Y107" i="12" s="1"/>
  <c r="D82" i="2"/>
  <c r="D21" i="11"/>
  <c r="E19" i="11" s="1"/>
  <c r="E19" i="3"/>
  <c r="L91" i="2"/>
  <c r="C19" i="1"/>
  <c r="BO105" i="12"/>
  <c r="BO106" i="12" s="1"/>
  <c r="BO107" i="12" s="1"/>
  <c r="CC105" i="12"/>
  <c r="CC106" i="12"/>
  <c r="CC107" i="12" s="1"/>
  <c r="BG22" i="2"/>
  <c r="BG20" i="2"/>
  <c r="BG21" i="2"/>
  <c r="BG19" i="2"/>
  <c r="BG39" i="2" s="1"/>
  <c r="CG21" i="2"/>
  <c r="CG19" i="2"/>
  <c r="CG20" i="2"/>
  <c r="CG22" i="2"/>
  <c r="AZ22" i="2"/>
  <c r="AZ20" i="2"/>
  <c r="AZ19" i="2"/>
  <c r="AZ21" i="2"/>
  <c r="G21" i="2"/>
  <c r="G19" i="2"/>
  <c r="G22" i="2"/>
  <c r="G20" i="2"/>
  <c r="BS21" i="2"/>
  <c r="BS19" i="2"/>
  <c r="BS22" i="2"/>
  <c r="BS20" i="2"/>
  <c r="Q14" i="3"/>
  <c r="BM106" i="12"/>
  <c r="BM107" i="12" s="1"/>
  <c r="BM105" i="12"/>
  <c r="AI105" i="12"/>
  <c r="AI106" i="12"/>
  <c r="AI107" i="12" s="1"/>
  <c r="C129" i="2"/>
  <c r="C83" i="2" s="1"/>
  <c r="H39" i="2"/>
  <c r="BE106" i="12"/>
  <c r="BE107" i="12" s="1"/>
  <c r="BE105" i="12"/>
  <c r="BH107" i="12"/>
  <c r="Q105" i="12"/>
  <c r="Q106" i="12" s="1"/>
  <c r="Q107" i="12" s="1"/>
  <c r="B12" i="12"/>
  <c r="B60" i="12"/>
  <c r="B63" i="12" s="1"/>
  <c r="B19" i="12"/>
  <c r="M13" i="3"/>
  <c r="E13" i="1"/>
  <c r="AC9" i="3"/>
  <c r="AC17" i="3"/>
  <c r="CF90" i="2"/>
  <c r="CF92" i="2" s="1"/>
  <c r="I17" i="1"/>
  <c r="I9" i="1"/>
  <c r="CF42" i="2"/>
  <c r="AF21" i="2"/>
  <c r="AF19" i="2"/>
  <c r="AF39" i="2" s="1"/>
  <c r="AF20" i="2"/>
  <c r="AF22" i="2"/>
  <c r="M21" i="2"/>
  <c r="M19" i="2"/>
  <c r="M22" i="2"/>
  <c r="M20" i="2"/>
  <c r="BM22" i="2"/>
  <c r="BM20" i="2"/>
  <c r="BM21" i="2"/>
  <c r="BM19" i="2"/>
  <c r="J22" i="2"/>
  <c r="J20" i="2"/>
  <c r="J21" i="2"/>
  <c r="J19" i="2"/>
  <c r="J39" i="2" s="1"/>
  <c r="BV22" i="2"/>
  <c r="BV20" i="2"/>
  <c r="BV21" i="2"/>
  <c r="BV19" i="2"/>
  <c r="AD21" i="2"/>
  <c r="AD19" i="2"/>
  <c r="AD22" i="2"/>
  <c r="AD20" i="2"/>
  <c r="BU105" i="12"/>
  <c r="BU106" i="12" s="1"/>
  <c r="BU107" i="12" s="1"/>
  <c r="B104" i="12"/>
  <c r="C106" i="12"/>
  <c r="C21" i="12"/>
  <c r="D117" i="2"/>
  <c r="D120" i="2" s="1"/>
  <c r="E116" i="2" s="1"/>
  <c r="D112" i="2"/>
  <c r="D115" i="2" s="1"/>
  <c r="E111" i="2" s="1"/>
  <c r="CA39" i="2"/>
  <c r="H13" i="3"/>
  <c r="BW105" i="12"/>
  <c r="BW106" i="12" s="1"/>
  <c r="BW107" i="12" s="1"/>
  <c r="AQ105" i="12"/>
  <c r="AQ106" i="12" s="1"/>
  <c r="AQ107" i="12" s="1"/>
  <c r="J22" i="12"/>
  <c r="U9" i="3"/>
  <c r="U17" i="3"/>
  <c r="BH90" i="2"/>
  <c r="BH92" i="2" s="1"/>
  <c r="G17" i="1"/>
  <c r="G9" i="1"/>
  <c r="BH42" i="2"/>
  <c r="P21" i="2"/>
  <c r="P19" i="2"/>
  <c r="P39" i="2" s="1"/>
  <c r="P22" i="2"/>
  <c r="P20" i="2"/>
  <c r="AK21" i="2"/>
  <c r="AK19" i="2"/>
  <c r="AK39" i="2" s="1"/>
  <c r="AK22" i="2"/>
  <c r="AK20" i="2"/>
  <c r="X21" i="2"/>
  <c r="X19" i="2"/>
  <c r="X22" i="2"/>
  <c r="X20" i="2"/>
  <c r="AC21" i="2"/>
  <c r="AC19" i="2"/>
  <c r="AC20" i="2"/>
  <c r="AC22" i="2"/>
  <c r="CC22" i="2"/>
  <c r="CC20" i="2"/>
  <c r="CC19" i="2"/>
  <c r="CC21" i="2"/>
  <c r="R22" i="2"/>
  <c r="R20" i="2"/>
  <c r="R21" i="2"/>
  <c r="R19" i="2"/>
  <c r="CD22" i="2"/>
  <c r="CD20" i="2"/>
  <c r="CD21" i="2"/>
  <c r="CD19" i="2"/>
  <c r="BH22" i="2"/>
  <c r="BH20" i="2"/>
  <c r="BH21" i="2"/>
  <c r="BH19" i="2"/>
  <c r="AL21" i="2"/>
  <c r="AL19" i="2"/>
  <c r="AL22" i="2"/>
  <c r="AL20" i="2"/>
  <c r="AL39" i="2" s="1"/>
  <c r="O21" i="2"/>
  <c r="O19" i="2"/>
  <c r="O22" i="2"/>
  <c r="O20" i="2"/>
  <c r="CA21" i="2"/>
  <c r="CA19" i="2"/>
  <c r="CA22" i="2"/>
  <c r="CA20" i="2"/>
  <c r="Z17" i="3"/>
  <c r="Z9" i="3"/>
  <c r="BW90" i="2"/>
  <c r="BW42" i="2"/>
  <c r="G13" i="3"/>
  <c r="L13" i="3"/>
  <c r="T9" i="3"/>
  <c r="BE90" i="2"/>
  <c r="BE92" i="2" s="1"/>
  <c r="N13" i="3"/>
  <c r="AA17" i="3"/>
  <c r="AA9" i="3"/>
  <c r="BZ42" i="2"/>
  <c r="BZ90" i="2"/>
  <c r="BZ92" i="2" s="1"/>
  <c r="D91" i="2"/>
  <c r="Q13" i="3"/>
  <c r="F13" i="1"/>
  <c r="AC13" i="3"/>
  <c r="I13" i="1"/>
  <c r="L69" i="2"/>
  <c r="L67" i="2"/>
  <c r="L70" i="2"/>
  <c r="L68" i="2"/>
  <c r="CF69" i="2"/>
  <c r="CF67" i="2"/>
  <c r="CF70" i="2"/>
  <c r="CF68" i="2"/>
  <c r="CG69" i="2"/>
  <c r="CG67" i="2"/>
  <c r="CG70" i="2"/>
  <c r="CG68" i="2"/>
  <c r="U69" i="2"/>
  <c r="U67" i="2"/>
  <c r="U70" i="2"/>
  <c r="U68" i="2"/>
  <c r="M69" i="2"/>
  <c r="M67" i="2"/>
  <c r="M70" i="2"/>
  <c r="M68" i="2"/>
  <c r="BK70" i="2"/>
  <c r="BK68" i="2"/>
  <c r="BK67" i="2"/>
  <c r="BK69" i="2"/>
  <c r="BB69" i="2"/>
  <c r="BB67" i="2"/>
  <c r="BB68" i="2"/>
  <c r="BB70" i="2"/>
  <c r="AF70" i="2"/>
  <c r="AF68" i="2"/>
  <c r="AF69" i="2"/>
  <c r="AF67" i="2"/>
  <c r="R70" i="2"/>
  <c r="R68" i="2"/>
  <c r="R69" i="2"/>
  <c r="R67" i="2"/>
  <c r="CD70" i="2"/>
  <c r="CD68" i="2"/>
  <c r="CD69" i="2"/>
  <c r="CD67" i="2"/>
  <c r="BG69" i="2"/>
  <c r="BG67" i="2"/>
  <c r="BG70" i="2"/>
  <c r="BG68" i="2"/>
  <c r="R19" i="3"/>
  <c r="AY91" i="2"/>
  <c r="X14" i="3"/>
  <c r="AR92" i="2"/>
  <c r="BG92" i="2"/>
  <c r="BU90" i="2"/>
  <c r="BU92" i="2" s="1"/>
  <c r="H17" i="1"/>
  <c r="H9" i="1"/>
  <c r="BU42" i="2"/>
  <c r="P92" i="2"/>
  <c r="E92" i="2"/>
  <c r="Q5" i="8"/>
  <c r="R5" i="8" s="1"/>
  <c r="CF106" i="12"/>
  <c r="D27" i="11"/>
  <c r="E25" i="11" s="1"/>
  <c r="AC40" i="3"/>
  <c r="I40" i="1"/>
  <c r="H13" i="1"/>
  <c r="AJ90" i="2"/>
  <c r="AJ92" i="2" s="1"/>
  <c r="M9" i="3"/>
  <c r="E9" i="1"/>
  <c r="AN21" i="2"/>
  <c r="AN19" i="2"/>
  <c r="AN22" i="2"/>
  <c r="AN20" i="2"/>
  <c r="BQ21" i="2"/>
  <c r="BQ19" i="2"/>
  <c r="BQ20" i="2"/>
  <c r="BQ22" i="2"/>
  <c r="AV21" i="2"/>
  <c r="AV19" i="2"/>
  <c r="AV22" i="2"/>
  <c r="AV20" i="2"/>
  <c r="AS21" i="2"/>
  <c r="AS19" i="2"/>
  <c r="AS39" i="2" s="1"/>
  <c r="AS41" i="2" s="1"/>
  <c r="AS22" i="2"/>
  <c r="AS20" i="2"/>
  <c r="C22" i="2"/>
  <c r="C20" i="2"/>
  <c r="C21" i="2"/>
  <c r="C19" i="2"/>
  <c r="Z22" i="2"/>
  <c r="Z20" i="2"/>
  <c r="Z21" i="2"/>
  <c r="Z19" i="2"/>
  <c r="D22" i="2"/>
  <c r="D20" i="2"/>
  <c r="D21" i="2"/>
  <c r="D19" i="2"/>
  <c r="BP22" i="2"/>
  <c r="BP20" i="2"/>
  <c r="BP21" i="2"/>
  <c r="BP19" i="2"/>
  <c r="BP39" i="2" s="1"/>
  <c r="AT21" i="2"/>
  <c r="AT19" i="2"/>
  <c r="AT22" i="2"/>
  <c r="AT20" i="2"/>
  <c r="W21" i="2"/>
  <c r="W19" i="2"/>
  <c r="W22" i="2"/>
  <c r="W20" i="2"/>
  <c r="J13" i="3"/>
  <c r="R9" i="3"/>
  <c r="AY90" i="2"/>
  <c r="L9" i="3"/>
  <c r="AG90" i="2"/>
  <c r="AG92" i="2" s="1"/>
  <c r="V17" i="3"/>
  <c r="V9" i="3"/>
  <c r="BK90" i="2"/>
  <c r="BK92" i="2" s="1"/>
  <c r="BK42" i="2"/>
  <c r="K13" i="3"/>
  <c r="S9" i="3"/>
  <c r="BB90" i="2"/>
  <c r="BB92" i="2" s="1"/>
  <c r="CG90" i="2"/>
  <c r="CG92" i="2" s="1"/>
  <c r="CG42" i="2"/>
  <c r="S14" i="3"/>
  <c r="AK69" i="2"/>
  <c r="AK67" i="2"/>
  <c r="AK70" i="2"/>
  <c r="AK68" i="2"/>
  <c r="AR69" i="2"/>
  <c r="AR67" i="2"/>
  <c r="AR70" i="2"/>
  <c r="AR68" i="2"/>
  <c r="AB69" i="2"/>
  <c r="AB67" i="2"/>
  <c r="AB70" i="2"/>
  <c r="AB68" i="2"/>
  <c r="AW70" i="2"/>
  <c r="AW68" i="2"/>
  <c r="AW69" i="2"/>
  <c r="AW67" i="2"/>
  <c r="AC69" i="2"/>
  <c r="AC67" i="2"/>
  <c r="AC70" i="2"/>
  <c r="AC68" i="2"/>
  <c r="CA70" i="2"/>
  <c r="CA68" i="2"/>
  <c r="CA69" i="2"/>
  <c r="CA67" i="2"/>
  <c r="BJ69" i="2"/>
  <c r="BJ67" i="2"/>
  <c r="BJ68" i="2"/>
  <c r="BJ70" i="2"/>
  <c r="AN70" i="2"/>
  <c r="AN68" i="2"/>
  <c r="AN69" i="2"/>
  <c r="AN67" i="2"/>
  <c r="Z70" i="2"/>
  <c r="Z68" i="2"/>
  <c r="Z69" i="2"/>
  <c r="Z67" i="2"/>
  <c r="C69" i="2"/>
  <c r="C67" i="2"/>
  <c r="C68" i="2"/>
  <c r="C70" i="2"/>
  <c r="BO69" i="2"/>
  <c r="BO67" i="2"/>
  <c r="BO68" i="2"/>
  <c r="BO70" i="2"/>
  <c r="AQ91" i="2"/>
  <c r="AQ92" i="2" s="1"/>
  <c r="Q9" i="3"/>
  <c r="AV90" i="2"/>
  <c r="AV92" i="2" s="1"/>
  <c r="F9" i="1"/>
  <c r="AZ92" i="2"/>
  <c r="J92" i="2"/>
  <c r="BM90" i="2"/>
  <c r="BM92" i="2" s="1"/>
  <c r="BM42" i="2"/>
  <c r="H92" i="2"/>
  <c r="D100" i="2"/>
  <c r="E13" i="3"/>
  <c r="C13" i="1"/>
  <c r="E9" i="3"/>
  <c r="L90" i="2"/>
  <c r="C9" i="1"/>
  <c r="BE22" i="2"/>
  <c r="BE20" i="2"/>
  <c r="BE19" i="2"/>
  <c r="BE21" i="2"/>
  <c r="I22" i="2"/>
  <c r="I20" i="2"/>
  <c r="I21" i="2"/>
  <c r="I19" i="2"/>
  <c r="BU22" i="2"/>
  <c r="BU20" i="2"/>
  <c r="BU21" i="2"/>
  <c r="BU19" i="2"/>
  <c r="BI21" i="2"/>
  <c r="BI19" i="2"/>
  <c r="BI22" i="2"/>
  <c r="BI20" i="2"/>
  <c r="S22" i="2"/>
  <c r="S20" i="2"/>
  <c r="S21" i="2"/>
  <c r="S19" i="2"/>
  <c r="S39" i="2" s="1"/>
  <c r="AH22" i="2"/>
  <c r="AH20" i="2"/>
  <c r="AH21" i="2"/>
  <c r="AH19" i="2"/>
  <c r="L22" i="2"/>
  <c r="L20" i="2"/>
  <c r="L21" i="2"/>
  <c r="L19" i="2"/>
  <c r="BX22" i="2"/>
  <c r="BX39" i="2" s="1"/>
  <c r="BX20" i="2"/>
  <c r="BX21" i="2"/>
  <c r="BX19" i="2"/>
  <c r="BB21" i="2"/>
  <c r="BB19" i="2"/>
  <c r="BB22" i="2"/>
  <c r="BB20" i="2"/>
  <c r="AE21" i="2"/>
  <c r="AE19" i="2"/>
  <c r="AE22" i="2"/>
  <c r="AE20" i="2"/>
  <c r="J9" i="3"/>
  <c r="AA90" i="2"/>
  <c r="W13" i="3"/>
  <c r="W9" i="3"/>
  <c r="W17" i="3"/>
  <c r="BN90" i="2"/>
  <c r="BN92" i="2" s="1"/>
  <c r="BN42" i="2"/>
  <c r="AB13" i="3"/>
  <c r="D9" i="3"/>
  <c r="I90" i="2"/>
  <c r="I92" i="2" s="1"/>
  <c r="B20" i="12"/>
  <c r="N9" i="3"/>
  <c r="AM90" i="2"/>
  <c r="AM92" i="2" s="1"/>
  <c r="T40" i="3"/>
  <c r="F40" i="1"/>
  <c r="B47" i="11"/>
  <c r="C6" i="13" s="1"/>
  <c r="K9" i="3"/>
  <c r="AD90" i="2"/>
  <c r="AD92" i="2" s="1"/>
  <c r="H9" i="3"/>
  <c r="U90" i="2"/>
  <c r="U92" i="2" s="1"/>
  <c r="F14" i="3"/>
  <c r="U14" i="3"/>
  <c r="G14" i="1"/>
  <c r="W70" i="2"/>
  <c r="W68" i="2"/>
  <c r="W67" i="2"/>
  <c r="W69" i="2"/>
  <c r="D69" i="2"/>
  <c r="D67" i="2"/>
  <c r="D70" i="2"/>
  <c r="D68" i="2"/>
  <c r="BH69" i="2"/>
  <c r="BH67" i="2"/>
  <c r="BH70" i="2"/>
  <c r="BH68" i="2"/>
  <c r="BS70" i="2"/>
  <c r="BS68" i="2"/>
  <c r="BS69" i="2"/>
  <c r="BS67" i="2"/>
  <c r="AS69" i="2"/>
  <c r="AS67" i="2"/>
  <c r="AS70" i="2"/>
  <c r="AS68" i="2"/>
  <c r="F69" i="2"/>
  <c r="F67" i="2"/>
  <c r="F68" i="2"/>
  <c r="F70" i="2"/>
  <c r="BR69" i="2"/>
  <c r="BR67" i="2"/>
  <c r="BR70" i="2"/>
  <c r="BR68" i="2"/>
  <c r="AV70" i="2"/>
  <c r="AV68" i="2"/>
  <c r="AV69" i="2"/>
  <c r="AV67" i="2"/>
  <c r="AH70" i="2"/>
  <c r="AH68" i="2"/>
  <c r="AH69" i="2"/>
  <c r="AH67" i="2"/>
  <c r="K69" i="2"/>
  <c r="K67" i="2"/>
  <c r="K68" i="2"/>
  <c r="K70" i="2"/>
  <c r="BW69" i="2"/>
  <c r="BW67" i="2"/>
  <c r="BW68" i="2"/>
  <c r="BW70" i="2"/>
  <c r="M90" i="2"/>
  <c r="M92" i="2" s="1"/>
  <c r="AI91" i="2"/>
  <c r="AI92" i="2" s="1"/>
  <c r="D92" i="2"/>
  <c r="I14" i="3"/>
  <c r="D14" i="1"/>
  <c r="AW90" i="2"/>
  <c r="AW92" i="2" s="1"/>
  <c r="AC92" i="2"/>
  <c r="I17" i="4"/>
  <c r="J17" i="4" s="1"/>
  <c r="K17" i="4" s="1"/>
  <c r="L17" i="4" s="1"/>
  <c r="M17" i="4" s="1"/>
  <c r="N17" i="4" s="1"/>
  <c r="O17" i="4" s="1"/>
  <c r="P17" i="4" s="1"/>
  <c r="Q17" i="4" s="1"/>
  <c r="R17" i="4" s="1"/>
  <c r="S17" i="4" s="1"/>
  <c r="T17" i="4" s="1"/>
  <c r="U17" i="4" s="1"/>
  <c r="V17" i="4" s="1"/>
  <c r="W17" i="4" s="1"/>
  <c r="X17" i="4" s="1"/>
  <c r="Y17" i="4" s="1"/>
  <c r="Z17" i="4" s="1"/>
  <c r="AA17" i="4" s="1"/>
  <c r="AB17" i="4" s="1"/>
  <c r="AC17" i="4" s="1"/>
  <c r="AD17" i="4" s="1"/>
  <c r="AE17" i="4" s="1"/>
  <c r="AF17" i="4" s="1"/>
  <c r="AG17" i="4" s="1"/>
  <c r="AH17" i="4" s="1"/>
  <c r="AI17" i="4" s="1"/>
  <c r="AJ17" i="4" s="1"/>
  <c r="AK17" i="4" s="1"/>
  <c r="AL17" i="4" s="1"/>
  <c r="AM17" i="4" s="1"/>
  <c r="AN17" i="4" s="1"/>
  <c r="AO17" i="4" s="1"/>
  <c r="AP17" i="4" s="1"/>
  <c r="AQ17" i="4" s="1"/>
  <c r="AR17" i="4" s="1"/>
  <c r="AS17" i="4" s="1"/>
  <c r="AT17" i="4" s="1"/>
  <c r="AU17" i="4" s="1"/>
  <c r="AV17" i="4" s="1"/>
  <c r="AW17" i="4" s="1"/>
  <c r="AX17" i="4" s="1"/>
  <c r="AY17" i="4" s="1"/>
  <c r="AZ17" i="4" s="1"/>
  <c r="BA17" i="4" s="1"/>
  <c r="BB17" i="4" s="1"/>
  <c r="BC17" i="4" s="1"/>
  <c r="BD17" i="4" s="1"/>
  <c r="BE17" i="4" s="1"/>
  <c r="BF17" i="4" s="1"/>
  <c r="BG17" i="4" s="1"/>
  <c r="BH17" i="4" s="1"/>
  <c r="BI17" i="4" s="1"/>
  <c r="BJ17" i="4" s="1"/>
  <c r="BK17" i="4" s="1"/>
  <c r="BL17" i="4" s="1"/>
  <c r="BM17" i="4" s="1"/>
  <c r="BN17" i="4" s="1"/>
  <c r="BO17" i="4" s="1"/>
  <c r="BP17" i="4" s="1"/>
  <c r="BQ17" i="4" s="1"/>
  <c r="BR17" i="4" s="1"/>
  <c r="BS17" i="4" s="1"/>
  <c r="BT17" i="4" s="1"/>
  <c r="BU17" i="4" s="1"/>
  <c r="BV17" i="4" s="1"/>
  <c r="BW17" i="4" s="1"/>
  <c r="BX17" i="4" s="1"/>
  <c r="BY17" i="4" s="1"/>
  <c r="BZ17" i="4" s="1"/>
  <c r="CA17" i="4" s="1"/>
  <c r="CB17" i="4" s="1"/>
  <c r="CC17" i="4" s="1"/>
  <c r="CD17" i="4" s="1"/>
  <c r="CE17" i="4" s="1"/>
  <c r="CF17" i="4" s="1"/>
  <c r="CG17" i="4" s="1"/>
  <c r="CH17" i="4" s="1"/>
  <c r="BL21" i="2"/>
  <c r="BL19" i="2"/>
  <c r="BL39" i="2" s="1"/>
  <c r="BL20" i="2"/>
  <c r="BL22" i="2"/>
  <c r="AO22" i="2"/>
  <c r="AO20" i="2"/>
  <c r="AO19" i="2"/>
  <c r="AO21" i="2"/>
  <c r="E21" i="2"/>
  <c r="E19" i="2"/>
  <c r="E20" i="2"/>
  <c r="E22" i="2"/>
  <c r="BY21" i="2"/>
  <c r="BY19" i="2"/>
  <c r="BY22" i="2"/>
  <c r="BY20" i="2"/>
  <c r="AI22" i="2"/>
  <c r="AI20" i="2"/>
  <c r="AI21" i="2"/>
  <c r="AI19" i="2"/>
  <c r="AP22" i="2"/>
  <c r="AP20" i="2"/>
  <c r="AP21" i="2"/>
  <c r="AP19" i="2"/>
  <c r="T22" i="2"/>
  <c r="T20" i="2"/>
  <c r="T19" i="2"/>
  <c r="T21" i="2"/>
  <c r="CF22" i="2"/>
  <c r="CF20" i="2"/>
  <c r="CF19" i="2"/>
  <c r="CF21" i="2"/>
  <c r="BJ21" i="2"/>
  <c r="BJ19" i="2"/>
  <c r="BJ39" i="2" s="1"/>
  <c r="BJ22" i="2"/>
  <c r="BJ20" i="2"/>
  <c r="AM21" i="2"/>
  <c r="AM19" i="2"/>
  <c r="AM22" i="2"/>
  <c r="AM20" i="2"/>
  <c r="Z13" i="3"/>
  <c r="B9" i="3"/>
  <c r="C90" i="2"/>
  <c r="B9" i="1"/>
  <c r="O9" i="3"/>
  <c r="AP90" i="2"/>
  <c r="AP92" i="2" s="1"/>
  <c r="D13" i="3"/>
  <c r="F13" i="3"/>
  <c r="F9" i="3"/>
  <c r="O90" i="2"/>
  <c r="O92" i="2" s="1"/>
  <c r="B10" i="13"/>
  <c r="B27" i="13"/>
  <c r="AA13" i="3"/>
  <c r="C9" i="3"/>
  <c r="F90" i="2"/>
  <c r="F92" i="2" s="1"/>
  <c r="C14" i="3"/>
  <c r="AJ69" i="2"/>
  <c r="AJ67" i="2"/>
  <c r="AJ70" i="2"/>
  <c r="AJ68" i="2"/>
  <c r="AZ69" i="2"/>
  <c r="AZ67" i="2"/>
  <c r="AZ70" i="2"/>
  <c r="AZ68" i="2"/>
  <c r="AG70" i="2"/>
  <c r="AG68" i="2"/>
  <c r="AG69" i="2"/>
  <c r="AG67" i="2"/>
  <c r="I70" i="2"/>
  <c r="I68" i="2"/>
  <c r="I69" i="2"/>
  <c r="I67" i="2"/>
  <c r="BI69" i="2"/>
  <c r="BI67" i="2"/>
  <c r="BI70" i="2"/>
  <c r="BI68" i="2"/>
  <c r="N69" i="2"/>
  <c r="N67" i="2"/>
  <c r="N70" i="2"/>
  <c r="N68" i="2"/>
  <c r="BZ69" i="2"/>
  <c r="BZ67" i="2"/>
  <c r="BZ70" i="2"/>
  <c r="BZ68" i="2"/>
  <c r="BD70" i="2"/>
  <c r="BD68" i="2"/>
  <c r="BD69" i="2"/>
  <c r="BD67" i="2"/>
  <c r="AP70" i="2"/>
  <c r="AP68" i="2"/>
  <c r="AP69" i="2"/>
  <c r="AP67" i="2"/>
  <c r="S69" i="2"/>
  <c r="S67" i="2"/>
  <c r="S68" i="2"/>
  <c r="S70" i="2"/>
  <c r="CE69" i="2"/>
  <c r="CE67" i="2"/>
  <c r="CE68" i="2"/>
  <c r="CE70" i="2"/>
  <c r="BP92" i="2"/>
  <c r="F19" i="3"/>
  <c r="O91" i="2"/>
  <c r="J19" i="3"/>
  <c r="AA91" i="2"/>
  <c r="V92" i="2"/>
  <c r="P9" i="3"/>
  <c r="AS90" i="2"/>
  <c r="AS92" i="2" s="1"/>
  <c r="AB92" i="2"/>
  <c r="BV91" i="2"/>
  <c r="BV92" i="2" s="1"/>
  <c r="AH92" i="2"/>
  <c r="AO90" i="2"/>
  <c r="AO92" i="2" s="1"/>
  <c r="CB92" i="2"/>
  <c r="BA92" i="2"/>
  <c r="X92" i="2"/>
  <c r="BL92" i="2"/>
  <c r="U13" i="3"/>
  <c r="G13" i="1"/>
  <c r="U21" i="2"/>
  <c r="U19" i="2"/>
  <c r="U22" i="2"/>
  <c r="U20" i="2"/>
  <c r="BW22" i="2"/>
  <c r="BW20" i="2"/>
  <c r="BW21" i="2"/>
  <c r="BW19" i="2"/>
  <c r="AA22" i="2"/>
  <c r="AA20" i="2"/>
  <c r="AA21" i="2"/>
  <c r="AA19" i="2"/>
  <c r="Q22" i="2"/>
  <c r="Q20" i="2"/>
  <c r="Q19" i="2"/>
  <c r="Q21" i="2"/>
  <c r="AY22" i="2"/>
  <c r="AY20" i="2"/>
  <c r="AY21" i="2"/>
  <c r="AY19" i="2"/>
  <c r="AX22" i="2"/>
  <c r="AX20" i="2"/>
  <c r="AX21" i="2"/>
  <c r="AX19" i="2"/>
  <c r="AX39" i="2" s="1"/>
  <c r="AB22" i="2"/>
  <c r="AB20" i="2"/>
  <c r="AB21" i="2"/>
  <c r="AB19" i="2"/>
  <c r="AB39" i="2" s="1"/>
  <c r="F21" i="2"/>
  <c r="F19" i="2"/>
  <c r="F22" i="2"/>
  <c r="F20" i="2"/>
  <c r="BR21" i="2"/>
  <c r="BR19" i="2"/>
  <c r="BR22" i="2"/>
  <c r="BR20" i="2"/>
  <c r="AU21" i="2"/>
  <c r="AU19" i="2"/>
  <c r="AU39" i="2" s="1"/>
  <c r="AU22" i="2"/>
  <c r="AU20" i="2"/>
  <c r="B13" i="3"/>
  <c r="B13" i="1"/>
  <c r="G9" i="3"/>
  <c r="R90" i="2"/>
  <c r="R92" i="2" s="1"/>
  <c r="BW39" i="2"/>
  <c r="BW41" i="2" s="1"/>
  <c r="C36" i="3"/>
  <c r="I106" i="2"/>
  <c r="I108" i="2" s="1"/>
  <c r="J106" i="2" s="1"/>
  <c r="J108" i="2" s="1"/>
  <c r="K106" i="2" s="1"/>
  <c r="K108" i="2" s="1"/>
  <c r="C13" i="3"/>
  <c r="AX91" i="2"/>
  <c r="AX92" i="2" s="1"/>
  <c r="Y14" i="3"/>
  <c r="H14" i="1"/>
  <c r="W92" i="2"/>
  <c r="E14" i="3"/>
  <c r="C14" i="1"/>
  <c r="BQ69" i="2"/>
  <c r="BQ67" i="2"/>
  <c r="BQ70" i="2"/>
  <c r="BQ68" i="2"/>
  <c r="E69" i="2"/>
  <c r="E67" i="2"/>
  <c r="E70" i="2"/>
  <c r="E68" i="2"/>
  <c r="BM70" i="2"/>
  <c r="BM68" i="2"/>
  <c r="BM69" i="2"/>
  <c r="BM67" i="2"/>
  <c r="Y70" i="2"/>
  <c r="Y68" i="2"/>
  <c r="Y69" i="2"/>
  <c r="Y67" i="2"/>
  <c r="BY69" i="2"/>
  <c r="BY67" i="2"/>
  <c r="BY70" i="2"/>
  <c r="BY68" i="2"/>
  <c r="V69" i="2"/>
  <c r="V67" i="2"/>
  <c r="V70" i="2"/>
  <c r="V68" i="2"/>
  <c r="CH69" i="2"/>
  <c r="CH67" i="2"/>
  <c r="CH68" i="2"/>
  <c r="CH70" i="2"/>
  <c r="BL70" i="2"/>
  <c r="BL68" i="2"/>
  <c r="BL69" i="2"/>
  <c r="BL67" i="2"/>
  <c r="AX70" i="2"/>
  <c r="AX68" i="2"/>
  <c r="AX69" i="2"/>
  <c r="AX67" i="2"/>
  <c r="AA69" i="2"/>
  <c r="AA67" i="2"/>
  <c r="AA68" i="2"/>
  <c r="AA70" i="2"/>
  <c r="CE91" i="2"/>
  <c r="CE92" i="2" s="1"/>
  <c r="S91" i="2"/>
  <c r="S92" i="2" s="1"/>
  <c r="AT92" i="2"/>
  <c r="Y19" i="3"/>
  <c r="Q19" i="3"/>
  <c r="CC39" i="2"/>
  <c r="CC41" i="2" s="1"/>
  <c r="Y90" i="2"/>
  <c r="Y92" i="2" s="1"/>
  <c r="Q7" i="8"/>
  <c r="R7" i="8" s="1"/>
  <c r="C124" i="2"/>
  <c r="C84" i="2" s="1"/>
  <c r="H21" i="2"/>
  <c r="H19" i="2"/>
  <c r="H22" i="2"/>
  <c r="H20" i="2"/>
  <c r="BT21" i="2"/>
  <c r="BT19" i="2"/>
  <c r="BT22" i="2"/>
  <c r="BT20" i="2"/>
  <c r="K22" i="2"/>
  <c r="K20" i="2"/>
  <c r="K21" i="2"/>
  <c r="K19" i="2"/>
  <c r="K39" i="2" s="1"/>
  <c r="BD21" i="2"/>
  <c r="BD19" i="2"/>
  <c r="BD22" i="2"/>
  <c r="BD20" i="2"/>
  <c r="AG22" i="2"/>
  <c r="AG20" i="2"/>
  <c r="AG21" i="2"/>
  <c r="AG19" i="2"/>
  <c r="AG39" i="2" s="1"/>
  <c r="AG41" i="2" s="1"/>
  <c r="BO22" i="2"/>
  <c r="BO20" i="2"/>
  <c r="BO21" i="2"/>
  <c r="BO19" i="2"/>
  <c r="BF22" i="2"/>
  <c r="BF20" i="2"/>
  <c r="BF21" i="2"/>
  <c r="BF19" i="2"/>
  <c r="BF39" i="2" s="1"/>
  <c r="AJ22" i="2"/>
  <c r="AJ20" i="2"/>
  <c r="AJ21" i="2"/>
  <c r="AJ19" i="2"/>
  <c r="N21" i="2"/>
  <c r="N19" i="2"/>
  <c r="N22" i="2"/>
  <c r="N20" i="2"/>
  <c r="BZ21" i="2"/>
  <c r="BZ19" i="2"/>
  <c r="BZ22" i="2"/>
  <c r="BZ20" i="2"/>
  <c r="BC21" i="2"/>
  <c r="BC19" i="2"/>
  <c r="BC39" i="2" s="1"/>
  <c r="BC22" i="2"/>
  <c r="BC20" i="2"/>
  <c r="O13" i="3"/>
  <c r="B90" i="11"/>
  <c r="B86" i="11"/>
  <c r="B82" i="11"/>
  <c r="B78" i="11"/>
  <c r="B74" i="11"/>
  <c r="B70" i="11"/>
  <c r="B66" i="11"/>
  <c r="B62" i="11"/>
  <c r="B58" i="11"/>
  <c r="B87" i="11"/>
  <c r="B84" i="11"/>
  <c r="B81" i="11"/>
  <c r="B55" i="11"/>
  <c r="B67" i="11"/>
  <c r="B64" i="11"/>
  <c r="B61" i="11"/>
  <c r="B91" i="11"/>
  <c r="B88" i="11"/>
  <c r="B85" i="11"/>
  <c r="B59" i="11"/>
  <c r="B56" i="11"/>
  <c r="B83" i="11"/>
  <c r="B80" i="11"/>
  <c r="B77" i="11"/>
  <c r="B63" i="11"/>
  <c r="B60" i="11"/>
  <c r="B57" i="11"/>
  <c r="B54" i="11"/>
  <c r="B75" i="11"/>
  <c r="B72" i="11"/>
  <c r="B69" i="11"/>
  <c r="B71" i="11"/>
  <c r="B65" i="11"/>
  <c r="B53" i="11"/>
  <c r="B89" i="11"/>
  <c r="B48" i="11"/>
  <c r="C13" i="13" s="1"/>
  <c r="B76" i="11"/>
  <c r="B92" i="11"/>
  <c r="B79" i="11"/>
  <c r="B73" i="11"/>
  <c r="B68" i="11"/>
  <c r="T13" i="3"/>
  <c r="V13" i="3"/>
  <c r="CA92" i="2"/>
  <c r="G92" i="2"/>
  <c r="N14" i="3"/>
  <c r="AC14" i="3"/>
  <c r="I14" i="1"/>
  <c r="BX69" i="2"/>
  <c r="BX67" i="2"/>
  <c r="BX70" i="2"/>
  <c r="BX68" i="2"/>
  <c r="BC70" i="2"/>
  <c r="BC68" i="2"/>
  <c r="BC67" i="2"/>
  <c r="BC69" i="2"/>
  <c r="Q70" i="2"/>
  <c r="Q68" i="2"/>
  <c r="Q69" i="2"/>
  <c r="Q67" i="2"/>
  <c r="AO70" i="2"/>
  <c r="AO68" i="2"/>
  <c r="AO69" i="2"/>
  <c r="AO67" i="2"/>
  <c r="O70" i="2"/>
  <c r="O68" i="2"/>
  <c r="O69" i="2"/>
  <c r="O67" i="2"/>
  <c r="AD69" i="2"/>
  <c r="AD67" i="2"/>
  <c r="AD70" i="2"/>
  <c r="AD68" i="2"/>
  <c r="H70" i="2"/>
  <c r="H68" i="2"/>
  <c r="H69" i="2"/>
  <c r="H67" i="2"/>
  <c r="BT70" i="2"/>
  <c r="BT68" i="2"/>
  <c r="BT69" i="2"/>
  <c r="BT67" i="2"/>
  <c r="BF70" i="2"/>
  <c r="BF68" i="2"/>
  <c r="BF67" i="2"/>
  <c r="BF69" i="2"/>
  <c r="AI69" i="2"/>
  <c r="AI67" i="2"/>
  <c r="AI68" i="2"/>
  <c r="AI70" i="2"/>
  <c r="Z19" i="3"/>
  <c r="BW91" i="2"/>
  <c r="K91" i="2"/>
  <c r="K92" i="2" s="1"/>
  <c r="F14" i="1"/>
  <c r="BF92" i="2"/>
  <c r="V91" i="2"/>
  <c r="I13" i="3"/>
  <c r="Q90" i="2"/>
  <c r="Q92" i="2" s="1"/>
  <c r="I9" i="3"/>
  <c r="BI92" i="2"/>
  <c r="AA105" i="12"/>
  <c r="AA106" i="12" s="1"/>
  <c r="AA107" i="12" s="1"/>
  <c r="AY105" i="12"/>
  <c r="AY106" i="12" s="1"/>
  <c r="AY107" i="12" s="1"/>
  <c r="BI105" i="12"/>
  <c r="H21" i="12"/>
  <c r="U105" i="12"/>
  <c r="U106" i="12" s="1"/>
  <c r="U107" i="12" s="1"/>
  <c r="G21" i="12"/>
  <c r="AV105" i="12"/>
  <c r="C153" i="2"/>
  <c r="BA21" i="2"/>
  <c r="BA19" i="2"/>
  <c r="BA22" i="2"/>
  <c r="BA20" i="2"/>
  <c r="Y22" i="2"/>
  <c r="Y20" i="2"/>
  <c r="Y21" i="2"/>
  <c r="Y19" i="2"/>
  <c r="AQ22" i="2"/>
  <c r="AQ20" i="2"/>
  <c r="AQ21" i="2"/>
  <c r="AQ19" i="2"/>
  <c r="AQ39" i="2" s="1"/>
  <c r="CB21" i="2"/>
  <c r="CB19" i="2"/>
  <c r="CB39" i="2" s="1"/>
  <c r="CB22" i="2"/>
  <c r="CB20" i="2"/>
  <c r="AW22" i="2"/>
  <c r="AW20" i="2"/>
  <c r="AW21" i="2"/>
  <c r="AW19" i="2"/>
  <c r="CE22" i="2"/>
  <c r="CE20" i="2"/>
  <c r="CE21" i="2"/>
  <c r="CE19" i="2"/>
  <c r="BN22" i="2"/>
  <c r="BN20" i="2"/>
  <c r="BN21" i="2"/>
  <c r="BN19" i="2"/>
  <c r="AR22" i="2"/>
  <c r="AR20" i="2"/>
  <c r="AR21" i="2"/>
  <c r="AR19" i="2"/>
  <c r="V21" i="2"/>
  <c r="V19" i="2"/>
  <c r="V22" i="2"/>
  <c r="V20" i="2"/>
  <c r="CH21" i="2"/>
  <c r="CH19" i="2"/>
  <c r="CH39" i="2" s="1"/>
  <c r="CH22" i="2"/>
  <c r="CH20" i="2"/>
  <c r="BK21" i="2"/>
  <c r="BK19" i="2"/>
  <c r="BK22" i="2"/>
  <c r="BK20" i="2"/>
  <c r="R13" i="3"/>
  <c r="AB40" i="3"/>
  <c r="H40" i="1"/>
  <c r="L40" i="3"/>
  <c r="D40" i="1"/>
  <c r="S13" i="3"/>
  <c r="D40" i="3"/>
  <c r="B40" i="1"/>
  <c r="D20" i="13"/>
  <c r="T91" i="2"/>
  <c r="T92" i="2" s="1"/>
  <c r="D14" i="3"/>
  <c r="B14" i="3"/>
  <c r="B14" i="1"/>
  <c r="CC70" i="2"/>
  <c r="CC68" i="2"/>
  <c r="CC69" i="2"/>
  <c r="CC67" i="2"/>
  <c r="T69" i="2"/>
  <c r="T67" i="2"/>
  <c r="T70" i="2"/>
  <c r="T68" i="2"/>
  <c r="AM70" i="2"/>
  <c r="AM68" i="2"/>
  <c r="AM67" i="2"/>
  <c r="AM69" i="2"/>
  <c r="BE70" i="2"/>
  <c r="BE68" i="2"/>
  <c r="BE69" i="2"/>
  <c r="BE67" i="2"/>
  <c r="AE70" i="2"/>
  <c r="AE68" i="2"/>
  <c r="AE67" i="2"/>
  <c r="AE69" i="2"/>
  <c r="AL69" i="2"/>
  <c r="AL67" i="2"/>
  <c r="AL70" i="2"/>
  <c r="AL68" i="2"/>
  <c r="P70" i="2"/>
  <c r="P68" i="2"/>
  <c r="P69" i="2"/>
  <c r="P67" i="2"/>
  <c r="CB70" i="2"/>
  <c r="CB68" i="2"/>
  <c r="CB69" i="2"/>
  <c r="CB67" i="2"/>
  <c r="BN70" i="2"/>
  <c r="BN68" i="2"/>
  <c r="BN69" i="2"/>
  <c r="BN67" i="2"/>
  <c r="AQ69" i="2"/>
  <c r="AQ67" i="2"/>
  <c r="AQ70" i="2"/>
  <c r="AQ68" i="2"/>
  <c r="BO91" i="2"/>
  <c r="BO92" i="2" s="1"/>
  <c r="B19" i="3"/>
  <c r="C91" i="2"/>
  <c r="B19" i="1"/>
  <c r="P13" i="3"/>
  <c r="O19" i="3"/>
  <c r="L19" i="3"/>
  <c r="BX92" i="2"/>
  <c r="Z92" i="2"/>
  <c r="N91" i="2"/>
  <c r="N92" i="2" s="1"/>
  <c r="BD92" i="2"/>
  <c r="AN92" i="2"/>
  <c r="AK92" i="2"/>
  <c r="AZ39" i="2" l="1"/>
  <c r="BZ39" i="2"/>
  <c r="BZ41" i="2" s="1"/>
  <c r="BD39" i="2"/>
  <c r="BT39" i="2"/>
  <c r="Y15" i="3" s="1"/>
  <c r="C92" i="2"/>
  <c r="T39" i="2"/>
  <c r="Z39" i="2"/>
  <c r="Z41" i="2" s="1"/>
  <c r="BW92" i="2"/>
  <c r="AC39" i="2"/>
  <c r="BK39" i="2"/>
  <c r="AW39" i="2"/>
  <c r="BA39" i="2"/>
  <c r="BA41" i="2" s="1"/>
  <c r="BR39" i="2"/>
  <c r="AY39" i="2"/>
  <c r="AA39" i="2"/>
  <c r="AA41" i="2" s="1"/>
  <c r="U39" i="2"/>
  <c r="U41" i="2" s="1"/>
  <c r="CD39" i="2"/>
  <c r="C130" i="2"/>
  <c r="D126" i="2" s="1"/>
  <c r="BS39" i="2"/>
  <c r="V39" i="2"/>
  <c r="V41" i="2" s="1"/>
  <c r="N39" i="2"/>
  <c r="CF39" i="2"/>
  <c r="AO39" i="2"/>
  <c r="BB39" i="2"/>
  <c r="BB41" i="2" s="1"/>
  <c r="BB42" i="2" s="1"/>
  <c r="L39" i="2"/>
  <c r="BU39" i="2"/>
  <c r="BE39" i="2"/>
  <c r="D39" i="2"/>
  <c r="D93" i="2" s="1"/>
  <c r="M39" i="2"/>
  <c r="BN39" i="2"/>
  <c r="W15" i="3" s="1"/>
  <c r="AR39" i="2"/>
  <c r="CE39" i="2"/>
  <c r="CE93" i="2" s="1"/>
  <c r="Y39" i="2"/>
  <c r="BY39" i="2"/>
  <c r="BY93" i="2" s="1"/>
  <c r="W39" i="2"/>
  <c r="AJ39" i="2"/>
  <c r="M15" i="3" s="1"/>
  <c r="BO39" i="2"/>
  <c r="Q39" i="2"/>
  <c r="Q41" i="2" s="1"/>
  <c r="AP39" i="2"/>
  <c r="AH39" i="2"/>
  <c r="L15" i="3" s="1"/>
  <c r="I39" i="2"/>
  <c r="AT39" i="2"/>
  <c r="AV39" i="2"/>
  <c r="Q15" i="3" s="1"/>
  <c r="AN39" i="2"/>
  <c r="AN93" i="2" s="1"/>
  <c r="BV39" i="2"/>
  <c r="BM39" i="2"/>
  <c r="BM41" i="2" s="1"/>
  <c r="BM147" i="2" s="1"/>
  <c r="F39" i="2"/>
  <c r="F93" i="2" s="1"/>
  <c r="AI39" i="2"/>
  <c r="AI93" i="2" s="1"/>
  <c r="E39" i="2"/>
  <c r="L92" i="2"/>
  <c r="BH39" i="2"/>
  <c r="R39" i="2"/>
  <c r="R41" i="2" s="1"/>
  <c r="G39" i="2"/>
  <c r="CG39" i="2"/>
  <c r="CG41" i="2" s="1"/>
  <c r="CG147" i="2" s="1"/>
  <c r="BO93" i="2"/>
  <c r="BO41" i="2"/>
  <c r="BO147" i="2" s="1"/>
  <c r="AV93" i="2"/>
  <c r="AV41" i="2"/>
  <c r="AG147" i="2"/>
  <c r="AG42" i="2"/>
  <c r="AR93" i="2"/>
  <c r="AR41" i="2"/>
  <c r="Y93" i="2"/>
  <c r="Y41" i="2"/>
  <c r="BY41" i="2"/>
  <c r="BY147" i="2" s="1"/>
  <c r="P93" i="2"/>
  <c r="P41" i="2"/>
  <c r="E117" i="2"/>
  <c r="E120" i="2" s="1"/>
  <c r="F116" i="2" s="1"/>
  <c r="AT93" i="2"/>
  <c r="AT41" i="2"/>
  <c r="BM93" i="2"/>
  <c r="CH93" i="2"/>
  <c r="CH41" i="2"/>
  <c r="CH147" i="2" s="1"/>
  <c r="C15" i="3"/>
  <c r="G93" i="2"/>
  <c r="G41" i="2"/>
  <c r="BZ147" i="2"/>
  <c r="T93" i="2"/>
  <c r="T41" i="2"/>
  <c r="Z93" i="2"/>
  <c r="AC93" i="2"/>
  <c r="AC41" i="2"/>
  <c r="Q93" i="2"/>
  <c r="BV93" i="2"/>
  <c r="BV41" i="2"/>
  <c r="BV147" i="2" s="1"/>
  <c r="CB93" i="2"/>
  <c r="CB41" i="2"/>
  <c r="CB147" i="2" s="1"/>
  <c r="E93" i="2"/>
  <c r="E41" i="2"/>
  <c r="BH93" i="2"/>
  <c r="BH41" i="2"/>
  <c r="CG93" i="2"/>
  <c r="AQ93" i="2"/>
  <c r="AQ41" i="2"/>
  <c r="AB93" i="2"/>
  <c r="AB41" i="2"/>
  <c r="BJ93" i="2"/>
  <c r="BJ41" i="2"/>
  <c r="BJ147" i="2" s="1"/>
  <c r="BL93" i="2"/>
  <c r="BL41" i="2"/>
  <c r="BL147" i="2" s="1"/>
  <c r="AK93" i="2"/>
  <c r="AK41" i="2"/>
  <c r="BG93" i="2"/>
  <c r="BG41" i="2"/>
  <c r="BG147" i="2" s="1"/>
  <c r="BF93" i="2"/>
  <c r="BF41" i="2"/>
  <c r="W93" i="2"/>
  <c r="W41" i="2"/>
  <c r="AZ93" i="2"/>
  <c r="AZ41" i="2"/>
  <c r="O15" i="3"/>
  <c r="AP93" i="2"/>
  <c r="AP41" i="2"/>
  <c r="K93" i="2"/>
  <c r="K41" i="2"/>
  <c r="S93" i="2"/>
  <c r="S41" i="2"/>
  <c r="BN93" i="2"/>
  <c r="BN41" i="2"/>
  <c r="BA93" i="2"/>
  <c r="BR93" i="2"/>
  <c r="BR41" i="2"/>
  <c r="BR147" i="2" s="1"/>
  <c r="R15" i="3"/>
  <c r="AY93" i="2"/>
  <c r="AY41" i="2"/>
  <c r="J15" i="3"/>
  <c r="AA93" i="2"/>
  <c r="AL93" i="2"/>
  <c r="AL41" i="2"/>
  <c r="CD93" i="2"/>
  <c r="CD41" i="2"/>
  <c r="CD147" i="2" s="1"/>
  <c r="BS93" i="2"/>
  <c r="BS41" i="2"/>
  <c r="BS147" i="2" s="1"/>
  <c r="AS147" i="2"/>
  <c r="AS42" i="2"/>
  <c r="D15" i="3"/>
  <c r="I93" i="2"/>
  <c r="I41" i="2"/>
  <c r="J93" i="2"/>
  <c r="J41" i="2"/>
  <c r="BK93" i="2"/>
  <c r="BK41" i="2"/>
  <c r="V93" i="2"/>
  <c r="AW93" i="2"/>
  <c r="AW41" i="2"/>
  <c r="N93" i="2"/>
  <c r="N41" i="2"/>
  <c r="AC15" i="3"/>
  <c r="CF93" i="2"/>
  <c r="I15" i="1"/>
  <c r="I42" i="5" s="1"/>
  <c r="CF41" i="2"/>
  <c r="AO93" i="2"/>
  <c r="AO41" i="2"/>
  <c r="BB147" i="2"/>
  <c r="E15" i="3"/>
  <c r="L93" i="2"/>
  <c r="L41" i="2"/>
  <c r="BU93" i="2"/>
  <c r="BU41" i="2"/>
  <c r="BU147" i="2" s="1"/>
  <c r="T15" i="3"/>
  <c r="BE93" i="2"/>
  <c r="BE41" i="2"/>
  <c r="M93" i="2"/>
  <c r="M41" i="2"/>
  <c r="D36" i="3"/>
  <c r="L106" i="2"/>
  <c r="L108" i="2" s="1"/>
  <c r="M106" i="2" s="1"/>
  <c r="B36" i="1"/>
  <c r="C10" i="13"/>
  <c r="C27" i="13"/>
  <c r="CA93" i="2"/>
  <c r="CA41" i="2"/>
  <c r="CA147" i="2" s="1"/>
  <c r="D13" i="13"/>
  <c r="AM39" i="2"/>
  <c r="C85" i="2"/>
  <c r="I22" i="12"/>
  <c r="AD39" i="2"/>
  <c r="H93" i="2"/>
  <c r="H41" i="2"/>
  <c r="AF93" i="2"/>
  <c r="AF41" i="2"/>
  <c r="D29" i="4"/>
  <c r="BP93" i="2"/>
  <c r="BP41" i="2"/>
  <c r="BP147" i="2" s="1"/>
  <c r="I23" i="12"/>
  <c r="BT107" i="12"/>
  <c r="I24" i="12" s="1"/>
  <c r="CC147" i="2"/>
  <c r="BD93" i="2"/>
  <c r="BD41" i="2"/>
  <c r="BW147" i="2"/>
  <c r="O39" i="2"/>
  <c r="B21" i="12"/>
  <c r="C33" i="4"/>
  <c r="C35" i="4" s="1"/>
  <c r="AK106" i="12"/>
  <c r="B105" i="12"/>
  <c r="D22" i="12"/>
  <c r="B22" i="12" s="1"/>
  <c r="B66" i="12" s="1"/>
  <c r="AU93" i="2"/>
  <c r="AU41" i="2"/>
  <c r="AX93" i="2"/>
  <c r="AX41" i="2"/>
  <c r="BX93" i="2"/>
  <c r="BX41" i="2"/>
  <c r="BX147" i="2" s="1"/>
  <c r="D101" i="2"/>
  <c r="D102" i="2" s="1"/>
  <c r="E99" i="2" s="1"/>
  <c r="E112" i="2"/>
  <c r="E115" i="2" s="1"/>
  <c r="C23" i="12"/>
  <c r="C107" i="12"/>
  <c r="C24" i="12" s="1"/>
  <c r="D127" i="2"/>
  <c r="E20" i="11"/>
  <c r="E82" i="2" s="1"/>
  <c r="E27" i="4" s="1"/>
  <c r="E28" i="4" s="1"/>
  <c r="X106" i="12"/>
  <c r="P15" i="3"/>
  <c r="AS93" i="2"/>
  <c r="Z15" i="3"/>
  <c r="BW93" i="2"/>
  <c r="CC93" i="2"/>
  <c r="AE39" i="2"/>
  <c r="BI39" i="2"/>
  <c r="U15" i="3" s="1"/>
  <c r="BQ39" i="2"/>
  <c r="E26" i="11"/>
  <c r="E27" i="11" s="1"/>
  <c r="F25" i="11" s="1"/>
  <c r="B106" i="12"/>
  <c r="B107" i="12" s="1"/>
  <c r="D27" i="4"/>
  <c r="D28" i="4" s="1"/>
  <c r="D23" i="12"/>
  <c r="L107" i="12"/>
  <c r="D24" i="12" s="1"/>
  <c r="E24" i="11"/>
  <c r="F22" i="11" s="1"/>
  <c r="BT41" i="2"/>
  <c r="B64" i="12"/>
  <c r="B65" i="12" s="1"/>
  <c r="B68" i="12"/>
  <c r="BC93" i="2"/>
  <c r="BC41" i="2"/>
  <c r="G22" i="12"/>
  <c r="J23" i="12"/>
  <c r="CF107" i="12"/>
  <c r="J24" i="12" s="1"/>
  <c r="AA15" i="3"/>
  <c r="BZ93" i="2"/>
  <c r="BB93" i="2"/>
  <c r="AG93" i="2"/>
  <c r="H22" i="12"/>
  <c r="AV106" i="12"/>
  <c r="BI106" i="12"/>
  <c r="C40" i="4"/>
  <c r="C41" i="4" s="1"/>
  <c r="C42" i="4" s="1"/>
  <c r="D6" i="13"/>
  <c r="AA92" i="2"/>
  <c r="AY92" i="2"/>
  <c r="C39" i="2"/>
  <c r="X39" i="2"/>
  <c r="C125" i="2"/>
  <c r="D121" i="2" s="1"/>
  <c r="S15" i="3" l="1"/>
  <c r="R93" i="2"/>
  <c r="D41" i="2"/>
  <c r="AJ41" i="2"/>
  <c r="AH41" i="2"/>
  <c r="L16" i="3" s="1"/>
  <c r="AN41" i="2"/>
  <c r="AN147" i="2" s="1"/>
  <c r="AB15" i="3"/>
  <c r="AJ93" i="2"/>
  <c r="AH93" i="2"/>
  <c r="G15" i="3"/>
  <c r="B67" i="12"/>
  <c r="B69" i="12" s="1"/>
  <c r="V15" i="3"/>
  <c r="U93" i="2"/>
  <c r="F15" i="1"/>
  <c r="F42" i="5" s="1"/>
  <c r="H15" i="3"/>
  <c r="F41" i="2"/>
  <c r="F147" i="2" s="1"/>
  <c r="CE41" i="2"/>
  <c r="CE147" i="2" s="1"/>
  <c r="H15" i="1"/>
  <c r="H42" i="5" s="1"/>
  <c r="AI41" i="2"/>
  <c r="L17" i="3" s="1"/>
  <c r="BT93" i="2"/>
  <c r="F26" i="11"/>
  <c r="F117" i="2"/>
  <c r="F120" i="2"/>
  <c r="G116" i="2" s="1"/>
  <c r="F111" i="2"/>
  <c r="E100" i="2"/>
  <c r="B15" i="3"/>
  <c r="C93" i="2"/>
  <c r="B15" i="1"/>
  <c r="C41" i="2"/>
  <c r="BC147" i="2"/>
  <c r="BC42" i="2"/>
  <c r="E21" i="11"/>
  <c r="F19" i="11" s="1"/>
  <c r="BD147" i="2"/>
  <c r="BD42" i="2"/>
  <c r="E29" i="4"/>
  <c r="N15" i="3"/>
  <c r="AM93" i="2"/>
  <c r="AM41" i="2"/>
  <c r="E16" i="1" s="1"/>
  <c r="E43" i="5" s="1"/>
  <c r="S17" i="3"/>
  <c r="E15" i="1"/>
  <c r="AY147" i="2"/>
  <c r="R16" i="3"/>
  <c r="AY42" i="2"/>
  <c r="R17" i="3"/>
  <c r="BH147" i="2"/>
  <c r="G16" i="1"/>
  <c r="G43" i="5" s="1"/>
  <c r="AC147" i="2"/>
  <c r="AC42" i="2"/>
  <c r="AA16" i="3"/>
  <c r="F15" i="3"/>
  <c r="O93" i="2"/>
  <c r="O41" i="2"/>
  <c r="C17" i="1" s="1"/>
  <c r="AF147" i="2"/>
  <c r="AF42" i="2"/>
  <c r="AN42" i="2"/>
  <c r="F24" i="11"/>
  <c r="G22" i="11" s="1"/>
  <c r="F23" i="11"/>
  <c r="AX147" i="2"/>
  <c r="AX42" i="2"/>
  <c r="AW147" i="2"/>
  <c r="AW42" i="2"/>
  <c r="G15" i="1"/>
  <c r="G42" i="5" s="1"/>
  <c r="Q16" i="3"/>
  <c r="AV147" i="2"/>
  <c r="F16" i="1"/>
  <c r="F43" i="5" s="1"/>
  <c r="Q17" i="3"/>
  <c r="AV42" i="2"/>
  <c r="F17" i="1"/>
  <c r="BI107" i="12"/>
  <c r="H24" i="12" s="1"/>
  <c r="H23" i="12"/>
  <c r="AK107" i="12"/>
  <c r="F24" i="12" s="1"/>
  <c r="F23" i="12"/>
  <c r="AB16" i="3"/>
  <c r="H147" i="2"/>
  <c r="H42" i="2"/>
  <c r="C94" i="2"/>
  <c r="C87" i="2"/>
  <c r="S16" i="3"/>
  <c r="W16" i="3"/>
  <c r="BN147" i="2"/>
  <c r="W147" i="2"/>
  <c r="W42" i="2"/>
  <c r="AK147" i="2"/>
  <c r="AK42" i="2"/>
  <c r="Q147" i="2"/>
  <c r="Q42" i="2"/>
  <c r="P147" i="2"/>
  <c r="P42" i="2"/>
  <c r="AR147" i="2"/>
  <c r="AR42" i="2"/>
  <c r="D147" i="2"/>
  <c r="D42" i="2"/>
  <c r="BA147" i="2"/>
  <c r="BA42" i="2"/>
  <c r="AQ147" i="2"/>
  <c r="AQ42" i="2"/>
  <c r="H16" i="3"/>
  <c r="U147" i="2"/>
  <c r="H17" i="3"/>
  <c r="U42" i="2"/>
  <c r="D122" i="2"/>
  <c r="D124" i="2" s="1"/>
  <c r="D84" i="2" s="1"/>
  <c r="G23" i="12"/>
  <c r="AV107" i="12"/>
  <c r="G24" i="12" s="1"/>
  <c r="X15" i="3"/>
  <c r="BQ93" i="2"/>
  <c r="BQ41" i="2"/>
  <c r="D129" i="2"/>
  <c r="D83" i="2" s="1"/>
  <c r="AU147" i="2"/>
  <c r="AU42" i="2"/>
  <c r="E16" i="3"/>
  <c r="L147" i="2"/>
  <c r="L42" i="2"/>
  <c r="E17" i="3"/>
  <c r="N147" i="2"/>
  <c r="N42" i="2"/>
  <c r="V147" i="2"/>
  <c r="V42" i="2"/>
  <c r="D16" i="3"/>
  <c r="I147" i="2"/>
  <c r="D17" i="3"/>
  <c r="I42" i="2"/>
  <c r="P17" i="3"/>
  <c r="AL147" i="2"/>
  <c r="AL42" i="2"/>
  <c r="O16" i="3"/>
  <c r="AP147" i="2"/>
  <c r="AP42" i="2"/>
  <c r="O17" i="3"/>
  <c r="Z147" i="2"/>
  <c r="Z42" i="2"/>
  <c r="J147" i="2"/>
  <c r="J42" i="2"/>
  <c r="R147" i="2"/>
  <c r="G16" i="3"/>
  <c r="R42" i="2"/>
  <c r="G17" i="3"/>
  <c r="B28" i="3"/>
  <c r="Z16" i="3"/>
  <c r="K15" i="3"/>
  <c r="AD93" i="2"/>
  <c r="AD41" i="2"/>
  <c r="C15" i="1"/>
  <c r="AO147" i="2"/>
  <c r="AO42" i="2"/>
  <c r="J16" i="3"/>
  <c r="AA147" i="2"/>
  <c r="AA42" i="2"/>
  <c r="J17" i="3"/>
  <c r="BF147" i="2"/>
  <c r="BF42" i="2"/>
  <c r="AB147" i="2"/>
  <c r="AB42" i="2"/>
  <c r="E147" i="2"/>
  <c r="E42" i="2"/>
  <c r="AZ147" i="2"/>
  <c r="AZ42" i="2"/>
  <c r="BI93" i="2"/>
  <c r="BI41" i="2"/>
  <c r="BI147" i="2" s="1"/>
  <c r="I15" i="3"/>
  <c r="X93" i="2"/>
  <c r="D15" i="1"/>
  <c r="X41" i="2"/>
  <c r="AE93" i="2"/>
  <c r="AE41" i="2"/>
  <c r="V16" i="3"/>
  <c r="BK147" i="2"/>
  <c r="T147" i="2"/>
  <c r="T42" i="2"/>
  <c r="G147" i="2"/>
  <c r="G42" i="2"/>
  <c r="AT147" i="2"/>
  <c r="AT42" i="2"/>
  <c r="K147" i="2"/>
  <c r="K42" i="2"/>
  <c r="D10" i="13"/>
  <c r="D27" i="13"/>
  <c r="Y16" i="3"/>
  <c r="BT147" i="2"/>
  <c r="H16" i="1"/>
  <c r="H43" i="5" s="1"/>
  <c r="AI147" i="2"/>
  <c r="AI42" i="2"/>
  <c r="D153" i="2"/>
  <c r="C36" i="4"/>
  <c r="C45" i="4"/>
  <c r="C46" i="4" s="1"/>
  <c r="M147" i="2"/>
  <c r="M42" i="2"/>
  <c r="E23" i="12"/>
  <c r="X107" i="12"/>
  <c r="E24" i="12" s="1"/>
  <c r="B24" i="12" s="1"/>
  <c r="B23" i="12"/>
  <c r="T16" i="3"/>
  <c r="BE147" i="2"/>
  <c r="T17" i="3"/>
  <c r="BE42" i="2"/>
  <c r="CF147" i="2"/>
  <c r="AC16" i="3"/>
  <c r="I16" i="1"/>
  <c r="I43" i="5" s="1"/>
  <c r="M16" i="3"/>
  <c r="AJ147" i="2"/>
  <c r="M17" i="3"/>
  <c r="E17" i="1"/>
  <c r="AJ42" i="2"/>
  <c r="P16" i="3"/>
  <c r="S147" i="2"/>
  <c r="S42" i="2"/>
  <c r="AH147" i="2"/>
  <c r="AH42" i="2"/>
  <c r="Y147" i="2"/>
  <c r="Y42" i="2"/>
  <c r="U16" i="3" l="1"/>
  <c r="F42" i="2"/>
  <c r="D125" i="2"/>
  <c r="E121" i="2" s="1"/>
  <c r="C17" i="3"/>
  <c r="C95" i="2"/>
  <c r="C96" i="2" s="1"/>
  <c r="C16" i="3"/>
  <c r="E101" i="2"/>
  <c r="E153" i="2" s="1"/>
  <c r="E122" i="2"/>
  <c r="E124" i="2" s="1"/>
  <c r="B42" i="5"/>
  <c r="B101" i="5"/>
  <c r="G117" i="2"/>
  <c r="G120" i="2" s="1"/>
  <c r="H116" i="2" s="1"/>
  <c r="D40" i="4"/>
  <c r="D41" i="4" s="1"/>
  <c r="D42" i="4" s="1"/>
  <c r="G23" i="11"/>
  <c r="G24" i="11" s="1"/>
  <c r="H22" i="11" s="1"/>
  <c r="F112" i="2"/>
  <c r="F115" i="2" s="1"/>
  <c r="G111" i="2" s="1"/>
  <c r="B16" i="3"/>
  <c r="C147" i="2"/>
  <c r="B16" i="1"/>
  <c r="B43" i="5" s="1"/>
  <c r="B17" i="1"/>
  <c r="B17" i="3"/>
  <c r="C42" i="2"/>
  <c r="C42" i="5"/>
  <c r="C101" i="5"/>
  <c r="F20" i="11"/>
  <c r="F82" i="2" s="1"/>
  <c r="D42" i="5"/>
  <c r="D101" i="5"/>
  <c r="K16" i="3"/>
  <c r="AD147" i="2"/>
  <c r="AD42" i="2"/>
  <c r="K17" i="3"/>
  <c r="D130" i="2"/>
  <c r="E126" i="2" s="1"/>
  <c r="E42" i="5"/>
  <c r="E101" i="5"/>
  <c r="AE147" i="2"/>
  <c r="AE42" i="2"/>
  <c r="N16" i="3"/>
  <c r="AM147" i="2"/>
  <c r="AM42" i="2"/>
  <c r="N17" i="3"/>
  <c r="D33" i="4"/>
  <c r="D35" i="4" s="1"/>
  <c r="D85" i="2"/>
  <c r="F16" i="3"/>
  <c r="O147" i="2"/>
  <c r="F17" i="3"/>
  <c r="O42" i="2"/>
  <c r="C16" i="1"/>
  <c r="C43" i="5" s="1"/>
  <c r="X16" i="3"/>
  <c r="BQ147" i="2"/>
  <c r="D36" i="4"/>
  <c r="C152" i="2"/>
  <c r="C156" i="2" s="1"/>
  <c r="D151" i="2" s="1"/>
  <c r="I16" i="3"/>
  <c r="X147" i="2"/>
  <c r="D16" i="1"/>
  <c r="D43" i="5" s="1"/>
  <c r="X42" i="2"/>
  <c r="D17" i="1"/>
  <c r="I17" i="3"/>
  <c r="F27" i="11"/>
  <c r="G25" i="11" s="1"/>
  <c r="E102" i="2" l="1"/>
  <c r="B33" i="3"/>
  <c r="D45" i="4"/>
  <c r="D46" i="4" s="1"/>
  <c r="H23" i="11"/>
  <c r="H117" i="2"/>
  <c r="H120" i="2" s="1"/>
  <c r="I116" i="2" s="1"/>
  <c r="E84" i="2"/>
  <c r="E125" i="2"/>
  <c r="G115" i="2"/>
  <c r="H111" i="2" s="1"/>
  <c r="G112" i="2"/>
  <c r="F27" i="4"/>
  <c r="F28" i="4" s="1"/>
  <c r="E127" i="2"/>
  <c r="F21" i="11"/>
  <c r="G19" i="11" s="1"/>
  <c r="C148" i="2"/>
  <c r="D146" i="2" s="1"/>
  <c r="C161" i="2"/>
  <c r="D94" i="2"/>
  <c r="D95" i="2" s="1"/>
  <c r="D96" i="2" s="1"/>
  <c r="D87" i="2"/>
  <c r="G26" i="11"/>
  <c r="B34" i="3" l="1"/>
  <c r="F99" i="2"/>
  <c r="F100" i="2" s="1"/>
  <c r="I117" i="2"/>
  <c r="I120" i="2" s="1"/>
  <c r="J116" i="2" s="1"/>
  <c r="D152" i="2"/>
  <c r="D156" i="2" s="1"/>
  <c r="E151" i="2" s="1"/>
  <c r="F121" i="2"/>
  <c r="H112" i="2"/>
  <c r="H115" i="2" s="1"/>
  <c r="D159" i="2"/>
  <c r="D148" i="2"/>
  <c r="E146" i="2" s="1"/>
  <c r="G27" i="11"/>
  <c r="H25" i="11" s="1"/>
  <c r="E129" i="2"/>
  <c r="E83" i="2" s="1"/>
  <c r="E40" i="4"/>
  <c r="E41" i="4" s="1"/>
  <c r="E42" i="4" s="1"/>
  <c r="E85" i="2"/>
  <c r="B30" i="3"/>
  <c r="F101" i="2"/>
  <c r="G20" i="11"/>
  <c r="G82" i="2" s="1"/>
  <c r="F29" i="4"/>
  <c r="H24" i="11"/>
  <c r="I22" i="11" s="1"/>
  <c r="I111" i="2" l="1"/>
  <c r="J117" i="2"/>
  <c r="J120" i="2" s="1"/>
  <c r="K116" i="2" s="1"/>
  <c r="H26" i="11"/>
  <c r="H27" i="11"/>
  <c r="I25" i="11" s="1"/>
  <c r="G21" i="11"/>
  <c r="H19" i="11" s="1"/>
  <c r="G27" i="4"/>
  <c r="G28" i="4" s="1"/>
  <c r="G29" i="4" s="1"/>
  <c r="E94" i="2"/>
  <c r="E95" i="2" s="1"/>
  <c r="E96" i="2" s="1"/>
  <c r="E87" i="2"/>
  <c r="B20" i="3"/>
  <c r="F153" i="2"/>
  <c r="E159" i="2"/>
  <c r="E148" i="2"/>
  <c r="F102" i="2"/>
  <c r="G99" i="2" s="1"/>
  <c r="I23" i="11"/>
  <c r="E33" i="4"/>
  <c r="E35" i="4" s="1"/>
  <c r="B29" i="3"/>
  <c r="D161" i="2"/>
  <c r="F122" i="2"/>
  <c r="F124" i="2" s="1"/>
  <c r="F84" i="2" s="1"/>
  <c r="E130" i="2"/>
  <c r="F125" i="2" l="1"/>
  <c r="G121" i="2" s="1"/>
  <c r="K117" i="2"/>
  <c r="K120" i="2" s="1"/>
  <c r="L116" i="2" s="1"/>
  <c r="G122" i="2"/>
  <c r="G124" i="2" s="1"/>
  <c r="G84" i="2" s="1"/>
  <c r="B23" i="3"/>
  <c r="I26" i="11"/>
  <c r="E152" i="2"/>
  <c r="E156" i="2" s="1"/>
  <c r="B21" i="3"/>
  <c r="G101" i="2"/>
  <c r="G100" i="2"/>
  <c r="B42" i="3"/>
  <c r="F146" i="2"/>
  <c r="F40" i="4"/>
  <c r="F41" i="4" s="1"/>
  <c r="F42" i="4" s="1"/>
  <c r="I112" i="2"/>
  <c r="I115" i="2" s="1"/>
  <c r="J111" i="2" s="1"/>
  <c r="E45" i="4"/>
  <c r="E46" i="4" s="1"/>
  <c r="E36" i="4"/>
  <c r="F126" i="2"/>
  <c r="B38" i="3"/>
  <c r="I24" i="11"/>
  <c r="J22" i="11" s="1"/>
  <c r="H20" i="11"/>
  <c r="H82" i="2" s="1"/>
  <c r="E161" i="2" l="1"/>
  <c r="B45" i="3" s="1"/>
  <c r="J112" i="2"/>
  <c r="J115" i="2"/>
  <c r="K111" i="2" s="1"/>
  <c r="G40" i="4"/>
  <c r="G41" i="4" s="1"/>
  <c r="G42" i="4" s="1"/>
  <c r="L117" i="2"/>
  <c r="L120" i="2" s="1"/>
  <c r="M116" i="2" s="1"/>
  <c r="G153" i="2"/>
  <c r="F127" i="2"/>
  <c r="F129" i="2" s="1"/>
  <c r="H27" i="4"/>
  <c r="H28" i="4" s="1"/>
  <c r="C28" i="3"/>
  <c r="B43" i="3"/>
  <c r="F151" i="2"/>
  <c r="G125" i="2"/>
  <c r="H121" i="2" s="1"/>
  <c r="G102" i="2"/>
  <c r="H99" i="2" s="1"/>
  <c r="H21" i="11"/>
  <c r="I19" i="11" s="1"/>
  <c r="J23" i="11"/>
  <c r="J24" i="11" s="1"/>
  <c r="K22" i="11" s="1"/>
  <c r="F159" i="2"/>
  <c r="F148" i="2"/>
  <c r="G146" i="2" s="1"/>
  <c r="I27" i="11"/>
  <c r="J25" i="11" s="1"/>
  <c r="K23" i="11" l="1"/>
  <c r="K24" i="11" s="1"/>
  <c r="L22" i="11" s="1"/>
  <c r="M117" i="2"/>
  <c r="M120" i="2" s="1"/>
  <c r="N116" i="2" s="1"/>
  <c r="F83" i="2"/>
  <c r="F130" i="2"/>
  <c r="G126" i="2" s="1"/>
  <c r="I20" i="11"/>
  <c r="I82" i="2" s="1"/>
  <c r="H122" i="2"/>
  <c r="H124" i="2" s="1"/>
  <c r="J26" i="11"/>
  <c r="J27" i="11" s="1"/>
  <c r="K25" i="11" s="1"/>
  <c r="G148" i="2"/>
  <c r="H146" i="2" s="1"/>
  <c r="H29" i="4"/>
  <c r="H100" i="2"/>
  <c r="K112" i="2"/>
  <c r="K115" i="2" s="1"/>
  <c r="I21" i="11" l="1"/>
  <c r="J19" i="11" s="1"/>
  <c r="H84" i="2"/>
  <c r="H125" i="2"/>
  <c r="L111" i="2"/>
  <c r="N117" i="2"/>
  <c r="N120" i="2" s="1"/>
  <c r="O116" i="2" s="1"/>
  <c r="L24" i="11"/>
  <c r="M22" i="11" s="1"/>
  <c r="L23" i="11"/>
  <c r="F33" i="4"/>
  <c r="F35" i="4" s="1"/>
  <c r="F85" i="2"/>
  <c r="J20" i="11"/>
  <c r="J82" i="2" s="1"/>
  <c r="J21" i="11"/>
  <c r="K19" i="11" s="1"/>
  <c r="K26" i="11"/>
  <c r="K27" i="11" s="1"/>
  <c r="L25" i="11" s="1"/>
  <c r="H101" i="2"/>
  <c r="H102" i="2" s="1"/>
  <c r="G127" i="2"/>
  <c r="G129" i="2" s="1"/>
  <c r="H148" i="2"/>
  <c r="I27" i="4"/>
  <c r="I28" i="4" s="1"/>
  <c r="I29" i="4" s="1"/>
  <c r="G83" i="2" l="1"/>
  <c r="G130" i="2"/>
  <c r="H126" i="2" s="1"/>
  <c r="L26" i="11"/>
  <c r="L27" i="11" s="1"/>
  <c r="M25" i="11" s="1"/>
  <c r="K20" i="11"/>
  <c r="K82" i="2" s="1"/>
  <c r="F94" i="2"/>
  <c r="F95" i="2" s="1"/>
  <c r="F96" i="2" s="1"/>
  <c r="F87" i="2"/>
  <c r="J27" i="4"/>
  <c r="J28" i="4" s="1"/>
  <c r="L112" i="2"/>
  <c r="L115" i="2"/>
  <c r="M111" i="2" s="1"/>
  <c r="O117" i="2"/>
  <c r="O120" i="2" s="1"/>
  <c r="P116" i="2" s="1"/>
  <c r="H153" i="2"/>
  <c r="C33" i="3"/>
  <c r="F45" i="4"/>
  <c r="F46" i="4" s="1"/>
  <c r="F36" i="4"/>
  <c r="C42" i="3"/>
  <c r="I146" i="2"/>
  <c r="C34" i="3"/>
  <c r="I99" i="2"/>
  <c r="I121" i="2"/>
  <c r="B28" i="1"/>
  <c r="M23" i="11"/>
  <c r="H40" i="4"/>
  <c r="H41" i="4" s="1"/>
  <c r="H42" i="4" s="1"/>
  <c r="C30" i="3"/>
  <c r="P117" i="2" l="1"/>
  <c r="P120" i="2" s="1"/>
  <c r="Q116" i="2" s="1"/>
  <c r="K27" i="4"/>
  <c r="K28" i="4" s="1"/>
  <c r="I148" i="2"/>
  <c r="J146" i="2" s="1"/>
  <c r="K21" i="11"/>
  <c r="L19" i="11" s="1"/>
  <c r="M26" i="11"/>
  <c r="M112" i="2"/>
  <c r="M115" i="2"/>
  <c r="N111" i="2" s="1"/>
  <c r="I122" i="2"/>
  <c r="I124" i="2" s="1"/>
  <c r="D28" i="3"/>
  <c r="M24" i="11"/>
  <c r="N22" i="11" s="1"/>
  <c r="H127" i="2"/>
  <c r="I100" i="2"/>
  <c r="I101" i="2"/>
  <c r="J29" i="4"/>
  <c r="F152" i="2"/>
  <c r="G33" i="4"/>
  <c r="G35" i="4" s="1"/>
  <c r="G45" i="4" s="1"/>
  <c r="G46" i="4" s="1"/>
  <c r="G85" i="2"/>
  <c r="I102" i="2" l="1"/>
  <c r="J99" i="2" s="1"/>
  <c r="J100" i="2"/>
  <c r="I84" i="2"/>
  <c r="I125" i="2"/>
  <c r="J121" i="2" s="1"/>
  <c r="I153" i="2"/>
  <c r="G94" i="2"/>
  <c r="G95" i="2" s="1"/>
  <c r="G96" i="2" s="1"/>
  <c r="G87" i="2"/>
  <c r="L21" i="11"/>
  <c r="M19" i="11" s="1"/>
  <c r="L20" i="11"/>
  <c r="L82" i="2" s="1"/>
  <c r="N23" i="11"/>
  <c r="N112" i="2"/>
  <c r="N115" i="2" s="1"/>
  <c r="O111" i="2" s="1"/>
  <c r="G36" i="4"/>
  <c r="M27" i="11"/>
  <c r="N25" i="11" s="1"/>
  <c r="F156" i="2"/>
  <c r="G151" i="2" s="1"/>
  <c r="F161" i="2"/>
  <c r="H129" i="2"/>
  <c r="H83" i="2" s="1"/>
  <c r="J148" i="2"/>
  <c r="K146" i="2" s="1"/>
  <c r="Q117" i="2"/>
  <c r="Q120" i="2"/>
  <c r="R116" i="2" s="1"/>
  <c r="K29" i="4"/>
  <c r="O112" i="2" l="1"/>
  <c r="O115" i="2" s="1"/>
  <c r="P111" i="2" s="1"/>
  <c r="R117" i="2"/>
  <c r="R120" i="2" s="1"/>
  <c r="S116" i="2" s="1"/>
  <c r="G152" i="2"/>
  <c r="G156" i="2" s="1"/>
  <c r="H151" i="2" s="1"/>
  <c r="M20" i="11"/>
  <c r="M82" i="2" s="1"/>
  <c r="K148" i="2"/>
  <c r="I40" i="4"/>
  <c r="I41" i="4" s="1"/>
  <c r="I42" i="4" s="1"/>
  <c r="J101" i="2"/>
  <c r="J102" i="2" s="1"/>
  <c r="K99" i="2" s="1"/>
  <c r="J122" i="2"/>
  <c r="H33" i="4"/>
  <c r="H35" i="4" s="1"/>
  <c r="H45" i="4" s="1"/>
  <c r="H46" i="4" s="1"/>
  <c r="H85" i="2"/>
  <c r="C29" i="3"/>
  <c r="N26" i="11"/>
  <c r="N27" i="11" s="1"/>
  <c r="O25" i="11" s="1"/>
  <c r="N24" i="11"/>
  <c r="O22" i="11" s="1"/>
  <c r="G159" i="2"/>
  <c r="L27" i="4"/>
  <c r="L28" i="4" s="1"/>
  <c r="H130" i="2"/>
  <c r="J124" i="2" l="1"/>
  <c r="J84" i="2" s="1"/>
  <c r="J40" i="4" s="1"/>
  <c r="J41" i="4" s="1"/>
  <c r="J42" i="4" s="1"/>
  <c r="K100" i="2"/>
  <c r="K101" i="2"/>
  <c r="K153" i="2" s="1"/>
  <c r="H159" i="2"/>
  <c r="S117" i="2"/>
  <c r="S120" i="2" s="1"/>
  <c r="T116" i="2" s="1"/>
  <c r="P112" i="2"/>
  <c r="P115" i="2" s="1"/>
  <c r="Q111" i="2" s="1"/>
  <c r="G161" i="2"/>
  <c r="H36" i="4"/>
  <c r="D42" i="3"/>
  <c r="L146" i="2"/>
  <c r="B42" i="1"/>
  <c r="H94" i="2"/>
  <c r="H95" i="2" s="1"/>
  <c r="H96" i="2" s="1"/>
  <c r="H87" i="2"/>
  <c r="C20" i="3"/>
  <c r="O23" i="11"/>
  <c r="O26" i="11"/>
  <c r="O27" i="11" s="1"/>
  <c r="P25" i="11" s="1"/>
  <c r="L29" i="4"/>
  <c r="M27" i="4"/>
  <c r="M28" i="4" s="1"/>
  <c r="I126" i="2"/>
  <c r="C38" i="3"/>
  <c r="J153" i="2"/>
  <c r="B33" i="1"/>
  <c r="M21" i="11"/>
  <c r="N19" i="11" s="1"/>
  <c r="D33" i="3" l="1"/>
  <c r="K102" i="2"/>
  <c r="B34" i="1" s="1"/>
  <c r="J125" i="2"/>
  <c r="K121" i="2" s="1"/>
  <c r="T117" i="2"/>
  <c r="T120" i="2" s="1"/>
  <c r="U116" i="2" s="1"/>
  <c r="Q112" i="2"/>
  <c r="Q115" i="2" s="1"/>
  <c r="R111" i="2" s="1"/>
  <c r="D34" i="3"/>
  <c r="L99" i="2"/>
  <c r="M29" i="4"/>
  <c r="P26" i="11"/>
  <c r="P27" i="11" s="1"/>
  <c r="Q25" i="11" s="1"/>
  <c r="C23" i="3"/>
  <c r="B71" i="5"/>
  <c r="B52" i="5"/>
  <c r="L148" i="2"/>
  <c r="M146" i="2" s="1"/>
  <c r="N20" i="11"/>
  <c r="N82" i="2" s="1"/>
  <c r="H152" i="2"/>
  <c r="H156" i="2" s="1"/>
  <c r="C21" i="3"/>
  <c r="O24" i="11"/>
  <c r="P22" i="11" s="1"/>
  <c r="I127" i="2"/>
  <c r="I129" i="2" s="1"/>
  <c r="K122" i="2" l="1"/>
  <c r="Q26" i="11"/>
  <c r="Q27" i="11" s="1"/>
  <c r="R25" i="11" s="1"/>
  <c r="I83" i="2"/>
  <c r="I130" i="2"/>
  <c r="J126" i="2" s="1"/>
  <c r="R112" i="2"/>
  <c r="R115" i="2" s="1"/>
  <c r="S111" i="2" s="1"/>
  <c r="U117" i="2"/>
  <c r="U120" i="2" s="1"/>
  <c r="V116" i="2" s="1"/>
  <c r="N27" i="4"/>
  <c r="N28" i="4" s="1"/>
  <c r="E28" i="3"/>
  <c r="C43" i="3"/>
  <c r="I151" i="2"/>
  <c r="N21" i="11"/>
  <c r="O19" i="11" s="1"/>
  <c r="P23" i="11"/>
  <c r="N29" i="4"/>
  <c r="H161" i="2"/>
  <c r="C45" i="3" s="1"/>
  <c r="M148" i="2"/>
  <c r="N146" i="2" s="1"/>
  <c r="L100" i="2"/>
  <c r="L101" i="2"/>
  <c r="L102" i="2" l="1"/>
  <c r="M99" i="2" s="1"/>
  <c r="K124" i="2"/>
  <c r="K84" i="2" s="1"/>
  <c r="V117" i="2"/>
  <c r="V120" i="2" s="1"/>
  <c r="W116" i="2" s="1"/>
  <c r="S112" i="2"/>
  <c r="S115" i="2" s="1"/>
  <c r="T111" i="2" s="1"/>
  <c r="M100" i="2"/>
  <c r="L153" i="2"/>
  <c r="J127" i="2"/>
  <c r="J129" i="2" s="1"/>
  <c r="O20" i="11"/>
  <c r="O82" i="2" s="1"/>
  <c r="I33" i="4"/>
  <c r="I35" i="4" s="1"/>
  <c r="I85" i="2"/>
  <c r="P24" i="11"/>
  <c r="Q22" i="11" s="1"/>
  <c r="N148" i="2"/>
  <c r="I159" i="2"/>
  <c r="R26" i="11"/>
  <c r="R27" i="11" s="1"/>
  <c r="S25" i="11" s="1"/>
  <c r="B30" i="1" l="1"/>
  <c r="D30" i="3"/>
  <c r="K40" i="4"/>
  <c r="K41" i="4" s="1"/>
  <c r="K42" i="4" s="1"/>
  <c r="K125" i="2"/>
  <c r="L121" i="2" s="1"/>
  <c r="J83" i="2"/>
  <c r="J130" i="2"/>
  <c r="K126" i="2" s="1"/>
  <c r="M102" i="2"/>
  <c r="N99" i="2" s="1"/>
  <c r="T112" i="2"/>
  <c r="T115" i="2" s="1"/>
  <c r="U111" i="2" s="1"/>
  <c r="Q23" i="11"/>
  <c r="Q24" i="11" s="1"/>
  <c r="R22" i="11" s="1"/>
  <c r="M101" i="2"/>
  <c r="E42" i="3"/>
  <c r="O146" i="2"/>
  <c r="S26" i="11"/>
  <c r="S27" i="11" s="1"/>
  <c r="T25" i="11" s="1"/>
  <c r="I45" i="4"/>
  <c r="I46" i="4" s="1"/>
  <c r="I36" i="4"/>
  <c r="O27" i="4"/>
  <c r="O28" i="4" s="1"/>
  <c r="W117" i="2"/>
  <c r="W120" i="2" s="1"/>
  <c r="X116" i="2" s="1"/>
  <c r="I94" i="2"/>
  <c r="I95" i="2" s="1"/>
  <c r="I96" i="2" s="1"/>
  <c r="I87" i="2"/>
  <c r="O21" i="11"/>
  <c r="P19" i="11" s="1"/>
  <c r="L122" i="2" l="1"/>
  <c r="L124" i="2" s="1"/>
  <c r="L84" i="2" s="1"/>
  <c r="L40" i="4" s="1"/>
  <c r="L41" i="4" s="1"/>
  <c r="L42" i="4" s="1"/>
  <c r="R23" i="11"/>
  <c r="R24" i="11" s="1"/>
  <c r="S22" i="11" s="1"/>
  <c r="X117" i="2"/>
  <c r="X120" i="2" s="1"/>
  <c r="Y116" i="2" s="1"/>
  <c r="U112" i="2"/>
  <c r="U115" i="2" s="1"/>
  <c r="V111" i="2" s="1"/>
  <c r="T26" i="11"/>
  <c r="T27" i="11" s="1"/>
  <c r="U25" i="11" s="1"/>
  <c r="P20" i="11"/>
  <c r="P82" i="2" s="1"/>
  <c r="O148" i="2"/>
  <c r="P146" i="2" s="1"/>
  <c r="M153" i="2"/>
  <c r="I152" i="2"/>
  <c r="K127" i="2"/>
  <c r="N100" i="2"/>
  <c r="N101" i="2" s="1"/>
  <c r="N153" i="2" s="1"/>
  <c r="O29" i="4"/>
  <c r="J33" i="4"/>
  <c r="J35" i="4" s="1"/>
  <c r="J45" i="4" s="1"/>
  <c r="J46" i="4" s="1"/>
  <c r="J85" i="2"/>
  <c r="K129" i="2" l="1"/>
  <c r="K83" i="2" s="1"/>
  <c r="L125" i="2"/>
  <c r="M121" i="2" s="1"/>
  <c r="V112" i="2"/>
  <c r="V115" i="2" s="1"/>
  <c r="W111" i="2" s="1"/>
  <c r="Y117" i="2"/>
  <c r="Y120" i="2"/>
  <c r="Z116" i="2" s="1"/>
  <c r="U26" i="11"/>
  <c r="S23" i="11"/>
  <c r="P148" i="2"/>
  <c r="Q146" i="2" s="1"/>
  <c r="J36" i="4"/>
  <c r="P21" i="11"/>
  <c r="Q19" i="11" s="1"/>
  <c r="J94" i="2"/>
  <c r="J95" i="2" s="1"/>
  <c r="J96" i="2" s="1"/>
  <c r="J87" i="2"/>
  <c r="P27" i="4"/>
  <c r="P28" i="4" s="1"/>
  <c r="P29" i="4" s="1"/>
  <c r="I156" i="2"/>
  <c r="J151" i="2" s="1"/>
  <c r="I161" i="2"/>
  <c r="N102" i="2"/>
  <c r="K33" i="4"/>
  <c r="K35" i="4" s="1"/>
  <c r="K45" i="4" s="1"/>
  <c r="K46" i="4" s="1"/>
  <c r="K85" i="2"/>
  <c r="B20" i="1" s="1"/>
  <c r="B46" i="5" s="1"/>
  <c r="E33" i="3"/>
  <c r="M122" i="2" l="1"/>
  <c r="M124" i="2" s="1"/>
  <c r="M84" i="2" s="1"/>
  <c r="D29" i="3"/>
  <c r="B29" i="1"/>
  <c r="K130" i="2"/>
  <c r="W112" i="2"/>
  <c r="W115" i="2" s="1"/>
  <c r="J159" i="2"/>
  <c r="J161" i="2" s="1"/>
  <c r="K94" i="2"/>
  <c r="K95" i="2" s="1"/>
  <c r="K96" i="2" s="1"/>
  <c r="M107" i="2" s="1"/>
  <c r="K87" i="2"/>
  <c r="K152" i="2" s="1"/>
  <c r="N160" i="2"/>
  <c r="D23" i="3"/>
  <c r="B23" i="1"/>
  <c r="Q21" i="11"/>
  <c r="R19" i="11" s="1"/>
  <c r="Q20" i="11"/>
  <c r="Q82" i="2" s="1"/>
  <c r="Z117" i="2"/>
  <c r="Z120" i="2" s="1"/>
  <c r="AA116" i="2" s="1"/>
  <c r="D20" i="3"/>
  <c r="J152" i="2"/>
  <c r="J156" i="2" s="1"/>
  <c r="K151" i="2" s="1"/>
  <c r="B21" i="1"/>
  <c r="S24" i="11"/>
  <c r="T22" i="11" s="1"/>
  <c r="E34" i="3"/>
  <c r="O99" i="2"/>
  <c r="K36" i="4"/>
  <c r="Q148" i="2"/>
  <c r="U27" i="11"/>
  <c r="V25" i="11" s="1"/>
  <c r="M40" i="4" l="1"/>
  <c r="M41" i="4" s="1"/>
  <c r="M42" i="4" s="1"/>
  <c r="B38" i="1"/>
  <c r="L126" i="2"/>
  <c r="D38" i="3"/>
  <c r="M125" i="2"/>
  <c r="N121" i="2" s="1"/>
  <c r="AA117" i="2"/>
  <c r="AA120" i="2" s="1"/>
  <c r="AB116" i="2" s="1"/>
  <c r="X111" i="2"/>
  <c r="O100" i="2"/>
  <c r="O101" i="2" s="1"/>
  <c r="K156" i="2"/>
  <c r="K159" i="2"/>
  <c r="K161" i="2" s="1"/>
  <c r="Q27" i="4"/>
  <c r="Q28" i="4" s="1"/>
  <c r="F28" i="3"/>
  <c r="V26" i="11"/>
  <c r="R20" i="11"/>
  <c r="R82" i="2" s="1"/>
  <c r="R21" i="11"/>
  <c r="S19" i="11" s="1"/>
  <c r="M154" i="2"/>
  <c r="E35" i="3"/>
  <c r="C35" i="1"/>
  <c r="M108" i="2"/>
  <c r="N106" i="2" s="1"/>
  <c r="N108" i="2" s="1"/>
  <c r="T23" i="11"/>
  <c r="E44" i="3"/>
  <c r="C44" i="1"/>
  <c r="F42" i="3"/>
  <c r="R146" i="2"/>
  <c r="D21" i="3"/>
  <c r="L127" i="2" l="1"/>
  <c r="L129" i="2" s="1"/>
  <c r="L83" i="2" s="1"/>
  <c r="N122" i="2"/>
  <c r="N124" i="2" s="1"/>
  <c r="N84" i="2" s="1"/>
  <c r="O153" i="2"/>
  <c r="AB117" i="2"/>
  <c r="AB120" i="2" s="1"/>
  <c r="AC116" i="2" s="1"/>
  <c r="E36" i="3"/>
  <c r="O106" i="2"/>
  <c r="O108" i="2" s="1"/>
  <c r="P106" i="2" s="1"/>
  <c r="P108" i="2" s="1"/>
  <c r="Q106" i="2" s="1"/>
  <c r="Q108" i="2" s="1"/>
  <c r="R148" i="2"/>
  <c r="S146" i="2" s="1"/>
  <c r="O102" i="2"/>
  <c r="P99" i="2" s="1"/>
  <c r="L151" i="2"/>
  <c r="D43" i="3"/>
  <c r="B43" i="1"/>
  <c r="S20" i="11"/>
  <c r="S82" i="2" s="1"/>
  <c r="S21" i="11"/>
  <c r="T19" i="11" s="1"/>
  <c r="V27" i="11"/>
  <c r="W25" i="11" s="1"/>
  <c r="X112" i="2"/>
  <c r="X115" i="2" s="1"/>
  <c r="Y111" i="2" s="1"/>
  <c r="R27" i="4"/>
  <c r="R28" i="4" s="1"/>
  <c r="D45" i="3"/>
  <c r="B45" i="1"/>
  <c r="T24" i="11"/>
  <c r="U22" i="11" s="1"/>
  <c r="Q29" i="4"/>
  <c r="R29" i="4" s="1"/>
  <c r="N40" i="4" l="1"/>
  <c r="N41" i="4" s="1"/>
  <c r="N42" i="4" s="1"/>
  <c r="E30" i="3"/>
  <c r="L33" i="4"/>
  <c r="L35" i="4" s="1"/>
  <c r="L85" i="2"/>
  <c r="L130" i="2"/>
  <c r="M126" i="2" s="1"/>
  <c r="N125" i="2"/>
  <c r="O121" i="2" s="1"/>
  <c r="AC117" i="2"/>
  <c r="AC120" i="2" s="1"/>
  <c r="AD116" i="2" s="1"/>
  <c r="Y112" i="2"/>
  <c r="Y115" i="2" s="1"/>
  <c r="Z111" i="2" s="1"/>
  <c r="B72" i="5"/>
  <c r="B100" i="5"/>
  <c r="B102" i="5" s="1"/>
  <c r="B103" i="5" s="1"/>
  <c r="B50" i="5"/>
  <c r="U23" i="11"/>
  <c r="S148" i="2"/>
  <c r="T146" i="2" s="1"/>
  <c r="F36" i="3"/>
  <c r="R106" i="2"/>
  <c r="R108" i="2" s="1"/>
  <c r="S106" i="2" s="1"/>
  <c r="S108" i="2" s="1"/>
  <c r="T106" i="2" s="1"/>
  <c r="T108" i="2" s="1"/>
  <c r="L159" i="2"/>
  <c r="P100" i="2"/>
  <c r="P101" i="2" s="1"/>
  <c r="W26" i="11"/>
  <c r="W27" i="11" s="1"/>
  <c r="X25" i="11" s="1"/>
  <c r="T20" i="11"/>
  <c r="T82" i="2" s="1"/>
  <c r="S27" i="4"/>
  <c r="S28" i="4" s="1"/>
  <c r="S29" i="4" s="1"/>
  <c r="O122" i="2" l="1"/>
  <c r="O124" i="2"/>
  <c r="O84" i="2" s="1"/>
  <c r="O40" i="4" s="1"/>
  <c r="O41" i="4" s="1"/>
  <c r="O42" i="4" s="1"/>
  <c r="O125" i="2"/>
  <c r="P121" i="2" s="1"/>
  <c r="L94" i="2"/>
  <c r="L95" i="2" s="1"/>
  <c r="L96" i="2" s="1"/>
  <c r="L87" i="2"/>
  <c r="L152" i="2" s="1"/>
  <c r="L156" i="2" s="1"/>
  <c r="M151" i="2" s="1"/>
  <c r="L45" i="4"/>
  <c r="L46" i="4" s="1"/>
  <c r="L36" i="4"/>
  <c r="M127" i="2"/>
  <c r="M129" i="2" s="1"/>
  <c r="M83" i="2" s="1"/>
  <c r="P153" i="2"/>
  <c r="Z112" i="2"/>
  <c r="Z115" i="2" s="1"/>
  <c r="AA111" i="2" s="1"/>
  <c r="AD117" i="2"/>
  <c r="AD120" i="2" s="1"/>
  <c r="AE116" i="2" s="1"/>
  <c r="T27" i="4"/>
  <c r="T28" i="4" s="1"/>
  <c r="G28" i="3"/>
  <c r="T148" i="2"/>
  <c r="T21" i="11"/>
  <c r="U19" i="11" s="1"/>
  <c r="P102" i="2"/>
  <c r="Q99" i="2" s="1"/>
  <c r="U24" i="11"/>
  <c r="V22" i="11" s="1"/>
  <c r="X26" i="11"/>
  <c r="X27" i="11" s="1"/>
  <c r="Y25" i="11" s="1"/>
  <c r="G36" i="3"/>
  <c r="U106" i="2"/>
  <c r="U108" i="2" s="1"/>
  <c r="V106" i="2" s="1"/>
  <c r="V108" i="2" s="1"/>
  <c r="W106" i="2" s="1"/>
  <c r="W108" i="2" s="1"/>
  <c r="M159" i="2" l="1"/>
  <c r="P122" i="2"/>
  <c r="P124" i="2" s="1"/>
  <c r="P84" i="2" s="1"/>
  <c r="P125" i="2"/>
  <c r="Q121" i="2" s="1"/>
  <c r="M85" i="2"/>
  <c r="M33" i="4"/>
  <c r="M35" i="4" s="1"/>
  <c r="M45" i="4" s="1"/>
  <c r="M46" i="4" s="1"/>
  <c r="L161" i="2"/>
  <c r="M130" i="2"/>
  <c r="N126" i="2" s="1"/>
  <c r="AE117" i="2"/>
  <c r="AE120" i="2" s="1"/>
  <c r="AF116" i="2" s="1"/>
  <c r="U20" i="11"/>
  <c r="U82" i="2" s="1"/>
  <c r="U21" i="11"/>
  <c r="V19" i="11" s="1"/>
  <c r="H36" i="3"/>
  <c r="X106" i="2"/>
  <c r="X108" i="2" s="1"/>
  <c r="Y106" i="2" s="1"/>
  <c r="C36" i="1"/>
  <c r="AA112" i="2"/>
  <c r="AA115" i="2"/>
  <c r="AB111" i="2" s="1"/>
  <c r="G42" i="3"/>
  <c r="U146" i="2"/>
  <c r="V23" i="11"/>
  <c r="V24" i="11" s="1"/>
  <c r="W22" i="11" s="1"/>
  <c r="Y26" i="11"/>
  <c r="Y27" i="11" s="1"/>
  <c r="Z25" i="11" s="1"/>
  <c r="T29" i="4"/>
  <c r="Q100" i="2"/>
  <c r="Q101" i="2"/>
  <c r="M94" i="2" l="1"/>
  <c r="M95" i="2" s="1"/>
  <c r="M96" i="2" s="1"/>
  <c r="M87" i="2"/>
  <c r="M152" i="2" s="1"/>
  <c r="M156" i="2" s="1"/>
  <c r="N151" i="2" s="1"/>
  <c r="N159" i="2" s="1"/>
  <c r="P40" i="4"/>
  <c r="P41" i="4" s="1"/>
  <c r="P42" i="4" s="1"/>
  <c r="Q122" i="2"/>
  <c r="Q124" i="2" s="1"/>
  <c r="Q84" i="2" s="1"/>
  <c r="M36" i="4"/>
  <c r="N127" i="2"/>
  <c r="E38" i="3" s="1"/>
  <c r="M161" i="2"/>
  <c r="Q102" i="2"/>
  <c r="F34" i="3" s="1"/>
  <c r="Z26" i="11"/>
  <c r="Z27" i="11" s="1"/>
  <c r="AA25" i="11" s="1"/>
  <c r="AF117" i="2"/>
  <c r="AF120" i="2" s="1"/>
  <c r="AG116" i="2" s="1"/>
  <c r="Q153" i="2"/>
  <c r="F33" i="3"/>
  <c r="AB112" i="2"/>
  <c r="AB115" i="2"/>
  <c r="AC111" i="2" s="1"/>
  <c r="V20" i="11"/>
  <c r="V82" i="2" s="1"/>
  <c r="U27" i="4"/>
  <c r="U28" i="4" s="1"/>
  <c r="U148" i="2"/>
  <c r="V146" i="2" s="1"/>
  <c r="W23" i="11"/>
  <c r="W24" i="11"/>
  <c r="X22" i="11" s="1"/>
  <c r="Q40" i="4" l="1"/>
  <c r="Q41" i="4" s="1"/>
  <c r="Q42" i="4" s="1"/>
  <c r="F30" i="3"/>
  <c r="R99" i="2"/>
  <c r="Q125" i="2"/>
  <c r="R121" i="2" s="1"/>
  <c r="N129" i="2"/>
  <c r="N83" i="2" s="1"/>
  <c r="AG117" i="2"/>
  <c r="AG120" i="2" s="1"/>
  <c r="AH116" i="2" s="1"/>
  <c r="U29" i="4"/>
  <c r="R100" i="2"/>
  <c r="R101" i="2" s="1"/>
  <c r="AC112" i="2"/>
  <c r="AC115" i="2" s="1"/>
  <c r="AD111" i="2" s="1"/>
  <c r="V148" i="2"/>
  <c r="W146" i="2" s="1"/>
  <c r="V27" i="4"/>
  <c r="V28" i="4" s="1"/>
  <c r="V21" i="11"/>
  <c r="W19" i="11" s="1"/>
  <c r="X23" i="11"/>
  <c r="X24" i="11"/>
  <c r="Y22" i="11" s="1"/>
  <c r="AA26" i="11"/>
  <c r="AA27" i="11"/>
  <c r="AB25" i="11" s="1"/>
  <c r="R122" i="2" l="1"/>
  <c r="R124" i="2" s="1"/>
  <c r="R84" i="2" s="1"/>
  <c r="V29" i="4"/>
  <c r="N130" i="2"/>
  <c r="O126" i="2" s="1"/>
  <c r="N33" i="4"/>
  <c r="N35" i="4" s="1"/>
  <c r="N85" i="2"/>
  <c r="E29" i="3"/>
  <c r="AD112" i="2"/>
  <c r="AD115" i="2" s="1"/>
  <c r="AE111" i="2" s="1"/>
  <c r="R153" i="2"/>
  <c r="R102" i="2"/>
  <c r="S99" i="2" s="1"/>
  <c r="W20" i="11"/>
  <c r="W82" i="2" s="1"/>
  <c r="Y23" i="11"/>
  <c r="AH117" i="2"/>
  <c r="AH120" i="2" s="1"/>
  <c r="AI116" i="2" s="1"/>
  <c r="AB26" i="11"/>
  <c r="AB27" i="11" s="1"/>
  <c r="AC25" i="11" s="1"/>
  <c r="W148" i="2"/>
  <c r="R40" i="4" l="1"/>
  <c r="R41" i="4" s="1"/>
  <c r="R42" i="4" s="1"/>
  <c r="N45" i="4"/>
  <c r="N46" i="4" s="1"/>
  <c r="N36" i="4"/>
  <c r="O127" i="2"/>
  <c r="O129" i="2"/>
  <c r="O83" i="2" s="1"/>
  <c r="O130" i="2"/>
  <c r="P126" i="2" s="1"/>
  <c r="R125" i="2"/>
  <c r="S121" i="2" s="1"/>
  <c r="N94" i="2"/>
  <c r="N95" i="2" s="1"/>
  <c r="N96" i="2" s="1"/>
  <c r="E23" i="3" s="1"/>
  <c r="N87" i="2"/>
  <c r="E20" i="3"/>
  <c r="AE112" i="2"/>
  <c r="AE115" i="2" s="1"/>
  <c r="AF111" i="2" s="1"/>
  <c r="AI117" i="2"/>
  <c r="AI120" i="2" s="1"/>
  <c r="AJ116" i="2" s="1"/>
  <c r="W27" i="4"/>
  <c r="W28" i="4" s="1"/>
  <c r="C28" i="1"/>
  <c r="H28" i="3"/>
  <c r="S100" i="2"/>
  <c r="S101" i="2" s="1"/>
  <c r="Y24" i="11"/>
  <c r="Z22" i="11" s="1"/>
  <c r="H42" i="3"/>
  <c r="X146" i="2"/>
  <c r="C42" i="1"/>
  <c r="AC26" i="11"/>
  <c r="AC27" i="11" s="1"/>
  <c r="AD25" i="11" s="1"/>
  <c r="W21" i="11"/>
  <c r="X19" i="11" s="1"/>
  <c r="S122" i="2" l="1"/>
  <c r="S102" i="2"/>
  <c r="T99" i="2" s="1"/>
  <c r="O33" i="4"/>
  <c r="O35" i="4" s="1"/>
  <c r="O45" i="4" s="1"/>
  <c r="O46" i="4" s="1"/>
  <c r="O85" i="2"/>
  <c r="E21" i="3"/>
  <c r="N152" i="2"/>
  <c r="P127" i="2"/>
  <c r="P129" i="2"/>
  <c r="P83" i="2" s="1"/>
  <c r="AJ117" i="2"/>
  <c r="AJ120" i="2" s="1"/>
  <c r="AK116" i="2" s="1"/>
  <c r="T100" i="2"/>
  <c r="T101" i="2"/>
  <c r="T153" i="2" s="1"/>
  <c r="X20" i="11"/>
  <c r="X82" i="2" s="1"/>
  <c r="X21" i="11"/>
  <c r="Y19" i="11" s="1"/>
  <c r="W29" i="4"/>
  <c r="S153" i="2"/>
  <c r="G33" i="3"/>
  <c r="X148" i="2"/>
  <c r="Y146" i="2" s="1"/>
  <c r="AD26" i="11"/>
  <c r="C71" i="5"/>
  <c r="C52" i="5"/>
  <c r="Z23" i="11"/>
  <c r="Z24" i="11"/>
  <c r="AA22" i="11" s="1"/>
  <c r="AF112" i="2"/>
  <c r="AF115" i="2" s="1"/>
  <c r="AG111" i="2" s="1"/>
  <c r="N156" i="2" l="1"/>
  <c r="N161" i="2"/>
  <c r="E45" i="3" s="1"/>
  <c r="O87" i="2"/>
  <c r="O152" i="2" s="1"/>
  <c r="O94" i="2"/>
  <c r="O95" i="2" s="1"/>
  <c r="O96" i="2" s="1"/>
  <c r="O36" i="4"/>
  <c r="T102" i="2"/>
  <c r="G34" i="3" s="1"/>
  <c r="P85" i="2"/>
  <c r="P33" i="4"/>
  <c r="P35" i="4" s="1"/>
  <c r="P45" i="4" s="1"/>
  <c r="P46" i="4" s="1"/>
  <c r="P130" i="2"/>
  <c r="Q126" i="2" s="1"/>
  <c r="S124" i="2"/>
  <c r="S84" i="2" s="1"/>
  <c r="AG112" i="2"/>
  <c r="AG115" i="2" s="1"/>
  <c r="AH111" i="2" s="1"/>
  <c r="Y148" i="2"/>
  <c r="Z146" i="2" s="1"/>
  <c r="AK117" i="2"/>
  <c r="AK120" i="2" s="1"/>
  <c r="AL116" i="2" s="1"/>
  <c r="Y20" i="11"/>
  <c r="Y82" i="2" s="1"/>
  <c r="AD27" i="11"/>
  <c r="AE25" i="11" s="1"/>
  <c r="X27" i="4"/>
  <c r="X28" i="4" s="1"/>
  <c r="X29" i="4" s="1"/>
  <c r="AA23" i="11"/>
  <c r="AA24" i="11"/>
  <c r="AB22" i="11" s="1"/>
  <c r="P36" i="4" l="1"/>
  <c r="U99" i="2"/>
  <c r="S40" i="4"/>
  <c r="S41" i="4" s="1"/>
  <c r="S42" i="4" s="1"/>
  <c r="Q127" i="2"/>
  <c r="F38" i="3" s="1"/>
  <c r="O156" i="2"/>
  <c r="P151" i="2" s="1"/>
  <c r="P159" i="2" s="1"/>
  <c r="P161" i="2" s="1"/>
  <c r="Y21" i="11"/>
  <c r="Z19" i="11" s="1"/>
  <c r="P94" i="2"/>
  <c r="P95" i="2" s="1"/>
  <c r="P96" i="2" s="1"/>
  <c r="P87" i="2"/>
  <c r="P152" i="2" s="1"/>
  <c r="S125" i="2"/>
  <c r="T121" i="2" s="1"/>
  <c r="O151" i="2"/>
  <c r="O159" i="2" s="1"/>
  <c r="O161" i="2" s="1"/>
  <c r="E43" i="3"/>
  <c r="AH112" i="2"/>
  <c r="AH115" i="2" s="1"/>
  <c r="AI111" i="2" s="1"/>
  <c r="AL117" i="2"/>
  <c r="AL120" i="2"/>
  <c r="AM116" i="2" s="1"/>
  <c r="AB23" i="11"/>
  <c r="Z20" i="11"/>
  <c r="Z82" i="2" s="1"/>
  <c r="I28" i="3" s="1"/>
  <c r="Z21" i="11"/>
  <c r="AA19" i="11" s="1"/>
  <c r="Y27" i="4"/>
  <c r="Y28" i="4" s="1"/>
  <c r="Y29" i="4" s="1"/>
  <c r="Z148" i="2"/>
  <c r="U100" i="2"/>
  <c r="U101" i="2" s="1"/>
  <c r="AE26" i="11"/>
  <c r="AE27" i="11" s="1"/>
  <c r="AF25" i="11" s="1"/>
  <c r="Q129" i="2" l="1"/>
  <c r="T122" i="2"/>
  <c r="T124" i="2" s="1"/>
  <c r="T84" i="2" s="1"/>
  <c r="P156" i="2"/>
  <c r="Q151" i="2" s="1"/>
  <c r="Q159" i="2" s="1"/>
  <c r="U153" i="2"/>
  <c r="U102" i="2"/>
  <c r="V99" i="2" s="1"/>
  <c r="I42" i="3"/>
  <c r="AA146" i="2"/>
  <c r="AB24" i="11"/>
  <c r="AC22" i="11" s="1"/>
  <c r="AM117" i="2"/>
  <c r="AM120" i="2" s="1"/>
  <c r="AN116" i="2" s="1"/>
  <c r="AA20" i="11"/>
  <c r="AA82" i="2" s="1"/>
  <c r="AF26" i="11"/>
  <c r="Z27" i="4"/>
  <c r="Z28" i="4" s="1"/>
  <c r="Z29" i="4" s="1"/>
  <c r="AI112" i="2"/>
  <c r="AI115" i="2" s="1"/>
  <c r="T40" i="4" l="1"/>
  <c r="T41" i="4" s="1"/>
  <c r="T42" i="4" s="1"/>
  <c r="G30" i="3"/>
  <c r="T125" i="2"/>
  <c r="U121" i="2" s="1"/>
  <c r="AA21" i="11"/>
  <c r="AB19" i="11" s="1"/>
  <c r="AB20" i="11" s="1"/>
  <c r="AB82" i="2" s="1"/>
  <c r="Q83" i="2"/>
  <c r="Q130" i="2"/>
  <c r="R126" i="2" s="1"/>
  <c r="AJ111" i="2"/>
  <c r="AA27" i="4"/>
  <c r="AA28" i="4" s="1"/>
  <c r="AC23" i="11"/>
  <c r="V100" i="2"/>
  <c r="V101" i="2"/>
  <c r="AA148" i="2"/>
  <c r="AB146" i="2" s="1"/>
  <c r="AN117" i="2"/>
  <c r="AN120" i="2" s="1"/>
  <c r="AO116" i="2" s="1"/>
  <c r="AF27" i="11"/>
  <c r="AG25" i="11" s="1"/>
  <c r="R127" i="2" l="1"/>
  <c r="R129" i="2" s="1"/>
  <c r="Q33" i="4"/>
  <c r="Q35" i="4" s="1"/>
  <c r="Q85" i="2"/>
  <c r="F29" i="3"/>
  <c r="U122" i="2"/>
  <c r="V102" i="2"/>
  <c r="W99" i="2" s="1"/>
  <c r="W100" i="2"/>
  <c r="W101" i="2" s="1"/>
  <c r="AB27" i="4"/>
  <c r="AB28" i="4" s="1"/>
  <c r="AC24" i="11"/>
  <c r="AD22" i="11" s="1"/>
  <c r="AB148" i="2"/>
  <c r="AC146" i="2" s="1"/>
  <c r="AA29" i="4"/>
  <c r="AJ112" i="2"/>
  <c r="AJ115" i="2"/>
  <c r="AK111" i="2" s="1"/>
  <c r="AG26" i="11"/>
  <c r="AO117" i="2"/>
  <c r="AO120" i="2" s="1"/>
  <c r="AP116" i="2" s="1"/>
  <c r="AB21" i="11"/>
  <c r="AC19" i="11" s="1"/>
  <c r="V153" i="2"/>
  <c r="R83" i="2" l="1"/>
  <c r="R130" i="2"/>
  <c r="S126" i="2" s="1"/>
  <c r="U124" i="2"/>
  <c r="U84" i="2" s="1"/>
  <c r="F20" i="3"/>
  <c r="Q94" i="2"/>
  <c r="Q95" i="2" s="1"/>
  <c r="Q96" i="2" s="1"/>
  <c r="F23" i="3" s="1"/>
  <c r="Q87" i="2"/>
  <c r="Q45" i="4"/>
  <c r="Q46" i="4" s="1"/>
  <c r="Q36" i="4"/>
  <c r="AB29" i="4"/>
  <c r="W153" i="2"/>
  <c r="H33" i="3"/>
  <c r="C33" i="1"/>
  <c r="AC20" i="11"/>
  <c r="AC82" i="2" s="1"/>
  <c r="AC148" i="2"/>
  <c r="AP117" i="2"/>
  <c r="AP120" i="2" s="1"/>
  <c r="AQ116" i="2" s="1"/>
  <c r="AG27" i="11"/>
  <c r="AH25" i="11" s="1"/>
  <c r="AD23" i="11"/>
  <c r="AD24" i="11" s="1"/>
  <c r="AE22" i="11" s="1"/>
  <c r="AK112" i="2"/>
  <c r="AK115" i="2"/>
  <c r="AL111" i="2" s="1"/>
  <c r="W102" i="2"/>
  <c r="U40" i="4" l="1"/>
  <c r="U41" i="4" s="1"/>
  <c r="U42" i="4" s="1"/>
  <c r="AC21" i="11"/>
  <c r="AD19" i="11" s="1"/>
  <c r="AD20" i="11" s="1"/>
  <c r="AD82" i="2" s="1"/>
  <c r="R33" i="4"/>
  <c r="R35" i="4" s="1"/>
  <c r="R45" i="4" s="1"/>
  <c r="R46" i="4" s="1"/>
  <c r="R85" i="2"/>
  <c r="Q152" i="2"/>
  <c r="F21" i="3"/>
  <c r="S127" i="2"/>
  <c r="S129" i="2" s="1"/>
  <c r="S83" i="2" s="1"/>
  <c r="U125" i="2"/>
  <c r="V121" i="2" s="1"/>
  <c r="AE23" i="11"/>
  <c r="AE24" i="11" s="1"/>
  <c r="AF22" i="11" s="1"/>
  <c r="AQ117" i="2"/>
  <c r="AQ120" i="2" s="1"/>
  <c r="AR116" i="2" s="1"/>
  <c r="AH26" i="11"/>
  <c r="J42" i="3"/>
  <c r="AD146" i="2"/>
  <c r="AL112" i="2"/>
  <c r="AL115" i="2" s="1"/>
  <c r="AM111" i="2" s="1"/>
  <c r="H34" i="3"/>
  <c r="X99" i="2"/>
  <c r="C34" i="1"/>
  <c r="AC27" i="4"/>
  <c r="AC28" i="4" s="1"/>
  <c r="J28" i="3"/>
  <c r="R94" i="2" l="1"/>
  <c r="R95" i="2" s="1"/>
  <c r="R96" i="2" s="1"/>
  <c r="R87" i="2"/>
  <c r="R152" i="2" s="1"/>
  <c r="Q156" i="2"/>
  <c r="Q161" i="2"/>
  <c r="F45" i="3" s="1"/>
  <c r="V122" i="2"/>
  <c r="V124" i="2" s="1"/>
  <c r="V84" i="2" s="1"/>
  <c r="R36" i="4"/>
  <c r="S36" i="4" s="1"/>
  <c r="S130" i="2"/>
  <c r="T126" i="2" s="1"/>
  <c r="S85" i="2"/>
  <c r="S33" i="4"/>
  <c r="S35" i="4" s="1"/>
  <c r="S45" i="4" s="1"/>
  <c r="S46" i="4" s="1"/>
  <c r="AM112" i="2"/>
  <c r="AM115" i="2" s="1"/>
  <c r="AN111" i="2" s="1"/>
  <c r="AR117" i="2"/>
  <c r="AR120" i="2" s="1"/>
  <c r="AS116" i="2" s="1"/>
  <c r="AD27" i="4"/>
  <c r="AD28" i="4" s="1"/>
  <c r="AC29" i="4"/>
  <c r="AD29" i="4" s="1"/>
  <c r="AD148" i="2"/>
  <c r="AE146" i="2" s="1"/>
  <c r="AD21" i="11"/>
  <c r="AE19" i="11" s="1"/>
  <c r="X100" i="2"/>
  <c r="AF23" i="11"/>
  <c r="AH27" i="11"/>
  <c r="AI25" i="11" s="1"/>
  <c r="V40" i="4" l="1"/>
  <c r="V41" i="4" s="1"/>
  <c r="V42" i="4" s="1"/>
  <c r="F43" i="3"/>
  <c r="R151" i="2"/>
  <c r="R159" i="2" s="1"/>
  <c r="R161" i="2" s="1"/>
  <c r="V125" i="2"/>
  <c r="W121" i="2" s="1"/>
  <c r="S94" i="2"/>
  <c r="S95" i="2" s="1"/>
  <c r="S96" i="2" s="1"/>
  <c r="S87" i="2"/>
  <c r="S152" i="2" s="1"/>
  <c r="T127" i="2"/>
  <c r="G38" i="3" s="1"/>
  <c r="AS117" i="2"/>
  <c r="AS120" i="2" s="1"/>
  <c r="AT116" i="2" s="1"/>
  <c r="AN115" i="2"/>
  <c r="AO111" i="2" s="1"/>
  <c r="AN112" i="2"/>
  <c r="X101" i="2"/>
  <c r="X102" i="2" s="1"/>
  <c r="Y99" i="2" s="1"/>
  <c r="AE20" i="11"/>
  <c r="AE82" i="2" s="1"/>
  <c r="AE148" i="2"/>
  <c r="AF146" i="2" s="1"/>
  <c r="AI26" i="11"/>
  <c r="AF24" i="11"/>
  <c r="AG22" i="11" s="1"/>
  <c r="W122" i="2" l="1"/>
  <c r="W124" i="2" s="1"/>
  <c r="W84" i="2" s="1"/>
  <c r="W125" i="2"/>
  <c r="X121" i="2" s="1"/>
  <c r="T129" i="2"/>
  <c r="T83" i="2" s="1"/>
  <c r="R156" i="2"/>
  <c r="S151" i="2" s="1"/>
  <c r="S159" i="2" s="1"/>
  <c r="S161" i="2" s="1"/>
  <c r="AT117" i="2"/>
  <c r="AT120" i="2" s="1"/>
  <c r="AU116" i="2" s="1"/>
  <c r="AF148" i="2"/>
  <c r="AE21" i="11"/>
  <c r="AF19" i="11" s="1"/>
  <c r="AG23" i="11"/>
  <c r="AO112" i="2"/>
  <c r="AO115" i="2" s="1"/>
  <c r="AP111" i="2" s="1"/>
  <c r="AI27" i="11"/>
  <c r="AJ25" i="11" s="1"/>
  <c r="AE27" i="4"/>
  <c r="AE28" i="4" s="1"/>
  <c r="Y100" i="2"/>
  <c r="Y101" i="2" s="1"/>
  <c r="Y153" i="2" s="1"/>
  <c r="X153" i="2"/>
  <c r="T33" i="4" l="1"/>
  <c r="T35" i="4" s="1"/>
  <c r="T85" i="2"/>
  <c r="G29" i="3"/>
  <c r="X122" i="2"/>
  <c r="X124" i="2" s="1"/>
  <c r="X84" i="2" s="1"/>
  <c r="T130" i="2"/>
  <c r="U126" i="2" s="1"/>
  <c r="W40" i="4"/>
  <c r="W41" i="4" s="1"/>
  <c r="W42" i="4" s="1"/>
  <c r="H30" i="3"/>
  <c r="C30" i="1"/>
  <c r="Y102" i="2"/>
  <c r="Z99" i="2" s="1"/>
  <c r="S156" i="2"/>
  <c r="T151" i="2" s="1"/>
  <c r="T159" i="2" s="1"/>
  <c r="Z100" i="2"/>
  <c r="Z101" i="2" s="1"/>
  <c r="AU117" i="2"/>
  <c r="AU120" i="2"/>
  <c r="AV116" i="2" s="1"/>
  <c r="AP112" i="2"/>
  <c r="AP115" i="2" s="1"/>
  <c r="AQ111" i="2" s="1"/>
  <c r="AJ26" i="11"/>
  <c r="AJ27" i="11"/>
  <c r="AK25" i="11" s="1"/>
  <c r="AG24" i="11"/>
  <c r="AH22" i="11" s="1"/>
  <c r="AE29" i="4"/>
  <c r="AF20" i="11"/>
  <c r="AF82" i="2" s="1"/>
  <c r="AF21" i="11"/>
  <c r="AG19" i="11" s="1"/>
  <c r="K42" i="3"/>
  <c r="AG146" i="2"/>
  <c r="X40" i="4" l="1"/>
  <c r="X41" i="4" s="1"/>
  <c r="X42" i="4" s="1"/>
  <c r="X125" i="2"/>
  <c r="Y121" i="2" s="1"/>
  <c r="U127" i="2"/>
  <c r="U129" i="2"/>
  <c r="U83" i="2" s="1"/>
  <c r="T94" i="2"/>
  <c r="T95" i="2" s="1"/>
  <c r="T96" i="2" s="1"/>
  <c r="G23" i="3" s="1"/>
  <c r="T87" i="2"/>
  <c r="G20" i="3"/>
  <c r="T36" i="4"/>
  <c r="T45" i="4"/>
  <c r="T46" i="4" s="1"/>
  <c r="Z153" i="2"/>
  <c r="I33" i="3"/>
  <c r="Z102" i="2"/>
  <c r="AH23" i="11"/>
  <c r="AH24" i="11"/>
  <c r="AI22" i="11" s="1"/>
  <c r="AK26" i="11"/>
  <c r="AV117" i="2"/>
  <c r="AV120" i="2"/>
  <c r="AW116" i="2" s="1"/>
  <c r="AG20" i="11"/>
  <c r="AG82" i="2" s="1"/>
  <c r="AF27" i="4"/>
  <c r="AF28" i="4" s="1"/>
  <c r="AF29" i="4" s="1"/>
  <c r="K28" i="3"/>
  <c r="AQ112" i="2"/>
  <c r="AQ115" i="2"/>
  <c r="AR111" i="2" s="1"/>
  <c r="AG148" i="2"/>
  <c r="AH146" i="2" s="1"/>
  <c r="G21" i="3" l="1"/>
  <c r="T152" i="2"/>
  <c r="U130" i="2"/>
  <c r="V126" i="2" s="1"/>
  <c r="Y122" i="2"/>
  <c r="U33" i="4"/>
  <c r="U35" i="4" s="1"/>
  <c r="U45" i="4" s="1"/>
  <c r="U85" i="2"/>
  <c r="U46" i="4"/>
  <c r="AG27" i="4"/>
  <c r="AG28" i="4" s="1"/>
  <c r="AI23" i="11"/>
  <c r="AI24" i="11" s="1"/>
  <c r="AJ22" i="11" s="1"/>
  <c r="AG29" i="4"/>
  <c r="AG21" i="11"/>
  <c r="AH19" i="11" s="1"/>
  <c r="AH148" i="2"/>
  <c r="AI146" i="2" s="1"/>
  <c r="AW117" i="2"/>
  <c r="AW120" i="2" s="1"/>
  <c r="AX116" i="2" s="1"/>
  <c r="AR112" i="2"/>
  <c r="AR115" i="2" s="1"/>
  <c r="AS111" i="2" s="1"/>
  <c r="AK27" i="11"/>
  <c r="AL25" i="11" s="1"/>
  <c r="I34" i="3"/>
  <c r="AA99" i="2"/>
  <c r="Y124" i="2" l="1"/>
  <c r="Y84" i="2" s="1"/>
  <c r="V127" i="2"/>
  <c r="V129" i="2" s="1"/>
  <c r="V83" i="2" s="1"/>
  <c r="V130" i="2"/>
  <c r="W126" i="2" s="1"/>
  <c r="U87" i="2"/>
  <c r="U152" i="2" s="1"/>
  <c r="U94" i="2"/>
  <c r="U95" i="2" s="1"/>
  <c r="U96" i="2" s="1"/>
  <c r="T156" i="2"/>
  <c r="T161" i="2"/>
  <c r="G45" i="3" s="1"/>
  <c r="U36" i="4"/>
  <c r="AS112" i="2"/>
  <c r="AS115" i="2"/>
  <c r="AT111" i="2" s="1"/>
  <c r="AJ23" i="11"/>
  <c r="AI148" i="2"/>
  <c r="AA100" i="2"/>
  <c r="AA101" i="2"/>
  <c r="AH20" i="11"/>
  <c r="AH82" i="2" s="1"/>
  <c r="AH21" i="11"/>
  <c r="AI19" i="11" s="1"/>
  <c r="AL26" i="11"/>
  <c r="AX117" i="2"/>
  <c r="AX120" i="2" s="1"/>
  <c r="AY116" i="2" s="1"/>
  <c r="G43" i="3" l="1"/>
  <c r="U151" i="2"/>
  <c r="AA102" i="2"/>
  <c r="AB99" i="2" s="1"/>
  <c r="V85" i="2"/>
  <c r="V33" i="4"/>
  <c r="V35" i="4" s="1"/>
  <c r="V45" i="4" s="1"/>
  <c r="V46" i="4" s="1"/>
  <c r="C29" i="1"/>
  <c r="H29" i="3"/>
  <c r="Y40" i="4"/>
  <c r="Y41" i="4" s="1"/>
  <c r="Y42" i="4" s="1"/>
  <c r="W127" i="2"/>
  <c r="H38" i="3" s="1"/>
  <c r="W129" i="2"/>
  <c r="W83" i="2" s="1"/>
  <c r="W130" i="2"/>
  <c r="Y125" i="2"/>
  <c r="Z121" i="2" s="1"/>
  <c r="AB100" i="2"/>
  <c r="AB101" i="2"/>
  <c r="AB153" i="2" s="1"/>
  <c r="AY117" i="2"/>
  <c r="AY120" i="2" s="1"/>
  <c r="AZ116" i="2" s="1"/>
  <c r="L42" i="3"/>
  <c r="AJ146" i="2"/>
  <c r="D42" i="1"/>
  <c r="D52" i="5" s="1"/>
  <c r="AT112" i="2"/>
  <c r="AT115" i="2" s="1"/>
  <c r="AU111" i="2" s="1"/>
  <c r="AI20" i="11"/>
  <c r="AI82" i="2" s="1"/>
  <c r="AL27" i="11"/>
  <c r="AM25" i="11" s="1"/>
  <c r="AA153" i="2"/>
  <c r="AH27" i="4"/>
  <c r="AH28" i="4" s="1"/>
  <c r="L28" i="3"/>
  <c r="AJ24" i="11"/>
  <c r="AK22" i="11" s="1"/>
  <c r="AI21" i="11" l="1"/>
  <c r="AJ19" i="11" s="1"/>
  <c r="Z122" i="2"/>
  <c r="Z124" i="2" s="1"/>
  <c r="Z84" i="2" s="1"/>
  <c r="V87" i="2"/>
  <c r="V94" i="2"/>
  <c r="V95" i="2" s="1"/>
  <c r="V96" i="2" s="1"/>
  <c r="C20" i="1"/>
  <c r="C46" i="5" s="1"/>
  <c r="H20" i="3"/>
  <c r="W33" i="4"/>
  <c r="W35" i="4" s="1"/>
  <c r="W45" i="4" s="1"/>
  <c r="W46" i="4" s="1"/>
  <c r="W85" i="2"/>
  <c r="V36" i="4"/>
  <c r="X126" i="2"/>
  <c r="C38" i="1"/>
  <c r="U159" i="2"/>
  <c r="U161" i="2" s="1"/>
  <c r="U156" i="2"/>
  <c r="V151" i="2" s="1"/>
  <c r="AU115" i="2"/>
  <c r="AU112" i="2"/>
  <c r="AZ117" i="2"/>
  <c r="AZ120" i="2" s="1"/>
  <c r="BA116" i="2" s="1"/>
  <c r="AI27" i="4"/>
  <c r="AI28" i="4" s="1"/>
  <c r="AH29" i="4"/>
  <c r="AM26" i="11"/>
  <c r="AM27" i="11" s="1"/>
  <c r="AN25" i="11" s="1"/>
  <c r="AK23" i="11"/>
  <c r="AK24" i="11" s="1"/>
  <c r="AL22" i="11" s="1"/>
  <c r="AJ20" i="11"/>
  <c r="AJ82" i="2" s="1"/>
  <c r="D28" i="1"/>
  <c r="AJ148" i="2"/>
  <c r="AK146" i="2" s="1"/>
  <c r="AB102" i="2"/>
  <c r="AC99" i="2" s="1"/>
  <c r="Z40" i="4" l="1"/>
  <c r="Z41" i="4" s="1"/>
  <c r="Z42" i="4" s="1"/>
  <c r="I30" i="3"/>
  <c r="V159" i="2"/>
  <c r="Y107" i="2"/>
  <c r="Z160" i="2"/>
  <c r="H23" i="3"/>
  <c r="C23" i="1"/>
  <c r="X127" i="2"/>
  <c r="Z125" i="2"/>
  <c r="AA121" i="2" s="1"/>
  <c r="W36" i="4"/>
  <c r="V152" i="2"/>
  <c r="V156" i="2" s="1"/>
  <c r="W151" i="2" s="1"/>
  <c r="C21" i="1"/>
  <c r="H21" i="3"/>
  <c r="AJ21" i="11"/>
  <c r="AK19" i="11" s="1"/>
  <c r="W94" i="2"/>
  <c r="W95" i="2" s="1"/>
  <c r="W96" i="2" s="1"/>
  <c r="W87" i="2"/>
  <c r="W152" i="2" s="1"/>
  <c r="AN26" i="11"/>
  <c r="BA117" i="2"/>
  <c r="BA120" i="2" s="1"/>
  <c r="BB116" i="2" s="1"/>
  <c r="AL23" i="11"/>
  <c r="AL24" i="11" s="1"/>
  <c r="AM22" i="11" s="1"/>
  <c r="AC100" i="2"/>
  <c r="AC101" i="2" s="1"/>
  <c r="AK148" i="2"/>
  <c r="AL146" i="2" s="1"/>
  <c r="AJ27" i="4"/>
  <c r="AJ28" i="4" s="1"/>
  <c r="AI29" i="4"/>
  <c r="AK20" i="11"/>
  <c r="AK82" i="2" s="1"/>
  <c r="AK21" i="11"/>
  <c r="AL19" i="11" s="1"/>
  <c r="AV111" i="2"/>
  <c r="W156" i="2" l="1"/>
  <c r="W159" i="2"/>
  <c r="W161" i="2" s="1"/>
  <c r="D44" i="1"/>
  <c r="I44" i="3"/>
  <c r="AA122" i="2"/>
  <c r="AA124" i="2" s="1"/>
  <c r="AA84" i="2" s="1"/>
  <c r="V161" i="2"/>
  <c r="X129" i="2"/>
  <c r="X83" i="2" s="1"/>
  <c r="AJ29" i="4"/>
  <c r="Y154" i="2"/>
  <c r="I35" i="3"/>
  <c r="D35" i="1"/>
  <c r="Y108" i="2"/>
  <c r="Z106" i="2" s="1"/>
  <c r="Z108" i="2" s="1"/>
  <c r="AM23" i="11"/>
  <c r="AC153" i="2"/>
  <c r="J33" i="3"/>
  <c r="BB117" i="2"/>
  <c r="BB120" i="2" s="1"/>
  <c r="BC116" i="2" s="1"/>
  <c r="AL148" i="2"/>
  <c r="AL20" i="11"/>
  <c r="AL82" i="2" s="1"/>
  <c r="M28" i="3" s="1"/>
  <c r="AC102" i="2"/>
  <c r="AV112" i="2"/>
  <c r="AV115" i="2" s="1"/>
  <c r="AW111" i="2" s="1"/>
  <c r="AK27" i="4"/>
  <c r="AK28" i="4" s="1"/>
  <c r="AN27" i="11"/>
  <c r="AO25" i="11" s="1"/>
  <c r="AA40" i="4" l="1"/>
  <c r="AA41" i="4" s="1"/>
  <c r="AA42" i="4" s="1"/>
  <c r="AA106" i="2"/>
  <c r="AA108" i="2" s="1"/>
  <c r="AB106" i="2" s="1"/>
  <c r="AB108" i="2" s="1"/>
  <c r="AC106" i="2" s="1"/>
  <c r="AC108" i="2" s="1"/>
  <c r="I36" i="3"/>
  <c r="AA125" i="2"/>
  <c r="AB121" i="2" s="1"/>
  <c r="H45" i="3"/>
  <c r="C45" i="1"/>
  <c r="H43" i="3"/>
  <c r="X151" i="2"/>
  <c r="X159" i="2" s="1"/>
  <c r="C43" i="1"/>
  <c r="X33" i="4"/>
  <c r="X35" i="4" s="1"/>
  <c r="X85" i="2"/>
  <c r="X130" i="2"/>
  <c r="Y126" i="2" s="1"/>
  <c r="AW112" i="2"/>
  <c r="AW115" i="2" s="1"/>
  <c r="AX111" i="2" s="1"/>
  <c r="M42" i="3"/>
  <c r="AM146" i="2"/>
  <c r="AO26" i="11"/>
  <c r="J34" i="3"/>
  <c r="AD99" i="2"/>
  <c r="AL27" i="4"/>
  <c r="AL28" i="4" s="1"/>
  <c r="BC117" i="2"/>
  <c r="BC120" i="2" s="1"/>
  <c r="BD116" i="2" s="1"/>
  <c r="AK29" i="4"/>
  <c r="AL21" i="11"/>
  <c r="AM19" i="11" s="1"/>
  <c r="AM24" i="11"/>
  <c r="AN22" i="11" s="1"/>
  <c r="AB122" i="2" l="1"/>
  <c r="AB124" i="2"/>
  <c r="AB84" i="2" s="1"/>
  <c r="X94" i="2"/>
  <c r="X95" i="2" s="1"/>
  <c r="X96" i="2" s="1"/>
  <c r="X87" i="2"/>
  <c r="X152" i="2" s="1"/>
  <c r="X156" i="2" s="1"/>
  <c r="Y151" i="2" s="1"/>
  <c r="X45" i="4"/>
  <c r="X46" i="4" s="1"/>
  <c r="X36" i="4"/>
  <c r="AD106" i="2"/>
  <c r="AD108" i="2" s="1"/>
  <c r="AE106" i="2" s="1"/>
  <c r="AE108" i="2" s="1"/>
  <c r="AF106" i="2" s="1"/>
  <c r="AF108" i="2" s="1"/>
  <c r="J36" i="3"/>
  <c r="Y127" i="2"/>
  <c r="Y129" i="2" s="1"/>
  <c r="Y83" i="2" s="1"/>
  <c r="Y130" i="2"/>
  <c r="Z126" i="2" s="1"/>
  <c r="AL29" i="4"/>
  <c r="C72" i="5"/>
  <c r="C50" i="5"/>
  <c r="C100" i="5"/>
  <c r="C102" i="5" s="1"/>
  <c r="C103" i="5" s="1"/>
  <c r="X161" i="2"/>
  <c r="AX112" i="2"/>
  <c r="AX115" i="2" s="1"/>
  <c r="AY111" i="2" s="1"/>
  <c r="BD117" i="2"/>
  <c r="BD120" i="2" s="1"/>
  <c r="BE116" i="2" s="1"/>
  <c r="AN23" i="11"/>
  <c r="AN24" i="11" s="1"/>
  <c r="AO22" i="11" s="1"/>
  <c r="AD101" i="2"/>
  <c r="AD100" i="2"/>
  <c r="AO27" i="11"/>
  <c r="AP25" i="11" s="1"/>
  <c r="AM20" i="11"/>
  <c r="AM82" i="2" s="1"/>
  <c r="AM148" i="2"/>
  <c r="AN146" i="2" s="1"/>
  <c r="K36" i="3" l="1"/>
  <c r="AG106" i="2"/>
  <c r="AG108" i="2" s="1"/>
  <c r="AH106" i="2" s="1"/>
  <c r="AH108" i="2" s="1"/>
  <c r="AI106" i="2" s="1"/>
  <c r="AI108" i="2" s="1"/>
  <c r="Y159" i="2"/>
  <c r="Z127" i="2"/>
  <c r="I38" i="3" s="1"/>
  <c r="AB40" i="4"/>
  <c r="AB41" i="4" s="1"/>
  <c r="AB42" i="4" s="1"/>
  <c r="Y33" i="4"/>
  <c r="Y35" i="4" s="1"/>
  <c r="Y45" i="4" s="1"/>
  <c r="Y46" i="4" s="1"/>
  <c r="Y85" i="2"/>
  <c r="AB125" i="2"/>
  <c r="AC121" i="2" s="1"/>
  <c r="AY112" i="2"/>
  <c r="AY115" i="2" s="1"/>
  <c r="AZ111" i="2" s="1"/>
  <c r="BE117" i="2"/>
  <c r="BE120" i="2" s="1"/>
  <c r="BF116" i="2" s="1"/>
  <c r="AN148" i="2"/>
  <c r="AO146" i="2" s="1"/>
  <c r="AD153" i="2"/>
  <c r="AM21" i="11"/>
  <c r="AN19" i="11" s="1"/>
  <c r="AD102" i="2"/>
  <c r="AE99" i="2" s="1"/>
  <c r="AO23" i="11"/>
  <c r="AM27" i="4"/>
  <c r="AM28" i="4" s="1"/>
  <c r="AP26" i="11"/>
  <c r="AP27" i="11" s="1"/>
  <c r="AQ25" i="11" s="1"/>
  <c r="Z129" i="2" l="1"/>
  <c r="Y36" i="4"/>
  <c r="AC122" i="2"/>
  <c r="AC124" i="2" s="1"/>
  <c r="AC84" i="2" s="1"/>
  <c r="L36" i="3"/>
  <c r="D36" i="1"/>
  <c r="AJ106" i="2"/>
  <c r="AJ108" i="2" s="1"/>
  <c r="AK106" i="2" s="1"/>
  <c r="Y94" i="2"/>
  <c r="Y95" i="2" s="1"/>
  <c r="Y96" i="2" s="1"/>
  <c r="Y87" i="2"/>
  <c r="BF117" i="2"/>
  <c r="BF120" i="2" s="1"/>
  <c r="BG116" i="2" s="1"/>
  <c r="AZ112" i="2"/>
  <c r="AZ115" i="2" s="1"/>
  <c r="BA111" i="2" s="1"/>
  <c r="AO148" i="2"/>
  <c r="AM29" i="4"/>
  <c r="AO24" i="11"/>
  <c r="AP22" i="11" s="1"/>
  <c r="AQ26" i="11"/>
  <c r="AQ27" i="11" s="1"/>
  <c r="AR25" i="11" s="1"/>
  <c r="AE100" i="2"/>
  <c r="AE101" i="2" s="1"/>
  <c r="AN20" i="11"/>
  <c r="AN82" i="2" s="1"/>
  <c r="AC40" i="4" l="1"/>
  <c r="AC41" i="4" s="1"/>
  <c r="AC42" i="4" s="1"/>
  <c r="J30" i="3"/>
  <c r="AC125" i="2"/>
  <c r="AD121" i="2" s="1"/>
  <c r="AN21" i="11"/>
  <c r="AO19" i="11" s="1"/>
  <c r="AO20" i="11" s="1"/>
  <c r="AO82" i="2" s="1"/>
  <c r="N28" i="3" s="1"/>
  <c r="Y152" i="2"/>
  <c r="Z83" i="2"/>
  <c r="Z130" i="2"/>
  <c r="AA126" i="2" s="1"/>
  <c r="AE153" i="2"/>
  <c r="BG117" i="2"/>
  <c r="BG120" i="2" s="1"/>
  <c r="BH116" i="2" s="1"/>
  <c r="AP23" i="11"/>
  <c r="AP24" i="11" s="1"/>
  <c r="AQ22" i="11" s="1"/>
  <c r="AR26" i="11"/>
  <c r="AR27" i="11"/>
  <c r="AS25" i="11" s="1"/>
  <c r="BA112" i="2"/>
  <c r="BA115" i="2" s="1"/>
  <c r="BB111" i="2" s="1"/>
  <c r="AE102" i="2"/>
  <c r="AF99" i="2" s="1"/>
  <c r="AN27" i="4"/>
  <c r="AN28" i="4" s="1"/>
  <c r="N42" i="3"/>
  <c r="AP146" i="2"/>
  <c r="Y156" i="2" l="1"/>
  <c r="Z151" i="2" s="1"/>
  <c r="Z159" i="2" s="1"/>
  <c r="Y161" i="2"/>
  <c r="AO21" i="11"/>
  <c r="AP19" i="11" s="1"/>
  <c r="AD122" i="2"/>
  <c r="AD124" i="2" s="1"/>
  <c r="AD84" i="2" s="1"/>
  <c r="AA127" i="2"/>
  <c r="Z33" i="4"/>
  <c r="Z35" i="4" s="1"/>
  <c r="Z85" i="2"/>
  <c r="I29" i="3"/>
  <c r="BB112" i="2"/>
  <c r="BB115" i="2" s="1"/>
  <c r="BC111" i="2" s="1"/>
  <c r="BH117" i="2"/>
  <c r="BH120" i="2" s="1"/>
  <c r="BI116" i="2" s="1"/>
  <c r="AP148" i="2"/>
  <c r="AQ146" i="2" s="1"/>
  <c r="AQ23" i="11"/>
  <c r="AP20" i="11"/>
  <c r="AP82" i="2" s="1"/>
  <c r="AP21" i="11"/>
  <c r="AQ19" i="11" s="1"/>
  <c r="AO27" i="4"/>
  <c r="AO28" i="4" s="1"/>
  <c r="AS26" i="11"/>
  <c r="AS27" i="11"/>
  <c r="AT25" i="11" s="1"/>
  <c r="AF100" i="2"/>
  <c r="AF101" i="2" s="1"/>
  <c r="AN29" i="4"/>
  <c r="Z87" i="2" l="1"/>
  <c r="Z94" i="2"/>
  <c r="Z95" i="2" s="1"/>
  <c r="Z96" i="2" s="1"/>
  <c r="I23" i="3" s="1"/>
  <c r="I20" i="3"/>
  <c r="Z45" i="4"/>
  <c r="Z46" i="4" s="1"/>
  <c r="Z36" i="4"/>
  <c r="AD125" i="2"/>
  <c r="AE121" i="2" s="1"/>
  <c r="AA130" i="2"/>
  <c r="AB126" i="2" s="1"/>
  <c r="AD40" i="4"/>
  <c r="AD41" i="4" s="1"/>
  <c r="AD42" i="4" s="1"/>
  <c r="AA129" i="2"/>
  <c r="AA83" i="2" s="1"/>
  <c r="AF153" i="2"/>
  <c r="K33" i="3"/>
  <c r="BI117" i="2"/>
  <c r="BI120" i="2" s="1"/>
  <c r="BJ116" i="2" s="1"/>
  <c r="BC112" i="2"/>
  <c r="BC115" i="2" s="1"/>
  <c r="BD111" i="2" s="1"/>
  <c r="AF102" i="2"/>
  <c r="AO29" i="4"/>
  <c r="AQ24" i="11"/>
  <c r="AR22" i="11" s="1"/>
  <c r="AT26" i="11"/>
  <c r="AQ20" i="11"/>
  <c r="AQ82" i="2" s="1"/>
  <c r="AQ21" i="11"/>
  <c r="AR19" i="11" s="1"/>
  <c r="AQ148" i="2"/>
  <c r="AR146" i="2" s="1"/>
  <c r="AP27" i="4"/>
  <c r="AP28" i="4" s="1"/>
  <c r="AE122" i="2" l="1"/>
  <c r="AA85" i="2"/>
  <c r="AA33" i="4"/>
  <c r="AA35" i="4" s="1"/>
  <c r="AA45" i="4" s="1"/>
  <c r="AA46" i="4" s="1"/>
  <c r="AB127" i="2"/>
  <c r="AB129" i="2" s="1"/>
  <c r="AB83" i="2" s="1"/>
  <c r="AB130" i="2"/>
  <c r="AC126" i="2" s="1"/>
  <c r="Z152" i="2"/>
  <c r="I21" i="3"/>
  <c r="BJ117" i="2"/>
  <c r="BJ120" i="2"/>
  <c r="BK116" i="2" s="1"/>
  <c r="K34" i="3"/>
  <c r="AG99" i="2"/>
  <c r="BD112" i="2"/>
  <c r="BD115" i="2" s="1"/>
  <c r="BE111" i="2" s="1"/>
  <c r="AP29" i="4"/>
  <c r="AR23" i="11"/>
  <c r="AT27" i="11"/>
  <c r="AU25" i="11" s="1"/>
  <c r="AR148" i="2"/>
  <c r="AR20" i="11"/>
  <c r="AR82" i="2" s="1"/>
  <c r="O28" i="3" s="1"/>
  <c r="AQ27" i="4"/>
  <c r="AQ28" i="4" s="1"/>
  <c r="AA94" i="2" l="1"/>
  <c r="AA95" i="2" s="1"/>
  <c r="AA96" i="2" s="1"/>
  <c r="AA87" i="2"/>
  <c r="AA36" i="4"/>
  <c r="AB36" i="4" s="1"/>
  <c r="Z156" i="2"/>
  <c r="Z161" i="2"/>
  <c r="I45" i="3" s="1"/>
  <c r="AE124" i="2"/>
  <c r="AE84" i="2" s="1"/>
  <c r="AC127" i="2"/>
  <c r="J38" i="3" s="1"/>
  <c r="AB33" i="4"/>
  <c r="AB35" i="4" s="1"/>
  <c r="AB45" i="4" s="1"/>
  <c r="AB46" i="4" s="1"/>
  <c r="AB85" i="2"/>
  <c r="BE112" i="2"/>
  <c r="BE115" i="2" s="1"/>
  <c r="BF111" i="2" s="1"/>
  <c r="AU26" i="11"/>
  <c r="AQ29" i="4"/>
  <c r="AG100" i="2"/>
  <c r="AG101" i="2" s="1"/>
  <c r="BK117" i="2"/>
  <c r="BK120" i="2" s="1"/>
  <c r="BL116" i="2" s="1"/>
  <c r="AR27" i="4"/>
  <c r="AR28" i="4" s="1"/>
  <c r="AR21" i="11"/>
  <c r="AS19" i="11" s="1"/>
  <c r="AR24" i="11"/>
  <c r="AS22" i="11" s="1"/>
  <c r="O42" i="3"/>
  <c r="AS146" i="2"/>
  <c r="AB87" i="2" l="1"/>
  <c r="AB152" i="2" s="1"/>
  <c r="AB94" i="2"/>
  <c r="AB95" i="2" s="1"/>
  <c r="AB96" i="2" s="1"/>
  <c r="I43" i="3"/>
  <c r="AA151" i="2"/>
  <c r="AA152" i="2"/>
  <c r="AG102" i="2"/>
  <c r="AH99" i="2" s="1"/>
  <c r="AE40" i="4"/>
  <c r="AE41" i="4" s="1"/>
  <c r="AE42" i="4" s="1"/>
  <c r="AC129" i="2"/>
  <c r="AE125" i="2"/>
  <c r="AF121" i="2" s="1"/>
  <c r="AH100" i="2"/>
  <c r="AH101" i="2" s="1"/>
  <c r="BL117" i="2"/>
  <c r="BL120" i="2"/>
  <c r="BM116" i="2" s="1"/>
  <c r="AS23" i="11"/>
  <c r="AS20" i="11"/>
  <c r="AS82" i="2" s="1"/>
  <c r="AS21" i="11"/>
  <c r="AT19" i="11" s="1"/>
  <c r="AG153" i="2"/>
  <c r="AS148" i="2"/>
  <c r="AT146" i="2" s="1"/>
  <c r="AR29" i="4"/>
  <c r="AU27" i="11"/>
  <c r="AV25" i="11" s="1"/>
  <c r="BF112" i="2"/>
  <c r="BF115" i="2"/>
  <c r="BG111" i="2" s="1"/>
  <c r="AA159" i="2" l="1"/>
  <c r="AA161" i="2" s="1"/>
  <c r="AA156" i="2"/>
  <c r="AB151" i="2" s="1"/>
  <c r="AB159" i="2" s="1"/>
  <c r="AB161" i="2" s="1"/>
  <c r="AF122" i="2"/>
  <c r="AF124" i="2" s="1"/>
  <c r="AF84" i="2" s="1"/>
  <c r="AC83" i="2"/>
  <c r="AC130" i="2"/>
  <c r="AD126" i="2" s="1"/>
  <c r="AB156" i="2"/>
  <c r="AC151" i="2" s="1"/>
  <c r="AH153" i="2"/>
  <c r="AH102" i="2"/>
  <c r="AI99" i="2" s="1"/>
  <c r="AT21" i="11"/>
  <c r="AU19" i="11" s="1"/>
  <c r="AT20" i="11"/>
  <c r="AT82" i="2" s="1"/>
  <c r="BG112" i="2"/>
  <c r="BG115" i="2" s="1"/>
  <c r="AS27" i="4"/>
  <c r="AS28" i="4" s="1"/>
  <c r="AS29" i="4" s="1"/>
  <c r="AV26" i="11"/>
  <c r="AV27" i="11"/>
  <c r="AW25" i="11" s="1"/>
  <c r="BM117" i="2"/>
  <c r="BM120" i="2" s="1"/>
  <c r="BN116" i="2" s="1"/>
  <c r="AT148" i="2"/>
  <c r="AU146" i="2" s="1"/>
  <c r="AS24" i="11"/>
  <c r="AT22" i="11" s="1"/>
  <c r="AC85" i="2" l="1"/>
  <c r="AC33" i="4"/>
  <c r="AC35" i="4" s="1"/>
  <c r="J29" i="3"/>
  <c r="AC159" i="2"/>
  <c r="AF125" i="2"/>
  <c r="AG121" i="2" s="1"/>
  <c r="AD127" i="2"/>
  <c r="AD129" i="2" s="1"/>
  <c r="AD83" i="2" s="1"/>
  <c r="AF40" i="4"/>
  <c r="AF41" i="4" s="1"/>
  <c r="AF42" i="4" s="1"/>
  <c r="K30" i="3"/>
  <c r="BN117" i="2"/>
  <c r="BN120" i="2" s="1"/>
  <c r="BO116" i="2" s="1"/>
  <c r="AU20" i="11"/>
  <c r="AU82" i="2" s="1"/>
  <c r="AI100" i="2"/>
  <c r="AI101" i="2"/>
  <c r="AU148" i="2"/>
  <c r="BH111" i="2"/>
  <c r="AW26" i="11"/>
  <c r="AT23" i="11"/>
  <c r="AT27" i="4"/>
  <c r="AT28" i="4" s="1"/>
  <c r="AD33" i="4" l="1"/>
  <c r="AD35" i="4" s="1"/>
  <c r="AD45" i="4" s="1"/>
  <c r="AD85" i="2"/>
  <c r="AD130" i="2"/>
  <c r="AE126" i="2" s="1"/>
  <c r="AG122" i="2"/>
  <c r="AG124" i="2"/>
  <c r="AG84" i="2" s="1"/>
  <c r="AG125" i="2"/>
  <c r="AH121" i="2" s="1"/>
  <c r="AI102" i="2"/>
  <c r="AC45" i="4"/>
  <c r="AC46" i="4" s="1"/>
  <c r="AC36" i="4"/>
  <c r="AD36" i="4" s="1"/>
  <c r="AC87" i="2"/>
  <c r="AC94" i="2"/>
  <c r="AC95" i="2" s="1"/>
  <c r="AC96" i="2" s="1"/>
  <c r="J23" i="3" s="1"/>
  <c r="J20" i="3"/>
  <c r="L34" i="3"/>
  <c r="AJ99" i="2"/>
  <c r="D34" i="1"/>
  <c r="BO120" i="2"/>
  <c r="BP116" i="2" s="1"/>
  <c r="BO117" i="2"/>
  <c r="AI153" i="2"/>
  <c r="D33" i="1"/>
  <c r="L33" i="3"/>
  <c r="AU27" i="4"/>
  <c r="AU28" i="4" s="1"/>
  <c r="P28" i="3"/>
  <c r="E28" i="1"/>
  <c r="BH112" i="2"/>
  <c r="BH115" i="2" s="1"/>
  <c r="BI111" i="2" s="1"/>
  <c r="P42" i="3"/>
  <c r="AV146" i="2"/>
  <c r="E42" i="1"/>
  <c r="AT29" i="4"/>
  <c r="AU21" i="11"/>
  <c r="AV19" i="11" s="1"/>
  <c r="AT24" i="11"/>
  <c r="AU22" i="11" s="1"/>
  <c r="AW27" i="11"/>
  <c r="AX25" i="11" s="1"/>
  <c r="AH122" i="2" l="1"/>
  <c r="AC152" i="2"/>
  <c r="J21" i="3"/>
  <c r="AE127" i="2"/>
  <c r="AE129" i="2" s="1"/>
  <c r="AE83" i="2" s="1"/>
  <c r="AE130" i="2"/>
  <c r="AF126" i="2" s="1"/>
  <c r="AD94" i="2"/>
  <c r="AD95" i="2" s="1"/>
  <c r="AD96" i="2" s="1"/>
  <c r="AD87" i="2"/>
  <c r="AG40" i="4"/>
  <c r="AG41" i="4" s="1"/>
  <c r="AG42" i="4" s="1"/>
  <c r="AD46" i="4"/>
  <c r="AU29" i="4"/>
  <c r="BI112" i="2"/>
  <c r="BI115" i="2" s="1"/>
  <c r="BJ111" i="2" s="1"/>
  <c r="AV20" i="11"/>
  <c r="AV82" i="2" s="1"/>
  <c r="AV21" i="11"/>
  <c r="AW19" i="11" s="1"/>
  <c r="AU23" i="11"/>
  <c r="BP117" i="2"/>
  <c r="BP120" i="2" s="1"/>
  <c r="BQ116" i="2" s="1"/>
  <c r="D71" i="5"/>
  <c r="E52" i="5"/>
  <c r="AV148" i="2"/>
  <c r="AW146" i="2" s="1"/>
  <c r="AJ100" i="2"/>
  <c r="AJ101" i="2" s="1"/>
  <c r="AX26" i="11"/>
  <c r="AX27" i="11"/>
  <c r="AY25" i="11" s="1"/>
  <c r="AF127" i="2" l="1"/>
  <c r="K38" i="3" s="1"/>
  <c r="AE85" i="2"/>
  <c r="AE33" i="4"/>
  <c r="AE35" i="4" s="1"/>
  <c r="AC156" i="2"/>
  <c r="AC161" i="2"/>
  <c r="J45" i="3" s="1"/>
  <c r="AD152" i="2"/>
  <c r="AH124" i="2"/>
  <c r="AH84" i="2" s="1"/>
  <c r="AJ153" i="2"/>
  <c r="BQ117" i="2"/>
  <c r="BQ120" i="2" s="1"/>
  <c r="BR116" i="2" s="1"/>
  <c r="BJ112" i="2"/>
  <c r="BJ115" i="2" s="1"/>
  <c r="BK111" i="2" s="1"/>
  <c r="AU24" i="11"/>
  <c r="AV22" i="11" s="1"/>
  <c r="AW20" i="11"/>
  <c r="AW82" i="2" s="1"/>
  <c r="AJ102" i="2"/>
  <c r="AK99" i="2" s="1"/>
  <c r="AW148" i="2"/>
  <c r="AX146" i="2" s="1"/>
  <c r="AY26" i="11"/>
  <c r="AV27" i="4"/>
  <c r="AV28" i="4" s="1"/>
  <c r="AE45" i="4" l="1"/>
  <c r="AE46" i="4" s="1"/>
  <c r="AE36" i="4"/>
  <c r="AE87" i="2"/>
  <c r="AE94" i="2"/>
  <c r="AE95" i="2" s="1"/>
  <c r="AE96" i="2" s="1"/>
  <c r="AD151" i="2"/>
  <c r="J43" i="3"/>
  <c r="AH40" i="4"/>
  <c r="AH41" i="4" s="1"/>
  <c r="AH42" i="4" s="1"/>
  <c r="AH125" i="2"/>
  <c r="AI121" i="2" s="1"/>
  <c r="AF129" i="2"/>
  <c r="BK112" i="2"/>
  <c r="BK115" i="2" s="1"/>
  <c r="BL111" i="2" s="1"/>
  <c r="BR117" i="2"/>
  <c r="BR120" i="2"/>
  <c r="BS116" i="2" s="1"/>
  <c r="AX148" i="2"/>
  <c r="AK100" i="2"/>
  <c r="AK101" i="2" s="1"/>
  <c r="AW27" i="4"/>
  <c r="AW28" i="4" s="1"/>
  <c r="AY27" i="11"/>
  <c r="AZ25" i="11" s="1"/>
  <c r="AV29" i="4"/>
  <c r="AW21" i="11"/>
  <c r="AX19" i="11" s="1"/>
  <c r="AV23" i="11"/>
  <c r="AD159" i="2" l="1"/>
  <c r="AD161" i="2" s="1"/>
  <c r="AD156" i="2"/>
  <c r="AE151" i="2" s="1"/>
  <c r="AF83" i="2"/>
  <c r="AF130" i="2"/>
  <c r="AG126" i="2" s="1"/>
  <c r="AE152" i="2"/>
  <c r="AI122" i="2"/>
  <c r="AI124" i="2"/>
  <c r="AI84" i="2" s="1"/>
  <c r="AK102" i="2"/>
  <c r="AL99" i="2" s="1"/>
  <c r="AL101" i="2" s="1"/>
  <c r="AL100" i="2"/>
  <c r="AK153" i="2"/>
  <c r="AX20" i="11"/>
  <c r="AX82" i="2" s="1"/>
  <c r="AW29" i="4"/>
  <c r="BS117" i="2"/>
  <c r="BS120" i="2" s="1"/>
  <c r="BT116" i="2" s="1"/>
  <c r="BL112" i="2"/>
  <c r="BL115" i="2" s="1"/>
  <c r="BM111" i="2" s="1"/>
  <c r="AZ26" i="11"/>
  <c r="Q42" i="3"/>
  <c r="AY146" i="2"/>
  <c r="AV24" i="11"/>
  <c r="AW22" i="11" s="1"/>
  <c r="AL153" i="2" l="1"/>
  <c r="M33" i="3"/>
  <c r="AG127" i="2"/>
  <c r="AG129" i="2"/>
  <c r="AG83" i="2" s="1"/>
  <c r="AI125" i="2"/>
  <c r="AE156" i="2"/>
  <c r="AF151" i="2" s="1"/>
  <c r="AF159" i="2" s="1"/>
  <c r="AE159" i="2"/>
  <c r="AE161" i="2" s="1"/>
  <c r="AF85" i="2"/>
  <c r="AF33" i="4"/>
  <c r="AF35" i="4" s="1"/>
  <c r="K29" i="3"/>
  <c r="D30" i="1"/>
  <c r="AI40" i="4"/>
  <c r="AI41" i="4" s="1"/>
  <c r="AI42" i="4" s="1"/>
  <c r="L30" i="3"/>
  <c r="BT117" i="2"/>
  <c r="BT120" i="2" s="1"/>
  <c r="BU116" i="2" s="1"/>
  <c r="AX27" i="4"/>
  <c r="AX28" i="4" s="1"/>
  <c r="Q28" i="3"/>
  <c r="AY148" i="2"/>
  <c r="AZ146" i="2" s="1"/>
  <c r="BM112" i="2"/>
  <c r="BM115" i="2" s="1"/>
  <c r="BN111" i="2" s="1"/>
  <c r="AW23" i="11"/>
  <c r="AW24" i="11"/>
  <c r="AX22" i="11" s="1"/>
  <c r="AL102" i="2"/>
  <c r="AZ27" i="11"/>
  <c r="BA25" i="11" s="1"/>
  <c r="AX21" i="11"/>
  <c r="AY19" i="11" s="1"/>
  <c r="AJ121" i="2" l="1"/>
  <c r="AG130" i="2"/>
  <c r="AH126" i="2" s="1"/>
  <c r="AG85" i="2"/>
  <c r="AG33" i="4"/>
  <c r="AG35" i="4" s="1"/>
  <c r="AG45" i="4" s="1"/>
  <c r="AF45" i="4"/>
  <c r="AF46" i="4" s="1"/>
  <c r="AF36" i="4"/>
  <c r="AF94" i="2"/>
  <c r="AF95" i="2" s="1"/>
  <c r="AF96" i="2" s="1"/>
  <c r="AF87" i="2"/>
  <c r="K20" i="3"/>
  <c r="BN112" i="2"/>
  <c r="BN115" i="2" s="1"/>
  <c r="BO111" i="2" s="1"/>
  <c r="AY20" i="11"/>
  <c r="AY82" i="2" s="1"/>
  <c r="AZ148" i="2"/>
  <c r="BA146" i="2" s="1"/>
  <c r="BA26" i="11"/>
  <c r="BA27" i="11" s="1"/>
  <c r="BB25" i="11" s="1"/>
  <c r="AX23" i="11"/>
  <c r="AX24" i="11"/>
  <c r="AY22" i="11" s="1"/>
  <c r="M34" i="3"/>
  <c r="AM99" i="2"/>
  <c r="BU117" i="2"/>
  <c r="BU120" i="2" s="1"/>
  <c r="BV116" i="2" s="1"/>
  <c r="AX29" i="4"/>
  <c r="AG94" i="2" l="1"/>
  <c r="AG95" i="2" s="1"/>
  <c r="AG96" i="2" s="1"/>
  <c r="AG87" i="2"/>
  <c r="AH127" i="2"/>
  <c r="AH129" i="2"/>
  <c r="AH83" i="2" s="1"/>
  <c r="AF152" i="2"/>
  <c r="K21" i="3"/>
  <c r="K23" i="3"/>
  <c r="AJ122" i="2"/>
  <c r="AJ124" i="2" s="1"/>
  <c r="AJ84" i="2" s="1"/>
  <c r="AG36" i="4"/>
  <c r="AG46" i="4"/>
  <c r="BV117" i="2"/>
  <c r="BV120" i="2" s="1"/>
  <c r="BW116" i="2" s="1"/>
  <c r="BO112" i="2"/>
  <c r="BO115" i="2"/>
  <c r="BP111" i="2" s="1"/>
  <c r="AY27" i="4"/>
  <c r="AY28" i="4" s="1"/>
  <c r="BA148" i="2"/>
  <c r="BB27" i="11"/>
  <c r="BC25" i="11" s="1"/>
  <c r="BB26" i="11"/>
  <c r="AY23" i="11"/>
  <c r="AY24" i="11" s="1"/>
  <c r="AZ22" i="11" s="1"/>
  <c r="AY29" i="4"/>
  <c r="AM100" i="2"/>
  <c r="AM101" i="2" s="1"/>
  <c r="AY21" i="11"/>
  <c r="AZ19" i="11" s="1"/>
  <c r="AJ40" i="4" l="1"/>
  <c r="AJ41" i="4" s="1"/>
  <c r="AJ42" i="4" s="1"/>
  <c r="AH130" i="2"/>
  <c r="AI126" i="2" s="1"/>
  <c r="AH33" i="4"/>
  <c r="AH35" i="4" s="1"/>
  <c r="AH45" i="4" s="1"/>
  <c r="AH46" i="4" s="1"/>
  <c r="AH85" i="2"/>
  <c r="AJ125" i="2"/>
  <c r="AK121" i="2" s="1"/>
  <c r="AG152" i="2"/>
  <c r="AM102" i="2"/>
  <c r="AN99" i="2" s="1"/>
  <c r="AN100" i="2" s="1"/>
  <c r="AN101" i="2" s="1"/>
  <c r="AN153" i="2" s="1"/>
  <c r="AF156" i="2"/>
  <c r="AF161" i="2"/>
  <c r="K45" i="3" s="1"/>
  <c r="BW117" i="2"/>
  <c r="BW120" i="2" s="1"/>
  <c r="BX116" i="2" s="1"/>
  <c r="AZ23" i="11"/>
  <c r="AZ24" i="11"/>
  <c r="BA22" i="11" s="1"/>
  <c r="AM153" i="2"/>
  <c r="R42" i="3"/>
  <c r="BB146" i="2"/>
  <c r="BC26" i="11"/>
  <c r="BC27" i="11" s="1"/>
  <c r="BD25" i="11" s="1"/>
  <c r="AZ20" i="11"/>
  <c r="AZ82" i="2" s="1"/>
  <c r="BP112" i="2"/>
  <c r="BP115" i="2"/>
  <c r="BQ111" i="2" s="1"/>
  <c r="AH87" i="2" l="1"/>
  <c r="AH94" i="2"/>
  <c r="AH95" i="2" s="1"/>
  <c r="AH96" i="2" s="1"/>
  <c r="AZ21" i="11"/>
  <c r="BA19" i="11" s="1"/>
  <c r="AG151" i="2"/>
  <c r="K43" i="3"/>
  <c r="AI127" i="2"/>
  <c r="L38" i="3" s="1"/>
  <c r="AH36" i="4"/>
  <c r="AK122" i="2"/>
  <c r="AK124" i="2" s="1"/>
  <c r="AK84" i="2" s="1"/>
  <c r="BD26" i="11"/>
  <c r="BD27" i="11" s="1"/>
  <c r="BE25" i="11" s="1"/>
  <c r="BX117" i="2"/>
  <c r="BX120" i="2" s="1"/>
  <c r="BY116" i="2" s="1"/>
  <c r="BA23" i="11"/>
  <c r="BA24" i="11" s="1"/>
  <c r="BB22" i="11" s="1"/>
  <c r="BB148" i="2"/>
  <c r="BC146" i="2" s="1"/>
  <c r="AN102" i="2"/>
  <c r="AO99" i="2" s="1"/>
  <c r="BA20" i="11"/>
  <c r="BA82" i="2" s="1"/>
  <c r="R28" i="3" s="1"/>
  <c r="BQ112" i="2"/>
  <c r="BQ115" i="2" s="1"/>
  <c r="BR111" i="2" s="1"/>
  <c r="AZ27" i="4"/>
  <c r="AZ28" i="4" s="1"/>
  <c r="AK125" i="2" l="1"/>
  <c r="AL121" i="2" s="1"/>
  <c r="AG156" i="2"/>
  <c r="AH151" i="2" s="1"/>
  <c r="AH159" i="2" s="1"/>
  <c r="AG159" i="2"/>
  <c r="AG161" i="2" s="1"/>
  <c r="AK40" i="4"/>
  <c r="AK41" i="4" s="1"/>
  <c r="AK42" i="4" s="1"/>
  <c r="AI130" i="2"/>
  <c r="AI129" i="2"/>
  <c r="AI83" i="2" s="1"/>
  <c r="AH152" i="2"/>
  <c r="AH156" i="2" s="1"/>
  <c r="AI151" i="2" s="1"/>
  <c r="AI159" i="2" s="1"/>
  <c r="BB24" i="11"/>
  <c r="BC22" i="11" s="1"/>
  <c r="BB23" i="11"/>
  <c r="BY117" i="2"/>
  <c r="BY120" i="2" s="1"/>
  <c r="BZ116" i="2" s="1"/>
  <c r="BE26" i="11"/>
  <c r="BA27" i="4"/>
  <c r="BA28" i="4" s="1"/>
  <c r="BR112" i="2"/>
  <c r="BR115" i="2" s="1"/>
  <c r="BS111" i="2" s="1"/>
  <c r="AZ29" i="4"/>
  <c r="BA29" i="4" s="1"/>
  <c r="BA21" i="11"/>
  <c r="BB19" i="11" s="1"/>
  <c r="AO100" i="2"/>
  <c r="AO101" i="2" s="1"/>
  <c r="BC148" i="2"/>
  <c r="BD146" i="2" s="1"/>
  <c r="AJ126" i="2" l="1"/>
  <c r="D38" i="1"/>
  <c r="AI33" i="4"/>
  <c r="AI35" i="4" s="1"/>
  <c r="AI85" i="2"/>
  <c r="D29" i="1"/>
  <c r="L29" i="3"/>
  <c r="AH161" i="2"/>
  <c r="AL122" i="2"/>
  <c r="AL124" i="2" s="1"/>
  <c r="BS112" i="2"/>
  <c r="BS115" i="2" s="1"/>
  <c r="BZ117" i="2"/>
  <c r="BZ120" i="2" s="1"/>
  <c r="CA116" i="2" s="1"/>
  <c r="AO153" i="2"/>
  <c r="N33" i="3"/>
  <c r="AO102" i="2"/>
  <c r="BB20" i="11"/>
  <c r="BB82" i="2" s="1"/>
  <c r="BD148" i="2"/>
  <c r="BE27" i="11"/>
  <c r="BF25" i="11" s="1"/>
  <c r="BC23" i="11"/>
  <c r="AL84" i="2" l="1"/>
  <c r="AL125" i="2"/>
  <c r="AM121" i="2" s="1"/>
  <c r="AI94" i="2"/>
  <c r="AI95" i="2" s="1"/>
  <c r="AI96" i="2" s="1"/>
  <c r="AI87" i="2"/>
  <c r="D20" i="1"/>
  <c r="D46" i="5" s="1"/>
  <c r="L20" i="3"/>
  <c r="AI45" i="4"/>
  <c r="AI46" i="4" s="1"/>
  <c r="AI36" i="4"/>
  <c r="AJ127" i="2"/>
  <c r="AJ129" i="2" s="1"/>
  <c r="AJ83" i="2" s="1"/>
  <c r="BT111" i="2"/>
  <c r="BE146" i="2"/>
  <c r="S42" i="3"/>
  <c r="CA117" i="2"/>
  <c r="CA120" i="2"/>
  <c r="CB116" i="2" s="1"/>
  <c r="BB27" i="4"/>
  <c r="BB28" i="4" s="1"/>
  <c r="BF26" i="11"/>
  <c r="BF27" i="11" s="1"/>
  <c r="BG25" i="11" s="1"/>
  <c r="BB21" i="11"/>
  <c r="BC19" i="11" s="1"/>
  <c r="N34" i="3"/>
  <c r="AP99" i="2"/>
  <c r="BC24" i="11"/>
  <c r="BD22" i="11" s="1"/>
  <c r="AJ33" i="4" l="1"/>
  <c r="AJ35" i="4" s="1"/>
  <c r="AJ45" i="4" s="1"/>
  <c r="AJ46" i="4" s="1"/>
  <c r="AJ85" i="2"/>
  <c r="AJ36" i="4"/>
  <c r="AL40" i="4"/>
  <c r="AL41" i="4" s="1"/>
  <c r="AL42" i="4" s="1"/>
  <c r="M30" i="3"/>
  <c r="AK107" i="2"/>
  <c r="AL160" i="2"/>
  <c r="L23" i="3"/>
  <c r="D23" i="1"/>
  <c r="AI152" i="2"/>
  <c r="D21" i="1"/>
  <c r="L21" i="3"/>
  <c r="AJ130" i="2"/>
  <c r="AK126" i="2" s="1"/>
  <c r="AM124" i="2"/>
  <c r="AM84" i="2" s="1"/>
  <c r="AM122" i="2"/>
  <c r="BE148" i="2"/>
  <c r="BF146" i="2" s="1"/>
  <c r="BC20" i="11"/>
  <c r="BC82" i="2" s="1"/>
  <c r="BT115" i="2"/>
  <c r="BU111" i="2" s="1"/>
  <c r="BT112" i="2"/>
  <c r="CB117" i="2"/>
  <c r="CB120" i="2" s="1"/>
  <c r="CC116" i="2" s="1"/>
  <c r="BD23" i="11"/>
  <c r="BB29" i="4"/>
  <c r="AP100" i="2"/>
  <c r="BG26" i="11"/>
  <c r="AK108" i="2" l="1"/>
  <c r="AL106" i="2" s="1"/>
  <c r="AL108" i="2" s="1"/>
  <c r="M35" i="3"/>
  <c r="AK154" i="2"/>
  <c r="E35" i="1"/>
  <c r="AM40" i="4"/>
  <c r="AM41" i="4" s="1"/>
  <c r="AM42" i="4" s="1"/>
  <c r="AI156" i="2"/>
  <c r="AI161" i="2"/>
  <c r="AK127" i="2"/>
  <c r="AJ87" i="2"/>
  <c r="AJ94" i="2"/>
  <c r="AJ95" i="2" s="1"/>
  <c r="AJ96" i="2" s="1"/>
  <c r="AM125" i="2"/>
  <c r="AN121" i="2" s="1"/>
  <c r="E44" i="1"/>
  <c r="M44" i="3"/>
  <c r="CC117" i="2"/>
  <c r="CC120" i="2" s="1"/>
  <c r="CD116" i="2" s="1"/>
  <c r="BF148" i="2"/>
  <c r="BG146" i="2" s="1"/>
  <c r="BU112" i="2"/>
  <c r="BU115" i="2" s="1"/>
  <c r="BV111" i="2" s="1"/>
  <c r="BC21" i="11"/>
  <c r="BD19" i="11" s="1"/>
  <c r="AP101" i="2"/>
  <c r="AP102" i="2" s="1"/>
  <c r="AQ99" i="2" s="1"/>
  <c r="BD24" i="11"/>
  <c r="BE22" i="11" s="1"/>
  <c r="BG27" i="11"/>
  <c r="BH25" i="11" s="1"/>
  <c r="BC27" i="4"/>
  <c r="BC28" i="4" s="1"/>
  <c r="BC29" i="4" s="1"/>
  <c r="AJ152" i="2" l="1"/>
  <c r="AN122" i="2"/>
  <c r="AN124" i="2" s="1"/>
  <c r="AN84" i="2" s="1"/>
  <c r="AN125" i="2"/>
  <c r="AO121" i="2" s="1"/>
  <c r="AJ151" i="2"/>
  <c r="D43" i="1"/>
  <c r="L43" i="3"/>
  <c r="AK129" i="2"/>
  <c r="AK83" i="2" s="1"/>
  <c r="AM106" i="2"/>
  <c r="AM108" i="2" s="1"/>
  <c r="AN106" i="2" s="1"/>
  <c r="AN108" i="2" s="1"/>
  <c r="AO106" i="2" s="1"/>
  <c r="AO108" i="2" s="1"/>
  <c r="M36" i="3"/>
  <c r="D45" i="1"/>
  <c r="L45" i="3"/>
  <c r="AQ100" i="2"/>
  <c r="AQ101" i="2"/>
  <c r="AQ153" i="2" s="1"/>
  <c r="CD117" i="2"/>
  <c r="CD120" i="2" s="1"/>
  <c r="CE116" i="2" s="1"/>
  <c r="AP153" i="2"/>
  <c r="BD20" i="11"/>
  <c r="BD82" i="2" s="1"/>
  <c r="BH26" i="11"/>
  <c r="BV112" i="2"/>
  <c r="BV115" i="2" s="1"/>
  <c r="BW111" i="2" s="1"/>
  <c r="BG148" i="2"/>
  <c r="BE23" i="11"/>
  <c r="D100" i="5" l="1"/>
  <c r="D102" i="5" s="1"/>
  <c r="D103" i="5" s="1"/>
  <c r="D50" i="5"/>
  <c r="AO122" i="2"/>
  <c r="AO124" i="2" s="1"/>
  <c r="AN40" i="4"/>
  <c r="AN41" i="4" s="1"/>
  <c r="AN42" i="4" s="1"/>
  <c r="AQ102" i="2"/>
  <c r="AR99" i="2" s="1"/>
  <c r="N36" i="3"/>
  <c r="AP106" i="2"/>
  <c r="AP108" i="2" s="1"/>
  <c r="AQ106" i="2" s="1"/>
  <c r="AQ108" i="2" s="1"/>
  <c r="AR106" i="2" s="1"/>
  <c r="AR108" i="2" s="1"/>
  <c r="AK85" i="2"/>
  <c r="AK33" i="4"/>
  <c r="AK35" i="4" s="1"/>
  <c r="AJ159" i="2"/>
  <c r="AJ161" i="2" s="1"/>
  <c r="AJ156" i="2"/>
  <c r="AK151" i="2" s="1"/>
  <c r="AK130" i="2"/>
  <c r="AL126" i="2" s="1"/>
  <c r="BW112" i="2"/>
  <c r="BW115" i="2"/>
  <c r="BX111" i="2" s="1"/>
  <c r="AR100" i="2"/>
  <c r="AR101" i="2" s="1"/>
  <c r="BD21" i="11"/>
  <c r="BE19" i="11" s="1"/>
  <c r="CE117" i="2"/>
  <c r="CE120" i="2" s="1"/>
  <c r="CF116" i="2" s="1"/>
  <c r="BD27" i="4"/>
  <c r="BD28" i="4" s="1"/>
  <c r="S28" i="3"/>
  <c r="BE24" i="11"/>
  <c r="BF22" i="11" s="1"/>
  <c r="T42" i="3"/>
  <c r="BH146" i="2"/>
  <c r="F42" i="1"/>
  <c r="F52" i="5" s="1"/>
  <c r="BH27" i="11"/>
  <c r="BI25" i="11" s="1"/>
  <c r="AO84" i="2" l="1"/>
  <c r="AO125" i="2"/>
  <c r="AP121" i="2" s="1"/>
  <c r="O36" i="3"/>
  <c r="AS106" i="2"/>
  <c r="AS108" i="2" s="1"/>
  <c r="AT106" i="2" s="1"/>
  <c r="AT108" i="2" s="1"/>
  <c r="AU106" i="2" s="1"/>
  <c r="AU108" i="2" s="1"/>
  <c r="AK45" i="4"/>
  <c r="AK46" i="4" s="1"/>
  <c r="AK36" i="4"/>
  <c r="AK94" i="2"/>
  <c r="AK95" i="2" s="1"/>
  <c r="AK96" i="2" s="1"/>
  <c r="AK87" i="2"/>
  <c r="AK159" i="2"/>
  <c r="AL127" i="2"/>
  <c r="M38" i="3" s="1"/>
  <c r="CF117" i="2"/>
  <c r="CF120" i="2" s="1"/>
  <c r="CG116" i="2" s="1"/>
  <c r="AR153" i="2"/>
  <c r="O33" i="3"/>
  <c r="BF23" i="11"/>
  <c r="BF24" i="11" s="1"/>
  <c r="BG22" i="11" s="1"/>
  <c r="BI26" i="11"/>
  <c r="BE20" i="11"/>
  <c r="BE82" i="2" s="1"/>
  <c r="BX112" i="2"/>
  <c r="BX115" i="2"/>
  <c r="BY111" i="2" s="1"/>
  <c r="BD29" i="4"/>
  <c r="BH148" i="2"/>
  <c r="BI146" i="2" s="1"/>
  <c r="AR102" i="2"/>
  <c r="AK152" i="2" l="1"/>
  <c r="AK156" i="2" s="1"/>
  <c r="AL151" i="2" s="1"/>
  <c r="AL159" i="2" s="1"/>
  <c r="AL129" i="2"/>
  <c r="P36" i="3"/>
  <c r="AV106" i="2"/>
  <c r="AV108" i="2" s="1"/>
  <c r="AW106" i="2" s="1"/>
  <c r="E36" i="1"/>
  <c r="AK161" i="2"/>
  <c r="AP122" i="2"/>
  <c r="AO40" i="4"/>
  <c r="AO41" i="4" s="1"/>
  <c r="AO42" i="4" s="1"/>
  <c r="N30" i="3"/>
  <c r="CG117" i="2"/>
  <c r="CG120" i="2" s="1"/>
  <c r="CH116" i="2" s="1"/>
  <c r="BY112" i="2"/>
  <c r="BY115" i="2"/>
  <c r="BZ111" i="2" s="1"/>
  <c r="BE27" i="4"/>
  <c r="BE28" i="4" s="1"/>
  <c r="BE29" i="4" s="1"/>
  <c r="O34" i="3"/>
  <c r="AS99" i="2"/>
  <c r="BG23" i="11"/>
  <c r="BE21" i="11"/>
  <c r="BF19" i="11" s="1"/>
  <c r="BI27" i="11"/>
  <c r="BJ25" i="11" s="1"/>
  <c r="BI148" i="2"/>
  <c r="BJ146" i="2" s="1"/>
  <c r="AP124" i="2" l="1"/>
  <c r="AP84" i="2" s="1"/>
  <c r="AL83" i="2"/>
  <c r="AL130" i="2"/>
  <c r="AM126" i="2" s="1"/>
  <c r="CH117" i="2"/>
  <c r="CH120" i="2"/>
  <c r="BG24" i="11"/>
  <c r="BH22" i="11" s="1"/>
  <c r="BJ148" i="2"/>
  <c r="AS100" i="2"/>
  <c r="AS101" i="2" s="1"/>
  <c r="BJ26" i="11"/>
  <c r="BJ27" i="11" s="1"/>
  <c r="BK25" i="11" s="1"/>
  <c r="BF20" i="11"/>
  <c r="BF82" i="2" s="1"/>
  <c r="BZ112" i="2"/>
  <c r="BZ115" i="2" s="1"/>
  <c r="CA111" i="2" s="1"/>
  <c r="AM127" i="2" l="1"/>
  <c r="AP40" i="4"/>
  <c r="AP41" i="4" s="1"/>
  <c r="AP42" i="4" s="1"/>
  <c r="AL33" i="4"/>
  <c r="AL35" i="4" s="1"/>
  <c r="AL85" i="2"/>
  <c r="M29" i="3"/>
  <c r="AP125" i="2"/>
  <c r="AQ121" i="2" s="1"/>
  <c r="AS153" i="2"/>
  <c r="BF27" i="4"/>
  <c r="BF28" i="4" s="1"/>
  <c r="BK26" i="11"/>
  <c r="BK27" i="11" s="1"/>
  <c r="BL25" i="11" s="1"/>
  <c r="U42" i="3"/>
  <c r="BK146" i="2"/>
  <c r="AS102" i="2"/>
  <c r="AT99" i="2" s="1"/>
  <c r="BF21" i="11"/>
  <c r="BG19" i="11" s="1"/>
  <c r="BH23" i="11"/>
  <c r="BH24" i="11" s="1"/>
  <c r="BI22" i="11" s="1"/>
  <c r="CA112" i="2"/>
  <c r="CA115" i="2" s="1"/>
  <c r="CB111" i="2" s="1"/>
  <c r="AL87" i="2" l="1"/>
  <c r="AL94" i="2"/>
  <c r="AL95" i="2" s="1"/>
  <c r="AL96" i="2" s="1"/>
  <c r="M23" i="3" s="1"/>
  <c r="M20" i="3"/>
  <c r="AL45" i="4"/>
  <c r="AL46" i="4" s="1"/>
  <c r="AL36" i="4"/>
  <c r="AM130" i="2"/>
  <c r="AN126" i="2" s="1"/>
  <c r="AQ122" i="2"/>
  <c r="AQ124" i="2" s="1"/>
  <c r="AQ84" i="2" s="1"/>
  <c r="AM129" i="2"/>
  <c r="AM83" i="2" s="1"/>
  <c r="CB112" i="2"/>
  <c r="CB115" i="2" s="1"/>
  <c r="CC111" i="2" s="1"/>
  <c r="BI23" i="11"/>
  <c r="BI24" i="11" s="1"/>
  <c r="BJ22" i="11" s="1"/>
  <c r="BL26" i="11"/>
  <c r="BL27" i="11" s="1"/>
  <c r="BM25" i="11" s="1"/>
  <c r="BK148" i="2"/>
  <c r="BL146" i="2" s="1"/>
  <c r="BF29" i="4"/>
  <c r="AT100" i="2"/>
  <c r="AT101" i="2" s="1"/>
  <c r="BG20" i="11"/>
  <c r="BG82" i="2" s="1"/>
  <c r="AQ40" i="4" l="1"/>
  <c r="AQ41" i="4" s="1"/>
  <c r="AQ42" i="4" s="1"/>
  <c r="AN127" i="2"/>
  <c r="AN129" i="2" s="1"/>
  <c r="AM36" i="4"/>
  <c r="AM46" i="4"/>
  <c r="AQ125" i="2"/>
  <c r="AR121" i="2" s="1"/>
  <c r="AM33" i="4"/>
  <c r="AM35" i="4" s="1"/>
  <c r="AM45" i="4" s="1"/>
  <c r="AM85" i="2"/>
  <c r="AL152" i="2"/>
  <c r="M21" i="3"/>
  <c r="AT153" i="2"/>
  <c r="CC112" i="2"/>
  <c r="CC115" i="2" s="1"/>
  <c r="CD111" i="2" s="1"/>
  <c r="BL148" i="2"/>
  <c r="BM146" i="2" s="1"/>
  <c r="BG21" i="11"/>
  <c r="BH19" i="11" s="1"/>
  <c r="BM26" i="11"/>
  <c r="BM27" i="11"/>
  <c r="BN25" i="11" s="1"/>
  <c r="AT102" i="2"/>
  <c r="AU99" i="2" s="1"/>
  <c r="BJ23" i="11"/>
  <c r="BG27" i="4"/>
  <c r="BG28" i="4" s="1"/>
  <c r="T28" i="3"/>
  <c r="F28" i="1"/>
  <c r="AN83" i="2" l="1"/>
  <c r="AN130" i="2"/>
  <c r="AO126" i="2" s="1"/>
  <c r="AL156" i="2"/>
  <c r="AL161" i="2"/>
  <c r="M45" i="3" s="1"/>
  <c r="AM94" i="2"/>
  <c r="AM95" i="2" s="1"/>
  <c r="AM96" i="2" s="1"/>
  <c r="AM87" i="2"/>
  <c r="AR122" i="2"/>
  <c r="AR124" i="2"/>
  <c r="AR84" i="2" s="1"/>
  <c r="CD112" i="2"/>
  <c r="CD115" i="2" s="1"/>
  <c r="CE111" i="2" s="1"/>
  <c r="BN26" i="11"/>
  <c r="BN27" i="11" s="1"/>
  <c r="BO25" i="11" s="1"/>
  <c r="AU100" i="2"/>
  <c r="AU101" i="2" s="1"/>
  <c r="BH20" i="11"/>
  <c r="BH82" i="2" s="1"/>
  <c r="BG29" i="4"/>
  <c r="BJ24" i="11"/>
  <c r="BK22" i="11" s="1"/>
  <c r="BM148" i="2"/>
  <c r="AM152" i="2" l="1"/>
  <c r="M43" i="3"/>
  <c r="AM151" i="2"/>
  <c r="AO127" i="2"/>
  <c r="N38" i="3" s="1"/>
  <c r="AO129" i="2"/>
  <c r="AO83" i="2" s="1"/>
  <c r="AO130" i="2"/>
  <c r="AP126" i="2" s="1"/>
  <c r="AR40" i="4"/>
  <c r="AR41" i="4" s="1"/>
  <c r="AR42" i="4" s="1"/>
  <c r="O30" i="3"/>
  <c r="AR125" i="2"/>
  <c r="AS121" i="2" s="1"/>
  <c r="AN33" i="4"/>
  <c r="AN35" i="4" s="1"/>
  <c r="AN85" i="2"/>
  <c r="N29" i="3"/>
  <c r="AU153" i="2"/>
  <c r="E33" i="1"/>
  <c r="P33" i="3"/>
  <c r="BO26" i="11"/>
  <c r="BO27" i="11" s="1"/>
  <c r="BP25" i="11" s="1"/>
  <c r="CE112" i="2"/>
  <c r="CE115" i="2"/>
  <c r="BH27" i="4"/>
  <c r="BH28" i="4" s="1"/>
  <c r="BH29" i="4" s="1"/>
  <c r="AU102" i="2"/>
  <c r="BK23" i="11"/>
  <c r="BK24" i="11" s="1"/>
  <c r="BL22" i="11" s="1"/>
  <c r="V42" i="3"/>
  <c r="BN146" i="2"/>
  <c r="BH21" i="11"/>
  <c r="BI19" i="11" s="1"/>
  <c r="AN94" i="2" l="1"/>
  <c r="AN95" i="2" s="1"/>
  <c r="AN96" i="2" s="1"/>
  <c r="AN87" i="2"/>
  <c r="AO33" i="4"/>
  <c r="AO35" i="4" s="1"/>
  <c r="AO45" i="4" s="1"/>
  <c r="AO85" i="2"/>
  <c r="AP127" i="2"/>
  <c r="AS122" i="2"/>
  <c r="AS124" i="2"/>
  <c r="AS84" i="2" s="1"/>
  <c r="AS125" i="2"/>
  <c r="AT121" i="2" s="1"/>
  <c r="AM156" i="2"/>
  <c r="AN151" i="2" s="1"/>
  <c r="AM159" i="2"/>
  <c r="AM161" i="2" s="1"/>
  <c r="AN45" i="4"/>
  <c r="AN46" i="4" s="1"/>
  <c r="AN36" i="4"/>
  <c r="AO36" i="4" s="1"/>
  <c r="BP26" i="11"/>
  <c r="BL23" i="11"/>
  <c r="BL24" i="11"/>
  <c r="BM22" i="11" s="1"/>
  <c r="BI20" i="11"/>
  <c r="BI82" i="2" s="1"/>
  <c r="CF111" i="2"/>
  <c r="BN148" i="2"/>
  <c r="BO146" i="2" s="1"/>
  <c r="P34" i="3"/>
  <c r="AV99" i="2"/>
  <c r="E34" i="1"/>
  <c r="AP129" i="2" l="1"/>
  <c r="AP83" i="2" s="1"/>
  <c r="AO94" i="2"/>
  <c r="AO95" i="2" s="1"/>
  <c r="AO96" i="2" s="1"/>
  <c r="N23" i="3" s="1"/>
  <c r="AO87" i="2"/>
  <c r="AO152" i="2" s="1"/>
  <c r="AO46" i="4"/>
  <c r="N20" i="3"/>
  <c r="AS40" i="4"/>
  <c r="AS41" i="4" s="1"/>
  <c r="AS42" i="4" s="1"/>
  <c r="AN152" i="2"/>
  <c r="AN156" i="2"/>
  <c r="AO151" i="2" s="1"/>
  <c r="AN159" i="2"/>
  <c r="AN161" i="2" s="1"/>
  <c r="AT122" i="2"/>
  <c r="BI21" i="11"/>
  <c r="BJ19" i="11" s="1"/>
  <c r="BM23" i="11"/>
  <c r="BM24" i="11" s="1"/>
  <c r="BN22" i="11" s="1"/>
  <c r="BI27" i="4"/>
  <c r="BI28" i="4" s="1"/>
  <c r="BO148" i="2"/>
  <c r="BP146" i="2" s="1"/>
  <c r="CF112" i="2"/>
  <c r="CF115" i="2" s="1"/>
  <c r="CG111" i="2" s="1"/>
  <c r="AV100" i="2"/>
  <c r="BP27" i="11"/>
  <c r="BQ25" i="11" s="1"/>
  <c r="AV101" i="2" l="1"/>
  <c r="AV102" i="2" s="1"/>
  <c r="AW99" i="2" s="1"/>
  <c r="AO159" i="2"/>
  <c r="AO161" i="2" s="1"/>
  <c r="N45" i="3" s="1"/>
  <c r="AO156" i="2"/>
  <c r="N21" i="3"/>
  <c r="AP33" i="4"/>
  <c r="AP35" i="4" s="1"/>
  <c r="AP85" i="2"/>
  <c r="AT124" i="2"/>
  <c r="AT84" i="2" s="1"/>
  <c r="AP130" i="2"/>
  <c r="AQ126" i="2" s="1"/>
  <c r="BN23" i="11"/>
  <c r="BN24" i="11" s="1"/>
  <c r="BO22" i="11" s="1"/>
  <c r="CG112" i="2"/>
  <c r="CG115" i="2" s="1"/>
  <c r="CH111" i="2" s="1"/>
  <c r="BQ26" i="11"/>
  <c r="BQ27" i="11" s="1"/>
  <c r="BR25" i="11" s="1"/>
  <c r="AV153" i="2"/>
  <c r="BI29" i="4"/>
  <c r="BJ20" i="11"/>
  <c r="BJ82" i="2" s="1"/>
  <c r="BP148" i="2"/>
  <c r="AW100" i="2" l="1"/>
  <c r="N43" i="3"/>
  <c r="AP151" i="2"/>
  <c r="AP45" i="4"/>
  <c r="AP46" i="4" s="1"/>
  <c r="AP36" i="4"/>
  <c r="AT40" i="4"/>
  <c r="AT41" i="4" s="1"/>
  <c r="AT42" i="4" s="1"/>
  <c r="AQ127" i="2"/>
  <c r="AQ129" i="2" s="1"/>
  <c r="AQ83" i="2" s="1"/>
  <c r="AQ130" i="2"/>
  <c r="AR126" i="2" s="1"/>
  <c r="AP94" i="2"/>
  <c r="AP95" i="2" s="1"/>
  <c r="AP96" i="2" s="1"/>
  <c r="AP87" i="2"/>
  <c r="AT125" i="2"/>
  <c r="AU121" i="2" s="1"/>
  <c r="BO23" i="11"/>
  <c r="CH112" i="2"/>
  <c r="CH115" i="2" s="1"/>
  <c r="BR26" i="11"/>
  <c r="BJ27" i="4"/>
  <c r="BJ28" i="4" s="1"/>
  <c r="BJ29" i="4" s="1"/>
  <c r="U28" i="3"/>
  <c r="W42" i="3"/>
  <c r="BQ146" i="2"/>
  <c r="BJ21" i="11"/>
  <c r="BK19" i="11" s="1"/>
  <c r="AU122" i="2" l="1"/>
  <c r="AU124" i="2" s="1"/>
  <c r="AP159" i="2"/>
  <c r="AP152" i="2"/>
  <c r="AP156" i="2" s="1"/>
  <c r="AQ151" i="2" s="1"/>
  <c r="AQ159" i="2" s="1"/>
  <c r="AR127" i="2"/>
  <c r="O38" i="3" s="1"/>
  <c r="AR129" i="2"/>
  <c r="AR83" i="2" s="1"/>
  <c r="O29" i="3" s="1"/>
  <c r="AQ33" i="4"/>
  <c r="AQ35" i="4" s="1"/>
  <c r="AQ45" i="4" s="1"/>
  <c r="AQ46" i="4" s="1"/>
  <c r="AQ85" i="2"/>
  <c r="AW102" i="2"/>
  <c r="AX99" i="2" s="1"/>
  <c r="AX100" i="2" s="1"/>
  <c r="AX101" i="2" s="1"/>
  <c r="AX153" i="2" s="1"/>
  <c r="AW101" i="2"/>
  <c r="AW153" i="2" s="1"/>
  <c r="BK20" i="11"/>
  <c r="BK82" i="2" s="1"/>
  <c r="BQ148" i="2"/>
  <c r="BR146" i="2" s="1"/>
  <c r="BR27" i="11"/>
  <c r="BS25" i="11" s="1"/>
  <c r="BO24" i="11"/>
  <c r="BP22" i="11" s="1"/>
  <c r="AU84" i="2" l="1"/>
  <c r="AU125" i="2"/>
  <c r="AP161" i="2"/>
  <c r="AQ94" i="2"/>
  <c r="AQ95" i="2" s="1"/>
  <c r="AQ96" i="2" s="1"/>
  <c r="AQ87" i="2"/>
  <c r="O20" i="3"/>
  <c r="AR33" i="4"/>
  <c r="AR35" i="4" s="1"/>
  <c r="AR45" i="4" s="1"/>
  <c r="AR46" i="4" s="1"/>
  <c r="AR85" i="2"/>
  <c r="AQ36" i="4"/>
  <c r="Q33" i="3"/>
  <c r="AR130" i="2"/>
  <c r="AS126" i="2" s="1"/>
  <c r="AX102" i="2"/>
  <c r="Q34" i="3" s="1"/>
  <c r="BK21" i="11"/>
  <c r="BL19" i="11" s="1"/>
  <c r="BL20" i="11" s="1"/>
  <c r="BL82" i="2" s="1"/>
  <c r="BK27" i="4"/>
  <c r="BK28" i="4" s="1"/>
  <c r="BP23" i="11"/>
  <c r="BS26" i="11"/>
  <c r="BS27" i="11" s="1"/>
  <c r="BT25" i="11" s="1"/>
  <c r="BR148" i="2"/>
  <c r="BS146" i="2" s="1"/>
  <c r="AQ152" i="2" l="1"/>
  <c r="AS127" i="2"/>
  <c r="AS129" i="2" s="1"/>
  <c r="AS83" i="2" s="1"/>
  <c r="BL21" i="11"/>
  <c r="BM19" i="11" s="1"/>
  <c r="AV121" i="2"/>
  <c r="AR36" i="4"/>
  <c r="AU40" i="4"/>
  <c r="AU41" i="4" s="1"/>
  <c r="AU42" i="4" s="1"/>
  <c r="E30" i="1"/>
  <c r="P30" i="3"/>
  <c r="AY99" i="2"/>
  <c r="AR94" i="2"/>
  <c r="AR95" i="2" s="1"/>
  <c r="AR96" i="2" s="1"/>
  <c r="AR87" i="2"/>
  <c r="AR152" i="2" s="1"/>
  <c r="BT26" i="11"/>
  <c r="BT27" i="11" s="1"/>
  <c r="BU25" i="11" s="1"/>
  <c r="BK29" i="4"/>
  <c r="BL27" i="4"/>
  <c r="BL28" i="4" s="1"/>
  <c r="BS148" i="2"/>
  <c r="BP24" i="11"/>
  <c r="BQ22" i="11" s="1"/>
  <c r="BM20" i="11"/>
  <c r="BM82" i="2" s="1"/>
  <c r="V28" i="3" s="1"/>
  <c r="AY100" i="2"/>
  <c r="AV122" i="2" l="1"/>
  <c r="AV124" i="2"/>
  <c r="AV84" i="2" s="1"/>
  <c r="AS130" i="2"/>
  <c r="AT126" i="2" s="1"/>
  <c r="AS33" i="4"/>
  <c r="AS35" i="4" s="1"/>
  <c r="AS45" i="4" s="1"/>
  <c r="AS46" i="4" s="1"/>
  <c r="AS85" i="2"/>
  <c r="O23" i="3"/>
  <c r="AS36" i="4"/>
  <c r="O21" i="3"/>
  <c r="AQ156" i="2"/>
  <c r="AR151" i="2" s="1"/>
  <c r="AR159" i="2" s="1"/>
  <c r="AR161" i="2" s="1"/>
  <c r="O45" i="3" s="1"/>
  <c r="AQ161" i="2"/>
  <c r="BU26" i="11"/>
  <c r="BL29" i="4"/>
  <c r="AY101" i="2"/>
  <c r="BM27" i="4"/>
  <c r="BM28" i="4" s="1"/>
  <c r="BM21" i="11"/>
  <c r="BN19" i="11" s="1"/>
  <c r="X42" i="3"/>
  <c r="BT146" i="2"/>
  <c r="G42" i="1"/>
  <c r="BQ23" i="11"/>
  <c r="AV125" i="2" l="1"/>
  <c r="AW121" i="2" s="1"/>
  <c r="AV40" i="4"/>
  <c r="AV41" i="4" s="1"/>
  <c r="AV42" i="4" s="1"/>
  <c r="AR156" i="2"/>
  <c r="AT127" i="2"/>
  <c r="AT130" i="2" s="1"/>
  <c r="AU126" i="2" s="1"/>
  <c r="AT129" i="2"/>
  <c r="AT83" i="2" s="1"/>
  <c r="BM29" i="4"/>
  <c r="AS87" i="2"/>
  <c r="AS94" i="2"/>
  <c r="AS95" i="2" s="1"/>
  <c r="AS96" i="2" s="1"/>
  <c r="BT148" i="2"/>
  <c r="BU146" i="2" s="1"/>
  <c r="BQ24" i="11"/>
  <c r="BR22" i="11" s="1"/>
  <c r="BN20" i="11"/>
  <c r="BN82" i="2" s="1"/>
  <c r="AY153" i="2"/>
  <c r="BU27" i="11"/>
  <c r="BV25" i="11" s="1"/>
  <c r="G52" i="5"/>
  <c r="E71" i="5"/>
  <c r="AY102" i="2"/>
  <c r="AZ99" i="2" s="1"/>
  <c r="AU127" i="2" l="1"/>
  <c r="P38" i="3" s="1"/>
  <c r="AU129" i="2"/>
  <c r="AU83" i="2" s="1"/>
  <c r="O43" i="3"/>
  <c r="AS151" i="2"/>
  <c r="AS152" i="2"/>
  <c r="AW122" i="2"/>
  <c r="AW124" i="2" s="1"/>
  <c r="AW84" i="2" s="1"/>
  <c r="AW125" i="2"/>
  <c r="AX121" i="2" s="1"/>
  <c r="AT33" i="4"/>
  <c r="AT35" i="4" s="1"/>
  <c r="AT85" i="2"/>
  <c r="P29" i="3"/>
  <c r="E29" i="1"/>
  <c r="BU148" i="2"/>
  <c r="BV146" i="2" s="1"/>
  <c r="BN21" i="11"/>
  <c r="BO19" i="11" s="1"/>
  <c r="BV26" i="11"/>
  <c r="BV27" i="11" s="1"/>
  <c r="BW25" i="11" s="1"/>
  <c r="BN27" i="4"/>
  <c r="BN28" i="4" s="1"/>
  <c r="AZ100" i="2"/>
  <c r="BR23" i="11"/>
  <c r="BR24" i="11" s="1"/>
  <c r="BS22" i="11" s="1"/>
  <c r="AT45" i="4" l="1"/>
  <c r="AT46" i="4" s="1"/>
  <c r="AT36" i="4"/>
  <c r="AS156" i="2"/>
  <c r="AT151" i="2" s="1"/>
  <c r="AT159" i="2" s="1"/>
  <c r="AS159" i="2"/>
  <c r="AS161" i="2" s="1"/>
  <c r="AX122" i="2"/>
  <c r="AU130" i="2"/>
  <c r="AW40" i="4"/>
  <c r="AW41" i="4" s="1"/>
  <c r="AW42" i="4" s="1"/>
  <c r="AU85" i="2"/>
  <c r="P20" i="3" s="1"/>
  <c r="AU33" i="4"/>
  <c r="AU35" i="4" s="1"/>
  <c r="AU45" i="4" s="1"/>
  <c r="AU46" i="4" s="1"/>
  <c r="AZ101" i="2"/>
  <c r="AZ102" i="2" s="1"/>
  <c r="BA99" i="2" s="1"/>
  <c r="BA100" i="2" s="1"/>
  <c r="AT94" i="2"/>
  <c r="AT95" i="2" s="1"/>
  <c r="AT96" i="2" s="1"/>
  <c r="AT87" i="2"/>
  <c r="BS23" i="11"/>
  <c r="BW26" i="11"/>
  <c r="BW27" i="11" s="1"/>
  <c r="BX25" i="11" s="1"/>
  <c r="AZ153" i="2"/>
  <c r="BV148" i="2"/>
  <c r="BN29" i="4"/>
  <c r="BO20" i="11"/>
  <c r="BO82" i="2" s="1"/>
  <c r="BO21" i="11"/>
  <c r="BP19" i="11" s="1"/>
  <c r="AT152" i="2" l="1"/>
  <c r="AT156" i="2" s="1"/>
  <c r="AU151" i="2" s="1"/>
  <c r="AW107" i="2"/>
  <c r="E23" i="1"/>
  <c r="AX160" i="2"/>
  <c r="AT161" i="2"/>
  <c r="AU36" i="4"/>
  <c r="AV126" i="2"/>
  <c r="E38" i="1"/>
  <c r="AX124" i="2"/>
  <c r="AX84" i="2" s="1"/>
  <c r="AU94" i="2"/>
  <c r="AU95" i="2" s="1"/>
  <c r="AU96" i="2" s="1"/>
  <c r="P23" i="3" s="1"/>
  <c r="AU87" i="2"/>
  <c r="AU152" i="2" s="1"/>
  <c r="E20" i="1"/>
  <c r="E46" i="5" s="1"/>
  <c r="BX26" i="11"/>
  <c r="BX27" i="11" s="1"/>
  <c r="BY25" i="11" s="1"/>
  <c r="BP20" i="11"/>
  <c r="BP82" i="2" s="1"/>
  <c r="BA101" i="2"/>
  <c r="BO27" i="4"/>
  <c r="BO28" i="4" s="1"/>
  <c r="BO29" i="4" s="1"/>
  <c r="Y42" i="3"/>
  <c r="BW146" i="2"/>
  <c r="BS24" i="11"/>
  <c r="BT22" i="11" s="1"/>
  <c r="AW154" i="2" l="1"/>
  <c r="Q35" i="3"/>
  <c r="AW108" i="2"/>
  <c r="AX106" i="2" s="1"/>
  <c r="AX108" i="2" s="1"/>
  <c r="F35" i="1"/>
  <c r="P21" i="3"/>
  <c r="E21" i="1"/>
  <c r="AV127" i="2"/>
  <c r="AV130" i="2" s="1"/>
  <c r="AW126" i="2" s="1"/>
  <c r="AV129" i="2"/>
  <c r="AV83" i="2" s="1"/>
  <c r="AU159" i="2"/>
  <c r="AU161" i="2" s="1"/>
  <c r="AU156" i="2"/>
  <c r="Q44" i="3"/>
  <c r="F44" i="1"/>
  <c r="AX40" i="4"/>
  <c r="AX41" i="4" s="1"/>
  <c r="AX42" i="4" s="1"/>
  <c r="Q30" i="3"/>
  <c r="AX125" i="2"/>
  <c r="AY121" i="2" s="1"/>
  <c r="BY26" i="11"/>
  <c r="BP27" i="4"/>
  <c r="BP28" i="4" s="1"/>
  <c r="BP29" i="4" s="1"/>
  <c r="BA153" i="2"/>
  <c r="R33" i="3"/>
  <c r="BP21" i="11"/>
  <c r="BQ19" i="11" s="1"/>
  <c r="BW148" i="2"/>
  <c r="BX146" i="2" s="1"/>
  <c r="W28" i="3"/>
  <c r="BT23" i="11"/>
  <c r="BA102" i="2"/>
  <c r="AW127" i="2" l="1"/>
  <c r="AW129" i="2" s="1"/>
  <c r="AW83" i="2" s="1"/>
  <c r="AV33" i="4"/>
  <c r="AV35" i="4" s="1"/>
  <c r="AV85" i="2"/>
  <c r="P43" i="3"/>
  <c r="AV151" i="2"/>
  <c r="E43" i="1"/>
  <c r="P45" i="3"/>
  <c r="E45" i="1"/>
  <c r="AY122" i="2"/>
  <c r="AY124" i="2" s="1"/>
  <c r="AY84" i="2" s="1"/>
  <c r="Q36" i="3"/>
  <c r="AY106" i="2"/>
  <c r="AY108" i="2" s="1"/>
  <c r="AZ106" i="2" s="1"/>
  <c r="AZ108" i="2" s="1"/>
  <c r="BA106" i="2" s="1"/>
  <c r="BA108" i="2" s="1"/>
  <c r="BX148" i="2"/>
  <c r="BY146" i="2" s="1"/>
  <c r="BQ20" i="11"/>
  <c r="BQ82" i="2" s="1"/>
  <c r="R34" i="3"/>
  <c r="BB99" i="2"/>
  <c r="BT24" i="11"/>
  <c r="BU22" i="11" s="1"/>
  <c r="BY27" i="11"/>
  <c r="BZ25" i="11" s="1"/>
  <c r="AY40" i="4" l="1"/>
  <c r="AY41" i="4" s="1"/>
  <c r="AY42" i="4" s="1"/>
  <c r="BQ21" i="11"/>
  <c r="BR19" i="11" s="1"/>
  <c r="BR20" i="11" s="1"/>
  <c r="BR82" i="2" s="1"/>
  <c r="AV94" i="2"/>
  <c r="AV95" i="2" s="1"/>
  <c r="AV96" i="2" s="1"/>
  <c r="AV87" i="2"/>
  <c r="AV152" i="2" s="1"/>
  <c r="AV156" i="2" s="1"/>
  <c r="AW151" i="2" s="1"/>
  <c r="AW159" i="2" s="1"/>
  <c r="AV45" i="4"/>
  <c r="AV46" i="4" s="1"/>
  <c r="AW46" i="4" s="1"/>
  <c r="AV36" i="4"/>
  <c r="AW36" i="4" s="1"/>
  <c r="E100" i="5"/>
  <c r="E102" i="5" s="1"/>
  <c r="E103" i="5" s="1"/>
  <c r="E50" i="5"/>
  <c r="D72" i="5"/>
  <c r="AY125" i="2"/>
  <c r="AZ121" i="2" s="1"/>
  <c r="AW130" i="2"/>
  <c r="AX126" i="2" s="1"/>
  <c r="BB106" i="2"/>
  <c r="BB108" i="2" s="1"/>
  <c r="BC106" i="2" s="1"/>
  <c r="BC108" i="2" s="1"/>
  <c r="BD106" i="2" s="1"/>
  <c r="BD108" i="2" s="1"/>
  <c r="R36" i="3"/>
  <c r="AV159" i="2"/>
  <c r="AV161" i="2" s="1"/>
  <c r="AW33" i="4"/>
  <c r="AW35" i="4" s="1"/>
  <c r="AW45" i="4" s="1"/>
  <c r="AW85" i="2"/>
  <c r="BZ26" i="11"/>
  <c r="BU23" i="11"/>
  <c r="BU24" i="11" s="1"/>
  <c r="BV22" i="11" s="1"/>
  <c r="BQ27" i="4"/>
  <c r="BQ28" i="4" s="1"/>
  <c r="BY148" i="2"/>
  <c r="BB100" i="2"/>
  <c r="BB101" i="2" s="1"/>
  <c r="S36" i="3" l="1"/>
  <c r="BE106" i="2"/>
  <c r="BE108" i="2" s="1"/>
  <c r="BF106" i="2" s="1"/>
  <c r="BF108" i="2" s="1"/>
  <c r="BG106" i="2" s="1"/>
  <c r="BG108" i="2" s="1"/>
  <c r="AX127" i="2"/>
  <c r="Q38" i="3" s="1"/>
  <c r="AZ122" i="2"/>
  <c r="AW94" i="2"/>
  <c r="AW95" i="2" s="1"/>
  <c r="AW96" i="2" s="1"/>
  <c r="AW87" i="2"/>
  <c r="BZ146" i="2"/>
  <c r="Z42" i="3"/>
  <c r="BB153" i="2"/>
  <c r="BQ29" i="4"/>
  <c r="BR29" i="4" s="1"/>
  <c r="BR21" i="11"/>
  <c r="BS19" i="11" s="1"/>
  <c r="BB102" i="2"/>
  <c r="BC99" i="2" s="1"/>
  <c r="BR27" i="4"/>
  <c r="BR28" i="4" s="1"/>
  <c r="BV23" i="11"/>
  <c r="BV24" i="11"/>
  <c r="BW22" i="11" s="1"/>
  <c r="BZ27" i="11"/>
  <c r="CA25" i="11" s="1"/>
  <c r="AX129" i="2" l="1"/>
  <c r="AW152" i="2"/>
  <c r="T36" i="3"/>
  <c r="F36" i="1"/>
  <c r="BH106" i="2"/>
  <c r="BH108" i="2" s="1"/>
  <c r="BI106" i="2" s="1"/>
  <c r="AZ124" i="2"/>
  <c r="AZ84" i="2" s="1"/>
  <c r="BZ148" i="2"/>
  <c r="CA146" i="2" s="1"/>
  <c r="CA26" i="11"/>
  <c r="CA27" i="11" s="1"/>
  <c r="CB25" i="11" s="1"/>
  <c r="BC100" i="2"/>
  <c r="BC101" i="2" s="1"/>
  <c r="BS20" i="11"/>
  <c r="BS82" i="2" s="1"/>
  <c r="BW23" i="11"/>
  <c r="AW156" i="2" l="1"/>
  <c r="AX151" i="2" s="1"/>
  <c r="AW161" i="2"/>
  <c r="AX83" i="2"/>
  <c r="AX130" i="2"/>
  <c r="AY126" i="2" s="1"/>
  <c r="AZ40" i="4"/>
  <c r="AZ41" i="4" s="1"/>
  <c r="AZ42" i="4" s="1"/>
  <c r="AZ125" i="2"/>
  <c r="BA121" i="2" s="1"/>
  <c r="CB26" i="11"/>
  <c r="BC153" i="2"/>
  <c r="CA148" i="2"/>
  <c r="CB146" i="2" s="1"/>
  <c r="BW24" i="11"/>
  <c r="BX22" i="11" s="1"/>
  <c r="BS27" i="4"/>
  <c r="BS28" i="4" s="1"/>
  <c r="X28" i="3"/>
  <c r="G28" i="1"/>
  <c r="BS21" i="11"/>
  <c r="BT19" i="11" s="1"/>
  <c r="BC102" i="2"/>
  <c r="BD99" i="2" s="1"/>
  <c r="BA122" i="2" l="1"/>
  <c r="AY127" i="2"/>
  <c r="AY129" i="2"/>
  <c r="AY83" i="2" s="1"/>
  <c r="AY130" i="2"/>
  <c r="AZ126" i="2" s="1"/>
  <c r="AX33" i="4"/>
  <c r="AX35" i="4" s="1"/>
  <c r="AX85" i="2"/>
  <c r="Q29" i="3"/>
  <c r="AX159" i="2"/>
  <c r="CB148" i="2"/>
  <c r="BS29" i="4"/>
  <c r="BD100" i="2"/>
  <c r="BD101" i="2" s="1"/>
  <c r="BX23" i="11"/>
  <c r="BX24" i="11" s="1"/>
  <c r="BY22" i="11" s="1"/>
  <c r="BT20" i="11"/>
  <c r="BT82" i="2" s="1"/>
  <c r="CB27" i="11"/>
  <c r="CC25" i="11" s="1"/>
  <c r="AZ127" i="2" l="1"/>
  <c r="AZ129" i="2" s="1"/>
  <c r="AX87" i="2"/>
  <c r="AX94" i="2"/>
  <c r="AX95" i="2" s="1"/>
  <c r="AX96" i="2" s="1"/>
  <c r="Q23" i="3" s="1"/>
  <c r="Q20" i="3"/>
  <c r="BA124" i="2"/>
  <c r="BA84" i="2" s="1"/>
  <c r="AX45" i="4"/>
  <c r="AX46" i="4" s="1"/>
  <c r="AX36" i="4"/>
  <c r="AY33" i="4"/>
  <c r="AY35" i="4" s="1"/>
  <c r="AY45" i="4" s="1"/>
  <c r="AY85" i="2"/>
  <c r="BT21" i="11"/>
  <c r="BU19" i="11" s="1"/>
  <c r="BY23" i="11"/>
  <c r="BD153" i="2"/>
  <c r="S33" i="3"/>
  <c r="BT27" i="4"/>
  <c r="BT28" i="4" s="1"/>
  <c r="BT29" i="4"/>
  <c r="CC146" i="2"/>
  <c r="AA42" i="3"/>
  <c r="CC26" i="11"/>
  <c r="CC27" i="11"/>
  <c r="CD25" i="11" s="1"/>
  <c r="BD102" i="2"/>
  <c r="AZ83" i="2" l="1"/>
  <c r="AZ130" i="2"/>
  <c r="BA126" i="2" s="1"/>
  <c r="AX152" i="2"/>
  <c r="Q21" i="3"/>
  <c r="AY94" i="2"/>
  <c r="AY95" i="2" s="1"/>
  <c r="AY96" i="2" s="1"/>
  <c r="AY87" i="2"/>
  <c r="AY152" i="2" s="1"/>
  <c r="AY36" i="4"/>
  <c r="AY46" i="4"/>
  <c r="BU20" i="11"/>
  <c r="BU82" i="2" s="1"/>
  <c r="BA40" i="4"/>
  <c r="BA41" i="4" s="1"/>
  <c r="BA42" i="4" s="1"/>
  <c r="R30" i="3"/>
  <c r="BA125" i="2"/>
  <c r="BB121" i="2" s="1"/>
  <c r="S34" i="3"/>
  <c r="BE99" i="2"/>
  <c r="CC148" i="2"/>
  <c r="CD146" i="2" s="1"/>
  <c r="CD26" i="11"/>
  <c r="CD27" i="11"/>
  <c r="CE25" i="11" s="1"/>
  <c r="BU27" i="4"/>
  <c r="BU28" i="4" s="1"/>
  <c r="BU29" i="4" s="1"/>
  <c r="BY24" i="11"/>
  <c r="BZ22" i="11" s="1"/>
  <c r="BB122" i="2" l="1"/>
  <c r="BB124" i="2" s="1"/>
  <c r="BB84" i="2" s="1"/>
  <c r="BB125" i="2"/>
  <c r="BC121" i="2" s="1"/>
  <c r="AX156" i="2"/>
  <c r="AX161" i="2"/>
  <c r="Q45" i="3" s="1"/>
  <c r="BA127" i="2"/>
  <c r="R38" i="3" s="1"/>
  <c r="AZ33" i="4"/>
  <c r="AZ35" i="4" s="1"/>
  <c r="AZ45" i="4" s="1"/>
  <c r="AZ46" i="4" s="1"/>
  <c r="AZ85" i="2"/>
  <c r="BU21" i="11"/>
  <c r="BV19" i="11" s="1"/>
  <c r="BV20" i="11" s="1"/>
  <c r="BV82" i="2" s="1"/>
  <c r="Y28" i="3" s="1"/>
  <c r="BV21" i="11"/>
  <c r="BW19" i="11" s="1"/>
  <c r="BV27" i="4"/>
  <c r="BV28" i="4" s="1"/>
  <c r="BE100" i="2"/>
  <c r="BZ24" i="11"/>
  <c r="CA22" i="11" s="1"/>
  <c r="BZ23" i="11"/>
  <c r="CD148" i="2"/>
  <c r="CE146" i="2" s="1"/>
  <c r="CE26" i="11"/>
  <c r="CE27" i="11" s="1"/>
  <c r="CF25" i="11" s="1"/>
  <c r="AZ36" i="4" l="1"/>
  <c r="BA129" i="2"/>
  <c r="BA83" i="2" s="1"/>
  <c r="AZ87" i="2"/>
  <c r="AZ94" i="2"/>
  <c r="AZ95" i="2" s="1"/>
  <c r="AZ96" i="2" s="1"/>
  <c r="Q43" i="3"/>
  <c r="AY151" i="2"/>
  <c r="BC122" i="2"/>
  <c r="BC124" i="2" s="1"/>
  <c r="BB40" i="4"/>
  <c r="BB41" i="4" s="1"/>
  <c r="BB42" i="4" s="1"/>
  <c r="CA23" i="11"/>
  <c r="CA24" i="11" s="1"/>
  <c r="CB22" i="11" s="1"/>
  <c r="BE101" i="2"/>
  <c r="CF26" i="11"/>
  <c r="BW20" i="11"/>
  <c r="BW82" i="2" s="1"/>
  <c r="CE148" i="2"/>
  <c r="BV29" i="4"/>
  <c r="BC84" i="2" l="1"/>
  <c r="BC125" i="2"/>
  <c r="BD121" i="2" s="1"/>
  <c r="AZ152" i="2"/>
  <c r="AY156" i="2"/>
  <c r="AZ151" i="2" s="1"/>
  <c r="AZ159" i="2" s="1"/>
  <c r="AZ161" i="2" s="1"/>
  <c r="AY159" i="2"/>
  <c r="AY161" i="2" s="1"/>
  <c r="BA33" i="4"/>
  <c r="BA35" i="4" s="1"/>
  <c r="BA45" i="4" s="1"/>
  <c r="BA46" i="4" s="1"/>
  <c r="BA85" i="2"/>
  <c r="R29" i="3"/>
  <c r="BA130" i="2"/>
  <c r="BB126" i="2" s="1"/>
  <c r="BW21" i="11"/>
  <c r="BX19" i="11" s="1"/>
  <c r="CB23" i="11"/>
  <c r="BE153" i="2"/>
  <c r="BW27" i="4"/>
  <c r="BW28" i="4" s="1"/>
  <c r="CF27" i="11"/>
  <c r="CG25" i="11" s="1"/>
  <c r="BW29" i="4"/>
  <c r="BX20" i="11"/>
  <c r="BX82" i="2" s="1"/>
  <c r="AB42" i="3"/>
  <c r="CF146" i="2"/>
  <c r="H42" i="1"/>
  <c r="H52" i="5" s="1"/>
  <c r="BE102" i="2"/>
  <c r="BF99" i="2" s="1"/>
  <c r="BA36" i="4" l="1"/>
  <c r="BB127" i="2"/>
  <c r="BB129" i="2" s="1"/>
  <c r="BB83" i="2" s="1"/>
  <c r="BB130" i="2"/>
  <c r="BC126" i="2" s="1"/>
  <c r="AZ156" i="2"/>
  <c r="BA151" i="2" s="1"/>
  <c r="BD122" i="2"/>
  <c r="BD124" i="2" s="1"/>
  <c r="BD84" i="2" s="1"/>
  <c r="BD40" i="4" s="1"/>
  <c r="BD41" i="4" s="1"/>
  <c r="BD42" i="4" s="1"/>
  <c r="BA94" i="2"/>
  <c r="BA95" i="2" s="1"/>
  <c r="BA96" i="2" s="1"/>
  <c r="R23" i="3" s="1"/>
  <c r="BA87" i="2"/>
  <c r="R20" i="3"/>
  <c r="BC40" i="4"/>
  <c r="BC41" i="4" s="1"/>
  <c r="BC42" i="4" s="1"/>
  <c r="BX21" i="11"/>
  <c r="BY19" i="11" s="1"/>
  <c r="CF148" i="2"/>
  <c r="CG146" i="2" s="1"/>
  <c r="CG26" i="11"/>
  <c r="CG27" i="11"/>
  <c r="CH25" i="11" s="1"/>
  <c r="BX27" i="4"/>
  <c r="BX28" i="4" s="1"/>
  <c r="BF100" i="2"/>
  <c r="BF101" i="2" s="1"/>
  <c r="BF102" i="2" s="1"/>
  <c r="BG99" i="2" s="1"/>
  <c r="CB24" i="11"/>
  <c r="CC22" i="11" s="1"/>
  <c r="BD125" i="2" l="1"/>
  <c r="BE121" i="2" s="1"/>
  <c r="BA159" i="2"/>
  <c r="BA152" i="2"/>
  <c r="BA156" i="2" s="1"/>
  <c r="R21" i="3"/>
  <c r="BC127" i="2"/>
  <c r="BB85" i="2"/>
  <c r="BB33" i="4"/>
  <c r="BB35" i="4" s="1"/>
  <c r="BB45" i="4" s="1"/>
  <c r="BB46" i="4" s="1"/>
  <c r="S30" i="3"/>
  <c r="BB36" i="4"/>
  <c r="BG100" i="2"/>
  <c r="BG101" i="2"/>
  <c r="BG153" i="2" s="1"/>
  <c r="CC23" i="11"/>
  <c r="CC24" i="11"/>
  <c r="CD22" i="11" s="1"/>
  <c r="BF153" i="2"/>
  <c r="BY20" i="11"/>
  <c r="BY82" i="2" s="1"/>
  <c r="BX29" i="4"/>
  <c r="CH26" i="11"/>
  <c r="CG148" i="2"/>
  <c r="CH146" i="2" s="1"/>
  <c r="R43" i="3" l="1"/>
  <c r="BB151" i="2"/>
  <c r="BG102" i="2"/>
  <c r="BH99" i="2" s="1"/>
  <c r="F33" i="1"/>
  <c r="BC129" i="2"/>
  <c r="BC83" i="2" s="1"/>
  <c r="BA161" i="2"/>
  <c r="R45" i="3" s="1"/>
  <c r="BB94" i="2"/>
  <c r="BB95" i="2" s="1"/>
  <c r="BB96" i="2" s="1"/>
  <c r="BB87" i="2"/>
  <c r="BB152" i="2" s="1"/>
  <c r="T33" i="3"/>
  <c r="BE122" i="2"/>
  <c r="BE124" i="2" s="1"/>
  <c r="BE84" i="2" s="1"/>
  <c r="T34" i="3"/>
  <c r="CH27" i="11"/>
  <c r="C53" i="11" s="1"/>
  <c r="BY27" i="4"/>
  <c r="BY28" i="4" s="1"/>
  <c r="Z28" i="3"/>
  <c r="CH148" i="2"/>
  <c r="BY21" i="11"/>
  <c r="BZ19" i="11" s="1"/>
  <c r="CD23" i="11"/>
  <c r="BY29" i="4"/>
  <c r="BE40" i="4" l="1"/>
  <c r="BE41" i="4" s="1"/>
  <c r="BE42" i="4" s="1"/>
  <c r="BE125" i="2"/>
  <c r="BF121" i="2" s="1"/>
  <c r="BC130" i="2"/>
  <c r="BD126" i="2" s="1"/>
  <c r="BB159" i="2"/>
  <c r="BB161" i="2" s="1"/>
  <c r="BB156" i="2"/>
  <c r="BC151" i="2" s="1"/>
  <c r="BC33" i="4"/>
  <c r="BC35" i="4" s="1"/>
  <c r="BC85" i="2"/>
  <c r="F34" i="1"/>
  <c r="D53" i="11"/>
  <c r="C54" i="11" s="1"/>
  <c r="BH100" i="2"/>
  <c r="BH101" i="2"/>
  <c r="BZ20" i="11"/>
  <c r="BZ82" i="2" s="1"/>
  <c r="CD24" i="11"/>
  <c r="CE22" i="11" s="1"/>
  <c r="AC42" i="3"/>
  <c r="I42" i="1"/>
  <c r="BC159" i="2" l="1"/>
  <c r="BC161" i="2" s="1"/>
  <c r="BD127" i="2"/>
  <c r="S38" i="3" s="1"/>
  <c r="BD129" i="2"/>
  <c r="BD83" i="2" s="1"/>
  <c r="BZ21" i="11"/>
  <c r="CA19" i="11" s="1"/>
  <c r="BF122" i="2"/>
  <c r="BF124" i="2" s="1"/>
  <c r="BF84" i="2" s="1"/>
  <c r="BC87" i="2"/>
  <c r="BC152" i="2" s="1"/>
  <c r="BC156" i="2" s="1"/>
  <c r="BD151" i="2" s="1"/>
  <c r="BD159" i="2" s="1"/>
  <c r="BC94" i="2"/>
  <c r="BC95" i="2" s="1"/>
  <c r="BC96" i="2" s="1"/>
  <c r="BH102" i="2"/>
  <c r="BI99" i="2" s="1"/>
  <c r="BC45" i="4"/>
  <c r="BC46" i="4" s="1"/>
  <c r="BC36" i="4"/>
  <c r="BI100" i="2"/>
  <c r="BI101" i="2" s="1"/>
  <c r="CE23" i="11"/>
  <c r="I52" i="5"/>
  <c r="F71" i="5"/>
  <c r="D54" i="11"/>
  <c r="C55" i="11"/>
  <c r="BH153" i="2"/>
  <c r="CA20" i="11"/>
  <c r="CA82" i="2" s="1"/>
  <c r="BZ27" i="4"/>
  <c r="BZ28" i="4" s="1"/>
  <c r="BF40" i="4" l="1"/>
  <c r="BF41" i="4" s="1"/>
  <c r="BF42" i="4" s="1"/>
  <c r="BD130" i="2"/>
  <c r="BE126" i="2" s="1"/>
  <c r="BD85" i="2"/>
  <c r="BD33" i="4"/>
  <c r="BD35" i="4" s="1"/>
  <c r="BD45" i="4" s="1"/>
  <c r="BD46" i="4" s="1"/>
  <c r="S29" i="3"/>
  <c r="BF125" i="2"/>
  <c r="BG121" i="2" s="1"/>
  <c r="BI153" i="2"/>
  <c r="CA27" i="4"/>
  <c r="CA28" i="4" s="1"/>
  <c r="CA21" i="11"/>
  <c r="CB19" i="11" s="1"/>
  <c r="BZ29" i="4"/>
  <c r="D55" i="11"/>
  <c r="CE24" i="11"/>
  <c r="CF22" i="11" s="1"/>
  <c r="BI102" i="2"/>
  <c r="BJ99" i="2" s="1"/>
  <c r="BD87" i="2" l="1"/>
  <c r="BD94" i="2"/>
  <c r="BD95" i="2" s="1"/>
  <c r="BD96" i="2" s="1"/>
  <c r="S23" i="3" s="1"/>
  <c r="S20" i="3"/>
  <c r="BE127" i="2"/>
  <c r="BE129" i="2" s="1"/>
  <c r="BE83" i="2" s="1"/>
  <c r="BE130" i="2"/>
  <c r="BF126" i="2" s="1"/>
  <c r="BD36" i="4"/>
  <c r="BG122" i="2"/>
  <c r="BG124" i="2" s="1"/>
  <c r="BG84" i="2" s="1"/>
  <c r="CB20" i="11"/>
  <c r="CB82" i="2" s="1"/>
  <c r="CB21" i="11"/>
  <c r="CC19" i="11" s="1"/>
  <c r="BJ100" i="2"/>
  <c r="BJ101" i="2" s="1"/>
  <c r="CF23" i="11"/>
  <c r="CF24" i="11" s="1"/>
  <c r="CG22" i="11" s="1"/>
  <c r="C56" i="11"/>
  <c r="CA29" i="4"/>
  <c r="BG40" i="4" l="1"/>
  <c r="BG41" i="4" s="1"/>
  <c r="BG42" i="4" s="1"/>
  <c r="T30" i="3"/>
  <c r="F30" i="1"/>
  <c r="BE33" i="4"/>
  <c r="BE35" i="4" s="1"/>
  <c r="BE45" i="4" s="1"/>
  <c r="BE46" i="4" s="1"/>
  <c r="BE85" i="2"/>
  <c r="BF127" i="2"/>
  <c r="BF129" i="2" s="1"/>
  <c r="BF83" i="2" s="1"/>
  <c r="BG125" i="2"/>
  <c r="BH121" i="2" s="1"/>
  <c r="BD152" i="2"/>
  <c r="S21" i="3"/>
  <c r="BJ153" i="2"/>
  <c r="U33" i="3"/>
  <c r="CG23" i="11"/>
  <c r="D56" i="11"/>
  <c r="C57" i="11"/>
  <c r="BJ102" i="2"/>
  <c r="CC20" i="11"/>
  <c r="CC82" i="2" s="1"/>
  <c r="CB27" i="4"/>
  <c r="CB28" i="4" s="1"/>
  <c r="CB29" i="4" s="1"/>
  <c r="AA28" i="3"/>
  <c r="BF85" i="2" l="1"/>
  <c r="BF33" i="4"/>
  <c r="BF35" i="4" s="1"/>
  <c r="BF45" i="4" s="1"/>
  <c r="BF46" i="4" s="1"/>
  <c r="BF130" i="2"/>
  <c r="BG126" i="2" s="1"/>
  <c r="BE94" i="2"/>
  <c r="BE95" i="2" s="1"/>
  <c r="BE96" i="2" s="1"/>
  <c r="BE87" i="2"/>
  <c r="BE152" i="2" s="1"/>
  <c r="BE36" i="4"/>
  <c r="BF36" i="4" s="1"/>
  <c r="BD156" i="2"/>
  <c r="BD161" i="2"/>
  <c r="S45" i="3" s="1"/>
  <c r="BH122" i="2"/>
  <c r="BH124" i="2" s="1"/>
  <c r="BH84" i="2" s="1"/>
  <c r="BH125" i="2"/>
  <c r="BI121" i="2" s="1"/>
  <c r="U34" i="3"/>
  <c r="BK99" i="2"/>
  <c r="CC27" i="4"/>
  <c r="CC28" i="4" s="1"/>
  <c r="CC21" i="11"/>
  <c r="CD19" i="11" s="1"/>
  <c r="CG24" i="11"/>
  <c r="CH22" i="11" s="1"/>
  <c r="D57" i="11"/>
  <c r="C58" i="11" s="1"/>
  <c r="S43" i="3" l="1"/>
  <c r="BE151" i="2"/>
  <c r="BG127" i="2"/>
  <c r="BG129" i="2"/>
  <c r="BG83" i="2" s="1"/>
  <c r="BI122" i="2"/>
  <c r="BI124" i="2"/>
  <c r="BI84" i="2" s="1"/>
  <c r="BI40" i="4" s="1"/>
  <c r="BI41" i="4" s="1"/>
  <c r="BI42" i="4" s="1"/>
  <c r="BH40" i="4"/>
  <c r="BH41" i="4" s="1"/>
  <c r="BH42" i="4" s="1"/>
  <c r="BF94" i="2"/>
  <c r="BF95" i="2" s="1"/>
  <c r="BF96" i="2" s="1"/>
  <c r="BF87" i="2"/>
  <c r="BF152" i="2" s="1"/>
  <c r="D58" i="11"/>
  <c r="C59" i="11" s="1"/>
  <c r="CH23" i="11"/>
  <c r="CH24" i="11" s="1"/>
  <c r="BK100" i="2"/>
  <c r="BK101" i="2" s="1"/>
  <c r="CD20" i="11"/>
  <c r="CD82" i="2" s="1"/>
  <c r="CC29" i="4"/>
  <c r="CD21" i="11" l="1"/>
  <c r="CE19" i="11" s="1"/>
  <c r="BG85" i="2"/>
  <c r="T29" i="3"/>
  <c r="F29" i="1"/>
  <c r="BG33" i="4"/>
  <c r="BG35" i="4" s="1"/>
  <c r="T38" i="3"/>
  <c r="BG130" i="2"/>
  <c r="BE159" i="2"/>
  <c r="BE161" i="2" s="1"/>
  <c r="BE156" i="2"/>
  <c r="BF151" i="2" s="1"/>
  <c r="BI125" i="2"/>
  <c r="BJ121" i="2" s="1"/>
  <c r="BK153" i="2"/>
  <c r="D59" i="11"/>
  <c r="C60" i="11" s="1"/>
  <c r="CD27" i="4"/>
  <c r="CD28" i="4" s="1"/>
  <c r="BK102" i="2"/>
  <c r="BL99" i="2" s="1"/>
  <c r="CE20" i="11"/>
  <c r="CE82" i="2" s="1"/>
  <c r="AB28" i="3" s="1"/>
  <c r="BH126" i="2" l="1"/>
  <c r="F38" i="1"/>
  <c r="BG45" i="4"/>
  <c r="BG46" i="4" s="1"/>
  <c r="BG36" i="4"/>
  <c r="BJ122" i="2"/>
  <c r="BJ124" i="2" s="1"/>
  <c r="BJ84" i="2" s="1"/>
  <c r="F20" i="1"/>
  <c r="F46" i="5" s="1"/>
  <c r="BG87" i="2"/>
  <c r="T20" i="3"/>
  <c r="BG94" i="2"/>
  <c r="BG95" i="2" s="1"/>
  <c r="BG96" i="2" s="1"/>
  <c r="BF159" i="2"/>
  <c r="BF161" i="2" s="1"/>
  <c r="BF156" i="2"/>
  <c r="BG151" i="2" s="1"/>
  <c r="BG159" i="2" s="1"/>
  <c r="D60" i="11"/>
  <c r="C61" i="11" s="1"/>
  <c r="CE21" i="11"/>
  <c r="CF19" i="11" s="1"/>
  <c r="CD29" i="4"/>
  <c r="CE27" i="4"/>
  <c r="CE28" i="4" s="1"/>
  <c r="H28" i="1"/>
  <c r="BL100" i="2"/>
  <c r="BL101" i="2" s="1"/>
  <c r="T21" i="3" l="1"/>
  <c r="F21" i="1"/>
  <c r="BG152" i="2"/>
  <c r="BG156" i="2" s="1"/>
  <c r="BJ40" i="4"/>
  <c r="BJ41" i="4" s="1"/>
  <c r="BJ42" i="4" s="1"/>
  <c r="U30" i="3"/>
  <c r="CE29" i="4"/>
  <c r="BJ125" i="2"/>
  <c r="BK121" i="2" s="1"/>
  <c r="BI107" i="2"/>
  <c r="BJ160" i="2"/>
  <c r="F23" i="1"/>
  <c r="T23" i="3"/>
  <c r="BH127" i="2"/>
  <c r="BH129" i="2" s="1"/>
  <c r="BH83" i="2" s="1"/>
  <c r="BL153" i="2"/>
  <c r="BL102" i="2"/>
  <c r="BM99" i="2" s="1"/>
  <c r="CF20" i="11"/>
  <c r="CF82" i="2" s="1"/>
  <c r="D61" i="11"/>
  <c r="C62" i="11" s="1"/>
  <c r="BH33" i="4" l="1"/>
  <c r="BH35" i="4" s="1"/>
  <c r="BH85" i="2"/>
  <c r="G44" i="1"/>
  <c r="U44" i="3"/>
  <c r="T43" i="3"/>
  <c r="F43" i="1"/>
  <c r="F50" i="5" s="1"/>
  <c r="BH151" i="2"/>
  <c r="BH159" i="2" s="1"/>
  <c r="BH130" i="2"/>
  <c r="BI126" i="2" s="1"/>
  <c r="BI127" i="2" s="1"/>
  <c r="U35" i="3"/>
  <c r="G35" i="1"/>
  <c r="BI108" i="2"/>
  <c r="BJ106" i="2" s="1"/>
  <c r="BJ108" i="2" s="1"/>
  <c r="BI154" i="2"/>
  <c r="BK122" i="2"/>
  <c r="BK124" i="2"/>
  <c r="BK84" i="2" s="1"/>
  <c r="BG161" i="2"/>
  <c r="D62" i="11"/>
  <c r="C63" i="11" s="1"/>
  <c r="BM100" i="2"/>
  <c r="BM101" i="2" s="1"/>
  <c r="CF27" i="4"/>
  <c r="CF28" i="4" s="1"/>
  <c r="CF21" i="11"/>
  <c r="CG19" i="11" s="1"/>
  <c r="BK40" i="4" l="1"/>
  <c r="BK41" i="4" s="1"/>
  <c r="BK42" i="4" s="1"/>
  <c r="F45" i="1"/>
  <c r="T45" i="3"/>
  <c r="BK125" i="2"/>
  <c r="BL121" i="2" s="1"/>
  <c r="U36" i="3"/>
  <c r="BK106" i="2"/>
  <c r="BK108" i="2" s="1"/>
  <c r="BL106" i="2" s="1"/>
  <c r="BL108" i="2" s="1"/>
  <c r="BM106" i="2" s="1"/>
  <c r="BM108" i="2" s="1"/>
  <c r="BI129" i="2"/>
  <c r="BI83" i="2" s="1"/>
  <c r="BH87" i="2"/>
  <c r="BH152" i="2" s="1"/>
  <c r="BH156" i="2" s="1"/>
  <c r="BI151" i="2" s="1"/>
  <c r="BH94" i="2"/>
  <c r="BH95" i="2" s="1"/>
  <c r="BH96" i="2" s="1"/>
  <c r="BH45" i="4"/>
  <c r="BH46" i="4" s="1"/>
  <c r="BH36" i="4"/>
  <c r="BM153" i="2"/>
  <c r="V33" i="3"/>
  <c r="BM102" i="2"/>
  <c r="D63" i="11"/>
  <c r="C64" i="11"/>
  <c r="CG20" i="11"/>
  <c r="CG82" i="2" s="1"/>
  <c r="BI33" i="4"/>
  <c r="BI35" i="4" s="1"/>
  <c r="BI85" i="2"/>
  <c r="CF29" i="4"/>
  <c r="BI159" i="2"/>
  <c r="BL122" i="2" l="1"/>
  <c r="BL124" i="2" s="1"/>
  <c r="BL84" i="2" s="1"/>
  <c r="BI130" i="2"/>
  <c r="BJ126" i="2" s="1"/>
  <c r="BJ129" i="2" s="1"/>
  <c r="BJ83" i="2" s="1"/>
  <c r="BN106" i="2"/>
  <c r="BN108" i="2" s="1"/>
  <c r="BO106" i="2" s="1"/>
  <c r="BO108" i="2" s="1"/>
  <c r="BP106" i="2" s="1"/>
  <c r="BP108" i="2" s="1"/>
  <c r="V36" i="3"/>
  <c r="BH161" i="2"/>
  <c r="CG27" i="4"/>
  <c r="CG28" i="4" s="1"/>
  <c r="BI94" i="2"/>
  <c r="BI95" i="2" s="1"/>
  <c r="BI96" i="2" s="1"/>
  <c r="BI87" i="2"/>
  <c r="V34" i="3"/>
  <c r="BN99" i="2"/>
  <c r="D64" i="11"/>
  <c r="C65" i="11" s="1"/>
  <c r="BJ127" i="2"/>
  <c r="U38" i="3" s="1"/>
  <c r="BI45" i="4"/>
  <c r="BI46" i="4" s="1"/>
  <c r="BI36" i="4"/>
  <c r="CG29" i="4"/>
  <c r="CG21" i="11"/>
  <c r="CH19" i="11" s="1"/>
  <c r="BQ106" i="2" l="1"/>
  <c r="BQ108" i="2" s="1"/>
  <c r="BR106" i="2" s="1"/>
  <c r="BR108" i="2" s="1"/>
  <c r="BS106" i="2" s="1"/>
  <c r="BS108" i="2" s="1"/>
  <c r="W36" i="3"/>
  <c r="BL125" i="2"/>
  <c r="BM121" i="2" s="1"/>
  <c r="BL40" i="4"/>
  <c r="BL41" i="4" s="1"/>
  <c r="BL42" i="4" s="1"/>
  <c r="D65" i="11"/>
  <c r="C66" i="11" s="1"/>
  <c r="BI152" i="2"/>
  <c r="CH20" i="11"/>
  <c r="CH82" i="2" s="1"/>
  <c r="BN100" i="2"/>
  <c r="BJ33" i="4"/>
  <c r="BJ35" i="4" s="1"/>
  <c r="BJ45" i="4" s="1"/>
  <c r="BJ46" i="4" s="1"/>
  <c r="BJ85" i="2"/>
  <c r="U29" i="3"/>
  <c r="BJ130" i="2"/>
  <c r="BK126" i="2" s="1"/>
  <c r="BJ36" i="4" l="1"/>
  <c r="BM122" i="2"/>
  <c r="BM124" i="2"/>
  <c r="BM84" i="2" s="1"/>
  <c r="BM125" i="2"/>
  <c r="BN121" i="2" s="1"/>
  <c r="G36" i="1"/>
  <c r="X36" i="3"/>
  <c r="BT106" i="2"/>
  <c r="BT108" i="2" s="1"/>
  <c r="BU106" i="2" s="1"/>
  <c r="D66" i="11"/>
  <c r="C67" i="11" s="1"/>
  <c r="BK127" i="2"/>
  <c r="BK129" i="2" s="1"/>
  <c r="BK83" i="2" s="1"/>
  <c r="BI156" i="2"/>
  <c r="BJ151" i="2" s="1"/>
  <c r="BI161" i="2"/>
  <c r="CH27" i="4"/>
  <c r="CH28" i="4" s="1"/>
  <c r="I28" i="1"/>
  <c r="AC28" i="3"/>
  <c r="CH21" i="11"/>
  <c r="BN101" i="2"/>
  <c r="BJ94" i="2"/>
  <c r="BJ95" i="2" s="1"/>
  <c r="BJ96" i="2" s="1"/>
  <c r="BJ87" i="2"/>
  <c r="U20" i="3"/>
  <c r="BN122" i="2" l="1"/>
  <c r="BN124" i="2"/>
  <c r="BN84" i="2" s="1"/>
  <c r="BM40" i="4"/>
  <c r="BM41" i="4" s="1"/>
  <c r="BM42" i="4" s="1"/>
  <c r="V30" i="3"/>
  <c r="BK33" i="4"/>
  <c r="BK35" i="4" s="1"/>
  <c r="BK85" i="2"/>
  <c r="D67" i="11"/>
  <c r="C68" i="11"/>
  <c r="BJ152" i="2"/>
  <c r="BJ156" i="2" s="1"/>
  <c r="U21" i="3"/>
  <c r="U23" i="3"/>
  <c r="BJ159" i="2"/>
  <c r="BN153" i="2"/>
  <c r="BK130" i="2"/>
  <c r="BL126" i="2" s="1"/>
  <c r="CH29" i="4"/>
  <c r="BN102" i="2"/>
  <c r="BO99" i="2" s="1"/>
  <c r="BN125" i="2" l="1"/>
  <c r="BO121" i="2" s="1"/>
  <c r="BN40" i="4"/>
  <c r="BN41" i="4" s="1"/>
  <c r="BN42" i="4" s="1"/>
  <c r="U43" i="3"/>
  <c r="BK151" i="2"/>
  <c r="D68" i="11"/>
  <c r="C69" i="11" s="1"/>
  <c r="BL127" i="2"/>
  <c r="BJ161" i="2"/>
  <c r="U45" i="3" s="1"/>
  <c r="BK94" i="2"/>
  <c r="BK95" i="2" s="1"/>
  <c r="BK96" i="2" s="1"/>
  <c r="BK87" i="2"/>
  <c r="BO100" i="2"/>
  <c r="BO101" i="2"/>
  <c r="BK45" i="4"/>
  <c r="BK46" i="4" s="1"/>
  <c r="BK36" i="4"/>
  <c r="BO102" i="2" l="1"/>
  <c r="BP99" i="2" s="1"/>
  <c r="BL129" i="2"/>
  <c r="BL83" i="2" s="1"/>
  <c r="BO122" i="2"/>
  <c r="BO124" i="2"/>
  <c r="BO84" i="2" s="1"/>
  <c r="BP100" i="2"/>
  <c r="D69" i="11"/>
  <c r="C70" i="11" s="1"/>
  <c r="BO153" i="2"/>
  <c r="BL33" i="4"/>
  <c r="BL35" i="4" s="1"/>
  <c r="BL45" i="4" s="1"/>
  <c r="BL46" i="4" s="1"/>
  <c r="BL85" i="2"/>
  <c r="BK159" i="2"/>
  <c r="BK152" i="2"/>
  <c r="BK156" i="2" s="1"/>
  <c r="BL151" i="2" s="1"/>
  <c r="BO125" i="2" l="1"/>
  <c r="BP121" i="2" s="1"/>
  <c r="BO40" i="4"/>
  <c r="BO41" i="4" s="1"/>
  <c r="BO42" i="4" s="1"/>
  <c r="BL36" i="4"/>
  <c r="BL130" i="2"/>
  <c r="BM126" i="2" s="1"/>
  <c r="BM127" i="2" s="1"/>
  <c r="V38" i="3" s="1"/>
  <c r="BP101" i="2"/>
  <c r="D70" i="11"/>
  <c r="C71" i="11" s="1"/>
  <c r="BL159" i="2"/>
  <c r="BL94" i="2"/>
  <c r="BL95" i="2" s="1"/>
  <c r="BL96" i="2" s="1"/>
  <c r="BL87" i="2"/>
  <c r="BK161" i="2"/>
  <c r="BP153" i="2" l="1"/>
  <c r="W33" i="3"/>
  <c r="BM129" i="2"/>
  <c r="BM83" i="2" s="1"/>
  <c r="BM33" i="4" s="1"/>
  <c r="BM35" i="4" s="1"/>
  <c r="BP122" i="2"/>
  <c r="BP124" i="2"/>
  <c r="BP84" i="2" s="1"/>
  <c r="BP102" i="2"/>
  <c r="D71" i="11"/>
  <c r="C72" i="11"/>
  <c r="BM85" i="2"/>
  <c r="V29" i="3"/>
  <c r="BL152" i="2"/>
  <c r="BL156" i="2" s="1"/>
  <c r="BM151" i="2" s="1"/>
  <c r="BM130" i="2"/>
  <c r="BN126" i="2" s="1"/>
  <c r="BP40" i="4" l="1"/>
  <c r="BP41" i="4" s="1"/>
  <c r="BP42" i="4" s="1"/>
  <c r="W30" i="3"/>
  <c r="BP125" i="2"/>
  <c r="BQ121" i="2" s="1"/>
  <c r="W34" i="3"/>
  <c r="BQ99" i="2"/>
  <c r="BQ100" i="2" s="1"/>
  <c r="BQ101" i="2" s="1"/>
  <c r="BQ153" i="2" s="1"/>
  <c r="BQ102" i="2"/>
  <c r="BR99" i="2" s="1"/>
  <c r="BM159" i="2"/>
  <c r="BN127" i="2"/>
  <c r="BN129" i="2" s="1"/>
  <c r="BN83" i="2" s="1"/>
  <c r="D72" i="11"/>
  <c r="C73" i="11" s="1"/>
  <c r="BM94" i="2"/>
  <c r="BM95" i="2" s="1"/>
  <c r="BM96" i="2" s="1"/>
  <c r="BM87" i="2"/>
  <c r="V20" i="3"/>
  <c r="BM45" i="4"/>
  <c r="BM46" i="4" s="1"/>
  <c r="BM36" i="4"/>
  <c r="BL161" i="2"/>
  <c r="BQ122" i="2" l="1"/>
  <c r="BQ124" i="2" s="1"/>
  <c r="BQ84" i="2" s="1"/>
  <c r="D73" i="11"/>
  <c r="C74" i="11" s="1"/>
  <c r="BN33" i="4"/>
  <c r="BN35" i="4" s="1"/>
  <c r="BN45" i="4" s="1"/>
  <c r="BN85" i="2"/>
  <c r="BN46" i="4"/>
  <c r="BR100" i="2"/>
  <c r="BN130" i="2"/>
  <c r="BO126" i="2" s="1"/>
  <c r="V23" i="3"/>
  <c r="BN36" i="4"/>
  <c r="BM152" i="2"/>
  <c r="BM156" i="2" s="1"/>
  <c r="V21" i="3"/>
  <c r="BQ125" i="2" l="1"/>
  <c r="BR121" i="2" s="1"/>
  <c r="BQ40" i="4"/>
  <c r="BQ41" i="4" s="1"/>
  <c r="BQ42" i="4" s="1"/>
  <c r="BN94" i="2"/>
  <c r="BN95" i="2" s="1"/>
  <c r="BN96" i="2" s="1"/>
  <c r="BN87" i="2"/>
  <c r="BM161" i="2"/>
  <c r="V45" i="3" s="1"/>
  <c r="BR101" i="2"/>
  <c r="BN151" i="2"/>
  <c r="V43" i="3"/>
  <c r="BO127" i="2"/>
  <c r="D74" i="11"/>
  <c r="C75" i="11" s="1"/>
  <c r="BR122" i="2" l="1"/>
  <c r="D75" i="11"/>
  <c r="C76" i="11"/>
  <c r="BR153" i="2"/>
  <c r="BO129" i="2"/>
  <c r="BO83" i="2" s="1"/>
  <c r="BN152" i="2"/>
  <c r="BN156" i="2"/>
  <c r="BO151" i="2" s="1"/>
  <c r="BN159" i="2"/>
  <c r="BN161" i="2" s="1"/>
  <c r="BR102" i="2"/>
  <c r="BS99" i="2" s="1"/>
  <c r="BR124" i="2" l="1"/>
  <c r="BR84" i="2" s="1"/>
  <c r="BO33" i="4"/>
  <c r="BO35" i="4" s="1"/>
  <c r="BO85" i="2"/>
  <c r="BS100" i="2"/>
  <c r="BS101" i="2" s="1"/>
  <c r="BS102" i="2" s="1"/>
  <c r="BO159" i="2"/>
  <c r="D76" i="11"/>
  <c r="C77" i="11" s="1"/>
  <c r="BO130" i="2"/>
  <c r="BP126" i="2" s="1"/>
  <c r="BR40" i="4" l="1"/>
  <c r="BR41" i="4" s="1"/>
  <c r="BR42" i="4" s="1"/>
  <c r="BR125" i="2"/>
  <c r="BS121" i="2" s="1"/>
  <c r="X34" i="3"/>
  <c r="BT99" i="2"/>
  <c r="G34" i="1"/>
  <c r="D77" i="11"/>
  <c r="C78" i="11" s="1"/>
  <c r="BO94" i="2"/>
  <c r="BO95" i="2" s="1"/>
  <c r="BO96" i="2" s="1"/>
  <c r="BO87" i="2"/>
  <c r="BO45" i="4"/>
  <c r="BO46" i="4" s="1"/>
  <c r="BO36" i="4"/>
  <c r="BP127" i="2"/>
  <c r="W38" i="3" s="1"/>
  <c r="BS153" i="2"/>
  <c r="X33" i="3"/>
  <c r="G33" i="1"/>
  <c r="BS122" i="2" l="1"/>
  <c r="BS124" i="2" s="1"/>
  <c r="BS84" i="2" s="1"/>
  <c r="BP129" i="2"/>
  <c r="BP83" i="2" s="1"/>
  <c r="D78" i="11"/>
  <c r="C79" i="11" s="1"/>
  <c r="BT101" i="2"/>
  <c r="BT100" i="2"/>
  <c r="BO152" i="2"/>
  <c r="BS125" i="2" l="1"/>
  <c r="BT121" i="2" s="1"/>
  <c r="BS40" i="4"/>
  <c r="BS41" i="4" s="1"/>
  <c r="BS42" i="4" s="1"/>
  <c r="G30" i="1"/>
  <c r="X30" i="3"/>
  <c r="D79" i="11"/>
  <c r="C80" i="11"/>
  <c r="BO156" i="2"/>
  <c r="BP151" i="2" s="1"/>
  <c r="BO161" i="2"/>
  <c r="BT153" i="2"/>
  <c r="BP33" i="4"/>
  <c r="BP35" i="4" s="1"/>
  <c r="BP85" i="2"/>
  <c r="W29" i="3"/>
  <c r="BP130" i="2"/>
  <c r="BQ126" i="2" s="1"/>
  <c r="BT102" i="2"/>
  <c r="BU99" i="2" s="1"/>
  <c r="BT122" i="2" l="1"/>
  <c r="BT124" i="2" s="1"/>
  <c r="BT84" i="2" s="1"/>
  <c r="BT125" i="2"/>
  <c r="BU121" i="2" s="1"/>
  <c r="BP45" i="4"/>
  <c r="BP46" i="4" s="1"/>
  <c r="BP36" i="4"/>
  <c r="BP94" i="2"/>
  <c r="BP95" i="2" s="1"/>
  <c r="BP96" i="2" s="1"/>
  <c r="BP87" i="2"/>
  <c r="W20" i="3"/>
  <c r="BP159" i="2"/>
  <c r="D80" i="11"/>
  <c r="C81" i="11"/>
  <c r="BQ127" i="2"/>
  <c r="BQ129" i="2" s="1"/>
  <c r="BQ83" i="2" s="1"/>
  <c r="BU100" i="2"/>
  <c r="BU101" i="2" l="1"/>
  <c r="BU102" i="2" s="1"/>
  <c r="BV99" i="2" s="1"/>
  <c r="BV100" i="2" s="1"/>
  <c r="BU122" i="2"/>
  <c r="BU124" i="2" s="1"/>
  <c r="BU84" i="2" s="1"/>
  <c r="BU40" i="4" s="1"/>
  <c r="BU41" i="4" s="1"/>
  <c r="BU42" i="4" s="1"/>
  <c r="BT40" i="4"/>
  <c r="BT41" i="4" s="1"/>
  <c r="BT42" i="4" s="1"/>
  <c r="BQ33" i="4"/>
  <c r="BQ35" i="4" s="1"/>
  <c r="BQ45" i="4" s="1"/>
  <c r="BQ85" i="2"/>
  <c r="BU153" i="2"/>
  <c r="BQ130" i="2"/>
  <c r="BR126" i="2" s="1"/>
  <c r="BQ36" i="4"/>
  <c r="BP152" i="2"/>
  <c r="BP156" i="2" s="1"/>
  <c r="W21" i="3"/>
  <c r="W23" i="3"/>
  <c r="D81" i="11"/>
  <c r="C82" i="11" s="1"/>
  <c r="BQ46" i="4"/>
  <c r="BU125" i="2" l="1"/>
  <c r="BV121" i="2" s="1"/>
  <c r="D82" i="11"/>
  <c r="C83" i="11" s="1"/>
  <c r="BQ94" i="2"/>
  <c r="BQ95" i="2" s="1"/>
  <c r="BQ96" i="2" s="1"/>
  <c r="BQ87" i="2"/>
  <c r="W43" i="3"/>
  <c r="BQ151" i="2"/>
  <c r="BV101" i="2"/>
  <c r="BR127" i="2"/>
  <c r="BR129" i="2" s="1"/>
  <c r="BP161" i="2"/>
  <c r="W45" i="3" s="1"/>
  <c r="BV122" i="2" l="1"/>
  <c r="BV125" i="2" s="1"/>
  <c r="BW121" i="2" s="1"/>
  <c r="BV124" i="2"/>
  <c r="BV84" i="2" s="1"/>
  <c r="BR83" i="2"/>
  <c r="BR130" i="2"/>
  <c r="BS126" i="2" s="1"/>
  <c r="BV153" i="2"/>
  <c r="Y33" i="3"/>
  <c r="BV102" i="2"/>
  <c r="D83" i="11"/>
  <c r="C84" i="11"/>
  <c r="BQ159" i="2"/>
  <c r="BQ152" i="2"/>
  <c r="BQ156" i="2" s="1"/>
  <c r="BR151" i="2" s="1"/>
  <c r="BW122" i="2" l="1"/>
  <c r="BQ161" i="2"/>
  <c r="BV40" i="4"/>
  <c r="BV41" i="4" s="1"/>
  <c r="BV42" i="4" s="1"/>
  <c r="Y30" i="3"/>
  <c r="D84" i="11"/>
  <c r="C85" i="11" s="1"/>
  <c r="BR159" i="2"/>
  <c r="BW99" i="2"/>
  <c r="Y34" i="3"/>
  <c r="BS127" i="2"/>
  <c r="X38" i="3" s="1"/>
  <c r="BR33" i="4"/>
  <c r="BR35" i="4" s="1"/>
  <c r="BR85" i="2"/>
  <c r="BS129" i="2" l="1"/>
  <c r="BS83" i="2" s="1"/>
  <c r="X29" i="3" s="1"/>
  <c r="BW124" i="2"/>
  <c r="BW84" i="2" s="1"/>
  <c r="D85" i="11"/>
  <c r="C86" i="11" s="1"/>
  <c r="BR94" i="2"/>
  <c r="BR95" i="2" s="1"/>
  <c r="BR96" i="2" s="1"/>
  <c r="BR87" i="2"/>
  <c r="BS85" i="2"/>
  <c r="G20" i="1" s="1"/>
  <c r="G46" i="5" s="1"/>
  <c r="BW100" i="2"/>
  <c r="BW101" i="2" s="1"/>
  <c r="G29" i="1"/>
  <c r="BR45" i="4"/>
  <c r="BR46" i="4" s="1"/>
  <c r="BR36" i="4"/>
  <c r="BW40" i="4" l="1"/>
  <c r="BW41" i="4" s="1"/>
  <c r="BW42" i="4" s="1"/>
  <c r="BS33" i="4"/>
  <c r="BS35" i="4" s="1"/>
  <c r="BS45" i="4" s="1"/>
  <c r="BS46" i="4" s="1"/>
  <c r="BW125" i="2"/>
  <c r="BX121" i="2" s="1"/>
  <c r="BS130" i="2"/>
  <c r="BT126" i="2" s="1"/>
  <c r="BW153" i="2"/>
  <c r="BW102" i="2"/>
  <c r="BX99" i="2" s="1"/>
  <c r="BS94" i="2"/>
  <c r="BS95" i="2" s="1"/>
  <c r="BS96" i="2" s="1"/>
  <c r="BU107" i="2" s="1"/>
  <c r="BS87" i="2"/>
  <c r="BS152" i="2" s="1"/>
  <c r="D86" i="11"/>
  <c r="C87" i="11" s="1"/>
  <c r="BR152" i="2"/>
  <c r="X20" i="3"/>
  <c r="G38" i="1" l="1"/>
  <c r="BX122" i="2"/>
  <c r="BX124" i="2"/>
  <c r="BX84" i="2" s="1"/>
  <c r="BS36" i="4"/>
  <c r="G23" i="1"/>
  <c r="G21" i="1"/>
  <c r="X23" i="3"/>
  <c r="X21" i="3"/>
  <c r="BV160" i="2"/>
  <c r="D87" i="11"/>
  <c r="C88" i="11" s="1"/>
  <c r="Y44" i="3"/>
  <c r="H44" i="1"/>
  <c r="BX100" i="2"/>
  <c r="BX101" i="2" s="1"/>
  <c r="BR156" i="2"/>
  <c r="BS151" i="2" s="1"/>
  <c r="BR161" i="2"/>
  <c r="BT127" i="2"/>
  <c r="BT129" i="2"/>
  <c r="BT83" i="2" s="1"/>
  <c r="BU154" i="2"/>
  <c r="Y35" i="3"/>
  <c r="H35" i="1"/>
  <c r="BU108" i="2"/>
  <c r="BV106" i="2" s="1"/>
  <c r="BV108" i="2" s="1"/>
  <c r="BX125" i="2" l="1"/>
  <c r="BY121" i="2" s="1"/>
  <c r="BX40" i="4"/>
  <c r="BX41" i="4" s="1"/>
  <c r="BX42" i="4" s="1"/>
  <c r="BX153" i="2"/>
  <c r="D88" i="11"/>
  <c r="C89" i="11" s="1"/>
  <c r="BT130" i="2"/>
  <c r="BU126" i="2" s="1"/>
  <c r="Y36" i="3"/>
  <c r="BW106" i="2"/>
  <c r="BW108" i="2" s="1"/>
  <c r="BX106" i="2" s="1"/>
  <c r="BX108" i="2" s="1"/>
  <c r="BY106" i="2" s="1"/>
  <c r="BY108" i="2" s="1"/>
  <c r="BT33" i="4"/>
  <c r="BT35" i="4" s="1"/>
  <c r="BT85" i="2"/>
  <c r="BS156" i="2"/>
  <c r="BS159" i="2"/>
  <c r="BS161" i="2" s="1"/>
  <c r="BX102" i="2"/>
  <c r="BY99" i="2" s="1"/>
  <c r="BY122" i="2" l="1"/>
  <c r="BY124" i="2"/>
  <c r="BY84" i="2" s="1"/>
  <c r="BY125" i="2"/>
  <c r="BZ121" i="2" s="1"/>
  <c r="D89" i="11"/>
  <c r="C90" i="11" s="1"/>
  <c r="BU127" i="2"/>
  <c r="BU129" i="2"/>
  <c r="BU83" i="2" s="1"/>
  <c r="Z36" i="3"/>
  <c r="BZ106" i="2"/>
  <c r="BZ108" i="2" s="1"/>
  <c r="CA106" i="2" s="1"/>
  <c r="CA108" i="2" s="1"/>
  <c r="CB106" i="2" s="1"/>
  <c r="CB108" i="2" s="1"/>
  <c r="X43" i="3"/>
  <c r="BT151" i="2"/>
  <c r="G43" i="1"/>
  <c r="BY100" i="2"/>
  <c r="BY101" i="2" s="1"/>
  <c r="BT94" i="2"/>
  <c r="BT95" i="2" s="1"/>
  <c r="BT96" i="2" s="1"/>
  <c r="BT87" i="2"/>
  <c r="X45" i="3"/>
  <c r="G45" i="1"/>
  <c r="BT45" i="4"/>
  <c r="BT46" i="4" s="1"/>
  <c r="BT36" i="4"/>
  <c r="BZ122" i="2" l="1"/>
  <c r="BZ124" i="2" s="1"/>
  <c r="BY40" i="4"/>
  <c r="BY41" i="4" s="1"/>
  <c r="BY42" i="4" s="1"/>
  <c r="Z30" i="3"/>
  <c r="BY153" i="2"/>
  <c r="Z33" i="3"/>
  <c r="D90" i="11"/>
  <c r="C91" i="11"/>
  <c r="BY102" i="2"/>
  <c r="BU33" i="4"/>
  <c r="BU35" i="4" s="1"/>
  <c r="BU45" i="4" s="1"/>
  <c r="BU46" i="4" s="1"/>
  <c r="BU85" i="2"/>
  <c r="AA36" i="3"/>
  <c r="CC106" i="2"/>
  <c r="CC108" i="2" s="1"/>
  <c r="CD106" i="2" s="1"/>
  <c r="CD108" i="2" s="1"/>
  <c r="CE106" i="2" s="1"/>
  <c r="CE108" i="2" s="1"/>
  <c r="BU130" i="2"/>
  <c r="BV126" i="2" s="1"/>
  <c r="BT152" i="2"/>
  <c r="BT156" i="2" s="1"/>
  <c r="BU151" i="2" s="1"/>
  <c r="E72" i="5"/>
  <c r="G50" i="5"/>
  <c r="BT159" i="2"/>
  <c r="BT161" i="2" s="1"/>
  <c r="BZ84" i="2" l="1"/>
  <c r="BZ125" i="2"/>
  <c r="CA121" i="2" s="1"/>
  <c r="BU159" i="2"/>
  <c r="BU94" i="2"/>
  <c r="BU95" i="2" s="1"/>
  <c r="BU96" i="2" s="1"/>
  <c r="BU87" i="2"/>
  <c r="BU36" i="4"/>
  <c r="D91" i="11"/>
  <c r="C92" i="11" s="1"/>
  <c r="D92" i="11" s="1"/>
  <c r="D93" i="11" s="1"/>
  <c r="BV127" i="2"/>
  <c r="Y38" i="3" s="1"/>
  <c r="Z34" i="3"/>
  <c r="BZ99" i="2"/>
  <c r="AB36" i="3"/>
  <c r="CF106" i="2"/>
  <c r="CF108" i="2" s="1"/>
  <c r="CG106" i="2" s="1"/>
  <c r="H36" i="1"/>
  <c r="CA122" i="2" l="1"/>
  <c r="CA124" i="2" s="1"/>
  <c r="CA84" i="2" s="1"/>
  <c r="CA40" i="4" s="1"/>
  <c r="CA41" i="4" s="1"/>
  <c r="BZ40" i="4"/>
  <c r="BZ41" i="4" s="1"/>
  <c r="BZ42" i="4" s="1"/>
  <c r="BV129" i="2"/>
  <c r="BV83" i="2" s="1"/>
  <c r="BU152" i="2"/>
  <c r="BU156" i="2" s="1"/>
  <c r="BV151" i="2" s="1"/>
  <c r="BZ100" i="2"/>
  <c r="BV130" i="2"/>
  <c r="BW126" i="2" s="1"/>
  <c r="CA125" i="2" l="1"/>
  <c r="CB121" i="2" s="1"/>
  <c r="CA42" i="4"/>
  <c r="BV159" i="2"/>
  <c r="BW127" i="2"/>
  <c r="BW129" i="2" s="1"/>
  <c r="BW83" i="2" s="1"/>
  <c r="BZ101" i="2"/>
  <c r="BU161" i="2"/>
  <c r="BV33" i="4"/>
  <c r="BV35" i="4" s="1"/>
  <c r="BV85" i="2"/>
  <c r="Y29" i="3"/>
  <c r="CB122" i="2" l="1"/>
  <c r="CB124" i="2" s="1"/>
  <c r="CB84" i="2" s="1"/>
  <c r="CB125" i="2"/>
  <c r="CC121" i="2" s="1"/>
  <c r="BV45" i="4"/>
  <c r="BV46" i="4" s="1"/>
  <c r="BV36" i="4"/>
  <c r="BW33" i="4"/>
  <c r="BW35" i="4" s="1"/>
  <c r="BW45" i="4" s="1"/>
  <c r="BW85" i="2"/>
  <c r="BW130" i="2"/>
  <c r="BX126" i="2" s="1"/>
  <c r="BV94" i="2"/>
  <c r="BV95" i="2" s="1"/>
  <c r="BV96" i="2" s="1"/>
  <c r="BV87" i="2"/>
  <c r="Y20" i="3"/>
  <c r="BZ153" i="2"/>
  <c r="BZ102" i="2"/>
  <c r="CA99" i="2" s="1"/>
  <c r="CC122" i="2" l="1"/>
  <c r="CC124" i="2" s="1"/>
  <c r="CC84" i="2" s="1"/>
  <c r="CB40" i="4"/>
  <c r="CB41" i="4" s="1"/>
  <c r="CB42" i="4" s="1"/>
  <c r="AA30" i="3"/>
  <c r="Y23" i="3"/>
  <c r="BW94" i="2"/>
  <c r="BW95" i="2" s="1"/>
  <c r="BW96" i="2" s="1"/>
  <c r="BW87" i="2"/>
  <c r="BW46" i="4"/>
  <c r="BX127" i="2"/>
  <c r="BX129" i="2" s="1"/>
  <c r="BX83" i="2" s="1"/>
  <c r="BW36" i="4"/>
  <c r="CA100" i="2"/>
  <c r="CA101" i="2" s="1"/>
  <c r="BV152" i="2"/>
  <c r="Y21" i="3"/>
  <c r="CC40" i="4" l="1"/>
  <c r="CC41" i="4" s="1"/>
  <c r="CC42" i="4" s="1"/>
  <c r="CC125" i="2"/>
  <c r="CD121" i="2" s="1"/>
  <c r="BX33" i="4"/>
  <c r="BX35" i="4" s="1"/>
  <c r="BX45" i="4" s="1"/>
  <c r="BX46" i="4" s="1"/>
  <c r="BX85" i="2"/>
  <c r="CA153" i="2"/>
  <c r="BW152" i="2"/>
  <c r="BX130" i="2"/>
  <c r="BY126" i="2" s="1"/>
  <c r="BV156" i="2"/>
  <c r="BV161" i="2"/>
  <c r="Y45" i="3" s="1"/>
  <c r="CA102" i="2"/>
  <c r="CB99" i="2" s="1"/>
  <c r="BX36" i="4" l="1"/>
  <c r="CD122" i="2"/>
  <c r="CD124" i="2"/>
  <c r="CD84" i="2" s="1"/>
  <c r="CB100" i="2"/>
  <c r="CB101" i="2" s="1"/>
  <c r="Y43" i="3"/>
  <c r="BW151" i="2"/>
  <c r="BX94" i="2"/>
  <c r="BX95" i="2" s="1"/>
  <c r="BX96" i="2" s="1"/>
  <c r="BX87" i="2"/>
  <c r="BY127" i="2"/>
  <c r="Z38" i="3" s="1"/>
  <c r="CD40" i="4" l="1"/>
  <c r="CD41" i="4" s="1"/>
  <c r="CD42" i="4" s="1"/>
  <c r="CD125" i="2"/>
  <c r="CE121" i="2" s="1"/>
  <c r="CB153" i="2"/>
  <c r="AA33" i="3"/>
  <c r="BY129" i="2"/>
  <c r="BY83" i="2" s="1"/>
  <c r="CB102" i="2"/>
  <c r="BX152" i="2"/>
  <c r="BW156" i="2"/>
  <c r="BX151" i="2" s="1"/>
  <c r="BW159" i="2"/>
  <c r="BW161" i="2" s="1"/>
  <c r="CE122" i="2" l="1"/>
  <c r="CE124" i="2"/>
  <c r="CE84" i="2" s="1"/>
  <c r="CE125" i="2"/>
  <c r="CF121" i="2" s="1"/>
  <c r="BX156" i="2"/>
  <c r="BY151" i="2" s="1"/>
  <c r="BX159" i="2"/>
  <c r="BX161" i="2" s="1"/>
  <c r="BY130" i="2"/>
  <c r="BZ126" i="2" s="1"/>
  <c r="BY33" i="4"/>
  <c r="BY35" i="4" s="1"/>
  <c r="BY85" i="2"/>
  <c r="Z29" i="3"/>
  <c r="AA34" i="3"/>
  <c r="CC99" i="2"/>
  <c r="CF122" i="2" l="1"/>
  <c r="CF124" i="2" s="1"/>
  <c r="CF84" i="2" s="1"/>
  <c r="CE40" i="4"/>
  <c r="CE41" i="4" s="1"/>
  <c r="CE42" i="4" s="1"/>
  <c r="AB30" i="3"/>
  <c r="H30" i="1"/>
  <c r="BZ127" i="2"/>
  <c r="BZ129" i="2" s="1"/>
  <c r="BZ83" i="2" s="1"/>
  <c r="BY45" i="4"/>
  <c r="BY46" i="4" s="1"/>
  <c r="BY36" i="4"/>
  <c r="BY94" i="2"/>
  <c r="BY95" i="2" s="1"/>
  <c r="BY96" i="2" s="1"/>
  <c r="BY87" i="2"/>
  <c r="Z20" i="3"/>
  <c r="BY159" i="2"/>
  <c r="CC100" i="2"/>
  <c r="CC101" i="2" s="1"/>
  <c r="CF40" i="4" l="1"/>
  <c r="CF41" i="4" s="1"/>
  <c r="CF42" i="4" s="1"/>
  <c r="CF125" i="2"/>
  <c r="CG121" i="2" s="1"/>
  <c r="BZ33" i="4"/>
  <c r="BZ35" i="4" s="1"/>
  <c r="BZ45" i="4" s="1"/>
  <c r="BZ85" i="2"/>
  <c r="CC153" i="2"/>
  <c r="CC102" i="2"/>
  <c r="CD99" i="2" s="1"/>
  <c r="BZ130" i="2"/>
  <c r="CA126" i="2" s="1"/>
  <c r="BY152" i="2"/>
  <c r="BY156" i="2" s="1"/>
  <c r="Z21" i="3"/>
  <c r="BZ46" i="4"/>
  <c r="Z23" i="3"/>
  <c r="CG122" i="2" l="1"/>
  <c r="CG124" i="2" s="1"/>
  <c r="BZ36" i="4"/>
  <c r="CA127" i="2"/>
  <c r="CA129" i="2" s="1"/>
  <c r="CA83" i="2" s="1"/>
  <c r="BZ94" i="2"/>
  <c r="BZ95" i="2" s="1"/>
  <c r="BZ96" i="2" s="1"/>
  <c r="BZ87" i="2"/>
  <c r="Z43" i="3"/>
  <c r="BZ151" i="2"/>
  <c r="BY161" i="2"/>
  <c r="Z45" i="3" s="1"/>
  <c r="CD100" i="2"/>
  <c r="CG84" i="2" l="1"/>
  <c r="CG125" i="2"/>
  <c r="CH121" i="2" s="1"/>
  <c r="CA33" i="4"/>
  <c r="CA35" i="4" s="1"/>
  <c r="CA85" i="2"/>
  <c r="CD101" i="2"/>
  <c r="CD102" i="2" s="1"/>
  <c r="CE99" i="2" s="1"/>
  <c r="CA130" i="2"/>
  <c r="CB126" i="2" s="1"/>
  <c r="BZ152" i="2"/>
  <c r="BZ156" i="2" s="1"/>
  <c r="CA151" i="2" s="1"/>
  <c r="BZ159" i="2"/>
  <c r="CH122" i="2" l="1"/>
  <c r="B16" i="13" s="1"/>
  <c r="B17" i="13" s="1"/>
  <c r="CG40" i="4"/>
  <c r="CG41" i="4" s="1"/>
  <c r="CG42" i="4" s="1"/>
  <c r="CA159" i="2"/>
  <c r="CE100" i="2"/>
  <c r="CA45" i="4"/>
  <c r="CA46" i="4" s="1"/>
  <c r="CA36" i="4"/>
  <c r="CA94" i="2"/>
  <c r="CA95" i="2" s="1"/>
  <c r="CA96" i="2" s="1"/>
  <c r="CA87" i="2"/>
  <c r="BZ161" i="2"/>
  <c r="CB127" i="2"/>
  <c r="AA38" i="3" s="1"/>
  <c r="CD153" i="2"/>
  <c r="CB129" i="2" l="1"/>
  <c r="CB83" i="2" s="1"/>
  <c r="CB33" i="4" s="1"/>
  <c r="CB35" i="4" s="1"/>
  <c r="CE101" i="2"/>
  <c r="CH124" i="2"/>
  <c r="CH84" i="2" s="1"/>
  <c r="AA29" i="3"/>
  <c r="CB130" i="2"/>
  <c r="CC126" i="2" s="1"/>
  <c r="CA152" i="2"/>
  <c r="CA156" i="2" s="1"/>
  <c r="CB151" i="2" s="1"/>
  <c r="CB45" i="4" l="1"/>
  <c r="CB46" i="4" s="1"/>
  <c r="CB36" i="4"/>
  <c r="CH40" i="4"/>
  <c r="CH41" i="4" s="1"/>
  <c r="CH42" i="4" s="1"/>
  <c r="AC30" i="3"/>
  <c r="I30" i="1"/>
  <c r="CE153" i="2"/>
  <c r="H33" i="1"/>
  <c r="CA161" i="2"/>
  <c r="CB85" i="2"/>
  <c r="CE102" i="2"/>
  <c r="AB33" i="3"/>
  <c r="CH125" i="2"/>
  <c r="E53" i="11" s="1"/>
  <c r="CB94" i="2"/>
  <c r="CB95" i="2" s="1"/>
  <c r="CB96" i="2" s="1"/>
  <c r="CB87" i="2"/>
  <c r="AA20" i="3"/>
  <c r="CC127" i="2"/>
  <c r="CC129" i="2" s="1"/>
  <c r="CB159" i="2"/>
  <c r="F53" i="11" l="1"/>
  <c r="G53" i="11" s="1"/>
  <c r="H34" i="1"/>
  <c r="AB34" i="3"/>
  <c r="CF99" i="2"/>
  <c r="CF100" i="2" s="1"/>
  <c r="CF101" i="2" s="1"/>
  <c r="CF153" i="2" s="1"/>
  <c r="CC83" i="2"/>
  <c r="CC130" i="2"/>
  <c r="CD126" i="2" s="1"/>
  <c r="CB152" i="2"/>
  <c r="CB156" i="2" s="1"/>
  <c r="AA21" i="3"/>
  <c r="AA23" i="3"/>
  <c r="CF102" i="2" l="1"/>
  <c r="CG99" i="2" s="1"/>
  <c r="E54" i="11"/>
  <c r="CD127" i="2"/>
  <c r="AA43" i="3"/>
  <c r="CC151" i="2"/>
  <c r="CG100" i="2"/>
  <c r="CC33" i="4"/>
  <c r="CC35" i="4" s="1"/>
  <c r="CC85" i="2"/>
  <c r="CB161" i="2"/>
  <c r="AA45" i="3" s="1"/>
  <c r="F54" i="11" l="1"/>
  <c r="G54" i="11" s="1"/>
  <c r="E55" i="11" s="1"/>
  <c r="CG101" i="2"/>
  <c r="CC159" i="2"/>
  <c r="CD129" i="2"/>
  <c r="CD83" i="2" s="1"/>
  <c r="CC94" i="2"/>
  <c r="CC95" i="2" s="1"/>
  <c r="CC96" i="2" s="1"/>
  <c r="CC87" i="2"/>
  <c r="CC45" i="4"/>
  <c r="CC46" i="4" s="1"/>
  <c r="CC36" i="4"/>
  <c r="F55" i="11" l="1"/>
  <c r="G55" i="11"/>
  <c r="E56" i="11"/>
  <c r="CC161" i="2"/>
  <c r="CD33" i="4"/>
  <c r="CD35" i="4" s="1"/>
  <c r="CD45" i="4" s="1"/>
  <c r="CD46" i="4" s="1"/>
  <c r="CD85" i="2"/>
  <c r="CG153" i="2"/>
  <c r="CD130" i="2"/>
  <c r="CE126" i="2" s="1"/>
  <c r="CC152" i="2"/>
  <c r="CC156" i="2" s="1"/>
  <c r="CD151" i="2" s="1"/>
  <c r="CG102" i="2"/>
  <c r="CH99" i="2" s="1"/>
  <c r="F56" i="11" l="1"/>
  <c r="G56" i="11"/>
  <c r="E57" i="11" s="1"/>
  <c r="CH100" i="2"/>
  <c r="CH101" i="2" s="1"/>
  <c r="CD36" i="4"/>
  <c r="CD159" i="2"/>
  <c r="CE127" i="2"/>
  <c r="AB38" i="3" s="1"/>
  <c r="CD94" i="2"/>
  <c r="CD95" i="2" s="1"/>
  <c r="CD96" i="2" s="1"/>
  <c r="CD87" i="2"/>
  <c r="CH102" i="2" l="1"/>
  <c r="F57" i="11"/>
  <c r="G57" i="11" s="1"/>
  <c r="E58" i="11"/>
  <c r="CD152" i="2"/>
  <c r="CD156" i="2" s="1"/>
  <c r="CE151" i="2" s="1"/>
  <c r="CE129" i="2"/>
  <c r="CE83" i="2" s="1"/>
  <c r="AC34" i="3"/>
  <c r="I34" i="1"/>
  <c r="CH153" i="2"/>
  <c r="AC33" i="3"/>
  <c r="I33" i="1"/>
  <c r="F58" i="11" l="1"/>
  <c r="G58" i="11"/>
  <c r="CD161" i="2"/>
  <c r="CE130" i="2"/>
  <c r="CF126" i="2" s="1"/>
  <c r="CE159" i="2"/>
  <c r="CE33" i="4"/>
  <c r="CE35" i="4" s="1"/>
  <c r="CE85" i="2"/>
  <c r="AB29" i="3"/>
  <c r="H29" i="1"/>
  <c r="H38" i="1" l="1"/>
  <c r="E59" i="11"/>
  <c r="CF127" i="2"/>
  <c r="CF129" i="2" s="1"/>
  <c r="CE45" i="4"/>
  <c r="CE46" i="4" s="1"/>
  <c r="CE36" i="4"/>
  <c r="CE94" i="2"/>
  <c r="CE95" i="2" s="1"/>
  <c r="CE96" i="2" s="1"/>
  <c r="CE87" i="2"/>
  <c r="AB20" i="3"/>
  <c r="H20" i="1"/>
  <c r="H46" i="5" s="1"/>
  <c r="F59" i="11" l="1"/>
  <c r="CF83" i="2"/>
  <c r="CF130" i="2"/>
  <c r="CG126" i="2" s="1"/>
  <c r="CE152" i="2"/>
  <c r="H21" i="1"/>
  <c r="AB21" i="3"/>
  <c r="CG107" i="2"/>
  <c r="CH160" i="2"/>
  <c r="AB23" i="3"/>
  <c r="H23" i="1"/>
  <c r="G59" i="11" l="1"/>
  <c r="E60" i="11" s="1"/>
  <c r="CE156" i="2"/>
  <c r="CE161" i="2"/>
  <c r="CG127" i="2"/>
  <c r="CF33" i="4"/>
  <c r="CF35" i="4" s="1"/>
  <c r="CF85" i="2"/>
  <c r="AC44" i="3"/>
  <c r="I44" i="1"/>
  <c r="AC35" i="3"/>
  <c r="CG154" i="2"/>
  <c r="I35" i="1"/>
  <c r="CG108" i="2"/>
  <c r="CH106" i="2" s="1"/>
  <c r="CH108" i="2" s="1"/>
  <c r="F60" i="11" l="1"/>
  <c r="G60" i="11" s="1"/>
  <c r="E61" i="11" s="1"/>
  <c r="CG129" i="2"/>
  <c r="CG83" i="2" s="1"/>
  <c r="CG33" i="4"/>
  <c r="CG35" i="4" s="1"/>
  <c r="CG45" i="4" s="1"/>
  <c r="CG85" i="2"/>
  <c r="CF45" i="4"/>
  <c r="CF46" i="4" s="1"/>
  <c r="CF36" i="4"/>
  <c r="AB45" i="3"/>
  <c r="H45" i="1"/>
  <c r="AC36" i="3"/>
  <c r="I36" i="1"/>
  <c r="CF94" i="2"/>
  <c r="CF95" i="2" s="1"/>
  <c r="CF96" i="2" s="1"/>
  <c r="CF87" i="2"/>
  <c r="AB43" i="3"/>
  <c r="CF151" i="2"/>
  <c r="H43" i="1"/>
  <c r="H50" i="5" s="1"/>
  <c r="F61" i="11" l="1"/>
  <c r="G61" i="11"/>
  <c r="CG130" i="2"/>
  <c r="CH126" i="2" s="1"/>
  <c r="CH127" i="2" s="1"/>
  <c r="B23" i="13" s="1"/>
  <c r="CG36" i="4"/>
  <c r="CG94" i="2"/>
  <c r="CG95" i="2" s="1"/>
  <c r="CG96" i="2" s="1"/>
  <c r="CG87" i="2"/>
  <c r="CG152" i="2" s="1"/>
  <c r="CF159" i="2"/>
  <c r="CF152" i="2"/>
  <c r="CF156" i="2" s="1"/>
  <c r="CG151" i="2" s="1"/>
  <c r="CG46" i="4"/>
  <c r="CH129" i="2" l="1"/>
  <c r="AC38" i="3"/>
  <c r="E62" i="11"/>
  <c r="CG156" i="2"/>
  <c r="CH151" i="2" s="1"/>
  <c r="CG159" i="2"/>
  <c r="CG161" i="2" s="1"/>
  <c r="CF161" i="2"/>
  <c r="D23" i="13"/>
  <c r="D24" i="13" s="1"/>
  <c r="B24" i="13"/>
  <c r="B31" i="13" s="1"/>
  <c r="B30" i="13"/>
  <c r="CH83" i="2"/>
  <c r="CH130" i="2"/>
  <c r="I38" i="1" s="1"/>
  <c r="F62" i="11" l="1"/>
  <c r="CH159" i="2"/>
  <c r="CH33" i="4"/>
  <c r="CH35" i="4" s="1"/>
  <c r="CH85" i="2"/>
  <c r="I29" i="1"/>
  <c r="AC29" i="3"/>
  <c r="G62" i="11" l="1"/>
  <c r="E63" i="11" s="1"/>
  <c r="CH94" i="2"/>
  <c r="CH95" i="2" s="1"/>
  <c r="CH96" i="2" s="1"/>
  <c r="CH87" i="2"/>
  <c r="AC20" i="3"/>
  <c r="I20" i="1"/>
  <c r="I46" i="5" s="1"/>
  <c r="CH45" i="4"/>
  <c r="CH46" i="4" s="1"/>
  <c r="CH36" i="4"/>
  <c r="F63" i="11" l="1"/>
  <c r="G63" i="11"/>
  <c r="E64" i="11" s="1"/>
  <c r="CH152" i="2"/>
  <c r="I21" i="1"/>
  <c r="AC21" i="3"/>
  <c r="AC23" i="3"/>
  <c r="I23" i="1"/>
  <c r="F64" i="11" l="1"/>
  <c r="G64" i="11"/>
  <c r="E65" i="11" s="1"/>
  <c r="CH156" i="2"/>
  <c r="CH161" i="2"/>
  <c r="F65" i="11" l="1"/>
  <c r="G65" i="11" s="1"/>
  <c r="E66" i="11" s="1"/>
  <c r="AC45" i="3"/>
  <c r="I45" i="1"/>
  <c r="AC43" i="3"/>
  <c r="I43" i="1"/>
  <c r="F66" i="11" l="1"/>
  <c r="G66" i="11"/>
  <c r="E67" i="11" s="1"/>
  <c r="I50" i="5"/>
  <c r="F72" i="5"/>
  <c r="F67" i="11" l="1"/>
  <c r="G67" i="11" s="1"/>
  <c r="E68" i="11" l="1"/>
  <c r="F68" i="11" s="1"/>
  <c r="G68" i="11" s="1"/>
  <c r="E69" i="11" s="1"/>
  <c r="F69" i="11" l="1"/>
  <c r="G69" i="11"/>
  <c r="E70" i="11" s="1"/>
  <c r="F70" i="11" s="1"/>
  <c r="G70" i="11" s="1"/>
  <c r="E71" i="11" s="1"/>
  <c r="F71" i="11" l="1"/>
  <c r="G71" i="11" s="1"/>
  <c r="E72" i="11"/>
  <c r="F72" i="11" l="1"/>
  <c r="G72" i="11"/>
  <c r="E73" i="11" s="1"/>
  <c r="F73" i="11" l="1"/>
  <c r="G73" i="11" s="1"/>
  <c r="E74" i="11" l="1"/>
  <c r="F74" i="11" s="1"/>
  <c r="G74" i="11" s="1"/>
  <c r="E75" i="11" s="1"/>
  <c r="F75" i="11" s="1"/>
  <c r="G75" i="11" s="1"/>
  <c r="E76" i="11" s="1"/>
  <c r="F76" i="11" l="1"/>
  <c r="G76" i="11" s="1"/>
  <c r="E77" i="11" s="1"/>
  <c r="F77" i="11" l="1"/>
  <c r="G77" i="11" s="1"/>
  <c r="E78" i="11" s="1"/>
  <c r="F78" i="11" l="1"/>
  <c r="G78" i="11"/>
  <c r="E79" i="11" s="1"/>
  <c r="F79" i="11" l="1"/>
  <c r="G79" i="11" s="1"/>
  <c r="E80" i="11" s="1"/>
  <c r="F80" i="11" l="1"/>
  <c r="G80" i="11" s="1"/>
  <c r="E81" i="11" l="1"/>
  <c r="F81" i="11" l="1"/>
  <c r="G81" i="11"/>
  <c r="E82" i="11" s="1"/>
  <c r="F82" i="11" l="1"/>
  <c r="G82" i="11"/>
  <c r="E83" i="11" l="1"/>
  <c r="F83" i="11" l="1"/>
  <c r="G83" i="11" s="1"/>
  <c r="E84" i="11" l="1"/>
  <c r="F84" i="11" l="1"/>
  <c r="G84" i="11"/>
  <c r="E85" i="11" s="1"/>
  <c r="F85" i="11" l="1"/>
  <c r="G85" i="11"/>
  <c r="E86" i="11" s="1"/>
  <c r="F86" i="11" l="1"/>
  <c r="G86" i="11" s="1"/>
  <c r="E87" i="11" l="1"/>
  <c r="F87" i="11" l="1"/>
  <c r="G87" i="11"/>
  <c r="E88" i="11" l="1"/>
  <c r="F88" i="11" l="1"/>
  <c r="G88" i="11" l="1"/>
  <c r="E89" i="11" s="1"/>
  <c r="F89" i="11" l="1"/>
  <c r="G89" i="11" s="1"/>
  <c r="E90" i="11"/>
  <c r="F90" i="11" l="1"/>
  <c r="G90" i="11"/>
  <c r="E91" i="11" s="1"/>
  <c r="F91" i="11" l="1"/>
  <c r="G91" i="11"/>
  <c r="E92" i="11" s="1"/>
  <c r="F92" i="11" l="1"/>
  <c r="F93" i="11" s="1"/>
  <c r="C16" i="13" s="1"/>
  <c r="G92" i="11" l="1"/>
  <c r="G93" i="11" s="1"/>
  <c r="C17" i="13"/>
  <c r="C31" i="13" s="1"/>
  <c r="C30" i="13"/>
  <c r="D16" i="13"/>
  <c r="D30" i="13" l="1"/>
  <c r="D17" i="13"/>
  <c r="D31" i="13" s="1"/>
</calcChain>
</file>

<file path=xl/sharedStrings.xml><?xml version="1.0" encoding="utf-8"?>
<sst xmlns="http://schemas.openxmlformats.org/spreadsheetml/2006/main" count="1235" uniqueCount="714">
  <si>
    <t>Name</t>
  </si>
  <si>
    <t>Role</t>
  </si>
  <si>
    <t>Annual Salary</t>
  </si>
  <si>
    <t>Monthly Cost</t>
  </si>
  <si>
    <t>Start Month</t>
  </si>
  <si>
    <t>Type</t>
  </si>
  <si>
    <t>Active</t>
  </si>
  <si>
    <t>Consult %</t>
  </si>
  <si>
    <t>LV Alloc %</t>
  </si>
  <si>
    <t>Category</t>
  </si>
  <si>
    <t>Kim Moreno</t>
  </si>
  <si>
    <t>Project Coordinator/Admin</t>
  </si>
  <si>
    <t>GC</t>
  </si>
  <si>
    <t>Yes</t>
  </si>
  <si>
    <t>Corporate</t>
  </si>
  <si>
    <t>Grady LaKamp (Corporate)</t>
  </si>
  <si>
    <t>Executive</t>
  </si>
  <si>
    <t>Joe LaKamp (Corporate)</t>
  </si>
  <si>
    <t>Pedro Rosalas (Corporate)</t>
  </si>
  <si>
    <t>Project Manager</t>
  </si>
  <si>
    <t>Greg Smith (Corporate)</t>
  </si>
  <si>
    <t>Grady LaKamp (Field)</t>
  </si>
  <si>
    <t>Field</t>
  </si>
  <si>
    <t>Joe LaKamp (Field)</t>
  </si>
  <si>
    <t>Pedro Rosalas (Field)</t>
  </si>
  <si>
    <t>Greg Smith (Field)</t>
  </si>
  <si>
    <t>New Hire - PM</t>
  </si>
  <si>
    <t>Dorian Puentes</t>
  </si>
  <si>
    <t>Asst Project Manager</t>
  </si>
  <si>
    <t>Roy Torries</t>
  </si>
  <si>
    <t>Lucy Mohler</t>
  </si>
  <si>
    <t>New Hire - APM 2</t>
  </si>
  <si>
    <t>Alina Akopian</t>
  </si>
  <si>
    <t>New Hire - Admin</t>
  </si>
  <si>
    <t>Mike Savaiki</t>
  </si>
  <si>
    <t>Senior Superintendent</t>
  </si>
  <si>
    <t>Daniel Carrillo</t>
  </si>
  <si>
    <t>Alex Gottlieb</t>
  </si>
  <si>
    <t>Nick Donald</t>
  </si>
  <si>
    <t>Site Superintendent</t>
  </si>
  <si>
    <t>Steve Garcia</t>
  </si>
  <si>
    <t>Logan Terriquez</t>
  </si>
  <si>
    <t>New Hire - Site Supt 3</t>
  </si>
  <si>
    <t>New Hire - Site Supt 4</t>
  </si>
  <si>
    <t>Ivan Delgado</t>
  </si>
  <si>
    <t>Field Engineer</t>
  </si>
  <si>
    <t>Jonas Dobkin</t>
  </si>
  <si>
    <t>Carlos Rocha</t>
  </si>
  <si>
    <t>Laborer</t>
  </si>
  <si>
    <t>Devis Tejada</t>
  </si>
  <si>
    <t>Six Peak Capital Personnel</t>
  </si>
  <si>
    <t>Chris Aiello</t>
  </si>
  <si>
    <t>Partner</t>
  </si>
  <si>
    <t>SixPeak</t>
  </si>
  <si>
    <t>SP</t>
  </si>
  <si>
    <t>Bob Kennedy</t>
  </si>
  <si>
    <t>Tom Taggart</t>
  </si>
  <si>
    <t>Asset Mgmt/Bus Dev</t>
  </si>
  <si>
    <t>Schuyler Dietz</t>
  </si>
  <si>
    <t>Associate</t>
  </si>
  <si>
    <t>Derek Sanders</t>
  </si>
  <si>
    <t>Director of Development</t>
  </si>
  <si>
    <t>Robert Carrega</t>
  </si>
  <si>
    <t>Controller</t>
  </si>
  <si>
    <t>Chris Andresen</t>
  </si>
  <si>
    <t>CFO</t>
  </si>
  <si>
    <t>Six Peak Capital - Annual Summary</t>
  </si>
  <si>
    <t>FY 2026</t>
  </si>
  <si>
    <t>FY 2027</t>
  </si>
  <si>
    <t>FY 2028</t>
  </si>
  <si>
    <t>FY 2029</t>
  </si>
  <si>
    <t>FY 2030</t>
  </si>
  <si>
    <t>FY 2031</t>
  </si>
  <si>
    <t>FY 2032</t>
  </si>
  <si>
    <t>FY 2033</t>
  </si>
  <si>
    <t>Construction Billing</t>
  </si>
  <si>
    <t>GC Revenue</t>
  </si>
  <si>
    <t xml:space="preserve">  Project Supervision</t>
  </si>
  <si>
    <t xml:space="preserve">  GC-CM Fee</t>
  </si>
  <si>
    <t xml:space="preserve">  Project Administration</t>
  </si>
  <si>
    <t xml:space="preserve">  Bonding Revenue</t>
  </si>
  <si>
    <t>Total GC Revenue</t>
  </si>
  <si>
    <t>GC Costs</t>
  </si>
  <si>
    <t xml:space="preserve">  Bonding Costs</t>
  </si>
  <si>
    <t xml:space="preserve">  GC Personnel</t>
  </si>
  <si>
    <t xml:space="preserve">  SP Allocated to LV</t>
  </si>
  <si>
    <t>Total GC Costs</t>
  </si>
  <si>
    <t>GC Net Income</t>
  </si>
  <si>
    <t>GC Profit Margin %</t>
  </si>
  <si>
    <t>Six Peak Revenue</t>
  </si>
  <si>
    <t>Six Peak Expenses</t>
  </si>
  <si>
    <t>Six Peak Net Income</t>
  </si>
  <si>
    <t>Consolidated Net Income</t>
  </si>
  <si>
    <t>Steyn Group Fees</t>
  </si>
  <si>
    <t xml:space="preserve">  Completion Guaranty Fee</t>
  </si>
  <si>
    <t xml:space="preserve">  Liquidity Guarantee Fee</t>
  </si>
  <si>
    <t xml:space="preserve">  Francis Steyn Fee + PIK (LIHTC)</t>
  </si>
  <si>
    <t xml:space="preserve">  Reseda Steyn Fee + PIK (LIHTC)</t>
  </si>
  <si>
    <t xml:space="preserve">  3rd St Steyn Fee + PIK (LIHTC)</t>
  </si>
  <si>
    <t>Debt Facilities</t>
  </si>
  <si>
    <t xml:space="preserve">  Debt Facility Payment</t>
  </si>
  <si>
    <t xml:space="preserve">  Debt Facility Balance</t>
  </si>
  <si>
    <t xml:space="preserve">  Row Run Capital Payment</t>
  </si>
  <si>
    <t xml:space="preserve">  Row Run Capital Balance</t>
  </si>
  <si>
    <t xml:space="preserve">  PIK Repayment (in Steyn + PIK above)</t>
  </si>
  <si>
    <t xml:space="preserve">  Investment Capital Outstanding</t>
  </si>
  <si>
    <t>Bonding Outstanding</t>
  </si>
  <si>
    <t>LV Ending Cash</t>
  </si>
  <si>
    <t>SP Ending Cash</t>
  </si>
  <si>
    <t>Tax Distribution (30% Consol NI)</t>
  </si>
  <si>
    <t>Total Ending Cash</t>
  </si>
  <si>
    <t>Six Peak Capital - Financial Projections</t>
  </si>
  <si>
    <t>Month #</t>
  </si>
  <si>
    <t>GC CONSTRUCTION P&amp;L</t>
  </si>
  <si>
    <t>Crenshaw, Ramsgate, Califa, Whipple, Nelrose</t>
  </si>
  <si>
    <t>Francis</t>
  </si>
  <si>
    <t>Klump</t>
  </si>
  <si>
    <t>Scott</t>
  </si>
  <si>
    <t>Lexington, Denny</t>
  </si>
  <si>
    <t>Acama</t>
  </si>
  <si>
    <t>Reseda</t>
  </si>
  <si>
    <t>HVN Pipeline 1</t>
  </si>
  <si>
    <t>HVN Pipeline 2</t>
  </si>
  <si>
    <t>3rd St</t>
  </si>
  <si>
    <t>Project Supervision Revenue</t>
  </si>
  <si>
    <t>GC-CM Fee Revenue</t>
  </si>
  <si>
    <t>Project Administration Revenue</t>
  </si>
  <si>
    <t>Bonding Revenue</t>
  </si>
  <si>
    <t>Bonding Costs</t>
  </si>
  <si>
    <t>GC Job Payroll</t>
  </si>
  <si>
    <t>GC Corporate Payroll</t>
  </si>
  <si>
    <t>SP Allocated to LV</t>
  </si>
  <si>
    <t>GC Payroll Tax</t>
  </si>
  <si>
    <t>GC Payroll Servicing</t>
  </si>
  <si>
    <t>GC Employee Benefits</t>
  </si>
  <si>
    <t>GC Workers Comp</t>
  </si>
  <si>
    <t>Rent Expense</t>
  </si>
  <si>
    <t>Office Supplies</t>
  </si>
  <si>
    <t>Postage and Delivery</t>
  </si>
  <si>
    <t>Computer &amp; IT Expenses</t>
  </si>
  <si>
    <t>Internet</t>
  </si>
  <si>
    <t>Telephone Expenses</t>
  </si>
  <si>
    <t>Meal and Entertainment</t>
  </si>
  <si>
    <t>Legal and Professional Fees</t>
  </si>
  <si>
    <t>Accounting/Consulting</t>
  </si>
  <si>
    <t>Entity Filing and Formation Fees</t>
  </si>
  <si>
    <t>General Insurance</t>
  </si>
  <si>
    <t>Other Utilities</t>
  </si>
  <si>
    <t>Gas Expense</t>
  </si>
  <si>
    <t>Auto &amp; Truck Expense</t>
  </si>
  <si>
    <t>Bank Service Charges</t>
  </si>
  <si>
    <t>Warranty</t>
  </si>
  <si>
    <t>SIX PEAK CAPITAL P&amp;L</t>
  </si>
  <si>
    <t>Edgemont Management Fee</t>
  </si>
  <si>
    <t>Ramsgate Dev Fee - Construction</t>
  </si>
  <si>
    <t>Ramsgate Dev Fee - 20% Occ</t>
  </si>
  <si>
    <t>Ramsgate Dev Fee - 50% Occ</t>
  </si>
  <si>
    <t>Ramsgate Dev Fee - 90% Occ</t>
  </si>
  <si>
    <t>Crenshaw Development Fee</t>
  </si>
  <si>
    <t>12th &amp; Fir Developer Fee</t>
  </si>
  <si>
    <t>Klump Accounting Fee</t>
  </si>
  <si>
    <t>Klump Developer Fee</t>
  </si>
  <si>
    <t>Klump Guarantee Fee</t>
  </si>
  <si>
    <t>Scott Accounting Fee</t>
  </si>
  <si>
    <t>Scott Developer Fee</t>
  </si>
  <si>
    <t>Scott Guarantee Fee</t>
  </si>
  <si>
    <t>Francis LIHTC Revenue (SP Share)</t>
  </si>
  <si>
    <t>Reseda LIHTC Revenue (SP Share)</t>
  </si>
  <si>
    <t>3rd St LIHTC Revenue (SP Share)</t>
  </si>
  <si>
    <t>Uplifters Total to SP</t>
  </si>
  <si>
    <t>Total Six Peak Revenue</t>
  </si>
  <si>
    <t>Six Peak Personnel</t>
  </si>
  <si>
    <t>SP Payroll Tax</t>
  </si>
  <si>
    <t>SP Payroll Servicing</t>
  </si>
  <si>
    <t>SP Employee Benefits</t>
  </si>
  <si>
    <t>SP Workers Comp</t>
  </si>
  <si>
    <t>NYC Rent</t>
  </si>
  <si>
    <t>LA Rent</t>
  </si>
  <si>
    <t>Yardi Bill Pay</t>
  </si>
  <si>
    <t>Office and IT</t>
  </si>
  <si>
    <t>Travel and M&amp;E</t>
  </si>
  <si>
    <t>Insurance</t>
  </si>
  <si>
    <t>Other Operating Expenses</t>
  </si>
  <si>
    <t>Yardi License (Annual)</t>
  </si>
  <si>
    <t>Juniper Square (Annual)</t>
  </si>
  <si>
    <t>Steyn Group Guaranty Fee</t>
  </si>
  <si>
    <t>Steyn Liquidity Guarantee Fee</t>
  </si>
  <si>
    <t>Francis Steyn Fee + PIK (from LIHTC Revenue)</t>
  </si>
  <si>
    <t>Reseda Steyn Fee + PIK (from LIHTC Revenue)</t>
  </si>
  <si>
    <t>3rd St Steyn Fee + PIK (from LIHTC Revenue)</t>
  </si>
  <si>
    <t>Total Six Peak Expenses</t>
  </si>
  <si>
    <t>CONSOLIDATED P&amp;L</t>
  </si>
  <si>
    <t>Total Revenue</t>
  </si>
  <si>
    <t>Total Expenses</t>
  </si>
  <si>
    <t>DEBT FACILITY</t>
  </si>
  <si>
    <t>Beginning Balance</t>
  </si>
  <si>
    <t>Quarterly Interest (15% / 4)</t>
  </si>
  <si>
    <t>Monthly Payment</t>
  </si>
  <si>
    <t>Ending Balance</t>
  </si>
  <si>
    <t>ROW RUN CAPITAL LLC - DEBT FACILITY</t>
  </si>
  <si>
    <t>Annual Payment (25% tranche)</t>
  </si>
  <si>
    <t>PROJECT INVESTMENT CAPITAL - DEBT FACILITY</t>
  </si>
  <si>
    <t>Klump - Beginning Balance</t>
  </si>
  <si>
    <t>Klump - Quarterly Interest</t>
  </si>
  <si>
    <t>Klump - Deal Distribution</t>
  </si>
  <si>
    <t>Klump - PIK Payment (LIHTC)</t>
  </si>
  <si>
    <t>Klump - Ending Balance</t>
  </si>
  <si>
    <t>Scott - Beginning Balance</t>
  </si>
  <si>
    <t>Scott - Quarterly Interest</t>
  </si>
  <si>
    <t>Scott - Deal Distribution</t>
  </si>
  <si>
    <t>Scott - PIK Payment (LIHTC)</t>
  </si>
  <si>
    <t>Scott - Ending Balance</t>
  </si>
  <si>
    <t>3rd St - Beginning Balance</t>
  </si>
  <si>
    <t>3rd St - Quarterly Interest</t>
  </si>
  <si>
    <t>3rd St - Deal Distribution</t>
  </si>
  <si>
    <t>3rd St - PIK Payment (LIHTC)</t>
  </si>
  <si>
    <t>3rd St - Ending Balance</t>
  </si>
  <si>
    <t>Reseda - Beginning Balance</t>
  </si>
  <si>
    <t>Reseda - Quarterly Interest</t>
  </si>
  <si>
    <t>Reseda - Deal Distribution</t>
  </si>
  <si>
    <t>Reseda - PIK Payment (LIHTC)</t>
  </si>
  <si>
    <t>Reseda - Ending Balance</t>
  </si>
  <si>
    <t>BONDING OUTSTANDING</t>
  </si>
  <si>
    <t>Califa</t>
  </si>
  <si>
    <t>Whipple</t>
  </si>
  <si>
    <t>Lexington</t>
  </si>
  <si>
    <t>Denny</t>
  </si>
  <si>
    <t>Total Bonding Outstanding</t>
  </si>
  <si>
    <t>CASH ON HAND</t>
  </si>
  <si>
    <t>LV (GC) Cash</t>
  </si>
  <si>
    <t>LV Beginning Cash</t>
  </si>
  <si>
    <t>LV Net Cash Flow</t>
  </si>
  <si>
    <t>Six Peak Cash</t>
  </si>
  <si>
    <t>SP Beginning Cash</t>
  </si>
  <si>
    <t>SP Net Cash Flow</t>
  </si>
  <si>
    <t>Debt Facility Payment</t>
  </si>
  <si>
    <t>Row Run Capital Payment</t>
  </si>
  <si>
    <t>PIK Repayment (included in SP Expenses above)</t>
  </si>
  <si>
    <t>Consolidated Cash</t>
  </si>
  <si>
    <t>Total Beginning Cash</t>
  </si>
  <si>
    <t>Notes:</t>
  </si>
  <si>
    <t>Outstanding Steyn Fee Balances Owed (paid from future LIHTC revenue):</t>
  </si>
  <si>
    <t>3rd St: $563,546  (1% GMP + 3% liquidity requirement)</t>
  </si>
  <si>
    <t>Francis: $579,684 paid quarterly from LIHTC revenue starting Mo 42 (Sep 2029). No PIK capital invested.</t>
  </si>
  <si>
    <t>Reseda: $602,668 paid quarterly from LIHTC revenue starting Mo 45 (Dec 2029). Deal distributes $1,450,000 at project start (Mo 13).</t>
  </si>
  <si>
    <t>Six Peak Capital - QTR Summary</t>
  </si>
  <si>
    <t>Q2 2026</t>
  </si>
  <si>
    <t>Q3 2026</t>
  </si>
  <si>
    <t>Q4 2026</t>
  </si>
  <si>
    <t>Q1 2027</t>
  </si>
  <si>
    <t>Q2 2027</t>
  </si>
  <si>
    <t>Q3 2027</t>
  </si>
  <si>
    <t>Q4 2027</t>
  </si>
  <si>
    <t>Q1 2028</t>
  </si>
  <si>
    <t>Q2 2028</t>
  </si>
  <si>
    <t>Q3 2028</t>
  </si>
  <si>
    <t>Q4 2028</t>
  </si>
  <si>
    <t>Q1 2029</t>
  </si>
  <si>
    <t>Q2 2029</t>
  </si>
  <si>
    <t>Q3 2029</t>
  </si>
  <si>
    <t>Q4 2029</t>
  </si>
  <si>
    <t>Q1 2030</t>
  </si>
  <si>
    <t>Q2 2030</t>
  </si>
  <si>
    <t>Q3 2030</t>
  </si>
  <si>
    <t>Q4 2030</t>
  </si>
  <si>
    <t>Q1 2031</t>
  </si>
  <si>
    <t>Q2 2031</t>
  </si>
  <si>
    <t>Q3 2031</t>
  </si>
  <si>
    <t>Q4 2031</t>
  </si>
  <si>
    <t>Q1 2032</t>
  </si>
  <si>
    <t>Q2 2032</t>
  </si>
  <si>
    <t>Q3 2032</t>
  </si>
  <si>
    <t>Q4 2032</t>
  </si>
  <si>
    <t>Q1 2033</t>
  </si>
  <si>
    <t>Six Peak Capital - GC + Developer Deal Profitability (Net of Steyn Fees)</t>
  </si>
  <si>
    <t>Crenshaw</t>
  </si>
  <si>
    <t xml:space="preserve">  Revenue</t>
  </si>
  <si>
    <t xml:space="preserve">  Net to Six Peak</t>
  </si>
  <si>
    <t xml:space="preserve">  Cumulative Net</t>
  </si>
  <si>
    <t>Ramsgate</t>
  </si>
  <si>
    <t xml:space="preserve">  Steyn Fees</t>
  </si>
  <si>
    <t>ALL GC + DEVELOPER DEALS</t>
  </si>
  <si>
    <t>Total Net to Six Peak</t>
  </si>
  <si>
    <t>Total Cumulative Net</t>
  </si>
  <si>
    <t>First Month of Positive Net Income by Deal:</t>
  </si>
  <si>
    <t xml:space="preserve">  Crenshaw:</t>
  </si>
  <si>
    <t xml:space="preserve">  Ramsgate:</t>
  </si>
  <si>
    <t xml:space="preserve">  Klump:</t>
  </si>
  <si>
    <t xml:space="preserve">  Scott:</t>
  </si>
  <si>
    <t xml:space="preserve">  Francis:</t>
  </si>
  <si>
    <t xml:space="preserve">  Reseda:</t>
  </si>
  <si>
    <t xml:space="preserve">  3rd St:</t>
  </si>
  <si>
    <t>Beyond model period</t>
  </si>
  <si>
    <t xml:space="preserve">  All Deals Combined:</t>
  </si>
  <si>
    <t>Six Peak Capital - Sensitivity Analysis</t>
  </si>
  <si>
    <t>KEY ASSUMPTIONS (Change Yellow Cells for Analysis)</t>
  </si>
  <si>
    <t>Assumption</t>
  </si>
  <si>
    <t>Base Case</t>
  </si>
  <si>
    <t>Scenario</t>
  </si>
  <si>
    <t>Low</t>
  </si>
  <si>
    <t>High</t>
  </si>
  <si>
    <t>Unit</t>
  </si>
  <si>
    <t>Notes</t>
  </si>
  <si>
    <t>GC Fee Rate (Supervision)</t>
  </si>
  <si>
    <t>%</t>
  </si>
  <si>
    <t>Each 1% ≈ $1.2M cumulative revenue impact</t>
  </si>
  <si>
    <t>GC-CM Fee Rate</t>
  </si>
  <si>
    <t>Admin Fee Rate</t>
  </si>
  <si>
    <t>Each 1% ≈ $400K cumulative revenue impact</t>
  </si>
  <si>
    <t>Overhead Rate</t>
  </si>
  <si>
    <t>Higher overhead reduces effective GMP revenue</t>
  </si>
  <si>
    <t>Annual Escalation Rate</t>
  </si>
  <si>
    <t>Impacts personnel costs &amp; revenue over time</t>
  </si>
  <si>
    <t>Bonding Revenue Rate</t>
  </si>
  <si>
    <t>One-time revenue at project start</t>
  </si>
  <si>
    <t>Tier 1 Bond Cost Rate</t>
  </si>
  <si>
    <t>Annual cost on bonded projects</t>
  </si>
  <si>
    <t>Tier 2 Bond Cost Rate</t>
  </si>
  <si>
    <t>Reseda/3rd St bonding costs</t>
  </si>
  <si>
    <t>Debt Facility Interest Rate</t>
  </si>
  <si>
    <t>PE debt at $1.6M starting balance</t>
  </si>
  <si>
    <t>Monthly Debt Payment</t>
  </si>
  <si>
    <t>$</t>
  </si>
  <si>
    <t>PE debt monthly payment</t>
  </si>
  <si>
    <t>PIK Accrual Rate</t>
  </si>
  <si>
    <t>Steyn investment capital return</t>
  </si>
  <si>
    <t>Steyn Completion Guaranty Rate</t>
  </si>
  <si>
    <t>1% of GMP for Steyn projects</t>
  </si>
  <si>
    <t>Steyn Liquidity Fee Rate</t>
  </si>
  <si>
    <t>3% of liquidity requirement</t>
  </si>
  <si>
    <t>GC Headcount Growth (New Hires)</t>
  </si>
  <si>
    <t>#</t>
  </si>
  <si>
    <t>Number of new hires over model period</t>
  </si>
  <si>
    <t>SP Monthly Operating Expenses</t>
  </si>
  <si>
    <t>Total SP monthly opex (rent+IT+etc.)</t>
  </si>
  <si>
    <t>PROJECT TOGGLE (Change to Yes/No on Projects Tab)</t>
  </si>
  <si>
    <t>Project</t>
  </si>
  <si>
    <t>GMP</t>
  </si>
  <si>
    <t>Duration</t>
  </si>
  <si>
    <t>Steyn</t>
  </si>
  <si>
    <t>LIHTC</t>
  </si>
  <si>
    <t>Dev</t>
  </si>
  <si>
    <t>8 mo</t>
  </si>
  <si>
    <t>No</t>
  </si>
  <si>
    <t>16 mo</t>
  </si>
  <si>
    <t>3PGC</t>
  </si>
  <si>
    <t>15 mo</t>
  </si>
  <si>
    <t>Nelrose</t>
  </si>
  <si>
    <t>19 mo</t>
  </si>
  <si>
    <t>24 mo</t>
  </si>
  <si>
    <t>30 mo</t>
  </si>
  <si>
    <t>ANNUAL RESULTS (Live from Model)</t>
  </si>
  <si>
    <t>Metric</t>
  </si>
  <si>
    <t>PIK Outstanding</t>
  </si>
  <si>
    <t>GC REVENUE SENSITIVITY — Total Fee Revenue by Rate Combination</t>
  </si>
  <si>
    <t>Combined GMP: $251,968,791  |  Shows total fee revenue (Sup+GC+Admin) at different rate/overhead combos</t>
  </si>
  <si>
    <t>Total Fee Rate ↓  /  Overhead Rate →</t>
  </si>
  <si>
    <t>CASH POSITION ANALYSIS</t>
  </si>
  <si>
    <t>Entity</t>
  </si>
  <si>
    <t>Starting Cash</t>
  </si>
  <si>
    <t>FY 2027 Cash</t>
  </si>
  <si>
    <t>FY 2029 Cash</t>
  </si>
  <si>
    <t>FY 2031 Cash</t>
  </si>
  <si>
    <t>FY 2033 Cash</t>
  </si>
  <si>
    <t>LV (GC)</t>
  </si>
  <si>
    <t>Six Peak</t>
  </si>
  <si>
    <t>Consolidated</t>
  </si>
  <si>
    <t>STEYN GROUP — INVESTMENT &amp; FEE SUMMARY</t>
  </si>
  <si>
    <t>Completion Guaranty</t>
  </si>
  <si>
    <t>Liquidity Fee</t>
  </si>
  <si>
    <t>PIK Invested</t>
  </si>
  <si>
    <t>Total Steyn Fees</t>
  </si>
  <si>
    <t>LIHTC Payback</t>
  </si>
  <si>
    <t>Non-LIHTC — paid at start</t>
  </si>
  <si>
    <t>Quarterly from LIHTC rev</t>
  </si>
  <si>
    <t>Pending — no revenue yet</t>
  </si>
  <si>
    <t>TOTAL</t>
  </si>
  <si>
    <t>TIER 2 BONDING SENSITIVITY — Reseda &amp; 3rd St</t>
  </si>
  <si>
    <t>Tier 2 Bonded GMP (Reseda + 3rd St)</t>
  </si>
  <si>
    <t>Current Tier 2 Rate</t>
  </si>
  <si>
    <t>Proposed Tier 2 Rate</t>
  </si>
  <si>
    <t>Total</t>
  </si>
  <si>
    <t>Current Cost (3.25%)</t>
  </si>
  <si>
    <t>Reduced Cost (1.50%)</t>
  </si>
  <si>
    <t>Annual Savings</t>
  </si>
  <si>
    <t>BONDING LIQUIDITY — 2.5% of Outstanding</t>
  </si>
  <si>
    <t>Assumes 2.5% liquidity required on total bonding outstanding. Tax distributions estimated at ~5% of GC NI.</t>
  </si>
  <si>
    <t>Bonding Outstanding (Year-End)</t>
  </si>
  <si>
    <t>2.5% Liquidity Requirement</t>
  </si>
  <si>
    <t>Total Ending Cash (Baseline)</t>
  </si>
  <si>
    <t>Est. Tax Distributions (~5% of GC NI)</t>
  </si>
  <si>
    <t>Cash After Tax Distributions</t>
  </si>
  <si>
    <t>Surplus / (Shortfall) vs Requirement</t>
  </si>
  <si>
    <t>HVN PIPELINE — ESTIMATED GC REVENUE (3 New Deals)</t>
  </si>
  <si>
    <t>Avg GMP (Califa/Whipple/Denny/Lexington/Acama)</t>
  </si>
  <si>
    <t>Effective GC Revenue Rate on GMP</t>
  </si>
  <si>
    <t>Revenue Per Deal (over project life)</t>
  </si>
  <si>
    <t>Number of New Deals (2 R2 + 1 R3)</t>
  </si>
  <si>
    <t>Total New Pipeline GMP (3 deals)</t>
  </si>
  <si>
    <t>Estimated Revenue Timeline (3 deals):</t>
  </si>
  <si>
    <t>2 Round 2 Deals (close ~Q3 FY27)</t>
  </si>
  <si>
    <t>1 Round 3 Deal (close ~Q1 FY28)</t>
  </si>
  <si>
    <t>Total New HVN Revenue</t>
  </si>
  <si>
    <t>FY28 revenue gap to breakeven: 1,225,136 → New pipeline covers 204%</t>
  </si>
  <si>
    <t>PREFERRED EQUITY (PIK) — PAYOFF &amp; STEYN RETURNS</t>
  </si>
  <si>
    <t>Reseda is the only active PIK investment. Capital accrues at 15%/yr (3.75% quarterly). Repaid from LIHTC revenue after Steyn fees.</t>
  </si>
  <si>
    <t>Amount</t>
  </si>
  <si>
    <t>Date / Month</t>
  </si>
  <si>
    <t>Reseda — Capital Invested</t>
  </si>
  <si>
    <t>Apr 2026 (Pre-model)</t>
  </si>
  <si>
    <t>Full amount deployed before model start</t>
  </si>
  <si>
    <t>Deal Distribution (Reseda)</t>
  </si>
  <si>
    <t>Apr 2027 (Mo 13)</t>
  </si>
  <si>
    <t>Returned at Reseda project start</t>
  </si>
  <si>
    <t>Remaining Balance (after dist)</t>
  </si>
  <si>
    <t>Apr 2027</t>
  </si>
  <si>
    <t>Reduced balance accrues interest</t>
  </si>
  <si>
    <t>PIK Fully Paid Off</t>
  </si>
  <si>
    <t>Apr 2030 (Mo 50)</t>
  </si>
  <si>
    <t>Repaid from LIHTC revenue after Steyn fees</t>
  </si>
  <si>
    <t>Total Interest Earned by Steyn</t>
  </si>
  <si>
    <t>Over 50 months</t>
  </si>
  <si>
    <t>15% annual accrual on outstanding balance</t>
  </si>
  <si>
    <t>Total Returned to Steyn</t>
  </si>
  <si>
    <t>By Apr 2030</t>
  </si>
  <si>
    <t>Principal + interest = 1.25x return</t>
  </si>
  <si>
    <t>Curve</t>
  </si>
  <si>
    <t>Mo 1</t>
  </si>
  <si>
    <t>Mo 2</t>
  </si>
  <si>
    <t>Mo 3</t>
  </si>
  <si>
    <t>Mo 4</t>
  </si>
  <si>
    <t>Mo 5</t>
  </si>
  <si>
    <t>Mo 6</t>
  </si>
  <si>
    <t>Mo 7</t>
  </si>
  <si>
    <t>Mo 8</t>
  </si>
  <si>
    <t>Mo 9</t>
  </si>
  <si>
    <t>Mo 10</t>
  </si>
  <si>
    <t>Mo 11</t>
  </si>
  <si>
    <t>Mo 12</t>
  </si>
  <si>
    <t>Mo 13</t>
  </si>
  <si>
    <t>Mo 14</t>
  </si>
  <si>
    <t>Mo 15</t>
  </si>
  <si>
    <t>Mo 16</t>
  </si>
  <si>
    <t>Mo 17</t>
  </si>
  <si>
    <t>Mo 18</t>
  </si>
  <si>
    <t>Mo 19</t>
  </si>
  <si>
    <t>Mo 20</t>
  </si>
  <si>
    <t>Mo 21</t>
  </si>
  <si>
    <t>Mo 22</t>
  </si>
  <si>
    <t>Mo 23</t>
  </si>
  <si>
    <t>Mo 24</t>
  </si>
  <si>
    <t>Mo 25</t>
  </si>
  <si>
    <t>Mo 26</t>
  </si>
  <si>
    <t>Mo 27</t>
  </si>
  <si>
    <t>Mo 28</t>
  </si>
  <si>
    <t>Mo 29</t>
  </si>
  <si>
    <t>Mo 30</t>
  </si>
  <si>
    <t>Mo 31</t>
  </si>
  <si>
    <t>Mo 32</t>
  </si>
  <si>
    <t>Mo 33</t>
  </si>
  <si>
    <t>Mo 34</t>
  </si>
  <si>
    <t>Mo 35</t>
  </si>
  <si>
    <t>Mo 36</t>
  </si>
  <si>
    <t>Mo 37</t>
  </si>
  <si>
    <t>Mo 38</t>
  </si>
  <si>
    <t>Mo 39</t>
  </si>
  <si>
    <t>Mo 40</t>
  </si>
  <si>
    <t>Curve 1</t>
  </si>
  <si>
    <t>Curve 2</t>
  </si>
  <si>
    <t>Curve 3</t>
  </si>
  <si>
    <t>Renormalized (In-Place)</t>
  </si>
  <si>
    <t>Six Peak Capital - Model Assumptions</t>
  </si>
  <si>
    <t>GC Fee Structure</t>
  </si>
  <si>
    <t>Field Supervision Rate</t>
  </si>
  <si>
    <t>Project Admin Rate</t>
  </si>
  <si>
    <t>Total Fee Rate</t>
  </si>
  <si>
    <t>Effective Revenue Rate on GMP</t>
  </si>
  <si>
    <t>Supervision Rate on GMP</t>
  </si>
  <si>
    <t>GC-CM Fee Rate on GMP</t>
  </si>
  <si>
    <t>Admin Rate on GMP</t>
  </si>
  <si>
    <t>Bonding</t>
  </si>
  <si>
    <t>Payroll Burden Rates</t>
  </si>
  <si>
    <t>Payroll Tax Rate</t>
  </si>
  <si>
    <t>Payroll Servicing Rate</t>
  </si>
  <si>
    <t>Employee Benefits Rate</t>
  </si>
  <si>
    <t>Workers Comp Rate</t>
  </si>
  <si>
    <t>Expense Escalation</t>
  </si>
  <si>
    <t>Annual Expense Escalation Rate</t>
  </si>
  <si>
    <t>Beginning Cash Balances</t>
  </si>
  <si>
    <t>LV (GC) Beginning Cash</t>
  </si>
  <si>
    <t>Six Peak Beginning Cash</t>
  </si>
  <si>
    <t>Debt Facility</t>
  </si>
  <si>
    <t>Debt Starting Balance (Apr 2026)</t>
  </si>
  <si>
    <t>Interest Rate (Annual)</t>
  </si>
  <si>
    <t>Quarterly Rate</t>
  </si>
  <si>
    <t>Monthly Payment Amount</t>
  </si>
  <si>
    <t>First Payment Month #</t>
  </si>
  <si>
    <t>(Month 7 = Oct 2026, paid off Dec 2027)</t>
  </si>
  <si>
    <t>Row Run Capital LLC</t>
  </si>
  <si>
    <t>Loan Amount</t>
  </si>
  <si>
    <t>Tranche Size (25%)</t>
  </si>
  <si>
    <t>Net Income Threshold</t>
  </si>
  <si>
    <t>(Payable only when annual consolidated NI &gt;= threshold)</t>
  </si>
  <si>
    <t>Steyn Group Guaranty</t>
  </si>
  <si>
    <t>Completion Guaranty Fee Rate</t>
  </si>
  <si>
    <t>Liquidity Guarantee Fee Rate</t>
  </si>
  <si>
    <t>Steyn Liquidity Requirements</t>
  </si>
  <si>
    <t>Project Investment Capital</t>
  </si>
  <si>
    <t>Accrual Rate (Annual)</t>
  </si>
  <si>
    <t>Quarterly Accrual Rate</t>
  </si>
  <si>
    <t>Klump - Capital Invested</t>
  </si>
  <si>
    <t>Scott - Capital Invested</t>
  </si>
  <si>
    <t>Reseda - Capital Invested</t>
  </si>
  <si>
    <t>3rd St - Capital Invested</t>
  </si>
  <si>
    <t>(Capital amounts TBD - enter when available)</t>
  </si>
  <si>
    <t>Monthly Fee Amount</t>
  </si>
  <si>
    <t>Last Active Month #</t>
  </si>
  <si>
    <t>PIK Detail Parameters</t>
  </si>
  <si>
    <t>Reseda - Initial PIK Balance</t>
  </si>
  <si>
    <t>Reseda - Monthly PIK Ramp</t>
  </si>
  <si>
    <t>Reseda - PIK Ramp Until Month</t>
  </si>
  <si>
    <t>3rd St - Initial PIK Balance</t>
  </si>
  <si>
    <t>3rd St - Monthly PIK Ramp</t>
  </si>
  <si>
    <t>Contract Value</t>
  </si>
  <si>
    <t>Bonded</t>
  </si>
  <si>
    <t>Bond Tier</t>
  </si>
  <si>
    <t>Bond Cost Rate</t>
  </si>
  <si>
    <t>Steyn Guaranty</t>
  </si>
  <si>
    <t>Total Supervision</t>
  </si>
  <si>
    <t>Total GC-CM Fee</t>
  </si>
  <si>
    <t>Total Admin</t>
  </si>
  <si>
    <t>Total Fee Revenue</t>
  </si>
  <si>
    <t>Last Pay App (5% Retention)</t>
  </si>
  <si>
    <t>Last Month Date</t>
  </si>
  <si>
    <t>GC + Developer</t>
  </si>
  <si>
    <t>3rd Party GC</t>
  </si>
  <si>
    <t>Month</t>
  </si>
  <si>
    <t>Factor</t>
  </si>
  <si>
    <t>W2 Payroll Basis &amp; Bonding Calculations</t>
  </si>
  <si>
    <t>GC W2 Payroll Basis</t>
  </si>
  <si>
    <t>SP W2 Payroll Basis</t>
  </si>
  <si>
    <t>Bonding Outstanding by Project</t>
  </si>
  <si>
    <t>Steyn Fee Balance Tracking</t>
  </si>
  <si>
    <t>Francis Steyn - Beginning Balance</t>
  </si>
  <si>
    <t>Francis Steyn - Payment</t>
  </si>
  <si>
    <t>Francis Steyn - Ending Balance</t>
  </si>
  <si>
    <t>Reseda Steyn - Beginning Balance</t>
  </si>
  <si>
    <t>Reseda Steyn - Payment</t>
  </si>
  <si>
    <t>Reseda Steyn - Ending Balance</t>
  </si>
  <si>
    <t>3rd St Steyn</t>
  </si>
  <si>
    <t>Beg Balance</t>
  </si>
  <si>
    <t>Payment</t>
  </si>
  <si>
    <t>End Balance</t>
  </si>
  <si>
    <t>POST-MODEL LIHTC PROJECTIONS (10-Year Credit = 40 Quarters)</t>
  </si>
  <si>
    <t>Last Quarterly LIHTC Rate</t>
  </si>
  <si>
    <t>In-Model Quarterly Payments</t>
  </si>
  <si>
    <t>Remaining Quarters (Post-Model)</t>
  </si>
  <si>
    <t>Post-Model Total LIHTC Revenue</t>
  </si>
  <si>
    <t>3RD ST POST-MODEL PIK AMORTIZATION</t>
  </si>
  <si>
    <t>Quarter</t>
  </si>
  <si>
    <t>LIHTC Rev</t>
  </si>
  <si>
    <t>Steyn Bal</t>
  </si>
  <si>
    <t>Steyn Pmt</t>
  </si>
  <si>
    <t>PIK Bal</t>
  </si>
  <si>
    <t>PIK Interest</t>
  </si>
  <si>
    <t>PIK Pmt</t>
  </si>
  <si>
    <t>TOTALS</t>
  </si>
  <si>
    <t>Uplifters Foundation — Development Fee Program</t>
  </si>
  <si>
    <t>PROGRAM OVERVIEW</t>
  </si>
  <si>
    <t>Program Name</t>
  </si>
  <si>
    <t>Program Duration</t>
  </si>
  <si>
    <t>5 Years (Jan 2027 – Dec 2031)</t>
  </si>
  <si>
    <t>Total Properties</t>
  </si>
  <si>
    <t>Property Type</t>
  </si>
  <si>
    <t>Single-Family Residential (no ADUs)</t>
  </si>
  <si>
    <t>Avg Lot Price</t>
  </si>
  <si>
    <t>Avg Construction Cost</t>
  </si>
  <si>
    <t>Avg Sale Price</t>
  </si>
  <si>
    <t>ANNUAL P&amp;L SUMMARY</t>
  </si>
  <si>
    <t>Staffing Cost</t>
  </si>
  <si>
    <t>Other OpEx</t>
  </si>
  <si>
    <t>Net Fee Income</t>
  </si>
  <si>
    <t>SP Overhead Fee (to Six Peak)</t>
  </si>
  <si>
    <t>Net Before Bonus</t>
  </si>
  <si>
    <t>Schuyler Bonus (40/45/50%)</t>
  </si>
  <si>
    <t>NI After Bonus (to Six Peak)</t>
  </si>
  <si>
    <t>Total to Six Peak</t>
  </si>
  <si>
    <t>ACQUISITION SCHEDULE</t>
  </si>
  <si>
    <t>Phase</t>
  </si>
  <si>
    <t>Properties</t>
  </si>
  <si>
    <t>Timing</t>
  </si>
  <si>
    <t>Status</t>
  </si>
  <si>
    <t>Phase 1 — Initial Acquisitions</t>
  </si>
  <si>
    <t>Jan – Jun 2027 (Mo 10-15)</t>
  </si>
  <si>
    <t>Acquisition</t>
  </si>
  <si>
    <t>Phase 2 — Ramp Up</t>
  </si>
  <si>
    <t>Jul 2027 – Jun 2028 (Mo 16-27)</t>
  </si>
  <si>
    <t>Acquisition → Development</t>
  </si>
  <si>
    <t>Phase 3 — Continued Buying</t>
  </si>
  <si>
    <t>Jul 2028 – Jun 2029 (Mo 28-39)</t>
  </si>
  <si>
    <t>Development → Leasing</t>
  </si>
  <si>
    <t>Phase 4 — Final Batch</t>
  </si>
  <si>
    <t>Jul 2029 – Jun 2030 (Mo 40-51)</t>
  </si>
  <si>
    <t>Leasing → Exits</t>
  </si>
  <si>
    <t>Jan 2027 – Jun 2030</t>
  </si>
  <si>
    <t>FEE STRUCTURE</t>
  </si>
  <si>
    <t>Fee Category</t>
  </si>
  <si>
    <t>Rate</t>
  </si>
  <si>
    <t>Basis</t>
  </si>
  <si>
    <t>Per Property</t>
  </si>
  <si>
    <t>× 60</t>
  </si>
  <si>
    <t>Acquisition Fee</t>
  </si>
  <si>
    <t>1%</t>
  </si>
  <si>
    <t>Lot Price ($1,400,000)</t>
  </si>
  <si>
    <t>At closing</t>
  </si>
  <si>
    <t>Development Mgmt Fee</t>
  </si>
  <si>
    <t>6%</t>
  </si>
  <si>
    <t>Construction ($1,609,391)</t>
  </si>
  <si>
    <t>During renovation</t>
  </si>
  <si>
    <t>Leasing Commission</t>
  </si>
  <si>
    <t>3%</t>
  </si>
  <si>
    <t>Annual Rent ($180,000)</t>
  </si>
  <si>
    <t>At lease-up</t>
  </si>
  <si>
    <t>Exit / Disposition Fee</t>
  </si>
  <si>
    <t>Sale Price ($3,419,763)</t>
  </si>
  <si>
    <t>At disposition</t>
  </si>
  <si>
    <t>STAFFING &amp; COMPENSATION</t>
  </si>
  <si>
    <t>Annual Comp</t>
  </si>
  <si>
    <t>Monthly</t>
  </si>
  <si>
    <t>Start</t>
  </si>
  <si>
    <t>End</t>
  </si>
  <si>
    <t>Months</t>
  </si>
  <si>
    <t>Total Cost</t>
  </si>
  <si>
    <t>Project Manager 1</t>
  </si>
  <si>
    <t>Mo 57</t>
  </si>
  <si>
    <t>Project Coordinator</t>
  </si>
  <si>
    <t>Accountant</t>
  </si>
  <si>
    <t>Project Manager 2</t>
  </si>
  <si>
    <t>Total Staffing Cost</t>
  </si>
  <si>
    <t>OTHER OPERATING EXPENSES</t>
  </si>
  <si>
    <t>Expense</t>
  </si>
  <si>
    <t>Annual</t>
  </si>
  <si>
    <t>Years</t>
  </si>
  <si>
    <t>Accounting / Audit / Tax</t>
  </si>
  <si>
    <t>Office Space</t>
  </si>
  <si>
    <t>Computer / Internet</t>
  </si>
  <si>
    <t>Total Other OpEx</t>
  </si>
  <si>
    <t>Note: Legal ($25K/project) is a deal cost in closing, not in P&amp;L</t>
  </si>
  <si>
    <t>ECONOMICS SUMMARY (CONFIRMED)</t>
  </si>
  <si>
    <t>Total Fee Revenue (60 properties)</t>
  </si>
  <si>
    <t>SP Overhead (10% Revenue, max $150K/yr)</t>
  </si>
  <si>
    <t>Schuyler Bonus (40/45/50% tiered)</t>
  </si>
  <si>
    <t>LEADERSHIP &amp; ORGANIZATION</t>
  </si>
  <si>
    <t>Responsibility</t>
  </si>
  <si>
    <t>Program Lead</t>
  </si>
  <si>
    <t>Day-to-day leadership. Manages acquisitions, development oversight, investor relations. 40% bonus on net income.</t>
  </si>
  <si>
    <t>Leadership</t>
  </si>
  <si>
    <t>Senior leadership and strategic direction. Works directly with Schuyler on execution.</t>
  </si>
  <si>
    <t>PM Advisory</t>
  </si>
  <si>
    <t>Advises on PM employees. Guidance on renovation scoping, contractor mgmt, PM development.</t>
  </si>
  <si>
    <t>Accounting &amp; Back Office</t>
  </si>
  <si>
    <t>Manages accounting, financial reporting, and back office with Robert Carrega.</t>
  </si>
  <si>
    <t>Supports accounting and back office processes alongside Chris Andresen.</t>
  </si>
  <si>
    <t>Acquisitions &amp; Field</t>
  </si>
  <si>
    <t>Assists in acquisitions. Available on-the-ground resource daily for program execution.</t>
  </si>
  <si>
    <t>NOTES &amp; ASSUMPTIONS</t>
  </si>
  <si>
    <t>1.</t>
  </si>
  <si>
    <t>All 60 properties are single-family residential. No ADUs.</t>
  </si>
  <si>
    <t>2.</t>
  </si>
  <si>
    <t>Avg lot price: $1,400,000. Avg construction: $1,609,391. Avg sale: $3,419,763.</t>
  </si>
  <si>
    <t>3.</t>
  </si>
  <si>
    <t>Fees: 1% acquisition on lot, 6% development on construction, 3% leasing on rent ($180K/yr), 1% exit on sale.</t>
  </si>
  <si>
    <t>4.</t>
  </si>
  <si>
    <t>Legal ($25K/project) is a deal cost in closing, not in the Uplifters P&amp;L.</t>
  </si>
  <si>
    <t>5.</t>
  </si>
  <si>
    <t>SP Overhead is 10% of all fee revenue, capped at $150,000 per year, retained by Six Peak.</t>
  </si>
  <si>
    <t>6.</t>
  </si>
  <si>
    <t>Schuyler bonus: 40% on first 20 deals (Mo 10-24), 45% on next 20 (Mo 25-37), 50% on final 20 (Mo 38+). Paid on positive months only.</t>
  </si>
  <si>
    <t>7.</t>
  </si>
  <si>
    <t>Staffing: PM1 ($125K) Mo 11 (3 mo before first construction); PC ($90K) Mo 14 (after 4th acquisition); Accountant ($110K) Mo 19 (after 10th acquisition); PM2 ($125K) Mo 27 (at 24th acquisition).</t>
  </si>
  <si>
    <t>8.</t>
  </si>
  <si>
    <t>Other OpEx: Acctg/Audit/Tax ($40K/yr), Insurance ($20K/yr), Office ($2,500/mo), Computer ($24K/yr).</t>
  </si>
  <si>
    <t>9.</t>
  </si>
  <si>
    <t>Six Peak does NOT perform construction. All renovation contracted to third-party builders.</t>
  </si>
  <si>
    <t>10.</t>
  </si>
  <si>
    <t>Program: Jan 2027 (Mo 10) through Dec 2031. Revenue recognized as fees are earned.</t>
  </si>
  <si>
    <t>11.</t>
  </si>
  <si>
    <t>No debt will be used in the acquisition or development of the properties. All-equity structure.</t>
  </si>
  <si>
    <t>SP INTEGRATION ASSUMPTIONS</t>
  </si>
  <si>
    <t>SP Overhead Rate</t>
  </si>
  <si>
    <t>SP Overhead Annual Cap</t>
  </si>
  <si>
    <t>Schuyler Bonus Rates</t>
  </si>
  <si>
    <t>40% (1-20) / 45% (21-40) / 50% (41-60)</t>
  </si>
  <si>
    <t>MONTHLY P&amp;L</t>
  </si>
  <si>
    <t>Project P&amp;L — Development Fee Income</t>
  </si>
  <si>
    <t>In-Model</t>
  </si>
  <si>
    <t>Post-Model</t>
  </si>
  <si>
    <t>Lifetime Total</t>
  </si>
  <si>
    <t>LIHTC Revenue</t>
  </si>
  <si>
    <t>GMP Fee (1%)</t>
  </si>
  <si>
    <t>Liquidity Guarantee Fee (3%)</t>
  </si>
  <si>
    <t>Net Income to Six Peak</t>
  </si>
  <si>
    <t>3rd Street</t>
  </si>
  <si>
    <t>COMBINED</t>
  </si>
  <si>
    <t>Total LIHTC Revenue</t>
  </si>
  <si>
    <t>Total GMP Fees</t>
  </si>
  <si>
    <t>Total Liquidity Fees</t>
  </si>
  <si>
    <t>Total PIK Interest</t>
  </si>
  <si>
    <t>Combined Net Income to Six Peak</t>
  </si>
  <si>
    <t>Interest Carry = Steyn balance accrual (GMP + Liquidity unpaid balance interest)</t>
  </si>
  <si>
    <t>PIK Interest = 15% annual (3.75% quarterly) on Project Investment Capital</t>
  </si>
  <si>
    <t>3rd St: 36 remaining quarterly LIHTC payments at $73,155; PIK balance of $570K fully repaid post-model</t>
  </si>
  <si>
    <t>Reseda: 28 remaining quarterly LIHTC payments at $81,362; PIK and Steyn fully repaid in-model</t>
  </si>
  <si>
    <t>Reseda: 28 post-model quarterly LIHTC payments at $81,362; PIK and Steyn fully repaid in-model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</si>
</sst>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\$* #,##0_);[Red]_(\$* \(#,##0\);_(\$* \-_);_(@_)"/>
    <numFmt numFmtId="165" formatCode="0.0%"/>
    <numFmt numFmtId="166" formatCode="0.0000"/>
    <numFmt numFmtId="167" formatCode="[$$-409]#,##0.00;[Red]\-[$$-409]#,##0.00"/>
  </numFmts>
  <fonts count="38" x14ac:knownFonts="1">
    <font>
      <sz val="11"/>
      <color theme="1"/>
      <name val="Calibri"/>
      <family val="2"/>
      <charset val="1"/>
    </font>
    <font>
      <b/>
      <sz val="14"/>
      <color rgb="FF0B1833"/>
      <name val="Aptos"/>
      <charset val="1"/>
    </font>
    <font>
      <b/>
      <sz val="11"/>
      <color rgb="FFF8FAFC"/>
      <name val="Aptos"/>
      <charset val="1"/>
    </font>
    <font>
      <b/>
      <sz val="10"/>
      <name val="Aptos"/>
      <charset val="1"/>
    </font>
    <font>
      <sz val="10"/>
      <color rgb="FF000000"/>
      <name val="Aptos"/>
      <charset val="1"/>
    </font>
    <font>
      <b/>
      <sz val="10"/>
      <color rgb="FF000000"/>
      <name val="Aptos"/>
      <charset val="1"/>
    </font>
    <font>
      <sz val="11"/>
      <color rgb="FF000000"/>
      <name val="Calibri"/>
      <charset val="1"/>
    </font>
    <font>
      <b/>
      <sz val="11"/>
      <color rgb="FF000000"/>
      <name val="Aptos"/>
      <charset val="1"/>
    </font>
    <font>
      <sz val="10"/>
      <color rgb="FF2C3A51"/>
      <name val="Aptos"/>
      <charset val="1"/>
    </font>
    <font>
      <sz val="10"/>
      <name val="Aptos"/>
      <family val="2"/>
      <charset val="1"/>
    </font>
    <font>
      <sz val="11"/>
      <color theme="1"/>
      <name val="Aptos"/>
      <charset val="1"/>
    </font>
    <font>
      <sz val="10"/>
      <color rgb="FF0B1833"/>
      <name val="Aptos"/>
      <charset val="1"/>
    </font>
    <font>
      <i/>
      <sz val="8"/>
      <color rgb="FFF8FAFC"/>
      <name val="Aptos"/>
      <charset val="1"/>
    </font>
    <font>
      <b/>
      <sz val="10"/>
      <color rgb="FF0B1833"/>
      <name val="Aptos"/>
      <charset val="1"/>
    </font>
    <font>
      <sz val="11"/>
      <color rgb="FF000000"/>
      <name val="Aptos"/>
      <charset val="1"/>
    </font>
    <font>
      <sz val="11"/>
      <name val="Cambria"/>
      <charset val="1"/>
    </font>
    <font>
      <i/>
      <sz val="9"/>
      <color rgb="FF666666"/>
      <name val="Aptos"/>
      <charset val="1"/>
    </font>
    <font>
      <sz val="9"/>
      <color rgb="FF666666"/>
      <name val="Aptos"/>
      <charset val="1"/>
    </font>
    <font>
      <sz val="10"/>
      <name val="Aptos"/>
      <charset val="1"/>
    </font>
    <font>
      <sz val="11"/>
      <name val="Calibri"/>
      <family val="2"/>
      <charset val="1"/>
    </font>
    <font>
      <sz val="10"/>
      <color rgb="FF717F4B"/>
      <name val="Aptos"/>
      <charset val="1"/>
    </font>
    <font>
      <sz val="10"/>
      <color rgb="FFEF4444"/>
      <name val="Aptos"/>
      <charset val="1"/>
    </font>
    <font>
      <b/>
      <sz val="11"/>
      <color rgb="FF0B1833"/>
      <name val="Aptos"/>
      <charset val="1"/>
    </font>
    <font>
      <i/>
      <sz val="10"/>
      <color rgb="FF999999"/>
      <name val="Aptos"/>
      <charset val="1"/>
    </font>
    <font>
      <sz val="10"/>
      <color rgb="FF0000FF"/>
      <name val="Aptos"/>
      <charset val="1"/>
    </font>
    <font>
      <b/>
      <sz val="10"/>
      <color rgb="FFC4581A"/>
      <name val="Aptos"/>
      <charset val="1"/>
    </font>
    <font>
      <i/>
      <sz val="9"/>
      <color rgb="FF999999"/>
      <name val="Aptos"/>
      <charset val="1"/>
    </font>
    <font>
      <b/>
      <sz val="10"/>
      <color rgb="FFFFFFFF"/>
      <name val="Aptos"/>
      <charset val="1"/>
    </font>
    <font>
      <b/>
      <sz val="10"/>
      <color rgb="FF1F3864"/>
      <name val="Aptos"/>
      <charset val="1"/>
    </font>
    <font>
      <sz val="10"/>
      <color rgb="FF333333"/>
      <name val="Aptos"/>
      <charset val="1"/>
    </font>
    <font>
      <b/>
      <sz val="12"/>
      <name val="Aptos"/>
      <charset val="1"/>
    </font>
    <font>
      <b/>
      <sz val="11"/>
      <color rgb="FFFFFFFF"/>
      <name val="Aptos"/>
      <charset val="1"/>
    </font>
    <font>
      <i/>
      <sz val="10"/>
      <name val="Aptos"/>
      <charset val="1"/>
    </font>
    <font>
      <sz val="9"/>
      <name val="Aptos"/>
      <charset val="1"/>
    </font>
    <font>
      <sz val="10"/>
      <color theme="1"/>
      <name val="Aptos"/>
      <charset val="1"/>
    </font>
    <font>
      <b/>
      <sz val="13"/>
      <name val="Aptos"/>
      <charset val="1"/>
    </font>
    <font>
      <b/>
      <sz val="9"/>
      <color rgb="FF666666"/>
      <name val="Aptos"/>
      <charset val="1"/>
    </font>
    <font>
      <sz val="9"/>
      <color rgb="FF888888"/>
      <name val="Aptos"/>
      <charset val="1"/>
    </font>
  </fonts>
  <fills count="27">
    <fill>
      <patternFill patternType="none"/>
    </fill>
    <fill>
      <patternFill patternType="gray125"/>
    </fill>
    <fill>
      <patternFill patternType="solid">
        <fgColor rgb="FFF8FAFC"/>
        <bgColor rgb="FFFFFFFF"/>
      </patternFill>
    </fill>
    <fill>
      <patternFill patternType="solid">
        <fgColor rgb="FF0B1833"/>
        <bgColor rgb="FF1E2C44"/>
      </patternFill>
    </fill>
    <fill>
      <patternFill patternType="solid">
        <fgColor rgb="FF2C3A51"/>
        <bgColor rgb="FF1F3864"/>
      </patternFill>
    </fill>
    <fill>
      <patternFill patternType="solid">
        <fgColor rgb="FFE8ECF1"/>
        <bgColor rgb="FFE3E8F0"/>
      </patternFill>
    </fill>
    <fill>
      <patternFill patternType="solid">
        <fgColor rgb="FFFBE9E0"/>
        <bgColor rgb="FFFCE4D6"/>
      </patternFill>
    </fill>
    <fill>
      <patternFill patternType="solid">
        <fgColor rgb="FFE3E8F0"/>
        <bgColor rgb="FFE8ECF1"/>
      </patternFill>
    </fill>
    <fill>
      <patternFill patternType="solid">
        <fgColor theme="0"/>
        <bgColor rgb="FFF8FAFC"/>
      </patternFill>
    </fill>
    <fill>
      <patternFill patternType="solid">
        <fgColor rgb="FFDDE3ED"/>
        <bgColor rgb="FFDCE6F1"/>
      </patternFill>
    </fill>
    <fill>
      <patternFill patternType="solid">
        <fgColor rgb="FFFDEBD0"/>
        <bgColor rgb="FFFBE9E0"/>
      </patternFill>
    </fill>
    <fill>
      <patternFill patternType="solid">
        <fgColor rgb="FF2E75B6"/>
        <bgColor rgb="FF4A8B8C"/>
      </patternFill>
    </fill>
    <fill>
      <patternFill patternType="solid">
        <fgColor rgb="FFD6E4F0"/>
        <bgColor rgb="FFDCE6F1"/>
      </patternFill>
    </fill>
    <fill>
      <patternFill patternType="solid">
        <fgColor rgb="FF1E2C44"/>
        <bgColor rgb="FF2C3A51"/>
      </patternFill>
    </fill>
    <fill>
      <patternFill patternType="solid">
        <fgColor rgb="FFD6DCE4"/>
        <bgColor rgb="FFDDE3ED"/>
      </patternFill>
    </fill>
    <fill>
      <patternFill patternType="solid">
        <fgColor rgb="FFDCE6F1"/>
        <bgColor rgb="FFDDE3ED"/>
      </patternFill>
    </fill>
    <fill>
      <patternFill patternType="solid">
        <fgColor rgb="FFFCE4D6"/>
        <bgColor rgb="FFFBE9E0"/>
      </patternFill>
    </fill>
    <fill>
      <patternFill patternType="solid">
        <fgColor rgb="FF4A8B8C"/>
        <bgColor rgb="FF5E7B9B"/>
      </patternFill>
    </fill>
    <fill>
      <patternFill patternType="solid">
        <fgColor rgb="FF7B9464"/>
        <bgColor rgb="FF888888"/>
      </patternFill>
    </fill>
    <fill>
      <patternFill patternType="solid">
        <fgColor rgb="FFE2EFDA"/>
        <bgColor rgb="FFE8ECF1"/>
      </patternFill>
    </fill>
    <fill>
      <patternFill patternType="solid">
        <fgColor rgb="FF5E7B9B"/>
        <bgColor rgb="FF4A8B8C"/>
      </patternFill>
    </fill>
    <fill>
      <patternFill patternType="solid">
        <fgColor rgb="FFF2F2F2"/>
        <bgColor rgb="FFE8ECF1"/>
      </patternFill>
    </fill>
    <fill>
      <patternFill patternType="solid">
        <fgColor rgb="FFC4581A"/>
        <bgColor rgb="FFEF4444"/>
      </patternFill>
    </fill>
    <fill>
      <patternFill patternType="solid">
        <fgColor rgb="FF8EA3BE"/>
        <bgColor rgb="FF999999"/>
      </patternFill>
    </fill>
    <fill>
      <patternFill patternType="solid">
        <fgColor rgb="FF1F3864"/>
        <bgColor rgb="FF2C3A51"/>
      </patternFill>
    </fill>
    <fill>
      <patternFill patternType="solid">
        <fgColor rgb="FF548235"/>
        <bgColor rgb="FF717F4B"/>
      </patternFill>
    </fill>
    <fill>
      <patternFill patternType="solid">
        <fgColor rgb="FF404040"/>
        <bgColor rgb="FF333333"/>
      </patternFill>
    </fill>
  </fills>
  <borders count="10">
    <border>
      <left/>
      <right/>
      <top/>
      <bottom/>
      <diagonal/>
    </border>
    <border>
      <left/>
      <right/>
      <top style="medium">
        <color rgb="FF2C3A51"/>
      </top>
      <bottom style="medium">
        <color rgb="FF2C3A5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/>
      <right/>
      <top/>
      <bottom style="thin">
        <color rgb="FFB4C6E7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rgb="FF1F3864"/>
      </bottom>
      <diagonal/>
    </border>
  </borders>
  <cellStyleXfs count="1">
    <xf numFmtId="0" fontId="0" fillId="0" borderId="0"/>
  </cellStyleXfs>
  <cellXfs count="200">
    <xf numFmtId="0" fontId="0" fillId="0" borderId="0" xfId="0"/>
    <xf numFmtId="0" fontId="0" fillId="2" borderId="0" xfId="0" applyFill="1"/>
    <xf numFmtId="0" fontId="2" fillId="3" borderId="0" xfId="0" applyFont="1" applyFill="1"/>
    <xf numFmtId="0" fontId="2" fillId="3" borderId="0" xfId="0" applyFont="1" applyFill="1" applyAlignment="1">
      <alignment horizontal="center"/>
    </xf>
    <xf numFmtId="0" fontId="3" fillId="0" borderId="0" xfId="0" applyFont="1"/>
    <xf numFmtId="164" fontId="3" fillId="0" borderId="0" xfId="0" applyNumberFormat="1" applyFont="1"/>
    <xf numFmtId="0" fontId="2" fillId="4" borderId="0" xfId="0" applyFont="1" applyFill="1"/>
    <xf numFmtId="0" fontId="4" fillId="2" borderId="0" xfId="0" applyFont="1" applyFill="1"/>
    <xf numFmtId="164" fontId="4" fillId="2" borderId="0" xfId="0" applyNumberFormat="1" applyFont="1" applyFill="1"/>
    <xf numFmtId="0" fontId="5" fillId="5" borderId="1" xfId="0" applyFont="1" applyFill="1" applyBorder="1"/>
    <xf numFmtId="164" fontId="5" fillId="5" borderId="1" xfId="0" applyNumberFormat="1" applyFont="1" applyFill="1" applyBorder="1"/>
    <xf numFmtId="0" fontId="6" fillId="2" borderId="0" xfId="0" applyFont="1" applyFill="1"/>
    <xf numFmtId="0" fontId="7" fillId="4" borderId="0" xfId="0" applyFont="1" applyFill="1"/>
    <xf numFmtId="0" fontId="5" fillId="6" borderId="1" xfId="0" applyFont="1" applyFill="1" applyBorder="1"/>
    <xf numFmtId="164" fontId="5" fillId="6" borderId="1" xfId="0" applyNumberFormat="1" applyFont="1" applyFill="1" applyBorder="1"/>
    <xf numFmtId="165" fontId="4" fillId="2" borderId="0" xfId="0" applyNumberFormat="1" applyFont="1" applyFill="1"/>
    <xf numFmtId="0" fontId="8" fillId="2" borderId="0" xfId="0" applyFont="1" applyFill="1"/>
    <xf numFmtId="164" fontId="9" fillId="2" borderId="0" xfId="0" applyNumberFormat="1" applyFont="1" applyFill="1"/>
    <xf numFmtId="0" fontId="4" fillId="7" borderId="1" xfId="0" applyFont="1" applyFill="1" applyBorder="1"/>
    <xf numFmtId="164" fontId="4" fillId="7" borderId="1" xfId="0" applyNumberFormat="1" applyFont="1" applyFill="1" applyBorder="1"/>
    <xf numFmtId="0" fontId="5" fillId="2" borderId="0" xfId="0" applyFont="1" applyFill="1"/>
    <xf numFmtId="164" fontId="5" fillId="2" borderId="0" xfId="0" applyNumberFormat="1" applyFont="1" applyFill="1"/>
    <xf numFmtId="0" fontId="10" fillId="2" borderId="0" xfId="0" applyFont="1" applyFill="1"/>
    <xf numFmtId="0" fontId="10" fillId="0" borderId="0" xfId="0" applyFont="1"/>
    <xf numFmtId="17" fontId="2" fillId="3" borderId="0" xfId="0" applyNumberFormat="1" applyFont="1" applyFill="1" applyAlignment="1">
      <alignment horizontal="center"/>
    </xf>
    <xf numFmtId="0" fontId="11" fillId="2" borderId="0" xfId="0" applyFont="1" applyFill="1"/>
    <xf numFmtId="0" fontId="2" fillId="3" borderId="0" xfId="0" applyFont="1" applyFill="1" applyAlignment="1">
      <alignment horizontal="center" wrapText="1"/>
    </xf>
    <xf numFmtId="0" fontId="12" fillId="3" borderId="0" xfId="0" applyFont="1" applyFill="1" applyAlignment="1">
      <alignment horizontal="center" wrapText="1"/>
    </xf>
    <xf numFmtId="0" fontId="13" fillId="5" borderId="1" xfId="0" applyFont="1" applyFill="1" applyBorder="1"/>
    <xf numFmtId="0" fontId="10" fillId="6" borderId="1" xfId="0" applyFont="1" applyFill="1" applyBorder="1"/>
    <xf numFmtId="10" fontId="4" fillId="2" borderId="0" xfId="0" applyNumberFormat="1" applyFont="1" applyFill="1"/>
    <xf numFmtId="0" fontId="14" fillId="2" borderId="0" xfId="0" applyFont="1" applyFill="1"/>
    <xf numFmtId="164" fontId="4" fillId="5" borderId="1" xfId="0" applyNumberFormat="1" applyFont="1" applyFill="1" applyBorder="1"/>
    <xf numFmtId="0" fontId="4" fillId="5" borderId="1" xfId="0" applyFont="1" applyFill="1" applyBorder="1"/>
    <xf numFmtId="0" fontId="4" fillId="8" borderId="0" xfId="0" applyFont="1" applyFill="1"/>
    <xf numFmtId="0" fontId="10" fillId="8" borderId="0" xfId="0" applyFont="1" applyFill="1"/>
    <xf numFmtId="164" fontId="4" fillId="2" borderId="0" xfId="0" applyNumberFormat="1" applyFont="1" applyFill="1" applyAlignment="1">
      <alignment horizontal="right"/>
    </xf>
    <xf numFmtId="0" fontId="4" fillId="2" borderId="2" xfId="0" applyFont="1" applyFill="1" applyBorder="1"/>
    <xf numFmtId="164" fontId="4" fillId="2" borderId="2" xfId="0" applyNumberFormat="1" applyFont="1" applyFill="1" applyBorder="1" applyAlignment="1">
      <alignment horizontal="right"/>
    </xf>
    <xf numFmtId="0" fontId="5" fillId="9" borderId="3" xfId="0" applyFont="1" applyFill="1" applyBorder="1"/>
    <xf numFmtId="0" fontId="4" fillId="9" borderId="3" xfId="0" applyFont="1" applyFill="1" applyBorder="1"/>
    <xf numFmtId="164" fontId="5" fillId="9" borderId="3" xfId="0" applyNumberFormat="1" applyFont="1" applyFill="1" applyBorder="1" applyAlignment="1">
      <alignment horizontal="right"/>
    </xf>
    <xf numFmtId="0" fontId="4" fillId="5" borderId="0" xfId="0" applyFont="1" applyFill="1"/>
    <xf numFmtId="164" fontId="4" fillId="5" borderId="0" xfId="0" applyNumberFormat="1" applyFont="1" applyFill="1" applyAlignment="1">
      <alignment horizontal="right"/>
    </xf>
    <xf numFmtId="0" fontId="4" fillId="5" borderId="2" xfId="0" applyFont="1" applyFill="1" applyBorder="1"/>
    <xf numFmtId="164" fontId="4" fillId="5" borderId="2" xfId="0" applyNumberFormat="1" applyFont="1" applyFill="1" applyBorder="1" applyAlignment="1">
      <alignment horizontal="right"/>
    </xf>
    <xf numFmtId="0" fontId="5" fillId="9" borderId="2" xfId="0" applyFont="1" applyFill="1" applyBorder="1"/>
    <xf numFmtId="0" fontId="4" fillId="9" borderId="2" xfId="0" applyFont="1" applyFill="1" applyBorder="1"/>
    <xf numFmtId="164" fontId="5" fillId="9" borderId="2" xfId="0" applyNumberFormat="1" applyFont="1" applyFill="1" applyBorder="1" applyAlignment="1">
      <alignment horizontal="right"/>
    </xf>
    <xf numFmtId="0" fontId="5" fillId="8" borderId="0" xfId="0" applyFont="1" applyFill="1"/>
    <xf numFmtId="164" fontId="5" fillId="8" borderId="0" xfId="0" applyNumberFormat="1" applyFont="1" applyFill="1" applyAlignment="1">
      <alignment horizontal="right"/>
    </xf>
    <xf numFmtId="0" fontId="2" fillId="3" borderId="4" xfId="0" applyFont="1" applyFill="1" applyBorder="1" applyAlignment="1">
      <alignment horizontal="center" wrapText="1"/>
    </xf>
    <xf numFmtId="0" fontId="0" fillId="0" borderId="5" xfId="0" applyBorder="1"/>
    <xf numFmtId="0" fontId="15" fillId="0" borderId="4" xfId="0" applyFont="1" applyBorder="1"/>
    <xf numFmtId="0" fontId="15" fillId="0" borderId="0" xfId="0" applyFont="1"/>
    <xf numFmtId="0" fontId="2" fillId="8" borderId="0" xfId="0" applyFont="1" applyFill="1" applyAlignment="1">
      <alignment horizontal="center" wrapText="1"/>
    </xf>
    <xf numFmtId="0" fontId="15" fillId="8" borderId="0" xfId="0" applyFont="1" applyFill="1"/>
    <xf numFmtId="0" fontId="5" fillId="7" borderId="1" xfId="0" applyFont="1" applyFill="1" applyBorder="1"/>
    <xf numFmtId="0" fontId="10" fillId="7" borderId="1" xfId="0" applyFont="1" applyFill="1" applyBorder="1"/>
    <xf numFmtId="164" fontId="5" fillId="7" borderId="1" xfId="0" applyNumberFormat="1" applyFont="1" applyFill="1" applyBorder="1"/>
    <xf numFmtId="0" fontId="13" fillId="2" borderId="0" xfId="0" applyFont="1" applyFill="1"/>
    <xf numFmtId="0" fontId="16" fillId="2" borderId="0" xfId="0" applyFont="1" applyFill="1"/>
    <xf numFmtId="0" fontId="17" fillId="2" borderId="0" xfId="0" applyFont="1" applyFill="1"/>
    <xf numFmtId="164" fontId="18" fillId="0" borderId="0" xfId="0" applyNumberFormat="1" applyFont="1"/>
    <xf numFmtId="0" fontId="19" fillId="0" borderId="0" xfId="0" applyFont="1"/>
    <xf numFmtId="0" fontId="9" fillId="2" borderId="0" xfId="0" applyFont="1" applyFill="1"/>
    <xf numFmtId="164" fontId="20" fillId="2" borderId="0" xfId="0" applyNumberFormat="1" applyFont="1" applyFill="1"/>
    <xf numFmtId="164" fontId="13" fillId="5" borderId="1" xfId="0" applyNumberFormat="1" applyFont="1" applyFill="1" applyBorder="1"/>
    <xf numFmtId="164" fontId="13" fillId="2" borderId="0" xfId="0" applyNumberFormat="1" applyFont="1" applyFill="1"/>
    <xf numFmtId="0" fontId="21" fillId="2" borderId="0" xfId="0" applyFont="1" applyFill="1"/>
    <xf numFmtId="164" fontId="21" fillId="2" borderId="0" xfId="0" applyNumberFormat="1" applyFont="1" applyFill="1"/>
    <xf numFmtId="0" fontId="22" fillId="2" borderId="0" xfId="0" applyFont="1" applyFill="1"/>
    <xf numFmtId="17" fontId="11" fillId="2" borderId="0" xfId="0" applyNumberFormat="1" applyFont="1" applyFill="1"/>
    <xf numFmtId="0" fontId="23" fillId="2" borderId="0" xfId="0" applyFont="1" applyFill="1"/>
    <xf numFmtId="17" fontId="13" fillId="2" borderId="0" xfId="0" applyNumberFormat="1" applyFont="1" applyFill="1"/>
    <xf numFmtId="10" fontId="20" fillId="2" borderId="0" xfId="0" applyNumberFormat="1" applyFont="1" applyFill="1"/>
    <xf numFmtId="10" fontId="24" fillId="10" borderId="0" xfId="0" applyNumberFormat="1" applyFont="1" applyFill="1"/>
    <xf numFmtId="10" fontId="11" fillId="2" borderId="0" xfId="0" applyNumberFormat="1" applyFont="1" applyFill="1"/>
    <xf numFmtId="164" fontId="24" fillId="10" borderId="0" xfId="0" applyNumberFormat="1" applyFont="1" applyFill="1"/>
    <xf numFmtId="164" fontId="11" fillId="2" borderId="0" xfId="0" applyNumberFormat="1" applyFont="1" applyFill="1"/>
    <xf numFmtId="3" fontId="24" fillId="2" borderId="0" xfId="0" applyNumberFormat="1" applyFont="1" applyFill="1"/>
    <xf numFmtId="3" fontId="24" fillId="10" borderId="0" xfId="0" applyNumberFormat="1" applyFont="1" applyFill="1"/>
    <xf numFmtId="3" fontId="11" fillId="2" borderId="0" xfId="0" applyNumberFormat="1" applyFont="1" applyFill="1"/>
    <xf numFmtId="164" fontId="24" fillId="2" borderId="0" xfId="0" applyNumberFormat="1" applyFont="1" applyFill="1"/>
    <xf numFmtId="0" fontId="20" fillId="2" borderId="0" xfId="0" applyFont="1" applyFill="1"/>
    <xf numFmtId="0" fontId="2" fillId="4" borderId="0" xfId="0" applyFont="1" applyFill="1" applyAlignment="1">
      <alignment horizontal="center"/>
    </xf>
    <xf numFmtId="0" fontId="25" fillId="6" borderId="1" xfId="0" applyFont="1" applyFill="1" applyBorder="1"/>
    <xf numFmtId="164" fontId="25" fillId="6" borderId="1" xfId="0" applyNumberFormat="1" applyFont="1" applyFill="1" applyBorder="1"/>
    <xf numFmtId="0" fontId="13" fillId="7" borderId="1" xfId="0" applyFont="1" applyFill="1" applyBorder="1"/>
    <xf numFmtId="164" fontId="13" fillId="7" borderId="1" xfId="0" applyNumberFormat="1" applyFont="1" applyFill="1" applyBorder="1"/>
    <xf numFmtId="0" fontId="2" fillId="2" borderId="0" xfId="0" applyFont="1" applyFill="1"/>
    <xf numFmtId="10" fontId="2" fillId="2" borderId="0" xfId="0" applyNumberFormat="1" applyFont="1" applyFill="1" applyAlignment="1">
      <alignment horizontal="center"/>
    </xf>
    <xf numFmtId="10" fontId="8" fillId="2" borderId="0" xfId="0" applyNumberFormat="1" applyFont="1" applyFill="1"/>
    <xf numFmtId="164" fontId="13" fillId="10" borderId="0" xfId="0" applyNumberFormat="1" applyFont="1" applyFill="1"/>
    <xf numFmtId="164" fontId="24" fillId="7" borderId="1" xfId="0" applyNumberFormat="1" applyFont="1" applyFill="1" applyBorder="1"/>
    <xf numFmtId="164" fontId="11" fillId="7" borderId="1" xfId="0" applyNumberFormat="1" applyFont="1" applyFill="1" applyBorder="1"/>
    <xf numFmtId="10" fontId="24" fillId="2" borderId="0" xfId="0" applyNumberFormat="1" applyFont="1" applyFill="1"/>
    <xf numFmtId="0" fontId="24" fillId="2" borderId="0" xfId="0" applyFont="1" applyFill="1"/>
    <xf numFmtId="164" fontId="25" fillId="2" borderId="0" xfId="0" applyNumberFormat="1" applyFont="1" applyFill="1"/>
    <xf numFmtId="0" fontId="8" fillId="0" borderId="0" xfId="0" applyFont="1"/>
    <xf numFmtId="10" fontId="24" fillId="0" borderId="0" xfId="0" applyNumberFormat="1" applyFont="1"/>
    <xf numFmtId="0" fontId="2" fillId="0" borderId="0" xfId="0" applyFont="1"/>
    <xf numFmtId="10" fontId="11" fillId="0" borderId="0" xfId="0" applyNumberFormat="1" applyFont="1"/>
    <xf numFmtId="0" fontId="24" fillId="10" borderId="0" xfId="0" applyFont="1" applyFill="1"/>
    <xf numFmtId="0" fontId="26" fillId="0" borderId="0" xfId="0" applyFont="1"/>
    <xf numFmtId="164" fontId="11" fillId="0" borderId="0" xfId="0" applyNumberFormat="1" applyFont="1"/>
    <xf numFmtId="0" fontId="18" fillId="4" borderId="0" xfId="0" applyFont="1" applyFill="1"/>
    <xf numFmtId="0" fontId="18" fillId="0" borderId="0" xfId="0" applyFont="1"/>
    <xf numFmtId="4" fontId="18" fillId="0" borderId="0" xfId="0" applyNumberFormat="1" applyFont="1"/>
    <xf numFmtId="0" fontId="27" fillId="11" borderId="0" xfId="0" applyFont="1" applyFill="1"/>
    <xf numFmtId="0" fontId="18" fillId="12" borderId="6" xfId="0" applyFont="1" applyFill="1" applyBorder="1"/>
    <xf numFmtId="164" fontId="18" fillId="12" borderId="6" xfId="0" applyNumberFormat="1" applyFont="1" applyFill="1" applyBorder="1" applyAlignment="1">
      <alignment horizontal="right"/>
    </xf>
    <xf numFmtId="0" fontId="18" fillId="8" borderId="6" xfId="0" applyFont="1" applyFill="1" applyBorder="1"/>
    <xf numFmtId="164" fontId="18" fillId="8" borderId="6" xfId="0" applyNumberFormat="1" applyFont="1" applyFill="1" applyBorder="1" applyAlignment="1">
      <alignment horizontal="right"/>
    </xf>
    <xf numFmtId="3" fontId="18" fillId="12" borderId="6" xfId="0" applyNumberFormat="1" applyFont="1" applyFill="1" applyBorder="1" applyAlignment="1">
      <alignment horizontal="right"/>
    </xf>
    <xf numFmtId="164" fontId="24" fillId="0" borderId="0" xfId="0" applyNumberFormat="1" applyFont="1"/>
    <xf numFmtId="0" fontId="24" fillId="0" borderId="0" xfId="0" applyFont="1"/>
    <xf numFmtId="0" fontId="8" fillId="10" borderId="0" xfId="0" applyFont="1" applyFill="1"/>
    <xf numFmtId="0" fontId="11" fillId="0" borderId="0" xfId="0" applyFont="1"/>
    <xf numFmtId="166" fontId="11" fillId="0" borderId="0" xfId="0" applyNumberFormat="1" applyFont="1"/>
    <xf numFmtId="0" fontId="13" fillId="0" borderId="0" xfId="0" applyFont="1"/>
    <xf numFmtId="164" fontId="13" fillId="0" borderId="0" xfId="0" applyNumberFormat="1" applyFont="1"/>
    <xf numFmtId="0" fontId="21" fillId="0" borderId="0" xfId="0" applyFont="1"/>
    <xf numFmtId="164" fontId="21" fillId="0" borderId="0" xfId="0" applyNumberFormat="1" applyFont="1"/>
    <xf numFmtId="167" fontId="0" fillId="0" borderId="0" xfId="0" applyNumberFormat="1"/>
    <xf numFmtId="0" fontId="28" fillId="0" borderId="0" xfId="0" applyFont="1"/>
    <xf numFmtId="0" fontId="29" fillId="0" borderId="0" xfId="0" applyFont="1"/>
    <xf numFmtId="164" fontId="3" fillId="0" borderId="7" xfId="0" applyNumberFormat="1" applyFont="1" applyBorder="1"/>
    <xf numFmtId="0" fontId="30" fillId="0" borderId="0" xfId="0" applyFont="1"/>
    <xf numFmtId="0" fontId="31" fillId="4" borderId="0" xfId="0" applyFont="1" applyFill="1"/>
    <xf numFmtId="3" fontId="18" fillId="0" borderId="0" xfId="0" applyNumberFormat="1" applyFont="1"/>
    <xf numFmtId="0" fontId="31" fillId="13" borderId="0" xfId="0" applyFont="1" applyFill="1"/>
    <xf numFmtId="0" fontId="28" fillId="14" borderId="0" xfId="0" applyFont="1" applyFill="1"/>
    <xf numFmtId="0" fontId="3" fillId="15" borderId="2" xfId="0" applyFont="1" applyFill="1" applyBorder="1"/>
    <xf numFmtId="164" fontId="3" fillId="16" borderId="2" xfId="0" applyNumberFormat="1" applyFont="1" applyFill="1" applyBorder="1"/>
    <xf numFmtId="0" fontId="3" fillId="15" borderId="8" xfId="0" applyFont="1" applyFill="1" applyBorder="1"/>
    <xf numFmtId="164" fontId="3" fillId="16" borderId="8" xfId="0" applyNumberFormat="1" applyFont="1" applyFill="1" applyBorder="1"/>
    <xf numFmtId="0" fontId="31" fillId="17" borderId="0" xfId="0" applyFont="1" applyFill="1"/>
    <xf numFmtId="0" fontId="3" fillId="15" borderId="0" xfId="0" applyFont="1" applyFill="1"/>
    <xf numFmtId="0" fontId="32" fillId="0" borderId="0" xfId="0" applyFont="1"/>
    <xf numFmtId="3" fontId="3" fillId="15" borderId="0" xfId="0" applyNumberFormat="1" applyFont="1" applyFill="1"/>
    <xf numFmtId="164" fontId="3" fillId="15" borderId="0" xfId="0" applyNumberFormat="1" applyFont="1" applyFill="1"/>
    <xf numFmtId="0" fontId="31" fillId="18" borderId="0" xfId="0" applyFont="1" applyFill="1"/>
    <xf numFmtId="0" fontId="3" fillId="19" borderId="0" xfId="0" applyFont="1" applyFill="1"/>
    <xf numFmtId="0" fontId="33" fillId="0" borderId="0" xfId="0" applyFont="1"/>
    <xf numFmtId="164" fontId="3" fillId="19" borderId="0" xfId="0" applyNumberFormat="1" applyFont="1" applyFill="1"/>
    <xf numFmtId="0" fontId="31" fillId="20" borderId="0" xfId="0" applyFont="1" applyFill="1"/>
    <xf numFmtId="0" fontId="3" fillId="21" borderId="0" xfId="0" applyFont="1" applyFill="1"/>
    <xf numFmtId="164" fontId="3" fillId="21" borderId="0" xfId="0" applyNumberFormat="1" applyFont="1" applyFill="1"/>
    <xf numFmtId="0" fontId="31" fillId="22" borderId="0" xfId="0" applyFont="1" applyFill="1"/>
    <xf numFmtId="0" fontId="3" fillId="16" borderId="0" xfId="0" applyFont="1" applyFill="1"/>
    <xf numFmtId="164" fontId="3" fillId="16" borderId="0" xfId="0" applyNumberFormat="1" applyFont="1" applyFill="1"/>
    <xf numFmtId="0" fontId="16" fillId="0" borderId="0" xfId="0" applyFont="1"/>
    <xf numFmtId="0" fontId="31" fillId="3" borderId="0" xfId="0" applyFont="1" applyFill="1"/>
    <xf numFmtId="0" fontId="31" fillId="23" borderId="0" xfId="0" applyFont="1" applyFill="1"/>
    <xf numFmtId="165" fontId="18" fillId="0" borderId="0" xfId="0" applyNumberFormat="1" applyFont="1"/>
    <xf numFmtId="0" fontId="27" fillId="3" borderId="0" xfId="0" applyFont="1" applyFill="1"/>
    <xf numFmtId="0" fontId="34" fillId="0" borderId="0" xfId="0" applyFont="1"/>
    <xf numFmtId="0" fontId="4" fillId="0" borderId="0" xfId="0" applyFont="1"/>
    <xf numFmtId="164" fontId="5" fillId="0" borderId="0" xfId="0" applyNumberFormat="1" applyFont="1"/>
    <xf numFmtId="164" fontId="4" fillId="0" borderId="0" xfId="0" applyNumberFormat="1" applyFont="1"/>
    <xf numFmtId="164" fontId="34" fillId="0" borderId="0" xfId="0" applyNumberFormat="1" applyFont="1"/>
    <xf numFmtId="0" fontId="35" fillId="0" borderId="0" xfId="0" applyFont="1"/>
    <xf numFmtId="0" fontId="18" fillId="0" borderId="0" xfId="0" applyFont="1" applyAlignment="1">
      <alignment horizontal="center"/>
    </xf>
    <xf numFmtId="0" fontId="18" fillId="0" borderId="9" xfId="0" applyFont="1" applyBorder="1"/>
    <xf numFmtId="0" fontId="3" fillId="0" borderId="9" xfId="0" applyFont="1" applyBorder="1" applyAlignment="1">
      <alignment horizontal="center"/>
    </xf>
    <xf numFmtId="0" fontId="27" fillId="24" borderId="0" xfId="0" applyFont="1" applyFill="1"/>
    <xf numFmtId="164" fontId="27" fillId="24" borderId="0" xfId="0" applyNumberFormat="1" applyFont="1" applyFill="1"/>
    <xf numFmtId="0" fontId="18" fillId="12" borderId="0" xfId="0" applyFont="1" applyFill="1"/>
    <xf numFmtId="164" fontId="18" fillId="12" borderId="0" xfId="0" applyNumberFormat="1" applyFont="1" applyFill="1"/>
    <xf numFmtId="0" fontId="5" fillId="0" borderId="7" xfId="0" applyFont="1" applyBorder="1"/>
    <xf numFmtId="164" fontId="5" fillId="0" borderId="7" xfId="0" applyNumberFormat="1" applyFont="1" applyBorder="1"/>
    <xf numFmtId="164" fontId="27" fillId="11" borderId="0" xfId="0" applyNumberFormat="1" applyFont="1" applyFill="1"/>
    <xf numFmtId="0" fontId="18" fillId="15" borderId="0" xfId="0" applyFont="1" applyFill="1"/>
    <xf numFmtId="164" fontId="18" fillId="15" borderId="0" xfId="0" applyNumberFormat="1" applyFont="1" applyFill="1"/>
    <xf numFmtId="0" fontId="29" fillId="15" borderId="0" xfId="0" applyFont="1" applyFill="1"/>
    <xf numFmtId="164" fontId="29" fillId="15" borderId="0" xfId="0" applyNumberFormat="1" applyFont="1" applyFill="1"/>
    <xf numFmtId="0" fontId="27" fillId="25" borderId="7" xfId="0" applyFont="1" applyFill="1" applyBorder="1"/>
    <xf numFmtId="164" fontId="27" fillId="25" borderId="7" xfId="0" applyNumberFormat="1" applyFont="1" applyFill="1" applyBorder="1"/>
    <xf numFmtId="0" fontId="18" fillId="19" borderId="0" xfId="0" applyFont="1" applyFill="1"/>
    <xf numFmtId="164" fontId="18" fillId="19" borderId="0" xfId="0" applyNumberFormat="1" applyFont="1" applyFill="1"/>
    <xf numFmtId="0" fontId="18" fillId="25" borderId="0" xfId="0" applyFont="1" applyFill="1"/>
    <xf numFmtId="164" fontId="18" fillId="25" borderId="0" xfId="0" applyNumberFormat="1" applyFont="1" applyFill="1"/>
    <xf numFmtId="164" fontId="29" fillId="0" borderId="0" xfId="0" applyNumberFormat="1" applyFont="1"/>
    <xf numFmtId="0" fontId="27" fillId="26" borderId="0" xfId="0" applyFont="1" applyFill="1"/>
    <xf numFmtId="164" fontId="27" fillId="26" borderId="0" xfId="0" applyNumberFormat="1" applyFont="1" applyFill="1"/>
    <xf numFmtId="0" fontId="18" fillId="0" borderId="7" xfId="0" applyFont="1" applyBorder="1"/>
    <xf numFmtId="164" fontId="18" fillId="0" borderId="7" xfId="0" applyNumberFormat="1" applyFont="1" applyBorder="1"/>
    <xf numFmtId="0" fontId="18" fillId="26" borderId="0" xfId="0" applyFont="1" applyFill="1"/>
    <xf numFmtId="164" fontId="18" fillId="26" borderId="0" xfId="0" applyNumberFormat="1" applyFont="1" applyFill="1"/>
    <xf numFmtId="0" fontId="18" fillId="21" borderId="0" xfId="0" applyFont="1" applyFill="1"/>
    <xf numFmtId="164" fontId="18" fillId="21" borderId="0" xfId="0" applyNumberFormat="1" applyFont="1" applyFill="1"/>
    <xf numFmtId="0" fontId="29" fillId="21" borderId="0" xfId="0" applyFont="1" applyFill="1"/>
    <xf numFmtId="164" fontId="29" fillId="21" borderId="0" xfId="0" applyNumberFormat="1" applyFont="1" applyFill="1"/>
    <xf numFmtId="0" fontId="36" fillId="0" borderId="0" xfId="0" applyFont="1"/>
    <xf numFmtId="0" fontId="37" fillId="0" borderId="0" xfId="0" applyFont="1"/>
    <xf numFmtId="0" fontId="1" fillId="2" borderId="0" xfId="0" applyFont="1" applyFill="1"/>
    <xf numFmtId="0" fontId="0" fillId="0" borderId="0" xfId="0"/>
    <xf numFmtId="0" fontId="1" fillId="0" borderId="0" xfId="0" applyFont="1"/>
    <xf numFmtId="0" fontId="33" fillId="0" borderId="0" xfId="0" applyFont="1" applyAlignment="1">
      <alignment wrapText="1"/>
    </xf>
  </cellXfs>
  <cellStyles count="1">
    <cellStyle name="Normal" xfId="0" builtinId="0"/>
  </cellStyles>
  <dxfs count="2"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2F2F2"/>
      <rgbColor rgb="FFFF00FF"/>
      <rgbColor rgb="FF00FFFF"/>
      <rgbColor rgb="FF800000"/>
      <rgbColor rgb="FF548235"/>
      <rgbColor rgb="FF1E2C44"/>
      <rgbColor rgb="FF717F4B"/>
      <rgbColor rgb="FF800080"/>
      <rgbColor rgb="FF008080"/>
      <rgbColor rgb="FFBFC7DA"/>
      <rgbColor rgb="FF888888"/>
      <rgbColor rgb="FF8EA3BE"/>
      <rgbColor rgb="FF666666"/>
      <rgbColor rgb="FFFDEBD0"/>
      <rgbColor rgb="FFDCE6F1"/>
      <rgbColor rgb="FF660066"/>
      <rgbColor rgb="FFFF8080"/>
      <rgbColor rgb="FF0066CC"/>
      <rgbColor rgb="FFB4C6E7"/>
      <rgbColor rgb="FF000080"/>
      <rgbColor rgb="FFFF00FF"/>
      <rgbColor rgb="FFE3E8F0"/>
      <rgbColor rgb="FF00FFFF"/>
      <rgbColor rgb="FF800080"/>
      <rgbColor rgb="FF800000"/>
      <rgbColor rgb="FF008080"/>
      <rgbColor rgb="FF0000FF"/>
      <rgbColor rgb="FF00CCFF"/>
      <rgbColor rgb="FFE8ECF1"/>
      <rgbColor rgb="FFE2EFDA"/>
      <rgbColor rgb="FFFBE9E0"/>
      <rgbColor rgb="FFD6DCE4"/>
      <rgbColor rgb="FFD6E4F0"/>
      <rgbColor rgb="FFDDE3ED"/>
      <rgbColor rgb="FFFCE4D6"/>
      <rgbColor rgb="FF2E75B6"/>
      <rgbColor rgb="FF33CCCC"/>
      <rgbColor rgb="FF7B9464"/>
      <rgbColor rgb="FFF8FAFC"/>
      <rgbColor rgb="FFFF9900"/>
      <rgbColor rgb="FFC4581A"/>
      <rgbColor rgb="FF5E7B9B"/>
      <rgbColor rgb="FF999999"/>
      <rgbColor rgb="FF1F3864"/>
      <rgbColor rgb="FF4A8B8C"/>
      <rgbColor rgb="FF0B1833"/>
      <rgbColor rgb="FF404040"/>
      <rgbColor rgb="FF993300"/>
      <rgbColor rgb="FFEF4444"/>
      <rgbColor rgb="FF2C3A51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B1833"/>
  </sheetPr>
  <dimension ref="A1:I45"/>
  <sheetViews>
    <sheetView zoomScaleNormal="100" workbookViewId="0">
      <pane xSplit="1" ySplit="2" topLeftCell="B18" activePane="bottomRight" state="frozen"/>
      <selection pane="topRight" activeCell="B1" sqref="B1"/>
      <selection pane="bottomLeft" activeCell="A18" sqref="A18"/>
      <selection pane="bottomRight" activeCell="I16" sqref="I16"/>
    </sheetView>
  </sheetViews>
  <sheetFormatPr defaultColWidth="8.7109375" defaultRowHeight="15" customHeight="1" x14ac:dyDescent="0.25"/>
  <cols>
    <col min="1" max="1" width="30" customWidth="1"/>
    <col min="2" max="9" width="16" customWidth="1"/>
  </cols>
  <sheetData>
    <row r="1" spans="1:9" ht="17.25" customHeight="1" x14ac:dyDescent="0.3">
      <c r="A1" s="196" t="s">
        <v>66</v>
      </c>
      <c r="B1" s="197"/>
      <c r="C1" s="197"/>
      <c r="D1" s="197"/>
      <c r="E1" s="197"/>
      <c r="F1" s="1"/>
      <c r="G1" s="1"/>
      <c r="H1" s="1"/>
      <c r="I1" s="1"/>
    </row>
    <row r="2" spans="1:9" ht="15" customHeight="1" x14ac:dyDescent="0.25">
      <c r="A2" s="2"/>
      <c r="B2" s="3" t="s">
        <v>67</v>
      </c>
      <c r="C2" s="3" t="s">
        <v>68</v>
      </c>
      <c r="D2" s="3" t="s">
        <v>69</v>
      </c>
      <c r="E2" s="3" t="s">
        <v>70</v>
      </c>
      <c r="F2" s="3" t="s">
        <v>71</v>
      </c>
      <c r="G2" s="3" t="s">
        <v>72</v>
      </c>
      <c r="H2" s="3" t="s">
        <v>73</v>
      </c>
      <c r="I2" s="3" t="s">
        <v>74</v>
      </c>
    </row>
    <row r="3" spans="1:9" ht="15" customHeight="1" x14ac:dyDescent="0.25">
      <c r="A3" s="4" t="s">
        <v>75</v>
      </c>
      <c r="B3" s="5">
        <f>Model!C7+Model!D7+Model!E7+Model!F7+Model!G7+Model!H7+Model!I7+Model!J7+Model!K7</f>
        <v>52369472.49086947</v>
      </c>
      <c r="C3" s="5">
        <f>Model!L7+Model!M7+Model!N7+Model!O7+Model!P7+Model!Q7+Model!R7+Model!S7+Model!T7+Model!U7+Model!V7+Model!W7</f>
        <v>87410002.951298565</v>
      </c>
      <c r="D3" s="5">
        <f>Model!X7+Model!Y7+Model!Z7+Model!AA7+Model!AB7+Model!AC7+Model!AD7+Model!AE7+Model!AF7+Model!AG7+Model!AH7+Model!AI7</f>
        <v>51675800.678054005</v>
      </c>
      <c r="E3" s="5">
        <f>Model!AJ7+Model!AK7+Model!AL7+Model!AM7+Model!AN7+Model!AO7+Model!AP7+Model!AQ7+Model!AR7+Model!AS7+Model!AT7+Model!AU7</f>
        <v>32893826.824765999</v>
      </c>
      <c r="F3" s="5">
        <f>Model!AV7+Model!AW7+Model!AX7+Model!AY7+Model!AZ7+Model!BA7+Model!BB7+Model!BC7+Model!BD7+Model!BE7+Model!BF7+Model!BG7</f>
        <v>13258749.920151999</v>
      </c>
      <c r="G3" s="5">
        <f>Model!BH7+Model!BI7+Model!BJ7+Model!BK7+Model!BL7+Model!BM7+Model!BN7+Model!BO7+Model!BP7+Model!BQ7+Model!BR7+Model!BS7</f>
        <v>0</v>
      </c>
      <c r="H3" s="5">
        <f>Model!BT7+Model!BU7+Model!BV7+Model!BW7+Model!BX7+Model!BY7+Model!BZ7+Model!CA7+Model!CB7+Model!CC7+Model!CD7+Model!CE7</f>
        <v>0</v>
      </c>
      <c r="I3" s="5">
        <f>Model!CF7+Model!CG7+Model!CH7</f>
        <v>0</v>
      </c>
    </row>
    <row r="4" spans="1:9" ht="15" customHeight="1" x14ac:dyDescent="0.25">
      <c r="A4" s="6" t="s">
        <v>76</v>
      </c>
      <c r="B4" s="6"/>
      <c r="C4" s="6"/>
      <c r="D4" s="6"/>
      <c r="E4" s="6"/>
      <c r="F4" s="6"/>
      <c r="G4" s="6"/>
      <c r="H4" s="6"/>
      <c r="I4" s="6"/>
    </row>
    <row r="5" spans="1:9" ht="15" customHeight="1" x14ac:dyDescent="0.25">
      <c r="A5" s="7" t="s">
        <v>77</v>
      </c>
      <c r="B5" s="8">
        <f>Model!C8+Model!D8+Model!E8+Model!F8+Model!G8+Model!H8+Model!I8+Model!J8+Model!K8</f>
        <v>2163853.8346590907</v>
      </c>
      <c r="C5" s="8">
        <f>Model!L8+Model!M8+Model!N8+Model!O8+Model!P8+Model!Q8+Model!R8+Model!S8+Model!T8+Model!U8+Model!V8+Model!W8</f>
        <v>3706998.7776379869</v>
      </c>
      <c r="D5" s="8">
        <f>Model!X8+Model!Y8+Model!Z8+Model!AA8+Model!AB8+Model!AC8+Model!AD8+Model!AE8+Model!AF8+Model!AG8+Model!AH8+Model!AI8</f>
        <v>3104814.0553165576</v>
      </c>
      <c r="E5" s="8">
        <f>Model!AJ8+Model!AK8+Model!AL8+Model!AM8+Model!AN8+Model!AO8+Model!AP8+Model!AQ8+Model!AR8+Model!AS8+Model!AT8+Model!AU8</f>
        <v>1615745.2668019482</v>
      </c>
      <c r="F5" s="8">
        <f>Model!AV8+Model!AW8+Model!AX8+Model!AY8+Model!AZ8+Model!BA8+Model!BB8+Model!BC8+Model!BD8+Model!BE8+Model!BF8+Model!BG8</f>
        <v>802253.00714285718</v>
      </c>
      <c r="G5" s="8">
        <f>Model!BH8+Model!BI8+Model!BJ8+Model!BK8+Model!BL8+Model!BM8+Model!BN8+Model!BO8+Model!BP8+Model!BQ8+Model!BR8+Model!BS8</f>
        <v>0</v>
      </c>
      <c r="H5" s="8">
        <f>Model!BT8+Model!BU8+Model!BV8+Model!BW8+Model!BX8+Model!BY8+Model!BZ8+Model!CA8+Model!CB8+Model!CC8+Model!CD8+Model!CE8</f>
        <v>0</v>
      </c>
      <c r="I5" s="8">
        <f>Model!CF8+Model!CG8+Model!CH8</f>
        <v>0</v>
      </c>
    </row>
    <row r="6" spans="1:9" ht="15" customHeight="1" x14ac:dyDescent="0.25">
      <c r="A6" s="7" t="s">
        <v>78</v>
      </c>
      <c r="B6" s="8">
        <f>Model!C9+Model!D9+Model!E9+Model!F9+Model!G9+Model!H9+Model!I9+Model!J9+Model!K9</f>
        <v>2440290.7118340582</v>
      </c>
      <c r="C6" s="8">
        <f>Model!L9+Model!M9+Model!N9+Model!O9+Model!P9+Model!Q9+Model!R9+Model!S9+Model!T9+Model!U9+Model!V9+Model!W9</f>
        <v>4166268.297259754</v>
      </c>
      <c r="D6" s="8">
        <f>Model!X9+Model!Y9+Model!Z9+Model!AA9+Model!AB9+Model!AC9+Model!AD9+Model!AE9+Model!AF9+Model!AG9+Model!AH9+Model!AI9</f>
        <v>2580433.0467930827</v>
      </c>
      <c r="E6" s="8">
        <f>Model!AJ9+Model!AK9+Model!AL9+Model!AM9+Model!AN9+Model!AO9+Model!AP9+Model!AQ9+Model!AR9+Model!AS9+Model!AT9+Model!AU9</f>
        <v>1670684.3246847903</v>
      </c>
      <c r="F6" s="8">
        <f>Model!AV9+Model!AW9+Model!AX9+Model!AY9+Model!AZ9+Model!BA9+Model!BB9+Model!BC9+Model!BD9+Model!BE9+Model!BF9+Model!BG9</f>
        <v>714133.6375394999</v>
      </c>
      <c r="G6" s="8">
        <f>Model!BH9+Model!BI9+Model!BJ9+Model!BK9+Model!BL9+Model!BM9+Model!BN9+Model!BO9+Model!BP9+Model!BQ9+Model!BR9+Model!BS9</f>
        <v>0</v>
      </c>
      <c r="H6" s="8">
        <f>Model!BT9+Model!BU9+Model!BV9+Model!BW9+Model!BX9+Model!BY9+Model!BZ9+Model!CA9+Model!CB9+Model!CC9+Model!CD9+Model!CE9</f>
        <v>0</v>
      </c>
      <c r="I6" s="8">
        <f>Model!CF9+Model!CG9+Model!CH9</f>
        <v>0</v>
      </c>
    </row>
    <row r="7" spans="1:9" ht="15" customHeight="1" x14ac:dyDescent="0.25">
      <c r="A7" s="7" t="s">
        <v>79</v>
      </c>
      <c r="B7" s="8">
        <f>Model!C10+Model!D10+Model!E10+Model!F10+Model!G10+Model!H10+Model!I10+Model!J10+Model!K10</f>
        <v>602077.86259469704</v>
      </c>
      <c r="C7" s="8">
        <f>Model!L10+Model!M10+Model!N10+Model!O10+Model!P10+Model!Q10+Model!R10+Model!S10+Model!T10+Model!U10+Model!V10+Model!W10</f>
        <v>1135155.6748376624</v>
      </c>
      <c r="D7" s="8">
        <f>Model!X10+Model!Y10+Model!Z10+Model!AA10+Model!AB10+Model!AC10+Model!AD10+Model!AE10+Model!AF10+Model!AG10+Model!AH10+Model!AI10</f>
        <v>1034938.0184388529</v>
      </c>
      <c r="E7" s="8">
        <f>Model!AJ10+Model!AK10+Model!AL10+Model!AM10+Model!AN10+Model!AO10+Model!AP10+Model!AQ10+Model!AR10+Model!AS10+Model!AT10+Model!AU10</f>
        <v>538581.7556006494</v>
      </c>
      <c r="F7" s="8">
        <f>Model!AV10+Model!AW10+Model!AX10+Model!AY10+Model!AZ10+Model!BA10+Model!BB10+Model!BC10+Model!BD10+Model!BE10+Model!BF10+Model!BG10</f>
        <v>267417.6690476191</v>
      </c>
      <c r="G7" s="8">
        <f>Model!BH10+Model!BI10+Model!BJ10+Model!BK10+Model!BL10+Model!BM10+Model!BN10+Model!BO10+Model!BP10+Model!BQ10+Model!BR10+Model!BS10</f>
        <v>0</v>
      </c>
      <c r="H7" s="8">
        <f>Model!BT10+Model!BU10+Model!BV10+Model!BW10+Model!BX10+Model!BY10+Model!BZ10+Model!CA10+Model!CB10+Model!CC10+Model!CD10+Model!CE10</f>
        <v>0</v>
      </c>
      <c r="I7" s="8">
        <f>Model!CF10+Model!CG10+Model!CH10</f>
        <v>0</v>
      </c>
    </row>
    <row r="8" spans="1:9" ht="15" customHeight="1" x14ac:dyDescent="0.25">
      <c r="A8" s="7" t="s">
        <v>80</v>
      </c>
      <c r="B8" s="8">
        <f>Model!C11+Model!D11+Model!E11+Model!F11+Model!G11+Model!H11+Model!I11+Model!J11+Model!K11</f>
        <v>1405537.6199999999</v>
      </c>
      <c r="C8" s="8">
        <f>Model!L11+Model!M11+Model!N11+Model!O11+Model!P11+Model!Q11+Model!R11+Model!S11+Model!T11+Model!U11+Model!V11+Model!W11</f>
        <v>679001.54999999993</v>
      </c>
      <c r="D8" s="8">
        <f>Model!X11+Model!Y11+Model!Z11+Model!AA11+Model!AB11+Model!AC11+Model!AD11+Model!AE11+Model!AF11+Model!AG11+Model!AH11+Model!AI11</f>
        <v>620319.48</v>
      </c>
      <c r="E8" s="8">
        <f>Model!AJ11+Model!AK11+Model!AL11+Model!AM11+Model!AN11+Model!AO11+Model!AP11+Model!AQ11+Model!AR11+Model!AS11+Model!AT11+Model!AU11</f>
        <v>0</v>
      </c>
      <c r="F8" s="8">
        <f>Model!AV11+Model!AW11+Model!AX11+Model!AY11+Model!AZ11+Model!BA11+Model!BB11+Model!BC11+Model!BD11+Model!BE11+Model!BF11+Model!BG11</f>
        <v>0</v>
      </c>
      <c r="G8" s="8">
        <f>Model!BH11+Model!BI11+Model!BJ11+Model!BK11+Model!BL11+Model!BM11+Model!BN11+Model!BO11+Model!BP11+Model!BQ11+Model!BR11+Model!BS11</f>
        <v>0</v>
      </c>
      <c r="H8" s="8">
        <f>Model!BT11+Model!BU11+Model!BV11+Model!BW11+Model!BX11+Model!BY11+Model!BZ11+Model!CA11+Model!CB11+Model!CC11+Model!CD11+Model!CE11</f>
        <v>0</v>
      </c>
      <c r="I8" s="8">
        <f>Model!CF11+Model!CG11+Model!CH11</f>
        <v>0</v>
      </c>
    </row>
    <row r="9" spans="1:9" ht="15" customHeight="1" x14ac:dyDescent="0.25">
      <c r="A9" s="9" t="s">
        <v>81</v>
      </c>
      <c r="B9" s="10">
        <f>Model!C12+Model!D12+Model!E12+Model!F12+Model!G12+Model!H12+Model!I12+Model!J12+Model!K12</f>
        <v>6611760.0290878452</v>
      </c>
      <c r="C9" s="10">
        <f>Model!L12+Model!M12+Model!N12+Model!O12+Model!P12+Model!Q12+Model!R12+Model!S12+Model!T12+Model!U12+Model!V12+Model!W12</f>
        <v>9687424.2997354008</v>
      </c>
      <c r="D9" s="10">
        <f>Model!X12+Model!Y12+Model!Z12+Model!AA12+Model!AB12+Model!AC12+Model!AD12+Model!AE12+Model!AF12+Model!AG12+Model!AH12+Model!AI12</f>
        <v>7340504.6005484927</v>
      </c>
      <c r="E9" s="10">
        <f>Model!AJ12+Model!AK12+Model!AL12+Model!AM12+Model!AN12+Model!AO12+Model!AP12+Model!AQ12+Model!AR12+Model!AS12+Model!AT12+Model!AU12</f>
        <v>3825011.3470873879</v>
      </c>
      <c r="F9" s="10">
        <f>Model!AV12+Model!AW12+Model!AX12+Model!AY12+Model!AZ12+Model!BA12+Model!BB12+Model!BC12+Model!BD12+Model!BE12+Model!BF12+Model!BG12</f>
        <v>1783804.3137299761</v>
      </c>
      <c r="G9" s="10">
        <f>Model!BH12+Model!BI12+Model!BJ12+Model!BK12+Model!BL12+Model!BM12+Model!BN12+Model!BO12+Model!BP12+Model!BQ12+Model!BR12+Model!BS12</f>
        <v>0</v>
      </c>
      <c r="H9" s="10">
        <f>Model!BT12+Model!BU12+Model!BV12+Model!BW12+Model!BX12+Model!BY12+Model!BZ12+Model!CA12+Model!CB12+Model!CC12+Model!CD12+Model!CE12</f>
        <v>0</v>
      </c>
      <c r="I9" s="10">
        <f>Model!CF12+Model!CG12+Model!CH12</f>
        <v>0</v>
      </c>
    </row>
    <row r="10" spans="1:9" ht="15" customHeight="1" x14ac:dyDescent="0.25">
      <c r="A10" s="1"/>
      <c r="B10" s="11"/>
      <c r="C10" s="11"/>
      <c r="D10" s="11"/>
      <c r="E10" s="11"/>
      <c r="F10" s="11"/>
      <c r="G10" s="11"/>
      <c r="H10" s="11"/>
      <c r="I10" s="1"/>
    </row>
    <row r="11" spans="1:9" ht="15" customHeight="1" x14ac:dyDescent="0.25">
      <c r="A11" s="6" t="s">
        <v>82</v>
      </c>
      <c r="B11" s="12"/>
      <c r="C11" s="12"/>
      <c r="D11" s="12"/>
      <c r="E11" s="12"/>
      <c r="F11" s="12"/>
      <c r="G11" s="12"/>
      <c r="H11" s="12"/>
      <c r="I11" s="6"/>
    </row>
    <row r="12" spans="1:9" ht="15" customHeight="1" x14ac:dyDescent="0.25">
      <c r="A12" s="7" t="s">
        <v>83</v>
      </c>
      <c r="B12" s="8">
        <f>Model!C15+Model!D15+Model!E15+Model!F15+Model!G15+Model!H15+Model!I15+Model!J15+Model!K15</f>
        <v>-693398.55920000013</v>
      </c>
      <c r="C12" s="8">
        <f>Model!L15+Model!M15+Model!N15+Model!O15+Model!P15+Model!Q15+Model!R15+Model!S15+Model!T15+Model!U15+Model!V15+Model!W15</f>
        <v>-1471170.0250000001</v>
      </c>
      <c r="D12" s="8">
        <f>Model!X15+Model!Y15+Model!Z15+Model!AA15+Model!AB15+Model!AC15+Model!AD15+Model!AE15+Model!AF15+Model!AG15+Model!AH15+Model!AI15</f>
        <v>-1344025.54</v>
      </c>
      <c r="E12" s="8">
        <f>Model!AJ15+Model!AK15+Model!AL15+Model!AM15+Model!AN15+Model!AO15+Model!AP15+Model!AQ15+Model!AR15+Model!AS15+Model!AT15+Model!AU15</f>
        <v>0</v>
      </c>
      <c r="F12" s="8">
        <f>Model!AV15+Model!AW15+Model!AX15+Model!AY15+Model!AZ15+Model!BA15+Model!BB15+Model!BC15+Model!BD15+Model!BE15+Model!BF15+Model!BG15</f>
        <v>0</v>
      </c>
      <c r="G12" s="8">
        <f>Model!BH15+Model!BI15+Model!BJ15+Model!BK15+Model!BL15+Model!BM15+Model!BN15+Model!BO15+Model!BP15+Model!BQ15+Model!BR15+Model!BS15</f>
        <v>0</v>
      </c>
      <c r="H12" s="8">
        <f>Model!BT15+Model!BU15+Model!BV15+Model!BW15+Model!BX15+Model!BY15+Model!BZ15+Model!CA15+Model!CB15+Model!CC15+Model!CD15+Model!CE15</f>
        <v>0</v>
      </c>
      <c r="I12" s="8">
        <f>Model!CF15+Model!CG15+Model!CH15</f>
        <v>0</v>
      </c>
    </row>
    <row r="13" spans="1:9" ht="15" customHeight="1" x14ac:dyDescent="0.25">
      <c r="A13" s="7" t="s">
        <v>84</v>
      </c>
      <c r="B13" s="8">
        <f>Model!C16+Model!C17+Model!D16+Model!D17+Model!E16+Model!E17+Model!F16+Model!F17+Model!G16+Model!G17+Model!H16+Model!H17+Model!I16+Model!I17+Model!J16+Model!J17+Model!K16+Model!K17</f>
        <v>-2218919</v>
      </c>
      <c r="C13" s="8">
        <f>Model!L16+Model!L17+Model!M16+Model!M17+Model!N16+Model!N17+Model!O16+Model!O17+Model!P16+Model!P17+Model!Q16+Model!Q17+Model!R16+Model!R17+Model!S16+Model!S17+Model!T16+Model!T17+Model!U16+Model!U17+Model!V16+Model!V17+Model!W16+Model!W17</f>
        <v>-3086892</v>
      </c>
      <c r="D13" s="8">
        <f>Model!X16+Model!X17+Model!Y16+Model!Y17+Model!Z16+Model!Z17+Model!AA16+Model!AA17+Model!AB16+Model!AB17+Model!AC16+Model!AC17+Model!AD16+Model!AD17+Model!AE16+Model!AE17+Model!AF16+Model!AF17+Model!AG16+Model!AG17+Model!AH16+Model!AH17+Model!AI16+Model!AI17</f>
        <v>-3086892</v>
      </c>
      <c r="E13" s="8">
        <f>Model!AJ16+Model!AJ17+Model!AK16+Model!AK17+Model!AL16+Model!AL17+Model!AM16+Model!AM17+Model!AN16+Model!AN17+Model!AO16+Model!AO17+Model!AP16+Model!AP17+Model!AQ16+Model!AQ17+Model!AR16+Model!AR17+Model!AS16+Model!AS17+Model!AT16+Model!AT17+Model!AU16+Model!AU17</f>
        <v>-3086892</v>
      </c>
      <c r="F13" s="8">
        <f>Model!AV16+Model!AV17+Model!AW16+Model!AW17+Model!AX16+Model!AX17+Model!AY16+Model!AY17+Model!AZ16+Model!AZ17+Model!BA16+Model!BA17+Model!BB16+Model!BB17+Model!BC16+Model!BC17+Model!BD16+Model!BD17+Model!BE16+Model!BE17+Model!BF16+Model!BF17+Model!BG16+Model!BG17</f>
        <v>-3086892</v>
      </c>
      <c r="G13" s="8">
        <f>Model!BH16+Model!BH17+Model!BI16+Model!BI17+Model!BJ16+Model!BJ17+Model!BK16+Model!BK17+Model!BL16+Model!BL17+Model!BM16+Model!BM17+Model!BN16+Model!BN17+Model!BO16+Model!BO17+Model!BP16+Model!BP17+Model!BQ16+Model!BQ17+Model!BR16+Model!BR17+Model!BS16+Model!BS17</f>
        <v>-3086892</v>
      </c>
      <c r="H13" s="8">
        <f>Model!BT16+Model!BT17+Model!BU16+Model!BU17+Model!BV16+Model!BV17+Model!BW16+Model!BW17+Model!BX16+Model!BX17+Model!BY16+Model!BY17+Model!BZ16+Model!BZ17+Model!CA16+Model!CA17+Model!CB16+Model!CB17+Model!CC16+Model!CC17+Model!CD16+Model!CD17+Model!CE16+Model!CE17</f>
        <v>-3086892</v>
      </c>
      <c r="I13" s="8">
        <f>Model!CF16+Model!CF17+Model!CG16+Model!CG17+Model!CH16+Model!CH17</f>
        <v>-771723</v>
      </c>
    </row>
    <row r="14" spans="1:9" ht="15" customHeight="1" x14ac:dyDescent="0.25">
      <c r="A14" s="7" t="s">
        <v>85</v>
      </c>
      <c r="B14" s="8">
        <f>Model!C18+Model!D18+Model!E18+Model!F18+Model!G18+Model!H18+Model!I18+Model!J18+Model!K18</f>
        <v>-555750</v>
      </c>
      <c r="C14" s="8">
        <f>Model!L18+Model!M18+Model!N18+Model!O18+Model!P18+Model!Q18+Model!R18+Model!S18+Model!T18+Model!U18+Model!V18+Model!W18</f>
        <v>-741000</v>
      </c>
      <c r="D14" s="8">
        <f>Model!X18+Model!Y18+Model!Z18+Model!AA18+Model!AB18+Model!AC18+Model!AD18+Model!AE18+Model!AF18+Model!AG18+Model!AH18+Model!AI18</f>
        <v>-741000</v>
      </c>
      <c r="E14" s="8">
        <f>Model!AJ18+Model!AK18+Model!AL18+Model!AM18+Model!AN18+Model!AO18+Model!AP18+Model!AQ18+Model!AR18+Model!AS18+Model!AT18+Model!AU18</f>
        <v>-741000</v>
      </c>
      <c r="F14" s="8">
        <f>Model!AV18+Model!AW18+Model!AX18+Model!AY18+Model!AZ18+Model!BA18+Model!BB18+Model!BC18+Model!BD18+Model!BE18+Model!BF18+Model!BG18</f>
        <v>-741000</v>
      </c>
      <c r="G14" s="8">
        <f>Model!BH18+Model!BI18+Model!BJ18+Model!BK18+Model!BL18+Model!BM18+Model!BN18+Model!BO18+Model!BP18+Model!BQ18+Model!BR18+Model!BS18</f>
        <v>-741000</v>
      </c>
      <c r="H14" s="8">
        <f>Model!BT18+Model!BU18+Model!BV18+Model!BW18+Model!BX18+Model!BY18+Model!BZ18+Model!CA18+Model!CB18+Model!CC18+Model!CD18+Model!CE18</f>
        <v>-741000</v>
      </c>
      <c r="I14" s="8">
        <f>Model!CF18+Model!CG18+Model!CH18</f>
        <v>-185250</v>
      </c>
    </row>
    <row r="15" spans="1:9" ht="15" customHeight="1" x14ac:dyDescent="0.25">
      <c r="A15" s="9" t="s">
        <v>86</v>
      </c>
      <c r="B15" s="10">
        <f>Model!C39+Model!D39+Model!E39+Model!F39+Model!G39+Model!H39+Model!I39+Model!J39+Model!K39</f>
        <v>-4166758.0941999997</v>
      </c>
      <c r="C15" s="10">
        <f>Model!L39+Model!M39+Model!N39+Model!O39+Model!P39+Model!Q39+Model!R39+Model!S39+Model!T39+Model!U39+Model!V39+Model!W39</f>
        <v>-6257671.407999998</v>
      </c>
      <c r="D15" s="10">
        <f>Model!X39+Model!Y39+Model!Z39+Model!AA39+Model!AB39+Model!AC39+Model!AD39+Model!AE39+Model!AF39+Model!AG39+Model!AH39+Model!AI39</f>
        <v>-6138439.8670599982</v>
      </c>
      <c r="E15" s="10">
        <f>Model!AJ39+Model!AK39+Model!AL39+Model!AM39+Model!AN39+Model!AO39+Model!AP39+Model!AQ39+Model!AR39+Model!AS39+Model!AT39+Model!AU39</f>
        <v>-4802485.5300012007</v>
      </c>
      <c r="F15" s="10">
        <f>Model!AV39+Model!AW39+Model!AX39+Model!AY39+Model!AZ39+Model!BA39+Model!BB39+Model!BC39+Model!BD39+Model!BE39+Model!BF39+Model!BG39</f>
        <v>-4810718.1570012225</v>
      </c>
      <c r="G15" s="10">
        <f>Model!BH39+Model!BI39+Model!BJ39+Model!BK39+Model!BL39+Model!BM39+Model!BN39+Model!BO39+Model!BP39+Model!BQ39+Model!BR39+Model!BS39</f>
        <v>-4819115.43654125</v>
      </c>
      <c r="H15" s="10">
        <f>Model!BT39+Model!BU39+Model!BV39+Model!BW39+Model!BX39+Model!BY39+Model!BZ39+Model!CA39+Model!CB39+Model!CC39+Model!CD39+Model!CE39</f>
        <v>-4827680.6616720725</v>
      </c>
      <c r="I15" s="10">
        <f>Model!CF39+Model!CG39+Model!CH39</f>
        <v>-1207458.1290653977</v>
      </c>
    </row>
    <row r="16" spans="1:9" ht="15" customHeight="1" x14ac:dyDescent="0.25">
      <c r="A16" s="13" t="s">
        <v>87</v>
      </c>
      <c r="B16" s="14">
        <f>Model!C41+Model!D41+Model!E41+Model!F41+Model!G41+Model!H41+Model!I41+Model!J41+Model!K41</f>
        <v>2445001.9348878455</v>
      </c>
      <c r="C16" s="14">
        <f>Model!L41+Model!M41+Model!N41+Model!O41+Model!P41+Model!Q41+Model!R41+Model!S41+Model!T41+Model!U41+Model!V41+Model!W41</f>
        <v>3429752.8917354024</v>
      </c>
      <c r="D16" s="14">
        <f>Model!X41+Model!Y41+Model!Z41+Model!AA41+Model!AB41+Model!AC41+Model!AD41+Model!AE41+Model!AF41+Model!AG41+Model!AH41+Model!AI41</f>
        <v>1202064.7334884938</v>
      </c>
      <c r="E16" s="14">
        <f>Model!AJ41+Model!AK41+Model!AL41+Model!AM41+Model!AN41+Model!AO41+Model!AP41+Model!AQ41+Model!AR41+Model!AS41+Model!AT41+Model!AU41</f>
        <v>-977474.18291381211</v>
      </c>
      <c r="F16" s="14">
        <f>Model!AV41+Model!AW41+Model!AX41+Model!AY41+Model!AZ41+Model!BA41+Model!BB41+Model!BC41+Model!BD41+Model!BE41+Model!BF41+Model!BG41</f>
        <v>-3026913.843271248</v>
      </c>
      <c r="G16" s="14">
        <f>Model!BH41+Model!BI41+Model!BJ41+Model!BK41+Model!BL41+Model!BM41+Model!BN41+Model!BO41+Model!BP41+Model!BQ41+Model!BR41+Model!BS41</f>
        <v>-4819115.43654125</v>
      </c>
      <c r="H16" s="14">
        <f>Model!BT41+Model!BU41+Model!BV41+Model!BW41+Model!BX41+Model!BY41+Model!BZ41+Model!CA41+Model!CB41+Model!CC41+Model!CD41+Model!CE41</f>
        <v>-4827680.6616720725</v>
      </c>
      <c r="I16" s="14">
        <f>Model!CF41+Model!CG41+Model!CH41</f>
        <v>-1207458.1290653977</v>
      </c>
    </row>
    <row r="17" spans="1:9" ht="15" customHeight="1" x14ac:dyDescent="0.25">
      <c r="A17" s="7" t="s">
        <v>88</v>
      </c>
      <c r="B17" s="15">
        <f>IF((Model!C12+Model!D12+Model!E12+Model!F12+Model!G12+Model!H12+Model!I12+Model!J12+Model!K12)&lt;&gt;0,(Model!C41+Model!D41+Model!E41+Model!F41+Model!G41+Model!H41+Model!I41+Model!J41+Model!K41)/(Model!C12+Model!D12+Model!E12+Model!F12+Model!G12+Model!H12+Model!I12+Model!J12+Model!K12),0)</f>
        <v>0.36979592788172572</v>
      </c>
      <c r="C17" s="15">
        <f>IF((Model!L12+Model!M12+Model!N12+Model!O12+Model!P12+Model!Q12+Model!R12+Model!S12+Model!T12+Model!U12+Model!V12+Model!W12)&lt;&gt;0,(Model!L41+Model!M41+Model!N41+Model!O41+Model!P41+Model!Q41+Model!R41+Model!S41+Model!T41+Model!U41+Model!V41+Model!W41)/(Model!L12+Model!M12+Model!N12+Model!O12+Model!P12+Model!Q12+Model!R12+Model!S12+Model!T12+Model!U12+Model!V12+Model!W12),0)</f>
        <v>0.35404177473976045</v>
      </c>
      <c r="D17" s="15">
        <f>IF((Model!X12+Model!Y12+Model!Z12+Model!AA12+Model!AB12+Model!AC12+Model!AD12+Model!AE12+Model!AF12+Model!AG12+Model!AH12+Model!AI12)&lt;&gt;0,(Model!X41+Model!Y41+Model!Z41+Model!AA41+Model!AB41+Model!AC41+Model!AD41+Model!AE41+Model!AF41+Model!AG41+Model!AH41+Model!AI41)/(Model!X12+Model!Y12+Model!Z12+Model!AA12+Model!AB12+Model!AC12+Model!AD12+Model!AE12+Model!AF12+Model!AG12+Model!AH12+Model!AI12),0)</f>
        <v>0.16375777945819608</v>
      </c>
      <c r="E17" s="15">
        <f>IF((Model!AJ12+Model!AK12+Model!AL12+Model!AM12+Model!AN12+Model!AO12+Model!AP12+Model!AQ12+Model!AR12+Model!AS12+Model!AT12+Model!AU12)&lt;&gt;0,(Model!AJ41+Model!AK41+Model!AL41+Model!AM41+Model!AN41+Model!AO41+Model!AP41+Model!AQ41+Model!AR41+Model!AS41+Model!AT41+Model!AU41)/(Model!AJ12+Model!AK12+Model!AL12+Model!AM12+Model!AN12+Model!AO12+Model!AP12+Model!AQ12+Model!AR12+Model!AS12+Model!AT12+Model!AU12),0)</f>
        <v>-0.25554804789223029</v>
      </c>
      <c r="F17" s="15">
        <f>IF((Model!AV12+Model!AW12+Model!AX12+Model!AY12+Model!AZ12+Model!BA12+Model!BB12+Model!BC12+Model!BD12+Model!BE12+Model!BF12+Model!BG12)&lt;&gt;0,(Model!AV41+Model!AW41+Model!AX41+Model!AY41+Model!AZ41+Model!BA41+Model!BB41+Model!BC41+Model!BD41+Model!BE41+Model!BF41+Model!BG41)/(Model!AV12+Model!AW12+Model!AX12+Model!AY12+Model!AZ12+Model!BA12+Model!BB12+Model!BC12+Model!BD12+Model!BE12+Model!BF12+Model!BG12),0)</f>
        <v>-1.6968867156408547</v>
      </c>
      <c r="G17" s="15">
        <f>IF((Model!BH12+Model!BI12+Model!BJ12+Model!BK12+Model!BL12+Model!BM12+Model!BN12+Model!BO12+Model!BP12+Model!BQ12+Model!BR12+Model!BS12)&lt;&gt;0,(Model!BH41+Model!BI41+Model!BJ41+Model!BK41+Model!BL41+Model!BM41+Model!BN41+Model!BO41+Model!BP41+Model!BQ41+Model!BR41+Model!BS41)/(Model!BH12+Model!BI12+Model!BJ12+Model!BK12+Model!BL12+Model!BM12+Model!BN12+Model!BO12+Model!BP12+Model!BQ12+Model!BR12+Model!BS12),0)</f>
        <v>0</v>
      </c>
      <c r="H17" s="15">
        <f>IF((Model!BT12+Model!BU12+Model!BV12+Model!BW12+Model!BX12+Model!BY12+Model!BZ12+Model!CA12+Model!CB12+Model!CC12+Model!CD12+Model!CE12)&lt;&gt;0,(Model!BT41+Model!BU41+Model!BV41+Model!BW41+Model!BX41+Model!BY41+Model!BZ41+Model!CA41+Model!CB41+Model!CC41+Model!CD41+Model!CE41)/(Model!BT12+Model!BU12+Model!BV12+Model!BW12+Model!BX12+Model!BY12+Model!BZ12+Model!CA12+Model!CB12+Model!CC12+Model!CD12+Model!CE12),0)</f>
        <v>0</v>
      </c>
      <c r="I17" s="15">
        <f>IF((Model!CF12+Model!CG12+Model!CH12)&lt;&gt;0,(Model!CF41+Model!CG41+Model!CH41)/(Model!CF12+Model!CG12+Model!CH12),0)</f>
        <v>0</v>
      </c>
    </row>
    <row r="18" spans="1:9" ht="15" customHeight="1" x14ac:dyDescent="0.25">
      <c r="A18" s="1"/>
      <c r="B18" s="11"/>
      <c r="C18" s="11"/>
      <c r="D18" s="11"/>
      <c r="E18" s="11"/>
      <c r="F18" s="11"/>
      <c r="G18" s="11"/>
      <c r="H18" s="11"/>
      <c r="I18" s="1"/>
    </row>
    <row r="19" spans="1:9" ht="15" customHeight="1" x14ac:dyDescent="0.25">
      <c r="A19" s="16" t="s">
        <v>89</v>
      </c>
      <c r="B19" s="17">
        <f>Model!C64+Model!D64+Model!E64+Model!F64+Model!G64+Model!H64+Model!I64+Model!J64+Model!K64</f>
        <v>370447.9</v>
      </c>
      <c r="C19" s="17">
        <f>Model!L64+Model!M64+Model!N64+Model!O64+Model!P64+Model!Q64+Model!R64+Model!S64+Model!T64+Model!U64+Model!V64+Model!W64</f>
        <v>314812.5</v>
      </c>
      <c r="D19" s="17">
        <f>Model!X64+Model!Y64+Model!Z64+Model!AA64+Model!AB64+Model!AC64+Model!AD64+Model!AE64+Model!AF64+Model!AG64+Model!AH64+Model!AI64</f>
        <v>200250</v>
      </c>
      <c r="E19" s="17">
        <f>Model!AJ64+Model!AK64+Model!AL64+Model!AM64+Model!AN64+Model!AO64+Model!AP64+Model!AQ64+Model!AR64+Model!AS64+Model!AT64+Model!AU64</f>
        <v>163365</v>
      </c>
      <c r="F19" s="17">
        <f>Model!AV64+Model!AW64+Model!AX64+Model!AY64+Model!AZ64+Model!BA64+Model!BB64+Model!BC64+Model!BD64+Model!BE64+Model!BF64+Model!BG64</f>
        <v>1276957</v>
      </c>
      <c r="G19" s="17">
        <f>Model!BH64+Model!BI64+Model!BJ64+Model!BK64+Model!BL64+Model!BM64+Model!BN64+Model!BO64+Model!BP64+Model!BQ64+Model!BR64+Model!BS64</f>
        <v>546560</v>
      </c>
      <c r="H19" s="17">
        <f>Model!BT64+Model!BU64+Model!BV64+Model!BW64+Model!BX64+Model!BY64+Model!BZ64+Model!CA64+Model!CB64+Model!CC64+Model!CD64+Model!CE64</f>
        <v>819993</v>
      </c>
      <c r="I19" s="17">
        <f>Model!CF64+Model!CG64+Model!CH64</f>
        <v>231016</v>
      </c>
    </row>
    <row r="20" spans="1:9" ht="15" customHeight="1" x14ac:dyDescent="0.25">
      <c r="A20" s="7" t="s">
        <v>90</v>
      </c>
      <c r="B20" s="8">
        <f>Model!C85+Model!D85+Model!E85+Model!F85+Model!G85+Model!H85+Model!I85+Model!J85+Model!K85</f>
        <v>-1033924.9999999999</v>
      </c>
      <c r="C20" s="8">
        <f>Model!L85+Model!M85+Model!N85+Model!O85+Model!P85+Model!Q85+Model!R85+Model!S85+Model!T85+Model!U85+Model!V85+Model!W85</f>
        <v>-1368146.0000000002</v>
      </c>
      <c r="D20" s="8">
        <f>Model!X85+Model!Y85+Model!Z85+Model!AA85+Model!AB85+Model!AC85+Model!AD85+Model!AE85+Model!AF85+Model!AG85+Model!AH85+Model!AI85</f>
        <v>-1373598.9200000002</v>
      </c>
      <c r="E20" s="8">
        <f>Model!AJ85+Model!AK85+Model!AL85+Model!AM85+Model!AN85+Model!AO85+Model!AP85+Model!AQ85+Model!AR85+Model!AS85+Model!AT85+Model!AU85</f>
        <v>-1542525.8983999998</v>
      </c>
      <c r="F20" s="8">
        <f>Model!AV85+Model!AW85+Model!AX85+Model!AY85+Model!AZ85+Model!BA85+Model!BB85+Model!BC85+Model!BD85+Model!BE85+Model!BF85+Model!BG85</f>
        <v>-2661791.1163680004</v>
      </c>
      <c r="G20" s="8">
        <f>Model!BH85+Model!BI85+Model!BJ85+Model!BK85+Model!BL85+Model!BM85+Model!BN85+Model!BO85+Model!BP85+Model!BQ85+Model!BR85+Model!BS85</f>
        <v>-1817905.2786953603</v>
      </c>
      <c r="H20" s="8">
        <f>Model!BT85+Model!BU85+Model!BV85+Model!BW85+Model!BX85+Model!BY85+Model!BZ85+Model!CA85+Model!CB85+Model!CC85+Model!CD85+Model!CE85</f>
        <v>-1927994.2146692672</v>
      </c>
      <c r="I20" s="8">
        <f>Model!CF85+Model!CG85+Model!CH85</f>
        <v>-484961.68511423119</v>
      </c>
    </row>
    <row r="21" spans="1:9" ht="15" customHeight="1" x14ac:dyDescent="0.25">
      <c r="A21" s="13" t="s">
        <v>91</v>
      </c>
      <c r="B21" s="14">
        <f>Model!C87+Model!D87+Model!E87+Model!F87+Model!G87+Model!H87+Model!I87+Model!J87+Model!K87</f>
        <v>-663477.1</v>
      </c>
      <c r="C21" s="14">
        <f>Model!L87+Model!M87+Model!N87+Model!O87+Model!P87+Model!Q87+Model!R87+Model!S87+Model!T87+Model!U87+Model!V87+Model!W87</f>
        <v>-1053333.5</v>
      </c>
      <c r="D21" s="14">
        <f>Model!X87+Model!Y87+Model!Z87+Model!AA87+Model!AB87+Model!AC87+Model!AD87+Model!AE87+Model!AF87+Model!AG87+Model!AH87+Model!AI87</f>
        <v>-1173348.9200000002</v>
      </c>
      <c r="E21" s="14">
        <f>Model!AJ87+Model!AK87+Model!AL87+Model!AM87+Model!AN87+Model!AO87+Model!AP87+Model!AQ87+Model!AR87+Model!AS87+Model!AT87+Model!AU87</f>
        <v>-1379160.8983999998</v>
      </c>
      <c r="F21" s="14">
        <f>Model!AV87+Model!AW87+Model!AX87+Model!AY87+Model!AZ87+Model!BA87+Model!BB87+Model!BC87+Model!BD87+Model!BE87+Model!BF87+Model!BG87</f>
        <v>-1384834.1163679999</v>
      </c>
      <c r="G21" s="14">
        <f>Model!BH87+Model!BI87+Model!BJ87+Model!BK87+Model!BL87+Model!BM87+Model!BN87+Model!BO87+Model!BP87+Model!BQ87+Model!BR87+Model!BS87</f>
        <v>-1271345.2786953603</v>
      </c>
      <c r="H21" s="14">
        <f>Model!BT87+Model!BU87+Model!BV87+Model!BW87+Model!BX87+Model!BY87+Model!BZ87+Model!CA87+Model!CB87+Model!CC87+Model!CD87+Model!CE87</f>
        <v>-1108001.2146692672</v>
      </c>
      <c r="I21" s="14">
        <f>Model!CF87+Model!CG87+Model!CH87</f>
        <v>-253945.68511423119</v>
      </c>
    </row>
    <row r="22" spans="1:9" ht="15" customHeight="1" x14ac:dyDescent="0.25">
      <c r="A22" s="1"/>
      <c r="B22" s="11"/>
      <c r="C22" s="11"/>
      <c r="D22" s="11"/>
      <c r="E22" s="11"/>
      <c r="F22" s="11"/>
      <c r="G22" s="11"/>
      <c r="H22" s="11"/>
      <c r="I22" s="1"/>
    </row>
    <row r="23" spans="1:9" ht="15" customHeight="1" x14ac:dyDescent="0.25">
      <c r="A23" s="13" t="s">
        <v>92</v>
      </c>
      <c r="B23" s="14">
        <f>Model!C96+Model!D96+Model!E96+Model!F96+Model!G96+Model!H96+Model!I96+Model!J96+Model!K96</f>
        <v>1781524.8348878459</v>
      </c>
      <c r="C23" s="14">
        <f>Model!L96+Model!M96+Model!N96+Model!O96+Model!P96+Model!Q96+Model!R96+Model!S96+Model!T96+Model!U96+Model!V96+Model!W96</f>
        <v>2376419.3917354024</v>
      </c>
      <c r="D23" s="14">
        <f>Model!X96+Model!Y96+Model!Z96+Model!AA96+Model!AB96+Model!AC96+Model!AD96+Model!AE96+Model!AF96+Model!AG96+Model!AH96+Model!AI96</f>
        <v>28715.813488493499</v>
      </c>
      <c r="E23" s="14">
        <f>Model!AJ96+Model!AK96+Model!AL96+Model!AM96+Model!AN96+Model!AO96+Model!AP96+Model!AQ96+Model!AR96+Model!AS96+Model!AT96+Model!AU96</f>
        <v>-2356635.0813138122</v>
      </c>
      <c r="F23" s="14">
        <f>Model!AV96+Model!AW96+Model!AX96+Model!AY96+Model!AZ96+Model!BA96+Model!BB96+Model!BC96+Model!BD96+Model!BE96+Model!BF96+Model!BG96</f>
        <v>-4411747.9596392475</v>
      </c>
      <c r="G23" s="14">
        <f>Model!BH96+Model!BI96+Model!BJ96+Model!BK96+Model!BL96+Model!BM96+Model!BN96+Model!BO96+Model!BP96+Model!BQ96+Model!BR96+Model!BS96</f>
        <v>-6090460.7152366089</v>
      </c>
      <c r="H23" s="14">
        <f>Model!BT96+Model!BU96+Model!BV96+Model!BW96+Model!BX96+Model!BY96+Model!BZ96+Model!CA96+Model!CB96+Model!CC96+Model!CD96+Model!CE96</f>
        <v>-5935681.8763413401</v>
      </c>
      <c r="I23" s="14">
        <f>Model!CF96+Model!CG96+Model!CH96</f>
        <v>-1461403.8141796291</v>
      </c>
    </row>
    <row r="24" spans="1:9" ht="15" customHeight="1" x14ac:dyDescent="0.25">
      <c r="A24" s="1"/>
      <c r="B24" s="11"/>
      <c r="C24" s="11"/>
      <c r="D24" s="11"/>
      <c r="E24" s="11"/>
      <c r="F24" s="11"/>
      <c r="G24" s="11"/>
      <c r="H24" s="11"/>
      <c r="I24" s="1"/>
    </row>
    <row r="25" spans="1:9" ht="15" customHeight="1" x14ac:dyDescent="0.25">
      <c r="A25" s="6" t="s">
        <v>93</v>
      </c>
      <c r="B25" s="12"/>
      <c r="C25" s="12"/>
      <c r="D25" s="12"/>
      <c r="E25" s="12"/>
      <c r="F25" s="12"/>
      <c r="G25" s="12"/>
      <c r="H25" s="12"/>
      <c r="I25" s="6"/>
    </row>
    <row r="26" spans="1:9" ht="15" customHeight="1" x14ac:dyDescent="0.25">
      <c r="A26" s="7" t="s">
        <v>94</v>
      </c>
      <c r="B26" s="8">
        <f>Model!C80+Model!D80+Model!E80+Model!F80+Model!G80+Model!H80+Model!I80+Model!J80+Model!K80</f>
        <v>0</v>
      </c>
      <c r="C26" s="8">
        <f>Model!L80+Model!M80+Model!N80+Model!O80+Model!P80+Model!Q80+Model!R80+Model!S80+Model!T80+Model!U80+Model!V80+Model!W80</f>
        <v>0</v>
      </c>
      <c r="D26" s="8">
        <f>Model!X80+Model!Y80+Model!Z80+Model!AA80+Model!AB80+Model!AC80+Model!AD80+Model!AE80+Model!AF80+Model!AG80+Model!AH80+Model!AI80</f>
        <v>0</v>
      </c>
      <c r="E26" s="8">
        <f>Model!AJ80+Model!AK80+Model!AL80+Model!AM80+Model!AN80+Model!AO80+Model!AP80+Model!AQ80+Model!AR80+Model!AS80+Model!AT80+Model!AU80</f>
        <v>0</v>
      </c>
      <c r="F26" s="8">
        <f>Model!AV80+Model!AW80+Model!AX80+Model!AY80+Model!AZ80+Model!BA80+Model!BB80+Model!BC80+Model!BD80+Model!BE80+Model!BF80+Model!BG80</f>
        <v>0</v>
      </c>
      <c r="G26" s="8">
        <f>Model!BH80+Model!BI80+Model!BJ80+Model!BK80+Model!BL80+Model!BM80+Model!BN80+Model!BO80+Model!BP80+Model!BQ80+Model!BR80+Model!BS80</f>
        <v>0</v>
      </c>
      <c r="H26" s="8">
        <f>Model!BT80+Model!BU80+Model!BV80+Model!BW80+Model!BX80+Model!BY80+Model!BZ80+Model!CA80+Model!CB80+Model!CC80+Model!CD80+Model!CE80</f>
        <v>0</v>
      </c>
      <c r="I26" s="8">
        <f>Model!CF80+Model!CG80+Model!CH80</f>
        <v>0</v>
      </c>
    </row>
    <row r="27" spans="1:9" ht="15" customHeight="1" x14ac:dyDescent="0.25">
      <c r="A27" s="7" t="s">
        <v>95</v>
      </c>
      <c r="B27" s="8">
        <f>Model!C81+Model!D81+Model!E81+Model!F81+Model!G81+Model!H81+Model!I81+Model!J81+Model!K81</f>
        <v>0</v>
      </c>
      <c r="C27" s="8">
        <f>Model!L81+Model!M81+Model!N81+Model!O81+Model!P81+Model!Q81+Model!R81+Model!S81+Model!T81+Model!U81+Model!V81+Model!W81</f>
        <v>0</v>
      </c>
      <c r="D27" s="8">
        <f>Model!X81+Model!Y81+Model!Z81+Model!AA81+Model!AB81+Model!AC81+Model!AD81+Model!AE81+Model!AF81+Model!AG81+Model!AH81+Model!AI81</f>
        <v>0</v>
      </c>
      <c r="E27" s="8">
        <f>Model!AJ81+Model!AK81+Model!AL81+Model!AM81+Model!AN81+Model!AO81+Model!AP81+Model!AQ81+Model!AR81+Model!AS81+Model!AT81+Model!AU81</f>
        <v>0</v>
      </c>
      <c r="F27" s="8">
        <f>Model!AV81+Model!AW81+Model!AX81+Model!AY81+Model!AZ81+Model!BA81+Model!BB81+Model!BC81+Model!BD81+Model!BE81+Model!BF81+Model!BG81</f>
        <v>0</v>
      </c>
      <c r="G27" s="8">
        <f>Model!BH81+Model!BI81+Model!BJ81+Model!BK81+Model!BL81+Model!BM81+Model!BN81+Model!BO81+Model!BP81+Model!BQ81+Model!BR81+Model!BS81</f>
        <v>0</v>
      </c>
      <c r="H27" s="8">
        <f>Model!BT81+Model!BU81+Model!BV81+Model!BW81+Model!BX81+Model!BY81+Model!BZ81+Model!CA81+Model!CB81+Model!CC81+Model!CD81+Model!CE81</f>
        <v>0</v>
      </c>
      <c r="I27" s="8">
        <f>Model!CF81+Model!CG81+Model!CH81</f>
        <v>0</v>
      </c>
    </row>
    <row r="28" spans="1:9" ht="15" customHeight="1" x14ac:dyDescent="0.25">
      <c r="A28" s="7" t="s">
        <v>96</v>
      </c>
      <c r="B28" s="8">
        <f>Model!C82+Model!D82+Model!E82+Model!F82+Model!G82+Model!H82+Model!I82+Model!J82+Model!K82</f>
        <v>0</v>
      </c>
      <c r="C28" s="8">
        <f>Model!L82+Model!M82+Model!N82+Model!O82+Model!P82+Model!Q82+Model!R82+Model!S82+Model!T82+Model!U82+Model!V82+Model!W82</f>
        <v>0</v>
      </c>
      <c r="D28" s="8">
        <f>Model!X82+Model!Y82+Model!Z82+Model!AA82+Model!AB82+Model!AC82+Model!AD82+Model!AE82+Model!AF82+Model!AG82+Model!AH82+Model!AI82</f>
        <v>0</v>
      </c>
      <c r="E28" s="8">
        <f>Model!AJ82+Model!AK82+Model!AL82+Model!AM82+Model!AN82+Model!AO82+Model!AP82+Model!AQ82+Model!AR82+Model!AS82+Model!AT82+Model!AU82</f>
        <v>-163365</v>
      </c>
      <c r="F28" s="8">
        <f>Model!AV82+Model!AW82+Model!AX82+Model!AY82+Model!AZ82+Model!BA82+Model!BB82+Model!BC82+Model!BD82+Model!BE82+Model!BF82+Model!BG82</f>
        <v>-281718</v>
      </c>
      <c r="G28" s="8">
        <f>Model!BH82+Model!BI82+Model!BJ82+Model!BK82+Model!BL82+Model!BM82+Model!BN82+Model!BO82+Model!BP82+Model!BQ82+Model!BR82+Model!BS82</f>
        <v>-134601.47999999998</v>
      </c>
      <c r="H28" s="8">
        <f>Model!BT82+Model!BU82+Model!BV82+Model!BW82+Model!BX82+Model!BY82+Model!BZ82+Model!CA82+Model!CB82+Model!CC82+Model!CD82+Model!CE82</f>
        <v>0</v>
      </c>
      <c r="I28" s="8">
        <f>Model!CF82+Model!CG82+Model!CH82</f>
        <v>0</v>
      </c>
    </row>
    <row r="29" spans="1:9" ht="15" customHeight="1" x14ac:dyDescent="0.25">
      <c r="A29" s="7" t="s">
        <v>97</v>
      </c>
      <c r="B29" s="8">
        <f>Model!C83+Model!D83+Model!E83+Model!F83+Model!G83+Model!H83+Model!I83+Model!J83+Model!K83</f>
        <v>0</v>
      </c>
      <c r="C29" s="8">
        <f>Model!L83+Model!M83+Model!N83+Model!O83+Model!P83+Model!Q83+Model!R83+Model!S83+Model!T83+Model!U83+Model!V83+Model!W83</f>
        <v>0</v>
      </c>
      <c r="D29" s="8">
        <f>Model!X83+Model!Y83+Model!Z83+Model!AA83+Model!AB83+Model!AC83+Model!AD83+Model!AE83+Model!AF83+Model!AG83+Model!AH83+Model!AI83</f>
        <v>0</v>
      </c>
      <c r="E29" s="8">
        <f>Model!AJ83+Model!AK83+Model!AL83+Model!AM83+Model!AN83+Model!AO83+Model!AP83+Model!AQ83+Model!AR83+Model!AS83+Model!AT83+Model!AU83</f>
        <v>0</v>
      </c>
      <c r="F29" s="8">
        <f>Model!AV83+Model!AW83+Model!AX83+Model!AY83+Model!AZ83+Model!BA83+Model!BB83+Model!BC83+Model!BD83+Model!BE83+Model!BF83+Model!BG83</f>
        <v>-995239</v>
      </c>
      <c r="G29" s="8">
        <f>Model!BH83+Model!BI83+Model!BJ83+Model!BK83+Model!BL83+Model!BM83+Model!BN83+Model!BO83+Model!BP83+Model!BQ83+Model!BR83+Model!BS83</f>
        <v>-292683</v>
      </c>
      <c r="H29" s="8">
        <f>Model!BT83+Model!BU83+Model!BV83+Model!BW83+Model!BX83+Model!BY83+Model!BZ83+Model!CA83+Model!CB83+Model!CC83+Model!CD83+Model!CE83</f>
        <v>-312005</v>
      </c>
      <c r="I29" s="8">
        <f>Model!CF83+Model!CG83+Model!CH83</f>
        <v>-74753.973393520777</v>
      </c>
    </row>
    <row r="30" spans="1:9" ht="15" customHeight="1" x14ac:dyDescent="0.25">
      <c r="A30" s="7" t="s">
        <v>98</v>
      </c>
      <c r="B30" s="8">
        <f>Model!C84+Model!D84+Model!E84+Model!F84+Model!G84+Model!H84+Model!I84+Model!J84+Model!K84</f>
        <v>0</v>
      </c>
      <c r="C30" s="8">
        <f>Model!L84+Model!M84+Model!N84+Model!O84+Model!P84+Model!Q84+Model!R84+Model!S84+Model!T84+Model!U84+Model!V84+Model!W84</f>
        <v>0</v>
      </c>
      <c r="D30" s="8">
        <f>Model!X84+Model!Y84+Model!Z84+Model!AA84+Model!AB84+Model!AC84+Model!AD84+Model!AE84+Model!AF84+Model!AG84+Model!AH84+Model!AI84</f>
        <v>0</v>
      </c>
      <c r="E30" s="8">
        <f>Model!AJ84+Model!AK84+Model!AL84+Model!AM84+Model!AN84+Model!AO84+Model!AP84+Model!AQ84+Model!AR84+Model!AS84+Model!AT84+Model!AU84</f>
        <v>0</v>
      </c>
      <c r="F30" s="8">
        <f>Model!AV84+Model!AW84+Model!AX84+Model!AY84+Model!AZ84+Model!BA84+Model!BB84+Model!BC84+Model!BD84+Model!BE84+Model!BF84+Model!BG84</f>
        <v>0</v>
      </c>
      <c r="G30" s="8">
        <f>Model!BH84+Model!BI84+Model!BJ84+Model!BK84+Model!BL84+Model!BM84+Model!BN84+Model!BO84+Model!BP84+Model!BQ84+Model!BR84+Model!BS84</f>
        <v>0</v>
      </c>
      <c r="H30" s="8">
        <f>Model!BT84+Model!BU84+Model!BV84+Model!BW84+Model!BX84+Model!BY84+Model!BZ84+Model!CA84+Model!CB84+Model!CC84+Model!CD84+Model!CE84</f>
        <v>-219466</v>
      </c>
      <c r="I30" s="8">
        <f>Model!CF84+Model!CG84+Model!CH84</f>
        <v>-73155</v>
      </c>
    </row>
    <row r="31" spans="1:9" ht="15" customHeight="1" x14ac:dyDescent="0.25">
      <c r="A31" s="1"/>
      <c r="B31" s="11"/>
      <c r="C31" s="11"/>
      <c r="D31" s="11"/>
      <c r="E31" s="11"/>
      <c r="F31" s="11"/>
      <c r="G31" s="11"/>
      <c r="H31" s="11"/>
      <c r="I31" s="1"/>
    </row>
    <row r="32" spans="1:9" ht="15" customHeight="1" x14ac:dyDescent="0.25">
      <c r="A32" s="6" t="s">
        <v>99</v>
      </c>
      <c r="B32" s="12"/>
      <c r="C32" s="12"/>
      <c r="D32" s="12"/>
      <c r="E32" s="12"/>
      <c r="F32" s="12"/>
      <c r="G32" s="12"/>
      <c r="H32" s="12"/>
      <c r="I32" s="6"/>
    </row>
    <row r="33" spans="1:9" ht="15" customHeight="1" x14ac:dyDescent="0.25">
      <c r="A33" s="7" t="s">
        <v>100</v>
      </c>
      <c r="B33" s="8">
        <f>Model!C101+Model!D101+Model!E101+Model!F101+Model!G101+Model!H101+Model!I101+Model!J101+Model!K101</f>
        <v>-390000</v>
      </c>
      <c r="C33" s="8">
        <f>Model!L101+Model!M101+Model!N101+Model!O101+Model!P101+Model!Q101+Model!R101+Model!S101+Model!T101+Model!U101+Model!V101+Model!W101</f>
        <v>-1495969.243285445</v>
      </c>
      <c r="D33" s="8">
        <f>Model!X101+Model!Y101+Model!Z101+Model!AA101+Model!AB101+Model!AC101+Model!AD101+Model!AE101+Model!AF101+Model!AG101+Model!AH101+Model!AI101</f>
        <v>0</v>
      </c>
      <c r="E33" s="8">
        <f>Model!AJ101+Model!AK101+Model!AL101+Model!AM101+Model!AN101+Model!AO101+Model!AP101+Model!AQ101+Model!AR101+Model!AS101+Model!AT101+Model!AU101</f>
        <v>0</v>
      </c>
      <c r="F33" s="8">
        <f>Model!AV101+Model!AW101+Model!AX101+Model!AY101+Model!AZ101+Model!BA101+Model!BB101+Model!BC101+Model!BD101+Model!BE101+Model!BF101+Model!BG101</f>
        <v>0</v>
      </c>
      <c r="G33" s="8">
        <f>Model!BH101+Model!BI101+Model!BJ101+Model!BK101+Model!BL101+Model!BM101+Model!BN101+Model!BO101+Model!BP101+Model!BQ101+Model!BR101+Model!BS101</f>
        <v>0</v>
      </c>
      <c r="H33" s="8">
        <f>Model!BT101+Model!BU101+Model!BV101+Model!BW101+Model!BX101+Model!BY101+Model!BZ101+Model!CA101+Model!CB101+Model!CC101+Model!CD101+Model!CE101</f>
        <v>0</v>
      </c>
      <c r="I33" s="8">
        <f>Model!CF101+Model!CG101+Model!CH101</f>
        <v>0</v>
      </c>
    </row>
    <row r="34" spans="1:9" ht="15" customHeight="1" x14ac:dyDescent="0.25">
      <c r="A34" s="7" t="s">
        <v>101</v>
      </c>
      <c r="B34" s="8">
        <f>Model!K102</f>
        <v>1404377.581435547</v>
      </c>
      <c r="C34" s="8">
        <f>Model!W102</f>
        <v>0</v>
      </c>
      <c r="D34" s="8">
        <f>Model!AI102</f>
        <v>0</v>
      </c>
      <c r="E34" s="8">
        <f>Model!AU102</f>
        <v>0</v>
      </c>
      <c r="F34" s="8">
        <f>Model!BG102</f>
        <v>0</v>
      </c>
      <c r="G34" s="8">
        <f>Model!BS102</f>
        <v>0</v>
      </c>
      <c r="H34" s="8">
        <f>Model!CE102</f>
        <v>0</v>
      </c>
      <c r="I34" s="8">
        <f>Model!CH102</f>
        <v>0</v>
      </c>
    </row>
    <row r="35" spans="1:9" ht="15" customHeight="1" x14ac:dyDescent="0.25">
      <c r="A35" s="7" t="s">
        <v>102</v>
      </c>
      <c r="B35" s="8">
        <f>Model!C107+Model!D107+Model!E107+Model!F107+Model!G107+Model!H107+Model!I107+Model!J107+Model!K107</f>
        <v>0</v>
      </c>
      <c r="C35" s="8">
        <f>Model!L107+Model!M107+Model!N107+Model!O107+Model!P107+Model!Q107+Model!R107+Model!S107+Model!T107+Model!U107+Model!V107+Model!W107</f>
        <v>-250000</v>
      </c>
      <c r="D35" s="8">
        <f>Model!X107+Model!Y107+Model!Z107+Model!AA107+Model!AB107+Model!AC107+Model!AD107+Model!AE107+Model!AF107+Model!AG107+Model!AH107+Model!AI107</f>
        <v>-250000</v>
      </c>
      <c r="E35" s="8">
        <f>Model!AJ107+Model!AK107+Model!AL107+Model!AM107+Model!AN107+Model!AO107+Model!AP107+Model!AQ107+Model!AR107+Model!AS107+Model!AT107+Model!AU107</f>
        <v>0</v>
      </c>
      <c r="F35" s="8">
        <f>Model!AV107+Model!AW107+Model!AX107+Model!AY107+Model!AZ107+Model!BA107+Model!BB107+Model!BC107+Model!BD107+Model!BE107+Model!BF107+Model!BG107</f>
        <v>0</v>
      </c>
      <c r="G35" s="8">
        <f>Model!BH107+Model!BI107+Model!BJ107+Model!BK107+Model!BL107+Model!BM107+Model!BN107+Model!BO107+Model!BP107+Model!BQ107+Model!BR107+Model!BS107</f>
        <v>0</v>
      </c>
      <c r="H35" s="8">
        <f>Model!BT107+Model!BU107+Model!BV107+Model!BW107+Model!BX107+Model!BY107+Model!BZ107+Model!CA107+Model!CB107+Model!CC107+Model!CD107+Model!CE107</f>
        <v>0</v>
      </c>
      <c r="I35" s="8">
        <f>Model!CF107+Model!CG107+Model!CH107</f>
        <v>0</v>
      </c>
    </row>
    <row r="36" spans="1:9" ht="15" customHeight="1" x14ac:dyDescent="0.25">
      <c r="A36" s="7" t="s">
        <v>103</v>
      </c>
      <c r="B36" s="8">
        <f>Model!K108</f>
        <v>1000000</v>
      </c>
      <c r="C36" s="8">
        <f>Model!W108</f>
        <v>750000</v>
      </c>
      <c r="D36" s="8">
        <f>Model!AI108</f>
        <v>500000</v>
      </c>
      <c r="E36" s="8">
        <f>Model!AU108</f>
        <v>500000</v>
      </c>
      <c r="F36" s="8">
        <f>Model!BG108</f>
        <v>500000</v>
      </c>
      <c r="G36" s="8">
        <f>Model!BS108</f>
        <v>500000</v>
      </c>
      <c r="H36" s="8">
        <f>Model!CE108</f>
        <v>500000</v>
      </c>
      <c r="I36" s="8">
        <f>Model!CH108</f>
        <v>500000</v>
      </c>
    </row>
    <row r="37" spans="1:9" ht="15" customHeight="1" x14ac:dyDescent="0.25">
      <c r="A37" s="7" t="s">
        <v>104</v>
      </c>
      <c r="B37" s="8">
        <f>Model!C155+Model!D155+Model!E155+Model!F155+Model!G155+Model!H155+Model!I155+Model!J155+Model!K155</f>
        <v>0</v>
      </c>
      <c r="C37" s="8">
        <f>Model!L155+Model!M155+Model!N155+Model!O155+Model!P155+Model!Q155+Model!R155+Model!S155+Model!T155+Model!U155+Model!V155+Model!W155</f>
        <v>0</v>
      </c>
      <c r="D37" s="8">
        <f>Model!X155+Model!Y155+Model!Z155+Model!AA155+Model!AB155+Model!AC155+Model!AD155+Model!AE155+Model!AF155+Model!AG155+Model!AH155+Model!AI155</f>
        <v>0</v>
      </c>
      <c r="E37" s="8">
        <f>Model!AJ155+Model!AK155+Model!AL155+Model!AM155+Model!AN155+Model!AO155+Model!AP155+Model!AQ155+Model!AR155+Model!AS155+Model!AT155+Model!AU155</f>
        <v>0</v>
      </c>
      <c r="F37" s="8">
        <f>Model!AV155+Model!AW155+Model!AX155+Model!AY155+Model!AZ155+Model!BA155+Model!BB155+Model!BC155+Model!BD155+Model!BE155+Model!BF155+Model!BG155</f>
        <v>0</v>
      </c>
      <c r="G37" s="8">
        <f>Model!BH155+Model!BI155+Model!BJ155+Model!BK155+Model!BL155+Model!BM155+Model!BN155+Model!BO155+Model!BP155+Model!BQ155+Model!BR155+Model!BS155</f>
        <v>0</v>
      </c>
      <c r="H37" s="8">
        <f>Model!BT155+Model!BU155+Model!BV155+Model!BW155+Model!BX155+Model!BY155+Model!BZ155+Model!CA155+Model!CB155+Model!CC155+Model!CD155+Model!CE155</f>
        <v>0</v>
      </c>
      <c r="I37" s="8">
        <f>Model!CF155+Model!CG155+Model!CH155</f>
        <v>0</v>
      </c>
    </row>
    <row r="38" spans="1:9" ht="15" customHeight="1" x14ac:dyDescent="0.25">
      <c r="A38" s="7" t="s">
        <v>105</v>
      </c>
      <c r="B38" s="8">
        <f>Model!K115+Model!K120+Model!K125+Model!K130</f>
        <v>2378399.9201831054</v>
      </c>
      <c r="C38" s="8">
        <f>Model!W115+Model!W120+Model!W125+Model!W130</f>
        <v>1714451.0986600891</v>
      </c>
      <c r="D38" s="8">
        <f>Model!AI115+Model!AI120+Model!AI125+Model!AI130</f>
        <v>1035128.5155491498</v>
      </c>
      <c r="E38" s="8">
        <f>Model!AU115+Model!AU120+Model!AU125+Model!AU130</f>
        <v>1199352.084159791</v>
      </c>
      <c r="F38" s="8">
        <f>Model!BG115+Model!BG120+Model!BG125+Model!BG130</f>
        <v>975331.49544908153</v>
      </c>
      <c r="G38" s="8">
        <f>Model!BS115+Model!BS120+Model!BS125+Model!BS130</f>
        <v>820735.28594806022</v>
      </c>
      <c r="H38" s="8">
        <f>Model!CE115+Model!CE120+Model!CE125+Model!CE130</f>
        <v>621470.38110717363</v>
      </c>
      <c r="I38" s="8">
        <f>Model!CH115+Model!CH120+Model!CH125+Model!CH130</f>
        <v>570021.54700517189</v>
      </c>
    </row>
    <row r="39" spans="1:9" ht="15" customHeight="1" x14ac:dyDescent="0.25">
      <c r="A39" s="1"/>
      <c r="B39" s="11"/>
      <c r="C39" s="11"/>
      <c r="D39" s="11"/>
      <c r="E39" s="11"/>
      <c r="F39" s="11"/>
      <c r="G39" s="11"/>
      <c r="H39" s="11"/>
      <c r="I39" s="1"/>
    </row>
    <row r="40" spans="1:9" ht="15" customHeight="1" x14ac:dyDescent="0.25">
      <c r="A40" s="7" t="s">
        <v>106</v>
      </c>
      <c r="B40" s="8">
        <f>Model!K141</f>
        <v>90239873.755658567</v>
      </c>
      <c r="C40" s="8">
        <f>Model!W141</f>
        <v>56473335.557831988</v>
      </c>
      <c r="D40" s="8">
        <f>Model!AI141</f>
        <v>46152166.879777998</v>
      </c>
      <c r="E40" s="8">
        <f>Model!AU141</f>
        <v>13258584.501624003</v>
      </c>
      <c r="F40" s="8">
        <f>Model!BG141</f>
        <v>0</v>
      </c>
      <c r="G40" s="8">
        <f>Model!BS141</f>
        <v>0</v>
      </c>
      <c r="H40" s="8">
        <f>Model!CE141</f>
        <v>0</v>
      </c>
      <c r="I40" s="8">
        <f>Model!CH141</f>
        <v>0</v>
      </c>
    </row>
    <row r="41" spans="1:9" ht="15" customHeight="1" x14ac:dyDescent="0.25">
      <c r="A41" s="1"/>
      <c r="B41" s="11"/>
      <c r="C41" s="11"/>
      <c r="D41" s="11"/>
      <c r="E41" s="11"/>
      <c r="F41" s="11"/>
      <c r="G41" s="11"/>
      <c r="H41" s="11"/>
      <c r="I41" s="1"/>
    </row>
    <row r="42" spans="1:9" ht="15" customHeight="1" x14ac:dyDescent="0.25">
      <c r="A42" s="18" t="s">
        <v>107</v>
      </c>
      <c r="B42" s="19">
        <f>Model!K148</f>
        <v>4096917.6248878459</v>
      </c>
      <c r="C42" s="19">
        <f>Model!W148</f>
        <v>7526670.5166232493</v>
      </c>
      <c r="D42" s="19">
        <f>Model!AI148</f>
        <v>8728735.2501117419</v>
      </c>
      <c r="E42" s="19">
        <f>Model!AU148</f>
        <v>7751261.0671979282</v>
      </c>
      <c r="F42" s="19">
        <f>Model!BG148</f>
        <v>4724347.2239266811</v>
      </c>
      <c r="G42" s="19">
        <f>Model!BS148</f>
        <v>-94768.212614567485</v>
      </c>
      <c r="H42" s="19">
        <f>Model!CE148</f>
        <v>-4922448.8742866395</v>
      </c>
      <c r="I42" s="19">
        <f>Model!CH148</f>
        <v>-6129907.0033520367</v>
      </c>
    </row>
    <row r="43" spans="1:9" ht="15" customHeight="1" x14ac:dyDescent="0.25">
      <c r="A43" s="18" t="s">
        <v>108</v>
      </c>
      <c r="B43" s="19">
        <f>Model!K156</f>
        <v>-601845.94000000006</v>
      </c>
      <c r="C43" s="19">
        <f>Model!W156</f>
        <v>-3401148.6832854445</v>
      </c>
      <c r="D43" s="19">
        <f>Model!AI156</f>
        <v>-4824497.603285443</v>
      </c>
      <c r="E43" s="19">
        <f>Model!AU156</f>
        <v>-6203658.5016854415</v>
      </c>
      <c r="F43" s="19">
        <f>Model!BG156</f>
        <v>-7588492.6180534428</v>
      </c>
      <c r="G43" s="19">
        <f>Model!BS156</f>
        <v>-8859837.8967488017</v>
      </c>
      <c r="H43" s="19">
        <f>Model!CE156</f>
        <v>-9967839.1114180721</v>
      </c>
      <c r="I43" s="19">
        <f>Model!CH156</f>
        <v>-10221784.796532305</v>
      </c>
    </row>
    <row r="44" spans="1:9" ht="15" customHeight="1" x14ac:dyDescent="0.25">
      <c r="A44" s="18" t="s">
        <v>109</v>
      </c>
      <c r="B44" s="19">
        <f>Model!C160+Model!D160+Model!E160+Model!F160+Model!G160+Model!H160+Model!I160+Model!J160+Model!K160</f>
        <v>0</v>
      </c>
      <c r="C44" s="19">
        <f>Model!L160+Model!M160+Model!N160+Model!O160+Model!P160+Model!Q160+Model!R160+Model!S160+Model!T160+Model!U160+Model!V160+Model!W160</f>
        <v>-534457.4504663538</v>
      </c>
      <c r="D44" s="19">
        <f>Model!X160+Model!Y160+Model!Z160+Model!AA160+Model!AB160+Model!AC160+Model!AD160+Model!AE160+Model!AF160+Model!AG160+Model!AH160+Model!AI160</f>
        <v>-712925.81752062065</v>
      </c>
      <c r="E44" s="19">
        <f>Model!AJ160+Model!AK160+Model!AL160+Model!AM160+Model!AN160+Model!AO160+Model!AP160+Model!AQ160+Model!AR160+Model!AS160+Model!AT160+Model!AU160</f>
        <v>-8614.7440465480486</v>
      </c>
      <c r="F44" s="19">
        <f>Model!AV160+Model!AW160+Model!AX160+Model!AY160+Model!AZ160+Model!BA160+Model!BB160+Model!BC160+Model!BD160+Model!BE160+Model!BF160+Model!BG160</f>
        <v>0</v>
      </c>
      <c r="G44" s="19">
        <f>Model!BH160+Model!BI160+Model!BJ160+Model!BK160+Model!BL160+Model!BM160+Model!BN160+Model!BO160+Model!BP160+Model!BQ160+Model!BR160+Model!BS160</f>
        <v>0</v>
      </c>
      <c r="H44" s="19">
        <f>Model!BT160+Model!BU160+Model!BV160+Model!BW160+Model!BX160+Model!BY160+Model!BZ160+Model!CA160+Model!CB160+Model!CC160+Model!CD160+Model!CE160</f>
        <v>0</v>
      </c>
      <c r="I44" s="19">
        <f>Model!CF160+Model!CG160+Model!CH160</f>
        <v>0</v>
      </c>
    </row>
    <row r="45" spans="1:9" ht="15" customHeight="1" x14ac:dyDescent="0.25">
      <c r="A45" s="20" t="s">
        <v>110</v>
      </c>
      <c r="B45" s="21">
        <f>Model!K161</f>
        <v>3495071.684887846</v>
      </c>
      <c r="C45" s="21">
        <f>Model!W161</f>
        <v>4125521.8333378052</v>
      </c>
      <c r="D45" s="21">
        <f>Model!AI161</f>
        <v>3904237.6468262989</v>
      </c>
      <c r="E45" s="21">
        <f>Model!AU161</f>
        <v>1547602.5655124867</v>
      </c>
      <c r="F45" s="21">
        <f>Model!BG161</f>
        <v>-2864145.3941267612</v>
      </c>
      <c r="G45" s="21">
        <f>Model!BS161</f>
        <v>-8954606.1093633678</v>
      </c>
      <c r="H45" s="21">
        <f>Model!CE161</f>
        <v>-14890287.985704713</v>
      </c>
      <c r="I45" s="21">
        <f>Model!CH161</f>
        <v>-16351691.799884342</v>
      </c>
    </row>
  </sheetData>
  <mergeCells count="1">
    <mergeCell ref="A1:E1"/>
  </mergeCells>
  <conditionalFormatting sqref="B8:I44">
    <cfRule type="cellIs" dxfId="1" priority="2" operator="lessThan">
      <formula>0</formula>
    </cfRule>
  </conditionalFormatting>
  <conditionalFormatting sqref="B3:J45">
    <cfRule type="cellIs" dxfId="0" priority="9" operator="lessThan">
      <formula>0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B1833"/>
  </sheetPr>
  <dimension ref="A1:CK170"/>
  <sheetViews>
    <sheetView zoomScaleNormal="100" workbookViewId="0">
      <pane xSplit="2" ySplit="5" topLeftCell="C118" activePane="bottomRight" state="frozen"/>
      <selection pane="topRight" activeCell="C1" sqref="C1"/>
      <selection pane="bottomLeft" activeCell="A118" sqref="A118"/>
      <selection pane="bottomRight" activeCell="F135" sqref="F135"/>
    </sheetView>
  </sheetViews>
  <sheetFormatPr defaultColWidth="8.7109375" defaultRowHeight="15" customHeight="1" x14ac:dyDescent="0.25"/>
  <cols>
    <col min="1" max="1" width="34" customWidth="1"/>
    <col min="2" max="2" width="4" customWidth="1"/>
    <col min="3" max="86" width="14" customWidth="1"/>
  </cols>
  <sheetData>
    <row r="1" spans="1:87" ht="17.25" customHeight="1" x14ac:dyDescent="0.3">
      <c r="A1" s="196" t="s">
        <v>111</v>
      </c>
      <c r="B1" s="197"/>
      <c r="C1" s="197"/>
      <c r="D1" s="197"/>
      <c r="E1" s="197"/>
      <c r="F1" s="197"/>
      <c r="G1" s="197"/>
      <c r="H1" s="197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  <c r="AE1" s="22"/>
      <c r="AF1" s="22"/>
      <c r="AG1" s="22"/>
      <c r="AH1" s="22"/>
      <c r="AI1" s="22"/>
      <c r="AJ1" s="22"/>
      <c r="AK1" s="22"/>
      <c r="AL1" s="22"/>
      <c r="AM1" s="22"/>
      <c r="AN1" s="22"/>
      <c r="AO1" s="22"/>
      <c r="AP1" s="22"/>
      <c r="AQ1" s="22"/>
      <c r="AR1" s="22"/>
      <c r="AS1" s="22"/>
      <c r="AT1" s="22"/>
      <c r="AU1" s="22"/>
      <c r="AV1" s="22"/>
      <c r="AW1" s="22"/>
      <c r="AX1" s="22"/>
      <c r="AY1" s="22"/>
      <c r="AZ1" s="22"/>
      <c r="BA1" s="22"/>
      <c r="BB1" s="22"/>
      <c r="BC1" s="22"/>
      <c r="BD1" s="22"/>
      <c r="BE1" s="22"/>
      <c r="BF1" s="22"/>
      <c r="BG1" s="22"/>
      <c r="BH1" s="22"/>
      <c r="BI1" s="22"/>
      <c r="BJ1" s="22"/>
      <c r="BK1" s="22"/>
      <c r="BL1" s="22"/>
      <c r="BM1" s="22"/>
      <c r="BN1" s="22"/>
      <c r="BO1" s="22"/>
      <c r="BP1" s="22"/>
      <c r="BQ1" s="22"/>
      <c r="BR1" s="22"/>
      <c r="BS1" s="22"/>
      <c r="BT1" s="22"/>
      <c r="BU1" s="22"/>
      <c r="BV1" s="22"/>
      <c r="BW1" s="22"/>
      <c r="BX1" s="22"/>
      <c r="BY1" s="22"/>
      <c r="BZ1" s="22"/>
      <c r="CA1" s="22"/>
      <c r="CB1" s="22"/>
      <c r="CC1" s="22"/>
      <c r="CD1" s="22"/>
      <c r="CE1" s="22"/>
      <c r="CF1" s="22"/>
      <c r="CG1" s="22"/>
      <c r="CH1" s="22"/>
      <c r="CI1" s="23"/>
    </row>
    <row r="2" spans="1:87" ht="15" customHeight="1" x14ac:dyDescent="0.25">
      <c r="A2" s="2"/>
      <c r="B2" s="2"/>
      <c r="C2" s="24">
        <v>46113</v>
      </c>
      <c r="D2" s="24">
        <v>46143</v>
      </c>
      <c r="E2" s="24">
        <v>46174</v>
      </c>
      <c r="F2" s="24">
        <v>46204</v>
      </c>
      <c r="G2" s="24">
        <v>46235</v>
      </c>
      <c r="H2" s="24">
        <v>46266</v>
      </c>
      <c r="I2" s="24">
        <v>46296</v>
      </c>
      <c r="J2" s="24">
        <v>46327</v>
      </c>
      <c r="K2" s="24">
        <v>46357</v>
      </c>
      <c r="L2" s="24">
        <v>46388</v>
      </c>
      <c r="M2" s="24">
        <v>46419</v>
      </c>
      <c r="N2" s="24">
        <v>46447</v>
      </c>
      <c r="O2" s="24">
        <v>46478</v>
      </c>
      <c r="P2" s="24">
        <v>46508</v>
      </c>
      <c r="Q2" s="24">
        <v>46539</v>
      </c>
      <c r="R2" s="24">
        <v>46569</v>
      </c>
      <c r="S2" s="24">
        <v>46600</v>
      </c>
      <c r="T2" s="24">
        <v>46631</v>
      </c>
      <c r="U2" s="24">
        <v>46661</v>
      </c>
      <c r="V2" s="24">
        <v>46692</v>
      </c>
      <c r="W2" s="24">
        <v>46722</v>
      </c>
      <c r="X2" s="24">
        <v>46753</v>
      </c>
      <c r="Y2" s="24">
        <v>46784</v>
      </c>
      <c r="Z2" s="24">
        <v>46813</v>
      </c>
      <c r="AA2" s="24">
        <v>46844</v>
      </c>
      <c r="AB2" s="24">
        <v>46874</v>
      </c>
      <c r="AC2" s="24">
        <v>46905</v>
      </c>
      <c r="AD2" s="24">
        <v>46935</v>
      </c>
      <c r="AE2" s="24">
        <v>46966</v>
      </c>
      <c r="AF2" s="24">
        <v>46997</v>
      </c>
      <c r="AG2" s="24">
        <v>47027</v>
      </c>
      <c r="AH2" s="24">
        <v>47058</v>
      </c>
      <c r="AI2" s="24">
        <v>47088</v>
      </c>
      <c r="AJ2" s="24">
        <v>47119</v>
      </c>
      <c r="AK2" s="24">
        <v>47150</v>
      </c>
      <c r="AL2" s="24">
        <v>47178</v>
      </c>
      <c r="AM2" s="24">
        <v>47209</v>
      </c>
      <c r="AN2" s="24">
        <v>47239</v>
      </c>
      <c r="AO2" s="24">
        <v>47270</v>
      </c>
      <c r="AP2" s="24">
        <v>47300</v>
      </c>
      <c r="AQ2" s="24">
        <v>47331</v>
      </c>
      <c r="AR2" s="24">
        <v>47362</v>
      </c>
      <c r="AS2" s="24">
        <v>47392</v>
      </c>
      <c r="AT2" s="24">
        <v>47423</v>
      </c>
      <c r="AU2" s="24">
        <v>47453</v>
      </c>
      <c r="AV2" s="24">
        <v>47484</v>
      </c>
      <c r="AW2" s="24">
        <v>47515</v>
      </c>
      <c r="AX2" s="24">
        <v>47543</v>
      </c>
      <c r="AY2" s="24">
        <v>47574</v>
      </c>
      <c r="AZ2" s="24">
        <v>47604</v>
      </c>
      <c r="BA2" s="24">
        <v>47635</v>
      </c>
      <c r="BB2" s="24">
        <v>47665</v>
      </c>
      <c r="BC2" s="24">
        <v>47696</v>
      </c>
      <c r="BD2" s="24">
        <v>47727</v>
      </c>
      <c r="BE2" s="24">
        <v>47757</v>
      </c>
      <c r="BF2" s="24">
        <v>47788</v>
      </c>
      <c r="BG2" s="24">
        <v>47818</v>
      </c>
      <c r="BH2" s="24">
        <v>47849</v>
      </c>
      <c r="BI2" s="24">
        <v>47880</v>
      </c>
      <c r="BJ2" s="24">
        <v>47908</v>
      </c>
      <c r="BK2" s="24">
        <v>47939</v>
      </c>
      <c r="BL2" s="24">
        <v>47969</v>
      </c>
      <c r="BM2" s="24">
        <v>48000</v>
      </c>
      <c r="BN2" s="24">
        <v>48030</v>
      </c>
      <c r="BO2" s="24">
        <v>48061</v>
      </c>
      <c r="BP2" s="24">
        <v>48092</v>
      </c>
      <c r="BQ2" s="24">
        <v>48122</v>
      </c>
      <c r="BR2" s="24">
        <v>48153</v>
      </c>
      <c r="BS2" s="24">
        <v>48183</v>
      </c>
      <c r="BT2" s="24">
        <v>48214</v>
      </c>
      <c r="BU2" s="24">
        <v>48245</v>
      </c>
      <c r="BV2" s="24">
        <v>48274</v>
      </c>
      <c r="BW2" s="24">
        <v>48305</v>
      </c>
      <c r="BX2" s="24">
        <v>48335</v>
      </c>
      <c r="BY2" s="24">
        <v>48366</v>
      </c>
      <c r="BZ2" s="24">
        <v>48396</v>
      </c>
      <c r="CA2" s="24">
        <v>48427</v>
      </c>
      <c r="CB2" s="24">
        <v>48458</v>
      </c>
      <c r="CC2" s="24">
        <v>48488</v>
      </c>
      <c r="CD2" s="24">
        <v>48519</v>
      </c>
      <c r="CE2" s="24">
        <v>48549</v>
      </c>
      <c r="CF2" s="24">
        <v>48580</v>
      </c>
      <c r="CG2" s="24">
        <v>48611</v>
      </c>
      <c r="CH2" s="24">
        <v>48639</v>
      </c>
      <c r="CI2" s="23"/>
    </row>
    <row r="3" spans="1:87" ht="15" hidden="1" customHeight="1" x14ac:dyDescent="0.25">
      <c r="A3" s="16" t="s">
        <v>112</v>
      </c>
      <c r="B3" s="22"/>
      <c r="C3" s="25">
        <v>1</v>
      </c>
      <c r="D3" s="25">
        <v>2</v>
      </c>
      <c r="E3" s="25">
        <v>3</v>
      </c>
      <c r="F3" s="25">
        <v>4</v>
      </c>
      <c r="G3" s="25">
        <v>5</v>
      </c>
      <c r="H3" s="25">
        <v>6</v>
      </c>
      <c r="I3" s="25">
        <v>7</v>
      </c>
      <c r="J3" s="25">
        <v>8</v>
      </c>
      <c r="K3" s="25">
        <v>9</v>
      </c>
      <c r="L3" s="25">
        <v>10</v>
      </c>
      <c r="M3" s="25">
        <v>11</v>
      </c>
      <c r="N3" s="25">
        <v>12</v>
      </c>
      <c r="O3" s="25">
        <v>13</v>
      </c>
      <c r="P3" s="25">
        <v>14</v>
      </c>
      <c r="Q3" s="25">
        <v>15</v>
      </c>
      <c r="R3" s="25">
        <v>16</v>
      </c>
      <c r="S3" s="25">
        <v>17</v>
      </c>
      <c r="T3" s="25">
        <v>18</v>
      </c>
      <c r="U3" s="25">
        <v>19</v>
      </c>
      <c r="V3" s="25">
        <v>20</v>
      </c>
      <c r="W3" s="25">
        <v>21</v>
      </c>
      <c r="X3" s="25">
        <v>22</v>
      </c>
      <c r="Y3" s="25">
        <v>23</v>
      </c>
      <c r="Z3" s="25">
        <v>24</v>
      </c>
      <c r="AA3" s="25">
        <v>25</v>
      </c>
      <c r="AB3" s="25">
        <v>26</v>
      </c>
      <c r="AC3" s="25">
        <v>27</v>
      </c>
      <c r="AD3" s="25">
        <v>28</v>
      </c>
      <c r="AE3" s="25">
        <v>29</v>
      </c>
      <c r="AF3" s="25">
        <v>30</v>
      </c>
      <c r="AG3" s="25">
        <v>31</v>
      </c>
      <c r="AH3" s="25">
        <v>32</v>
      </c>
      <c r="AI3" s="25">
        <v>33</v>
      </c>
      <c r="AJ3" s="25">
        <v>34</v>
      </c>
      <c r="AK3" s="25">
        <v>35</v>
      </c>
      <c r="AL3" s="25">
        <v>36</v>
      </c>
      <c r="AM3" s="25">
        <v>37</v>
      </c>
      <c r="AN3" s="25">
        <v>38</v>
      </c>
      <c r="AO3" s="25">
        <v>39</v>
      </c>
      <c r="AP3" s="25">
        <v>40</v>
      </c>
      <c r="AQ3" s="25">
        <v>41</v>
      </c>
      <c r="AR3" s="25">
        <v>42</v>
      </c>
      <c r="AS3" s="25">
        <v>43</v>
      </c>
      <c r="AT3" s="25">
        <v>44</v>
      </c>
      <c r="AU3" s="25">
        <v>45</v>
      </c>
      <c r="AV3" s="25">
        <v>46</v>
      </c>
      <c r="AW3" s="25">
        <v>47</v>
      </c>
      <c r="AX3" s="25">
        <v>48</v>
      </c>
      <c r="AY3" s="25">
        <v>49</v>
      </c>
      <c r="AZ3" s="25">
        <v>50</v>
      </c>
      <c r="BA3" s="25">
        <v>51</v>
      </c>
      <c r="BB3" s="25">
        <v>52</v>
      </c>
      <c r="BC3" s="25">
        <v>53</v>
      </c>
      <c r="BD3" s="25">
        <v>54</v>
      </c>
      <c r="BE3" s="25">
        <v>55</v>
      </c>
      <c r="BF3" s="25">
        <v>56</v>
      </c>
      <c r="BG3" s="25">
        <v>57</v>
      </c>
      <c r="BH3" s="25">
        <v>58</v>
      </c>
      <c r="BI3" s="25">
        <v>59</v>
      </c>
      <c r="BJ3" s="25">
        <v>60</v>
      </c>
      <c r="BK3" s="25">
        <v>61</v>
      </c>
      <c r="BL3" s="25">
        <v>62</v>
      </c>
      <c r="BM3" s="25">
        <v>63</v>
      </c>
      <c r="BN3" s="25">
        <v>64</v>
      </c>
      <c r="BO3" s="25">
        <v>65</v>
      </c>
      <c r="BP3" s="25">
        <v>66</v>
      </c>
      <c r="BQ3" s="25">
        <v>67</v>
      </c>
      <c r="BR3" s="25">
        <v>68</v>
      </c>
      <c r="BS3" s="25">
        <v>69</v>
      </c>
      <c r="BT3" s="25">
        <v>70</v>
      </c>
      <c r="BU3" s="25">
        <v>71</v>
      </c>
      <c r="BV3" s="25">
        <v>72</v>
      </c>
      <c r="BW3" s="25">
        <v>73</v>
      </c>
      <c r="BX3" s="25">
        <v>74</v>
      </c>
      <c r="BY3" s="25">
        <v>75</v>
      </c>
      <c r="BZ3" s="25">
        <v>76</v>
      </c>
      <c r="CA3" s="25">
        <v>77</v>
      </c>
      <c r="CB3" s="25">
        <v>78</v>
      </c>
      <c r="CC3" s="25">
        <v>79</v>
      </c>
      <c r="CD3" s="25">
        <v>80</v>
      </c>
      <c r="CE3" s="25">
        <v>81</v>
      </c>
      <c r="CF3" s="25">
        <v>82</v>
      </c>
      <c r="CG3" s="25">
        <v>83</v>
      </c>
      <c r="CH3" s="25">
        <v>84</v>
      </c>
      <c r="CI3" s="23"/>
    </row>
    <row r="4" spans="1:87" ht="15" customHeight="1" x14ac:dyDescent="0.25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/>
      <c r="AZ4" s="22"/>
      <c r="BA4" s="22"/>
      <c r="BB4" s="22"/>
      <c r="BC4" s="22"/>
      <c r="BD4" s="22"/>
      <c r="BE4" s="22"/>
      <c r="BF4" s="22"/>
      <c r="BG4" s="22"/>
      <c r="BH4" s="22"/>
      <c r="BI4" s="22"/>
      <c r="BJ4" s="22"/>
      <c r="BK4" s="22"/>
      <c r="BL4" s="22"/>
      <c r="BM4" s="22"/>
      <c r="BN4" s="22"/>
      <c r="BO4" s="22"/>
      <c r="BP4" s="22"/>
      <c r="BQ4" s="22"/>
      <c r="BR4" s="22"/>
      <c r="BS4" s="22"/>
      <c r="BT4" s="22"/>
      <c r="BU4" s="22"/>
      <c r="BV4" s="22"/>
      <c r="BW4" s="22"/>
      <c r="BX4" s="22"/>
      <c r="BY4" s="22"/>
      <c r="BZ4" s="22"/>
      <c r="CA4" s="22"/>
      <c r="CB4" s="22"/>
      <c r="CC4" s="22"/>
      <c r="CD4" s="22"/>
      <c r="CE4" s="22"/>
      <c r="CF4" s="22"/>
      <c r="CG4" s="22"/>
      <c r="CH4" s="22"/>
      <c r="CI4" s="23"/>
    </row>
    <row r="5" spans="1:87" ht="39.75" customHeight="1" x14ac:dyDescent="0.25">
      <c r="A5" s="26" t="s">
        <v>113</v>
      </c>
      <c r="B5" s="26"/>
      <c r="C5" s="27" t="s">
        <v>114</v>
      </c>
      <c r="D5" s="26"/>
      <c r="E5" s="26"/>
      <c r="F5" s="27" t="s">
        <v>115</v>
      </c>
      <c r="G5" s="27" t="s">
        <v>116</v>
      </c>
      <c r="H5" s="27" t="s">
        <v>117</v>
      </c>
      <c r="I5" s="27" t="s">
        <v>118</v>
      </c>
      <c r="J5" s="27" t="s">
        <v>119</v>
      </c>
      <c r="K5" s="26"/>
      <c r="L5" s="26"/>
      <c r="M5" s="26"/>
      <c r="N5" s="26"/>
      <c r="O5" s="27" t="s">
        <v>120</v>
      </c>
      <c r="P5" s="26"/>
      <c r="Q5" s="26"/>
      <c r="R5" s="27" t="s">
        <v>121</v>
      </c>
      <c r="S5" s="26"/>
      <c r="T5" s="26"/>
      <c r="U5" s="27" t="s">
        <v>122</v>
      </c>
      <c r="V5" s="26"/>
      <c r="W5" s="26"/>
      <c r="X5" s="26"/>
      <c r="Y5" s="26"/>
      <c r="Z5" s="26"/>
      <c r="AA5" s="26"/>
      <c r="AB5" s="26"/>
      <c r="AC5" s="27" t="s">
        <v>123</v>
      </c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3"/>
    </row>
    <row r="6" spans="1:87" ht="15" customHeight="1" x14ac:dyDescent="0.25">
      <c r="A6" s="6" t="s">
        <v>76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23"/>
    </row>
    <row r="7" spans="1:87" ht="15" customHeight="1" x14ac:dyDescent="0.25">
      <c r="A7" s="7" t="s">
        <v>75</v>
      </c>
      <c r="B7" s="22"/>
      <c r="C7" s="8">
        <f>IF(AND(Projects!$G$2="Yes",1&gt;=Projects!$C$2,1&lt;Projects!$C$2+Projects!$D$2),Projects!$B$2*INDEX(Curves!$B$6:$AO$6,1,1-Projects!$C$2+1),0)+IF(AND(Projects!$G$3="Yes",1&gt;=Projects!$C$3,1&lt;Projects!$C$3+Projects!$D$3),Projects!$B$3*INDEX(Curves!$B$7:$AO$7,1,1-Projects!$C$3+1),0)+IF(AND(Projects!$G$4="Yes",1&gt;=Projects!$C$4,1&lt;Projects!$C$4+Projects!$D$4),Projects!$B$4*INDEX(Curves!$B$8:$AO$8,1,1-Projects!$C$4+1),0)+IF(AND(Projects!$G$5="Yes",1&gt;=Projects!$C$5,1&lt;Projects!$C$5+Projects!$D$5),Projects!$B$5*INDEX(Curves!$B$9:$AO$9,1,1-Projects!$C$5+1),0)+IF(AND(Projects!$G$6="Yes",1&gt;=Projects!$C$6,1&lt;Projects!$C$6+Projects!$D$6),Projects!$B$6*INDEX(Curves!$B$4:$AO$4,1,1-Projects!$C$6+1),0)+IF(AND(Projects!$G$7="Yes",1&gt;=Projects!$C$7,1&lt;Projects!$C$7+Projects!$D$7),Projects!$B$7*INDEX(Curves!$B$3:$AO$3,1,1-Projects!$C$7+1),0)+IF(AND(Projects!$G$8="Yes",1&gt;=Projects!$C$8,1&lt;Projects!$C$8+Projects!$D$8),Projects!$B$8*INDEX(Curves!$B$4:$AO$4,1,1-Projects!$C$8+1),0)+IF(AND(Projects!$G$9="Yes",1&gt;=Projects!$C$9,1&lt;Projects!$C$9+Projects!$D$9),Projects!$B$9*INDEX(Curves!$B$2:$AO$2,1,1-Projects!$C$9+1),0)+IF(AND(Projects!$G$10="Yes",1&gt;=Projects!$C$10,1&lt;Projects!$C$10+Projects!$D$10),Projects!$B$10*INDEX(Curves!$B$4:$AO$4,1,1-Projects!$C$10+1),0)+IF(AND(Projects!$G$11="Yes",1&gt;=Projects!$C$11,1&lt;Projects!$C$11+Projects!$D$11),Projects!$B$11*INDEX(Curves!$B$4:$AO$4,1,1-Projects!$C$11+1),0)+IF(AND(Projects!$G$12="Yes",1&gt;=Projects!$C$12,1&lt;Projects!$C$12+Projects!$D$12),Projects!$B$12*INDEX(Curves!$B$4:$AO$4,1,1-Projects!$C$12+1),0)+IF(AND(Projects!$G$13="Yes",1&gt;=Projects!$C$13,1&lt;Projects!$C$13+Projects!$D$13),Projects!$B$13*INDEX(Curves!$B$2:$AO$2,1,1-Projects!$C$13+1),0)+IF(AND(Projects!$G$14="Yes",1&gt;=Projects!$C$14,1&lt;Projects!$C$14+Projects!$D$14),Projects!$B$14*INDEX(Curves!$B$2:$AO$2,1,1-Projects!$C$14+1),0)+IF(AND(Projects!$G$15="Yes",1&gt;=Projects!$C$15,1&lt;Projects!$C$15+Projects!$D$15),Projects!$B$15*INDEX(Curves!$B$4:$AO$4,1,1-Projects!$C$15+1),0)+IF(AND(Projects!$G$16="Yes",1&gt;=Projects!$C$16,1&lt;Projects!$C$16+Projects!$D$16),Projects!$B$16*INDEX(Curves!$B$4:$AO$4,1,1-Projects!$C$16+1),0)</f>
        <v>4454367.6502882848</v>
      </c>
      <c r="D7" s="8">
        <f>IF(AND(Projects!$G$2="Yes",2&gt;=Projects!$C$2,2&lt;Projects!$C$2+Projects!$D$2),Projects!$B$2*INDEX(Curves!$B$6:$AO$6,1,2-Projects!$C$2+1),0)+IF(AND(Projects!$G$3="Yes",2&gt;=Projects!$C$3,2&lt;Projects!$C$3+Projects!$D$3),Projects!$B$3*INDEX(Curves!$B$7:$AO$7,1,2-Projects!$C$3+1),0)+IF(AND(Projects!$G$4="Yes",2&gt;=Projects!$C$4,2&lt;Projects!$C$4+Projects!$D$4),Projects!$B$4*INDEX(Curves!$B$8:$AO$8,1,2-Projects!$C$4+1),0)+IF(AND(Projects!$G$5="Yes",2&gt;=Projects!$C$5,2&lt;Projects!$C$5+Projects!$D$5),Projects!$B$5*INDEX(Curves!$B$9:$AO$9,1,2-Projects!$C$5+1),0)+IF(AND(Projects!$G$6="Yes",2&gt;=Projects!$C$6,2&lt;Projects!$C$6+Projects!$D$6),Projects!$B$6*INDEX(Curves!$B$4:$AO$4,1,2-Projects!$C$6+1),0)+IF(AND(Projects!$G$7="Yes",2&gt;=Projects!$C$7,2&lt;Projects!$C$7+Projects!$D$7),Projects!$B$7*INDEX(Curves!$B$3:$AO$3,1,2-Projects!$C$7+1),0)+IF(AND(Projects!$G$8="Yes",2&gt;=Projects!$C$8,2&lt;Projects!$C$8+Projects!$D$8),Projects!$B$8*INDEX(Curves!$B$4:$AO$4,1,2-Projects!$C$8+1),0)+IF(AND(Projects!$G$9="Yes",2&gt;=Projects!$C$9,2&lt;Projects!$C$9+Projects!$D$9),Projects!$B$9*INDEX(Curves!$B$2:$AO$2,1,2-Projects!$C$9+1),0)+IF(AND(Projects!$G$10="Yes",2&gt;=Projects!$C$10,2&lt;Projects!$C$10+Projects!$D$10),Projects!$B$10*INDEX(Curves!$B$4:$AO$4,1,2-Projects!$C$10+1),0)+IF(AND(Projects!$G$11="Yes",2&gt;=Projects!$C$11,2&lt;Projects!$C$11+Projects!$D$11),Projects!$B$11*INDEX(Curves!$B$4:$AO$4,1,2-Projects!$C$11+1),0)+IF(AND(Projects!$G$12="Yes",2&gt;=Projects!$C$12,2&lt;Projects!$C$12+Projects!$D$12),Projects!$B$12*INDEX(Curves!$B$4:$AO$4,1,2-Projects!$C$12+1),0)+IF(AND(Projects!$G$13="Yes",2&gt;=Projects!$C$13,2&lt;Projects!$C$13+Projects!$D$13),Projects!$B$13*INDEX(Curves!$B$2:$AO$2,1,2-Projects!$C$13+1),0)+IF(AND(Projects!$G$14="Yes",2&gt;=Projects!$C$14,2&lt;Projects!$C$14+Projects!$D$14),Projects!$B$14*INDEX(Curves!$B$2:$AO$2,1,2-Projects!$C$14+1),0)+IF(AND(Projects!$G$15="Yes",2&gt;=Projects!$C$15,2&lt;Projects!$C$15+Projects!$D$15),Projects!$B$15*INDEX(Curves!$B$4:$AO$4,1,2-Projects!$C$15+1),0)+IF(AND(Projects!$G$16="Yes",2&gt;=Projects!$C$16,2&lt;Projects!$C$16+Projects!$D$16),Projects!$B$16*INDEX(Curves!$B$4:$AO$4,1,2-Projects!$C$16+1),0)</f>
        <v>4647327.0009306679</v>
      </c>
      <c r="E7" s="8">
        <f>IF(AND(Projects!$G$2="Yes",3&gt;=Projects!$C$2,3&lt;Projects!$C$2+Projects!$D$2),Projects!$B$2*INDEX(Curves!$B$6:$AO$6,1,3-Projects!$C$2+1),0)+IF(AND(Projects!$G$3="Yes",3&gt;=Projects!$C$3,3&lt;Projects!$C$3+Projects!$D$3),Projects!$B$3*INDEX(Curves!$B$7:$AO$7,1,3-Projects!$C$3+1),0)+IF(AND(Projects!$G$4="Yes",3&gt;=Projects!$C$4,3&lt;Projects!$C$4+Projects!$D$4),Projects!$B$4*INDEX(Curves!$B$8:$AO$8,1,3-Projects!$C$4+1),0)+IF(AND(Projects!$G$5="Yes",3&gt;=Projects!$C$5,3&lt;Projects!$C$5+Projects!$D$5),Projects!$B$5*INDEX(Curves!$B$9:$AO$9,1,3-Projects!$C$5+1),0)+IF(AND(Projects!$G$6="Yes",3&gt;=Projects!$C$6,3&lt;Projects!$C$6+Projects!$D$6),Projects!$B$6*INDEX(Curves!$B$4:$AO$4,1,3-Projects!$C$6+1),0)+IF(AND(Projects!$G$7="Yes",3&gt;=Projects!$C$7,3&lt;Projects!$C$7+Projects!$D$7),Projects!$B$7*INDEX(Curves!$B$3:$AO$3,1,3-Projects!$C$7+1),0)+IF(AND(Projects!$G$8="Yes",3&gt;=Projects!$C$8,3&lt;Projects!$C$8+Projects!$D$8),Projects!$B$8*INDEX(Curves!$B$4:$AO$4,1,3-Projects!$C$8+1),0)+IF(AND(Projects!$G$9="Yes",3&gt;=Projects!$C$9,3&lt;Projects!$C$9+Projects!$D$9),Projects!$B$9*INDEX(Curves!$B$2:$AO$2,1,3-Projects!$C$9+1),0)+IF(AND(Projects!$G$10="Yes",3&gt;=Projects!$C$10,3&lt;Projects!$C$10+Projects!$D$10),Projects!$B$10*INDEX(Curves!$B$4:$AO$4,1,3-Projects!$C$10+1),0)+IF(AND(Projects!$G$11="Yes",3&gt;=Projects!$C$11,3&lt;Projects!$C$11+Projects!$D$11),Projects!$B$11*INDEX(Curves!$B$4:$AO$4,1,3-Projects!$C$11+1),0)+IF(AND(Projects!$G$12="Yes",3&gt;=Projects!$C$12,3&lt;Projects!$C$12+Projects!$D$12),Projects!$B$12*INDEX(Curves!$B$4:$AO$4,1,3-Projects!$C$12+1),0)+IF(AND(Projects!$G$13="Yes",3&gt;=Projects!$C$13,3&lt;Projects!$C$13+Projects!$D$13),Projects!$B$13*INDEX(Curves!$B$2:$AO$2,1,3-Projects!$C$13+1),0)+IF(AND(Projects!$G$14="Yes",3&gt;=Projects!$C$14,3&lt;Projects!$C$14+Projects!$D$14),Projects!$B$14*INDEX(Curves!$B$2:$AO$2,1,3-Projects!$C$14+1),0)+IF(AND(Projects!$G$15="Yes",3&gt;=Projects!$C$15,3&lt;Projects!$C$15+Projects!$D$15),Projects!$B$15*INDEX(Curves!$B$4:$AO$4,1,3-Projects!$C$15+1),0)+IF(AND(Projects!$G$16="Yes",3&gt;=Projects!$C$16,3&lt;Projects!$C$16+Projects!$D$16),Projects!$B$16*INDEX(Curves!$B$4:$AO$4,1,3-Projects!$C$16+1),0)</f>
        <v>4783559.0480475528</v>
      </c>
      <c r="F7" s="8">
        <f>IF(AND(Projects!$G$2="Yes",4&gt;=Projects!$C$2,4&lt;Projects!$C$2+Projects!$D$2),Projects!$B$2*INDEX(Curves!$B$6:$AO$6,1,4-Projects!$C$2+1),0)+IF(AND(Projects!$G$3="Yes",4&gt;=Projects!$C$3,4&lt;Projects!$C$3+Projects!$D$3),Projects!$B$3*INDEX(Curves!$B$7:$AO$7,1,4-Projects!$C$3+1),0)+IF(AND(Projects!$G$4="Yes",4&gt;=Projects!$C$4,4&lt;Projects!$C$4+Projects!$D$4),Projects!$B$4*INDEX(Curves!$B$8:$AO$8,1,4-Projects!$C$4+1),0)+IF(AND(Projects!$G$5="Yes",4&gt;=Projects!$C$5,4&lt;Projects!$C$5+Projects!$D$5),Projects!$B$5*INDEX(Curves!$B$9:$AO$9,1,4-Projects!$C$5+1),0)+IF(AND(Projects!$G$6="Yes",4&gt;=Projects!$C$6,4&lt;Projects!$C$6+Projects!$D$6),Projects!$B$6*INDEX(Curves!$B$4:$AO$4,1,4-Projects!$C$6+1),0)+IF(AND(Projects!$G$7="Yes",4&gt;=Projects!$C$7,4&lt;Projects!$C$7+Projects!$D$7),Projects!$B$7*INDEX(Curves!$B$3:$AO$3,1,4-Projects!$C$7+1),0)+IF(AND(Projects!$G$8="Yes",4&gt;=Projects!$C$8,4&lt;Projects!$C$8+Projects!$D$8),Projects!$B$8*INDEX(Curves!$B$4:$AO$4,1,4-Projects!$C$8+1),0)+IF(AND(Projects!$G$9="Yes",4&gt;=Projects!$C$9,4&lt;Projects!$C$9+Projects!$D$9),Projects!$B$9*INDEX(Curves!$B$2:$AO$2,1,4-Projects!$C$9+1),0)+IF(AND(Projects!$G$10="Yes",4&gt;=Projects!$C$10,4&lt;Projects!$C$10+Projects!$D$10),Projects!$B$10*INDEX(Curves!$B$4:$AO$4,1,4-Projects!$C$10+1),0)+IF(AND(Projects!$G$11="Yes",4&gt;=Projects!$C$11,4&lt;Projects!$C$11+Projects!$D$11),Projects!$B$11*INDEX(Curves!$B$4:$AO$4,1,4-Projects!$C$11+1),0)+IF(AND(Projects!$G$12="Yes",4&gt;=Projects!$C$12,4&lt;Projects!$C$12+Projects!$D$12),Projects!$B$12*INDEX(Curves!$B$4:$AO$4,1,4-Projects!$C$12+1),0)+IF(AND(Projects!$G$13="Yes",4&gt;=Projects!$C$13,4&lt;Projects!$C$13+Projects!$D$13),Projects!$B$13*INDEX(Curves!$B$2:$AO$2,1,4-Projects!$C$13+1),0)+IF(AND(Projects!$G$14="Yes",4&gt;=Projects!$C$14,4&lt;Projects!$C$14+Projects!$D$14),Projects!$B$14*INDEX(Curves!$B$2:$AO$2,1,4-Projects!$C$14+1),0)+IF(AND(Projects!$G$15="Yes",4&gt;=Projects!$C$15,4&lt;Projects!$C$15+Projects!$D$15),Projects!$B$15*INDEX(Curves!$B$4:$AO$4,1,4-Projects!$C$15+1),0)+IF(AND(Projects!$G$16="Yes",4&gt;=Projects!$C$16,4&lt;Projects!$C$16+Projects!$D$16),Projects!$B$16*INDEX(Curves!$B$4:$AO$4,1,4-Projects!$C$16+1),0)</f>
        <v>5733416.5938398708</v>
      </c>
      <c r="G7" s="8">
        <f>IF(AND(Projects!$G$2="Yes",5&gt;=Projects!$C$2,5&lt;Projects!$C$2+Projects!$D$2),Projects!$B$2*INDEX(Curves!$B$6:$AO$6,1,5-Projects!$C$2+1),0)+IF(AND(Projects!$G$3="Yes",5&gt;=Projects!$C$3,5&lt;Projects!$C$3+Projects!$D$3),Projects!$B$3*INDEX(Curves!$B$7:$AO$7,1,5-Projects!$C$3+1),0)+IF(AND(Projects!$G$4="Yes",5&gt;=Projects!$C$4,5&lt;Projects!$C$4+Projects!$D$4),Projects!$B$4*INDEX(Curves!$B$8:$AO$8,1,5-Projects!$C$4+1),0)+IF(AND(Projects!$G$5="Yes",5&gt;=Projects!$C$5,5&lt;Projects!$C$5+Projects!$D$5),Projects!$B$5*INDEX(Curves!$B$9:$AO$9,1,5-Projects!$C$5+1),0)+IF(AND(Projects!$G$6="Yes",5&gt;=Projects!$C$6,5&lt;Projects!$C$6+Projects!$D$6),Projects!$B$6*INDEX(Curves!$B$4:$AO$4,1,5-Projects!$C$6+1),0)+IF(AND(Projects!$G$7="Yes",5&gt;=Projects!$C$7,5&lt;Projects!$C$7+Projects!$D$7),Projects!$B$7*INDEX(Curves!$B$3:$AO$3,1,5-Projects!$C$7+1),0)+IF(AND(Projects!$G$8="Yes",5&gt;=Projects!$C$8,5&lt;Projects!$C$8+Projects!$D$8),Projects!$B$8*INDEX(Curves!$B$4:$AO$4,1,5-Projects!$C$8+1),0)+IF(AND(Projects!$G$9="Yes",5&gt;=Projects!$C$9,5&lt;Projects!$C$9+Projects!$D$9),Projects!$B$9*INDEX(Curves!$B$2:$AO$2,1,5-Projects!$C$9+1),0)+IF(AND(Projects!$G$10="Yes",5&gt;=Projects!$C$10,5&lt;Projects!$C$10+Projects!$D$10),Projects!$B$10*INDEX(Curves!$B$4:$AO$4,1,5-Projects!$C$10+1),0)+IF(AND(Projects!$G$11="Yes",5&gt;=Projects!$C$11,5&lt;Projects!$C$11+Projects!$D$11),Projects!$B$11*INDEX(Curves!$B$4:$AO$4,1,5-Projects!$C$11+1),0)+IF(AND(Projects!$G$12="Yes",5&gt;=Projects!$C$12,5&lt;Projects!$C$12+Projects!$D$12),Projects!$B$12*INDEX(Curves!$B$4:$AO$4,1,5-Projects!$C$12+1),0)+IF(AND(Projects!$G$13="Yes",5&gt;=Projects!$C$13,5&lt;Projects!$C$13+Projects!$D$13),Projects!$B$13*INDEX(Curves!$B$2:$AO$2,1,5-Projects!$C$13+1),0)+IF(AND(Projects!$G$14="Yes",5&gt;=Projects!$C$14,5&lt;Projects!$C$14+Projects!$D$14),Projects!$B$14*INDEX(Curves!$B$2:$AO$2,1,5-Projects!$C$14+1),0)+IF(AND(Projects!$G$15="Yes",5&gt;=Projects!$C$15,5&lt;Projects!$C$15+Projects!$D$15),Projects!$B$15*INDEX(Curves!$B$4:$AO$4,1,5-Projects!$C$15+1),0)+IF(AND(Projects!$G$16="Yes",5&gt;=Projects!$C$16,5&lt;Projects!$C$16+Projects!$D$16),Projects!$B$16*INDEX(Curves!$B$4:$AO$4,1,5-Projects!$C$16+1),0)</f>
        <v>5892911.4458942935</v>
      </c>
      <c r="H7" s="8">
        <f>IF(AND(Projects!$G$2="Yes",6&gt;=Projects!$C$2,6&lt;Projects!$C$2+Projects!$D$2),Projects!$B$2*INDEX(Curves!$B$6:$AO$6,1,6-Projects!$C$2+1),0)+IF(AND(Projects!$G$3="Yes",6&gt;=Projects!$C$3,6&lt;Projects!$C$3+Projects!$D$3),Projects!$B$3*INDEX(Curves!$B$7:$AO$7,1,6-Projects!$C$3+1),0)+IF(AND(Projects!$G$4="Yes",6&gt;=Projects!$C$4,6&lt;Projects!$C$4+Projects!$D$4),Projects!$B$4*INDEX(Curves!$B$8:$AO$8,1,6-Projects!$C$4+1),0)+IF(AND(Projects!$G$5="Yes",6&gt;=Projects!$C$5,6&lt;Projects!$C$5+Projects!$D$5),Projects!$B$5*INDEX(Curves!$B$9:$AO$9,1,6-Projects!$C$5+1),0)+IF(AND(Projects!$G$6="Yes",6&gt;=Projects!$C$6,6&lt;Projects!$C$6+Projects!$D$6),Projects!$B$6*INDEX(Curves!$B$4:$AO$4,1,6-Projects!$C$6+1),0)+IF(AND(Projects!$G$7="Yes",6&gt;=Projects!$C$7,6&lt;Projects!$C$7+Projects!$D$7),Projects!$B$7*INDEX(Curves!$B$3:$AO$3,1,6-Projects!$C$7+1),0)+IF(AND(Projects!$G$8="Yes",6&gt;=Projects!$C$8,6&lt;Projects!$C$8+Projects!$D$8),Projects!$B$8*INDEX(Curves!$B$4:$AO$4,1,6-Projects!$C$8+1),0)+IF(AND(Projects!$G$9="Yes",6&gt;=Projects!$C$9,6&lt;Projects!$C$9+Projects!$D$9),Projects!$B$9*INDEX(Curves!$B$2:$AO$2,1,6-Projects!$C$9+1),0)+IF(AND(Projects!$G$10="Yes",6&gt;=Projects!$C$10,6&lt;Projects!$C$10+Projects!$D$10),Projects!$B$10*INDEX(Curves!$B$4:$AO$4,1,6-Projects!$C$10+1),0)+IF(AND(Projects!$G$11="Yes",6&gt;=Projects!$C$11,6&lt;Projects!$C$11+Projects!$D$11),Projects!$B$11*INDEX(Curves!$B$4:$AO$4,1,6-Projects!$C$11+1),0)+IF(AND(Projects!$G$12="Yes",6&gt;=Projects!$C$12,6&lt;Projects!$C$12+Projects!$D$12),Projects!$B$12*INDEX(Curves!$B$4:$AO$4,1,6-Projects!$C$12+1),0)+IF(AND(Projects!$G$13="Yes",6&gt;=Projects!$C$13,6&lt;Projects!$C$13+Projects!$D$13),Projects!$B$13*INDEX(Curves!$B$2:$AO$2,1,6-Projects!$C$13+1),0)+IF(AND(Projects!$G$14="Yes",6&gt;=Projects!$C$14,6&lt;Projects!$C$14+Projects!$D$14),Projects!$B$14*INDEX(Curves!$B$2:$AO$2,1,6-Projects!$C$14+1),0)+IF(AND(Projects!$G$15="Yes",6&gt;=Projects!$C$15,6&lt;Projects!$C$15+Projects!$D$15),Projects!$B$15*INDEX(Curves!$B$4:$AO$4,1,6-Projects!$C$15+1),0)+IF(AND(Projects!$G$16="Yes",6&gt;=Projects!$C$16,6&lt;Projects!$C$16+Projects!$D$16),Projects!$B$16*INDEX(Curves!$B$4:$AO$4,1,6-Projects!$C$16+1),0)</f>
        <v>5985551.5079940278</v>
      </c>
      <c r="I7" s="8">
        <f>IF(AND(Projects!$G$2="Yes",7&gt;=Projects!$C$2,7&lt;Projects!$C$2+Projects!$D$2),Projects!$B$2*INDEX(Curves!$B$6:$AO$6,1,7-Projects!$C$2+1),0)+IF(AND(Projects!$G$3="Yes",7&gt;=Projects!$C$3,7&lt;Projects!$C$3+Projects!$D$3),Projects!$B$3*INDEX(Curves!$B$7:$AO$7,1,7-Projects!$C$3+1),0)+IF(AND(Projects!$G$4="Yes",7&gt;=Projects!$C$4,7&lt;Projects!$C$4+Projects!$D$4),Projects!$B$4*INDEX(Curves!$B$8:$AO$8,1,7-Projects!$C$4+1),0)+IF(AND(Projects!$G$5="Yes",7&gt;=Projects!$C$5,7&lt;Projects!$C$5+Projects!$D$5),Projects!$B$5*INDEX(Curves!$B$9:$AO$9,1,7-Projects!$C$5+1),0)+IF(AND(Projects!$G$6="Yes",7&gt;=Projects!$C$6,7&lt;Projects!$C$6+Projects!$D$6),Projects!$B$6*INDEX(Curves!$B$4:$AO$4,1,7-Projects!$C$6+1),0)+IF(AND(Projects!$G$7="Yes",7&gt;=Projects!$C$7,7&lt;Projects!$C$7+Projects!$D$7),Projects!$B$7*INDEX(Curves!$B$3:$AO$3,1,7-Projects!$C$7+1),0)+IF(AND(Projects!$G$8="Yes",7&gt;=Projects!$C$8,7&lt;Projects!$C$8+Projects!$D$8),Projects!$B$8*INDEX(Curves!$B$4:$AO$4,1,7-Projects!$C$8+1),0)+IF(AND(Projects!$G$9="Yes",7&gt;=Projects!$C$9,7&lt;Projects!$C$9+Projects!$D$9),Projects!$B$9*INDEX(Curves!$B$2:$AO$2,1,7-Projects!$C$9+1),0)+IF(AND(Projects!$G$10="Yes",7&gt;=Projects!$C$10,7&lt;Projects!$C$10+Projects!$D$10),Projects!$B$10*INDEX(Curves!$B$4:$AO$4,1,7-Projects!$C$10+1),0)+IF(AND(Projects!$G$11="Yes",7&gt;=Projects!$C$11,7&lt;Projects!$C$11+Projects!$D$11),Projects!$B$11*INDEX(Curves!$B$4:$AO$4,1,7-Projects!$C$11+1),0)+IF(AND(Projects!$G$12="Yes",7&gt;=Projects!$C$12,7&lt;Projects!$C$12+Projects!$D$12),Projects!$B$12*INDEX(Curves!$B$4:$AO$4,1,7-Projects!$C$12+1),0)+IF(AND(Projects!$G$13="Yes",7&gt;=Projects!$C$13,7&lt;Projects!$C$13+Projects!$D$13),Projects!$B$13*INDEX(Curves!$B$2:$AO$2,1,7-Projects!$C$13+1),0)+IF(AND(Projects!$G$14="Yes",7&gt;=Projects!$C$14,7&lt;Projects!$C$14+Projects!$D$14),Projects!$B$14*INDEX(Curves!$B$2:$AO$2,1,7-Projects!$C$14+1),0)+IF(AND(Projects!$G$15="Yes",7&gt;=Projects!$C$15,7&lt;Projects!$C$15+Projects!$D$15),Projects!$B$15*INDEX(Curves!$B$4:$AO$4,1,7-Projects!$C$15+1),0)+IF(AND(Projects!$G$16="Yes",7&gt;=Projects!$C$16,7&lt;Projects!$C$16+Projects!$D$16),Projects!$B$16*INDEX(Curves!$B$4:$AO$4,1,7-Projects!$C$16+1),0)</f>
        <v>6624695.0930872438</v>
      </c>
      <c r="J7" s="8">
        <f>IF(AND(Projects!$G$2="Yes",8&gt;=Projects!$C$2,8&lt;Projects!$C$2+Projects!$D$2),Projects!$B$2*INDEX(Curves!$B$6:$AO$6,1,8-Projects!$C$2+1),0)+IF(AND(Projects!$G$3="Yes",8&gt;=Projects!$C$3,8&lt;Projects!$C$3+Projects!$D$3),Projects!$B$3*INDEX(Curves!$B$7:$AO$7,1,8-Projects!$C$3+1),0)+IF(AND(Projects!$G$4="Yes",8&gt;=Projects!$C$4,8&lt;Projects!$C$4+Projects!$D$4),Projects!$B$4*INDEX(Curves!$B$8:$AO$8,1,8-Projects!$C$4+1),0)+IF(AND(Projects!$G$5="Yes",8&gt;=Projects!$C$5,8&lt;Projects!$C$5+Projects!$D$5),Projects!$B$5*INDEX(Curves!$B$9:$AO$9,1,8-Projects!$C$5+1),0)+IF(AND(Projects!$G$6="Yes",8&gt;=Projects!$C$6,8&lt;Projects!$C$6+Projects!$D$6),Projects!$B$6*INDEX(Curves!$B$4:$AO$4,1,8-Projects!$C$6+1),0)+IF(AND(Projects!$G$7="Yes",8&gt;=Projects!$C$7,8&lt;Projects!$C$7+Projects!$D$7),Projects!$B$7*INDEX(Curves!$B$3:$AO$3,1,8-Projects!$C$7+1),0)+IF(AND(Projects!$G$8="Yes",8&gt;=Projects!$C$8,8&lt;Projects!$C$8+Projects!$D$8),Projects!$B$8*INDEX(Curves!$B$4:$AO$4,1,8-Projects!$C$8+1),0)+IF(AND(Projects!$G$9="Yes",8&gt;=Projects!$C$9,8&lt;Projects!$C$9+Projects!$D$9),Projects!$B$9*INDEX(Curves!$B$2:$AO$2,1,8-Projects!$C$9+1),0)+IF(AND(Projects!$G$10="Yes",8&gt;=Projects!$C$10,8&lt;Projects!$C$10+Projects!$D$10),Projects!$B$10*INDEX(Curves!$B$4:$AO$4,1,8-Projects!$C$10+1),0)+IF(AND(Projects!$G$11="Yes",8&gt;=Projects!$C$11,8&lt;Projects!$C$11+Projects!$D$11),Projects!$B$11*INDEX(Curves!$B$4:$AO$4,1,8-Projects!$C$11+1),0)+IF(AND(Projects!$G$12="Yes",8&gt;=Projects!$C$12,8&lt;Projects!$C$12+Projects!$D$12),Projects!$B$12*INDEX(Curves!$B$4:$AO$4,1,8-Projects!$C$12+1),0)+IF(AND(Projects!$G$13="Yes",8&gt;=Projects!$C$13,8&lt;Projects!$C$13+Projects!$D$13),Projects!$B$13*INDEX(Curves!$B$2:$AO$2,1,8-Projects!$C$13+1),0)+IF(AND(Projects!$G$14="Yes",8&gt;=Projects!$C$14,8&lt;Projects!$C$14+Projects!$D$14),Projects!$B$14*INDEX(Curves!$B$2:$AO$2,1,8-Projects!$C$14+1),0)+IF(AND(Projects!$G$15="Yes",8&gt;=Projects!$C$15,8&lt;Projects!$C$15+Projects!$D$15),Projects!$B$15*INDEX(Curves!$B$4:$AO$4,1,8-Projects!$C$15+1),0)+IF(AND(Projects!$G$16="Yes",8&gt;=Projects!$C$16,8&lt;Projects!$C$16+Projects!$D$16),Projects!$B$16*INDEX(Curves!$B$4:$AO$4,1,8-Projects!$C$16+1),0)</f>
        <v>7264827.1133561721</v>
      </c>
      <c r="K7" s="8">
        <f>IF(AND(Projects!$G$2="Yes",9&gt;=Projects!$C$2,9&lt;Projects!$C$2+Projects!$D$2),Projects!$B$2*INDEX(Curves!$B$6:$AO$6,1,9-Projects!$C$2+1),0)+IF(AND(Projects!$G$3="Yes",9&gt;=Projects!$C$3,9&lt;Projects!$C$3+Projects!$D$3),Projects!$B$3*INDEX(Curves!$B$7:$AO$7,1,9-Projects!$C$3+1),0)+IF(AND(Projects!$G$4="Yes",9&gt;=Projects!$C$4,9&lt;Projects!$C$4+Projects!$D$4),Projects!$B$4*INDEX(Curves!$B$8:$AO$8,1,9-Projects!$C$4+1),0)+IF(AND(Projects!$G$5="Yes",9&gt;=Projects!$C$5,9&lt;Projects!$C$5+Projects!$D$5),Projects!$B$5*INDEX(Curves!$B$9:$AO$9,1,9-Projects!$C$5+1),0)+IF(AND(Projects!$G$6="Yes",9&gt;=Projects!$C$6,9&lt;Projects!$C$6+Projects!$D$6),Projects!$B$6*INDEX(Curves!$B$4:$AO$4,1,9-Projects!$C$6+1),0)+IF(AND(Projects!$G$7="Yes",9&gt;=Projects!$C$7,9&lt;Projects!$C$7+Projects!$D$7),Projects!$B$7*INDEX(Curves!$B$3:$AO$3,1,9-Projects!$C$7+1),0)+IF(AND(Projects!$G$8="Yes",9&gt;=Projects!$C$8,9&lt;Projects!$C$8+Projects!$D$8),Projects!$B$8*INDEX(Curves!$B$4:$AO$4,1,9-Projects!$C$8+1),0)+IF(AND(Projects!$G$9="Yes",9&gt;=Projects!$C$9,9&lt;Projects!$C$9+Projects!$D$9),Projects!$B$9*INDEX(Curves!$B$2:$AO$2,1,9-Projects!$C$9+1),0)+IF(AND(Projects!$G$10="Yes",9&gt;=Projects!$C$10,9&lt;Projects!$C$10+Projects!$D$10),Projects!$B$10*INDEX(Curves!$B$4:$AO$4,1,9-Projects!$C$10+1),0)+IF(AND(Projects!$G$11="Yes",9&gt;=Projects!$C$11,9&lt;Projects!$C$11+Projects!$D$11),Projects!$B$11*INDEX(Curves!$B$4:$AO$4,1,9-Projects!$C$11+1),0)+IF(AND(Projects!$G$12="Yes",9&gt;=Projects!$C$12,9&lt;Projects!$C$12+Projects!$D$12),Projects!$B$12*INDEX(Curves!$B$4:$AO$4,1,9-Projects!$C$12+1),0)+IF(AND(Projects!$G$13="Yes",9&gt;=Projects!$C$13,9&lt;Projects!$C$13+Projects!$D$13),Projects!$B$13*INDEX(Curves!$B$2:$AO$2,1,9-Projects!$C$13+1),0)+IF(AND(Projects!$G$14="Yes",9&gt;=Projects!$C$14,9&lt;Projects!$C$14+Projects!$D$14),Projects!$B$14*INDEX(Curves!$B$2:$AO$2,1,9-Projects!$C$14+1),0)+IF(AND(Projects!$G$15="Yes",9&gt;=Projects!$C$15,9&lt;Projects!$C$15+Projects!$D$15),Projects!$B$15*INDEX(Curves!$B$4:$AO$4,1,9-Projects!$C$15+1),0)+IF(AND(Projects!$G$16="Yes",9&gt;=Projects!$C$16,9&lt;Projects!$C$16+Projects!$D$16),Projects!$B$16*INDEX(Curves!$B$4:$AO$4,1,9-Projects!$C$16+1),0)</f>
        <v>6982817.0374313621</v>
      </c>
      <c r="L7" s="8">
        <f>IF(AND(Projects!$G$2="Yes",10&gt;=Projects!$C$2,10&lt;Projects!$C$2+Projects!$D$2),Projects!$B$2*INDEX(Curves!$B$6:$AO$6,1,10-Projects!$C$2+1),0)+IF(AND(Projects!$G$3="Yes",10&gt;=Projects!$C$3,10&lt;Projects!$C$3+Projects!$D$3),Projects!$B$3*INDEX(Curves!$B$7:$AO$7,1,10-Projects!$C$3+1),0)+IF(AND(Projects!$G$4="Yes",10&gt;=Projects!$C$4,10&lt;Projects!$C$4+Projects!$D$4),Projects!$B$4*INDEX(Curves!$B$8:$AO$8,1,10-Projects!$C$4+1),0)+IF(AND(Projects!$G$5="Yes",10&gt;=Projects!$C$5,10&lt;Projects!$C$5+Projects!$D$5),Projects!$B$5*INDEX(Curves!$B$9:$AO$9,1,10-Projects!$C$5+1),0)+IF(AND(Projects!$G$6="Yes",10&gt;=Projects!$C$6,10&lt;Projects!$C$6+Projects!$D$6),Projects!$B$6*INDEX(Curves!$B$4:$AO$4,1,10-Projects!$C$6+1),0)+IF(AND(Projects!$G$7="Yes",10&gt;=Projects!$C$7,10&lt;Projects!$C$7+Projects!$D$7),Projects!$B$7*INDEX(Curves!$B$3:$AO$3,1,10-Projects!$C$7+1),0)+IF(AND(Projects!$G$8="Yes",10&gt;=Projects!$C$8,10&lt;Projects!$C$8+Projects!$D$8),Projects!$B$8*INDEX(Curves!$B$4:$AO$4,1,10-Projects!$C$8+1),0)+IF(AND(Projects!$G$9="Yes",10&gt;=Projects!$C$9,10&lt;Projects!$C$9+Projects!$D$9),Projects!$B$9*INDEX(Curves!$B$2:$AO$2,1,10-Projects!$C$9+1),0)+IF(AND(Projects!$G$10="Yes",10&gt;=Projects!$C$10,10&lt;Projects!$C$10+Projects!$D$10),Projects!$B$10*INDEX(Curves!$B$4:$AO$4,1,10-Projects!$C$10+1),0)+IF(AND(Projects!$G$11="Yes",10&gt;=Projects!$C$11,10&lt;Projects!$C$11+Projects!$D$11),Projects!$B$11*INDEX(Curves!$B$4:$AO$4,1,10-Projects!$C$11+1),0)+IF(AND(Projects!$G$12="Yes",10&gt;=Projects!$C$12,10&lt;Projects!$C$12+Projects!$D$12),Projects!$B$12*INDEX(Curves!$B$4:$AO$4,1,10-Projects!$C$12+1),0)+IF(AND(Projects!$G$13="Yes",10&gt;=Projects!$C$13,10&lt;Projects!$C$13+Projects!$D$13),Projects!$B$13*INDEX(Curves!$B$2:$AO$2,1,10-Projects!$C$13+1),0)+IF(AND(Projects!$G$14="Yes",10&gt;=Projects!$C$14,10&lt;Projects!$C$14+Projects!$D$14),Projects!$B$14*INDEX(Curves!$B$2:$AO$2,1,10-Projects!$C$14+1),0)+IF(AND(Projects!$G$15="Yes",10&gt;=Projects!$C$15,10&lt;Projects!$C$15+Projects!$D$15),Projects!$B$15*INDEX(Curves!$B$4:$AO$4,1,10-Projects!$C$15+1),0)+IF(AND(Projects!$G$16="Yes",10&gt;=Projects!$C$16,10&lt;Projects!$C$16+Projects!$D$16),Projects!$B$16*INDEX(Curves!$B$4:$AO$4,1,10-Projects!$C$16+1),0)</f>
        <v>7170303.4392183255</v>
      </c>
      <c r="M7" s="8">
        <f>IF(AND(Projects!$G$2="Yes",11&gt;=Projects!$C$2,11&lt;Projects!$C$2+Projects!$D$2),Projects!$B$2*INDEX(Curves!$B$6:$AO$6,1,11-Projects!$C$2+1),0)+IF(AND(Projects!$G$3="Yes",11&gt;=Projects!$C$3,11&lt;Projects!$C$3+Projects!$D$3),Projects!$B$3*INDEX(Curves!$B$7:$AO$7,1,11-Projects!$C$3+1),0)+IF(AND(Projects!$G$4="Yes",11&gt;=Projects!$C$4,11&lt;Projects!$C$4+Projects!$D$4),Projects!$B$4*INDEX(Curves!$B$8:$AO$8,1,11-Projects!$C$4+1),0)+IF(AND(Projects!$G$5="Yes",11&gt;=Projects!$C$5,11&lt;Projects!$C$5+Projects!$D$5),Projects!$B$5*INDEX(Curves!$B$9:$AO$9,1,11-Projects!$C$5+1),0)+IF(AND(Projects!$G$6="Yes",11&gt;=Projects!$C$6,11&lt;Projects!$C$6+Projects!$D$6),Projects!$B$6*INDEX(Curves!$B$4:$AO$4,1,11-Projects!$C$6+1),0)+IF(AND(Projects!$G$7="Yes",11&gt;=Projects!$C$7,11&lt;Projects!$C$7+Projects!$D$7),Projects!$B$7*INDEX(Curves!$B$3:$AO$3,1,11-Projects!$C$7+1),0)+IF(AND(Projects!$G$8="Yes",11&gt;=Projects!$C$8,11&lt;Projects!$C$8+Projects!$D$8),Projects!$B$8*INDEX(Curves!$B$4:$AO$4,1,11-Projects!$C$8+1),0)+IF(AND(Projects!$G$9="Yes",11&gt;=Projects!$C$9,11&lt;Projects!$C$9+Projects!$D$9),Projects!$B$9*INDEX(Curves!$B$2:$AO$2,1,11-Projects!$C$9+1),0)+IF(AND(Projects!$G$10="Yes",11&gt;=Projects!$C$10,11&lt;Projects!$C$10+Projects!$D$10),Projects!$B$10*INDEX(Curves!$B$4:$AO$4,1,11-Projects!$C$10+1),0)+IF(AND(Projects!$G$11="Yes",11&gt;=Projects!$C$11,11&lt;Projects!$C$11+Projects!$D$11),Projects!$B$11*INDEX(Curves!$B$4:$AO$4,1,11-Projects!$C$11+1),0)+IF(AND(Projects!$G$12="Yes",11&gt;=Projects!$C$12,11&lt;Projects!$C$12+Projects!$D$12),Projects!$B$12*INDEX(Curves!$B$4:$AO$4,1,11-Projects!$C$12+1),0)+IF(AND(Projects!$G$13="Yes",11&gt;=Projects!$C$13,11&lt;Projects!$C$13+Projects!$D$13),Projects!$B$13*INDEX(Curves!$B$2:$AO$2,1,11-Projects!$C$13+1),0)+IF(AND(Projects!$G$14="Yes",11&gt;=Projects!$C$14,11&lt;Projects!$C$14+Projects!$D$14),Projects!$B$14*INDEX(Curves!$B$2:$AO$2,1,11-Projects!$C$14+1),0)+IF(AND(Projects!$G$15="Yes",11&gt;=Projects!$C$15,11&lt;Projects!$C$15+Projects!$D$15),Projects!$B$15*INDEX(Curves!$B$4:$AO$4,1,11-Projects!$C$15+1),0)+IF(AND(Projects!$G$16="Yes",11&gt;=Projects!$C$16,11&lt;Projects!$C$16+Projects!$D$16),Projects!$B$16*INDEX(Curves!$B$4:$AO$4,1,11-Projects!$C$16+1),0)</f>
        <v>7301293.3837315356</v>
      </c>
      <c r="N7" s="8">
        <f>IF(AND(Projects!$G$2="Yes",12&gt;=Projects!$C$2,12&lt;Projects!$C$2+Projects!$D$2),Projects!$B$2*INDEX(Curves!$B$6:$AO$6,1,12-Projects!$C$2+1),0)+IF(AND(Projects!$G$3="Yes",12&gt;=Projects!$C$3,12&lt;Projects!$C$3+Projects!$D$3),Projects!$B$3*INDEX(Curves!$B$7:$AO$7,1,12-Projects!$C$3+1),0)+IF(AND(Projects!$G$4="Yes",12&gt;=Projects!$C$4,12&lt;Projects!$C$4+Projects!$D$4),Projects!$B$4*INDEX(Curves!$B$8:$AO$8,1,12-Projects!$C$4+1),0)+IF(AND(Projects!$G$5="Yes",12&gt;=Projects!$C$5,12&lt;Projects!$C$5+Projects!$D$5),Projects!$B$5*INDEX(Curves!$B$9:$AO$9,1,12-Projects!$C$5+1),0)+IF(AND(Projects!$G$6="Yes",12&gt;=Projects!$C$6,12&lt;Projects!$C$6+Projects!$D$6),Projects!$B$6*INDEX(Curves!$B$4:$AO$4,1,12-Projects!$C$6+1),0)+IF(AND(Projects!$G$7="Yes",12&gt;=Projects!$C$7,12&lt;Projects!$C$7+Projects!$D$7),Projects!$B$7*INDEX(Curves!$B$3:$AO$3,1,12-Projects!$C$7+1),0)+IF(AND(Projects!$G$8="Yes",12&gt;=Projects!$C$8,12&lt;Projects!$C$8+Projects!$D$8),Projects!$B$8*INDEX(Curves!$B$4:$AO$4,1,12-Projects!$C$8+1),0)+IF(AND(Projects!$G$9="Yes",12&gt;=Projects!$C$9,12&lt;Projects!$C$9+Projects!$D$9),Projects!$B$9*INDEX(Curves!$B$2:$AO$2,1,12-Projects!$C$9+1),0)+IF(AND(Projects!$G$10="Yes",12&gt;=Projects!$C$10,12&lt;Projects!$C$10+Projects!$D$10),Projects!$B$10*INDEX(Curves!$B$4:$AO$4,1,12-Projects!$C$10+1),0)+IF(AND(Projects!$G$11="Yes",12&gt;=Projects!$C$11,12&lt;Projects!$C$11+Projects!$D$11),Projects!$B$11*INDEX(Curves!$B$4:$AO$4,1,12-Projects!$C$11+1),0)+IF(AND(Projects!$G$12="Yes",12&gt;=Projects!$C$12,12&lt;Projects!$C$12+Projects!$D$12),Projects!$B$12*INDEX(Curves!$B$4:$AO$4,1,12-Projects!$C$12+1),0)+IF(AND(Projects!$G$13="Yes",12&gt;=Projects!$C$13,12&lt;Projects!$C$13+Projects!$D$13),Projects!$B$13*INDEX(Curves!$B$2:$AO$2,1,12-Projects!$C$13+1),0)+IF(AND(Projects!$G$14="Yes",12&gt;=Projects!$C$14,12&lt;Projects!$C$14+Projects!$D$14),Projects!$B$14*INDEX(Curves!$B$2:$AO$2,1,12-Projects!$C$14+1),0)+IF(AND(Projects!$G$15="Yes",12&gt;=Projects!$C$15,12&lt;Projects!$C$15+Projects!$D$15),Projects!$B$15*INDEX(Curves!$B$4:$AO$4,1,12-Projects!$C$15+1),0)+IF(AND(Projects!$G$16="Yes",12&gt;=Projects!$C$16,12&lt;Projects!$C$16+Projects!$D$16),Projects!$B$16*INDEX(Curves!$B$4:$AO$4,1,12-Projects!$C$16+1),0)</f>
        <v>7372857.5400518728</v>
      </c>
      <c r="O7" s="8">
        <f>IF(AND(Projects!$G$2="Yes",13&gt;=Projects!$C$2,13&lt;Projects!$C$2+Projects!$D$2),Projects!$B$2*INDEX(Curves!$B$6:$AO$6,1,13-Projects!$C$2+1),0)+IF(AND(Projects!$G$3="Yes",13&gt;=Projects!$C$3,13&lt;Projects!$C$3+Projects!$D$3),Projects!$B$3*INDEX(Curves!$B$7:$AO$7,1,13-Projects!$C$3+1),0)+IF(AND(Projects!$G$4="Yes",13&gt;=Projects!$C$4,13&lt;Projects!$C$4+Projects!$D$4),Projects!$B$4*INDEX(Curves!$B$8:$AO$8,1,13-Projects!$C$4+1),0)+IF(AND(Projects!$G$5="Yes",13&gt;=Projects!$C$5,13&lt;Projects!$C$5+Projects!$D$5),Projects!$B$5*INDEX(Curves!$B$9:$AO$9,1,13-Projects!$C$5+1),0)+IF(AND(Projects!$G$6="Yes",13&gt;=Projects!$C$6,13&lt;Projects!$C$6+Projects!$D$6),Projects!$B$6*INDEX(Curves!$B$4:$AO$4,1,13-Projects!$C$6+1),0)+IF(AND(Projects!$G$7="Yes",13&gt;=Projects!$C$7,13&lt;Projects!$C$7+Projects!$D$7),Projects!$B$7*INDEX(Curves!$B$3:$AO$3,1,13-Projects!$C$7+1),0)+IF(AND(Projects!$G$8="Yes",13&gt;=Projects!$C$8,13&lt;Projects!$C$8+Projects!$D$8),Projects!$B$8*INDEX(Curves!$B$4:$AO$4,1,13-Projects!$C$8+1),0)+IF(AND(Projects!$G$9="Yes",13&gt;=Projects!$C$9,13&lt;Projects!$C$9+Projects!$D$9),Projects!$B$9*INDEX(Curves!$B$2:$AO$2,1,13-Projects!$C$9+1),0)+IF(AND(Projects!$G$10="Yes",13&gt;=Projects!$C$10,13&lt;Projects!$C$10+Projects!$D$10),Projects!$B$10*INDEX(Curves!$B$4:$AO$4,1,13-Projects!$C$10+1),0)+IF(AND(Projects!$G$11="Yes",13&gt;=Projects!$C$11,13&lt;Projects!$C$11+Projects!$D$11),Projects!$B$11*INDEX(Curves!$B$4:$AO$4,1,13-Projects!$C$11+1),0)+IF(AND(Projects!$G$12="Yes",13&gt;=Projects!$C$12,13&lt;Projects!$C$12+Projects!$D$12),Projects!$B$12*INDEX(Curves!$B$4:$AO$4,1,13-Projects!$C$12+1),0)+IF(AND(Projects!$G$13="Yes",13&gt;=Projects!$C$13,13&lt;Projects!$C$13+Projects!$D$13),Projects!$B$13*INDEX(Curves!$B$2:$AO$2,1,13-Projects!$C$13+1),0)+IF(AND(Projects!$G$14="Yes",13&gt;=Projects!$C$14,13&lt;Projects!$C$14+Projects!$D$14),Projects!$B$14*INDEX(Curves!$B$2:$AO$2,1,13-Projects!$C$14+1),0)+IF(AND(Projects!$G$15="Yes",13&gt;=Projects!$C$15,13&lt;Projects!$C$15+Projects!$D$15),Projects!$B$15*INDEX(Curves!$B$4:$AO$4,1,13-Projects!$C$15+1),0)+IF(AND(Projects!$G$16="Yes",13&gt;=Projects!$C$16,13&lt;Projects!$C$16+Projects!$D$16),Projects!$B$16*INDEX(Curves!$B$4:$AO$4,1,13-Projects!$C$16+1),0)</f>
        <v>8110312.2309200931</v>
      </c>
      <c r="P7" s="8">
        <f>IF(AND(Projects!$G$2="Yes",14&gt;=Projects!$C$2,14&lt;Projects!$C$2+Projects!$D$2),Projects!$B$2*INDEX(Curves!$B$6:$AO$6,1,14-Projects!$C$2+1),0)+IF(AND(Projects!$G$3="Yes",14&gt;=Projects!$C$3,14&lt;Projects!$C$3+Projects!$D$3),Projects!$B$3*INDEX(Curves!$B$7:$AO$7,1,14-Projects!$C$3+1),0)+IF(AND(Projects!$G$4="Yes",14&gt;=Projects!$C$4,14&lt;Projects!$C$4+Projects!$D$4),Projects!$B$4*INDEX(Curves!$B$8:$AO$8,1,14-Projects!$C$4+1),0)+IF(AND(Projects!$G$5="Yes",14&gt;=Projects!$C$5,14&lt;Projects!$C$5+Projects!$D$5),Projects!$B$5*INDEX(Curves!$B$9:$AO$9,1,14-Projects!$C$5+1),0)+IF(AND(Projects!$G$6="Yes",14&gt;=Projects!$C$6,14&lt;Projects!$C$6+Projects!$D$6),Projects!$B$6*INDEX(Curves!$B$4:$AO$4,1,14-Projects!$C$6+1),0)+IF(AND(Projects!$G$7="Yes",14&gt;=Projects!$C$7,14&lt;Projects!$C$7+Projects!$D$7),Projects!$B$7*INDEX(Curves!$B$3:$AO$3,1,14-Projects!$C$7+1),0)+IF(AND(Projects!$G$8="Yes",14&gt;=Projects!$C$8,14&lt;Projects!$C$8+Projects!$D$8),Projects!$B$8*INDEX(Curves!$B$4:$AO$4,1,14-Projects!$C$8+1),0)+IF(AND(Projects!$G$9="Yes",14&gt;=Projects!$C$9,14&lt;Projects!$C$9+Projects!$D$9),Projects!$B$9*INDEX(Curves!$B$2:$AO$2,1,14-Projects!$C$9+1),0)+IF(AND(Projects!$G$10="Yes",14&gt;=Projects!$C$10,14&lt;Projects!$C$10+Projects!$D$10),Projects!$B$10*INDEX(Curves!$B$4:$AO$4,1,14-Projects!$C$10+1),0)+IF(AND(Projects!$G$11="Yes",14&gt;=Projects!$C$11,14&lt;Projects!$C$11+Projects!$D$11),Projects!$B$11*INDEX(Curves!$B$4:$AO$4,1,14-Projects!$C$11+1),0)+IF(AND(Projects!$G$12="Yes",14&gt;=Projects!$C$12,14&lt;Projects!$C$12+Projects!$D$12),Projects!$B$12*INDEX(Curves!$B$4:$AO$4,1,14-Projects!$C$12+1),0)+IF(AND(Projects!$G$13="Yes",14&gt;=Projects!$C$13,14&lt;Projects!$C$13+Projects!$D$13),Projects!$B$13*INDEX(Curves!$B$2:$AO$2,1,14-Projects!$C$13+1),0)+IF(AND(Projects!$G$14="Yes",14&gt;=Projects!$C$14,14&lt;Projects!$C$14+Projects!$D$14),Projects!$B$14*INDEX(Curves!$B$2:$AO$2,1,14-Projects!$C$14+1),0)+IF(AND(Projects!$G$15="Yes",14&gt;=Projects!$C$15,14&lt;Projects!$C$15+Projects!$D$15),Projects!$B$15*INDEX(Curves!$B$4:$AO$4,1,14-Projects!$C$15+1),0)+IF(AND(Projects!$G$16="Yes",14&gt;=Projects!$C$16,14&lt;Projects!$C$16+Projects!$D$16),Projects!$B$16*INDEX(Curves!$B$4:$AO$4,1,14-Projects!$C$16+1),0)</f>
        <v>8161675.8743467145</v>
      </c>
      <c r="Q7" s="8">
        <f>IF(AND(Projects!$G$2="Yes",15&gt;=Projects!$C$2,15&lt;Projects!$C$2+Projects!$D$2),Projects!$B$2*INDEX(Curves!$B$6:$AO$6,1,15-Projects!$C$2+1),0)+IF(AND(Projects!$G$3="Yes",15&gt;=Projects!$C$3,15&lt;Projects!$C$3+Projects!$D$3),Projects!$B$3*INDEX(Curves!$B$7:$AO$7,1,15-Projects!$C$3+1),0)+IF(AND(Projects!$G$4="Yes",15&gt;=Projects!$C$4,15&lt;Projects!$C$4+Projects!$D$4),Projects!$B$4*INDEX(Curves!$B$8:$AO$8,1,15-Projects!$C$4+1),0)+IF(AND(Projects!$G$5="Yes",15&gt;=Projects!$C$5,15&lt;Projects!$C$5+Projects!$D$5),Projects!$B$5*INDEX(Curves!$B$9:$AO$9,1,15-Projects!$C$5+1),0)+IF(AND(Projects!$G$6="Yes",15&gt;=Projects!$C$6,15&lt;Projects!$C$6+Projects!$D$6),Projects!$B$6*INDEX(Curves!$B$4:$AO$4,1,15-Projects!$C$6+1),0)+IF(AND(Projects!$G$7="Yes",15&gt;=Projects!$C$7,15&lt;Projects!$C$7+Projects!$D$7),Projects!$B$7*INDEX(Curves!$B$3:$AO$3,1,15-Projects!$C$7+1),0)+IF(AND(Projects!$G$8="Yes",15&gt;=Projects!$C$8,15&lt;Projects!$C$8+Projects!$D$8),Projects!$B$8*INDEX(Curves!$B$4:$AO$4,1,15-Projects!$C$8+1),0)+IF(AND(Projects!$G$9="Yes",15&gt;=Projects!$C$9,15&lt;Projects!$C$9+Projects!$D$9),Projects!$B$9*INDEX(Curves!$B$2:$AO$2,1,15-Projects!$C$9+1),0)+IF(AND(Projects!$G$10="Yes",15&gt;=Projects!$C$10,15&lt;Projects!$C$10+Projects!$D$10),Projects!$B$10*INDEX(Curves!$B$4:$AO$4,1,15-Projects!$C$10+1),0)+IF(AND(Projects!$G$11="Yes",15&gt;=Projects!$C$11,15&lt;Projects!$C$11+Projects!$D$11),Projects!$B$11*INDEX(Curves!$B$4:$AO$4,1,15-Projects!$C$11+1),0)+IF(AND(Projects!$G$12="Yes",15&gt;=Projects!$C$12,15&lt;Projects!$C$12+Projects!$D$12),Projects!$B$12*INDEX(Curves!$B$4:$AO$4,1,15-Projects!$C$12+1),0)+IF(AND(Projects!$G$13="Yes",15&gt;=Projects!$C$13,15&lt;Projects!$C$13+Projects!$D$13),Projects!$B$13*INDEX(Curves!$B$2:$AO$2,1,15-Projects!$C$13+1),0)+IF(AND(Projects!$G$14="Yes",15&gt;=Projects!$C$14,15&lt;Projects!$C$14+Projects!$D$14),Projects!$B$14*INDEX(Curves!$B$2:$AO$2,1,15-Projects!$C$14+1),0)+IF(AND(Projects!$G$15="Yes",15&gt;=Projects!$C$15,15&lt;Projects!$C$15+Projects!$D$15),Projects!$B$15*INDEX(Curves!$B$4:$AO$4,1,15-Projects!$C$15+1),0)+IF(AND(Projects!$G$16="Yes",15&gt;=Projects!$C$16,15&lt;Projects!$C$16+Projects!$D$16),Projects!$B$16*INDEX(Curves!$B$4:$AO$4,1,15-Projects!$C$16+1),0)</f>
        <v>8150103.6855197214</v>
      </c>
      <c r="R7" s="8">
        <f>IF(AND(Projects!$G$2="Yes",16&gt;=Projects!$C$2,16&lt;Projects!$C$2+Projects!$D$2),Projects!$B$2*INDEX(Curves!$B$6:$AO$6,1,16-Projects!$C$2+1),0)+IF(AND(Projects!$G$3="Yes",16&gt;=Projects!$C$3,16&lt;Projects!$C$3+Projects!$D$3),Projects!$B$3*INDEX(Curves!$B$7:$AO$7,1,16-Projects!$C$3+1),0)+IF(AND(Projects!$G$4="Yes",16&gt;=Projects!$C$4,16&lt;Projects!$C$4+Projects!$D$4),Projects!$B$4*INDEX(Curves!$B$8:$AO$8,1,16-Projects!$C$4+1),0)+IF(AND(Projects!$G$5="Yes",16&gt;=Projects!$C$5,16&lt;Projects!$C$5+Projects!$D$5),Projects!$B$5*INDEX(Curves!$B$9:$AO$9,1,16-Projects!$C$5+1),0)+IF(AND(Projects!$G$6="Yes",16&gt;=Projects!$C$6,16&lt;Projects!$C$6+Projects!$D$6),Projects!$B$6*INDEX(Curves!$B$4:$AO$4,1,16-Projects!$C$6+1),0)+IF(AND(Projects!$G$7="Yes",16&gt;=Projects!$C$7,16&lt;Projects!$C$7+Projects!$D$7),Projects!$B$7*INDEX(Curves!$B$3:$AO$3,1,16-Projects!$C$7+1),0)+IF(AND(Projects!$G$8="Yes",16&gt;=Projects!$C$8,16&lt;Projects!$C$8+Projects!$D$8),Projects!$B$8*INDEX(Curves!$B$4:$AO$4,1,16-Projects!$C$8+1),0)+IF(AND(Projects!$G$9="Yes",16&gt;=Projects!$C$9,16&lt;Projects!$C$9+Projects!$D$9),Projects!$B$9*INDEX(Curves!$B$2:$AO$2,1,16-Projects!$C$9+1),0)+IF(AND(Projects!$G$10="Yes",16&gt;=Projects!$C$10,16&lt;Projects!$C$10+Projects!$D$10),Projects!$B$10*INDEX(Curves!$B$4:$AO$4,1,16-Projects!$C$10+1),0)+IF(AND(Projects!$G$11="Yes",16&gt;=Projects!$C$11,16&lt;Projects!$C$11+Projects!$D$11),Projects!$B$11*INDEX(Curves!$B$4:$AO$4,1,16-Projects!$C$11+1),0)+IF(AND(Projects!$G$12="Yes",16&gt;=Projects!$C$12,16&lt;Projects!$C$12+Projects!$D$12),Projects!$B$12*INDEX(Curves!$B$4:$AO$4,1,16-Projects!$C$12+1),0)+IF(AND(Projects!$G$13="Yes",16&gt;=Projects!$C$13,16&lt;Projects!$C$13+Projects!$D$13),Projects!$B$13*INDEX(Curves!$B$2:$AO$2,1,16-Projects!$C$13+1),0)+IF(AND(Projects!$G$14="Yes",16&gt;=Projects!$C$14,16&lt;Projects!$C$14+Projects!$D$14),Projects!$B$14*INDEX(Curves!$B$2:$AO$2,1,16-Projects!$C$14+1),0)+IF(AND(Projects!$G$15="Yes",16&gt;=Projects!$C$15,16&lt;Projects!$C$15+Projects!$D$15),Projects!$B$15*INDEX(Curves!$B$4:$AO$4,1,16-Projects!$C$15+1),0)+IF(AND(Projects!$G$16="Yes",16&gt;=Projects!$C$16,16&lt;Projects!$C$16+Projects!$D$16),Projects!$B$16*INDEX(Curves!$B$4:$AO$4,1,16-Projects!$C$16+1),0)</f>
        <v>7426580.2764052832</v>
      </c>
      <c r="S7" s="8">
        <f>IF(AND(Projects!$G$2="Yes",17&gt;=Projects!$C$2,17&lt;Projects!$C$2+Projects!$D$2),Projects!$B$2*INDEX(Curves!$B$6:$AO$6,1,17-Projects!$C$2+1),0)+IF(AND(Projects!$G$3="Yes",17&gt;=Projects!$C$3,17&lt;Projects!$C$3+Projects!$D$3),Projects!$B$3*INDEX(Curves!$B$7:$AO$7,1,17-Projects!$C$3+1),0)+IF(AND(Projects!$G$4="Yes",17&gt;=Projects!$C$4,17&lt;Projects!$C$4+Projects!$D$4),Projects!$B$4*INDEX(Curves!$B$8:$AO$8,1,17-Projects!$C$4+1),0)+IF(AND(Projects!$G$5="Yes",17&gt;=Projects!$C$5,17&lt;Projects!$C$5+Projects!$D$5),Projects!$B$5*INDEX(Curves!$B$9:$AO$9,1,17-Projects!$C$5+1),0)+IF(AND(Projects!$G$6="Yes",17&gt;=Projects!$C$6,17&lt;Projects!$C$6+Projects!$D$6),Projects!$B$6*INDEX(Curves!$B$4:$AO$4,1,17-Projects!$C$6+1),0)+IF(AND(Projects!$G$7="Yes",17&gt;=Projects!$C$7,17&lt;Projects!$C$7+Projects!$D$7),Projects!$B$7*INDEX(Curves!$B$3:$AO$3,1,17-Projects!$C$7+1),0)+IF(AND(Projects!$G$8="Yes",17&gt;=Projects!$C$8,17&lt;Projects!$C$8+Projects!$D$8),Projects!$B$8*INDEX(Curves!$B$4:$AO$4,1,17-Projects!$C$8+1),0)+IF(AND(Projects!$G$9="Yes",17&gt;=Projects!$C$9,17&lt;Projects!$C$9+Projects!$D$9),Projects!$B$9*INDEX(Curves!$B$2:$AO$2,1,17-Projects!$C$9+1),0)+IF(AND(Projects!$G$10="Yes",17&gt;=Projects!$C$10,17&lt;Projects!$C$10+Projects!$D$10),Projects!$B$10*INDEX(Curves!$B$4:$AO$4,1,17-Projects!$C$10+1),0)+IF(AND(Projects!$G$11="Yes",17&gt;=Projects!$C$11,17&lt;Projects!$C$11+Projects!$D$11),Projects!$B$11*INDEX(Curves!$B$4:$AO$4,1,17-Projects!$C$11+1),0)+IF(AND(Projects!$G$12="Yes",17&gt;=Projects!$C$12,17&lt;Projects!$C$12+Projects!$D$12),Projects!$B$12*INDEX(Curves!$B$4:$AO$4,1,17-Projects!$C$12+1),0)+IF(AND(Projects!$G$13="Yes",17&gt;=Projects!$C$13,17&lt;Projects!$C$13+Projects!$D$13),Projects!$B$13*INDEX(Curves!$B$2:$AO$2,1,17-Projects!$C$13+1),0)+IF(AND(Projects!$G$14="Yes",17&gt;=Projects!$C$14,17&lt;Projects!$C$14+Projects!$D$14),Projects!$B$14*INDEX(Curves!$B$2:$AO$2,1,17-Projects!$C$14+1),0)+IF(AND(Projects!$G$15="Yes",17&gt;=Projects!$C$15,17&lt;Projects!$C$15+Projects!$D$15),Projects!$B$15*INDEX(Curves!$B$4:$AO$4,1,17-Projects!$C$15+1),0)+IF(AND(Projects!$G$16="Yes",17&gt;=Projects!$C$16,17&lt;Projects!$C$16+Projects!$D$16),Projects!$B$16*INDEX(Curves!$B$4:$AO$4,1,17-Projects!$C$16+1),0)</f>
        <v>6953679.6521709999</v>
      </c>
      <c r="T7" s="8">
        <f>IF(AND(Projects!$G$2="Yes",18&gt;=Projects!$C$2,18&lt;Projects!$C$2+Projects!$D$2),Projects!$B$2*INDEX(Curves!$B$6:$AO$6,1,18-Projects!$C$2+1),0)+IF(AND(Projects!$G$3="Yes",18&gt;=Projects!$C$3,18&lt;Projects!$C$3+Projects!$D$3),Projects!$B$3*INDEX(Curves!$B$7:$AO$7,1,18-Projects!$C$3+1),0)+IF(AND(Projects!$G$4="Yes",18&gt;=Projects!$C$4,18&lt;Projects!$C$4+Projects!$D$4),Projects!$B$4*INDEX(Curves!$B$8:$AO$8,1,18-Projects!$C$4+1),0)+IF(AND(Projects!$G$5="Yes",18&gt;=Projects!$C$5,18&lt;Projects!$C$5+Projects!$D$5),Projects!$B$5*INDEX(Curves!$B$9:$AO$9,1,18-Projects!$C$5+1),0)+IF(AND(Projects!$G$6="Yes",18&gt;=Projects!$C$6,18&lt;Projects!$C$6+Projects!$D$6),Projects!$B$6*INDEX(Curves!$B$4:$AO$4,1,18-Projects!$C$6+1),0)+IF(AND(Projects!$G$7="Yes",18&gt;=Projects!$C$7,18&lt;Projects!$C$7+Projects!$D$7),Projects!$B$7*INDEX(Curves!$B$3:$AO$3,1,18-Projects!$C$7+1),0)+IF(AND(Projects!$G$8="Yes",18&gt;=Projects!$C$8,18&lt;Projects!$C$8+Projects!$D$8),Projects!$B$8*INDEX(Curves!$B$4:$AO$4,1,18-Projects!$C$8+1),0)+IF(AND(Projects!$G$9="Yes",18&gt;=Projects!$C$9,18&lt;Projects!$C$9+Projects!$D$9),Projects!$B$9*INDEX(Curves!$B$2:$AO$2,1,18-Projects!$C$9+1),0)+IF(AND(Projects!$G$10="Yes",18&gt;=Projects!$C$10,18&lt;Projects!$C$10+Projects!$D$10),Projects!$B$10*INDEX(Curves!$B$4:$AO$4,1,18-Projects!$C$10+1),0)+IF(AND(Projects!$G$11="Yes",18&gt;=Projects!$C$11,18&lt;Projects!$C$11+Projects!$D$11),Projects!$B$11*INDEX(Curves!$B$4:$AO$4,1,18-Projects!$C$11+1),0)+IF(AND(Projects!$G$12="Yes",18&gt;=Projects!$C$12,18&lt;Projects!$C$12+Projects!$D$12),Projects!$B$12*INDEX(Curves!$B$4:$AO$4,1,18-Projects!$C$12+1),0)+IF(AND(Projects!$G$13="Yes",18&gt;=Projects!$C$13,18&lt;Projects!$C$13+Projects!$D$13),Projects!$B$13*INDEX(Curves!$B$2:$AO$2,1,18-Projects!$C$13+1),0)+IF(AND(Projects!$G$14="Yes",18&gt;=Projects!$C$14,18&lt;Projects!$C$14+Projects!$D$14),Projects!$B$14*INDEX(Curves!$B$2:$AO$2,1,18-Projects!$C$14+1),0)+IF(AND(Projects!$G$15="Yes",18&gt;=Projects!$C$15,18&lt;Projects!$C$15+Projects!$D$15),Projects!$B$15*INDEX(Curves!$B$4:$AO$4,1,18-Projects!$C$15+1),0)+IF(AND(Projects!$G$16="Yes",18&gt;=Projects!$C$16,18&lt;Projects!$C$16+Projects!$D$16),Projects!$B$16*INDEX(Curves!$B$4:$AO$4,1,18-Projects!$C$16+1),0)</f>
        <v>6952865.2381719993</v>
      </c>
      <c r="U7" s="8">
        <f>IF(AND(Projects!$G$2="Yes",19&gt;=Projects!$C$2,19&lt;Projects!$C$2+Projects!$D$2),Projects!$B$2*INDEX(Curves!$B$6:$AO$6,1,19-Projects!$C$2+1),0)+IF(AND(Projects!$G$3="Yes",19&gt;=Projects!$C$3,19&lt;Projects!$C$3+Projects!$D$3),Projects!$B$3*INDEX(Curves!$B$7:$AO$7,1,19-Projects!$C$3+1),0)+IF(AND(Projects!$G$4="Yes",19&gt;=Projects!$C$4,19&lt;Projects!$C$4+Projects!$D$4),Projects!$B$4*INDEX(Curves!$B$8:$AO$8,1,19-Projects!$C$4+1),0)+IF(AND(Projects!$G$5="Yes",19&gt;=Projects!$C$5,19&lt;Projects!$C$5+Projects!$D$5),Projects!$B$5*INDEX(Curves!$B$9:$AO$9,1,19-Projects!$C$5+1),0)+IF(AND(Projects!$G$6="Yes",19&gt;=Projects!$C$6,19&lt;Projects!$C$6+Projects!$D$6),Projects!$B$6*INDEX(Curves!$B$4:$AO$4,1,19-Projects!$C$6+1),0)+IF(AND(Projects!$G$7="Yes",19&gt;=Projects!$C$7,19&lt;Projects!$C$7+Projects!$D$7),Projects!$B$7*INDEX(Curves!$B$3:$AO$3,1,19-Projects!$C$7+1),0)+IF(AND(Projects!$G$8="Yes",19&gt;=Projects!$C$8,19&lt;Projects!$C$8+Projects!$D$8),Projects!$B$8*INDEX(Curves!$B$4:$AO$4,1,19-Projects!$C$8+1),0)+IF(AND(Projects!$G$9="Yes",19&gt;=Projects!$C$9,19&lt;Projects!$C$9+Projects!$D$9),Projects!$B$9*INDEX(Curves!$B$2:$AO$2,1,19-Projects!$C$9+1),0)+IF(AND(Projects!$G$10="Yes",19&gt;=Projects!$C$10,19&lt;Projects!$C$10+Projects!$D$10),Projects!$B$10*INDEX(Curves!$B$4:$AO$4,1,19-Projects!$C$10+1),0)+IF(AND(Projects!$G$11="Yes",19&gt;=Projects!$C$11,19&lt;Projects!$C$11+Projects!$D$11),Projects!$B$11*INDEX(Curves!$B$4:$AO$4,1,19-Projects!$C$11+1),0)+IF(AND(Projects!$G$12="Yes",19&gt;=Projects!$C$12,19&lt;Projects!$C$12+Projects!$D$12),Projects!$B$12*INDEX(Curves!$B$4:$AO$4,1,19-Projects!$C$12+1),0)+IF(AND(Projects!$G$13="Yes",19&gt;=Projects!$C$13,19&lt;Projects!$C$13+Projects!$D$13),Projects!$B$13*INDEX(Curves!$B$2:$AO$2,1,19-Projects!$C$13+1),0)+IF(AND(Projects!$G$14="Yes",19&gt;=Projects!$C$14,19&lt;Projects!$C$14+Projects!$D$14),Projects!$B$14*INDEX(Curves!$B$2:$AO$2,1,19-Projects!$C$14+1),0)+IF(AND(Projects!$G$15="Yes",19&gt;=Projects!$C$15,19&lt;Projects!$C$15+Projects!$D$15),Projects!$B$15*INDEX(Curves!$B$4:$AO$4,1,19-Projects!$C$15+1),0)+IF(AND(Projects!$G$16="Yes",19&gt;=Projects!$C$16,19&lt;Projects!$C$16+Projects!$D$16),Projects!$B$16*INDEX(Curves!$B$4:$AO$4,1,19-Projects!$C$16+1),0)</f>
        <v>6855721.4881119998</v>
      </c>
      <c r="V7" s="8">
        <f>IF(AND(Projects!$G$2="Yes",20&gt;=Projects!$C$2,20&lt;Projects!$C$2+Projects!$D$2),Projects!$B$2*INDEX(Curves!$B$6:$AO$6,1,20-Projects!$C$2+1),0)+IF(AND(Projects!$G$3="Yes",20&gt;=Projects!$C$3,20&lt;Projects!$C$3+Projects!$D$3),Projects!$B$3*INDEX(Curves!$B$7:$AO$7,1,20-Projects!$C$3+1),0)+IF(AND(Projects!$G$4="Yes",20&gt;=Projects!$C$4,20&lt;Projects!$C$4+Projects!$D$4),Projects!$B$4*INDEX(Curves!$B$8:$AO$8,1,20-Projects!$C$4+1),0)+IF(AND(Projects!$G$5="Yes",20&gt;=Projects!$C$5,20&lt;Projects!$C$5+Projects!$D$5),Projects!$B$5*INDEX(Curves!$B$9:$AO$9,1,20-Projects!$C$5+1),0)+IF(AND(Projects!$G$6="Yes",20&gt;=Projects!$C$6,20&lt;Projects!$C$6+Projects!$D$6),Projects!$B$6*INDEX(Curves!$B$4:$AO$4,1,20-Projects!$C$6+1),0)+IF(AND(Projects!$G$7="Yes",20&gt;=Projects!$C$7,20&lt;Projects!$C$7+Projects!$D$7),Projects!$B$7*INDEX(Curves!$B$3:$AO$3,1,20-Projects!$C$7+1),0)+IF(AND(Projects!$G$8="Yes",20&gt;=Projects!$C$8,20&lt;Projects!$C$8+Projects!$D$8),Projects!$B$8*INDEX(Curves!$B$4:$AO$4,1,20-Projects!$C$8+1),0)+IF(AND(Projects!$G$9="Yes",20&gt;=Projects!$C$9,20&lt;Projects!$C$9+Projects!$D$9),Projects!$B$9*INDEX(Curves!$B$2:$AO$2,1,20-Projects!$C$9+1),0)+IF(AND(Projects!$G$10="Yes",20&gt;=Projects!$C$10,20&lt;Projects!$C$10+Projects!$D$10),Projects!$B$10*INDEX(Curves!$B$4:$AO$4,1,20-Projects!$C$10+1),0)+IF(AND(Projects!$G$11="Yes",20&gt;=Projects!$C$11,20&lt;Projects!$C$11+Projects!$D$11),Projects!$B$11*INDEX(Curves!$B$4:$AO$4,1,20-Projects!$C$11+1),0)+IF(AND(Projects!$G$12="Yes",20&gt;=Projects!$C$12,20&lt;Projects!$C$12+Projects!$D$12),Projects!$B$12*INDEX(Curves!$B$4:$AO$4,1,20-Projects!$C$12+1),0)+IF(AND(Projects!$G$13="Yes",20&gt;=Projects!$C$13,20&lt;Projects!$C$13+Projects!$D$13),Projects!$B$13*INDEX(Curves!$B$2:$AO$2,1,20-Projects!$C$13+1),0)+IF(AND(Projects!$G$14="Yes",20&gt;=Projects!$C$14,20&lt;Projects!$C$14+Projects!$D$14),Projects!$B$14*INDEX(Curves!$B$2:$AO$2,1,20-Projects!$C$14+1),0)+IF(AND(Projects!$G$15="Yes",20&gt;=Projects!$C$15,20&lt;Projects!$C$15+Projects!$D$15),Projects!$B$15*INDEX(Curves!$B$4:$AO$4,1,20-Projects!$C$15+1),0)+IF(AND(Projects!$G$16="Yes",20&gt;=Projects!$C$16,20&lt;Projects!$C$16+Projects!$D$16),Projects!$B$16*INDEX(Curves!$B$4:$AO$4,1,20-Projects!$C$16+1),0)</f>
        <v>6596426.2375599993</v>
      </c>
      <c r="W7" s="8">
        <f>IF(AND(Projects!$G$2="Yes",21&gt;=Projects!$C$2,21&lt;Projects!$C$2+Projects!$D$2),Projects!$B$2*INDEX(Curves!$B$6:$AO$6,1,21-Projects!$C$2+1),0)+IF(AND(Projects!$G$3="Yes",21&gt;=Projects!$C$3,21&lt;Projects!$C$3+Projects!$D$3),Projects!$B$3*INDEX(Curves!$B$7:$AO$7,1,21-Projects!$C$3+1),0)+IF(AND(Projects!$G$4="Yes",21&gt;=Projects!$C$4,21&lt;Projects!$C$4+Projects!$D$4),Projects!$B$4*INDEX(Curves!$B$8:$AO$8,1,21-Projects!$C$4+1),0)+IF(AND(Projects!$G$5="Yes",21&gt;=Projects!$C$5,21&lt;Projects!$C$5+Projects!$D$5),Projects!$B$5*INDEX(Curves!$B$9:$AO$9,1,21-Projects!$C$5+1),0)+IF(AND(Projects!$G$6="Yes",21&gt;=Projects!$C$6,21&lt;Projects!$C$6+Projects!$D$6),Projects!$B$6*INDEX(Curves!$B$4:$AO$4,1,21-Projects!$C$6+1),0)+IF(AND(Projects!$G$7="Yes",21&gt;=Projects!$C$7,21&lt;Projects!$C$7+Projects!$D$7),Projects!$B$7*INDEX(Curves!$B$3:$AO$3,1,21-Projects!$C$7+1),0)+IF(AND(Projects!$G$8="Yes",21&gt;=Projects!$C$8,21&lt;Projects!$C$8+Projects!$D$8),Projects!$B$8*INDEX(Curves!$B$4:$AO$4,1,21-Projects!$C$8+1),0)+IF(AND(Projects!$G$9="Yes",21&gt;=Projects!$C$9,21&lt;Projects!$C$9+Projects!$D$9),Projects!$B$9*INDEX(Curves!$B$2:$AO$2,1,21-Projects!$C$9+1),0)+IF(AND(Projects!$G$10="Yes",21&gt;=Projects!$C$10,21&lt;Projects!$C$10+Projects!$D$10),Projects!$B$10*INDEX(Curves!$B$4:$AO$4,1,21-Projects!$C$10+1),0)+IF(AND(Projects!$G$11="Yes",21&gt;=Projects!$C$11,21&lt;Projects!$C$11+Projects!$D$11),Projects!$B$11*INDEX(Curves!$B$4:$AO$4,1,21-Projects!$C$11+1),0)+IF(AND(Projects!$G$12="Yes",21&gt;=Projects!$C$12,21&lt;Projects!$C$12+Projects!$D$12),Projects!$B$12*INDEX(Curves!$B$4:$AO$4,1,21-Projects!$C$12+1),0)+IF(AND(Projects!$G$13="Yes",21&gt;=Projects!$C$13,21&lt;Projects!$C$13+Projects!$D$13),Projects!$B$13*INDEX(Curves!$B$2:$AO$2,1,21-Projects!$C$13+1),0)+IF(AND(Projects!$G$14="Yes",21&gt;=Projects!$C$14,21&lt;Projects!$C$14+Projects!$D$14),Projects!$B$14*INDEX(Curves!$B$2:$AO$2,1,21-Projects!$C$14+1),0)+IF(AND(Projects!$G$15="Yes",21&gt;=Projects!$C$15,21&lt;Projects!$C$15+Projects!$D$15),Projects!$B$15*INDEX(Curves!$B$4:$AO$4,1,21-Projects!$C$15+1),0)+IF(AND(Projects!$G$16="Yes",21&gt;=Projects!$C$16,21&lt;Projects!$C$16+Projects!$D$16),Projects!$B$16*INDEX(Curves!$B$4:$AO$4,1,21-Projects!$C$16+1),0)</f>
        <v>6358183.9050899995</v>
      </c>
      <c r="X7" s="8">
        <f>IF(AND(Projects!$G$2="Yes",22&gt;=Projects!$C$2,22&lt;Projects!$C$2+Projects!$D$2),Projects!$B$2*INDEX(Curves!$B$6:$AO$6,1,22-Projects!$C$2+1),0)+IF(AND(Projects!$G$3="Yes",22&gt;=Projects!$C$3,22&lt;Projects!$C$3+Projects!$D$3),Projects!$B$3*INDEX(Curves!$B$7:$AO$7,1,22-Projects!$C$3+1),0)+IF(AND(Projects!$G$4="Yes",22&gt;=Projects!$C$4,22&lt;Projects!$C$4+Projects!$D$4),Projects!$B$4*INDEX(Curves!$B$8:$AO$8,1,22-Projects!$C$4+1),0)+IF(AND(Projects!$G$5="Yes",22&gt;=Projects!$C$5,22&lt;Projects!$C$5+Projects!$D$5),Projects!$B$5*INDEX(Curves!$B$9:$AO$9,1,22-Projects!$C$5+1),0)+IF(AND(Projects!$G$6="Yes",22&gt;=Projects!$C$6,22&lt;Projects!$C$6+Projects!$D$6),Projects!$B$6*INDEX(Curves!$B$4:$AO$4,1,22-Projects!$C$6+1),0)+IF(AND(Projects!$G$7="Yes",22&gt;=Projects!$C$7,22&lt;Projects!$C$7+Projects!$D$7),Projects!$B$7*INDEX(Curves!$B$3:$AO$3,1,22-Projects!$C$7+1),0)+IF(AND(Projects!$G$8="Yes",22&gt;=Projects!$C$8,22&lt;Projects!$C$8+Projects!$D$8),Projects!$B$8*INDEX(Curves!$B$4:$AO$4,1,22-Projects!$C$8+1),0)+IF(AND(Projects!$G$9="Yes",22&gt;=Projects!$C$9,22&lt;Projects!$C$9+Projects!$D$9),Projects!$B$9*INDEX(Curves!$B$2:$AO$2,1,22-Projects!$C$9+1),0)+IF(AND(Projects!$G$10="Yes",22&gt;=Projects!$C$10,22&lt;Projects!$C$10+Projects!$D$10),Projects!$B$10*INDEX(Curves!$B$4:$AO$4,1,22-Projects!$C$10+1),0)+IF(AND(Projects!$G$11="Yes",22&gt;=Projects!$C$11,22&lt;Projects!$C$11+Projects!$D$11),Projects!$B$11*INDEX(Curves!$B$4:$AO$4,1,22-Projects!$C$11+1),0)+IF(AND(Projects!$G$12="Yes",22&gt;=Projects!$C$12,22&lt;Projects!$C$12+Projects!$D$12),Projects!$B$12*INDEX(Curves!$B$4:$AO$4,1,22-Projects!$C$12+1),0)+IF(AND(Projects!$G$13="Yes",22&gt;=Projects!$C$13,22&lt;Projects!$C$13+Projects!$D$13),Projects!$B$13*INDEX(Curves!$B$2:$AO$2,1,22-Projects!$C$13+1),0)+IF(AND(Projects!$G$14="Yes",22&gt;=Projects!$C$14,22&lt;Projects!$C$14+Projects!$D$14),Projects!$B$14*INDEX(Curves!$B$2:$AO$2,1,22-Projects!$C$14+1),0)+IF(AND(Projects!$G$15="Yes",22&gt;=Projects!$C$15,22&lt;Projects!$C$15+Projects!$D$15),Projects!$B$15*INDEX(Curves!$B$4:$AO$4,1,22-Projects!$C$15+1),0)+IF(AND(Projects!$G$16="Yes",22&gt;=Projects!$C$16,22&lt;Projects!$C$16+Projects!$D$16),Projects!$B$16*INDEX(Curves!$B$4:$AO$4,1,22-Projects!$C$16+1),0)</f>
        <v>6061199.8681680001</v>
      </c>
      <c r="Y7" s="8">
        <f>IF(AND(Projects!$G$2="Yes",23&gt;=Projects!$C$2,23&lt;Projects!$C$2+Projects!$D$2),Projects!$B$2*INDEX(Curves!$B$6:$AO$6,1,23-Projects!$C$2+1),0)+IF(AND(Projects!$G$3="Yes",23&gt;=Projects!$C$3,23&lt;Projects!$C$3+Projects!$D$3),Projects!$B$3*INDEX(Curves!$B$7:$AO$7,1,23-Projects!$C$3+1),0)+IF(AND(Projects!$G$4="Yes",23&gt;=Projects!$C$4,23&lt;Projects!$C$4+Projects!$D$4),Projects!$B$4*INDEX(Curves!$B$8:$AO$8,1,23-Projects!$C$4+1),0)+IF(AND(Projects!$G$5="Yes",23&gt;=Projects!$C$5,23&lt;Projects!$C$5+Projects!$D$5),Projects!$B$5*INDEX(Curves!$B$9:$AO$9,1,23-Projects!$C$5+1),0)+IF(AND(Projects!$G$6="Yes",23&gt;=Projects!$C$6,23&lt;Projects!$C$6+Projects!$D$6),Projects!$B$6*INDEX(Curves!$B$4:$AO$4,1,23-Projects!$C$6+1),0)+IF(AND(Projects!$G$7="Yes",23&gt;=Projects!$C$7,23&lt;Projects!$C$7+Projects!$D$7),Projects!$B$7*INDEX(Curves!$B$3:$AO$3,1,23-Projects!$C$7+1),0)+IF(AND(Projects!$G$8="Yes",23&gt;=Projects!$C$8,23&lt;Projects!$C$8+Projects!$D$8),Projects!$B$8*INDEX(Curves!$B$4:$AO$4,1,23-Projects!$C$8+1),0)+IF(AND(Projects!$G$9="Yes",23&gt;=Projects!$C$9,23&lt;Projects!$C$9+Projects!$D$9),Projects!$B$9*INDEX(Curves!$B$2:$AO$2,1,23-Projects!$C$9+1),0)+IF(AND(Projects!$G$10="Yes",23&gt;=Projects!$C$10,23&lt;Projects!$C$10+Projects!$D$10),Projects!$B$10*INDEX(Curves!$B$4:$AO$4,1,23-Projects!$C$10+1),0)+IF(AND(Projects!$G$11="Yes",23&gt;=Projects!$C$11,23&lt;Projects!$C$11+Projects!$D$11),Projects!$B$11*INDEX(Curves!$B$4:$AO$4,1,23-Projects!$C$11+1),0)+IF(AND(Projects!$G$12="Yes",23&gt;=Projects!$C$12,23&lt;Projects!$C$12+Projects!$D$12),Projects!$B$12*INDEX(Curves!$B$4:$AO$4,1,23-Projects!$C$12+1),0)+IF(AND(Projects!$G$13="Yes",23&gt;=Projects!$C$13,23&lt;Projects!$C$13+Projects!$D$13),Projects!$B$13*INDEX(Curves!$B$2:$AO$2,1,23-Projects!$C$13+1),0)+IF(AND(Projects!$G$14="Yes",23&gt;=Projects!$C$14,23&lt;Projects!$C$14+Projects!$D$14),Projects!$B$14*INDEX(Curves!$B$2:$AO$2,1,23-Projects!$C$14+1),0)+IF(AND(Projects!$G$15="Yes",23&gt;=Projects!$C$15,23&lt;Projects!$C$15+Projects!$D$15),Projects!$B$15*INDEX(Curves!$B$4:$AO$4,1,23-Projects!$C$15+1),0)+IF(AND(Projects!$G$16="Yes",23&gt;=Projects!$C$16,23&lt;Projects!$C$16+Projects!$D$16),Projects!$B$16*INDEX(Curves!$B$4:$AO$4,1,23-Projects!$C$16+1),0)</f>
        <v>5722621.2391489996</v>
      </c>
      <c r="Z7" s="8">
        <f>IF(AND(Projects!$G$2="Yes",24&gt;=Projects!$C$2,24&lt;Projects!$C$2+Projects!$D$2),Projects!$B$2*INDEX(Curves!$B$6:$AO$6,1,24-Projects!$C$2+1),0)+IF(AND(Projects!$G$3="Yes",24&gt;=Projects!$C$3,24&lt;Projects!$C$3+Projects!$D$3),Projects!$B$3*INDEX(Curves!$B$7:$AO$7,1,24-Projects!$C$3+1),0)+IF(AND(Projects!$G$4="Yes",24&gt;=Projects!$C$4,24&lt;Projects!$C$4+Projects!$D$4),Projects!$B$4*INDEX(Curves!$B$8:$AO$8,1,24-Projects!$C$4+1),0)+IF(AND(Projects!$G$5="Yes",24&gt;=Projects!$C$5,24&lt;Projects!$C$5+Projects!$D$5),Projects!$B$5*INDEX(Curves!$B$9:$AO$9,1,24-Projects!$C$5+1),0)+IF(AND(Projects!$G$6="Yes",24&gt;=Projects!$C$6,24&lt;Projects!$C$6+Projects!$D$6),Projects!$B$6*INDEX(Curves!$B$4:$AO$4,1,24-Projects!$C$6+1),0)+IF(AND(Projects!$G$7="Yes",24&gt;=Projects!$C$7,24&lt;Projects!$C$7+Projects!$D$7),Projects!$B$7*INDEX(Curves!$B$3:$AO$3,1,24-Projects!$C$7+1),0)+IF(AND(Projects!$G$8="Yes",24&gt;=Projects!$C$8,24&lt;Projects!$C$8+Projects!$D$8),Projects!$B$8*INDEX(Curves!$B$4:$AO$4,1,24-Projects!$C$8+1),0)+IF(AND(Projects!$G$9="Yes",24&gt;=Projects!$C$9,24&lt;Projects!$C$9+Projects!$D$9),Projects!$B$9*INDEX(Curves!$B$2:$AO$2,1,24-Projects!$C$9+1),0)+IF(AND(Projects!$G$10="Yes",24&gt;=Projects!$C$10,24&lt;Projects!$C$10+Projects!$D$10),Projects!$B$10*INDEX(Curves!$B$4:$AO$4,1,24-Projects!$C$10+1),0)+IF(AND(Projects!$G$11="Yes",24&gt;=Projects!$C$11,24&lt;Projects!$C$11+Projects!$D$11),Projects!$B$11*INDEX(Curves!$B$4:$AO$4,1,24-Projects!$C$11+1),0)+IF(AND(Projects!$G$12="Yes",24&gt;=Projects!$C$12,24&lt;Projects!$C$12+Projects!$D$12),Projects!$B$12*INDEX(Curves!$B$4:$AO$4,1,24-Projects!$C$12+1),0)+IF(AND(Projects!$G$13="Yes",24&gt;=Projects!$C$13,24&lt;Projects!$C$13+Projects!$D$13),Projects!$B$13*INDEX(Curves!$B$2:$AO$2,1,24-Projects!$C$13+1),0)+IF(AND(Projects!$G$14="Yes",24&gt;=Projects!$C$14,24&lt;Projects!$C$14+Projects!$D$14),Projects!$B$14*INDEX(Curves!$B$2:$AO$2,1,24-Projects!$C$14+1),0)+IF(AND(Projects!$G$15="Yes",24&gt;=Projects!$C$15,24&lt;Projects!$C$15+Projects!$D$15),Projects!$B$15*INDEX(Curves!$B$4:$AO$4,1,24-Projects!$C$15+1),0)+IF(AND(Projects!$G$16="Yes",24&gt;=Projects!$C$16,24&lt;Projects!$C$16+Projects!$D$16),Projects!$B$16*INDEX(Curves!$B$4:$AO$4,1,24-Projects!$C$16+1),0)</f>
        <v>5359200.3904109998</v>
      </c>
      <c r="AA7" s="8">
        <f>IF(AND(Projects!$G$2="Yes",25&gt;=Projects!$C$2,25&lt;Projects!$C$2+Projects!$D$2),Projects!$B$2*INDEX(Curves!$B$6:$AO$6,1,25-Projects!$C$2+1),0)+IF(AND(Projects!$G$3="Yes",25&gt;=Projects!$C$3,25&lt;Projects!$C$3+Projects!$D$3),Projects!$B$3*INDEX(Curves!$B$7:$AO$7,1,25-Projects!$C$3+1),0)+IF(AND(Projects!$G$4="Yes",25&gt;=Projects!$C$4,25&lt;Projects!$C$4+Projects!$D$4),Projects!$B$4*INDEX(Curves!$B$8:$AO$8,1,25-Projects!$C$4+1),0)+IF(AND(Projects!$G$5="Yes",25&gt;=Projects!$C$5,25&lt;Projects!$C$5+Projects!$D$5),Projects!$B$5*INDEX(Curves!$B$9:$AO$9,1,25-Projects!$C$5+1),0)+IF(AND(Projects!$G$6="Yes",25&gt;=Projects!$C$6,25&lt;Projects!$C$6+Projects!$D$6),Projects!$B$6*INDEX(Curves!$B$4:$AO$4,1,25-Projects!$C$6+1),0)+IF(AND(Projects!$G$7="Yes",25&gt;=Projects!$C$7,25&lt;Projects!$C$7+Projects!$D$7),Projects!$B$7*INDEX(Curves!$B$3:$AO$3,1,25-Projects!$C$7+1),0)+IF(AND(Projects!$G$8="Yes",25&gt;=Projects!$C$8,25&lt;Projects!$C$8+Projects!$D$8),Projects!$B$8*INDEX(Curves!$B$4:$AO$4,1,25-Projects!$C$8+1),0)+IF(AND(Projects!$G$9="Yes",25&gt;=Projects!$C$9,25&lt;Projects!$C$9+Projects!$D$9),Projects!$B$9*INDEX(Curves!$B$2:$AO$2,1,25-Projects!$C$9+1),0)+IF(AND(Projects!$G$10="Yes",25&gt;=Projects!$C$10,25&lt;Projects!$C$10+Projects!$D$10),Projects!$B$10*INDEX(Curves!$B$4:$AO$4,1,25-Projects!$C$10+1),0)+IF(AND(Projects!$G$11="Yes",25&gt;=Projects!$C$11,25&lt;Projects!$C$11+Projects!$D$11),Projects!$B$11*INDEX(Curves!$B$4:$AO$4,1,25-Projects!$C$11+1),0)+IF(AND(Projects!$G$12="Yes",25&gt;=Projects!$C$12,25&lt;Projects!$C$12+Projects!$D$12),Projects!$B$12*INDEX(Curves!$B$4:$AO$4,1,25-Projects!$C$12+1),0)+IF(AND(Projects!$G$13="Yes",25&gt;=Projects!$C$13,25&lt;Projects!$C$13+Projects!$D$13),Projects!$B$13*INDEX(Curves!$B$2:$AO$2,1,25-Projects!$C$13+1),0)+IF(AND(Projects!$G$14="Yes",25&gt;=Projects!$C$14,25&lt;Projects!$C$14+Projects!$D$14),Projects!$B$14*INDEX(Curves!$B$2:$AO$2,1,25-Projects!$C$14+1),0)+IF(AND(Projects!$G$15="Yes",25&gt;=Projects!$C$15,25&lt;Projects!$C$15+Projects!$D$15),Projects!$B$15*INDEX(Curves!$B$4:$AO$4,1,25-Projects!$C$15+1),0)+IF(AND(Projects!$G$16="Yes",25&gt;=Projects!$C$16,25&lt;Projects!$C$16+Projects!$D$16),Projects!$B$16*INDEX(Curves!$B$4:$AO$4,1,25-Projects!$C$16+1),0)</f>
        <v>4985653.1301839994</v>
      </c>
      <c r="AB7" s="8">
        <f>IF(AND(Projects!$G$2="Yes",26&gt;=Projects!$C$2,26&lt;Projects!$C$2+Projects!$D$2),Projects!$B$2*INDEX(Curves!$B$6:$AO$6,1,26-Projects!$C$2+1),0)+IF(AND(Projects!$G$3="Yes",26&gt;=Projects!$C$3,26&lt;Projects!$C$3+Projects!$D$3),Projects!$B$3*INDEX(Curves!$B$7:$AO$7,1,26-Projects!$C$3+1),0)+IF(AND(Projects!$G$4="Yes",26&gt;=Projects!$C$4,26&lt;Projects!$C$4+Projects!$D$4),Projects!$B$4*INDEX(Curves!$B$8:$AO$8,1,26-Projects!$C$4+1),0)+IF(AND(Projects!$G$5="Yes",26&gt;=Projects!$C$5,26&lt;Projects!$C$5+Projects!$D$5),Projects!$B$5*INDEX(Curves!$B$9:$AO$9,1,26-Projects!$C$5+1),0)+IF(AND(Projects!$G$6="Yes",26&gt;=Projects!$C$6,26&lt;Projects!$C$6+Projects!$D$6),Projects!$B$6*INDEX(Curves!$B$4:$AO$4,1,26-Projects!$C$6+1),0)+IF(AND(Projects!$G$7="Yes",26&gt;=Projects!$C$7,26&lt;Projects!$C$7+Projects!$D$7),Projects!$B$7*INDEX(Curves!$B$3:$AO$3,1,26-Projects!$C$7+1),0)+IF(AND(Projects!$G$8="Yes",26&gt;=Projects!$C$8,26&lt;Projects!$C$8+Projects!$D$8),Projects!$B$8*INDEX(Curves!$B$4:$AO$4,1,26-Projects!$C$8+1),0)+IF(AND(Projects!$G$9="Yes",26&gt;=Projects!$C$9,26&lt;Projects!$C$9+Projects!$D$9),Projects!$B$9*INDEX(Curves!$B$2:$AO$2,1,26-Projects!$C$9+1),0)+IF(AND(Projects!$G$10="Yes",26&gt;=Projects!$C$10,26&lt;Projects!$C$10+Projects!$D$10),Projects!$B$10*INDEX(Curves!$B$4:$AO$4,1,26-Projects!$C$10+1),0)+IF(AND(Projects!$G$11="Yes",26&gt;=Projects!$C$11,26&lt;Projects!$C$11+Projects!$D$11),Projects!$B$11*INDEX(Curves!$B$4:$AO$4,1,26-Projects!$C$11+1),0)+IF(AND(Projects!$G$12="Yes",26&gt;=Projects!$C$12,26&lt;Projects!$C$12+Projects!$D$12),Projects!$B$12*INDEX(Curves!$B$4:$AO$4,1,26-Projects!$C$12+1),0)+IF(AND(Projects!$G$13="Yes",26&gt;=Projects!$C$13,26&lt;Projects!$C$13+Projects!$D$13),Projects!$B$13*INDEX(Curves!$B$2:$AO$2,1,26-Projects!$C$13+1),0)+IF(AND(Projects!$G$14="Yes",26&gt;=Projects!$C$14,26&lt;Projects!$C$14+Projects!$D$14),Projects!$B$14*INDEX(Curves!$B$2:$AO$2,1,26-Projects!$C$14+1),0)+IF(AND(Projects!$G$15="Yes",26&gt;=Projects!$C$15,26&lt;Projects!$C$15+Projects!$D$15),Projects!$B$15*INDEX(Curves!$B$4:$AO$4,1,26-Projects!$C$15+1),0)+IF(AND(Projects!$G$16="Yes",26&gt;=Projects!$C$16,26&lt;Projects!$C$16+Projects!$D$16),Projects!$B$16*INDEX(Curves!$B$4:$AO$4,1,26-Projects!$C$16+1),0)</f>
        <v>4328879.6518399995</v>
      </c>
      <c r="AC7" s="8">
        <f>IF(AND(Projects!$G$2="Yes",27&gt;=Projects!$C$2,27&lt;Projects!$C$2+Projects!$D$2),Projects!$B$2*INDEX(Curves!$B$6:$AO$6,1,27-Projects!$C$2+1),0)+IF(AND(Projects!$G$3="Yes",27&gt;=Projects!$C$3,27&lt;Projects!$C$3+Projects!$D$3),Projects!$B$3*INDEX(Curves!$B$7:$AO$7,1,27-Projects!$C$3+1),0)+IF(AND(Projects!$G$4="Yes",27&gt;=Projects!$C$4,27&lt;Projects!$C$4+Projects!$D$4),Projects!$B$4*INDEX(Curves!$B$8:$AO$8,1,27-Projects!$C$4+1),0)+IF(AND(Projects!$G$5="Yes",27&gt;=Projects!$C$5,27&lt;Projects!$C$5+Projects!$D$5),Projects!$B$5*INDEX(Curves!$B$9:$AO$9,1,27-Projects!$C$5+1),0)+IF(AND(Projects!$G$6="Yes",27&gt;=Projects!$C$6,27&lt;Projects!$C$6+Projects!$D$6),Projects!$B$6*INDEX(Curves!$B$4:$AO$4,1,27-Projects!$C$6+1),0)+IF(AND(Projects!$G$7="Yes",27&gt;=Projects!$C$7,27&lt;Projects!$C$7+Projects!$D$7),Projects!$B$7*INDEX(Curves!$B$3:$AO$3,1,27-Projects!$C$7+1),0)+IF(AND(Projects!$G$8="Yes",27&gt;=Projects!$C$8,27&lt;Projects!$C$8+Projects!$D$8),Projects!$B$8*INDEX(Curves!$B$4:$AO$4,1,27-Projects!$C$8+1),0)+IF(AND(Projects!$G$9="Yes",27&gt;=Projects!$C$9,27&lt;Projects!$C$9+Projects!$D$9),Projects!$B$9*INDEX(Curves!$B$2:$AO$2,1,27-Projects!$C$9+1),0)+IF(AND(Projects!$G$10="Yes",27&gt;=Projects!$C$10,27&lt;Projects!$C$10+Projects!$D$10),Projects!$B$10*INDEX(Curves!$B$4:$AO$4,1,27-Projects!$C$10+1),0)+IF(AND(Projects!$G$11="Yes",27&gt;=Projects!$C$11,27&lt;Projects!$C$11+Projects!$D$11),Projects!$B$11*INDEX(Curves!$B$4:$AO$4,1,27-Projects!$C$11+1),0)+IF(AND(Projects!$G$12="Yes",27&gt;=Projects!$C$12,27&lt;Projects!$C$12+Projects!$D$12),Projects!$B$12*INDEX(Curves!$B$4:$AO$4,1,27-Projects!$C$12+1),0)+IF(AND(Projects!$G$13="Yes",27&gt;=Projects!$C$13,27&lt;Projects!$C$13+Projects!$D$13),Projects!$B$13*INDEX(Curves!$B$2:$AO$2,1,27-Projects!$C$13+1),0)+IF(AND(Projects!$G$14="Yes",27&gt;=Projects!$C$14,27&lt;Projects!$C$14+Projects!$D$14),Projects!$B$14*INDEX(Curves!$B$2:$AO$2,1,27-Projects!$C$14+1),0)+IF(AND(Projects!$G$15="Yes",27&gt;=Projects!$C$15,27&lt;Projects!$C$15+Projects!$D$15),Projects!$B$15*INDEX(Curves!$B$4:$AO$4,1,27-Projects!$C$15+1),0)+IF(AND(Projects!$G$16="Yes",27&gt;=Projects!$C$16,27&lt;Projects!$C$16+Projects!$D$16),Projects!$B$16*INDEX(Curves!$B$4:$AO$4,1,27-Projects!$C$16+1),0)</f>
        <v>4254502.3354639998</v>
      </c>
      <c r="AD7" s="8">
        <f>IF(AND(Projects!$G$2="Yes",28&gt;=Projects!$C$2,28&lt;Projects!$C$2+Projects!$D$2),Projects!$B$2*INDEX(Curves!$B$6:$AO$6,1,28-Projects!$C$2+1),0)+IF(AND(Projects!$G$3="Yes",28&gt;=Projects!$C$3,28&lt;Projects!$C$3+Projects!$D$3),Projects!$B$3*INDEX(Curves!$B$7:$AO$7,1,28-Projects!$C$3+1),0)+IF(AND(Projects!$G$4="Yes",28&gt;=Projects!$C$4,28&lt;Projects!$C$4+Projects!$D$4),Projects!$B$4*INDEX(Curves!$B$8:$AO$8,1,28-Projects!$C$4+1),0)+IF(AND(Projects!$G$5="Yes",28&gt;=Projects!$C$5,28&lt;Projects!$C$5+Projects!$D$5),Projects!$B$5*INDEX(Curves!$B$9:$AO$9,1,28-Projects!$C$5+1),0)+IF(AND(Projects!$G$6="Yes",28&gt;=Projects!$C$6,28&lt;Projects!$C$6+Projects!$D$6),Projects!$B$6*INDEX(Curves!$B$4:$AO$4,1,28-Projects!$C$6+1),0)+IF(AND(Projects!$G$7="Yes",28&gt;=Projects!$C$7,28&lt;Projects!$C$7+Projects!$D$7),Projects!$B$7*INDEX(Curves!$B$3:$AO$3,1,28-Projects!$C$7+1),0)+IF(AND(Projects!$G$8="Yes",28&gt;=Projects!$C$8,28&lt;Projects!$C$8+Projects!$D$8),Projects!$B$8*INDEX(Curves!$B$4:$AO$4,1,28-Projects!$C$8+1),0)+IF(AND(Projects!$G$9="Yes",28&gt;=Projects!$C$9,28&lt;Projects!$C$9+Projects!$D$9),Projects!$B$9*INDEX(Curves!$B$2:$AO$2,1,28-Projects!$C$9+1),0)+IF(AND(Projects!$G$10="Yes",28&gt;=Projects!$C$10,28&lt;Projects!$C$10+Projects!$D$10),Projects!$B$10*INDEX(Curves!$B$4:$AO$4,1,28-Projects!$C$10+1),0)+IF(AND(Projects!$G$11="Yes",28&gt;=Projects!$C$11,28&lt;Projects!$C$11+Projects!$D$11),Projects!$B$11*INDEX(Curves!$B$4:$AO$4,1,28-Projects!$C$11+1),0)+IF(AND(Projects!$G$12="Yes",28&gt;=Projects!$C$12,28&lt;Projects!$C$12+Projects!$D$12),Projects!$B$12*INDEX(Curves!$B$4:$AO$4,1,28-Projects!$C$12+1),0)+IF(AND(Projects!$G$13="Yes",28&gt;=Projects!$C$13,28&lt;Projects!$C$13+Projects!$D$13),Projects!$B$13*INDEX(Curves!$B$2:$AO$2,1,28-Projects!$C$13+1),0)+IF(AND(Projects!$G$14="Yes",28&gt;=Projects!$C$14,28&lt;Projects!$C$14+Projects!$D$14),Projects!$B$14*INDEX(Curves!$B$2:$AO$2,1,28-Projects!$C$14+1),0)+IF(AND(Projects!$G$15="Yes",28&gt;=Projects!$C$15,28&lt;Projects!$C$15+Projects!$D$15),Projects!$B$15*INDEX(Curves!$B$4:$AO$4,1,28-Projects!$C$15+1),0)+IF(AND(Projects!$G$16="Yes",28&gt;=Projects!$C$16,28&lt;Projects!$C$16+Projects!$D$16),Projects!$B$16*INDEX(Curves!$B$4:$AO$4,1,28-Projects!$C$16+1),0)</f>
        <v>3437241.436803</v>
      </c>
      <c r="AE7" s="8">
        <f>IF(AND(Projects!$G$2="Yes",29&gt;=Projects!$C$2,29&lt;Projects!$C$2+Projects!$D$2),Projects!$B$2*INDEX(Curves!$B$6:$AO$6,1,29-Projects!$C$2+1),0)+IF(AND(Projects!$G$3="Yes",29&gt;=Projects!$C$3,29&lt;Projects!$C$3+Projects!$D$3),Projects!$B$3*INDEX(Curves!$B$7:$AO$7,1,29-Projects!$C$3+1),0)+IF(AND(Projects!$G$4="Yes",29&gt;=Projects!$C$4,29&lt;Projects!$C$4+Projects!$D$4),Projects!$B$4*INDEX(Curves!$B$8:$AO$8,1,29-Projects!$C$4+1),0)+IF(AND(Projects!$G$5="Yes",29&gt;=Projects!$C$5,29&lt;Projects!$C$5+Projects!$D$5),Projects!$B$5*INDEX(Curves!$B$9:$AO$9,1,29-Projects!$C$5+1),0)+IF(AND(Projects!$G$6="Yes",29&gt;=Projects!$C$6,29&lt;Projects!$C$6+Projects!$D$6),Projects!$B$6*INDEX(Curves!$B$4:$AO$4,1,29-Projects!$C$6+1),0)+IF(AND(Projects!$G$7="Yes",29&gt;=Projects!$C$7,29&lt;Projects!$C$7+Projects!$D$7),Projects!$B$7*INDEX(Curves!$B$3:$AO$3,1,29-Projects!$C$7+1),0)+IF(AND(Projects!$G$8="Yes",29&gt;=Projects!$C$8,29&lt;Projects!$C$8+Projects!$D$8),Projects!$B$8*INDEX(Curves!$B$4:$AO$4,1,29-Projects!$C$8+1),0)+IF(AND(Projects!$G$9="Yes",29&gt;=Projects!$C$9,29&lt;Projects!$C$9+Projects!$D$9),Projects!$B$9*INDEX(Curves!$B$2:$AO$2,1,29-Projects!$C$9+1),0)+IF(AND(Projects!$G$10="Yes",29&gt;=Projects!$C$10,29&lt;Projects!$C$10+Projects!$D$10),Projects!$B$10*INDEX(Curves!$B$4:$AO$4,1,29-Projects!$C$10+1),0)+IF(AND(Projects!$G$11="Yes",29&gt;=Projects!$C$11,29&lt;Projects!$C$11+Projects!$D$11),Projects!$B$11*INDEX(Curves!$B$4:$AO$4,1,29-Projects!$C$11+1),0)+IF(AND(Projects!$G$12="Yes",29&gt;=Projects!$C$12,29&lt;Projects!$C$12+Projects!$D$12),Projects!$B$12*INDEX(Curves!$B$4:$AO$4,1,29-Projects!$C$12+1),0)+IF(AND(Projects!$G$13="Yes",29&gt;=Projects!$C$13,29&lt;Projects!$C$13+Projects!$D$13),Projects!$B$13*INDEX(Curves!$B$2:$AO$2,1,29-Projects!$C$13+1),0)+IF(AND(Projects!$G$14="Yes",29&gt;=Projects!$C$14,29&lt;Projects!$C$14+Projects!$D$14),Projects!$B$14*INDEX(Curves!$B$2:$AO$2,1,29-Projects!$C$14+1),0)+IF(AND(Projects!$G$15="Yes",29&gt;=Projects!$C$15,29&lt;Projects!$C$15+Projects!$D$15),Projects!$B$15*INDEX(Curves!$B$4:$AO$4,1,29-Projects!$C$15+1),0)+IF(AND(Projects!$G$16="Yes",29&gt;=Projects!$C$16,29&lt;Projects!$C$16+Projects!$D$16),Projects!$B$16*INDEX(Curves!$B$4:$AO$4,1,29-Projects!$C$16+1),0)</f>
        <v>3482913.0020099999</v>
      </c>
      <c r="AF7" s="8">
        <f>IF(AND(Projects!$G$2="Yes",30&gt;=Projects!$C$2,30&lt;Projects!$C$2+Projects!$D$2),Projects!$B$2*INDEX(Curves!$B$6:$AO$6,1,30-Projects!$C$2+1),0)+IF(AND(Projects!$G$3="Yes",30&gt;=Projects!$C$3,30&lt;Projects!$C$3+Projects!$D$3),Projects!$B$3*INDEX(Curves!$B$7:$AO$7,1,30-Projects!$C$3+1),0)+IF(AND(Projects!$G$4="Yes",30&gt;=Projects!$C$4,30&lt;Projects!$C$4+Projects!$D$4),Projects!$B$4*INDEX(Curves!$B$8:$AO$8,1,30-Projects!$C$4+1),0)+IF(AND(Projects!$G$5="Yes",30&gt;=Projects!$C$5,30&lt;Projects!$C$5+Projects!$D$5),Projects!$B$5*INDEX(Curves!$B$9:$AO$9,1,30-Projects!$C$5+1),0)+IF(AND(Projects!$G$6="Yes",30&gt;=Projects!$C$6,30&lt;Projects!$C$6+Projects!$D$6),Projects!$B$6*INDEX(Curves!$B$4:$AO$4,1,30-Projects!$C$6+1),0)+IF(AND(Projects!$G$7="Yes",30&gt;=Projects!$C$7,30&lt;Projects!$C$7+Projects!$D$7),Projects!$B$7*INDEX(Curves!$B$3:$AO$3,1,30-Projects!$C$7+1),0)+IF(AND(Projects!$G$8="Yes",30&gt;=Projects!$C$8,30&lt;Projects!$C$8+Projects!$D$8),Projects!$B$8*INDEX(Curves!$B$4:$AO$4,1,30-Projects!$C$8+1),0)+IF(AND(Projects!$G$9="Yes",30&gt;=Projects!$C$9,30&lt;Projects!$C$9+Projects!$D$9),Projects!$B$9*INDEX(Curves!$B$2:$AO$2,1,30-Projects!$C$9+1),0)+IF(AND(Projects!$G$10="Yes",30&gt;=Projects!$C$10,30&lt;Projects!$C$10+Projects!$D$10),Projects!$B$10*INDEX(Curves!$B$4:$AO$4,1,30-Projects!$C$10+1),0)+IF(AND(Projects!$G$11="Yes",30&gt;=Projects!$C$11,30&lt;Projects!$C$11+Projects!$D$11),Projects!$B$11*INDEX(Curves!$B$4:$AO$4,1,30-Projects!$C$11+1),0)+IF(AND(Projects!$G$12="Yes",30&gt;=Projects!$C$12,30&lt;Projects!$C$12+Projects!$D$12),Projects!$B$12*INDEX(Curves!$B$4:$AO$4,1,30-Projects!$C$12+1),0)+IF(AND(Projects!$G$13="Yes",30&gt;=Projects!$C$13,30&lt;Projects!$C$13+Projects!$D$13),Projects!$B$13*INDEX(Curves!$B$2:$AO$2,1,30-Projects!$C$13+1),0)+IF(AND(Projects!$G$14="Yes",30&gt;=Projects!$C$14,30&lt;Projects!$C$14+Projects!$D$14),Projects!$B$14*INDEX(Curves!$B$2:$AO$2,1,30-Projects!$C$14+1),0)+IF(AND(Projects!$G$15="Yes",30&gt;=Projects!$C$15,30&lt;Projects!$C$15+Projects!$D$15),Projects!$B$15*INDEX(Curves!$B$4:$AO$4,1,30-Projects!$C$15+1),0)+IF(AND(Projects!$G$16="Yes",30&gt;=Projects!$C$16,30&lt;Projects!$C$16+Projects!$D$16),Projects!$B$16*INDEX(Curves!$B$4:$AO$4,1,30-Projects!$C$16+1),0)</f>
        <v>3510945.612952</v>
      </c>
      <c r="AG7" s="8">
        <f>IF(AND(Projects!$G$2="Yes",31&gt;=Projects!$C$2,31&lt;Projects!$C$2+Projects!$D$2),Projects!$B$2*INDEX(Curves!$B$6:$AO$6,1,31-Projects!$C$2+1),0)+IF(AND(Projects!$G$3="Yes",31&gt;=Projects!$C$3,31&lt;Projects!$C$3+Projects!$D$3),Projects!$B$3*INDEX(Curves!$B$7:$AO$7,1,31-Projects!$C$3+1),0)+IF(AND(Projects!$G$4="Yes",31&gt;=Projects!$C$4,31&lt;Projects!$C$4+Projects!$D$4),Projects!$B$4*INDEX(Curves!$B$8:$AO$8,1,31-Projects!$C$4+1),0)+IF(AND(Projects!$G$5="Yes",31&gt;=Projects!$C$5,31&lt;Projects!$C$5+Projects!$D$5),Projects!$B$5*INDEX(Curves!$B$9:$AO$9,1,31-Projects!$C$5+1),0)+IF(AND(Projects!$G$6="Yes",31&gt;=Projects!$C$6,31&lt;Projects!$C$6+Projects!$D$6),Projects!$B$6*INDEX(Curves!$B$4:$AO$4,1,31-Projects!$C$6+1),0)+IF(AND(Projects!$G$7="Yes",31&gt;=Projects!$C$7,31&lt;Projects!$C$7+Projects!$D$7),Projects!$B$7*INDEX(Curves!$B$3:$AO$3,1,31-Projects!$C$7+1),0)+IF(AND(Projects!$G$8="Yes",31&gt;=Projects!$C$8,31&lt;Projects!$C$8+Projects!$D$8),Projects!$B$8*INDEX(Curves!$B$4:$AO$4,1,31-Projects!$C$8+1),0)+IF(AND(Projects!$G$9="Yes",31&gt;=Projects!$C$9,31&lt;Projects!$C$9+Projects!$D$9),Projects!$B$9*INDEX(Curves!$B$2:$AO$2,1,31-Projects!$C$9+1),0)+IF(AND(Projects!$G$10="Yes",31&gt;=Projects!$C$10,31&lt;Projects!$C$10+Projects!$D$10),Projects!$B$10*INDEX(Curves!$B$4:$AO$4,1,31-Projects!$C$10+1),0)+IF(AND(Projects!$G$11="Yes",31&gt;=Projects!$C$11,31&lt;Projects!$C$11+Projects!$D$11),Projects!$B$11*INDEX(Curves!$B$4:$AO$4,1,31-Projects!$C$11+1),0)+IF(AND(Projects!$G$12="Yes",31&gt;=Projects!$C$12,31&lt;Projects!$C$12+Projects!$D$12),Projects!$B$12*INDEX(Curves!$B$4:$AO$4,1,31-Projects!$C$12+1),0)+IF(AND(Projects!$G$13="Yes",31&gt;=Projects!$C$13,31&lt;Projects!$C$13+Projects!$D$13),Projects!$B$13*INDEX(Curves!$B$2:$AO$2,1,31-Projects!$C$13+1),0)+IF(AND(Projects!$G$14="Yes",31&gt;=Projects!$C$14,31&lt;Projects!$C$14+Projects!$D$14),Projects!$B$14*INDEX(Curves!$B$2:$AO$2,1,31-Projects!$C$14+1),0)+IF(AND(Projects!$G$15="Yes",31&gt;=Projects!$C$15,31&lt;Projects!$C$15+Projects!$D$15),Projects!$B$15*INDEX(Curves!$B$4:$AO$4,1,31-Projects!$C$15+1),0)+IF(AND(Projects!$G$16="Yes",31&gt;=Projects!$C$16,31&lt;Projects!$C$16+Projects!$D$16),Projects!$B$16*INDEX(Curves!$B$4:$AO$4,1,31-Projects!$C$16+1),0)</f>
        <v>3521789.4714789996</v>
      </c>
      <c r="AH7" s="8">
        <f>IF(AND(Projects!$G$2="Yes",32&gt;=Projects!$C$2,32&lt;Projects!$C$2+Projects!$D$2),Projects!$B$2*INDEX(Curves!$B$6:$AO$6,1,32-Projects!$C$2+1),0)+IF(AND(Projects!$G$3="Yes",32&gt;=Projects!$C$3,32&lt;Projects!$C$3+Projects!$D$3),Projects!$B$3*INDEX(Curves!$B$7:$AO$7,1,32-Projects!$C$3+1),0)+IF(AND(Projects!$G$4="Yes",32&gt;=Projects!$C$4,32&lt;Projects!$C$4+Projects!$D$4),Projects!$B$4*INDEX(Curves!$B$8:$AO$8,1,32-Projects!$C$4+1),0)+IF(AND(Projects!$G$5="Yes",32&gt;=Projects!$C$5,32&lt;Projects!$C$5+Projects!$D$5),Projects!$B$5*INDEX(Curves!$B$9:$AO$9,1,32-Projects!$C$5+1),0)+IF(AND(Projects!$G$6="Yes",32&gt;=Projects!$C$6,32&lt;Projects!$C$6+Projects!$D$6),Projects!$B$6*INDEX(Curves!$B$4:$AO$4,1,32-Projects!$C$6+1),0)+IF(AND(Projects!$G$7="Yes",32&gt;=Projects!$C$7,32&lt;Projects!$C$7+Projects!$D$7),Projects!$B$7*INDEX(Curves!$B$3:$AO$3,1,32-Projects!$C$7+1),0)+IF(AND(Projects!$G$8="Yes",32&gt;=Projects!$C$8,32&lt;Projects!$C$8+Projects!$D$8),Projects!$B$8*INDEX(Curves!$B$4:$AO$4,1,32-Projects!$C$8+1),0)+IF(AND(Projects!$G$9="Yes",32&gt;=Projects!$C$9,32&lt;Projects!$C$9+Projects!$D$9),Projects!$B$9*INDEX(Curves!$B$2:$AO$2,1,32-Projects!$C$9+1),0)+IF(AND(Projects!$G$10="Yes",32&gt;=Projects!$C$10,32&lt;Projects!$C$10+Projects!$D$10),Projects!$B$10*INDEX(Curves!$B$4:$AO$4,1,32-Projects!$C$10+1),0)+IF(AND(Projects!$G$11="Yes",32&gt;=Projects!$C$11,32&lt;Projects!$C$11+Projects!$D$11),Projects!$B$11*INDEX(Curves!$B$4:$AO$4,1,32-Projects!$C$11+1),0)+IF(AND(Projects!$G$12="Yes",32&gt;=Projects!$C$12,32&lt;Projects!$C$12+Projects!$D$12),Projects!$B$12*INDEX(Curves!$B$4:$AO$4,1,32-Projects!$C$12+1),0)+IF(AND(Projects!$G$13="Yes",32&gt;=Projects!$C$13,32&lt;Projects!$C$13+Projects!$D$13),Projects!$B$13*INDEX(Curves!$B$2:$AO$2,1,32-Projects!$C$13+1),0)+IF(AND(Projects!$G$14="Yes",32&gt;=Projects!$C$14,32&lt;Projects!$C$14+Projects!$D$14),Projects!$B$14*INDEX(Curves!$B$2:$AO$2,1,32-Projects!$C$14+1),0)+IF(AND(Projects!$G$15="Yes",32&gt;=Projects!$C$15,32&lt;Projects!$C$15+Projects!$D$15),Projects!$B$15*INDEX(Curves!$B$4:$AO$4,1,32-Projects!$C$15+1),0)+IF(AND(Projects!$G$16="Yes",32&gt;=Projects!$C$16,32&lt;Projects!$C$16+Projects!$D$16),Projects!$B$16*INDEX(Curves!$B$4:$AO$4,1,32-Projects!$C$16+1),0)</f>
        <v>3516138.2097709998</v>
      </c>
      <c r="AI7" s="8">
        <f>IF(AND(Projects!$G$2="Yes",33&gt;=Projects!$C$2,33&lt;Projects!$C$2+Projects!$D$2),Projects!$B$2*INDEX(Curves!$B$6:$AO$6,1,33-Projects!$C$2+1),0)+IF(AND(Projects!$G$3="Yes",33&gt;=Projects!$C$3,33&lt;Projects!$C$3+Projects!$D$3),Projects!$B$3*INDEX(Curves!$B$7:$AO$7,1,33-Projects!$C$3+1),0)+IF(AND(Projects!$G$4="Yes",33&gt;=Projects!$C$4,33&lt;Projects!$C$4+Projects!$D$4),Projects!$B$4*INDEX(Curves!$B$8:$AO$8,1,33-Projects!$C$4+1),0)+IF(AND(Projects!$G$5="Yes",33&gt;=Projects!$C$5,33&lt;Projects!$C$5+Projects!$D$5),Projects!$B$5*INDEX(Curves!$B$9:$AO$9,1,33-Projects!$C$5+1),0)+IF(AND(Projects!$G$6="Yes",33&gt;=Projects!$C$6,33&lt;Projects!$C$6+Projects!$D$6),Projects!$B$6*INDEX(Curves!$B$4:$AO$4,1,33-Projects!$C$6+1),0)+IF(AND(Projects!$G$7="Yes",33&gt;=Projects!$C$7,33&lt;Projects!$C$7+Projects!$D$7),Projects!$B$7*INDEX(Curves!$B$3:$AO$3,1,33-Projects!$C$7+1),0)+IF(AND(Projects!$G$8="Yes",33&gt;=Projects!$C$8,33&lt;Projects!$C$8+Projects!$D$8),Projects!$B$8*INDEX(Curves!$B$4:$AO$4,1,33-Projects!$C$8+1),0)+IF(AND(Projects!$G$9="Yes",33&gt;=Projects!$C$9,33&lt;Projects!$C$9+Projects!$D$9),Projects!$B$9*INDEX(Curves!$B$2:$AO$2,1,33-Projects!$C$9+1),0)+IF(AND(Projects!$G$10="Yes",33&gt;=Projects!$C$10,33&lt;Projects!$C$10+Projects!$D$10),Projects!$B$10*INDEX(Curves!$B$4:$AO$4,1,33-Projects!$C$10+1),0)+IF(AND(Projects!$G$11="Yes",33&gt;=Projects!$C$11,33&lt;Projects!$C$11+Projects!$D$11),Projects!$B$11*INDEX(Curves!$B$4:$AO$4,1,33-Projects!$C$11+1),0)+IF(AND(Projects!$G$12="Yes",33&gt;=Projects!$C$12,33&lt;Projects!$C$12+Projects!$D$12),Projects!$B$12*INDEX(Curves!$B$4:$AO$4,1,33-Projects!$C$12+1),0)+IF(AND(Projects!$G$13="Yes",33&gt;=Projects!$C$13,33&lt;Projects!$C$13+Projects!$D$13),Projects!$B$13*INDEX(Curves!$B$2:$AO$2,1,33-Projects!$C$13+1),0)+IF(AND(Projects!$G$14="Yes",33&gt;=Projects!$C$14,33&lt;Projects!$C$14+Projects!$D$14),Projects!$B$14*INDEX(Curves!$B$2:$AO$2,1,33-Projects!$C$14+1),0)+IF(AND(Projects!$G$15="Yes",33&gt;=Projects!$C$15,33&lt;Projects!$C$15+Projects!$D$15),Projects!$B$15*INDEX(Curves!$B$4:$AO$4,1,33-Projects!$C$15+1),0)+IF(AND(Projects!$G$16="Yes",33&gt;=Projects!$C$16,33&lt;Projects!$C$16+Projects!$D$16),Projects!$B$16*INDEX(Curves!$B$4:$AO$4,1,33-Projects!$C$16+1),0)</f>
        <v>3494716.3298230004</v>
      </c>
      <c r="AJ7" s="8">
        <f>IF(AND(Projects!$G$2="Yes",34&gt;=Projects!$C$2,34&lt;Projects!$C$2+Projects!$D$2),Projects!$B$2*INDEX(Curves!$B$6:$AO$6,1,34-Projects!$C$2+1),0)+IF(AND(Projects!$G$3="Yes",34&gt;=Projects!$C$3,34&lt;Projects!$C$3+Projects!$D$3),Projects!$B$3*INDEX(Curves!$B$7:$AO$7,1,34-Projects!$C$3+1),0)+IF(AND(Projects!$G$4="Yes",34&gt;=Projects!$C$4,34&lt;Projects!$C$4+Projects!$D$4),Projects!$B$4*INDEX(Curves!$B$8:$AO$8,1,34-Projects!$C$4+1),0)+IF(AND(Projects!$G$5="Yes",34&gt;=Projects!$C$5,34&lt;Projects!$C$5+Projects!$D$5),Projects!$B$5*INDEX(Curves!$B$9:$AO$9,1,34-Projects!$C$5+1),0)+IF(AND(Projects!$G$6="Yes",34&gt;=Projects!$C$6,34&lt;Projects!$C$6+Projects!$D$6),Projects!$B$6*INDEX(Curves!$B$4:$AO$4,1,34-Projects!$C$6+1),0)+IF(AND(Projects!$G$7="Yes",34&gt;=Projects!$C$7,34&lt;Projects!$C$7+Projects!$D$7),Projects!$B$7*INDEX(Curves!$B$3:$AO$3,1,34-Projects!$C$7+1),0)+IF(AND(Projects!$G$8="Yes",34&gt;=Projects!$C$8,34&lt;Projects!$C$8+Projects!$D$8),Projects!$B$8*INDEX(Curves!$B$4:$AO$4,1,34-Projects!$C$8+1),0)+IF(AND(Projects!$G$9="Yes",34&gt;=Projects!$C$9,34&lt;Projects!$C$9+Projects!$D$9),Projects!$B$9*INDEX(Curves!$B$2:$AO$2,1,34-Projects!$C$9+1),0)+IF(AND(Projects!$G$10="Yes",34&gt;=Projects!$C$10,34&lt;Projects!$C$10+Projects!$D$10),Projects!$B$10*INDEX(Curves!$B$4:$AO$4,1,34-Projects!$C$10+1),0)+IF(AND(Projects!$G$11="Yes",34&gt;=Projects!$C$11,34&lt;Projects!$C$11+Projects!$D$11),Projects!$B$11*INDEX(Curves!$B$4:$AO$4,1,34-Projects!$C$11+1),0)+IF(AND(Projects!$G$12="Yes",34&gt;=Projects!$C$12,34&lt;Projects!$C$12+Projects!$D$12),Projects!$B$12*INDEX(Curves!$B$4:$AO$4,1,34-Projects!$C$12+1),0)+IF(AND(Projects!$G$13="Yes",34&gt;=Projects!$C$13,34&lt;Projects!$C$13+Projects!$D$13),Projects!$B$13*INDEX(Curves!$B$2:$AO$2,1,34-Projects!$C$13+1),0)+IF(AND(Projects!$G$14="Yes",34&gt;=Projects!$C$14,34&lt;Projects!$C$14+Projects!$D$14),Projects!$B$14*INDEX(Curves!$B$2:$AO$2,1,34-Projects!$C$14+1),0)+IF(AND(Projects!$G$15="Yes",34&gt;=Projects!$C$15,34&lt;Projects!$C$15+Projects!$D$15),Projects!$B$15*INDEX(Curves!$B$4:$AO$4,1,34-Projects!$C$15+1),0)+IF(AND(Projects!$G$16="Yes",34&gt;=Projects!$C$16,34&lt;Projects!$C$16+Projects!$D$16),Projects!$B$16*INDEX(Curves!$B$4:$AO$4,1,34-Projects!$C$16+1),0)</f>
        <v>3458324.4702149997</v>
      </c>
      <c r="AK7" s="8">
        <f>IF(AND(Projects!$G$2="Yes",35&gt;=Projects!$C$2,35&lt;Projects!$C$2+Projects!$D$2),Projects!$B$2*INDEX(Curves!$B$6:$AO$6,1,35-Projects!$C$2+1),0)+IF(AND(Projects!$G$3="Yes",35&gt;=Projects!$C$3,35&lt;Projects!$C$3+Projects!$D$3),Projects!$B$3*INDEX(Curves!$B$7:$AO$7,1,35-Projects!$C$3+1),0)+IF(AND(Projects!$G$4="Yes",35&gt;=Projects!$C$4,35&lt;Projects!$C$4+Projects!$D$4),Projects!$B$4*INDEX(Curves!$B$8:$AO$8,1,35-Projects!$C$4+1),0)+IF(AND(Projects!$G$5="Yes",35&gt;=Projects!$C$5,35&lt;Projects!$C$5+Projects!$D$5),Projects!$B$5*INDEX(Curves!$B$9:$AO$9,1,35-Projects!$C$5+1),0)+IF(AND(Projects!$G$6="Yes",35&gt;=Projects!$C$6,35&lt;Projects!$C$6+Projects!$D$6),Projects!$B$6*INDEX(Curves!$B$4:$AO$4,1,35-Projects!$C$6+1),0)+IF(AND(Projects!$G$7="Yes",35&gt;=Projects!$C$7,35&lt;Projects!$C$7+Projects!$D$7),Projects!$B$7*INDEX(Curves!$B$3:$AO$3,1,35-Projects!$C$7+1),0)+IF(AND(Projects!$G$8="Yes",35&gt;=Projects!$C$8,35&lt;Projects!$C$8+Projects!$D$8),Projects!$B$8*INDEX(Curves!$B$4:$AO$4,1,35-Projects!$C$8+1),0)+IF(AND(Projects!$G$9="Yes",35&gt;=Projects!$C$9,35&lt;Projects!$C$9+Projects!$D$9),Projects!$B$9*INDEX(Curves!$B$2:$AO$2,1,35-Projects!$C$9+1),0)+IF(AND(Projects!$G$10="Yes",35&gt;=Projects!$C$10,35&lt;Projects!$C$10+Projects!$D$10),Projects!$B$10*INDEX(Curves!$B$4:$AO$4,1,35-Projects!$C$10+1),0)+IF(AND(Projects!$G$11="Yes",35&gt;=Projects!$C$11,35&lt;Projects!$C$11+Projects!$D$11),Projects!$B$11*INDEX(Curves!$B$4:$AO$4,1,35-Projects!$C$11+1),0)+IF(AND(Projects!$G$12="Yes",35&gt;=Projects!$C$12,35&lt;Projects!$C$12+Projects!$D$12),Projects!$B$12*INDEX(Curves!$B$4:$AO$4,1,35-Projects!$C$12+1),0)+IF(AND(Projects!$G$13="Yes",35&gt;=Projects!$C$13,35&lt;Projects!$C$13+Projects!$D$13),Projects!$B$13*INDEX(Curves!$B$2:$AO$2,1,35-Projects!$C$13+1),0)+IF(AND(Projects!$G$14="Yes",35&gt;=Projects!$C$14,35&lt;Projects!$C$14+Projects!$D$14),Projects!$B$14*INDEX(Curves!$B$2:$AO$2,1,35-Projects!$C$14+1),0)+IF(AND(Projects!$G$15="Yes",35&gt;=Projects!$C$15,35&lt;Projects!$C$15+Projects!$D$15),Projects!$B$15*INDEX(Curves!$B$4:$AO$4,1,35-Projects!$C$15+1),0)+IF(AND(Projects!$G$16="Yes",35&gt;=Projects!$C$16,35&lt;Projects!$C$16+Projects!$D$16),Projects!$B$16*INDEX(Curves!$B$4:$AO$4,1,35-Projects!$C$16+1),0)</f>
        <v>3407772.1144419997</v>
      </c>
      <c r="AL7" s="8">
        <f>IF(AND(Projects!$G$2="Yes",36&gt;=Projects!$C$2,36&lt;Projects!$C$2+Projects!$D$2),Projects!$B$2*INDEX(Curves!$B$6:$AO$6,1,36-Projects!$C$2+1),0)+IF(AND(Projects!$G$3="Yes",36&gt;=Projects!$C$3,36&lt;Projects!$C$3+Projects!$D$3),Projects!$B$3*INDEX(Curves!$B$7:$AO$7,1,36-Projects!$C$3+1),0)+IF(AND(Projects!$G$4="Yes",36&gt;=Projects!$C$4,36&lt;Projects!$C$4+Projects!$D$4),Projects!$B$4*INDEX(Curves!$B$8:$AO$8,1,36-Projects!$C$4+1),0)+IF(AND(Projects!$G$5="Yes",36&gt;=Projects!$C$5,36&lt;Projects!$C$5+Projects!$D$5),Projects!$B$5*INDEX(Curves!$B$9:$AO$9,1,36-Projects!$C$5+1),0)+IF(AND(Projects!$G$6="Yes",36&gt;=Projects!$C$6,36&lt;Projects!$C$6+Projects!$D$6),Projects!$B$6*INDEX(Curves!$B$4:$AO$4,1,36-Projects!$C$6+1),0)+IF(AND(Projects!$G$7="Yes",36&gt;=Projects!$C$7,36&lt;Projects!$C$7+Projects!$D$7),Projects!$B$7*INDEX(Curves!$B$3:$AO$3,1,36-Projects!$C$7+1),0)+IF(AND(Projects!$G$8="Yes",36&gt;=Projects!$C$8,36&lt;Projects!$C$8+Projects!$D$8),Projects!$B$8*INDEX(Curves!$B$4:$AO$4,1,36-Projects!$C$8+1),0)+IF(AND(Projects!$G$9="Yes",36&gt;=Projects!$C$9,36&lt;Projects!$C$9+Projects!$D$9),Projects!$B$9*INDEX(Curves!$B$2:$AO$2,1,36-Projects!$C$9+1),0)+IF(AND(Projects!$G$10="Yes",36&gt;=Projects!$C$10,36&lt;Projects!$C$10+Projects!$D$10),Projects!$B$10*INDEX(Curves!$B$4:$AO$4,1,36-Projects!$C$10+1),0)+IF(AND(Projects!$G$11="Yes",36&gt;=Projects!$C$11,36&lt;Projects!$C$11+Projects!$D$11),Projects!$B$11*INDEX(Curves!$B$4:$AO$4,1,36-Projects!$C$11+1),0)+IF(AND(Projects!$G$12="Yes",36&gt;=Projects!$C$12,36&lt;Projects!$C$12+Projects!$D$12),Projects!$B$12*INDEX(Curves!$B$4:$AO$4,1,36-Projects!$C$12+1),0)+IF(AND(Projects!$G$13="Yes",36&gt;=Projects!$C$13,36&lt;Projects!$C$13+Projects!$D$13),Projects!$B$13*INDEX(Curves!$B$2:$AO$2,1,36-Projects!$C$13+1),0)+IF(AND(Projects!$G$14="Yes",36&gt;=Projects!$C$14,36&lt;Projects!$C$14+Projects!$D$14),Projects!$B$14*INDEX(Curves!$B$2:$AO$2,1,36-Projects!$C$14+1),0)+IF(AND(Projects!$G$15="Yes",36&gt;=Projects!$C$15,36&lt;Projects!$C$15+Projects!$D$15),Projects!$B$15*INDEX(Curves!$B$4:$AO$4,1,36-Projects!$C$15+1),0)+IF(AND(Projects!$G$16="Yes",36&gt;=Projects!$C$16,36&lt;Projects!$C$16+Projects!$D$16),Projects!$B$16*INDEX(Curves!$B$4:$AO$4,1,36-Projects!$C$16+1),0)</f>
        <v>3343852.4738270002</v>
      </c>
      <c r="AM7" s="8">
        <f>IF(AND(Projects!$G$2="Yes",37&gt;=Projects!$C$2,37&lt;Projects!$C$2+Projects!$D$2),Projects!$B$2*INDEX(Curves!$B$6:$AO$6,1,37-Projects!$C$2+1),0)+IF(AND(Projects!$G$3="Yes",37&gt;=Projects!$C$3,37&lt;Projects!$C$3+Projects!$D$3),Projects!$B$3*INDEX(Curves!$B$7:$AO$7,1,37-Projects!$C$3+1),0)+IF(AND(Projects!$G$4="Yes",37&gt;=Projects!$C$4,37&lt;Projects!$C$4+Projects!$D$4),Projects!$B$4*INDEX(Curves!$B$8:$AO$8,1,37-Projects!$C$4+1),0)+IF(AND(Projects!$G$5="Yes",37&gt;=Projects!$C$5,37&lt;Projects!$C$5+Projects!$D$5),Projects!$B$5*INDEX(Curves!$B$9:$AO$9,1,37-Projects!$C$5+1),0)+IF(AND(Projects!$G$6="Yes",37&gt;=Projects!$C$6,37&lt;Projects!$C$6+Projects!$D$6),Projects!$B$6*INDEX(Curves!$B$4:$AO$4,1,37-Projects!$C$6+1),0)+IF(AND(Projects!$G$7="Yes",37&gt;=Projects!$C$7,37&lt;Projects!$C$7+Projects!$D$7),Projects!$B$7*INDEX(Curves!$B$3:$AO$3,1,37-Projects!$C$7+1),0)+IF(AND(Projects!$G$8="Yes",37&gt;=Projects!$C$8,37&lt;Projects!$C$8+Projects!$D$8),Projects!$B$8*INDEX(Curves!$B$4:$AO$4,1,37-Projects!$C$8+1),0)+IF(AND(Projects!$G$9="Yes",37&gt;=Projects!$C$9,37&lt;Projects!$C$9+Projects!$D$9),Projects!$B$9*INDEX(Curves!$B$2:$AO$2,1,37-Projects!$C$9+1),0)+IF(AND(Projects!$G$10="Yes",37&gt;=Projects!$C$10,37&lt;Projects!$C$10+Projects!$D$10),Projects!$B$10*INDEX(Curves!$B$4:$AO$4,1,37-Projects!$C$10+1),0)+IF(AND(Projects!$G$11="Yes",37&gt;=Projects!$C$11,37&lt;Projects!$C$11+Projects!$D$11),Projects!$B$11*INDEX(Curves!$B$4:$AO$4,1,37-Projects!$C$11+1),0)+IF(AND(Projects!$G$12="Yes",37&gt;=Projects!$C$12,37&lt;Projects!$C$12+Projects!$D$12),Projects!$B$12*INDEX(Curves!$B$4:$AO$4,1,37-Projects!$C$12+1),0)+IF(AND(Projects!$G$13="Yes",37&gt;=Projects!$C$13,37&lt;Projects!$C$13+Projects!$D$13),Projects!$B$13*INDEX(Curves!$B$2:$AO$2,1,37-Projects!$C$13+1),0)+IF(AND(Projects!$G$14="Yes",37&gt;=Projects!$C$14,37&lt;Projects!$C$14+Projects!$D$14),Projects!$B$14*INDEX(Curves!$B$2:$AO$2,1,37-Projects!$C$14+1),0)+IF(AND(Projects!$G$15="Yes",37&gt;=Projects!$C$15,37&lt;Projects!$C$15+Projects!$D$15),Projects!$B$15*INDEX(Curves!$B$4:$AO$4,1,37-Projects!$C$15+1),0)+IF(AND(Projects!$G$16="Yes",37&gt;=Projects!$C$16,37&lt;Projects!$C$16+Projects!$D$16),Projects!$B$16*INDEX(Curves!$B$4:$AO$4,1,37-Projects!$C$16+1),0)</f>
        <v>3047668.8332779994</v>
      </c>
      <c r="AN7" s="8">
        <f>IF(AND(Projects!$G$2="Yes",38&gt;=Projects!$C$2,38&lt;Projects!$C$2+Projects!$D$2),Projects!$B$2*INDEX(Curves!$B$6:$AO$6,1,38-Projects!$C$2+1),0)+IF(AND(Projects!$G$3="Yes",38&gt;=Projects!$C$3,38&lt;Projects!$C$3+Projects!$D$3),Projects!$B$3*INDEX(Curves!$B$7:$AO$7,1,38-Projects!$C$3+1),0)+IF(AND(Projects!$G$4="Yes",38&gt;=Projects!$C$4,38&lt;Projects!$C$4+Projects!$D$4),Projects!$B$4*INDEX(Curves!$B$8:$AO$8,1,38-Projects!$C$4+1),0)+IF(AND(Projects!$G$5="Yes",38&gt;=Projects!$C$5,38&lt;Projects!$C$5+Projects!$D$5),Projects!$B$5*INDEX(Curves!$B$9:$AO$9,1,38-Projects!$C$5+1),0)+IF(AND(Projects!$G$6="Yes",38&gt;=Projects!$C$6,38&lt;Projects!$C$6+Projects!$D$6),Projects!$B$6*INDEX(Curves!$B$4:$AO$4,1,38-Projects!$C$6+1),0)+IF(AND(Projects!$G$7="Yes",38&gt;=Projects!$C$7,38&lt;Projects!$C$7+Projects!$D$7),Projects!$B$7*INDEX(Curves!$B$3:$AO$3,1,38-Projects!$C$7+1),0)+IF(AND(Projects!$G$8="Yes",38&gt;=Projects!$C$8,38&lt;Projects!$C$8+Projects!$D$8),Projects!$B$8*INDEX(Curves!$B$4:$AO$4,1,38-Projects!$C$8+1),0)+IF(AND(Projects!$G$9="Yes",38&gt;=Projects!$C$9,38&lt;Projects!$C$9+Projects!$D$9),Projects!$B$9*INDEX(Curves!$B$2:$AO$2,1,38-Projects!$C$9+1),0)+IF(AND(Projects!$G$10="Yes",38&gt;=Projects!$C$10,38&lt;Projects!$C$10+Projects!$D$10),Projects!$B$10*INDEX(Curves!$B$4:$AO$4,1,38-Projects!$C$10+1),0)+IF(AND(Projects!$G$11="Yes",38&gt;=Projects!$C$11,38&lt;Projects!$C$11+Projects!$D$11),Projects!$B$11*INDEX(Curves!$B$4:$AO$4,1,38-Projects!$C$11+1),0)+IF(AND(Projects!$G$12="Yes",38&gt;=Projects!$C$12,38&lt;Projects!$C$12+Projects!$D$12),Projects!$B$12*INDEX(Curves!$B$4:$AO$4,1,38-Projects!$C$12+1),0)+IF(AND(Projects!$G$13="Yes",38&gt;=Projects!$C$13,38&lt;Projects!$C$13+Projects!$D$13),Projects!$B$13*INDEX(Curves!$B$2:$AO$2,1,38-Projects!$C$13+1),0)+IF(AND(Projects!$G$14="Yes",38&gt;=Projects!$C$14,38&lt;Projects!$C$14+Projects!$D$14),Projects!$B$14*INDEX(Curves!$B$2:$AO$2,1,38-Projects!$C$14+1),0)+IF(AND(Projects!$G$15="Yes",38&gt;=Projects!$C$15,38&lt;Projects!$C$15+Projects!$D$15),Projects!$B$15*INDEX(Curves!$B$4:$AO$4,1,38-Projects!$C$15+1),0)+IF(AND(Projects!$G$16="Yes",38&gt;=Projects!$C$16,38&lt;Projects!$C$16+Projects!$D$16),Projects!$B$16*INDEX(Curves!$B$4:$AO$4,1,38-Projects!$C$16+1),0)</f>
        <v>2991602.5343899997</v>
      </c>
      <c r="AO7" s="8">
        <f>IF(AND(Projects!$G$2="Yes",39&gt;=Projects!$C$2,39&lt;Projects!$C$2+Projects!$D$2),Projects!$B$2*INDEX(Curves!$B$6:$AO$6,1,39-Projects!$C$2+1),0)+IF(AND(Projects!$G$3="Yes",39&gt;=Projects!$C$3,39&lt;Projects!$C$3+Projects!$D$3),Projects!$B$3*INDEX(Curves!$B$7:$AO$7,1,39-Projects!$C$3+1),0)+IF(AND(Projects!$G$4="Yes",39&gt;=Projects!$C$4,39&lt;Projects!$C$4+Projects!$D$4),Projects!$B$4*INDEX(Curves!$B$8:$AO$8,1,39-Projects!$C$4+1),0)+IF(AND(Projects!$G$5="Yes",39&gt;=Projects!$C$5,39&lt;Projects!$C$5+Projects!$D$5),Projects!$B$5*INDEX(Curves!$B$9:$AO$9,1,39-Projects!$C$5+1),0)+IF(AND(Projects!$G$6="Yes",39&gt;=Projects!$C$6,39&lt;Projects!$C$6+Projects!$D$6),Projects!$B$6*INDEX(Curves!$B$4:$AO$4,1,39-Projects!$C$6+1),0)+IF(AND(Projects!$G$7="Yes",39&gt;=Projects!$C$7,39&lt;Projects!$C$7+Projects!$D$7),Projects!$B$7*INDEX(Curves!$B$3:$AO$3,1,39-Projects!$C$7+1),0)+IF(AND(Projects!$G$8="Yes",39&gt;=Projects!$C$8,39&lt;Projects!$C$8+Projects!$D$8),Projects!$B$8*INDEX(Curves!$B$4:$AO$4,1,39-Projects!$C$8+1),0)+IF(AND(Projects!$G$9="Yes",39&gt;=Projects!$C$9,39&lt;Projects!$C$9+Projects!$D$9),Projects!$B$9*INDEX(Curves!$B$2:$AO$2,1,39-Projects!$C$9+1),0)+IF(AND(Projects!$G$10="Yes",39&gt;=Projects!$C$10,39&lt;Projects!$C$10+Projects!$D$10),Projects!$B$10*INDEX(Curves!$B$4:$AO$4,1,39-Projects!$C$10+1),0)+IF(AND(Projects!$G$11="Yes",39&gt;=Projects!$C$11,39&lt;Projects!$C$11+Projects!$D$11),Projects!$B$11*INDEX(Curves!$B$4:$AO$4,1,39-Projects!$C$11+1),0)+IF(AND(Projects!$G$12="Yes",39&gt;=Projects!$C$12,39&lt;Projects!$C$12+Projects!$D$12),Projects!$B$12*INDEX(Curves!$B$4:$AO$4,1,39-Projects!$C$12+1),0)+IF(AND(Projects!$G$13="Yes",39&gt;=Projects!$C$13,39&lt;Projects!$C$13+Projects!$D$13),Projects!$B$13*INDEX(Curves!$B$2:$AO$2,1,39-Projects!$C$13+1),0)+IF(AND(Projects!$G$14="Yes",39&gt;=Projects!$C$14,39&lt;Projects!$C$14+Projects!$D$14),Projects!$B$14*INDEX(Curves!$B$2:$AO$2,1,39-Projects!$C$14+1),0)+IF(AND(Projects!$G$15="Yes",39&gt;=Projects!$C$15,39&lt;Projects!$C$15+Projects!$D$15),Projects!$B$15*INDEX(Curves!$B$4:$AO$4,1,39-Projects!$C$15+1),0)+IF(AND(Projects!$G$16="Yes",39&gt;=Projects!$C$16,39&lt;Projects!$C$16+Projects!$D$16),Projects!$B$16*INDEX(Curves!$B$4:$AO$4,1,39-Projects!$C$16+1),0)</f>
        <v>2921081.1206259998</v>
      </c>
      <c r="AP7" s="8">
        <f>IF(AND(Projects!$G$2="Yes",40&gt;=Projects!$C$2,40&lt;Projects!$C$2+Projects!$D$2),Projects!$B$2*INDEX(Curves!$B$6:$AO$6,1,40-Projects!$C$2+1),0)+IF(AND(Projects!$G$3="Yes",40&gt;=Projects!$C$3,40&lt;Projects!$C$3+Projects!$D$3),Projects!$B$3*INDEX(Curves!$B$7:$AO$7,1,40-Projects!$C$3+1),0)+IF(AND(Projects!$G$4="Yes",40&gt;=Projects!$C$4,40&lt;Projects!$C$4+Projects!$D$4),Projects!$B$4*INDEX(Curves!$B$8:$AO$8,1,40-Projects!$C$4+1),0)+IF(AND(Projects!$G$5="Yes",40&gt;=Projects!$C$5,40&lt;Projects!$C$5+Projects!$D$5),Projects!$B$5*INDEX(Curves!$B$9:$AO$9,1,40-Projects!$C$5+1),0)+IF(AND(Projects!$G$6="Yes",40&gt;=Projects!$C$6,40&lt;Projects!$C$6+Projects!$D$6),Projects!$B$6*INDEX(Curves!$B$4:$AO$4,1,40-Projects!$C$6+1),0)+IF(AND(Projects!$G$7="Yes",40&gt;=Projects!$C$7,40&lt;Projects!$C$7+Projects!$D$7),Projects!$B$7*INDEX(Curves!$B$3:$AO$3,1,40-Projects!$C$7+1),0)+IF(AND(Projects!$G$8="Yes",40&gt;=Projects!$C$8,40&lt;Projects!$C$8+Projects!$D$8),Projects!$B$8*INDEX(Curves!$B$4:$AO$4,1,40-Projects!$C$8+1),0)+IF(AND(Projects!$G$9="Yes",40&gt;=Projects!$C$9,40&lt;Projects!$C$9+Projects!$D$9),Projects!$B$9*INDEX(Curves!$B$2:$AO$2,1,40-Projects!$C$9+1),0)+IF(AND(Projects!$G$10="Yes",40&gt;=Projects!$C$10,40&lt;Projects!$C$10+Projects!$D$10),Projects!$B$10*INDEX(Curves!$B$4:$AO$4,1,40-Projects!$C$10+1),0)+IF(AND(Projects!$G$11="Yes",40&gt;=Projects!$C$11,40&lt;Projects!$C$11+Projects!$D$11),Projects!$B$11*INDEX(Curves!$B$4:$AO$4,1,40-Projects!$C$11+1),0)+IF(AND(Projects!$G$12="Yes",40&gt;=Projects!$C$12,40&lt;Projects!$C$12+Projects!$D$12),Projects!$B$12*INDEX(Curves!$B$4:$AO$4,1,40-Projects!$C$12+1),0)+IF(AND(Projects!$G$13="Yes",40&gt;=Projects!$C$13,40&lt;Projects!$C$13+Projects!$D$13),Projects!$B$13*INDEX(Curves!$B$2:$AO$2,1,40-Projects!$C$13+1),0)+IF(AND(Projects!$G$14="Yes",40&gt;=Projects!$C$14,40&lt;Projects!$C$14+Projects!$D$14),Projects!$B$14*INDEX(Curves!$B$2:$AO$2,1,40-Projects!$C$14+1),0)+IF(AND(Projects!$G$15="Yes",40&gt;=Projects!$C$15,40&lt;Projects!$C$15+Projects!$D$15),Projects!$B$15*INDEX(Curves!$B$4:$AO$4,1,40-Projects!$C$15+1),0)+IF(AND(Projects!$G$16="Yes",40&gt;=Projects!$C$16,40&lt;Projects!$C$16+Projects!$D$16),Projects!$B$16*INDEX(Curves!$B$4:$AO$4,1,40-Projects!$C$16+1),0)</f>
        <v>2836713.7452060003</v>
      </c>
      <c r="AQ7" s="8">
        <f>IF(AND(Projects!$G$2="Yes",41&gt;=Projects!$C$2,41&lt;Projects!$C$2+Projects!$D$2),Projects!$B$2*INDEX(Curves!$B$6:$AO$6,1,41-Projects!$C$2+1),0)+IF(AND(Projects!$G$3="Yes",41&gt;=Projects!$C$3,41&lt;Projects!$C$3+Projects!$D$3),Projects!$B$3*INDEX(Curves!$B$7:$AO$7,1,41-Projects!$C$3+1),0)+IF(AND(Projects!$G$4="Yes",41&gt;=Projects!$C$4,41&lt;Projects!$C$4+Projects!$D$4),Projects!$B$4*INDEX(Curves!$B$8:$AO$8,1,41-Projects!$C$4+1),0)+IF(AND(Projects!$G$5="Yes",41&gt;=Projects!$C$5,41&lt;Projects!$C$5+Projects!$D$5),Projects!$B$5*INDEX(Curves!$B$9:$AO$9,1,41-Projects!$C$5+1),0)+IF(AND(Projects!$G$6="Yes",41&gt;=Projects!$C$6,41&lt;Projects!$C$6+Projects!$D$6),Projects!$B$6*INDEX(Curves!$B$4:$AO$4,1,41-Projects!$C$6+1),0)+IF(AND(Projects!$G$7="Yes",41&gt;=Projects!$C$7,41&lt;Projects!$C$7+Projects!$D$7),Projects!$B$7*INDEX(Curves!$B$3:$AO$3,1,41-Projects!$C$7+1),0)+IF(AND(Projects!$G$8="Yes",41&gt;=Projects!$C$8,41&lt;Projects!$C$8+Projects!$D$8),Projects!$B$8*INDEX(Curves!$B$4:$AO$4,1,41-Projects!$C$8+1),0)+IF(AND(Projects!$G$9="Yes",41&gt;=Projects!$C$9,41&lt;Projects!$C$9+Projects!$D$9),Projects!$B$9*INDEX(Curves!$B$2:$AO$2,1,41-Projects!$C$9+1),0)+IF(AND(Projects!$G$10="Yes",41&gt;=Projects!$C$10,41&lt;Projects!$C$10+Projects!$D$10),Projects!$B$10*INDEX(Curves!$B$4:$AO$4,1,41-Projects!$C$10+1),0)+IF(AND(Projects!$G$11="Yes",41&gt;=Projects!$C$11,41&lt;Projects!$C$11+Projects!$D$11),Projects!$B$11*INDEX(Curves!$B$4:$AO$4,1,41-Projects!$C$11+1),0)+IF(AND(Projects!$G$12="Yes",41&gt;=Projects!$C$12,41&lt;Projects!$C$12+Projects!$D$12),Projects!$B$12*INDEX(Curves!$B$4:$AO$4,1,41-Projects!$C$12+1),0)+IF(AND(Projects!$G$13="Yes",41&gt;=Projects!$C$13,41&lt;Projects!$C$13+Projects!$D$13),Projects!$B$13*INDEX(Curves!$B$2:$AO$2,1,41-Projects!$C$13+1),0)+IF(AND(Projects!$G$14="Yes",41&gt;=Projects!$C$14,41&lt;Projects!$C$14+Projects!$D$14),Projects!$B$14*INDEX(Curves!$B$2:$AO$2,1,41-Projects!$C$14+1),0)+IF(AND(Projects!$G$15="Yes",41&gt;=Projects!$C$15,41&lt;Projects!$C$15+Projects!$D$15),Projects!$B$15*INDEX(Curves!$B$4:$AO$4,1,41-Projects!$C$15+1),0)+IF(AND(Projects!$G$16="Yes",41&gt;=Projects!$C$16,41&lt;Projects!$C$16+Projects!$D$16),Projects!$B$16*INDEX(Curves!$B$4:$AO$4,1,41-Projects!$C$16+1),0)</f>
        <v>2739322.4798999997</v>
      </c>
      <c r="AR7" s="8">
        <f>IF(AND(Projects!$G$2="Yes",42&gt;=Projects!$C$2,42&lt;Projects!$C$2+Projects!$D$2),Projects!$B$2*INDEX(Curves!$B$6:$AO$6,1,42-Projects!$C$2+1),0)+IF(AND(Projects!$G$3="Yes",42&gt;=Projects!$C$3,42&lt;Projects!$C$3+Projects!$D$3),Projects!$B$3*INDEX(Curves!$B$7:$AO$7,1,42-Projects!$C$3+1),0)+IF(AND(Projects!$G$4="Yes",42&gt;=Projects!$C$4,42&lt;Projects!$C$4+Projects!$D$4),Projects!$B$4*INDEX(Curves!$B$8:$AO$8,1,42-Projects!$C$4+1),0)+IF(AND(Projects!$G$5="Yes",42&gt;=Projects!$C$5,42&lt;Projects!$C$5+Projects!$D$5),Projects!$B$5*INDEX(Curves!$B$9:$AO$9,1,42-Projects!$C$5+1),0)+IF(AND(Projects!$G$6="Yes",42&gt;=Projects!$C$6,42&lt;Projects!$C$6+Projects!$D$6),Projects!$B$6*INDEX(Curves!$B$4:$AO$4,1,42-Projects!$C$6+1),0)+IF(AND(Projects!$G$7="Yes",42&gt;=Projects!$C$7,42&lt;Projects!$C$7+Projects!$D$7),Projects!$B$7*INDEX(Curves!$B$3:$AO$3,1,42-Projects!$C$7+1),0)+IF(AND(Projects!$G$8="Yes",42&gt;=Projects!$C$8,42&lt;Projects!$C$8+Projects!$D$8),Projects!$B$8*INDEX(Curves!$B$4:$AO$4,1,42-Projects!$C$8+1),0)+IF(AND(Projects!$G$9="Yes",42&gt;=Projects!$C$9,42&lt;Projects!$C$9+Projects!$D$9),Projects!$B$9*INDEX(Curves!$B$2:$AO$2,1,42-Projects!$C$9+1),0)+IF(AND(Projects!$G$10="Yes",42&gt;=Projects!$C$10,42&lt;Projects!$C$10+Projects!$D$10),Projects!$B$10*INDEX(Curves!$B$4:$AO$4,1,42-Projects!$C$10+1),0)+IF(AND(Projects!$G$11="Yes",42&gt;=Projects!$C$11,42&lt;Projects!$C$11+Projects!$D$11),Projects!$B$11*INDEX(Curves!$B$4:$AO$4,1,42-Projects!$C$11+1),0)+IF(AND(Projects!$G$12="Yes",42&gt;=Projects!$C$12,42&lt;Projects!$C$12+Projects!$D$12),Projects!$B$12*INDEX(Curves!$B$4:$AO$4,1,42-Projects!$C$12+1),0)+IF(AND(Projects!$G$13="Yes",42&gt;=Projects!$C$13,42&lt;Projects!$C$13+Projects!$D$13),Projects!$B$13*INDEX(Curves!$B$2:$AO$2,1,42-Projects!$C$13+1),0)+IF(AND(Projects!$G$14="Yes",42&gt;=Projects!$C$14,42&lt;Projects!$C$14+Projects!$D$14),Projects!$B$14*INDEX(Curves!$B$2:$AO$2,1,42-Projects!$C$14+1),0)+IF(AND(Projects!$G$15="Yes",42&gt;=Projects!$C$15,42&lt;Projects!$C$15+Projects!$D$15),Projects!$B$15*INDEX(Curves!$B$4:$AO$4,1,42-Projects!$C$15+1),0)+IF(AND(Projects!$G$16="Yes",42&gt;=Projects!$C$16,42&lt;Projects!$C$16+Projects!$D$16),Projects!$B$16*INDEX(Curves!$B$4:$AO$4,1,42-Projects!$C$16+1),0)</f>
        <v>2629912.6968099996</v>
      </c>
      <c r="AS7" s="8">
        <f>IF(AND(Projects!$G$2="Yes",43&gt;=Projects!$C$2,43&lt;Projects!$C$2+Projects!$D$2),Projects!$B$2*INDEX(Curves!$B$6:$AO$6,1,43-Projects!$C$2+1),0)+IF(AND(Projects!$G$3="Yes",43&gt;=Projects!$C$3,43&lt;Projects!$C$3+Projects!$D$3),Projects!$B$3*INDEX(Curves!$B$7:$AO$7,1,43-Projects!$C$3+1),0)+IF(AND(Projects!$G$4="Yes",43&gt;=Projects!$C$4,43&lt;Projects!$C$4+Projects!$D$4),Projects!$B$4*INDEX(Curves!$B$8:$AO$8,1,43-Projects!$C$4+1),0)+IF(AND(Projects!$G$5="Yes",43&gt;=Projects!$C$5,43&lt;Projects!$C$5+Projects!$D$5),Projects!$B$5*INDEX(Curves!$B$9:$AO$9,1,43-Projects!$C$5+1),0)+IF(AND(Projects!$G$6="Yes",43&gt;=Projects!$C$6,43&lt;Projects!$C$6+Projects!$D$6),Projects!$B$6*INDEX(Curves!$B$4:$AO$4,1,43-Projects!$C$6+1),0)+IF(AND(Projects!$G$7="Yes",43&gt;=Projects!$C$7,43&lt;Projects!$C$7+Projects!$D$7),Projects!$B$7*INDEX(Curves!$B$3:$AO$3,1,43-Projects!$C$7+1),0)+IF(AND(Projects!$G$8="Yes",43&gt;=Projects!$C$8,43&lt;Projects!$C$8+Projects!$D$8),Projects!$B$8*INDEX(Curves!$B$4:$AO$4,1,43-Projects!$C$8+1),0)+IF(AND(Projects!$G$9="Yes",43&gt;=Projects!$C$9,43&lt;Projects!$C$9+Projects!$D$9),Projects!$B$9*INDEX(Curves!$B$2:$AO$2,1,43-Projects!$C$9+1),0)+IF(AND(Projects!$G$10="Yes",43&gt;=Projects!$C$10,43&lt;Projects!$C$10+Projects!$D$10),Projects!$B$10*INDEX(Curves!$B$4:$AO$4,1,43-Projects!$C$10+1),0)+IF(AND(Projects!$G$11="Yes",43&gt;=Projects!$C$11,43&lt;Projects!$C$11+Projects!$D$11),Projects!$B$11*INDEX(Curves!$B$4:$AO$4,1,43-Projects!$C$11+1),0)+IF(AND(Projects!$G$12="Yes",43&gt;=Projects!$C$12,43&lt;Projects!$C$12+Projects!$D$12),Projects!$B$12*INDEX(Curves!$B$4:$AO$4,1,43-Projects!$C$12+1),0)+IF(AND(Projects!$G$13="Yes",43&gt;=Projects!$C$13,43&lt;Projects!$C$13+Projects!$D$13),Projects!$B$13*INDEX(Curves!$B$2:$AO$2,1,43-Projects!$C$13+1),0)+IF(AND(Projects!$G$14="Yes",43&gt;=Projects!$C$14,43&lt;Projects!$C$14+Projects!$D$14),Projects!$B$14*INDEX(Curves!$B$2:$AO$2,1,43-Projects!$C$14+1),0)+IF(AND(Projects!$G$15="Yes",43&gt;=Projects!$C$15,43&lt;Projects!$C$15+Projects!$D$15),Projects!$B$15*INDEX(Curves!$B$4:$AO$4,1,43-Projects!$C$15+1),0)+IF(AND(Projects!$G$16="Yes",43&gt;=Projects!$C$16,43&lt;Projects!$C$16+Projects!$D$16),Projects!$B$16*INDEX(Curves!$B$4:$AO$4,1,43-Projects!$C$16+1),0)</f>
        <v>1882173.3662159999</v>
      </c>
      <c r="AT7" s="8">
        <f>IF(AND(Projects!$G$2="Yes",44&gt;=Projects!$C$2,44&lt;Projects!$C$2+Projects!$D$2),Projects!$B$2*INDEX(Curves!$B$6:$AO$6,1,44-Projects!$C$2+1),0)+IF(AND(Projects!$G$3="Yes",44&gt;=Projects!$C$3,44&lt;Projects!$C$3+Projects!$D$3),Projects!$B$3*INDEX(Curves!$B$7:$AO$7,1,44-Projects!$C$3+1),0)+IF(AND(Projects!$G$4="Yes",44&gt;=Projects!$C$4,44&lt;Projects!$C$4+Projects!$D$4),Projects!$B$4*INDEX(Curves!$B$8:$AO$8,1,44-Projects!$C$4+1),0)+IF(AND(Projects!$G$5="Yes",44&gt;=Projects!$C$5,44&lt;Projects!$C$5+Projects!$D$5),Projects!$B$5*INDEX(Curves!$B$9:$AO$9,1,44-Projects!$C$5+1),0)+IF(AND(Projects!$G$6="Yes",44&gt;=Projects!$C$6,44&lt;Projects!$C$6+Projects!$D$6),Projects!$B$6*INDEX(Curves!$B$4:$AO$4,1,44-Projects!$C$6+1),0)+IF(AND(Projects!$G$7="Yes",44&gt;=Projects!$C$7,44&lt;Projects!$C$7+Projects!$D$7),Projects!$B$7*INDEX(Curves!$B$3:$AO$3,1,44-Projects!$C$7+1),0)+IF(AND(Projects!$G$8="Yes",44&gt;=Projects!$C$8,44&lt;Projects!$C$8+Projects!$D$8),Projects!$B$8*INDEX(Curves!$B$4:$AO$4,1,44-Projects!$C$8+1),0)+IF(AND(Projects!$G$9="Yes",44&gt;=Projects!$C$9,44&lt;Projects!$C$9+Projects!$D$9),Projects!$B$9*INDEX(Curves!$B$2:$AO$2,1,44-Projects!$C$9+1),0)+IF(AND(Projects!$G$10="Yes",44&gt;=Projects!$C$10,44&lt;Projects!$C$10+Projects!$D$10),Projects!$B$10*INDEX(Curves!$B$4:$AO$4,1,44-Projects!$C$10+1),0)+IF(AND(Projects!$G$11="Yes",44&gt;=Projects!$C$11,44&lt;Projects!$C$11+Projects!$D$11),Projects!$B$11*INDEX(Curves!$B$4:$AO$4,1,44-Projects!$C$11+1),0)+IF(AND(Projects!$G$12="Yes",44&gt;=Projects!$C$12,44&lt;Projects!$C$12+Projects!$D$12),Projects!$B$12*INDEX(Curves!$B$4:$AO$4,1,44-Projects!$C$12+1),0)+IF(AND(Projects!$G$13="Yes",44&gt;=Projects!$C$13,44&lt;Projects!$C$13+Projects!$D$13),Projects!$B$13*INDEX(Curves!$B$2:$AO$2,1,44-Projects!$C$13+1),0)+IF(AND(Projects!$G$14="Yes",44&gt;=Projects!$C$14,44&lt;Projects!$C$14+Projects!$D$14),Projects!$B$14*INDEX(Curves!$B$2:$AO$2,1,44-Projects!$C$14+1),0)+IF(AND(Projects!$G$15="Yes",44&gt;=Projects!$C$15,44&lt;Projects!$C$15+Projects!$D$15),Projects!$B$15*INDEX(Curves!$B$4:$AO$4,1,44-Projects!$C$15+1),0)+IF(AND(Projects!$G$16="Yes",44&gt;=Projects!$C$16,44&lt;Projects!$C$16+Projects!$D$16),Projects!$B$16*INDEX(Curves!$B$4:$AO$4,1,44-Projects!$C$16+1),0)</f>
        <v>1844954.1974160001</v>
      </c>
      <c r="AU7" s="8">
        <f>IF(AND(Projects!$G$2="Yes",45&gt;=Projects!$C$2,45&lt;Projects!$C$2+Projects!$D$2),Projects!$B$2*INDEX(Curves!$B$6:$AO$6,1,45-Projects!$C$2+1),0)+IF(AND(Projects!$G$3="Yes",45&gt;=Projects!$C$3,45&lt;Projects!$C$3+Projects!$D$3),Projects!$B$3*INDEX(Curves!$B$7:$AO$7,1,45-Projects!$C$3+1),0)+IF(AND(Projects!$G$4="Yes",45&gt;=Projects!$C$4,45&lt;Projects!$C$4+Projects!$D$4),Projects!$B$4*INDEX(Curves!$B$8:$AO$8,1,45-Projects!$C$4+1),0)+IF(AND(Projects!$G$5="Yes",45&gt;=Projects!$C$5,45&lt;Projects!$C$5+Projects!$D$5),Projects!$B$5*INDEX(Curves!$B$9:$AO$9,1,45-Projects!$C$5+1),0)+IF(AND(Projects!$G$6="Yes",45&gt;=Projects!$C$6,45&lt;Projects!$C$6+Projects!$D$6),Projects!$B$6*INDEX(Curves!$B$4:$AO$4,1,45-Projects!$C$6+1),0)+IF(AND(Projects!$G$7="Yes",45&gt;=Projects!$C$7,45&lt;Projects!$C$7+Projects!$D$7),Projects!$B$7*INDEX(Curves!$B$3:$AO$3,1,45-Projects!$C$7+1),0)+IF(AND(Projects!$G$8="Yes",45&gt;=Projects!$C$8,45&lt;Projects!$C$8+Projects!$D$8),Projects!$B$8*INDEX(Curves!$B$4:$AO$4,1,45-Projects!$C$8+1),0)+IF(AND(Projects!$G$9="Yes",45&gt;=Projects!$C$9,45&lt;Projects!$C$9+Projects!$D$9),Projects!$B$9*INDEX(Curves!$B$2:$AO$2,1,45-Projects!$C$9+1),0)+IF(AND(Projects!$G$10="Yes",45&gt;=Projects!$C$10,45&lt;Projects!$C$10+Projects!$D$10),Projects!$B$10*INDEX(Curves!$B$4:$AO$4,1,45-Projects!$C$10+1),0)+IF(AND(Projects!$G$11="Yes",45&gt;=Projects!$C$11,45&lt;Projects!$C$11+Projects!$D$11),Projects!$B$11*INDEX(Curves!$B$4:$AO$4,1,45-Projects!$C$11+1),0)+IF(AND(Projects!$G$12="Yes",45&gt;=Projects!$C$12,45&lt;Projects!$C$12+Projects!$D$12),Projects!$B$12*INDEX(Curves!$B$4:$AO$4,1,45-Projects!$C$12+1),0)+IF(AND(Projects!$G$13="Yes",45&gt;=Projects!$C$13,45&lt;Projects!$C$13+Projects!$D$13),Projects!$B$13*INDEX(Curves!$B$2:$AO$2,1,45-Projects!$C$13+1),0)+IF(AND(Projects!$G$14="Yes",45&gt;=Projects!$C$14,45&lt;Projects!$C$14+Projects!$D$14),Projects!$B$14*INDEX(Curves!$B$2:$AO$2,1,45-Projects!$C$14+1),0)+IF(AND(Projects!$G$15="Yes",45&gt;=Projects!$C$15,45&lt;Projects!$C$15+Projects!$D$15),Projects!$B$15*INDEX(Curves!$B$4:$AO$4,1,45-Projects!$C$15+1),0)+IF(AND(Projects!$G$16="Yes",45&gt;=Projects!$C$16,45&lt;Projects!$C$16+Projects!$D$16),Projects!$B$16*INDEX(Curves!$B$4:$AO$4,1,45-Projects!$C$16+1),0)</f>
        <v>1790448.79244</v>
      </c>
      <c r="AV7" s="8">
        <f>IF(AND(Projects!$G$2="Yes",46&gt;=Projects!$C$2,46&lt;Projects!$C$2+Projects!$D$2),Projects!$B$2*INDEX(Curves!$B$6:$AO$6,1,46-Projects!$C$2+1),0)+IF(AND(Projects!$G$3="Yes",46&gt;=Projects!$C$3,46&lt;Projects!$C$3+Projects!$D$3),Projects!$B$3*INDEX(Curves!$B$7:$AO$7,1,46-Projects!$C$3+1),0)+IF(AND(Projects!$G$4="Yes",46&gt;=Projects!$C$4,46&lt;Projects!$C$4+Projects!$D$4),Projects!$B$4*INDEX(Curves!$B$8:$AO$8,1,46-Projects!$C$4+1),0)+IF(AND(Projects!$G$5="Yes",46&gt;=Projects!$C$5,46&lt;Projects!$C$5+Projects!$D$5),Projects!$B$5*INDEX(Curves!$B$9:$AO$9,1,46-Projects!$C$5+1),0)+IF(AND(Projects!$G$6="Yes",46&gt;=Projects!$C$6,46&lt;Projects!$C$6+Projects!$D$6),Projects!$B$6*INDEX(Curves!$B$4:$AO$4,1,46-Projects!$C$6+1),0)+IF(AND(Projects!$G$7="Yes",46&gt;=Projects!$C$7,46&lt;Projects!$C$7+Projects!$D$7),Projects!$B$7*INDEX(Curves!$B$3:$AO$3,1,46-Projects!$C$7+1),0)+IF(AND(Projects!$G$8="Yes",46&gt;=Projects!$C$8,46&lt;Projects!$C$8+Projects!$D$8),Projects!$B$8*INDEX(Curves!$B$4:$AO$4,1,46-Projects!$C$8+1),0)+IF(AND(Projects!$G$9="Yes",46&gt;=Projects!$C$9,46&lt;Projects!$C$9+Projects!$D$9),Projects!$B$9*INDEX(Curves!$B$2:$AO$2,1,46-Projects!$C$9+1),0)+IF(AND(Projects!$G$10="Yes",46&gt;=Projects!$C$10,46&lt;Projects!$C$10+Projects!$D$10),Projects!$B$10*INDEX(Curves!$B$4:$AO$4,1,46-Projects!$C$10+1),0)+IF(AND(Projects!$G$11="Yes",46&gt;=Projects!$C$11,46&lt;Projects!$C$11+Projects!$D$11),Projects!$B$11*INDEX(Curves!$B$4:$AO$4,1,46-Projects!$C$11+1),0)+IF(AND(Projects!$G$12="Yes",46&gt;=Projects!$C$12,46&lt;Projects!$C$12+Projects!$D$12),Projects!$B$12*INDEX(Curves!$B$4:$AO$4,1,46-Projects!$C$12+1),0)+IF(AND(Projects!$G$13="Yes",46&gt;=Projects!$C$13,46&lt;Projects!$C$13+Projects!$D$13),Projects!$B$13*INDEX(Curves!$B$2:$AO$2,1,46-Projects!$C$13+1),0)+IF(AND(Projects!$G$14="Yes",46&gt;=Projects!$C$14,46&lt;Projects!$C$14+Projects!$D$14),Projects!$B$14*INDEX(Curves!$B$2:$AO$2,1,46-Projects!$C$14+1),0)+IF(AND(Projects!$G$15="Yes",46&gt;=Projects!$C$15,46&lt;Projects!$C$15+Projects!$D$15),Projects!$B$15*INDEX(Curves!$B$4:$AO$4,1,46-Projects!$C$15+1),0)+IF(AND(Projects!$G$16="Yes",46&gt;=Projects!$C$16,46&lt;Projects!$C$16+Projects!$D$16),Projects!$B$16*INDEX(Curves!$B$4:$AO$4,1,46-Projects!$C$16+1),0)</f>
        <v>1720311.3365679998</v>
      </c>
      <c r="AW7" s="8">
        <f>IF(AND(Projects!$G$2="Yes",47&gt;=Projects!$C$2,47&lt;Projects!$C$2+Projects!$D$2),Projects!$B$2*INDEX(Curves!$B$6:$AO$6,1,47-Projects!$C$2+1),0)+IF(AND(Projects!$G$3="Yes",47&gt;=Projects!$C$3,47&lt;Projects!$C$3+Projects!$D$3),Projects!$B$3*INDEX(Curves!$B$7:$AO$7,1,47-Projects!$C$3+1),0)+IF(AND(Projects!$G$4="Yes",47&gt;=Projects!$C$4,47&lt;Projects!$C$4+Projects!$D$4),Projects!$B$4*INDEX(Curves!$B$8:$AO$8,1,47-Projects!$C$4+1),0)+IF(AND(Projects!$G$5="Yes",47&gt;=Projects!$C$5,47&lt;Projects!$C$5+Projects!$D$5),Projects!$B$5*INDEX(Curves!$B$9:$AO$9,1,47-Projects!$C$5+1),0)+IF(AND(Projects!$G$6="Yes",47&gt;=Projects!$C$6,47&lt;Projects!$C$6+Projects!$D$6),Projects!$B$6*INDEX(Curves!$B$4:$AO$4,1,47-Projects!$C$6+1),0)+IF(AND(Projects!$G$7="Yes",47&gt;=Projects!$C$7,47&lt;Projects!$C$7+Projects!$D$7),Projects!$B$7*INDEX(Curves!$B$3:$AO$3,1,47-Projects!$C$7+1),0)+IF(AND(Projects!$G$8="Yes",47&gt;=Projects!$C$8,47&lt;Projects!$C$8+Projects!$D$8),Projects!$B$8*INDEX(Curves!$B$4:$AO$4,1,47-Projects!$C$8+1),0)+IF(AND(Projects!$G$9="Yes",47&gt;=Projects!$C$9,47&lt;Projects!$C$9+Projects!$D$9),Projects!$B$9*INDEX(Curves!$B$2:$AO$2,1,47-Projects!$C$9+1),0)+IF(AND(Projects!$G$10="Yes",47&gt;=Projects!$C$10,47&lt;Projects!$C$10+Projects!$D$10),Projects!$B$10*INDEX(Curves!$B$4:$AO$4,1,47-Projects!$C$10+1),0)+IF(AND(Projects!$G$11="Yes",47&gt;=Projects!$C$11,47&lt;Projects!$C$11+Projects!$D$11),Projects!$B$11*INDEX(Curves!$B$4:$AO$4,1,47-Projects!$C$11+1),0)+IF(AND(Projects!$G$12="Yes",47&gt;=Projects!$C$12,47&lt;Projects!$C$12+Projects!$D$12),Projects!$B$12*INDEX(Curves!$B$4:$AO$4,1,47-Projects!$C$12+1),0)+IF(AND(Projects!$G$13="Yes",47&gt;=Projects!$C$13,47&lt;Projects!$C$13+Projects!$D$13),Projects!$B$13*INDEX(Curves!$B$2:$AO$2,1,47-Projects!$C$13+1),0)+IF(AND(Projects!$G$14="Yes",47&gt;=Projects!$C$14,47&lt;Projects!$C$14+Projects!$D$14),Projects!$B$14*INDEX(Curves!$B$2:$AO$2,1,47-Projects!$C$14+1),0)+IF(AND(Projects!$G$15="Yes",47&gt;=Projects!$C$15,47&lt;Projects!$C$15+Projects!$D$15),Projects!$B$15*INDEX(Curves!$B$4:$AO$4,1,47-Projects!$C$15+1),0)+IF(AND(Projects!$G$16="Yes",47&gt;=Projects!$C$16,47&lt;Projects!$C$16+Projects!$D$16),Projects!$B$16*INDEX(Curves!$B$4:$AO$4,1,47-Projects!$C$16+1),0)</f>
        <v>1636485.4975040001</v>
      </c>
      <c r="AX7" s="8">
        <f>IF(AND(Projects!$G$2="Yes",48&gt;=Projects!$C$2,48&lt;Projects!$C$2+Projects!$D$2),Projects!$B$2*INDEX(Curves!$B$6:$AO$6,1,48-Projects!$C$2+1),0)+IF(AND(Projects!$G$3="Yes",48&gt;=Projects!$C$3,48&lt;Projects!$C$3+Projects!$D$3),Projects!$B$3*INDEX(Curves!$B$7:$AO$7,1,48-Projects!$C$3+1),0)+IF(AND(Projects!$G$4="Yes",48&gt;=Projects!$C$4,48&lt;Projects!$C$4+Projects!$D$4),Projects!$B$4*INDEX(Curves!$B$8:$AO$8,1,48-Projects!$C$4+1),0)+IF(AND(Projects!$G$5="Yes",48&gt;=Projects!$C$5,48&lt;Projects!$C$5+Projects!$D$5),Projects!$B$5*INDEX(Curves!$B$9:$AO$9,1,48-Projects!$C$5+1),0)+IF(AND(Projects!$G$6="Yes",48&gt;=Projects!$C$6,48&lt;Projects!$C$6+Projects!$D$6),Projects!$B$6*INDEX(Curves!$B$4:$AO$4,1,48-Projects!$C$6+1),0)+IF(AND(Projects!$G$7="Yes",48&gt;=Projects!$C$7,48&lt;Projects!$C$7+Projects!$D$7),Projects!$B$7*INDEX(Curves!$B$3:$AO$3,1,48-Projects!$C$7+1),0)+IF(AND(Projects!$G$8="Yes",48&gt;=Projects!$C$8,48&lt;Projects!$C$8+Projects!$D$8),Projects!$B$8*INDEX(Curves!$B$4:$AO$4,1,48-Projects!$C$8+1),0)+IF(AND(Projects!$G$9="Yes",48&gt;=Projects!$C$9,48&lt;Projects!$C$9+Projects!$D$9),Projects!$B$9*INDEX(Curves!$B$2:$AO$2,1,48-Projects!$C$9+1),0)+IF(AND(Projects!$G$10="Yes",48&gt;=Projects!$C$10,48&lt;Projects!$C$10+Projects!$D$10),Projects!$B$10*INDEX(Curves!$B$4:$AO$4,1,48-Projects!$C$10+1),0)+IF(AND(Projects!$G$11="Yes",48&gt;=Projects!$C$11,48&lt;Projects!$C$11+Projects!$D$11),Projects!$B$11*INDEX(Curves!$B$4:$AO$4,1,48-Projects!$C$11+1),0)+IF(AND(Projects!$G$12="Yes",48&gt;=Projects!$C$12,48&lt;Projects!$C$12+Projects!$D$12),Projects!$B$12*INDEX(Curves!$B$4:$AO$4,1,48-Projects!$C$12+1),0)+IF(AND(Projects!$G$13="Yes",48&gt;=Projects!$C$13,48&lt;Projects!$C$13+Projects!$D$13),Projects!$B$13*INDEX(Curves!$B$2:$AO$2,1,48-Projects!$C$13+1),0)+IF(AND(Projects!$G$14="Yes",48&gt;=Projects!$C$14,48&lt;Projects!$C$14+Projects!$D$14),Projects!$B$14*INDEX(Curves!$B$2:$AO$2,1,48-Projects!$C$14+1),0)+IF(AND(Projects!$G$15="Yes",48&gt;=Projects!$C$15,48&lt;Projects!$C$15+Projects!$D$15),Projects!$B$15*INDEX(Curves!$B$4:$AO$4,1,48-Projects!$C$15+1),0)+IF(AND(Projects!$G$16="Yes",48&gt;=Projects!$C$16,48&lt;Projects!$C$16+Projects!$D$16),Projects!$B$16*INDEX(Curves!$B$4:$AO$4,1,48-Projects!$C$16+1),0)</f>
        <v>1541245.7800079999</v>
      </c>
      <c r="AY7" s="8">
        <f>IF(AND(Projects!$G$2="Yes",49&gt;=Projects!$C$2,49&lt;Projects!$C$2+Projects!$D$2),Projects!$B$2*INDEX(Curves!$B$6:$AO$6,1,49-Projects!$C$2+1),0)+IF(AND(Projects!$G$3="Yes",49&gt;=Projects!$C$3,49&lt;Projects!$C$3+Projects!$D$3),Projects!$B$3*INDEX(Curves!$B$7:$AO$7,1,49-Projects!$C$3+1),0)+IF(AND(Projects!$G$4="Yes",49&gt;=Projects!$C$4,49&lt;Projects!$C$4+Projects!$D$4),Projects!$B$4*INDEX(Curves!$B$8:$AO$8,1,49-Projects!$C$4+1),0)+IF(AND(Projects!$G$5="Yes",49&gt;=Projects!$C$5,49&lt;Projects!$C$5+Projects!$D$5),Projects!$B$5*INDEX(Curves!$B$9:$AO$9,1,49-Projects!$C$5+1),0)+IF(AND(Projects!$G$6="Yes",49&gt;=Projects!$C$6,49&lt;Projects!$C$6+Projects!$D$6),Projects!$B$6*INDEX(Curves!$B$4:$AO$4,1,49-Projects!$C$6+1),0)+IF(AND(Projects!$G$7="Yes",49&gt;=Projects!$C$7,49&lt;Projects!$C$7+Projects!$D$7),Projects!$B$7*INDEX(Curves!$B$3:$AO$3,1,49-Projects!$C$7+1),0)+IF(AND(Projects!$G$8="Yes",49&gt;=Projects!$C$8,49&lt;Projects!$C$8+Projects!$D$8),Projects!$B$8*INDEX(Curves!$B$4:$AO$4,1,49-Projects!$C$8+1),0)+IF(AND(Projects!$G$9="Yes",49&gt;=Projects!$C$9,49&lt;Projects!$C$9+Projects!$D$9),Projects!$B$9*INDEX(Curves!$B$2:$AO$2,1,49-Projects!$C$9+1),0)+IF(AND(Projects!$G$10="Yes",49&gt;=Projects!$C$10,49&lt;Projects!$C$10+Projects!$D$10),Projects!$B$10*INDEX(Curves!$B$4:$AO$4,1,49-Projects!$C$10+1),0)+IF(AND(Projects!$G$11="Yes",49&gt;=Projects!$C$11,49&lt;Projects!$C$11+Projects!$D$11),Projects!$B$11*INDEX(Curves!$B$4:$AO$4,1,49-Projects!$C$11+1),0)+IF(AND(Projects!$G$12="Yes",49&gt;=Projects!$C$12,49&lt;Projects!$C$12+Projects!$D$12),Projects!$B$12*INDEX(Curves!$B$4:$AO$4,1,49-Projects!$C$12+1),0)+IF(AND(Projects!$G$13="Yes",49&gt;=Projects!$C$13,49&lt;Projects!$C$13+Projects!$D$13),Projects!$B$13*INDEX(Curves!$B$2:$AO$2,1,49-Projects!$C$13+1),0)+IF(AND(Projects!$G$14="Yes",49&gt;=Projects!$C$14,49&lt;Projects!$C$14+Projects!$D$14),Projects!$B$14*INDEX(Curves!$B$2:$AO$2,1,49-Projects!$C$14+1),0)+IF(AND(Projects!$G$15="Yes",49&gt;=Projects!$C$15,49&lt;Projects!$C$15+Projects!$D$15),Projects!$B$15*INDEX(Curves!$B$4:$AO$4,1,49-Projects!$C$15+1),0)+IF(AND(Projects!$G$16="Yes",49&gt;=Projects!$C$16,49&lt;Projects!$C$16+Projects!$D$16),Projects!$B$16*INDEX(Curves!$B$4:$AO$4,1,49-Projects!$C$16+1),0)</f>
        <v>1437156.171264</v>
      </c>
      <c r="AZ7" s="8">
        <f>IF(AND(Projects!$G$2="Yes",50&gt;=Projects!$C$2,50&lt;Projects!$C$2+Projects!$D$2),Projects!$B$2*INDEX(Curves!$B$6:$AO$6,1,50-Projects!$C$2+1),0)+IF(AND(Projects!$G$3="Yes",50&gt;=Projects!$C$3,50&lt;Projects!$C$3+Projects!$D$3),Projects!$B$3*INDEX(Curves!$B$7:$AO$7,1,50-Projects!$C$3+1),0)+IF(AND(Projects!$G$4="Yes",50&gt;=Projects!$C$4,50&lt;Projects!$C$4+Projects!$D$4),Projects!$B$4*INDEX(Curves!$B$8:$AO$8,1,50-Projects!$C$4+1),0)+IF(AND(Projects!$G$5="Yes",50&gt;=Projects!$C$5,50&lt;Projects!$C$5+Projects!$D$5),Projects!$B$5*INDEX(Curves!$B$9:$AO$9,1,50-Projects!$C$5+1),0)+IF(AND(Projects!$G$6="Yes",50&gt;=Projects!$C$6,50&lt;Projects!$C$6+Projects!$D$6),Projects!$B$6*INDEX(Curves!$B$4:$AO$4,1,50-Projects!$C$6+1),0)+IF(AND(Projects!$G$7="Yes",50&gt;=Projects!$C$7,50&lt;Projects!$C$7+Projects!$D$7),Projects!$B$7*INDEX(Curves!$B$3:$AO$3,1,50-Projects!$C$7+1),0)+IF(AND(Projects!$G$8="Yes",50&gt;=Projects!$C$8,50&lt;Projects!$C$8+Projects!$D$8),Projects!$B$8*INDEX(Curves!$B$4:$AO$4,1,50-Projects!$C$8+1),0)+IF(AND(Projects!$G$9="Yes",50&gt;=Projects!$C$9,50&lt;Projects!$C$9+Projects!$D$9),Projects!$B$9*INDEX(Curves!$B$2:$AO$2,1,50-Projects!$C$9+1),0)+IF(AND(Projects!$G$10="Yes",50&gt;=Projects!$C$10,50&lt;Projects!$C$10+Projects!$D$10),Projects!$B$10*INDEX(Curves!$B$4:$AO$4,1,50-Projects!$C$10+1),0)+IF(AND(Projects!$G$11="Yes",50&gt;=Projects!$C$11,50&lt;Projects!$C$11+Projects!$D$11),Projects!$B$11*INDEX(Curves!$B$4:$AO$4,1,50-Projects!$C$11+1),0)+IF(AND(Projects!$G$12="Yes",50&gt;=Projects!$C$12,50&lt;Projects!$C$12+Projects!$D$12),Projects!$B$12*INDEX(Curves!$B$4:$AO$4,1,50-Projects!$C$12+1),0)+IF(AND(Projects!$G$13="Yes",50&gt;=Projects!$C$13,50&lt;Projects!$C$13+Projects!$D$13),Projects!$B$13*INDEX(Curves!$B$2:$AO$2,1,50-Projects!$C$13+1),0)+IF(AND(Projects!$G$14="Yes",50&gt;=Projects!$C$14,50&lt;Projects!$C$14+Projects!$D$14),Projects!$B$14*INDEX(Curves!$B$2:$AO$2,1,50-Projects!$C$14+1),0)+IF(AND(Projects!$G$15="Yes",50&gt;=Projects!$C$15,50&lt;Projects!$C$15+Projects!$D$15),Projects!$B$15*INDEX(Curves!$B$4:$AO$4,1,50-Projects!$C$15+1),0)+IF(AND(Projects!$G$16="Yes",50&gt;=Projects!$C$16,50&lt;Projects!$C$16+Projects!$D$16),Projects!$B$16*INDEX(Curves!$B$4:$AO$4,1,50-Projects!$C$16+1),0)</f>
        <v>1326739.3038240001</v>
      </c>
      <c r="BA7" s="8">
        <f>IF(AND(Projects!$G$2="Yes",51&gt;=Projects!$C$2,51&lt;Projects!$C$2+Projects!$D$2),Projects!$B$2*INDEX(Curves!$B$6:$AO$6,1,51-Projects!$C$2+1),0)+IF(AND(Projects!$G$3="Yes",51&gt;=Projects!$C$3,51&lt;Projects!$C$3+Projects!$D$3),Projects!$B$3*INDEX(Curves!$B$7:$AO$7,1,51-Projects!$C$3+1),0)+IF(AND(Projects!$G$4="Yes",51&gt;=Projects!$C$4,51&lt;Projects!$C$4+Projects!$D$4),Projects!$B$4*INDEX(Curves!$B$8:$AO$8,1,51-Projects!$C$4+1),0)+IF(AND(Projects!$G$5="Yes",51&gt;=Projects!$C$5,51&lt;Projects!$C$5+Projects!$D$5),Projects!$B$5*INDEX(Curves!$B$9:$AO$9,1,51-Projects!$C$5+1),0)+IF(AND(Projects!$G$6="Yes",51&gt;=Projects!$C$6,51&lt;Projects!$C$6+Projects!$D$6),Projects!$B$6*INDEX(Curves!$B$4:$AO$4,1,51-Projects!$C$6+1),0)+IF(AND(Projects!$G$7="Yes",51&gt;=Projects!$C$7,51&lt;Projects!$C$7+Projects!$D$7),Projects!$B$7*INDEX(Curves!$B$3:$AO$3,1,51-Projects!$C$7+1),0)+IF(AND(Projects!$G$8="Yes",51&gt;=Projects!$C$8,51&lt;Projects!$C$8+Projects!$D$8),Projects!$B$8*INDEX(Curves!$B$4:$AO$4,1,51-Projects!$C$8+1),0)+IF(AND(Projects!$G$9="Yes",51&gt;=Projects!$C$9,51&lt;Projects!$C$9+Projects!$D$9),Projects!$B$9*INDEX(Curves!$B$2:$AO$2,1,51-Projects!$C$9+1),0)+IF(AND(Projects!$G$10="Yes",51&gt;=Projects!$C$10,51&lt;Projects!$C$10+Projects!$D$10),Projects!$B$10*INDEX(Curves!$B$4:$AO$4,1,51-Projects!$C$10+1),0)+IF(AND(Projects!$G$11="Yes",51&gt;=Projects!$C$11,51&lt;Projects!$C$11+Projects!$D$11),Projects!$B$11*INDEX(Curves!$B$4:$AO$4,1,51-Projects!$C$11+1),0)+IF(AND(Projects!$G$12="Yes",51&gt;=Projects!$C$12,51&lt;Projects!$C$12+Projects!$D$12),Projects!$B$12*INDEX(Curves!$B$4:$AO$4,1,51-Projects!$C$12+1),0)+IF(AND(Projects!$G$13="Yes",51&gt;=Projects!$C$13,51&lt;Projects!$C$13+Projects!$D$13),Projects!$B$13*INDEX(Curves!$B$2:$AO$2,1,51-Projects!$C$13+1),0)+IF(AND(Projects!$G$14="Yes",51&gt;=Projects!$C$14,51&lt;Projects!$C$14+Projects!$D$14),Projects!$B$14*INDEX(Curves!$B$2:$AO$2,1,51-Projects!$C$14+1),0)+IF(AND(Projects!$G$15="Yes",51&gt;=Projects!$C$15,51&lt;Projects!$C$15+Projects!$D$15),Projects!$B$15*INDEX(Curves!$B$4:$AO$4,1,51-Projects!$C$15+1),0)+IF(AND(Projects!$G$16="Yes",51&gt;=Projects!$C$16,51&lt;Projects!$C$16+Projects!$D$16),Projects!$B$16*INDEX(Curves!$B$4:$AO$4,1,51-Projects!$C$16+1),0)</f>
        <v>1212641.8741359999</v>
      </c>
      <c r="BB7" s="8">
        <f>IF(AND(Projects!$G$2="Yes",52&gt;=Projects!$C$2,52&lt;Projects!$C$2+Projects!$D$2),Projects!$B$2*INDEX(Curves!$B$6:$AO$6,1,52-Projects!$C$2+1),0)+IF(AND(Projects!$G$3="Yes",52&gt;=Projects!$C$3,52&lt;Projects!$C$3+Projects!$D$3),Projects!$B$3*INDEX(Curves!$B$7:$AO$7,1,52-Projects!$C$3+1),0)+IF(AND(Projects!$G$4="Yes",52&gt;=Projects!$C$4,52&lt;Projects!$C$4+Projects!$D$4),Projects!$B$4*INDEX(Curves!$B$8:$AO$8,1,52-Projects!$C$4+1),0)+IF(AND(Projects!$G$5="Yes",52&gt;=Projects!$C$5,52&lt;Projects!$C$5+Projects!$D$5),Projects!$B$5*INDEX(Curves!$B$9:$AO$9,1,52-Projects!$C$5+1),0)+IF(AND(Projects!$G$6="Yes",52&gt;=Projects!$C$6,52&lt;Projects!$C$6+Projects!$D$6),Projects!$B$6*INDEX(Curves!$B$4:$AO$4,1,52-Projects!$C$6+1),0)+IF(AND(Projects!$G$7="Yes",52&gt;=Projects!$C$7,52&lt;Projects!$C$7+Projects!$D$7),Projects!$B$7*INDEX(Curves!$B$3:$AO$3,1,52-Projects!$C$7+1),0)+IF(AND(Projects!$G$8="Yes",52&gt;=Projects!$C$8,52&lt;Projects!$C$8+Projects!$D$8),Projects!$B$8*INDEX(Curves!$B$4:$AO$4,1,52-Projects!$C$8+1),0)+IF(AND(Projects!$G$9="Yes",52&gt;=Projects!$C$9,52&lt;Projects!$C$9+Projects!$D$9),Projects!$B$9*INDEX(Curves!$B$2:$AO$2,1,52-Projects!$C$9+1),0)+IF(AND(Projects!$G$10="Yes",52&gt;=Projects!$C$10,52&lt;Projects!$C$10+Projects!$D$10),Projects!$B$10*INDEX(Curves!$B$4:$AO$4,1,52-Projects!$C$10+1),0)+IF(AND(Projects!$G$11="Yes",52&gt;=Projects!$C$11,52&lt;Projects!$C$11+Projects!$D$11),Projects!$B$11*INDEX(Curves!$B$4:$AO$4,1,52-Projects!$C$11+1),0)+IF(AND(Projects!$G$12="Yes",52&gt;=Projects!$C$12,52&lt;Projects!$C$12+Projects!$D$12),Projects!$B$12*INDEX(Curves!$B$4:$AO$4,1,52-Projects!$C$12+1),0)+IF(AND(Projects!$G$13="Yes",52&gt;=Projects!$C$13,52&lt;Projects!$C$13+Projects!$D$13),Projects!$B$13*INDEX(Curves!$B$2:$AO$2,1,52-Projects!$C$13+1),0)+IF(AND(Projects!$G$14="Yes",52&gt;=Projects!$C$14,52&lt;Projects!$C$14+Projects!$D$14),Projects!$B$14*INDEX(Curves!$B$2:$AO$2,1,52-Projects!$C$14+1),0)+IF(AND(Projects!$G$15="Yes",52&gt;=Projects!$C$15,52&lt;Projects!$C$15+Projects!$D$15),Projects!$B$15*INDEX(Curves!$B$4:$AO$4,1,52-Projects!$C$15+1),0)+IF(AND(Projects!$G$16="Yes",52&gt;=Projects!$C$16,52&lt;Projects!$C$16+Projects!$D$16),Projects!$B$16*INDEX(Curves!$B$4:$AO$4,1,52-Projects!$C$16+1),0)</f>
        <v>1097345.1601199999</v>
      </c>
      <c r="BC7" s="8">
        <f>IF(AND(Projects!$G$2="Yes",53&gt;=Projects!$C$2,53&lt;Projects!$C$2+Projects!$D$2),Projects!$B$2*INDEX(Curves!$B$6:$AO$6,1,53-Projects!$C$2+1),0)+IF(AND(Projects!$G$3="Yes",53&gt;=Projects!$C$3,53&lt;Projects!$C$3+Projects!$D$3),Projects!$B$3*INDEX(Curves!$B$7:$AO$7,1,53-Projects!$C$3+1),0)+IF(AND(Projects!$G$4="Yes",53&gt;=Projects!$C$4,53&lt;Projects!$C$4+Projects!$D$4),Projects!$B$4*INDEX(Curves!$B$8:$AO$8,1,53-Projects!$C$4+1),0)+IF(AND(Projects!$G$5="Yes",53&gt;=Projects!$C$5,53&lt;Projects!$C$5+Projects!$D$5),Projects!$B$5*INDEX(Curves!$B$9:$AO$9,1,53-Projects!$C$5+1),0)+IF(AND(Projects!$G$6="Yes",53&gt;=Projects!$C$6,53&lt;Projects!$C$6+Projects!$D$6),Projects!$B$6*INDEX(Curves!$B$4:$AO$4,1,53-Projects!$C$6+1),0)+IF(AND(Projects!$G$7="Yes",53&gt;=Projects!$C$7,53&lt;Projects!$C$7+Projects!$D$7),Projects!$B$7*INDEX(Curves!$B$3:$AO$3,1,53-Projects!$C$7+1),0)+IF(AND(Projects!$G$8="Yes",53&gt;=Projects!$C$8,53&lt;Projects!$C$8+Projects!$D$8),Projects!$B$8*INDEX(Curves!$B$4:$AO$4,1,53-Projects!$C$8+1),0)+IF(AND(Projects!$G$9="Yes",53&gt;=Projects!$C$9,53&lt;Projects!$C$9+Projects!$D$9),Projects!$B$9*INDEX(Curves!$B$2:$AO$2,1,53-Projects!$C$9+1),0)+IF(AND(Projects!$G$10="Yes",53&gt;=Projects!$C$10,53&lt;Projects!$C$10+Projects!$D$10),Projects!$B$10*INDEX(Curves!$B$4:$AO$4,1,53-Projects!$C$10+1),0)+IF(AND(Projects!$G$11="Yes",53&gt;=Projects!$C$11,53&lt;Projects!$C$11+Projects!$D$11),Projects!$B$11*INDEX(Curves!$B$4:$AO$4,1,53-Projects!$C$11+1),0)+IF(AND(Projects!$G$12="Yes",53&gt;=Projects!$C$12,53&lt;Projects!$C$12+Projects!$D$12),Projects!$B$12*INDEX(Curves!$B$4:$AO$4,1,53-Projects!$C$12+1),0)+IF(AND(Projects!$G$13="Yes",53&gt;=Projects!$C$13,53&lt;Projects!$C$13+Projects!$D$13),Projects!$B$13*INDEX(Curves!$B$2:$AO$2,1,53-Projects!$C$13+1),0)+IF(AND(Projects!$G$14="Yes",53&gt;=Projects!$C$14,53&lt;Projects!$C$14+Projects!$D$14),Projects!$B$14*INDEX(Curves!$B$2:$AO$2,1,53-Projects!$C$14+1),0)+IF(AND(Projects!$G$15="Yes",53&gt;=Projects!$C$15,53&lt;Projects!$C$15+Projects!$D$15),Projects!$B$15*INDEX(Curves!$B$4:$AO$4,1,53-Projects!$C$15+1),0)+IF(AND(Projects!$G$16="Yes",53&gt;=Projects!$C$16,53&lt;Projects!$C$16+Projects!$D$16),Projects!$B$16*INDEX(Curves!$B$4:$AO$4,1,53-Projects!$C$16+1),0)</f>
        <v>983123.66653599998</v>
      </c>
      <c r="BD7" s="8">
        <f>IF(AND(Projects!$G$2="Yes",54&gt;=Projects!$C$2,54&lt;Projects!$C$2+Projects!$D$2),Projects!$B$2*INDEX(Curves!$B$6:$AO$6,1,54-Projects!$C$2+1),0)+IF(AND(Projects!$G$3="Yes",54&gt;=Projects!$C$3,54&lt;Projects!$C$3+Projects!$D$3),Projects!$B$3*INDEX(Curves!$B$7:$AO$7,1,54-Projects!$C$3+1),0)+IF(AND(Projects!$G$4="Yes",54&gt;=Projects!$C$4,54&lt;Projects!$C$4+Projects!$D$4),Projects!$B$4*INDEX(Curves!$B$8:$AO$8,1,54-Projects!$C$4+1),0)+IF(AND(Projects!$G$5="Yes",54&gt;=Projects!$C$5,54&lt;Projects!$C$5+Projects!$D$5),Projects!$B$5*INDEX(Curves!$B$9:$AO$9,1,54-Projects!$C$5+1),0)+IF(AND(Projects!$G$6="Yes",54&gt;=Projects!$C$6,54&lt;Projects!$C$6+Projects!$D$6),Projects!$B$6*INDEX(Curves!$B$4:$AO$4,1,54-Projects!$C$6+1),0)+IF(AND(Projects!$G$7="Yes",54&gt;=Projects!$C$7,54&lt;Projects!$C$7+Projects!$D$7),Projects!$B$7*INDEX(Curves!$B$3:$AO$3,1,54-Projects!$C$7+1),0)+IF(AND(Projects!$G$8="Yes",54&gt;=Projects!$C$8,54&lt;Projects!$C$8+Projects!$D$8),Projects!$B$8*INDEX(Curves!$B$4:$AO$4,1,54-Projects!$C$8+1),0)+IF(AND(Projects!$G$9="Yes",54&gt;=Projects!$C$9,54&lt;Projects!$C$9+Projects!$D$9),Projects!$B$9*INDEX(Curves!$B$2:$AO$2,1,54-Projects!$C$9+1),0)+IF(AND(Projects!$G$10="Yes",54&gt;=Projects!$C$10,54&lt;Projects!$C$10+Projects!$D$10),Projects!$B$10*INDEX(Curves!$B$4:$AO$4,1,54-Projects!$C$10+1),0)+IF(AND(Projects!$G$11="Yes",54&gt;=Projects!$C$11,54&lt;Projects!$C$11+Projects!$D$11),Projects!$B$11*INDEX(Curves!$B$4:$AO$4,1,54-Projects!$C$11+1),0)+IF(AND(Projects!$G$12="Yes",54&gt;=Projects!$C$12,54&lt;Projects!$C$12+Projects!$D$12),Projects!$B$12*INDEX(Curves!$B$4:$AO$4,1,54-Projects!$C$12+1),0)+IF(AND(Projects!$G$13="Yes",54&gt;=Projects!$C$13,54&lt;Projects!$C$13+Projects!$D$13),Projects!$B$13*INDEX(Curves!$B$2:$AO$2,1,54-Projects!$C$13+1),0)+IF(AND(Projects!$G$14="Yes",54&gt;=Projects!$C$14,54&lt;Projects!$C$14+Projects!$D$14),Projects!$B$14*INDEX(Curves!$B$2:$AO$2,1,54-Projects!$C$14+1),0)+IF(AND(Projects!$G$15="Yes",54&gt;=Projects!$C$15,54&lt;Projects!$C$15+Projects!$D$15),Projects!$B$15*INDEX(Curves!$B$4:$AO$4,1,54-Projects!$C$15+1),0)+IF(AND(Projects!$G$16="Yes",54&gt;=Projects!$C$16,54&lt;Projects!$C$16+Projects!$D$16),Projects!$B$16*INDEX(Curves!$B$4:$AO$4,1,54-Projects!$C$16+1),0)</f>
        <v>872045.12498400011</v>
      </c>
      <c r="BE7" s="8">
        <f>IF(AND(Projects!$G$2="Yes",55&gt;=Projects!$C$2,55&lt;Projects!$C$2+Projects!$D$2),Projects!$B$2*INDEX(Curves!$B$6:$AO$6,1,55-Projects!$C$2+1),0)+IF(AND(Projects!$G$3="Yes",55&gt;=Projects!$C$3,55&lt;Projects!$C$3+Projects!$D$3),Projects!$B$3*INDEX(Curves!$B$7:$AO$7,1,55-Projects!$C$3+1),0)+IF(AND(Projects!$G$4="Yes",55&gt;=Projects!$C$4,55&lt;Projects!$C$4+Projects!$D$4),Projects!$B$4*INDEX(Curves!$B$8:$AO$8,1,55-Projects!$C$4+1),0)+IF(AND(Projects!$G$5="Yes",55&gt;=Projects!$C$5,55&lt;Projects!$C$5+Projects!$D$5),Projects!$B$5*INDEX(Curves!$B$9:$AO$9,1,55-Projects!$C$5+1),0)+IF(AND(Projects!$G$6="Yes",55&gt;=Projects!$C$6,55&lt;Projects!$C$6+Projects!$D$6),Projects!$B$6*INDEX(Curves!$B$4:$AO$4,1,55-Projects!$C$6+1),0)+IF(AND(Projects!$G$7="Yes",55&gt;=Projects!$C$7,55&lt;Projects!$C$7+Projects!$D$7),Projects!$B$7*INDEX(Curves!$B$3:$AO$3,1,55-Projects!$C$7+1),0)+IF(AND(Projects!$G$8="Yes",55&gt;=Projects!$C$8,55&lt;Projects!$C$8+Projects!$D$8),Projects!$B$8*INDEX(Curves!$B$4:$AO$4,1,55-Projects!$C$8+1),0)+IF(AND(Projects!$G$9="Yes",55&gt;=Projects!$C$9,55&lt;Projects!$C$9+Projects!$D$9),Projects!$B$9*INDEX(Curves!$B$2:$AO$2,1,55-Projects!$C$9+1),0)+IF(AND(Projects!$G$10="Yes",55&gt;=Projects!$C$10,55&lt;Projects!$C$10+Projects!$D$10),Projects!$B$10*INDEX(Curves!$B$4:$AO$4,1,55-Projects!$C$10+1),0)+IF(AND(Projects!$G$11="Yes",55&gt;=Projects!$C$11,55&lt;Projects!$C$11+Projects!$D$11),Projects!$B$11*INDEX(Curves!$B$4:$AO$4,1,55-Projects!$C$11+1),0)+IF(AND(Projects!$G$12="Yes",55&gt;=Projects!$C$12,55&lt;Projects!$C$12+Projects!$D$12),Projects!$B$12*INDEX(Curves!$B$4:$AO$4,1,55-Projects!$C$12+1),0)+IF(AND(Projects!$G$13="Yes",55&gt;=Projects!$C$13,55&lt;Projects!$C$13+Projects!$D$13),Projects!$B$13*INDEX(Curves!$B$2:$AO$2,1,55-Projects!$C$13+1),0)+IF(AND(Projects!$G$14="Yes",55&gt;=Projects!$C$14,55&lt;Projects!$C$14+Projects!$D$14),Projects!$B$14*INDEX(Curves!$B$2:$AO$2,1,55-Projects!$C$14+1),0)+IF(AND(Projects!$G$15="Yes",55&gt;=Projects!$C$15,55&lt;Projects!$C$15+Projects!$D$15),Projects!$B$15*INDEX(Curves!$B$4:$AO$4,1,55-Projects!$C$15+1),0)+IF(AND(Projects!$G$16="Yes",55&gt;=Projects!$C$16,55&lt;Projects!$C$16+Projects!$D$16),Projects!$B$16*INDEX(Curves!$B$4:$AO$4,1,55-Projects!$C$16+1),0)</f>
        <v>765805.07537600002</v>
      </c>
      <c r="BF7" s="8">
        <f>IF(AND(Projects!$G$2="Yes",56&gt;=Projects!$C$2,56&lt;Projects!$C$2+Projects!$D$2),Projects!$B$2*INDEX(Curves!$B$6:$AO$6,1,56-Projects!$C$2+1),0)+IF(AND(Projects!$G$3="Yes",56&gt;=Projects!$C$3,56&lt;Projects!$C$3+Projects!$D$3),Projects!$B$3*INDEX(Curves!$B$7:$AO$7,1,56-Projects!$C$3+1),0)+IF(AND(Projects!$G$4="Yes",56&gt;=Projects!$C$4,56&lt;Projects!$C$4+Projects!$D$4),Projects!$B$4*INDEX(Curves!$B$8:$AO$8,1,56-Projects!$C$4+1),0)+IF(AND(Projects!$G$5="Yes",56&gt;=Projects!$C$5,56&lt;Projects!$C$5+Projects!$D$5),Projects!$B$5*INDEX(Curves!$B$9:$AO$9,1,56-Projects!$C$5+1),0)+IF(AND(Projects!$G$6="Yes",56&gt;=Projects!$C$6,56&lt;Projects!$C$6+Projects!$D$6),Projects!$B$6*INDEX(Curves!$B$4:$AO$4,1,56-Projects!$C$6+1),0)+IF(AND(Projects!$G$7="Yes",56&gt;=Projects!$C$7,56&lt;Projects!$C$7+Projects!$D$7),Projects!$B$7*INDEX(Curves!$B$3:$AO$3,1,56-Projects!$C$7+1),0)+IF(AND(Projects!$G$8="Yes",56&gt;=Projects!$C$8,56&lt;Projects!$C$8+Projects!$D$8),Projects!$B$8*INDEX(Curves!$B$4:$AO$4,1,56-Projects!$C$8+1),0)+IF(AND(Projects!$G$9="Yes",56&gt;=Projects!$C$9,56&lt;Projects!$C$9+Projects!$D$9),Projects!$B$9*INDEX(Curves!$B$2:$AO$2,1,56-Projects!$C$9+1),0)+IF(AND(Projects!$G$10="Yes",56&gt;=Projects!$C$10,56&lt;Projects!$C$10+Projects!$D$10),Projects!$B$10*INDEX(Curves!$B$4:$AO$4,1,56-Projects!$C$10+1),0)+IF(AND(Projects!$G$11="Yes",56&gt;=Projects!$C$11,56&lt;Projects!$C$11+Projects!$D$11),Projects!$B$11*INDEX(Curves!$B$4:$AO$4,1,56-Projects!$C$11+1),0)+IF(AND(Projects!$G$12="Yes",56&gt;=Projects!$C$12,56&lt;Projects!$C$12+Projects!$D$12),Projects!$B$12*INDEX(Curves!$B$4:$AO$4,1,56-Projects!$C$12+1),0)+IF(AND(Projects!$G$13="Yes",56&gt;=Projects!$C$13,56&lt;Projects!$C$13+Projects!$D$13),Projects!$B$13*INDEX(Curves!$B$2:$AO$2,1,56-Projects!$C$13+1),0)+IF(AND(Projects!$G$14="Yes",56&gt;=Projects!$C$14,56&lt;Projects!$C$14+Projects!$D$14),Projects!$B$14*INDEX(Curves!$B$2:$AO$2,1,56-Projects!$C$14+1),0)+IF(AND(Projects!$G$15="Yes",56&gt;=Projects!$C$15,56&lt;Projects!$C$15+Projects!$D$15),Projects!$B$15*INDEX(Curves!$B$4:$AO$4,1,56-Projects!$C$15+1),0)+IF(AND(Projects!$G$16="Yes",56&gt;=Projects!$C$16,56&lt;Projects!$C$16+Projects!$D$16),Projects!$B$16*INDEX(Curves!$B$4:$AO$4,1,56-Projects!$C$16+1),0)</f>
        <v>665850.92983200005</v>
      </c>
      <c r="BG7" s="8">
        <f>IF(AND(Projects!$G$2="Yes",57&gt;=Projects!$C$2,57&lt;Projects!$C$2+Projects!$D$2),Projects!$B$2*INDEX(Curves!$B$6:$AO$6,1,57-Projects!$C$2+1),0)+IF(AND(Projects!$G$3="Yes",57&gt;=Projects!$C$3,57&lt;Projects!$C$3+Projects!$D$3),Projects!$B$3*INDEX(Curves!$B$7:$AO$7,1,57-Projects!$C$3+1),0)+IF(AND(Projects!$G$4="Yes",57&gt;=Projects!$C$4,57&lt;Projects!$C$4+Projects!$D$4),Projects!$B$4*INDEX(Curves!$B$8:$AO$8,1,57-Projects!$C$4+1),0)+IF(AND(Projects!$G$5="Yes",57&gt;=Projects!$C$5,57&lt;Projects!$C$5+Projects!$D$5),Projects!$B$5*INDEX(Curves!$B$9:$AO$9,1,57-Projects!$C$5+1),0)+IF(AND(Projects!$G$6="Yes",57&gt;=Projects!$C$6,57&lt;Projects!$C$6+Projects!$D$6),Projects!$B$6*INDEX(Curves!$B$4:$AO$4,1,57-Projects!$C$6+1),0)+IF(AND(Projects!$G$7="Yes",57&gt;=Projects!$C$7,57&lt;Projects!$C$7+Projects!$D$7),Projects!$B$7*INDEX(Curves!$B$3:$AO$3,1,57-Projects!$C$7+1),0)+IF(AND(Projects!$G$8="Yes",57&gt;=Projects!$C$8,57&lt;Projects!$C$8+Projects!$D$8),Projects!$B$8*INDEX(Curves!$B$4:$AO$4,1,57-Projects!$C$8+1),0)+IF(AND(Projects!$G$9="Yes",57&gt;=Projects!$C$9,57&lt;Projects!$C$9+Projects!$D$9),Projects!$B$9*INDEX(Curves!$B$2:$AO$2,1,57-Projects!$C$9+1),0)+IF(AND(Projects!$G$10="Yes",57&gt;=Projects!$C$10,57&lt;Projects!$C$10+Projects!$D$10),Projects!$B$10*INDEX(Curves!$B$4:$AO$4,1,57-Projects!$C$10+1),0)+IF(AND(Projects!$G$11="Yes",57&gt;=Projects!$C$11,57&lt;Projects!$C$11+Projects!$D$11),Projects!$B$11*INDEX(Curves!$B$4:$AO$4,1,57-Projects!$C$11+1),0)+IF(AND(Projects!$G$12="Yes",57&gt;=Projects!$C$12,57&lt;Projects!$C$12+Projects!$D$12),Projects!$B$12*INDEX(Curves!$B$4:$AO$4,1,57-Projects!$C$12+1),0)+IF(AND(Projects!$G$13="Yes",57&gt;=Projects!$C$13,57&lt;Projects!$C$13+Projects!$D$13),Projects!$B$13*INDEX(Curves!$B$2:$AO$2,1,57-Projects!$C$13+1),0)+IF(AND(Projects!$G$14="Yes",57&gt;=Projects!$C$14,57&lt;Projects!$C$14+Projects!$D$14),Projects!$B$14*INDEX(Curves!$B$2:$AO$2,1,57-Projects!$C$14+1),0)+IF(AND(Projects!$G$15="Yes",57&gt;=Projects!$C$15,57&lt;Projects!$C$15+Projects!$D$15),Projects!$B$15*INDEX(Curves!$B$4:$AO$4,1,57-Projects!$C$15+1),0)+IF(AND(Projects!$G$16="Yes",57&gt;=Projects!$C$16,57&lt;Projects!$C$16+Projects!$D$16),Projects!$B$16*INDEX(Curves!$B$4:$AO$4,1,57-Projects!$C$16+1),0)</f>
        <v>0</v>
      </c>
      <c r="BH7" s="8">
        <f>IF(AND(Projects!$G$2="Yes",58&gt;=Projects!$C$2,58&lt;Projects!$C$2+Projects!$D$2),Projects!$B$2*INDEX(Curves!$B$6:$AO$6,1,58-Projects!$C$2+1),0)+IF(AND(Projects!$G$3="Yes",58&gt;=Projects!$C$3,58&lt;Projects!$C$3+Projects!$D$3),Projects!$B$3*INDEX(Curves!$B$7:$AO$7,1,58-Projects!$C$3+1),0)+IF(AND(Projects!$G$4="Yes",58&gt;=Projects!$C$4,58&lt;Projects!$C$4+Projects!$D$4),Projects!$B$4*INDEX(Curves!$B$8:$AO$8,1,58-Projects!$C$4+1),0)+IF(AND(Projects!$G$5="Yes",58&gt;=Projects!$C$5,58&lt;Projects!$C$5+Projects!$D$5),Projects!$B$5*INDEX(Curves!$B$9:$AO$9,1,58-Projects!$C$5+1),0)+IF(AND(Projects!$G$6="Yes",58&gt;=Projects!$C$6,58&lt;Projects!$C$6+Projects!$D$6),Projects!$B$6*INDEX(Curves!$B$4:$AO$4,1,58-Projects!$C$6+1),0)+IF(AND(Projects!$G$7="Yes",58&gt;=Projects!$C$7,58&lt;Projects!$C$7+Projects!$D$7),Projects!$B$7*INDEX(Curves!$B$3:$AO$3,1,58-Projects!$C$7+1),0)+IF(AND(Projects!$G$8="Yes",58&gt;=Projects!$C$8,58&lt;Projects!$C$8+Projects!$D$8),Projects!$B$8*INDEX(Curves!$B$4:$AO$4,1,58-Projects!$C$8+1),0)+IF(AND(Projects!$G$9="Yes",58&gt;=Projects!$C$9,58&lt;Projects!$C$9+Projects!$D$9),Projects!$B$9*INDEX(Curves!$B$2:$AO$2,1,58-Projects!$C$9+1),0)+IF(AND(Projects!$G$10="Yes",58&gt;=Projects!$C$10,58&lt;Projects!$C$10+Projects!$D$10),Projects!$B$10*INDEX(Curves!$B$4:$AO$4,1,58-Projects!$C$10+1),0)+IF(AND(Projects!$G$11="Yes",58&gt;=Projects!$C$11,58&lt;Projects!$C$11+Projects!$D$11),Projects!$B$11*INDEX(Curves!$B$4:$AO$4,1,58-Projects!$C$11+1),0)+IF(AND(Projects!$G$12="Yes",58&gt;=Projects!$C$12,58&lt;Projects!$C$12+Projects!$D$12),Projects!$B$12*INDEX(Curves!$B$4:$AO$4,1,58-Projects!$C$12+1),0)+IF(AND(Projects!$G$13="Yes",58&gt;=Projects!$C$13,58&lt;Projects!$C$13+Projects!$D$13),Projects!$B$13*INDEX(Curves!$B$2:$AO$2,1,58-Projects!$C$13+1),0)+IF(AND(Projects!$G$14="Yes",58&gt;=Projects!$C$14,58&lt;Projects!$C$14+Projects!$D$14),Projects!$B$14*INDEX(Curves!$B$2:$AO$2,1,58-Projects!$C$14+1),0)+IF(AND(Projects!$G$15="Yes",58&gt;=Projects!$C$15,58&lt;Projects!$C$15+Projects!$D$15),Projects!$B$15*INDEX(Curves!$B$4:$AO$4,1,58-Projects!$C$15+1),0)+IF(AND(Projects!$G$16="Yes",58&gt;=Projects!$C$16,58&lt;Projects!$C$16+Projects!$D$16),Projects!$B$16*INDEX(Curves!$B$4:$AO$4,1,58-Projects!$C$16+1),0)</f>
        <v>0</v>
      </c>
      <c r="BI7" s="8">
        <f>IF(AND(Projects!$G$2="Yes",59&gt;=Projects!$C$2,59&lt;Projects!$C$2+Projects!$D$2),Projects!$B$2*INDEX(Curves!$B$6:$AO$6,1,59-Projects!$C$2+1),0)+IF(AND(Projects!$G$3="Yes",59&gt;=Projects!$C$3,59&lt;Projects!$C$3+Projects!$D$3),Projects!$B$3*INDEX(Curves!$B$7:$AO$7,1,59-Projects!$C$3+1),0)+IF(AND(Projects!$G$4="Yes",59&gt;=Projects!$C$4,59&lt;Projects!$C$4+Projects!$D$4),Projects!$B$4*INDEX(Curves!$B$8:$AO$8,1,59-Projects!$C$4+1),0)+IF(AND(Projects!$G$5="Yes",59&gt;=Projects!$C$5,59&lt;Projects!$C$5+Projects!$D$5),Projects!$B$5*INDEX(Curves!$B$9:$AO$9,1,59-Projects!$C$5+1),0)+IF(AND(Projects!$G$6="Yes",59&gt;=Projects!$C$6,59&lt;Projects!$C$6+Projects!$D$6),Projects!$B$6*INDEX(Curves!$B$4:$AO$4,1,59-Projects!$C$6+1),0)+IF(AND(Projects!$G$7="Yes",59&gt;=Projects!$C$7,59&lt;Projects!$C$7+Projects!$D$7),Projects!$B$7*INDEX(Curves!$B$3:$AO$3,1,59-Projects!$C$7+1),0)+IF(AND(Projects!$G$8="Yes",59&gt;=Projects!$C$8,59&lt;Projects!$C$8+Projects!$D$8),Projects!$B$8*INDEX(Curves!$B$4:$AO$4,1,59-Projects!$C$8+1),0)+IF(AND(Projects!$G$9="Yes",59&gt;=Projects!$C$9,59&lt;Projects!$C$9+Projects!$D$9),Projects!$B$9*INDEX(Curves!$B$2:$AO$2,1,59-Projects!$C$9+1),0)+IF(AND(Projects!$G$10="Yes",59&gt;=Projects!$C$10,59&lt;Projects!$C$10+Projects!$D$10),Projects!$B$10*INDEX(Curves!$B$4:$AO$4,1,59-Projects!$C$10+1),0)+IF(AND(Projects!$G$11="Yes",59&gt;=Projects!$C$11,59&lt;Projects!$C$11+Projects!$D$11),Projects!$B$11*INDEX(Curves!$B$4:$AO$4,1,59-Projects!$C$11+1),0)+IF(AND(Projects!$G$12="Yes",59&gt;=Projects!$C$12,59&lt;Projects!$C$12+Projects!$D$12),Projects!$B$12*INDEX(Curves!$B$4:$AO$4,1,59-Projects!$C$12+1),0)+IF(AND(Projects!$G$13="Yes",59&gt;=Projects!$C$13,59&lt;Projects!$C$13+Projects!$D$13),Projects!$B$13*INDEX(Curves!$B$2:$AO$2,1,59-Projects!$C$13+1),0)+IF(AND(Projects!$G$14="Yes",59&gt;=Projects!$C$14,59&lt;Projects!$C$14+Projects!$D$14),Projects!$B$14*INDEX(Curves!$B$2:$AO$2,1,59-Projects!$C$14+1),0)+IF(AND(Projects!$G$15="Yes",59&gt;=Projects!$C$15,59&lt;Projects!$C$15+Projects!$D$15),Projects!$B$15*INDEX(Curves!$B$4:$AO$4,1,59-Projects!$C$15+1),0)+IF(AND(Projects!$G$16="Yes",59&gt;=Projects!$C$16,59&lt;Projects!$C$16+Projects!$D$16),Projects!$B$16*INDEX(Curves!$B$4:$AO$4,1,59-Projects!$C$16+1),0)</f>
        <v>0</v>
      </c>
      <c r="BJ7" s="8">
        <f>IF(AND(Projects!$G$2="Yes",60&gt;=Projects!$C$2,60&lt;Projects!$C$2+Projects!$D$2),Projects!$B$2*INDEX(Curves!$B$6:$AO$6,1,60-Projects!$C$2+1),0)+IF(AND(Projects!$G$3="Yes",60&gt;=Projects!$C$3,60&lt;Projects!$C$3+Projects!$D$3),Projects!$B$3*INDEX(Curves!$B$7:$AO$7,1,60-Projects!$C$3+1),0)+IF(AND(Projects!$G$4="Yes",60&gt;=Projects!$C$4,60&lt;Projects!$C$4+Projects!$D$4),Projects!$B$4*INDEX(Curves!$B$8:$AO$8,1,60-Projects!$C$4+1),0)+IF(AND(Projects!$G$5="Yes",60&gt;=Projects!$C$5,60&lt;Projects!$C$5+Projects!$D$5),Projects!$B$5*INDEX(Curves!$B$9:$AO$9,1,60-Projects!$C$5+1),0)+IF(AND(Projects!$G$6="Yes",60&gt;=Projects!$C$6,60&lt;Projects!$C$6+Projects!$D$6),Projects!$B$6*INDEX(Curves!$B$4:$AO$4,1,60-Projects!$C$6+1),0)+IF(AND(Projects!$G$7="Yes",60&gt;=Projects!$C$7,60&lt;Projects!$C$7+Projects!$D$7),Projects!$B$7*INDEX(Curves!$B$3:$AO$3,1,60-Projects!$C$7+1),0)+IF(AND(Projects!$G$8="Yes",60&gt;=Projects!$C$8,60&lt;Projects!$C$8+Projects!$D$8),Projects!$B$8*INDEX(Curves!$B$4:$AO$4,1,60-Projects!$C$8+1),0)+IF(AND(Projects!$G$9="Yes",60&gt;=Projects!$C$9,60&lt;Projects!$C$9+Projects!$D$9),Projects!$B$9*INDEX(Curves!$B$2:$AO$2,1,60-Projects!$C$9+1),0)+IF(AND(Projects!$G$10="Yes",60&gt;=Projects!$C$10,60&lt;Projects!$C$10+Projects!$D$10),Projects!$B$10*INDEX(Curves!$B$4:$AO$4,1,60-Projects!$C$10+1),0)+IF(AND(Projects!$G$11="Yes",60&gt;=Projects!$C$11,60&lt;Projects!$C$11+Projects!$D$11),Projects!$B$11*INDEX(Curves!$B$4:$AO$4,1,60-Projects!$C$11+1),0)+IF(AND(Projects!$G$12="Yes",60&gt;=Projects!$C$12,60&lt;Projects!$C$12+Projects!$D$12),Projects!$B$12*INDEX(Curves!$B$4:$AO$4,1,60-Projects!$C$12+1),0)+IF(AND(Projects!$G$13="Yes",60&gt;=Projects!$C$13,60&lt;Projects!$C$13+Projects!$D$13),Projects!$B$13*INDEX(Curves!$B$2:$AO$2,1,60-Projects!$C$13+1),0)+IF(AND(Projects!$G$14="Yes",60&gt;=Projects!$C$14,60&lt;Projects!$C$14+Projects!$D$14),Projects!$B$14*INDEX(Curves!$B$2:$AO$2,1,60-Projects!$C$14+1),0)+IF(AND(Projects!$G$15="Yes",60&gt;=Projects!$C$15,60&lt;Projects!$C$15+Projects!$D$15),Projects!$B$15*INDEX(Curves!$B$4:$AO$4,1,60-Projects!$C$15+1),0)+IF(AND(Projects!$G$16="Yes",60&gt;=Projects!$C$16,60&lt;Projects!$C$16+Projects!$D$16),Projects!$B$16*INDEX(Curves!$B$4:$AO$4,1,60-Projects!$C$16+1),0)</f>
        <v>0</v>
      </c>
      <c r="BK7" s="8">
        <f>IF(AND(Projects!$G$2="Yes",61&gt;=Projects!$C$2,61&lt;Projects!$C$2+Projects!$D$2),Projects!$B$2*INDEX(Curves!$B$6:$AO$6,1,61-Projects!$C$2+1),0)+IF(AND(Projects!$G$3="Yes",61&gt;=Projects!$C$3,61&lt;Projects!$C$3+Projects!$D$3),Projects!$B$3*INDEX(Curves!$B$7:$AO$7,1,61-Projects!$C$3+1),0)+IF(AND(Projects!$G$4="Yes",61&gt;=Projects!$C$4,61&lt;Projects!$C$4+Projects!$D$4),Projects!$B$4*INDEX(Curves!$B$8:$AO$8,1,61-Projects!$C$4+1),0)+IF(AND(Projects!$G$5="Yes",61&gt;=Projects!$C$5,61&lt;Projects!$C$5+Projects!$D$5),Projects!$B$5*INDEX(Curves!$B$9:$AO$9,1,61-Projects!$C$5+1),0)+IF(AND(Projects!$G$6="Yes",61&gt;=Projects!$C$6,61&lt;Projects!$C$6+Projects!$D$6),Projects!$B$6*INDEX(Curves!$B$4:$AO$4,1,61-Projects!$C$6+1),0)+IF(AND(Projects!$G$7="Yes",61&gt;=Projects!$C$7,61&lt;Projects!$C$7+Projects!$D$7),Projects!$B$7*INDEX(Curves!$B$3:$AO$3,1,61-Projects!$C$7+1),0)+IF(AND(Projects!$G$8="Yes",61&gt;=Projects!$C$8,61&lt;Projects!$C$8+Projects!$D$8),Projects!$B$8*INDEX(Curves!$B$4:$AO$4,1,61-Projects!$C$8+1),0)+IF(AND(Projects!$G$9="Yes",61&gt;=Projects!$C$9,61&lt;Projects!$C$9+Projects!$D$9),Projects!$B$9*INDEX(Curves!$B$2:$AO$2,1,61-Projects!$C$9+1),0)+IF(AND(Projects!$G$10="Yes",61&gt;=Projects!$C$10,61&lt;Projects!$C$10+Projects!$D$10),Projects!$B$10*INDEX(Curves!$B$4:$AO$4,1,61-Projects!$C$10+1),0)+IF(AND(Projects!$G$11="Yes",61&gt;=Projects!$C$11,61&lt;Projects!$C$11+Projects!$D$11),Projects!$B$11*INDEX(Curves!$B$4:$AO$4,1,61-Projects!$C$11+1),0)+IF(AND(Projects!$G$12="Yes",61&gt;=Projects!$C$12,61&lt;Projects!$C$12+Projects!$D$12),Projects!$B$12*INDEX(Curves!$B$4:$AO$4,1,61-Projects!$C$12+1),0)+IF(AND(Projects!$G$13="Yes",61&gt;=Projects!$C$13,61&lt;Projects!$C$13+Projects!$D$13),Projects!$B$13*INDEX(Curves!$B$2:$AO$2,1,61-Projects!$C$13+1),0)+IF(AND(Projects!$G$14="Yes",61&gt;=Projects!$C$14,61&lt;Projects!$C$14+Projects!$D$14),Projects!$B$14*INDEX(Curves!$B$2:$AO$2,1,61-Projects!$C$14+1),0)+IF(AND(Projects!$G$15="Yes",61&gt;=Projects!$C$15,61&lt;Projects!$C$15+Projects!$D$15),Projects!$B$15*INDEX(Curves!$B$4:$AO$4,1,61-Projects!$C$15+1),0)+IF(AND(Projects!$G$16="Yes",61&gt;=Projects!$C$16,61&lt;Projects!$C$16+Projects!$D$16),Projects!$B$16*INDEX(Curves!$B$4:$AO$4,1,61-Projects!$C$16+1),0)</f>
        <v>0</v>
      </c>
      <c r="BL7" s="8">
        <f>IF(AND(Projects!$G$2="Yes",62&gt;=Projects!$C$2,62&lt;Projects!$C$2+Projects!$D$2),Projects!$B$2*INDEX(Curves!$B$6:$AO$6,1,62-Projects!$C$2+1),0)+IF(AND(Projects!$G$3="Yes",62&gt;=Projects!$C$3,62&lt;Projects!$C$3+Projects!$D$3),Projects!$B$3*INDEX(Curves!$B$7:$AO$7,1,62-Projects!$C$3+1),0)+IF(AND(Projects!$G$4="Yes",62&gt;=Projects!$C$4,62&lt;Projects!$C$4+Projects!$D$4),Projects!$B$4*INDEX(Curves!$B$8:$AO$8,1,62-Projects!$C$4+1),0)+IF(AND(Projects!$G$5="Yes",62&gt;=Projects!$C$5,62&lt;Projects!$C$5+Projects!$D$5),Projects!$B$5*INDEX(Curves!$B$9:$AO$9,1,62-Projects!$C$5+1),0)+IF(AND(Projects!$G$6="Yes",62&gt;=Projects!$C$6,62&lt;Projects!$C$6+Projects!$D$6),Projects!$B$6*INDEX(Curves!$B$4:$AO$4,1,62-Projects!$C$6+1),0)+IF(AND(Projects!$G$7="Yes",62&gt;=Projects!$C$7,62&lt;Projects!$C$7+Projects!$D$7),Projects!$B$7*INDEX(Curves!$B$3:$AO$3,1,62-Projects!$C$7+1),0)+IF(AND(Projects!$G$8="Yes",62&gt;=Projects!$C$8,62&lt;Projects!$C$8+Projects!$D$8),Projects!$B$8*INDEX(Curves!$B$4:$AO$4,1,62-Projects!$C$8+1),0)+IF(AND(Projects!$G$9="Yes",62&gt;=Projects!$C$9,62&lt;Projects!$C$9+Projects!$D$9),Projects!$B$9*INDEX(Curves!$B$2:$AO$2,1,62-Projects!$C$9+1),0)+IF(AND(Projects!$G$10="Yes",62&gt;=Projects!$C$10,62&lt;Projects!$C$10+Projects!$D$10),Projects!$B$10*INDEX(Curves!$B$4:$AO$4,1,62-Projects!$C$10+1),0)+IF(AND(Projects!$G$11="Yes",62&gt;=Projects!$C$11,62&lt;Projects!$C$11+Projects!$D$11),Projects!$B$11*INDEX(Curves!$B$4:$AO$4,1,62-Projects!$C$11+1),0)+IF(AND(Projects!$G$12="Yes",62&gt;=Projects!$C$12,62&lt;Projects!$C$12+Projects!$D$12),Projects!$B$12*INDEX(Curves!$B$4:$AO$4,1,62-Projects!$C$12+1),0)+IF(AND(Projects!$G$13="Yes",62&gt;=Projects!$C$13,62&lt;Projects!$C$13+Projects!$D$13),Projects!$B$13*INDEX(Curves!$B$2:$AO$2,1,62-Projects!$C$13+1),0)+IF(AND(Projects!$G$14="Yes",62&gt;=Projects!$C$14,62&lt;Projects!$C$14+Projects!$D$14),Projects!$B$14*INDEX(Curves!$B$2:$AO$2,1,62-Projects!$C$14+1),0)+IF(AND(Projects!$G$15="Yes",62&gt;=Projects!$C$15,62&lt;Projects!$C$15+Projects!$D$15),Projects!$B$15*INDEX(Curves!$B$4:$AO$4,1,62-Projects!$C$15+1),0)+IF(AND(Projects!$G$16="Yes",62&gt;=Projects!$C$16,62&lt;Projects!$C$16+Projects!$D$16),Projects!$B$16*INDEX(Curves!$B$4:$AO$4,1,62-Projects!$C$16+1),0)</f>
        <v>0</v>
      </c>
      <c r="BM7" s="8">
        <f>IF(AND(Projects!$G$2="Yes",63&gt;=Projects!$C$2,63&lt;Projects!$C$2+Projects!$D$2),Projects!$B$2*INDEX(Curves!$B$6:$AO$6,1,63-Projects!$C$2+1),0)+IF(AND(Projects!$G$3="Yes",63&gt;=Projects!$C$3,63&lt;Projects!$C$3+Projects!$D$3),Projects!$B$3*INDEX(Curves!$B$7:$AO$7,1,63-Projects!$C$3+1),0)+IF(AND(Projects!$G$4="Yes",63&gt;=Projects!$C$4,63&lt;Projects!$C$4+Projects!$D$4),Projects!$B$4*INDEX(Curves!$B$8:$AO$8,1,63-Projects!$C$4+1),0)+IF(AND(Projects!$G$5="Yes",63&gt;=Projects!$C$5,63&lt;Projects!$C$5+Projects!$D$5),Projects!$B$5*INDEX(Curves!$B$9:$AO$9,1,63-Projects!$C$5+1),0)+IF(AND(Projects!$G$6="Yes",63&gt;=Projects!$C$6,63&lt;Projects!$C$6+Projects!$D$6),Projects!$B$6*INDEX(Curves!$B$4:$AO$4,1,63-Projects!$C$6+1),0)+IF(AND(Projects!$G$7="Yes",63&gt;=Projects!$C$7,63&lt;Projects!$C$7+Projects!$D$7),Projects!$B$7*INDEX(Curves!$B$3:$AO$3,1,63-Projects!$C$7+1),0)+IF(AND(Projects!$G$8="Yes",63&gt;=Projects!$C$8,63&lt;Projects!$C$8+Projects!$D$8),Projects!$B$8*INDEX(Curves!$B$4:$AO$4,1,63-Projects!$C$8+1),0)+IF(AND(Projects!$G$9="Yes",63&gt;=Projects!$C$9,63&lt;Projects!$C$9+Projects!$D$9),Projects!$B$9*INDEX(Curves!$B$2:$AO$2,1,63-Projects!$C$9+1),0)+IF(AND(Projects!$G$10="Yes",63&gt;=Projects!$C$10,63&lt;Projects!$C$10+Projects!$D$10),Projects!$B$10*INDEX(Curves!$B$4:$AO$4,1,63-Projects!$C$10+1),0)+IF(AND(Projects!$G$11="Yes",63&gt;=Projects!$C$11,63&lt;Projects!$C$11+Projects!$D$11),Projects!$B$11*INDEX(Curves!$B$4:$AO$4,1,63-Projects!$C$11+1),0)+IF(AND(Projects!$G$12="Yes",63&gt;=Projects!$C$12,63&lt;Projects!$C$12+Projects!$D$12),Projects!$B$12*INDEX(Curves!$B$4:$AO$4,1,63-Projects!$C$12+1),0)+IF(AND(Projects!$G$13="Yes",63&gt;=Projects!$C$13,63&lt;Projects!$C$13+Projects!$D$13),Projects!$B$13*INDEX(Curves!$B$2:$AO$2,1,63-Projects!$C$13+1),0)+IF(AND(Projects!$G$14="Yes",63&gt;=Projects!$C$14,63&lt;Projects!$C$14+Projects!$D$14),Projects!$B$14*INDEX(Curves!$B$2:$AO$2,1,63-Projects!$C$14+1),0)+IF(AND(Projects!$G$15="Yes",63&gt;=Projects!$C$15,63&lt;Projects!$C$15+Projects!$D$15),Projects!$B$15*INDEX(Curves!$B$4:$AO$4,1,63-Projects!$C$15+1),0)+IF(AND(Projects!$G$16="Yes",63&gt;=Projects!$C$16,63&lt;Projects!$C$16+Projects!$D$16),Projects!$B$16*INDEX(Curves!$B$4:$AO$4,1,63-Projects!$C$16+1),0)</f>
        <v>0</v>
      </c>
      <c r="BN7" s="8">
        <f>IF(AND(Projects!$G$2="Yes",64&gt;=Projects!$C$2,64&lt;Projects!$C$2+Projects!$D$2),Projects!$B$2*INDEX(Curves!$B$6:$AO$6,1,64-Projects!$C$2+1),0)+IF(AND(Projects!$G$3="Yes",64&gt;=Projects!$C$3,64&lt;Projects!$C$3+Projects!$D$3),Projects!$B$3*INDEX(Curves!$B$7:$AO$7,1,64-Projects!$C$3+1),0)+IF(AND(Projects!$G$4="Yes",64&gt;=Projects!$C$4,64&lt;Projects!$C$4+Projects!$D$4),Projects!$B$4*INDEX(Curves!$B$8:$AO$8,1,64-Projects!$C$4+1),0)+IF(AND(Projects!$G$5="Yes",64&gt;=Projects!$C$5,64&lt;Projects!$C$5+Projects!$D$5),Projects!$B$5*INDEX(Curves!$B$9:$AO$9,1,64-Projects!$C$5+1),0)+IF(AND(Projects!$G$6="Yes",64&gt;=Projects!$C$6,64&lt;Projects!$C$6+Projects!$D$6),Projects!$B$6*INDEX(Curves!$B$4:$AO$4,1,64-Projects!$C$6+1),0)+IF(AND(Projects!$G$7="Yes",64&gt;=Projects!$C$7,64&lt;Projects!$C$7+Projects!$D$7),Projects!$B$7*INDEX(Curves!$B$3:$AO$3,1,64-Projects!$C$7+1),0)+IF(AND(Projects!$G$8="Yes",64&gt;=Projects!$C$8,64&lt;Projects!$C$8+Projects!$D$8),Projects!$B$8*INDEX(Curves!$B$4:$AO$4,1,64-Projects!$C$8+1),0)+IF(AND(Projects!$G$9="Yes",64&gt;=Projects!$C$9,64&lt;Projects!$C$9+Projects!$D$9),Projects!$B$9*INDEX(Curves!$B$2:$AO$2,1,64-Projects!$C$9+1),0)+IF(AND(Projects!$G$10="Yes",64&gt;=Projects!$C$10,64&lt;Projects!$C$10+Projects!$D$10),Projects!$B$10*INDEX(Curves!$B$4:$AO$4,1,64-Projects!$C$10+1),0)+IF(AND(Projects!$G$11="Yes",64&gt;=Projects!$C$11,64&lt;Projects!$C$11+Projects!$D$11),Projects!$B$11*INDEX(Curves!$B$4:$AO$4,1,64-Projects!$C$11+1),0)+IF(AND(Projects!$G$12="Yes",64&gt;=Projects!$C$12,64&lt;Projects!$C$12+Projects!$D$12),Projects!$B$12*INDEX(Curves!$B$4:$AO$4,1,64-Projects!$C$12+1),0)+IF(AND(Projects!$G$13="Yes",64&gt;=Projects!$C$13,64&lt;Projects!$C$13+Projects!$D$13),Projects!$B$13*INDEX(Curves!$B$2:$AO$2,1,64-Projects!$C$13+1),0)+IF(AND(Projects!$G$14="Yes",64&gt;=Projects!$C$14,64&lt;Projects!$C$14+Projects!$D$14),Projects!$B$14*INDEX(Curves!$B$2:$AO$2,1,64-Projects!$C$14+1),0)+IF(AND(Projects!$G$15="Yes",64&gt;=Projects!$C$15,64&lt;Projects!$C$15+Projects!$D$15),Projects!$B$15*INDEX(Curves!$B$4:$AO$4,1,64-Projects!$C$15+1),0)+IF(AND(Projects!$G$16="Yes",64&gt;=Projects!$C$16,64&lt;Projects!$C$16+Projects!$D$16),Projects!$B$16*INDEX(Curves!$B$4:$AO$4,1,64-Projects!$C$16+1),0)</f>
        <v>0</v>
      </c>
      <c r="BO7" s="8">
        <f>IF(AND(Projects!$G$2="Yes",65&gt;=Projects!$C$2,65&lt;Projects!$C$2+Projects!$D$2),Projects!$B$2*INDEX(Curves!$B$6:$AO$6,1,65-Projects!$C$2+1),0)+IF(AND(Projects!$G$3="Yes",65&gt;=Projects!$C$3,65&lt;Projects!$C$3+Projects!$D$3),Projects!$B$3*INDEX(Curves!$B$7:$AO$7,1,65-Projects!$C$3+1),0)+IF(AND(Projects!$G$4="Yes",65&gt;=Projects!$C$4,65&lt;Projects!$C$4+Projects!$D$4),Projects!$B$4*INDEX(Curves!$B$8:$AO$8,1,65-Projects!$C$4+1),0)+IF(AND(Projects!$G$5="Yes",65&gt;=Projects!$C$5,65&lt;Projects!$C$5+Projects!$D$5),Projects!$B$5*INDEX(Curves!$B$9:$AO$9,1,65-Projects!$C$5+1),0)+IF(AND(Projects!$G$6="Yes",65&gt;=Projects!$C$6,65&lt;Projects!$C$6+Projects!$D$6),Projects!$B$6*INDEX(Curves!$B$4:$AO$4,1,65-Projects!$C$6+1),0)+IF(AND(Projects!$G$7="Yes",65&gt;=Projects!$C$7,65&lt;Projects!$C$7+Projects!$D$7),Projects!$B$7*INDEX(Curves!$B$3:$AO$3,1,65-Projects!$C$7+1),0)+IF(AND(Projects!$G$8="Yes",65&gt;=Projects!$C$8,65&lt;Projects!$C$8+Projects!$D$8),Projects!$B$8*INDEX(Curves!$B$4:$AO$4,1,65-Projects!$C$8+1),0)+IF(AND(Projects!$G$9="Yes",65&gt;=Projects!$C$9,65&lt;Projects!$C$9+Projects!$D$9),Projects!$B$9*INDEX(Curves!$B$2:$AO$2,1,65-Projects!$C$9+1),0)+IF(AND(Projects!$G$10="Yes",65&gt;=Projects!$C$10,65&lt;Projects!$C$10+Projects!$D$10),Projects!$B$10*INDEX(Curves!$B$4:$AO$4,1,65-Projects!$C$10+1),0)+IF(AND(Projects!$G$11="Yes",65&gt;=Projects!$C$11,65&lt;Projects!$C$11+Projects!$D$11),Projects!$B$11*INDEX(Curves!$B$4:$AO$4,1,65-Projects!$C$11+1),0)+IF(AND(Projects!$G$12="Yes",65&gt;=Projects!$C$12,65&lt;Projects!$C$12+Projects!$D$12),Projects!$B$12*INDEX(Curves!$B$4:$AO$4,1,65-Projects!$C$12+1),0)+IF(AND(Projects!$G$13="Yes",65&gt;=Projects!$C$13,65&lt;Projects!$C$13+Projects!$D$13),Projects!$B$13*INDEX(Curves!$B$2:$AO$2,1,65-Projects!$C$13+1),0)+IF(AND(Projects!$G$14="Yes",65&gt;=Projects!$C$14,65&lt;Projects!$C$14+Projects!$D$14),Projects!$B$14*INDEX(Curves!$B$2:$AO$2,1,65-Projects!$C$14+1),0)+IF(AND(Projects!$G$15="Yes",65&gt;=Projects!$C$15,65&lt;Projects!$C$15+Projects!$D$15),Projects!$B$15*INDEX(Curves!$B$4:$AO$4,1,65-Projects!$C$15+1),0)+IF(AND(Projects!$G$16="Yes",65&gt;=Projects!$C$16,65&lt;Projects!$C$16+Projects!$D$16),Projects!$B$16*INDEX(Curves!$B$4:$AO$4,1,65-Projects!$C$16+1),0)</f>
        <v>0</v>
      </c>
      <c r="BP7" s="8">
        <f>IF(AND(Projects!$G$2="Yes",66&gt;=Projects!$C$2,66&lt;Projects!$C$2+Projects!$D$2),Projects!$B$2*INDEX(Curves!$B$6:$AO$6,1,66-Projects!$C$2+1),0)+IF(AND(Projects!$G$3="Yes",66&gt;=Projects!$C$3,66&lt;Projects!$C$3+Projects!$D$3),Projects!$B$3*INDEX(Curves!$B$7:$AO$7,1,66-Projects!$C$3+1),0)+IF(AND(Projects!$G$4="Yes",66&gt;=Projects!$C$4,66&lt;Projects!$C$4+Projects!$D$4),Projects!$B$4*INDEX(Curves!$B$8:$AO$8,1,66-Projects!$C$4+1),0)+IF(AND(Projects!$G$5="Yes",66&gt;=Projects!$C$5,66&lt;Projects!$C$5+Projects!$D$5),Projects!$B$5*INDEX(Curves!$B$9:$AO$9,1,66-Projects!$C$5+1),0)+IF(AND(Projects!$G$6="Yes",66&gt;=Projects!$C$6,66&lt;Projects!$C$6+Projects!$D$6),Projects!$B$6*INDEX(Curves!$B$4:$AO$4,1,66-Projects!$C$6+1),0)+IF(AND(Projects!$G$7="Yes",66&gt;=Projects!$C$7,66&lt;Projects!$C$7+Projects!$D$7),Projects!$B$7*INDEX(Curves!$B$3:$AO$3,1,66-Projects!$C$7+1),0)+IF(AND(Projects!$G$8="Yes",66&gt;=Projects!$C$8,66&lt;Projects!$C$8+Projects!$D$8),Projects!$B$8*INDEX(Curves!$B$4:$AO$4,1,66-Projects!$C$8+1),0)+IF(AND(Projects!$G$9="Yes",66&gt;=Projects!$C$9,66&lt;Projects!$C$9+Projects!$D$9),Projects!$B$9*INDEX(Curves!$B$2:$AO$2,1,66-Projects!$C$9+1),0)+IF(AND(Projects!$G$10="Yes",66&gt;=Projects!$C$10,66&lt;Projects!$C$10+Projects!$D$10),Projects!$B$10*INDEX(Curves!$B$4:$AO$4,1,66-Projects!$C$10+1),0)+IF(AND(Projects!$G$11="Yes",66&gt;=Projects!$C$11,66&lt;Projects!$C$11+Projects!$D$11),Projects!$B$11*INDEX(Curves!$B$4:$AO$4,1,66-Projects!$C$11+1),0)+IF(AND(Projects!$G$12="Yes",66&gt;=Projects!$C$12,66&lt;Projects!$C$12+Projects!$D$12),Projects!$B$12*INDEX(Curves!$B$4:$AO$4,1,66-Projects!$C$12+1),0)+IF(AND(Projects!$G$13="Yes",66&gt;=Projects!$C$13,66&lt;Projects!$C$13+Projects!$D$13),Projects!$B$13*INDEX(Curves!$B$2:$AO$2,1,66-Projects!$C$13+1),0)+IF(AND(Projects!$G$14="Yes",66&gt;=Projects!$C$14,66&lt;Projects!$C$14+Projects!$D$14),Projects!$B$14*INDEX(Curves!$B$2:$AO$2,1,66-Projects!$C$14+1),0)+IF(AND(Projects!$G$15="Yes",66&gt;=Projects!$C$15,66&lt;Projects!$C$15+Projects!$D$15),Projects!$B$15*INDEX(Curves!$B$4:$AO$4,1,66-Projects!$C$15+1),0)+IF(AND(Projects!$G$16="Yes",66&gt;=Projects!$C$16,66&lt;Projects!$C$16+Projects!$D$16),Projects!$B$16*INDEX(Curves!$B$4:$AO$4,1,66-Projects!$C$16+1),0)</f>
        <v>0</v>
      </c>
      <c r="BQ7" s="8">
        <f>IF(AND(Projects!$G$2="Yes",67&gt;=Projects!$C$2,67&lt;Projects!$C$2+Projects!$D$2),Projects!$B$2*INDEX(Curves!$B$6:$AO$6,1,67-Projects!$C$2+1),0)+IF(AND(Projects!$G$3="Yes",67&gt;=Projects!$C$3,67&lt;Projects!$C$3+Projects!$D$3),Projects!$B$3*INDEX(Curves!$B$7:$AO$7,1,67-Projects!$C$3+1),0)+IF(AND(Projects!$G$4="Yes",67&gt;=Projects!$C$4,67&lt;Projects!$C$4+Projects!$D$4),Projects!$B$4*INDEX(Curves!$B$8:$AO$8,1,67-Projects!$C$4+1),0)+IF(AND(Projects!$G$5="Yes",67&gt;=Projects!$C$5,67&lt;Projects!$C$5+Projects!$D$5),Projects!$B$5*INDEX(Curves!$B$9:$AO$9,1,67-Projects!$C$5+1),0)+IF(AND(Projects!$G$6="Yes",67&gt;=Projects!$C$6,67&lt;Projects!$C$6+Projects!$D$6),Projects!$B$6*INDEX(Curves!$B$4:$AO$4,1,67-Projects!$C$6+1),0)+IF(AND(Projects!$G$7="Yes",67&gt;=Projects!$C$7,67&lt;Projects!$C$7+Projects!$D$7),Projects!$B$7*INDEX(Curves!$B$3:$AO$3,1,67-Projects!$C$7+1),0)+IF(AND(Projects!$G$8="Yes",67&gt;=Projects!$C$8,67&lt;Projects!$C$8+Projects!$D$8),Projects!$B$8*INDEX(Curves!$B$4:$AO$4,1,67-Projects!$C$8+1),0)+IF(AND(Projects!$G$9="Yes",67&gt;=Projects!$C$9,67&lt;Projects!$C$9+Projects!$D$9),Projects!$B$9*INDEX(Curves!$B$2:$AO$2,1,67-Projects!$C$9+1),0)+IF(AND(Projects!$G$10="Yes",67&gt;=Projects!$C$10,67&lt;Projects!$C$10+Projects!$D$10),Projects!$B$10*INDEX(Curves!$B$4:$AO$4,1,67-Projects!$C$10+1),0)+IF(AND(Projects!$G$11="Yes",67&gt;=Projects!$C$11,67&lt;Projects!$C$11+Projects!$D$11),Projects!$B$11*INDEX(Curves!$B$4:$AO$4,1,67-Projects!$C$11+1),0)+IF(AND(Projects!$G$12="Yes",67&gt;=Projects!$C$12,67&lt;Projects!$C$12+Projects!$D$12),Projects!$B$12*INDEX(Curves!$B$4:$AO$4,1,67-Projects!$C$12+1),0)+IF(AND(Projects!$G$13="Yes",67&gt;=Projects!$C$13,67&lt;Projects!$C$13+Projects!$D$13),Projects!$B$13*INDEX(Curves!$B$2:$AO$2,1,67-Projects!$C$13+1),0)+IF(AND(Projects!$G$14="Yes",67&gt;=Projects!$C$14,67&lt;Projects!$C$14+Projects!$D$14),Projects!$B$14*INDEX(Curves!$B$2:$AO$2,1,67-Projects!$C$14+1),0)+IF(AND(Projects!$G$15="Yes",67&gt;=Projects!$C$15,67&lt;Projects!$C$15+Projects!$D$15),Projects!$B$15*INDEX(Curves!$B$4:$AO$4,1,67-Projects!$C$15+1),0)+IF(AND(Projects!$G$16="Yes",67&gt;=Projects!$C$16,67&lt;Projects!$C$16+Projects!$D$16),Projects!$B$16*INDEX(Curves!$B$4:$AO$4,1,67-Projects!$C$16+1),0)</f>
        <v>0</v>
      </c>
      <c r="BR7" s="8">
        <f>IF(AND(Projects!$G$2="Yes",68&gt;=Projects!$C$2,68&lt;Projects!$C$2+Projects!$D$2),Projects!$B$2*INDEX(Curves!$B$6:$AO$6,1,68-Projects!$C$2+1),0)+IF(AND(Projects!$G$3="Yes",68&gt;=Projects!$C$3,68&lt;Projects!$C$3+Projects!$D$3),Projects!$B$3*INDEX(Curves!$B$7:$AO$7,1,68-Projects!$C$3+1),0)+IF(AND(Projects!$G$4="Yes",68&gt;=Projects!$C$4,68&lt;Projects!$C$4+Projects!$D$4),Projects!$B$4*INDEX(Curves!$B$8:$AO$8,1,68-Projects!$C$4+1),0)+IF(AND(Projects!$G$5="Yes",68&gt;=Projects!$C$5,68&lt;Projects!$C$5+Projects!$D$5),Projects!$B$5*INDEX(Curves!$B$9:$AO$9,1,68-Projects!$C$5+1),0)+IF(AND(Projects!$G$6="Yes",68&gt;=Projects!$C$6,68&lt;Projects!$C$6+Projects!$D$6),Projects!$B$6*INDEX(Curves!$B$4:$AO$4,1,68-Projects!$C$6+1),0)+IF(AND(Projects!$G$7="Yes",68&gt;=Projects!$C$7,68&lt;Projects!$C$7+Projects!$D$7),Projects!$B$7*INDEX(Curves!$B$3:$AO$3,1,68-Projects!$C$7+1),0)+IF(AND(Projects!$G$8="Yes",68&gt;=Projects!$C$8,68&lt;Projects!$C$8+Projects!$D$8),Projects!$B$8*INDEX(Curves!$B$4:$AO$4,1,68-Projects!$C$8+1),0)+IF(AND(Projects!$G$9="Yes",68&gt;=Projects!$C$9,68&lt;Projects!$C$9+Projects!$D$9),Projects!$B$9*INDEX(Curves!$B$2:$AO$2,1,68-Projects!$C$9+1),0)+IF(AND(Projects!$G$10="Yes",68&gt;=Projects!$C$10,68&lt;Projects!$C$10+Projects!$D$10),Projects!$B$10*INDEX(Curves!$B$4:$AO$4,1,68-Projects!$C$10+1),0)+IF(AND(Projects!$G$11="Yes",68&gt;=Projects!$C$11,68&lt;Projects!$C$11+Projects!$D$11),Projects!$B$11*INDEX(Curves!$B$4:$AO$4,1,68-Projects!$C$11+1),0)+IF(AND(Projects!$G$12="Yes",68&gt;=Projects!$C$12,68&lt;Projects!$C$12+Projects!$D$12),Projects!$B$12*INDEX(Curves!$B$4:$AO$4,1,68-Projects!$C$12+1),0)+IF(AND(Projects!$G$13="Yes",68&gt;=Projects!$C$13,68&lt;Projects!$C$13+Projects!$D$13),Projects!$B$13*INDEX(Curves!$B$2:$AO$2,1,68-Projects!$C$13+1),0)+IF(AND(Projects!$G$14="Yes",68&gt;=Projects!$C$14,68&lt;Projects!$C$14+Projects!$D$14),Projects!$B$14*INDEX(Curves!$B$2:$AO$2,1,68-Projects!$C$14+1),0)+IF(AND(Projects!$G$15="Yes",68&gt;=Projects!$C$15,68&lt;Projects!$C$15+Projects!$D$15),Projects!$B$15*INDEX(Curves!$B$4:$AO$4,1,68-Projects!$C$15+1),0)+IF(AND(Projects!$G$16="Yes",68&gt;=Projects!$C$16,68&lt;Projects!$C$16+Projects!$D$16),Projects!$B$16*INDEX(Curves!$B$4:$AO$4,1,68-Projects!$C$16+1),0)</f>
        <v>0</v>
      </c>
      <c r="BS7" s="8">
        <f>IF(AND(Projects!$G$2="Yes",69&gt;=Projects!$C$2,69&lt;Projects!$C$2+Projects!$D$2),Projects!$B$2*INDEX(Curves!$B$6:$AO$6,1,69-Projects!$C$2+1),0)+IF(AND(Projects!$G$3="Yes",69&gt;=Projects!$C$3,69&lt;Projects!$C$3+Projects!$D$3),Projects!$B$3*INDEX(Curves!$B$7:$AO$7,1,69-Projects!$C$3+1),0)+IF(AND(Projects!$G$4="Yes",69&gt;=Projects!$C$4,69&lt;Projects!$C$4+Projects!$D$4),Projects!$B$4*INDEX(Curves!$B$8:$AO$8,1,69-Projects!$C$4+1),0)+IF(AND(Projects!$G$5="Yes",69&gt;=Projects!$C$5,69&lt;Projects!$C$5+Projects!$D$5),Projects!$B$5*INDEX(Curves!$B$9:$AO$9,1,69-Projects!$C$5+1),0)+IF(AND(Projects!$G$6="Yes",69&gt;=Projects!$C$6,69&lt;Projects!$C$6+Projects!$D$6),Projects!$B$6*INDEX(Curves!$B$4:$AO$4,1,69-Projects!$C$6+1),0)+IF(AND(Projects!$G$7="Yes",69&gt;=Projects!$C$7,69&lt;Projects!$C$7+Projects!$D$7),Projects!$B$7*INDEX(Curves!$B$3:$AO$3,1,69-Projects!$C$7+1),0)+IF(AND(Projects!$G$8="Yes",69&gt;=Projects!$C$8,69&lt;Projects!$C$8+Projects!$D$8),Projects!$B$8*INDEX(Curves!$B$4:$AO$4,1,69-Projects!$C$8+1),0)+IF(AND(Projects!$G$9="Yes",69&gt;=Projects!$C$9,69&lt;Projects!$C$9+Projects!$D$9),Projects!$B$9*INDEX(Curves!$B$2:$AO$2,1,69-Projects!$C$9+1),0)+IF(AND(Projects!$G$10="Yes",69&gt;=Projects!$C$10,69&lt;Projects!$C$10+Projects!$D$10),Projects!$B$10*INDEX(Curves!$B$4:$AO$4,1,69-Projects!$C$10+1),0)+IF(AND(Projects!$G$11="Yes",69&gt;=Projects!$C$11,69&lt;Projects!$C$11+Projects!$D$11),Projects!$B$11*INDEX(Curves!$B$4:$AO$4,1,69-Projects!$C$11+1),0)+IF(AND(Projects!$G$12="Yes",69&gt;=Projects!$C$12,69&lt;Projects!$C$12+Projects!$D$12),Projects!$B$12*INDEX(Curves!$B$4:$AO$4,1,69-Projects!$C$12+1),0)+IF(AND(Projects!$G$13="Yes",69&gt;=Projects!$C$13,69&lt;Projects!$C$13+Projects!$D$13),Projects!$B$13*INDEX(Curves!$B$2:$AO$2,1,69-Projects!$C$13+1),0)+IF(AND(Projects!$G$14="Yes",69&gt;=Projects!$C$14,69&lt;Projects!$C$14+Projects!$D$14),Projects!$B$14*INDEX(Curves!$B$2:$AO$2,1,69-Projects!$C$14+1),0)+IF(AND(Projects!$G$15="Yes",69&gt;=Projects!$C$15,69&lt;Projects!$C$15+Projects!$D$15),Projects!$B$15*INDEX(Curves!$B$4:$AO$4,1,69-Projects!$C$15+1),0)+IF(AND(Projects!$G$16="Yes",69&gt;=Projects!$C$16,69&lt;Projects!$C$16+Projects!$D$16),Projects!$B$16*INDEX(Curves!$B$4:$AO$4,1,69-Projects!$C$16+1),0)</f>
        <v>0</v>
      </c>
      <c r="BT7" s="8">
        <f>IF(AND(Projects!$G$2="Yes",70&gt;=Projects!$C$2,70&lt;Projects!$C$2+Projects!$D$2),Projects!$B$2*INDEX(Curves!$B$6:$AO$6,1,70-Projects!$C$2+1),0)+IF(AND(Projects!$G$3="Yes",70&gt;=Projects!$C$3,70&lt;Projects!$C$3+Projects!$D$3),Projects!$B$3*INDEX(Curves!$B$7:$AO$7,1,70-Projects!$C$3+1),0)+IF(AND(Projects!$G$4="Yes",70&gt;=Projects!$C$4,70&lt;Projects!$C$4+Projects!$D$4),Projects!$B$4*INDEX(Curves!$B$8:$AO$8,1,70-Projects!$C$4+1),0)+IF(AND(Projects!$G$5="Yes",70&gt;=Projects!$C$5,70&lt;Projects!$C$5+Projects!$D$5),Projects!$B$5*INDEX(Curves!$B$9:$AO$9,1,70-Projects!$C$5+1),0)+IF(AND(Projects!$G$6="Yes",70&gt;=Projects!$C$6,70&lt;Projects!$C$6+Projects!$D$6),Projects!$B$6*INDEX(Curves!$B$4:$AO$4,1,70-Projects!$C$6+1),0)+IF(AND(Projects!$G$7="Yes",70&gt;=Projects!$C$7,70&lt;Projects!$C$7+Projects!$D$7),Projects!$B$7*INDEX(Curves!$B$3:$AO$3,1,70-Projects!$C$7+1),0)+IF(AND(Projects!$G$8="Yes",70&gt;=Projects!$C$8,70&lt;Projects!$C$8+Projects!$D$8),Projects!$B$8*INDEX(Curves!$B$4:$AO$4,1,70-Projects!$C$8+1),0)+IF(AND(Projects!$G$9="Yes",70&gt;=Projects!$C$9,70&lt;Projects!$C$9+Projects!$D$9),Projects!$B$9*INDEX(Curves!$B$2:$AO$2,1,70-Projects!$C$9+1),0)+IF(AND(Projects!$G$10="Yes",70&gt;=Projects!$C$10,70&lt;Projects!$C$10+Projects!$D$10),Projects!$B$10*INDEX(Curves!$B$4:$AO$4,1,70-Projects!$C$10+1),0)+IF(AND(Projects!$G$11="Yes",70&gt;=Projects!$C$11,70&lt;Projects!$C$11+Projects!$D$11),Projects!$B$11*INDEX(Curves!$B$4:$AO$4,1,70-Projects!$C$11+1),0)+IF(AND(Projects!$G$12="Yes",70&gt;=Projects!$C$12,70&lt;Projects!$C$12+Projects!$D$12),Projects!$B$12*INDEX(Curves!$B$4:$AO$4,1,70-Projects!$C$12+1),0)+IF(AND(Projects!$G$13="Yes",70&gt;=Projects!$C$13,70&lt;Projects!$C$13+Projects!$D$13),Projects!$B$13*INDEX(Curves!$B$2:$AO$2,1,70-Projects!$C$13+1),0)+IF(AND(Projects!$G$14="Yes",70&gt;=Projects!$C$14,70&lt;Projects!$C$14+Projects!$D$14),Projects!$B$14*INDEX(Curves!$B$2:$AO$2,1,70-Projects!$C$14+1),0)+IF(AND(Projects!$G$15="Yes",70&gt;=Projects!$C$15,70&lt;Projects!$C$15+Projects!$D$15),Projects!$B$15*INDEX(Curves!$B$4:$AO$4,1,70-Projects!$C$15+1),0)+IF(AND(Projects!$G$16="Yes",70&gt;=Projects!$C$16,70&lt;Projects!$C$16+Projects!$D$16),Projects!$B$16*INDEX(Curves!$B$4:$AO$4,1,70-Projects!$C$16+1),0)</f>
        <v>0</v>
      </c>
      <c r="BU7" s="8">
        <f>IF(AND(Projects!$G$2="Yes",71&gt;=Projects!$C$2,71&lt;Projects!$C$2+Projects!$D$2),Projects!$B$2*INDEX(Curves!$B$6:$AO$6,1,71-Projects!$C$2+1),0)+IF(AND(Projects!$G$3="Yes",71&gt;=Projects!$C$3,71&lt;Projects!$C$3+Projects!$D$3),Projects!$B$3*INDEX(Curves!$B$7:$AO$7,1,71-Projects!$C$3+1),0)+IF(AND(Projects!$G$4="Yes",71&gt;=Projects!$C$4,71&lt;Projects!$C$4+Projects!$D$4),Projects!$B$4*INDEX(Curves!$B$8:$AO$8,1,71-Projects!$C$4+1),0)+IF(AND(Projects!$G$5="Yes",71&gt;=Projects!$C$5,71&lt;Projects!$C$5+Projects!$D$5),Projects!$B$5*INDEX(Curves!$B$9:$AO$9,1,71-Projects!$C$5+1),0)+IF(AND(Projects!$G$6="Yes",71&gt;=Projects!$C$6,71&lt;Projects!$C$6+Projects!$D$6),Projects!$B$6*INDEX(Curves!$B$4:$AO$4,1,71-Projects!$C$6+1),0)+IF(AND(Projects!$G$7="Yes",71&gt;=Projects!$C$7,71&lt;Projects!$C$7+Projects!$D$7),Projects!$B$7*INDEX(Curves!$B$3:$AO$3,1,71-Projects!$C$7+1),0)+IF(AND(Projects!$G$8="Yes",71&gt;=Projects!$C$8,71&lt;Projects!$C$8+Projects!$D$8),Projects!$B$8*INDEX(Curves!$B$4:$AO$4,1,71-Projects!$C$8+1),0)+IF(AND(Projects!$G$9="Yes",71&gt;=Projects!$C$9,71&lt;Projects!$C$9+Projects!$D$9),Projects!$B$9*INDEX(Curves!$B$2:$AO$2,1,71-Projects!$C$9+1),0)+IF(AND(Projects!$G$10="Yes",71&gt;=Projects!$C$10,71&lt;Projects!$C$10+Projects!$D$10),Projects!$B$10*INDEX(Curves!$B$4:$AO$4,1,71-Projects!$C$10+1),0)+IF(AND(Projects!$G$11="Yes",71&gt;=Projects!$C$11,71&lt;Projects!$C$11+Projects!$D$11),Projects!$B$11*INDEX(Curves!$B$4:$AO$4,1,71-Projects!$C$11+1),0)+IF(AND(Projects!$G$12="Yes",71&gt;=Projects!$C$12,71&lt;Projects!$C$12+Projects!$D$12),Projects!$B$12*INDEX(Curves!$B$4:$AO$4,1,71-Projects!$C$12+1),0)+IF(AND(Projects!$G$13="Yes",71&gt;=Projects!$C$13,71&lt;Projects!$C$13+Projects!$D$13),Projects!$B$13*INDEX(Curves!$B$2:$AO$2,1,71-Projects!$C$13+1),0)+IF(AND(Projects!$G$14="Yes",71&gt;=Projects!$C$14,71&lt;Projects!$C$14+Projects!$D$14),Projects!$B$14*INDEX(Curves!$B$2:$AO$2,1,71-Projects!$C$14+1),0)+IF(AND(Projects!$G$15="Yes",71&gt;=Projects!$C$15,71&lt;Projects!$C$15+Projects!$D$15),Projects!$B$15*INDEX(Curves!$B$4:$AO$4,1,71-Projects!$C$15+1),0)+IF(AND(Projects!$G$16="Yes",71&gt;=Projects!$C$16,71&lt;Projects!$C$16+Projects!$D$16),Projects!$B$16*INDEX(Curves!$B$4:$AO$4,1,71-Projects!$C$16+1),0)</f>
        <v>0</v>
      </c>
      <c r="BV7" s="8">
        <f>IF(AND(Projects!$G$2="Yes",72&gt;=Projects!$C$2,72&lt;Projects!$C$2+Projects!$D$2),Projects!$B$2*INDEX(Curves!$B$6:$AO$6,1,72-Projects!$C$2+1),0)+IF(AND(Projects!$G$3="Yes",72&gt;=Projects!$C$3,72&lt;Projects!$C$3+Projects!$D$3),Projects!$B$3*INDEX(Curves!$B$7:$AO$7,1,72-Projects!$C$3+1),0)+IF(AND(Projects!$G$4="Yes",72&gt;=Projects!$C$4,72&lt;Projects!$C$4+Projects!$D$4),Projects!$B$4*INDEX(Curves!$B$8:$AO$8,1,72-Projects!$C$4+1),0)+IF(AND(Projects!$G$5="Yes",72&gt;=Projects!$C$5,72&lt;Projects!$C$5+Projects!$D$5),Projects!$B$5*INDEX(Curves!$B$9:$AO$9,1,72-Projects!$C$5+1),0)+IF(AND(Projects!$G$6="Yes",72&gt;=Projects!$C$6,72&lt;Projects!$C$6+Projects!$D$6),Projects!$B$6*INDEX(Curves!$B$4:$AO$4,1,72-Projects!$C$6+1),0)+IF(AND(Projects!$G$7="Yes",72&gt;=Projects!$C$7,72&lt;Projects!$C$7+Projects!$D$7),Projects!$B$7*INDEX(Curves!$B$3:$AO$3,1,72-Projects!$C$7+1),0)+IF(AND(Projects!$G$8="Yes",72&gt;=Projects!$C$8,72&lt;Projects!$C$8+Projects!$D$8),Projects!$B$8*INDEX(Curves!$B$4:$AO$4,1,72-Projects!$C$8+1),0)+IF(AND(Projects!$G$9="Yes",72&gt;=Projects!$C$9,72&lt;Projects!$C$9+Projects!$D$9),Projects!$B$9*INDEX(Curves!$B$2:$AO$2,1,72-Projects!$C$9+1),0)+IF(AND(Projects!$G$10="Yes",72&gt;=Projects!$C$10,72&lt;Projects!$C$10+Projects!$D$10),Projects!$B$10*INDEX(Curves!$B$4:$AO$4,1,72-Projects!$C$10+1),0)+IF(AND(Projects!$G$11="Yes",72&gt;=Projects!$C$11,72&lt;Projects!$C$11+Projects!$D$11),Projects!$B$11*INDEX(Curves!$B$4:$AO$4,1,72-Projects!$C$11+1),0)+IF(AND(Projects!$G$12="Yes",72&gt;=Projects!$C$12,72&lt;Projects!$C$12+Projects!$D$12),Projects!$B$12*INDEX(Curves!$B$4:$AO$4,1,72-Projects!$C$12+1),0)+IF(AND(Projects!$G$13="Yes",72&gt;=Projects!$C$13,72&lt;Projects!$C$13+Projects!$D$13),Projects!$B$13*INDEX(Curves!$B$2:$AO$2,1,72-Projects!$C$13+1),0)+IF(AND(Projects!$G$14="Yes",72&gt;=Projects!$C$14,72&lt;Projects!$C$14+Projects!$D$14),Projects!$B$14*INDEX(Curves!$B$2:$AO$2,1,72-Projects!$C$14+1),0)+IF(AND(Projects!$G$15="Yes",72&gt;=Projects!$C$15,72&lt;Projects!$C$15+Projects!$D$15),Projects!$B$15*INDEX(Curves!$B$4:$AO$4,1,72-Projects!$C$15+1),0)+IF(AND(Projects!$G$16="Yes",72&gt;=Projects!$C$16,72&lt;Projects!$C$16+Projects!$D$16),Projects!$B$16*INDEX(Curves!$B$4:$AO$4,1,72-Projects!$C$16+1),0)</f>
        <v>0</v>
      </c>
      <c r="BW7" s="8">
        <f>IF(AND(Projects!$G$2="Yes",73&gt;=Projects!$C$2,73&lt;Projects!$C$2+Projects!$D$2),Projects!$B$2*INDEX(Curves!$B$6:$AO$6,1,73-Projects!$C$2+1),0)+IF(AND(Projects!$G$3="Yes",73&gt;=Projects!$C$3,73&lt;Projects!$C$3+Projects!$D$3),Projects!$B$3*INDEX(Curves!$B$7:$AO$7,1,73-Projects!$C$3+1),0)+IF(AND(Projects!$G$4="Yes",73&gt;=Projects!$C$4,73&lt;Projects!$C$4+Projects!$D$4),Projects!$B$4*INDEX(Curves!$B$8:$AO$8,1,73-Projects!$C$4+1),0)+IF(AND(Projects!$G$5="Yes",73&gt;=Projects!$C$5,73&lt;Projects!$C$5+Projects!$D$5),Projects!$B$5*INDEX(Curves!$B$9:$AO$9,1,73-Projects!$C$5+1),0)+IF(AND(Projects!$G$6="Yes",73&gt;=Projects!$C$6,73&lt;Projects!$C$6+Projects!$D$6),Projects!$B$6*INDEX(Curves!$B$4:$AO$4,1,73-Projects!$C$6+1),0)+IF(AND(Projects!$G$7="Yes",73&gt;=Projects!$C$7,73&lt;Projects!$C$7+Projects!$D$7),Projects!$B$7*INDEX(Curves!$B$3:$AO$3,1,73-Projects!$C$7+1),0)+IF(AND(Projects!$G$8="Yes",73&gt;=Projects!$C$8,73&lt;Projects!$C$8+Projects!$D$8),Projects!$B$8*INDEX(Curves!$B$4:$AO$4,1,73-Projects!$C$8+1),0)+IF(AND(Projects!$G$9="Yes",73&gt;=Projects!$C$9,73&lt;Projects!$C$9+Projects!$D$9),Projects!$B$9*INDEX(Curves!$B$2:$AO$2,1,73-Projects!$C$9+1),0)+IF(AND(Projects!$G$10="Yes",73&gt;=Projects!$C$10,73&lt;Projects!$C$10+Projects!$D$10),Projects!$B$10*INDEX(Curves!$B$4:$AO$4,1,73-Projects!$C$10+1),0)+IF(AND(Projects!$G$11="Yes",73&gt;=Projects!$C$11,73&lt;Projects!$C$11+Projects!$D$11),Projects!$B$11*INDEX(Curves!$B$4:$AO$4,1,73-Projects!$C$11+1),0)+IF(AND(Projects!$G$12="Yes",73&gt;=Projects!$C$12,73&lt;Projects!$C$12+Projects!$D$12),Projects!$B$12*INDEX(Curves!$B$4:$AO$4,1,73-Projects!$C$12+1),0)+IF(AND(Projects!$G$13="Yes",73&gt;=Projects!$C$13,73&lt;Projects!$C$13+Projects!$D$13),Projects!$B$13*INDEX(Curves!$B$2:$AO$2,1,73-Projects!$C$13+1),0)+IF(AND(Projects!$G$14="Yes",73&gt;=Projects!$C$14,73&lt;Projects!$C$14+Projects!$D$14),Projects!$B$14*INDEX(Curves!$B$2:$AO$2,1,73-Projects!$C$14+1),0)+IF(AND(Projects!$G$15="Yes",73&gt;=Projects!$C$15,73&lt;Projects!$C$15+Projects!$D$15),Projects!$B$15*INDEX(Curves!$B$4:$AO$4,1,73-Projects!$C$15+1),0)+IF(AND(Projects!$G$16="Yes",73&gt;=Projects!$C$16,73&lt;Projects!$C$16+Projects!$D$16),Projects!$B$16*INDEX(Curves!$B$4:$AO$4,1,73-Projects!$C$16+1),0)</f>
        <v>0</v>
      </c>
      <c r="BX7" s="8">
        <f>IF(AND(Projects!$G$2="Yes",74&gt;=Projects!$C$2,74&lt;Projects!$C$2+Projects!$D$2),Projects!$B$2*INDEX(Curves!$B$6:$AO$6,1,74-Projects!$C$2+1),0)+IF(AND(Projects!$G$3="Yes",74&gt;=Projects!$C$3,74&lt;Projects!$C$3+Projects!$D$3),Projects!$B$3*INDEX(Curves!$B$7:$AO$7,1,74-Projects!$C$3+1),0)+IF(AND(Projects!$G$4="Yes",74&gt;=Projects!$C$4,74&lt;Projects!$C$4+Projects!$D$4),Projects!$B$4*INDEX(Curves!$B$8:$AO$8,1,74-Projects!$C$4+1),0)+IF(AND(Projects!$G$5="Yes",74&gt;=Projects!$C$5,74&lt;Projects!$C$5+Projects!$D$5),Projects!$B$5*INDEX(Curves!$B$9:$AO$9,1,74-Projects!$C$5+1),0)+IF(AND(Projects!$G$6="Yes",74&gt;=Projects!$C$6,74&lt;Projects!$C$6+Projects!$D$6),Projects!$B$6*INDEX(Curves!$B$4:$AO$4,1,74-Projects!$C$6+1),0)+IF(AND(Projects!$G$7="Yes",74&gt;=Projects!$C$7,74&lt;Projects!$C$7+Projects!$D$7),Projects!$B$7*INDEX(Curves!$B$3:$AO$3,1,74-Projects!$C$7+1),0)+IF(AND(Projects!$G$8="Yes",74&gt;=Projects!$C$8,74&lt;Projects!$C$8+Projects!$D$8),Projects!$B$8*INDEX(Curves!$B$4:$AO$4,1,74-Projects!$C$8+1),0)+IF(AND(Projects!$G$9="Yes",74&gt;=Projects!$C$9,74&lt;Projects!$C$9+Projects!$D$9),Projects!$B$9*INDEX(Curves!$B$2:$AO$2,1,74-Projects!$C$9+1),0)+IF(AND(Projects!$G$10="Yes",74&gt;=Projects!$C$10,74&lt;Projects!$C$10+Projects!$D$10),Projects!$B$10*INDEX(Curves!$B$4:$AO$4,1,74-Projects!$C$10+1),0)+IF(AND(Projects!$G$11="Yes",74&gt;=Projects!$C$11,74&lt;Projects!$C$11+Projects!$D$11),Projects!$B$11*INDEX(Curves!$B$4:$AO$4,1,74-Projects!$C$11+1),0)+IF(AND(Projects!$G$12="Yes",74&gt;=Projects!$C$12,74&lt;Projects!$C$12+Projects!$D$12),Projects!$B$12*INDEX(Curves!$B$4:$AO$4,1,74-Projects!$C$12+1),0)+IF(AND(Projects!$G$13="Yes",74&gt;=Projects!$C$13,74&lt;Projects!$C$13+Projects!$D$13),Projects!$B$13*INDEX(Curves!$B$2:$AO$2,1,74-Projects!$C$13+1),0)+IF(AND(Projects!$G$14="Yes",74&gt;=Projects!$C$14,74&lt;Projects!$C$14+Projects!$D$14),Projects!$B$14*INDEX(Curves!$B$2:$AO$2,1,74-Projects!$C$14+1),0)+IF(AND(Projects!$G$15="Yes",74&gt;=Projects!$C$15,74&lt;Projects!$C$15+Projects!$D$15),Projects!$B$15*INDEX(Curves!$B$4:$AO$4,1,74-Projects!$C$15+1),0)+IF(AND(Projects!$G$16="Yes",74&gt;=Projects!$C$16,74&lt;Projects!$C$16+Projects!$D$16),Projects!$B$16*INDEX(Curves!$B$4:$AO$4,1,74-Projects!$C$16+1),0)</f>
        <v>0</v>
      </c>
      <c r="BY7" s="8">
        <f>IF(AND(Projects!$G$2="Yes",75&gt;=Projects!$C$2,75&lt;Projects!$C$2+Projects!$D$2),Projects!$B$2*INDEX(Curves!$B$6:$AO$6,1,75-Projects!$C$2+1),0)+IF(AND(Projects!$G$3="Yes",75&gt;=Projects!$C$3,75&lt;Projects!$C$3+Projects!$D$3),Projects!$B$3*INDEX(Curves!$B$7:$AO$7,1,75-Projects!$C$3+1),0)+IF(AND(Projects!$G$4="Yes",75&gt;=Projects!$C$4,75&lt;Projects!$C$4+Projects!$D$4),Projects!$B$4*INDEX(Curves!$B$8:$AO$8,1,75-Projects!$C$4+1),0)+IF(AND(Projects!$G$5="Yes",75&gt;=Projects!$C$5,75&lt;Projects!$C$5+Projects!$D$5),Projects!$B$5*INDEX(Curves!$B$9:$AO$9,1,75-Projects!$C$5+1),0)+IF(AND(Projects!$G$6="Yes",75&gt;=Projects!$C$6,75&lt;Projects!$C$6+Projects!$D$6),Projects!$B$6*INDEX(Curves!$B$4:$AO$4,1,75-Projects!$C$6+1),0)+IF(AND(Projects!$G$7="Yes",75&gt;=Projects!$C$7,75&lt;Projects!$C$7+Projects!$D$7),Projects!$B$7*INDEX(Curves!$B$3:$AO$3,1,75-Projects!$C$7+1),0)+IF(AND(Projects!$G$8="Yes",75&gt;=Projects!$C$8,75&lt;Projects!$C$8+Projects!$D$8),Projects!$B$8*INDEX(Curves!$B$4:$AO$4,1,75-Projects!$C$8+1),0)+IF(AND(Projects!$G$9="Yes",75&gt;=Projects!$C$9,75&lt;Projects!$C$9+Projects!$D$9),Projects!$B$9*INDEX(Curves!$B$2:$AO$2,1,75-Projects!$C$9+1),0)+IF(AND(Projects!$G$10="Yes",75&gt;=Projects!$C$10,75&lt;Projects!$C$10+Projects!$D$10),Projects!$B$10*INDEX(Curves!$B$4:$AO$4,1,75-Projects!$C$10+1),0)+IF(AND(Projects!$G$11="Yes",75&gt;=Projects!$C$11,75&lt;Projects!$C$11+Projects!$D$11),Projects!$B$11*INDEX(Curves!$B$4:$AO$4,1,75-Projects!$C$11+1),0)+IF(AND(Projects!$G$12="Yes",75&gt;=Projects!$C$12,75&lt;Projects!$C$12+Projects!$D$12),Projects!$B$12*INDEX(Curves!$B$4:$AO$4,1,75-Projects!$C$12+1),0)+IF(AND(Projects!$G$13="Yes",75&gt;=Projects!$C$13,75&lt;Projects!$C$13+Projects!$D$13),Projects!$B$13*INDEX(Curves!$B$2:$AO$2,1,75-Projects!$C$13+1),0)+IF(AND(Projects!$G$14="Yes",75&gt;=Projects!$C$14,75&lt;Projects!$C$14+Projects!$D$14),Projects!$B$14*INDEX(Curves!$B$2:$AO$2,1,75-Projects!$C$14+1),0)+IF(AND(Projects!$G$15="Yes",75&gt;=Projects!$C$15,75&lt;Projects!$C$15+Projects!$D$15),Projects!$B$15*INDEX(Curves!$B$4:$AO$4,1,75-Projects!$C$15+1),0)+IF(AND(Projects!$G$16="Yes",75&gt;=Projects!$C$16,75&lt;Projects!$C$16+Projects!$D$16),Projects!$B$16*INDEX(Curves!$B$4:$AO$4,1,75-Projects!$C$16+1),0)</f>
        <v>0</v>
      </c>
      <c r="BZ7" s="8">
        <f>IF(AND(Projects!$G$2="Yes",76&gt;=Projects!$C$2,76&lt;Projects!$C$2+Projects!$D$2),Projects!$B$2*INDEX(Curves!$B$6:$AO$6,1,76-Projects!$C$2+1),0)+IF(AND(Projects!$G$3="Yes",76&gt;=Projects!$C$3,76&lt;Projects!$C$3+Projects!$D$3),Projects!$B$3*INDEX(Curves!$B$7:$AO$7,1,76-Projects!$C$3+1),0)+IF(AND(Projects!$G$4="Yes",76&gt;=Projects!$C$4,76&lt;Projects!$C$4+Projects!$D$4),Projects!$B$4*INDEX(Curves!$B$8:$AO$8,1,76-Projects!$C$4+1),0)+IF(AND(Projects!$G$5="Yes",76&gt;=Projects!$C$5,76&lt;Projects!$C$5+Projects!$D$5),Projects!$B$5*INDEX(Curves!$B$9:$AO$9,1,76-Projects!$C$5+1),0)+IF(AND(Projects!$G$6="Yes",76&gt;=Projects!$C$6,76&lt;Projects!$C$6+Projects!$D$6),Projects!$B$6*INDEX(Curves!$B$4:$AO$4,1,76-Projects!$C$6+1),0)+IF(AND(Projects!$G$7="Yes",76&gt;=Projects!$C$7,76&lt;Projects!$C$7+Projects!$D$7),Projects!$B$7*INDEX(Curves!$B$3:$AO$3,1,76-Projects!$C$7+1),0)+IF(AND(Projects!$G$8="Yes",76&gt;=Projects!$C$8,76&lt;Projects!$C$8+Projects!$D$8),Projects!$B$8*INDEX(Curves!$B$4:$AO$4,1,76-Projects!$C$8+1),0)+IF(AND(Projects!$G$9="Yes",76&gt;=Projects!$C$9,76&lt;Projects!$C$9+Projects!$D$9),Projects!$B$9*INDEX(Curves!$B$2:$AO$2,1,76-Projects!$C$9+1),0)+IF(AND(Projects!$G$10="Yes",76&gt;=Projects!$C$10,76&lt;Projects!$C$10+Projects!$D$10),Projects!$B$10*INDEX(Curves!$B$4:$AO$4,1,76-Projects!$C$10+1),0)+IF(AND(Projects!$G$11="Yes",76&gt;=Projects!$C$11,76&lt;Projects!$C$11+Projects!$D$11),Projects!$B$11*INDEX(Curves!$B$4:$AO$4,1,76-Projects!$C$11+1),0)+IF(AND(Projects!$G$12="Yes",76&gt;=Projects!$C$12,76&lt;Projects!$C$12+Projects!$D$12),Projects!$B$12*INDEX(Curves!$B$4:$AO$4,1,76-Projects!$C$12+1),0)+IF(AND(Projects!$G$13="Yes",76&gt;=Projects!$C$13,76&lt;Projects!$C$13+Projects!$D$13),Projects!$B$13*INDEX(Curves!$B$2:$AO$2,1,76-Projects!$C$13+1),0)+IF(AND(Projects!$G$14="Yes",76&gt;=Projects!$C$14,76&lt;Projects!$C$14+Projects!$D$14),Projects!$B$14*INDEX(Curves!$B$2:$AO$2,1,76-Projects!$C$14+1),0)+IF(AND(Projects!$G$15="Yes",76&gt;=Projects!$C$15,76&lt;Projects!$C$15+Projects!$D$15),Projects!$B$15*INDEX(Curves!$B$4:$AO$4,1,76-Projects!$C$15+1),0)+IF(AND(Projects!$G$16="Yes",76&gt;=Projects!$C$16,76&lt;Projects!$C$16+Projects!$D$16),Projects!$B$16*INDEX(Curves!$B$4:$AO$4,1,76-Projects!$C$16+1),0)</f>
        <v>0</v>
      </c>
      <c r="CA7" s="8">
        <f>IF(AND(Projects!$G$2="Yes",77&gt;=Projects!$C$2,77&lt;Projects!$C$2+Projects!$D$2),Projects!$B$2*INDEX(Curves!$B$6:$AO$6,1,77-Projects!$C$2+1),0)+IF(AND(Projects!$G$3="Yes",77&gt;=Projects!$C$3,77&lt;Projects!$C$3+Projects!$D$3),Projects!$B$3*INDEX(Curves!$B$7:$AO$7,1,77-Projects!$C$3+1),0)+IF(AND(Projects!$G$4="Yes",77&gt;=Projects!$C$4,77&lt;Projects!$C$4+Projects!$D$4),Projects!$B$4*INDEX(Curves!$B$8:$AO$8,1,77-Projects!$C$4+1),0)+IF(AND(Projects!$G$5="Yes",77&gt;=Projects!$C$5,77&lt;Projects!$C$5+Projects!$D$5),Projects!$B$5*INDEX(Curves!$B$9:$AO$9,1,77-Projects!$C$5+1),0)+IF(AND(Projects!$G$6="Yes",77&gt;=Projects!$C$6,77&lt;Projects!$C$6+Projects!$D$6),Projects!$B$6*INDEX(Curves!$B$4:$AO$4,1,77-Projects!$C$6+1),0)+IF(AND(Projects!$G$7="Yes",77&gt;=Projects!$C$7,77&lt;Projects!$C$7+Projects!$D$7),Projects!$B$7*INDEX(Curves!$B$3:$AO$3,1,77-Projects!$C$7+1),0)+IF(AND(Projects!$G$8="Yes",77&gt;=Projects!$C$8,77&lt;Projects!$C$8+Projects!$D$8),Projects!$B$8*INDEX(Curves!$B$4:$AO$4,1,77-Projects!$C$8+1),0)+IF(AND(Projects!$G$9="Yes",77&gt;=Projects!$C$9,77&lt;Projects!$C$9+Projects!$D$9),Projects!$B$9*INDEX(Curves!$B$2:$AO$2,1,77-Projects!$C$9+1),0)+IF(AND(Projects!$G$10="Yes",77&gt;=Projects!$C$10,77&lt;Projects!$C$10+Projects!$D$10),Projects!$B$10*INDEX(Curves!$B$4:$AO$4,1,77-Projects!$C$10+1),0)+IF(AND(Projects!$G$11="Yes",77&gt;=Projects!$C$11,77&lt;Projects!$C$11+Projects!$D$11),Projects!$B$11*INDEX(Curves!$B$4:$AO$4,1,77-Projects!$C$11+1),0)+IF(AND(Projects!$G$12="Yes",77&gt;=Projects!$C$12,77&lt;Projects!$C$12+Projects!$D$12),Projects!$B$12*INDEX(Curves!$B$4:$AO$4,1,77-Projects!$C$12+1),0)+IF(AND(Projects!$G$13="Yes",77&gt;=Projects!$C$13,77&lt;Projects!$C$13+Projects!$D$13),Projects!$B$13*INDEX(Curves!$B$2:$AO$2,1,77-Projects!$C$13+1),0)+IF(AND(Projects!$G$14="Yes",77&gt;=Projects!$C$14,77&lt;Projects!$C$14+Projects!$D$14),Projects!$B$14*INDEX(Curves!$B$2:$AO$2,1,77-Projects!$C$14+1),0)+IF(AND(Projects!$G$15="Yes",77&gt;=Projects!$C$15,77&lt;Projects!$C$15+Projects!$D$15),Projects!$B$15*INDEX(Curves!$B$4:$AO$4,1,77-Projects!$C$15+1),0)+IF(AND(Projects!$G$16="Yes",77&gt;=Projects!$C$16,77&lt;Projects!$C$16+Projects!$D$16),Projects!$B$16*INDEX(Curves!$B$4:$AO$4,1,77-Projects!$C$16+1),0)</f>
        <v>0</v>
      </c>
      <c r="CB7" s="8">
        <f>IF(AND(Projects!$G$2="Yes",78&gt;=Projects!$C$2,78&lt;Projects!$C$2+Projects!$D$2),Projects!$B$2*INDEX(Curves!$B$6:$AO$6,1,78-Projects!$C$2+1),0)+IF(AND(Projects!$G$3="Yes",78&gt;=Projects!$C$3,78&lt;Projects!$C$3+Projects!$D$3),Projects!$B$3*INDEX(Curves!$B$7:$AO$7,1,78-Projects!$C$3+1),0)+IF(AND(Projects!$G$4="Yes",78&gt;=Projects!$C$4,78&lt;Projects!$C$4+Projects!$D$4),Projects!$B$4*INDEX(Curves!$B$8:$AO$8,1,78-Projects!$C$4+1),0)+IF(AND(Projects!$G$5="Yes",78&gt;=Projects!$C$5,78&lt;Projects!$C$5+Projects!$D$5),Projects!$B$5*INDEX(Curves!$B$9:$AO$9,1,78-Projects!$C$5+1),0)+IF(AND(Projects!$G$6="Yes",78&gt;=Projects!$C$6,78&lt;Projects!$C$6+Projects!$D$6),Projects!$B$6*INDEX(Curves!$B$4:$AO$4,1,78-Projects!$C$6+1),0)+IF(AND(Projects!$G$7="Yes",78&gt;=Projects!$C$7,78&lt;Projects!$C$7+Projects!$D$7),Projects!$B$7*INDEX(Curves!$B$3:$AO$3,1,78-Projects!$C$7+1),0)+IF(AND(Projects!$G$8="Yes",78&gt;=Projects!$C$8,78&lt;Projects!$C$8+Projects!$D$8),Projects!$B$8*INDEX(Curves!$B$4:$AO$4,1,78-Projects!$C$8+1),0)+IF(AND(Projects!$G$9="Yes",78&gt;=Projects!$C$9,78&lt;Projects!$C$9+Projects!$D$9),Projects!$B$9*INDEX(Curves!$B$2:$AO$2,1,78-Projects!$C$9+1),0)+IF(AND(Projects!$G$10="Yes",78&gt;=Projects!$C$10,78&lt;Projects!$C$10+Projects!$D$10),Projects!$B$10*INDEX(Curves!$B$4:$AO$4,1,78-Projects!$C$10+1),0)+IF(AND(Projects!$G$11="Yes",78&gt;=Projects!$C$11,78&lt;Projects!$C$11+Projects!$D$11),Projects!$B$11*INDEX(Curves!$B$4:$AO$4,1,78-Projects!$C$11+1),0)+IF(AND(Projects!$G$12="Yes",78&gt;=Projects!$C$12,78&lt;Projects!$C$12+Projects!$D$12),Projects!$B$12*INDEX(Curves!$B$4:$AO$4,1,78-Projects!$C$12+1),0)+IF(AND(Projects!$G$13="Yes",78&gt;=Projects!$C$13,78&lt;Projects!$C$13+Projects!$D$13),Projects!$B$13*INDEX(Curves!$B$2:$AO$2,1,78-Projects!$C$13+1),0)+IF(AND(Projects!$G$14="Yes",78&gt;=Projects!$C$14,78&lt;Projects!$C$14+Projects!$D$14),Projects!$B$14*INDEX(Curves!$B$2:$AO$2,1,78-Projects!$C$14+1),0)+IF(AND(Projects!$G$15="Yes",78&gt;=Projects!$C$15,78&lt;Projects!$C$15+Projects!$D$15),Projects!$B$15*INDEX(Curves!$B$4:$AO$4,1,78-Projects!$C$15+1),0)+IF(AND(Projects!$G$16="Yes",78&gt;=Projects!$C$16,78&lt;Projects!$C$16+Projects!$D$16),Projects!$B$16*INDEX(Curves!$B$4:$AO$4,1,78-Projects!$C$16+1),0)</f>
        <v>0</v>
      </c>
      <c r="CC7" s="8">
        <f>IF(AND(Projects!$G$2="Yes",79&gt;=Projects!$C$2,79&lt;Projects!$C$2+Projects!$D$2),Projects!$B$2*INDEX(Curves!$B$6:$AO$6,1,79-Projects!$C$2+1),0)+IF(AND(Projects!$G$3="Yes",79&gt;=Projects!$C$3,79&lt;Projects!$C$3+Projects!$D$3),Projects!$B$3*INDEX(Curves!$B$7:$AO$7,1,79-Projects!$C$3+1),0)+IF(AND(Projects!$G$4="Yes",79&gt;=Projects!$C$4,79&lt;Projects!$C$4+Projects!$D$4),Projects!$B$4*INDEX(Curves!$B$8:$AO$8,1,79-Projects!$C$4+1),0)+IF(AND(Projects!$G$5="Yes",79&gt;=Projects!$C$5,79&lt;Projects!$C$5+Projects!$D$5),Projects!$B$5*INDEX(Curves!$B$9:$AO$9,1,79-Projects!$C$5+1),0)+IF(AND(Projects!$G$6="Yes",79&gt;=Projects!$C$6,79&lt;Projects!$C$6+Projects!$D$6),Projects!$B$6*INDEX(Curves!$B$4:$AO$4,1,79-Projects!$C$6+1),0)+IF(AND(Projects!$G$7="Yes",79&gt;=Projects!$C$7,79&lt;Projects!$C$7+Projects!$D$7),Projects!$B$7*INDEX(Curves!$B$3:$AO$3,1,79-Projects!$C$7+1),0)+IF(AND(Projects!$G$8="Yes",79&gt;=Projects!$C$8,79&lt;Projects!$C$8+Projects!$D$8),Projects!$B$8*INDEX(Curves!$B$4:$AO$4,1,79-Projects!$C$8+1),0)+IF(AND(Projects!$G$9="Yes",79&gt;=Projects!$C$9,79&lt;Projects!$C$9+Projects!$D$9),Projects!$B$9*INDEX(Curves!$B$2:$AO$2,1,79-Projects!$C$9+1),0)+IF(AND(Projects!$G$10="Yes",79&gt;=Projects!$C$10,79&lt;Projects!$C$10+Projects!$D$10),Projects!$B$10*INDEX(Curves!$B$4:$AO$4,1,79-Projects!$C$10+1),0)+IF(AND(Projects!$G$11="Yes",79&gt;=Projects!$C$11,79&lt;Projects!$C$11+Projects!$D$11),Projects!$B$11*INDEX(Curves!$B$4:$AO$4,1,79-Projects!$C$11+1),0)+IF(AND(Projects!$G$12="Yes",79&gt;=Projects!$C$12,79&lt;Projects!$C$12+Projects!$D$12),Projects!$B$12*INDEX(Curves!$B$4:$AO$4,1,79-Projects!$C$12+1),0)+IF(AND(Projects!$G$13="Yes",79&gt;=Projects!$C$13,79&lt;Projects!$C$13+Projects!$D$13),Projects!$B$13*INDEX(Curves!$B$2:$AO$2,1,79-Projects!$C$13+1),0)+IF(AND(Projects!$G$14="Yes",79&gt;=Projects!$C$14,79&lt;Projects!$C$14+Projects!$D$14),Projects!$B$14*INDEX(Curves!$B$2:$AO$2,1,79-Projects!$C$14+1),0)+IF(AND(Projects!$G$15="Yes",79&gt;=Projects!$C$15,79&lt;Projects!$C$15+Projects!$D$15),Projects!$B$15*INDEX(Curves!$B$4:$AO$4,1,79-Projects!$C$15+1),0)+IF(AND(Projects!$G$16="Yes",79&gt;=Projects!$C$16,79&lt;Projects!$C$16+Projects!$D$16),Projects!$B$16*INDEX(Curves!$B$4:$AO$4,1,79-Projects!$C$16+1),0)</f>
        <v>0</v>
      </c>
      <c r="CD7" s="8">
        <f>IF(AND(Projects!$G$2="Yes",80&gt;=Projects!$C$2,80&lt;Projects!$C$2+Projects!$D$2),Projects!$B$2*INDEX(Curves!$B$6:$AO$6,1,80-Projects!$C$2+1),0)+IF(AND(Projects!$G$3="Yes",80&gt;=Projects!$C$3,80&lt;Projects!$C$3+Projects!$D$3),Projects!$B$3*INDEX(Curves!$B$7:$AO$7,1,80-Projects!$C$3+1),0)+IF(AND(Projects!$G$4="Yes",80&gt;=Projects!$C$4,80&lt;Projects!$C$4+Projects!$D$4),Projects!$B$4*INDEX(Curves!$B$8:$AO$8,1,80-Projects!$C$4+1),0)+IF(AND(Projects!$G$5="Yes",80&gt;=Projects!$C$5,80&lt;Projects!$C$5+Projects!$D$5),Projects!$B$5*INDEX(Curves!$B$9:$AO$9,1,80-Projects!$C$5+1),0)+IF(AND(Projects!$G$6="Yes",80&gt;=Projects!$C$6,80&lt;Projects!$C$6+Projects!$D$6),Projects!$B$6*INDEX(Curves!$B$4:$AO$4,1,80-Projects!$C$6+1),0)+IF(AND(Projects!$G$7="Yes",80&gt;=Projects!$C$7,80&lt;Projects!$C$7+Projects!$D$7),Projects!$B$7*INDEX(Curves!$B$3:$AO$3,1,80-Projects!$C$7+1),0)+IF(AND(Projects!$G$8="Yes",80&gt;=Projects!$C$8,80&lt;Projects!$C$8+Projects!$D$8),Projects!$B$8*INDEX(Curves!$B$4:$AO$4,1,80-Projects!$C$8+1),0)+IF(AND(Projects!$G$9="Yes",80&gt;=Projects!$C$9,80&lt;Projects!$C$9+Projects!$D$9),Projects!$B$9*INDEX(Curves!$B$2:$AO$2,1,80-Projects!$C$9+1),0)+IF(AND(Projects!$G$10="Yes",80&gt;=Projects!$C$10,80&lt;Projects!$C$10+Projects!$D$10),Projects!$B$10*INDEX(Curves!$B$4:$AO$4,1,80-Projects!$C$10+1),0)+IF(AND(Projects!$G$11="Yes",80&gt;=Projects!$C$11,80&lt;Projects!$C$11+Projects!$D$11),Projects!$B$11*INDEX(Curves!$B$4:$AO$4,1,80-Projects!$C$11+1),0)+IF(AND(Projects!$G$12="Yes",80&gt;=Projects!$C$12,80&lt;Projects!$C$12+Projects!$D$12),Projects!$B$12*INDEX(Curves!$B$4:$AO$4,1,80-Projects!$C$12+1),0)+IF(AND(Projects!$G$13="Yes",80&gt;=Projects!$C$13,80&lt;Projects!$C$13+Projects!$D$13),Projects!$B$13*INDEX(Curves!$B$2:$AO$2,1,80-Projects!$C$13+1),0)+IF(AND(Projects!$G$14="Yes",80&gt;=Projects!$C$14,80&lt;Projects!$C$14+Projects!$D$14),Projects!$B$14*INDEX(Curves!$B$2:$AO$2,1,80-Projects!$C$14+1),0)+IF(AND(Projects!$G$15="Yes",80&gt;=Projects!$C$15,80&lt;Projects!$C$15+Projects!$D$15),Projects!$B$15*INDEX(Curves!$B$4:$AO$4,1,80-Projects!$C$15+1),0)+IF(AND(Projects!$G$16="Yes",80&gt;=Projects!$C$16,80&lt;Projects!$C$16+Projects!$D$16),Projects!$B$16*INDEX(Curves!$B$4:$AO$4,1,80-Projects!$C$16+1),0)</f>
        <v>0</v>
      </c>
      <c r="CE7" s="8">
        <f>IF(AND(Projects!$G$2="Yes",81&gt;=Projects!$C$2,81&lt;Projects!$C$2+Projects!$D$2),Projects!$B$2*INDEX(Curves!$B$6:$AO$6,1,81-Projects!$C$2+1),0)+IF(AND(Projects!$G$3="Yes",81&gt;=Projects!$C$3,81&lt;Projects!$C$3+Projects!$D$3),Projects!$B$3*INDEX(Curves!$B$7:$AO$7,1,81-Projects!$C$3+1),0)+IF(AND(Projects!$G$4="Yes",81&gt;=Projects!$C$4,81&lt;Projects!$C$4+Projects!$D$4),Projects!$B$4*INDEX(Curves!$B$8:$AO$8,1,81-Projects!$C$4+1),0)+IF(AND(Projects!$G$5="Yes",81&gt;=Projects!$C$5,81&lt;Projects!$C$5+Projects!$D$5),Projects!$B$5*INDEX(Curves!$B$9:$AO$9,1,81-Projects!$C$5+1),0)+IF(AND(Projects!$G$6="Yes",81&gt;=Projects!$C$6,81&lt;Projects!$C$6+Projects!$D$6),Projects!$B$6*INDEX(Curves!$B$4:$AO$4,1,81-Projects!$C$6+1),0)+IF(AND(Projects!$G$7="Yes",81&gt;=Projects!$C$7,81&lt;Projects!$C$7+Projects!$D$7),Projects!$B$7*INDEX(Curves!$B$3:$AO$3,1,81-Projects!$C$7+1),0)+IF(AND(Projects!$G$8="Yes",81&gt;=Projects!$C$8,81&lt;Projects!$C$8+Projects!$D$8),Projects!$B$8*INDEX(Curves!$B$4:$AO$4,1,81-Projects!$C$8+1),0)+IF(AND(Projects!$G$9="Yes",81&gt;=Projects!$C$9,81&lt;Projects!$C$9+Projects!$D$9),Projects!$B$9*INDEX(Curves!$B$2:$AO$2,1,81-Projects!$C$9+1),0)+IF(AND(Projects!$G$10="Yes",81&gt;=Projects!$C$10,81&lt;Projects!$C$10+Projects!$D$10),Projects!$B$10*INDEX(Curves!$B$4:$AO$4,1,81-Projects!$C$10+1),0)+IF(AND(Projects!$G$11="Yes",81&gt;=Projects!$C$11,81&lt;Projects!$C$11+Projects!$D$11),Projects!$B$11*INDEX(Curves!$B$4:$AO$4,1,81-Projects!$C$11+1),0)+IF(AND(Projects!$G$12="Yes",81&gt;=Projects!$C$12,81&lt;Projects!$C$12+Projects!$D$12),Projects!$B$12*INDEX(Curves!$B$4:$AO$4,1,81-Projects!$C$12+1),0)+IF(AND(Projects!$G$13="Yes",81&gt;=Projects!$C$13,81&lt;Projects!$C$13+Projects!$D$13),Projects!$B$13*INDEX(Curves!$B$2:$AO$2,1,81-Projects!$C$13+1),0)+IF(AND(Projects!$G$14="Yes",81&gt;=Projects!$C$14,81&lt;Projects!$C$14+Projects!$D$14),Projects!$B$14*INDEX(Curves!$B$2:$AO$2,1,81-Projects!$C$14+1),0)+IF(AND(Projects!$G$15="Yes",81&gt;=Projects!$C$15,81&lt;Projects!$C$15+Projects!$D$15),Projects!$B$15*INDEX(Curves!$B$4:$AO$4,1,81-Projects!$C$15+1),0)+IF(AND(Projects!$G$16="Yes",81&gt;=Projects!$C$16,81&lt;Projects!$C$16+Projects!$D$16),Projects!$B$16*INDEX(Curves!$B$4:$AO$4,1,81-Projects!$C$16+1),0)</f>
        <v>0</v>
      </c>
      <c r="CF7" s="8">
        <f>IF(AND(Projects!$G$2="Yes",82&gt;=Projects!$C$2,82&lt;Projects!$C$2+Projects!$D$2),Projects!$B$2*INDEX(Curves!$B$6:$AO$6,1,82-Projects!$C$2+1),0)+IF(AND(Projects!$G$3="Yes",82&gt;=Projects!$C$3,82&lt;Projects!$C$3+Projects!$D$3),Projects!$B$3*INDEX(Curves!$B$7:$AO$7,1,82-Projects!$C$3+1),0)+IF(AND(Projects!$G$4="Yes",82&gt;=Projects!$C$4,82&lt;Projects!$C$4+Projects!$D$4),Projects!$B$4*INDEX(Curves!$B$8:$AO$8,1,82-Projects!$C$4+1),0)+IF(AND(Projects!$G$5="Yes",82&gt;=Projects!$C$5,82&lt;Projects!$C$5+Projects!$D$5),Projects!$B$5*INDEX(Curves!$B$9:$AO$9,1,82-Projects!$C$5+1),0)+IF(AND(Projects!$G$6="Yes",82&gt;=Projects!$C$6,82&lt;Projects!$C$6+Projects!$D$6),Projects!$B$6*INDEX(Curves!$B$4:$AO$4,1,82-Projects!$C$6+1),0)+IF(AND(Projects!$G$7="Yes",82&gt;=Projects!$C$7,82&lt;Projects!$C$7+Projects!$D$7),Projects!$B$7*INDEX(Curves!$B$3:$AO$3,1,82-Projects!$C$7+1),0)+IF(AND(Projects!$G$8="Yes",82&gt;=Projects!$C$8,82&lt;Projects!$C$8+Projects!$D$8),Projects!$B$8*INDEX(Curves!$B$4:$AO$4,1,82-Projects!$C$8+1),0)+IF(AND(Projects!$G$9="Yes",82&gt;=Projects!$C$9,82&lt;Projects!$C$9+Projects!$D$9),Projects!$B$9*INDEX(Curves!$B$2:$AO$2,1,82-Projects!$C$9+1),0)+IF(AND(Projects!$G$10="Yes",82&gt;=Projects!$C$10,82&lt;Projects!$C$10+Projects!$D$10),Projects!$B$10*INDEX(Curves!$B$4:$AO$4,1,82-Projects!$C$10+1),0)+IF(AND(Projects!$G$11="Yes",82&gt;=Projects!$C$11,82&lt;Projects!$C$11+Projects!$D$11),Projects!$B$11*INDEX(Curves!$B$4:$AO$4,1,82-Projects!$C$11+1),0)+IF(AND(Projects!$G$12="Yes",82&gt;=Projects!$C$12,82&lt;Projects!$C$12+Projects!$D$12),Projects!$B$12*INDEX(Curves!$B$4:$AO$4,1,82-Projects!$C$12+1),0)+IF(AND(Projects!$G$13="Yes",82&gt;=Projects!$C$13,82&lt;Projects!$C$13+Projects!$D$13),Projects!$B$13*INDEX(Curves!$B$2:$AO$2,1,82-Projects!$C$13+1),0)+IF(AND(Projects!$G$14="Yes",82&gt;=Projects!$C$14,82&lt;Projects!$C$14+Projects!$D$14),Projects!$B$14*INDEX(Curves!$B$2:$AO$2,1,82-Projects!$C$14+1),0)+IF(AND(Projects!$G$15="Yes",82&gt;=Projects!$C$15,82&lt;Projects!$C$15+Projects!$D$15),Projects!$B$15*INDEX(Curves!$B$4:$AO$4,1,82-Projects!$C$15+1),0)+IF(AND(Projects!$G$16="Yes",82&gt;=Projects!$C$16,82&lt;Projects!$C$16+Projects!$D$16),Projects!$B$16*INDEX(Curves!$B$4:$AO$4,1,82-Projects!$C$16+1),0)</f>
        <v>0</v>
      </c>
      <c r="CG7" s="8">
        <f>IF(AND(Projects!$G$2="Yes",83&gt;=Projects!$C$2,83&lt;Projects!$C$2+Projects!$D$2),Projects!$B$2*INDEX(Curves!$B$6:$AO$6,1,83-Projects!$C$2+1),0)+IF(AND(Projects!$G$3="Yes",83&gt;=Projects!$C$3,83&lt;Projects!$C$3+Projects!$D$3),Projects!$B$3*INDEX(Curves!$B$7:$AO$7,1,83-Projects!$C$3+1),0)+IF(AND(Projects!$G$4="Yes",83&gt;=Projects!$C$4,83&lt;Projects!$C$4+Projects!$D$4),Projects!$B$4*INDEX(Curves!$B$8:$AO$8,1,83-Projects!$C$4+1),0)+IF(AND(Projects!$G$5="Yes",83&gt;=Projects!$C$5,83&lt;Projects!$C$5+Projects!$D$5),Projects!$B$5*INDEX(Curves!$B$9:$AO$9,1,83-Projects!$C$5+1),0)+IF(AND(Projects!$G$6="Yes",83&gt;=Projects!$C$6,83&lt;Projects!$C$6+Projects!$D$6),Projects!$B$6*INDEX(Curves!$B$4:$AO$4,1,83-Projects!$C$6+1),0)+IF(AND(Projects!$G$7="Yes",83&gt;=Projects!$C$7,83&lt;Projects!$C$7+Projects!$D$7),Projects!$B$7*INDEX(Curves!$B$3:$AO$3,1,83-Projects!$C$7+1),0)+IF(AND(Projects!$G$8="Yes",83&gt;=Projects!$C$8,83&lt;Projects!$C$8+Projects!$D$8),Projects!$B$8*INDEX(Curves!$B$4:$AO$4,1,83-Projects!$C$8+1),0)+IF(AND(Projects!$G$9="Yes",83&gt;=Projects!$C$9,83&lt;Projects!$C$9+Projects!$D$9),Projects!$B$9*INDEX(Curves!$B$2:$AO$2,1,83-Projects!$C$9+1),0)+IF(AND(Projects!$G$10="Yes",83&gt;=Projects!$C$10,83&lt;Projects!$C$10+Projects!$D$10),Projects!$B$10*INDEX(Curves!$B$4:$AO$4,1,83-Projects!$C$10+1),0)+IF(AND(Projects!$G$11="Yes",83&gt;=Projects!$C$11,83&lt;Projects!$C$11+Projects!$D$11),Projects!$B$11*INDEX(Curves!$B$4:$AO$4,1,83-Projects!$C$11+1),0)+IF(AND(Projects!$G$12="Yes",83&gt;=Projects!$C$12,83&lt;Projects!$C$12+Projects!$D$12),Projects!$B$12*INDEX(Curves!$B$4:$AO$4,1,83-Projects!$C$12+1),0)+IF(AND(Projects!$G$13="Yes",83&gt;=Projects!$C$13,83&lt;Projects!$C$13+Projects!$D$13),Projects!$B$13*INDEX(Curves!$B$2:$AO$2,1,83-Projects!$C$13+1),0)+IF(AND(Projects!$G$14="Yes",83&gt;=Projects!$C$14,83&lt;Projects!$C$14+Projects!$D$14),Projects!$B$14*INDEX(Curves!$B$2:$AO$2,1,83-Projects!$C$14+1),0)+IF(AND(Projects!$G$15="Yes",83&gt;=Projects!$C$15,83&lt;Projects!$C$15+Projects!$D$15),Projects!$B$15*INDEX(Curves!$B$4:$AO$4,1,83-Projects!$C$15+1),0)+IF(AND(Projects!$G$16="Yes",83&gt;=Projects!$C$16,83&lt;Projects!$C$16+Projects!$D$16),Projects!$B$16*INDEX(Curves!$B$4:$AO$4,1,83-Projects!$C$16+1),0)</f>
        <v>0</v>
      </c>
      <c r="CH7" s="8">
        <f>IF(AND(Projects!$G$2="Yes",84&gt;=Projects!$C$2,84&lt;Projects!$C$2+Projects!$D$2),Projects!$B$2*INDEX(Curves!$B$6:$AO$6,1,84-Projects!$C$2+1),0)+IF(AND(Projects!$G$3="Yes",84&gt;=Projects!$C$3,84&lt;Projects!$C$3+Projects!$D$3),Projects!$B$3*INDEX(Curves!$B$7:$AO$7,1,84-Projects!$C$3+1),0)+IF(AND(Projects!$G$4="Yes",84&gt;=Projects!$C$4,84&lt;Projects!$C$4+Projects!$D$4),Projects!$B$4*INDEX(Curves!$B$8:$AO$8,1,84-Projects!$C$4+1),0)+IF(AND(Projects!$G$5="Yes",84&gt;=Projects!$C$5,84&lt;Projects!$C$5+Projects!$D$5),Projects!$B$5*INDEX(Curves!$B$9:$AO$9,1,84-Projects!$C$5+1),0)+IF(AND(Projects!$G$6="Yes",84&gt;=Projects!$C$6,84&lt;Projects!$C$6+Projects!$D$6),Projects!$B$6*INDEX(Curves!$B$4:$AO$4,1,84-Projects!$C$6+1),0)+IF(AND(Projects!$G$7="Yes",84&gt;=Projects!$C$7,84&lt;Projects!$C$7+Projects!$D$7),Projects!$B$7*INDEX(Curves!$B$3:$AO$3,1,84-Projects!$C$7+1),0)+IF(AND(Projects!$G$8="Yes",84&gt;=Projects!$C$8,84&lt;Projects!$C$8+Projects!$D$8),Projects!$B$8*INDEX(Curves!$B$4:$AO$4,1,84-Projects!$C$8+1),0)+IF(AND(Projects!$G$9="Yes",84&gt;=Projects!$C$9,84&lt;Projects!$C$9+Projects!$D$9),Projects!$B$9*INDEX(Curves!$B$2:$AO$2,1,84-Projects!$C$9+1),0)+IF(AND(Projects!$G$10="Yes",84&gt;=Projects!$C$10,84&lt;Projects!$C$10+Projects!$D$10),Projects!$B$10*INDEX(Curves!$B$4:$AO$4,1,84-Projects!$C$10+1),0)+IF(AND(Projects!$G$11="Yes",84&gt;=Projects!$C$11,84&lt;Projects!$C$11+Projects!$D$11),Projects!$B$11*INDEX(Curves!$B$4:$AO$4,1,84-Projects!$C$11+1),0)+IF(AND(Projects!$G$12="Yes",84&gt;=Projects!$C$12,84&lt;Projects!$C$12+Projects!$D$12),Projects!$B$12*INDEX(Curves!$B$4:$AO$4,1,84-Projects!$C$12+1),0)+IF(AND(Projects!$G$13="Yes",84&gt;=Projects!$C$13,84&lt;Projects!$C$13+Projects!$D$13),Projects!$B$13*INDEX(Curves!$B$2:$AO$2,1,84-Projects!$C$13+1),0)+IF(AND(Projects!$G$14="Yes",84&gt;=Projects!$C$14,84&lt;Projects!$C$14+Projects!$D$14),Projects!$B$14*INDEX(Curves!$B$2:$AO$2,1,84-Projects!$C$14+1),0)+IF(AND(Projects!$G$15="Yes",84&gt;=Projects!$C$15,84&lt;Projects!$C$15+Projects!$D$15),Projects!$B$15*INDEX(Curves!$B$4:$AO$4,1,84-Projects!$C$15+1),0)+IF(AND(Projects!$G$16="Yes",84&gt;=Projects!$C$16,84&lt;Projects!$C$16+Projects!$D$16),Projects!$B$16*INDEX(Curves!$B$4:$AO$4,1,84-Projects!$C$16+1),0)</f>
        <v>0</v>
      </c>
      <c r="CI7" s="23"/>
    </row>
    <row r="8" spans="1:87" ht="15" customHeight="1" x14ac:dyDescent="0.25">
      <c r="A8" s="7" t="s">
        <v>124</v>
      </c>
      <c r="B8" s="22"/>
      <c r="C8" s="8">
        <f>IF(AND(Projects!$G$2="Yes",1&gt;=Projects!$C$2,1&lt;Projects!$C$2+Projects!$D$2),IF(1=Projects!$C$2+Projects!$D$2-1,194932/Projects!$D$2*0.95+0.05*194932,194932/Projects!$D$2*0.95),0)+IF(AND(Projects!$G$3="Yes",1&gt;=Projects!$C$3,1&lt;Projects!$C$3+Projects!$D$3),IF(1=Projects!$C$3+Projects!$D$3-1,888067/Projects!$D$3*0.95+0.05*888067,888067/Projects!$D$3*0.95),0)+IF(AND(Projects!$G$4="Yes",1&gt;=Projects!$C$4,1&lt;Projects!$C$4+Projects!$D$4),IF(1=Projects!$C$4+Projects!$D$4-1,Projects!$B$4*Assumptions!$B$10/Projects!$D$4*0.95+0.05*Projects!$B$4*Assumptions!$B$10,Projects!$B$4*Assumptions!$B$10/Projects!$D$4*0.95),0)+IF(AND(Projects!$G$5="Yes",1&gt;=Projects!$C$5,1&lt;Projects!$C$5+Projects!$D$5),IF(1=Projects!$C$5+Projects!$D$5-1,Projects!$B$5*Assumptions!$B$10/Projects!$D$5*0.95+0.05*Projects!$B$5*Assumptions!$B$10,Projects!$B$5*Assumptions!$B$10/Projects!$D$5*0.95),0)+IF(AND(Projects!$G$6="Yes",1&gt;=Projects!$C$6,1&lt;Projects!$C$6+Projects!$D$6),IF(1=Projects!$C$6+Projects!$D$6-1,245000/Projects!$D$6*0.95+0.05*245000,245000/Projects!$D$6*0.95),0)+IF(AND(Projects!$G$7="Yes",1&gt;=Projects!$C$7,1&lt;Projects!$C$7+Projects!$D$7),IF(1=Projects!$C$7+Projects!$D$7-1,Projects!$B$7*Assumptions!$B$10/Projects!$D$7*0.95+0.05*Projects!$B$7*Assumptions!$B$10,Projects!$B$7*Assumptions!$B$10/Projects!$D$7*0.95),0)+IF(AND(Projects!$G$8="Yes",1&gt;=Projects!$C$8,1&lt;Projects!$C$8+Projects!$D$8),IF(1=Projects!$C$8+Projects!$D$8-1,Projects!$B$8*Assumptions!$B$10/Projects!$D$8*0.95+0.05*Projects!$B$8*Assumptions!$B$10,Projects!$B$8*Assumptions!$B$10/Projects!$D$8*0.95),0)+IF(AND(Projects!$G$9="Yes",1&gt;=Projects!$C$9,1&lt;Projects!$C$9+Projects!$D$9),IF(1=Projects!$C$9+Projects!$D$9-1,Projects!$B$9*Assumptions!$B$10/Projects!$D$9*0.95+0.05*Projects!$B$9*Assumptions!$B$10,Projects!$B$9*Assumptions!$B$10/Projects!$D$9*0.95),0)+IF(AND(Projects!$G$10="Yes",1&gt;=Projects!$C$10,1&lt;Projects!$C$10+Projects!$D$10),IF(1=Projects!$C$10+Projects!$D$10-1,Projects!$B$10*Assumptions!$B$10/Projects!$D$10*0.95+0.05*Projects!$B$10*Assumptions!$B$10,Projects!$B$10*Assumptions!$B$10/Projects!$D$10*0.95),0)+IF(AND(Projects!$G$11="Yes",1&gt;=Projects!$C$11,1&lt;Projects!$C$11+Projects!$D$11),IF(1=Projects!$C$11+Projects!$D$11-1,Projects!$B$11*Assumptions!$B$10/Projects!$D$11*0.95+0.05*Projects!$B$11*Assumptions!$B$10,Projects!$B$11*Assumptions!$B$10/Projects!$D$11*0.95),0)+IF(AND(Projects!$G$12="Yes",1&gt;=Projects!$C$12,1&lt;Projects!$C$12+Projects!$D$12),IF(1=Projects!$C$12+Projects!$D$12-1,Projects!$B$12*Assumptions!$B$10/Projects!$D$12*0.95+0.05*Projects!$B$12*Assumptions!$B$10,Projects!$B$12*Assumptions!$B$10/Projects!$D$12*0.95),0)+IF(AND(Projects!$G$13="Yes",1&gt;=Projects!$C$13,1&lt;Projects!$C$13+Projects!$D$13),IF(1=Projects!$C$13+Projects!$D$13-1,Projects!$B$13*Assumptions!$B$10/Projects!$D$13*0.95+0.05*Projects!$B$13*Assumptions!$B$10,Projects!$B$13*Assumptions!$B$10/Projects!$D$13*0.95),0)+IF(AND(Projects!$G$14="Yes",1&gt;=Projects!$C$14,1&lt;Projects!$C$14+Projects!$D$14),IF(1=Projects!$C$14+Projects!$D$14-1,Projects!$B$14*Assumptions!$B$10/Projects!$D$14*0.95+0.05*Projects!$B$14*Assumptions!$B$10,Projects!$B$14*Assumptions!$B$10/Projects!$D$14*0.95),0)+IF(AND(Projects!$G$15="Yes",1&gt;=Projects!$C$15,1&lt;Projects!$C$15+Projects!$D$15),IF(1=Projects!$C$15+Projects!$D$15-1,Projects!$B$15*Assumptions!$B$10/Projects!$D$15*0.95+0.05*Projects!$B$15*Assumptions!$B$10,Projects!$B$15*Assumptions!$B$10/Projects!$D$15*0.95),0)+IF(AND(Projects!$G$16="Yes",1&gt;=Projects!$C$16,1&lt;Projects!$C$16+Projects!$D$16),IF(1=Projects!$C$16+Projects!$D$16-1,Projects!$B$16*Assumptions!$B$10/Projects!$D$16*0.95+0.05*Projects!$B$16*Assumptions!$B$10,Projects!$B$16*Assumptions!$B$10/Projects!$D$16*0.95),0)</f>
        <v>169425.45117694803</v>
      </c>
      <c r="D8" s="8">
        <f>IF(AND(Projects!$G$2="Yes",2&gt;=Projects!$C$2,2&lt;Projects!$C$2+Projects!$D$2),IF(2=Projects!$C$2+Projects!$D$2-1,194932/Projects!$D$2*0.95+0.05*194932,194932/Projects!$D$2*0.95),0)+IF(AND(Projects!$G$3="Yes",2&gt;=Projects!$C$3,2&lt;Projects!$C$3+Projects!$D$3),IF(2=Projects!$C$3+Projects!$D$3-1,888067/Projects!$D$3*0.95+0.05*888067,888067/Projects!$D$3*0.95),0)+IF(AND(Projects!$G$4="Yes",2&gt;=Projects!$C$4,2&lt;Projects!$C$4+Projects!$D$4),IF(2=Projects!$C$4+Projects!$D$4-1,Projects!$B$4*Assumptions!$B$10/Projects!$D$4*0.95+0.05*Projects!$B$4*Assumptions!$B$10,Projects!$B$4*Assumptions!$B$10/Projects!$D$4*0.95),0)+IF(AND(Projects!$G$5="Yes",2&gt;=Projects!$C$5,2&lt;Projects!$C$5+Projects!$D$5),IF(2=Projects!$C$5+Projects!$D$5-1,Projects!$B$5*Assumptions!$B$10/Projects!$D$5*0.95+0.05*Projects!$B$5*Assumptions!$B$10,Projects!$B$5*Assumptions!$B$10/Projects!$D$5*0.95),0)+IF(AND(Projects!$G$6="Yes",2&gt;=Projects!$C$6,2&lt;Projects!$C$6+Projects!$D$6),IF(2=Projects!$C$6+Projects!$D$6-1,245000/Projects!$D$6*0.95+0.05*245000,245000/Projects!$D$6*0.95),0)+IF(AND(Projects!$G$7="Yes",2&gt;=Projects!$C$7,2&lt;Projects!$C$7+Projects!$D$7),IF(2=Projects!$C$7+Projects!$D$7-1,Projects!$B$7*Assumptions!$B$10/Projects!$D$7*0.95+0.05*Projects!$B$7*Assumptions!$B$10,Projects!$B$7*Assumptions!$B$10/Projects!$D$7*0.95),0)+IF(AND(Projects!$G$8="Yes",2&gt;=Projects!$C$8,2&lt;Projects!$C$8+Projects!$D$8),IF(2=Projects!$C$8+Projects!$D$8-1,Projects!$B$8*Assumptions!$B$10/Projects!$D$8*0.95+0.05*Projects!$B$8*Assumptions!$B$10,Projects!$B$8*Assumptions!$B$10/Projects!$D$8*0.95),0)+IF(AND(Projects!$G$9="Yes",2&gt;=Projects!$C$9,2&lt;Projects!$C$9+Projects!$D$9),IF(2=Projects!$C$9+Projects!$D$9-1,Projects!$B$9*Assumptions!$B$10/Projects!$D$9*0.95+0.05*Projects!$B$9*Assumptions!$B$10,Projects!$B$9*Assumptions!$B$10/Projects!$D$9*0.95),0)+IF(AND(Projects!$G$10="Yes",2&gt;=Projects!$C$10,2&lt;Projects!$C$10+Projects!$D$10),IF(2=Projects!$C$10+Projects!$D$10-1,Projects!$B$10*Assumptions!$B$10/Projects!$D$10*0.95+0.05*Projects!$B$10*Assumptions!$B$10,Projects!$B$10*Assumptions!$B$10/Projects!$D$10*0.95),0)+IF(AND(Projects!$G$11="Yes",2&gt;=Projects!$C$11,2&lt;Projects!$C$11+Projects!$D$11),IF(2=Projects!$C$11+Projects!$D$11-1,Projects!$B$11*Assumptions!$B$10/Projects!$D$11*0.95+0.05*Projects!$B$11*Assumptions!$B$10,Projects!$B$11*Assumptions!$B$10/Projects!$D$11*0.95),0)+IF(AND(Projects!$G$12="Yes",2&gt;=Projects!$C$12,2&lt;Projects!$C$12+Projects!$D$12),IF(2=Projects!$C$12+Projects!$D$12-1,Projects!$B$12*Assumptions!$B$10/Projects!$D$12*0.95+0.05*Projects!$B$12*Assumptions!$B$10,Projects!$B$12*Assumptions!$B$10/Projects!$D$12*0.95),0)+IF(AND(Projects!$G$13="Yes",2&gt;=Projects!$C$13,2&lt;Projects!$C$13+Projects!$D$13),IF(2=Projects!$C$13+Projects!$D$13-1,Projects!$B$13*Assumptions!$B$10/Projects!$D$13*0.95+0.05*Projects!$B$13*Assumptions!$B$10,Projects!$B$13*Assumptions!$B$10/Projects!$D$13*0.95),0)+IF(AND(Projects!$G$14="Yes",2&gt;=Projects!$C$14,2&lt;Projects!$C$14+Projects!$D$14),IF(2=Projects!$C$14+Projects!$D$14-1,Projects!$B$14*Assumptions!$B$10/Projects!$D$14*0.95+0.05*Projects!$B$14*Assumptions!$B$10,Projects!$B$14*Assumptions!$B$10/Projects!$D$14*0.95),0)+IF(AND(Projects!$G$15="Yes",2&gt;=Projects!$C$15,2&lt;Projects!$C$15+Projects!$D$15),IF(2=Projects!$C$15+Projects!$D$15-1,Projects!$B$15*Assumptions!$B$10/Projects!$D$15*0.95+0.05*Projects!$B$15*Assumptions!$B$10,Projects!$B$15*Assumptions!$B$10/Projects!$D$15*0.95),0)+IF(AND(Projects!$G$16="Yes",2&gt;=Projects!$C$16,2&lt;Projects!$C$16+Projects!$D$16),IF(2=Projects!$C$16+Projects!$D$16-1,Projects!$B$16*Assumptions!$B$10/Projects!$D$16*0.95+0.05*Projects!$B$16*Assumptions!$B$10,Projects!$B$16*Assumptions!$B$10/Projects!$D$16*0.95),0)</f>
        <v>169425.45117694803</v>
      </c>
      <c r="E8" s="8">
        <f>IF(AND(Projects!$G$2="Yes",3&gt;=Projects!$C$2,3&lt;Projects!$C$2+Projects!$D$2),IF(3=Projects!$C$2+Projects!$D$2-1,194932/Projects!$D$2*0.95+0.05*194932,194932/Projects!$D$2*0.95),0)+IF(AND(Projects!$G$3="Yes",3&gt;=Projects!$C$3,3&lt;Projects!$C$3+Projects!$D$3),IF(3=Projects!$C$3+Projects!$D$3-1,888067/Projects!$D$3*0.95+0.05*888067,888067/Projects!$D$3*0.95),0)+IF(AND(Projects!$G$4="Yes",3&gt;=Projects!$C$4,3&lt;Projects!$C$4+Projects!$D$4),IF(3=Projects!$C$4+Projects!$D$4-1,Projects!$B$4*Assumptions!$B$10/Projects!$D$4*0.95+0.05*Projects!$B$4*Assumptions!$B$10,Projects!$B$4*Assumptions!$B$10/Projects!$D$4*0.95),0)+IF(AND(Projects!$G$5="Yes",3&gt;=Projects!$C$5,3&lt;Projects!$C$5+Projects!$D$5),IF(3=Projects!$C$5+Projects!$D$5-1,Projects!$B$5*Assumptions!$B$10/Projects!$D$5*0.95+0.05*Projects!$B$5*Assumptions!$B$10,Projects!$B$5*Assumptions!$B$10/Projects!$D$5*0.95),0)+IF(AND(Projects!$G$6="Yes",3&gt;=Projects!$C$6,3&lt;Projects!$C$6+Projects!$D$6),IF(3=Projects!$C$6+Projects!$D$6-1,245000/Projects!$D$6*0.95+0.05*245000,245000/Projects!$D$6*0.95),0)+IF(AND(Projects!$G$7="Yes",3&gt;=Projects!$C$7,3&lt;Projects!$C$7+Projects!$D$7),IF(3=Projects!$C$7+Projects!$D$7-1,Projects!$B$7*Assumptions!$B$10/Projects!$D$7*0.95+0.05*Projects!$B$7*Assumptions!$B$10,Projects!$B$7*Assumptions!$B$10/Projects!$D$7*0.95),0)+IF(AND(Projects!$G$8="Yes",3&gt;=Projects!$C$8,3&lt;Projects!$C$8+Projects!$D$8),IF(3=Projects!$C$8+Projects!$D$8-1,Projects!$B$8*Assumptions!$B$10/Projects!$D$8*0.95+0.05*Projects!$B$8*Assumptions!$B$10,Projects!$B$8*Assumptions!$B$10/Projects!$D$8*0.95),0)+IF(AND(Projects!$G$9="Yes",3&gt;=Projects!$C$9,3&lt;Projects!$C$9+Projects!$D$9),IF(3=Projects!$C$9+Projects!$D$9-1,Projects!$B$9*Assumptions!$B$10/Projects!$D$9*0.95+0.05*Projects!$B$9*Assumptions!$B$10,Projects!$B$9*Assumptions!$B$10/Projects!$D$9*0.95),0)+IF(AND(Projects!$G$10="Yes",3&gt;=Projects!$C$10,3&lt;Projects!$C$10+Projects!$D$10),IF(3=Projects!$C$10+Projects!$D$10-1,Projects!$B$10*Assumptions!$B$10/Projects!$D$10*0.95+0.05*Projects!$B$10*Assumptions!$B$10,Projects!$B$10*Assumptions!$B$10/Projects!$D$10*0.95),0)+IF(AND(Projects!$G$11="Yes",3&gt;=Projects!$C$11,3&lt;Projects!$C$11+Projects!$D$11),IF(3=Projects!$C$11+Projects!$D$11-1,Projects!$B$11*Assumptions!$B$10/Projects!$D$11*0.95+0.05*Projects!$B$11*Assumptions!$B$10,Projects!$B$11*Assumptions!$B$10/Projects!$D$11*0.95),0)+IF(AND(Projects!$G$12="Yes",3&gt;=Projects!$C$12,3&lt;Projects!$C$12+Projects!$D$12),IF(3=Projects!$C$12+Projects!$D$12-1,Projects!$B$12*Assumptions!$B$10/Projects!$D$12*0.95+0.05*Projects!$B$12*Assumptions!$B$10,Projects!$B$12*Assumptions!$B$10/Projects!$D$12*0.95),0)+IF(AND(Projects!$G$13="Yes",3&gt;=Projects!$C$13,3&lt;Projects!$C$13+Projects!$D$13),IF(3=Projects!$C$13+Projects!$D$13-1,Projects!$B$13*Assumptions!$B$10/Projects!$D$13*0.95+0.05*Projects!$B$13*Assumptions!$B$10,Projects!$B$13*Assumptions!$B$10/Projects!$D$13*0.95),0)+IF(AND(Projects!$G$14="Yes",3&gt;=Projects!$C$14,3&lt;Projects!$C$14+Projects!$D$14),IF(3=Projects!$C$14+Projects!$D$14-1,Projects!$B$14*Assumptions!$B$10/Projects!$D$14*0.95+0.05*Projects!$B$14*Assumptions!$B$10,Projects!$B$14*Assumptions!$B$10/Projects!$D$14*0.95),0)+IF(AND(Projects!$G$15="Yes",3&gt;=Projects!$C$15,3&lt;Projects!$C$15+Projects!$D$15),IF(3=Projects!$C$15+Projects!$D$15-1,Projects!$B$15*Assumptions!$B$10/Projects!$D$15*0.95+0.05*Projects!$B$15*Assumptions!$B$10,Projects!$B$15*Assumptions!$B$10/Projects!$D$15*0.95),0)+IF(AND(Projects!$G$16="Yes",3&gt;=Projects!$C$16,3&lt;Projects!$C$16+Projects!$D$16),IF(3=Projects!$C$16+Projects!$D$16-1,Projects!$B$16*Assumptions!$B$10/Projects!$D$16*0.95+0.05*Projects!$B$16*Assumptions!$B$10,Projects!$B$16*Assumptions!$B$10/Projects!$D$16*0.95),0)</f>
        <v>169425.45117694803</v>
      </c>
      <c r="F8" s="8">
        <f>IF(AND(Projects!$G$2="Yes",4&gt;=Projects!$C$2,4&lt;Projects!$C$2+Projects!$D$2),IF(4=Projects!$C$2+Projects!$D$2-1,194932/Projects!$D$2*0.95+0.05*194932,194932/Projects!$D$2*0.95),0)+IF(AND(Projects!$G$3="Yes",4&gt;=Projects!$C$3,4&lt;Projects!$C$3+Projects!$D$3),IF(4=Projects!$C$3+Projects!$D$3-1,888067/Projects!$D$3*0.95+0.05*888067,888067/Projects!$D$3*0.95),0)+IF(AND(Projects!$G$4="Yes",4&gt;=Projects!$C$4,4&lt;Projects!$C$4+Projects!$D$4),IF(4=Projects!$C$4+Projects!$D$4-1,Projects!$B$4*Assumptions!$B$10/Projects!$D$4*0.95+0.05*Projects!$B$4*Assumptions!$B$10,Projects!$B$4*Assumptions!$B$10/Projects!$D$4*0.95),0)+IF(AND(Projects!$G$5="Yes",4&gt;=Projects!$C$5,4&lt;Projects!$C$5+Projects!$D$5),IF(4=Projects!$C$5+Projects!$D$5-1,Projects!$B$5*Assumptions!$B$10/Projects!$D$5*0.95+0.05*Projects!$B$5*Assumptions!$B$10,Projects!$B$5*Assumptions!$B$10/Projects!$D$5*0.95),0)+IF(AND(Projects!$G$6="Yes",4&gt;=Projects!$C$6,4&lt;Projects!$C$6+Projects!$D$6),IF(4=Projects!$C$6+Projects!$D$6-1,245000/Projects!$D$6*0.95+0.05*245000,245000/Projects!$D$6*0.95),0)+IF(AND(Projects!$G$7="Yes",4&gt;=Projects!$C$7,4&lt;Projects!$C$7+Projects!$D$7),IF(4=Projects!$C$7+Projects!$D$7-1,Projects!$B$7*Assumptions!$B$10/Projects!$D$7*0.95+0.05*Projects!$B$7*Assumptions!$B$10,Projects!$B$7*Assumptions!$B$10/Projects!$D$7*0.95),0)+IF(AND(Projects!$G$8="Yes",4&gt;=Projects!$C$8,4&lt;Projects!$C$8+Projects!$D$8),IF(4=Projects!$C$8+Projects!$D$8-1,Projects!$B$8*Assumptions!$B$10/Projects!$D$8*0.95+0.05*Projects!$B$8*Assumptions!$B$10,Projects!$B$8*Assumptions!$B$10/Projects!$D$8*0.95),0)+IF(AND(Projects!$G$9="Yes",4&gt;=Projects!$C$9,4&lt;Projects!$C$9+Projects!$D$9),IF(4=Projects!$C$9+Projects!$D$9-1,Projects!$B$9*Assumptions!$B$10/Projects!$D$9*0.95+0.05*Projects!$B$9*Assumptions!$B$10,Projects!$B$9*Assumptions!$B$10/Projects!$D$9*0.95),0)+IF(AND(Projects!$G$10="Yes",4&gt;=Projects!$C$10,4&lt;Projects!$C$10+Projects!$D$10),IF(4=Projects!$C$10+Projects!$D$10-1,Projects!$B$10*Assumptions!$B$10/Projects!$D$10*0.95+0.05*Projects!$B$10*Assumptions!$B$10,Projects!$B$10*Assumptions!$B$10/Projects!$D$10*0.95),0)+IF(AND(Projects!$G$11="Yes",4&gt;=Projects!$C$11,4&lt;Projects!$C$11+Projects!$D$11),IF(4=Projects!$C$11+Projects!$D$11-1,Projects!$B$11*Assumptions!$B$10/Projects!$D$11*0.95+0.05*Projects!$B$11*Assumptions!$B$10,Projects!$B$11*Assumptions!$B$10/Projects!$D$11*0.95),0)+IF(AND(Projects!$G$12="Yes",4&gt;=Projects!$C$12,4&lt;Projects!$C$12+Projects!$D$12),IF(4=Projects!$C$12+Projects!$D$12-1,Projects!$B$12*Assumptions!$B$10/Projects!$D$12*0.95+0.05*Projects!$B$12*Assumptions!$B$10,Projects!$B$12*Assumptions!$B$10/Projects!$D$12*0.95),0)+IF(AND(Projects!$G$13="Yes",4&gt;=Projects!$C$13,4&lt;Projects!$C$13+Projects!$D$13),IF(4=Projects!$C$13+Projects!$D$13-1,Projects!$B$13*Assumptions!$B$10/Projects!$D$13*0.95+0.05*Projects!$B$13*Assumptions!$B$10,Projects!$B$13*Assumptions!$B$10/Projects!$D$13*0.95),0)+IF(AND(Projects!$G$14="Yes",4&gt;=Projects!$C$14,4&lt;Projects!$C$14+Projects!$D$14),IF(4=Projects!$C$14+Projects!$D$14-1,Projects!$B$14*Assumptions!$B$10/Projects!$D$14*0.95+0.05*Projects!$B$14*Assumptions!$B$10,Projects!$B$14*Assumptions!$B$10/Projects!$D$14*0.95),0)+IF(AND(Projects!$G$15="Yes",4&gt;=Projects!$C$15,4&lt;Projects!$C$15+Projects!$D$15),IF(4=Projects!$C$15+Projects!$D$15-1,Projects!$B$15*Assumptions!$B$10/Projects!$D$15*0.95+0.05*Projects!$B$15*Assumptions!$B$10,Projects!$B$15*Assumptions!$B$10/Projects!$D$15*0.95),0)+IF(AND(Projects!$G$16="Yes",4&gt;=Projects!$C$16,4&lt;Projects!$C$16+Projects!$D$16),IF(4=Projects!$C$16+Projects!$D$16-1,Projects!$B$16*Assumptions!$B$10/Projects!$D$16*0.95+0.05*Projects!$B$16*Assumptions!$B$10,Projects!$B$16*Assumptions!$B$10/Projects!$D$16*0.95),0)</f>
        <v>235691.72650162334</v>
      </c>
      <c r="G8" s="8">
        <f>IF(AND(Projects!$G$2="Yes",5&gt;=Projects!$C$2,5&lt;Projects!$C$2+Projects!$D$2),IF(5=Projects!$C$2+Projects!$D$2-1,194932/Projects!$D$2*0.95+0.05*194932,194932/Projects!$D$2*0.95),0)+IF(AND(Projects!$G$3="Yes",5&gt;=Projects!$C$3,5&lt;Projects!$C$3+Projects!$D$3),IF(5=Projects!$C$3+Projects!$D$3-1,888067/Projects!$D$3*0.95+0.05*888067,888067/Projects!$D$3*0.95),0)+IF(AND(Projects!$G$4="Yes",5&gt;=Projects!$C$4,5&lt;Projects!$C$4+Projects!$D$4),IF(5=Projects!$C$4+Projects!$D$4-1,Projects!$B$4*Assumptions!$B$10/Projects!$D$4*0.95+0.05*Projects!$B$4*Assumptions!$B$10,Projects!$B$4*Assumptions!$B$10/Projects!$D$4*0.95),0)+IF(AND(Projects!$G$5="Yes",5&gt;=Projects!$C$5,5&lt;Projects!$C$5+Projects!$D$5),IF(5=Projects!$C$5+Projects!$D$5-1,Projects!$B$5*Assumptions!$B$10/Projects!$D$5*0.95+0.05*Projects!$B$5*Assumptions!$B$10,Projects!$B$5*Assumptions!$B$10/Projects!$D$5*0.95),0)+IF(AND(Projects!$G$6="Yes",5&gt;=Projects!$C$6,5&lt;Projects!$C$6+Projects!$D$6),IF(5=Projects!$C$6+Projects!$D$6-1,245000/Projects!$D$6*0.95+0.05*245000,245000/Projects!$D$6*0.95),0)+IF(AND(Projects!$G$7="Yes",5&gt;=Projects!$C$7,5&lt;Projects!$C$7+Projects!$D$7),IF(5=Projects!$C$7+Projects!$D$7-1,Projects!$B$7*Assumptions!$B$10/Projects!$D$7*0.95+0.05*Projects!$B$7*Assumptions!$B$10,Projects!$B$7*Assumptions!$B$10/Projects!$D$7*0.95),0)+IF(AND(Projects!$G$8="Yes",5&gt;=Projects!$C$8,5&lt;Projects!$C$8+Projects!$D$8),IF(5=Projects!$C$8+Projects!$D$8-1,Projects!$B$8*Assumptions!$B$10/Projects!$D$8*0.95+0.05*Projects!$B$8*Assumptions!$B$10,Projects!$B$8*Assumptions!$B$10/Projects!$D$8*0.95),0)+IF(AND(Projects!$G$9="Yes",5&gt;=Projects!$C$9,5&lt;Projects!$C$9+Projects!$D$9),IF(5=Projects!$C$9+Projects!$D$9-1,Projects!$B$9*Assumptions!$B$10/Projects!$D$9*0.95+0.05*Projects!$B$9*Assumptions!$B$10,Projects!$B$9*Assumptions!$B$10/Projects!$D$9*0.95),0)+IF(AND(Projects!$G$10="Yes",5&gt;=Projects!$C$10,5&lt;Projects!$C$10+Projects!$D$10),IF(5=Projects!$C$10+Projects!$D$10-1,Projects!$B$10*Assumptions!$B$10/Projects!$D$10*0.95+0.05*Projects!$B$10*Assumptions!$B$10,Projects!$B$10*Assumptions!$B$10/Projects!$D$10*0.95),0)+IF(AND(Projects!$G$11="Yes",5&gt;=Projects!$C$11,5&lt;Projects!$C$11+Projects!$D$11),IF(5=Projects!$C$11+Projects!$D$11-1,Projects!$B$11*Assumptions!$B$10/Projects!$D$11*0.95+0.05*Projects!$B$11*Assumptions!$B$10,Projects!$B$11*Assumptions!$B$10/Projects!$D$11*0.95),0)+IF(AND(Projects!$G$12="Yes",5&gt;=Projects!$C$12,5&lt;Projects!$C$12+Projects!$D$12),IF(5=Projects!$C$12+Projects!$D$12-1,Projects!$B$12*Assumptions!$B$10/Projects!$D$12*0.95+0.05*Projects!$B$12*Assumptions!$B$10,Projects!$B$12*Assumptions!$B$10/Projects!$D$12*0.95),0)+IF(AND(Projects!$G$13="Yes",5&gt;=Projects!$C$13,5&lt;Projects!$C$13+Projects!$D$13),IF(5=Projects!$C$13+Projects!$D$13-1,Projects!$B$13*Assumptions!$B$10/Projects!$D$13*0.95+0.05*Projects!$B$13*Assumptions!$B$10,Projects!$B$13*Assumptions!$B$10/Projects!$D$13*0.95),0)+IF(AND(Projects!$G$14="Yes",5&gt;=Projects!$C$14,5&lt;Projects!$C$14+Projects!$D$14),IF(5=Projects!$C$14+Projects!$D$14-1,Projects!$B$14*Assumptions!$B$10/Projects!$D$14*0.95+0.05*Projects!$B$14*Assumptions!$B$10,Projects!$B$14*Assumptions!$B$10/Projects!$D$14*0.95),0)+IF(AND(Projects!$G$15="Yes",5&gt;=Projects!$C$15,5&lt;Projects!$C$15+Projects!$D$15),IF(5=Projects!$C$15+Projects!$D$15-1,Projects!$B$15*Assumptions!$B$10/Projects!$D$15*0.95+0.05*Projects!$B$15*Assumptions!$B$10,Projects!$B$15*Assumptions!$B$10/Projects!$D$15*0.95),0)+IF(AND(Projects!$G$16="Yes",5&gt;=Projects!$C$16,5&lt;Projects!$C$16+Projects!$D$16),IF(5=Projects!$C$16+Projects!$D$16-1,Projects!$B$16*Assumptions!$B$10/Projects!$D$16*0.95+0.05*Projects!$B$16*Assumptions!$B$10,Projects!$B$16*Assumptions!$B$10/Projects!$D$16*0.95),0)</f>
        <v>235691.72650162334</v>
      </c>
      <c r="H8" s="8">
        <f>IF(AND(Projects!$G$2="Yes",6&gt;=Projects!$C$2,6&lt;Projects!$C$2+Projects!$D$2),IF(6=Projects!$C$2+Projects!$D$2-1,194932/Projects!$D$2*0.95+0.05*194932,194932/Projects!$D$2*0.95),0)+IF(AND(Projects!$G$3="Yes",6&gt;=Projects!$C$3,6&lt;Projects!$C$3+Projects!$D$3),IF(6=Projects!$C$3+Projects!$D$3-1,888067/Projects!$D$3*0.95+0.05*888067,888067/Projects!$D$3*0.95),0)+IF(AND(Projects!$G$4="Yes",6&gt;=Projects!$C$4,6&lt;Projects!$C$4+Projects!$D$4),IF(6=Projects!$C$4+Projects!$D$4-1,Projects!$B$4*Assumptions!$B$10/Projects!$D$4*0.95+0.05*Projects!$B$4*Assumptions!$B$10,Projects!$B$4*Assumptions!$B$10/Projects!$D$4*0.95),0)+IF(AND(Projects!$G$5="Yes",6&gt;=Projects!$C$5,6&lt;Projects!$C$5+Projects!$D$5),IF(6=Projects!$C$5+Projects!$D$5-1,Projects!$B$5*Assumptions!$B$10/Projects!$D$5*0.95+0.05*Projects!$B$5*Assumptions!$B$10,Projects!$B$5*Assumptions!$B$10/Projects!$D$5*0.95),0)+IF(AND(Projects!$G$6="Yes",6&gt;=Projects!$C$6,6&lt;Projects!$C$6+Projects!$D$6),IF(6=Projects!$C$6+Projects!$D$6-1,245000/Projects!$D$6*0.95+0.05*245000,245000/Projects!$D$6*0.95),0)+IF(AND(Projects!$G$7="Yes",6&gt;=Projects!$C$7,6&lt;Projects!$C$7+Projects!$D$7),IF(6=Projects!$C$7+Projects!$D$7-1,Projects!$B$7*Assumptions!$B$10/Projects!$D$7*0.95+0.05*Projects!$B$7*Assumptions!$B$10,Projects!$B$7*Assumptions!$B$10/Projects!$D$7*0.95),0)+IF(AND(Projects!$G$8="Yes",6&gt;=Projects!$C$8,6&lt;Projects!$C$8+Projects!$D$8),IF(6=Projects!$C$8+Projects!$D$8-1,Projects!$B$8*Assumptions!$B$10/Projects!$D$8*0.95+0.05*Projects!$B$8*Assumptions!$B$10,Projects!$B$8*Assumptions!$B$10/Projects!$D$8*0.95),0)+IF(AND(Projects!$G$9="Yes",6&gt;=Projects!$C$9,6&lt;Projects!$C$9+Projects!$D$9),IF(6=Projects!$C$9+Projects!$D$9-1,Projects!$B$9*Assumptions!$B$10/Projects!$D$9*0.95+0.05*Projects!$B$9*Assumptions!$B$10,Projects!$B$9*Assumptions!$B$10/Projects!$D$9*0.95),0)+IF(AND(Projects!$G$10="Yes",6&gt;=Projects!$C$10,6&lt;Projects!$C$10+Projects!$D$10),IF(6=Projects!$C$10+Projects!$D$10-1,Projects!$B$10*Assumptions!$B$10/Projects!$D$10*0.95+0.05*Projects!$B$10*Assumptions!$B$10,Projects!$B$10*Assumptions!$B$10/Projects!$D$10*0.95),0)+IF(AND(Projects!$G$11="Yes",6&gt;=Projects!$C$11,6&lt;Projects!$C$11+Projects!$D$11),IF(6=Projects!$C$11+Projects!$D$11-1,Projects!$B$11*Assumptions!$B$10/Projects!$D$11*0.95+0.05*Projects!$B$11*Assumptions!$B$10,Projects!$B$11*Assumptions!$B$10/Projects!$D$11*0.95),0)+IF(AND(Projects!$G$12="Yes",6&gt;=Projects!$C$12,6&lt;Projects!$C$12+Projects!$D$12),IF(6=Projects!$C$12+Projects!$D$12-1,Projects!$B$12*Assumptions!$B$10/Projects!$D$12*0.95+0.05*Projects!$B$12*Assumptions!$B$10,Projects!$B$12*Assumptions!$B$10/Projects!$D$12*0.95),0)+IF(AND(Projects!$G$13="Yes",6&gt;=Projects!$C$13,6&lt;Projects!$C$13+Projects!$D$13),IF(6=Projects!$C$13+Projects!$D$13-1,Projects!$B$13*Assumptions!$B$10/Projects!$D$13*0.95+0.05*Projects!$B$13*Assumptions!$B$10,Projects!$B$13*Assumptions!$B$10/Projects!$D$13*0.95),0)+IF(AND(Projects!$G$14="Yes",6&gt;=Projects!$C$14,6&lt;Projects!$C$14+Projects!$D$14),IF(6=Projects!$C$14+Projects!$D$14-1,Projects!$B$14*Assumptions!$B$10/Projects!$D$14*0.95+0.05*Projects!$B$14*Assumptions!$B$10,Projects!$B$14*Assumptions!$B$10/Projects!$D$14*0.95),0)+IF(AND(Projects!$G$15="Yes",6&gt;=Projects!$C$15,6&lt;Projects!$C$15+Projects!$D$15),IF(6=Projects!$C$15+Projects!$D$15-1,Projects!$B$15*Assumptions!$B$10/Projects!$D$15*0.95+0.05*Projects!$B$15*Assumptions!$B$10,Projects!$B$15*Assumptions!$B$10/Projects!$D$15*0.95),0)+IF(AND(Projects!$G$16="Yes",6&gt;=Projects!$C$16,6&lt;Projects!$C$16+Projects!$D$16),IF(6=Projects!$C$16+Projects!$D$16-1,Projects!$B$16*Assumptions!$B$10/Projects!$D$16*0.95+0.05*Projects!$B$16*Assumptions!$B$10,Projects!$B$16*Assumptions!$B$10/Projects!$D$16*0.95),0)</f>
        <v>235691.72650162334</v>
      </c>
      <c r="I8" s="8">
        <f>IF(AND(Projects!$G$2="Yes",7&gt;=Projects!$C$2,7&lt;Projects!$C$2+Projects!$D$2),IF(7=Projects!$C$2+Projects!$D$2-1,194932/Projects!$D$2*0.95+0.05*194932,194932/Projects!$D$2*0.95),0)+IF(AND(Projects!$G$3="Yes",7&gt;=Projects!$C$3,7&lt;Projects!$C$3+Projects!$D$3),IF(7=Projects!$C$3+Projects!$D$3-1,888067/Projects!$D$3*0.95+0.05*888067,888067/Projects!$D$3*0.95),0)+IF(AND(Projects!$G$4="Yes",7&gt;=Projects!$C$4,7&lt;Projects!$C$4+Projects!$D$4),IF(7=Projects!$C$4+Projects!$D$4-1,Projects!$B$4*Assumptions!$B$10/Projects!$D$4*0.95+0.05*Projects!$B$4*Assumptions!$B$10,Projects!$B$4*Assumptions!$B$10/Projects!$D$4*0.95),0)+IF(AND(Projects!$G$5="Yes",7&gt;=Projects!$C$5,7&lt;Projects!$C$5+Projects!$D$5),IF(7=Projects!$C$5+Projects!$D$5-1,Projects!$B$5*Assumptions!$B$10/Projects!$D$5*0.95+0.05*Projects!$B$5*Assumptions!$B$10,Projects!$B$5*Assumptions!$B$10/Projects!$D$5*0.95),0)+IF(AND(Projects!$G$6="Yes",7&gt;=Projects!$C$6,7&lt;Projects!$C$6+Projects!$D$6),IF(7=Projects!$C$6+Projects!$D$6-1,245000/Projects!$D$6*0.95+0.05*245000,245000/Projects!$D$6*0.95),0)+IF(AND(Projects!$G$7="Yes",7&gt;=Projects!$C$7,7&lt;Projects!$C$7+Projects!$D$7),IF(7=Projects!$C$7+Projects!$D$7-1,Projects!$B$7*Assumptions!$B$10/Projects!$D$7*0.95+0.05*Projects!$B$7*Assumptions!$B$10,Projects!$B$7*Assumptions!$B$10/Projects!$D$7*0.95),0)+IF(AND(Projects!$G$8="Yes",7&gt;=Projects!$C$8,7&lt;Projects!$C$8+Projects!$D$8),IF(7=Projects!$C$8+Projects!$D$8-1,Projects!$B$8*Assumptions!$B$10/Projects!$D$8*0.95+0.05*Projects!$B$8*Assumptions!$B$10,Projects!$B$8*Assumptions!$B$10/Projects!$D$8*0.95),0)+IF(AND(Projects!$G$9="Yes",7&gt;=Projects!$C$9,7&lt;Projects!$C$9+Projects!$D$9),IF(7=Projects!$C$9+Projects!$D$9-1,Projects!$B$9*Assumptions!$B$10/Projects!$D$9*0.95+0.05*Projects!$B$9*Assumptions!$B$10,Projects!$B$9*Assumptions!$B$10/Projects!$D$9*0.95),0)+IF(AND(Projects!$G$10="Yes",7&gt;=Projects!$C$10,7&lt;Projects!$C$10+Projects!$D$10),IF(7=Projects!$C$10+Projects!$D$10-1,Projects!$B$10*Assumptions!$B$10/Projects!$D$10*0.95+0.05*Projects!$B$10*Assumptions!$B$10,Projects!$B$10*Assumptions!$B$10/Projects!$D$10*0.95),0)+IF(AND(Projects!$G$11="Yes",7&gt;=Projects!$C$11,7&lt;Projects!$C$11+Projects!$D$11),IF(7=Projects!$C$11+Projects!$D$11-1,Projects!$B$11*Assumptions!$B$10/Projects!$D$11*0.95+0.05*Projects!$B$11*Assumptions!$B$10,Projects!$B$11*Assumptions!$B$10/Projects!$D$11*0.95),0)+IF(AND(Projects!$G$12="Yes",7&gt;=Projects!$C$12,7&lt;Projects!$C$12+Projects!$D$12),IF(7=Projects!$C$12+Projects!$D$12-1,Projects!$B$12*Assumptions!$B$10/Projects!$D$12*0.95+0.05*Projects!$B$12*Assumptions!$B$10,Projects!$B$12*Assumptions!$B$10/Projects!$D$12*0.95),0)+IF(AND(Projects!$G$13="Yes",7&gt;=Projects!$C$13,7&lt;Projects!$C$13+Projects!$D$13),IF(7=Projects!$C$13+Projects!$D$13-1,Projects!$B$13*Assumptions!$B$10/Projects!$D$13*0.95+0.05*Projects!$B$13*Assumptions!$B$10,Projects!$B$13*Assumptions!$B$10/Projects!$D$13*0.95),0)+IF(AND(Projects!$G$14="Yes",7&gt;=Projects!$C$14,7&lt;Projects!$C$14+Projects!$D$14),IF(7=Projects!$C$14+Projects!$D$14-1,Projects!$B$14*Assumptions!$B$10/Projects!$D$14*0.95+0.05*Projects!$B$14*Assumptions!$B$10,Projects!$B$14*Assumptions!$B$10/Projects!$D$14*0.95),0)+IF(AND(Projects!$G$15="Yes",7&gt;=Projects!$C$15,7&lt;Projects!$C$15+Projects!$D$15),IF(7=Projects!$C$15+Projects!$D$15-1,Projects!$B$15*Assumptions!$B$10/Projects!$D$15*0.95+0.05*Projects!$B$15*Assumptions!$B$10,Projects!$B$15*Assumptions!$B$10/Projects!$D$15*0.95),0)+IF(AND(Projects!$G$16="Yes",7&gt;=Projects!$C$16,7&lt;Projects!$C$16+Projects!$D$16),IF(7=Projects!$C$16+Projects!$D$16-1,Projects!$B$16*Assumptions!$B$10/Projects!$D$16*0.95+0.05*Projects!$B$16*Assumptions!$B$10,Projects!$B$16*Assumptions!$B$10/Projects!$D$16*0.95),0)</f>
        <v>293307.46814123372</v>
      </c>
      <c r="J8" s="8">
        <f>IF(AND(Projects!$G$2="Yes",8&gt;=Projects!$C$2,8&lt;Projects!$C$2+Projects!$D$2),IF(8=Projects!$C$2+Projects!$D$2-1,194932/Projects!$D$2*0.95+0.05*194932,194932/Projects!$D$2*0.95),0)+IF(AND(Projects!$G$3="Yes",8&gt;=Projects!$C$3,8&lt;Projects!$C$3+Projects!$D$3),IF(8=Projects!$C$3+Projects!$D$3-1,888067/Projects!$D$3*0.95+0.05*888067,888067/Projects!$D$3*0.95),0)+IF(AND(Projects!$G$4="Yes",8&gt;=Projects!$C$4,8&lt;Projects!$C$4+Projects!$D$4),IF(8=Projects!$C$4+Projects!$D$4-1,Projects!$B$4*Assumptions!$B$10/Projects!$D$4*0.95+0.05*Projects!$B$4*Assumptions!$B$10,Projects!$B$4*Assumptions!$B$10/Projects!$D$4*0.95),0)+IF(AND(Projects!$G$5="Yes",8&gt;=Projects!$C$5,8&lt;Projects!$C$5+Projects!$D$5),IF(8=Projects!$C$5+Projects!$D$5-1,Projects!$B$5*Assumptions!$B$10/Projects!$D$5*0.95+0.05*Projects!$B$5*Assumptions!$B$10,Projects!$B$5*Assumptions!$B$10/Projects!$D$5*0.95),0)+IF(AND(Projects!$G$6="Yes",8&gt;=Projects!$C$6,8&lt;Projects!$C$6+Projects!$D$6),IF(8=Projects!$C$6+Projects!$D$6-1,245000/Projects!$D$6*0.95+0.05*245000,245000/Projects!$D$6*0.95),0)+IF(AND(Projects!$G$7="Yes",8&gt;=Projects!$C$7,8&lt;Projects!$C$7+Projects!$D$7),IF(8=Projects!$C$7+Projects!$D$7-1,Projects!$B$7*Assumptions!$B$10/Projects!$D$7*0.95+0.05*Projects!$B$7*Assumptions!$B$10,Projects!$B$7*Assumptions!$B$10/Projects!$D$7*0.95),0)+IF(AND(Projects!$G$8="Yes",8&gt;=Projects!$C$8,8&lt;Projects!$C$8+Projects!$D$8),IF(8=Projects!$C$8+Projects!$D$8-1,Projects!$B$8*Assumptions!$B$10/Projects!$D$8*0.95+0.05*Projects!$B$8*Assumptions!$B$10,Projects!$B$8*Assumptions!$B$10/Projects!$D$8*0.95),0)+IF(AND(Projects!$G$9="Yes",8&gt;=Projects!$C$9,8&lt;Projects!$C$9+Projects!$D$9),IF(8=Projects!$C$9+Projects!$D$9-1,Projects!$B$9*Assumptions!$B$10/Projects!$D$9*0.95+0.05*Projects!$B$9*Assumptions!$B$10,Projects!$B$9*Assumptions!$B$10/Projects!$D$9*0.95),0)+IF(AND(Projects!$G$10="Yes",8&gt;=Projects!$C$10,8&lt;Projects!$C$10+Projects!$D$10),IF(8=Projects!$C$10+Projects!$D$10-1,Projects!$B$10*Assumptions!$B$10/Projects!$D$10*0.95+0.05*Projects!$B$10*Assumptions!$B$10,Projects!$B$10*Assumptions!$B$10/Projects!$D$10*0.95),0)+IF(AND(Projects!$G$11="Yes",8&gt;=Projects!$C$11,8&lt;Projects!$C$11+Projects!$D$11),IF(8=Projects!$C$11+Projects!$D$11-1,Projects!$B$11*Assumptions!$B$10/Projects!$D$11*0.95+0.05*Projects!$B$11*Assumptions!$B$10,Projects!$B$11*Assumptions!$B$10/Projects!$D$11*0.95),0)+IF(AND(Projects!$G$12="Yes",8&gt;=Projects!$C$12,8&lt;Projects!$C$12+Projects!$D$12),IF(8=Projects!$C$12+Projects!$D$12-1,Projects!$B$12*Assumptions!$B$10/Projects!$D$12*0.95+0.05*Projects!$B$12*Assumptions!$B$10,Projects!$B$12*Assumptions!$B$10/Projects!$D$12*0.95),0)+IF(AND(Projects!$G$13="Yes",8&gt;=Projects!$C$13,8&lt;Projects!$C$13+Projects!$D$13),IF(8=Projects!$C$13+Projects!$D$13-1,Projects!$B$13*Assumptions!$B$10/Projects!$D$13*0.95+0.05*Projects!$B$13*Assumptions!$B$10,Projects!$B$13*Assumptions!$B$10/Projects!$D$13*0.95),0)+IF(AND(Projects!$G$14="Yes",8&gt;=Projects!$C$14,8&lt;Projects!$C$14+Projects!$D$14),IF(8=Projects!$C$14+Projects!$D$14-1,Projects!$B$14*Assumptions!$B$10/Projects!$D$14*0.95+0.05*Projects!$B$14*Assumptions!$B$10,Projects!$B$14*Assumptions!$B$10/Projects!$D$14*0.95),0)+IF(AND(Projects!$G$15="Yes",8&gt;=Projects!$C$15,8&lt;Projects!$C$15+Projects!$D$15),IF(8=Projects!$C$15+Projects!$D$15-1,Projects!$B$15*Assumptions!$B$10/Projects!$D$15*0.95+0.05*Projects!$B$15*Assumptions!$B$10,Projects!$B$15*Assumptions!$B$10/Projects!$D$15*0.95),0)+IF(AND(Projects!$G$16="Yes",8&gt;=Projects!$C$16,8&lt;Projects!$C$16+Projects!$D$16),IF(8=Projects!$C$16+Projects!$D$16-1,Projects!$B$16*Assumptions!$B$10/Projects!$D$16*0.95+0.05*Projects!$B$16*Assumptions!$B$10,Projects!$B$16*Assumptions!$B$10/Projects!$D$16*0.95),0)</f>
        <v>344044.8042410714</v>
      </c>
      <c r="K8" s="8">
        <f>IF(AND(Projects!$G$2="Yes",9&gt;=Projects!$C$2,9&lt;Projects!$C$2+Projects!$D$2),IF(9=Projects!$C$2+Projects!$D$2-1,194932/Projects!$D$2*0.95+0.05*194932,194932/Projects!$D$2*0.95),0)+IF(AND(Projects!$G$3="Yes",9&gt;=Projects!$C$3,9&lt;Projects!$C$3+Projects!$D$3),IF(9=Projects!$C$3+Projects!$D$3-1,888067/Projects!$D$3*0.95+0.05*888067,888067/Projects!$D$3*0.95),0)+IF(AND(Projects!$G$4="Yes",9&gt;=Projects!$C$4,9&lt;Projects!$C$4+Projects!$D$4),IF(9=Projects!$C$4+Projects!$D$4-1,Projects!$B$4*Assumptions!$B$10/Projects!$D$4*0.95+0.05*Projects!$B$4*Assumptions!$B$10,Projects!$B$4*Assumptions!$B$10/Projects!$D$4*0.95),0)+IF(AND(Projects!$G$5="Yes",9&gt;=Projects!$C$5,9&lt;Projects!$C$5+Projects!$D$5),IF(9=Projects!$C$5+Projects!$D$5-1,Projects!$B$5*Assumptions!$B$10/Projects!$D$5*0.95+0.05*Projects!$B$5*Assumptions!$B$10,Projects!$B$5*Assumptions!$B$10/Projects!$D$5*0.95),0)+IF(AND(Projects!$G$6="Yes",9&gt;=Projects!$C$6,9&lt;Projects!$C$6+Projects!$D$6),IF(9=Projects!$C$6+Projects!$D$6-1,245000/Projects!$D$6*0.95+0.05*245000,245000/Projects!$D$6*0.95),0)+IF(AND(Projects!$G$7="Yes",9&gt;=Projects!$C$7,9&lt;Projects!$C$7+Projects!$D$7),IF(9=Projects!$C$7+Projects!$D$7-1,Projects!$B$7*Assumptions!$B$10/Projects!$D$7*0.95+0.05*Projects!$B$7*Assumptions!$B$10,Projects!$B$7*Assumptions!$B$10/Projects!$D$7*0.95),0)+IF(AND(Projects!$G$8="Yes",9&gt;=Projects!$C$8,9&lt;Projects!$C$8+Projects!$D$8),IF(9=Projects!$C$8+Projects!$D$8-1,Projects!$B$8*Assumptions!$B$10/Projects!$D$8*0.95+0.05*Projects!$B$8*Assumptions!$B$10,Projects!$B$8*Assumptions!$B$10/Projects!$D$8*0.95),0)+IF(AND(Projects!$G$9="Yes",9&gt;=Projects!$C$9,9&lt;Projects!$C$9+Projects!$D$9),IF(9=Projects!$C$9+Projects!$D$9-1,Projects!$B$9*Assumptions!$B$10/Projects!$D$9*0.95+0.05*Projects!$B$9*Assumptions!$B$10,Projects!$B$9*Assumptions!$B$10/Projects!$D$9*0.95),0)+IF(AND(Projects!$G$10="Yes",9&gt;=Projects!$C$10,9&lt;Projects!$C$10+Projects!$D$10),IF(9=Projects!$C$10+Projects!$D$10-1,Projects!$B$10*Assumptions!$B$10/Projects!$D$10*0.95+0.05*Projects!$B$10*Assumptions!$B$10,Projects!$B$10*Assumptions!$B$10/Projects!$D$10*0.95),0)+IF(AND(Projects!$G$11="Yes",9&gt;=Projects!$C$11,9&lt;Projects!$C$11+Projects!$D$11),IF(9=Projects!$C$11+Projects!$D$11-1,Projects!$B$11*Assumptions!$B$10/Projects!$D$11*0.95+0.05*Projects!$B$11*Assumptions!$B$10,Projects!$B$11*Assumptions!$B$10/Projects!$D$11*0.95),0)+IF(AND(Projects!$G$12="Yes",9&gt;=Projects!$C$12,9&lt;Projects!$C$12+Projects!$D$12),IF(9=Projects!$C$12+Projects!$D$12-1,Projects!$B$12*Assumptions!$B$10/Projects!$D$12*0.95+0.05*Projects!$B$12*Assumptions!$B$10,Projects!$B$12*Assumptions!$B$10/Projects!$D$12*0.95),0)+IF(AND(Projects!$G$13="Yes",9&gt;=Projects!$C$13,9&lt;Projects!$C$13+Projects!$D$13),IF(9=Projects!$C$13+Projects!$D$13-1,Projects!$B$13*Assumptions!$B$10/Projects!$D$13*0.95+0.05*Projects!$B$13*Assumptions!$B$10,Projects!$B$13*Assumptions!$B$10/Projects!$D$13*0.95),0)+IF(AND(Projects!$G$14="Yes",9&gt;=Projects!$C$14,9&lt;Projects!$C$14+Projects!$D$14),IF(9=Projects!$C$14+Projects!$D$14-1,Projects!$B$14*Assumptions!$B$10/Projects!$D$14*0.95+0.05*Projects!$B$14*Assumptions!$B$10,Projects!$B$14*Assumptions!$B$10/Projects!$D$14*0.95),0)+IF(AND(Projects!$G$15="Yes",9&gt;=Projects!$C$15,9&lt;Projects!$C$15+Projects!$D$15),IF(9=Projects!$C$15+Projects!$D$15-1,Projects!$B$15*Assumptions!$B$10/Projects!$D$15*0.95+0.05*Projects!$B$15*Assumptions!$B$10,Projects!$B$15*Assumptions!$B$10/Projects!$D$15*0.95),0)+IF(AND(Projects!$G$16="Yes",9&gt;=Projects!$C$16,9&lt;Projects!$C$16+Projects!$D$16),IF(9=Projects!$C$16+Projects!$D$16-1,Projects!$B$16*Assumptions!$B$10/Projects!$D$16*0.95+0.05*Projects!$B$16*Assumptions!$B$10,Projects!$B$16*Assumptions!$B$10/Projects!$D$16*0.95),0)</f>
        <v>311150.02924107137</v>
      </c>
      <c r="L8" s="8">
        <f>IF(AND(Projects!$G$2="Yes",10&gt;=Projects!$C$2,10&lt;Projects!$C$2+Projects!$D$2),IF(10=Projects!$C$2+Projects!$D$2-1,194932/Projects!$D$2*0.95+0.05*194932,194932/Projects!$D$2*0.95),0)+IF(AND(Projects!$G$3="Yes",10&gt;=Projects!$C$3,10&lt;Projects!$C$3+Projects!$D$3),IF(10=Projects!$C$3+Projects!$D$3-1,888067/Projects!$D$3*0.95+0.05*888067,888067/Projects!$D$3*0.95),0)+IF(AND(Projects!$G$4="Yes",10&gt;=Projects!$C$4,10&lt;Projects!$C$4+Projects!$D$4),IF(10=Projects!$C$4+Projects!$D$4-1,Projects!$B$4*Assumptions!$B$10/Projects!$D$4*0.95+0.05*Projects!$B$4*Assumptions!$B$10,Projects!$B$4*Assumptions!$B$10/Projects!$D$4*0.95),0)+IF(AND(Projects!$G$5="Yes",10&gt;=Projects!$C$5,10&lt;Projects!$C$5+Projects!$D$5),IF(10=Projects!$C$5+Projects!$D$5-1,Projects!$B$5*Assumptions!$B$10/Projects!$D$5*0.95+0.05*Projects!$B$5*Assumptions!$B$10,Projects!$B$5*Assumptions!$B$10/Projects!$D$5*0.95),0)+IF(AND(Projects!$G$6="Yes",10&gt;=Projects!$C$6,10&lt;Projects!$C$6+Projects!$D$6),IF(10=Projects!$C$6+Projects!$D$6-1,245000/Projects!$D$6*0.95+0.05*245000,245000/Projects!$D$6*0.95),0)+IF(AND(Projects!$G$7="Yes",10&gt;=Projects!$C$7,10&lt;Projects!$C$7+Projects!$D$7),IF(10=Projects!$C$7+Projects!$D$7-1,Projects!$B$7*Assumptions!$B$10/Projects!$D$7*0.95+0.05*Projects!$B$7*Assumptions!$B$10,Projects!$B$7*Assumptions!$B$10/Projects!$D$7*0.95),0)+IF(AND(Projects!$G$8="Yes",10&gt;=Projects!$C$8,10&lt;Projects!$C$8+Projects!$D$8),IF(10=Projects!$C$8+Projects!$D$8-1,Projects!$B$8*Assumptions!$B$10/Projects!$D$8*0.95+0.05*Projects!$B$8*Assumptions!$B$10,Projects!$B$8*Assumptions!$B$10/Projects!$D$8*0.95),0)+IF(AND(Projects!$G$9="Yes",10&gt;=Projects!$C$9,10&lt;Projects!$C$9+Projects!$D$9),IF(10=Projects!$C$9+Projects!$D$9-1,Projects!$B$9*Assumptions!$B$10/Projects!$D$9*0.95+0.05*Projects!$B$9*Assumptions!$B$10,Projects!$B$9*Assumptions!$B$10/Projects!$D$9*0.95),0)+IF(AND(Projects!$G$10="Yes",10&gt;=Projects!$C$10,10&lt;Projects!$C$10+Projects!$D$10),IF(10=Projects!$C$10+Projects!$D$10-1,Projects!$B$10*Assumptions!$B$10/Projects!$D$10*0.95+0.05*Projects!$B$10*Assumptions!$B$10,Projects!$B$10*Assumptions!$B$10/Projects!$D$10*0.95),0)+IF(AND(Projects!$G$11="Yes",10&gt;=Projects!$C$11,10&lt;Projects!$C$11+Projects!$D$11),IF(10=Projects!$C$11+Projects!$D$11-1,Projects!$B$11*Assumptions!$B$10/Projects!$D$11*0.95+0.05*Projects!$B$11*Assumptions!$B$10,Projects!$B$11*Assumptions!$B$10/Projects!$D$11*0.95),0)+IF(AND(Projects!$G$12="Yes",10&gt;=Projects!$C$12,10&lt;Projects!$C$12+Projects!$D$12),IF(10=Projects!$C$12+Projects!$D$12-1,Projects!$B$12*Assumptions!$B$10/Projects!$D$12*0.95+0.05*Projects!$B$12*Assumptions!$B$10,Projects!$B$12*Assumptions!$B$10/Projects!$D$12*0.95),0)+IF(AND(Projects!$G$13="Yes",10&gt;=Projects!$C$13,10&lt;Projects!$C$13+Projects!$D$13),IF(10=Projects!$C$13+Projects!$D$13-1,Projects!$B$13*Assumptions!$B$10/Projects!$D$13*0.95+0.05*Projects!$B$13*Assumptions!$B$10,Projects!$B$13*Assumptions!$B$10/Projects!$D$13*0.95),0)+IF(AND(Projects!$G$14="Yes",10&gt;=Projects!$C$14,10&lt;Projects!$C$14+Projects!$D$14),IF(10=Projects!$C$14+Projects!$D$14-1,Projects!$B$14*Assumptions!$B$10/Projects!$D$14*0.95+0.05*Projects!$B$14*Assumptions!$B$10,Projects!$B$14*Assumptions!$B$10/Projects!$D$14*0.95),0)+IF(AND(Projects!$G$15="Yes",10&gt;=Projects!$C$15,10&lt;Projects!$C$15+Projects!$D$15),IF(10=Projects!$C$15+Projects!$D$15-1,Projects!$B$15*Assumptions!$B$10/Projects!$D$15*0.95+0.05*Projects!$B$15*Assumptions!$B$10,Projects!$B$15*Assumptions!$B$10/Projects!$D$15*0.95),0)+IF(AND(Projects!$G$16="Yes",10&gt;=Projects!$C$16,10&lt;Projects!$C$16+Projects!$D$16),IF(10=Projects!$C$16+Projects!$D$16-1,Projects!$B$16*Assumptions!$B$10/Projects!$D$16*0.95+0.05*Projects!$B$16*Assumptions!$B$10,Projects!$B$16*Assumptions!$B$10/Projects!$D$16*0.95),0)</f>
        <v>311150.02924107137</v>
      </c>
      <c r="M8" s="8">
        <f>IF(AND(Projects!$G$2="Yes",11&gt;=Projects!$C$2,11&lt;Projects!$C$2+Projects!$D$2),IF(11=Projects!$C$2+Projects!$D$2-1,194932/Projects!$D$2*0.95+0.05*194932,194932/Projects!$D$2*0.95),0)+IF(AND(Projects!$G$3="Yes",11&gt;=Projects!$C$3,11&lt;Projects!$C$3+Projects!$D$3),IF(11=Projects!$C$3+Projects!$D$3-1,888067/Projects!$D$3*0.95+0.05*888067,888067/Projects!$D$3*0.95),0)+IF(AND(Projects!$G$4="Yes",11&gt;=Projects!$C$4,11&lt;Projects!$C$4+Projects!$D$4),IF(11=Projects!$C$4+Projects!$D$4-1,Projects!$B$4*Assumptions!$B$10/Projects!$D$4*0.95+0.05*Projects!$B$4*Assumptions!$B$10,Projects!$B$4*Assumptions!$B$10/Projects!$D$4*0.95),0)+IF(AND(Projects!$G$5="Yes",11&gt;=Projects!$C$5,11&lt;Projects!$C$5+Projects!$D$5),IF(11=Projects!$C$5+Projects!$D$5-1,Projects!$B$5*Assumptions!$B$10/Projects!$D$5*0.95+0.05*Projects!$B$5*Assumptions!$B$10,Projects!$B$5*Assumptions!$B$10/Projects!$D$5*0.95),0)+IF(AND(Projects!$G$6="Yes",11&gt;=Projects!$C$6,11&lt;Projects!$C$6+Projects!$D$6),IF(11=Projects!$C$6+Projects!$D$6-1,245000/Projects!$D$6*0.95+0.05*245000,245000/Projects!$D$6*0.95),0)+IF(AND(Projects!$G$7="Yes",11&gt;=Projects!$C$7,11&lt;Projects!$C$7+Projects!$D$7),IF(11=Projects!$C$7+Projects!$D$7-1,Projects!$B$7*Assumptions!$B$10/Projects!$D$7*0.95+0.05*Projects!$B$7*Assumptions!$B$10,Projects!$B$7*Assumptions!$B$10/Projects!$D$7*0.95),0)+IF(AND(Projects!$G$8="Yes",11&gt;=Projects!$C$8,11&lt;Projects!$C$8+Projects!$D$8),IF(11=Projects!$C$8+Projects!$D$8-1,Projects!$B$8*Assumptions!$B$10/Projects!$D$8*0.95+0.05*Projects!$B$8*Assumptions!$B$10,Projects!$B$8*Assumptions!$B$10/Projects!$D$8*0.95),0)+IF(AND(Projects!$G$9="Yes",11&gt;=Projects!$C$9,11&lt;Projects!$C$9+Projects!$D$9),IF(11=Projects!$C$9+Projects!$D$9-1,Projects!$B$9*Assumptions!$B$10/Projects!$D$9*0.95+0.05*Projects!$B$9*Assumptions!$B$10,Projects!$B$9*Assumptions!$B$10/Projects!$D$9*0.95),0)+IF(AND(Projects!$G$10="Yes",11&gt;=Projects!$C$10,11&lt;Projects!$C$10+Projects!$D$10),IF(11=Projects!$C$10+Projects!$D$10-1,Projects!$B$10*Assumptions!$B$10/Projects!$D$10*0.95+0.05*Projects!$B$10*Assumptions!$B$10,Projects!$B$10*Assumptions!$B$10/Projects!$D$10*0.95),0)+IF(AND(Projects!$G$11="Yes",11&gt;=Projects!$C$11,11&lt;Projects!$C$11+Projects!$D$11),IF(11=Projects!$C$11+Projects!$D$11-1,Projects!$B$11*Assumptions!$B$10/Projects!$D$11*0.95+0.05*Projects!$B$11*Assumptions!$B$10,Projects!$B$11*Assumptions!$B$10/Projects!$D$11*0.95),0)+IF(AND(Projects!$G$12="Yes",11&gt;=Projects!$C$12,11&lt;Projects!$C$12+Projects!$D$12),IF(11=Projects!$C$12+Projects!$D$12-1,Projects!$B$12*Assumptions!$B$10/Projects!$D$12*0.95+0.05*Projects!$B$12*Assumptions!$B$10,Projects!$B$12*Assumptions!$B$10/Projects!$D$12*0.95),0)+IF(AND(Projects!$G$13="Yes",11&gt;=Projects!$C$13,11&lt;Projects!$C$13+Projects!$D$13),IF(11=Projects!$C$13+Projects!$D$13-1,Projects!$B$13*Assumptions!$B$10/Projects!$D$13*0.95+0.05*Projects!$B$13*Assumptions!$B$10,Projects!$B$13*Assumptions!$B$10/Projects!$D$13*0.95),0)+IF(AND(Projects!$G$14="Yes",11&gt;=Projects!$C$14,11&lt;Projects!$C$14+Projects!$D$14),IF(11=Projects!$C$14+Projects!$D$14-1,Projects!$B$14*Assumptions!$B$10/Projects!$D$14*0.95+0.05*Projects!$B$14*Assumptions!$B$10,Projects!$B$14*Assumptions!$B$10/Projects!$D$14*0.95),0)+IF(AND(Projects!$G$15="Yes",11&gt;=Projects!$C$15,11&lt;Projects!$C$15+Projects!$D$15),IF(11=Projects!$C$15+Projects!$D$15-1,Projects!$B$15*Assumptions!$B$10/Projects!$D$15*0.95+0.05*Projects!$B$15*Assumptions!$B$10,Projects!$B$15*Assumptions!$B$10/Projects!$D$15*0.95),0)+IF(AND(Projects!$G$16="Yes",11&gt;=Projects!$C$16,11&lt;Projects!$C$16+Projects!$D$16),IF(11=Projects!$C$16+Projects!$D$16-1,Projects!$B$16*Assumptions!$B$10/Projects!$D$16*0.95+0.05*Projects!$B$16*Assumptions!$B$10,Projects!$B$16*Assumptions!$B$10/Projects!$D$16*0.95),0)</f>
        <v>311150.02924107137</v>
      </c>
      <c r="N8" s="8">
        <f>IF(AND(Projects!$G$2="Yes",12&gt;=Projects!$C$2,12&lt;Projects!$C$2+Projects!$D$2),IF(12=Projects!$C$2+Projects!$D$2-1,194932/Projects!$D$2*0.95+0.05*194932,194932/Projects!$D$2*0.95),0)+IF(AND(Projects!$G$3="Yes",12&gt;=Projects!$C$3,12&lt;Projects!$C$3+Projects!$D$3),IF(12=Projects!$C$3+Projects!$D$3-1,888067/Projects!$D$3*0.95+0.05*888067,888067/Projects!$D$3*0.95),0)+IF(AND(Projects!$G$4="Yes",12&gt;=Projects!$C$4,12&lt;Projects!$C$4+Projects!$D$4),IF(12=Projects!$C$4+Projects!$D$4-1,Projects!$B$4*Assumptions!$B$10/Projects!$D$4*0.95+0.05*Projects!$B$4*Assumptions!$B$10,Projects!$B$4*Assumptions!$B$10/Projects!$D$4*0.95),0)+IF(AND(Projects!$G$5="Yes",12&gt;=Projects!$C$5,12&lt;Projects!$C$5+Projects!$D$5),IF(12=Projects!$C$5+Projects!$D$5-1,Projects!$B$5*Assumptions!$B$10/Projects!$D$5*0.95+0.05*Projects!$B$5*Assumptions!$B$10,Projects!$B$5*Assumptions!$B$10/Projects!$D$5*0.95),0)+IF(AND(Projects!$G$6="Yes",12&gt;=Projects!$C$6,12&lt;Projects!$C$6+Projects!$D$6),IF(12=Projects!$C$6+Projects!$D$6-1,245000/Projects!$D$6*0.95+0.05*245000,245000/Projects!$D$6*0.95),0)+IF(AND(Projects!$G$7="Yes",12&gt;=Projects!$C$7,12&lt;Projects!$C$7+Projects!$D$7),IF(12=Projects!$C$7+Projects!$D$7-1,Projects!$B$7*Assumptions!$B$10/Projects!$D$7*0.95+0.05*Projects!$B$7*Assumptions!$B$10,Projects!$B$7*Assumptions!$B$10/Projects!$D$7*0.95),0)+IF(AND(Projects!$G$8="Yes",12&gt;=Projects!$C$8,12&lt;Projects!$C$8+Projects!$D$8),IF(12=Projects!$C$8+Projects!$D$8-1,Projects!$B$8*Assumptions!$B$10/Projects!$D$8*0.95+0.05*Projects!$B$8*Assumptions!$B$10,Projects!$B$8*Assumptions!$B$10/Projects!$D$8*0.95),0)+IF(AND(Projects!$G$9="Yes",12&gt;=Projects!$C$9,12&lt;Projects!$C$9+Projects!$D$9),IF(12=Projects!$C$9+Projects!$D$9-1,Projects!$B$9*Assumptions!$B$10/Projects!$D$9*0.95+0.05*Projects!$B$9*Assumptions!$B$10,Projects!$B$9*Assumptions!$B$10/Projects!$D$9*0.95),0)+IF(AND(Projects!$G$10="Yes",12&gt;=Projects!$C$10,12&lt;Projects!$C$10+Projects!$D$10),IF(12=Projects!$C$10+Projects!$D$10-1,Projects!$B$10*Assumptions!$B$10/Projects!$D$10*0.95+0.05*Projects!$B$10*Assumptions!$B$10,Projects!$B$10*Assumptions!$B$10/Projects!$D$10*0.95),0)+IF(AND(Projects!$G$11="Yes",12&gt;=Projects!$C$11,12&lt;Projects!$C$11+Projects!$D$11),IF(12=Projects!$C$11+Projects!$D$11-1,Projects!$B$11*Assumptions!$B$10/Projects!$D$11*0.95+0.05*Projects!$B$11*Assumptions!$B$10,Projects!$B$11*Assumptions!$B$10/Projects!$D$11*0.95),0)+IF(AND(Projects!$G$12="Yes",12&gt;=Projects!$C$12,12&lt;Projects!$C$12+Projects!$D$12),IF(12=Projects!$C$12+Projects!$D$12-1,Projects!$B$12*Assumptions!$B$10/Projects!$D$12*0.95+0.05*Projects!$B$12*Assumptions!$B$10,Projects!$B$12*Assumptions!$B$10/Projects!$D$12*0.95),0)+IF(AND(Projects!$G$13="Yes",12&gt;=Projects!$C$13,12&lt;Projects!$C$13+Projects!$D$13),IF(12=Projects!$C$13+Projects!$D$13-1,Projects!$B$13*Assumptions!$B$10/Projects!$D$13*0.95+0.05*Projects!$B$13*Assumptions!$B$10,Projects!$B$13*Assumptions!$B$10/Projects!$D$13*0.95),0)+IF(AND(Projects!$G$14="Yes",12&gt;=Projects!$C$14,12&lt;Projects!$C$14+Projects!$D$14),IF(12=Projects!$C$14+Projects!$D$14-1,Projects!$B$14*Assumptions!$B$10/Projects!$D$14*0.95+0.05*Projects!$B$14*Assumptions!$B$10,Projects!$B$14*Assumptions!$B$10/Projects!$D$14*0.95),0)+IF(AND(Projects!$G$15="Yes",12&gt;=Projects!$C$15,12&lt;Projects!$C$15+Projects!$D$15),IF(12=Projects!$C$15+Projects!$D$15-1,Projects!$B$15*Assumptions!$B$10/Projects!$D$15*0.95+0.05*Projects!$B$15*Assumptions!$B$10,Projects!$B$15*Assumptions!$B$10/Projects!$D$15*0.95),0)+IF(AND(Projects!$G$16="Yes",12&gt;=Projects!$C$16,12&lt;Projects!$C$16+Projects!$D$16),IF(12=Projects!$C$16+Projects!$D$16-1,Projects!$B$16*Assumptions!$B$10/Projects!$D$16*0.95+0.05*Projects!$B$16*Assumptions!$B$10,Projects!$B$16*Assumptions!$B$10/Projects!$D$16*0.95),0)</f>
        <v>311150.02924107137</v>
      </c>
      <c r="O8" s="8">
        <f>IF(AND(Projects!$G$2="Yes",13&gt;=Projects!$C$2,13&lt;Projects!$C$2+Projects!$D$2),IF(13=Projects!$C$2+Projects!$D$2-1,194932/Projects!$D$2*0.95+0.05*194932,194932/Projects!$D$2*0.95),0)+IF(AND(Projects!$G$3="Yes",13&gt;=Projects!$C$3,13&lt;Projects!$C$3+Projects!$D$3),IF(13=Projects!$C$3+Projects!$D$3-1,888067/Projects!$D$3*0.95+0.05*888067,888067/Projects!$D$3*0.95),0)+IF(AND(Projects!$G$4="Yes",13&gt;=Projects!$C$4,13&lt;Projects!$C$4+Projects!$D$4),IF(13=Projects!$C$4+Projects!$D$4-1,Projects!$B$4*Assumptions!$B$10/Projects!$D$4*0.95+0.05*Projects!$B$4*Assumptions!$B$10,Projects!$B$4*Assumptions!$B$10/Projects!$D$4*0.95),0)+IF(AND(Projects!$G$5="Yes",13&gt;=Projects!$C$5,13&lt;Projects!$C$5+Projects!$D$5),IF(13=Projects!$C$5+Projects!$D$5-1,Projects!$B$5*Assumptions!$B$10/Projects!$D$5*0.95+0.05*Projects!$B$5*Assumptions!$B$10,Projects!$B$5*Assumptions!$B$10/Projects!$D$5*0.95),0)+IF(AND(Projects!$G$6="Yes",13&gt;=Projects!$C$6,13&lt;Projects!$C$6+Projects!$D$6),IF(13=Projects!$C$6+Projects!$D$6-1,245000/Projects!$D$6*0.95+0.05*245000,245000/Projects!$D$6*0.95),0)+IF(AND(Projects!$G$7="Yes",13&gt;=Projects!$C$7,13&lt;Projects!$C$7+Projects!$D$7),IF(13=Projects!$C$7+Projects!$D$7-1,Projects!$B$7*Assumptions!$B$10/Projects!$D$7*0.95+0.05*Projects!$B$7*Assumptions!$B$10,Projects!$B$7*Assumptions!$B$10/Projects!$D$7*0.95),0)+IF(AND(Projects!$G$8="Yes",13&gt;=Projects!$C$8,13&lt;Projects!$C$8+Projects!$D$8),IF(13=Projects!$C$8+Projects!$D$8-1,Projects!$B$8*Assumptions!$B$10/Projects!$D$8*0.95+0.05*Projects!$B$8*Assumptions!$B$10,Projects!$B$8*Assumptions!$B$10/Projects!$D$8*0.95),0)+IF(AND(Projects!$G$9="Yes",13&gt;=Projects!$C$9,13&lt;Projects!$C$9+Projects!$D$9),IF(13=Projects!$C$9+Projects!$D$9-1,Projects!$B$9*Assumptions!$B$10/Projects!$D$9*0.95+0.05*Projects!$B$9*Assumptions!$B$10,Projects!$B$9*Assumptions!$B$10/Projects!$D$9*0.95),0)+IF(AND(Projects!$G$10="Yes",13&gt;=Projects!$C$10,13&lt;Projects!$C$10+Projects!$D$10),IF(13=Projects!$C$10+Projects!$D$10-1,Projects!$B$10*Assumptions!$B$10/Projects!$D$10*0.95+0.05*Projects!$B$10*Assumptions!$B$10,Projects!$B$10*Assumptions!$B$10/Projects!$D$10*0.95),0)+IF(AND(Projects!$G$11="Yes",13&gt;=Projects!$C$11,13&lt;Projects!$C$11+Projects!$D$11),IF(13=Projects!$C$11+Projects!$D$11-1,Projects!$B$11*Assumptions!$B$10/Projects!$D$11*0.95+0.05*Projects!$B$11*Assumptions!$B$10,Projects!$B$11*Assumptions!$B$10/Projects!$D$11*0.95),0)+IF(AND(Projects!$G$12="Yes",13&gt;=Projects!$C$12,13&lt;Projects!$C$12+Projects!$D$12),IF(13=Projects!$C$12+Projects!$D$12-1,Projects!$B$12*Assumptions!$B$10/Projects!$D$12*0.95+0.05*Projects!$B$12*Assumptions!$B$10,Projects!$B$12*Assumptions!$B$10/Projects!$D$12*0.95),0)+IF(AND(Projects!$G$13="Yes",13&gt;=Projects!$C$13,13&lt;Projects!$C$13+Projects!$D$13),IF(13=Projects!$C$13+Projects!$D$13-1,Projects!$B$13*Assumptions!$B$10/Projects!$D$13*0.95+0.05*Projects!$B$13*Assumptions!$B$10,Projects!$B$13*Assumptions!$B$10/Projects!$D$13*0.95),0)+IF(AND(Projects!$G$14="Yes",13&gt;=Projects!$C$14,13&lt;Projects!$C$14+Projects!$D$14),IF(13=Projects!$C$14+Projects!$D$14-1,Projects!$B$14*Assumptions!$B$10/Projects!$D$14*0.95+0.05*Projects!$B$14*Assumptions!$B$10,Projects!$B$14*Assumptions!$B$10/Projects!$D$14*0.95),0)+IF(AND(Projects!$G$15="Yes",13&gt;=Projects!$C$15,13&lt;Projects!$C$15+Projects!$D$15),IF(13=Projects!$C$15+Projects!$D$15-1,Projects!$B$15*Assumptions!$B$10/Projects!$D$15*0.95+0.05*Projects!$B$15*Assumptions!$B$10,Projects!$B$15*Assumptions!$B$10/Projects!$D$15*0.95),0)+IF(AND(Projects!$G$16="Yes",13&gt;=Projects!$C$16,13&lt;Projects!$C$16+Projects!$D$16),IF(13=Projects!$C$16+Projects!$D$16-1,Projects!$B$16*Assumptions!$B$10/Projects!$D$16*0.95+0.05*Projects!$B$16*Assumptions!$B$10,Projects!$B$16*Assumptions!$B$10/Projects!$D$16*0.95),0)</f>
        <v>380960.79466314928</v>
      </c>
      <c r="P8" s="8">
        <f>IF(AND(Projects!$G$2="Yes",14&gt;=Projects!$C$2,14&lt;Projects!$C$2+Projects!$D$2),IF(14=Projects!$C$2+Projects!$D$2-1,194932/Projects!$D$2*0.95+0.05*194932,194932/Projects!$D$2*0.95),0)+IF(AND(Projects!$G$3="Yes",14&gt;=Projects!$C$3,14&lt;Projects!$C$3+Projects!$D$3),IF(14=Projects!$C$3+Projects!$D$3-1,888067/Projects!$D$3*0.95+0.05*888067,888067/Projects!$D$3*0.95),0)+IF(AND(Projects!$G$4="Yes",14&gt;=Projects!$C$4,14&lt;Projects!$C$4+Projects!$D$4),IF(14=Projects!$C$4+Projects!$D$4-1,Projects!$B$4*Assumptions!$B$10/Projects!$D$4*0.95+0.05*Projects!$B$4*Assumptions!$B$10,Projects!$B$4*Assumptions!$B$10/Projects!$D$4*0.95),0)+IF(AND(Projects!$G$5="Yes",14&gt;=Projects!$C$5,14&lt;Projects!$C$5+Projects!$D$5),IF(14=Projects!$C$5+Projects!$D$5-1,Projects!$B$5*Assumptions!$B$10/Projects!$D$5*0.95+0.05*Projects!$B$5*Assumptions!$B$10,Projects!$B$5*Assumptions!$B$10/Projects!$D$5*0.95),0)+IF(AND(Projects!$G$6="Yes",14&gt;=Projects!$C$6,14&lt;Projects!$C$6+Projects!$D$6),IF(14=Projects!$C$6+Projects!$D$6-1,245000/Projects!$D$6*0.95+0.05*245000,245000/Projects!$D$6*0.95),0)+IF(AND(Projects!$G$7="Yes",14&gt;=Projects!$C$7,14&lt;Projects!$C$7+Projects!$D$7),IF(14=Projects!$C$7+Projects!$D$7-1,Projects!$B$7*Assumptions!$B$10/Projects!$D$7*0.95+0.05*Projects!$B$7*Assumptions!$B$10,Projects!$B$7*Assumptions!$B$10/Projects!$D$7*0.95),0)+IF(AND(Projects!$G$8="Yes",14&gt;=Projects!$C$8,14&lt;Projects!$C$8+Projects!$D$8),IF(14=Projects!$C$8+Projects!$D$8-1,Projects!$B$8*Assumptions!$B$10/Projects!$D$8*0.95+0.05*Projects!$B$8*Assumptions!$B$10,Projects!$B$8*Assumptions!$B$10/Projects!$D$8*0.95),0)+IF(AND(Projects!$G$9="Yes",14&gt;=Projects!$C$9,14&lt;Projects!$C$9+Projects!$D$9),IF(14=Projects!$C$9+Projects!$D$9-1,Projects!$B$9*Assumptions!$B$10/Projects!$D$9*0.95+0.05*Projects!$B$9*Assumptions!$B$10,Projects!$B$9*Assumptions!$B$10/Projects!$D$9*0.95),0)+IF(AND(Projects!$G$10="Yes",14&gt;=Projects!$C$10,14&lt;Projects!$C$10+Projects!$D$10),IF(14=Projects!$C$10+Projects!$D$10-1,Projects!$B$10*Assumptions!$B$10/Projects!$D$10*0.95+0.05*Projects!$B$10*Assumptions!$B$10,Projects!$B$10*Assumptions!$B$10/Projects!$D$10*0.95),0)+IF(AND(Projects!$G$11="Yes",14&gt;=Projects!$C$11,14&lt;Projects!$C$11+Projects!$D$11),IF(14=Projects!$C$11+Projects!$D$11-1,Projects!$B$11*Assumptions!$B$10/Projects!$D$11*0.95+0.05*Projects!$B$11*Assumptions!$B$10,Projects!$B$11*Assumptions!$B$10/Projects!$D$11*0.95),0)+IF(AND(Projects!$G$12="Yes",14&gt;=Projects!$C$12,14&lt;Projects!$C$12+Projects!$D$12),IF(14=Projects!$C$12+Projects!$D$12-1,Projects!$B$12*Assumptions!$B$10/Projects!$D$12*0.95+0.05*Projects!$B$12*Assumptions!$B$10,Projects!$B$12*Assumptions!$B$10/Projects!$D$12*0.95),0)+IF(AND(Projects!$G$13="Yes",14&gt;=Projects!$C$13,14&lt;Projects!$C$13+Projects!$D$13),IF(14=Projects!$C$13+Projects!$D$13-1,Projects!$B$13*Assumptions!$B$10/Projects!$D$13*0.95+0.05*Projects!$B$13*Assumptions!$B$10,Projects!$B$13*Assumptions!$B$10/Projects!$D$13*0.95),0)+IF(AND(Projects!$G$14="Yes",14&gt;=Projects!$C$14,14&lt;Projects!$C$14+Projects!$D$14),IF(14=Projects!$C$14+Projects!$D$14-1,Projects!$B$14*Assumptions!$B$10/Projects!$D$14*0.95+0.05*Projects!$B$14*Assumptions!$B$10,Projects!$B$14*Assumptions!$B$10/Projects!$D$14*0.95),0)+IF(AND(Projects!$G$15="Yes",14&gt;=Projects!$C$15,14&lt;Projects!$C$15+Projects!$D$15),IF(14=Projects!$C$15+Projects!$D$15-1,Projects!$B$15*Assumptions!$B$10/Projects!$D$15*0.95+0.05*Projects!$B$15*Assumptions!$B$10,Projects!$B$15*Assumptions!$B$10/Projects!$D$15*0.95),0)+IF(AND(Projects!$G$16="Yes",14&gt;=Projects!$C$16,14&lt;Projects!$C$16+Projects!$D$16),IF(14=Projects!$C$16+Projects!$D$16-1,Projects!$B$16*Assumptions!$B$10/Projects!$D$16*0.95+0.05*Projects!$B$16*Assumptions!$B$10,Projects!$B$16*Assumptions!$B$10/Projects!$D$16*0.95),0)</f>
        <v>380960.79466314928</v>
      </c>
      <c r="Q8" s="8">
        <f>IF(AND(Projects!$G$2="Yes",15&gt;=Projects!$C$2,15&lt;Projects!$C$2+Projects!$D$2),IF(15=Projects!$C$2+Projects!$D$2-1,194932/Projects!$D$2*0.95+0.05*194932,194932/Projects!$D$2*0.95),0)+IF(AND(Projects!$G$3="Yes",15&gt;=Projects!$C$3,15&lt;Projects!$C$3+Projects!$D$3),IF(15=Projects!$C$3+Projects!$D$3-1,888067/Projects!$D$3*0.95+0.05*888067,888067/Projects!$D$3*0.95),0)+IF(AND(Projects!$G$4="Yes",15&gt;=Projects!$C$4,15&lt;Projects!$C$4+Projects!$D$4),IF(15=Projects!$C$4+Projects!$D$4-1,Projects!$B$4*Assumptions!$B$10/Projects!$D$4*0.95+0.05*Projects!$B$4*Assumptions!$B$10,Projects!$B$4*Assumptions!$B$10/Projects!$D$4*0.95),0)+IF(AND(Projects!$G$5="Yes",15&gt;=Projects!$C$5,15&lt;Projects!$C$5+Projects!$D$5),IF(15=Projects!$C$5+Projects!$D$5-1,Projects!$B$5*Assumptions!$B$10/Projects!$D$5*0.95+0.05*Projects!$B$5*Assumptions!$B$10,Projects!$B$5*Assumptions!$B$10/Projects!$D$5*0.95),0)+IF(AND(Projects!$G$6="Yes",15&gt;=Projects!$C$6,15&lt;Projects!$C$6+Projects!$D$6),IF(15=Projects!$C$6+Projects!$D$6-1,245000/Projects!$D$6*0.95+0.05*245000,245000/Projects!$D$6*0.95),0)+IF(AND(Projects!$G$7="Yes",15&gt;=Projects!$C$7,15&lt;Projects!$C$7+Projects!$D$7),IF(15=Projects!$C$7+Projects!$D$7-1,Projects!$B$7*Assumptions!$B$10/Projects!$D$7*0.95+0.05*Projects!$B$7*Assumptions!$B$10,Projects!$B$7*Assumptions!$B$10/Projects!$D$7*0.95),0)+IF(AND(Projects!$G$8="Yes",15&gt;=Projects!$C$8,15&lt;Projects!$C$8+Projects!$D$8),IF(15=Projects!$C$8+Projects!$D$8-1,Projects!$B$8*Assumptions!$B$10/Projects!$D$8*0.95+0.05*Projects!$B$8*Assumptions!$B$10,Projects!$B$8*Assumptions!$B$10/Projects!$D$8*0.95),0)+IF(AND(Projects!$G$9="Yes",15&gt;=Projects!$C$9,15&lt;Projects!$C$9+Projects!$D$9),IF(15=Projects!$C$9+Projects!$D$9-1,Projects!$B$9*Assumptions!$B$10/Projects!$D$9*0.95+0.05*Projects!$B$9*Assumptions!$B$10,Projects!$B$9*Assumptions!$B$10/Projects!$D$9*0.95),0)+IF(AND(Projects!$G$10="Yes",15&gt;=Projects!$C$10,15&lt;Projects!$C$10+Projects!$D$10),IF(15=Projects!$C$10+Projects!$D$10-1,Projects!$B$10*Assumptions!$B$10/Projects!$D$10*0.95+0.05*Projects!$B$10*Assumptions!$B$10,Projects!$B$10*Assumptions!$B$10/Projects!$D$10*0.95),0)+IF(AND(Projects!$G$11="Yes",15&gt;=Projects!$C$11,15&lt;Projects!$C$11+Projects!$D$11),IF(15=Projects!$C$11+Projects!$D$11-1,Projects!$B$11*Assumptions!$B$10/Projects!$D$11*0.95+0.05*Projects!$B$11*Assumptions!$B$10,Projects!$B$11*Assumptions!$B$10/Projects!$D$11*0.95),0)+IF(AND(Projects!$G$12="Yes",15&gt;=Projects!$C$12,15&lt;Projects!$C$12+Projects!$D$12),IF(15=Projects!$C$12+Projects!$D$12-1,Projects!$B$12*Assumptions!$B$10/Projects!$D$12*0.95+0.05*Projects!$B$12*Assumptions!$B$10,Projects!$B$12*Assumptions!$B$10/Projects!$D$12*0.95),0)+IF(AND(Projects!$G$13="Yes",15&gt;=Projects!$C$13,15&lt;Projects!$C$13+Projects!$D$13),IF(15=Projects!$C$13+Projects!$D$13-1,Projects!$B$13*Assumptions!$B$10/Projects!$D$13*0.95+0.05*Projects!$B$13*Assumptions!$B$10,Projects!$B$13*Assumptions!$B$10/Projects!$D$13*0.95),0)+IF(AND(Projects!$G$14="Yes",15&gt;=Projects!$C$14,15&lt;Projects!$C$14+Projects!$D$14),IF(15=Projects!$C$14+Projects!$D$14-1,Projects!$B$14*Assumptions!$B$10/Projects!$D$14*0.95+0.05*Projects!$B$14*Assumptions!$B$10,Projects!$B$14*Assumptions!$B$10/Projects!$D$14*0.95),0)+IF(AND(Projects!$G$15="Yes",15&gt;=Projects!$C$15,15&lt;Projects!$C$15+Projects!$D$15),IF(15=Projects!$C$15+Projects!$D$15-1,Projects!$B$15*Assumptions!$B$10/Projects!$D$15*0.95+0.05*Projects!$B$15*Assumptions!$B$10,Projects!$B$15*Assumptions!$B$10/Projects!$D$15*0.95),0)+IF(AND(Projects!$G$16="Yes",15&gt;=Projects!$C$16,15&lt;Projects!$C$16+Projects!$D$16),IF(15=Projects!$C$16+Projects!$D$16-1,Projects!$B$16*Assumptions!$B$10/Projects!$D$16*0.95+0.05*Projects!$B$16*Assumptions!$B$10,Projects!$B$16*Assumptions!$B$10/Projects!$D$16*0.95),0)</f>
        <v>445143.66154626617</v>
      </c>
      <c r="R8" s="8">
        <f>IF(AND(Projects!$G$2="Yes",16&gt;=Projects!$C$2,16&lt;Projects!$C$2+Projects!$D$2),IF(16=Projects!$C$2+Projects!$D$2-1,194932/Projects!$D$2*0.95+0.05*194932,194932/Projects!$D$2*0.95),0)+IF(AND(Projects!$G$3="Yes",16&gt;=Projects!$C$3,16&lt;Projects!$C$3+Projects!$D$3),IF(16=Projects!$C$3+Projects!$D$3-1,888067/Projects!$D$3*0.95+0.05*888067,888067/Projects!$D$3*0.95),0)+IF(AND(Projects!$G$4="Yes",16&gt;=Projects!$C$4,16&lt;Projects!$C$4+Projects!$D$4),IF(16=Projects!$C$4+Projects!$D$4-1,Projects!$B$4*Assumptions!$B$10/Projects!$D$4*0.95+0.05*Projects!$B$4*Assumptions!$B$10,Projects!$B$4*Assumptions!$B$10/Projects!$D$4*0.95),0)+IF(AND(Projects!$G$5="Yes",16&gt;=Projects!$C$5,16&lt;Projects!$C$5+Projects!$D$5),IF(16=Projects!$C$5+Projects!$D$5-1,Projects!$B$5*Assumptions!$B$10/Projects!$D$5*0.95+0.05*Projects!$B$5*Assumptions!$B$10,Projects!$B$5*Assumptions!$B$10/Projects!$D$5*0.95),0)+IF(AND(Projects!$G$6="Yes",16&gt;=Projects!$C$6,16&lt;Projects!$C$6+Projects!$D$6),IF(16=Projects!$C$6+Projects!$D$6-1,245000/Projects!$D$6*0.95+0.05*245000,245000/Projects!$D$6*0.95),0)+IF(AND(Projects!$G$7="Yes",16&gt;=Projects!$C$7,16&lt;Projects!$C$7+Projects!$D$7),IF(16=Projects!$C$7+Projects!$D$7-1,Projects!$B$7*Assumptions!$B$10/Projects!$D$7*0.95+0.05*Projects!$B$7*Assumptions!$B$10,Projects!$B$7*Assumptions!$B$10/Projects!$D$7*0.95),0)+IF(AND(Projects!$G$8="Yes",16&gt;=Projects!$C$8,16&lt;Projects!$C$8+Projects!$D$8),IF(16=Projects!$C$8+Projects!$D$8-1,Projects!$B$8*Assumptions!$B$10/Projects!$D$8*0.95+0.05*Projects!$B$8*Assumptions!$B$10,Projects!$B$8*Assumptions!$B$10/Projects!$D$8*0.95),0)+IF(AND(Projects!$G$9="Yes",16&gt;=Projects!$C$9,16&lt;Projects!$C$9+Projects!$D$9),IF(16=Projects!$C$9+Projects!$D$9-1,Projects!$B$9*Assumptions!$B$10/Projects!$D$9*0.95+0.05*Projects!$B$9*Assumptions!$B$10,Projects!$B$9*Assumptions!$B$10/Projects!$D$9*0.95),0)+IF(AND(Projects!$G$10="Yes",16&gt;=Projects!$C$10,16&lt;Projects!$C$10+Projects!$D$10),IF(16=Projects!$C$10+Projects!$D$10-1,Projects!$B$10*Assumptions!$B$10/Projects!$D$10*0.95+0.05*Projects!$B$10*Assumptions!$B$10,Projects!$B$10*Assumptions!$B$10/Projects!$D$10*0.95),0)+IF(AND(Projects!$G$11="Yes",16&gt;=Projects!$C$11,16&lt;Projects!$C$11+Projects!$D$11),IF(16=Projects!$C$11+Projects!$D$11-1,Projects!$B$11*Assumptions!$B$10/Projects!$D$11*0.95+0.05*Projects!$B$11*Assumptions!$B$10,Projects!$B$11*Assumptions!$B$10/Projects!$D$11*0.95),0)+IF(AND(Projects!$G$12="Yes",16&gt;=Projects!$C$12,16&lt;Projects!$C$12+Projects!$D$12),IF(16=Projects!$C$12+Projects!$D$12-1,Projects!$B$12*Assumptions!$B$10/Projects!$D$12*0.95+0.05*Projects!$B$12*Assumptions!$B$10,Projects!$B$12*Assumptions!$B$10/Projects!$D$12*0.95),0)+IF(AND(Projects!$G$13="Yes",16&gt;=Projects!$C$13,16&lt;Projects!$C$13+Projects!$D$13),IF(16=Projects!$C$13+Projects!$D$13-1,Projects!$B$13*Assumptions!$B$10/Projects!$D$13*0.95+0.05*Projects!$B$13*Assumptions!$B$10,Projects!$B$13*Assumptions!$B$10/Projects!$D$13*0.95),0)+IF(AND(Projects!$G$14="Yes",16&gt;=Projects!$C$14,16&lt;Projects!$C$14+Projects!$D$14),IF(16=Projects!$C$14+Projects!$D$14-1,Projects!$B$14*Assumptions!$B$10/Projects!$D$14*0.95+0.05*Projects!$B$14*Assumptions!$B$10,Projects!$B$14*Assumptions!$B$10/Projects!$D$14*0.95),0)+IF(AND(Projects!$G$15="Yes",16&gt;=Projects!$C$15,16&lt;Projects!$C$15+Projects!$D$15),IF(16=Projects!$C$15+Projects!$D$15-1,Projects!$B$15*Assumptions!$B$10/Projects!$D$15*0.95+0.05*Projects!$B$15*Assumptions!$B$10,Projects!$B$15*Assumptions!$B$10/Projects!$D$15*0.95),0)+IF(AND(Projects!$G$16="Yes",16&gt;=Projects!$C$16,16&lt;Projects!$C$16+Projects!$D$16),IF(16=Projects!$C$16+Projects!$D$16-1,Projects!$B$16*Assumptions!$B$10/Projects!$D$16*0.95+0.05*Projects!$B$16*Assumptions!$B$10,Projects!$B$16*Assumptions!$B$10/Projects!$D$16*0.95),0)</f>
        <v>344065.84661120124</v>
      </c>
      <c r="S8" s="8">
        <f>IF(AND(Projects!$G$2="Yes",17&gt;=Projects!$C$2,17&lt;Projects!$C$2+Projects!$D$2),IF(17=Projects!$C$2+Projects!$D$2-1,194932/Projects!$D$2*0.95+0.05*194932,194932/Projects!$D$2*0.95),0)+IF(AND(Projects!$G$3="Yes",17&gt;=Projects!$C$3,17&lt;Projects!$C$3+Projects!$D$3),IF(17=Projects!$C$3+Projects!$D$3-1,888067/Projects!$D$3*0.95+0.05*888067,888067/Projects!$D$3*0.95),0)+IF(AND(Projects!$G$4="Yes",17&gt;=Projects!$C$4,17&lt;Projects!$C$4+Projects!$D$4),IF(17=Projects!$C$4+Projects!$D$4-1,Projects!$B$4*Assumptions!$B$10/Projects!$D$4*0.95+0.05*Projects!$B$4*Assumptions!$B$10,Projects!$B$4*Assumptions!$B$10/Projects!$D$4*0.95),0)+IF(AND(Projects!$G$5="Yes",17&gt;=Projects!$C$5,17&lt;Projects!$C$5+Projects!$D$5),IF(17=Projects!$C$5+Projects!$D$5-1,Projects!$B$5*Assumptions!$B$10/Projects!$D$5*0.95+0.05*Projects!$B$5*Assumptions!$B$10,Projects!$B$5*Assumptions!$B$10/Projects!$D$5*0.95),0)+IF(AND(Projects!$G$6="Yes",17&gt;=Projects!$C$6,17&lt;Projects!$C$6+Projects!$D$6),IF(17=Projects!$C$6+Projects!$D$6-1,245000/Projects!$D$6*0.95+0.05*245000,245000/Projects!$D$6*0.95),0)+IF(AND(Projects!$G$7="Yes",17&gt;=Projects!$C$7,17&lt;Projects!$C$7+Projects!$D$7),IF(17=Projects!$C$7+Projects!$D$7-1,Projects!$B$7*Assumptions!$B$10/Projects!$D$7*0.95+0.05*Projects!$B$7*Assumptions!$B$10,Projects!$B$7*Assumptions!$B$10/Projects!$D$7*0.95),0)+IF(AND(Projects!$G$8="Yes",17&gt;=Projects!$C$8,17&lt;Projects!$C$8+Projects!$D$8),IF(17=Projects!$C$8+Projects!$D$8-1,Projects!$B$8*Assumptions!$B$10/Projects!$D$8*0.95+0.05*Projects!$B$8*Assumptions!$B$10,Projects!$B$8*Assumptions!$B$10/Projects!$D$8*0.95),0)+IF(AND(Projects!$G$9="Yes",17&gt;=Projects!$C$9,17&lt;Projects!$C$9+Projects!$D$9),IF(17=Projects!$C$9+Projects!$D$9-1,Projects!$B$9*Assumptions!$B$10/Projects!$D$9*0.95+0.05*Projects!$B$9*Assumptions!$B$10,Projects!$B$9*Assumptions!$B$10/Projects!$D$9*0.95),0)+IF(AND(Projects!$G$10="Yes",17&gt;=Projects!$C$10,17&lt;Projects!$C$10+Projects!$D$10),IF(17=Projects!$C$10+Projects!$D$10-1,Projects!$B$10*Assumptions!$B$10/Projects!$D$10*0.95+0.05*Projects!$B$10*Assumptions!$B$10,Projects!$B$10*Assumptions!$B$10/Projects!$D$10*0.95),0)+IF(AND(Projects!$G$11="Yes",17&gt;=Projects!$C$11,17&lt;Projects!$C$11+Projects!$D$11),IF(17=Projects!$C$11+Projects!$D$11-1,Projects!$B$11*Assumptions!$B$10/Projects!$D$11*0.95+0.05*Projects!$B$11*Assumptions!$B$10,Projects!$B$11*Assumptions!$B$10/Projects!$D$11*0.95),0)+IF(AND(Projects!$G$12="Yes",17&gt;=Projects!$C$12,17&lt;Projects!$C$12+Projects!$D$12),IF(17=Projects!$C$12+Projects!$D$12-1,Projects!$B$12*Assumptions!$B$10/Projects!$D$12*0.95+0.05*Projects!$B$12*Assumptions!$B$10,Projects!$B$12*Assumptions!$B$10/Projects!$D$12*0.95),0)+IF(AND(Projects!$G$13="Yes",17&gt;=Projects!$C$13,17&lt;Projects!$C$13+Projects!$D$13),IF(17=Projects!$C$13+Projects!$D$13-1,Projects!$B$13*Assumptions!$B$10/Projects!$D$13*0.95+0.05*Projects!$B$13*Assumptions!$B$10,Projects!$B$13*Assumptions!$B$10/Projects!$D$13*0.95),0)+IF(AND(Projects!$G$14="Yes",17&gt;=Projects!$C$14,17&lt;Projects!$C$14+Projects!$D$14),IF(17=Projects!$C$14+Projects!$D$14-1,Projects!$B$14*Assumptions!$B$10/Projects!$D$14*0.95+0.05*Projects!$B$14*Assumptions!$B$10,Projects!$B$14*Assumptions!$B$10/Projects!$D$14*0.95),0)+IF(AND(Projects!$G$15="Yes",17&gt;=Projects!$C$15,17&lt;Projects!$C$15+Projects!$D$15),IF(17=Projects!$C$15+Projects!$D$15-1,Projects!$B$15*Assumptions!$B$10/Projects!$D$15*0.95+0.05*Projects!$B$15*Assumptions!$B$10,Projects!$B$15*Assumptions!$B$10/Projects!$D$15*0.95),0)+IF(AND(Projects!$G$16="Yes",17&gt;=Projects!$C$16,17&lt;Projects!$C$16+Projects!$D$16),IF(17=Projects!$C$16+Projects!$D$16-1,Projects!$B$16*Assumptions!$B$10/Projects!$D$16*0.95+0.05*Projects!$B$16*Assumptions!$B$10,Projects!$B$16*Assumptions!$B$10/Projects!$D$16*0.95),0)</f>
        <v>246933.5184862013</v>
      </c>
      <c r="T8" s="8">
        <f>IF(AND(Projects!$G$2="Yes",18&gt;=Projects!$C$2,18&lt;Projects!$C$2+Projects!$D$2),IF(18=Projects!$C$2+Projects!$D$2-1,194932/Projects!$D$2*0.95+0.05*194932,194932/Projects!$D$2*0.95),0)+IF(AND(Projects!$G$3="Yes",18&gt;=Projects!$C$3,18&lt;Projects!$C$3+Projects!$D$3),IF(18=Projects!$C$3+Projects!$D$3-1,888067/Projects!$D$3*0.95+0.05*888067,888067/Projects!$D$3*0.95),0)+IF(AND(Projects!$G$4="Yes",18&gt;=Projects!$C$4,18&lt;Projects!$C$4+Projects!$D$4),IF(18=Projects!$C$4+Projects!$D$4-1,Projects!$B$4*Assumptions!$B$10/Projects!$D$4*0.95+0.05*Projects!$B$4*Assumptions!$B$10,Projects!$B$4*Assumptions!$B$10/Projects!$D$4*0.95),0)+IF(AND(Projects!$G$5="Yes",18&gt;=Projects!$C$5,18&lt;Projects!$C$5+Projects!$D$5),IF(18=Projects!$C$5+Projects!$D$5-1,Projects!$B$5*Assumptions!$B$10/Projects!$D$5*0.95+0.05*Projects!$B$5*Assumptions!$B$10,Projects!$B$5*Assumptions!$B$10/Projects!$D$5*0.95),0)+IF(AND(Projects!$G$6="Yes",18&gt;=Projects!$C$6,18&lt;Projects!$C$6+Projects!$D$6),IF(18=Projects!$C$6+Projects!$D$6-1,245000/Projects!$D$6*0.95+0.05*245000,245000/Projects!$D$6*0.95),0)+IF(AND(Projects!$G$7="Yes",18&gt;=Projects!$C$7,18&lt;Projects!$C$7+Projects!$D$7),IF(18=Projects!$C$7+Projects!$D$7-1,Projects!$B$7*Assumptions!$B$10/Projects!$D$7*0.95+0.05*Projects!$B$7*Assumptions!$B$10,Projects!$B$7*Assumptions!$B$10/Projects!$D$7*0.95),0)+IF(AND(Projects!$G$8="Yes",18&gt;=Projects!$C$8,18&lt;Projects!$C$8+Projects!$D$8),IF(18=Projects!$C$8+Projects!$D$8-1,Projects!$B$8*Assumptions!$B$10/Projects!$D$8*0.95+0.05*Projects!$B$8*Assumptions!$B$10,Projects!$B$8*Assumptions!$B$10/Projects!$D$8*0.95),0)+IF(AND(Projects!$G$9="Yes",18&gt;=Projects!$C$9,18&lt;Projects!$C$9+Projects!$D$9),IF(18=Projects!$C$9+Projects!$D$9-1,Projects!$B$9*Assumptions!$B$10/Projects!$D$9*0.95+0.05*Projects!$B$9*Assumptions!$B$10,Projects!$B$9*Assumptions!$B$10/Projects!$D$9*0.95),0)+IF(AND(Projects!$G$10="Yes",18&gt;=Projects!$C$10,18&lt;Projects!$C$10+Projects!$D$10),IF(18=Projects!$C$10+Projects!$D$10-1,Projects!$B$10*Assumptions!$B$10/Projects!$D$10*0.95+0.05*Projects!$B$10*Assumptions!$B$10,Projects!$B$10*Assumptions!$B$10/Projects!$D$10*0.95),0)+IF(AND(Projects!$G$11="Yes",18&gt;=Projects!$C$11,18&lt;Projects!$C$11+Projects!$D$11),IF(18=Projects!$C$11+Projects!$D$11-1,Projects!$B$11*Assumptions!$B$10/Projects!$D$11*0.95+0.05*Projects!$B$11*Assumptions!$B$10,Projects!$B$11*Assumptions!$B$10/Projects!$D$11*0.95),0)+IF(AND(Projects!$G$12="Yes",18&gt;=Projects!$C$12,18&lt;Projects!$C$12+Projects!$D$12),IF(18=Projects!$C$12+Projects!$D$12-1,Projects!$B$12*Assumptions!$B$10/Projects!$D$12*0.95+0.05*Projects!$B$12*Assumptions!$B$10,Projects!$B$12*Assumptions!$B$10/Projects!$D$12*0.95),0)+IF(AND(Projects!$G$13="Yes",18&gt;=Projects!$C$13,18&lt;Projects!$C$13+Projects!$D$13),IF(18=Projects!$C$13+Projects!$D$13-1,Projects!$B$13*Assumptions!$B$10/Projects!$D$13*0.95+0.05*Projects!$B$13*Assumptions!$B$10,Projects!$B$13*Assumptions!$B$10/Projects!$D$13*0.95),0)+IF(AND(Projects!$G$14="Yes",18&gt;=Projects!$C$14,18&lt;Projects!$C$14+Projects!$D$14),IF(18=Projects!$C$14+Projects!$D$14-1,Projects!$B$14*Assumptions!$B$10/Projects!$D$14*0.95+0.05*Projects!$B$14*Assumptions!$B$10,Projects!$B$14*Assumptions!$B$10/Projects!$D$14*0.95),0)+IF(AND(Projects!$G$15="Yes",18&gt;=Projects!$C$15,18&lt;Projects!$C$15+Projects!$D$15),IF(18=Projects!$C$15+Projects!$D$15-1,Projects!$B$15*Assumptions!$B$10/Projects!$D$15*0.95+0.05*Projects!$B$15*Assumptions!$B$10,Projects!$B$15*Assumptions!$B$10/Projects!$D$15*0.95),0)+IF(AND(Projects!$G$16="Yes",18&gt;=Projects!$C$16,18&lt;Projects!$C$16+Projects!$D$16),IF(18=Projects!$C$16+Projects!$D$16-1,Projects!$B$16*Assumptions!$B$10/Projects!$D$16*0.95+0.05*Projects!$B$16*Assumptions!$B$10,Projects!$B$16*Assumptions!$B$10/Projects!$D$16*0.95),0)</f>
        <v>246933.5184862013</v>
      </c>
      <c r="U8" s="8">
        <f>IF(AND(Projects!$G$2="Yes",19&gt;=Projects!$C$2,19&lt;Projects!$C$2+Projects!$D$2),IF(19=Projects!$C$2+Projects!$D$2-1,194932/Projects!$D$2*0.95+0.05*194932,194932/Projects!$D$2*0.95),0)+IF(AND(Projects!$G$3="Yes",19&gt;=Projects!$C$3,19&lt;Projects!$C$3+Projects!$D$3),IF(19=Projects!$C$3+Projects!$D$3-1,888067/Projects!$D$3*0.95+0.05*888067,888067/Projects!$D$3*0.95),0)+IF(AND(Projects!$G$4="Yes",19&gt;=Projects!$C$4,19&lt;Projects!$C$4+Projects!$D$4),IF(19=Projects!$C$4+Projects!$D$4-1,Projects!$B$4*Assumptions!$B$10/Projects!$D$4*0.95+0.05*Projects!$B$4*Assumptions!$B$10,Projects!$B$4*Assumptions!$B$10/Projects!$D$4*0.95),0)+IF(AND(Projects!$G$5="Yes",19&gt;=Projects!$C$5,19&lt;Projects!$C$5+Projects!$D$5),IF(19=Projects!$C$5+Projects!$D$5-1,Projects!$B$5*Assumptions!$B$10/Projects!$D$5*0.95+0.05*Projects!$B$5*Assumptions!$B$10,Projects!$B$5*Assumptions!$B$10/Projects!$D$5*0.95),0)+IF(AND(Projects!$G$6="Yes",19&gt;=Projects!$C$6,19&lt;Projects!$C$6+Projects!$D$6),IF(19=Projects!$C$6+Projects!$D$6-1,245000/Projects!$D$6*0.95+0.05*245000,245000/Projects!$D$6*0.95),0)+IF(AND(Projects!$G$7="Yes",19&gt;=Projects!$C$7,19&lt;Projects!$C$7+Projects!$D$7),IF(19=Projects!$C$7+Projects!$D$7-1,Projects!$B$7*Assumptions!$B$10/Projects!$D$7*0.95+0.05*Projects!$B$7*Assumptions!$B$10,Projects!$B$7*Assumptions!$B$10/Projects!$D$7*0.95),0)+IF(AND(Projects!$G$8="Yes",19&gt;=Projects!$C$8,19&lt;Projects!$C$8+Projects!$D$8),IF(19=Projects!$C$8+Projects!$D$8-1,Projects!$B$8*Assumptions!$B$10/Projects!$D$8*0.95+0.05*Projects!$B$8*Assumptions!$B$10,Projects!$B$8*Assumptions!$B$10/Projects!$D$8*0.95),0)+IF(AND(Projects!$G$9="Yes",19&gt;=Projects!$C$9,19&lt;Projects!$C$9+Projects!$D$9),IF(19=Projects!$C$9+Projects!$D$9-1,Projects!$B$9*Assumptions!$B$10/Projects!$D$9*0.95+0.05*Projects!$B$9*Assumptions!$B$10,Projects!$B$9*Assumptions!$B$10/Projects!$D$9*0.95),0)+IF(AND(Projects!$G$10="Yes",19&gt;=Projects!$C$10,19&lt;Projects!$C$10+Projects!$D$10),IF(19=Projects!$C$10+Projects!$D$10-1,Projects!$B$10*Assumptions!$B$10/Projects!$D$10*0.95+0.05*Projects!$B$10*Assumptions!$B$10,Projects!$B$10*Assumptions!$B$10/Projects!$D$10*0.95),0)+IF(AND(Projects!$G$11="Yes",19&gt;=Projects!$C$11,19&lt;Projects!$C$11+Projects!$D$11),IF(19=Projects!$C$11+Projects!$D$11-1,Projects!$B$11*Assumptions!$B$10/Projects!$D$11*0.95+0.05*Projects!$B$11*Assumptions!$B$10,Projects!$B$11*Assumptions!$B$10/Projects!$D$11*0.95),0)+IF(AND(Projects!$G$12="Yes",19&gt;=Projects!$C$12,19&lt;Projects!$C$12+Projects!$D$12),IF(19=Projects!$C$12+Projects!$D$12-1,Projects!$B$12*Assumptions!$B$10/Projects!$D$12*0.95+0.05*Projects!$B$12*Assumptions!$B$10,Projects!$B$12*Assumptions!$B$10/Projects!$D$12*0.95),0)+IF(AND(Projects!$G$13="Yes",19&gt;=Projects!$C$13,19&lt;Projects!$C$13+Projects!$D$13),IF(19=Projects!$C$13+Projects!$D$13-1,Projects!$B$13*Assumptions!$B$10/Projects!$D$13*0.95+0.05*Projects!$B$13*Assumptions!$B$10,Projects!$B$13*Assumptions!$B$10/Projects!$D$13*0.95),0)+IF(AND(Projects!$G$14="Yes",19&gt;=Projects!$C$14,19&lt;Projects!$C$14+Projects!$D$14),IF(19=Projects!$C$14+Projects!$D$14-1,Projects!$B$14*Assumptions!$B$10/Projects!$D$14*0.95+0.05*Projects!$B$14*Assumptions!$B$10,Projects!$B$14*Assumptions!$B$10/Projects!$D$14*0.95),0)+IF(AND(Projects!$G$15="Yes",19&gt;=Projects!$C$15,19&lt;Projects!$C$15+Projects!$D$15),IF(19=Projects!$C$15+Projects!$D$15-1,Projects!$B$15*Assumptions!$B$10/Projects!$D$15*0.95+0.05*Projects!$B$15*Assumptions!$B$10,Projects!$B$15*Assumptions!$B$10/Projects!$D$15*0.95),0)+IF(AND(Projects!$G$16="Yes",19&gt;=Projects!$C$16,19&lt;Projects!$C$16+Projects!$D$16),IF(19=Projects!$C$16+Projects!$D$16-1,Projects!$B$16*Assumptions!$B$10/Projects!$D$16*0.95+0.05*Projects!$B$16*Assumptions!$B$10,Projects!$B$16*Assumptions!$B$10/Projects!$D$16*0.95),0)</f>
        <v>259183.5184862013</v>
      </c>
      <c r="V8" s="8">
        <f>IF(AND(Projects!$G$2="Yes",20&gt;=Projects!$C$2,20&lt;Projects!$C$2+Projects!$D$2),IF(20=Projects!$C$2+Projects!$D$2-1,194932/Projects!$D$2*0.95+0.05*194932,194932/Projects!$D$2*0.95),0)+IF(AND(Projects!$G$3="Yes",20&gt;=Projects!$C$3,20&lt;Projects!$C$3+Projects!$D$3),IF(20=Projects!$C$3+Projects!$D$3-1,888067/Projects!$D$3*0.95+0.05*888067,888067/Projects!$D$3*0.95),0)+IF(AND(Projects!$G$4="Yes",20&gt;=Projects!$C$4,20&lt;Projects!$C$4+Projects!$D$4),IF(20=Projects!$C$4+Projects!$D$4-1,Projects!$B$4*Assumptions!$B$10/Projects!$D$4*0.95+0.05*Projects!$B$4*Assumptions!$B$10,Projects!$B$4*Assumptions!$B$10/Projects!$D$4*0.95),0)+IF(AND(Projects!$G$5="Yes",20&gt;=Projects!$C$5,20&lt;Projects!$C$5+Projects!$D$5),IF(20=Projects!$C$5+Projects!$D$5-1,Projects!$B$5*Assumptions!$B$10/Projects!$D$5*0.95+0.05*Projects!$B$5*Assumptions!$B$10,Projects!$B$5*Assumptions!$B$10/Projects!$D$5*0.95),0)+IF(AND(Projects!$G$6="Yes",20&gt;=Projects!$C$6,20&lt;Projects!$C$6+Projects!$D$6),IF(20=Projects!$C$6+Projects!$D$6-1,245000/Projects!$D$6*0.95+0.05*245000,245000/Projects!$D$6*0.95),0)+IF(AND(Projects!$G$7="Yes",20&gt;=Projects!$C$7,20&lt;Projects!$C$7+Projects!$D$7),IF(20=Projects!$C$7+Projects!$D$7-1,Projects!$B$7*Assumptions!$B$10/Projects!$D$7*0.95+0.05*Projects!$B$7*Assumptions!$B$10,Projects!$B$7*Assumptions!$B$10/Projects!$D$7*0.95),0)+IF(AND(Projects!$G$8="Yes",20&gt;=Projects!$C$8,20&lt;Projects!$C$8+Projects!$D$8),IF(20=Projects!$C$8+Projects!$D$8-1,Projects!$B$8*Assumptions!$B$10/Projects!$D$8*0.95+0.05*Projects!$B$8*Assumptions!$B$10,Projects!$B$8*Assumptions!$B$10/Projects!$D$8*0.95),0)+IF(AND(Projects!$G$9="Yes",20&gt;=Projects!$C$9,20&lt;Projects!$C$9+Projects!$D$9),IF(20=Projects!$C$9+Projects!$D$9-1,Projects!$B$9*Assumptions!$B$10/Projects!$D$9*0.95+0.05*Projects!$B$9*Assumptions!$B$10,Projects!$B$9*Assumptions!$B$10/Projects!$D$9*0.95),0)+IF(AND(Projects!$G$10="Yes",20&gt;=Projects!$C$10,20&lt;Projects!$C$10+Projects!$D$10),IF(20=Projects!$C$10+Projects!$D$10-1,Projects!$B$10*Assumptions!$B$10/Projects!$D$10*0.95+0.05*Projects!$B$10*Assumptions!$B$10,Projects!$B$10*Assumptions!$B$10/Projects!$D$10*0.95),0)+IF(AND(Projects!$G$11="Yes",20&gt;=Projects!$C$11,20&lt;Projects!$C$11+Projects!$D$11),IF(20=Projects!$C$11+Projects!$D$11-1,Projects!$B$11*Assumptions!$B$10/Projects!$D$11*0.95+0.05*Projects!$B$11*Assumptions!$B$10,Projects!$B$11*Assumptions!$B$10/Projects!$D$11*0.95),0)+IF(AND(Projects!$G$12="Yes",20&gt;=Projects!$C$12,20&lt;Projects!$C$12+Projects!$D$12),IF(20=Projects!$C$12+Projects!$D$12-1,Projects!$B$12*Assumptions!$B$10/Projects!$D$12*0.95+0.05*Projects!$B$12*Assumptions!$B$10,Projects!$B$12*Assumptions!$B$10/Projects!$D$12*0.95),0)+IF(AND(Projects!$G$13="Yes",20&gt;=Projects!$C$13,20&lt;Projects!$C$13+Projects!$D$13),IF(20=Projects!$C$13+Projects!$D$13-1,Projects!$B$13*Assumptions!$B$10/Projects!$D$13*0.95+0.05*Projects!$B$13*Assumptions!$B$10,Projects!$B$13*Assumptions!$B$10/Projects!$D$13*0.95),0)+IF(AND(Projects!$G$14="Yes",20&gt;=Projects!$C$14,20&lt;Projects!$C$14+Projects!$D$14),IF(20=Projects!$C$14+Projects!$D$14-1,Projects!$B$14*Assumptions!$B$10/Projects!$D$14*0.95+0.05*Projects!$B$14*Assumptions!$B$10,Projects!$B$14*Assumptions!$B$10/Projects!$D$14*0.95),0)+IF(AND(Projects!$G$15="Yes",20&gt;=Projects!$C$15,20&lt;Projects!$C$15+Projects!$D$15),IF(20=Projects!$C$15+Projects!$D$15-1,Projects!$B$15*Assumptions!$B$10/Projects!$D$15*0.95+0.05*Projects!$B$15*Assumptions!$B$10,Projects!$B$15*Assumptions!$B$10/Projects!$D$15*0.95),0)+IF(AND(Projects!$G$16="Yes",20&gt;=Projects!$C$16,20&lt;Projects!$C$16+Projects!$D$16),IF(20=Projects!$C$16+Projects!$D$16-1,Projects!$B$16*Assumptions!$B$10/Projects!$D$16*0.95+0.05*Projects!$B$16*Assumptions!$B$10,Projects!$B$16*Assumptions!$B$10/Projects!$D$16*0.95),0)</f>
        <v>234683.51848620124</v>
      </c>
      <c r="W8" s="8">
        <f>IF(AND(Projects!$G$2="Yes",21&gt;=Projects!$C$2,21&lt;Projects!$C$2+Projects!$D$2),IF(21=Projects!$C$2+Projects!$D$2-1,194932/Projects!$D$2*0.95+0.05*194932,194932/Projects!$D$2*0.95),0)+IF(AND(Projects!$G$3="Yes",21&gt;=Projects!$C$3,21&lt;Projects!$C$3+Projects!$D$3),IF(21=Projects!$C$3+Projects!$D$3-1,888067/Projects!$D$3*0.95+0.05*888067,888067/Projects!$D$3*0.95),0)+IF(AND(Projects!$G$4="Yes",21&gt;=Projects!$C$4,21&lt;Projects!$C$4+Projects!$D$4),IF(21=Projects!$C$4+Projects!$D$4-1,Projects!$B$4*Assumptions!$B$10/Projects!$D$4*0.95+0.05*Projects!$B$4*Assumptions!$B$10,Projects!$B$4*Assumptions!$B$10/Projects!$D$4*0.95),0)+IF(AND(Projects!$G$5="Yes",21&gt;=Projects!$C$5,21&lt;Projects!$C$5+Projects!$D$5),IF(21=Projects!$C$5+Projects!$D$5-1,Projects!$B$5*Assumptions!$B$10/Projects!$D$5*0.95+0.05*Projects!$B$5*Assumptions!$B$10,Projects!$B$5*Assumptions!$B$10/Projects!$D$5*0.95),0)+IF(AND(Projects!$G$6="Yes",21&gt;=Projects!$C$6,21&lt;Projects!$C$6+Projects!$D$6),IF(21=Projects!$C$6+Projects!$D$6-1,245000/Projects!$D$6*0.95+0.05*245000,245000/Projects!$D$6*0.95),0)+IF(AND(Projects!$G$7="Yes",21&gt;=Projects!$C$7,21&lt;Projects!$C$7+Projects!$D$7),IF(21=Projects!$C$7+Projects!$D$7-1,Projects!$B$7*Assumptions!$B$10/Projects!$D$7*0.95+0.05*Projects!$B$7*Assumptions!$B$10,Projects!$B$7*Assumptions!$B$10/Projects!$D$7*0.95),0)+IF(AND(Projects!$G$8="Yes",21&gt;=Projects!$C$8,21&lt;Projects!$C$8+Projects!$D$8),IF(21=Projects!$C$8+Projects!$D$8-1,Projects!$B$8*Assumptions!$B$10/Projects!$D$8*0.95+0.05*Projects!$B$8*Assumptions!$B$10,Projects!$B$8*Assumptions!$B$10/Projects!$D$8*0.95),0)+IF(AND(Projects!$G$9="Yes",21&gt;=Projects!$C$9,21&lt;Projects!$C$9+Projects!$D$9),IF(21=Projects!$C$9+Projects!$D$9-1,Projects!$B$9*Assumptions!$B$10/Projects!$D$9*0.95+0.05*Projects!$B$9*Assumptions!$B$10,Projects!$B$9*Assumptions!$B$10/Projects!$D$9*0.95),0)+IF(AND(Projects!$G$10="Yes",21&gt;=Projects!$C$10,21&lt;Projects!$C$10+Projects!$D$10),IF(21=Projects!$C$10+Projects!$D$10-1,Projects!$B$10*Assumptions!$B$10/Projects!$D$10*0.95+0.05*Projects!$B$10*Assumptions!$B$10,Projects!$B$10*Assumptions!$B$10/Projects!$D$10*0.95),0)+IF(AND(Projects!$G$11="Yes",21&gt;=Projects!$C$11,21&lt;Projects!$C$11+Projects!$D$11),IF(21=Projects!$C$11+Projects!$D$11-1,Projects!$B$11*Assumptions!$B$10/Projects!$D$11*0.95+0.05*Projects!$B$11*Assumptions!$B$10,Projects!$B$11*Assumptions!$B$10/Projects!$D$11*0.95),0)+IF(AND(Projects!$G$12="Yes",21&gt;=Projects!$C$12,21&lt;Projects!$C$12+Projects!$D$12),IF(21=Projects!$C$12+Projects!$D$12-1,Projects!$B$12*Assumptions!$B$10/Projects!$D$12*0.95+0.05*Projects!$B$12*Assumptions!$B$10,Projects!$B$12*Assumptions!$B$10/Projects!$D$12*0.95),0)+IF(AND(Projects!$G$13="Yes",21&gt;=Projects!$C$13,21&lt;Projects!$C$13+Projects!$D$13),IF(21=Projects!$C$13+Projects!$D$13-1,Projects!$B$13*Assumptions!$B$10/Projects!$D$13*0.95+0.05*Projects!$B$13*Assumptions!$B$10,Projects!$B$13*Assumptions!$B$10/Projects!$D$13*0.95),0)+IF(AND(Projects!$G$14="Yes",21&gt;=Projects!$C$14,21&lt;Projects!$C$14+Projects!$D$14),IF(21=Projects!$C$14+Projects!$D$14-1,Projects!$B$14*Assumptions!$B$10/Projects!$D$14*0.95+0.05*Projects!$B$14*Assumptions!$B$10,Projects!$B$14*Assumptions!$B$10/Projects!$D$14*0.95),0)+IF(AND(Projects!$G$15="Yes",21&gt;=Projects!$C$15,21&lt;Projects!$C$15+Projects!$D$15),IF(21=Projects!$C$15+Projects!$D$15-1,Projects!$B$15*Assumptions!$B$10/Projects!$D$15*0.95+0.05*Projects!$B$15*Assumptions!$B$10,Projects!$B$15*Assumptions!$B$10/Projects!$D$15*0.95),0)+IF(AND(Projects!$G$16="Yes",21&gt;=Projects!$C$16,21&lt;Projects!$C$16+Projects!$D$16),IF(21=Projects!$C$16+Projects!$D$16-1,Projects!$B$16*Assumptions!$B$10/Projects!$D$16*0.95+0.05*Projects!$B$16*Assumptions!$B$10,Projects!$B$16*Assumptions!$B$10/Projects!$D$16*0.95),0)</f>
        <v>234683.51848620124</v>
      </c>
      <c r="X8" s="8">
        <f>IF(AND(Projects!$G$2="Yes",22&gt;=Projects!$C$2,22&lt;Projects!$C$2+Projects!$D$2),IF(22=Projects!$C$2+Projects!$D$2-1,194932/Projects!$D$2*0.95+0.05*194932,194932/Projects!$D$2*0.95),0)+IF(AND(Projects!$G$3="Yes",22&gt;=Projects!$C$3,22&lt;Projects!$C$3+Projects!$D$3),IF(22=Projects!$C$3+Projects!$D$3-1,888067/Projects!$D$3*0.95+0.05*888067,888067/Projects!$D$3*0.95),0)+IF(AND(Projects!$G$4="Yes",22&gt;=Projects!$C$4,22&lt;Projects!$C$4+Projects!$D$4),IF(22=Projects!$C$4+Projects!$D$4-1,Projects!$B$4*Assumptions!$B$10/Projects!$D$4*0.95+0.05*Projects!$B$4*Assumptions!$B$10,Projects!$B$4*Assumptions!$B$10/Projects!$D$4*0.95),0)+IF(AND(Projects!$G$5="Yes",22&gt;=Projects!$C$5,22&lt;Projects!$C$5+Projects!$D$5),IF(22=Projects!$C$5+Projects!$D$5-1,Projects!$B$5*Assumptions!$B$10/Projects!$D$5*0.95+0.05*Projects!$B$5*Assumptions!$B$10,Projects!$B$5*Assumptions!$B$10/Projects!$D$5*0.95),0)+IF(AND(Projects!$G$6="Yes",22&gt;=Projects!$C$6,22&lt;Projects!$C$6+Projects!$D$6),IF(22=Projects!$C$6+Projects!$D$6-1,245000/Projects!$D$6*0.95+0.05*245000,245000/Projects!$D$6*0.95),0)+IF(AND(Projects!$G$7="Yes",22&gt;=Projects!$C$7,22&lt;Projects!$C$7+Projects!$D$7),IF(22=Projects!$C$7+Projects!$D$7-1,Projects!$B$7*Assumptions!$B$10/Projects!$D$7*0.95+0.05*Projects!$B$7*Assumptions!$B$10,Projects!$B$7*Assumptions!$B$10/Projects!$D$7*0.95),0)+IF(AND(Projects!$G$8="Yes",22&gt;=Projects!$C$8,22&lt;Projects!$C$8+Projects!$D$8),IF(22=Projects!$C$8+Projects!$D$8-1,Projects!$B$8*Assumptions!$B$10/Projects!$D$8*0.95+0.05*Projects!$B$8*Assumptions!$B$10,Projects!$B$8*Assumptions!$B$10/Projects!$D$8*0.95),0)+IF(AND(Projects!$G$9="Yes",22&gt;=Projects!$C$9,22&lt;Projects!$C$9+Projects!$D$9),IF(22=Projects!$C$9+Projects!$D$9-1,Projects!$B$9*Assumptions!$B$10/Projects!$D$9*0.95+0.05*Projects!$B$9*Assumptions!$B$10,Projects!$B$9*Assumptions!$B$10/Projects!$D$9*0.95),0)+IF(AND(Projects!$G$10="Yes",22&gt;=Projects!$C$10,22&lt;Projects!$C$10+Projects!$D$10),IF(22=Projects!$C$10+Projects!$D$10-1,Projects!$B$10*Assumptions!$B$10/Projects!$D$10*0.95+0.05*Projects!$B$10*Assumptions!$B$10,Projects!$B$10*Assumptions!$B$10/Projects!$D$10*0.95),0)+IF(AND(Projects!$G$11="Yes",22&gt;=Projects!$C$11,22&lt;Projects!$C$11+Projects!$D$11),IF(22=Projects!$C$11+Projects!$D$11-1,Projects!$B$11*Assumptions!$B$10/Projects!$D$11*0.95+0.05*Projects!$B$11*Assumptions!$B$10,Projects!$B$11*Assumptions!$B$10/Projects!$D$11*0.95),0)+IF(AND(Projects!$G$12="Yes",22&gt;=Projects!$C$12,22&lt;Projects!$C$12+Projects!$D$12),IF(22=Projects!$C$12+Projects!$D$12-1,Projects!$B$12*Assumptions!$B$10/Projects!$D$12*0.95+0.05*Projects!$B$12*Assumptions!$B$10,Projects!$B$12*Assumptions!$B$10/Projects!$D$12*0.95),0)+IF(AND(Projects!$G$13="Yes",22&gt;=Projects!$C$13,22&lt;Projects!$C$13+Projects!$D$13),IF(22=Projects!$C$13+Projects!$D$13-1,Projects!$B$13*Assumptions!$B$10/Projects!$D$13*0.95+0.05*Projects!$B$13*Assumptions!$B$10,Projects!$B$13*Assumptions!$B$10/Projects!$D$13*0.95),0)+IF(AND(Projects!$G$14="Yes",22&gt;=Projects!$C$14,22&lt;Projects!$C$14+Projects!$D$14),IF(22=Projects!$C$14+Projects!$D$14-1,Projects!$B$14*Assumptions!$B$10/Projects!$D$14*0.95+0.05*Projects!$B$14*Assumptions!$B$10,Projects!$B$14*Assumptions!$B$10/Projects!$D$14*0.95),0)+IF(AND(Projects!$G$15="Yes",22&gt;=Projects!$C$15,22&lt;Projects!$C$15+Projects!$D$15),IF(22=Projects!$C$15+Projects!$D$15-1,Projects!$B$15*Assumptions!$B$10/Projects!$D$15*0.95+0.05*Projects!$B$15*Assumptions!$B$10,Projects!$B$15*Assumptions!$B$10/Projects!$D$15*0.95),0)+IF(AND(Projects!$G$16="Yes",22&gt;=Projects!$C$16,22&lt;Projects!$C$16+Projects!$D$16),IF(22=Projects!$C$16+Projects!$D$16-1,Projects!$B$16*Assumptions!$B$10/Projects!$D$16*0.95+0.05*Projects!$B$16*Assumptions!$B$10,Projects!$B$16*Assumptions!$B$10/Projects!$D$16*0.95),0)</f>
        <v>234683.51848620124</v>
      </c>
      <c r="Y8" s="8">
        <f>IF(AND(Projects!$G$2="Yes",23&gt;=Projects!$C$2,23&lt;Projects!$C$2+Projects!$D$2),IF(23=Projects!$C$2+Projects!$D$2-1,194932/Projects!$D$2*0.95+0.05*194932,194932/Projects!$D$2*0.95),0)+IF(AND(Projects!$G$3="Yes",23&gt;=Projects!$C$3,23&lt;Projects!$C$3+Projects!$D$3),IF(23=Projects!$C$3+Projects!$D$3-1,888067/Projects!$D$3*0.95+0.05*888067,888067/Projects!$D$3*0.95),0)+IF(AND(Projects!$G$4="Yes",23&gt;=Projects!$C$4,23&lt;Projects!$C$4+Projects!$D$4),IF(23=Projects!$C$4+Projects!$D$4-1,Projects!$B$4*Assumptions!$B$10/Projects!$D$4*0.95+0.05*Projects!$B$4*Assumptions!$B$10,Projects!$B$4*Assumptions!$B$10/Projects!$D$4*0.95),0)+IF(AND(Projects!$G$5="Yes",23&gt;=Projects!$C$5,23&lt;Projects!$C$5+Projects!$D$5),IF(23=Projects!$C$5+Projects!$D$5-1,Projects!$B$5*Assumptions!$B$10/Projects!$D$5*0.95+0.05*Projects!$B$5*Assumptions!$B$10,Projects!$B$5*Assumptions!$B$10/Projects!$D$5*0.95),0)+IF(AND(Projects!$G$6="Yes",23&gt;=Projects!$C$6,23&lt;Projects!$C$6+Projects!$D$6),IF(23=Projects!$C$6+Projects!$D$6-1,245000/Projects!$D$6*0.95+0.05*245000,245000/Projects!$D$6*0.95),0)+IF(AND(Projects!$G$7="Yes",23&gt;=Projects!$C$7,23&lt;Projects!$C$7+Projects!$D$7),IF(23=Projects!$C$7+Projects!$D$7-1,Projects!$B$7*Assumptions!$B$10/Projects!$D$7*0.95+0.05*Projects!$B$7*Assumptions!$B$10,Projects!$B$7*Assumptions!$B$10/Projects!$D$7*0.95),0)+IF(AND(Projects!$G$8="Yes",23&gt;=Projects!$C$8,23&lt;Projects!$C$8+Projects!$D$8),IF(23=Projects!$C$8+Projects!$D$8-1,Projects!$B$8*Assumptions!$B$10/Projects!$D$8*0.95+0.05*Projects!$B$8*Assumptions!$B$10,Projects!$B$8*Assumptions!$B$10/Projects!$D$8*0.95),0)+IF(AND(Projects!$G$9="Yes",23&gt;=Projects!$C$9,23&lt;Projects!$C$9+Projects!$D$9),IF(23=Projects!$C$9+Projects!$D$9-1,Projects!$B$9*Assumptions!$B$10/Projects!$D$9*0.95+0.05*Projects!$B$9*Assumptions!$B$10,Projects!$B$9*Assumptions!$B$10/Projects!$D$9*0.95),0)+IF(AND(Projects!$G$10="Yes",23&gt;=Projects!$C$10,23&lt;Projects!$C$10+Projects!$D$10),IF(23=Projects!$C$10+Projects!$D$10-1,Projects!$B$10*Assumptions!$B$10/Projects!$D$10*0.95+0.05*Projects!$B$10*Assumptions!$B$10,Projects!$B$10*Assumptions!$B$10/Projects!$D$10*0.95),0)+IF(AND(Projects!$G$11="Yes",23&gt;=Projects!$C$11,23&lt;Projects!$C$11+Projects!$D$11),IF(23=Projects!$C$11+Projects!$D$11-1,Projects!$B$11*Assumptions!$B$10/Projects!$D$11*0.95+0.05*Projects!$B$11*Assumptions!$B$10,Projects!$B$11*Assumptions!$B$10/Projects!$D$11*0.95),0)+IF(AND(Projects!$G$12="Yes",23&gt;=Projects!$C$12,23&lt;Projects!$C$12+Projects!$D$12),IF(23=Projects!$C$12+Projects!$D$12-1,Projects!$B$12*Assumptions!$B$10/Projects!$D$12*0.95+0.05*Projects!$B$12*Assumptions!$B$10,Projects!$B$12*Assumptions!$B$10/Projects!$D$12*0.95),0)+IF(AND(Projects!$G$13="Yes",23&gt;=Projects!$C$13,23&lt;Projects!$C$13+Projects!$D$13),IF(23=Projects!$C$13+Projects!$D$13-1,Projects!$B$13*Assumptions!$B$10/Projects!$D$13*0.95+0.05*Projects!$B$13*Assumptions!$B$10,Projects!$B$13*Assumptions!$B$10/Projects!$D$13*0.95),0)+IF(AND(Projects!$G$14="Yes",23&gt;=Projects!$C$14,23&lt;Projects!$C$14+Projects!$D$14),IF(23=Projects!$C$14+Projects!$D$14-1,Projects!$B$14*Assumptions!$B$10/Projects!$D$14*0.95+0.05*Projects!$B$14*Assumptions!$B$10,Projects!$B$14*Assumptions!$B$10/Projects!$D$14*0.95),0)+IF(AND(Projects!$G$15="Yes",23&gt;=Projects!$C$15,23&lt;Projects!$C$15+Projects!$D$15),IF(23=Projects!$C$15+Projects!$D$15-1,Projects!$B$15*Assumptions!$B$10/Projects!$D$15*0.95+0.05*Projects!$B$15*Assumptions!$B$10,Projects!$B$15*Assumptions!$B$10/Projects!$D$15*0.95),0)+IF(AND(Projects!$G$16="Yes",23&gt;=Projects!$C$16,23&lt;Projects!$C$16+Projects!$D$16),IF(23=Projects!$C$16+Projects!$D$16-1,Projects!$B$16*Assumptions!$B$10/Projects!$D$16*0.95+0.05*Projects!$B$16*Assumptions!$B$10,Projects!$B$16*Assumptions!$B$10/Projects!$D$16*0.95),0)</f>
        <v>234683.51848620124</v>
      </c>
      <c r="Z8" s="8">
        <f>IF(AND(Projects!$G$2="Yes",24&gt;=Projects!$C$2,24&lt;Projects!$C$2+Projects!$D$2),IF(24=Projects!$C$2+Projects!$D$2-1,194932/Projects!$D$2*0.95+0.05*194932,194932/Projects!$D$2*0.95),0)+IF(AND(Projects!$G$3="Yes",24&gt;=Projects!$C$3,24&lt;Projects!$C$3+Projects!$D$3),IF(24=Projects!$C$3+Projects!$D$3-1,888067/Projects!$D$3*0.95+0.05*888067,888067/Projects!$D$3*0.95),0)+IF(AND(Projects!$G$4="Yes",24&gt;=Projects!$C$4,24&lt;Projects!$C$4+Projects!$D$4),IF(24=Projects!$C$4+Projects!$D$4-1,Projects!$B$4*Assumptions!$B$10/Projects!$D$4*0.95+0.05*Projects!$B$4*Assumptions!$B$10,Projects!$B$4*Assumptions!$B$10/Projects!$D$4*0.95),0)+IF(AND(Projects!$G$5="Yes",24&gt;=Projects!$C$5,24&lt;Projects!$C$5+Projects!$D$5),IF(24=Projects!$C$5+Projects!$D$5-1,Projects!$B$5*Assumptions!$B$10/Projects!$D$5*0.95+0.05*Projects!$B$5*Assumptions!$B$10,Projects!$B$5*Assumptions!$B$10/Projects!$D$5*0.95),0)+IF(AND(Projects!$G$6="Yes",24&gt;=Projects!$C$6,24&lt;Projects!$C$6+Projects!$D$6),IF(24=Projects!$C$6+Projects!$D$6-1,245000/Projects!$D$6*0.95+0.05*245000,245000/Projects!$D$6*0.95),0)+IF(AND(Projects!$G$7="Yes",24&gt;=Projects!$C$7,24&lt;Projects!$C$7+Projects!$D$7),IF(24=Projects!$C$7+Projects!$D$7-1,Projects!$B$7*Assumptions!$B$10/Projects!$D$7*0.95+0.05*Projects!$B$7*Assumptions!$B$10,Projects!$B$7*Assumptions!$B$10/Projects!$D$7*0.95),0)+IF(AND(Projects!$G$8="Yes",24&gt;=Projects!$C$8,24&lt;Projects!$C$8+Projects!$D$8),IF(24=Projects!$C$8+Projects!$D$8-1,Projects!$B$8*Assumptions!$B$10/Projects!$D$8*0.95+0.05*Projects!$B$8*Assumptions!$B$10,Projects!$B$8*Assumptions!$B$10/Projects!$D$8*0.95),0)+IF(AND(Projects!$G$9="Yes",24&gt;=Projects!$C$9,24&lt;Projects!$C$9+Projects!$D$9),IF(24=Projects!$C$9+Projects!$D$9-1,Projects!$B$9*Assumptions!$B$10/Projects!$D$9*0.95+0.05*Projects!$B$9*Assumptions!$B$10,Projects!$B$9*Assumptions!$B$10/Projects!$D$9*0.95),0)+IF(AND(Projects!$G$10="Yes",24&gt;=Projects!$C$10,24&lt;Projects!$C$10+Projects!$D$10),IF(24=Projects!$C$10+Projects!$D$10-1,Projects!$B$10*Assumptions!$B$10/Projects!$D$10*0.95+0.05*Projects!$B$10*Assumptions!$B$10,Projects!$B$10*Assumptions!$B$10/Projects!$D$10*0.95),0)+IF(AND(Projects!$G$11="Yes",24&gt;=Projects!$C$11,24&lt;Projects!$C$11+Projects!$D$11),IF(24=Projects!$C$11+Projects!$D$11-1,Projects!$B$11*Assumptions!$B$10/Projects!$D$11*0.95+0.05*Projects!$B$11*Assumptions!$B$10,Projects!$B$11*Assumptions!$B$10/Projects!$D$11*0.95),0)+IF(AND(Projects!$G$12="Yes",24&gt;=Projects!$C$12,24&lt;Projects!$C$12+Projects!$D$12),IF(24=Projects!$C$12+Projects!$D$12-1,Projects!$B$12*Assumptions!$B$10/Projects!$D$12*0.95+0.05*Projects!$B$12*Assumptions!$B$10,Projects!$B$12*Assumptions!$B$10/Projects!$D$12*0.95),0)+IF(AND(Projects!$G$13="Yes",24&gt;=Projects!$C$13,24&lt;Projects!$C$13+Projects!$D$13),IF(24=Projects!$C$13+Projects!$D$13-1,Projects!$B$13*Assumptions!$B$10/Projects!$D$13*0.95+0.05*Projects!$B$13*Assumptions!$B$10,Projects!$B$13*Assumptions!$B$10/Projects!$D$13*0.95),0)+IF(AND(Projects!$G$14="Yes",24&gt;=Projects!$C$14,24&lt;Projects!$C$14+Projects!$D$14),IF(24=Projects!$C$14+Projects!$D$14-1,Projects!$B$14*Assumptions!$B$10/Projects!$D$14*0.95+0.05*Projects!$B$14*Assumptions!$B$10,Projects!$B$14*Assumptions!$B$10/Projects!$D$14*0.95),0)+IF(AND(Projects!$G$15="Yes",24&gt;=Projects!$C$15,24&lt;Projects!$C$15+Projects!$D$15),IF(24=Projects!$C$15+Projects!$D$15-1,Projects!$B$15*Assumptions!$B$10/Projects!$D$15*0.95+0.05*Projects!$B$15*Assumptions!$B$10,Projects!$B$15*Assumptions!$B$10/Projects!$D$15*0.95),0)+IF(AND(Projects!$G$16="Yes",24&gt;=Projects!$C$16,24&lt;Projects!$C$16+Projects!$D$16),IF(24=Projects!$C$16+Projects!$D$16-1,Projects!$B$16*Assumptions!$B$10/Projects!$D$16*0.95+0.05*Projects!$B$16*Assumptions!$B$10,Projects!$B$16*Assumptions!$B$10/Projects!$D$16*0.95),0)</f>
        <v>234683.51848620124</v>
      </c>
      <c r="AA8" s="8">
        <f>IF(AND(Projects!$G$2="Yes",25&gt;=Projects!$C$2,25&lt;Projects!$C$2+Projects!$D$2),IF(25=Projects!$C$2+Projects!$D$2-1,194932/Projects!$D$2*0.95+0.05*194932,194932/Projects!$D$2*0.95),0)+IF(AND(Projects!$G$3="Yes",25&gt;=Projects!$C$3,25&lt;Projects!$C$3+Projects!$D$3),IF(25=Projects!$C$3+Projects!$D$3-1,888067/Projects!$D$3*0.95+0.05*888067,888067/Projects!$D$3*0.95),0)+IF(AND(Projects!$G$4="Yes",25&gt;=Projects!$C$4,25&lt;Projects!$C$4+Projects!$D$4),IF(25=Projects!$C$4+Projects!$D$4-1,Projects!$B$4*Assumptions!$B$10/Projects!$D$4*0.95+0.05*Projects!$B$4*Assumptions!$B$10,Projects!$B$4*Assumptions!$B$10/Projects!$D$4*0.95),0)+IF(AND(Projects!$G$5="Yes",25&gt;=Projects!$C$5,25&lt;Projects!$C$5+Projects!$D$5),IF(25=Projects!$C$5+Projects!$D$5-1,Projects!$B$5*Assumptions!$B$10/Projects!$D$5*0.95+0.05*Projects!$B$5*Assumptions!$B$10,Projects!$B$5*Assumptions!$B$10/Projects!$D$5*0.95),0)+IF(AND(Projects!$G$6="Yes",25&gt;=Projects!$C$6,25&lt;Projects!$C$6+Projects!$D$6),IF(25=Projects!$C$6+Projects!$D$6-1,245000/Projects!$D$6*0.95+0.05*245000,245000/Projects!$D$6*0.95),0)+IF(AND(Projects!$G$7="Yes",25&gt;=Projects!$C$7,25&lt;Projects!$C$7+Projects!$D$7),IF(25=Projects!$C$7+Projects!$D$7-1,Projects!$B$7*Assumptions!$B$10/Projects!$D$7*0.95+0.05*Projects!$B$7*Assumptions!$B$10,Projects!$B$7*Assumptions!$B$10/Projects!$D$7*0.95),0)+IF(AND(Projects!$G$8="Yes",25&gt;=Projects!$C$8,25&lt;Projects!$C$8+Projects!$D$8),IF(25=Projects!$C$8+Projects!$D$8-1,Projects!$B$8*Assumptions!$B$10/Projects!$D$8*0.95+0.05*Projects!$B$8*Assumptions!$B$10,Projects!$B$8*Assumptions!$B$10/Projects!$D$8*0.95),0)+IF(AND(Projects!$G$9="Yes",25&gt;=Projects!$C$9,25&lt;Projects!$C$9+Projects!$D$9),IF(25=Projects!$C$9+Projects!$D$9-1,Projects!$B$9*Assumptions!$B$10/Projects!$D$9*0.95+0.05*Projects!$B$9*Assumptions!$B$10,Projects!$B$9*Assumptions!$B$10/Projects!$D$9*0.95),0)+IF(AND(Projects!$G$10="Yes",25&gt;=Projects!$C$10,25&lt;Projects!$C$10+Projects!$D$10),IF(25=Projects!$C$10+Projects!$D$10-1,Projects!$B$10*Assumptions!$B$10/Projects!$D$10*0.95+0.05*Projects!$B$10*Assumptions!$B$10,Projects!$B$10*Assumptions!$B$10/Projects!$D$10*0.95),0)+IF(AND(Projects!$G$11="Yes",25&gt;=Projects!$C$11,25&lt;Projects!$C$11+Projects!$D$11),IF(25=Projects!$C$11+Projects!$D$11-1,Projects!$B$11*Assumptions!$B$10/Projects!$D$11*0.95+0.05*Projects!$B$11*Assumptions!$B$10,Projects!$B$11*Assumptions!$B$10/Projects!$D$11*0.95),0)+IF(AND(Projects!$G$12="Yes",25&gt;=Projects!$C$12,25&lt;Projects!$C$12+Projects!$D$12),IF(25=Projects!$C$12+Projects!$D$12-1,Projects!$B$12*Assumptions!$B$10/Projects!$D$12*0.95+0.05*Projects!$B$12*Assumptions!$B$10,Projects!$B$12*Assumptions!$B$10/Projects!$D$12*0.95),0)+IF(AND(Projects!$G$13="Yes",25&gt;=Projects!$C$13,25&lt;Projects!$C$13+Projects!$D$13),IF(25=Projects!$C$13+Projects!$D$13-1,Projects!$B$13*Assumptions!$B$10/Projects!$D$13*0.95+0.05*Projects!$B$13*Assumptions!$B$10,Projects!$B$13*Assumptions!$B$10/Projects!$D$13*0.95),0)+IF(AND(Projects!$G$14="Yes",25&gt;=Projects!$C$14,25&lt;Projects!$C$14+Projects!$D$14),IF(25=Projects!$C$14+Projects!$D$14-1,Projects!$B$14*Assumptions!$B$10/Projects!$D$14*0.95+0.05*Projects!$B$14*Assumptions!$B$10,Projects!$B$14*Assumptions!$B$10/Projects!$D$14*0.95),0)+IF(AND(Projects!$G$15="Yes",25&gt;=Projects!$C$15,25&lt;Projects!$C$15+Projects!$D$15),IF(25=Projects!$C$15+Projects!$D$15-1,Projects!$B$15*Assumptions!$B$10/Projects!$D$15*0.95+0.05*Projects!$B$15*Assumptions!$B$10,Projects!$B$15*Assumptions!$B$10/Projects!$D$15*0.95),0)+IF(AND(Projects!$G$16="Yes",25&gt;=Projects!$C$16,25&lt;Projects!$C$16+Projects!$D$16),IF(25=Projects!$C$16+Projects!$D$16-1,Projects!$B$16*Assumptions!$B$10/Projects!$D$16*0.95+0.05*Projects!$B$16*Assumptions!$B$10,Projects!$B$16*Assumptions!$B$10/Projects!$D$16*0.95),0)</f>
        <v>267863.15809659089</v>
      </c>
      <c r="AB8" s="8">
        <f>IF(AND(Projects!$G$2="Yes",26&gt;=Projects!$C$2,26&lt;Projects!$C$2+Projects!$D$2),IF(26=Projects!$C$2+Projects!$D$2-1,194932/Projects!$D$2*0.95+0.05*194932,194932/Projects!$D$2*0.95),0)+IF(AND(Projects!$G$3="Yes",26&gt;=Projects!$C$3,26&lt;Projects!$C$3+Projects!$D$3),IF(26=Projects!$C$3+Projects!$D$3-1,888067/Projects!$D$3*0.95+0.05*888067,888067/Projects!$D$3*0.95),0)+IF(AND(Projects!$G$4="Yes",26&gt;=Projects!$C$4,26&lt;Projects!$C$4+Projects!$D$4),IF(26=Projects!$C$4+Projects!$D$4-1,Projects!$B$4*Assumptions!$B$10/Projects!$D$4*0.95+0.05*Projects!$B$4*Assumptions!$B$10,Projects!$B$4*Assumptions!$B$10/Projects!$D$4*0.95),0)+IF(AND(Projects!$G$5="Yes",26&gt;=Projects!$C$5,26&lt;Projects!$C$5+Projects!$D$5),IF(26=Projects!$C$5+Projects!$D$5-1,Projects!$B$5*Assumptions!$B$10/Projects!$D$5*0.95+0.05*Projects!$B$5*Assumptions!$B$10,Projects!$B$5*Assumptions!$B$10/Projects!$D$5*0.95),0)+IF(AND(Projects!$G$6="Yes",26&gt;=Projects!$C$6,26&lt;Projects!$C$6+Projects!$D$6),IF(26=Projects!$C$6+Projects!$D$6-1,245000/Projects!$D$6*0.95+0.05*245000,245000/Projects!$D$6*0.95),0)+IF(AND(Projects!$G$7="Yes",26&gt;=Projects!$C$7,26&lt;Projects!$C$7+Projects!$D$7),IF(26=Projects!$C$7+Projects!$D$7-1,Projects!$B$7*Assumptions!$B$10/Projects!$D$7*0.95+0.05*Projects!$B$7*Assumptions!$B$10,Projects!$B$7*Assumptions!$B$10/Projects!$D$7*0.95),0)+IF(AND(Projects!$G$8="Yes",26&gt;=Projects!$C$8,26&lt;Projects!$C$8+Projects!$D$8),IF(26=Projects!$C$8+Projects!$D$8-1,Projects!$B$8*Assumptions!$B$10/Projects!$D$8*0.95+0.05*Projects!$B$8*Assumptions!$B$10,Projects!$B$8*Assumptions!$B$10/Projects!$D$8*0.95),0)+IF(AND(Projects!$G$9="Yes",26&gt;=Projects!$C$9,26&lt;Projects!$C$9+Projects!$D$9),IF(26=Projects!$C$9+Projects!$D$9-1,Projects!$B$9*Assumptions!$B$10/Projects!$D$9*0.95+0.05*Projects!$B$9*Assumptions!$B$10,Projects!$B$9*Assumptions!$B$10/Projects!$D$9*0.95),0)+IF(AND(Projects!$G$10="Yes",26&gt;=Projects!$C$10,26&lt;Projects!$C$10+Projects!$D$10),IF(26=Projects!$C$10+Projects!$D$10-1,Projects!$B$10*Assumptions!$B$10/Projects!$D$10*0.95+0.05*Projects!$B$10*Assumptions!$B$10,Projects!$B$10*Assumptions!$B$10/Projects!$D$10*0.95),0)+IF(AND(Projects!$G$11="Yes",26&gt;=Projects!$C$11,26&lt;Projects!$C$11+Projects!$D$11),IF(26=Projects!$C$11+Projects!$D$11-1,Projects!$B$11*Assumptions!$B$10/Projects!$D$11*0.95+0.05*Projects!$B$11*Assumptions!$B$10,Projects!$B$11*Assumptions!$B$10/Projects!$D$11*0.95),0)+IF(AND(Projects!$G$12="Yes",26&gt;=Projects!$C$12,26&lt;Projects!$C$12+Projects!$D$12),IF(26=Projects!$C$12+Projects!$D$12-1,Projects!$B$12*Assumptions!$B$10/Projects!$D$12*0.95+0.05*Projects!$B$12*Assumptions!$B$10,Projects!$B$12*Assumptions!$B$10/Projects!$D$12*0.95),0)+IF(AND(Projects!$G$13="Yes",26&gt;=Projects!$C$13,26&lt;Projects!$C$13+Projects!$D$13),IF(26=Projects!$C$13+Projects!$D$13-1,Projects!$B$13*Assumptions!$B$10/Projects!$D$13*0.95+0.05*Projects!$B$13*Assumptions!$B$10,Projects!$B$13*Assumptions!$B$10/Projects!$D$13*0.95),0)+IF(AND(Projects!$G$14="Yes",26&gt;=Projects!$C$14,26&lt;Projects!$C$14+Projects!$D$14),IF(26=Projects!$C$14+Projects!$D$14-1,Projects!$B$14*Assumptions!$B$10/Projects!$D$14*0.95+0.05*Projects!$B$14*Assumptions!$B$10,Projects!$B$14*Assumptions!$B$10/Projects!$D$14*0.95),0)+IF(AND(Projects!$G$15="Yes",26&gt;=Projects!$C$15,26&lt;Projects!$C$15+Projects!$D$15),IF(26=Projects!$C$15+Projects!$D$15-1,Projects!$B$15*Assumptions!$B$10/Projects!$D$15*0.95+0.05*Projects!$B$15*Assumptions!$B$10,Projects!$B$15*Assumptions!$B$10/Projects!$D$15*0.95),0)+IF(AND(Projects!$G$16="Yes",26&gt;=Projects!$C$16,26&lt;Projects!$C$16+Projects!$D$16),IF(26=Projects!$C$16+Projects!$D$16-1,Projects!$B$16*Assumptions!$B$10/Projects!$D$16*0.95+0.05*Projects!$B$16*Assumptions!$B$10,Projects!$B$16*Assumptions!$B$10/Projects!$D$16*0.95),0)</f>
        <v>201503.87887581164</v>
      </c>
      <c r="AC8" s="8">
        <f>IF(AND(Projects!$G$2="Yes",27&gt;=Projects!$C$2,27&lt;Projects!$C$2+Projects!$D$2),IF(27=Projects!$C$2+Projects!$D$2-1,194932/Projects!$D$2*0.95+0.05*194932,194932/Projects!$D$2*0.95),0)+IF(AND(Projects!$G$3="Yes",27&gt;=Projects!$C$3,27&lt;Projects!$C$3+Projects!$D$3),IF(27=Projects!$C$3+Projects!$D$3-1,888067/Projects!$D$3*0.95+0.05*888067,888067/Projects!$D$3*0.95),0)+IF(AND(Projects!$G$4="Yes",27&gt;=Projects!$C$4,27&lt;Projects!$C$4+Projects!$D$4),IF(27=Projects!$C$4+Projects!$D$4-1,Projects!$B$4*Assumptions!$B$10/Projects!$D$4*0.95+0.05*Projects!$B$4*Assumptions!$B$10,Projects!$B$4*Assumptions!$B$10/Projects!$D$4*0.95),0)+IF(AND(Projects!$G$5="Yes",27&gt;=Projects!$C$5,27&lt;Projects!$C$5+Projects!$D$5),IF(27=Projects!$C$5+Projects!$D$5-1,Projects!$B$5*Assumptions!$B$10/Projects!$D$5*0.95+0.05*Projects!$B$5*Assumptions!$B$10,Projects!$B$5*Assumptions!$B$10/Projects!$D$5*0.95),0)+IF(AND(Projects!$G$6="Yes",27&gt;=Projects!$C$6,27&lt;Projects!$C$6+Projects!$D$6),IF(27=Projects!$C$6+Projects!$D$6-1,245000/Projects!$D$6*0.95+0.05*245000,245000/Projects!$D$6*0.95),0)+IF(AND(Projects!$G$7="Yes",27&gt;=Projects!$C$7,27&lt;Projects!$C$7+Projects!$D$7),IF(27=Projects!$C$7+Projects!$D$7-1,Projects!$B$7*Assumptions!$B$10/Projects!$D$7*0.95+0.05*Projects!$B$7*Assumptions!$B$10,Projects!$B$7*Assumptions!$B$10/Projects!$D$7*0.95),0)+IF(AND(Projects!$G$8="Yes",27&gt;=Projects!$C$8,27&lt;Projects!$C$8+Projects!$D$8),IF(27=Projects!$C$8+Projects!$D$8-1,Projects!$B$8*Assumptions!$B$10/Projects!$D$8*0.95+0.05*Projects!$B$8*Assumptions!$B$10,Projects!$B$8*Assumptions!$B$10/Projects!$D$8*0.95),0)+IF(AND(Projects!$G$9="Yes",27&gt;=Projects!$C$9,27&lt;Projects!$C$9+Projects!$D$9),IF(27=Projects!$C$9+Projects!$D$9-1,Projects!$B$9*Assumptions!$B$10/Projects!$D$9*0.95+0.05*Projects!$B$9*Assumptions!$B$10,Projects!$B$9*Assumptions!$B$10/Projects!$D$9*0.95),0)+IF(AND(Projects!$G$10="Yes",27&gt;=Projects!$C$10,27&lt;Projects!$C$10+Projects!$D$10),IF(27=Projects!$C$10+Projects!$D$10-1,Projects!$B$10*Assumptions!$B$10/Projects!$D$10*0.95+0.05*Projects!$B$10*Assumptions!$B$10,Projects!$B$10*Assumptions!$B$10/Projects!$D$10*0.95),0)+IF(AND(Projects!$G$11="Yes",27&gt;=Projects!$C$11,27&lt;Projects!$C$11+Projects!$D$11),IF(27=Projects!$C$11+Projects!$D$11-1,Projects!$B$11*Assumptions!$B$10/Projects!$D$11*0.95+0.05*Projects!$B$11*Assumptions!$B$10,Projects!$B$11*Assumptions!$B$10/Projects!$D$11*0.95),0)+IF(AND(Projects!$G$12="Yes",27&gt;=Projects!$C$12,27&lt;Projects!$C$12+Projects!$D$12),IF(27=Projects!$C$12+Projects!$D$12-1,Projects!$B$12*Assumptions!$B$10/Projects!$D$12*0.95+0.05*Projects!$B$12*Assumptions!$B$10,Projects!$B$12*Assumptions!$B$10/Projects!$D$12*0.95),0)+IF(AND(Projects!$G$13="Yes",27&gt;=Projects!$C$13,27&lt;Projects!$C$13+Projects!$D$13),IF(27=Projects!$C$13+Projects!$D$13-1,Projects!$B$13*Assumptions!$B$10/Projects!$D$13*0.95+0.05*Projects!$B$13*Assumptions!$B$10,Projects!$B$13*Assumptions!$B$10/Projects!$D$13*0.95),0)+IF(AND(Projects!$G$14="Yes",27&gt;=Projects!$C$14,27&lt;Projects!$C$14+Projects!$D$14),IF(27=Projects!$C$14+Projects!$D$14-1,Projects!$B$14*Assumptions!$B$10/Projects!$D$14*0.95+0.05*Projects!$B$14*Assumptions!$B$10,Projects!$B$14*Assumptions!$B$10/Projects!$D$14*0.95),0)+IF(AND(Projects!$G$15="Yes",27&gt;=Projects!$C$15,27&lt;Projects!$C$15+Projects!$D$15),IF(27=Projects!$C$15+Projects!$D$15-1,Projects!$B$15*Assumptions!$B$10/Projects!$D$15*0.95+0.05*Projects!$B$15*Assumptions!$B$10,Projects!$B$15*Assumptions!$B$10/Projects!$D$15*0.95),0)+IF(AND(Projects!$G$16="Yes",27&gt;=Projects!$C$16,27&lt;Projects!$C$16+Projects!$D$16),IF(27=Projects!$C$16+Projects!$D$16-1,Projects!$B$16*Assumptions!$B$10/Projects!$D$16*0.95+0.05*Projects!$B$16*Assumptions!$B$10,Projects!$B$16*Assumptions!$B$10/Projects!$D$16*0.95),0)</f>
        <v>265281.31459009735</v>
      </c>
      <c r="AD8" s="8">
        <f>IF(AND(Projects!$G$2="Yes",28&gt;=Projects!$C$2,28&lt;Projects!$C$2+Projects!$D$2),IF(28=Projects!$C$2+Projects!$D$2-1,194932/Projects!$D$2*0.95+0.05*194932,194932/Projects!$D$2*0.95),0)+IF(AND(Projects!$G$3="Yes",28&gt;=Projects!$C$3,28&lt;Projects!$C$3+Projects!$D$3),IF(28=Projects!$C$3+Projects!$D$3-1,888067/Projects!$D$3*0.95+0.05*888067,888067/Projects!$D$3*0.95),0)+IF(AND(Projects!$G$4="Yes",28&gt;=Projects!$C$4,28&lt;Projects!$C$4+Projects!$D$4),IF(28=Projects!$C$4+Projects!$D$4-1,Projects!$B$4*Assumptions!$B$10/Projects!$D$4*0.95+0.05*Projects!$B$4*Assumptions!$B$10,Projects!$B$4*Assumptions!$B$10/Projects!$D$4*0.95),0)+IF(AND(Projects!$G$5="Yes",28&gt;=Projects!$C$5,28&lt;Projects!$C$5+Projects!$D$5),IF(28=Projects!$C$5+Projects!$D$5-1,Projects!$B$5*Assumptions!$B$10/Projects!$D$5*0.95+0.05*Projects!$B$5*Assumptions!$B$10,Projects!$B$5*Assumptions!$B$10/Projects!$D$5*0.95),0)+IF(AND(Projects!$G$6="Yes",28&gt;=Projects!$C$6,28&lt;Projects!$C$6+Projects!$D$6),IF(28=Projects!$C$6+Projects!$D$6-1,245000/Projects!$D$6*0.95+0.05*245000,245000/Projects!$D$6*0.95),0)+IF(AND(Projects!$G$7="Yes",28&gt;=Projects!$C$7,28&lt;Projects!$C$7+Projects!$D$7),IF(28=Projects!$C$7+Projects!$D$7-1,Projects!$B$7*Assumptions!$B$10/Projects!$D$7*0.95+0.05*Projects!$B$7*Assumptions!$B$10,Projects!$B$7*Assumptions!$B$10/Projects!$D$7*0.95),0)+IF(AND(Projects!$G$8="Yes",28&gt;=Projects!$C$8,28&lt;Projects!$C$8+Projects!$D$8),IF(28=Projects!$C$8+Projects!$D$8-1,Projects!$B$8*Assumptions!$B$10/Projects!$D$8*0.95+0.05*Projects!$B$8*Assumptions!$B$10,Projects!$B$8*Assumptions!$B$10/Projects!$D$8*0.95),0)+IF(AND(Projects!$G$9="Yes",28&gt;=Projects!$C$9,28&lt;Projects!$C$9+Projects!$D$9),IF(28=Projects!$C$9+Projects!$D$9-1,Projects!$B$9*Assumptions!$B$10/Projects!$D$9*0.95+0.05*Projects!$B$9*Assumptions!$B$10,Projects!$B$9*Assumptions!$B$10/Projects!$D$9*0.95),0)+IF(AND(Projects!$G$10="Yes",28&gt;=Projects!$C$10,28&lt;Projects!$C$10+Projects!$D$10),IF(28=Projects!$C$10+Projects!$D$10-1,Projects!$B$10*Assumptions!$B$10/Projects!$D$10*0.95+0.05*Projects!$B$10*Assumptions!$B$10,Projects!$B$10*Assumptions!$B$10/Projects!$D$10*0.95),0)+IF(AND(Projects!$G$11="Yes",28&gt;=Projects!$C$11,28&lt;Projects!$C$11+Projects!$D$11),IF(28=Projects!$C$11+Projects!$D$11-1,Projects!$B$11*Assumptions!$B$10/Projects!$D$11*0.95+0.05*Projects!$B$11*Assumptions!$B$10,Projects!$B$11*Assumptions!$B$10/Projects!$D$11*0.95),0)+IF(AND(Projects!$G$12="Yes",28&gt;=Projects!$C$12,28&lt;Projects!$C$12+Projects!$D$12),IF(28=Projects!$C$12+Projects!$D$12-1,Projects!$B$12*Assumptions!$B$10/Projects!$D$12*0.95+0.05*Projects!$B$12*Assumptions!$B$10,Projects!$B$12*Assumptions!$B$10/Projects!$D$12*0.95),0)+IF(AND(Projects!$G$13="Yes",28&gt;=Projects!$C$13,28&lt;Projects!$C$13+Projects!$D$13),IF(28=Projects!$C$13+Projects!$D$13-1,Projects!$B$13*Assumptions!$B$10/Projects!$D$13*0.95+0.05*Projects!$B$13*Assumptions!$B$10,Projects!$B$13*Assumptions!$B$10/Projects!$D$13*0.95),0)+IF(AND(Projects!$G$14="Yes",28&gt;=Projects!$C$14,28&lt;Projects!$C$14+Projects!$D$14),IF(28=Projects!$C$14+Projects!$D$14-1,Projects!$B$14*Assumptions!$B$10/Projects!$D$14*0.95+0.05*Projects!$B$14*Assumptions!$B$10,Projects!$B$14*Assumptions!$B$10/Projects!$D$14*0.95),0)+IF(AND(Projects!$G$15="Yes",28&gt;=Projects!$C$15,28&lt;Projects!$C$15+Projects!$D$15),IF(28=Projects!$C$15+Projects!$D$15-1,Projects!$B$15*Assumptions!$B$10/Projects!$D$15*0.95+0.05*Projects!$B$15*Assumptions!$B$10,Projects!$B$15*Assumptions!$B$10/Projects!$D$15*0.95),0)+IF(AND(Projects!$G$16="Yes",28&gt;=Projects!$C$16,28&lt;Projects!$C$16+Projects!$D$16),IF(28=Projects!$C$16+Projects!$D$16-1,Projects!$B$16*Assumptions!$B$10/Projects!$D$16*0.95+0.05*Projects!$B$16*Assumptions!$B$10,Projects!$B$16*Assumptions!$B$10/Projects!$D$16*0.95),0)</f>
        <v>265281.31459009735</v>
      </c>
      <c r="AE8" s="8">
        <f>IF(AND(Projects!$G$2="Yes",29&gt;=Projects!$C$2,29&lt;Projects!$C$2+Projects!$D$2),IF(29=Projects!$C$2+Projects!$D$2-1,194932/Projects!$D$2*0.95+0.05*194932,194932/Projects!$D$2*0.95),0)+IF(AND(Projects!$G$3="Yes",29&gt;=Projects!$C$3,29&lt;Projects!$C$3+Projects!$D$3),IF(29=Projects!$C$3+Projects!$D$3-1,888067/Projects!$D$3*0.95+0.05*888067,888067/Projects!$D$3*0.95),0)+IF(AND(Projects!$G$4="Yes",29&gt;=Projects!$C$4,29&lt;Projects!$C$4+Projects!$D$4),IF(29=Projects!$C$4+Projects!$D$4-1,Projects!$B$4*Assumptions!$B$10/Projects!$D$4*0.95+0.05*Projects!$B$4*Assumptions!$B$10,Projects!$B$4*Assumptions!$B$10/Projects!$D$4*0.95),0)+IF(AND(Projects!$G$5="Yes",29&gt;=Projects!$C$5,29&lt;Projects!$C$5+Projects!$D$5),IF(29=Projects!$C$5+Projects!$D$5-1,Projects!$B$5*Assumptions!$B$10/Projects!$D$5*0.95+0.05*Projects!$B$5*Assumptions!$B$10,Projects!$B$5*Assumptions!$B$10/Projects!$D$5*0.95),0)+IF(AND(Projects!$G$6="Yes",29&gt;=Projects!$C$6,29&lt;Projects!$C$6+Projects!$D$6),IF(29=Projects!$C$6+Projects!$D$6-1,245000/Projects!$D$6*0.95+0.05*245000,245000/Projects!$D$6*0.95),0)+IF(AND(Projects!$G$7="Yes",29&gt;=Projects!$C$7,29&lt;Projects!$C$7+Projects!$D$7),IF(29=Projects!$C$7+Projects!$D$7-1,Projects!$B$7*Assumptions!$B$10/Projects!$D$7*0.95+0.05*Projects!$B$7*Assumptions!$B$10,Projects!$B$7*Assumptions!$B$10/Projects!$D$7*0.95),0)+IF(AND(Projects!$G$8="Yes",29&gt;=Projects!$C$8,29&lt;Projects!$C$8+Projects!$D$8),IF(29=Projects!$C$8+Projects!$D$8-1,Projects!$B$8*Assumptions!$B$10/Projects!$D$8*0.95+0.05*Projects!$B$8*Assumptions!$B$10,Projects!$B$8*Assumptions!$B$10/Projects!$D$8*0.95),0)+IF(AND(Projects!$G$9="Yes",29&gt;=Projects!$C$9,29&lt;Projects!$C$9+Projects!$D$9),IF(29=Projects!$C$9+Projects!$D$9-1,Projects!$B$9*Assumptions!$B$10/Projects!$D$9*0.95+0.05*Projects!$B$9*Assumptions!$B$10,Projects!$B$9*Assumptions!$B$10/Projects!$D$9*0.95),0)+IF(AND(Projects!$G$10="Yes",29&gt;=Projects!$C$10,29&lt;Projects!$C$10+Projects!$D$10),IF(29=Projects!$C$10+Projects!$D$10-1,Projects!$B$10*Assumptions!$B$10/Projects!$D$10*0.95+0.05*Projects!$B$10*Assumptions!$B$10,Projects!$B$10*Assumptions!$B$10/Projects!$D$10*0.95),0)+IF(AND(Projects!$G$11="Yes",29&gt;=Projects!$C$11,29&lt;Projects!$C$11+Projects!$D$11),IF(29=Projects!$C$11+Projects!$D$11-1,Projects!$B$11*Assumptions!$B$10/Projects!$D$11*0.95+0.05*Projects!$B$11*Assumptions!$B$10,Projects!$B$11*Assumptions!$B$10/Projects!$D$11*0.95),0)+IF(AND(Projects!$G$12="Yes",29&gt;=Projects!$C$12,29&lt;Projects!$C$12+Projects!$D$12),IF(29=Projects!$C$12+Projects!$D$12-1,Projects!$B$12*Assumptions!$B$10/Projects!$D$12*0.95+0.05*Projects!$B$12*Assumptions!$B$10,Projects!$B$12*Assumptions!$B$10/Projects!$D$12*0.95),0)+IF(AND(Projects!$G$13="Yes",29&gt;=Projects!$C$13,29&lt;Projects!$C$13+Projects!$D$13),IF(29=Projects!$C$13+Projects!$D$13-1,Projects!$B$13*Assumptions!$B$10/Projects!$D$13*0.95+0.05*Projects!$B$13*Assumptions!$B$10,Projects!$B$13*Assumptions!$B$10/Projects!$D$13*0.95),0)+IF(AND(Projects!$G$14="Yes",29&gt;=Projects!$C$14,29&lt;Projects!$C$14+Projects!$D$14),IF(29=Projects!$C$14+Projects!$D$14-1,Projects!$B$14*Assumptions!$B$10/Projects!$D$14*0.95+0.05*Projects!$B$14*Assumptions!$B$10,Projects!$B$14*Assumptions!$B$10/Projects!$D$14*0.95),0)+IF(AND(Projects!$G$15="Yes",29&gt;=Projects!$C$15,29&lt;Projects!$C$15+Projects!$D$15),IF(29=Projects!$C$15+Projects!$D$15-1,Projects!$B$15*Assumptions!$B$10/Projects!$D$15*0.95+0.05*Projects!$B$15*Assumptions!$B$10,Projects!$B$15*Assumptions!$B$10/Projects!$D$15*0.95),0)+IF(AND(Projects!$G$16="Yes",29&gt;=Projects!$C$16,29&lt;Projects!$C$16+Projects!$D$16),IF(29=Projects!$C$16+Projects!$D$16-1,Projects!$B$16*Assumptions!$B$10/Projects!$D$16*0.95+0.05*Projects!$B$16*Assumptions!$B$10,Projects!$B$16*Assumptions!$B$10/Projects!$D$16*0.95),0)</f>
        <v>265281.31459009735</v>
      </c>
      <c r="AF8" s="8">
        <f>IF(AND(Projects!$G$2="Yes",30&gt;=Projects!$C$2,30&lt;Projects!$C$2+Projects!$D$2),IF(30=Projects!$C$2+Projects!$D$2-1,194932/Projects!$D$2*0.95+0.05*194932,194932/Projects!$D$2*0.95),0)+IF(AND(Projects!$G$3="Yes",30&gt;=Projects!$C$3,30&lt;Projects!$C$3+Projects!$D$3),IF(30=Projects!$C$3+Projects!$D$3-1,888067/Projects!$D$3*0.95+0.05*888067,888067/Projects!$D$3*0.95),0)+IF(AND(Projects!$G$4="Yes",30&gt;=Projects!$C$4,30&lt;Projects!$C$4+Projects!$D$4),IF(30=Projects!$C$4+Projects!$D$4-1,Projects!$B$4*Assumptions!$B$10/Projects!$D$4*0.95+0.05*Projects!$B$4*Assumptions!$B$10,Projects!$B$4*Assumptions!$B$10/Projects!$D$4*0.95),0)+IF(AND(Projects!$G$5="Yes",30&gt;=Projects!$C$5,30&lt;Projects!$C$5+Projects!$D$5),IF(30=Projects!$C$5+Projects!$D$5-1,Projects!$B$5*Assumptions!$B$10/Projects!$D$5*0.95+0.05*Projects!$B$5*Assumptions!$B$10,Projects!$B$5*Assumptions!$B$10/Projects!$D$5*0.95),0)+IF(AND(Projects!$G$6="Yes",30&gt;=Projects!$C$6,30&lt;Projects!$C$6+Projects!$D$6),IF(30=Projects!$C$6+Projects!$D$6-1,245000/Projects!$D$6*0.95+0.05*245000,245000/Projects!$D$6*0.95),0)+IF(AND(Projects!$G$7="Yes",30&gt;=Projects!$C$7,30&lt;Projects!$C$7+Projects!$D$7),IF(30=Projects!$C$7+Projects!$D$7-1,Projects!$B$7*Assumptions!$B$10/Projects!$D$7*0.95+0.05*Projects!$B$7*Assumptions!$B$10,Projects!$B$7*Assumptions!$B$10/Projects!$D$7*0.95),0)+IF(AND(Projects!$G$8="Yes",30&gt;=Projects!$C$8,30&lt;Projects!$C$8+Projects!$D$8),IF(30=Projects!$C$8+Projects!$D$8-1,Projects!$B$8*Assumptions!$B$10/Projects!$D$8*0.95+0.05*Projects!$B$8*Assumptions!$B$10,Projects!$B$8*Assumptions!$B$10/Projects!$D$8*0.95),0)+IF(AND(Projects!$G$9="Yes",30&gt;=Projects!$C$9,30&lt;Projects!$C$9+Projects!$D$9),IF(30=Projects!$C$9+Projects!$D$9-1,Projects!$B$9*Assumptions!$B$10/Projects!$D$9*0.95+0.05*Projects!$B$9*Assumptions!$B$10,Projects!$B$9*Assumptions!$B$10/Projects!$D$9*0.95),0)+IF(AND(Projects!$G$10="Yes",30&gt;=Projects!$C$10,30&lt;Projects!$C$10+Projects!$D$10),IF(30=Projects!$C$10+Projects!$D$10-1,Projects!$B$10*Assumptions!$B$10/Projects!$D$10*0.95+0.05*Projects!$B$10*Assumptions!$B$10,Projects!$B$10*Assumptions!$B$10/Projects!$D$10*0.95),0)+IF(AND(Projects!$G$11="Yes",30&gt;=Projects!$C$11,30&lt;Projects!$C$11+Projects!$D$11),IF(30=Projects!$C$11+Projects!$D$11-1,Projects!$B$11*Assumptions!$B$10/Projects!$D$11*0.95+0.05*Projects!$B$11*Assumptions!$B$10,Projects!$B$11*Assumptions!$B$10/Projects!$D$11*0.95),0)+IF(AND(Projects!$G$12="Yes",30&gt;=Projects!$C$12,30&lt;Projects!$C$12+Projects!$D$12),IF(30=Projects!$C$12+Projects!$D$12-1,Projects!$B$12*Assumptions!$B$10/Projects!$D$12*0.95+0.05*Projects!$B$12*Assumptions!$B$10,Projects!$B$12*Assumptions!$B$10/Projects!$D$12*0.95),0)+IF(AND(Projects!$G$13="Yes",30&gt;=Projects!$C$13,30&lt;Projects!$C$13+Projects!$D$13),IF(30=Projects!$C$13+Projects!$D$13-1,Projects!$B$13*Assumptions!$B$10/Projects!$D$13*0.95+0.05*Projects!$B$13*Assumptions!$B$10,Projects!$B$13*Assumptions!$B$10/Projects!$D$13*0.95),0)+IF(AND(Projects!$G$14="Yes",30&gt;=Projects!$C$14,30&lt;Projects!$C$14+Projects!$D$14),IF(30=Projects!$C$14+Projects!$D$14-1,Projects!$B$14*Assumptions!$B$10/Projects!$D$14*0.95+0.05*Projects!$B$14*Assumptions!$B$10,Projects!$B$14*Assumptions!$B$10/Projects!$D$14*0.95),0)+IF(AND(Projects!$G$15="Yes",30&gt;=Projects!$C$15,30&lt;Projects!$C$15+Projects!$D$15),IF(30=Projects!$C$15+Projects!$D$15-1,Projects!$B$15*Assumptions!$B$10/Projects!$D$15*0.95+0.05*Projects!$B$15*Assumptions!$B$10,Projects!$B$15*Assumptions!$B$10/Projects!$D$15*0.95),0)+IF(AND(Projects!$G$16="Yes",30&gt;=Projects!$C$16,30&lt;Projects!$C$16+Projects!$D$16),IF(30=Projects!$C$16+Projects!$D$16-1,Projects!$B$16*Assumptions!$B$10/Projects!$D$16*0.95+0.05*Projects!$B$16*Assumptions!$B$10,Projects!$B$16*Assumptions!$B$10/Projects!$D$16*0.95),0)</f>
        <v>265281.31459009735</v>
      </c>
      <c r="AG8" s="8">
        <f>IF(AND(Projects!$G$2="Yes",31&gt;=Projects!$C$2,31&lt;Projects!$C$2+Projects!$D$2),IF(31=Projects!$C$2+Projects!$D$2-1,194932/Projects!$D$2*0.95+0.05*194932,194932/Projects!$D$2*0.95),0)+IF(AND(Projects!$G$3="Yes",31&gt;=Projects!$C$3,31&lt;Projects!$C$3+Projects!$D$3),IF(31=Projects!$C$3+Projects!$D$3-1,888067/Projects!$D$3*0.95+0.05*888067,888067/Projects!$D$3*0.95),0)+IF(AND(Projects!$G$4="Yes",31&gt;=Projects!$C$4,31&lt;Projects!$C$4+Projects!$D$4),IF(31=Projects!$C$4+Projects!$D$4-1,Projects!$B$4*Assumptions!$B$10/Projects!$D$4*0.95+0.05*Projects!$B$4*Assumptions!$B$10,Projects!$B$4*Assumptions!$B$10/Projects!$D$4*0.95),0)+IF(AND(Projects!$G$5="Yes",31&gt;=Projects!$C$5,31&lt;Projects!$C$5+Projects!$D$5),IF(31=Projects!$C$5+Projects!$D$5-1,Projects!$B$5*Assumptions!$B$10/Projects!$D$5*0.95+0.05*Projects!$B$5*Assumptions!$B$10,Projects!$B$5*Assumptions!$B$10/Projects!$D$5*0.95),0)+IF(AND(Projects!$G$6="Yes",31&gt;=Projects!$C$6,31&lt;Projects!$C$6+Projects!$D$6),IF(31=Projects!$C$6+Projects!$D$6-1,245000/Projects!$D$6*0.95+0.05*245000,245000/Projects!$D$6*0.95),0)+IF(AND(Projects!$G$7="Yes",31&gt;=Projects!$C$7,31&lt;Projects!$C$7+Projects!$D$7),IF(31=Projects!$C$7+Projects!$D$7-1,Projects!$B$7*Assumptions!$B$10/Projects!$D$7*0.95+0.05*Projects!$B$7*Assumptions!$B$10,Projects!$B$7*Assumptions!$B$10/Projects!$D$7*0.95),0)+IF(AND(Projects!$G$8="Yes",31&gt;=Projects!$C$8,31&lt;Projects!$C$8+Projects!$D$8),IF(31=Projects!$C$8+Projects!$D$8-1,Projects!$B$8*Assumptions!$B$10/Projects!$D$8*0.95+0.05*Projects!$B$8*Assumptions!$B$10,Projects!$B$8*Assumptions!$B$10/Projects!$D$8*0.95),0)+IF(AND(Projects!$G$9="Yes",31&gt;=Projects!$C$9,31&lt;Projects!$C$9+Projects!$D$9),IF(31=Projects!$C$9+Projects!$D$9-1,Projects!$B$9*Assumptions!$B$10/Projects!$D$9*0.95+0.05*Projects!$B$9*Assumptions!$B$10,Projects!$B$9*Assumptions!$B$10/Projects!$D$9*0.95),0)+IF(AND(Projects!$G$10="Yes",31&gt;=Projects!$C$10,31&lt;Projects!$C$10+Projects!$D$10),IF(31=Projects!$C$10+Projects!$D$10-1,Projects!$B$10*Assumptions!$B$10/Projects!$D$10*0.95+0.05*Projects!$B$10*Assumptions!$B$10,Projects!$B$10*Assumptions!$B$10/Projects!$D$10*0.95),0)+IF(AND(Projects!$G$11="Yes",31&gt;=Projects!$C$11,31&lt;Projects!$C$11+Projects!$D$11),IF(31=Projects!$C$11+Projects!$D$11-1,Projects!$B$11*Assumptions!$B$10/Projects!$D$11*0.95+0.05*Projects!$B$11*Assumptions!$B$10,Projects!$B$11*Assumptions!$B$10/Projects!$D$11*0.95),0)+IF(AND(Projects!$G$12="Yes",31&gt;=Projects!$C$12,31&lt;Projects!$C$12+Projects!$D$12),IF(31=Projects!$C$12+Projects!$D$12-1,Projects!$B$12*Assumptions!$B$10/Projects!$D$12*0.95+0.05*Projects!$B$12*Assumptions!$B$10,Projects!$B$12*Assumptions!$B$10/Projects!$D$12*0.95),0)+IF(AND(Projects!$G$13="Yes",31&gt;=Projects!$C$13,31&lt;Projects!$C$13+Projects!$D$13),IF(31=Projects!$C$13+Projects!$D$13-1,Projects!$B$13*Assumptions!$B$10/Projects!$D$13*0.95+0.05*Projects!$B$13*Assumptions!$B$10,Projects!$B$13*Assumptions!$B$10/Projects!$D$13*0.95),0)+IF(AND(Projects!$G$14="Yes",31&gt;=Projects!$C$14,31&lt;Projects!$C$14+Projects!$D$14),IF(31=Projects!$C$14+Projects!$D$14-1,Projects!$B$14*Assumptions!$B$10/Projects!$D$14*0.95+0.05*Projects!$B$14*Assumptions!$B$10,Projects!$B$14*Assumptions!$B$10/Projects!$D$14*0.95),0)+IF(AND(Projects!$G$15="Yes",31&gt;=Projects!$C$15,31&lt;Projects!$C$15+Projects!$D$15),IF(31=Projects!$C$15+Projects!$D$15-1,Projects!$B$15*Assumptions!$B$10/Projects!$D$15*0.95+0.05*Projects!$B$15*Assumptions!$B$10,Projects!$B$15*Assumptions!$B$10/Projects!$D$15*0.95),0)+IF(AND(Projects!$G$16="Yes",31&gt;=Projects!$C$16,31&lt;Projects!$C$16+Projects!$D$16),IF(31=Projects!$C$16+Projects!$D$16-1,Projects!$B$16*Assumptions!$B$10/Projects!$D$16*0.95+0.05*Projects!$B$16*Assumptions!$B$10,Projects!$B$16*Assumptions!$B$10/Projects!$D$16*0.95),0)</f>
        <v>317059.08650568174</v>
      </c>
      <c r="AH8" s="8">
        <f>IF(AND(Projects!$G$2="Yes",32&gt;=Projects!$C$2,32&lt;Projects!$C$2+Projects!$D$2),IF(32=Projects!$C$2+Projects!$D$2-1,194932/Projects!$D$2*0.95+0.05*194932,194932/Projects!$D$2*0.95),0)+IF(AND(Projects!$G$3="Yes",32&gt;=Projects!$C$3,32&lt;Projects!$C$3+Projects!$D$3),IF(32=Projects!$C$3+Projects!$D$3-1,888067/Projects!$D$3*0.95+0.05*888067,888067/Projects!$D$3*0.95),0)+IF(AND(Projects!$G$4="Yes",32&gt;=Projects!$C$4,32&lt;Projects!$C$4+Projects!$D$4),IF(32=Projects!$C$4+Projects!$D$4-1,Projects!$B$4*Assumptions!$B$10/Projects!$D$4*0.95+0.05*Projects!$B$4*Assumptions!$B$10,Projects!$B$4*Assumptions!$B$10/Projects!$D$4*0.95),0)+IF(AND(Projects!$G$5="Yes",32&gt;=Projects!$C$5,32&lt;Projects!$C$5+Projects!$D$5),IF(32=Projects!$C$5+Projects!$D$5-1,Projects!$B$5*Assumptions!$B$10/Projects!$D$5*0.95+0.05*Projects!$B$5*Assumptions!$B$10,Projects!$B$5*Assumptions!$B$10/Projects!$D$5*0.95),0)+IF(AND(Projects!$G$6="Yes",32&gt;=Projects!$C$6,32&lt;Projects!$C$6+Projects!$D$6),IF(32=Projects!$C$6+Projects!$D$6-1,245000/Projects!$D$6*0.95+0.05*245000,245000/Projects!$D$6*0.95),0)+IF(AND(Projects!$G$7="Yes",32&gt;=Projects!$C$7,32&lt;Projects!$C$7+Projects!$D$7),IF(32=Projects!$C$7+Projects!$D$7-1,Projects!$B$7*Assumptions!$B$10/Projects!$D$7*0.95+0.05*Projects!$B$7*Assumptions!$B$10,Projects!$B$7*Assumptions!$B$10/Projects!$D$7*0.95),0)+IF(AND(Projects!$G$8="Yes",32&gt;=Projects!$C$8,32&lt;Projects!$C$8+Projects!$D$8),IF(32=Projects!$C$8+Projects!$D$8-1,Projects!$B$8*Assumptions!$B$10/Projects!$D$8*0.95+0.05*Projects!$B$8*Assumptions!$B$10,Projects!$B$8*Assumptions!$B$10/Projects!$D$8*0.95),0)+IF(AND(Projects!$G$9="Yes",32&gt;=Projects!$C$9,32&lt;Projects!$C$9+Projects!$D$9),IF(32=Projects!$C$9+Projects!$D$9-1,Projects!$B$9*Assumptions!$B$10/Projects!$D$9*0.95+0.05*Projects!$B$9*Assumptions!$B$10,Projects!$B$9*Assumptions!$B$10/Projects!$D$9*0.95),0)+IF(AND(Projects!$G$10="Yes",32&gt;=Projects!$C$10,32&lt;Projects!$C$10+Projects!$D$10),IF(32=Projects!$C$10+Projects!$D$10-1,Projects!$B$10*Assumptions!$B$10/Projects!$D$10*0.95+0.05*Projects!$B$10*Assumptions!$B$10,Projects!$B$10*Assumptions!$B$10/Projects!$D$10*0.95),0)+IF(AND(Projects!$G$11="Yes",32&gt;=Projects!$C$11,32&lt;Projects!$C$11+Projects!$D$11),IF(32=Projects!$C$11+Projects!$D$11-1,Projects!$B$11*Assumptions!$B$10/Projects!$D$11*0.95+0.05*Projects!$B$11*Assumptions!$B$10,Projects!$B$11*Assumptions!$B$10/Projects!$D$11*0.95),0)+IF(AND(Projects!$G$12="Yes",32&gt;=Projects!$C$12,32&lt;Projects!$C$12+Projects!$D$12),IF(32=Projects!$C$12+Projects!$D$12-1,Projects!$B$12*Assumptions!$B$10/Projects!$D$12*0.95+0.05*Projects!$B$12*Assumptions!$B$10,Projects!$B$12*Assumptions!$B$10/Projects!$D$12*0.95),0)+IF(AND(Projects!$G$13="Yes",32&gt;=Projects!$C$13,32&lt;Projects!$C$13+Projects!$D$13),IF(32=Projects!$C$13+Projects!$D$13-1,Projects!$B$13*Assumptions!$B$10/Projects!$D$13*0.95+0.05*Projects!$B$13*Assumptions!$B$10,Projects!$B$13*Assumptions!$B$10/Projects!$D$13*0.95),0)+IF(AND(Projects!$G$14="Yes",32&gt;=Projects!$C$14,32&lt;Projects!$C$14+Projects!$D$14),IF(32=Projects!$C$14+Projects!$D$14-1,Projects!$B$14*Assumptions!$B$10/Projects!$D$14*0.95+0.05*Projects!$B$14*Assumptions!$B$10,Projects!$B$14*Assumptions!$B$10/Projects!$D$14*0.95),0)+IF(AND(Projects!$G$15="Yes",32&gt;=Projects!$C$15,32&lt;Projects!$C$15+Projects!$D$15),IF(32=Projects!$C$15+Projects!$D$15-1,Projects!$B$15*Assumptions!$B$10/Projects!$D$15*0.95+0.05*Projects!$B$15*Assumptions!$B$10,Projects!$B$15*Assumptions!$B$10/Projects!$D$15*0.95),0)+IF(AND(Projects!$G$16="Yes",32&gt;=Projects!$C$16,32&lt;Projects!$C$16+Projects!$D$16),IF(32=Projects!$C$16+Projects!$D$16-1,Projects!$B$16*Assumptions!$B$10/Projects!$D$16*0.95+0.05*Projects!$B$16*Assumptions!$B$10,Projects!$B$16*Assumptions!$B$10/Projects!$D$16*0.95),0)</f>
        <v>224290.57849025971</v>
      </c>
      <c r="AI8" s="8">
        <f>IF(AND(Projects!$G$2="Yes",33&gt;=Projects!$C$2,33&lt;Projects!$C$2+Projects!$D$2),IF(33=Projects!$C$2+Projects!$D$2-1,194932/Projects!$D$2*0.95+0.05*194932,194932/Projects!$D$2*0.95),0)+IF(AND(Projects!$G$3="Yes",33&gt;=Projects!$C$3,33&lt;Projects!$C$3+Projects!$D$3),IF(33=Projects!$C$3+Projects!$D$3-1,888067/Projects!$D$3*0.95+0.05*888067,888067/Projects!$D$3*0.95),0)+IF(AND(Projects!$G$4="Yes",33&gt;=Projects!$C$4,33&lt;Projects!$C$4+Projects!$D$4),IF(33=Projects!$C$4+Projects!$D$4-1,Projects!$B$4*Assumptions!$B$10/Projects!$D$4*0.95+0.05*Projects!$B$4*Assumptions!$B$10,Projects!$B$4*Assumptions!$B$10/Projects!$D$4*0.95),0)+IF(AND(Projects!$G$5="Yes",33&gt;=Projects!$C$5,33&lt;Projects!$C$5+Projects!$D$5),IF(33=Projects!$C$5+Projects!$D$5-1,Projects!$B$5*Assumptions!$B$10/Projects!$D$5*0.95+0.05*Projects!$B$5*Assumptions!$B$10,Projects!$B$5*Assumptions!$B$10/Projects!$D$5*0.95),0)+IF(AND(Projects!$G$6="Yes",33&gt;=Projects!$C$6,33&lt;Projects!$C$6+Projects!$D$6),IF(33=Projects!$C$6+Projects!$D$6-1,245000/Projects!$D$6*0.95+0.05*245000,245000/Projects!$D$6*0.95),0)+IF(AND(Projects!$G$7="Yes",33&gt;=Projects!$C$7,33&lt;Projects!$C$7+Projects!$D$7),IF(33=Projects!$C$7+Projects!$D$7-1,Projects!$B$7*Assumptions!$B$10/Projects!$D$7*0.95+0.05*Projects!$B$7*Assumptions!$B$10,Projects!$B$7*Assumptions!$B$10/Projects!$D$7*0.95),0)+IF(AND(Projects!$G$8="Yes",33&gt;=Projects!$C$8,33&lt;Projects!$C$8+Projects!$D$8),IF(33=Projects!$C$8+Projects!$D$8-1,Projects!$B$8*Assumptions!$B$10/Projects!$D$8*0.95+0.05*Projects!$B$8*Assumptions!$B$10,Projects!$B$8*Assumptions!$B$10/Projects!$D$8*0.95),0)+IF(AND(Projects!$G$9="Yes",33&gt;=Projects!$C$9,33&lt;Projects!$C$9+Projects!$D$9),IF(33=Projects!$C$9+Projects!$D$9-1,Projects!$B$9*Assumptions!$B$10/Projects!$D$9*0.95+0.05*Projects!$B$9*Assumptions!$B$10,Projects!$B$9*Assumptions!$B$10/Projects!$D$9*0.95),0)+IF(AND(Projects!$G$10="Yes",33&gt;=Projects!$C$10,33&lt;Projects!$C$10+Projects!$D$10),IF(33=Projects!$C$10+Projects!$D$10-1,Projects!$B$10*Assumptions!$B$10/Projects!$D$10*0.95+0.05*Projects!$B$10*Assumptions!$B$10,Projects!$B$10*Assumptions!$B$10/Projects!$D$10*0.95),0)+IF(AND(Projects!$G$11="Yes",33&gt;=Projects!$C$11,33&lt;Projects!$C$11+Projects!$D$11),IF(33=Projects!$C$11+Projects!$D$11-1,Projects!$B$11*Assumptions!$B$10/Projects!$D$11*0.95+0.05*Projects!$B$11*Assumptions!$B$10,Projects!$B$11*Assumptions!$B$10/Projects!$D$11*0.95),0)+IF(AND(Projects!$G$12="Yes",33&gt;=Projects!$C$12,33&lt;Projects!$C$12+Projects!$D$12),IF(33=Projects!$C$12+Projects!$D$12-1,Projects!$B$12*Assumptions!$B$10/Projects!$D$12*0.95+0.05*Projects!$B$12*Assumptions!$B$10,Projects!$B$12*Assumptions!$B$10/Projects!$D$12*0.95),0)+IF(AND(Projects!$G$13="Yes",33&gt;=Projects!$C$13,33&lt;Projects!$C$13+Projects!$D$13),IF(33=Projects!$C$13+Projects!$D$13-1,Projects!$B$13*Assumptions!$B$10/Projects!$D$13*0.95+0.05*Projects!$B$13*Assumptions!$B$10,Projects!$B$13*Assumptions!$B$10/Projects!$D$13*0.95),0)+IF(AND(Projects!$G$14="Yes",33&gt;=Projects!$C$14,33&lt;Projects!$C$14+Projects!$D$14),IF(33=Projects!$C$14+Projects!$D$14-1,Projects!$B$14*Assumptions!$B$10/Projects!$D$14*0.95+0.05*Projects!$B$14*Assumptions!$B$10,Projects!$B$14*Assumptions!$B$10/Projects!$D$14*0.95),0)+IF(AND(Projects!$G$15="Yes",33&gt;=Projects!$C$15,33&lt;Projects!$C$15+Projects!$D$15),IF(33=Projects!$C$15+Projects!$D$15-1,Projects!$B$15*Assumptions!$B$10/Projects!$D$15*0.95+0.05*Projects!$B$15*Assumptions!$B$10,Projects!$B$15*Assumptions!$B$10/Projects!$D$15*0.95),0)+IF(AND(Projects!$G$16="Yes",33&gt;=Projects!$C$16,33&lt;Projects!$C$16+Projects!$D$16),IF(33=Projects!$C$16+Projects!$D$16-1,Projects!$B$16*Assumptions!$B$10/Projects!$D$16*0.95+0.05*Projects!$B$16*Assumptions!$B$10,Projects!$B$16*Assumptions!$B$10/Projects!$D$16*0.95),0)</f>
        <v>328921.53952922072</v>
      </c>
      <c r="AJ8" s="8">
        <f>IF(AND(Projects!$G$2="Yes",34&gt;=Projects!$C$2,34&lt;Projects!$C$2+Projects!$D$2),IF(34=Projects!$C$2+Projects!$D$2-1,194932/Projects!$D$2*0.95+0.05*194932,194932/Projects!$D$2*0.95),0)+IF(AND(Projects!$G$3="Yes",34&gt;=Projects!$C$3,34&lt;Projects!$C$3+Projects!$D$3),IF(34=Projects!$C$3+Projects!$D$3-1,888067/Projects!$D$3*0.95+0.05*888067,888067/Projects!$D$3*0.95),0)+IF(AND(Projects!$G$4="Yes",34&gt;=Projects!$C$4,34&lt;Projects!$C$4+Projects!$D$4),IF(34=Projects!$C$4+Projects!$D$4-1,Projects!$B$4*Assumptions!$B$10/Projects!$D$4*0.95+0.05*Projects!$B$4*Assumptions!$B$10,Projects!$B$4*Assumptions!$B$10/Projects!$D$4*0.95),0)+IF(AND(Projects!$G$5="Yes",34&gt;=Projects!$C$5,34&lt;Projects!$C$5+Projects!$D$5),IF(34=Projects!$C$5+Projects!$D$5-1,Projects!$B$5*Assumptions!$B$10/Projects!$D$5*0.95+0.05*Projects!$B$5*Assumptions!$B$10,Projects!$B$5*Assumptions!$B$10/Projects!$D$5*0.95),0)+IF(AND(Projects!$G$6="Yes",34&gt;=Projects!$C$6,34&lt;Projects!$C$6+Projects!$D$6),IF(34=Projects!$C$6+Projects!$D$6-1,245000/Projects!$D$6*0.95+0.05*245000,245000/Projects!$D$6*0.95),0)+IF(AND(Projects!$G$7="Yes",34&gt;=Projects!$C$7,34&lt;Projects!$C$7+Projects!$D$7),IF(34=Projects!$C$7+Projects!$D$7-1,Projects!$B$7*Assumptions!$B$10/Projects!$D$7*0.95+0.05*Projects!$B$7*Assumptions!$B$10,Projects!$B$7*Assumptions!$B$10/Projects!$D$7*0.95),0)+IF(AND(Projects!$G$8="Yes",34&gt;=Projects!$C$8,34&lt;Projects!$C$8+Projects!$D$8),IF(34=Projects!$C$8+Projects!$D$8-1,Projects!$B$8*Assumptions!$B$10/Projects!$D$8*0.95+0.05*Projects!$B$8*Assumptions!$B$10,Projects!$B$8*Assumptions!$B$10/Projects!$D$8*0.95),0)+IF(AND(Projects!$G$9="Yes",34&gt;=Projects!$C$9,34&lt;Projects!$C$9+Projects!$D$9),IF(34=Projects!$C$9+Projects!$D$9-1,Projects!$B$9*Assumptions!$B$10/Projects!$D$9*0.95+0.05*Projects!$B$9*Assumptions!$B$10,Projects!$B$9*Assumptions!$B$10/Projects!$D$9*0.95),0)+IF(AND(Projects!$G$10="Yes",34&gt;=Projects!$C$10,34&lt;Projects!$C$10+Projects!$D$10),IF(34=Projects!$C$10+Projects!$D$10-1,Projects!$B$10*Assumptions!$B$10/Projects!$D$10*0.95+0.05*Projects!$B$10*Assumptions!$B$10,Projects!$B$10*Assumptions!$B$10/Projects!$D$10*0.95),0)+IF(AND(Projects!$G$11="Yes",34&gt;=Projects!$C$11,34&lt;Projects!$C$11+Projects!$D$11),IF(34=Projects!$C$11+Projects!$D$11-1,Projects!$B$11*Assumptions!$B$10/Projects!$D$11*0.95+0.05*Projects!$B$11*Assumptions!$B$10,Projects!$B$11*Assumptions!$B$10/Projects!$D$11*0.95),0)+IF(AND(Projects!$G$12="Yes",34&gt;=Projects!$C$12,34&lt;Projects!$C$12+Projects!$D$12),IF(34=Projects!$C$12+Projects!$D$12-1,Projects!$B$12*Assumptions!$B$10/Projects!$D$12*0.95+0.05*Projects!$B$12*Assumptions!$B$10,Projects!$B$12*Assumptions!$B$10/Projects!$D$12*0.95),0)+IF(AND(Projects!$G$13="Yes",34&gt;=Projects!$C$13,34&lt;Projects!$C$13+Projects!$D$13),IF(34=Projects!$C$13+Projects!$D$13-1,Projects!$B$13*Assumptions!$B$10/Projects!$D$13*0.95+0.05*Projects!$B$13*Assumptions!$B$10,Projects!$B$13*Assumptions!$B$10/Projects!$D$13*0.95),0)+IF(AND(Projects!$G$14="Yes",34&gt;=Projects!$C$14,34&lt;Projects!$C$14+Projects!$D$14),IF(34=Projects!$C$14+Projects!$D$14-1,Projects!$B$14*Assumptions!$B$10/Projects!$D$14*0.95+0.05*Projects!$B$14*Assumptions!$B$10,Projects!$B$14*Assumptions!$B$10/Projects!$D$14*0.95),0)+IF(AND(Projects!$G$15="Yes",34&gt;=Projects!$C$15,34&lt;Projects!$C$15+Projects!$D$15),IF(34=Projects!$C$15+Projects!$D$15-1,Projects!$B$15*Assumptions!$B$10/Projects!$D$15*0.95+0.05*Projects!$B$15*Assumptions!$B$10,Projects!$B$15*Assumptions!$B$10/Projects!$D$15*0.95),0)+IF(AND(Projects!$G$16="Yes",34&gt;=Projects!$C$16,34&lt;Projects!$C$16+Projects!$D$16),IF(34=Projects!$C$16+Projects!$D$16-1,Projects!$B$16*Assumptions!$B$10/Projects!$D$16*0.95+0.05*Projects!$B$16*Assumptions!$B$10,Projects!$B$16*Assumptions!$B$10/Projects!$D$16*0.95),0)</f>
        <v>158024.3031655844</v>
      </c>
      <c r="AK8" s="8">
        <f>IF(AND(Projects!$G$2="Yes",35&gt;=Projects!$C$2,35&lt;Projects!$C$2+Projects!$D$2),IF(35=Projects!$C$2+Projects!$D$2-1,194932/Projects!$D$2*0.95+0.05*194932,194932/Projects!$D$2*0.95),0)+IF(AND(Projects!$G$3="Yes",35&gt;=Projects!$C$3,35&lt;Projects!$C$3+Projects!$D$3),IF(35=Projects!$C$3+Projects!$D$3-1,888067/Projects!$D$3*0.95+0.05*888067,888067/Projects!$D$3*0.95),0)+IF(AND(Projects!$G$4="Yes",35&gt;=Projects!$C$4,35&lt;Projects!$C$4+Projects!$D$4),IF(35=Projects!$C$4+Projects!$D$4-1,Projects!$B$4*Assumptions!$B$10/Projects!$D$4*0.95+0.05*Projects!$B$4*Assumptions!$B$10,Projects!$B$4*Assumptions!$B$10/Projects!$D$4*0.95),0)+IF(AND(Projects!$G$5="Yes",35&gt;=Projects!$C$5,35&lt;Projects!$C$5+Projects!$D$5),IF(35=Projects!$C$5+Projects!$D$5-1,Projects!$B$5*Assumptions!$B$10/Projects!$D$5*0.95+0.05*Projects!$B$5*Assumptions!$B$10,Projects!$B$5*Assumptions!$B$10/Projects!$D$5*0.95),0)+IF(AND(Projects!$G$6="Yes",35&gt;=Projects!$C$6,35&lt;Projects!$C$6+Projects!$D$6),IF(35=Projects!$C$6+Projects!$D$6-1,245000/Projects!$D$6*0.95+0.05*245000,245000/Projects!$D$6*0.95),0)+IF(AND(Projects!$G$7="Yes",35&gt;=Projects!$C$7,35&lt;Projects!$C$7+Projects!$D$7),IF(35=Projects!$C$7+Projects!$D$7-1,Projects!$B$7*Assumptions!$B$10/Projects!$D$7*0.95+0.05*Projects!$B$7*Assumptions!$B$10,Projects!$B$7*Assumptions!$B$10/Projects!$D$7*0.95),0)+IF(AND(Projects!$G$8="Yes",35&gt;=Projects!$C$8,35&lt;Projects!$C$8+Projects!$D$8),IF(35=Projects!$C$8+Projects!$D$8-1,Projects!$B$8*Assumptions!$B$10/Projects!$D$8*0.95+0.05*Projects!$B$8*Assumptions!$B$10,Projects!$B$8*Assumptions!$B$10/Projects!$D$8*0.95),0)+IF(AND(Projects!$G$9="Yes",35&gt;=Projects!$C$9,35&lt;Projects!$C$9+Projects!$D$9),IF(35=Projects!$C$9+Projects!$D$9-1,Projects!$B$9*Assumptions!$B$10/Projects!$D$9*0.95+0.05*Projects!$B$9*Assumptions!$B$10,Projects!$B$9*Assumptions!$B$10/Projects!$D$9*0.95),0)+IF(AND(Projects!$G$10="Yes",35&gt;=Projects!$C$10,35&lt;Projects!$C$10+Projects!$D$10),IF(35=Projects!$C$10+Projects!$D$10-1,Projects!$B$10*Assumptions!$B$10/Projects!$D$10*0.95+0.05*Projects!$B$10*Assumptions!$B$10,Projects!$B$10*Assumptions!$B$10/Projects!$D$10*0.95),0)+IF(AND(Projects!$G$11="Yes",35&gt;=Projects!$C$11,35&lt;Projects!$C$11+Projects!$D$11),IF(35=Projects!$C$11+Projects!$D$11-1,Projects!$B$11*Assumptions!$B$10/Projects!$D$11*0.95+0.05*Projects!$B$11*Assumptions!$B$10,Projects!$B$11*Assumptions!$B$10/Projects!$D$11*0.95),0)+IF(AND(Projects!$G$12="Yes",35&gt;=Projects!$C$12,35&lt;Projects!$C$12+Projects!$D$12),IF(35=Projects!$C$12+Projects!$D$12-1,Projects!$B$12*Assumptions!$B$10/Projects!$D$12*0.95+0.05*Projects!$B$12*Assumptions!$B$10,Projects!$B$12*Assumptions!$B$10/Projects!$D$12*0.95),0)+IF(AND(Projects!$G$13="Yes",35&gt;=Projects!$C$13,35&lt;Projects!$C$13+Projects!$D$13),IF(35=Projects!$C$13+Projects!$D$13-1,Projects!$B$13*Assumptions!$B$10/Projects!$D$13*0.95+0.05*Projects!$B$13*Assumptions!$B$10,Projects!$B$13*Assumptions!$B$10/Projects!$D$13*0.95),0)+IF(AND(Projects!$G$14="Yes",35&gt;=Projects!$C$14,35&lt;Projects!$C$14+Projects!$D$14),IF(35=Projects!$C$14+Projects!$D$14-1,Projects!$B$14*Assumptions!$B$10/Projects!$D$14*0.95+0.05*Projects!$B$14*Assumptions!$B$10,Projects!$B$14*Assumptions!$B$10/Projects!$D$14*0.95),0)+IF(AND(Projects!$G$15="Yes",35&gt;=Projects!$C$15,35&lt;Projects!$C$15+Projects!$D$15),IF(35=Projects!$C$15+Projects!$D$15-1,Projects!$B$15*Assumptions!$B$10/Projects!$D$15*0.95+0.05*Projects!$B$15*Assumptions!$B$10,Projects!$B$15*Assumptions!$B$10/Projects!$D$15*0.95),0)+IF(AND(Projects!$G$16="Yes",35&gt;=Projects!$C$16,35&lt;Projects!$C$16+Projects!$D$16),IF(35=Projects!$C$16+Projects!$D$16-1,Projects!$B$16*Assumptions!$B$10/Projects!$D$16*0.95+0.05*Projects!$B$16*Assumptions!$B$10,Projects!$B$16*Assumptions!$B$10/Projects!$D$16*0.95),0)</f>
        <v>158024.3031655844</v>
      </c>
      <c r="AL8" s="8">
        <f>IF(AND(Projects!$G$2="Yes",36&gt;=Projects!$C$2,36&lt;Projects!$C$2+Projects!$D$2),IF(36=Projects!$C$2+Projects!$D$2-1,194932/Projects!$D$2*0.95+0.05*194932,194932/Projects!$D$2*0.95),0)+IF(AND(Projects!$G$3="Yes",36&gt;=Projects!$C$3,36&lt;Projects!$C$3+Projects!$D$3),IF(36=Projects!$C$3+Projects!$D$3-1,888067/Projects!$D$3*0.95+0.05*888067,888067/Projects!$D$3*0.95),0)+IF(AND(Projects!$G$4="Yes",36&gt;=Projects!$C$4,36&lt;Projects!$C$4+Projects!$D$4),IF(36=Projects!$C$4+Projects!$D$4-1,Projects!$B$4*Assumptions!$B$10/Projects!$D$4*0.95+0.05*Projects!$B$4*Assumptions!$B$10,Projects!$B$4*Assumptions!$B$10/Projects!$D$4*0.95),0)+IF(AND(Projects!$G$5="Yes",36&gt;=Projects!$C$5,36&lt;Projects!$C$5+Projects!$D$5),IF(36=Projects!$C$5+Projects!$D$5-1,Projects!$B$5*Assumptions!$B$10/Projects!$D$5*0.95+0.05*Projects!$B$5*Assumptions!$B$10,Projects!$B$5*Assumptions!$B$10/Projects!$D$5*0.95),0)+IF(AND(Projects!$G$6="Yes",36&gt;=Projects!$C$6,36&lt;Projects!$C$6+Projects!$D$6),IF(36=Projects!$C$6+Projects!$D$6-1,245000/Projects!$D$6*0.95+0.05*245000,245000/Projects!$D$6*0.95),0)+IF(AND(Projects!$G$7="Yes",36&gt;=Projects!$C$7,36&lt;Projects!$C$7+Projects!$D$7),IF(36=Projects!$C$7+Projects!$D$7-1,Projects!$B$7*Assumptions!$B$10/Projects!$D$7*0.95+0.05*Projects!$B$7*Assumptions!$B$10,Projects!$B$7*Assumptions!$B$10/Projects!$D$7*0.95),0)+IF(AND(Projects!$G$8="Yes",36&gt;=Projects!$C$8,36&lt;Projects!$C$8+Projects!$D$8),IF(36=Projects!$C$8+Projects!$D$8-1,Projects!$B$8*Assumptions!$B$10/Projects!$D$8*0.95+0.05*Projects!$B$8*Assumptions!$B$10,Projects!$B$8*Assumptions!$B$10/Projects!$D$8*0.95),0)+IF(AND(Projects!$G$9="Yes",36&gt;=Projects!$C$9,36&lt;Projects!$C$9+Projects!$D$9),IF(36=Projects!$C$9+Projects!$D$9-1,Projects!$B$9*Assumptions!$B$10/Projects!$D$9*0.95+0.05*Projects!$B$9*Assumptions!$B$10,Projects!$B$9*Assumptions!$B$10/Projects!$D$9*0.95),0)+IF(AND(Projects!$G$10="Yes",36&gt;=Projects!$C$10,36&lt;Projects!$C$10+Projects!$D$10),IF(36=Projects!$C$10+Projects!$D$10-1,Projects!$B$10*Assumptions!$B$10/Projects!$D$10*0.95+0.05*Projects!$B$10*Assumptions!$B$10,Projects!$B$10*Assumptions!$B$10/Projects!$D$10*0.95),0)+IF(AND(Projects!$G$11="Yes",36&gt;=Projects!$C$11,36&lt;Projects!$C$11+Projects!$D$11),IF(36=Projects!$C$11+Projects!$D$11-1,Projects!$B$11*Assumptions!$B$10/Projects!$D$11*0.95+0.05*Projects!$B$11*Assumptions!$B$10,Projects!$B$11*Assumptions!$B$10/Projects!$D$11*0.95),0)+IF(AND(Projects!$G$12="Yes",36&gt;=Projects!$C$12,36&lt;Projects!$C$12+Projects!$D$12),IF(36=Projects!$C$12+Projects!$D$12-1,Projects!$B$12*Assumptions!$B$10/Projects!$D$12*0.95+0.05*Projects!$B$12*Assumptions!$B$10,Projects!$B$12*Assumptions!$B$10/Projects!$D$12*0.95),0)+IF(AND(Projects!$G$13="Yes",36&gt;=Projects!$C$13,36&lt;Projects!$C$13+Projects!$D$13),IF(36=Projects!$C$13+Projects!$D$13-1,Projects!$B$13*Assumptions!$B$10/Projects!$D$13*0.95+0.05*Projects!$B$13*Assumptions!$B$10,Projects!$B$13*Assumptions!$B$10/Projects!$D$13*0.95),0)+IF(AND(Projects!$G$14="Yes",36&gt;=Projects!$C$14,36&lt;Projects!$C$14+Projects!$D$14),IF(36=Projects!$C$14+Projects!$D$14-1,Projects!$B$14*Assumptions!$B$10/Projects!$D$14*0.95+0.05*Projects!$B$14*Assumptions!$B$10,Projects!$B$14*Assumptions!$B$10/Projects!$D$14*0.95),0)+IF(AND(Projects!$G$15="Yes",36&gt;=Projects!$C$15,36&lt;Projects!$C$15+Projects!$D$15),IF(36=Projects!$C$15+Projects!$D$15-1,Projects!$B$15*Assumptions!$B$10/Projects!$D$15*0.95+0.05*Projects!$B$15*Assumptions!$B$10,Projects!$B$15*Assumptions!$B$10/Projects!$D$15*0.95),0)+IF(AND(Projects!$G$16="Yes",36&gt;=Projects!$C$16,36&lt;Projects!$C$16+Projects!$D$16),IF(36=Projects!$C$16+Projects!$D$16-1,Projects!$B$16*Assumptions!$B$10/Projects!$D$16*0.95+0.05*Projects!$B$16*Assumptions!$B$10,Projects!$B$16*Assumptions!$B$10/Projects!$D$16*0.95),0)</f>
        <v>196607.62215909088</v>
      </c>
      <c r="AM8" s="8">
        <f>IF(AND(Projects!$G$2="Yes",37&gt;=Projects!$C$2,37&lt;Projects!$C$2+Projects!$D$2),IF(37=Projects!$C$2+Projects!$D$2-1,194932/Projects!$D$2*0.95+0.05*194932,194932/Projects!$D$2*0.95),0)+IF(AND(Projects!$G$3="Yes",37&gt;=Projects!$C$3,37&lt;Projects!$C$3+Projects!$D$3),IF(37=Projects!$C$3+Projects!$D$3-1,888067/Projects!$D$3*0.95+0.05*888067,888067/Projects!$D$3*0.95),0)+IF(AND(Projects!$G$4="Yes",37&gt;=Projects!$C$4,37&lt;Projects!$C$4+Projects!$D$4),IF(37=Projects!$C$4+Projects!$D$4-1,Projects!$B$4*Assumptions!$B$10/Projects!$D$4*0.95+0.05*Projects!$B$4*Assumptions!$B$10,Projects!$B$4*Assumptions!$B$10/Projects!$D$4*0.95),0)+IF(AND(Projects!$G$5="Yes",37&gt;=Projects!$C$5,37&lt;Projects!$C$5+Projects!$D$5),IF(37=Projects!$C$5+Projects!$D$5-1,Projects!$B$5*Assumptions!$B$10/Projects!$D$5*0.95+0.05*Projects!$B$5*Assumptions!$B$10,Projects!$B$5*Assumptions!$B$10/Projects!$D$5*0.95),0)+IF(AND(Projects!$G$6="Yes",37&gt;=Projects!$C$6,37&lt;Projects!$C$6+Projects!$D$6),IF(37=Projects!$C$6+Projects!$D$6-1,245000/Projects!$D$6*0.95+0.05*245000,245000/Projects!$D$6*0.95),0)+IF(AND(Projects!$G$7="Yes",37&gt;=Projects!$C$7,37&lt;Projects!$C$7+Projects!$D$7),IF(37=Projects!$C$7+Projects!$D$7-1,Projects!$B$7*Assumptions!$B$10/Projects!$D$7*0.95+0.05*Projects!$B$7*Assumptions!$B$10,Projects!$B$7*Assumptions!$B$10/Projects!$D$7*0.95),0)+IF(AND(Projects!$G$8="Yes",37&gt;=Projects!$C$8,37&lt;Projects!$C$8+Projects!$D$8),IF(37=Projects!$C$8+Projects!$D$8-1,Projects!$B$8*Assumptions!$B$10/Projects!$D$8*0.95+0.05*Projects!$B$8*Assumptions!$B$10,Projects!$B$8*Assumptions!$B$10/Projects!$D$8*0.95),0)+IF(AND(Projects!$G$9="Yes",37&gt;=Projects!$C$9,37&lt;Projects!$C$9+Projects!$D$9),IF(37=Projects!$C$9+Projects!$D$9-1,Projects!$B$9*Assumptions!$B$10/Projects!$D$9*0.95+0.05*Projects!$B$9*Assumptions!$B$10,Projects!$B$9*Assumptions!$B$10/Projects!$D$9*0.95),0)+IF(AND(Projects!$G$10="Yes",37&gt;=Projects!$C$10,37&lt;Projects!$C$10+Projects!$D$10),IF(37=Projects!$C$10+Projects!$D$10-1,Projects!$B$10*Assumptions!$B$10/Projects!$D$10*0.95+0.05*Projects!$B$10*Assumptions!$B$10,Projects!$B$10*Assumptions!$B$10/Projects!$D$10*0.95),0)+IF(AND(Projects!$G$11="Yes",37&gt;=Projects!$C$11,37&lt;Projects!$C$11+Projects!$D$11),IF(37=Projects!$C$11+Projects!$D$11-1,Projects!$B$11*Assumptions!$B$10/Projects!$D$11*0.95+0.05*Projects!$B$11*Assumptions!$B$10,Projects!$B$11*Assumptions!$B$10/Projects!$D$11*0.95),0)+IF(AND(Projects!$G$12="Yes",37&gt;=Projects!$C$12,37&lt;Projects!$C$12+Projects!$D$12),IF(37=Projects!$C$12+Projects!$D$12-1,Projects!$B$12*Assumptions!$B$10/Projects!$D$12*0.95+0.05*Projects!$B$12*Assumptions!$B$10,Projects!$B$12*Assumptions!$B$10/Projects!$D$12*0.95),0)+IF(AND(Projects!$G$13="Yes",37&gt;=Projects!$C$13,37&lt;Projects!$C$13+Projects!$D$13),IF(37=Projects!$C$13+Projects!$D$13-1,Projects!$B$13*Assumptions!$B$10/Projects!$D$13*0.95+0.05*Projects!$B$13*Assumptions!$B$10,Projects!$B$13*Assumptions!$B$10/Projects!$D$13*0.95),0)+IF(AND(Projects!$G$14="Yes",37&gt;=Projects!$C$14,37&lt;Projects!$C$14+Projects!$D$14),IF(37=Projects!$C$14+Projects!$D$14-1,Projects!$B$14*Assumptions!$B$10/Projects!$D$14*0.95+0.05*Projects!$B$14*Assumptions!$B$10,Projects!$B$14*Assumptions!$B$10/Projects!$D$14*0.95),0)+IF(AND(Projects!$G$15="Yes",37&gt;=Projects!$C$15,37&lt;Projects!$C$15+Projects!$D$15),IF(37=Projects!$C$15+Projects!$D$15-1,Projects!$B$15*Assumptions!$B$10/Projects!$D$15*0.95+0.05*Projects!$B$15*Assumptions!$B$10,Projects!$B$15*Assumptions!$B$10/Projects!$D$15*0.95),0)+IF(AND(Projects!$G$16="Yes",37&gt;=Projects!$C$16,37&lt;Projects!$C$16+Projects!$D$16),IF(37=Projects!$C$16+Projects!$D$16-1,Projects!$B$16*Assumptions!$B$10/Projects!$D$16*0.95+0.05*Projects!$B$16*Assumptions!$B$10,Projects!$B$16*Assumptions!$B$10/Projects!$D$16*0.95),0)</f>
        <v>133588.20113636364</v>
      </c>
      <c r="AN8" s="8">
        <f>IF(AND(Projects!$G$2="Yes",38&gt;=Projects!$C$2,38&lt;Projects!$C$2+Projects!$D$2),IF(38=Projects!$C$2+Projects!$D$2-1,194932/Projects!$D$2*0.95+0.05*194932,194932/Projects!$D$2*0.95),0)+IF(AND(Projects!$G$3="Yes",38&gt;=Projects!$C$3,38&lt;Projects!$C$3+Projects!$D$3),IF(38=Projects!$C$3+Projects!$D$3-1,888067/Projects!$D$3*0.95+0.05*888067,888067/Projects!$D$3*0.95),0)+IF(AND(Projects!$G$4="Yes",38&gt;=Projects!$C$4,38&lt;Projects!$C$4+Projects!$D$4),IF(38=Projects!$C$4+Projects!$D$4-1,Projects!$B$4*Assumptions!$B$10/Projects!$D$4*0.95+0.05*Projects!$B$4*Assumptions!$B$10,Projects!$B$4*Assumptions!$B$10/Projects!$D$4*0.95),0)+IF(AND(Projects!$G$5="Yes",38&gt;=Projects!$C$5,38&lt;Projects!$C$5+Projects!$D$5),IF(38=Projects!$C$5+Projects!$D$5-1,Projects!$B$5*Assumptions!$B$10/Projects!$D$5*0.95+0.05*Projects!$B$5*Assumptions!$B$10,Projects!$B$5*Assumptions!$B$10/Projects!$D$5*0.95),0)+IF(AND(Projects!$G$6="Yes",38&gt;=Projects!$C$6,38&lt;Projects!$C$6+Projects!$D$6),IF(38=Projects!$C$6+Projects!$D$6-1,245000/Projects!$D$6*0.95+0.05*245000,245000/Projects!$D$6*0.95),0)+IF(AND(Projects!$G$7="Yes",38&gt;=Projects!$C$7,38&lt;Projects!$C$7+Projects!$D$7),IF(38=Projects!$C$7+Projects!$D$7-1,Projects!$B$7*Assumptions!$B$10/Projects!$D$7*0.95+0.05*Projects!$B$7*Assumptions!$B$10,Projects!$B$7*Assumptions!$B$10/Projects!$D$7*0.95),0)+IF(AND(Projects!$G$8="Yes",38&gt;=Projects!$C$8,38&lt;Projects!$C$8+Projects!$D$8),IF(38=Projects!$C$8+Projects!$D$8-1,Projects!$B$8*Assumptions!$B$10/Projects!$D$8*0.95+0.05*Projects!$B$8*Assumptions!$B$10,Projects!$B$8*Assumptions!$B$10/Projects!$D$8*0.95),0)+IF(AND(Projects!$G$9="Yes",38&gt;=Projects!$C$9,38&lt;Projects!$C$9+Projects!$D$9),IF(38=Projects!$C$9+Projects!$D$9-1,Projects!$B$9*Assumptions!$B$10/Projects!$D$9*0.95+0.05*Projects!$B$9*Assumptions!$B$10,Projects!$B$9*Assumptions!$B$10/Projects!$D$9*0.95),0)+IF(AND(Projects!$G$10="Yes",38&gt;=Projects!$C$10,38&lt;Projects!$C$10+Projects!$D$10),IF(38=Projects!$C$10+Projects!$D$10-1,Projects!$B$10*Assumptions!$B$10/Projects!$D$10*0.95+0.05*Projects!$B$10*Assumptions!$B$10,Projects!$B$10*Assumptions!$B$10/Projects!$D$10*0.95),0)+IF(AND(Projects!$G$11="Yes",38&gt;=Projects!$C$11,38&lt;Projects!$C$11+Projects!$D$11),IF(38=Projects!$C$11+Projects!$D$11-1,Projects!$B$11*Assumptions!$B$10/Projects!$D$11*0.95+0.05*Projects!$B$11*Assumptions!$B$10,Projects!$B$11*Assumptions!$B$10/Projects!$D$11*0.95),0)+IF(AND(Projects!$G$12="Yes",38&gt;=Projects!$C$12,38&lt;Projects!$C$12+Projects!$D$12),IF(38=Projects!$C$12+Projects!$D$12-1,Projects!$B$12*Assumptions!$B$10/Projects!$D$12*0.95+0.05*Projects!$B$12*Assumptions!$B$10,Projects!$B$12*Assumptions!$B$10/Projects!$D$12*0.95),0)+IF(AND(Projects!$G$13="Yes",38&gt;=Projects!$C$13,38&lt;Projects!$C$13+Projects!$D$13),IF(38=Projects!$C$13+Projects!$D$13-1,Projects!$B$13*Assumptions!$B$10/Projects!$D$13*0.95+0.05*Projects!$B$13*Assumptions!$B$10,Projects!$B$13*Assumptions!$B$10/Projects!$D$13*0.95),0)+IF(AND(Projects!$G$14="Yes",38&gt;=Projects!$C$14,38&lt;Projects!$C$14+Projects!$D$14),IF(38=Projects!$C$14+Projects!$D$14-1,Projects!$B$14*Assumptions!$B$10/Projects!$D$14*0.95+0.05*Projects!$B$14*Assumptions!$B$10,Projects!$B$14*Assumptions!$B$10/Projects!$D$14*0.95),0)+IF(AND(Projects!$G$15="Yes",38&gt;=Projects!$C$15,38&lt;Projects!$C$15+Projects!$D$15),IF(38=Projects!$C$15+Projects!$D$15-1,Projects!$B$15*Assumptions!$B$10/Projects!$D$15*0.95+0.05*Projects!$B$15*Assumptions!$B$10,Projects!$B$15*Assumptions!$B$10/Projects!$D$15*0.95),0)+IF(AND(Projects!$G$16="Yes",38&gt;=Projects!$C$16,38&lt;Projects!$C$16+Projects!$D$16),IF(38=Projects!$C$16+Projects!$D$16-1,Projects!$B$16*Assumptions!$B$10/Projects!$D$16*0.95+0.05*Projects!$B$16*Assumptions!$B$10,Projects!$B$16*Assumptions!$B$10/Projects!$D$16*0.95),0)</f>
        <v>133588.20113636364</v>
      </c>
      <c r="AO8" s="8">
        <f>IF(AND(Projects!$G$2="Yes",39&gt;=Projects!$C$2,39&lt;Projects!$C$2+Projects!$D$2),IF(39=Projects!$C$2+Projects!$D$2-1,194932/Projects!$D$2*0.95+0.05*194932,194932/Projects!$D$2*0.95),0)+IF(AND(Projects!$G$3="Yes",39&gt;=Projects!$C$3,39&lt;Projects!$C$3+Projects!$D$3),IF(39=Projects!$C$3+Projects!$D$3-1,888067/Projects!$D$3*0.95+0.05*888067,888067/Projects!$D$3*0.95),0)+IF(AND(Projects!$G$4="Yes",39&gt;=Projects!$C$4,39&lt;Projects!$C$4+Projects!$D$4),IF(39=Projects!$C$4+Projects!$D$4-1,Projects!$B$4*Assumptions!$B$10/Projects!$D$4*0.95+0.05*Projects!$B$4*Assumptions!$B$10,Projects!$B$4*Assumptions!$B$10/Projects!$D$4*0.95),0)+IF(AND(Projects!$G$5="Yes",39&gt;=Projects!$C$5,39&lt;Projects!$C$5+Projects!$D$5),IF(39=Projects!$C$5+Projects!$D$5-1,Projects!$B$5*Assumptions!$B$10/Projects!$D$5*0.95+0.05*Projects!$B$5*Assumptions!$B$10,Projects!$B$5*Assumptions!$B$10/Projects!$D$5*0.95),0)+IF(AND(Projects!$G$6="Yes",39&gt;=Projects!$C$6,39&lt;Projects!$C$6+Projects!$D$6),IF(39=Projects!$C$6+Projects!$D$6-1,245000/Projects!$D$6*0.95+0.05*245000,245000/Projects!$D$6*0.95),0)+IF(AND(Projects!$G$7="Yes",39&gt;=Projects!$C$7,39&lt;Projects!$C$7+Projects!$D$7),IF(39=Projects!$C$7+Projects!$D$7-1,Projects!$B$7*Assumptions!$B$10/Projects!$D$7*0.95+0.05*Projects!$B$7*Assumptions!$B$10,Projects!$B$7*Assumptions!$B$10/Projects!$D$7*0.95),0)+IF(AND(Projects!$G$8="Yes",39&gt;=Projects!$C$8,39&lt;Projects!$C$8+Projects!$D$8),IF(39=Projects!$C$8+Projects!$D$8-1,Projects!$B$8*Assumptions!$B$10/Projects!$D$8*0.95+0.05*Projects!$B$8*Assumptions!$B$10,Projects!$B$8*Assumptions!$B$10/Projects!$D$8*0.95),0)+IF(AND(Projects!$G$9="Yes",39&gt;=Projects!$C$9,39&lt;Projects!$C$9+Projects!$D$9),IF(39=Projects!$C$9+Projects!$D$9-1,Projects!$B$9*Assumptions!$B$10/Projects!$D$9*0.95+0.05*Projects!$B$9*Assumptions!$B$10,Projects!$B$9*Assumptions!$B$10/Projects!$D$9*0.95),0)+IF(AND(Projects!$G$10="Yes",39&gt;=Projects!$C$10,39&lt;Projects!$C$10+Projects!$D$10),IF(39=Projects!$C$10+Projects!$D$10-1,Projects!$B$10*Assumptions!$B$10/Projects!$D$10*0.95+0.05*Projects!$B$10*Assumptions!$B$10,Projects!$B$10*Assumptions!$B$10/Projects!$D$10*0.95),0)+IF(AND(Projects!$G$11="Yes",39&gt;=Projects!$C$11,39&lt;Projects!$C$11+Projects!$D$11),IF(39=Projects!$C$11+Projects!$D$11-1,Projects!$B$11*Assumptions!$B$10/Projects!$D$11*0.95+0.05*Projects!$B$11*Assumptions!$B$10,Projects!$B$11*Assumptions!$B$10/Projects!$D$11*0.95),0)+IF(AND(Projects!$G$12="Yes",39&gt;=Projects!$C$12,39&lt;Projects!$C$12+Projects!$D$12),IF(39=Projects!$C$12+Projects!$D$12-1,Projects!$B$12*Assumptions!$B$10/Projects!$D$12*0.95+0.05*Projects!$B$12*Assumptions!$B$10,Projects!$B$12*Assumptions!$B$10/Projects!$D$12*0.95),0)+IF(AND(Projects!$G$13="Yes",39&gt;=Projects!$C$13,39&lt;Projects!$C$13+Projects!$D$13),IF(39=Projects!$C$13+Projects!$D$13-1,Projects!$B$13*Assumptions!$B$10/Projects!$D$13*0.95+0.05*Projects!$B$13*Assumptions!$B$10,Projects!$B$13*Assumptions!$B$10/Projects!$D$13*0.95),0)+IF(AND(Projects!$G$14="Yes",39&gt;=Projects!$C$14,39&lt;Projects!$C$14+Projects!$D$14),IF(39=Projects!$C$14+Projects!$D$14-1,Projects!$B$14*Assumptions!$B$10/Projects!$D$14*0.95+0.05*Projects!$B$14*Assumptions!$B$10,Projects!$B$14*Assumptions!$B$10/Projects!$D$14*0.95),0)+IF(AND(Projects!$G$15="Yes",39&gt;=Projects!$C$15,39&lt;Projects!$C$15+Projects!$D$15),IF(39=Projects!$C$15+Projects!$D$15-1,Projects!$B$15*Assumptions!$B$10/Projects!$D$15*0.95+0.05*Projects!$B$15*Assumptions!$B$10,Projects!$B$15*Assumptions!$B$10/Projects!$D$15*0.95),0)+IF(AND(Projects!$G$16="Yes",39&gt;=Projects!$C$16,39&lt;Projects!$C$16+Projects!$D$16),IF(39=Projects!$C$16+Projects!$D$16-1,Projects!$B$16*Assumptions!$B$10/Projects!$D$16*0.95+0.05*Projects!$B$16*Assumptions!$B$10,Projects!$B$16*Assumptions!$B$10/Projects!$D$16*0.95),0)</f>
        <v>133588.20113636364</v>
      </c>
      <c r="AP8" s="8">
        <f>IF(AND(Projects!$G$2="Yes",40&gt;=Projects!$C$2,40&lt;Projects!$C$2+Projects!$D$2),IF(40=Projects!$C$2+Projects!$D$2-1,194932/Projects!$D$2*0.95+0.05*194932,194932/Projects!$D$2*0.95),0)+IF(AND(Projects!$G$3="Yes",40&gt;=Projects!$C$3,40&lt;Projects!$C$3+Projects!$D$3),IF(40=Projects!$C$3+Projects!$D$3-1,888067/Projects!$D$3*0.95+0.05*888067,888067/Projects!$D$3*0.95),0)+IF(AND(Projects!$G$4="Yes",40&gt;=Projects!$C$4,40&lt;Projects!$C$4+Projects!$D$4),IF(40=Projects!$C$4+Projects!$D$4-1,Projects!$B$4*Assumptions!$B$10/Projects!$D$4*0.95+0.05*Projects!$B$4*Assumptions!$B$10,Projects!$B$4*Assumptions!$B$10/Projects!$D$4*0.95),0)+IF(AND(Projects!$G$5="Yes",40&gt;=Projects!$C$5,40&lt;Projects!$C$5+Projects!$D$5),IF(40=Projects!$C$5+Projects!$D$5-1,Projects!$B$5*Assumptions!$B$10/Projects!$D$5*0.95+0.05*Projects!$B$5*Assumptions!$B$10,Projects!$B$5*Assumptions!$B$10/Projects!$D$5*0.95),0)+IF(AND(Projects!$G$6="Yes",40&gt;=Projects!$C$6,40&lt;Projects!$C$6+Projects!$D$6),IF(40=Projects!$C$6+Projects!$D$6-1,245000/Projects!$D$6*0.95+0.05*245000,245000/Projects!$D$6*0.95),0)+IF(AND(Projects!$G$7="Yes",40&gt;=Projects!$C$7,40&lt;Projects!$C$7+Projects!$D$7),IF(40=Projects!$C$7+Projects!$D$7-1,Projects!$B$7*Assumptions!$B$10/Projects!$D$7*0.95+0.05*Projects!$B$7*Assumptions!$B$10,Projects!$B$7*Assumptions!$B$10/Projects!$D$7*0.95),0)+IF(AND(Projects!$G$8="Yes",40&gt;=Projects!$C$8,40&lt;Projects!$C$8+Projects!$D$8),IF(40=Projects!$C$8+Projects!$D$8-1,Projects!$B$8*Assumptions!$B$10/Projects!$D$8*0.95+0.05*Projects!$B$8*Assumptions!$B$10,Projects!$B$8*Assumptions!$B$10/Projects!$D$8*0.95),0)+IF(AND(Projects!$G$9="Yes",40&gt;=Projects!$C$9,40&lt;Projects!$C$9+Projects!$D$9),IF(40=Projects!$C$9+Projects!$D$9-1,Projects!$B$9*Assumptions!$B$10/Projects!$D$9*0.95+0.05*Projects!$B$9*Assumptions!$B$10,Projects!$B$9*Assumptions!$B$10/Projects!$D$9*0.95),0)+IF(AND(Projects!$G$10="Yes",40&gt;=Projects!$C$10,40&lt;Projects!$C$10+Projects!$D$10),IF(40=Projects!$C$10+Projects!$D$10-1,Projects!$B$10*Assumptions!$B$10/Projects!$D$10*0.95+0.05*Projects!$B$10*Assumptions!$B$10,Projects!$B$10*Assumptions!$B$10/Projects!$D$10*0.95),0)+IF(AND(Projects!$G$11="Yes",40&gt;=Projects!$C$11,40&lt;Projects!$C$11+Projects!$D$11),IF(40=Projects!$C$11+Projects!$D$11-1,Projects!$B$11*Assumptions!$B$10/Projects!$D$11*0.95+0.05*Projects!$B$11*Assumptions!$B$10,Projects!$B$11*Assumptions!$B$10/Projects!$D$11*0.95),0)+IF(AND(Projects!$G$12="Yes",40&gt;=Projects!$C$12,40&lt;Projects!$C$12+Projects!$D$12),IF(40=Projects!$C$12+Projects!$D$12-1,Projects!$B$12*Assumptions!$B$10/Projects!$D$12*0.95+0.05*Projects!$B$12*Assumptions!$B$10,Projects!$B$12*Assumptions!$B$10/Projects!$D$12*0.95),0)+IF(AND(Projects!$G$13="Yes",40&gt;=Projects!$C$13,40&lt;Projects!$C$13+Projects!$D$13),IF(40=Projects!$C$13+Projects!$D$13-1,Projects!$B$13*Assumptions!$B$10/Projects!$D$13*0.95+0.05*Projects!$B$13*Assumptions!$B$10,Projects!$B$13*Assumptions!$B$10/Projects!$D$13*0.95),0)+IF(AND(Projects!$G$14="Yes",40&gt;=Projects!$C$14,40&lt;Projects!$C$14+Projects!$D$14),IF(40=Projects!$C$14+Projects!$D$14-1,Projects!$B$14*Assumptions!$B$10/Projects!$D$14*0.95+0.05*Projects!$B$14*Assumptions!$B$10,Projects!$B$14*Assumptions!$B$10/Projects!$D$14*0.95),0)+IF(AND(Projects!$G$15="Yes",40&gt;=Projects!$C$15,40&lt;Projects!$C$15+Projects!$D$15),IF(40=Projects!$C$15+Projects!$D$15-1,Projects!$B$15*Assumptions!$B$10/Projects!$D$15*0.95+0.05*Projects!$B$15*Assumptions!$B$10,Projects!$B$15*Assumptions!$B$10/Projects!$D$15*0.95),0)+IF(AND(Projects!$G$16="Yes",40&gt;=Projects!$C$16,40&lt;Projects!$C$16+Projects!$D$16),IF(40=Projects!$C$16+Projects!$D$16-1,Projects!$B$16*Assumptions!$B$10/Projects!$D$16*0.95+0.05*Projects!$B$16*Assumptions!$B$10,Projects!$B$16*Assumptions!$B$10/Projects!$D$16*0.95),0)</f>
        <v>133588.20113636364</v>
      </c>
      <c r="AQ8" s="8">
        <f>IF(AND(Projects!$G$2="Yes",41&gt;=Projects!$C$2,41&lt;Projects!$C$2+Projects!$D$2),IF(41=Projects!$C$2+Projects!$D$2-1,194932/Projects!$D$2*0.95+0.05*194932,194932/Projects!$D$2*0.95),0)+IF(AND(Projects!$G$3="Yes",41&gt;=Projects!$C$3,41&lt;Projects!$C$3+Projects!$D$3),IF(41=Projects!$C$3+Projects!$D$3-1,888067/Projects!$D$3*0.95+0.05*888067,888067/Projects!$D$3*0.95),0)+IF(AND(Projects!$G$4="Yes",41&gt;=Projects!$C$4,41&lt;Projects!$C$4+Projects!$D$4),IF(41=Projects!$C$4+Projects!$D$4-1,Projects!$B$4*Assumptions!$B$10/Projects!$D$4*0.95+0.05*Projects!$B$4*Assumptions!$B$10,Projects!$B$4*Assumptions!$B$10/Projects!$D$4*0.95),0)+IF(AND(Projects!$G$5="Yes",41&gt;=Projects!$C$5,41&lt;Projects!$C$5+Projects!$D$5),IF(41=Projects!$C$5+Projects!$D$5-1,Projects!$B$5*Assumptions!$B$10/Projects!$D$5*0.95+0.05*Projects!$B$5*Assumptions!$B$10,Projects!$B$5*Assumptions!$B$10/Projects!$D$5*0.95),0)+IF(AND(Projects!$G$6="Yes",41&gt;=Projects!$C$6,41&lt;Projects!$C$6+Projects!$D$6),IF(41=Projects!$C$6+Projects!$D$6-1,245000/Projects!$D$6*0.95+0.05*245000,245000/Projects!$D$6*0.95),0)+IF(AND(Projects!$G$7="Yes",41&gt;=Projects!$C$7,41&lt;Projects!$C$7+Projects!$D$7),IF(41=Projects!$C$7+Projects!$D$7-1,Projects!$B$7*Assumptions!$B$10/Projects!$D$7*0.95+0.05*Projects!$B$7*Assumptions!$B$10,Projects!$B$7*Assumptions!$B$10/Projects!$D$7*0.95),0)+IF(AND(Projects!$G$8="Yes",41&gt;=Projects!$C$8,41&lt;Projects!$C$8+Projects!$D$8),IF(41=Projects!$C$8+Projects!$D$8-1,Projects!$B$8*Assumptions!$B$10/Projects!$D$8*0.95+0.05*Projects!$B$8*Assumptions!$B$10,Projects!$B$8*Assumptions!$B$10/Projects!$D$8*0.95),0)+IF(AND(Projects!$G$9="Yes",41&gt;=Projects!$C$9,41&lt;Projects!$C$9+Projects!$D$9),IF(41=Projects!$C$9+Projects!$D$9-1,Projects!$B$9*Assumptions!$B$10/Projects!$D$9*0.95+0.05*Projects!$B$9*Assumptions!$B$10,Projects!$B$9*Assumptions!$B$10/Projects!$D$9*0.95),0)+IF(AND(Projects!$G$10="Yes",41&gt;=Projects!$C$10,41&lt;Projects!$C$10+Projects!$D$10),IF(41=Projects!$C$10+Projects!$D$10-1,Projects!$B$10*Assumptions!$B$10/Projects!$D$10*0.95+0.05*Projects!$B$10*Assumptions!$B$10,Projects!$B$10*Assumptions!$B$10/Projects!$D$10*0.95),0)+IF(AND(Projects!$G$11="Yes",41&gt;=Projects!$C$11,41&lt;Projects!$C$11+Projects!$D$11),IF(41=Projects!$C$11+Projects!$D$11-1,Projects!$B$11*Assumptions!$B$10/Projects!$D$11*0.95+0.05*Projects!$B$11*Assumptions!$B$10,Projects!$B$11*Assumptions!$B$10/Projects!$D$11*0.95),0)+IF(AND(Projects!$G$12="Yes",41&gt;=Projects!$C$12,41&lt;Projects!$C$12+Projects!$D$12),IF(41=Projects!$C$12+Projects!$D$12-1,Projects!$B$12*Assumptions!$B$10/Projects!$D$12*0.95+0.05*Projects!$B$12*Assumptions!$B$10,Projects!$B$12*Assumptions!$B$10/Projects!$D$12*0.95),0)+IF(AND(Projects!$G$13="Yes",41&gt;=Projects!$C$13,41&lt;Projects!$C$13+Projects!$D$13),IF(41=Projects!$C$13+Projects!$D$13-1,Projects!$B$13*Assumptions!$B$10/Projects!$D$13*0.95+0.05*Projects!$B$13*Assumptions!$B$10,Projects!$B$13*Assumptions!$B$10/Projects!$D$13*0.95),0)+IF(AND(Projects!$G$14="Yes",41&gt;=Projects!$C$14,41&lt;Projects!$C$14+Projects!$D$14),IF(41=Projects!$C$14+Projects!$D$14-1,Projects!$B$14*Assumptions!$B$10/Projects!$D$14*0.95+0.05*Projects!$B$14*Assumptions!$B$10,Projects!$B$14*Assumptions!$B$10/Projects!$D$14*0.95),0)+IF(AND(Projects!$G$15="Yes",41&gt;=Projects!$C$15,41&lt;Projects!$C$15+Projects!$D$15),IF(41=Projects!$C$15+Projects!$D$15-1,Projects!$B$15*Assumptions!$B$10/Projects!$D$15*0.95+0.05*Projects!$B$15*Assumptions!$B$10,Projects!$B$15*Assumptions!$B$10/Projects!$D$15*0.95),0)+IF(AND(Projects!$G$16="Yes",41&gt;=Projects!$C$16,41&lt;Projects!$C$16+Projects!$D$16),IF(41=Projects!$C$16+Projects!$D$16-1,Projects!$B$16*Assumptions!$B$10/Projects!$D$16*0.95+0.05*Projects!$B$16*Assumptions!$B$10,Projects!$B$16*Assumptions!$B$10/Projects!$D$16*0.95),0)</f>
        <v>133588.20113636364</v>
      </c>
      <c r="AR8" s="8">
        <f>IF(AND(Projects!$G$2="Yes",42&gt;=Projects!$C$2,42&lt;Projects!$C$2+Projects!$D$2),IF(42=Projects!$C$2+Projects!$D$2-1,194932/Projects!$D$2*0.95+0.05*194932,194932/Projects!$D$2*0.95),0)+IF(AND(Projects!$G$3="Yes",42&gt;=Projects!$C$3,42&lt;Projects!$C$3+Projects!$D$3),IF(42=Projects!$C$3+Projects!$D$3-1,888067/Projects!$D$3*0.95+0.05*888067,888067/Projects!$D$3*0.95),0)+IF(AND(Projects!$G$4="Yes",42&gt;=Projects!$C$4,42&lt;Projects!$C$4+Projects!$D$4),IF(42=Projects!$C$4+Projects!$D$4-1,Projects!$B$4*Assumptions!$B$10/Projects!$D$4*0.95+0.05*Projects!$B$4*Assumptions!$B$10,Projects!$B$4*Assumptions!$B$10/Projects!$D$4*0.95),0)+IF(AND(Projects!$G$5="Yes",42&gt;=Projects!$C$5,42&lt;Projects!$C$5+Projects!$D$5),IF(42=Projects!$C$5+Projects!$D$5-1,Projects!$B$5*Assumptions!$B$10/Projects!$D$5*0.95+0.05*Projects!$B$5*Assumptions!$B$10,Projects!$B$5*Assumptions!$B$10/Projects!$D$5*0.95),0)+IF(AND(Projects!$G$6="Yes",42&gt;=Projects!$C$6,42&lt;Projects!$C$6+Projects!$D$6),IF(42=Projects!$C$6+Projects!$D$6-1,245000/Projects!$D$6*0.95+0.05*245000,245000/Projects!$D$6*0.95),0)+IF(AND(Projects!$G$7="Yes",42&gt;=Projects!$C$7,42&lt;Projects!$C$7+Projects!$D$7),IF(42=Projects!$C$7+Projects!$D$7-1,Projects!$B$7*Assumptions!$B$10/Projects!$D$7*0.95+0.05*Projects!$B$7*Assumptions!$B$10,Projects!$B$7*Assumptions!$B$10/Projects!$D$7*0.95),0)+IF(AND(Projects!$G$8="Yes",42&gt;=Projects!$C$8,42&lt;Projects!$C$8+Projects!$D$8),IF(42=Projects!$C$8+Projects!$D$8-1,Projects!$B$8*Assumptions!$B$10/Projects!$D$8*0.95+0.05*Projects!$B$8*Assumptions!$B$10,Projects!$B$8*Assumptions!$B$10/Projects!$D$8*0.95),0)+IF(AND(Projects!$G$9="Yes",42&gt;=Projects!$C$9,42&lt;Projects!$C$9+Projects!$D$9),IF(42=Projects!$C$9+Projects!$D$9-1,Projects!$B$9*Assumptions!$B$10/Projects!$D$9*0.95+0.05*Projects!$B$9*Assumptions!$B$10,Projects!$B$9*Assumptions!$B$10/Projects!$D$9*0.95),0)+IF(AND(Projects!$G$10="Yes",42&gt;=Projects!$C$10,42&lt;Projects!$C$10+Projects!$D$10),IF(42=Projects!$C$10+Projects!$D$10-1,Projects!$B$10*Assumptions!$B$10/Projects!$D$10*0.95+0.05*Projects!$B$10*Assumptions!$B$10,Projects!$B$10*Assumptions!$B$10/Projects!$D$10*0.95),0)+IF(AND(Projects!$G$11="Yes",42&gt;=Projects!$C$11,42&lt;Projects!$C$11+Projects!$D$11),IF(42=Projects!$C$11+Projects!$D$11-1,Projects!$B$11*Assumptions!$B$10/Projects!$D$11*0.95+0.05*Projects!$B$11*Assumptions!$B$10,Projects!$B$11*Assumptions!$B$10/Projects!$D$11*0.95),0)+IF(AND(Projects!$G$12="Yes",42&gt;=Projects!$C$12,42&lt;Projects!$C$12+Projects!$D$12),IF(42=Projects!$C$12+Projects!$D$12-1,Projects!$B$12*Assumptions!$B$10/Projects!$D$12*0.95+0.05*Projects!$B$12*Assumptions!$B$10,Projects!$B$12*Assumptions!$B$10/Projects!$D$12*0.95),0)+IF(AND(Projects!$G$13="Yes",42&gt;=Projects!$C$13,42&lt;Projects!$C$13+Projects!$D$13),IF(42=Projects!$C$13+Projects!$D$13-1,Projects!$B$13*Assumptions!$B$10/Projects!$D$13*0.95+0.05*Projects!$B$13*Assumptions!$B$10,Projects!$B$13*Assumptions!$B$10/Projects!$D$13*0.95),0)+IF(AND(Projects!$G$14="Yes",42&gt;=Projects!$C$14,42&lt;Projects!$C$14+Projects!$D$14),IF(42=Projects!$C$14+Projects!$D$14-1,Projects!$B$14*Assumptions!$B$10/Projects!$D$14*0.95+0.05*Projects!$B$14*Assumptions!$B$10,Projects!$B$14*Assumptions!$B$10/Projects!$D$14*0.95),0)+IF(AND(Projects!$G$15="Yes",42&gt;=Projects!$C$15,42&lt;Projects!$C$15+Projects!$D$15),IF(42=Projects!$C$15+Projects!$D$15-1,Projects!$B$15*Assumptions!$B$10/Projects!$D$15*0.95+0.05*Projects!$B$15*Assumptions!$B$10,Projects!$B$15*Assumptions!$B$10/Projects!$D$15*0.95),0)+IF(AND(Projects!$G$16="Yes",42&gt;=Projects!$C$16,42&lt;Projects!$C$16+Projects!$D$16),IF(42=Projects!$C$16+Projects!$D$16-1,Projects!$B$16*Assumptions!$B$10/Projects!$D$16*0.95+0.05*Projects!$B$16*Assumptions!$B$10,Projects!$B$16*Assumptions!$B$10/Projects!$D$16*0.95),0)</f>
        <v>243815.72548701297</v>
      </c>
      <c r="AS8" s="8">
        <f>IF(AND(Projects!$G$2="Yes",43&gt;=Projects!$C$2,43&lt;Projects!$C$2+Projects!$D$2),IF(43=Projects!$C$2+Projects!$D$2-1,194932/Projects!$D$2*0.95+0.05*194932,194932/Projects!$D$2*0.95),0)+IF(AND(Projects!$G$3="Yes",43&gt;=Projects!$C$3,43&lt;Projects!$C$3+Projects!$D$3),IF(43=Projects!$C$3+Projects!$D$3-1,888067/Projects!$D$3*0.95+0.05*888067,888067/Projects!$D$3*0.95),0)+IF(AND(Projects!$G$4="Yes",43&gt;=Projects!$C$4,43&lt;Projects!$C$4+Projects!$D$4),IF(43=Projects!$C$4+Projects!$D$4-1,Projects!$B$4*Assumptions!$B$10/Projects!$D$4*0.95+0.05*Projects!$B$4*Assumptions!$B$10,Projects!$B$4*Assumptions!$B$10/Projects!$D$4*0.95),0)+IF(AND(Projects!$G$5="Yes",43&gt;=Projects!$C$5,43&lt;Projects!$C$5+Projects!$D$5),IF(43=Projects!$C$5+Projects!$D$5-1,Projects!$B$5*Assumptions!$B$10/Projects!$D$5*0.95+0.05*Projects!$B$5*Assumptions!$B$10,Projects!$B$5*Assumptions!$B$10/Projects!$D$5*0.95),0)+IF(AND(Projects!$G$6="Yes",43&gt;=Projects!$C$6,43&lt;Projects!$C$6+Projects!$D$6),IF(43=Projects!$C$6+Projects!$D$6-1,245000/Projects!$D$6*0.95+0.05*245000,245000/Projects!$D$6*0.95),0)+IF(AND(Projects!$G$7="Yes",43&gt;=Projects!$C$7,43&lt;Projects!$C$7+Projects!$D$7),IF(43=Projects!$C$7+Projects!$D$7-1,Projects!$B$7*Assumptions!$B$10/Projects!$D$7*0.95+0.05*Projects!$B$7*Assumptions!$B$10,Projects!$B$7*Assumptions!$B$10/Projects!$D$7*0.95),0)+IF(AND(Projects!$G$8="Yes",43&gt;=Projects!$C$8,43&lt;Projects!$C$8+Projects!$D$8),IF(43=Projects!$C$8+Projects!$D$8-1,Projects!$B$8*Assumptions!$B$10/Projects!$D$8*0.95+0.05*Projects!$B$8*Assumptions!$B$10,Projects!$B$8*Assumptions!$B$10/Projects!$D$8*0.95),0)+IF(AND(Projects!$G$9="Yes",43&gt;=Projects!$C$9,43&lt;Projects!$C$9+Projects!$D$9),IF(43=Projects!$C$9+Projects!$D$9-1,Projects!$B$9*Assumptions!$B$10/Projects!$D$9*0.95+0.05*Projects!$B$9*Assumptions!$B$10,Projects!$B$9*Assumptions!$B$10/Projects!$D$9*0.95),0)+IF(AND(Projects!$G$10="Yes",43&gt;=Projects!$C$10,43&lt;Projects!$C$10+Projects!$D$10),IF(43=Projects!$C$10+Projects!$D$10-1,Projects!$B$10*Assumptions!$B$10/Projects!$D$10*0.95+0.05*Projects!$B$10*Assumptions!$B$10,Projects!$B$10*Assumptions!$B$10/Projects!$D$10*0.95),0)+IF(AND(Projects!$G$11="Yes",43&gt;=Projects!$C$11,43&lt;Projects!$C$11+Projects!$D$11),IF(43=Projects!$C$11+Projects!$D$11-1,Projects!$B$11*Assumptions!$B$10/Projects!$D$11*0.95+0.05*Projects!$B$11*Assumptions!$B$10,Projects!$B$11*Assumptions!$B$10/Projects!$D$11*0.95),0)+IF(AND(Projects!$G$12="Yes",43&gt;=Projects!$C$12,43&lt;Projects!$C$12+Projects!$D$12),IF(43=Projects!$C$12+Projects!$D$12-1,Projects!$B$12*Assumptions!$B$10/Projects!$D$12*0.95+0.05*Projects!$B$12*Assumptions!$B$10,Projects!$B$12*Assumptions!$B$10/Projects!$D$12*0.95),0)+IF(AND(Projects!$G$13="Yes",43&gt;=Projects!$C$13,43&lt;Projects!$C$13+Projects!$D$13),IF(43=Projects!$C$13+Projects!$D$13-1,Projects!$B$13*Assumptions!$B$10/Projects!$D$13*0.95+0.05*Projects!$B$13*Assumptions!$B$10,Projects!$B$13*Assumptions!$B$10/Projects!$D$13*0.95),0)+IF(AND(Projects!$G$14="Yes",43&gt;=Projects!$C$14,43&lt;Projects!$C$14+Projects!$D$14),IF(43=Projects!$C$14+Projects!$D$14-1,Projects!$B$14*Assumptions!$B$10/Projects!$D$14*0.95+0.05*Projects!$B$14*Assumptions!$B$10,Projects!$B$14*Assumptions!$B$10/Projects!$D$14*0.95),0)+IF(AND(Projects!$G$15="Yes",43&gt;=Projects!$C$15,43&lt;Projects!$C$15+Projects!$D$15),IF(43=Projects!$C$15+Projects!$D$15-1,Projects!$B$15*Assumptions!$B$10/Projects!$D$15*0.95+0.05*Projects!$B$15*Assumptions!$B$10,Projects!$B$15*Assumptions!$B$10/Projects!$D$15*0.95),0)+IF(AND(Projects!$G$16="Yes",43&gt;=Projects!$C$16,43&lt;Projects!$C$16+Projects!$D$16),IF(43=Projects!$C$16+Projects!$D$16-1,Projects!$B$16*Assumptions!$B$10/Projects!$D$16*0.95+0.05*Projects!$B$16*Assumptions!$B$10,Projects!$B$16*Assumptions!$B$10/Projects!$D$16*0.95),0)</f>
        <v>63777.435714285712</v>
      </c>
      <c r="AT8" s="8">
        <f>IF(AND(Projects!$G$2="Yes",44&gt;=Projects!$C$2,44&lt;Projects!$C$2+Projects!$D$2),IF(44=Projects!$C$2+Projects!$D$2-1,194932/Projects!$D$2*0.95+0.05*194932,194932/Projects!$D$2*0.95),0)+IF(AND(Projects!$G$3="Yes",44&gt;=Projects!$C$3,44&lt;Projects!$C$3+Projects!$D$3),IF(44=Projects!$C$3+Projects!$D$3-1,888067/Projects!$D$3*0.95+0.05*888067,888067/Projects!$D$3*0.95),0)+IF(AND(Projects!$G$4="Yes",44&gt;=Projects!$C$4,44&lt;Projects!$C$4+Projects!$D$4),IF(44=Projects!$C$4+Projects!$D$4-1,Projects!$B$4*Assumptions!$B$10/Projects!$D$4*0.95+0.05*Projects!$B$4*Assumptions!$B$10,Projects!$B$4*Assumptions!$B$10/Projects!$D$4*0.95),0)+IF(AND(Projects!$G$5="Yes",44&gt;=Projects!$C$5,44&lt;Projects!$C$5+Projects!$D$5),IF(44=Projects!$C$5+Projects!$D$5-1,Projects!$B$5*Assumptions!$B$10/Projects!$D$5*0.95+0.05*Projects!$B$5*Assumptions!$B$10,Projects!$B$5*Assumptions!$B$10/Projects!$D$5*0.95),0)+IF(AND(Projects!$G$6="Yes",44&gt;=Projects!$C$6,44&lt;Projects!$C$6+Projects!$D$6),IF(44=Projects!$C$6+Projects!$D$6-1,245000/Projects!$D$6*0.95+0.05*245000,245000/Projects!$D$6*0.95),0)+IF(AND(Projects!$G$7="Yes",44&gt;=Projects!$C$7,44&lt;Projects!$C$7+Projects!$D$7),IF(44=Projects!$C$7+Projects!$D$7-1,Projects!$B$7*Assumptions!$B$10/Projects!$D$7*0.95+0.05*Projects!$B$7*Assumptions!$B$10,Projects!$B$7*Assumptions!$B$10/Projects!$D$7*0.95),0)+IF(AND(Projects!$G$8="Yes",44&gt;=Projects!$C$8,44&lt;Projects!$C$8+Projects!$D$8),IF(44=Projects!$C$8+Projects!$D$8-1,Projects!$B$8*Assumptions!$B$10/Projects!$D$8*0.95+0.05*Projects!$B$8*Assumptions!$B$10,Projects!$B$8*Assumptions!$B$10/Projects!$D$8*0.95),0)+IF(AND(Projects!$G$9="Yes",44&gt;=Projects!$C$9,44&lt;Projects!$C$9+Projects!$D$9),IF(44=Projects!$C$9+Projects!$D$9-1,Projects!$B$9*Assumptions!$B$10/Projects!$D$9*0.95+0.05*Projects!$B$9*Assumptions!$B$10,Projects!$B$9*Assumptions!$B$10/Projects!$D$9*0.95),0)+IF(AND(Projects!$G$10="Yes",44&gt;=Projects!$C$10,44&lt;Projects!$C$10+Projects!$D$10),IF(44=Projects!$C$10+Projects!$D$10-1,Projects!$B$10*Assumptions!$B$10/Projects!$D$10*0.95+0.05*Projects!$B$10*Assumptions!$B$10,Projects!$B$10*Assumptions!$B$10/Projects!$D$10*0.95),0)+IF(AND(Projects!$G$11="Yes",44&gt;=Projects!$C$11,44&lt;Projects!$C$11+Projects!$D$11),IF(44=Projects!$C$11+Projects!$D$11-1,Projects!$B$11*Assumptions!$B$10/Projects!$D$11*0.95+0.05*Projects!$B$11*Assumptions!$B$10,Projects!$B$11*Assumptions!$B$10/Projects!$D$11*0.95),0)+IF(AND(Projects!$G$12="Yes",44&gt;=Projects!$C$12,44&lt;Projects!$C$12+Projects!$D$12),IF(44=Projects!$C$12+Projects!$D$12-1,Projects!$B$12*Assumptions!$B$10/Projects!$D$12*0.95+0.05*Projects!$B$12*Assumptions!$B$10,Projects!$B$12*Assumptions!$B$10/Projects!$D$12*0.95),0)+IF(AND(Projects!$G$13="Yes",44&gt;=Projects!$C$13,44&lt;Projects!$C$13+Projects!$D$13),IF(44=Projects!$C$13+Projects!$D$13-1,Projects!$B$13*Assumptions!$B$10/Projects!$D$13*0.95+0.05*Projects!$B$13*Assumptions!$B$10,Projects!$B$13*Assumptions!$B$10/Projects!$D$13*0.95),0)+IF(AND(Projects!$G$14="Yes",44&gt;=Projects!$C$14,44&lt;Projects!$C$14+Projects!$D$14),IF(44=Projects!$C$14+Projects!$D$14-1,Projects!$B$14*Assumptions!$B$10/Projects!$D$14*0.95+0.05*Projects!$B$14*Assumptions!$B$10,Projects!$B$14*Assumptions!$B$10/Projects!$D$14*0.95),0)+IF(AND(Projects!$G$15="Yes",44&gt;=Projects!$C$15,44&lt;Projects!$C$15+Projects!$D$15),IF(44=Projects!$C$15+Projects!$D$15-1,Projects!$B$15*Assumptions!$B$10/Projects!$D$15*0.95+0.05*Projects!$B$15*Assumptions!$B$10,Projects!$B$15*Assumptions!$B$10/Projects!$D$15*0.95),0)+IF(AND(Projects!$G$16="Yes",44&gt;=Projects!$C$16,44&lt;Projects!$C$16+Projects!$D$16),IF(44=Projects!$C$16+Projects!$D$16-1,Projects!$B$16*Assumptions!$B$10/Projects!$D$16*0.95+0.05*Projects!$B$16*Assumptions!$B$10,Projects!$B$16*Assumptions!$B$10/Projects!$D$16*0.95),0)</f>
        <v>63777.435714285712</v>
      </c>
      <c r="AU8" s="8">
        <f>IF(AND(Projects!$G$2="Yes",45&gt;=Projects!$C$2,45&lt;Projects!$C$2+Projects!$D$2),IF(45=Projects!$C$2+Projects!$D$2-1,194932/Projects!$D$2*0.95+0.05*194932,194932/Projects!$D$2*0.95),0)+IF(AND(Projects!$G$3="Yes",45&gt;=Projects!$C$3,45&lt;Projects!$C$3+Projects!$D$3),IF(45=Projects!$C$3+Projects!$D$3-1,888067/Projects!$D$3*0.95+0.05*888067,888067/Projects!$D$3*0.95),0)+IF(AND(Projects!$G$4="Yes",45&gt;=Projects!$C$4,45&lt;Projects!$C$4+Projects!$D$4),IF(45=Projects!$C$4+Projects!$D$4-1,Projects!$B$4*Assumptions!$B$10/Projects!$D$4*0.95+0.05*Projects!$B$4*Assumptions!$B$10,Projects!$B$4*Assumptions!$B$10/Projects!$D$4*0.95),0)+IF(AND(Projects!$G$5="Yes",45&gt;=Projects!$C$5,45&lt;Projects!$C$5+Projects!$D$5),IF(45=Projects!$C$5+Projects!$D$5-1,Projects!$B$5*Assumptions!$B$10/Projects!$D$5*0.95+0.05*Projects!$B$5*Assumptions!$B$10,Projects!$B$5*Assumptions!$B$10/Projects!$D$5*0.95),0)+IF(AND(Projects!$G$6="Yes",45&gt;=Projects!$C$6,45&lt;Projects!$C$6+Projects!$D$6),IF(45=Projects!$C$6+Projects!$D$6-1,245000/Projects!$D$6*0.95+0.05*245000,245000/Projects!$D$6*0.95),0)+IF(AND(Projects!$G$7="Yes",45&gt;=Projects!$C$7,45&lt;Projects!$C$7+Projects!$D$7),IF(45=Projects!$C$7+Projects!$D$7-1,Projects!$B$7*Assumptions!$B$10/Projects!$D$7*0.95+0.05*Projects!$B$7*Assumptions!$B$10,Projects!$B$7*Assumptions!$B$10/Projects!$D$7*0.95),0)+IF(AND(Projects!$G$8="Yes",45&gt;=Projects!$C$8,45&lt;Projects!$C$8+Projects!$D$8),IF(45=Projects!$C$8+Projects!$D$8-1,Projects!$B$8*Assumptions!$B$10/Projects!$D$8*0.95+0.05*Projects!$B$8*Assumptions!$B$10,Projects!$B$8*Assumptions!$B$10/Projects!$D$8*0.95),0)+IF(AND(Projects!$G$9="Yes",45&gt;=Projects!$C$9,45&lt;Projects!$C$9+Projects!$D$9),IF(45=Projects!$C$9+Projects!$D$9-1,Projects!$B$9*Assumptions!$B$10/Projects!$D$9*0.95+0.05*Projects!$B$9*Assumptions!$B$10,Projects!$B$9*Assumptions!$B$10/Projects!$D$9*0.95),0)+IF(AND(Projects!$G$10="Yes",45&gt;=Projects!$C$10,45&lt;Projects!$C$10+Projects!$D$10),IF(45=Projects!$C$10+Projects!$D$10-1,Projects!$B$10*Assumptions!$B$10/Projects!$D$10*0.95+0.05*Projects!$B$10*Assumptions!$B$10,Projects!$B$10*Assumptions!$B$10/Projects!$D$10*0.95),0)+IF(AND(Projects!$G$11="Yes",45&gt;=Projects!$C$11,45&lt;Projects!$C$11+Projects!$D$11),IF(45=Projects!$C$11+Projects!$D$11-1,Projects!$B$11*Assumptions!$B$10/Projects!$D$11*0.95+0.05*Projects!$B$11*Assumptions!$B$10,Projects!$B$11*Assumptions!$B$10/Projects!$D$11*0.95),0)+IF(AND(Projects!$G$12="Yes",45&gt;=Projects!$C$12,45&lt;Projects!$C$12+Projects!$D$12),IF(45=Projects!$C$12+Projects!$D$12-1,Projects!$B$12*Assumptions!$B$10/Projects!$D$12*0.95+0.05*Projects!$B$12*Assumptions!$B$10,Projects!$B$12*Assumptions!$B$10/Projects!$D$12*0.95),0)+IF(AND(Projects!$G$13="Yes",45&gt;=Projects!$C$13,45&lt;Projects!$C$13+Projects!$D$13),IF(45=Projects!$C$13+Projects!$D$13-1,Projects!$B$13*Assumptions!$B$10/Projects!$D$13*0.95+0.05*Projects!$B$13*Assumptions!$B$10,Projects!$B$13*Assumptions!$B$10/Projects!$D$13*0.95),0)+IF(AND(Projects!$G$14="Yes",45&gt;=Projects!$C$14,45&lt;Projects!$C$14+Projects!$D$14),IF(45=Projects!$C$14+Projects!$D$14-1,Projects!$B$14*Assumptions!$B$10/Projects!$D$14*0.95+0.05*Projects!$B$14*Assumptions!$B$10,Projects!$B$14*Assumptions!$B$10/Projects!$D$14*0.95),0)+IF(AND(Projects!$G$15="Yes",45&gt;=Projects!$C$15,45&lt;Projects!$C$15+Projects!$D$15),IF(45=Projects!$C$15+Projects!$D$15-1,Projects!$B$15*Assumptions!$B$10/Projects!$D$15*0.95+0.05*Projects!$B$15*Assumptions!$B$10,Projects!$B$15*Assumptions!$B$10/Projects!$D$15*0.95),0)+IF(AND(Projects!$G$16="Yes",45&gt;=Projects!$C$16,45&lt;Projects!$C$16+Projects!$D$16),IF(45=Projects!$C$16+Projects!$D$16-1,Projects!$B$16*Assumptions!$B$10/Projects!$D$16*0.95+0.05*Projects!$B$16*Assumptions!$B$10,Projects!$B$16*Assumptions!$B$10/Projects!$D$16*0.95),0)</f>
        <v>63777.435714285712</v>
      </c>
      <c r="AV8" s="8">
        <f>IF(AND(Projects!$G$2="Yes",46&gt;=Projects!$C$2,46&lt;Projects!$C$2+Projects!$D$2),IF(46=Projects!$C$2+Projects!$D$2-1,194932/Projects!$D$2*0.95+0.05*194932,194932/Projects!$D$2*0.95),0)+IF(AND(Projects!$G$3="Yes",46&gt;=Projects!$C$3,46&lt;Projects!$C$3+Projects!$D$3),IF(46=Projects!$C$3+Projects!$D$3-1,888067/Projects!$D$3*0.95+0.05*888067,888067/Projects!$D$3*0.95),0)+IF(AND(Projects!$G$4="Yes",46&gt;=Projects!$C$4,46&lt;Projects!$C$4+Projects!$D$4),IF(46=Projects!$C$4+Projects!$D$4-1,Projects!$B$4*Assumptions!$B$10/Projects!$D$4*0.95+0.05*Projects!$B$4*Assumptions!$B$10,Projects!$B$4*Assumptions!$B$10/Projects!$D$4*0.95),0)+IF(AND(Projects!$G$5="Yes",46&gt;=Projects!$C$5,46&lt;Projects!$C$5+Projects!$D$5),IF(46=Projects!$C$5+Projects!$D$5-1,Projects!$B$5*Assumptions!$B$10/Projects!$D$5*0.95+0.05*Projects!$B$5*Assumptions!$B$10,Projects!$B$5*Assumptions!$B$10/Projects!$D$5*0.95),0)+IF(AND(Projects!$G$6="Yes",46&gt;=Projects!$C$6,46&lt;Projects!$C$6+Projects!$D$6),IF(46=Projects!$C$6+Projects!$D$6-1,245000/Projects!$D$6*0.95+0.05*245000,245000/Projects!$D$6*0.95),0)+IF(AND(Projects!$G$7="Yes",46&gt;=Projects!$C$7,46&lt;Projects!$C$7+Projects!$D$7),IF(46=Projects!$C$7+Projects!$D$7-1,Projects!$B$7*Assumptions!$B$10/Projects!$D$7*0.95+0.05*Projects!$B$7*Assumptions!$B$10,Projects!$B$7*Assumptions!$B$10/Projects!$D$7*0.95),0)+IF(AND(Projects!$G$8="Yes",46&gt;=Projects!$C$8,46&lt;Projects!$C$8+Projects!$D$8),IF(46=Projects!$C$8+Projects!$D$8-1,Projects!$B$8*Assumptions!$B$10/Projects!$D$8*0.95+0.05*Projects!$B$8*Assumptions!$B$10,Projects!$B$8*Assumptions!$B$10/Projects!$D$8*0.95),0)+IF(AND(Projects!$G$9="Yes",46&gt;=Projects!$C$9,46&lt;Projects!$C$9+Projects!$D$9),IF(46=Projects!$C$9+Projects!$D$9-1,Projects!$B$9*Assumptions!$B$10/Projects!$D$9*0.95+0.05*Projects!$B$9*Assumptions!$B$10,Projects!$B$9*Assumptions!$B$10/Projects!$D$9*0.95),0)+IF(AND(Projects!$G$10="Yes",46&gt;=Projects!$C$10,46&lt;Projects!$C$10+Projects!$D$10),IF(46=Projects!$C$10+Projects!$D$10-1,Projects!$B$10*Assumptions!$B$10/Projects!$D$10*0.95+0.05*Projects!$B$10*Assumptions!$B$10,Projects!$B$10*Assumptions!$B$10/Projects!$D$10*0.95),0)+IF(AND(Projects!$G$11="Yes",46&gt;=Projects!$C$11,46&lt;Projects!$C$11+Projects!$D$11),IF(46=Projects!$C$11+Projects!$D$11-1,Projects!$B$11*Assumptions!$B$10/Projects!$D$11*0.95+0.05*Projects!$B$11*Assumptions!$B$10,Projects!$B$11*Assumptions!$B$10/Projects!$D$11*0.95),0)+IF(AND(Projects!$G$12="Yes",46&gt;=Projects!$C$12,46&lt;Projects!$C$12+Projects!$D$12),IF(46=Projects!$C$12+Projects!$D$12-1,Projects!$B$12*Assumptions!$B$10/Projects!$D$12*0.95+0.05*Projects!$B$12*Assumptions!$B$10,Projects!$B$12*Assumptions!$B$10/Projects!$D$12*0.95),0)+IF(AND(Projects!$G$13="Yes",46&gt;=Projects!$C$13,46&lt;Projects!$C$13+Projects!$D$13),IF(46=Projects!$C$13+Projects!$D$13-1,Projects!$B$13*Assumptions!$B$10/Projects!$D$13*0.95+0.05*Projects!$B$13*Assumptions!$B$10,Projects!$B$13*Assumptions!$B$10/Projects!$D$13*0.95),0)+IF(AND(Projects!$G$14="Yes",46&gt;=Projects!$C$14,46&lt;Projects!$C$14+Projects!$D$14),IF(46=Projects!$C$14+Projects!$D$14-1,Projects!$B$14*Assumptions!$B$10/Projects!$D$14*0.95+0.05*Projects!$B$14*Assumptions!$B$10,Projects!$B$14*Assumptions!$B$10/Projects!$D$14*0.95),0)+IF(AND(Projects!$G$15="Yes",46&gt;=Projects!$C$15,46&lt;Projects!$C$15+Projects!$D$15),IF(46=Projects!$C$15+Projects!$D$15-1,Projects!$B$15*Assumptions!$B$10/Projects!$D$15*0.95+0.05*Projects!$B$15*Assumptions!$B$10,Projects!$B$15*Assumptions!$B$10/Projects!$D$15*0.95),0)+IF(AND(Projects!$G$16="Yes",46&gt;=Projects!$C$16,46&lt;Projects!$C$16+Projects!$D$16),IF(46=Projects!$C$16+Projects!$D$16-1,Projects!$B$16*Assumptions!$B$10/Projects!$D$16*0.95+0.05*Projects!$B$16*Assumptions!$B$10,Projects!$B$16*Assumptions!$B$10/Projects!$D$16*0.95),0)</f>
        <v>63777.435714285712</v>
      </c>
      <c r="AW8" s="8">
        <f>IF(AND(Projects!$G$2="Yes",47&gt;=Projects!$C$2,47&lt;Projects!$C$2+Projects!$D$2),IF(47=Projects!$C$2+Projects!$D$2-1,194932/Projects!$D$2*0.95+0.05*194932,194932/Projects!$D$2*0.95),0)+IF(AND(Projects!$G$3="Yes",47&gt;=Projects!$C$3,47&lt;Projects!$C$3+Projects!$D$3),IF(47=Projects!$C$3+Projects!$D$3-1,888067/Projects!$D$3*0.95+0.05*888067,888067/Projects!$D$3*0.95),0)+IF(AND(Projects!$G$4="Yes",47&gt;=Projects!$C$4,47&lt;Projects!$C$4+Projects!$D$4),IF(47=Projects!$C$4+Projects!$D$4-1,Projects!$B$4*Assumptions!$B$10/Projects!$D$4*0.95+0.05*Projects!$B$4*Assumptions!$B$10,Projects!$B$4*Assumptions!$B$10/Projects!$D$4*0.95),0)+IF(AND(Projects!$G$5="Yes",47&gt;=Projects!$C$5,47&lt;Projects!$C$5+Projects!$D$5),IF(47=Projects!$C$5+Projects!$D$5-1,Projects!$B$5*Assumptions!$B$10/Projects!$D$5*0.95+0.05*Projects!$B$5*Assumptions!$B$10,Projects!$B$5*Assumptions!$B$10/Projects!$D$5*0.95),0)+IF(AND(Projects!$G$6="Yes",47&gt;=Projects!$C$6,47&lt;Projects!$C$6+Projects!$D$6),IF(47=Projects!$C$6+Projects!$D$6-1,245000/Projects!$D$6*0.95+0.05*245000,245000/Projects!$D$6*0.95),0)+IF(AND(Projects!$G$7="Yes",47&gt;=Projects!$C$7,47&lt;Projects!$C$7+Projects!$D$7),IF(47=Projects!$C$7+Projects!$D$7-1,Projects!$B$7*Assumptions!$B$10/Projects!$D$7*0.95+0.05*Projects!$B$7*Assumptions!$B$10,Projects!$B$7*Assumptions!$B$10/Projects!$D$7*0.95),0)+IF(AND(Projects!$G$8="Yes",47&gt;=Projects!$C$8,47&lt;Projects!$C$8+Projects!$D$8),IF(47=Projects!$C$8+Projects!$D$8-1,Projects!$B$8*Assumptions!$B$10/Projects!$D$8*0.95+0.05*Projects!$B$8*Assumptions!$B$10,Projects!$B$8*Assumptions!$B$10/Projects!$D$8*0.95),0)+IF(AND(Projects!$G$9="Yes",47&gt;=Projects!$C$9,47&lt;Projects!$C$9+Projects!$D$9),IF(47=Projects!$C$9+Projects!$D$9-1,Projects!$B$9*Assumptions!$B$10/Projects!$D$9*0.95+0.05*Projects!$B$9*Assumptions!$B$10,Projects!$B$9*Assumptions!$B$10/Projects!$D$9*0.95),0)+IF(AND(Projects!$G$10="Yes",47&gt;=Projects!$C$10,47&lt;Projects!$C$10+Projects!$D$10),IF(47=Projects!$C$10+Projects!$D$10-1,Projects!$B$10*Assumptions!$B$10/Projects!$D$10*0.95+0.05*Projects!$B$10*Assumptions!$B$10,Projects!$B$10*Assumptions!$B$10/Projects!$D$10*0.95),0)+IF(AND(Projects!$G$11="Yes",47&gt;=Projects!$C$11,47&lt;Projects!$C$11+Projects!$D$11),IF(47=Projects!$C$11+Projects!$D$11-1,Projects!$B$11*Assumptions!$B$10/Projects!$D$11*0.95+0.05*Projects!$B$11*Assumptions!$B$10,Projects!$B$11*Assumptions!$B$10/Projects!$D$11*0.95),0)+IF(AND(Projects!$G$12="Yes",47&gt;=Projects!$C$12,47&lt;Projects!$C$12+Projects!$D$12),IF(47=Projects!$C$12+Projects!$D$12-1,Projects!$B$12*Assumptions!$B$10/Projects!$D$12*0.95+0.05*Projects!$B$12*Assumptions!$B$10,Projects!$B$12*Assumptions!$B$10/Projects!$D$12*0.95),0)+IF(AND(Projects!$G$13="Yes",47&gt;=Projects!$C$13,47&lt;Projects!$C$13+Projects!$D$13),IF(47=Projects!$C$13+Projects!$D$13-1,Projects!$B$13*Assumptions!$B$10/Projects!$D$13*0.95+0.05*Projects!$B$13*Assumptions!$B$10,Projects!$B$13*Assumptions!$B$10/Projects!$D$13*0.95),0)+IF(AND(Projects!$G$14="Yes",47&gt;=Projects!$C$14,47&lt;Projects!$C$14+Projects!$D$14),IF(47=Projects!$C$14+Projects!$D$14-1,Projects!$B$14*Assumptions!$B$10/Projects!$D$14*0.95+0.05*Projects!$B$14*Assumptions!$B$10,Projects!$B$14*Assumptions!$B$10/Projects!$D$14*0.95),0)+IF(AND(Projects!$G$15="Yes",47&gt;=Projects!$C$15,47&lt;Projects!$C$15+Projects!$D$15),IF(47=Projects!$C$15+Projects!$D$15-1,Projects!$B$15*Assumptions!$B$10/Projects!$D$15*0.95+0.05*Projects!$B$15*Assumptions!$B$10,Projects!$B$15*Assumptions!$B$10/Projects!$D$15*0.95),0)+IF(AND(Projects!$G$16="Yes",47&gt;=Projects!$C$16,47&lt;Projects!$C$16+Projects!$D$16),IF(47=Projects!$C$16+Projects!$D$16-1,Projects!$B$16*Assumptions!$B$10/Projects!$D$16*0.95+0.05*Projects!$B$16*Assumptions!$B$10,Projects!$B$16*Assumptions!$B$10/Projects!$D$16*0.95),0)</f>
        <v>63777.435714285712</v>
      </c>
      <c r="AX8" s="8">
        <f>IF(AND(Projects!$G$2="Yes",48&gt;=Projects!$C$2,48&lt;Projects!$C$2+Projects!$D$2),IF(48=Projects!$C$2+Projects!$D$2-1,194932/Projects!$D$2*0.95+0.05*194932,194932/Projects!$D$2*0.95),0)+IF(AND(Projects!$G$3="Yes",48&gt;=Projects!$C$3,48&lt;Projects!$C$3+Projects!$D$3),IF(48=Projects!$C$3+Projects!$D$3-1,888067/Projects!$D$3*0.95+0.05*888067,888067/Projects!$D$3*0.95),0)+IF(AND(Projects!$G$4="Yes",48&gt;=Projects!$C$4,48&lt;Projects!$C$4+Projects!$D$4),IF(48=Projects!$C$4+Projects!$D$4-1,Projects!$B$4*Assumptions!$B$10/Projects!$D$4*0.95+0.05*Projects!$B$4*Assumptions!$B$10,Projects!$B$4*Assumptions!$B$10/Projects!$D$4*0.95),0)+IF(AND(Projects!$G$5="Yes",48&gt;=Projects!$C$5,48&lt;Projects!$C$5+Projects!$D$5),IF(48=Projects!$C$5+Projects!$D$5-1,Projects!$B$5*Assumptions!$B$10/Projects!$D$5*0.95+0.05*Projects!$B$5*Assumptions!$B$10,Projects!$B$5*Assumptions!$B$10/Projects!$D$5*0.95),0)+IF(AND(Projects!$G$6="Yes",48&gt;=Projects!$C$6,48&lt;Projects!$C$6+Projects!$D$6),IF(48=Projects!$C$6+Projects!$D$6-1,245000/Projects!$D$6*0.95+0.05*245000,245000/Projects!$D$6*0.95),0)+IF(AND(Projects!$G$7="Yes",48&gt;=Projects!$C$7,48&lt;Projects!$C$7+Projects!$D$7),IF(48=Projects!$C$7+Projects!$D$7-1,Projects!$B$7*Assumptions!$B$10/Projects!$D$7*0.95+0.05*Projects!$B$7*Assumptions!$B$10,Projects!$B$7*Assumptions!$B$10/Projects!$D$7*0.95),0)+IF(AND(Projects!$G$8="Yes",48&gt;=Projects!$C$8,48&lt;Projects!$C$8+Projects!$D$8),IF(48=Projects!$C$8+Projects!$D$8-1,Projects!$B$8*Assumptions!$B$10/Projects!$D$8*0.95+0.05*Projects!$B$8*Assumptions!$B$10,Projects!$B$8*Assumptions!$B$10/Projects!$D$8*0.95),0)+IF(AND(Projects!$G$9="Yes",48&gt;=Projects!$C$9,48&lt;Projects!$C$9+Projects!$D$9),IF(48=Projects!$C$9+Projects!$D$9-1,Projects!$B$9*Assumptions!$B$10/Projects!$D$9*0.95+0.05*Projects!$B$9*Assumptions!$B$10,Projects!$B$9*Assumptions!$B$10/Projects!$D$9*0.95),0)+IF(AND(Projects!$G$10="Yes",48&gt;=Projects!$C$10,48&lt;Projects!$C$10+Projects!$D$10),IF(48=Projects!$C$10+Projects!$D$10-1,Projects!$B$10*Assumptions!$B$10/Projects!$D$10*0.95+0.05*Projects!$B$10*Assumptions!$B$10,Projects!$B$10*Assumptions!$B$10/Projects!$D$10*0.95),0)+IF(AND(Projects!$G$11="Yes",48&gt;=Projects!$C$11,48&lt;Projects!$C$11+Projects!$D$11),IF(48=Projects!$C$11+Projects!$D$11-1,Projects!$B$11*Assumptions!$B$10/Projects!$D$11*0.95+0.05*Projects!$B$11*Assumptions!$B$10,Projects!$B$11*Assumptions!$B$10/Projects!$D$11*0.95),0)+IF(AND(Projects!$G$12="Yes",48&gt;=Projects!$C$12,48&lt;Projects!$C$12+Projects!$D$12),IF(48=Projects!$C$12+Projects!$D$12-1,Projects!$B$12*Assumptions!$B$10/Projects!$D$12*0.95+0.05*Projects!$B$12*Assumptions!$B$10,Projects!$B$12*Assumptions!$B$10/Projects!$D$12*0.95),0)+IF(AND(Projects!$G$13="Yes",48&gt;=Projects!$C$13,48&lt;Projects!$C$13+Projects!$D$13),IF(48=Projects!$C$13+Projects!$D$13-1,Projects!$B$13*Assumptions!$B$10/Projects!$D$13*0.95+0.05*Projects!$B$13*Assumptions!$B$10,Projects!$B$13*Assumptions!$B$10/Projects!$D$13*0.95),0)+IF(AND(Projects!$G$14="Yes",48&gt;=Projects!$C$14,48&lt;Projects!$C$14+Projects!$D$14),IF(48=Projects!$C$14+Projects!$D$14-1,Projects!$B$14*Assumptions!$B$10/Projects!$D$14*0.95+0.05*Projects!$B$14*Assumptions!$B$10,Projects!$B$14*Assumptions!$B$10/Projects!$D$14*0.95),0)+IF(AND(Projects!$G$15="Yes",48&gt;=Projects!$C$15,48&lt;Projects!$C$15+Projects!$D$15),IF(48=Projects!$C$15+Projects!$D$15-1,Projects!$B$15*Assumptions!$B$10/Projects!$D$15*0.95+0.05*Projects!$B$15*Assumptions!$B$10,Projects!$B$15*Assumptions!$B$10/Projects!$D$15*0.95),0)+IF(AND(Projects!$G$16="Yes",48&gt;=Projects!$C$16,48&lt;Projects!$C$16+Projects!$D$16),IF(48=Projects!$C$16+Projects!$D$16-1,Projects!$B$16*Assumptions!$B$10/Projects!$D$16*0.95+0.05*Projects!$B$16*Assumptions!$B$10,Projects!$B$16*Assumptions!$B$10/Projects!$D$16*0.95),0)</f>
        <v>63777.435714285712</v>
      </c>
      <c r="AY8" s="8">
        <f>IF(AND(Projects!$G$2="Yes",49&gt;=Projects!$C$2,49&lt;Projects!$C$2+Projects!$D$2),IF(49=Projects!$C$2+Projects!$D$2-1,194932/Projects!$D$2*0.95+0.05*194932,194932/Projects!$D$2*0.95),0)+IF(AND(Projects!$G$3="Yes",49&gt;=Projects!$C$3,49&lt;Projects!$C$3+Projects!$D$3),IF(49=Projects!$C$3+Projects!$D$3-1,888067/Projects!$D$3*0.95+0.05*888067,888067/Projects!$D$3*0.95),0)+IF(AND(Projects!$G$4="Yes",49&gt;=Projects!$C$4,49&lt;Projects!$C$4+Projects!$D$4),IF(49=Projects!$C$4+Projects!$D$4-1,Projects!$B$4*Assumptions!$B$10/Projects!$D$4*0.95+0.05*Projects!$B$4*Assumptions!$B$10,Projects!$B$4*Assumptions!$B$10/Projects!$D$4*0.95),0)+IF(AND(Projects!$G$5="Yes",49&gt;=Projects!$C$5,49&lt;Projects!$C$5+Projects!$D$5),IF(49=Projects!$C$5+Projects!$D$5-1,Projects!$B$5*Assumptions!$B$10/Projects!$D$5*0.95+0.05*Projects!$B$5*Assumptions!$B$10,Projects!$B$5*Assumptions!$B$10/Projects!$D$5*0.95),0)+IF(AND(Projects!$G$6="Yes",49&gt;=Projects!$C$6,49&lt;Projects!$C$6+Projects!$D$6),IF(49=Projects!$C$6+Projects!$D$6-1,245000/Projects!$D$6*0.95+0.05*245000,245000/Projects!$D$6*0.95),0)+IF(AND(Projects!$G$7="Yes",49&gt;=Projects!$C$7,49&lt;Projects!$C$7+Projects!$D$7),IF(49=Projects!$C$7+Projects!$D$7-1,Projects!$B$7*Assumptions!$B$10/Projects!$D$7*0.95+0.05*Projects!$B$7*Assumptions!$B$10,Projects!$B$7*Assumptions!$B$10/Projects!$D$7*0.95),0)+IF(AND(Projects!$G$8="Yes",49&gt;=Projects!$C$8,49&lt;Projects!$C$8+Projects!$D$8),IF(49=Projects!$C$8+Projects!$D$8-1,Projects!$B$8*Assumptions!$B$10/Projects!$D$8*0.95+0.05*Projects!$B$8*Assumptions!$B$10,Projects!$B$8*Assumptions!$B$10/Projects!$D$8*0.95),0)+IF(AND(Projects!$G$9="Yes",49&gt;=Projects!$C$9,49&lt;Projects!$C$9+Projects!$D$9),IF(49=Projects!$C$9+Projects!$D$9-1,Projects!$B$9*Assumptions!$B$10/Projects!$D$9*0.95+0.05*Projects!$B$9*Assumptions!$B$10,Projects!$B$9*Assumptions!$B$10/Projects!$D$9*0.95),0)+IF(AND(Projects!$G$10="Yes",49&gt;=Projects!$C$10,49&lt;Projects!$C$10+Projects!$D$10),IF(49=Projects!$C$10+Projects!$D$10-1,Projects!$B$10*Assumptions!$B$10/Projects!$D$10*0.95+0.05*Projects!$B$10*Assumptions!$B$10,Projects!$B$10*Assumptions!$B$10/Projects!$D$10*0.95),0)+IF(AND(Projects!$G$11="Yes",49&gt;=Projects!$C$11,49&lt;Projects!$C$11+Projects!$D$11),IF(49=Projects!$C$11+Projects!$D$11-1,Projects!$B$11*Assumptions!$B$10/Projects!$D$11*0.95+0.05*Projects!$B$11*Assumptions!$B$10,Projects!$B$11*Assumptions!$B$10/Projects!$D$11*0.95),0)+IF(AND(Projects!$G$12="Yes",49&gt;=Projects!$C$12,49&lt;Projects!$C$12+Projects!$D$12),IF(49=Projects!$C$12+Projects!$D$12-1,Projects!$B$12*Assumptions!$B$10/Projects!$D$12*0.95+0.05*Projects!$B$12*Assumptions!$B$10,Projects!$B$12*Assumptions!$B$10/Projects!$D$12*0.95),0)+IF(AND(Projects!$G$13="Yes",49&gt;=Projects!$C$13,49&lt;Projects!$C$13+Projects!$D$13),IF(49=Projects!$C$13+Projects!$D$13-1,Projects!$B$13*Assumptions!$B$10/Projects!$D$13*0.95+0.05*Projects!$B$13*Assumptions!$B$10,Projects!$B$13*Assumptions!$B$10/Projects!$D$13*0.95),0)+IF(AND(Projects!$G$14="Yes",49&gt;=Projects!$C$14,49&lt;Projects!$C$14+Projects!$D$14),IF(49=Projects!$C$14+Projects!$D$14-1,Projects!$B$14*Assumptions!$B$10/Projects!$D$14*0.95+0.05*Projects!$B$14*Assumptions!$B$10,Projects!$B$14*Assumptions!$B$10/Projects!$D$14*0.95),0)+IF(AND(Projects!$G$15="Yes",49&gt;=Projects!$C$15,49&lt;Projects!$C$15+Projects!$D$15),IF(49=Projects!$C$15+Projects!$D$15-1,Projects!$B$15*Assumptions!$B$10/Projects!$D$15*0.95+0.05*Projects!$B$15*Assumptions!$B$10,Projects!$B$15*Assumptions!$B$10/Projects!$D$15*0.95),0)+IF(AND(Projects!$G$16="Yes",49&gt;=Projects!$C$16,49&lt;Projects!$C$16+Projects!$D$16),IF(49=Projects!$C$16+Projects!$D$16-1,Projects!$B$16*Assumptions!$B$10/Projects!$D$16*0.95+0.05*Projects!$B$16*Assumptions!$B$10,Projects!$B$16*Assumptions!$B$10/Projects!$D$16*0.95),0)</f>
        <v>63777.435714285712</v>
      </c>
      <c r="AZ8" s="8">
        <f>IF(AND(Projects!$G$2="Yes",50&gt;=Projects!$C$2,50&lt;Projects!$C$2+Projects!$D$2),IF(50=Projects!$C$2+Projects!$D$2-1,194932/Projects!$D$2*0.95+0.05*194932,194932/Projects!$D$2*0.95),0)+IF(AND(Projects!$G$3="Yes",50&gt;=Projects!$C$3,50&lt;Projects!$C$3+Projects!$D$3),IF(50=Projects!$C$3+Projects!$D$3-1,888067/Projects!$D$3*0.95+0.05*888067,888067/Projects!$D$3*0.95),0)+IF(AND(Projects!$G$4="Yes",50&gt;=Projects!$C$4,50&lt;Projects!$C$4+Projects!$D$4),IF(50=Projects!$C$4+Projects!$D$4-1,Projects!$B$4*Assumptions!$B$10/Projects!$D$4*0.95+0.05*Projects!$B$4*Assumptions!$B$10,Projects!$B$4*Assumptions!$B$10/Projects!$D$4*0.95),0)+IF(AND(Projects!$G$5="Yes",50&gt;=Projects!$C$5,50&lt;Projects!$C$5+Projects!$D$5),IF(50=Projects!$C$5+Projects!$D$5-1,Projects!$B$5*Assumptions!$B$10/Projects!$D$5*0.95+0.05*Projects!$B$5*Assumptions!$B$10,Projects!$B$5*Assumptions!$B$10/Projects!$D$5*0.95),0)+IF(AND(Projects!$G$6="Yes",50&gt;=Projects!$C$6,50&lt;Projects!$C$6+Projects!$D$6),IF(50=Projects!$C$6+Projects!$D$6-1,245000/Projects!$D$6*0.95+0.05*245000,245000/Projects!$D$6*0.95),0)+IF(AND(Projects!$G$7="Yes",50&gt;=Projects!$C$7,50&lt;Projects!$C$7+Projects!$D$7),IF(50=Projects!$C$7+Projects!$D$7-1,Projects!$B$7*Assumptions!$B$10/Projects!$D$7*0.95+0.05*Projects!$B$7*Assumptions!$B$10,Projects!$B$7*Assumptions!$B$10/Projects!$D$7*0.95),0)+IF(AND(Projects!$G$8="Yes",50&gt;=Projects!$C$8,50&lt;Projects!$C$8+Projects!$D$8),IF(50=Projects!$C$8+Projects!$D$8-1,Projects!$B$8*Assumptions!$B$10/Projects!$D$8*0.95+0.05*Projects!$B$8*Assumptions!$B$10,Projects!$B$8*Assumptions!$B$10/Projects!$D$8*0.95),0)+IF(AND(Projects!$G$9="Yes",50&gt;=Projects!$C$9,50&lt;Projects!$C$9+Projects!$D$9),IF(50=Projects!$C$9+Projects!$D$9-1,Projects!$B$9*Assumptions!$B$10/Projects!$D$9*0.95+0.05*Projects!$B$9*Assumptions!$B$10,Projects!$B$9*Assumptions!$B$10/Projects!$D$9*0.95),0)+IF(AND(Projects!$G$10="Yes",50&gt;=Projects!$C$10,50&lt;Projects!$C$10+Projects!$D$10),IF(50=Projects!$C$10+Projects!$D$10-1,Projects!$B$10*Assumptions!$B$10/Projects!$D$10*0.95+0.05*Projects!$B$10*Assumptions!$B$10,Projects!$B$10*Assumptions!$B$10/Projects!$D$10*0.95),0)+IF(AND(Projects!$G$11="Yes",50&gt;=Projects!$C$11,50&lt;Projects!$C$11+Projects!$D$11),IF(50=Projects!$C$11+Projects!$D$11-1,Projects!$B$11*Assumptions!$B$10/Projects!$D$11*0.95+0.05*Projects!$B$11*Assumptions!$B$10,Projects!$B$11*Assumptions!$B$10/Projects!$D$11*0.95),0)+IF(AND(Projects!$G$12="Yes",50&gt;=Projects!$C$12,50&lt;Projects!$C$12+Projects!$D$12),IF(50=Projects!$C$12+Projects!$D$12-1,Projects!$B$12*Assumptions!$B$10/Projects!$D$12*0.95+0.05*Projects!$B$12*Assumptions!$B$10,Projects!$B$12*Assumptions!$B$10/Projects!$D$12*0.95),0)+IF(AND(Projects!$G$13="Yes",50&gt;=Projects!$C$13,50&lt;Projects!$C$13+Projects!$D$13),IF(50=Projects!$C$13+Projects!$D$13-1,Projects!$B$13*Assumptions!$B$10/Projects!$D$13*0.95+0.05*Projects!$B$13*Assumptions!$B$10,Projects!$B$13*Assumptions!$B$10/Projects!$D$13*0.95),0)+IF(AND(Projects!$G$14="Yes",50&gt;=Projects!$C$14,50&lt;Projects!$C$14+Projects!$D$14),IF(50=Projects!$C$14+Projects!$D$14-1,Projects!$B$14*Assumptions!$B$10/Projects!$D$14*0.95+0.05*Projects!$B$14*Assumptions!$B$10,Projects!$B$14*Assumptions!$B$10/Projects!$D$14*0.95),0)+IF(AND(Projects!$G$15="Yes",50&gt;=Projects!$C$15,50&lt;Projects!$C$15+Projects!$D$15),IF(50=Projects!$C$15+Projects!$D$15-1,Projects!$B$15*Assumptions!$B$10/Projects!$D$15*0.95+0.05*Projects!$B$15*Assumptions!$B$10,Projects!$B$15*Assumptions!$B$10/Projects!$D$15*0.95),0)+IF(AND(Projects!$G$16="Yes",50&gt;=Projects!$C$16,50&lt;Projects!$C$16+Projects!$D$16),IF(50=Projects!$C$16+Projects!$D$16-1,Projects!$B$16*Assumptions!$B$10/Projects!$D$16*0.95+0.05*Projects!$B$16*Assumptions!$B$10,Projects!$B$16*Assumptions!$B$10/Projects!$D$16*0.95),0)</f>
        <v>63777.435714285712</v>
      </c>
      <c r="BA8" s="8">
        <f>IF(AND(Projects!$G$2="Yes",51&gt;=Projects!$C$2,51&lt;Projects!$C$2+Projects!$D$2),IF(51=Projects!$C$2+Projects!$D$2-1,194932/Projects!$D$2*0.95+0.05*194932,194932/Projects!$D$2*0.95),0)+IF(AND(Projects!$G$3="Yes",51&gt;=Projects!$C$3,51&lt;Projects!$C$3+Projects!$D$3),IF(51=Projects!$C$3+Projects!$D$3-1,888067/Projects!$D$3*0.95+0.05*888067,888067/Projects!$D$3*0.95),0)+IF(AND(Projects!$G$4="Yes",51&gt;=Projects!$C$4,51&lt;Projects!$C$4+Projects!$D$4),IF(51=Projects!$C$4+Projects!$D$4-1,Projects!$B$4*Assumptions!$B$10/Projects!$D$4*0.95+0.05*Projects!$B$4*Assumptions!$B$10,Projects!$B$4*Assumptions!$B$10/Projects!$D$4*0.95),0)+IF(AND(Projects!$G$5="Yes",51&gt;=Projects!$C$5,51&lt;Projects!$C$5+Projects!$D$5),IF(51=Projects!$C$5+Projects!$D$5-1,Projects!$B$5*Assumptions!$B$10/Projects!$D$5*0.95+0.05*Projects!$B$5*Assumptions!$B$10,Projects!$B$5*Assumptions!$B$10/Projects!$D$5*0.95),0)+IF(AND(Projects!$G$6="Yes",51&gt;=Projects!$C$6,51&lt;Projects!$C$6+Projects!$D$6),IF(51=Projects!$C$6+Projects!$D$6-1,245000/Projects!$D$6*0.95+0.05*245000,245000/Projects!$D$6*0.95),0)+IF(AND(Projects!$G$7="Yes",51&gt;=Projects!$C$7,51&lt;Projects!$C$7+Projects!$D$7),IF(51=Projects!$C$7+Projects!$D$7-1,Projects!$B$7*Assumptions!$B$10/Projects!$D$7*0.95+0.05*Projects!$B$7*Assumptions!$B$10,Projects!$B$7*Assumptions!$B$10/Projects!$D$7*0.95),0)+IF(AND(Projects!$G$8="Yes",51&gt;=Projects!$C$8,51&lt;Projects!$C$8+Projects!$D$8),IF(51=Projects!$C$8+Projects!$D$8-1,Projects!$B$8*Assumptions!$B$10/Projects!$D$8*0.95+0.05*Projects!$B$8*Assumptions!$B$10,Projects!$B$8*Assumptions!$B$10/Projects!$D$8*0.95),0)+IF(AND(Projects!$G$9="Yes",51&gt;=Projects!$C$9,51&lt;Projects!$C$9+Projects!$D$9),IF(51=Projects!$C$9+Projects!$D$9-1,Projects!$B$9*Assumptions!$B$10/Projects!$D$9*0.95+0.05*Projects!$B$9*Assumptions!$B$10,Projects!$B$9*Assumptions!$B$10/Projects!$D$9*0.95),0)+IF(AND(Projects!$G$10="Yes",51&gt;=Projects!$C$10,51&lt;Projects!$C$10+Projects!$D$10),IF(51=Projects!$C$10+Projects!$D$10-1,Projects!$B$10*Assumptions!$B$10/Projects!$D$10*0.95+0.05*Projects!$B$10*Assumptions!$B$10,Projects!$B$10*Assumptions!$B$10/Projects!$D$10*0.95),0)+IF(AND(Projects!$G$11="Yes",51&gt;=Projects!$C$11,51&lt;Projects!$C$11+Projects!$D$11),IF(51=Projects!$C$11+Projects!$D$11-1,Projects!$B$11*Assumptions!$B$10/Projects!$D$11*0.95+0.05*Projects!$B$11*Assumptions!$B$10,Projects!$B$11*Assumptions!$B$10/Projects!$D$11*0.95),0)+IF(AND(Projects!$G$12="Yes",51&gt;=Projects!$C$12,51&lt;Projects!$C$12+Projects!$D$12),IF(51=Projects!$C$12+Projects!$D$12-1,Projects!$B$12*Assumptions!$B$10/Projects!$D$12*0.95+0.05*Projects!$B$12*Assumptions!$B$10,Projects!$B$12*Assumptions!$B$10/Projects!$D$12*0.95),0)+IF(AND(Projects!$G$13="Yes",51&gt;=Projects!$C$13,51&lt;Projects!$C$13+Projects!$D$13),IF(51=Projects!$C$13+Projects!$D$13-1,Projects!$B$13*Assumptions!$B$10/Projects!$D$13*0.95+0.05*Projects!$B$13*Assumptions!$B$10,Projects!$B$13*Assumptions!$B$10/Projects!$D$13*0.95),0)+IF(AND(Projects!$G$14="Yes",51&gt;=Projects!$C$14,51&lt;Projects!$C$14+Projects!$D$14),IF(51=Projects!$C$14+Projects!$D$14-1,Projects!$B$14*Assumptions!$B$10/Projects!$D$14*0.95+0.05*Projects!$B$14*Assumptions!$B$10,Projects!$B$14*Assumptions!$B$10/Projects!$D$14*0.95),0)+IF(AND(Projects!$G$15="Yes",51&gt;=Projects!$C$15,51&lt;Projects!$C$15+Projects!$D$15),IF(51=Projects!$C$15+Projects!$D$15-1,Projects!$B$15*Assumptions!$B$10/Projects!$D$15*0.95+0.05*Projects!$B$15*Assumptions!$B$10,Projects!$B$15*Assumptions!$B$10/Projects!$D$15*0.95),0)+IF(AND(Projects!$G$16="Yes",51&gt;=Projects!$C$16,51&lt;Projects!$C$16+Projects!$D$16),IF(51=Projects!$C$16+Projects!$D$16-1,Projects!$B$16*Assumptions!$B$10/Projects!$D$16*0.95+0.05*Projects!$B$16*Assumptions!$B$10,Projects!$B$16*Assumptions!$B$10/Projects!$D$16*0.95),0)</f>
        <v>63777.435714285712</v>
      </c>
      <c r="BB8" s="8">
        <f>IF(AND(Projects!$G$2="Yes",52&gt;=Projects!$C$2,52&lt;Projects!$C$2+Projects!$D$2),IF(52=Projects!$C$2+Projects!$D$2-1,194932/Projects!$D$2*0.95+0.05*194932,194932/Projects!$D$2*0.95),0)+IF(AND(Projects!$G$3="Yes",52&gt;=Projects!$C$3,52&lt;Projects!$C$3+Projects!$D$3),IF(52=Projects!$C$3+Projects!$D$3-1,888067/Projects!$D$3*0.95+0.05*888067,888067/Projects!$D$3*0.95),0)+IF(AND(Projects!$G$4="Yes",52&gt;=Projects!$C$4,52&lt;Projects!$C$4+Projects!$D$4),IF(52=Projects!$C$4+Projects!$D$4-1,Projects!$B$4*Assumptions!$B$10/Projects!$D$4*0.95+0.05*Projects!$B$4*Assumptions!$B$10,Projects!$B$4*Assumptions!$B$10/Projects!$D$4*0.95),0)+IF(AND(Projects!$G$5="Yes",52&gt;=Projects!$C$5,52&lt;Projects!$C$5+Projects!$D$5),IF(52=Projects!$C$5+Projects!$D$5-1,Projects!$B$5*Assumptions!$B$10/Projects!$D$5*0.95+0.05*Projects!$B$5*Assumptions!$B$10,Projects!$B$5*Assumptions!$B$10/Projects!$D$5*0.95),0)+IF(AND(Projects!$G$6="Yes",52&gt;=Projects!$C$6,52&lt;Projects!$C$6+Projects!$D$6),IF(52=Projects!$C$6+Projects!$D$6-1,245000/Projects!$D$6*0.95+0.05*245000,245000/Projects!$D$6*0.95),0)+IF(AND(Projects!$G$7="Yes",52&gt;=Projects!$C$7,52&lt;Projects!$C$7+Projects!$D$7),IF(52=Projects!$C$7+Projects!$D$7-1,Projects!$B$7*Assumptions!$B$10/Projects!$D$7*0.95+0.05*Projects!$B$7*Assumptions!$B$10,Projects!$B$7*Assumptions!$B$10/Projects!$D$7*0.95),0)+IF(AND(Projects!$G$8="Yes",52&gt;=Projects!$C$8,52&lt;Projects!$C$8+Projects!$D$8),IF(52=Projects!$C$8+Projects!$D$8-1,Projects!$B$8*Assumptions!$B$10/Projects!$D$8*0.95+0.05*Projects!$B$8*Assumptions!$B$10,Projects!$B$8*Assumptions!$B$10/Projects!$D$8*0.95),0)+IF(AND(Projects!$G$9="Yes",52&gt;=Projects!$C$9,52&lt;Projects!$C$9+Projects!$D$9),IF(52=Projects!$C$9+Projects!$D$9-1,Projects!$B$9*Assumptions!$B$10/Projects!$D$9*0.95+0.05*Projects!$B$9*Assumptions!$B$10,Projects!$B$9*Assumptions!$B$10/Projects!$D$9*0.95),0)+IF(AND(Projects!$G$10="Yes",52&gt;=Projects!$C$10,52&lt;Projects!$C$10+Projects!$D$10),IF(52=Projects!$C$10+Projects!$D$10-1,Projects!$B$10*Assumptions!$B$10/Projects!$D$10*0.95+0.05*Projects!$B$10*Assumptions!$B$10,Projects!$B$10*Assumptions!$B$10/Projects!$D$10*0.95),0)+IF(AND(Projects!$G$11="Yes",52&gt;=Projects!$C$11,52&lt;Projects!$C$11+Projects!$D$11),IF(52=Projects!$C$11+Projects!$D$11-1,Projects!$B$11*Assumptions!$B$10/Projects!$D$11*0.95+0.05*Projects!$B$11*Assumptions!$B$10,Projects!$B$11*Assumptions!$B$10/Projects!$D$11*0.95),0)+IF(AND(Projects!$G$12="Yes",52&gt;=Projects!$C$12,52&lt;Projects!$C$12+Projects!$D$12),IF(52=Projects!$C$12+Projects!$D$12-1,Projects!$B$12*Assumptions!$B$10/Projects!$D$12*0.95+0.05*Projects!$B$12*Assumptions!$B$10,Projects!$B$12*Assumptions!$B$10/Projects!$D$12*0.95),0)+IF(AND(Projects!$G$13="Yes",52&gt;=Projects!$C$13,52&lt;Projects!$C$13+Projects!$D$13),IF(52=Projects!$C$13+Projects!$D$13-1,Projects!$B$13*Assumptions!$B$10/Projects!$D$13*0.95+0.05*Projects!$B$13*Assumptions!$B$10,Projects!$B$13*Assumptions!$B$10/Projects!$D$13*0.95),0)+IF(AND(Projects!$G$14="Yes",52&gt;=Projects!$C$14,52&lt;Projects!$C$14+Projects!$D$14),IF(52=Projects!$C$14+Projects!$D$14-1,Projects!$B$14*Assumptions!$B$10/Projects!$D$14*0.95+0.05*Projects!$B$14*Assumptions!$B$10,Projects!$B$14*Assumptions!$B$10/Projects!$D$14*0.95),0)+IF(AND(Projects!$G$15="Yes",52&gt;=Projects!$C$15,52&lt;Projects!$C$15+Projects!$D$15),IF(52=Projects!$C$15+Projects!$D$15-1,Projects!$B$15*Assumptions!$B$10/Projects!$D$15*0.95+0.05*Projects!$B$15*Assumptions!$B$10,Projects!$B$15*Assumptions!$B$10/Projects!$D$15*0.95),0)+IF(AND(Projects!$G$16="Yes",52&gt;=Projects!$C$16,52&lt;Projects!$C$16+Projects!$D$16),IF(52=Projects!$C$16+Projects!$D$16-1,Projects!$B$16*Assumptions!$B$10/Projects!$D$16*0.95+0.05*Projects!$B$16*Assumptions!$B$10,Projects!$B$16*Assumptions!$B$10/Projects!$D$16*0.95),0)</f>
        <v>63777.435714285712</v>
      </c>
      <c r="BC8" s="8">
        <f>IF(AND(Projects!$G$2="Yes",53&gt;=Projects!$C$2,53&lt;Projects!$C$2+Projects!$D$2),IF(53=Projects!$C$2+Projects!$D$2-1,194932/Projects!$D$2*0.95+0.05*194932,194932/Projects!$D$2*0.95),0)+IF(AND(Projects!$G$3="Yes",53&gt;=Projects!$C$3,53&lt;Projects!$C$3+Projects!$D$3),IF(53=Projects!$C$3+Projects!$D$3-1,888067/Projects!$D$3*0.95+0.05*888067,888067/Projects!$D$3*0.95),0)+IF(AND(Projects!$G$4="Yes",53&gt;=Projects!$C$4,53&lt;Projects!$C$4+Projects!$D$4),IF(53=Projects!$C$4+Projects!$D$4-1,Projects!$B$4*Assumptions!$B$10/Projects!$D$4*0.95+0.05*Projects!$B$4*Assumptions!$B$10,Projects!$B$4*Assumptions!$B$10/Projects!$D$4*0.95),0)+IF(AND(Projects!$G$5="Yes",53&gt;=Projects!$C$5,53&lt;Projects!$C$5+Projects!$D$5),IF(53=Projects!$C$5+Projects!$D$5-1,Projects!$B$5*Assumptions!$B$10/Projects!$D$5*0.95+0.05*Projects!$B$5*Assumptions!$B$10,Projects!$B$5*Assumptions!$B$10/Projects!$D$5*0.95),0)+IF(AND(Projects!$G$6="Yes",53&gt;=Projects!$C$6,53&lt;Projects!$C$6+Projects!$D$6),IF(53=Projects!$C$6+Projects!$D$6-1,245000/Projects!$D$6*0.95+0.05*245000,245000/Projects!$D$6*0.95),0)+IF(AND(Projects!$G$7="Yes",53&gt;=Projects!$C$7,53&lt;Projects!$C$7+Projects!$D$7),IF(53=Projects!$C$7+Projects!$D$7-1,Projects!$B$7*Assumptions!$B$10/Projects!$D$7*0.95+0.05*Projects!$B$7*Assumptions!$B$10,Projects!$B$7*Assumptions!$B$10/Projects!$D$7*0.95),0)+IF(AND(Projects!$G$8="Yes",53&gt;=Projects!$C$8,53&lt;Projects!$C$8+Projects!$D$8),IF(53=Projects!$C$8+Projects!$D$8-1,Projects!$B$8*Assumptions!$B$10/Projects!$D$8*0.95+0.05*Projects!$B$8*Assumptions!$B$10,Projects!$B$8*Assumptions!$B$10/Projects!$D$8*0.95),0)+IF(AND(Projects!$G$9="Yes",53&gt;=Projects!$C$9,53&lt;Projects!$C$9+Projects!$D$9),IF(53=Projects!$C$9+Projects!$D$9-1,Projects!$B$9*Assumptions!$B$10/Projects!$D$9*0.95+0.05*Projects!$B$9*Assumptions!$B$10,Projects!$B$9*Assumptions!$B$10/Projects!$D$9*0.95),0)+IF(AND(Projects!$G$10="Yes",53&gt;=Projects!$C$10,53&lt;Projects!$C$10+Projects!$D$10),IF(53=Projects!$C$10+Projects!$D$10-1,Projects!$B$10*Assumptions!$B$10/Projects!$D$10*0.95+0.05*Projects!$B$10*Assumptions!$B$10,Projects!$B$10*Assumptions!$B$10/Projects!$D$10*0.95),0)+IF(AND(Projects!$G$11="Yes",53&gt;=Projects!$C$11,53&lt;Projects!$C$11+Projects!$D$11),IF(53=Projects!$C$11+Projects!$D$11-1,Projects!$B$11*Assumptions!$B$10/Projects!$D$11*0.95+0.05*Projects!$B$11*Assumptions!$B$10,Projects!$B$11*Assumptions!$B$10/Projects!$D$11*0.95),0)+IF(AND(Projects!$G$12="Yes",53&gt;=Projects!$C$12,53&lt;Projects!$C$12+Projects!$D$12),IF(53=Projects!$C$12+Projects!$D$12-1,Projects!$B$12*Assumptions!$B$10/Projects!$D$12*0.95+0.05*Projects!$B$12*Assumptions!$B$10,Projects!$B$12*Assumptions!$B$10/Projects!$D$12*0.95),0)+IF(AND(Projects!$G$13="Yes",53&gt;=Projects!$C$13,53&lt;Projects!$C$13+Projects!$D$13),IF(53=Projects!$C$13+Projects!$D$13-1,Projects!$B$13*Assumptions!$B$10/Projects!$D$13*0.95+0.05*Projects!$B$13*Assumptions!$B$10,Projects!$B$13*Assumptions!$B$10/Projects!$D$13*0.95),0)+IF(AND(Projects!$G$14="Yes",53&gt;=Projects!$C$14,53&lt;Projects!$C$14+Projects!$D$14),IF(53=Projects!$C$14+Projects!$D$14-1,Projects!$B$14*Assumptions!$B$10/Projects!$D$14*0.95+0.05*Projects!$B$14*Assumptions!$B$10,Projects!$B$14*Assumptions!$B$10/Projects!$D$14*0.95),0)+IF(AND(Projects!$G$15="Yes",53&gt;=Projects!$C$15,53&lt;Projects!$C$15+Projects!$D$15),IF(53=Projects!$C$15+Projects!$D$15-1,Projects!$B$15*Assumptions!$B$10/Projects!$D$15*0.95+0.05*Projects!$B$15*Assumptions!$B$10,Projects!$B$15*Assumptions!$B$10/Projects!$D$15*0.95),0)+IF(AND(Projects!$G$16="Yes",53&gt;=Projects!$C$16,53&lt;Projects!$C$16+Projects!$D$16),IF(53=Projects!$C$16+Projects!$D$16-1,Projects!$B$16*Assumptions!$B$10/Projects!$D$16*0.95+0.05*Projects!$B$16*Assumptions!$B$10,Projects!$B$16*Assumptions!$B$10/Projects!$D$16*0.95),0)</f>
        <v>63777.435714285712</v>
      </c>
      <c r="BD8" s="8">
        <f>IF(AND(Projects!$G$2="Yes",54&gt;=Projects!$C$2,54&lt;Projects!$C$2+Projects!$D$2),IF(54=Projects!$C$2+Projects!$D$2-1,194932/Projects!$D$2*0.95+0.05*194932,194932/Projects!$D$2*0.95),0)+IF(AND(Projects!$G$3="Yes",54&gt;=Projects!$C$3,54&lt;Projects!$C$3+Projects!$D$3),IF(54=Projects!$C$3+Projects!$D$3-1,888067/Projects!$D$3*0.95+0.05*888067,888067/Projects!$D$3*0.95),0)+IF(AND(Projects!$G$4="Yes",54&gt;=Projects!$C$4,54&lt;Projects!$C$4+Projects!$D$4),IF(54=Projects!$C$4+Projects!$D$4-1,Projects!$B$4*Assumptions!$B$10/Projects!$D$4*0.95+0.05*Projects!$B$4*Assumptions!$B$10,Projects!$B$4*Assumptions!$B$10/Projects!$D$4*0.95),0)+IF(AND(Projects!$G$5="Yes",54&gt;=Projects!$C$5,54&lt;Projects!$C$5+Projects!$D$5),IF(54=Projects!$C$5+Projects!$D$5-1,Projects!$B$5*Assumptions!$B$10/Projects!$D$5*0.95+0.05*Projects!$B$5*Assumptions!$B$10,Projects!$B$5*Assumptions!$B$10/Projects!$D$5*0.95),0)+IF(AND(Projects!$G$6="Yes",54&gt;=Projects!$C$6,54&lt;Projects!$C$6+Projects!$D$6),IF(54=Projects!$C$6+Projects!$D$6-1,245000/Projects!$D$6*0.95+0.05*245000,245000/Projects!$D$6*0.95),0)+IF(AND(Projects!$G$7="Yes",54&gt;=Projects!$C$7,54&lt;Projects!$C$7+Projects!$D$7),IF(54=Projects!$C$7+Projects!$D$7-1,Projects!$B$7*Assumptions!$B$10/Projects!$D$7*0.95+0.05*Projects!$B$7*Assumptions!$B$10,Projects!$B$7*Assumptions!$B$10/Projects!$D$7*0.95),0)+IF(AND(Projects!$G$8="Yes",54&gt;=Projects!$C$8,54&lt;Projects!$C$8+Projects!$D$8),IF(54=Projects!$C$8+Projects!$D$8-1,Projects!$B$8*Assumptions!$B$10/Projects!$D$8*0.95+0.05*Projects!$B$8*Assumptions!$B$10,Projects!$B$8*Assumptions!$B$10/Projects!$D$8*0.95),0)+IF(AND(Projects!$G$9="Yes",54&gt;=Projects!$C$9,54&lt;Projects!$C$9+Projects!$D$9),IF(54=Projects!$C$9+Projects!$D$9-1,Projects!$B$9*Assumptions!$B$10/Projects!$D$9*0.95+0.05*Projects!$B$9*Assumptions!$B$10,Projects!$B$9*Assumptions!$B$10/Projects!$D$9*0.95),0)+IF(AND(Projects!$G$10="Yes",54&gt;=Projects!$C$10,54&lt;Projects!$C$10+Projects!$D$10),IF(54=Projects!$C$10+Projects!$D$10-1,Projects!$B$10*Assumptions!$B$10/Projects!$D$10*0.95+0.05*Projects!$B$10*Assumptions!$B$10,Projects!$B$10*Assumptions!$B$10/Projects!$D$10*0.95),0)+IF(AND(Projects!$G$11="Yes",54&gt;=Projects!$C$11,54&lt;Projects!$C$11+Projects!$D$11),IF(54=Projects!$C$11+Projects!$D$11-1,Projects!$B$11*Assumptions!$B$10/Projects!$D$11*0.95+0.05*Projects!$B$11*Assumptions!$B$10,Projects!$B$11*Assumptions!$B$10/Projects!$D$11*0.95),0)+IF(AND(Projects!$G$12="Yes",54&gt;=Projects!$C$12,54&lt;Projects!$C$12+Projects!$D$12),IF(54=Projects!$C$12+Projects!$D$12-1,Projects!$B$12*Assumptions!$B$10/Projects!$D$12*0.95+0.05*Projects!$B$12*Assumptions!$B$10,Projects!$B$12*Assumptions!$B$10/Projects!$D$12*0.95),0)+IF(AND(Projects!$G$13="Yes",54&gt;=Projects!$C$13,54&lt;Projects!$C$13+Projects!$D$13),IF(54=Projects!$C$13+Projects!$D$13-1,Projects!$B$13*Assumptions!$B$10/Projects!$D$13*0.95+0.05*Projects!$B$13*Assumptions!$B$10,Projects!$B$13*Assumptions!$B$10/Projects!$D$13*0.95),0)+IF(AND(Projects!$G$14="Yes",54&gt;=Projects!$C$14,54&lt;Projects!$C$14+Projects!$D$14),IF(54=Projects!$C$14+Projects!$D$14-1,Projects!$B$14*Assumptions!$B$10/Projects!$D$14*0.95+0.05*Projects!$B$14*Assumptions!$B$10,Projects!$B$14*Assumptions!$B$10/Projects!$D$14*0.95),0)+IF(AND(Projects!$G$15="Yes",54&gt;=Projects!$C$15,54&lt;Projects!$C$15+Projects!$D$15),IF(54=Projects!$C$15+Projects!$D$15-1,Projects!$B$15*Assumptions!$B$10/Projects!$D$15*0.95+0.05*Projects!$B$15*Assumptions!$B$10,Projects!$B$15*Assumptions!$B$10/Projects!$D$15*0.95),0)+IF(AND(Projects!$G$16="Yes",54&gt;=Projects!$C$16,54&lt;Projects!$C$16+Projects!$D$16),IF(54=Projects!$C$16+Projects!$D$16-1,Projects!$B$16*Assumptions!$B$10/Projects!$D$16*0.95+0.05*Projects!$B$16*Assumptions!$B$10,Projects!$B$16*Assumptions!$B$10/Projects!$D$16*0.95),0)</f>
        <v>63777.435714285712</v>
      </c>
      <c r="BE8" s="8">
        <f>IF(AND(Projects!$G$2="Yes",55&gt;=Projects!$C$2,55&lt;Projects!$C$2+Projects!$D$2),IF(55=Projects!$C$2+Projects!$D$2-1,194932/Projects!$D$2*0.95+0.05*194932,194932/Projects!$D$2*0.95),0)+IF(AND(Projects!$G$3="Yes",55&gt;=Projects!$C$3,55&lt;Projects!$C$3+Projects!$D$3),IF(55=Projects!$C$3+Projects!$D$3-1,888067/Projects!$D$3*0.95+0.05*888067,888067/Projects!$D$3*0.95),0)+IF(AND(Projects!$G$4="Yes",55&gt;=Projects!$C$4,55&lt;Projects!$C$4+Projects!$D$4),IF(55=Projects!$C$4+Projects!$D$4-1,Projects!$B$4*Assumptions!$B$10/Projects!$D$4*0.95+0.05*Projects!$B$4*Assumptions!$B$10,Projects!$B$4*Assumptions!$B$10/Projects!$D$4*0.95),0)+IF(AND(Projects!$G$5="Yes",55&gt;=Projects!$C$5,55&lt;Projects!$C$5+Projects!$D$5),IF(55=Projects!$C$5+Projects!$D$5-1,Projects!$B$5*Assumptions!$B$10/Projects!$D$5*0.95+0.05*Projects!$B$5*Assumptions!$B$10,Projects!$B$5*Assumptions!$B$10/Projects!$D$5*0.95),0)+IF(AND(Projects!$G$6="Yes",55&gt;=Projects!$C$6,55&lt;Projects!$C$6+Projects!$D$6),IF(55=Projects!$C$6+Projects!$D$6-1,245000/Projects!$D$6*0.95+0.05*245000,245000/Projects!$D$6*0.95),0)+IF(AND(Projects!$G$7="Yes",55&gt;=Projects!$C$7,55&lt;Projects!$C$7+Projects!$D$7),IF(55=Projects!$C$7+Projects!$D$7-1,Projects!$B$7*Assumptions!$B$10/Projects!$D$7*0.95+0.05*Projects!$B$7*Assumptions!$B$10,Projects!$B$7*Assumptions!$B$10/Projects!$D$7*0.95),0)+IF(AND(Projects!$G$8="Yes",55&gt;=Projects!$C$8,55&lt;Projects!$C$8+Projects!$D$8),IF(55=Projects!$C$8+Projects!$D$8-1,Projects!$B$8*Assumptions!$B$10/Projects!$D$8*0.95+0.05*Projects!$B$8*Assumptions!$B$10,Projects!$B$8*Assumptions!$B$10/Projects!$D$8*0.95),0)+IF(AND(Projects!$G$9="Yes",55&gt;=Projects!$C$9,55&lt;Projects!$C$9+Projects!$D$9),IF(55=Projects!$C$9+Projects!$D$9-1,Projects!$B$9*Assumptions!$B$10/Projects!$D$9*0.95+0.05*Projects!$B$9*Assumptions!$B$10,Projects!$B$9*Assumptions!$B$10/Projects!$D$9*0.95),0)+IF(AND(Projects!$G$10="Yes",55&gt;=Projects!$C$10,55&lt;Projects!$C$10+Projects!$D$10),IF(55=Projects!$C$10+Projects!$D$10-1,Projects!$B$10*Assumptions!$B$10/Projects!$D$10*0.95+0.05*Projects!$B$10*Assumptions!$B$10,Projects!$B$10*Assumptions!$B$10/Projects!$D$10*0.95),0)+IF(AND(Projects!$G$11="Yes",55&gt;=Projects!$C$11,55&lt;Projects!$C$11+Projects!$D$11),IF(55=Projects!$C$11+Projects!$D$11-1,Projects!$B$11*Assumptions!$B$10/Projects!$D$11*0.95+0.05*Projects!$B$11*Assumptions!$B$10,Projects!$B$11*Assumptions!$B$10/Projects!$D$11*0.95),0)+IF(AND(Projects!$G$12="Yes",55&gt;=Projects!$C$12,55&lt;Projects!$C$12+Projects!$D$12),IF(55=Projects!$C$12+Projects!$D$12-1,Projects!$B$12*Assumptions!$B$10/Projects!$D$12*0.95+0.05*Projects!$B$12*Assumptions!$B$10,Projects!$B$12*Assumptions!$B$10/Projects!$D$12*0.95),0)+IF(AND(Projects!$G$13="Yes",55&gt;=Projects!$C$13,55&lt;Projects!$C$13+Projects!$D$13),IF(55=Projects!$C$13+Projects!$D$13-1,Projects!$B$13*Assumptions!$B$10/Projects!$D$13*0.95+0.05*Projects!$B$13*Assumptions!$B$10,Projects!$B$13*Assumptions!$B$10/Projects!$D$13*0.95),0)+IF(AND(Projects!$G$14="Yes",55&gt;=Projects!$C$14,55&lt;Projects!$C$14+Projects!$D$14),IF(55=Projects!$C$14+Projects!$D$14-1,Projects!$B$14*Assumptions!$B$10/Projects!$D$14*0.95+0.05*Projects!$B$14*Assumptions!$B$10,Projects!$B$14*Assumptions!$B$10/Projects!$D$14*0.95),0)+IF(AND(Projects!$G$15="Yes",55&gt;=Projects!$C$15,55&lt;Projects!$C$15+Projects!$D$15),IF(55=Projects!$C$15+Projects!$D$15-1,Projects!$B$15*Assumptions!$B$10/Projects!$D$15*0.95+0.05*Projects!$B$15*Assumptions!$B$10,Projects!$B$15*Assumptions!$B$10/Projects!$D$15*0.95),0)+IF(AND(Projects!$G$16="Yes",55&gt;=Projects!$C$16,55&lt;Projects!$C$16+Projects!$D$16),IF(55=Projects!$C$16+Projects!$D$16-1,Projects!$B$16*Assumptions!$B$10/Projects!$D$16*0.95+0.05*Projects!$B$16*Assumptions!$B$10,Projects!$B$16*Assumptions!$B$10/Projects!$D$16*0.95),0)</f>
        <v>63777.435714285712</v>
      </c>
      <c r="BF8" s="8">
        <f>IF(AND(Projects!$G$2="Yes",56&gt;=Projects!$C$2,56&lt;Projects!$C$2+Projects!$D$2),IF(56=Projects!$C$2+Projects!$D$2-1,194932/Projects!$D$2*0.95+0.05*194932,194932/Projects!$D$2*0.95),0)+IF(AND(Projects!$G$3="Yes",56&gt;=Projects!$C$3,56&lt;Projects!$C$3+Projects!$D$3),IF(56=Projects!$C$3+Projects!$D$3-1,888067/Projects!$D$3*0.95+0.05*888067,888067/Projects!$D$3*0.95),0)+IF(AND(Projects!$G$4="Yes",56&gt;=Projects!$C$4,56&lt;Projects!$C$4+Projects!$D$4),IF(56=Projects!$C$4+Projects!$D$4-1,Projects!$B$4*Assumptions!$B$10/Projects!$D$4*0.95+0.05*Projects!$B$4*Assumptions!$B$10,Projects!$B$4*Assumptions!$B$10/Projects!$D$4*0.95),0)+IF(AND(Projects!$G$5="Yes",56&gt;=Projects!$C$5,56&lt;Projects!$C$5+Projects!$D$5),IF(56=Projects!$C$5+Projects!$D$5-1,Projects!$B$5*Assumptions!$B$10/Projects!$D$5*0.95+0.05*Projects!$B$5*Assumptions!$B$10,Projects!$B$5*Assumptions!$B$10/Projects!$D$5*0.95),0)+IF(AND(Projects!$G$6="Yes",56&gt;=Projects!$C$6,56&lt;Projects!$C$6+Projects!$D$6),IF(56=Projects!$C$6+Projects!$D$6-1,245000/Projects!$D$6*0.95+0.05*245000,245000/Projects!$D$6*0.95),0)+IF(AND(Projects!$G$7="Yes",56&gt;=Projects!$C$7,56&lt;Projects!$C$7+Projects!$D$7),IF(56=Projects!$C$7+Projects!$D$7-1,Projects!$B$7*Assumptions!$B$10/Projects!$D$7*0.95+0.05*Projects!$B$7*Assumptions!$B$10,Projects!$B$7*Assumptions!$B$10/Projects!$D$7*0.95),0)+IF(AND(Projects!$G$8="Yes",56&gt;=Projects!$C$8,56&lt;Projects!$C$8+Projects!$D$8),IF(56=Projects!$C$8+Projects!$D$8-1,Projects!$B$8*Assumptions!$B$10/Projects!$D$8*0.95+0.05*Projects!$B$8*Assumptions!$B$10,Projects!$B$8*Assumptions!$B$10/Projects!$D$8*0.95),0)+IF(AND(Projects!$G$9="Yes",56&gt;=Projects!$C$9,56&lt;Projects!$C$9+Projects!$D$9),IF(56=Projects!$C$9+Projects!$D$9-1,Projects!$B$9*Assumptions!$B$10/Projects!$D$9*0.95+0.05*Projects!$B$9*Assumptions!$B$10,Projects!$B$9*Assumptions!$B$10/Projects!$D$9*0.95),0)+IF(AND(Projects!$G$10="Yes",56&gt;=Projects!$C$10,56&lt;Projects!$C$10+Projects!$D$10),IF(56=Projects!$C$10+Projects!$D$10-1,Projects!$B$10*Assumptions!$B$10/Projects!$D$10*0.95+0.05*Projects!$B$10*Assumptions!$B$10,Projects!$B$10*Assumptions!$B$10/Projects!$D$10*0.95),0)+IF(AND(Projects!$G$11="Yes",56&gt;=Projects!$C$11,56&lt;Projects!$C$11+Projects!$D$11),IF(56=Projects!$C$11+Projects!$D$11-1,Projects!$B$11*Assumptions!$B$10/Projects!$D$11*0.95+0.05*Projects!$B$11*Assumptions!$B$10,Projects!$B$11*Assumptions!$B$10/Projects!$D$11*0.95),0)+IF(AND(Projects!$G$12="Yes",56&gt;=Projects!$C$12,56&lt;Projects!$C$12+Projects!$D$12),IF(56=Projects!$C$12+Projects!$D$12-1,Projects!$B$12*Assumptions!$B$10/Projects!$D$12*0.95+0.05*Projects!$B$12*Assumptions!$B$10,Projects!$B$12*Assumptions!$B$10/Projects!$D$12*0.95),0)+IF(AND(Projects!$G$13="Yes",56&gt;=Projects!$C$13,56&lt;Projects!$C$13+Projects!$D$13),IF(56=Projects!$C$13+Projects!$D$13-1,Projects!$B$13*Assumptions!$B$10/Projects!$D$13*0.95+0.05*Projects!$B$13*Assumptions!$B$10,Projects!$B$13*Assumptions!$B$10/Projects!$D$13*0.95),0)+IF(AND(Projects!$G$14="Yes",56&gt;=Projects!$C$14,56&lt;Projects!$C$14+Projects!$D$14),IF(56=Projects!$C$14+Projects!$D$14-1,Projects!$B$14*Assumptions!$B$10/Projects!$D$14*0.95+0.05*Projects!$B$14*Assumptions!$B$10,Projects!$B$14*Assumptions!$B$10/Projects!$D$14*0.95),0)+IF(AND(Projects!$G$15="Yes",56&gt;=Projects!$C$15,56&lt;Projects!$C$15+Projects!$D$15),IF(56=Projects!$C$15+Projects!$D$15-1,Projects!$B$15*Assumptions!$B$10/Projects!$D$15*0.95+0.05*Projects!$B$15*Assumptions!$B$10,Projects!$B$15*Assumptions!$B$10/Projects!$D$15*0.95),0)+IF(AND(Projects!$G$16="Yes",56&gt;=Projects!$C$16,56&lt;Projects!$C$16+Projects!$D$16),IF(56=Projects!$C$16+Projects!$D$16-1,Projects!$B$16*Assumptions!$B$10/Projects!$D$16*0.95+0.05*Projects!$B$16*Assumptions!$B$10,Projects!$B$16*Assumptions!$B$10/Projects!$D$16*0.95),0)</f>
        <v>164478.65</v>
      </c>
      <c r="BG8" s="8">
        <f>IF(AND(Projects!$G$2="Yes",57&gt;=Projects!$C$2,57&lt;Projects!$C$2+Projects!$D$2),IF(57=Projects!$C$2+Projects!$D$2-1,194932/Projects!$D$2*0.95+0.05*194932,194932/Projects!$D$2*0.95),0)+IF(AND(Projects!$G$3="Yes",57&gt;=Projects!$C$3,57&lt;Projects!$C$3+Projects!$D$3),IF(57=Projects!$C$3+Projects!$D$3-1,888067/Projects!$D$3*0.95+0.05*888067,888067/Projects!$D$3*0.95),0)+IF(AND(Projects!$G$4="Yes",57&gt;=Projects!$C$4,57&lt;Projects!$C$4+Projects!$D$4),IF(57=Projects!$C$4+Projects!$D$4-1,Projects!$B$4*Assumptions!$B$10/Projects!$D$4*0.95+0.05*Projects!$B$4*Assumptions!$B$10,Projects!$B$4*Assumptions!$B$10/Projects!$D$4*0.95),0)+IF(AND(Projects!$G$5="Yes",57&gt;=Projects!$C$5,57&lt;Projects!$C$5+Projects!$D$5),IF(57=Projects!$C$5+Projects!$D$5-1,Projects!$B$5*Assumptions!$B$10/Projects!$D$5*0.95+0.05*Projects!$B$5*Assumptions!$B$10,Projects!$B$5*Assumptions!$B$10/Projects!$D$5*0.95),0)+IF(AND(Projects!$G$6="Yes",57&gt;=Projects!$C$6,57&lt;Projects!$C$6+Projects!$D$6),IF(57=Projects!$C$6+Projects!$D$6-1,245000/Projects!$D$6*0.95+0.05*245000,245000/Projects!$D$6*0.95),0)+IF(AND(Projects!$G$7="Yes",57&gt;=Projects!$C$7,57&lt;Projects!$C$7+Projects!$D$7),IF(57=Projects!$C$7+Projects!$D$7-1,Projects!$B$7*Assumptions!$B$10/Projects!$D$7*0.95+0.05*Projects!$B$7*Assumptions!$B$10,Projects!$B$7*Assumptions!$B$10/Projects!$D$7*0.95),0)+IF(AND(Projects!$G$8="Yes",57&gt;=Projects!$C$8,57&lt;Projects!$C$8+Projects!$D$8),IF(57=Projects!$C$8+Projects!$D$8-1,Projects!$B$8*Assumptions!$B$10/Projects!$D$8*0.95+0.05*Projects!$B$8*Assumptions!$B$10,Projects!$B$8*Assumptions!$B$10/Projects!$D$8*0.95),0)+IF(AND(Projects!$G$9="Yes",57&gt;=Projects!$C$9,57&lt;Projects!$C$9+Projects!$D$9),IF(57=Projects!$C$9+Projects!$D$9-1,Projects!$B$9*Assumptions!$B$10/Projects!$D$9*0.95+0.05*Projects!$B$9*Assumptions!$B$10,Projects!$B$9*Assumptions!$B$10/Projects!$D$9*0.95),0)+IF(AND(Projects!$G$10="Yes",57&gt;=Projects!$C$10,57&lt;Projects!$C$10+Projects!$D$10),IF(57=Projects!$C$10+Projects!$D$10-1,Projects!$B$10*Assumptions!$B$10/Projects!$D$10*0.95+0.05*Projects!$B$10*Assumptions!$B$10,Projects!$B$10*Assumptions!$B$10/Projects!$D$10*0.95),0)+IF(AND(Projects!$G$11="Yes",57&gt;=Projects!$C$11,57&lt;Projects!$C$11+Projects!$D$11),IF(57=Projects!$C$11+Projects!$D$11-1,Projects!$B$11*Assumptions!$B$10/Projects!$D$11*0.95+0.05*Projects!$B$11*Assumptions!$B$10,Projects!$B$11*Assumptions!$B$10/Projects!$D$11*0.95),0)+IF(AND(Projects!$G$12="Yes",57&gt;=Projects!$C$12,57&lt;Projects!$C$12+Projects!$D$12),IF(57=Projects!$C$12+Projects!$D$12-1,Projects!$B$12*Assumptions!$B$10/Projects!$D$12*0.95+0.05*Projects!$B$12*Assumptions!$B$10,Projects!$B$12*Assumptions!$B$10/Projects!$D$12*0.95),0)+IF(AND(Projects!$G$13="Yes",57&gt;=Projects!$C$13,57&lt;Projects!$C$13+Projects!$D$13),IF(57=Projects!$C$13+Projects!$D$13-1,Projects!$B$13*Assumptions!$B$10/Projects!$D$13*0.95+0.05*Projects!$B$13*Assumptions!$B$10,Projects!$B$13*Assumptions!$B$10/Projects!$D$13*0.95),0)+IF(AND(Projects!$G$14="Yes",57&gt;=Projects!$C$14,57&lt;Projects!$C$14+Projects!$D$14),IF(57=Projects!$C$14+Projects!$D$14-1,Projects!$B$14*Assumptions!$B$10/Projects!$D$14*0.95+0.05*Projects!$B$14*Assumptions!$B$10,Projects!$B$14*Assumptions!$B$10/Projects!$D$14*0.95),0)+IF(AND(Projects!$G$15="Yes",57&gt;=Projects!$C$15,57&lt;Projects!$C$15+Projects!$D$15),IF(57=Projects!$C$15+Projects!$D$15-1,Projects!$B$15*Assumptions!$B$10/Projects!$D$15*0.95+0.05*Projects!$B$15*Assumptions!$B$10,Projects!$B$15*Assumptions!$B$10/Projects!$D$15*0.95),0)+IF(AND(Projects!$G$16="Yes",57&gt;=Projects!$C$16,57&lt;Projects!$C$16+Projects!$D$16),IF(57=Projects!$C$16+Projects!$D$16-1,Projects!$B$16*Assumptions!$B$10/Projects!$D$16*0.95+0.05*Projects!$B$16*Assumptions!$B$10,Projects!$B$16*Assumptions!$B$10/Projects!$D$16*0.95),0)</f>
        <v>0</v>
      </c>
      <c r="BH8" s="8">
        <f>IF(AND(Projects!$G$2="Yes",58&gt;=Projects!$C$2,58&lt;Projects!$C$2+Projects!$D$2),IF(58=Projects!$C$2+Projects!$D$2-1,194932/Projects!$D$2*0.95+0.05*194932,194932/Projects!$D$2*0.95),0)+IF(AND(Projects!$G$3="Yes",58&gt;=Projects!$C$3,58&lt;Projects!$C$3+Projects!$D$3),IF(58=Projects!$C$3+Projects!$D$3-1,888067/Projects!$D$3*0.95+0.05*888067,888067/Projects!$D$3*0.95),0)+IF(AND(Projects!$G$4="Yes",58&gt;=Projects!$C$4,58&lt;Projects!$C$4+Projects!$D$4),IF(58=Projects!$C$4+Projects!$D$4-1,Projects!$B$4*Assumptions!$B$10/Projects!$D$4*0.95+0.05*Projects!$B$4*Assumptions!$B$10,Projects!$B$4*Assumptions!$B$10/Projects!$D$4*0.95),0)+IF(AND(Projects!$G$5="Yes",58&gt;=Projects!$C$5,58&lt;Projects!$C$5+Projects!$D$5),IF(58=Projects!$C$5+Projects!$D$5-1,Projects!$B$5*Assumptions!$B$10/Projects!$D$5*0.95+0.05*Projects!$B$5*Assumptions!$B$10,Projects!$B$5*Assumptions!$B$10/Projects!$D$5*0.95),0)+IF(AND(Projects!$G$6="Yes",58&gt;=Projects!$C$6,58&lt;Projects!$C$6+Projects!$D$6),IF(58=Projects!$C$6+Projects!$D$6-1,245000/Projects!$D$6*0.95+0.05*245000,245000/Projects!$D$6*0.95),0)+IF(AND(Projects!$G$7="Yes",58&gt;=Projects!$C$7,58&lt;Projects!$C$7+Projects!$D$7),IF(58=Projects!$C$7+Projects!$D$7-1,Projects!$B$7*Assumptions!$B$10/Projects!$D$7*0.95+0.05*Projects!$B$7*Assumptions!$B$10,Projects!$B$7*Assumptions!$B$10/Projects!$D$7*0.95),0)+IF(AND(Projects!$G$8="Yes",58&gt;=Projects!$C$8,58&lt;Projects!$C$8+Projects!$D$8),IF(58=Projects!$C$8+Projects!$D$8-1,Projects!$B$8*Assumptions!$B$10/Projects!$D$8*0.95+0.05*Projects!$B$8*Assumptions!$B$10,Projects!$B$8*Assumptions!$B$10/Projects!$D$8*0.95),0)+IF(AND(Projects!$G$9="Yes",58&gt;=Projects!$C$9,58&lt;Projects!$C$9+Projects!$D$9),IF(58=Projects!$C$9+Projects!$D$9-1,Projects!$B$9*Assumptions!$B$10/Projects!$D$9*0.95+0.05*Projects!$B$9*Assumptions!$B$10,Projects!$B$9*Assumptions!$B$10/Projects!$D$9*0.95),0)+IF(AND(Projects!$G$10="Yes",58&gt;=Projects!$C$10,58&lt;Projects!$C$10+Projects!$D$10),IF(58=Projects!$C$10+Projects!$D$10-1,Projects!$B$10*Assumptions!$B$10/Projects!$D$10*0.95+0.05*Projects!$B$10*Assumptions!$B$10,Projects!$B$10*Assumptions!$B$10/Projects!$D$10*0.95),0)+IF(AND(Projects!$G$11="Yes",58&gt;=Projects!$C$11,58&lt;Projects!$C$11+Projects!$D$11),IF(58=Projects!$C$11+Projects!$D$11-1,Projects!$B$11*Assumptions!$B$10/Projects!$D$11*0.95+0.05*Projects!$B$11*Assumptions!$B$10,Projects!$B$11*Assumptions!$B$10/Projects!$D$11*0.95),0)+IF(AND(Projects!$G$12="Yes",58&gt;=Projects!$C$12,58&lt;Projects!$C$12+Projects!$D$12),IF(58=Projects!$C$12+Projects!$D$12-1,Projects!$B$12*Assumptions!$B$10/Projects!$D$12*0.95+0.05*Projects!$B$12*Assumptions!$B$10,Projects!$B$12*Assumptions!$B$10/Projects!$D$12*0.95),0)+IF(AND(Projects!$G$13="Yes",58&gt;=Projects!$C$13,58&lt;Projects!$C$13+Projects!$D$13),IF(58=Projects!$C$13+Projects!$D$13-1,Projects!$B$13*Assumptions!$B$10/Projects!$D$13*0.95+0.05*Projects!$B$13*Assumptions!$B$10,Projects!$B$13*Assumptions!$B$10/Projects!$D$13*0.95),0)+IF(AND(Projects!$G$14="Yes",58&gt;=Projects!$C$14,58&lt;Projects!$C$14+Projects!$D$14),IF(58=Projects!$C$14+Projects!$D$14-1,Projects!$B$14*Assumptions!$B$10/Projects!$D$14*0.95+0.05*Projects!$B$14*Assumptions!$B$10,Projects!$B$14*Assumptions!$B$10/Projects!$D$14*0.95),0)+IF(AND(Projects!$G$15="Yes",58&gt;=Projects!$C$15,58&lt;Projects!$C$15+Projects!$D$15),IF(58=Projects!$C$15+Projects!$D$15-1,Projects!$B$15*Assumptions!$B$10/Projects!$D$15*0.95+0.05*Projects!$B$15*Assumptions!$B$10,Projects!$B$15*Assumptions!$B$10/Projects!$D$15*0.95),0)+IF(AND(Projects!$G$16="Yes",58&gt;=Projects!$C$16,58&lt;Projects!$C$16+Projects!$D$16),IF(58=Projects!$C$16+Projects!$D$16-1,Projects!$B$16*Assumptions!$B$10/Projects!$D$16*0.95+0.05*Projects!$B$16*Assumptions!$B$10,Projects!$B$16*Assumptions!$B$10/Projects!$D$16*0.95),0)</f>
        <v>0</v>
      </c>
      <c r="BI8" s="8">
        <f>IF(AND(Projects!$G$2="Yes",59&gt;=Projects!$C$2,59&lt;Projects!$C$2+Projects!$D$2),IF(59=Projects!$C$2+Projects!$D$2-1,194932/Projects!$D$2*0.95+0.05*194932,194932/Projects!$D$2*0.95),0)+IF(AND(Projects!$G$3="Yes",59&gt;=Projects!$C$3,59&lt;Projects!$C$3+Projects!$D$3),IF(59=Projects!$C$3+Projects!$D$3-1,888067/Projects!$D$3*0.95+0.05*888067,888067/Projects!$D$3*0.95),0)+IF(AND(Projects!$G$4="Yes",59&gt;=Projects!$C$4,59&lt;Projects!$C$4+Projects!$D$4),IF(59=Projects!$C$4+Projects!$D$4-1,Projects!$B$4*Assumptions!$B$10/Projects!$D$4*0.95+0.05*Projects!$B$4*Assumptions!$B$10,Projects!$B$4*Assumptions!$B$10/Projects!$D$4*0.95),0)+IF(AND(Projects!$G$5="Yes",59&gt;=Projects!$C$5,59&lt;Projects!$C$5+Projects!$D$5),IF(59=Projects!$C$5+Projects!$D$5-1,Projects!$B$5*Assumptions!$B$10/Projects!$D$5*0.95+0.05*Projects!$B$5*Assumptions!$B$10,Projects!$B$5*Assumptions!$B$10/Projects!$D$5*0.95),0)+IF(AND(Projects!$G$6="Yes",59&gt;=Projects!$C$6,59&lt;Projects!$C$6+Projects!$D$6),IF(59=Projects!$C$6+Projects!$D$6-1,245000/Projects!$D$6*0.95+0.05*245000,245000/Projects!$D$6*0.95),0)+IF(AND(Projects!$G$7="Yes",59&gt;=Projects!$C$7,59&lt;Projects!$C$7+Projects!$D$7),IF(59=Projects!$C$7+Projects!$D$7-1,Projects!$B$7*Assumptions!$B$10/Projects!$D$7*0.95+0.05*Projects!$B$7*Assumptions!$B$10,Projects!$B$7*Assumptions!$B$10/Projects!$D$7*0.95),0)+IF(AND(Projects!$G$8="Yes",59&gt;=Projects!$C$8,59&lt;Projects!$C$8+Projects!$D$8),IF(59=Projects!$C$8+Projects!$D$8-1,Projects!$B$8*Assumptions!$B$10/Projects!$D$8*0.95+0.05*Projects!$B$8*Assumptions!$B$10,Projects!$B$8*Assumptions!$B$10/Projects!$D$8*0.95),0)+IF(AND(Projects!$G$9="Yes",59&gt;=Projects!$C$9,59&lt;Projects!$C$9+Projects!$D$9),IF(59=Projects!$C$9+Projects!$D$9-1,Projects!$B$9*Assumptions!$B$10/Projects!$D$9*0.95+0.05*Projects!$B$9*Assumptions!$B$10,Projects!$B$9*Assumptions!$B$10/Projects!$D$9*0.95),0)+IF(AND(Projects!$G$10="Yes",59&gt;=Projects!$C$10,59&lt;Projects!$C$10+Projects!$D$10),IF(59=Projects!$C$10+Projects!$D$10-1,Projects!$B$10*Assumptions!$B$10/Projects!$D$10*0.95+0.05*Projects!$B$10*Assumptions!$B$10,Projects!$B$10*Assumptions!$B$10/Projects!$D$10*0.95),0)+IF(AND(Projects!$G$11="Yes",59&gt;=Projects!$C$11,59&lt;Projects!$C$11+Projects!$D$11),IF(59=Projects!$C$11+Projects!$D$11-1,Projects!$B$11*Assumptions!$B$10/Projects!$D$11*0.95+0.05*Projects!$B$11*Assumptions!$B$10,Projects!$B$11*Assumptions!$B$10/Projects!$D$11*0.95),0)+IF(AND(Projects!$G$12="Yes",59&gt;=Projects!$C$12,59&lt;Projects!$C$12+Projects!$D$12),IF(59=Projects!$C$12+Projects!$D$12-1,Projects!$B$12*Assumptions!$B$10/Projects!$D$12*0.95+0.05*Projects!$B$12*Assumptions!$B$10,Projects!$B$12*Assumptions!$B$10/Projects!$D$12*0.95),0)+IF(AND(Projects!$G$13="Yes",59&gt;=Projects!$C$13,59&lt;Projects!$C$13+Projects!$D$13),IF(59=Projects!$C$13+Projects!$D$13-1,Projects!$B$13*Assumptions!$B$10/Projects!$D$13*0.95+0.05*Projects!$B$13*Assumptions!$B$10,Projects!$B$13*Assumptions!$B$10/Projects!$D$13*0.95),0)+IF(AND(Projects!$G$14="Yes",59&gt;=Projects!$C$14,59&lt;Projects!$C$14+Projects!$D$14),IF(59=Projects!$C$14+Projects!$D$14-1,Projects!$B$14*Assumptions!$B$10/Projects!$D$14*0.95+0.05*Projects!$B$14*Assumptions!$B$10,Projects!$B$14*Assumptions!$B$10/Projects!$D$14*0.95),0)+IF(AND(Projects!$G$15="Yes",59&gt;=Projects!$C$15,59&lt;Projects!$C$15+Projects!$D$15),IF(59=Projects!$C$15+Projects!$D$15-1,Projects!$B$15*Assumptions!$B$10/Projects!$D$15*0.95+0.05*Projects!$B$15*Assumptions!$B$10,Projects!$B$15*Assumptions!$B$10/Projects!$D$15*0.95),0)+IF(AND(Projects!$G$16="Yes",59&gt;=Projects!$C$16,59&lt;Projects!$C$16+Projects!$D$16),IF(59=Projects!$C$16+Projects!$D$16-1,Projects!$B$16*Assumptions!$B$10/Projects!$D$16*0.95+0.05*Projects!$B$16*Assumptions!$B$10,Projects!$B$16*Assumptions!$B$10/Projects!$D$16*0.95),0)</f>
        <v>0</v>
      </c>
      <c r="BJ8" s="8">
        <f>IF(AND(Projects!$G$2="Yes",60&gt;=Projects!$C$2,60&lt;Projects!$C$2+Projects!$D$2),IF(60=Projects!$C$2+Projects!$D$2-1,194932/Projects!$D$2*0.95+0.05*194932,194932/Projects!$D$2*0.95),0)+IF(AND(Projects!$G$3="Yes",60&gt;=Projects!$C$3,60&lt;Projects!$C$3+Projects!$D$3),IF(60=Projects!$C$3+Projects!$D$3-1,888067/Projects!$D$3*0.95+0.05*888067,888067/Projects!$D$3*0.95),0)+IF(AND(Projects!$G$4="Yes",60&gt;=Projects!$C$4,60&lt;Projects!$C$4+Projects!$D$4),IF(60=Projects!$C$4+Projects!$D$4-1,Projects!$B$4*Assumptions!$B$10/Projects!$D$4*0.95+0.05*Projects!$B$4*Assumptions!$B$10,Projects!$B$4*Assumptions!$B$10/Projects!$D$4*0.95),0)+IF(AND(Projects!$G$5="Yes",60&gt;=Projects!$C$5,60&lt;Projects!$C$5+Projects!$D$5),IF(60=Projects!$C$5+Projects!$D$5-1,Projects!$B$5*Assumptions!$B$10/Projects!$D$5*0.95+0.05*Projects!$B$5*Assumptions!$B$10,Projects!$B$5*Assumptions!$B$10/Projects!$D$5*0.95),0)+IF(AND(Projects!$G$6="Yes",60&gt;=Projects!$C$6,60&lt;Projects!$C$6+Projects!$D$6),IF(60=Projects!$C$6+Projects!$D$6-1,245000/Projects!$D$6*0.95+0.05*245000,245000/Projects!$D$6*0.95),0)+IF(AND(Projects!$G$7="Yes",60&gt;=Projects!$C$7,60&lt;Projects!$C$7+Projects!$D$7),IF(60=Projects!$C$7+Projects!$D$7-1,Projects!$B$7*Assumptions!$B$10/Projects!$D$7*0.95+0.05*Projects!$B$7*Assumptions!$B$10,Projects!$B$7*Assumptions!$B$10/Projects!$D$7*0.95),0)+IF(AND(Projects!$G$8="Yes",60&gt;=Projects!$C$8,60&lt;Projects!$C$8+Projects!$D$8),IF(60=Projects!$C$8+Projects!$D$8-1,Projects!$B$8*Assumptions!$B$10/Projects!$D$8*0.95+0.05*Projects!$B$8*Assumptions!$B$10,Projects!$B$8*Assumptions!$B$10/Projects!$D$8*0.95),0)+IF(AND(Projects!$G$9="Yes",60&gt;=Projects!$C$9,60&lt;Projects!$C$9+Projects!$D$9),IF(60=Projects!$C$9+Projects!$D$9-1,Projects!$B$9*Assumptions!$B$10/Projects!$D$9*0.95+0.05*Projects!$B$9*Assumptions!$B$10,Projects!$B$9*Assumptions!$B$10/Projects!$D$9*0.95),0)+IF(AND(Projects!$G$10="Yes",60&gt;=Projects!$C$10,60&lt;Projects!$C$10+Projects!$D$10),IF(60=Projects!$C$10+Projects!$D$10-1,Projects!$B$10*Assumptions!$B$10/Projects!$D$10*0.95+0.05*Projects!$B$10*Assumptions!$B$10,Projects!$B$10*Assumptions!$B$10/Projects!$D$10*0.95),0)+IF(AND(Projects!$G$11="Yes",60&gt;=Projects!$C$11,60&lt;Projects!$C$11+Projects!$D$11),IF(60=Projects!$C$11+Projects!$D$11-1,Projects!$B$11*Assumptions!$B$10/Projects!$D$11*0.95+0.05*Projects!$B$11*Assumptions!$B$10,Projects!$B$11*Assumptions!$B$10/Projects!$D$11*0.95),0)+IF(AND(Projects!$G$12="Yes",60&gt;=Projects!$C$12,60&lt;Projects!$C$12+Projects!$D$12),IF(60=Projects!$C$12+Projects!$D$12-1,Projects!$B$12*Assumptions!$B$10/Projects!$D$12*0.95+0.05*Projects!$B$12*Assumptions!$B$10,Projects!$B$12*Assumptions!$B$10/Projects!$D$12*0.95),0)+IF(AND(Projects!$G$13="Yes",60&gt;=Projects!$C$13,60&lt;Projects!$C$13+Projects!$D$13),IF(60=Projects!$C$13+Projects!$D$13-1,Projects!$B$13*Assumptions!$B$10/Projects!$D$13*0.95+0.05*Projects!$B$13*Assumptions!$B$10,Projects!$B$13*Assumptions!$B$10/Projects!$D$13*0.95),0)+IF(AND(Projects!$G$14="Yes",60&gt;=Projects!$C$14,60&lt;Projects!$C$14+Projects!$D$14),IF(60=Projects!$C$14+Projects!$D$14-1,Projects!$B$14*Assumptions!$B$10/Projects!$D$14*0.95+0.05*Projects!$B$14*Assumptions!$B$10,Projects!$B$14*Assumptions!$B$10/Projects!$D$14*0.95),0)+IF(AND(Projects!$G$15="Yes",60&gt;=Projects!$C$15,60&lt;Projects!$C$15+Projects!$D$15),IF(60=Projects!$C$15+Projects!$D$15-1,Projects!$B$15*Assumptions!$B$10/Projects!$D$15*0.95+0.05*Projects!$B$15*Assumptions!$B$10,Projects!$B$15*Assumptions!$B$10/Projects!$D$15*0.95),0)+IF(AND(Projects!$G$16="Yes",60&gt;=Projects!$C$16,60&lt;Projects!$C$16+Projects!$D$16),IF(60=Projects!$C$16+Projects!$D$16-1,Projects!$B$16*Assumptions!$B$10/Projects!$D$16*0.95+0.05*Projects!$B$16*Assumptions!$B$10,Projects!$B$16*Assumptions!$B$10/Projects!$D$16*0.95),0)</f>
        <v>0</v>
      </c>
      <c r="BK8" s="8">
        <f>IF(AND(Projects!$G$2="Yes",61&gt;=Projects!$C$2,61&lt;Projects!$C$2+Projects!$D$2),IF(61=Projects!$C$2+Projects!$D$2-1,194932/Projects!$D$2*0.95+0.05*194932,194932/Projects!$D$2*0.95),0)+IF(AND(Projects!$G$3="Yes",61&gt;=Projects!$C$3,61&lt;Projects!$C$3+Projects!$D$3),IF(61=Projects!$C$3+Projects!$D$3-1,888067/Projects!$D$3*0.95+0.05*888067,888067/Projects!$D$3*0.95),0)+IF(AND(Projects!$G$4="Yes",61&gt;=Projects!$C$4,61&lt;Projects!$C$4+Projects!$D$4),IF(61=Projects!$C$4+Projects!$D$4-1,Projects!$B$4*Assumptions!$B$10/Projects!$D$4*0.95+0.05*Projects!$B$4*Assumptions!$B$10,Projects!$B$4*Assumptions!$B$10/Projects!$D$4*0.95),0)+IF(AND(Projects!$G$5="Yes",61&gt;=Projects!$C$5,61&lt;Projects!$C$5+Projects!$D$5),IF(61=Projects!$C$5+Projects!$D$5-1,Projects!$B$5*Assumptions!$B$10/Projects!$D$5*0.95+0.05*Projects!$B$5*Assumptions!$B$10,Projects!$B$5*Assumptions!$B$10/Projects!$D$5*0.95),0)+IF(AND(Projects!$G$6="Yes",61&gt;=Projects!$C$6,61&lt;Projects!$C$6+Projects!$D$6),IF(61=Projects!$C$6+Projects!$D$6-1,245000/Projects!$D$6*0.95+0.05*245000,245000/Projects!$D$6*0.95),0)+IF(AND(Projects!$G$7="Yes",61&gt;=Projects!$C$7,61&lt;Projects!$C$7+Projects!$D$7),IF(61=Projects!$C$7+Projects!$D$7-1,Projects!$B$7*Assumptions!$B$10/Projects!$D$7*0.95+0.05*Projects!$B$7*Assumptions!$B$10,Projects!$B$7*Assumptions!$B$10/Projects!$D$7*0.95),0)+IF(AND(Projects!$G$8="Yes",61&gt;=Projects!$C$8,61&lt;Projects!$C$8+Projects!$D$8),IF(61=Projects!$C$8+Projects!$D$8-1,Projects!$B$8*Assumptions!$B$10/Projects!$D$8*0.95+0.05*Projects!$B$8*Assumptions!$B$10,Projects!$B$8*Assumptions!$B$10/Projects!$D$8*0.95),0)+IF(AND(Projects!$G$9="Yes",61&gt;=Projects!$C$9,61&lt;Projects!$C$9+Projects!$D$9),IF(61=Projects!$C$9+Projects!$D$9-1,Projects!$B$9*Assumptions!$B$10/Projects!$D$9*0.95+0.05*Projects!$B$9*Assumptions!$B$10,Projects!$B$9*Assumptions!$B$10/Projects!$D$9*0.95),0)+IF(AND(Projects!$G$10="Yes",61&gt;=Projects!$C$10,61&lt;Projects!$C$10+Projects!$D$10),IF(61=Projects!$C$10+Projects!$D$10-1,Projects!$B$10*Assumptions!$B$10/Projects!$D$10*0.95+0.05*Projects!$B$10*Assumptions!$B$10,Projects!$B$10*Assumptions!$B$10/Projects!$D$10*0.95),0)+IF(AND(Projects!$G$11="Yes",61&gt;=Projects!$C$11,61&lt;Projects!$C$11+Projects!$D$11),IF(61=Projects!$C$11+Projects!$D$11-1,Projects!$B$11*Assumptions!$B$10/Projects!$D$11*0.95+0.05*Projects!$B$11*Assumptions!$B$10,Projects!$B$11*Assumptions!$B$10/Projects!$D$11*0.95),0)+IF(AND(Projects!$G$12="Yes",61&gt;=Projects!$C$12,61&lt;Projects!$C$12+Projects!$D$12),IF(61=Projects!$C$12+Projects!$D$12-1,Projects!$B$12*Assumptions!$B$10/Projects!$D$12*0.95+0.05*Projects!$B$12*Assumptions!$B$10,Projects!$B$12*Assumptions!$B$10/Projects!$D$12*0.95),0)+IF(AND(Projects!$G$13="Yes",61&gt;=Projects!$C$13,61&lt;Projects!$C$13+Projects!$D$13),IF(61=Projects!$C$13+Projects!$D$13-1,Projects!$B$13*Assumptions!$B$10/Projects!$D$13*0.95+0.05*Projects!$B$13*Assumptions!$B$10,Projects!$B$13*Assumptions!$B$10/Projects!$D$13*0.95),0)+IF(AND(Projects!$G$14="Yes",61&gt;=Projects!$C$14,61&lt;Projects!$C$14+Projects!$D$14),IF(61=Projects!$C$14+Projects!$D$14-1,Projects!$B$14*Assumptions!$B$10/Projects!$D$14*0.95+0.05*Projects!$B$14*Assumptions!$B$10,Projects!$B$14*Assumptions!$B$10/Projects!$D$14*0.95),0)+IF(AND(Projects!$G$15="Yes",61&gt;=Projects!$C$15,61&lt;Projects!$C$15+Projects!$D$15),IF(61=Projects!$C$15+Projects!$D$15-1,Projects!$B$15*Assumptions!$B$10/Projects!$D$15*0.95+0.05*Projects!$B$15*Assumptions!$B$10,Projects!$B$15*Assumptions!$B$10/Projects!$D$15*0.95),0)+IF(AND(Projects!$G$16="Yes",61&gt;=Projects!$C$16,61&lt;Projects!$C$16+Projects!$D$16),IF(61=Projects!$C$16+Projects!$D$16-1,Projects!$B$16*Assumptions!$B$10/Projects!$D$16*0.95+0.05*Projects!$B$16*Assumptions!$B$10,Projects!$B$16*Assumptions!$B$10/Projects!$D$16*0.95),0)</f>
        <v>0</v>
      </c>
      <c r="BL8" s="8">
        <f>IF(AND(Projects!$G$2="Yes",62&gt;=Projects!$C$2,62&lt;Projects!$C$2+Projects!$D$2),IF(62=Projects!$C$2+Projects!$D$2-1,194932/Projects!$D$2*0.95+0.05*194932,194932/Projects!$D$2*0.95),0)+IF(AND(Projects!$G$3="Yes",62&gt;=Projects!$C$3,62&lt;Projects!$C$3+Projects!$D$3),IF(62=Projects!$C$3+Projects!$D$3-1,888067/Projects!$D$3*0.95+0.05*888067,888067/Projects!$D$3*0.95),0)+IF(AND(Projects!$G$4="Yes",62&gt;=Projects!$C$4,62&lt;Projects!$C$4+Projects!$D$4),IF(62=Projects!$C$4+Projects!$D$4-1,Projects!$B$4*Assumptions!$B$10/Projects!$D$4*0.95+0.05*Projects!$B$4*Assumptions!$B$10,Projects!$B$4*Assumptions!$B$10/Projects!$D$4*0.95),0)+IF(AND(Projects!$G$5="Yes",62&gt;=Projects!$C$5,62&lt;Projects!$C$5+Projects!$D$5),IF(62=Projects!$C$5+Projects!$D$5-1,Projects!$B$5*Assumptions!$B$10/Projects!$D$5*0.95+0.05*Projects!$B$5*Assumptions!$B$10,Projects!$B$5*Assumptions!$B$10/Projects!$D$5*0.95),0)+IF(AND(Projects!$G$6="Yes",62&gt;=Projects!$C$6,62&lt;Projects!$C$6+Projects!$D$6),IF(62=Projects!$C$6+Projects!$D$6-1,245000/Projects!$D$6*0.95+0.05*245000,245000/Projects!$D$6*0.95),0)+IF(AND(Projects!$G$7="Yes",62&gt;=Projects!$C$7,62&lt;Projects!$C$7+Projects!$D$7),IF(62=Projects!$C$7+Projects!$D$7-1,Projects!$B$7*Assumptions!$B$10/Projects!$D$7*0.95+0.05*Projects!$B$7*Assumptions!$B$10,Projects!$B$7*Assumptions!$B$10/Projects!$D$7*0.95),0)+IF(AND(Projects!$G$8="Yes",62&gt;=Projects!$C$8,62&lt;Projects!$C$8+Projects!$D$8),IF(62=Projects!$C$8+Projects!$D$8-1,Projects!$B$8*Assumptions!$B$10/Projects!$D$8*0.95+0.05*Projects!$B$8*Assumptions!$B$10,Projects!$B$8*Assumptions!$B$10/Projects!$D$8*0.95),0)+IF(AND(Projects!$G$9="Yes",62&gt;=Projects!$C$9,62&lt;Projects!$C$9+Projects!$D$9),IF(62=Projects!$C$9+Projects!$D$9-1,Projects!$B$9*Assumptions!$B$10/Projects!$D$9*0.95+0.05*Projects!$B$9*Assumptions!$B$10,Projects!$B$9*Assumptions!$B$10/Projects!$D$9*0.95),0)+IF(AND(Projects!$G$10="Yes",62&gt;=Projects!$C$10,62&lt;Projects!$C$10+Projects!$D$10),IF(62=Projects!$C$10+Projects!$D$10-1,Projects!$B$10*Assumptions!$B$10/Projects!$D$10*0.95+0.05*Projects!$B$10*Assumptions!$B$10,Projects!$B$10*Assumptions!$B$10/Projects!$D$10*0.95),0)+IF(AND(Projects!$G$11="Yes",62&gt;=Projects!$C$11,62&lt;Projects!$C$11+Projects!$D$11),IF(62=Projects!$C$11+Projects!$D$11-1,Projects!$B$11*Assumptions!$B$10/Projects!$D$11*0.95+0.05*Projects!$B$11*Assumptions!$B$10,Projects!$B$11*Assumptions!$B$10/Projects!$D$11*0.95),0)+IF(AND(Projects!$G$12="Yes",62&gt;=Projects!$C$12,62&lt;Projects!$C$12+Projects!$D$12),IF(62=Projects!$C$12+Projects!$D$12-1,Projects!$B$12*Assumptions!$B$10/Projects!$D$12*0.95+0.05*Projects!$B$12*Assumptions!$B$10,Projects!$B$12*Assumptions!$B$10/Projects!$D$12*0.95),0)+IF(AND(Projects!$G$13="Yes",62&gt;=Projects!$C$13,62&lt;Projects!$C$13+Projects!$D$13),IF(62=Projects!$C$13+Projects!$D$13-1,Projects!$B$13*Assumptions!$B$10/Projects!$D$13*0.95+0.05*Projects!$B$13*Assumptions!$B$10,Projects!$B$13*Assumptions!$B$10/Projects!$D$13*0.95),0)+IF(AND(Projects!$G$14="Yes",62&gt;=Projects!$C$14,62&lt;Projects!$C$14+Projects!$D$14),IF(62=Projects!$C$14+Projects!$D$14-1,Projects!$B$14*Assumptions!$B$10/Projects!$D$14*0.95+0.05*Projects!$B$14*Assumptions!$B$10,Projects!$B$14*Assumptions!$B$10/Projects!$D$14*0.95),0)+IF(AND(Projects!$G$15="Yes",62&gt;=Projects!$C$15,62&lt;Projects!$C$15+Projects!$D$15),IF(62=Projects!$C$15+Projects!$D$15-1,Projects!$B$15*Assumptions!$B$10/Projects!$D$15*0.95+0.05*Projects!$B$15*Assumptions!$B$10,Projects!$B$15*Assumptions!$B$10/Projects!$D$15*0.95),0)+IF(AND(Projects!$G$16="Yes",62&gt;=Projects!$C$16,62&lt;Projects!$C$16+Projects!$D$16),IF(62=Projects!$C$16+Projects!$D$16-1,Projects!$B$16*Assumptions!$B$10/Projects!$D$16*0.95+0.05*Projects!$B$16*Assumptions!$B$10,Projects!$B$16*Assumptions!$B$10/Projects!$D$16*0.95),0)</f>
        <v>0</v>
      </c>
      <c r="BM8" s="8">
        <f>IF(AND(Projects!$G$2="Yes",63&gt;=Projects!$C$2,63&lt;Projects!$C$2+Projects!$D$2),IF(63=Projects!$C$2+Projects!$D$2-1,194932/Projects!$D$2*0.95+0.05*194932,194932/Projects!$D$2*0.95),0)+IF(AND(Projects!$G$3="Yes",63&gt;=Projects!$C$3,63&lt;Projects!$C$3+Projects!$D$3),IF(63=Projects!$C$3+Projects!$D$3-1,888067/Projects!$D$3*0.95+0.05*888067,888067/Projects!$D$3*0.95),0)+IF(AND(Projects!$G$4="Yes",63&gt;=Projects!$C$4,63&lt;Projects!$C$4+Projects!$D$4),IF(63=Projects!$C$4+Projects!$D$4-1,Projects!$B$4*Assumptions!$B$10/Projects!$D$4*0.95+0.05*Projects!$B$4*Assumptions!$B$10,Projects!$B$4*Assumptions!$B$10/Projects!$D$4*0.95),0)+IF(AND(Projects!$G$5="Yes",63&gt;=Projects!$C$5,63&lt;Projects!$C$5+Projects!$D$5),IF(63=Projects!$C$5+Projects!$D$5-1,Projects!$B$5*Assumptions!$B$10/Projects!$D$5*0.95+0.05*Projects!$B$5*Assumptions!$B$10,Projects!$B$5*Assumptions!$B$10/Projects!$D$5*0.95),0)+IF(AND(Projects!$G$6="Yes",63&gt;=Projects!$C$6,63&lt;Projects!$C$6+Projects!$D$6),IF(63=Projects!$C$6+Projects!$D$6-1,245000/Projects!$D$6*0.95+0.05*245000,245000/Projects!$D$6*0.95),0)+IF(AND(Projects!$G$7="Yes",63&gt;=Projects!$C$7,63&lt;Projects!$C$7+Projects!$D$7),IF(63=Projects!$C$7+Projects!$D$7-1,Projects!$B$7*Assumptions!$B$10/Projects!$D$7*0.95+0.05*Projects!$B$7*Assumptions!$B$10,Projects!$B$7*Assumptions!$B$10/Projects!$D$7*0.95),0)+IF(AND(Projects!$G$8="Yes",63&gt;=Projects!$C$8,63&lt;Projects!$C$8+Projects!$D$8),IF(63=Projects!$C$8+Projects!$D$8-1,Projects!$B$8*Assumptions!$B$10/Projects!$D$8*0.95+0.05*Projects!$B$8*Assumptions!$B$10,Projects!$B$8*Assumptions!$B$10/Projects!$D$8*0.95),0)+IF(AND(Projects!$G$9="Yes",63&gt;=Projects!$C$9,63&lt;Projects!$C$9+Projects!$D$9),IF(63=Projects!$C$9+Projects!$D$9-1,Projects!$B$9*Assumptions!$B$10/Projects!$D$9*0.95+0.05*Projects!$B$9*Assumptions!$B$10,Projects!$B$9*Assumptions!$B$10/Projects!$D$9*0.95),0)+IF(AND(Projects!$G$10="Yes",63&gt;=Projects!$C$10,63&lt;Projects!$C$10+Projects!$D$10),IF(63=Projects!$C$10+Projects!$D$10-1,Projects!$B$10*Assumptions!$B$10/Projects!$D$10*0.95+0.05*Projects!$B$10*Assumptions!$B$10,Projects!$B$10*Assumptions!$B$10/Projects!$D$10*0.95),0)+IF(AND(Projects!$G$11="Yes",63&gt;=Projects!$C$11,63&lt;Projects!$C$11+Projects!$D$11),IF(63=Projects!$C$11+Projects!$D$11-1,Projects!$B$11*Assumptions!$B$10/Projects!$D$11*0.95+0.05*Projects!$B$11*Assumptions!$B$10,Projects!$B$11*Assumptions!$B$10/Projects!$D$11*0.95),0)+IF(AND(Projects!$G$12="Yes",63&gt;=Projects!$C$12,63&lt;Projects!$C$12+Projects!$D$12),IF(63=Projects!$C$12+Projects!$D$12-1,Projects!$B$12*Assumptions!$B$10/Projects!$D$12*0.95+0.05*Projects!$B$12*Assumptions!$B$10,Projects!$B$12*Assumptions!$B$10/Projects!$D$12*0.95),0)+IF(AND(Projects!$G$13="Yes",63&gt;=Projects!$C$13,63&lt;Projects!$C$13+Projects!$D$13),IF(63=Projects!$C$13+Projects!$D$13-1,Projects!$B$13*Assumptions!$B$10/Projects!$D$13*0.95+0.05*Projects!$B$13*Assumptions!$B$10,Projects!$B$13*Assumptions!$B$10/Projects!$D$13*0.95),0)+IF(AND(Projects!$G$14="Yes",63&gt;=Projects!$C$14,63&lt;Projects!$C$14+Projects!$D$14),IF(63=Projects!$C$14+Projects!$D$14-1,Projects!$B$14*Assumptions!$B$10/Projects!$D$14*0.95+0.05*Projects!$B$14*Assumptions!$B$10,Projects!$B$14*Assumptions!$B$10/Projects!$D$14*0.95),0)+IF(AND(Projects!$G$15="Yes",63&gt;=Projects!$C$15,63&lt;Projects!$C$15+Projects!$D$15),IF(63=Projects!$C$15+Projects!$D$15-1,Projects!$B$15*Assumptions!$B$10/Projects!$D$15*0.95+0.05*Projects!$B$15*Assumptions!$B$10,Projects!$B$15*Assumptions!$B$10/Projects!$D$15*0.95),0)+IF(AND(Projects!$G$16="Yes",63&gt;=Projects!$C$16,63&lt;Projects!$C$16+Projects!$D$16),IF(63=Projects!$C$16+Projects!$D$16-1,Projects!$B$16*Assumptions!$B$10/Projects!$D$16*0.95+0.05*Projects!$B$16*Assumptions!$B$10,Projects!$B$16*Assumptions!$B$10/Projects!$D$16*0.95),0)</f>
        <v>0</v>
      </c>
      <c r="BN8" s="8">
        <f>IF(AND(Projects!$G$2="Yes",64&gt;=Projects!$C$2,64&lt;Projects!$C$2+Projects!$D$2),IF(64=Projects!$C$2+Projects!$D$2-1,194932/Projects!$D$2*0.95+0.05*194932,194932/Projects!$D$2*0.95),0)+IF(AND(Projects!$G$3="Yes",64&gt;=Projects!$C$3,64&lt;Projects!$C$3+Projects!$D$3),IF(64=Projects!$C$3+Projects!$D$3-1,888067/Projects!$D$3*0.95+0.05*888067,888067/Projects!$D$3*0.95),0)+IF(AND(Projects!$G$4="Yes",64&gt;=Projects!$C$4,64&lt;Projects!$C$4+Projects!$D$4),IF(64=Projects!$C$4+Projects!$D$4-1,Projects!$B$4*Assumptions!$B$10/Projects!$D$4*0.95+0.05*Projects!$B$4*Assumptions!$B$10,Projects!$B$4*Assumptions!$B$10/Projects!$D$4*0.95),0)+IF(AND(Projects!$G$5="Yes",64&gt;=Projects!$C$5,64&lt;Projects!$C$5+Projects!$D$5),IF(64=Projects!$C$5+Projects!$D$5-1,Projects!$B$5*Assumptions!$B$10/Projects!$D$5*0.95+0.05*Projects!$B$5*Assumptions!$B$10,Projects!$B$5*Assumptions!$B$10/Projects!$D$5*0.95),0)+IF(AND(Projects!$G$6="Yes",64&gt;=Projects!$C$6,64&lt;Projects!$C$6+Projects!$D$6),IF(64=Projects!$C$6+Projects!$D$6-1,245000/Projects!$D$6*0.95+0.05*245000,245000/Projects!$D$6*0.95),0)+IF(AND(Projects!$G$7="Yes",64&gt;=Projects!$C$7,64&lt;Projects!$C$7+Projects!$D$7),IF(64=Projects!$C$7+Projects!$D$7-1,Projects!$B$7*Assumptions!$B$10/Projects!$D$7*0.95+0.05*Projects!$B$7*Assumptions!$B$10,Projects!$B$7*Assumptions!$B$10/Projects!$D$7*0.95),0)+IF(AND(Projects!$G$8="Yes",64&gt;=Projects!$C$8,64&lt;Projects!$C$8+Projects!$D$8),IF(64=Projects!$C$8+Projects!$D$8-1,Projects!$B$8*Assumptions!$B$10/Projects!$D$8*0.95+0.05*Projects!$B$8*Assumptions!$B$10,Projects!$B$8*Assumptions!$B$10/Projects!$D$8*0.95),0)+IF(AND(Projects!$G$9="Yes",64&gt;=Projects!$C$9,64&lt;Projects!$C$9+Projects!$D$9),IF(64=Projects!$C$9+Projects!$D$9-1,Projects!$B$9*Assumptions!$B$10/Projects!$D$9*0.95+0.05*Projects!$B$9*Assumptions!$B$10,Projects!$B$9*Assumptions!$B$10/Projects!$D$9*0.95),0)+IF(AND(Projects!$G$10="Yes",64&gt;=Projects!$C$10,64&lt;Projects!$C$10+Projects!$D$10),IF(64=Projects!$C$10+Projects!$D$10-1,Projects!$B$10*Assumptions!$B$10/Projects!$D$10*0.95+0.05*Projects!$B$10*Assumptions!$B$10,Projects!$B$10*Assumptions!$B$10/Projects!$D$10*0.95),0)+IF(AND(Projects!$G$11="Yes",64&gt;=Projects!$C$11,64&lt;Projects!$C$11+Projects!$D$11),IF(64=Projects!$C$11+Projects!$D$11-1,Projects!$B$11*Assumptions!$B$10/Projects!$D$11*0.95+0.05*Projects!$B$11*Assumptions!$B$10,Projects!$B$11*Assumptions!$B$10/Projects!$D$11*0.95),0)+IF(AND(Projects!$G$12="Yes",64&gt;=Projects!$C$12,64&lt;Projects!$C$12+Projects!$D$12),IF(64=Projects!$C$12+Projects!$D$12-1,Projects!$B$12*Assumptions!$B$10/Projects!$D$12*0.95+0.05*Projects!$B$12*Assumptions!$B$10,Projects!$B$12*Assumptions!$B$10/Projects!$D$12*0.95),0)+IF(AND(Projects!$G$13="Yes",64&gt;=Projects!$C$13,64&lt;Projects!$C$13+Projects!$D$13),IF(64=Projects!$C$13+Projects!$D$13-1,Projects!$B$13*Assumptions!$B$10/Projects!$D$13*0.95+0.05*Projects!$B$13*Assumptions!$B$10,Projects!$B$13*Assumptions!$B$10/Projects!$D$13*0.95),0)+IF(AND(Projects!$G$14="Yes",64&gt;=Projects!$C$14,64&lt;Projects!$C$14+Projects!$D$14),IF(64=Projects!$C$14+Projects!$D$14-1,Projects!$B$14*Assumptions!$B$10/Projects!$D$14*0.95+0.05*Projects!$B$14*Assumptions!$B$10,Projects!$B$14*Assumptions!$B$10/Projects!$D$14*0.95),0)+IF(AND(Projects!$G$15="Yes",64&gt;=Projects!$C$15,64&lt;Projects!$C$15+Projects!$D$15),IF(64=Projects!$C$15+Projects!$D$15-1,Projects!$B$15*Assumptions!$B$10/Projects!$D$15*0.95+0.05*Projects!$B$15*Assumptions!$B$10,Projects!$B$15*Assumptions!$B$10/Projects!$D$15*0.95),0)+IF(AND(Projects!$G$16="Yes",64&gt;=Projects!$C$16,64&lt;Projects!$C$16+Projects!$D$16),IF(64=Projects!$C$16+Projects!$D$16-1,Projects!$B$16*Assumptions!$B$10/Projects!$D$16*0.95+0.05*Projects!$B$16*Assumptions!$B$10,Projects!$B$16*Assumptions!$B$10/Projects!$D$16*0.95),0)</f>
        <v>0</v>
      </c>
      <c r="BO8" s="8">
        <f>IF(AND(Projects!$G$2="Yes",65&gt;=Projects!$C$2,65&lt;Projects!$C$2+Projects!$D$2),IF(65=Projects!$C$2+Projects!$D$2-1,194932/Projects!$D$2*0.95+0.05*194932,194932/Projects!$D$2*0.95),0)+IF(AND(Projects!$G$3="Yes",65&gt;=Projects!$C$3,65&lt;Projects!$C$3+Projects!$D$3),IF(65=Projects!$C$3+Projects!$D$3-1,888067/Projects!$D$3*0.95+0.05*888067,888067/Projects!$D$3*0.95),0)+IF(AND(Projects!$G$4="Yes",65&gt;=Projects!$C$4,65&lt;Projects!$C$4+Projects!$D$4),IF(65=Projects!$C$4+Projects!$D$4-1,Projects!$B$4*Assumptions!$B$10/Projects!$D$4*0.95+0.05*Projects!$B$4*Assumptions!$B$10,Projects!$B$4*Assumptions!$B$10/Projects!$D$4*0.95),0)+IF(AND(Projects!$G$5="Yes",65&gt;=Projects!$C$5,65&lt;Projects!$C$5+Projects!$D$5),IF(65=Projects!$C$5+Projects!$D$5-1,Projects!$B$5*Assumptions!$B$10/Projects!$D$5*0.95+0.05*Projects!$B$5*Assumptions!$B$10,Projects!$B$5*Assumptions!$B$10/Projects!$D$5*0.95),0)+IF(AND(Projects!$G$6="Yes",65&gt;=Projects!$C$6,65&lt;Projects!$C$6+Projects!$D$6),IF(65=Projects!$C$6+Projects!$D$6-1,245000/Projects!$D$6*0.95+0.05*245000,245000/Projects!$D$6*0.95),0)+IF(AND(Projects!$G$7="Yes",65&gt;=Projects!$C$7,65&lt;Projects!$C$7+Projects!$D$7),IF(65=Projects!$C$7+Projects!$D$7-1,Projects!$B$7*Assumptions!$B$10/Projects!$D$7*0.95+0.05*Projects!$B$7*Assumptions!$B$10,Projects!$B$7*Assumptions!$B$10/Projects!$D$7*0.95),0)+IF(AND(Projects!$G$8="Yes",65&gt;=Projects!$C$8,65&lt;Projects!$C$8+Projects!$D$8),IF(65=Projects!$C$8+Projects!$D$8-1,Projects!$B$8*Assumptions!$B$10/Projects!$D$8*0.95+0.05*Projects!$B$8*Assumptions!$B$10,Projects!$B$8*Assumptions!$B$10/Projects!$D$8*0.95),0)+IF(AND(Projects!$G$9="Yes",65&gt;=Projects!$C$9,65&lt;Projects!$C$9+Projects!$D$9),IF(65=Projects!$C$9+Projects!$D$9-1,Projects!$B$9*Assumptions!$B$10/Projects!$D$9*0.95+0.05*Projects!$B$9*Assumptions!$B$10,Projects!$B$9*Assumptions!$B$10/Projects!$D$9*0.95),0)+IF(AND(Projects!$G$10="Yes",65&gt;=Projects!$C$10,65&lt;Projects!$C$10+Projects!$D$10),IF(65=Projects!$C$10+Projects!$D$10-1,Projects!$B$10*Assumptions!$B$10/Projects!$D$10*0.95+0.05*Projects!$B$10*Assumptions!$B$10,Projects!$B$10*Assumptions!$B$10/Projects!$D$10*0.95),0)+IF(AND(Projects!$G$11="Yes",65&gt;=Projects!$C$11,65&lt;Projects!$C$11+Projects!$D$11),IF(65=Projects!$C$11+Projects!$D$11-1,Projects!$B$11*Assumptions!$B$10/Projects!$D$11*0.95+0.05*Projects!$B$11*Assumptions!$B$10,Projects!$B$11*Assumptions!$B$10/Projects!$D$11*0.95),0)+IF(AND(Projects!$G$12="Yes",65&gt;=Projects!$C$12,65&lt;Projects!$C$12+Projects!$D$12),IF(65=Projects!$C$12+Projects!$D$12-1,Projects!$B$12*Assumptions!$B$10/Projects!$D$12*0.95+0.05*Projects!$B$12*Assumptions!$B$10,Projects!$B$12*Assumptions!$B$10/Projects!$D$12*0.95),0)+IF(AND(Projects!$G$13="Yes",65&gt;=Projects!$C$13,65&lt;Projects!$C$13+Projects!$D$13),IF(65=Projects!$C$13+Projects!$D$13-1,Projects!$B$13*Assumptions!$B$10/Projects!$D$13*0.95+0.05*Projects!$B$13*Assumptions!$B$10,Projects!$B$13*Assumptions!$B$10/Projects!$D$13*0.95),0)+IF(AND(Projects!$G$14="Yes",65&gt;=Projects!$C$14,65&lt;Projects!$C$14+Projects!$D$14),IF(65=Projects!$C$14+Projects!$D$14-1,Projects!$B$14*Assumptions!$B$10/Projects!$D$14*0.95+0.05*Projects!$B$14*Assumptions!$B$10,Projects!$B$14*Assumptions!$B$10/Projects!$D$14*0.95),0)+IF(AND(Projects!$G$15="Yes",65&gt;=Projects!$C$15,65&lt;Projects!$C$15+Projects!$D$15),IF(65=Projects!$C$15+Projects!$D$15-1,Projects!$B$15*Assumptions!$B$10/Projects!$D$15*0.95+0.05*Projects!$B$15*Assumptions!$B$10,Projects!$B$15*Assumptions!$B$10/Projects!$D$15*0.95),0)+IF(AND(Projects!$G$16="Yes",65&gt;=Projects!$C$16,65&lt;Projects!$C$16+Projects!$D$16),IF(65=Projects!$C$16+Projects!$D$16-1,Projects!$B$16*Assumptions!$B$10/Projects!$D$16*0.95+0.05*Projects!$B$16*Assumptions!$B$10,Projects!$B$16*Assumptions!$B$10/Projects!$D$16*0.95),0)</f>
        <v>0</v>
      </c>
      <c r="BP8" s="8">
        <f>IF(AND(Projects!$G$2="Yes",66&gt;=Projects!$C$2,66&lt;Projects!$C$2+Projects!$D$2),IF(66=Projects!$C$2+Projects!$D$2-1,194932/Projects!$D$2*0.95+0.05*194932,194932/Projects!$D$2*0.95),0)+IF(AND(Projects!$G$3="Yes",66&gt;=Projects!$C$3,66&lt;Projects!$C$3+Projects!$D$3),IF(66=Projects!$C$3+Projects!$D$3-1,888067/Projects!$D$3*0.95+0.05*888067,888067/Projects!$D$3*0.95),0)+IF(AND(Projects!$G$4="Yes",66&gt;=Projects!$C$4,66&lt;Projects!$C$4+Projects!$D$4),IF(66=Projects!$C$4+Projects!$D$4-1,Projects!$B$4*Assumptions!$B$10/Projects!$D$4*0.95+0.05*Projects!$B$4*Assumptions!$B$10,Projects!$B$4*Assumptions!$B$10/Projects!$D$4*0.95),0)+IF(AND(Projects!$G$5="Yes",66&gt;=Projects!$C$5,66&lt;Projects!$C$5+Projects!$D$5),IF(66=Projects!$C$5+Projects!$D$5-1,Projects!$B$5*Assumptions!$B$10/Projects!$D$5*0.95+0.05*Projects!$B$5*Assumptions!$B$10,Projects!$B$5*Assumptions!$B$10/Projects!$D$5*0.95),0)+IF(AND(Projects!$G$6="Yes",66&gt;=Projects!$C$6,66&lt;Projects!$C$6+Projects!$D$6),IF(66=Projects!$C$6+Projects!$D$6-1,245000/Projects!$D$6*0.95+0.05*245000,245000/Projects!$D$6*0.95),0)+IF(AND(Projects!$G$7="Yes",66&gt;=Projects!$C$7,66&lt;Projects!$C$7+Projects!$D$7),IF(66=Projects!$C$7+Projects!$D$7-1,Projects!$B$7*Assumptions!$B$10/Projects!$D$7*0.95+0.05*Projects!$B$7*Assumptions!$B$10,Projects!$B$7*Assumptions!$B$10/Projects!$D$7*0.95),0)+IF(AND(Projects!$G$8="Yes",66&gt;=Projects!$C$8,66&lt;Projects!$C$8+Projects!$D$8),IF(66=Projects!$C$8+Projects!$D$8-1,Projects!$B$8*Assumptions!$B$10/Projects!$D$8*0.95+0.05*Projects!$B$8*Assumptions!$B$10,Projects!$B$8*Assumptions!$B$10/Projects!$D$8*0.95),0)+IF(AND(Projects!$G$9="Yes",66&gt;=Projects!$C$9,66&lt;Projects!$C$9+Projects!$D$9),IF(66=Projects!$C$9+Projects!$D$9-1,Projects!$B$9*Assumptions!$B$10/Projects!$D$9*0.95+0.05*Projects!$B$9*Assumptions!$B$10,Projects!$B$9*Assumptions!$B$10/Projects!$D$9*0.95),0)+IF(AND(Projects!$G$10="Yes",66&gt;=Projects!$C$10,66&lt;Projects!$C$10+Projects!$D$10),IF(66=Projects!$C$10+Projects!$D$10-1,Projects!$B$10*Assumptions!$B$10/Projects!$D$10*0.95+0.05*Projects!$B$10*Assumptions!$B$10,Projects!$B$10*Assumptions!$B$10/Projects!$D$10*0.95),0)+IF(AND(Projects!$G$11="Yes",66&gt;=Projects!$C$11,66&lt;Projects!$C$11+Projects!$D$11),IF(66=Projects!$C$11+Projects!$D$11-1,Projects!$B$11*Assumptions!$B$10/Projects!$D$11*0.95+0.05*Projects!$B$11*Assumptions!$B$10,Projects!$B$11*Assumptions!$B$10/Projects!$D$11*0.95),0)+IF(AND(Projects!$G$12="Yes",66&gt;=Projects!$C$12,66&lt;Projects!$C$12+Projects!$D$12),IF(66=Projects!$C$12+Projects!$D$12-1,Projects!$B$12*Assumptions!$B$10/Projects!$D$12*0.95+0.05*Projects!$B$12*Assumptions!$B$10,Projects!$B$12*Assumptions!$B$10/Projects!$D$12*0.95),0)+IF(AND(Projects!$G$13="Yes",66&gt;=Projects!$C$13,66&lt;Projects!$C$13+Projects!$D$13),IF(66=Projects!$C$13+Projects!$D$13-1,Projects!$B$13*Assumptions!$B$10/Projects!$D$13*0.95+0.05*Projects!$B$13*Assumptions!$B$10,Projects!$B$13*Assumptions!$B$10/Projects!$D$13*0.95),0)+IF(AND(Projects!$G$14="Yes",66&gt;=Projects!$C$14,66&lt;Projects!$C$14+Projects!$D$14),IF(66=Projects!$C$14+Projects!$D$14-1,Projects!$B$14*Assumptions!$B$10/Projects!$D$14*0.95+0.05*Projects!$B$14*Assumptions!$B$10,Projects!$B$14*Assumptions!$B$10/Projects!$D$14*0.95),0)+IF(AND(Projects!$G$15="Yes",66&gt;=Projects!$C$15,66&lt;Projects!$C$15+Projects!$D$15),IF(66=Projects!$C$15+Projects!$D$15-1,Projects!$B$15*Assumptions!$B$10/Projects!$D$15*0.95+0.05*Projects!$B$15*Assumptions!$B$10,Projects!$B$15*Assumptions!$B$10/Projects!$D$15*0.95),0)+IF(AND(Projects!$G$16="Yes",66&gt;=Projects!$C$16,66&lt;Projects!$C$16+Projects!$D$16),IF(66=Projects!$C$16+Projects!$D$16-1,Projects!$B$16*Assumptions!$B$10/Projects!$D$16*0.95+0.05*Projects!$B$16*Assumptions!$B$10,Projects!$B$16*Assumptions!$B$10/Projects!$D$16*0.95),0)</f>
        <v>0</v>
      </c>
      <c r="BQ8" s="8">
        <f>IF(AND(Projects!$G$2="Yes",67&gt;=Projects!$C$2,67&lt;Projects!$C$2+Projects!$D$2),IF(67=Projects!$C$2+Projects!$D$2-1,194932/Projects!$D$2*0.95+0.05*194932,194932/Projects!$D$2*0.95),0)+IF(AND(Projects!$G$3="Yes",67&gt;=Projects!$C$3,67&lt;Projects!$C$3+Projects!$D$3),IF(67=Projects!$C$3+Projects!$D$3-1,888067/Projects!$D$3*0.95+0.05*888067,888067/Projects!$D$3*0.95),0)+IF(AND(Projects!$G$4="Yes",67&gt;=Projects!$C$4,67&lt;Projects!$C$4+Projects!$D$4),IF(67=Projects!$C$4+Projects!$D$4-1,Projects!$B$4*Assumptions!$B$10/Projects!$D$4*0.95+0.05*Projects!$B$4*Assumptions!$B$10,Projects!$B$4*Assumptions!$B$10/Projects!$D$4*0.95),0)+IF(AND(Projects!$G$5="Yes",67&gt;=Projects!$C$5,67&lt;Projects!$C$5+Projects!$D$5),IF(67=Projects!$C$5+Projects!$D$5-1,Projects!$B$5*Assumptions!$B$10/Projects!$D$5*0.95+0.05*Projects!$B$5*Assumptions!$B$10,Projects!$B$5*Assumptions!$B$10/Projects!$D$5*0.95),0)+IF(AND(Projects!$G$6="Yes",67&gt;=Projects!$C$6,67&lt;Projects!$C$6+Projects!$D$6),IF(67=Projects!$C$6+Projects!$D$6-1,245000/Projects!$D$6*0.95+0.05*245000,245000/Projects!$D$6*0.95),0)+IF(AND(Projects!$G$7="Yes",67&gt;=Projects!$C$7,67&lt;Projects!$C$7+Projects!$D$7),IF(67=Projects!$C$7+Projects!$D$7-1,Projects!$B$7*Assumptions!$B$10/Projects!$D$7*0.95+0.05*Projects!$B$7*Assumptions!$B$10,Projects!$B$7*Assumptions!$B$10/Projects!$D$7*0.95),0)+IF(AND(Projects!$G$8="Yes",67&gt;=Projects!$C$8,67&lt;Projects!$C$8+Projects!$D$8),IF(67=Projects!$C$8+Projects!$D$8-1,Projects!$B$8*Assumptions!$B$10/Projects!$D$8*0.95+0.05*Projects!$B$8*Assumptions!$B$10,Projects!$B$8*Assumptions!$B$10/Projects!$D$8*0.95),0)+IF(AND(Projects!$G$9="Yes",67&gt;=Projects!$C$9,67&lt;Projects!$C$9+Projects!$D$9),IF(67=Projects!$C$9+Projects!$D$9-1,Projects!$B$9*Assumptions!$B$10/Projects!$D$9*0.95+0.05*Projects!$B$9*Assumptions!$B$10,Projects!$B$9*Assumptions!$B$10/Projects!$D$9*0.95),0)+IF(AND(Projects!$G$10="Yes",67&gt;=Projects!$C$10,67&lt;Projects!$C$10+Projects!$D$10),IF(67=Projects!$C$10+Projects!$D$10-1,Projects!$B$10*Assumptions!$B$10/Projects!$D$10*0.95+0.05*Projects!$B$10*Assumptions!$B$10,Projects!$B$10*Assumptions!$B$10/Projects!$D$10*0.95),0)+IF(AND(Projects!$G$11="Yes",67&gt;=Projects!$C$11,67&lt;Projects!$C$11+Projects!$D$11),IF(67=Projects!$C$11+Projects!$D$11-1,Projects!$B$11*Assumptions!$B$10/Projects!$D$11*0.95+0.05*Projects!$B$11*Assumptions!$B$10,Projects!$B$11*Assumptions!$B$10/Projects!$D$11*0.95),0)+IF(AND(Projects!$G$12="Yes",67&gt;=Projects!$C$12,67&lt;Projects!$C$12+Projects!$D$12),IF(67=Projects!$C$12+Projects!$D$12-1,Projects!$B$12*Assumptions!$B$10/Projects!$D$12*0.95+0.05*Projects!$B$12*Assumptions!$B$10,Projects!$B$12*Assumptions!$B$10/Projects!$D$12*0.95),0)+IF(AND(Projects!$G$13="Yes",67&gt;=Projects!$C$13,67&lt;Projects!$C$13+Projects!$D$13),IF(67=Projects!$C$13+Projects!$D$13-1,Projects!$B$13*Assumptions!$B$10/Projects!$D$13*0.95+0.05*Projects!$B$13*Assumptions!$B$10,Projects!$B$13*Assumptions!$B$10/Projects!$D$13*0.95),0)+IF(AND(Projects!$G$14="Yes",67&gt;=Projects!$C$14,67&lt;Projects!$C$14+Projects!$D$14),IF(67=Projects!$C$14+Projects!$D$14-1,Projects!$B$14*Assumptions!$B$10/Projects!$D$14*0.95+0.05*Projects!$B$14*Assumptions!$B$10,Projects!$B$14*Assumptions!$B$10/Projects!$D$14*0.95),0)+IF(AND(Projects!$G$15="Yes",67&gt;=Projects!$C$15,67&lt;Projects!$C$15+Projects!$D$15),IF(67=Projects!$C$15+Projects!$D$15-1,Projects!$B$15*Assumptions!$B$10/Projects!$D$15*0.95+0.05*Projects!$B$15*Assumptions!$B$10,Projects!$B$15*Assumptions!$B$10/Projects!$D$15*0.95),0)+IF(AND(Projects!$G$16="Yes",67&gt;=Projects!$C$16,67&lt;Projects!$C$16+Projects!$D$16),IF(67=Projects!$C$16+Projects!$D$16-1,Projects!$B$16*Assumptions!$B$10/Projects!$D$16*0.95+0.05*Projects!$B$16*Assumptions!$B$10,Projects!$B$16*Assumptions!$B$10/Projects!$D$16*0.95),0)</f>
        <v>0</v>
      </c>
      <c r="BR8" s="8">
        <f>IF(AND(Projects!$G$2="Yes",68&gt;=Projects!$C$2,68&lt;Projects!$C$2+Projects!$D$2),IF(68=Projects!$C$2+Projects!$D$2-1,194932/Projects!$D$2*0.95+0.05*194932,194932/Projects!$D$2*0.95),0)+IF(AND(Projects!$G$3="Yes",68&gt;=Projects!$C$3,68&lt;Projects!$C$3+Projects!$D$3),IF(68=Projects!$C$3+Projects!$D$3-1,888067/Projects!$D$3*0.95+0.05*888067,888067/Projects!$D$3*0.95),0)+IF(AND(Projects!$G$4="Yes",68&gt;=Projects!$C$4,68&lt;Projects!$C$4+Projects!$D$4),IF(68=Projects!$C$4+Projects!$D$4-1,Projects!$B$4*Assumptions!$B$10/Projects!$D$4*0.95+0.05*Projects!$B$4*Assumptions!$B$10,Projects!$B$4*Assumptions!$B$10/Projects!$D$4*0.95),0)+IF(AND(Projects!$G$5="Yes",68&gt;=Projects!$C$5,68&lt;Projects!$C$5+Projects!$D$5),IF(68=Projects!$C$5+Projects!$D$5-1,Projects!$B$5*Assumptions!$B$10/Projects!$D$5*0.95+0.05*Projects!$B$5*Assumptions!$B$10,Projects!$B$5*Assumptions!$B$10/Projects!$D$5*0.95),0)+IF(AND(Projects!$G$6="Yes",68&gt;=Projects!$C$6,68&lt;Projects!$C$6+Projects!$D$6),IF(68=Projects!$C$6+Projects!$D$6-1,245000/Projects!$D$6*0.95+0.05*245000,245000/Projects!$D$6*0.95),0)+IF(AND(Projects!$G$7="Yes",68&gt;=Projects!$C$7,68&lt;Projects!$C$7+Projects!$D$7),IF(68=Projects!$C$7+Projects!$D$7-1,Projects!$B$7*Assumptions!$B$10/Projects!$D$7*0.95+0.05*Projects!$B$7*Assumptions!$B$10,Projects!$B$7*Assumptions!$B$10/Projects!$D$7*0.95),0)+IF(AND(Projects!$G$8="Yes",68&gt;=Projects!$C$8,68&lt;Projects!$C$8+Projects!$D$8),IF(68=Projects!$C$8+Projects!$D$8-1,Projects!$B$8*Assumptions!$B$10/Projects!$D$8*0.95+0.05*Projects!$B$8*Assumptions!$B$10,Projects!$B$8*Assumptions!$B$10/Projects!$D$8*0.95),0)+IF(AND(Projects!$G$9="Yes",68&gt;=Projects!$C$9,68&lt;Projects!$C$9+Projects!$D$9),IF(68=Projects!$C$9+Projects!$D$9-1,Projects!$B$9*Assumptions!$B$10/Projects!$D$9*0.95+0.05*Projects!$B$9*Assumptions!$B$10,Projects!$B$9*Assumptions!$B$10/Projects!$D$9*0.95),0)+IF(AND(Projects!$G$10="Yes",68&gt;=Projects!$C$10,68&lt;Projects!$C$10+Projects!$D$10),IF(68=Projects!$C$10+Projects!$D$10-1,Projects!$B$10*Assumptions!$B$10/Projects!$D$10*0.95+0.05*Projects!$B$10*Assumptions!$B$10,Projects!$B$10*Assumptions!$B$10/Projects!$D$10*0.95),0)+IF(AND(Projects!$G$11="Yes",68&gt;=Projects!$C$11,68&lt;Projects!$C$11+Projects!$D$11),IF(68=Projects!$C$11+Projects!$D$11-1,Projects!$B$11*Assumptions!$B$10/Projects!$D$11*0.95+0.05*Projects!$B$11*Assumptions!$B$10,Projects!$B$11*Assumptions!$B$10/Projects!$D$11*0.95),0)+IF(AND(Projects!$G$12="Yes",68&gt;=Projects!$C$12,68&lt;Projects!$C$12+Projects!$D$12),IF(68=Projects!$C$12+Projects!$D$12-1,Projects!$B$12*Assumptions!$B$10/Projects!$D$12*0.95+0.05*Projects!$B$12*Assumptions!$B$10,Projects!$B$12*Assumptions!$B$10/Projects!$D$12*0.95),0)+IF(AND(Projects!$G$13="Yes",68&gt;=Projects!$C$13,68&lt;Projects!$C$13+Projects!$D$13),IF(68=Projects!$C$13+Projects!$D$13-1,Projects!$B$13*Assumptions!$B$10/Projects!$D$13*0.95+0.05*Projects!$B$13*Assumptions!$B$10,Projects!$B$13*Assumptions!$B$10/Projects!$D$13*0.95),0)+IF(AND(Projects!$G$14="Yes",68&gt;=Projects!$C$14,68&lt;Projects!$C$14+Projects!$D$14),IF(68=Projects!$C$14+Projects!$D$14-1,Projects!$B$14*Assumptions!$B$10/Projects!$D$14*0.95+0.05*Projects!$B$14*Assumptions!$B$10,Projects!$B$14*Assumptions!$B$10/Projects!$D$14*0.95),0)+IF(AND(Projects!$G$15="Yes",68&gt;=Projects!$C$15,68&lt;Projects!$C$15+Projects!$D$15),IF(68=Projects!$C$15+Projects!$D$15-1,Projects!$B$15*Assumptions!$B$10/Projects!$D$15*0.95+0.05*Projects!$B$15*Assumptions!$B$10,Projects!$B$15*Assumptions!$B$10/Projects!$D$15*0.95),0)+IF(AND(Projects!$G$16="Yes",68&gt;=Projects!$C$16,68&lt;Projects!$C$16+Projects!$D$16),IF(68=Projects!$C$16+Projects!$D$16-1,Projects!$B$16*Assumptions!$B$10/Projects!$D$16*0.95+0.05*Projects!$B$16*Assumptions!$B$10,Projects!$B$16*Assumptions!$B$10/Projects!$D$16*0.95),0)</f>
        <v>0</v>
      </c>
      <c r="BS8" s="8">
        <f>IF(AND(Projects!$G$2="Yes",69&gt;=Projects!$C$2,69&lt;Projects!$C$2+Projects!$D$2),IF(69=Projects!$C$2+Projects!$D$2-1,194932/Projects!$D$2*0.95+0.05*194932,194932/Projects!$D$2*0.95),0)+IF(AND(Projects!$G$3="Yes",69&gt;=Projects!$C$3,69&lt;Projects!$C$3+Projects!$D$3),IF(69=Projects!$C$3+Projects!$D$3-1,888067/Projects!$D$3*0.95+0.05*888067,888067/Projects!$D$3*0.95),0)+IF(AND(Projects!$G$4="Yes",69&gt;=Projects!$C$4,69&lt;Projects!$C$4+Projects!$D$4),IF(69=Projects!$C$4+Projects!$D$4-1,Projects!$B$4*Assumptions!$B$10/Projects!$D$4*0.95+0.05*Projects!$B$4*Assumptions!$B$10,Projects!$B$4*Assumptions!$B$10/Projects!$D$4*0.95),0)+IF(AND(Projects!$G$5="Yes",69&gt;=Projects!$C$5,69&lt;Projects!$C$5+Projects!$D$5),IF(69=Projects!$C$5+Projects!$D$5-1,Projects!$B$5*Assumptions!$B$10/Projects!$D$5*0.95+0.05*Projects!$B$5*Assumptions!$B$10,Projects!$B$5*Assumptions!$B$10/Projects!$D$5*0.95),0)+IF(AND(Projects!$G$6="Yes",69&gt;=Projects!$C$6,69&lt;Projects!$C$6+Projects!$D$6),IF(69=Projects!$C$6+Projects!$D$6-1,245000/Projects!$D$6*0.95+0.05*245000,245000/Projects!$D$6*0.95),0)+IF(AND(Projects!$G$7="Yes",69&gt;=Projects!$C$7,69&lt;Projects!$C$7+Projects!$D$7),IF(69=Projects!$C$7+Projects!$D$7-1,Projects!$B$7*Assumptions!$B$10/Projects!$D$7*0.95+0.05*Projects!$B$7*Assumptions!$B$10,Projects!$B$7*Assumptions!$B$10/Projects!$D$7*0.95),0)+IF(AND(Projects!$G$8="Yes",69&gt;=Projects!$C$8,69&lt;Projects!$C$8+Projects!$D$8),IF(69=Projects!$C$8+Projects!$D$8-1,Projects!$B$8*Assumptions!$B$10/Projects!$D$8*0.95+0.05*Projects!$B$8*Assumptions!$B$10,Projects!$B$8*Assumptions!$B$10/Projects!$D$8*0.95),0)+IF(AND(Projects!$G$9="Yes",69&gt;=Projects!$C$9,69&lt;Projects!$C$9+Projects!$D$9),IF(69=Projects!$C$9+Projects!$D$9-1,Projects!$B$9*Assumptions!$B$10/Projects!$D$9*0.95+0.05*Projects!$B$9*Assumptions!$B$10,Projects!$B$9*Assumptions!$B$10/Projects!$D$9*0.95),0)+IF(AND(Projects!$G$10="Yes",69&gt;=Projects!$C$10,69&lt;Projects!$C$10+Projects!$D$10),IF(69=Projects!$C$10+Projects!$D$10-1,Projects!$B$10*Assumptions!$B$10/Projects!$D$10*0.95+0.05*Projects!$B$10*Assumptions!$B$10,Projects!$B$10*Assumptions!$B$10/Projects!$D$10*0.95),0)+IF(AND(Projects!$G$11="Yes",69&gt;=Projects!$C$11,69&lt;Projects!$C$11+Projects!$D$11),IF(69=Projects!$C$11+Projects!$D$11-1,Projects!$B$11*Assumptions!$B$10/Projects!$D$11*0.95+0.05*Projects!$B$11*Assumptions!$B$10,Projects!$B$11*Assumptions!$B$10/Projects!$D$11*0.95),0)+IF(AND(Projects!$G$12="Yes",69&gt;=Projects!$C$12,69&lt;Projects!$C$12+Projects!$D$12),IF(69=Projects!$C$12+Projects!$D$12-1,Projects!$B$12*Assumptions!$B$10/Projects!$D$12*0.95+0.05*Projects!$B$12*Assumptions!$B$10,Projects!$B$12*Assumptions!$B$10/Projects!$D$12*0.95),0)+IF(AND(Projects!$G$13="Yes",69&gt;=Projects!$C$13,69&lt;Projects!$C$13+Projects!$D$13),IF(69=Projects!$C$13+Projects!$D$13-1,Projects!$B$13*Assumptions!$B$10/Projects!$D$13*0.95+0.05*Projects!$B$13*Assumptions!$B$10,Projects!$B$13*Assumptions!$B$10/Projects!$D$13*0.95),0)+IF(AND(Projects!$G$14="Yes",69&gt;=Projects!$C$14,69&lt;Projects!$C$14+Projects!$D$14),IF(69=Projects!$C$14+Projects!$D$14-1,Projects!$B$14*Assumptions!$B$10/Projects!$D$14*0.95+0.05*Projects!$B$14*Assumptions!$B$10,Projects!$B$14*Assumptions!$B$10/Projects!$D$14*0.95),0)+IF(AND(Projects!$G$15="Yes",69&gt;=Projects!$C$15,69&lt;Projects!$C$15+Projects!$D$15),IF(69=Projects!$C$15+Projects!$D$15-1,Projects!$B$15*Assumptions!$B$10/Projects!$D$15*0.95+0.05*Projects!$B$15*Assumptions!$B$10,Projects!$B$15*Assumptions!$B$10/Projects!$D$15*0.95),0)+IF(AND(Projects!$G$16="Yes",69&gt;=Projects!$C$16,69&lt;Projects!$C$16+Projects!$D$16),IF(69=Projects!$C$16+Projects!$D$16-1,Projects!$B$16*Assumptions!$B$10/Projects!$D$16*0.95+0.05*Projects!$B$16*Assumptions!$B$10,Projects!$B$16*Assumptions!$B$10/Projects!$D$16*0.95),0)</f>
        <v>0</v>
      </c>
      <c r="BT8" s="8">
        <f>IF(AND(Projects!$G$2="Yes",70&gt;=Projects!$C$2,70&lt;Projects!$C$2+Projects!$D$2),IF(70=Projects!$C$2+Projects!$D$2-1,194932/Projects!$D$2*0.95+0.05*194932,194932/Projects!$D$2*0.95),0)+IF(AND(Projects!$G$3="Yes",70&gt;=Projects!$C$3,70&lt;Projects!$C$3+Projects!$D$3),IF(70=Projects!$C$3+Projects!$D$3-1,888067/Projects!$D$3*0.95+0.05*888067,888067/Projects!$D$3*0.95),0)+IF(AND(Projects!$G$4="Yes",70&gt;=Projects!$C$4,70&lt;Projects!$C$4+Projects!$D$4),IF(70=Projects!$C$4+Projects!$D$4-1,Projects!$B$4*Assumptions!$B$10/Projects!$D$4*0.95+0.05*Projects!$B$4*Assumptions!$B$10,Projects!$B$4*Assumptions!$B$10/Projects!$D$4*0.95),0)+IF(AND(Projects!$G$5="Yes",70&gt;=Projects!$C$5,70&lt;Projects!$C$5+Projects!$D$5),IF(70=Projects!$C$5+Projects!$D$5-1,Projects!$B$5*Assumptions!$B$10/Projects!$D$5*0.95+0.05*Projects!$B$5*Assumptions!$B$10,Projects!$B$5*Assumptions!$B$10/Projects!$D$5*0.95),0)+IF(AND(Projects!$G$6="Yes",70&gt;=Projects!$C$6,70&lt;Projects!$C$6+Projects!$D$6),IF(70=Projects!$C$6+Projects!$D$6-1,245000/Projects!$D$6*0.95+0.05*245000,245000/Projects!$D$6*0.95),0)+IF(AND(Projects!$G$7="Yes",70&gt;=Projects!$C$7,70&lt;Projects!$C$7+Projects!$D$7),IF(70=Projects!$C$7+Projects!$D$7-1,Projects!$B$7*Assumptions!$B$10/Projects!$D$7*0.95+0.05*Projects!$B$7*Assumptions!$B$10,Projects!$B$7*Assumptions!$B$10/Projects!$D$7*0.95),0)+IF(AND(Projects!$G$8="Yes",70&gt;=Projects!$C$8,70&lt;Projects!$C$8+Projects!$D$8),IF(70=Projects!$C$8+Projects!$D$8-1,Projects!$B$8*Assumptions!$B$10/Projects!$D$8*0.95+0.05*Projects!$B$8*Assumptions!$B$10,Projects!$B$8*Assumptions!$B$10/Projects!$D$8*0.95),0)+IF(AND(Projects!$G$9="Yes",70&gt;=Projects!$C$9,70&lt;Projects!$C$9+Projects!$D$9),IF(70=Projects!$C$9+Projects!$D$9-1,Projects!$B$9*Assumptions!$B$10/Projects!$D$9*0.95+0.05*Projects!$B$9*Assumptions!$B$10,Projects!$B$9*Assumptions!$B$10/Projects!$D$9*0.95),0)+IF(AND(Projects!$G$10="Yes",70&gt;=Projects!$C$10,70&lt;Projects!$C$10+Projects!$D$10),IF(70=Projects!$C$10+Projects!$D$10-1,Projects!$B$10*Assumptions!$B$10/Projects!$D$10*0.95+0.05*Projects!$B$10*Assumptions!$B$10,Projects!$B$10*Assumptions!$B$10/Projects!$D$10*0.95),0)+IF(AND(Projects!$G$11="Yes",70&gt;=Projects!$C$11,70&lt;Projects!$C$11+Projects!$D$11),IF(70=Projects!$C$11+Projects!$D$11-1,Projects!$B$11*Assumptions!$B$10/Projects!$D$11*0.95+0.05*Projects!$B$11*Assumptions!$B$10,Projects!$B$11*Assumptions!$B$10/Projects!$D$11*0.95),0)+IF(AND(Projects!$G$12="Yes",70&gt;=Projects!$C$12,70&lt;Projects!$C$12+Projects!$D$12),IF(70=Projects!$C$12+Projects!$D$12-1,Projects!$B$12*Assumptions!$B$10/Projects!$D$12*0.95+0.05*Projects!$B$12*Assumptions!$B$10,Projects!$B$12*Assumptions!$B$10/Projects!$D$12*0.95),0)+IF(AND(Projects!$G$13="Yes",70&gt;=Projects!$C$13,70&lt;Projects!$C$13+Projects!$D$13),IF(70=Projects!$C$13+Projects!$D$13-1,Projects!$B$13*Assumptions!$B$10/Projects!$D$13*0.95+0.05*Projects!$B$13*Assumptions!$B$10,Projects!$B$13*Assumptions!$B$10/Projects!$D$13*0.95),0)+IF(AND(Projects!$G$14="Yes",70&gt;=Projects!$C$14,70&lt;Projects!$C$14+Projects!$D$14),IF(70=Projects!$C$14+Projects!$D$14-1,Projects!$B$14*Assumptions!$B$10/Projects!$D$14*0.95+0.05*Projects!$B$14*Assumptions!$B$10,Projects!$B$14*Assumptions!$B$10/Projects!$D$14*0.95),0)+IF(AND(Projects!$G$15="Yes",70&gt;=Projects!$C$15,70&lt;Projects!$C$15+Projects!$D$15),IF(70=Projects!$C$15+Projects!$D$15-1,Projects!$B$15*Assumptions!$B$10/Projects!$D$15*0.95+0.05*Projects!$B$15*Assumptions!$B$10,Projects!$B$15*Assumptions!$B$10/Projects!$D$15*0.95),0)+IF(AND(Projects!$G$16="Yes",70&gt;=Projects!$C$16,70&lt;Projects!$C$16+Projects!$D$16),IF(70=Projects!$C$16+Projects!$D$16-1,Projects!$B$16*Assumptions!$B$10/Projects!$D$16*0.95+0.05*Projects!$B$16*Assumptions!$B$10,Projects!$B$16*Assumptions!$B$10/Projects!$D$16*0.95),0)</f>
        <v>0</v>
      </c>
      <c r="BU8" s="8">
        <f>IF(AND(Projects!$G$2="Yes",71&gt;=Projects!$C$2,71&lt;Projects!$C$2+Projects!$D$2),IF(71=Projects!$C$2+Projects!$D$2-1,194932/Projects!$D$2*0.95+0.05*194932,194932/Projects!$D$2*0.95),0)+IF(AND(Projects!$G$3="Yes",71&gt;=Projects!$C$3,71&lt;Projects!$C$3+Projects!$D$3),IF(71=Projects!$C$3+Projects!$D$3-1,888067/Projects!$D$3*0.95+0.05*888067,888067/Projects!$D$3*0.95),0)+IF(AND(Projects!$G$4="Yes",71&gt;=Projects!$C$4,71&lt;Projects!$C$4+Projects!$D$4),IF(71=Projects!$C$4+Projects!$D$4-1,Projects!$B$4*Assumptions!$B$10/Projects!$D$4*0.95+0.05*Projects!$B$4*Assumptions!$B$10,Projects!$B$4*Assumptions!$B$10/Projects!$D$4*0.95),0)+IF(AND(Projects!$G$5="Yes",71&gt;=Projects!$C$5,71&lt;Projects!$C$5+Projects!$D$5),IF(71=Projects!$C$5+Projects!$D$5-1,Projects!$B$5*Assumptions!$B$10/Projects!$D$5*0.95+0.05*Projects!$B$5*Assumptions!$B$10,Projects!$B$5*Assumptions!$B$10/Projects!$D$5*0.95),0)+IF(AND(Projects!$G$6="Yes",71&gt;=Projects!$C$6,71&lt;Projects!$C$6+Projects!$D$6),IF(71=Projects!$C$6+Projects!$D$6-1,245000/Projects!$D$6*0.95+0.05*245000,245000/Projects!$D$6*0.95),0)+IF(AND(Projects!$G$7="Yes",71&gt;=Projects!$C$7,71&lt;Projects!$C$7+Projects!$D$7),IF(71=Projects!$C$7+Projects!$D$7-1,Projects!$B$7*Assumptions!$B$10/Projects!$D$7*0.95+0.05*Projects!$B$7*Assumptions!$B$10,Projects!$B$7*Assumptions!$B$10/Projects!$D$7*0.95),0)+IF(AND(Projects!$G$8="Yes",71&gt;=Projects!$C$8,71&lt;Projects!$C$8+Projects!$D$8),IF(71=Projects!$C$8+Projects!$D$8-1,Projects!$B$8*Assumptions!$B$10/Projects!$D$8*0.95+0.05*Projects!$B$8*Assumptions!$B$10,Projects!$B$8*Assumptions!$B$10/Projects!$D$8*0.95),0)+IF(AND(Projects!$G$9="Yes",71&gt;=Projects!$C$9,71&lt;Projects!$C$9+Projects!$D$9),IF(71=Projects!$C$9+Projects!$D$9-1,Projects!$B$9*Assumptions!$B$10/Projects!$D$9*0.95+0.05*Projects!$B$9*Assumptions!$B$10,Projects!$B$9*Assumptions!$B$10/Projects!$D$9*0.95),0)+IF(AND(Projects!$G$10="Yes",71&gt;=Projects!$C$10,71&lt;Projects!$C$10+Projects!$D$10),IF(71=Projects!$C$10+Projects!$D$10-1,Projects!$B$10*Assumptions!$B$10/Projects!$D$10*0.95+0.05*Projects!$B$10*Assumptions!$B$10,Projects!$B$10*Assumptions!$B$10/Projects!$D$10*0.95),0)+IF(AND(Projects!$G$11="Yes",71&gt;=Projects!$C$11,71&lt;Projects!$C$11+Projects!$D$11),IF(71=Projects!$C$11+Projects!$D$11-1,Projects!$B$11*Assumptions!$B$10/Projects!$D$11*0.95+0.05*Projects!$B$11*Assumptions!$B$10,Projects!$B$11*Assumptions!$B$10/Projects!$D$11*0.95),0)+IF(AND(Projects!$G$12="Yes",71&gt;=Projects!$C$12,71&lt;Projects!$C$12+Projects!$D$12),IF(71=Projects!$C$12+Projects!$D$12-1,Projects!$B$12*Assumptions!$B$10/Projects!$D$12*0.95+0.05*Projects!$B$12*Assumptions!$B$10,Projects!$B$12*Assumptions!$B$10/Projects!$D$12*0.95),0)+IF(AND(Projects!$G$13="Yes",71&gt;=Projects!$C$13,71&lt;Projects!$C$13+Projects!$D$13),IF(71=Projects!$C$13+Projects!$D$13-1,Projects!$B$13*Assumptions!$B$10/Projects!$D$13*0.95+0.05*Projects!$B$13*Assumptions!$B$10,Projects!$B$13*Assumptions!$B$10/Projects!$D$13*0.95),0)+IF(AND(Projects!$G$14="Yes",71&gt;=Projects!$C$14,71&lt;Projects!$C$14+Projects!$D$14),IF(71=Projects!$C$14+Projects!$D$14-1,Projects!$B$14*Assumptions!$B$10/Projects!$D$14*0.95+0.05*Projects!$B$14*Assumptions!$B$10,Projects!$B$14*Assumptions!$B$10/Projects!$D$14*0.95),0)+IF(AND(Projects!$G$15="Yes",71&gt;=Projects!$C$15,71&lt;Projects!$C$15+Projects!$D$15),IF(71=Projects!$C$15+Projects!$D$15-1,Projects!$B$15*Assumptions!$B$10/Projects!$D$15*0.95+0.05*Projects!$B$15*Assumptions!$B$10,Projects!$B$15*Assumptions!$B$10/Projects!$D$15*0.95),0)+IF(AND(Projects!$G$16="Yes",71&gt;=Projects!$C$16,71&lt;Projects!$C$16+Projects!$D$16),IF(71=Projects!$C$16+Projects!$D$16-1,Projects!$B$16*Assumptions!$B$10/Projects!$D$16*0.95+0.05*Projects!$B$16*Assumptions!$B$10,Projects!$B$16*Assumptions!$B$10/Projects!$D$16*0.95),0)</f>
        <v>0</v>
      </c>
      <c r="BV8" s="8">
        <f>IF(AND(Projects!$G$2="Yes",72&gt;=Projects!$C$2,72&lt;Projects!$C$2+Projects!$D$2),IF(72=Projects!$C$2+Projects!$D$2-1,194932/Projects!$D$2*0.95+0.05*194932,194932/Projects!$D$2*0.95),0)+IF(AND(Projects!$G$3="Yes",72&gt;=Projects!$C$3,72&lt;Projects!$C$3+Projects!$D$3),IF(72=Projects!$C$3+Projects!$D$3-1,888067/Projects!$D$3*0.95+0.05*888067,888067/Projects!$D$3*0.95),0)+IF(AND(Projects!$G$4="Yes",72&gt;=Projects!$C$4,72&lt;Projects!$C$4+Projects!$D$4),IF(72=Projects!$C$4+Projects!$D$4-1,Projects!$B$4*Assumptions!$B$10/Projects!$D$4*0.95+0.05*Projects!$B$4*Assumptions!$B$10,Projects!$B$4*Assumptions!$B$10/Projects!$D$4*0.95),0)+IF(AND(Projects!$G$5="Yes",72&gt;=Projects!$C$5,72&lt;Projects!$C$5+Projects!$D$5),IF(72=Projects!$C$5+Projects!$D$5-1,Projects!$B$5*Assumptions!$B$10/Projects!$D$5*0.95+0.05*Projects!$B$5*Assumptions!$B$10,Projects!$B$5*Assumptions!$B$10/Projects!$D$5*0.95),0)+IF(AND(Projects!$G$6="Yes",72&gt;=Projects!$C$6,72&lt;Projects!$C$6+Projects!$D$6),IF(72=Projects!$C$6+Projects!$D$6-1,245000/Projects!$D$6*0.95+0.05*245000,245000/Projects!$D$6*0.95),0)+IF(AND(Projects!$G$7="Yes",72&gt;=Projects!$C$7,72&lt;Projects!$C$7+Projects!$D$7),IF(72=Projects!$C$7+Projects!$D$7-1,Projects!$B$7*Assumptions!$B$10/Projects!$D$7*0.95+0.05*Projects!$B$7*Assumptions!$B$10,Projects!$B$7*Assumptions!$B$10/Projects!$D$7*0.95),0)+IF(AND(Projects!$G$8="Yes",72&gt;=Projects!$C$8,72&lt;Projects!$C$8+Projects!$D$8),IF(72=Projects!$C$8+Projects!$D$8-1,Projects!$B$8*Assumptions!$B$10/Projects!$D$8*0.95+0.05*Projects!$B$8*Assumptions!$B$10,Projects!$B$8*Assumptions!$B$10/Projects!$D$8*0.95),0)+IF(AND(Projects!$G$9="Yes",72&gt;=Projects!$C$9,72&lt;Projects!$C$9+Projects!$D$9),IF(72=Projects!$C$9+Projects!$D$9-1,Projects!$B$9*Assumptions!$B$10/Projects!$D$9*0.95+0.05*Projects!$B$9*Assumptions!$B$10,Projects!$B$9*Assumptions!$B$10/Projects!$D$9*0.95),0)+IF(AND(Projects!$G$10="Yes",72&gt;=Projects!$C$10,72&lt;Projects!$C$10+Projects!$D$10),IF(72=Projects!$C$10+Projects!$D$10-1,Projects!$B$10*Assumptions!$B$10/Projects!$D$10*0.95+0.05*Projects!$B$10*Assumptions!$B$10,Projects!$B$10*Assumptions!$B$10/Projects!$D$10*0.95),0)+IF(AND(Projects!$G$11="Yes",72&gt;=Projects!$C$11,72&lt;Projects!$C$11+Projects!$D$11),IF(72=Projects!$C$11+Projects!$D$11-1,Projects!$B$11*Assumptions!$B$10/Projects!$D$11*0.95+0.05*Projects!$B$11*Assumptions!$B$10,Projects!$B$11*Assumptions!$B$10/Projects!$D$11*0.95),0)+IF(AND(Projects!$G$12="Yes",72&gt;=Projects!$C$12,72&lt;Projects!$C$12+Projects!$D$12),IF(72=Projects!$C$12+Projects!$D$12-1,Projects!$B$12*Assumptions!$B$10/Projects!$D$12*0.95+0.05*Projects!$B$12*Assumptions!$B$10,Projects!$B$12*Assumptions!$B$10/Projects!$D$12*0.95),0)+IF(AND(Projects!$G$13="Yes",72&gt;=Projects!$C$13,72&lt;Projects!$C$13+Projects!$D$13),IF(72=Projects!$C$13+Projects!$D$13-1,Projects!$B$13*Assumptions!$B$10/Projects!$D$13*0.95+0.05*Projects!$B$13*Assumptions!$B$10,Projects!$B$13*Assumptions!$B$10/Projects!$D$13*0.95),0)+IF(AND(Projects!$G$14="Yes",72&gt;=Projects!$C$14,72&lt;Projects!$C$14+Projects!$D$14),IF(72=Projects!$C$14+Projects!$D$14-1,Projects!$B$14*Assumptions!$B$10/Projects!$D$14*0.95+0.05*Projects!$B$14*Assumptions!$B$10,Projects!$B$14*Assumptions!$B$10/Projects!$D$14*0.95),0)+IF(AND(Projects!$G$15="Yes",72&gt;=Projects!$C$15,72&lt;Projects!$C$15+Projects!$D$15),IF(72=Projects!$C$15+Projects!$D$15-1,Projects!$B$15*Assumptions!$B$10/Projects!$D$15*0.95+0.05*Projects!$B$15*Assumptions!$B$10,Projects!$B$15*Assumptions!$B$10/Projects!$D$15*0.95),0)+IF(AND(Projects!$G$16="Yes",72&gt;=Projects!$C$16,72&lt;Projects!$C$16+Projects!$D$16),IF(72=Projects!$C$16+Projects!$D$16-1,Projects!$B$16*Assumptions!$B$10/Projects!$D$16*0.95+0.05*Projects!$B$16*Assumptions!$B$10,Projects!$B$16*Assumptions!$B$10/Projects!$D$16*0.95),0)</f>
        <v>0</v>
      </c>
      <c r="BW8" s="8">
        <f>IF(AND(Projects!$G$2="Yes",73&gt;=Projects!$C$2,73&lt;Projects!$C$2+Projects!$D$2),IF(73=Projects!$C$2+Projects!$D$2-1,194932/Projects!$D$2*0.95+0.05*194932,194932/Projects!$D$2*0.95),0)+IF(AND(Projects!$G$3="Yes",73&gt;=Projects!$C$3,73&lt;Projects!$C$3+Projects!$D$3),IF(73=Projects!$C$3+Projects!$D$3-1,888067/Projects!$D$3*0.95+0.05*888067,888067/Projects!$D$3*0.95),0)+IF(AND(Projects!$G$4="Yes",73&gt;=Projects!$C$4,73&lt;Projects!$C$4+Projects!$D$4),IF(73=Projects!$C$4+Projects!$D$4-1,Projects!$B$4*Assumptions!$B$10/Projects!$D$4*0.95+0.05*Projects!$B$4*Assumptions!$B$10,Projects!$B$4*Assumptions!$B$10/Projects!$D$4*0.95),0)+IF(AND(Projects!$G$5="Yes",73&gt;=Projects!$C$5,73&lt;Projects!$C$5+Projects!$D$5),IF(73=Projects!$C$5+Projects!$D$5-1,Projects!$B$5*Assumptions!$B$10/Projects!$D$5*0.95+0.05*Projects!$B$5*Assumptions!$B$10,Projects!$B$5*Assumptions!$B$10/Projects!$D$5*0.95),0)+IF(AND(Projects!$G$6="Yes",73&gt;=Projects!$C$6,73&lt;Projects!$C$6+Projects!$D$6),IF(73=Projects!$C$6+Projects!$D$6-1,245000/Projects!$D$6*0.95+0.05*245000,245000/Projects!$D$6*0.95),0)+IF(AND(Projects!$G$7="Yes",73&gt;=Projects!$C$7,73&lt;Projects!$C$7+Projects!$D$7),IF(73=Projects!$C$7+Projects!$D$7-1,Projects!$B$7*Assumptions!$B$10/Projects!$D$7*0.95+0.05*Projects!$B$7*Assumptions!$B$10,Projects!$B$7*Assumptions!$B$10/Projects!$D$7*0.95),0)+IF(AND(Projects!$G$8="Yes",73&gt;=Projects!$C$8,73&lt;Projects!$C$8+Projects!$D$8),IF(73=Projects!$C$8+Projects!$D$8-1,Projects!$B$8*Assumptions!$B$10/Projects!$D$8*0.95+0.05*Projects!$B$8*Assumptions!$B$10,Projects!$B$8*Assumptions!$B$10/Projects!$D$8*0.95),0)+IF(AND(Projects!$G$9="Yes",73&gt;=Projects!$C$9,73&lt;Projects!$C$9+Projects!$D$9),IF(73=Projects!$C$9+Projects!$D$9-1,Projects!$B$9*Assumptions!$B$10/Projects!$D$9*0.95+0.05*Projects!$B$9*Assumptions!$B$10,Projects!$B$9*Assumptions!$B$10/Projects!$D$9*0.95),0)+IF(AND(Projects!$G$10="Yes",73&gt;=Projects!$C$10,73&lt;Projects!$C$10+Projects!$D$10),IF(73=Projects!$C$10+Projects!$D$10-1,Projects!$B$10*Assumptions!$B$10/Projects!$D$10*0.95+0.05*Projects!$B$10*Assumptions!$B$10,Projects!$B$10*Assumptions!$B$10/Projects!$D$10*0.95),0)+IF(AND(Projects!$G$11="Yes",73&gt;=Projects!$C$11,73&lt;Projects!$C$11+Projects!$D$11),IF(73=Projects!$C$11+Projects!$D$11-1,Projects!$B$11*Assumptions!$B$10/Projects!$D$11*0.95+0.05*Projects!$B$11*Assumptions!$B$10,Projects!$B$11*Assumptions!$B$10/Projects!$D$11*0.95),0)+IF(AND(Projects!$G$12="Yes",73&gt;=Projects!$C$12,73&lt;Projects!$C$12+Projects!$D$12),IF(73=Projects!$C$12+Projects!$D$12-1,Projects!$B$12*Assumptions!$B$10/Projects!$D$12*0.95+0.05*Projects!$B$12*Assumptions!$B$10,Projects!$B$12*Assumptions!$B$10/Projects!$D$12*0.95),0)+IF(AND(Projects!$G$13="Yes",73&gt;=Projects!$C$13,73&lt;Projects!$C$13+Projects!$D$13),IF(73=Projects!$C$13+Projects!$D$13-1,Projects!$B$13*Assumptions!$B$10/Projects!$D$13*0.95+0.05*Projects!$B$13*Assumptions!$B$10,Projects!$B$13*Assumptions!$B$10/Projects!$D$13*0.95),0)+IF(AND(Projects!$G$14="Yes",73&gt;=Projects!$C$14,73&lt;Projects!$C$14+Projects!$D$14),IF(73=Projects!$C$14+Projects!$D$14-1,Projects!$B$14*Assumptions!$B$10/Projects!$D$14*0.95+0.05*Projects!$B$14*Assumptions!$B$10,Projects!$B$14*Assumptions!$B$10/Projects!$D$14*0.95),0)+IF(AND(Projects!$G$15="Yes",73&gt;=Projects!$C$15,73&lt;Projects!$C$15+Projects!$D$15),IF(73=Projects!$C$15+Projects!$D$15-1,Projects!$B$15*Assumptions!$B$10/Projects!$D$15*0.95+0.05*Projects!$B$15*Assumptions!$B$10,Projects!$B$15*Assumptions!$B$10/Projects!$D$15*0.95),0)+IF(AND(Projects!$G$16="Yes",73&gt;=Projects!$C$16,73&lt;Projects!$C$16+Projects!$D$16),IF(73=Projects!$C$16+Projects!$D$16-1,Projects!$B$16*Assumptions!$B$10/Projects!$D$16*0.95+0.05*Projects!$B$16*Assumptions!$B$10,Projects!$B$16*Assumptions!$B$10/Projects!$D$16*0.95),0)</f>
        <v>0</v>
      </c>
      <c r="BX8" s="8">
        <f>IF(AND(Projects!$G$2="Yes",74&gt;=Projects!$C$2,74&lt;Projects!$C$2+Projects!$D$2),IF(74=Projects!$C$2+Projects!$D$2-1,194932/Projects!$D$2*0.95+0.05*194932,194932/Projects!$D$2*0.95),0)+IF(AND(Projects!$G$3="Yes",74&gt;=Projects!$C$3,74&lt;Projects!$C$3+Projects!$D$3),IF(74=Projects!$C$3+Projects!$D$3-1,888067/Projects!$D$3*0.95+0.05*888067,888067/Projects!$D$3*0.95),0)+IF(AND(Projects!$G$4="Yes",74&gt;=Projects!$C$4,74&lt;Projects!$C$4+Projects!$D$4),IF(74=Projects!$C$4+Projects!$D$4-1,Projects!$B$4*Assumptions!$B$10/Projects!$D$4*0.95+0.05*Projects!$B$4*Assumptions!$B$10,Projects!$B$4*Assumptions!$B$10/Projects!$D$4*0.95),0)+IF(AND(Projects!$G$5="Yes",74&gt;=Projects!$C$5,74&lt;Projects!$C$5+Projects!$D$5),IF(74=Projects!$C$5+Projects!$D$5-1,Projects!$B$5*Assumptions!$B$10/Projects!$D$5*0.95+0.05*Projects!$B$5*Assumptions!$B$10,Projects!$B$5*Assumptions!$B$10/Projects!$D$5*0.95),0)+IF(AND(Projects!$G$6="Yes",74&gt;=Projects!$C$6,74&lt;Projects!$C$6+Projects!$D$6),IF(74=Projects!$C$6+Projects!$D$6-1,245000/Projects!$D$6*0.95+0.05*245000,245000/Projects!$D$6*0.95),0)+IF(AND(Projects!$G$7="Yes",74&gt;=Projects!$C$7,74&lt;Projects!$C$7+Projects!$D$7),IF(74=Projects!$C$7+Projects!$D$7-1,Projects!$B$7*Assumptions!$B$10/Projects!$D$7*0.95+0.05*Projects!$B$7*Assumptions!$B$10,Projects!$B$7*Assumptions!$B$10/Projects!$D$7*0.95),0)+IF(AND(Projects!$G$8="Yes",74&gt;=Projects!$C$8,74&lt;Projects!$C$8+Projects!$D$8),IF(74=Projects!$C$8+Projects!$D$8-1,Projects!$B$8*Assumptions!$B$10/Projects!$D$8*0.95+0.05*Projects!$B$8*Assumptions!$B$10,Projects!$B$8*Assumptions!$B$10/Projects!$D$8*0.95),0)+IF(AND(Projects!$G$9="Yes",74&gt;=Projects!$C$9,74&lt;Projects!$C$9+Projects!$D$9),IF(74=Projects!$C$9+Projects!$D$9-1,Projects!$B$9*Assumptions!$B$10/Projects!$D$9*0.95+0.05*Projects!$B$9*Assumptions!$B$10,Projects!$B$9*Assumptions!$B$10/Projects!$D$9*0.95),0)+IF(AND(Projects!$G$10="Yes",74&gt;=Projects!$C$10,74&lt;Projects!$C$10+Projects!$D$10),IF(74=Projects!$C$10+Projects!$D$10-1,Projects!$B$10*Assumptions!$B$10/Projects!$D$10*0.95+0.05*Projects!$B$10*Assumptions!$B$10,Projects!$B$10*Assumptions!$B$10/Projects!$D$10*0.95),0)+IF(AND(Projects!$G$11="Yes",74&gt;=Projects!$C$11,74&lt;Projects!$C$11+Projects!$D$11),IF(74=Projects!$C$11+Projects!$D$11-1,Projects!$B$11*Assumptions!$B$10/Projects!$D$11*0.95+0.05*Projects!$B$11*Assumptions!$B$10,Projects!$B$11*Assumptions!$B$10/Projects!$D$11*0.95),0)+IF(AND(Projects!$G$12="Yes",74&gt;=Projects!$C$12,74&lt;Projects!$C$12+Projects!$D$12),IF(74=Projects!$C$12+Projects!$D$12-1,Projects!$B$12*Assumptions!$B$10/Projects!$D$12*0.95+0.05*Projects!$B$12*Assumptions!$B$10,Projects!$B$12*Assumptions!$B$10/Projects!$D$12*0.95),0)+IF(AND(Projects!$G$13="Yes",74&gt;=Projects!$C$13,74&lt;Projects!$C$13+Projects!$D$13),IF(74=Projects!$C$13+Projects!$D$13-1,Projects!$B$13*Assumptions!$B$10/Projects!$D$13*0.95+0.05*Projects!$B$13*Assumptions!$B$10,Projects!$B$13*Assumptions!$B$10/Projects!$D$13*0.95),0)+IF(AND(Projects!$G$14="Yes",74&gt;=Projects!$C$14,74&lt;Projects!$C$14+Projects!$D$14),IF(74=Projects!$C$14+Projects!$D$14-1,Projects!$B$14*Assumptions!$B$10/Projects!$D$14*0.95+0.05*Projects!$B$14*Assumptions!$B$10,Projects!$B$14*Assumptions!$B$10/Projects!$D$14*0.95),0)+IF(AND(Projects!$G$15="Yes",74&gt;=Projects!$C$15,74&lt;Projects!$C$15+Projects!$D$15),IF(74=Projects!$C$15+Projects!$D$15-1,Projects!$B$15*Assumptions!$B$10/Projects!$D$15*0.95+0.05*Projects!$B$15*Assumptions!$B$10,Projects!$B$15*Assumptions!$B$10/Projects!$D$15*0.95),0)+IF(AND(Projects!$G$16="Yes",74&gt;=Projects!$C$16,74&lt;Projects!$C$16+Projects!$D$16),IF(74=Projects!$C$16+Projects!$D$16-1,Projects!$B$16*Assumptions!$B$10/Projects!$D$16*0.95+0.05*Projects!$B$16*Assumptions!$B$10,Projects!$B$16*Assumptions!$B$10/Projects!$D$16*0.95),0)</f>
        <v>0</v>
      </c>
      <c r="BY8" s="8">
        <f>IF(AND(Projects!$G$2="Yes",75&gt;=Projects!$C$2,75&lt;Projects!$C$2+Projects!$D$2),IF(75=Projects!$C$2+Projects!$D$2-1,194932/Projects!$D$2*0.95+0.05*194932,194932/Projects!$D$2*0.95),0)+IF(AND(Projects!$G$3="Yes",75&gt;=Projects!$C$3,75&lt;Projects!$C$3+Projects!$D$3),IF(75=Projects!$C$3+Projects!$D$3-1,888067/Projects!$D$3*0.95+0.05*888067,888067/Projects!$D$3*0.95),0)+IF(AND(Projects!$G$4="Yes",75&gt;=Projects!$C$4,75&lt;Projects!$C$4+Projects!$D$4),IF(75=Projects!$C$4+Projects!$D$4-1,Projects!$B$4*Assumptions!$B$10/Projects!$D$4*0.95+0.05*Projects!$B$4*Assumptions!$B$10,Projects!$B$4*Assumptions!$B$10/Projects!$D$4*0.95),0)+IF(AND(Projects!$G$5="Yes",75&gt;=Projects!$C$5,75&lt;Projects!$C$5+Projects!$D$5),IF(75=Projects!$C$5+Projects!$D$5-1,Projects!$B$5*Assumptions!$B$10/Projects!$D$5*0.95+0.05*Projects!$B$5*Assumptions!$B$10,Projects!$B$5*Assumptions!$B$10/Projects!$D$5*0.95),0)+IF(AND(Projects!$G$6="Yes",75&gt;=Projects!$C$6,75&lt;Projects!$C$6+Projects!$D$6),IF(75=Projects!$C$6+Projects!$D$6-1,245000/Projects!$D$6*0.95+0.05*245000,245000/Projects!$D$6*0.95),0)+IF(AND(Projects!$G$7="Yes",75&gt;=Projects!$C$7,75&lt;Projects!$C$7+Projects!$D$7),IF(75=Projects!$C$7+Projects!$D$7-1,Projects!$B$7*Assumptions!$B$10/Projects!$D$7*0.95+0.05*Projects!$B$7*Assumptions!$B$10,Projects!$B$7*Assumptions!$B$10/Projects!$D$7*0.95),0)+IF(AND(Projects!$G$8="Yes",75&gt;=Projects!$C$8,75&lt;Projects!$C$8+Projects!$D$8),IF(75=Projects!$C$8+Projects!$D$8-1,Projects!$B$8*Assumptions!$B$10/Projects!$D$8*0.95+0.05*Projects!$B$8*Assumptions!$B$10,Projects!$B$8*Assumptions!$B$10/Projects!$D$8*0.95),0)+IF(AND(Projects!$G$9="Yes",75&gt;=Projects!$C$9,75&lt;Projects!$C$9+Projects!$D$9),IF(75=Projects!$C$9+Projects!$D$9-1,Projects!$B$9*Assumptions!$B$10/Projects!$D$9*0.95+0.05*Projects!$B$9*Assumptions!$B$10,Projects!$B$9*Assumptions!$B$10/Projects!$D$9*0.95),0)+IF(AND(Projects!$G$10="Yes",75&gt;=Projects!$C$10,75&lt;Projects!$C$10+Projects!$D$10),IF(75=Projects!$C$10+Projects!$D$10-1,Projects!$B$10*Assumptions!$B$10/Projects!$D$10*0.95+0.05*Projects!$B$10*Assumptions!$B$10,Projects!$B$10*Assumptions!$B$10/Projects!$D$10*0.95),0)+IF(AND(Projects!$G$11="Yes",75&gt;=Projects!$C$11,75&lt;Projects!$C$11+Projects!$D$11),IF(75=Projects!$C$11+Projects!$D$11-1,Projects!$B$11*Assumptions!$B$10/Projects!$D$11*0.95+0.05*Projects!$B$11*Assumptions!$B$10,Projects!$B$11*Assumptions!$B$10/Projects!$D$11*0.95),0)+IF(AND(Projects!$G$12="Yes",75&gt;=Projects!$C$12,75&lt;Projects!$C$12+Projects!$D$12),IF(75=Projects!$C$12+Projects!$D$12-1,Projects!$B$12*Assumptions!$B$10/Projects!$D$12*0.95+0.05*Projects!$B$12*Assumptions!$B$10,Projects!$B$12*Assumptions!$B$10/Projects!$D$12*0.95),0)+IF(AND(Projects!$G$13="Yes",75&gt;=Projects!$C$13,75&lt;Projects!$C$13+Projects!$D$13),IF(75=Projects!$C$13+Projects!$D$13-1,Projects!$B$13*Assumptions!$B$10/Projects!$D$13*0.95+0.05*Projects!$B$13*Assumptions!$B$10,Projects!$B$13*Assumptions!$B$10/Projects!$D$13*0.95),0)+IF(AND(Projects!$G$14="Yes",75&gt;=Projects!$C$14,75&lt;Projects!$C$14+Projects!$D$14),IF(75=Projects!$C$14+Projects!$D$14-1,Projects!$B$14*Assumptions!$B$10/Projects!$D$14*0.95+0.05*Projects!$B$14*Assumptions!$B$10,Projects!$B$14*Assumptions!$B$10/Projects!$D$14*0.95),0)+IF(AND(Projects!$G$15="Yes",75&gt;=Projects!$C$15,75&lt;Projects!$C$15+Projects!$D$15),IF(75=Projects!$C$15+Projects!$D$15-1,Projects!$B$15*Assumptions!$B$10/Projects!$D$15*0.95+0.05*Projects!$B$15*Assumptions!$B$10,Projects!$B$15*Assumptions!$B$10/Projects!$D$15*0.95),0)+IF(AND(Projects!$G$16="Yes",75&gt;=Projects!$C$16,75&lt;Projects!$C$16+Projects!$D$16),IF(75=Projects!$C$16+Projects!$D$16-1,Projects!$B$16*Assumptions!$B$10/Projects!$D$16*0.95+0.05*Projects!$B$16*Assumptions!$B$10,Projects!$B$16*Assumptions!$B$10/Projects!$D$16*0.95),0)</f>
        <v>0</v>
      </c>
      <c r="BZ8" s="8">
        <f>IF(AND(Projects!$G$2="Yes",76&gt;=Projects!$C$2,76&lt;Projects!$C$2+Projects!$D$2),IF(76=Projects!$C$2+Projects!$D$2-1,194932/Projects!$D$2*0.95+0.05*194932,194932/Projects!$D$2*0.95),0)+IF(AND(Projects!$G$3="Yes",76&gt;=Projects!$C$3,76&lt;Projects!$C$3+Projects!$D$3),IF(76=Projects!$C$3+Projects!$D$3-1,888067/Projects!$D$3*0.95+0.05*888067,888067/Projects!$D$3*0.95),0)+IF(AND(Projects!$G$4="Yes",76&gt;=Projects!$C$4,76&lt;Projects!$C$4+Projects!$D$4),IF(76=Projects!$C$4+Projects!$D$4-1,Projects!$B$4*Assumptions!$B$10/Projects!$D$4*0.95+0.05*Projects!$B$4*Assumptions!$B$10,Projects!$B$4*Assumptions!$B$10/Projects!$D$4*0.95),0)+IF(AND(Projects!$G$5="Yes",76&gt;=Projects!$C$5,76&lt;Projects!$C$5+Projects!$D$5),IF(76=Projects!$C$5+Projects!$D$5-1,Projects!$B$5*Assumptions!$B$10/Projects!$D$5*0.95+0.05*Projects!$B$5*Assumptions!$B$10,Projects!$B$5*Assumptions!$B$10/Projects!$D$5*0.95),0)+IF(AND(Projects!$G$6="Yes",76&gt;=Projects!$C$6,76&lt;Projects!$C$6+Projects!$D$6),IF(76=Projects!$C$6+Projects!$D$6-1,245000/Projects!$D$6*0.95+0.05*245000,245000/Projects!$D$6*0.95),0)+IF(AND(Projects!$G$7="Yes",76&gt;=Projects!$C$7,76&lt;Projects!$C$7+Projects!$D$7),IF(76=Projects!$C$7+Projects!$D$7-1,Projects!$B$7*Assumptions!$B$10/Projects!$D$7*0.95+0.05*Projects!$B$7*Assumptions!$B$10,Projects!$B$7*Assumptions!$B$10/Projects!$D$7*0.95),0)+IF(AND(Projects!$G$8="Yes",76&gt;=Projects!$C$8,76&lt;Projects!$C$8+Projects!$D$8),IF(76=Projects!$C$8+Projects!$D$8-1,Projects!$B$8*Assumptions!$B$10/Projects!$D$8*0.95+0.05*Projects!$B$8*Assumptions!$B$10,Projects!$B$8*Assumptions!$B$10/Projects!$D$8*0.95),0)+IF(AND(Projects!$G$9="Yes",76&gt;=Projects!$C$9,76&lt;Projects!$C$9+Projects!$D$9),IF(76=Projects!$C$9+Projects!$D$9-1,Projects!$B$9*Assumptions!$B$10/Projects!$D$9*0.95+0.05*Projects!$B$9*Assumptions!$B$10,Projects!$B$9*Assumptions!$B$10/Projects!$D$9*0.95),0)+IF(AND(Projects!$G$10="Yes",76&gt;=Projects!$C$10,76&lt;Projects!$C$10+Projects!$D$10),IF(76=Projects!$C$10+Projects!$D$10-1,Projects!$B$10*Assumptions!$B$10/Projects!$D$10*0.95+0.05*Projects!$B$10*Assumptions!$B$10,Projects!$B$10*Assumptions!$B$10/Projects!$D$10*0.95),0)+IF(AND(Projects!$G$11="Yes",76&gt;=Projects!$C$11,76&lt;Projects!$C$11+Projects!$D$11),IF(76=Projects!$C$11+Projects!$D$11-1,Projects!$B$11*Assumptions!$B$10/Projects!$D$11*0.95+0.05*Projects!$B$11*Assumptions!$B$10,Projects!$B$11*Assumptions!$B$10/Projects!$D$11*0.95),0)+IF(AND(Projects!$G$12="Yes",76&gt;=Projects!$C$12,76&lt;Projects!$C$12+Projects!$D$12),IF(76=Projects!$C$12+Projects!$D$12-1,Projects!$B$12*Assumptions!$B$10/Projects!$D$12*0.95+0.05*Projects!$B$12*Assumptions!$B$10,Projects!$B$12*Assumptions!$B$10/Projects!$D$12*0.95),0)+IF(AND(Projects!$G$13="Yes",76&gt;=Projects!$C$13,76&lt;Projects!$C$13+Projects!$D$13),IF(76=Projects!$C$13+Projects!$D$13-1,Projects!$B$13*Assumptions!$B$10/Projects!$D$13*0.95+0.05*Projects!$B$13*Assumptions!$B$10,Projects!$B$13*Assumptions!$B$10/Projects!$D$13*0.95),0)+IF(AND(Projects!$G$14="Yes",76&gt;=Projects!$C$14,76&lt;Projects!$C$14+Projects!$D$14),IF(76=Projects!$C$14+Projects!$D$14-1,Projects!$B$14*Assumptions!$B$10/Projects!$D$14*0.95+0.05*Projects!$B$14*Assumptions!$B$10,Projects!$B$14*Assumptions!$B$10/Projects!$D$14*0.95),0)+IF(AND(Projects!$G$15="Yes",76&gt;=Projects!$C$15,76&lt;Projects!$C$15+Projects!$D$15),IF(76=Projects!$C$15+Projects!$D$15-1,Projects!$B$15*Assumptions!$B$10/Projects!$D$15*0.95+0.05*Projects!$B$15*Assumptions!$B$10,Projects!$B$15*Assumptions!$B$10/Projects!$D$15*0.95),0)+IF(AND(Projects!$G$16="Yes",76&gt;=Projects!$C$16,76&lt;Projects!$C$16+Projects!$D$16),IF(76=Projects!$C$16+Projects!$D$16-1,Projects!$B$16*Assumptions!$B$10/Projects!$D$16*0.95+0.05*Projects!$B$16*Assumptions!$B$10,Projects!$B$16*Assumptions!$B$10/Projects!$D$16*0.95),0)</f>
        <v>0</v>
      </c>
      <c r="CA8" s="8">
        <f>IF(AND(Projects!$G$2="Yes",77&gt;=Projects!$C$2,77&lt;Projects!$C$2+Projects!$D$2),IF(77=Projects!$C$2+Projects!$D$2-1,194932/Projects!$D$2*0.95+0.05*194932,194932/Projects!$D$2*0.95),0)+IF(AND(Projects!$G$3="Yes",77&gt;=Projects!$C$3,77&lt;Projects!$C$3+Projects!$D$3),IF(77=Projects!$C$3+Projects!$D$3-1,888067/Projects!$D$3*0.95+0.05*888067,888067/Projects!$D$3*0.95),0)+IF(AND(Projects!$G$4="Yes",77&gt;=Projects!$C$4,77&lt;Projects!$C$4+Projects!$D$4),IF(77=Projects!$C$4+Projects!$D$4-1,Projects!$B$4*Assumptions!$B$10/Projects!$D$4*0.95+0.05*Projects!$B$4*Assumptions!$B$10,Projects!$B$4*Assumptions!$B$10/Projects!$D$4*0.95),0)+IF(AND(Projects!$G$5="Yes",77&gt;=Projects!$C$5,77&lt;Projects!$C$5+Projects!$D$5),IF(77=Projects!$C$5+Projects!$D$5-1,Projects!$B$5*Assumptions!$B$10/Projects!$D$5*0.95+0.05*Projects!$B$5*Assumptions!$B$10,Projects!$B$5*Assumptions!$B$10/Projects!$D$5*0.95),0)+IF(AND(Projects!$G$6="Yes",77&gt;=Projects!$C$6,77&lt;Projects!$C$6+Projects!$D$6),IF(77=Projects!$C$6+Projects!$D$6-1,245000/Projects!$D$6*0.95+0.05*245000,245000/Projects!$D$6*0.95),0)+IF(AND(Projects!$G$7="Yes",77&gt;=Projects!$C$7,77&lt;Projects!$C$7+Projects!$D$7),IF(77=Projects!$C$7+Projects!$D$7-1,Projects!$B$7*Assumptions!$B$10/Projects!$D$7*0.95+0.05*Projects!$B$7*Assumptions!$B$10,Projects!$B$7*Assumptions!$B$10/Projects!$D$7*0.95),0)+IF(AND(Projects!$G$8="Yes",77&gt;=Projects!$C$8,77&lt;Projects!$C$8+Projects!$D$8),IF(77=Projects!$C$8+Projects!$D$8-1,Projects!$B$8*Assumptions!$B$10/Projects!$D$8*0.95+0.05*Projects!$B$8*Assumptions!$B$10,Projects!$B$8*Assumptions!$B$10/Projects!$D$8*0.95),0)+IF(AND(Projects!$G$9="Yes",77&gt;=Projects!$C$9,77&lt;Projects!$C$9+Projects!$D$9),IF(77=Projects!$C$9+Projects!$D$9-1,Projects!$B$9*Assumptions!$B$10/Projects!$D$9*0.95+0.05*Projects!$B$9*Assumptions!$B$10,Projects!$B$9*Assumptions!$B$10/Projects!$D$9*0.95),0)+IF(AND(Projects!$G$10="Yes",77&gt;=Projects!$C$10,77&lt;Projects!$C$10+Projects!$D$10),IF(77=Projects!$C$10+Projects!$D$10-1,Projects!$B$10*Assumptions!$B$10/Projects!$D$10*0.95+0.05*Projects!$B$10*Assumptions!$B$10,Projects!$B$10*Assumptions!$B$10/Projects!$D$10*0.95),0)+IF(AND(Projects!$G$11="Yes",77&gt;=Projects!$C$11,77&lt;Projects!$C$11+Projects!$D$11),IF(77=Projects!$C$11+Projects!$D$11-1,Projects!$B$11*Assumptions!$B$10/Projects!$D$11*0.95+0.05*Projects!$B$11*Assumptions!$B$10,Projects!$B$11*Assumptions!$B$10/Projects!$D$11*0.95),0)+IF(AND(Projects!$G$12="Yes",77&gt;=Projects!$C$12,77&lt;Projects!$C$12+Projects!$D$12),IF(77=Projects!$C$12+Projects!$D$12-1,Projects!$B$12*Assumptions!$B$10/Projects!$D$12*0.95+0.05*Projects!$B$12*Assumptions!$B$10,Projects!$B$12*Assumptions!$B$10/Projects!$D$12*0.95),0)+IF(AND(Projects!$G$13="Yes",77&gt;=Projects!$C$13,77&lt;Projects!$C$13+Projects!$D$13),IF(77=Projects!$C$13+Projects!$D$13-1,Projects!$B$13*Assumptions!$B$10/Projects!$D$13*0.95+0.05*Projects!$B$13*Assumptions!$B$10,Projects!$B$13*Assumptions!$B$10/Projects!$D$13*0.95),0)+IF(AND(Projects!$G$14="Yes",77&gt;=Projects!$C$14,77&lt;Projects!$C$14+Projects!$D$14),IF(77=Projects!$C$14+Projects!$D$14-1,Projects!$B$14*Assumptions!$B$10/Projects!$D$14*0.95+0.05*Projects!$B$14*Assumptions!$B$10,Projects!$B$14*Assumptions!$B$10/Projects!$D$14*0.95),0)+IF(AND(Projects!$G$15="Yes",77&gt;=Projects!$C$15,77&lt;Projects!$C$15+Projects!$D$15),IF(77=Projects!$C$15+Projects!$D$15-1,Projects!$B$15*Assumptions!$B$10/Projects!$D$15*0.95+0.05*Projects!$B$15*Assumptions!$B$10,Projects!$B$15*Assumptions!$B$10/Projects!$D$15*0.95),0)+IF(AND(Projects!$G$16="Yes",77&gt;=Projects!$C$16,77&lt;Projects!$C$16+Projects!$D$16),IF(77=Projects!$C$16+Projects!$D$16-1,Projects!$B$16*Assumptions!$B$10/Projects!$D$16*0.95+0.05*Projects!$B$16*Assumptions!$B$10,Projects!$B$16*Assumptions!$B$10/Projects!$D$16*0.95),0)</f>
        <v>0</v>
      </c>
      <c r="CB8" s="8">
        <f>IF(AND(Projects!$G$2="Yes",78&gt;=Projects!$C$2,78&lt;Projects!$C$2+Projects!$D$2),IF(78=Projects!$C$2+Projects!$D$2-1,194932/Projects!$D$2*0.95+0.05*194932,194932/Projects!$D$2*0.95),0)+IF(AND(Projects!$G$3="Yes",78&gt;=Projects!$C$3,78&lt;Projects!$C$3+Projects!$D$3),IF(78=Projects!$C$3+Projects!$D$3-1,888067/Projects!$D$3*0.95+0.05*888067,888067/Projects!$D$3*0.95),0)+IF(AND(Projects!$G$4="Yes",78&gt;=Projects!$C$4,78&lt;Projects!$C$4+Projects!$D$4),IF(78=Projects!$C$4+Projects!$D$4-1,Projects!$B$4*Assumptions!$B$10/Projects!$D$4*0.95+0.05*Projects!$B$4*Assumptions!$B$10,Projects!$B$4*Assumptions!$B$10/Projects!$D$4*0.95),0)+IF(AND(Projects!$G$5="Yes",78&gt;=Projects!$C$5,78&lt;Projects!$C$5+Projects!$D$5),IF(78=Projects!$C$5+Projects!$D$5-1,Projects!$B$5*Assumptions!$B$10/Projects!$D$5*0.95+0.05*Projects!$B$5*Assumptions!$B$10,Projects!$B$5*Assumptions!$B$10/Projects!$D$5*0.95),0)+IF(AND(Projects!$G$6="Yes",78&gt;=Projects!$C$6,78&lt;Projects!$C$6+Projects!$D$6),IF(78=Projects!$C$6+Projects!$D$6-1,245000/Projects!$D$6*0.95+0.05*245000,245000/Projects!$D$6*0.95),0)+IF(AND(Projects!$G$7="Yes",78&gt;=Projects!$C$7,78&lt;Projects!$C$7+Projects!$D$7),IF(78=Projects!$C$7+Projects!$D$7-1,Projects!$B$7*Assumptions!$B$10/Projects!$D$7*0.95+0.05*Projects!$B$7*Assumptions!$B$10,Projects!$B$7*Assumptions!$B$10/Projects!$D$7*0.95),0)+IF(AND(Projects!$G$8="Yes",78&gt;=Projects!$C$8,78&lt;Projects!$C$8+Projects!$D$8),IF(78=Projects!$C$8+Projects!$D$8-1,Projects!$B$8*Assumptions!$B$10/Projects!$D$8*0.95+0.05*Projects!$B$8*Assumptions!$B$10,Projects!$B$8*Assumptions!$B$10/Projects!$D$8*0.95),0)+IF(AND(Projects!$G$9="Yes",78&gt;=Projects!$C$9,78&lt;Projects!$C$9+Projects!$D$9),IF(78=Projects!$C$9+Projects!$D$9-1,Projects!$B$9*Assumptions!$B$10/Projects!$D$9*0.95+0.05*Projects!$B$9*Assumptions!$B$10,Projects!$B$9*Assumptions!$B$10/Projects!$D$9*0.95),0)+IF(AND(Projects!$G$10="Yes",78&gt;=Projects!$C$10,78&lt;Projects!$C$10+Projects!$D$10),IF(78=Projects!$C$10+Projects!$D$10-1,Projects!$B$10*Assumptions!$B$10/Projects!$D$10*0.95+0.05*Projects!$B$10*Assumptions!$B$10,Projects!$B$10*Assumptions!$B$10/Projects!$D$10*0.95),0)+IF(AND(Projects!$G$11="Yes",78&gt;=Projects!$C$11,78&lt;Projects!$C$11+Projects!$D$11),IF(78=Projects!$C$11+Projects!$D$11-1,Projects!$B$11*Assumptions!$B$10/Projects!$D$11*0.95+0.05*Projects!$B$11*Assumptions!$B$10,Projects!$B$11*Assumptions!$B$10/Projects!$D$11*0.95),0)+IF(AND(Projects!$G$12="Yes",78&gt;=Projects!$C$12,78&lt;Projects!$C$12+Projects!$D$12),IF(78=Projects!$C$12+Projects!$D$12-1,Projects!$B$12*Assumptions!$B$10/Projects!$D$12*0.95+0.05*Projects!$B$12*Assumptions!$B$10,Projects!$B$12*Assumptions!$B$10/Projects!$D$12*0.95),0)+IF(AND(Projects!$G$13="Yes",78&gt;=Projects!$C$13,78&lt;Projects!$C$13+Projects!$D$13),IF(78=Projects!$C$13+Projects!$D$13-1,Projects!$B$13*Assumptions!$B$10/Projects!$D$13*0.95+0.05*Projects!$B$13*Assumptions!$B$10,Projects!$B$13*Assumptions!$B$10/Projects!$D$13*0.95),0)+IF(AND(Projects!$G$14="Yes",78&gt;=Projects!$C$14,78&lt;Projects!$C$14+Projects!$D$14),IF(78=Projects!$C$14+Projects!$D$14-1,Projects!$B$14*Assumptions!$B$10/Projects!$D$14*0.95+0.05*Projects!$B$14*Assumptions!$B$10,Projects!$B$14*Assumptions!$B$10/Projects!$D$14*0.95),0)+IF(AND(Projects!$G$15="Yes",78&gt;=Projects!$C$15,78&lt;Projects!$C$15+Projects!$D$15),IF(78=Projects!$C$15+Projects!$D$15-1,Projects!$B$15*Assumptions!$B$10/Projects!$D$15*0.95+0.05*Projects!$B$15*Assumptions!$B$10,Projects!$B$15*Assumptions!$B$10/Projects!$D$15*0.95),0)+IF(AND(Projects!$G$16="Yes",78&gt;=Projects!$C$16,78&lt;Projects!$C$16+Projects!$D$16),IF(78=Projects!$C$16+Projects!$D$16-1,Projects!$B$16*Assumptions!$B$10/Projects!$D$16*0.95+0.05*Projects!$B$16*Assumptions!$B$10,Projects!$B$16*Assumptions!$B$10/Projects!$D$16*0.95),0)</f>
        <v>0</v>
      </c>
      <c r="CC8" s="8">
        <f>IF(AND(Projects!$G$2="Yes",79&gt;=Projects!$C$2,79&lt;Projects!$C$2+Projects!$D$2),IF(79=Projects!$C$2+Projects!$D$2-1,194932/Projects!$D$2*0.95+0.05*194932,194932/Projects!$D$2*0.95),0)+IF(AND(Projects!$G$3="Yes",79&gt;=Projects!$C$3,79&lt;Projects!$C$3+Projects!$D$3),IF(79=Projects!$C$3+Projects!$D$3-1,888067/Projects!$D$3*0.95+0.05*888067,888067/Projects!$D$3*0.95),0)+IF(AND(Projects!$G$4="Yes",79&gt;=Projects!$C$4,79&lt;Projects!$C$4+Projects!$D$4),IF(79=Projects!$C$4+Projects!$D$4-1,Projects!$B$4*Assumptions!$B$10/Projects!$D$4*0.95+0.05*Projects!$B$4*Assumptions!$B$10,Projects!$B$4*Assumptions!$B$10/Projects!$D$4*0.95),0)+IF(AND(Projects!$G$5="Yes",79&gt;=Projects!$C$5,79&lt;Projects!$C$5+Projects!$D$5),IF(79=Projects!$C$5+Projects!$D$5-1,Projects!$B$5*Assumptions!$B$10/Projects!$D$5*0.95+0.05*Projects!$B$5*Assumptions!$B$10,Projects!$B$5*Assumptions!$B$10/Projects!$D$5*0.95),0)+IF(AND(Projects!$G$6="Yes",79&gt;=Projects!$C$6,79&lt;Projects!$C$6+Projects!$D$6),IF(79=Projects!$C$6+Projects!$D$6-1,245000/Projects!$D$6*0.95+0.05*245000,245000/Projects!$D$6*0.95),0)+IF(AND(Projects!$G$7="Yes",79&gt;=Projects!$C$7,79&lt;Projects!$C$7+Projects!$D$7),IF(79=Projects!$C$7+Projects!$D$7-1,Projects!$B$7*Assumptions!$B$10/Projects!$D$7*0.95+0.05*Projects!$B$7*Assumptions!$B$10,Projects!$B$7*Assumptions!$B$10/Projects!$D$7*0.95),0)+IF(AND(Projects!$G$8="Yes",79&gt;=Projects!$C$8,79&lt;Projects!$C$8+Projects!$D$8),IF(79=Projects!$C$8+Projects!$D$8-1,Projects!$B$8*Assumptions!$B$10/Projects!$D$8*0.95+0.05*Projects!$B$8*Assumptions!$B$10,Projects!$B$8*Assumptions!$B$10/Projects!$D$8*0.95),0)+IF(AND(Projects!$G$9="Yes",79&gt;=Projects!$C$9,79&lt;Projects!$C$9+Projects!$D$9),IF(79=Projects!$C$9+Projects!$D$9-1,Projects!$B$9*Assumptions!$B$10/Projects!$D$9*0.95+0.05*Projects!$B$9*Assumptions!$B$10,Projects!$B$9*Assumptions!$B$10/Projects!$D$9*0.95),0)+IF(AND(Projects!$G$10="Yes",79&gt;=Projects!$C$10,79&lt;Projects!$C$10+Projects!$D$10),IF(79=Projects!$C$10+Projects!$D$10-1,Projects!$B$10*Assumptions!$B$10/Projects!$D$10*0.95+0.05*Projects!$B$10*Assumptions!$B$10,Projects!$B$10*Assumptions!$B$10/Projects!$D$10*0.95),0)+IF(AND(Projects!$G$11="Yes",79&gt;=Projects!$C$11,79&lt;Projects!$C$11+Projects!$D$11),IF(79=Projects!$C$11+Projects!$D$11-1,Projects!$B$11*Assumptions!$B$10/Projects!$D$11*0.95+0.05*Projects!$B$11*Assumptions!$B$10,Projects!$B$11*Assumptions!$B$10/Projects!$D$11*0.95),0)+IF(AND(Projects!$G$12="Yes",79&gt;=Projects!$C$12,79&lt;Projects!$C$12+Projects!$D$12),IF(79=Projects!$C$12+Projects!$D$12-1,Projects!$B$12*Assumptions!$B$10/Projects!$D$12*0.95+0.05*Projects!$B$12*Assumptions!$B$10,Projects!$B$12*Assumptions!$B$10/Projects!$D$12*0.95),0)+IF(AND(Projects!$G$13="Yes",79&gt;=Projects!$C$13,79&lt;Projects!$C$13+Projects!$D$13),IF(79=Projects!$C$13+Projects!$D$13-1,Projects!$B$13*Assumptions!$B$10/Projects!$D$13*0.95+0.05*Projects!$B$13*Assumptions!$B$10,Projects!$B$13*Assumptions!$B$10/Projects!$D$13*0.95),0)+IF(AND(Projects!$G$14="Yes",79&gt;=Projects!$C$14,79&lt;Projects!$C$14+Projects!$D$14),IF(79=Projects!$C$14+Projects!$D$14-1,Projects!$B$14*Assumptions!$B$10/Projects!$D$14*0.95+0.05*Projects!$B$14*Assumptions!$B$10,Projects!$B$14*Assumptions!$B$10/Projects!$D$14*0.95),0)+IF(AND(Projects!$G$15="Yes",79&gt;=Projects!$C$15,79&lt;Projects!$C$15+Projects!$D$15),IF(79=Projects!$C$15+Projects!$D$15-1,Projects!$B$15*Assumptions!$B$10/Projects!$D$15*0.95+0.05*Projects!$B$15*Assumptions!$B$10,Projects!$B$15*Assumptions!$B$10/Projects!$D$15*0.95),0)+IF(AND(Projects!$G$16="Yes",79&gt;=Projects!$C$16,79&lt;Projects!$C$16+Projects!$D$16),IF(79=Projects!$C$16+Projects!$D$16-1,Projects!$B$16*Assumptions!$B$10/Projects!$D$16*0.95+0.05*Projects!$B$16*Assumptions!$B$10,Projects!$B$16*Assumptions!$B$10/Projects!$D$16*0.95),0)</f>
        <v>0</v>
      </c>
      <c r="CD8" s="8">
        <f>IF(AND(Projects!$G$2="Yes",80&gt;=Projects!$C$2,80&lt;Projects!$C$2+Projects!$D$2),IF(80=Projects!$C$2+Projects!$D$2-1,194932/Projects!$D$2*0.95+0.05*194932,194932/Projects!$D$2*0.95),0)+IF(AND(Projects!$G$3="Yes",80&gt;=Projects!$C$3,80&lt;Projects!$C$3+Projects!$D$3),IF(80=Projects!$C$3+Projects!$D$3-1,888067/Projects!$D$3*0.95+0.05*888067,888067/Projects!$D$3*0.95),0)+IF(AND(Projects!$G$4="Yes",80&gt;=Projects!$C$4,80&lt;Projects!$C$4+Projects!$D$4),IF(80=Projects!$C$4+Projects!$D$4-1,Projects!$B$4*Assumptions!$B$10/Projects!$D$4*0.95+0.05*Projects!$B$4*Assumptions!$B$10,Projects!$B$4*Assumptions!$B$10/Projects!$D$4*0.95),0)+IF(AND(Projects!$G$5="Yes",80&gt;=Projects!$C$5,80&lt;Projects!$C$5+Projects!$D$5),IF(80=Projects!$C$5+Projects!$D$5-1,Projects!$B$5*Assumptions!$B$10/Projects!$D$5*0.95+0.05*Projects!$B$5*Assumptions!$B$10,Projects!$B$5*Assumptions!$B$10/Projects!$D$5*0.95),0)+IF(AND(Projects!$G$6="Yes",80&gt;=Projects!$C$6,80&lt;Projects!$C$6+Projects!$D$6),IF(80=Projects!$C$6+Projects!$D$6-1,245000/Projects!$D$6*0.95+0.05*245000,245000/Projects!$D$6*0.95),0)+IF(AND(Projects!$G$7="Yes",80&gt;=Projects!$C$7,80&lt;Projects!$C$7+Projects!$D$7),IF(80=Projects!$C$7+Projects!$D$7-1,Projects!$B$7*Assumptions!$B$10/Projects!$D$7*0.95+0.05*Projects!$B$7*Assumptions!$B$10,Projects!$B$7*Assumptions!$B$10/Projects!$D$7*0.95),0)+IF(AND(Projects!$G$8="Yes",80&gt;=Projects!$C$8,80&lt;Projects!$C$8+Projects!$D$8),IF(80=Projects!$C$8+Projects!$D$8-1,Projects!$B$8*Assumptions!$B$10/Projects!$D$8*0.95+0.05*Projects!$B$8*Assumptions!$B$10,Projects!$B$8*Assumptions!$B$10/Projects!$D$8*0.95),0)+IF(AND(Projects!$G$9="Yes",80&gt;=Projects!$C$9,80&lt;Projects!$C$9+Projects!$D$9),IF(80=Projects!$C$9+Projects!$D$9-1,Projects!$B$9*Assumptions!$B$10/Projects!$D$9*0.95+0.05*Projects!$B$9*Assumptions!$B$10,Projects!$B$9*Assumptions!$B$10/Projects!$D$9*0.95),0)+IF(AND(Projects!$G$10="Yes",80&gt;=Projects!$C$10,80&lt;Projects!$C$10+Projects!$D$10),IF(80=Projects!$C$10+Projects!$D$10-1,Projects!$B$10*Assumptions!$B$10/Projects!$D$10*0.95+0.05*Projects!$B$10*Assumptions!$B$10,Projects!$B$10*Assumptions!$B$10/Projects!$D$10*0.95),0)+IF(AND(Projects!$G$11="Yes",80&gt;=Projects!$C$11,80&lt;Projects!$C$11+Projects!$D$11),IF(80=Projects!$C$11+Projects!$D$11-1,Projects!$B$11*Assumptions!$B$10/Projects!$D$11*0.95+0.05*Projects!$B$11*Assumptions!$B$10,Projects!$B$11*Assumptions!$B$10/Projects!$D$11*0.95),0)+IF(AND(Projects!$G$12="Yes",80&gt;=Projects!$C$12,80&lt;Projects!$C$12+Projects!$D$12),IF(80=Projects!$C$12+Projects!$D$12-1,Projects!$B$12*Assumptions!$B$10/Projects!$D$12*0.95+0.05*Projects!$B$12*Assumptions!$B$10,Projects!$B$12*Assumptions!$B$10/Projects!$D$12*0.95),0)+IF(AND(Projects!$G$13="Yes",80&gt;=Projects!$C$13,80&lt;Projects!$C$13+Projects!$D$13),IF(80=Projects!$C$13+Projects!$D$13-1,Projects!$B$13*Assumptions!$B$10/Projects!$D$13*0.95+0.05*Projects!$B$13*Assumptions!$B$10,Projects!$B$13*Assumptions!$B$10/Projects!$D$13*0.95),0)+IF(AND(Projects!$G$14="Yes",80&gt;=Projects!$C$14,80&lt;Projects!$C$14+Projects!$D$14),IF(80=Projects!$C$14+Projects!$D$14-1,Projects!$B$14*Assumptions!$B$10/Projects!$D$14*0.95+0.05*Projects!$B$14*Assumptions!$B$10,Projects!$B$14*Assumptions!$B$10/Projects!$D$14*0.95),0)+IF(AND(Projects!$G$15="Yes",80&gt;=Projects!$C$15,80&lt;Projects!$C$15+Projects!$D$15),IF(80=Projects!$C$15+Projects!$D$15-1,Projects!$B$15*Assumptions!$B$10/Projects!$D$15*0.95+0.05*Projects!$B$15*Assumptions!$B$10,Projects!$B$15*Assumptions!$B$10/Projects!$D$15*0.95),0)+IF(AND(Projects!$G$16="Yes",80&gt;=Projects!$C$16,80&lt;Projects!$C$16+Projects!$D$16),IF(80=Projects!$C$16+Projects!$D$16-1,Projects!$B$16*Assumptions!$B$10/Projects!$D$16*0.95+0.05*Projects!$B$16*Assumptions!$B$10,Projects!$B$16*Assumptions!$B$10/Projects!$D$16*0.95),0)</f>
        <v>0</v>
      </c>
      <c r="CE8" s="8">
        <f>IF(AND(Projects!$G$2="Yes",81&gt;=Projects!$C$2,81&lt;Projects!$C$2+Projects!$D$2),IF(81=Projects!$C$2+Projects!$D$2-1,194932/Projects!$D$2*0.95+0.05*194932,194932/Projects!$D$2*0.95),0)+IF(AND(Projects!$G$3="Yes",81&gt;=Projects!$C$3,81&lt;Projects!$C$3+Projects!$D$3),IF(81=Projects!$C$3+Projects!$D$3-1,888067/Projects!$D$3*0.95+0.05*888067,888067/Projects!$D$3*0.95),0)+IF(AND(Projects!$G$4="Yes",81&gt;=Projects!$C$4,81&lt;Projects!$C$4+Projects!$D$4),IF(81=Projects!$C$4+Projects!$D$4-1,Projects!$B$4*Assumptions!$B$10/Projects!$D$4*0.95+0.05*Projects!$B$4*Assumptions!$B$10,Projects!$B$4*Assumptions!$B$10/Projects!$D$4*0.95),0)+IF(AND(Projects!$G$5="Yes",81&gt;=Projects!$C$5,81&lt;Projects!$C$5+Projects!$D$5),IF(81=Projects!$C$5+Projects!$D$5-1,Projects!$B$5*Assumptions!$B$10/Projects!$D$5*0.95+0.05*Projects!$B$5*Assumptions!$B$10,Projects!$B$5*Assumptions!$B$10/Projects!$D$5*0.95),0)+IF(AND(Projects!$G$6="Yes",81&gt;=Projects!$C$6,81&lt;Projects!$C$6+Projects!$D$6),IF(81=Projects!$C$6+Projects!$D$6-1,245000/Projects!$D$6*0.95+0.05*245000,245000/Projects!$D$6*0.95),0)+IF(AND(Projects!$G$7="Yes",81&gt;=Projects!$C$7,81&lt;Projects!$C$7+Projects!$D$7),IF(81=Projects!$C$7+Projects!$D$7-1,Projects!$B$7*Assumptions!$B$10/Projects!$D$7*0.95+0.05*Projects!$B$7*Assumptions!$B$10,Projects!$B$7*Assumptions!$B$10/Projects!$D$7*0.95),0)+IF(AND(Projects!$G$8="Yes",81&gt;=Projects!$C$8,81&lt;Projects!$C$8+Projects!$D$8),IF(81=Projects!$C$8+Projects!$D$8-1,Projects!$B$8*Assumptions!$B$10/Projects!$D$8*0.95+0.05*Projects!$B$8*Assumptions!$B$10,Projects!$B$8*Assumptions!$B$10/Projects!$D$8*0.95),0)+IF(AND(Projects!$G$9="Yes",81&gt;=Projects!$C$9,81&lt;Projects!$C$9+Projects!$D$9),IF(81=Projects!$C$9+Projects!$D$9-1,Projects!$B$9*Assumptions!$B$10/Projects!$D$9*0.95+0.05*Projects!$B$9*Assumptions!$B$10,Projects!$B$9*Assumptions!$B$10/Projects!$D$9*0.95),0)+IF(AND(Projects!$G$10="Yes",81&gt;=Projects!$C$10,81&lt;Projects!$C$10+Projects!$D$10),IF(81=Projects!$C$10+Projects!$D$10-1,Projects!$B$10*Assumptions!$B$10/Projects!$D$10*0.95+0.05*Projects!$B$10*Assumptions!$B$10,Projects!$B$10*Assumptions!$B$10/Projects!$D$10*0.95),0)+IF(AND(Projects!$G$11="Yes",81&gt;=Projects!$C$11,81&lt;Projects!$C$11+Projects!$D$11),IF(81=Projects!$C$11+Projects!$D$11-1,Projects!$B$11*Assumptions!$B$10/Projects!$D$11*0.95+0.05*Projects!$B$11*Assumptions!$B$10,Projects!$B$11*Assumptions!$B$10/Projects!$D$11*0.95),0)+IF(AND(Projects!$G$12="Yes",81&gt;=Projects!$C$12,81&lt;Projects!$C$12+Projects!$D$12),IF(81=Projects!$C$12+Projects!$D$12-1,Projects!$B$12*Assumptions!$B$10/Projects!$D$12*0.95+0.05*Projects!$B$12*Assumptions!$B$10,Projects!$B$12*Assumptions!$B$10/Projects!$D$12*0.95),0)+IF(AND(Projects!$G$13="Yes",81&gt;=Projects!$C$13,81&lt;Projects!$C$13+Projects!$D$13),IF(81=Projects!$C$13+Projects!$D$13-1,Projects!$B$13*Assumptions!$B$10/Projects!$D$13*0.95+0.05*Projects!$B$13*Assumptions!$B$10,Projects!$B$13*Assumptions!$B$10/Projects!$D$13*0.95),0)+IF(AND(Projects!$G$14="Yes",81&gt;=Projects!$C$14,81&lt;Projects!$C$14+Projects!$D$14),IF(81=Projects!$C$14+Projects!$D$14-1,Projects!$B$14*Assumptions!$B$10/Projects!$D$14*0.95+0.05*Projects!$B$14*Assumptions!$B$10,Projects!$B$14*Assumptions!$B$10/Projects!$D$14*0.95),0)+IF(AND(Projects!$G$15="Yes",81&gt;=Projects!$C$15,81&lt;Projects!$C$15+Projects!$D$15),IF(81=Projects!$C$15+Projects!$D$15-1,Projects!$B$15*Assumptions!$B$10/Projects!$D$15*0.95+0.05*Projects!$B$15*Assumptions!$B$10,Projects!$B$15*Assumptions!$B$10/Projects!$D$15*0.95),0)+IF(AND(Projects!$G$16="Yes",81&gt;=Projects!$C$16,81&lt;Projects!$C$16+Projects!$D$16),IF(81=Projects!$C$16+Projects!$D$16-1,Projects!$B$16*Assumptions!$B$10/Projects!$D$16*0.95+0.05*Projects!$B$16*Assumptions!$B$10,Projects!$B$16*Assumptions!$B$10/Projects!$D$16*0.95),0)</f>
        <v>0</v>
      </c>
      <c r="CF8" s="8">
        <f>IF(AND(Projects!$G$2="Yes",82&gt;=Projects!$C$2,82&lt;Projects!$C$2+Projects!$D$2),IF(82=Projects!$C$2+Projects!$D$2-1,194932/Projects!$D$2*0.95+0.05*194932,194932/Projects!$D$2*0.95),0)+IF(AND(Projects!$G$3="Yes",82&gt;=Projects!$C$3,82&lt;Projects!$C$3+Projects!$D$3),IF(82=Projects!$C$3+Projects!$D$3-1,888067/Projects!$D$3*0.95+0.05*888067,888067/Projects!$D$3*0.95),0)+IF(AND(Projects!$G$4="Yes",82&gt;=Projects!$C$4,82&lt;Projects!$C$4+Projects!$D$4),IF(82=Projects!$C$4+Projects!$D$4-1,Projects!$B$4*Assumptions!$B$10/Projects!$D$4*0.95+0.05*Projects!$B$4*Assumptions!$B$10,Projects!$B$4*Assumptions!$B$10/Projects!$D$4*0.95),0)+IF(AND(Projects!$G$5="Yes",82&gt;=Projects!$C$5,82&lt;Projects!$C$5+Projects!$D$5),IF(82=Projects!$C$5+Projects!$D$5-1,Projects!$B$5*Assumptions!$B$10/Projects!$D$5*0.95+0.05*Projects!$B$5*Assumptions!$B$10,Projects!$B$5*Assumptions!$B$10/Projects!$D$5*0.95),0)+IF(AND(Projects!$G$6="Yes",82&gt;=Projects!$C$6,82&lt;Projects!$C$6+Projects!$D$6),IF(82=Projects!$C$6+Projects!$D$6-1,245000/Projects!$D$6*0.95+0.05*245000,245000/Projects!$D$6*0.95),0)+IF(AND(Projects!$G$7="Yes",82&gt;=Projects!$C$7,82&lt;Projects!$C$7+Projects!$D$7),IF(82=Projects!$C$7+Projects!$D$7-1,Projects!$B$7*Assumptions!$B$10/Projects!$D$7*0.95+0.05*Projects!$B$7*Assumptions!$B$10,Projects!$B$7*Assumptions!$B$10/Projects!$D$7*0.95),0)+IF(AND(Projects!$G$8="Yes",82&gt;=Projects!$C$8,82&lt;Projects!$C$8+Projects!$D$8),IF(82=Projects!$C$8+Projects!$D$8-1,Projects!$B$8*Assumptions!$B$10/Projects!$D$8*0.95+0.05*Projects!$B$8*Assumptions!$B$10,Projects!$B$8*Assumptions!$B$10/Projects!$D$8*0.95),0)+IF(AND(Projects!$G$9="Yes",82&gt;=Projects!$C$9,82&lt;Projects!$C$9+Projects!$D$9),IF(82=Projects!$C$9+Projects!$D$9-1,Projects!$B$9*Assumptions!$B$10/Projects!$D$9*0.95+0.05*Projects!$B$9*Assumptions!$B$10,Projects!$B$9*Assumptions!$B$10/Projects!$D$9*0.95),0)+IF(AND(Projects!$G$10="Yes",82&gt;=Projects!$C$10,82&lt;Projects!$C$10+Projects!$D$10),IF(82=Projects!$C$10+Projects!$D$10-1,Projects!$B$10*Assumptions!$B$10/Projects!$D$10*0.95+0.05*Projects!$B$10*Assumptions!$B$10,Projects!$B$10*Assumptions!$B$10/Projects!$D$10*0.95),0)+IF(AND(Projects!$G$11="Yes",82&gt;=Projects!$C$11,82&lt;Projects!$C$11+Projects!$D$11),IF(82=Projects!$C$11+Projects!$D$11-1,Projects!$B$11*Assumptions!$B$10/Projects!$D$11*0.95+0.05*Projects!$B$11*Assumptions!$B$10,Projects!$B$11*Assumptions!$B$10/Projects!$D$11*0.95),0)+IF(AND(Projects!$G$12="Yes",82&gt;=Projects!$C$12,82&lt;Projects!$C$12+Projects!$D$12),IF(82=Projects!$C$12+Projects!$D$12-1,Projects!$B$12*Assumptions!$B$10/Projects!$D$12*0.95+0.05*Projects!$B$12*Assumptions!$B$10,Projects!$B$12*Assumptions!$B$10/Projects!$D$12*0.95),0)+IF(AND(Projects!$G$13="Yes",82&gt;=Projects!$C$13,82&lt;Projects!$C$13+Projects!$D$13),IF(82=Projects!$C$13+Projects!$D$13-1,Projects!$B$13*Assumptions!$B$10/Projects!$D$13*0.95+0.05*Projects!$B$13*Assumptions!$B$10,Projects!$B$13*Assumptions!$B$10/Projects!$D$13*0.95),0)+IF(AND(Projects!$G$14="Yes",82&gt;=Projects!$C$14,82&lt;Projects!$C$14+Projects!$D$14),IF(82=Projects!$C$14+Projects!$D$14-1,Projects!$B$14*Assumptions!$B$10/Projects!$D$14*0.95+0.05*Projects!$B$14*Assumptions!$B$10,Projects!$B$14*Assumptions!$B$10/Projects!$D$14*0.95),0)+IF(AND(Projects!$G$15="Yes",82&gt;=Projects!$C$15,82&lt;Projects!$C$15+Projects!$D$15),IF(82=Projects!$C$15+Projects!$D$15-1,Projects!$B$15*Assumptions!$B$10/Projects!$D$15*0.95+0.05*Projects!$B$15*Assumptions!$B$10,Projects!$B$15*Assumptions!$B$10/Projects!$D$15*0.95),0)+IF(AND(Projects!$G$16="Yes",82&gt;=Projects!$C$16,82&lt;Projects!$C$16+Projects!$D$16),IF(82=Projects!$C$16+Projects!$D$16-1,Projects!$B$16*Assumptions!$B$10/Projects!$D$16*0.95+0.05*Projects!$B$16*Assumptions!$B$10,Projects!$B$16*Assumptions!$B$10/Projects!$D$16*0.95),0)</f>
        <v>0</v>
      </c>
      <c r="CG8" s="8">
        <f>IF(AND(Projects!$G$2="Yes",83&gt;=Projects!$C$2,83&lt;Projects!$C$2+Projects!$D$2),IF(83=Projects!$C$2+Projects!$D$2-1,194932/Projects!$D$2*0.95+0.05*194932,194932/Projects!$D$2*0.95),0)+IF(AND(Projects!$G$3="Yes",83&gt;=Projects!$C$3,83&lt;Projects!$C$3+Projects!$D$3),IF(83=Projects!$C$3+Projects!$D$3-1,888067/Projects!$D$3*0.95+0.05*888067,888067/Projects!$D$3*0.95),0)+IF(AND(Projects!$G$4="Yes",83&gt;=Projects!$C$4,83&lt;Projects!$C$4+Projects!$D$4),IF(83=Projects!$C$4+Projects!$D$4-1,Projects!$B$4*Assumptions!$B$10/Projects!$D$4*0.95+0.05*Projects!$B$4*Assumptions!$B$10,Projects!$B$4*Assumptions!$B$10/Projects!$D$4*0.95),0)+IF(AND(Projects!$G$5="Yes",83&gt;=Projects!$C$5,83&lt;Projects!$C$5+Projects!$D$5),IF(83=Projects!$C$5+Projects!$D$5-1,Projects!$B$5*Assumptions!$B$10/Projects!$D$5*0.95+0.05*Projects!$B$5*Assumptions!$B$10,Projects!$B$5*Assumptions!$B$10/Projects!$D$5*0.95),0)+IF(AND(Projects!$G$6="Yes",83&gt;=Projects!$C$6,83&lt;Projects!$C$6+Projects!$D$6),IF(83=Projects!$C$6+Projects!$D$6-1,245000/Projects!$D$6*0.95+0.05*245000,245000/Projects!$D$6*0.95),0)+IF(AND(Projects!$G$7="Yes",83&gt;=Projects!$C$7,83&lt;Projects!$C$7+Projects!$D$7),IF(83=Projects!$C$7+Projects!$D$7-1,Projects!$B$7*Assumptions!$B$10/Projects!$D$7*0.95+0.05*Projects!$B$7*Assumptions!$B$10,Projects!$B$7*Assumptions!$B$10/Projects!$D$7*0.95),0)+IF(AND(Projects!$G$8="Yes",83&gt;=Projects!$C$8,83&lt;Projects!$C$8+Projects!$D$8),IF(83=Projects!$C$8+Projects!$D$8-1,Projects!$B$8*Assumptions!$B$10/Projects!$D$8*0.95+0.05*Projects!$B$8*Assumptions!$B$10,Projects!$B$8*Assumptions!$B$10/Projects!$D$8*0.95),0)+IF(AND(Projects!$G$9="Yes",83&gt;=Projects!$C$9,83&lt;Projects!$C$9+Projects!$D$9),IF(83=Projects!$C$9+Projects!$D$9-1,Projects!$B$9*Assumptions!$B$10/Projects!$D$9*0.95+0.05*Projects!$B$9*Assumptions!$B$10,Projects!$B$9*Assumptions!$B$10/Projects!$D$9*0.95),0)+IF(AND(Projects!$G$10="Yes",83&gt;=Projects!$C$10,83&lt;Projects!$C$10+Projects!$D$10),IF(83=Projects!$C$10+Projects!$D$10-1,Projects!$B$10*Assumptions!$B$10/Projects!$D$10*0.95+0.05*Projects!$B$10*Assumptions!$B$10,Projects!$B$10*Assumptions!$B$10/Projects!$D$10*0.95),0)+IF(AND(Projects!$G$11="Yes",83&gt;=Projects!$C$11,83&lt;Projects!$C$11+Projects!$D$11),IF(83=Projects!$C$11+Projects!$D$11-1,Projects!$B$11*Assumptions!$B$10/Projects!$D$11*0.95+0.05*Projects!$B$11*Assumptions!$B$10,Projects!$B$11*Assumptions!$B$10/Projects!$D$11*0.95),0)+IF(AND(Projects!$G$12="Yes",83&gt;=Projects!$C$12,83&lt;Projects!$C$12+Projects!$D$12),IF(83=Projects!$C$12+Projects!$D$12-1,Projects!$B$12*Assumptions!$B$10/Projects!$D$12*0.95+0.05*Projects!$B$12*Assumptions!$B$10,Projects!$B$12*Assumptions!$B$10/Projects!$D$12*0.95),0)+IF(AND(Projects!$G$13="Yes",83&gt;=Projects!$C$13,83&lt;Projects!$C$13+Projects!$D$13),IF(83=Projects!$C$13+Projects!$D$13-1,Projects!$B$13*Assumptions!$B$10/Projects!$D$13*0.95+0.05*Projects!$B$13*Assumptions!$B$10,Projects!$B$13*Assumptions!$B$10/Projects!$D$13*0.95),0)+IF(AND(Projects!$G$14="Yes",83&gt;=Projects!$C$14,83&lt;Projects!$C$14+Projects!$D$14),IF(83=Projects!$C$14+Projects!$D$14-1,Projects!$B$14*Assumptions!$B$10/Projects!$D$14*0.95+0.05*Projects!$B$14*Assumptions!$B$10,Projects!$B$14*Assumptions!$B$10/Projects!$D$14*0.95),0)+IF(AND(Projects!$G$15="Yes",83&gt;=Projects!$C$15,83&lt;Projects!$C$15+Projects!$D$15),IF(83=Projects!$C$15+Projects!$D$15-1,Projects!$B$15*Assumptions!$B$10/Projects!$D$15*0.95+0.05*Projects!$B$15*Assumptions!$B$10,Projects!$B$15*Assumptions!$B$10/Projects!$D$15*0.95),0)+IF(AND(Projects!$G$16="Yes",83&gt;=Projects!$C$16,83&lt;Projects!$C$16+Projects!$D$16),IF(83=Projects!$C$16+Projects!$D$16-1,Projects!$B$16*Assumptions!$B$10/Projects!$D$16*0.95+0.05*Projects!$B$16*Assumptions!$B$10,Projects!$B$16*Assumptions!$B$10/Projects!$D$16*0.95),0)</f>
        <v>0</v>
      </c>
      <c r="CH8" s="8">
        <f>IF(AND(Projects!$G$2="Yes",84&gt;=Projects!$C$2,84&lt;Projects!$C$2+Projects!$D$2),IF(84=Projects!$C$2+Projects!$D$2-1,194932/Projects!$D$2*0.95+0.05*194932,194932/Projects!$D$2*0.95),0)+IF(AND(Projects!$G$3="Yes",84&gt;=Projects!$C$3,84&lt;Projects!$C$3+Projects!$D$3),IF(84=Projects!$C$3+Projects!$D$3-1,888067/Projects!$D$3*0.95+0.05*888067,888067/Projects!$D$3*0.95),0)+IF(AND(Projects!$G$4="Yes",84&gt;=Projects!$C$4,84&lt;Projects!$C$4+Projects!$D$4),IF(84=Projects!$C$4+Projects!$D$4-1,Projects!$B$4*Assumptions!$B$10/Projects!$D$4*0.95+0.05*Projects!$B$4*Assumptions!$B$10,Projects!$B$4*Assumptions!$B$10/Projects!$D$4*0.95),0)+IF(AND(Projects!$G$5="Yes",84&gt;=Projects!$C$5,84&lt;Projects!$C$5+Projects!$D$5),IF(84=Projects!$C$5+Projects!$D$5-1,Projects!$B$5*Assumptions!$B$10/Projects!$D$5*0.95+0.05*Projects!$B$5*Assumptions!$B$10,Projects!$B$5*Assumptions!$B$10/Projects!$D$5*0.95),0)+IF(AND(Projects!$G$6="Yes",84&gt;=Projects!$C$6,84&lt;Projects!$C$6+Projects!$D$6),IF(84=Projects!$C$6+Projects!$D$6-1,245000/Projects!$D$6*0.95+0.05*245000,245000/Projects!$D$6*0.95),0)+IF(AND(Projects!$G$7="Yes",84&gt;=Projects!$C$7,84&lt;Projects!$C$7+Projects!$D$7),IF(84=Projects!$C$7+Projects!$D$7-1,Projects!$B$7*Assumptions!$B$10/Projects!$D$7*0.95+0.05*Projects!$B$7*Assumptions!$B$10,Projects!$B$7*Assumptions!$B$10/Projects!$D$7*0.95),0)+IF(AND(Projects!$G$8="Yes",84&gt;=Projects!$C$8,84&lt;Projects!$C$8+Projects!$D$8),IF(84=Projects!$C$8+Projects!$D$8-1,Projects!$B$8*Assumptions!$B$10/Projects!$D$8*0.95+0.05*Projects!$B$8*Assumptions!$B$10,Projects!$B$8*Assumptions!$B$10/Projects!$D$8*0.95),0)+IF(AND(Projects!$G$9="Yes",84&gt;=Projects!$C$9,84&lt;Projects!$C$9+Projects!$D$9),IF(84=Projects!$C$9+Projects!$D$9-1,Projects!$B$9*Assumptions!$B$10/Projects!$D$9*0.95+0.05*Projects!$B$9*Assumptions!$B$10,Projects!$B$9*Assumptions!$B$10/Projects!$D$9*0.95),0)+IF(AND(Projects!$G$10="Yes",84&gt;=Projects!$C$10,84&lt;Projects!$C$10+Projects!$D$10),IF(84=Projects!$C$10+Projects!$D$10-1,Projects!$B$10*Assumptions!$B$10/Projects!$D$10*0.95+0.05*Projects!$B$10*Assumptions!$B$10,Projects!$B$10*Assumptions!$B$10/Projects!$D$10*0.95),0)+IF(AND(Projects!$G$11="Yes",84&gt;=Projects!$C$11,84&lt;Projects!$C$11+Projects!$D$11),IF(84=Projects!$C$11+Projects!$D$11-1,Projects!$B$11*Assumptions!$B$10/Projects!$D$11*0.95+0.05*Projects!$B$11*Assumptions!$B$10,Projects!$B$11*Assumptions!$B$10/Projects!$D$11*0.95),0)+IF(AND(Projects!$G$12="Yes",84&gt;=Projects!$C$12,84&lt;Projects!$C$12+Projects!$D$12),IF(84=Projects!$C$12+Projects!$D$12-1,Projects!$B$12*Assumptions!$B$10/Projects!$D$12*0.95+0.05*Projects!$B$12*Assumptions!$B$10,Projects!$B$12*Assumptions!$B$10/Projects!$D$12*0.95),0)+IF(AND(Projects!$G$13="Yes",84&gt;=Projects!$C$13,84&lt;Projects!$C$13+Projects!$D$13),IF(84=Projects!$C$13+Projects!$D$13-1,Projects!$B$13*Assumptions!$B$10/Projects!$D$13*0.95+0.05*Projects!$B$13*Assumptions!$B$10,Projects!$B$13*Assumptions!$B$10/Projects!$D$13*0.95),0)+IF(AND(Projects!$G$14="Yes",84&gt;=Projects!$C$14,84&lt;Projects!$C$14+Projects!$D$14),IF(84=Projects!$C$14+Projects!$D$14-1,Projects!$B$14*Assumptions!$B$10/Projects!$D$14*0.95+0.05*Projects!$B$14*Assumptions!$B$10,Projects!$B$14*Assumptions!$B$10/Projects!$D$14*0.95),0)+IF(AND(Projects!$G$15="Yes",84&gt;=Projects!$C$15,84&lt;Projects!$C$15+Projects!$D$15),IF(84=Projects!$C$15+Projects!$D$15-1,Projects!$B$15*Assumptions!$B$10/Projects!$D$15*0.95+0.05*Projects!$B$15*Assumptions!$B$10,Projects!$B$15*Assumptions!$B$10/Projects!$D$15*0.95),0)+IF(AND(Projects!$G$16="Yes",84&gt;=Projects!$C$16,84&lt;Projects!$C$16+Projects!$D$16),IF(84=Projects!$C$16+Projects!$D$16-1,Projects!$B$16*Assumptions!$B$10/Projects!$D$16*0.95+0.05*Projects!$B$16*Assumptions!$B$10,Projects!$B$16*Assumptions!$B$10/Projects!$D$16*0.95),0)</f>
        <v>0</v>
      </c>
      <c r="CI8" s="23"/>
    </row>
    <row r="9" spans="1:87" ht="15" customHeight="1" x14ac:dyDescent="0.25">
      <c r="A9" s="7" t="s">
        <v>125</v>
      </c>
      <c r="B9" s="22"/>
      <c r="C9" s="8">
        <f>IF(AND(Projects!$G$2="Yes",1&gt;=Projects!$C$2,1&lt;Projects!$C$2+Projects!$D$2),IF(1=Projects!$C$2+Projects!$D$2-1,Projects!$B$2*INDEX(Curves!$B$6:$AO$6,1,1-Projects!$C$2+1)*Assumptions!$B$11*0.95+0.05*Projects!$B$2*Assumptions!$B$11,Projects!$B$2*INDEX(Curves!$B$6:$AO$6,1,1-Projects!$C$2+1)*Assumptions!$B$11*0.95),0)+IF(AND(Projects!$G$3="Yes",1&gt;=Projects!$C$3,1&lt;Projects!$C$3+Projects!$D$3),IF(1=Projects!$C$3+Projects!$D$3-1,Projects!$B$3*INDEX(Curves!$B$7:$AO$7,1,1-Projects!$C$3+1)*Assumptions!$B$11*0.95+0.05*Projects!$B$3*Assumptions!$B$11,Projects!$B$3*INDEX(Curves!$B$7:$AO$7,1,1-Projects!$C$3+1)*Assumptions!$B$11*0.95),0)+IF(AND(Projects!$G$4="Yes",1&gt;=Projects!$C$4,1&lt;Projects!$C$4+Projects!$D$4),IF(1=Projects!$C$4+Projects!$D$4-1,Projects!$B$4*INDEX(Curves!$B$8:$AO$8,1,1-Projects!$C$4+1)*Assumptions!$B$11*0.95+0.05*Projects!$B$4*Assumptions!$B$11,Projects!$B$4*INDEX(Curves!$B$8:$AO$8,1,1-Projects!$C$4+1)*Assumptions!$B$11*0.95),0)+IF(AND(Projects!$G$5="Yes",1&gt;=Projects!$C$5,1&lt;Projects!$C$5+Projects!$D$5),IF(1=Projects!$C$5+Projects!$D$5-1,Projects!$B$5*INDEX(Curves!$B$9:$AO$9,1,1-Projects!$C$5+1)*Assumptions!$B$11*0.95+0.05*Projects!$B$5*Assumptions!$B$11,Projects!$B$5*INDEX(Curves!$B$9:$AO$9,1,1-Projects!$C$5+1)*Assumptions!$B$11*0.95),0)+IF(AND(Projects!$G$6="Yes",1&gt;=Projects!$C$6,1&lt;Projects!$C$6+Projects!$D$6),IF(1=Projects!$C$6+Projects!$D$6-1,Projects!$B$6*INDEX(Curves!$B$4:$AO$4,1,1-Projects!$C$6+1)*Assumptions!$B$11*0.95+0.05*Projects!$B$6*Assumptions!$B$11,Projects!$B$6*INDEX(Curves!$B$4:$AO$4,1,1-Projects!$C$6+1)*Assumptions!$B$11*0.95),0)+IF(AND(Projects!$G$7="Yes",1&gt;=Projects!$C$7,1&lt;Projects!$C$7+Projects!$D$7),IF(1=Projects!$C$7+Projects!$D$7-1,Projects!$B$7*INDEX(Curves!$B$3:$AO$3,1,1-Projects!$C$7+1)*Assumptions!$B$11*0.95+0.05*Projects!$B$7*Assumptions!$B$11,Projects!$B$7*INDEX(Curves!$B$3:$AO$3,1,1-Projects!$C$7+1)*Assumptions!$B$11*0.95),0)+IF(AND(Projects!$G$8="Yes",1&gt;=Projects!$C$8,1&lt;Projects!$C$8+Projects!$D$8),IF(1=Projects!$C$8+Projects!$D$8-1,Projects!$B$8*INDEX(Curves!$B$4:$AO$4,1,1-Projects!$C$8+1)*Assumptions!$B$11*0.95+0.05*Projects!$B$8*Assumptions!$B$11,Projects!$B$8*INDEX(Curves!$B$4:$AO$4,1,1-Projects!$C$8+1)*Assumptions!$B$11*0.95),0)+IF(AND(Projects!$G$9="Yes",1&gt;=Projects!$C$9,1&lt;Projects!$C$9+Projects!$D$9),IF(1=Projects!$C$9+Projects!$D$9-1,Projects!$B$9*INDEX(Curves!$B$2:$AO$2,1,1-Projects!$C$9+1)*Assumptions!$B$11*0.95+0.05*Projects!$B$9*Assumptions!$B$11,Projects!$B$9*INDEX(Curves!$B$2:$AO$2,1,1-Projects!$C$9+1)*Assumptions!$B$11*0.95),0)+IF(AND(Projects!$G$10="Yes",1&gt;=Projects!$C$10,1&lt;Projects!$C$10+Projects!$D$10),IF(1=Projects!$C$10+Projects!$D$10-1,Projects!$B$10*INDEX(Curves!$B$4:$AO$4,1,1-Projects!$C$10+1)*Assumptions!$B$11*0.95+0.05*Projects!$B$10*Assumptions!$B$11,Projects!$B$10*INDEX(Curves!$B$4:$AO$4,1,1-Projects!$C$10+1)*Assumptions!$B$11*0.95),0)+IF(AND(Projects!$G$11="Yes",1&gt;=Projects!$C$11,1&lt;Projects!$C$11+Projects!$D$11),IF(1=Projects!$C$11+Projects!$D$11-1,Projects!$B$11*INDEX(Curves!$B$4:$AO$4,1,1-Projects!$C$11+1)*Assumptions!$B$11*0.95+0.05*Projects!$B$11*Assumptions!$B$11,Projects!$B$11*INDEX(Curves!$B$4:$AO$4,1,1-Projects!$C$11+1)*Assumptions!$B$11*0.95),0)+IF(AND(Projects!$G$12="Yes",1&gt;=Projects!$C$12,1&lt;Projects!$C$12+Projects!$D$12),IF(1=Projects!$C$12+Projects!$D$12-1,Projects!$B$12*INDEX(Curves!$B$4:$AO$4,1,1-Projects!$C$12+1)*Assumptions!$B$11*0.95+0.05*Projects!$B$12*Assumptions!$B$11,Projects!$B$12*INDEX(Curves!$B$4:$AO$4,1,1-Projects!$C$12+1)*Assumptions!$B$11*0.95),0)+IF(AND(Projects!$G$13="Yes",1&gt;=Projects!$C$13,1&lt;Projects!$C$13+Projects!$D$13),IF(1=Projects!$C$13+Projects!$D$13-1,Projects!$B$13*INDEX(Curves!$B$2:$AO$2,1,1-Projects!$C$13+1)*Assumptions!$B$11*0.95+0.05*Projects!$B$13*Assumptions!$B$11,Projects!$B$13*INDEX(Curves!$B$2:$AO$2,1,1-Projects!$C$13+1)*Assumptions!$B$11*0.95),0)+IF(AND(Projects!$G$14="Yes",1&gt;=Projects!$C$14,1&lt;Projects!$C$14+Projects!$D$14),IF(1=Projects!$C$14+Projects!$D$14-1,Projects!$B$14*INDEX(Curves!$B$2:$AO$2,1,1-Projects!$C$14+1)*Assumptions!$B$11*0.95+0.05*Projects!$B$14*Assumptions!$B$11,Projects!$B$14*INDEX(Curves!$B$2:$AO$2,1,1-Projects!$C$14+1)*Assumptions!$B$11*0.95),0)+IF(AND(Projects!$G$15="Yes",1&gt;=Projects!$C$15,1&lt;Projects!$C$15+Projects!$D$15),IF(1=Projects!$C$15+Projects!$D$15-1,Projects!$B$15*INDEX(Curves!$B$4:$AO$4,1,1-Projects!$C$15+1)*Assumptions!$B$11*0.95+0.05*Projects!$B$15*Assumptions!$B$11,Projects!$B$15*INDEX(Curves!$B$4:$AO$4,1,1-Projects!$C$15+1)*Assumptions!$B$11*0.95),0)+IF(AND(Projects!$G$16="Yes",1&gt;=Projects!$C$16,1&lt;Projects!$C$16+Projects!$D$16),IF(1=Projects!$C$16+Projects!$D$16-1,Projects!$B$16*INDEX(Curves!$B$4:$AO$4,1,1-Projects!$C$16+1)*Assumptions!$B$11*0.95+0.05*Projects!$B$16*Assumptions!$B$11,Projects!$B$16*INDEX(Curves!$B$4:$AO$4,1,1-Projects!$C$16+1)*Assumptions!$B$11*0.95),0)</f>
        <v>206086.81498898714</v>
      </c>
      <c r="D9" s="8">
        <f>IF(AND(Projects!$G$2="Yes",2&gt;=Projects!$C$2,2&lt;Projects!$C$2+Projects!$D$2),IF(2=Projects!$C$2+Projects!$D$2-1,Projects!$B$2*INDEX(Curves!$B$6:$AO$6,1,2-Projects!$C$2+1)*Assumptions!$B$11*0.95+0.05*Projects!$B$2*Assumptions!$B$11,Projects!$B$2*INDEX(Curves!$B$6:$AO$6,1,2-Projects!$C$2+1)*Assumptions!$B$11*0.95),0)+IF(AND(Projects!$G$3="Yes",2&gt;=Projects!$C$3,2&lt;Projects!$C$3+Projects!$D$3),IF(2=Projects!$C$3+Projects!$D$3-1,Projects!$B$3*INDEX(Curves!$B$7:$AO$7,1,2-Projects!$C$3+1)*Assumptions!$B$11*0.95+0.05*Projects!$B$3*Assumptions!$B$11,Projects!$B$3*INDEX(Curves!$B$7:$AO$7,1,2-Projects!$C$3+1)*Assumptions!$B$11*0.95),0)+IF(AND(Projects!$G$4="Yes",2&gt;=Projects!$C$4,2&lt;Projects!$C$4+Projects!$D$4),IF(2=Projects!$C$4+Projects!$D$4-1,Projects!$B$4*INDEX(Curves!$B$8:$AO$8,1,2-Projects!$C$4+1)*Assumptions!$B$11*0.95+0.05*Projects!$B$4*Assumptions!$B$11,Projects!$B$4*INDEX(Curves!$B$8:$AO$8,1,2-Projects!$C$4+1)*Assumptions!$B$11*0.95),0)+IF(AND(Projects!$G$5="Yes",2&gt;=Projects!$C$5,2&lt;Projects!$C$5+Projects!$D$5),IF(2=Projects!$C$5+Projects!$D$5-1,Projects!$B$5*INDEX(Curves!$B$9:$AO$9,1,2-Projects!$C$5+1)*Assumptions!$B$11*0.95+0.05*Projects!$B$5*Assumptions!$B$11,Projects!$B$5*INDEX(Curves!$B$9:$AO$9,1,2-Projects!$C$5+1)*Assumptions!$B$11*0.95),0)+IF(AND(Projects!$G$6="Yes",2&gt;=Projects!$C$6,2&lt;Projects!$C$6+Projects!$D$6),IF(2=Projects!$C$6+Projects!$D$6-1,Projects!$B$6*INDEX(Curves!$B$4:$AO$4,1,2-Projects!$C$6+1)*Assumptions!$B$11*0.95+0.05*Projects!$B$6*Assumptions!$B$11,Projects!$B$6*INDEX(Curves!$B$4:$AO$4,1,2-Projects!$C$6+1)*Assumptions!$B$11*0.95),0)+IF(AND(Projects!$G$7="Yes",2&gt;=Projects!$C$7,2&lt;Projects!$C$7+Projects!$D$7),IF(2=Projects!$C$7+Projects!$D$7-1,Projects!$B$7*INDEX(Curves!$B$3:$AO$3,1,2-Projects!$C$7+1)*Assumptions!$B$11*0.95+0.05*Projects!$B$7*Assumptions!$B$11,Projects!$B$7*INDEX(Curves!$B$3:$AO$3,1,2-Projects!$C$7+1)*Assumptions!$B$11*0.95),0)+IF(AND(Projects!$G$8="Yes",2&gt;=Projects!$C$8,2&lt;Projects!$C$8+Projects!$D$8),IF(2=Projects!$C$8+Projects!$D$8-1,Projects!$B$8*INDEX(Curves!$B$4:$AO$4,1,2-Projects!$C$8+1)*Assumptions!$B$11*0.95+0.05*Projects!$B$8*Assumptions!$B$11,Projects!$B$8*INDEX(Curves!$B$4:$AO$4,1,2-Projects!$C$8+1)*Assumptions!$B$11*0.95),0)+IF(AND(Projects!$G$9="Yes",2&gt;=Projects!$C$9,2&lt;Projects!$C$9+Projects!$D$9),IF(2=Projects!$C$9+Projects!$D$9-1,Projects!$B$9*INDEX(Curves!$B$2:$AO$2,1,2-Projects!$C$9+1)*Assumptions!$B$11*0.95+0.05*Projects!$B$9*Assumptions!$B$11,Projects!$B$9*INDEX(Curves!$B$2:$AO$2,1,2-Projects!$C$9+1)*Assumptions!$B$11*0.95),0)+IF(AND(Projects!$G$10="Yes",2&gt;=Projects!$C$10,2&lt;Projects!$C$10+Projects!$D$10),IF(2=Projects!$C$10+Projects!$D$10-1,Projects!$B$10*INDEX(Curves!$B$4:$AO$4,1,2-Projects!$C$10+1)*Assumptions!$B$11*0.95+0.05*Projects!$B$10*Assumptions!$B$11,Projects!$B$10*INDEX(Curves!$B$4:$AO$4,1,2-Projects!$C$10+1)*Assumptions!$B$11*0.95),0)+IF(AND(Projects!$G$11="Yes",2&gt;=Projects!$C$11,2&lt;Projects!$C$11+Projects!$D$11),IF(2=Projects!$C$11+Projects!$D$11-1,Projects!$B$11*INDEX(Curves!$B$4:$AO$4,1,2-Projects!$C$11+1)*Assumptions!$B$11*0.95+0.05*Projects!$B$11*Assumptions!$B$11,Projects!$B$11*INDEX(Curves!$B$4:$AO$4,1,2-Projects!$C$11+1)*Assumptions!$B$11*0.95),0)+IF(AND(Projects!$G$12="Yes",2&gt;=Projects!$C$12,2&lt;Projects!$C$12+Projects!$D$12),IF(2=Projects!$C$12+Projects!$D$12-1,Projects!$B$12*INDEX(Curves!$B$4:$AO$4,1,2-Projects!$C$12+1)*Assumptions!$B$11*0.95+0.05*Projects!$B$12*Assumptions!$B$11,Projects!$B$12*INDEX(Curves!$B$4:$AO$4,1,2-Projects!$C$12+1)*Assumptions!$B$11*0.95),0)+IF(AND(Projects!$G$13="Yes",2&gt;=Projects!$C$13,2&lt;Projects!$C$13+Projects!$D$13),IF(2=Projects!$C$13+Projects!$D$13-1,Projects!$B$13*INDEX(Curves!$B$2:$AO$2,1,2-Projects!$C$13+1)*Assumptions!$B$11*0.95+0.05*Projects!$B$13*Assumptions!$B$11,Projects!$B$13*INDEX(Curves!$B$2:$AO$2,1,2-Projects!$C$13+1)*Assumptions!$B$11*0.95),0)+IF(AND(Projects!$G$14="Yes",2&gt;=Projects!$C$14,2&lt;Projects!$C$14+Projects!$D$14),IF(2=Projects!$C$14+Projects!$D$14-1,Projects!$B$14*INDEX(Curves!$B$2:$AO$2,1,2-Projects!$C$14+1)*Assumptions!$B$11*0.95+0.05*Projects!$B$14*Assumptions!$B$11,Projects!$B$14*INDEX(Curves!$B$2:$AO$2,1,2-Projects!$C$14+1)*Assumptions!$B$11*0.95),0)+IF(AND(Projects!$G$15="Yes",2&gt;=Projects!$C$15,2&lt;Projects!$C$15+Projects!$D$15),IF(2=Projects!$C$15+Projects!$D$15-1,Projects!$B$15*INDEX(Curves!$B$4:$AO$4,1,2-Projects!$C$15+1)*Assumptions!$B$11*0.95+0.05*Projects!$B$15*Assumptions!$B$11,Projects!$B$15*INDEX(Curves!$B$4:$AO$4,1,2-Projects!$C$15+1)*Assumptions!$B$11*0.95),0)+IF(AND(Projects!$G$16="Yes",2&gt;=Projects!$C$16,2&lt;Projects!$C$16+Projects!$D$16),IF(2=Projects!$C$16+Projects!$D$16-1,Projects!$B$16*INDEX(Curves!$B$4:$AO$4,1,2-Projects!$C$16+1)*Assumptions!$B$11*0.95+0.05*Projects!$B$16*Assumptions!$B$11,Projects!$B$16*INDEX(Curves!$B$4:$AO$4,1,2-Projects!$C$16+1)*Assumptions!$B$11*0.95),0)</f>
        <v>215014.31741318837</v>
      </c>
      <c r="E9" s="8">
        <f>IF(AND(Projects!$G$2="Yes",3&gt;=Projects!$C$2,3&lt;Projects!$C$2+Projects!$D$2),IF(3=Projects!$C$2+Projects!$D$2-1,Projects!$B$2*INDEX(Curves!$B$6:$AO$6,1,3-Projects!$C$2+1)*Assumptions!$B$11*0.95+0.05*Projects!$B$2*Assumptions!$B$11,Projects!$B$2*INDEX(Curves!$B$6:$AO$6,1,3-Projects!$C$2+1)*Assumptions!$B$11*0.95),0)+IF(AND(Projects!$G$3="Yes",3&gt;=Projects!$C$3,3&lt;Projects!$C$3+Projects!$D$3),IF(3=Projects!$C$3+Projects!$D$3-1,Projects!$B$3*INDEX(Curves!$B$7:$AO$7,1,3-Projects!$C$3+1)*Assumptions!$B$11*0.95+0.05*Projects!$B$3*Assumptions!$B$11,Projects!$B$3*INDEX(Curves!$B$7:$AO$7,1,3-Projects!$C$3+1)*Assumptions!$B$11*0.95),0)+IF(AND(Projects!$G$4="Yes",3&gt;=Projects!$C$4,3&lt;Projects!$C$4+Projects!$D$4),IF(3=Projects!$C$4+Projects!$D$4-1,Projects!$B$4*INDEX(Curves!$B$8:$AO$8,1,3-Projects!$C$4+1)*Assumptions!$B$11*0.95+0.05*Projects!$B$4*Assumptions!$B$11,Projects!$B$4*INDEX(Curves!$B$8:$AO$8,1,3-Projects!$C$4+1)*Assumptions!$B$11*0.95),0)+IF(AND(Projects!$G$5="Yes",3&gt;=Projects!$C$5,3&lt;Projects!$C$5+Projects!$D$5),IF(3=Projects!$C$5+Projects!$D$5-1,Projects!$B$5*INDEX(Curves!$B$9:$AO$9,1,3-Projects!$C$5+1)*Assumptions!$B$11*0.95+0.05*Projects!$B$5*Assumptions!$B$11,Projects!$B$5*INDEX(Curves!$B$9:$AO$9,1,3-Projects!$C$5+1)*Assumptions!$B$11*0.95),0)+IF(AND(Projects!$G$6="Yes",3&gt;=Projects!$C$6,3&lt;Projects!$C$6+Projects!$D$6),IF(3=Projects!$C$6+Projects!$D$6-1,Projects!$B$6*INDEX(Curves!$B$4:$AO$4,1,3-Projects!$C$6+1)*Assumptions!$B$11*0.95+0.05*Projects!$B$6*Assumptions!$B$11,Projects!$B$6*INDEX(Curves!$B$4:$AO$4,1,3-Projects!$C$6+1)*Assumptions!$B$11*0.95),0)+IF(AND(Projects!$G$7="Yes",3&gt;=Projects!$C$7,3&lt;Projects!$C$7+Projects!$D$7),IF(3=Projects!$C$7+Projects!$D$7-1,Projects!$B$7*INDEX(Curves!$B$3:$AO$3,1,3-Projects!$C$7+1)*Assumptions!$B$11*0.95+0.05*Projects!$B$7*Assumptions!$B$11,Projects!$B$7*INDEX(Curves!$B$3:$AO$3,1,3-Projects!$C$7+1)*Assumptions!$B$11*0.95),0)+IF(AND(Projects!$G$8="Yes",3&gt;=Projects!$C$8,3&lt;Projects!$C$8+Projects!$D$8),IF(3=Projects!$C$8+Projects!$D$8-1,Projects!$B$8*INDEX(Curves!$B$4:$AO$4,1,3-Projects!$C$8+1)*Assumptions!$B$11*0.95+0.05*Projects!$B$8*Assumptions!$B$11,Projects!$B$8*INDEX(Curves!$B$4:$AO$4,1,3-Projects!$C$8+1)*Assumptions!$B$11*0.95),0)+IF(AND(Projects!$G$9="Yes",3&gt;=Projects!$C$9,3&lt;Projects!$C$9+Projects!$D$9),IF(3=Projects!$C$9+Projects!$D$9-1,Projects!$B$9*INDEX(Curves!$B$2:$AO$2,1,3-Projects!$C$9+1)*Assumptions!$B$11*0.95+0.05*Projects!$B$9*Assumptions!$B$11,Projects!$B$9*INDEX(Curves!$B$2:$AO$2,1,3-Projects!$C$9+1)*Assumptions!$B$11*0.95),0)+IF(AND(Projects!$G$10="Yes",3&gt;=Projects!$C$10,3&lt;Projects!$C$10+Projects!$D$10),IF(3=Projects!$C$10+Projects!$D$10-1,Projects!$B$10*INDEX(Curves!$B$4:$AO$4,1,3-Projects!$C$10+1)*Assumptions!$B$11*0.95+0.05*Projects!$B$10*Assumptions!$B$11,Projects!$B$10*INDEX(Curves!$B$4:$AO$4,1,3-Projects!$C$10+1)*Assumptions!$B$11*0.95),0)+IF(AND(Projects!$G$11="Yes",3&gt;=Projects!$C$11,3&lt;Projects!$C$11+Projects!$D$11),IF(3=Projects!$C$11+Projects!$D$11-1,Projects!$B$11*INDEX(Curves!$B$4:$AO$4,1,3-Projects!$C$11+1)*Assumptions!$B$11*0.95+0.05*Projects!$B$11*Assumptions!$B$11,Projects!$B$11*INDEX(Curves!$B$4:$AO$4,1,3-Projects!$C$11+1)*Assumptions!$B$11*0.95),0)+IF(AND(Projects!$G$12="Yes",3&gt;=Projects!$C$12,3&lt;Projects!$C$12+Projects!$D$12),IF(3=Projects!$C$12+Projects!$D$12-1,Projects!$B$12*INDEX(Curves!$B$4:$AO$4,1,3-Projects!$C$12+1)*Assumptions!$B$11*0.95+0.05*Projects!$B$12*Assumptions!$B$11,Projects!$B$12*INDEX(Curves!$B$4:$AO$4,1,3-Projects!$C$12+1)*Assumptions!$B$11*0.95),0)+IF(AND(Projects!$G$13="Yes",3&gt;=Projects!$C$13,3&lt;Projects!$C$13+Projects!$D$13),IF(3=Projects!$C$13+Projects!$D$13-1,Projects!$B$13*INDEX(Curves!$B$2:$AO$2,1,3-Projects!$C$13+1)*Assumptions!$B$11*0.95+0.05*Projects!$B$13*Assumptions!$B$11,Projects!$B$13*INDEX(Curves!$B$2:$AO$2,1,3-Projects!$C$13+1)*Assumptions!$B$11*0.95),0)+IF(AND(Projects!$G$14="Yes",3&gt;=Projects!$C$14,3&lt;Projects!$C$14+Projects!$D$14),IF(3=Projects!$C$14+Projects!$D$14-1,Projects!$B$14*INDEX(Curves!$B$2:$AO$2,1,3-Projects!$C$14+1)*Assumptions!$B$11*0.95+0.05*Projects!$B$14*Assumptions!$B$11,Projects!$B$14*INDEX(Curves!$B$2:$AO$2,1,3-Projects!$C$14+1)*Assumptions!$B$11*0.95),0)+IF(AND(Projects!$G$15="Yes",3&gt;=Projects!$C$15,3&lt;Projects!$C$15+Projects!$D$15),IF(3=Projects!$C$15+Projects!$D$15-1,Projects!$B$15*INDEX(Curves!$B$4:$AO$4,1,3-Projects!$C$15+1)*Assumptions!$B$11*0.95+0.05*Projects!$B$15*Assumptions!$B$11,Projects!$B$15*INDEX(Curves!$B$4:$AO$4,1,3-Projects!$C$15+1)*Assumptions!$B$11*0.95),0)+IF(AND(Projects!$G$16="Yes",3&gt;=Projects!$C$16,3&lt;Projects!$C$16+Projects!$D$16),IF(3=Projects!$C$16+Projects!$D$16-1,Projects!$B$16*INDEX(Curves!$B$4:$AO$4,1,3-Projects!$C$16+1)*Assumptions!$B$11*0.95+0.05*Projects!$B$16*Assumptions!$B$11,Projects!$B$16*INDEX(Curves!$B$4:$AO$4,1,3-Projects!$C$16+1)*Assumptions!$B$11*0.95),0)</f>
        <v>221317.26115155072</v>
      </c>
      <c r="F9" s="8">
        <f>IF(AND(Projects!$G$2="Yes",4&gt;=Projects!$C$2,4&lt;Projects!$C$2+Projects!$D$2),IF(4=Projects!$C$2+Projects!$D$2-1,Projects!$B$2*INDEX(Curves!$B$6:$AO$6,1,4-Projects!$C$2+1)*Assumptions!$B$11*0.95+0.05*Projects!$B$2*Assumptions!$B$11,Projects!$B$2*INDEX(Curves!$B$6:$AO$6,1,4-Projects!$C$2+1)*Assumptions!$B$11*0.95),0)+IF(AND(Projects!$G$3="Yes",4&gt;=Projects!$C$3,4&lt;Projects!$C$3+Projects!$D$3),IF(4=Projects!$C$3+Projects!$D$3-1,Projects!$B$3*INDEX(Curves!$B$7:$AO$7,1,4-Projects!$C$3+1)*Assumptions!$B$11*0.95+0.05*Projects!$B$3*Assumptions!$B$11,Projects!$B$3*INDEX(Curves!$B$7:$AO$7,1,4-Projects!$C$3+1)*Assumptions!$B$11*0.95),0)+IF(AND(Projects!$G$4="Yes",4&gt;=Projects!$C$4,4&lt;Projects!$C$4+Projects!$D$4),IF(4=Projects!$C$4+Projects!$D$4-1,Projects!$B$4*INDEX(Curves!$B$8:$AO$8,1,4-Projects!$C$4+1)*Assumptions!$B$11*0.95+0.05*Projects!$B$4*Assumptions!$B$11,Projects!$B$4*INDEX(Curves!$B$8:$AO$8,1,4-Projects!$C$4+1)*Assumptions!$B$11*0.95),0)+IF(AND(Projects!$G$5="Yes",4&gt;=Projects!$C$5,4&lt;Projects!$C$5+Projects!$D$5),IF(4=Projects!$C$5+Projects!$D$5-1,Projects!$B$5*INDEX(Curves!$B$9:$AO$9,1,4-Projects!$C$5+1)*Assumptions!$B$11*0.95+0.05*Projects!$B$5*Assumptions!$B$11,Projects!$B$5*INDEX(Curves!$B$9:$AO$9,1,4-Projects!$C$5+1)*Assumptions!$B$11*0.95),0)+IF(AND(Projects!$G$6="Yes",4&gt;=Projects!$C$6,4&lt;Projects!$C$6+Projects!$D$6),IF(4=Projects!$C$6+Projects!$D$6-1,Projects!$B$6*INDEX(Curves!$B$4:$AO$4,1,4-Projects!$C$6+1)*Assumptions!$B$11*0.95+0.05*Projects!$B$6*Assumptions!$B$11,Projects!$B$6*INDEX(Curves!$B$4:$AO$4,1,4-Projects!$C$6+1)*Assumptions!$B$11*0.95),0)+IF(AND(Projects!$G$7="Yes",4&gt;=Projects!$C$7,4&lt;Projects!$C$7+Projects!$D$7),IF(4=Projects!$C$7+Projects!$D$7-1,Projects!$B$7*INDEX(Curves!$B$3:$AO$3,1,4-Projects!$C$7+1)*Assumptions!$B$11*0.95+0.05*Projects!$B$7*Assumptions!$B$11,Projects!$B$7*INDEX(Curves!$B$3:$AO$3,1,4-Projects!$C$7+1)*Assumptions!$B$11*0.95),0)+IF(AND(Projects!$G$8="Yes",4&gt;=Projects!$C$8,4&lt;Projects!$C$8+Projects!$D$8),IF(4=Projects!$C$8+Projects!$D$8-1,Projects!$B$8*INDEX(Curves!$B$4:$AO$4,1,4-Projects!$C$8+1)*Assumptions!$B$11*0.95+0.05*Projects!$B$8*Assumptions!$B$11,Projects!$B$8*INDEX(Curves!$B$4:$AO$4,1,4-Projects!$C$8+1)*Assumptions!$B$11*0.95),0)+IF(AND(Projects!$G$9="Yes",4&gt;=Projects!$C$9,4&lt;Projects!$C$9+Projects!$D$9),IF(4=Projects!$C$9+Projects!$D$9-1,Projects!$B$9*INDEX(Curves!$B$2:$AO$2,1,4-Projects!$C$9+1)*Assumptions!$B$11*0.95+0.05*Projects!$B$9*Assumptions!$B$11,Projects!$B$9*INDEX(Curves!$B$2:$AO$2,1,4-Projects!$C$9+1)*Assumptions!$B$11*0.95),0)+IF(AND(Projects!$G$10="Yes",4&gt;=Projects!$C$10,4&lt;Projects!$C$10+Projects!$D$10),IF(4=Projects!$C$10+Projects!$D$10-1,Projects!$B$10*INDEX(Curves!$B$4:$AO$4,1,4-Projects!$C$10+1)*Assumptions!$B$11*0.95+0.05*Projects!$B$10*Assumptions!$B$11,Projects!$B$10*INDEX(Curves!$B$4:$AO$4,1,4-Projects!$C$10+1)*Assumptions!$B$11*0.95),0)+IF(AND(Projects!$G$11="Yes",4&gt;=Projects!$C$11,4&lt;Projects!$C$11+Projects!$D$11),IF(4=Projects!$C$11+Projects!$D$11-1,Projects!$B$11*INDEX(Curves!$B$4:$AO$4,1,4-Projects!$C$11+1)*Assumptions!$B$11*0.95+0.05*Projects!$B$11*Assumptions!$B$11,Projects!$B$11*INDEX(Curves!$B$4:$AO$4,1,4-Projects!$C$11+1)*Assumptions!$B$11*0.95),0)+IF(AND(Projects!$G$12="Yes",4&gt;=Projects!$C$12,4&lt;Projects!$C$12+Projects!$D$12),IF(4=Projects!$C$12+Projects!$D$12-1,Projects!$B$12*INDEX(Curves!$B$4:$AO$4,1,4-Projects!$C$12+1)*Assumptions!$B$11*0.95+0.05*Projects!$B$12*Assumptions!$B$11,Projects!$B$12*INDEX(Curves!$B$4:$AO$4,1,4-Projects!$C$12+1)*Assumptions!$B$11*0.95),0)+IF(AND(Projects!$G$13="Yes",4&gt;=Projects!$C$13,4&lt;Projects!$C$13+Projects!$D$13),IF(4=Projects!$C$13+Projects!$D$13-1,Projects!$B$13*INDEX(Curves!$B$2:$AO$2,1,4-Projects!$C$13+1)*Assumptions!$B$11*0.95+0.05*Projects!$B$13*Assumptions!$B$11,Projects!$B$13*INDEX(Curves!$B$2:$AO$2,1,4-Projects!$C$13+1)*Assumptions!$B$11*0.95),0)+IF(AND(Projects!$G$14="Yes",4&gt;=Projects!$C$14,4&lt;Projects!$C$14+Projects!$D$14),IF(4=Projects!$C$14+Projects!$D$14-1,Projects!$B$14*INDEX(Curves!$B$2:$AO$2,1,4-Projects!$C$14+1)*Assumptions!$B$11*0.95+0.05*Projects!$B$14*Assumptions!$B$11,Projects!$B$14*INDEX(Curves!$B$2:$AO$2,1,4-Projects!$C$14+1)*Assumptions!$B$11*0.95),0)+IF(AND(Projects!$G$15="Yes",4&gt;=Projects!$C$15,4&lt;Projects!$C$15+Projects!$D$15),IF(4=Projects!$C$15+Projects!$D$15-1,Projects!$B$15*INDEX(Curves!$B$4:$AO$4,1,4-Projects!$C$15+1)*Assumptions!$B$11*0.95+0.05*Projects!$B$15*Assumptions!$B$11,Projects!$B$15*INDEX(Curves!$B$4:$AO$4,1,4-Projects!$C$15+1)*Assumptions!$B$11*0.95),0)+IF(AND(Projects!$G$16="Yes",4&gt;=Projects!$C$16,4&lt;Projects!$C$16+Projects!$D$16),IF(4=Projects!$C$16+Projects!$D$16-1,Projects!$B$16*INDEX(Curves!$B$4:$AO$4,1,4-Projects!$C$16+1)*Assumptions!$B$11*0.95+0.05*Projects!$B$16*Assumptions!$B$11,Projects!$B$16*INDEX(Curves!$B$4:$AO$4,1,4-Projects!$C$16+1)*Assumptions!$B$11*0.95),0)</f>
        <v>265263.59240979922</v>
      </c>
      <c r="G9" s="8">
        <f>IF(AND(Projects!$G$2="Yes",5&gt;=Projects!$C$2,5&lt;Projects!$C$2+Projects!$D$2),IF(5=Projects!$C$2+Projects!$D$2-1,Projects!$B$2*INDEX(Curves!$B$6:$AO$6,1,5-Projects!$C$2+1)*Assumptions!$B$11*0.95+0.05*Projects!$B$2*Assumptions!$B$11,Projects!$B$2*INDEX(Curves!$B$6:$AO$6,1,5-Projects!$C$2+1)*Assumptions!$B$11*0.95),0)+IF(AND(Projects!$G$3="Yes",5&gt;=Projects!$C$3,5&lt;Projects!$C$3+Projects!$D$3),IF(5=Projects!$C$3+Projects!$D$3-1,Projects!$B$3*INDEX(Curves!$B$7:$AO$7,1,5-Projects!$C$3+1)*Assumptions!$B$11*0.95+0.05*Projects!$B$3*Assumptions!$B$11,Projects!$B$3*INDEX(Curves!$B$7:$AO$7,1,5-Projects!$C$3+1)*Assumptions!$B$11*0.95),0)+IF(AND(Projects!$G$4="Yes",5&gt;=Projects!$C$4,5&lt;Projects!$C$4+Projects!$D$4),IF(5=Projects!$C$4+Projects!$D$4-1,Projects!$B$4*INDEX(Curves!$B$8:$AO$8,1,5-Projects!$C$4+1)*Assumptions!$B$11*0.95+0.05*Projects!$B$4*Assumptions!$B$11,Projects!$B$4*INDEX(Curves!$B$8:$AO$8,1,5-Projects!$C$4+1)*Assumptions!$B$11*0.95),0)+IF(AND(Projects!$G$5="Yes",5&gt;=Projects!$C$5,5&lt;Projects!$C$5+Projects!$D$5),IF(5=Projects!$C$5+Projects!$D$5-1,Projects!$B$5*INDEX(Curves!$B$9:$AO$9,1,5-Projects!$C$5+1)*Assumptions!$B$11*0.95+0.05*Projects!$B$5*Assumptions!$B$11,Projects!$B$5*INDEX(Curves!$B$9:$AO$9,1,5-Projects!$C$5+1)*Assumptions!$B$11*0.95),0)+IF(AND(Projects!$G$6="Yes",5&gt;=Projects!$C$6,5&lt;Projects!$C$6+Projects!$D$6),IF(5=Projects!$C$6+Projects!$D$6-1,Projects!$B$6*INDEX(Curves!$B$4:$AO$4,1,5-Projects!$C$6+1)*Assumptions!$B$11*0.95+0.05*Projects!$B$6*Assumptions!$B$11,Projects!$B$6*INDEX(Curves!$B$4:$AO$4,1,5-Projects!$C$6+1)*Assumptions!$B$11*0.95),0)+IF(AND(Projects!$G$7="Yes",5&gt;=Projects!$C$7,5&lt;Projects!$C$7+Projects!$D$7),IF(5=Projects!$C$7+Projects!$D$7-1,Projects!$B$7*INDEX(Curves!$B$3:$AO$3,1,5-Projects!$C$7+1)*Assumptions!$B$11*0.95+0.05*Projects!$B$7*Assumptions!$B$11,Projects!$B$7*INDEX(Curves!$B$3:$AO$3,1,5-Projects!$C$7+1)*Assumptions!$B$11*0.95),0)+IF(AND(Projects!$G$8="Yes",5&gt;=Projects!$C$8,5&lt;Projects!$C$8+Projects!$D$8),IF(5=Projects!$C$8+Projects!$D$8-1,Projects!$B$8*INDEX(Curves!$B$4:$AO$4,1,5-Projects!$C$8+1)*Assumptions!$B$11*0.95+0.05*Projects!$B$8*Assumptions!$B$11,Projects!$B$8*INDEX(Curves!$B$4:$AO$4,1,5-Projects!$C$8+1)*Assumptions!$B$11*0.95),0)+IF(AND(Projects!$G$9="Yes",5&gt;=Projects!$C$9,5&lt;Projects!$C$9+Projects!$D$9),IF(5=Projects!$C$9+Projects!$D$9-1,Projects!$B$9*INDEX(Curves!$B$2:$AO$2,1,5-Projects!$C$9+1)*Assumptions!$B$11*0.95+0.05*Projects!$B$9*Assumptions!$B$11,Projects!$B$9*INDEX(Curves!$B$2:$AO$2,1,5-Projects!$C$9+1)*Assumptions!$B$11*0.95),0)+IF(AND(Projects!$G$10="Yes",5&gt;=Projects!$C$10,5&lt;Projects!$C$10+Projects!$D$10),IF(5=Projects!$C$10+Projects!$D$10-1,Projects!$B$10*INDEX(Curves!$B$4:$AO$4,1,5-Projects!$C$10+1)*Assumptions!$B$11*0.95+0.05*Projects!$B$10*Assumptions!$B$11,Projects!$B$10*INDEX(Curves!$B$4:$AO$4,1,5-Projects!$C$10+1)*Assumptions!$B$11*0.95),0)+IF(AND(Projects!$G$11="Yes",5&gt;=Projects!$C$11,5&lt;Projects!$C$11+Projects!$D$11),IF(5=Projects!$C$11+Projects!$D$11-1,Projects!$B$11*INDEX(Curves!$B$4:$AO$4,1,5-Projects!$C$11+1)*Assumptions!$B$11*0.95+0.05*Projects!$B$11*Assumptions!$B$11,Projects!$B$11*INDEX(Curves!$B$4:$AO$4,1,5-Projects!$C$11+1)*Assumptions!$B$11*0.95),0)+IF(AND(Projects!$G$12="Yes",5&gt;=Projects!$C$12,5&lt;Projects!$C$12+Projects!$D$12),IF(5=Projects!$C$12+Projects!$D$12-1,Projects!$B$12*INDEX(Curves!$B$4:$AO$4,1,5-Projects!$C$12+1)*Assumptions!$B$11*0.95+0.05*Projects!$B$12*Assumptions!$B$11,Projects!$B$12*INDEX(Curves!$B$4:$AO$4,1,5-Projects!$C$12+1)*Assumptions!$B$11*0.95),0)+IF(AND(Projects!$G$13="Yes",5&gt;=Projects!$C$13,5&lt;Projects!$C$13+Projects!$D$13),IF(5=Projects!$C$13+Projects!$D$13-1,Projects!$B$13*INDEX(Curves!$B$2:$AO$2,1,5-Projects!$C$13+1)*Assumptions!$B$11*0.95+0.05*Projects!$B$13*Assumptions!$B$11,Projects!$B$13*INDEX(Curves!$B$2:$AO$2,1,5-Projects!$C$13+1)*Assumptions!$B$11*0.95),0)+IF(AND(Projects!$G$14="Yes",5&gt;=Projects!$C$14,5&lt;Projects!$C$14+Projects!$D$14),IF(5=Projects!$C$14+Projects!$D$14-1,Projects!$B$14*INDEX(Curves!$B$2:$AO$2,1,5-Projects!$C$14+1)*Assumptions!$B$11*0.95+0.05*Projects!$B$14*Assumptions!$B$11,Projects!$B$14*INDEX(Curves!$B$2:$AO$2,1,5-Projects!$C$14+1)*Assumptions!$B$11*0.95),0)+IF(AND(Projects!$G$15="Yes",5&gt;=Projects!$C$15,5&lt;Projects!$C$15+Projects!$D$15),IF(5=Projects!$C$15+Projects!$D$15-1,Projects!$B$15*INDEX(Curves!$B$4:$AO$4,1,5-Projects!$C$15+1)*Assumptions!$B$11*0.95+0.05*Projects!$B$15*Assumptions!$B$11,Projects!$B$15*INDEX(Curves!$B$4:$AO$4,1,5-Projects!$C$15+1)*Assumptions!$B$11*0.95),0)+IF(AND(Projects!$G$16="Yes",5&gt;=Projects!$C$16,5&lt;Projects!$C$16+Projects!$D$16),IF(5=Projects!$C$16+Projects!$D$16-1,Projects!$B$16*INDEX(Curves!$B$4:$AO$4,1,5-Projects!$C$16+1)*Assumptions!$B$11*0.95+0.05*Projects!$B$16*Assumptions!$B$11,Projects!$B$16*INDEX(Curves!$B$4:$AO$4,1,5-Projects!$C$16+1)*Assumptions!$B$11*0.95),0)</f>
        <v>272642.81851945998</v>
      </c>
      <c r="H9" s="8">
        <f>IF(AND(Projects!$G$2="Yes",6&gt;=Projects!$C$2,6&lt;Projects!$C$2+Projects!$D$2),IF(6=Projects!$C$2+Projects!$D$2-1,Projects!$B$2*INDEX(Curves!$B$6:$AO$6,1,6-Projects!$C$2+1)*Assumptions!$B$11*0.95+0.05*Projects!$B$2*Assumptions!$B$11,Projects!$B$2*INDEX(Curves!$B$6:$AO$6,1,6-Projects!$C$2+1)*Assumptions!$B$11*0.95),0)+IF(AND(Projects!$G$3="Yes",6&gt;=Projects!$C$3,6&lt;Projects!$C$3+Projects!$D$3),IF(6=Projects!$C$3+Projects!$D$3-1,Projects!$B$3*INDEX(Curves!$B$7:$AO$7,1,6-Projects!$C$3+1)*Assumptions!$B$11*0.95+0.05*Projects!$B$3*Assumptions!$B$11,Projects!$B$3*INDEX(Curves!$B$7:$AO$7,1,6-Projects!$C$3+1)*Assumptions!$B$11*0.95),0)+IF(AND(Projects!$G$4="Yes",6&gt;=Projects!$C$4,6&lt;Projects!$C$4+Projects!$D$4),IF(6=Projects!$C$4+Projects!$D$4-1,Projects!$B$4*INDEX(Curves!$B$8:$AO$8,1,6-Projects!$C$4+1)*Assumptions!$B$11*0.95+0.05*Projects!$B$4*Assumptions!$B$11,Projects!$B$4*INDEX(Curves!$B$8:$AO$8,1,6-Projects!$C$4+1)*Assumptions!$B$11*0.95),0)+IF(AND(Projects!$G$5="Yes",6&gt;=Projects!$C$5,6&lt;Projects!$C$5+Projects!$D$5),IF(6=Projects!$C$5+Projects!$D$5-1,Projects!$B$5*INDEX(Curves!$B$9:$AO$9,1,6-Projects!$C$5+1)*Assumptions!$B$11*0.95+0.05*Projects!$B$5*Assumptions!$B$11,Projects!$B$5*INDEX(Curves!$B$9:$AO$9,1,6-Projects!$C$5+1)*Assumptions!$B$11*0.95),0)+IF(AND(Projects!$G$6="Yes",6&gt;=Projects!$C$6,6&lt;Projects!$C$6+Projects!$D$6),IF(6=Projects!$C$6+Projects!$D$6-1,Projects!$B$6*INDEX(Curves!$B$4:$AO$4,1,6-Projects!$C$6+1)*Assumptions!$B$11*0.95+0.05*Projects!$B$6*Assumptions!$B$11,Projects!$B$6*INDEX(Curves!$B$4:$AO$4,1,6-Projects!$C$6+1)*Assumptions!$B$11*0.95),0)+IF(AND(Projects!$G$7="Yes",6&gt;=Projects!$C$7,6&lt;Projects!$C$7+Projects!$D$7),IF(6=Projects!$C$7+Projects!$D$7-1,Projects!$B$7*INDEX(Curves!$B$3:$AO$3,1,6-Projects!$C$7+1)*Assumptions!$B$11*0.95+0.05*Projects!$B$7*Assumptions!$B$11,Projects!$B$7*INDEX(Curves!$B$3:$AO$3,1,6-Projects!$C$7+1)*Assumptions!$B$11*0.95),0)+IF(AND(Projects!$G$8="Yes",6&gt;=Projects!$C$8,6&lt;Projects!$C$8+Projects!$D$8),IF(6=Projects!$C$8+Projects!$D$8-1,Projects!$B$8*INDEX(Curves!$B$4:$AO$4,1,6-Projects!$C$8+1)*Assumptions!$B$11*0.95+0.05*Projects!$B$8*Assumptions!$B$11,Projects!$B$8*INDEX(Curves!$B$4:$AO$4,1,6-Projects!$C$8+1)*Assumptions!$B$11*0.95),0)+IF(AND(Projects!$G$9="Yes",6&gt;=Projects!$C$9,6&lt;Projects!$C$9+Projects!$D$9),IF(6=Projects!$C$9+Projects!$D$9-1,Projects!$B$9*INDEX(Curves!$B$2:$AO$2,1,6-Projects!$C$9+1)*Assumptions!$B$11*0.95+0.05*Projects!$B$9*Assumptions!$B$11,Projects!$B$9*INDEX(Curves!$B$2:$AO$2,1,6-Projects!$C$9+1)*Assumptions!$B$11*0.95),0)+IF(AND(Projects!$G$10="Yes",6&gt;=Projects!$C$10,6&lt;Projects!$C$10+Projects!$D$10),IF(6=Projects!$C$10+Projects!$D$10-1,Projects!$B$10*INDEX(Curves!$B$4:$AO$4,1,6-Projects!$C$10+1)*Assumptions!$B$11*0.95+0.05*Projects!$B$10*Assumptions!$B$11,Projects!$B$10*INDEX(Curves!$B$4:$AO$4,1,6-Projects!$C$10+1)*Assumptions!$B$11*0.95),0)+IF(AND(Projects!$G$11="Yes",6&gt;=Projects!$C$11,6&lt;Projects!$C$11+Projects!$D$11),IF(6=Projects!$C$11+Projects!$D$11-1,Projects!$B$11*INDEX(Curves!$B$4:$AO$4,1,6-Projects!$C$11+1)*Assumptions!$B$11*0.95+0.05*Projects!$B$11*Assumptions!$B$11,Projects!$B$11*INDEX(Curves!$B$4:$AO$4,1,6-Projects!$C$11+1)*Assumptions!$B$11*0.95),0)+IF(AND(Projects!$G$12="Yes",6&gt;=Projects!$C$12,6&lt;Projects!$C$12+Projects!$D$12),IF(6=Projects!$C$12+Projects!$D$12-1,Projects!$B$12*INDEX(Curves!$B$4:$AO$4,1,6-Projects!$C$12+1)*Assumptions!$B$11*0.95+0.05*Projects!$B$12*Assumptions!$B$11,Projects!$B$12*INDEX(Curves!$B$4:$AO$4,1,6-Projects!$C$12+1)*Assumptions!$B$11*0.95),0)+IF(AND(Projects!$G$13="Yes",6&gt;=Projects!$C$13,6&lt;Projects!$C$13+Projects!$D$13),IF(6=Projects!$C$13+Projects!$D$13-1,Projects!$B$13*INDEX(Curves!$B$2:$AO$2,1,6-Projects!$C$13+1)*Assumptions!$B$11*0.95+0.05*Projects!$B$13*Assumptions!$B$11,Projects!$B$13*INDEX(Curves!$B$2:$AO$2,1,6-Projects!$C$13+1)*Assumptions!$B$11*0.95),0)+IF(AND(Projects!$G$14="Yes",6&gt;=Projects!$C$14,6&lt;Projects!$C$14+Projects!$D$14),IF(6=Projects!$C$14+Projects!$D$14-1,Projects!$B$14*INDEX(Curves!$B$2:$AO$2,1,6-Projects!$C$14+1)*Assumptions!$B$11*0.95+0.05*Projects!$B$14*Assumptions!$B$11,Projects!$B$14*INDEX(Curves!$B$2:$AO$2,1,6-Projects!$C$14+1)*Assumptions!$B$11*0.95),0)+IF(AND(Projects!$G$15="Yes",6&gt;=Projects!$C$15,6&lt;Projects!$C$15+Projects!$D$15),IF(6=Projects!$C$15+Projects!$D$15-1,Projects!$B$15*INDEX(Curves!$B$4:$AO$4,1,6-Projects!$C$15+1)*Assumptions!$B$11*0.95+0.05*Projects!$B$15*Assumptions!$B$11,Projects!$B$15*INDEX(Curves!$B$4:$AO$4,1,6-Projects!$C$15+1)*Assumptions!$B$11*0.95),0)+IF(AND(Projects!$G$16="Yes",6&gt;=Projects!$C$16,6&lt;Projects!$C$16+Projects!$D$16),IF(6=Projects!$C$16+Projects!$D$16-1,Projects!$B$16*INDEX(Curves!$B$4:$AO$4,1,6-Projects!$C$16+1)*Assumptions!$B$11*0.95+0.05*Projects!$B$16*Assumptions!$B$11,Projects!$B$16*INDEX(Curves!$B$4:$AO$4,1,6-Projects!$C$16+1)*Assumptions!$B$11*0.95),0)</f>
        <v>276928.92528868472</v>
      </c>
      <c r="I9" s="8">
        <f>IF(AND(Projects!$G$2="Yes",7&gt;=Projects!$C$2,7&lt;Projects!$C$2+Projects!$D$2),IF(7=Projects!$C$2+Projects!$D$2-1,Projects!$B$2*INDEX(Curves!$B$6:$AO$6,1,7-Projects!$C$2+1)*Assumptions!$B$11*0.95+0.05*Projects!$B$2*Assumptions!$B$11,Projects!$B$2*INDEX(Curves!$B$6:$AO$6,1,7-Projects!$C$2+1)*Assumptions!$B$11*0.95),0)+IF(AND(Projects!$G$3="Yes",7&gt;=Projects!$C$3,7&lt;Projects!$C$3+Projects!$D$3),IF(7=Projects!$C$3+Projects!$D$3-1,Projects!$B$3*INDEX(Curves!$B$7:$AO$7,1,7-Projects!$C$3+1)*Assumptions!$B$11*0.95+0.05*Projects!$B$3*Assumptions!$B$11,Projects!$B$3*INDEX(Curves!$B$7:$AO$7,1,7-Projects!$C$3+1)*Assumptions!$B$11*0.95),0)+IF(AND(Projects!$G$4="Yes",7&gt;=Projects!$C$4,7&lt;Projects!$C$4+Projects!$D$4),IF(7=Projects!$C$4+Projects!$D$4-1,Projects!$B$4*INDEX(Curves!$B$8:$AO$8,1,7-Projects!$C$4+1)*Assumptions!$B$11*0.95+0.05*Projects!$B$4*Assumptions!$B$11,Projects!$B$4*INDEX(Curves!$B$8:$AO$8,1,7-Projects!$C$4+1)*Assumptions!$B$11*0.95),0)+IF(AND(Projects!$G$5="Yes",7&gt;=Projects!$C$5,7&lt;Projects!$C$5+Projects!$D$5),IF(7=Projects!$C$5+Projects!$D$5-1,Projects!$B$5*INDEX(Curves!$B$9:$AO$9,1,7-Projects!$C$5+1)*Assumptions!$B$11*0.95+0.05*Projects!$B$5*Assumptions!$B$11,Projects!$B$5*INDEX(Curves!$B$9:$AO$9,1,7-Projects!$C$5+1)*Assumptions!$B$11*0.95),0)+IF(AND(Projects!$G$6="Yes",7&gt;=Projects!$C$6,7&lt;Projects!$C$6+Projects!$D$6),IF(7=Projects!$C$6+Projects!$D$6-1,Projects!$B$6*INDEX(Curves!$B$4:$AO$4,1,7-Projects!$C$6+1)*Assumptions!$B$11*0.95+0.05*Projects!$B$6*Assumptions!$B$11,Projects!$B$6*INDEX(Curves!$B$4:$AO$4,1,7-Projects!$C$6+1)*Assumptions!$B$11*0.95),0)+IF(AND(Projects!$G$7="Yes",7&gt;=Projects!$C$7,7&lt;Projects!$C$7+Projects!$D$7),IF(7=Projects!$C$7+Projects!$D$7-1,Projects!$B$7*INDEX(Curves!$B$3:$AO$3,1,7-Projects!$C$7+1)*Assumptions!$B$11*0.95+0.05*Projects!$B$7*Assumptions!$B$11,Projects!$B$7*INDEX(Curves!$B$3:$AO$3,1,7-Projects!$C$7+1)*Assumptions!$B$11*0.95),0)+IF(AND(Projects!$G$8="Yes",7&gt;=Projects!$C$8,7&lt;Projects!$C$8+Projects!$D$8),IF(7=Projects!$C$8+Projects!$D$8-1,Projects!$B$8*INDEX(Curves!$B$4:$AO$4,1,7-Projects!$C$8+1)*Assumptions!$B$11*0.95+0.05*Projects!$B$8*Assumptions!$B$11,Projects!$B$8*INDEX(Curves!$B$4:$AO$4,1,7-Projects!$C$8+1)*Assumptions!$B$11*0.95),0)+IF(AND(Projects!$G$9="Yes",7&gt;=Projects!$C$9,7&lt;Projects!$C$9+Projects!$D$9),IF(7=Projects!$C$9+Projects!$D$9-1,Projects!$B$9*INDEX(Curves!$B$2:$AO$2,1,7-Projects!$C$9+1)*Assumptions!$B$11*0.95+0.05*Projects!$B$9*Assumptions!$B$11,Projects!$B$9*INDEX(Curves!$B$2:$AO$2,1,7-Projects!$C$9+1)*Assumptions!$B$11*0.95),0)+IF(AND(Projects!$G$10="Yes",7&gt;=Projects!$C$10,7&lt;Projects!$C$10+Projects!$D$10),IF(7=Projects!$C$10+Projects!$D$10-1,Projects!$B$10*INDEX(Curves!$B$4:$AO$4,1,7-Projects!$C$10+1)*Assumptions!$B$11*0.95+0.05*Projects!$B$10*Assumptions!$B$11,Projects!$B$10*INDEX(Curves!$B$4:$AO$4,1,7-Projects!$C$10+1)*Assumptions!$B$11*0.95),0)+IF(AND(Projects!$G$11="Yes",7&gt;=Projects!$C$11,7&lt;Projects!$C$11+Projects!$D$11),IF(7=Projects!$C$11+Projects!$D$11-1,Projects!$B$11*INDEX(Curves!$B$4:$AO$4,1,7-Projects!$C$11+1)*Assumptions!$B$11*0.95+0.05*Projects!$B$11*Assumptions!$B$11,Projects!$B$11*INDEX(Curves!$B$4:$AO$4,1,7-Projects!$C$11+1)*Assumptions!$B$11*0.95),0)+IF(AND(Projects!$G$12="Yes",7&gt;=Projects!$C$12,7&lt;Projects!$C$12+Projects!$D$12),IF(7=Projects!$C$12+Projects!$D$12-1,Projects!$B$12*INDEX(Curves!$B$4:$AO$4,1,7-Projects!$C$12+1)*Assumptions!$B$11*0.95+0.05*Projects!$B$12*Assumptions!$B$11,Projects!$B$12*INDEX(Curves!$B$4:$AO$4,1,7-Projects!$C$12+1)*Assumptions!$B$11*0.95),0)+IF(AND(Projects!$G$13="Yes",7&gt;=Projects!$C$13,7&lt;Projects!$C$13+Projects!$D$13),IF(7=Projects!$C$13+Projects!$D$13-1,Projects!$B$13*INDEX(Curves!$B$2:$AO$2,1,7-Projects!$C$13+1)*Assumptions!$B$11*0.95+0.05*Projects!$B$13*Assumptions!$B$11,Projects!$B$13*INDEX(Curves!$B$2:$AO$2,1,7-Projects!$C$13+1)*Assumptions!$B$11*0.95),0)+IF(AND(Projects!$G$14="Yes",7&gt;=Projects!$C$14,7&lt;Projects!$C$14+Projects!$D$14),IF(7=Projects!$C$14+Projects!$D$14-1,Projects!$B$14*INDEX(Curves!$B$2:$AO$2,1,7-Projects!$C$14+1)*Assumptions!$B$11*0.95+0.05*Projects!$B$14*Assumptions!$B$11,Projects!$B$14*INDEX(Curves!$B$2:$AO$2,1,7-Projects!$C$14+1)*Assumptions!$B$11*0.95),0)+IF(AND(Projects!$G$15="Yes",7&gt;=Projects!$C$15,7&lt;Projects!$C$15+Projects!$D$15),IF(7=Projects!$C$15+Projects!$D$15-1,Projects!$B$15*INDEX(Curves!$B$4:$AO$4,1,7-Projects!$C$15+1)*Assumptions!$B$11*0.95+0.05*Projects!$B$15*Assumptions!$B$11,Projects!$B$15*INDEX(Curves!$B$4:$AO$4,1,7-Projects!$C$15+1)*Assumptions!$B$11*0.95),0)+IF(AND(Projects!$G$16="Yes",7&gt;=Projects!$C$16,7&lt;Projects!$C$16+Projects!$D$16),IF(7=Projects!$C$16+Projects!$D$16-1,Projects!$B$16*INDEX(Curves!$B$4:$AO$4,1,7-Projects!$C$16+1)*Assumptions!$B$11*0.95+0.05*Projects!$B$16*Assumptions!$B$11,Projects!$B$16*INDEX(Curves!$B$4:$AO$4,1,7-Projects!$C$16+1)*Assumptions!$B$11*0.95),0)</f>
        <v>306499.69180679612</v>
      </c>
      <c r="J9" s="8">
        <f>IF(AND(Projects!$G$2="Yes",8&gt;=Projects!$C$2,8&lt;Projects!$C$2+Projects!$D$2),IF(8=Projects!$C$2+Projects!$D$2-1,Projects!$B$2*INDEX(Curves!$B$6:$AO$6,1,8-Projects!$C$2+1)*Assumptions!$B$11*0.95+0.05*Projects!$B$2*Assumptions!$B$11,Projects!$B$2*INDEX(Curves!$B$6:$AO$6,1,8-Projects!$C$2+1)*Assumptions!$B$11*0.95),0)+IF(AND(Projects!$G$3="Yes",8&gt;=Projects!$C$3,8&lt;Projects!$C$3+Projects!$D$3),IF(8=Projects!$C$3+Projects!$D$3-1,Projects!$B$3*INDEX(Curves!$B$7:$AO$7,1,8-Projects!$C$3+1)*Assumptions!$B$11*0.95+0.05*Projects!$B$3*Assumptions!$B$11,Projects!$B$3*INDEX(Curves!$B$7:$AO$7,1,8-Projects!$C$3+1)*Assumptions!$B$11*0.95),0)+IF(AND(Projects!$G$4="Yes",8&gt;=Projects!$C$4,8&lt;Projects!$C$4+Projects!$D$4),IF(8=Projects!$C$4+Projects!$D$4-1,Projects!$B$4*INDEX(Curves!$B$8:$AO$8,1,8-Projects!$C$4+1)*Assumptions!$B$11*0.95+0.05*Projects!$B$4*Assumptions!$B$11,Projects!$B$4*INDEX(Curves!$B$8:$AO$8,1,8-Projects!$C$4+1)*Assumptions!$B$11*0.95),0)+IF(AND(Projects!$G$5="Yes",8&gt;=Projects!$C$5,8&lt;Projects!$C$5+Projects!$D$5),IF(8=Projects!$C$5+Projects!$D$5-1,Projects!$B$5*INDEX(Curves!$B$9:$AO$9,1,8-Projects!$C$5+1)*Assumptions!$B$11*0.95+0.05*Projects!$B$5*Assumptions!$B$11,Projects!$B$5*INDEX(Curves!$B$9:$AO$9,1,8-Projects!$C$5+1)*Assumptions!$B$11*0.95),0)+IF(AND(Projects!$G$6="Yes",8&gt;=Projects!$C$6,8&lt;Projects!$C$6+Projects!$D$6),IF(8=Projects!$C$6+Projects!$D$6-1,Projects!$B$6*INDEX(Curves!$B$4:$AO$4,1,8-Projects!$C$6+1)*Assumptions!$B$11*0.95+0.05*Projects!$B$6*Assumptions!$B$11,Projects!$B$6*INDEX(Curves!$B$4:$AO$4,1,8-Projects!$C$6+1)*Assumptions!$B$11*0.95),0)+IF(AND(Projects!$G$7="Yes",8&gt;=Projects!$C$7,8&lt;Projects!$C$7+Projects!$D$7),IF(8=Projects!$C$7+Projects!$D$7-1,Projects!$B$7*INDEX(Curves!$B$3:$AO$3,1,8-Projects!$C$7+1)*Assumptions!$B$11*0.95+0.05*Projects!$B$7*Assumptions!$B$11,Projects!$B$7*INDEX(Curves!$B$3:$AO$3,1,8-Projects!$C$7+1)*Assumptions!$B$11*0.95),0)+IF(AND(Projects!$G$8="Yes",8&gt;=Projects!$C$8,8&lt;Projects!$C$8+Projects!$D$8),IF(8=Projects!$C$8+Projects!$D$8-1,Projects!$B$8*INDEX(Curves!$B$4:$AO$4,1,8-Projects!$C$8+1)*Assumptions!$B$11*0.95+0.05*Projects!$B$8*Assumptions!$B$11,Projects!$B$8*INDEX(Curves!$B$4:$AO$4,1,8-Projects!$C$8+1)*Assumptions!$B$11*0.95),0)+IF(AND(Projects!$G$9="Yes",8&gt;=Projects!$C$9,8&lt;Projects!$C$9+Projects!$D$9),IF(8=Projects!$C$9+Projects!$D$9-1,Projects!$B$9*INDEX(Curves!$B$2:$AO$2,1,8-Projects!$C$9+1)*Assumptions!$B$11*0.95+0.05*Projects!$B$9*Assumptions!$B$11,Projects!$B$9*INDEX(Curves!$B$2:$AO$2,1,8-Projects!$C$9+1)*Assumptions!$B$11*0.95),0)+IF(AND(Projects!$G$10="Yes",8&gt;=Projects!$C$10,8&lt;Projects!$C$10+Projects!$D$10),IF(8=Projects!$C$10+Projects!$D$10-1,Projects!$B$10*INDEX(Curves!$B$4:$AO$4,1,8-Projects!$C$10+1)*Assumptions!$B$11*0.95+0.05*Projects!$B$10*Assumptions!$B$11,Projects!$B$10*INDEX(Curves!$B$4:$AO$4,1,8-Projects!$C$10+1)*Assumptions!$B$11*0.95),0)+IF(AND(Projects!$G$11="Yes",8&gt;=Projects!$C$11,8&lt;Projects!$C$11+Projects!$D$11),IF(8=Projects!$C$11+Projects!$D$11-1,Projects!$B$11*INDEX(Curves!$B$4:$AO$4,1,8-Projects!$C$11+1)*Assumptions!$B$11*0.95+0.05*Projects!$B$11*Assumptions!$B$11,Projects!$B$11*INDEX(Curves!$B$4:$AO$4,1,8-Projects!$C$11+1)*Assumptions!$B$11*0.95),0)+IF(AND(Projects!$G$12="Yes",8&gt;=Projects!$C$12,8&lt;Projects!$C$12+Projects!$D$12),IF(8=Projects!$C$12+Projects!$D$12-1,Projects!$B$12*INDEX(Curves!$B$4:$AO$4,1,8-Projects!$C$12+1)*Assumptions!$B$11*0.95+0.05*Projects!$B$12*Assumptions!$B$11,Projects!$B$12*INDEX(Curves!$B$4:$AO$4,1,8-Projects!$C$12+1)*Assumptions!$B$11*0.95),0)+IF(AND(Projects!$G$13="Yes",8&gt;=Projects!$C$13,8&lt;Projects!$C$13+Projects!$D$13),IF(8=Projects!$C$13+Projects!$D$13-1,Projects!$B$13*INDEX(Curves!$B$2:$AO$2,1,8-Projects!$C$13+1)*Assumptions!$B$11*0.95+0.05*Projects!$B$13*Assumptions!$B$11,Projects!$B$13*INDEX(Curves!$B$2:$AO$2,1,8-Projects!$C$13+1)*Assumptions!$B$11*0.95),0)+IF(AND(Projects!$G$14="Yes",8&gt;=Projects!$C$14,8&lt;Projects!$C$14+Projects!$D$14),IF(8=Projects!$C$14+Projects!$D$14-1,Projects!$B$14*INDEX(Curves!$B$2:$AO$2,1,8-Projects!$C$14+1)*Assumptions!$B$11*0.95+0.05*Projects!$B$14*Assumptions!$B$11,Projects!$B$14*INDEX(Curves!$B$2:$AO$2,1,8-Projects!$C$14+1)*Assumptions!$B$11*0.95),0)+IF(AND(Projects!$G$15="Yes",8&gt;=Projects!$C$15,8&lt;Projects!$C$15+Projects!$D$15),IF(8=Projects!$C$15+Projects!$D$15-1,Projects!$B$15*INDEX(Curves!$B$4:$AO$4,1,8-Projects!$C$15+1)*Assumptions!$B$11*0.95+0.05*Projects!$B$15*Assumptions!$B$11,Projects!$B$15*INDEX(Curves!$B$4:$AO$4,1,8-Projects!$C$15+1)*Assumptions!$B$11*0.95),0)+IF(AND(Projects!$G$16="Yes",8&gt;=Projects!$C$16,8&lt;Projects!$C$16+Projects!$D$16),IF(8=Projects!$C$16+Projects!$D$16-1,Projects!$B$16*INDEX(Curves!$B$4:$AO$4,1,8-Projects!$C$16+1)*Assumptions!$B$11*0.95+0.05*Projects!$B$16*Assumptions!$B$11,Projects!$B$16*INDEX(Curves!$B$4:$AO$4,1,8-Projects!$C$16+1)*Assumptions!$B$11*0.95),0)</f>
        <v>353468.6448549527</v>
      </c>
      <c r="K9" s="8">
        <f>IF(AND(Projects!$G$2="Yes",9&gt;=Projects!$C$2,9&lt;Projects!$C$2+Projects!$D$2),IF(9=Projects!$C$2+Projects!$D$2-1,Projects!$B$2*INDEX(Curves!$B$6:$AO$6,1,9-Projects!$C$2+1)*Assumptions!$B$11*0.95+0.05*Projects!$B$2*Assumptions!$B$11,Projects!$B$2*INDEX(Curves!$B$6:$AO$6,1,9-Projects!$C$2+1)*Assumptions!$B$11*0.95),0)+IF(AND(Projects!$G$3="Yes",9&gt;=Projects!$C$3,9&lt;Projects!$C$3+Projects!$D$3),IF(9=Projects!$C$3+Projects!$D$3-1,Projects!$B$3*INDEX(Curves!$B$7:$AO$7,1,9-Projects!$C$3+1)*Assumptions!$B$11*0.95+0.05*Projects!$B$3*Assumptions!$B$11,Projects!$B$3*INDEX(Curves!$B$7:$AO$7,1,9-Projects!$C$3+1)*Assumptions!$B$11*0.95),0)+IF(AND(Projects!$G$4="Yes",9&gt;=Projects!$C$4,9&lt;Projects!$C$4+Projects!$D$4),IF(9=Projects!$C$4+Projects!$D$4-1,Projects!$B$4*INDEX(Curves!$B$8:$AO$8,1,9-Projects!$C$4+1)*Assumptions!$B$11*0.95+0.05*Projects!$B$4*Assumptions!$B$11,Projects!$B$4*INDEX(Curves!$B$8:$AO$8,1,9-Projects!$C$4+1)*Assumptions!$B$11*0.95),0)+IF(AND(Projects!$G$5="Yes",9&gt;=Projects!$C$5,9&lt;Projects!$C$5+Projects!$D$5),IF(9=Projects!$C$5+Projects!$D$5-1,Projects!$B$5*INDEX(Curves!$B$9:$AO$9,1,9-Projects!$C$5+1)*Assumptions!$B$11*0.95+0.05*Projects!$B$5*Assumptions!$B$11,Projects!$B$5*INDEX(Curves!$B$9:$AO$9,1,9-Projects!$C$5+1)*Assumptions!$B$11*0.95),0)+IF(AND(Projects!$G$6="Yes",9&gt;=Projects!$C$6,9&lt;Projects!$C$6+Projects!$D$6),IF(9=Projects!$C$6+Projects!$D$6-1,Projects!$B$6*INDEX(Curves!$B$4:$AO$4,1,9-Projects!$C$6+1)*Assumptions!$B$11*0.95+0.05*Projects!$B$6*Assumptions!$B$11,Projects!$B$6*INDEX(Curves!$B$4:$AO$4,1,9-Projects!$C$6+1)*Assumptions!$B$11*0.95),0)+IF(AND(Projects!$G$7="Yes",9&gt;=Projects!$C$7,9&lt;Projects!$C$7+Projects!$D$7),IF(9=Projects!$C$7+Projects!$D$7-1,Projects!$B$7*INDEX(Curves!$B$3:$AO$3,1,9-Projects!$C$7+1)*Assumptions!$B$11*0.95+0.05*Projects!$B$7*Assumptions!$B$11,Projects!$B$7*INDEX(Curves!$B$3:$AO$3,1,9-Projects!$C$7+1)*Assumptions!$B$11*0.95),0)+IF(AND(Projects!$G$8="Yes",9&gt;=Projects!$C$8,9&lt;Projects!$C$8+Projects!$D$8),IF(9=Projects!$C$8+Projects!$D$8-1,Projects!$B$8*INDEX(Curves!$B$4:$AO$4,1,9-Projects!$C$8+1)*Assumptions!$B$11*0.95+0.05*Projects!$B$8*Assumptions!$B$11,Projects!$B$8*INDEX(Curves!$B$4:$AO$4,1,9-Projects!$C$8+1)*Assumptions!$B$11*0.95),0)+IF(AND(Projects!$G$9="Yes",9&gt;=Projects!$C$9,9&lt;Projects!$C$9+Projects!$D$9),IF(9=Projects!$C$9+Projects!$D$9-1,Projects!$B$9*INDEX(Curves!$B$2:$AO$2,1,9-Projects!$C$9+1)*Assumptions!$B$11*0.95+0.05*Projects!$B$9*Assumptions!$B$11,Projects!$B$9*INDEX(Curves!$B$2:$AO$2,1,9-Projects!$C$9+1)*Assumptions!$B$11*0.95),0)+IF(AND(Projects!$G$10="Yes",9&gt;=Projects!$C$10,9&lt;Projects!$C$10+Projects!$D$10),IF(9=Projects!$C$10+Projects!$D$10-1,Projects!$B$10*INDEX(Curves!$B$4:$AO$4,1,9-Projects!$C$10+1)*Assumptions!$B$11*0.95+0.05*Projects!$B$10*Assumptions!$B$11,Projects!$B$10*INDEX(Curves!$B$4:$AO$4,1,9-Projects!$C$10+1)*Assumptions!$B$11*0.95),0)+IF(AND(Projects!$G$11="Yes",9&gt;=Projects!$C$11,9&lt;Projects!$C$11+Projects!$D$11),IF(9=Projects!$C$11+Projects!$D$11-1,Projects!$B$11*INDEX(Curves!$B$4:$AO$4,1,9-Projects!$C$11+1)*Assumptions!$B$11*0.95+0.05*Projects!$B$11*Assumptions!$B$11,Projects!$B$11*INDEX(Curves!$B$4:$AO$4,1,9-Projects!$C$11+1)*Assumptions!$B$11*0.95),0)+IF(AND(Projects!$G$12="Yes",9&gt;=Projects!$C$12,9&lt;Projects!$C$12+Projects!$D$12),IF(9=Projects!$C$12+Projects!$D$12-1,Projects!$B$12*INDEX(Curves!$B$4:$AO$4,1,9-Projects!$C$12+1)*Assumptions!$B$11*0.95+0.05*Projects!$B$12*Assumptions!$B$11,Projects!$B$12*INDEX(Curves!$B$4:$AO$4,1,9-Projects!$C$12+1)*Assumptions!$B$11*0.95),0)+IF(AND(Projects!$G$13="Yes",9&gt;=Projects!$C$13,9&lt;Projects!$C$13+Projects!$D$13),IF(9=Projects!$C$13+Projects!$D$13-1,Projects!$B$13*INDEX(Curves!$B$2:$AO$2,1,9-Projects!$C$13+1)*Assumptions!$B$11*0.95+0.05*Projects!$B$13*Assumptions!$B$11,Projects!$B$13*INDEX(Curves!$B$2:$AO$2,1,9-Projects!$C$13+1)*Assumptions!$B$11*0.95),0)+IF(AND(Projects!$G$14="Yes",9&gt;=Projects!$C$14,9&lt;Projects!$C$14+Projects!$D$14),IF(9=Projects!$C$14+Projects!$D$14-1,Projects!$B$14*INDEX(Curves!$B$2:$AO$2,1,9-Projects!$C$14+1)*Assumptions!$B$11*0.95+0.05*Projects!$B$14*Assumptions!$B$11,Projects!$B$14*INDEX(Curves!$B$2:$AO$2,1,9-Projects!$C$14+1)*Assumptions!$B$11*0.95),0)+IF(AND(Projects!$G$15="Yes",9&gt;=Projects!$C$15,9&lt;Projects!$C$15+Projects!$D$15),IF(9=Projects!$C$15+Projects!$D$15-1,Projects!$B$15*INDEX(Curves!$B$4:$AO$4,1,9-Projects!$C$15+1)*Assumptions!$B$11*0.95+0.05*Projects!$B$15*Assumptions!$B$11,Projects!$B$15*INDEX(Curves!$B$4:$AO$4,1,9-Projects!$C$15+1)*Assumptions!$B$11*0.95),0)+IF(AND(Projects!$G$16="Yes",9&gt;=Projects!$C$16,9&lt;Projects!$C$16+Projects!$D$16),IF(9=Projects!$C$16+Projects!$D$16-1,Projects!$B$16*INDEX(Curves!$B$4:$AO$4,1,9-Projects!$C$16+1)*Assumptions!$B$11*0.95+0.05*Projects!$B$16*Assumptions!$B$11,Projects!$B$16*INDEX(Curves!$B$4:$AO$4,1,9-Projects!$C$16+1)*Assumptions!$B$11*0.95),0)</f>
        <v>323068.64540063927</v>
      </c>
      <c r="L9" s="8">
        <f>IF(AND(Projects!$G$2="Yes",10&gt;=Projects!$C$2,10&lt;Projects!$C$2+Projects!$D$2),IF(10=Projects!$C$2+Projects!$D$2-1,Projects!$B$2*INDEX(Curves!$B$6:$AO$6,1,10-Projects!$C$2+1)*Assumptions!$B$11*0.95+0.05*Projects!$B$2*Assumptions!$B$11,Projects!$B$2*INDEX(Curves!$B$6:$AO$6,1,10-Projects!$C$2+1)*Assumptions!$B$11*0.95),0)+IF(AND(Projects!$G$3="Yes",10&gt;=Projects!$C$3,10&lt;Projects!$C$3+Projects!$D$3),IF(10=Projects!$C$3+Projects!$D$3-1,Projects!$B$3*INDEX(Curves!$B$7:$AO$7,1,10-Projects!$C$3+1)*Assumptions!$B$11*0.95+0.05*Projects!$B$3*Assumptions!$B$11,Projects!$B$3*INDEX(Curves!$B$7:$AO$7,1,10-Projects!$C$3+1)*Assumptions!$B$11*0.95),0)+IF(AND(Projects!$G$4="Yes",10&gt;=Projects!$C$4,10&lt;Projects!$C$4+Projects!$D$4),IF(10=Projects!$C$4+Projects!$D$4-1,Projects!$B$4*INDEX(Curves!$B$8:$AO$8,1,10-Projects!$C$4+1)*Assumptions!$B$11*0.95+0.05*Projects!$B$4*Assumptions!$B$11,Projects!$B$4*INDEX(Curves!$B$8:$AO$8,1,10-Projects!$C$4+1)*Assumptions!$B$11*0.95),0)+IF(AND(Projects!$G$5="Yes",10&gt;=Projects!$C$5,10&lt;Projects!$C$5+Projects!$D$5),IF(10=Projects!$C$5+Projects!$D$5-1,Projects!$B$5*INDEX(Curves!$B$9:$AO$9,1,10-Projects!$C$5+1)*Assumptions!$B$11*0.95+0.05*Projects!$B$5*Assumptions!$B$11,Projects!$B$5*INDEX(Curves!$B$9:$AO$9,1,10-Projects!$C$5+1)*Assumptions!$B$11*0.95),0)+IF(AND(Projects!$G$6="Yes",10&gt;=Projects!$C$6,10&lt;Projects!$C$6+Projects!$D$6),IF(10=Projects!$C$6+Projects!$D$6-1,Projects!$B$6*INDEX(Curves!$B$4:$AO$4,1,10-Projects!$C$6+1)*Assumptions!$B$11*0.95+0.05*Projects!$B$6*Assumptions!$B$11,Projects!$B$6*INDEX(Curves!$B$4:$AO$4,1,10-Projects!$C$6+1)*Assumptions!$B$11*0.95),0)+IF(AND(Projects!$G$7="Yes",10&gt;=Projects!$C$7,10&lt;Projects!$C$7+Projects!$D$7),IF(10=Projects!$C$7+Projects!$D$7-1,Projects!$B$7*INDEX(Curves!$B$3:$AO$3,1,10-Projects!$C$7+1)*Assumptions!$B$11*0.95+0.05*Projects!$B$7*Assumptions!$B$11,Projects!$B$7*INDEX(Curves!$B$3:$AO$3,1,10-Projects!$C$7+1)*Assumptions!$B$11*0.95),0)+IF(AND(Projects!$G$8="Yes",10&gt;=Projects!$C$8,10&lt;Projects!$C$8+Projects!$D$8),IF(10=Projects!$C$8+Projects!$D$8-1,Projects!$B$8*INDEX(Curves!$B$4:$AO$4,1,10-Projects!$C$8+1)*Assumptions!$B$11*0.95+0.05*Projects!$B$8*Assumptions!$B$11,Projects!$B$8*INDEX(Curves!$B$4:$AO$4,1,10-Projects!$C$8+1)*Assumptions!$B$11*0.95),0)+IF(AND(Projects!$G$9="Yes",10&gt;=Projects!$C$9,10&lt;Projects!$C$9+Projects!$D$9),IF(10=Projects!$C$9+Projects!$D$9-1,Projects!$B$9*INDEX(Curves!$B$2:$AO$2,1,10-Projects!$C$9+1)*Assumptions!$B$11*0.95+0.05*Projects!$B$9*Assumptions!$B$11,Projects!$B$9*INDEX(Curves!$B$2:$AO$2,1,10-Projects!$C$9+1)*Assumptions!$B$11*0.95),0)+IF(AND(Projects!$G$10="Yes",10&gt;=Projects!$C$10,10&lt;Projects!$C$10+Projects!$D$10),IF(10=Projects!$C$10+Projects!$D$10-1,Projects!$B$10*INDEX(Curves!$B$4:$AO$4,1,10-Projects!$C$10+1)*Assumptions!$B$11*0.95+0.05*Projects!$B$10*Assumptions!$B$11,Projects!$B$10*INDEX(Curves!$B$4:$AO$4,1,10-Projects!$C$10+1)*Assumptions!$B$11*0.95),0)+IF(AND(Projects!$G$11="Yes",10&gt;=Projects!$C$11,10&lt;Projects!$C$11+Projects!$D$11),IF(10=Projects!$C$11+Projects!$D$11-1,Projects!$B$11*INDEX(Curves!$B$4:$AO$4,1,10-Projects!$C$11+1)*Assumptions!$B$11*0.95+0.05*Projects!$B$11*Assumptions!$B$11,Projects!$B$11*INDEX(Curves!$B$4:$AO$4,1,10-Projects!$C$11+1)*Assumptions!$B$11*0.95),0)+IF(AND(Projects!$G$12="Yes",10&gt;=Projects!$C$12,10&lt;Projects!$C$12+Projects!$D$12),IF(10=Projects!$C$12+Projects!$D$12-1,Projects!$B$12*INDEX(Curves!$B$4:$AO$4,1,10-Projects!$C$12+1)*Assumptions!$B$11*0.95+0.05*Projects!$B$12*Assumptions!$B$11,Projects!$B$12*INDEX(Curves!$B$4:$AO$4,1,10-Projects!$C$12+1)*Assumptions!$B$11*0.95),0)+IF(AND(Projects!$G$13="Yes",10&gt;=Projects!$C$13,10&lt;Projects!$C$13+Projects!$D$13),IF(10=Projects!$C$13+Projects!$D$13-1,Projects!$B$13*INDEX(Curves!$B$2:$AO$2,1,10-Projects!$C$13+1)*Assumptions!$B$11*0.95+0.05*Projects!$B$13*Assumptions!$B$11,Projects!$B$13*INDEX(Curves!$B$2:$AO$2,1,10-Projects!$C$13+1)*Assumptions!$B$11*0.95),0)+IF(AND(Projects!$G$14="Yes",10&gt;=Projects!$C$14,10&lt;Projects!$C$14+Projects!$D$14),IF(10=Projects!$C$14+Projects!$D$14-1,Projects!$B$14*INDEX(Curves!$B$2:$AO$2,1,10-Projects!$C$14+1)*Assumptions!$B$11*0.95+0.05*Projects!$B$14*Assumptions!$B$11,Projects!$B$14*INDEX(Curves!$B$2:$AO$2,1,10-Projects!$C$14+1)*Assumptions!$B$11*0.95),0)+IF(AND(Projects!$G$15="Yes",10&gt;=Projects!$C$15,10&lt;Projects!$C$15+Projects!$D$15),IF(10=Projects!$C$15+Projects!$D$15-1,Projects!$B$15*INDEX(Curves!$B$4:$AO$4,1,10-Projects!$C$15+1)*Assumptions!$B$11*0.95+0.05*Projects!$B$15*Assumptions!$B$11,Projects!$B$15*INDEX(Curves!$B$4:$AO$4,1,10-Projects!$C$15+1)*Assumptions!$B$11*0.95),0)+IF(AND(Projects!$G$16="Yes",10&gt;=Projects!$C$16,10&lt;Projects!$C$16+Projects!$D$16),IF(10=Projects!$C$16+Projects!$D$16-1,Projects!$B$16*INDEX(Curves!$B$4:$AO$4,1,10-Projects!$C$16+1)*Assumptions!$B$11*0.95+0.05*Projects!$B$16*Assumptions!$B$11,Projects!$B$16*INDEX(Curves!$B$4:$AO$4,1,10-Projects!$C$16+1)*Assumptions!$B$11*0.95),0)</f>
        <v>331742.93509370496</v>
      </c>
      <c r="M9" s="8">
        <f>IF(AND(Projects!$G$2="Yes",11&gt;=Projects!$C$2,11&lt;Projects!$C$2+Projects!$D$2),IF(11=Projects!$C$2+Projects!$D$2-1,Projects!$B$2*INDEX(Curves!$B$6:$AO$6,1,11-Projects!$C$2+1)*Assumptions!$B$11*0.95+0.05*Projects!$B$2*Assumptions!$B$11,Projects!$B$2*INDEX(Curves!$B$6:$AO$6,1,11-Projects!$C$2+1)*Assumptions!$B$11*0.95),0)+IF(AND(Projects!$G$3="Yes",11&gt;=Projects!$C$3,11&lt;Projects!$C$3+Projects!$D$3),IF(11=Projects!$C$3+Projects!$D$3-1,Projects!$B$3*INDEX(Curves!$B$7:$AO$7,1,11-Projects!$C$3+1)*Assumptions!$B$11*0.95+0.05*Projects!$B$3*Assumptions!$B$11,Projects!$B$3*INDEX(Curves!$B$7:$AO$7,1,11-Projects!$C$3+1)*Assumptions!$B$11*0.95),0)+IF(AND(Projects!$G$4="Yes",11&gt;=Projects!$C$4,11&lt;Projects!$C$4+Projects!$D$4),IF(11=Projects!$C$4+Projects!$D$4-1,Projects!$B$4*INDEX(Curves!$B$8:$AO$8,1,11-Projects!$C$4+1)*Assumptions!$B$11*0.95+0.05*Projects!$B$4*Assumptions!$B$11,Projects!$B$4*INDEX(Curves!$B$8:$AO$8,1,11-Projects!$C$4+1)*Assumptions!$B$11*0.95),0)+IF(AND(Projects!$G$5="Yes",11&gt;=Projects!$C$5,11&lt;Projects!$C$5+Projects!$D$5),IF(11=Projects!$C$5+Projects!$D$5-1,Projects!$B$5*INDEX(Curves!$B$9:$AO$9,1,11-Projects!$C$5+1)*Assumptions!$B$11*0.95+0.05*Projects!$B$5*Assumptions!$B$11,Projects!$B$5*INDEX(Curves!$B$9:$AO$9,1,11-Projects!$C$5+1)*Assumptions!$B$11*0.95),0)+IF(AND(Projects!$G$6="Yes",11&gt;=Projects!$C$6,11&lt;Projects!$C$6+Projects!$D$6),IF(11=Projects!$C$6+Projects!$D$6-1,Projects!$B$6*INDEX(Curves!$B$4:$AO$4,1,11-Projects!$C$6+1)*Assumptions!$B$11*0.95+0.05*Projects!$B$6*Assumptions!$B$11,Projects!$B$6*INDEX(Curves!$B$4:$AO$4,1,11-Projects!$C$6+1)*Assumptions!$B$11*0.95),0)+IF(AND(Projects!$G$7="Yes",11&gt;=Projects!$C$7,11&lt;Projects!$C$7+Projects!$D$7),IF(11=Projects!$C$7+Projects!$D$7-1,Projects!$B$7*INDEX(Curves!$B$3:$AO$3,1,11-Projects!$C$7+1)*Assumptions!$B$11*0.95+0.05*Projects!$B$7*Assumptions!$B$11,Projects!$B$7*INDEX(Curves!$B$3:$AO$3,1,11-Projects!$C$7+1)*Assumptions!$B$11*0.95),0)+IF(AND(Projects!$G$8="Yes",11&gt;=Projects!$C$8,11&lt;Projects!$C$8+Projects!$D$8),IF(11=Projects!$C$8+Projects!$D$8-1,Projects!$B$8*INDEX(Curves!$B$4:$AO$4,1,11-Projects!$C$8+1)*Assumptions!$B$11*0.95+0.05*Projects!$B$8*Assumptions!$B$11,Projects!$B$8*INDEX(Curves!$B$4:$AO$4,1,11-Projects!$C$8+1)*Assumptions!$B$11*0.95),0)+IF(AND(Projects!$G$9="Yes",11&gt;=Projects!$C$9,11&lt;Projects!$C$9+Projects!$D$9),IF(11=Projects!$C$9+Projects!$D$9-1,Projects!$B$9*INDEX(Curves!$B$2:$AO$2,1,11-Projects!$C$9+1)*Assumptions!$B$11*0.95+0.05*Projects!$B$9*Assumptions!$B$11,Projects!$B$9*INDEX(Curves!$B$2:$AO$2,1,11-Projects!$C$9+1)*Assumptions!$B$11*0.95),0)+IF(AND(Projects!$G$10="Yes",11&gt;=Projects!$C$10,11&lt;Projects!$C$10+Projects!$D$10),IF(11=Projects!$C$10+Projects!$D$10-1,Projects!$B$10*INDEX(Curves!$B$4:$AO$4,1,11-Projects!$C$10+1)*Assumptions!$B$11*0.95+0.05*Projects!$B$10*Assumptions!$B$11,Projects!$B$10*INDEX(Curves!$B$4:$AO$4,1,11-Projects!$C$10+1)*Assumptions!$B$11*0.95),0)+IF(AND(Projects!$G$11="Yes",11&gt;=Projects!$C$11,11&lt;Projects!$C$11+Projects!$D$11),IF(11=Projects!$C$11+Projects!$D$11-1,Projects!$B$11*INDEX(Curves!$B$4:$AO$4,1,11-Projects!$C$11+1)*Assumptions!$B$11*0.95+0.05*Projects!$B$11*Assumptions!$B$11,Projects!$B$11*INDEX(Curves!$B$4:$AO$4,1,11-Projects!$C$11+1)*Assumptions!$B$11*0.95),0)+IF(AND(Projects!$G$12="Yes",11&gt;=Projects!$C$12,11&lt;Projects!$C$12+Projects!$D$12),IF(11=Projects!$C$12+Projects!$D$12-1,Projects!$B$12*INDEX(Curves!$B$4:$AO$4,1,11-Projects!$C$12+1)*Assumptions!$B$11*0.95+0.05*Projects!$B$12*Assumptions!$B$11,Projects!$B$12*INDEX(Curves!$B$4:$AO$4,1,11-Projects!$C$12+1)*Assumptions!$B$11*0.95),0)+IF(AND(Projects!$G$13="Yes",11&gt;=Projects!$C$13,11&lt;Projects!$C$13+Projects!$D$13),IF(11=Projects!$C$13+Projects!$D$13-1,Projects!$B$13*INDEX(Curves!$B$2:$AO$2,1,11-Projects!$C$13+1)*Assumptions!$B$11*0.95+0.05*Projects!$B$13*Assumptions!$B$11,Projects!$B$13*INDEX(Curves!$B$2:$AO$2,1,11-Projects!$C$13+1)*Assumptions!$B$11*0.95),0)+IF(AND(Projects!$G$14="Yes",11&gt;=Projects!$C$14,11&lt;Projects!$C$14+Projects!$D$14),IF(11=Projects!$C$14+Projects!$D$14-1,Projects!$B$14*INDEX(Curves!$B$2:$AO$2,1,11-Projects!$C$14+1)*Assumptions!$B$11*0.95+0.05*Projects!$B$14*Assumptions!$B$11,Projects!$B$14*INDEX(Curves!$B$2:$AO$2,1,11-Projects!$C$14+1)*Assumptions!$B$11*0.95),0)+IF(AND(Projects!$G$15="Yes",11&gt;=Projects!$C$15,11&lt;Projects!$C$15+Projects!$D$15),IF(11=Projects!$C$15+Projects!$D$15-1,Projects!$B$15*INDEX(Curves!$B$4:$AO$4,1,11-Projects!$C$15+1)*Assumptions!$B$11*0.95+0.05*Projects!$B$15*Assumptions!$B$11,Projects!$B$15*INDEX(Curves!$B$4:$AO$4,1,11-Projects!$C$15+1)*Assumptions!$B$11*0.95),0)+IF(AND(Projects!$G$16="Yes",11&gt;=Projects!$C$16,11&lt;Projects!$C$16+Projects!$D$16),IF(11=Projects!$C$16+Projects!$D$16-1,Projects!$B$16*INDEX(Curves!$B$4:$AO$4,1,11-Projects!$C$16+1)*Assumptions!$B$11*0.95+0.05*Projects!$B$16*Assumptions!$B$11,Projects!$B$16*INDEX(Curves!$B$4:$AO$4,1,11-Projects!$C$16+1)*Assumptions!$B$11*0.95),0)</f>
        <v>337803.34648757917</v>
      </c>
      <c r="N9" s="8">
        <f>IF(AND(Projects!$G$2="Yes",12&gt;=Projects!$C$2,12&lt;Projects!$C$2+Projects!$D$2),IF(12=Projects!$C$2+Projects!$D$2-1,Projects!$B$2*INDEX(Curves!$B$6:$AO$6,1,12-Projects!$C$2+1)*Assumptions!$B$11*0.95+0.05*Projects!$B$2*Assumptions!$B$11,Projects!$B$2*INDEX(Curves!$B$6:$AO$6,1,12-Projects!$C$2+1)*Assumptions!$B$11*0.95),0)+IF(AND(Projects!$G$3="Yes",12&gt;=Projects!$C$3,12&lt;Projects!$C$3+Projects!$D$3),IF(12=Projects!$C$3+Projects!$D$3-1,Projects!$B$3*INDEX(Curves!$B$7:$AO$7,1,12-Projects!$C$3+1)*Assumptions!$B$11*0.95+0.05*Projects!$B$3*Assumptions!$B$11,Projects!$B$3*INDEX(Curves!$B$7:$AO$7,1,12-Projects!$C$3+1)*Assumptions!$B$11*0.95),0)+IF(AND(Projects!$G$4="Yes",12&gt;=Projects!$C$4,12&lt;Projects!$C$4+Projects!$D$4),IF(12=Projects!$C$4+Projects!$D$4-1,Projects!$B$4*INDEX(Curves!$B$8:$AO$8,1,12-Projects!$C$4+1)*Assumptions!$B$11*0.95+0.05*Projects!$B$4*Assumptions!$B$11,Projects!$B$4*INDEX(Curves!$B$8:$AO$8,1,12-Projects!$C$4+1)*Assumptions!$B$11*0.95),0)+IF(AND(Projects!$G$5="Yes",12&gt;=Projects!$C$5,12&lt;Projects!$C$5+Projects!$D$5),IF(12=Projects!$C$5+Projects!$D$5-1,Projects!$B$5*INDEX(Curves!$B$9:$AO$9,1,12-Projects!$C$5+1)*Assumptions!$B$11*0.95+0.05*Projects!$B$5*Assumptions!$B$11,Projects!$B$5*INDEX(Curves!$B$9:$AO$9,1,12-Projects!$C$5+1)*Assumptions!$B$11*0.95),0)+IF(AND(Projects!$G$6="Yes",12&gt;=Projects!$C$6,12&lt;Projects!$C$6+Projects!$D$6),IF(12=Projects!$C$6+Projects!$D$6-1,Projects!$B$6*INDEX(Curves!$B$4:$AO$4,1,12-Projects!$C$6+1)*Assumptions!$B$11*0.95+0.05*Projects!$B$6*Assumptions!$B$11,Projects!$B$6*INDEX(Curves!$B$4:$AO$4,1,12-Projects!$C$6+1)*Assumptions!$B$11*0.95),0)+IF(AND(Projects!$G$7="Yes",12&gt;=Projects!$C$7,12&lt;Projects!$C$7+Projects!$D$7),IF(12=Projects!$C$7+Projects!$D$7-1,Projects!$B$7*INDEX(Curves!$B$3:$AO$3,1,12-Projects!$C$7+1)*Assumptions!$B$11*0.95+0.05*Projects!$B$7*Assumptions!$B$11,Projects!$B$7*INDEX(Curves!$B$3:$AO$3,1,12-Projects!$C$7+1)*Assumptions!$B$11*0.95),0)+IF(AND(Projects!$G$8="Yes",12&gt;=Projects!$C$8,12&lt;Projects!$C$8+Projects!$D$8),IF(12=Projects!$C$8+Projects!$D$8-1,Projects!$B$8*INDEX(Curves!$B$4:$AO$4,1,12-Projects!$C$8+1)*Assumptions!$B$11*0.95+0.05*Projects!$B$8*Assumptions!$B$11,Projects!$B$8*INDEX(Curves!$B$4:$AO$4,1,12-Projects!$C$8+1)*Assumptions!$B$11*0.95),0)+IF(AND(Projects!$G$9="Yes",12&gt;=Projects!$C$9,12&lt;Projects!$C$9+Projects!$D$9),IF(12=Projects!$C$9+Projects!$D$9-1,Projects!$B$9*INDEX(Curves!$B$2:$AO$2,1,12-Projects!$C$9+1)*Assumptions!$B$11*0.95+0.05*Projects!$B$9*Assumptions!$B$11,Projects!$B$9*INDEX(Curves!$B$2:$AO$2,1,12-Projects!$C$9+1)*Assumptions!$B$11*0.95),0)+IF(AND(Projects!$G$10="Yes",12&gt;=Projects!$C$10,12&lt;Projects!$C$10+Projects!$D$10),IF(12=Projects!$C$10+Projects!$D$10-1,Projects!$B$10*INDEX(Curves!$B$4:$AO$4,1,12-Projects!$C$10+1)*Assumptions!$B$11*0.95+0.05*Projects!$B$10*Assumptions!$B$11,Projects!$B$10*INDEX(Curves!$B$4:$AO$4,1,12-Projects!$C$10+1)*Assumptions!$B$11*0.95),0)+IF(AND(Projects!$G$11="Yes",12&gt;=Projects!$C$11,12&lt;Projects!$C$11+Projects!$D$11),IF(12=Projects!$C$11+Projects!$D$11-1,Projects!$B$11*INDEX(Curves!$B$4:$AO$4,1,12-Projects!$C$11+1)*Assumptions!$B$11*0.95+0.05*Projects!$B$11*Assumptions!$B$11,Projects!$B$11*INDEX(Curves!$B$4:$AO$4,1,12-Projects!$C$11+1)*Assumptions!$B$11*0.95),0)+IF(AND(Projects!$G$12="Yes",12&gt;=Projects!$C$12,12&lt;Projects!$C$12+Projects!$D$12),IF(12=Projects!$C$12+Projects!$D$12-1,Projects!$B$12*INDEX(Curves!$B$4:$AO$4,1,12-Projects!$C$12+1)*Assumptions!$B$11*0.95+0.05*Projects!$B$12*Assumptions!$B$11,Projects!$B$12*INDEX(Curves!$B$4:$AO$4,1,12-Projects!$C$12+1)*Assumptions!$B$11*0.95),0)+IF(AND(Projects!$G$13="Yes",12&gt;=Projects!$C$13,12&lt;Projects!$C$13+Projects!$D$13),IF(12=Projects!$C$13+Projects!$D$13-1,Projects!$B$13*INDEX(Curves!$B$2:$AO$2,1,12-Projects!$C$13+1)*Assumptions!$B$11*0.95+0.05*Projects!$B$13*Assumptions!$B$11,Projects!$B$13*INDEX(Curves!$B$2:$AO$2,1,12-Projects!$C$13+1)*Assumptions!$B$11*0.95),0)+IF(AND(Projects!$G$14="Yes",12&gt;=Projects!$C$14,12&lt;Projects!$C$14+Projects!$D$14),IF(12=Projects!$C$14+Projects!$D$14-1,Projects!$B$14*INDEX(Curves!$B$2:$AO$2,1,12-Projects!$C$14+1)*Assumptions!$B$11*0.95+0.05*Projects!$B$14*Assumptions!$B$11,Projects!$B$14*INDEX(Curves!$B$2:$AO$2,1,12-Projects!$C$14+1)*Assumptions!$B$11*0.95),0)+IF(AND(Projects!$G$15="Yes",12&gt;=Projects!$C$15,12&lt;Projects!$C$15+Projects!$D$15),IF(12=Projects!$C$15+Projects!$D$15-1,Projects!$B$15*INDEX(Curves!$B$4:$AO$4,1,12-Projects!$C$15+1)*Assumptions!$B$11*0.95+0.05*Projects!$B$15*Assumptions!$B$11,Projects!$B$15*INDEX(Curves!$B$4:$AO$4,1,12-Projects!$C$15+1)*Assumptions!$B$11*0.95),0)+IF(AND(Projects!$G$16="Yes",12&gt;=Projects!$C$16,12&lt;Projects!$C$16+Projects!$D$16),IF(12=Projects!$C$16+Projects!$D$16-1,Projects!$B$16*INDEX(Curves!$B$4:$AO$4,1,12-Projects!$C$16+1)*Assumptions!$B$11*0.95+0.05*Projects!$B$16*Assumptions!$B$11,Projects!$B$16*INDEX(Curves!$B$4:$AO$4,1,12-Projects!$C$16+1)*Assumptions!$B$11*0.95),0)</f>
        <v>341114.35047317913</v>
      </c>
      <c r="O9" s="8">
        <f>IF(AND(Projects!$G$2="Yes",13&gt;=Projects!$C$2,13&lt;Projects!$C$2+Projects!$D$2),IF(13=Projects!$C$2+Projects!$D$2-1,Projects!$B$2*INDEX(Curves!$B$6:$AO$6,1,13-Projects!$C$2+1)*Assumptions!$B$11*0.95+0.05*Projects!$B$2*Assumptions!$B$11,Projects!$B$2*INDEX(Curves!$B$6:$AO$6,1,13-Projects!$C$2+1)*Assumptions!$B$11*0.95),0)+IF(AND(Projects!$G$3="Yes",13&gt;=Projects!$C$3,13&lt;Projects!$C$3+Projects!$D$3),IF(13=Projects!$C$3+Projects!$D$3-1,Projects!$B$3*INDEX(Curves!$B$7:$AO$7,1,13-Projects!$C$3+1)*Assumptions!$B$11*0.95+0.05*Projects!$B$3*Assumptions!$B$11,Projects!$B$3*INDEX(Curves!$B$7:$AO$7,1,13-Projects!$C$3+1)*Assumptions!$B$11*0.95),0)+IF(AND(Projects!$G$4="Yes",13&gt;=Projects!$C$4,13&lt;Projects!$C$4+Projects!$D$4),IF(13=Projects!$C$4+Projects!$D$4-1,Projects!$B$4*INDEX(Curves!$B$8:$AO$8,1,13-Projects!$C$4+1)*Assumptions!$B$11*0.95+0.05*Projects!$B$4*Assumptions!$B$11,Projects!$B$4*INDEX(Curves!$B$8:$AO$8,1,13-Projects!$C$4+1)*Assumptions!$B$11*0.95),0)+IF(AND(Projects!$G$5="Yes",13&gt;=Projects!$C$5,13&lt;Projects!$C$5+Projects!$D$5),IF(13=Projects!$C$5+Projects!$D$5-1,Projects!$B$5*INDEX(Curves!$B$9:$AO$9,1,13-Projects!$C$5+1)*Assumptions!$B$11*0.95+0.05*Projects!$B$5*Assumptions!$B$11,Projects!$B$5*INDEX(Curves!$B$9:$AO$9,1,13-Projects!$C$5+1)*Assumptions!$B$11*0.95),0)+IF(AND(Projects!$G$6="Yes",13&gt;=Projects!$C$6,13&lt;Projects!$C$6+Projects!$D$6),IF(13=Projects!$C$6+Projects!$D$6-1,Projects!$B$6*INDEX(Curves!$B$4:$AO$4,1,13-Projects!$C$6+1)*Assumptions!$B$11*0.95+0.05*Projects!$B$6*Assumptions!$B$11,Projects!$B$6*INDEX(Curves!$B$4:$AO$4,1,13-Projects!$C$6+1)*Assumptions!$B$11*0.95),0)+IF(AND(Projects!$G$7="Yes",13&gt;=Projects!$C$7,13&lt;Projects!$C$7+Projects!$D$7),IF(13=Projects!$C$7+Projects!$D$7-1,Projects!$B$7*INDEX(Curves!$B$3:$AO$3,1,13-Projects!$C$7+1)*Assumptions!$B$11*0.95+0.05*Projects!$B$7*Assumptions!$B$11,Projects!$B$7*INDEX(Curves!$B$3:$AO$3,1,13-Projects!$C$7+1)*Assumptions!$B$11*0.95),0)+IF(AND(Projects!$G$8="Yes",13&gt;=Projects!$C$8,13&lt;Projects!$C$8+Projects!$D$8),IF(13=Projects!$C$8+Projects!$D$8-1,Projects!$B$8*INDEX(Curves!$B$4:$AO$4,1,13-Projects!$C$8+1)*Assumptions!$B$11*0.95+0.05*Projects!$B$8*Assumptions!$B$11,Projects!$B$8*INDEX(Curves!$B$4:$AO$4,1,13-Projects!$C$8+1)*Assumptions!$B$11*0.95),0)+IF(AND(Projects!$G$9="Yes",13&gt;=Projects!$C$9,13&lt;Projects!$C$9+Projects!$D$9),IF(13=Projects!$C$9+Projects!$D$9-1,Projects!$B$9*INDEX(Curves!$B$2:$AO$2,1,13-Projects!$C$9+1)*Assumptions!$B$11*0.95+0.05*Projects!$B$9*Assumptions!$B$11,Projects!$B$9*INDEX(Curves!$B$2:$AO$2,1,13-Projects!$C$9+1)*Assumptions!$B$11*0.95),0)+IF(AND(Projects!$G$10="Yes",13&gt;=Projects!$C$10,13&lt;Projects!$C$10+Projects!$D$10),IF(13=Projects!$C$10+Projects!$D$10-1,Projects!$B$10*INDEX(Curves!$B$4:$AO$4,1,13-Projects!$C$10+1)*Assumptions!$B$11*0.95+0.05*Projects!$B$10*Assumptions!$B$11,Projects!$B$10*INDEX(Curves!$B$4:$AO$4,1,13-Projects!$C$10+1)*Assumptions!$B$11*0.95),0)+IF(AND(Projects!$G$11="Yes",13&gt;=Projects!$C$11,13&lt;Projects!$C$11+Projects!$D$11),IF(13=Projects!$C$11+Projects!$D$11-1,Projects!$B$11*INDEX(Curves!$B$4:$AO$4,1,13-Projects!$C$11+1)*Assumptions!$B$11*0.95+0.05*Projects!$B$11*Assumptions!$B$11,Projects!$B$11*INDEX(Curves!$B$4:$AO$4,1,13-Projects!$C$11+1)*Assumptions!$B$11*0.95),0)+IF(AND(Projects!$G$12="Yes",13&gt;=Projects!$C$12,13&lt;Projects!$C$12+Projects!$D$12),IF(13=Projects!$C$12+Projects!$D$12-1,Projects!$B$12*INDEX(Curves!$B$4:$AO$4,1,13-Projects!$C$12+1)*Assumptions!$B$11*0.95+0.05*Projects!$B$12*Assumptions!$B$11,Projects!$B$12*INDEX(Curves!$B$4:$AO$4,1,13-Projects!$C$12+1)*Assumptions!$B$11*0.95),0)+IF(AND(Projects!$G$13="Yes",13&gt;=Projects!$C$13,13&lt;Projects!$C$13+Projects!$D$13),IF(13=Projects!$C$13+Projects!$D$13-1,Projects!$B$13*INDEX(Curves!$B$2:$AO$2,1,13-Projects!$C$13+1)*Assumptions!$B$11*0.95+0.05*Projects!$B$13*Assumptions!$B$11,Projects!$B$13*INDEX(Curves!$B$2:$AO$2,1,13-Projects!$C$13+1)*Assumptions!$B$11*0.95),0)+IF(AND(Projects!$G$14="Yes",13&gt;=Projects!$C$14,13&lt;Projects!$C$14+Projects!$D$14),IF(13=Projects!$C$14+Projects!$D$14-1,Projects!$B$14*INDEX(Curves!$B$2:$AO$2,1,13-Projects!$C$14+1)*Assumptions!$B$11*0.95+0.05*Projects!$B$14*Assumptions!$B$11,Projects!$B$14*INDEX(Curves!$B$2:$AO$2,1,13-Projects!$C$14+1)*Assumptions!$B$11*0.95),0)+IF(AND(Projects!$G$15="Yes",13&gt;=Projects!$C$15,13&lt;Projects!$C$15+Projects!$D$15),IF(13=Projects!$C$15+Projects!$D$15-1,Projects!$B$15*INDEX(Curves!$B$4:$AO$4,1,13-Projects!$C$15+1)*Assumptions!$B$11*0.95+0.05*Projects!$B$15*Assumptions!$B$11,Projects!$B$15*INDEX(Curves!$B$4:$AO$4,1,13-Projects!$C$15+1)*Assumptions!$B$11*0.95),0)+IF(AND(Projects!$G$16="Yes",13&gt;=Projects!$C$16,13&lt;Projects!$C$16+Projects!$D$16),IF(13=Projects!$C$16+Projects!$D$16-1,Projects!$B$16*INDEX(Curves!$B$4:$AO$4,1,13-Projects!$C$16+1)*Assumptions!$B$11*0.95+0.05*Projects!$B$16*Assumptions!$B$11,Projects!$B$16*INDEX(Curves!$B$4:$AO$4,1,13-Projects!$C$16+1)*Assumptions!$B$11*0.95),0)</f>
        <v>375233.60159289383</v>
      </c>
      <c r="P9" s="8">
        <f>IF(AND(Projects!$G$2="Yes",14&gt;=Projects!$C$2,14&lt;Projects!$C$2+Projects!$D$2),IF(14=Projects!$C$2+Projects!$D$2-1,Projects!$B$2*INDEX(Curves!$B$6:$AO$6,1,14-Projects!$C$2+1)*Assumptions!$B$11*0.95+0.05*Projects!$B$2*Assumptions!$B$11,Projects!$B$2*INDEX(Curves!$B$6:$AO$6,1,14-Projects!$C$2+1)*Assumptions!$B$11*0.95),0)+IF(AND(Projects!$G$3="Yes",14&gt;=Projects!$C$3,14&lt;Projects!$C$3+Projects!$D$3),IF(14=Projects!$C$3+Projects!$D$3-1,Projects!$B$3*INDEX(Curves!$B$7:$AO$7,1,14-Projects!$C$3+1)*Assumptions!$B$11*0.95+0.05*Projects!$B$3*Assumptions!$B$11,Projects!$B$3*INDEX(Curves!$B$7:$AO$7,1,14-Projects!$C$3+1)*Assumptions!$B$11*0.95),0)+IF(AND(Projects!$G$4="Yes",14&gt;=Projects!$C$4,14&lt;Projects!$C$4+Projects!$D$4),IF(14=Projects!$C$4+Projects!$D$4-1,Projects!$B$4*INDEX(Curves!$B$8:$AO$8,1,14-Projects!$C$4+1)*Assumptions!$B$11*0.95+0.05*Projects!$B$4*Assumptions!$B$11,Projects!$B$4*INDEX(Curves!$B$8:$AO$8,1,14-Projects!$C$4+1)*Assumptions!$B$11*0.95),0)+IF(AND(Projects!$G$5="Yes",14&gt;=Projects!$C$5,14&lt;Projects!$C$5+Projects!$D$5),IF(14=Projects!$C$5+Projects!$D$5-1,Projects!$B$5*INDEX(Curves!$B$9:$AO$9,1,14-Projects!$C$5+1)*Assumptions!$B$11*0.95+0.05*Projects!$B$5*Assumptions!$B$11,Projects!$B$5*INDEX(Curves!$B$9:$AO$9,1,14-Projects!$C$5+1)*Assumptions!$B$11*0.95),0)+IF(AND(Projects!$G$6="Yes",14&gt;=Projects!$C$6,14&lt;Projects!$C$6+Projects!$D$6),IF(14=Projects!$C$6+Projects!$D$6-1,Projects!$B$6*INDEX(Curves!$B$4:$AO$4,1,14-Projects!$C$6+1)*Assumptions!$B$11*0.95+0.05*Projects!$B$6*Assumptions!$B$11,Projects!$B$6*INDEX(Curves!$B$4:$AO$4,1,14-Projects!$C$6+1)*Assumptions!$B$11*0.95),0)+IF(AND(Projects!$G$7="Yes",14&gt;=Projects!$C$7,14&lt;Projects!$C$7+Projects!$D$7),IF(14=Projects!$C$7+Projects!$D$7-1,Projects!$B$7*INDEX(Curves!$B$3:$AO$3,1,14-Projects!$C$7+1)*Assumptions!$B$11*0.95+0.05*Projects!$B$7*Assumptions!$B$11,Projects!$B$7*INDEX(Curves!$B$3:$AO$3,1,14-Projects!$C$7+1)*Assumptions!$B$11*0.95),0)+IF(AND(Projects!$G$8="Yes",14&gt;=Projects!$C$8,14&lt;Projects!$C$8+Projects!$D$8),IF(14=Projects!$C$8+Projects!$D$8-1,Projects!$B$8*INDEX(Curves!$B$4:$AO$4,1,14-Projects!$C$8+1)*Assumptions!$B$11*0.95+0.05*Projects!$B$8*Assumptions!$B$11,Projects!$B$8*INDEX(Curves!$B$4:$AO$4,1,14-Projects!$C$8+1)*Assumptions!$B$11*0.95),0)+IF(AND(Projects!$G$9="Yes",14&gt;=Projects!$C$9,14&lt;Projects!$C$9+Projects!$D$9),IF(14=Projects!$C$9+Projects!$D$9-1,Projects!$B$9*INDEX(Curves!$B$2:$AO$2,1,14-Projects!$C$9+1)*Assumptions!$B$11*0.95+0.05*Projects!$B$9*Assumptions!$B$11,Projects!$B$9*INDEX(Curves!$B$2:$AO$2,1,14-Projects!$C$9+1)*Assumptions!$B$11*0.95),0)+IF(AND(Projects!$G$10="Yes",14&gt;=Projects!$C$10,14&lt;Projects!$C$10+Projects!$D$10),IF(14=Projects!$C$10+Projects!$D$10-1,Projects!$B$10*INDEX(Curves!$B$4:$AO$4,1,14-Projects!$C$10+1)*Assumptions!$B$11*0.95+0.05*Projects!$B$10*Assumptions!$B$11,Projects!$B$10*INDEX(Curves!$B$4:$AO$4,1,14-Projects!$C$10+1)*Assumptions!$B$11*0.95),0)+IF(AND(Projects!$G$11="Yes",14&gt;=Projects!$C$11,14&lt;Projects!$C$11+Projects!$D$11),IF(14=Projects!$C$11+Projects!$D$11-1,Projects!$B$11*INDEX(Curves!$B$4:$AO$4,1,14-Projects!$C$11+1)*Assumptions!$B$11*0.95+0.05*Projects!$B$11*Assumptions!$B$11,Projects!$B$11*INDEX(Curves!$B$4:$AO$4,1,14-Projects!$C$11+1)*Assumptions!$B$11*0.95),0)+IF(AND(Projects!$G$12="Yes",14&gt;=Projects!$C$12,14&lt;Projects!$C$12+Projects!$D$12),IF(14=Projects!$C$12+Projects!$D$12-1,Projects!$B$12*INDEX(Curves!$B$4:$AO$4,1,14-Projects!$C$12+1)*Assumptions!$B$11*0.95+0.05*Projects!$B$12*Assumptions!$B$11,Projects!$B$12*INDEX(Curves!$B$4:$AO$4,1,14-Projects!$C$12+1)*Assumptions!$B$11*0.95),0)+IF(AND(Projects!$G$13="Yes",14&gt;=Projects!$C$13,14&lt;Projects!$C$13+Projects!$D$13),IF(14=Projects!$C$13+Projects!$D$13-1,Projects!$B$13*INDEX(Curves!$B$2:$AO$2,1,14-Projects!$C$13+1)*Assumptions!$B$11*0.95+0.05*Projects!$B$13*Assumptions!$B$11,Projects!$B$13*INDEX(Curves!$B$2:$AO$2,1,14-Projects!$C$13+1)*Assumptions!$B$11*0.95),0)+IF(AND(Projects!$G$14="Yes",14&gt;=Projects!$C$14,14&lt;Projects!$C$14+Projects!$D$14),IF(14=Projects!$C$14+Projects!$D$14-1,Projects!$B$14*INDEX(Curves!$B$2:$AO$2,1,14-Projects!$C$14+1)*Assumptions!$B$11*0.95+0.05*Projects!$B$14*Assumptions!$B$11,Projects!$B$14*INDEX(Curves!$B$2:$AO$2,1,14-Projects!$C$14+1)*Assumptions!$B$11*0.95),0)+IF(AND(Projects!$G$15="Yes",14&gt;=Projects!$C$15,14&lt;Projects!$C$15+Projects!$D$15),IF(14=Projects!$C$15+Projects!$D$15-1,Projects!$B$15*INDEX(Curves!$B$4:$AO$4,1,14-Projects!$C$15+1)*Assumptions!$B$11*0.95+0.05*Projects!$B$15*Assumptions!$B$11,Projects!$B$15*INDEX(Curves!$B$4:$AO$4,1,14-Projects!$C$15+1)*Assumptions!$B$11*0.95),0)+IF(AND(Projects!$G$16="Yes",14&gt;=Projects!$C$16,14&lt;Projects!$C$16+Projects!$D$16),IF(14=Projects!$C$16+Projects!$D$16-1,Projects!$B$16*INDEX(Curves!$B$4:$AO$4,1,14-Projects!$C$16+1)*Assumptions!$B$11*0.95+0.05*Projects!$B$16*Assumptions!$B$11,Projects!$B$16*INDEX(Curves!$B$4:$AO$4,1,14-Projects!$C$16+1)*Assumptions!$B$11*0.95),0)</f>
        <v>377610.00392675539</v>
      </c>
      <c r="Q9" s="8">
        <f>IF(AND(Projects!$G$2="Yes",15&gt;=Projects!$C$2,15&lt;Projects!$C$2+Projects!$D$2),IF(15=Projects!$C$2+Projects!$D$2-1,Projects!$B$2*INDEX(Curves!$B$6:$AO$6,1,15-Projects!$C$2+1)*Assumptions!$B$11*0.95+0.05*Projects!$B$2*Assumptions!$B$11,Projects!$B$2*INDEX(Curves!$B$6:$AO$6,1,15-Projects!$C$2+1)*Assumptions!$B$11*0.95),0)+IF(AND(Projects!$G$3="Yes",15&gt;=Projects!$C$3,15&lt;Projects!$C$3+Projects!$D$3),IF(15=Projects!$C$3+Projects!$D$3-1,Projects!$B$3*INDEX(Curves!$B$7:$AO$7,1,15-Projects!$C$3+1)*Assumptions!$B$11*0.95+0.05*Projects!$B$3*Assumptions!$B$11,Projects!$B$3*INDEX(Curves!$B$7:$AO$7,1,15-Projects!$C$3+1)*Assumptions!$B$11*0.95),0)+IF(AND(Projects!$G$4="Yes",15&gt;=Projects!$C$4,15&lt;Projects!$C$4+Projects!$D$4),IF(15=Projects!$C$4+Projects!$D$4-1,Projects!$B$4*INDEX(Curves!$B$8:$AO$8,1,15-Projects!$C$4+1)*Assumptions!$B$11*0.95+0.05*Projects!$B$4*Assumptions!$B$11,Projects!$B$4*INDEX(Curves!$B$8:$AO$8,1,15-Projects!$C$4+1)*Assumptions!$B$11*0.95),0)+IF(AND(Projects!$G$5="Yes",15&gt;=Projects!$C$5,15&lt;Projects!$C$5+Projects!$D$5),IF(15=Projects!$C$5+Projects!$D$5-1,Projects!$B$5*INDEX(Curves!$B$9:$AO$9,1,15-Projects!$C$5+1)*Assumptions!$B$11*0.95+0.05*Projects!$B$5*Assumptions!$B$11,Projects!$B$5*INDEX(Curves!$B$9:$AO$9,1,15-Projects!$C$5+1)*Assumptions!$B$11*0.95),0)+IF(AND(Projects!$G$6="Yes",15&gt;=Projects!$C$6,15&lt;Projects!$C$6+Projects!$D$6),IF(15=Projects!$C$6+Projects!$D$6-1,Projects!$B$6*INDEX(Curves!$B$4:$AO$4,1,15-Projects!$C$6+1)*Assumptions!$B$11*0.95+0.05*Projects!$B$6*Assumptions!$B$11,Projects!$B$6*INDEX(Curves!$B$4:$AO$4,1,15-Projects!$C$6+1)*Assumptions!$B$11*0.95),0)+IF(AND(Projects!$G$7="Yes",15&gt;=Projects!$C$7,15&lt;Projects!$C$7+Projects!$D$7),IF(15=Projects!$C$7+Projects!$D$7-1,Projects!$B$7*INDEX(Curves!$B$3:$AO$3,1,15-Projects!$C$7+1)*Assumptions!$B$11*0.95+0.05*Projects!$B$7*Assumptions!$B$11,Projects!$B$7*INDEX(Curves!$B$3:$AO$3,1,15-Projects!$C$7+1)*Assumptions!$B$11*0.95),0)+IF(AND(Projects!$G$8="Yes",15&gt;=Projects!$C$8,15&lt;Projects!$C$8+Projects!$D$8),IF(15=Projects!$C$8+Projects!$D$8-1,Projects!$B$8*INDEX(Curves!$B$4:$AO$4,1,15-Projects!$C$8+1)*Assumptions!$B$11*0.95+0.05*Projects!$B$8*Assumptions!$B$11,Projects!$B$8*INDEX(Curves!$B$4:$AO$4,1,15-Projects!$C$8+1)*Assumptions!$B$11*0.95),0)+IF(AND(Projects!$G$9="Yes",15&gt;=Projects!$C$9,15&lt;Projects!$C$9+Projects!$D$9),IF(15=Projects!$C$9+Projects!$D$9-1,Projects!$B$9*INDEX(Curves!$B$2:$AO$2,1,15-Projects!$C$9+1)*Assumptions!$B$11*0.95+0.05*Projects!$B$9*Assumptions!$B$11,Projects!$B$9*INDEX(Curves!$B$2:$AO$2,1,15-Projects!$C$9+1)*Assumptions!$B$11*0.95),0)+IF(AND(Projects!$G$10="Yes",15&gt;=Projects!$C$10,15&lt;Projects!$C$10+Projects!$D$10),IF(15=Projects!$C$10+Projects!$D$10-1,Projects!$B$10*INDEX(Curves!$B$4:$AO$4,1,15-Projects!$C$10+1)*Assumptions!$B$11*0.95+0.05*Projects!$B$10*Assumptions!$B$11,Projects!$B$10*INDEX(Curves!$B$4:$AO$4,1,15-Projects!$C$10+1)*Assumptions!$B$11*0.95),0)+IF(AND(Projects!$G$11="Yes",15&gt;=Projects!$C$11,15&lt;Projects!$C$11+Projects!$D$11),IF(15=Projects!$C$11+Projects!$D$11-1,Projects!$B$11*INDEX(Curves!$B$4:$AO$4,1,15-Projects!$C$11+1)*Assumptions!$B$11*0.95+0.05*Projects!$B$11*Assumptions!$B$11,Projects!$B$11*INDEX(Curves!$B$4:$AO$4,1,15-Projects!$C$11+1)*Assumptions!$B$11*0.95),0)+IF(AND(Projects!$G$12="Yes",15&gt;=Projects!$C$12,15&lt;Projects!$C$12+Projects!$D$12),IF(15=Projects!$C$12+Projects!$D$12-1,Projects!$B$12*INDEX(Curves!$B$4:$AO$4,1,15-Projects!$C$12+1)*Assumptions!$B$11*0.95+0.05*Projects!$B$12*Assumptions!$B$11,Projects!$B$12*INDEX(Curves!$B$4:$AO$4,1,15-Projects!$C$12+1)*Assumptions!$B$11*0.95),0)+IF(AND(Projects!$G$13="Yes",15&gt;=Projects!$C$13,15&lt;Projects!$C$13+Projects!$D$13),IF(15=Projects!$C$13+Projects!$D$13-1,Projects!$B$13*INDEX(Curves!$B$2:$AO$2,1,15-Projects!$C$13+1)*Assumptions!$B$11*0.95+0.05*Projects!$B$13*Assumptions!$B$11,Projects!$B$13*INDEX(Curves!$B$2:$AO$2,1,15-Projects!$C$13+1)*Assumptions!$B$11*0.95),0)+IF(AND(Projects!$G$14="Yes",15&gt;=Projects!$C$14,15&lt;Projects!$C$14+Projects!$D$14),IF(15=Projects!$C$14+Projects!$D$14-1,Projects!$B$14*INDEX(Curves!$B$2:$AO$2,1,15-Projects!$C$14+1)*Assumptions!$B$11*0.95+0.05*Projects!$B$14*Assumptions!$B$11,Projects!$B$14*INDEX(Curves!$B$2:$AO$2,1,15-Projects!$C$14+1)*Assumptions!$B$11*0.95),0)+IF(AND(Projects!$G$15="Yes",15&gt;=Projects!$C$15,15&lt;Projects!$C$15+Projects!$D$15),IF(15=Projects!$C$15+Projects!$D$15-1,Projects!$B$15*INDEX(Curves!$B$4:$AO$4,1,15-Projects!$C$15+1)*Assumptions!$B$11*0.95+0.05*Projects!$B$15*Assumptions!$B$11,Projects!$B$15*INDEX(Curves!$B$4:$AO$4,1,15-Projects!$C$15+1)*Assumptions!$B$11*0.95),0)+IF(AND(Projects!$G$16="Yes",15&gt;=Projects!$C$16,15&lt;Projects!$C$16+Projects!$D$16),IF(15=Projects!$C$16+Projects!$D$16-1,Projects!$B$16*INDEX(Curves!$B$4:$AO$4,1,15-Projects!$C$16+1)*Assumptions!$B$11*0.95+0.05*Projects!$B$16*Assumptions!$B$11,Projects!$B$16*INDEX(Curves!$B$4:$AO$4,1,15-Projects!$C$16+1)*Assumptions!$B$11*0.95),0)</f>
        <v>441257.46921641566</v>
      </c>
      <c r="R9" s="8">
        <f>IF(AND(Projects!$G$2="Yes",16&gt;=Projects!$C$2,16&lt;Projects!$C$2+Projects!$D$2),IF(16=Projects!$C$2+Projects!$D$2-1,Projects!$B$2*INDEX(Curves!$B$6:$AO$6,1,16-Projects!$C$2+1)*Assumptions!$B$11*0.95+0.05*Projects!$B$2*Assumptions!$B$11,Projects!$B$2*INDEX(Curves!$B$6:$AO$6,1,16-Projects!$C$2+1)*Assumptions!$B$11*0.95),0)+IF(AND(Projects!$G$3="Yes",16&gt;=Projects!$C$3,16&lt;Projects!$C$3+Projects!$D$3),IF(16=Projects!$C$3+Projects!$D$3-1,Projects!$B$3*INDEX(Curves!$B$7:$AO$7,1,16-Projects!$C$3+1)*Assumptions!$B$11*0.95+0.05*Projects!$B$3*Assumptions!$B$11,Projects!$B$3*INDEX(Curves!$B$7:$AO$7,1,16-Projects!$C$3+1)*Assumptions!$B$11*0.95),0)+IF(AND(Projects!$G$4="Yes",16&gt;=Projects!$C$4,16&lt;Projects!$C$4+Projects!$D$4),IF(16=Projects!$C$4+Projects!$D$4-1,Projects!$B$4*INDEX(Curves!$B$8:$AO$8,1,16-Projects!$C$4+1)*Assumptions!$B$11*0.95+0.05*Projects!$B$4*Assumptions!$B$11,Projects!$B$4*INDEX(Curves!$B$8:$AO$8,1,16-Projects!$C$4+1)*Assumptions!$B$11*0.95),0)+IF(AND(Projects!$G$5="Yes",16&gt;=Projects!$C$5,16&lt;Projects!$C$5+Projects!$D$5),IF(16=Projects!$C$5+Projects!$D$5-1,Projects!$B$5*INDEX(Curves!$B$9:$AO$9,1,16-Projects!$C$5+1)*Assumptions!$B$11*0.95+0.05*Projects!$B$5*Assumptions!$B$11,Projects!$B$5*INDEX(Curves!$B$9:$AO$9,1,16-Projects!$C$5+1)*Assumptions!$B$11*0.95),0)+IF(AND(Projects!$G$6="Yes",16&gt;=Projects!$C$6,16&lt;Projects!$C$6+Projects!$D$6),IF(16=Projects!$C$6+Projects!$D$6-1,Projects!$B$6*INDEX(Curves!$B$4:$AO$4,1,16-Projects!$C$6+1)*Assumptions!$B$11*0.95+0.05*Projects!$B$6*Assumptions!$B$11,Projects!$B$6*INDEX(Curves!$B$4:$AO$4,1,16-Projects!$C$6+1)*Assumptions!$B$11*0.95),0)+IF(AND(Projects!$G$7="Yes",16&gt;=Projects!$C$7,16&lt;Projects!$C$7+Projects!$D$7),IF(16=Projects!$C$7+Projects!$D$7-1,Projects!$B$7*INDEX(Curves!$B$3:$AO$3,1,16-Projects!$C$7+1)*Assumptions!$B$11*0.95+0.05*Projects!$B$7*Assumptions!$B$11,Projects!$B$7*INDEX(Curves!$B$3:$AO$3,1,16-Projects!$C$7+1)*Assumptions!$B$11*0.95),0)+IF(AND(Projects!$G$8="Yes",16&gt;=Projects!$C$8,16&lt;Projects!$C$8+Projects!$D$8),IF(16=Projects!$C$8+Projects!$D$8-1,Projects!$B$8*INDEX(Curves!$B$4:$AO$4,1,16-Projects!$C$8+1)*Assumptions!$B$11*0.95+0.05*Projects!$B$8*Assumptions!$B$11,Projects!$B$8*INDEX(Curves!$B$4:$AO$4,1,16-Projects!$C$8+1)*Assumptions!$B$11*0.95),0)+IF(AND(Projects!$G$9="Yes",16&gt;=Projects!$C$9,16&lt;Projects!$C$9+Projects!$D$9),IF(16=Projects!$C$9+Projects!$D$9-1,Projects!$B$9*INDEX(Curves!$B$2:$AO$2,1,16-Projects!$C$9+1)*Assumptions!$B$11*0.95+0.05*Projects!$B$9*Assumptions!$B$11,Projects!$B$9*INDEX(Curves!$B$2:$AO$2,1,16-Projects!$C$9+1)*Assumptions!$B$11*0.95),0)+IF(AND(Projects!$G$10="Yes",16&gt;=Projects!$C$10,16&lt;Projects!$C$10+Projects!$D$10),IF(16=Projects!$C$10+Projects!$D$10-1,Projects!$B$10*INDEX(Curves!$B$4:$AO$4,1,16-Projects!$C$10+1)*Assumptions!$B$11*0.95+0.05*Projects!$B$10*Assumptions!$B$11,Projects!$B$10*INDEX(Curves!$B$4:$AO$4,1,16-Projects!$C$10+1)*Assumptions!$B$11*0.95),0)+IF(AND(Projects!$G$11="Yes",16&gt;=Projects!$C$11,16&lt;Projects!$C$11+Projects!$D$11),IF(16=Projects!$C$11+Projects!$D$11-1,Projects!$B$11*INDEX(Curves!$B$4:$AO$4,1,16-Projects!$C$11+1)*Assumptions!$B$11*0.95+0.05*Projects!$B$11*Assumptions!$B$11,Projects!$B$11*INDEX(Curves!$B$4:$AO$4,1,16-Projects!$C$11+1)*Assumptions!$B$11*0.95),0)+IF(AND(Projects!$G$12="Yes",16&gt;=Projects!$C$12,16&lt;Projects!$C$12+Projects!$D$12),IF(16=Projects!$C$12+Projects!$D$12-1,Projects!$B$12*INDEX(Curves!$B$4:$AO$4,1,16-Projects!$C$12+1)*Assumptions!$B$11*0.95+0.05*Projects!$B$12*Assumptions!$B$11,Projects!$B$12*INDEX(Curves!$B$4:$AO$4,1,16-Projects!$C$12+1)*Assumptions!$B$11*0.95),0)+IF(AND(Projects!$G$13="Yes",16&gt;=Projects!$C$13,16&lt;Projects!$C$13+Projects!$D$13),IF(16=Projects!$C$13+Projects!$D$13-1,Projects!$B$13*INDEX(Curves!$B$2:$AO$2,1,16-Projects!$C$13+1)*Assumptions!$B$11*0.95+0.05*Projects!$B$13*Assumptions!$B$11,Projects!$B$13*INDEX(Curves!$B$2:$AO$2,1,16-Projects!$C$13+1)*Assumptions!$B$11*0.95),0)+IF(AND(Projects!$G$14="Yes",16&gt;=Projects!$C$14,16&lt;Projects!$C$14+Projects!$D$14),IF(16=Projects!$C$14+Projects!$D$14-1,Projects!$B$14*INDEX(Curves!$B$2:$AO$2,1,16-Projects!$C$14+1)*Assumptions!$B$11*0.95+0.05*Projects!$B$14*Assumptions!$B$11,Projects!$B$14*INDEX(Curves!$B$2:$AO$2,1,16-Projects!$C$14+1)*Assumptions!$B$11*0.95),0)+IF(AND(Projects!$G$15="Yes",16&gt;=Projects!$C$15,16&lt;Projects!$C$15+Projects!$D$15),IF(16=Projects!$C$15+Projects!$D$15-1,Projects!$B$15*INDEX(Curves!$B$4:$AO$4,1,16-Projects!$C$15+1)*Assumptions!$B$11*0.95+0.05*Projects!$B$15*Assumptions!$B$11,Projects!$B$15*INDEX(Curves!$B$4:$AO$4,1,16-Projects!$C$15+1)*Assumptions!$B$11*0.95),0)+IF(AND(Projects!$G$16="Yes",16&gt;=Projects!$C$16,16&lt;Projects!$C$16+Projects!$D$16),IF(16=Projects!$C$16+Projects!$D$16-1,Projects!$B$16*INDEX(Curves!$B$4:$AO$4,1,16-Projects!$C$16+1)*Assumptions!$B$11*0.95+0.05*Projects!$B$16*Assumptions!$B$11,Projects!$B$16*INDEX(Curves!$B$4:$AO$4,1,16-Projects!$C$16+1)*Assumptions!$B$11*0.95),0)</f>
        <v>392730.86262589373</v>
      </c>
      <c r="S9" s="8">
        <f>IF(AND(Projects!$G$2="Yes",17&gt;=Projects!$C$2,17&lt;Projects!$C$2+Projects!$D$2),IF(17=Projects!$C$2+Projects!$D$2-1,Projects!$B$2*INDEX(Curves!$B$6:$AO$6,1,17-Projects!$C$2+1)*Assumptions!$B$11*0.95+0.05*Projects!$B$2*Assumptions!$B$11,Projects!$B$2*INDEX(Curves!$B$6:$AO$6,1,17-Projects!$C$2+1)*Assumptions!$B$11*0.95),0)+IF(AND(Projects!$G$3="Yes",17&gt;=Projects!$C$3,17&lt;Projects!$C$3+Projects!$D$3),IF(17=Projects!$C$3+Projects!$D$3-1,Projects!$B$3*INDEX(Curves!$B$7:$AO$7,1,17-Projects!$C$3+1)*Assumptions!$B$11*0.95+0.05*Projects!$B$3*Assumptions!$B$11,Projects!$B$3*INDEX(Curves!$B$7:$AO$7,1,17-Projects!$C$3+1)*Assumptions!$B$11*0.95),0)+IF(AND(Projects!$G$4="Yes",17&gt;=Projects!$C$4,17&lt;Projects!$C$4+Projects!$D$4),IF(17=Projects!$C$4+Projects!$D$4-1,Projects!$B$4*INDEX(Curves!$B$8:$AO$8,1,17-Projects!$C$4+1)*Assumptions!$B$11*0.95+0.05*Projects!$B$4*Assumptions!$B$11,Projects!$B$4*INDEX(Curves!$B$8:$AO$8,1,17-Projects!$C$4+1)*Assumptions!$B$11*0.95),0)+IF(AND(Projects!$G$5="Yes",17&gt;=Projects!$C$5,17&lt;Projects!$C$5+Projects!$D$5),IF(17=Projects!$C$5+Projects!$D$5-1,Projects!$B$5*INDEX(Curves!$B$9:$AO$9,1,17-Projects!$C$5+1)*Assumptions!$B$11*0.95+0.05*Projects!$B$5*Assumptions!$B$11,Projects!$B$5*INDEX(Curves!$B$9:$AO$9,1,17-Projects!$C$5+1)*Assumptions!$B$11*0.95),0)+IF(AND(Projects!$G$6="Yes",17&gt;=Projects!$C$6,17&lt;Projects!$C$6+Projects!$D$6),IF(17=Projects!$C$6+Projects!$D$6-1,Projects!$B$6*INDEX(Curves!$B$4:$AO$4,1,17-Projects!$C$6+1)*Assumptions!$B$11*0.95+0.05*Projects!$B$6*Assumptions!$B$11,Projects!$B$6*INDEX(Curves!$B$4:$AO$4,1,17-Projects!$C$6+1)*Assumptions!$B$11*0.95),0)+IF(AND(Projects!$G$7="Yes",17&gt;=Projects!$C$7,17&lt;Projects!$C$7+Projects!$D$7),IF(17=Projects!$C$7+Projects!$D$7-1,Projects!$B$7*INDEX(Curves!$B$3:$AO$3,1,17-Projects!$C$7+1)*Assumptions!$B$11*0.95+0.05*Projects!$B$7*Assumptions!$B$11,Projects!$B$7*INDEX(Curves!$B$3:$AO$3,1,17-Projects!$C$7+1)*Assumptions!$B$11*0.95),0)+IF(AND(Projects!$G$8="Yes",17&gt;=Projects!$C$8,17&lt;Projects!$C$8+Projects!$D$8),IF(17=Projects!$C$8+Projects!$D$8-1,Projects!$B$8*INDEX(Curves!$B$4:$AO$4,1,17-Projects!$C$8+1)*Assumptions!$B$11*0.95+0.05*Projects!$B$8*Assumptions!$B$11,Projects!$B$8*INDEX(Curves!$B$4:$AO$4,1,17-Projects!$C$8+1)*Assumptions!$B$11*0.95),0)+IF(AND(Projects!$G$9="Yes",17&gt;=Projects!$C$9,17&lt;Projects!$C$9+Projects!$D$9),IF(17=Projects!$C$9+Projects!$D$9-1,Projects!$B$9*INDEX(Curves!$B$2:$AO$2,1,17-Projects!$C$9+1)*Assumptions!$B$11*0.95+0.05*Projects!$B$9*Assumptions!$B$11,Projects!$B$9*INDEX(Curves!$B$2:$AO$2,1,17-Projects!$C$9+1)*Assumptions!$B$11*0.95),0)+IF(AND(Projects!$G$10="Yes",17&gt;=Projects!$C$10,17&lt;Projects!$C$10+Projects!$D$10),IF(17=Projects!$C$10+Projects!$D$10-1,Projects!$B$10*INDEX(Curves!$B$4:$AO$4,1,17-Projects!$C$10+1)*Assumptions!$B$11*0.95+0.05*Projects!$B$10*Assumptions!$B$11,Projects!$B$10*INDEX(Curves!$B$4:$AO$4,1,17-Projects!$C$10+1)*Assumptions!$B$11*0.95),0)+IF(AND(Projects!$G$11="Yes",17&gt;=Projects!$C$11,17&lt;Projects!$C$11+Projects!$D$11),IF(17=Projects!$C$11+Projects!$D$11-1,Projects!$B$11*INDEX(Curves!$B$4:$AO$4,1,17-Projects!$C$11+1)*Assumptions!$B$11*0.95+0.05*Projects!$B$11*Assumptions!$B$11,Projects!$B$11*INDEX(Curves!$B$4:$AO$4,1,17-Projects!$C$11+1)*Assumptions!$B$11*0.95),0)+IF(AND(Projects!$G$12="Yes",17&gt;=Projects!$C$12,17&lt;Projects!$C$12+Projects!$D$12),IF(17=Projects!$C$12+Projects!$D$12-1,Projects!$B$12*INDEX(Curves!$B$4:$AO$4,1,17-Projects!$C$12+1)*Assumptions!$B$11*0.95+0.05*Projects!$B$12*Assumptions!$B$11,Projects!$B$12*INDEX(Curves!$B$4:$AO$4,1,17-Projects!$C$12+1)*Assumptions!$B$11*0.95),0)+IF(AND(Projects!$G$13="Yes",17&gt;=Projects!$C$13,17&lt;Projects!$C$13+Projects!$D$13),IF(17=Projects!$C$13+Projects!$D$13-1,Projects!$B$13*INDEX(Curves!$B$2:$AO$2,1,17-Projects!$C$13+1)*Assumptions!$B$11*0.95+0.05*Projects!$B$13*Assumptions!$B$11,Projects!$B$13*INDEX(Curves!$B$2:$AO$2,1,17-Projects!$C$13+1)*Assumptions!$B$11*0.95),0)+IF(AND(Projects!$G$14="Yes",17&gt;=Projects!$C$14,17&lt;Projects!$C$14+Projects!$D$14),IF(17=Projects!$C$14+Projects!$D$14-1,Projects!$B$14*INDEX(Curves!$B$2:$AO$2,1,17-Projects!$C$14+1)*Assumptions!$B$11*0.95+0.05*Projects!$B$14*Assumptions!$B$11,Projects!$B$14*INDEX(Curves!$B$2:$AO$2,1,17-Projects!$C$14+1)*Assumptions!$B$11*0.95),0)+IF(AND(Projects!$G$15="Yes",17&gt;=Projects!$C$15,17&lt;Projects!$C$15+Projects!$D$15),IF(17=Projects!$C$15+Projects!$D$15-1,Projects!$B$15*INDEX(Curves!$B$4:$AO$4,1,17-Projects!$C$15+1)*Assumptions!$B$11*0.95+0.05*Projects!$B$15*Assumptions!$B$11,Projects!$B$15*INDEX(Curves!$B$4:$AO$4,1,17-Projects!$C$15+1)*Assumptions!$B$11*0.95),0)+IF(AND(Projects!$G$16="Yes",17&gt;=Projects!$C$16,17&lt;Projects!$C$16+Projects!$D$16),IF(17=Projects!$C$16+Projects!$D$16-1,Projects!$B$16*INDEX(Curves!$B$4:$AO$4,1,17-Projects!$C$16+1)*Assumptions!$B$11*0.95+0.05*Projects!$B$16*Assumptions!$B$11,Projects!$B$16*INDEX(Curves!$B$4:$AO$4,1,17-Projects!$C$16+1)*Assumptions!$B$11*0.95),0)</f>
        <v>321720.56832284655</v>
      </c>
      <c r="T9" s="8">
        <f>IF(AND(Projects!$G$2="Yes",18&gt;=Projects!$C$2,18&lt;Projects!$C$2+Projects!$D$2),IF(18=Projects!$C$2+Projects!$D$2-1,Projects!$B$2*INDEX(Curves!$B$6:$AO$6,1,18-Projects!$C$2+1)*Assumptions!$B$11*0.95+0.05*Projects!$B$2*Assumptions!$B$11,Projects!$B$2*INDEX(Curves!$B$6:$AO$6,1,18-Projects!$C$2+1)*Assumptions!$B$11*0.95),0)+IF(AND(Projects!$G$3="Yes",18&gt;=Projects!$C$3,18&lt;Projects!$C$3+Projects!$D$3),IF(18=Projects!$C$3+Projects!$D$3-1,Projects!$B$3*INDEX(Curves!$B$7:$AO$7,1,18-Projects!$C$3+1)*Assumptions!$B$11*0.95+0.05*Projects!$B$3*Assumptions!$B$11,Projects!$B$3*INDEX(Curves!$B$7:$AO$7,1,18-Projects!$C$3+1)*Assumptions!$B$11*0.95),0)+IF(AND(Projects!$G$4="Yes",18&gt;=Projects!$C$4,18&lt;Projects!$C$4+Projects!$D$4),IF(18=Projects!$C$4+Projects!$D$4-1,Projects!$B$4*INDEX(Curves!$B$8:$AO$8,1,18-Projects!$C$4+1)*Assumptions!$B$11*0.95+0.05*Projects!$B$4*Assumptions!$B$11,Projects!$B$4*INDEX(Curves!$B$8:$AO$8,1,18-Projects!$C$4+1)*Assumptions!$B$11*0.95),0)+IF(AND(Projects!$G$5="Yes",18&gt;=Projects!$C$5,18&lt;Projects!$C$5+Projects!$D$5),IF(18=Projects!$C$5+Projects!$D$5-1,Projects!$B$5*INDEX(Curves!$B$9:$AO$9,1,18-Projects!$C$5+1)*Assumptions!$B$11*0.95+0.05*Projects!$B$5*Assumptions!$B$11,Projects!$B$5*INDEX(Curves!$B$9:$AO$9,1,18-Projects!$C$5+1)*Assumptions!$B$11*0.95),0)+IF(AND(Projects!$G$6="Yes",18&gt;=Projects!$C$6,18&lt;Projects!$C$6+Projects!$D$6),IF(18=Projects!$C$6+Projects!$D$6-1,Projects!$B$6*INDEX(Curves!$B$4:$AO$4,1,18-Projects!$C$6+1)*Assumptions!$B$11*0.95+0.05*Projects!$B$6*Assumptions!$B$11,Projects!$B$6*INDEX(Curves!$B$4:$AO$4,1,18-Projects!$C$6+1)*Assumptions!$B$11*0.95),0)+IF(AND(Projects!$G$7="Yes",18&gt;=Projects!$C$7,18&lt;Projects!$C$7+Projects!$D$7),IF(18=Projects!$C$7+Projects!$D$7-1,Projects!$B$7*INDEX(Curves!$B$3:$AO$3,1,18-Projects!$C$7+1)*Assumptions!$B$11*0.95+0.05*Projects!$B$7*Assumptions!$B$11,Projects!$B$7*INDEX(Curves!$B$3:$AO$3,1,18-Projects!$C$7+1)*Assumptions!$B$11*0.95),0)+IF(AND(Projects!$G$8="Yes",18&gt;=Projects!$C$8,18&lt;Projects!$C$8+Projects!$D$8),IF(18=Projects!$C$8+Projects!$D$8-1,Projects!$B$8*INDEX(Curves!$B$4:$AO$4,1,18-Projects!$C$8+1)*Assumptions!$B$11*0.95+0.05*Projects!$B$8*Assumptions!$B$11,Projects!$B$8*INDEX(Curves!$B$4:$AO$4,1,18-Projects!$C$8+1)*Assumptions!$B$11*0.95),0)+IF(AND(Projects!$G$9="Yes",18&gt;=Projects!$C$9,18&lt;Projects!$C$9+Projects!$D$9),IF(18=Projects!$C$9+Projects!$D$9-1,Projects!$B$9*INDEX(Curves!$B$2:$AO$2,1,18-Projects!$C$9+1)*Assumptions!$B$11*0.95+0.05*Projects!$B$9*Assumptions!$B$11,Projects!$B$9*INDEX(Curves!$B$2:$AO$2,1,18-Projects!$C$9+1)*Assumptions!$B$11*0.95),0)+IF(AND(Projects!$G$10="Yes",18&gt;=Projects!$C$10,18&lt;Projects!$C$10+Projects!$D$10),IF(18=Projects!$C$10+Projects!$D$10-1,Projects!$B$10*INDEX(Curves!$B$4:$AO$4,1,18-Projects!$C$10+1)*Assumptions!$B$11*0.95+0.05*Projects!$B$10*Assumptions!$B$11,Projects!$B$10*INDEX(Curves!$B$4:$AO$4,1,18-Projects!$C$10+1)*Assumptions!$B$11*0.95),0)+IF(AND(Projects!$G$11="Yes",18&gt;=Projects!$C$11,18&lt;Projects!$C$11+Projects!$D$11),IF(18=Projects!$C$11+Projects!$D$11-1,Projects!$B$11*INDEX(Curves!$B$4:$AO$4,1,18-Projects!$C$11+1)*Assumptions!$B$11*0.95+0.05*Projects!$B$11*Assumptions!$B$11,Projects!$B$11*INDEX(Curves!$B$4:$AO$4,1,18-Projects!$C$11+1)*Assumptions!$B$11*0.95),0)+IF(AND(Projects!$G$12="Yes",18&gt;=Projects!$C$12,18&lt;Projects!$C$12+Projects!$D$12),IF(18=Projects!$C$12+Projects!$D$12-1,Projects!$B$12*INDEX(Curves!$B$4:$AO$4,1,18-Projects!$C$12+1)*Assumptions!$B$11*0.95+0.05*Projects!$B$12*Assumptions!$B$11,Projects!$B$12*INDEX(Curves!$B$4:$AO$4,1,18-Projects!$C$12+1)*Assumptions!$B$11*0.95),0)+IF(AND(Projects!$G$13="Yes",18&gt;=Projects!$C$13,18&lt;Projects!$C$13+Projects!$D$13),IF(18=Projects!$C$13+Projects!$D$13-1,Projects!$B$13*INDEX(Curves!$B$2:$AO$2,1,18-Projects!$C$13+1)*Assumptions!$B$11*0.95+0.05*Projects!$B$13*Assumptions!$B$11,Projects!$B$13*INDEX(Curves!$B$2:$AO$2,1,18-Projects!$C$13+1)*Assumptions!$B$11*0.95),0)+IF(AND(Projects!$G$14="Yes",18&gt;=Projects!$C$14,18&lt;Projects!$C$14+Projects!$D$14),IF(18=Projects!$C$14+Projects!$D$14-1,Projects!$B$14*INDEX(Curves!$B$2:$AO$2,1,18-Projects!$C$14+1)*Assumptions!$B$11*0.95+0.05*Projects!$B$14*Assumptions!$B$11,Projects!$B$14*INDEX(Curves!$B$2:$AO$2,1,18-Projects!$C$14+1)*Assumptions!$B$11*0.95),0)+IF(AND(Projects!$G$15="Yes",18&gt;=Projects!$C$15,18&lt;Projects!$C$15+Projects!$D$15),IF(18=Projects!$C$15+Projects!$D$15-1,Projects!$B$15*INDEX(Curves!$B$4:$AO$4,1,18-Projects!$C$15+1)*Assumptions!$B$11*0.95+0.05*Projects!$B$15*Assumptions!$B$11,Projects!$B$15*INDEX(Curves!$B$4:$AO$4,1,18-Projects!$C$15+1)*Assumptions!$B$11*0.95),0)+IF(AND(Projects!$G$16="Yes",18&gt;=Projects!$C$16,18&lt;Projects!$C$16+Projects!$D$16),IF(18=Projects!$C$16+Projects!$D$16-1,Projects!$B$16*INDEX(Curves!$B$4:$AO$4,1,18-Projects!$C$16+1)*Assumptions!$B$11*0.95+0.05*Projects!$B$16*Assumptions!$B$11,Projects!$B$16*INDEX(Curves!$B$4:$AO$4,1,18-Projects!$C$16+1)*Assumptions!$B$11*0.95),0)</f>
        <v>321682.88845438632</v>
      </c>
      <c r="U9" s="8">
        <f>IF(AND(Projects!$G$2="Yes",19&gt;=Projects!$C$2,19&lt;Projects!$C$2+Projects!$D$2),IF(19=Projects!$C$2+Projects!$D$2-1,Projects!$B$2*INDEX(Curves!$B$6:$AO$6,1,19-Projects!$C$2+1)*Assumptions!$B$11*0.95+0.05*Projects!$B$2*Assumptions!$B$11,Projects!$B$2*INDEX(Curves!$B$6:$AO$6,1,19-Projects!$C$2+1)*Assumptions!$B$11*0.95),0)+IF(AND(Projects!$G$3="Yes",19&gt;=Projects!$C$3,19&lt;Projects!$C$3+Projects!$D$3),IF(19=Projects!$C$3+Projects!$D$3-1,Projects!$B$3*INDEX(Curves!$B$7:$AO$7,1,19-Projects!$C$3+1)*Assumptions!$B$11*0.95+0.05*Projects!$B$3*Assumptions!$B$11,Projects!$B$3*INDEX(Curves!$B$7:$AO$7,1,19-Projects!$C$3+1)*Assumptions!$B$11*0.95),0)+IF(AND(Projects!$G$4="Yes",19&gt;=Projects!$C$4,19&lt;Projects!$C$4+Projects!$D$4),IF(19=Projects!$C$4+Projects!$D$4-1,Projects!$B$4*INDEX(Curves!$B$8:$AO$8,1,19-Projects!$C$4+1)*Assumptions!$B$11*0.95+0.05*Projects!$B$4*Assumptions!$B$11,Projects!$B$4*INDEX(Curves!$B$8:$AO$8,1,19-Projects!$C$4+1)*Assumptions!$B$11*0.95),0)+IF(AND(Projects!$G$5="Yes",19&gt;=Projects!$C$5,19&lt;Projects!$C$5+Projects!$D$5),IF(19=Projects!$C$5+Projects!$D$5-1,Projects!$B$5*INDEX(Curves!$B$9:$AO$9,1,19-Projects!$C$5+1)*Assumptions!$B$11*0.95+0.05*Projects!$B$5*Assumptions!$B$11,Projects!$B$5*INDEX(Curves!$B$9:$AO$9,1,19-Projects!$C$5+1)*Assumptions!$B$11*0.95),0)+IF(AND(Projects!$G$6="Yes",19&gt;=Projects!$C$6,19&lt;Projects!$C$6+Projects!$D$6),IF(19=Projects!$C$6+Projects!$D$6-1,Projects!$B$6*INDEX(Curves!$B$4:$AO$4,1,19-Projects!$C$6+1)*Assumptions!$B$11*0.95+0.05*Projects!$B$6*Assumptions!$B$11,Projects!$B$6*INDEX(Curves!$B$4:$AO$4,1,19-Projects!$C$6+1)*Assumptions!$B$11*0.95),0)+IF(AND(Projects!$G$7="Yes",19&gt;=Projects!$C$7,19&lt;Projects!$C$7+Projects!$D$7),IF(19=Projects!$C$7+Projects!$D$7-1,Projects!$B$7*INDEX(Curves!$B$3:$AO$3,1,19-Projects!$C$7+1)*Assumptions!$B$11*0.95+0.05*Projects!$B$7*Assumptions!$B$11,Projects!$B$7*INDEX(Curves!$B$3:$AO$3,1,19-Projects!$C$7+1)*Assumptions!$B$11*0.95),0)+IF(AND(Projects!$G$8="Yes",19&gt;=Projects!$C$8,19&lt;Projects!$C$8+Projects!$D$8),IF(19=Projects!$C$8+Projects!$D$8-1,Projects!$B$8*INDEX(Curves!$B$4:$AO$4,1,19-Projects!$C$8+1)*Assumptions!$B$11*0.95+0.05*Projects!$B$8*Assumptions!$B$11,Projects!$B$8*INDEX(Curves!$B$4:$AO$4,1,19-Projects!$C$8+1)*Assumptions!$B$11*0.95),0)+IF(AND(Projects!$G$9="Yes",19&gt;=Projects!$C$9,19&lt;Projects!$C$9+Projects!$D$9),IF(19=Projects!$C$9+Projects!$D$9-1,Projects!$B$9*INDEX(Curves!$B$2:$AO$2,1,19-Projects!$C$9+1)*Assumptions!$B$11*0.95+0.05*Projects!$B$9*Assumptions!$B$11,Projects!$B$9*INDEX(Curves!$B$2:$AO$2,1,19-Projects!$C$9+1)*Assumptions!$B$11*0.95),0)+IF(AND(Projects!$G$10="Yes",19&gt;=Projects!$C$10,19&lt;Projects!$C$10+Projects!$D$10),IF(19=Projects!$C$10+Projects!$D$10-1,Projects!$B$10*INDEX(Curves!$B$4:$AO$4,1,19-Projects!$C$10+1)*Assumptions!$B$11*0.95+0.05*Projects!$B$10*Assumptions!$B$11,Projects!$B$10*INDEX(Curves!$B$4:$AO$4,1,19-Projects!$C$10+1)*Assumptions!$B$11*0.95),0)+IF(AND(Projects!$G$11="Yes",19&gt;=Projects!$C$11,19&lt;Projects!$C$11+Projects!$D$11),IF(19=Projects!$C$11+Projects!$D$11-1,Projects!$B$11*INDEX(Curves!$B$4:$AO$4,1,19-Projects!$C$11+1)*Assumptions!$B$11*0.95+0.05*Projects!$B$11*Assumptions!$B$11,Projects!$B$11*INDEX(Curves!$B$4:$AO$4,1,19-Projects!$C$11+1)*Assumptions!$B$11*0.95),0)+IF(AND(Projects!$G$12="Yes",19&gt;=Projects!$C$12,19&lt;Projects!$C$12+Projects!$D$12),IF(19=Projects!$C$12+Projects!$D$12-1,Projects!$B$12*INDEX(Curves!$B$4:$AO$4,1,19-Projects!$C$12+1)*Assumptions!$B$11*0.95+0.05*Projects!$B$12*Assumptions!$B$11,Projects!$B$12*INDEX(Curves!$B$4:$AO$4,1,19-Projects!$C$12+1)*Assumptions!$B$11*0.95),0)+IF(AND(Projects!$G$13="Yes",19&gt;=Projects!$C$13,19&lt;Projects!$C$13+Projects!$D$13),IF(19=Projects!$C$13+Projects!$D$13-1,Projects!$B$13*INDEX(Curves!$B$2:$AO$2,1,19-Projects!$C$13+1)*Assumptions!$B$11*0.95+0.05*Projects!$B$13*Assumptions!$B$11,Projects!$B$13*INDEX(Curves!$B$2:$AO$2,1,19-Projects!$C$13+1)*Assumptions!$B$11*0.95),0)+IF(AND(Projects!$G$14="Yes",19&gt;=Projects!$C$14,19&lt;Projects!$C$14+Projects!$D$14),IF(19=Projects!$C$14+Projects!$D$14-1,Projects!$B$14*INDEX(Curves!$B$2:$AO$2,1,19-Projects!$C$14+1)*Assumptions!$B$11*0.95+0.05*Projects!$B$14*Assumptions!$B$11,Projects!$B$14*INDEX(Curves!$B$2:$AO$2,1,19-Projects!$C$14+1)*Assumptions!$B$11*0.95),0)+IF(AND(Projects!$G$15="Yes",19&gt;=Projects!$C$15,19&lt;Projects!$C$15+Projects!$D$15),IF(19=Projects!$C$15+Projects!$D$15-1,Projects!$B$15*INDEX(Curves!$B$4:$AO$4,1,19-Projects!$C$15+1)*Assumptions!$B$11*0.95+0.05*Projects!$B$15*Assumptions!$B$11,Projects!$B$15*INDEX(Curves!$B$4:$AO$4,1,19-Projects!$C$15+1)*Assumptions!$B$11*0.95),0)+IF(AND(Projects!$G$16="Yes",19&gt;=Projects!$C$16,19&lt;Projects!$C$16+Projects!$D$16),IF(19=Projects!$C$16+Projects!$D$16-1,Projects!$B$16*INDEX(Curves!$B$4:$AO$4,1,19-Projects!$C$16+1)*Assumptions!$B$11*0.95+0.05*Projects!$B$16*Assumptions!$B$11,Projects!$B$16*INDEX(Curves!$B$4:$AO$4,1,19-Projects!$C$16+1)*Assumptions!$B$11*0.95),0)</f>
        <v>326011.24985583109</v>
      </c>
      <c r="V9" s="8">
        <f>IF(AND(Projects!$G$2="Yes",20&gt;=Projects!$C$2,20&lt;Projects!$C$2+Projects!$D$2),IF(20=Projects!$C$2+Projects!$D$2-1,Projects!$B$2*INDEX(Curves!$B$6:$AO$6,1,20-Projects!$C$2+1)*Assumptions!$B$11*0.95+0.05*Projects!$B$2*Assumptions!$B$11,Projects!$B$2*INDEX(Curves!$B$6:$AO$6,1,20-Projects!$C$2+1)*Assumptions!$B$11*0.95),0)+IF(AND(Projects!$G$3="Yes",20&gt;=Projects!$C$3,20&lt;Projects!$C$3+Projects!$D$3),IF(20=Projects!$C$3+Projects!$D$3-1,Projects!$B$3*INDEX(Curves!$B$7:$AO$7,1,20-Projects!$C$3+1)*Assumptions!$B$11*0.95+0.05*Projects!$B$3*Assumptions!$B$11,Projects!$B$3*INDEX(Curves!$B$7:$AO$7,1,20-Projects!$C$3+1)*Assumptions!$B$11*0.95),0)+IF(AND(Projects!$G$4="Yes",20&gt;=Projects!$C$4,20&lt;Projects!$C$4+Projects!$D$4),IF(20=Projects!$C$4+Projects!$D$4-1,Projects!$B$4*INDEX(Curves!$B$8:$AO$8,1,20-Projects!$C$4+1)*Assumptions!$B$11*0.95+0.05*Projects!$B$4*Assumptions!$B$11,Projects!$B$4*INDEX(Curves!$B$8:$AO$8,1,20-Projects!$C$4+1)*Assumptions!$B$11*0.95),0)+IF(AND(Projects!$G$5="Yes",20&gt;=Projects!$C$5,20&lt;Projects!$C$5+Projects!$D$5),IF(20=Projects!$C$5+Projects!$D$5-1,Projects!$B$5*INDEX(Curves!$B$9:$AO$9,1,20-Projects!$C$5+1)*Assumptions!$B$11*0.95+0.05*Projects!$B$5*Assumptions!$B$11,Projects!$B$5*INDEX(Curves!$B$9:$AO$9,1,20-Projects!$C$5+1)*Assumptions!$B$11*0.95),0)+IF(AND(Projects!$G$6="Yes",20&gt;=Projects!$C$6,20&lt;Projects!$C$6+Projects!$D$6),IF(20=Projects!$C$6+Projects!$D$6-1,Projects!$B$6*INDEX(Curves!$B$4:$AO$4,1,20-Projects!$C$6+1)*Assumptions!$B$11*0.95+0.05*Projects!$B$6*Assumptions!$B$11,Projects!$B$6*INDEX(Curves!$B$4:$AO$4,1,20-Projects!$C$6+1)*Assumptions!$B$11*0.95),0)+IF(AND(Projects!$G$7="Yes",20&gt;=Projects!$C$7,20&lt;Projects!$C$7+Projects!$D$7),IF(20=Projects!$C$7+Projects!$D$7-1,Projects!$B$7*INDEX(Curves!$B$3:$AO$3,1,20-Projects!$C$7+1)*Assumptions!$B$11*0.95+0.05*Projects!$B$7*Assumptions!$B$11,Projects!$B$7*INDEX(Curves!$B$3:$AO$3,1,20-Projects!$C$7+1)*Assumptions!$B$11*0.95),0)+IF(AND(Projects!$G$8="Yes",20&gt;=Projects!$C$8,20&lt;Projects!$C$8+Projects!$D$8),IF(20=Projects!$C$8+Projects!$D$8-1,Projects!$B$8*INDEX(Curves!$B$4:$AO$4,1,20-Projects!$C$8+1)*Assumptions!$B$11*0.95+0.05*Projects!$B$8*Assumptions!$B$11,Projects!$B$8*INDEX(Curves!$B$4:$AO$4,1,20-Projects!$C$8+1)*Assumptions!$B$11*0.95),0)+IF(AND(Projects!$G$9="Yes",20&gt;=Projects!$C$9,20&lt;Projects!$C$9+Projects!$D$9),IF(20=Projects!$C$9+Projects!$D$9-1,Projects!$B$9*INDEX(Curves!$B$2:$AO$2,1,20-Projects!$C$9+1)*Assumptions!$B$11*0.95+0.05*Projects!$B$9*Assumptions!$B$11,Projects!$B$9*INDEX(Curves!$B$2:$AO$2,1,20-Projects!$C$9+1)*Assumptions!$B$11*0.95),0)+IF(AND(Projects!$G$10="Yes",20&gt;=Projects!$C$10,20&lt;Projects!$C$10+Projects!$D$10),IF(20=Projects!$C$10+Projects!$D$10-1,Projects!$B$10*INDEX(Curves!$B$4:$AO$4,1,20-Projects!$C$10+1)*Assumptions!$B$11*0.95+0.05*Projects!$B$10*Assumptions!$B$11,Projects!$B$10*INDEX(Curves!$B$4:$AO$4,1,20-Projects!$C$10+1)*Assumptions!$B$11*0.95),0)+IF(AND(Projects!$G$11="Yes",20&gt;=Projects!$C$11,20&lt;Projects!$C$11+Projects!$D$11),IF(20=Projects!$C$11+Projects!$D$11-1,Projects!$B$11*INDEX(Curves!$B$4:$AO$4,1,20-Projects!$C$11+1)*Assumptions!$B$11*0.95+0.05*Projects!$B$11*Assumptions!$B$11,Projects!$B$11*INDEX(Curves!$B$4:$AO$4,1,20-Projects!$C$11+1)*Assumptions!$B$11*0.95),0)+IF(AND(Projects!$G$12="Yes",20&gt;=Projects!$C$12,20&lt;Projects!$C$12+Projects!$D$12),IF(20=Projects!$C$12+Projects!$D$12-1,Projects!$B$12*INDEX(Curves!$B$4:$AO$4,1,20-Projects!$C$12+1)*Assumptions!$B$11*0.95+0.05*Projects!$B$12*Assumptions!$B$11,Projects!$B$12*INDEX(Curves!$B$4:$AO$4,1,20-Projects!$C$12+1)*Assumptions!$B$11*0.95),0)+IF(AND(Projects!$G$13="Yes",20&gt;=Projects!$C$13,20&lt;Projects!$C$13+Projects!$D$13),IF(20=Projects!$C$13+Projects!$D$13-1,Projects!$B$13*INDEX(Curves!$B$2:$AO$2,1,20-Projects!$C$13+1)*Assumptions!$B$11*0.95+0.05*Projects!$B$13*Assumptions!$B$11,Projects!$B$13*INDEX(Curves!$B$2:$AO$2,1,20-Projects!$C$13+1)*Assumptions!$B$11*0.95),0)+IF(AND(Projects!$G$14="Yes",20&gt;=Projects!$C$14,20&lt;Projects!$C$14+Projects!$D$14),IF(20=Projects!$C$14+Projects!$D$14-1,Projects!$B$14*INDEX(Curves!$B$2:$AO$2,1,20-Projects!$C$14+1)*Assumptions!$B$11*0.95+0.05*Projects!$B$14*Assumptions!$B$11,Projects!$B$14*INDEX(Curves!$B$2:$AO$2,1,20-Projects!$C$14+1)*Assumptions!$B$11*0.95),0)+IF(AND(Projects!$G$15="Yes",20&gt;=Projects!$C$15,20&lt;Projects!$C$15+Projects!$D$15),IF(20=Projects!$C$15+Projects!$D$15-1,Projects!$B$15*INDEX(Curves!$B$4:$AO$4,1,20-Projects!$C$15+1)*Assumptions!$B$11*0.95+0.05*Projects!$B$15*Assumptions!$B$11,Projects!$B$15*INDEX(Curves!$B$4:$AO$4,1,20-Projects!$C$15+1)*Assumptions!$B$11*0.95),0)+IF(AND(Projects!$G$16="Yes",20&gt;=Projects!$C$16,20&lt;Projects!$C$16+Projects!$D$16),IF(20=Projects!$C$16+Projects!$D$16-1,Projects!$B$16*INDEX(Curves!$B$4:$AO$4,1,20-Projects!$C$16+1)*Assumptions!$B$11*0.95+0.05*Projects!$B$16*Assumptions!$B$11,Projects!$B$16*INDEX(Curves!$B$4:$AO$4,1,20-Projects!$C$16+1)*Assumptions!$B$11*0.95),0)</f>
        <v>305191.79832866881</v>
      </c>
      <c r="W9" s="8">
        <f>IF(AND(Projects!$G$2="Yes",21&gt;=Projects!$C$2,21&lt;Projects!$C$2+Projects!$D$2),IF(21=Projects!$C$2+Projects!$D$2-1,Projects!$B$2*INDEX(Curves!$B$6:$AO$6,1,21-Projects!$C$2+1)*Assumptions!$B$11*0.95+0.05*Projects!$B$2*Assumptions!$B$11,Projects!$B$2*INDEX(Curves!$B$6:$AO$6,1,21-Projects!$C$2+1)*Assumptions!$B$11*0.95),0)+IF(AND(Projects!$G$3="Yes",21&gt;=Projects!$C$3,21&lt;Projects!$C$3+Projects!$D$3),IF(21=Projects!$C$3+Projects!$D$3-1,Projects!$B$3*INDEX(Curves!$B$7:$AO$7,1,21-Projects!$C$3+1)*Assumptions!$B$11*0.95+0.05*Projects!$B$3*Assumptions!$B$11,Projects!$B$3*INDEX(Curves!$B$7:$AO$7,1,21-Projects!$C$3+1)*Assumptions!$B$11*0.95),0)+IF(AND(Projects!$G$4="Yes",21&gt;=Projects!$C$4,21&lt;Projects!$C$4+Projects!$D$4),IF(21=Projects!$C$4+Projects!$D$4-1,Projects!$B$4*INDEX(Curves!$B$8:$AO$8,1,21-Projects!$C$4+1)*Assumptions!$B$11*0.95+0.05*Projects!$B$4*Assumptions!$B$11,Projects!$B$4*INDEX(Curves!$B$8:$AO$8,1,21-Projects!$C$4+1)*Assumptions!$B$11*0.95),0)+IF(AND(Projects!$G$5="Yes",21&gt;=Projects!$C$5,21&lt;Projects!$C$5+Projects!$D$5),IF(21=Projects!$C$5+Projects!$D$5-1,Projects!$B$5*INDEX(Curves!$B$9:$AO$9,1,21-Projects!$C$5+1)*Assumptions!$B$11*0.95+0.05*Projects!$B$5*Assumptions!$B$11,Projects!$B$5*INDEX(Curves!$B$9:$AO$9,1,21-Projects!$C$5+1)*Assumptions!$B$11*0.95),0)+IF(AND(Projects!$G$6="Yes",21&gt;=Projects!$C$6,21&lt;Projects!$C$6+Projects!$D$6),IF(21=Projects!$C$6+Projects!$D$6-1,Projects!$B$6*INDEX(Curves!$B$4:$AO$4,1,21-Projects!$C$6+1)*Assumptions!$B$11*0.95+0.05*Projects!$B$6*Assumptions!$B$11,Projects!$B$6*INDEX(Curves!$B$4:$AO$4,1,21-Projects!$C$6+1)*Assumptions!$B$11*0.95),0)+IF(AND(Projects!$G$7="Yes",21&gt;=Projects!$C$7,21&lt;Projects!$C$7+Projects!$D$7),IF(21=Projects!$C$7+Projects!$D$7-1,Projects!$B$7*INDEX(Curves!$B$3:$AO$3,1,21-Projects!$C$7+1)*Assumptions!$B$11*0.95+0.05*Projects!$B$7*Assumptions!$B$11,Projects!$B$7*INDEX(Curves!$B$3:$AO$3,1,21-Projects!$C$7+1)*Assumptions!$B$11*0.95),0)+IF(AND(Projects!$G$8="Yes",21&gt;=Projects!$C$8,21&lt;Projects!$C$8+Projects!$D$8),IF(21=Projects!$C$8+Projects!$D$8-1,Projects!$B$8*INDEX(Curves!$B$4:$AO$4,1,21-Projects!$C$8+1)*Assumptions!$B$11*0.95+0.05*Projects!$B$8*Assumptions!$B$11,Projects!$B$8*INDEX(Curves!$B$4:$AO$4,1,21-Projects!$C$8+1)*Assumptions!$B$11*0.95),0)+IF(AND(Projects!$G$9="Yes",21&gt;=Projects!$C$9,21&lt;Projects!$C$9+Projects!$D$9),IF(21=Projects!$C$9+Projects!$D$9-1,Projects!$B$9*INDEX(Curves!$B$2:$AO$2,1,21-Projects!$C$9+1)*Assumptions!$B$11*0.95+0.05*Projects!$B$9*Assumptions!$B$11,Projects!$B$9*INDEX(Curves!$B$2:$AO$2,1,21-Projects!$C$9+1)*Assumptions!$B$11*0.95),0)+IF(AND(Projects!$G$10="Yes",21&gt;=Projects!$C$10,21&lt;Projects!$C$10+Projects!$D$10),IF(21=Projects!$C$10+Projects!$D$10-1,Projects!$B$10*INDEX(Curves!$B$4:$AO$4,1,21-Projects!$C$10+1)*Assumptions!$B$11*0.95+0.05*Projects!$B$10*Assumptions!$B$11,Projects!$B$10*INDEX(Curves!$B$4:$AO$4,1,21-Projects!$C$10+1)*Assumptions!$B$11*0.95),0)+IF(AND(Projects!$G$11="Yes",21&gt;=Projects!$C$11,21&lt;Projects!$C$11+Projects!$D$11),IF(21=Projects!$C$11+Projects!$D$11-1,Projects!$B$11*INDEX(Curves!$B$4:$AO$4,1,21-Projects!$C$11+1)*Assumptions!$B$11*0.95+0.05*Projects!$B$11*Assumptions!$B$11,Projects!$B$11*INDEX(Curves!$B$4:$AO$4,1,21-Projects!$C$11+1)*Assumptions!$B$11*0.95),0)+IF(AND(Projects!$G$12="Yes",21&gt;=Projects!$C$12,21&lt;Projects!$C$12+Projects!$D$12),IF(21=Projects!$C$12+Projects!$D$12-1,Projects!$B$12*INDEX(Curves!$B$4:$AO$4,1,21-Projects!$C$12+1)*Assumptions!$B$11*0.95+0.05*Projects!$B$12*Assumptions!$B$11,Projects!$B$12*INDEX(Curves!$B$4:$AO$4,1,21-Projects!$C$12+1)*Assumptions!$B$11*0.95),0)+IF(AND(Projects!$G$13="Yes",21&gt;=Projects!$C$13,21&lt;Projects!$C$13+Projects!$D$13),IF(21=Projects!$C$13+Projects!$D$13-1,Projects!$B$13*INDEX(Curves!$B$2:$AO$2,1,21-Projects!$C$13+1)*Assumptions!$B$11*0.95+0.05*Projects!$B$13*Assumptions!$B$11,Projects!$B$13*INDEX(Curves!$B$2:$AO$2,1,21-Projects!$C$13+1)*Assumptions!$B$11*0.95),0)+IF(AND(Projects!$G$14="Yes",21&gt;=Projects!$C$14,21&lt;Projects!$C$14+Projects!$D$14),IF(21=Projects!$C$14+Projects!$D$14-1,Projects!$B$14*INDEX(Curves!$B$2:$AO$2,1,21-Projects!$C$14+1)*Assumptions!$B$11*0.95+0.05*Projects!$B$14*Assumptions!$B$11,Projects!$B$14*INDEX(Curves!$B$2:$AO$2,1,21-Projects!$C$14+1)*Assumptions!$B$11*0.95),0)+IF(AND(Projects!$G$15="Yes",21&gt;=Projects!$C$15,21&lt;Projects!$C$15+Projects!$D$15),IF(21=Projects!$C$15+Projects!$D$15-1,Projects!$B$15*INDEX(Curves!$B$4:$AO$4,1,21-Projects!$C$15+1)*Assumptions!$B$11*0.95+0.05*Projects!$B$15*Assumptions!$B$11,Projects!$B$15*INDEX(Curves!$B$4:$AO$4,1,21-Projects!$C$15+1)*Assumptions!$B$11*0.95),0)+IF(AND(Projects!$G$16="Yes",21&gt;=Projects!$C$16,21&lt;Projects!$C$16+Projects!$D$16),IF(21=Projects!$C$16+Projects!$D$16-1,Projects!$B$16*INDEX(Curves!$B$4:$AO$4,1,21-Projects!$C$16+1)*Assumptions!$B$11*0.95+0.05*Projects!$B$16*Assumptions!$B$11,Projects!$B$16*INDEX(Curves!$B$4:$AO$4,1,21-Projects!$C$16+1)*Assumptions!$B$11*0.95),0)</f>
        <v>294169.22288159898</v>
      </c>
      <c r="X9" s="8">
        <f>IF(AND(Projects!$G$2="Yes",22&gt;=Projects!$C$2,22&lt;Projects!$C$2+Projects!$D$2),IF(22=Projects!$C$2+Projects!$D$2-1,Projects!$B$2*INDEX(Curves!$B$6:$AO$6,1,22-Projects!$C$2+1)*Assumptions!$B$11*0.95+0.05*Projects!$B$2*Assumptions!$B$11,Projects!$B$2*INDEX(Curves!$B$6:$AO$6,1,22-Projects!$C$2+1)*Assumptions!$B$11*0.95),0)+IF(AND(Projects!$G$3="Yes",22&gt;=Projects!$C$3,22&lt;Projects!$C$3+Projects!$D$3),IF(22=Projects!$C$3+Projects!$D$3-1,Projects!$B$3*INDEX(Curves!$B$7:$AO$7,1,22-Projects!$C$3+1)*Assumptions!$B$11*0.95+0.05*Projects!$B$3*Assumptions!$B$11,Projects!$B$3*INDEX(Curves!$B$7:$AO$7,1,22-Projects!$C$3+1)*Assumptions!$B$11*0.95),0)+IF(AND(Projects!$G$4="Yes",22&gt;=Projects!$C$4,22&lt;Projects!$C$4+Projects!$D$4),IF(22=Projects!$C$4+Projects!$D$4-1,Projects!$B$4*INDEX(Curves!$B$8:$AO$8,1,22-Projects!$C$4+1)*Assumptions!$B$11*0.95+0.05*Projects!$B$4*Assumptions!$B$11,Projects!$B$4*INDEX(Curves!$B$8:$AO$8,1,22-Projects!$C$4+1)*Assumptions!$B$11*0.95),0)+IF(AND(Projects!$G$5="Yes",22&gt;=Projects!$C$5,22&lt;Projects!$C$5+Projects!$D$5),IF(22=Projects!$C$5+Projects!$D$5-1,Projects!$B$5*INDEX(Curves!$B$9:$AO$9,1,22-Projects!$C$5+1)*Assumptions!$B$11*0.95+0.05*Projects!$B$5*Assumptions!$B$11,Projects!$B$5*INDEX(Curves!$B$9:$AO$9,1,22-Projects!$C$5+1)*Assumptions!$B$11*0.95),0)+IF(AND(Projects!$G$6="Yes",22&gt;=Projects!$C$6,22&lt;Projects!$C$6+Projects!$D$6),IF(22=Projects!$C$6+Projects!$D$6-1,Projects!$B$6*INDEX(Curves!$B$4:$AO$4,1,22-Projects!$C$6+1)*Assumptions!$B$11*0.95+0.05*Projects!$B$6*Assumptions!$B$11,Projects!$B$6*INDEX(Curves!$B$4:$AO$4,1,22-Projects!$C$6+1)*Assumptions!$B$11*0.95),0)+IF(AND(Projects!$G$7="Yes",22&gt;=Projects!$C$7,22&lt;Projects!$C$7+Projects!$D$7),IF(22=Projects!$C$7+Projects!$D$7-1,Projects!$B$7*INDEX(Curves!$B$3:$AO$3,1,22-Projects!$C$7+1)*Assumptions!$B$11*0.95+0.05*Projects!$B$7*Assumptions!$B$11,Projects!$B$7*INDEX(Curves!$B$3:$AO$3,1,22-Projects!$C$7+1)*Assumptions!$B$11*0.95),0)+IF(AND(Projects!$G$8="Yes",22&gt;=Projects!$C$8,22&lt;Projects!$C$8+Projects!$D$8),IF(22=Projects!$C$8+Projects!$D$8-1,Projects!$B$8*INDEX(Curves!$B$4:$AO$4,1,22-Projects!$C$8+1)*Assumptions!$B$11*0.95+0.05*Projects!$B$8*Assumptions!$B$11,Projects!$B$8*INDEX(Curves!$B$4:$AO$4,1,22-Projects!$C$8+1)*Assumptions!$B$11*0.95),0)+IF(AND(Projects!$G$9="Yes",22&gt;=Projects!$C$9,22&lt;Projects!$C$9+Projects!$D$9),IF(22=Projects!$C$9+Projects!$D$9-1,Projects!$B$9*INDEX(Curves!$B$2:$AO$2,1,22-Projects!$C$9+1)*Assumptions!$B$11*0.95+0.05*Projects!$B$9*Assumptions!$B$11,Projects!$B$9*INDEX(Curves!$B$2:$AO$2,1,22-Projects!$C$9+1)*Assumptions!$B$11*0.95),0)+IF(AND(Projects!$G$10="Yes",22&gt;=Projects!$C$10,22&lt;Projects!$C$10+Projects!$D$10),IF(22=Projects!$C$10+Projects!$D$10-1,Projects!$B$10*INDEX(Curves!$B$4:$AO$4,1,22-Projects!$C$10+1)*Assumptions!$B$11*0.95+0.05*Projects!$B$10*Assumptions!$B$11,Projects!$B$10*INDEX(Curves!$B$4:$AO$4,1,22-Projects!$C$10+1)*Assumptions!$B$11*0.95),0)+IF(AND(Projects!$G$11="Yes",22&gt;=Projects!$C$11,22&lt;Projects!$C$11+Projects!$D$11),IF(22=Projects!$C$11+Projects!$D$11-1,Projects!$B$11*INDEX(Curves!$B$4:$AO$4,1,22-Projects!$C$11+1)*Assumptions!$B$11*0.95+0.05*Projects!$B$11*Assumptions!$B$11,Projects!$B$11*INDEX(Curves!$B$4:$AO$4,1,22-Projects!$C$11+1)*Assumptions!$B$11*0.95),0)+IF(AND(Projects!$G$12="Yes",22&gt;=Projects!$C$12,22&lt;Projects!$C$12+Projects!$D$12),IF(22=Projects!$C$12+Projects!$D$12-1,Projects!$B$12*INDEX(Curves!$B$4:$AO$4,1,22-Projects!$C$12+1)*Assumptions!$B$11*0.95+0.05*Projects!$B$12*Assumptions!$B$11,Projects!$B$12*INDEX(Curves!$B$4:$AO$4,1,22-Projects!$C$12+1)*Assumptions!$B$11*0.95),0)+IF(AND(Projects!$G$13="Yes",22&gt;=Projects!$C$13,22&lt;Projects!$C$13+Projects!$D$13),IF(22=Projects!$C$13+Projects!$D$13-1,Projects!$B$13*INDEX(Curves!$B$2:$AO$2,1,22-Projects!$C$13+1)*Assumptions!$B$11*0.95+0.05*Projects!$B$13*Assumptions!$B$11,Projects!$B$13*INDEX(Curves!$B$2:$AO$2,1,22-Projects!$C$13+1)*Assumptions!$B$11*0.95),0)+IF(AND(Projects!$G$14="Yes",22&gt;=Projects!$C$14,22&lt;Projects!$C$14+Projects!$D$14),IF(22=Projects!$C$14+Projects!$D$14-1,Projects!$B$14*INDEX(Curves!$B$2:$AO$2,1,22-Projects!$C$14+1)*Assumptions!$B$11*0.95+0.05*Projects!$B$14*Assumptions!$B$11,Projects!$B$14*INDEX(Curves!$B$2:$AO$2,1,22-Projects!$C$14+1)*Assumptions!$B$11*0.95),0)+IF(AND(Projects!$G$15="Yes",22&gt;=Projects!$C$15,22&lt;Projects!$C$15+Projects!$D$15),IF(22=Projects!$C$15+Projects!$D$15-1,Projects!$B$15*INDEX(Curves!$B$4:$AO$4,1,22-Projects!$C$15+1)*Assumptions!$B$11*0.95+0.05*Projects!$B$15*Assumptions!$B$11,Projects!$B$15*INDEX(Curves!$B$4:$AO$4,1,22-Projects!$C$15+1)*Assumptions!$B$11*0.95),0)+IF(AND(Projects!$G$16="Yes",22&gt;=Projects!$C$16,22&lt;Projects!$C$16+Projects!$D$16),IF(22=Projects!$C$16+Projects!$D$16-1,Projects!$B$16*INDEX(Curves!$B$4:$AO$4,1,22-Projects!$C$16+1)*Assumptions!$B$11*0.95+0.05*Projects!$B$16*Assumptions!$B$11,Projects!$B$16*INDEX(Curves!$B$4:$AO$4,1,22-Projects!$C$16+1)*Assumptions!$B$11*0.95),0)</f>
        <v>280428.89000452595</v>
      </c>
      <c r="Y9" s="8">
        <f>IF(AND(Projects!$G$2="Yes",23&gt;=Projects!$C$2,23&lt;Projects!$C$2+Projects!$D$2),IF(23=Projects!$C$2+Projects!$D$2-1,Projects!$B$2*INDEX(Curves!$B$6:$AO$6,1,23-Projects!$C$2+1)*Assumptions!$B$11*0.95+0.05*Projects!$B$2*Assumptions!$B$11,Projects!$B$2*INDEX(Curves!$B$6:$AO$6,1,23-Projects!$C$2+1)*Assumptions!$B$11*0.95),0)+IF(AND(Projects!$G$3="Yes",23&gt;=Projects!$C$3,23&lt;Projects!$C$3+Projects!$D$3),IF(23=Projects!$C$3+Projects!$D$3-1,Projects!$B$3*INDEX(Curves!$B$7:$AO$7,1,23-Projects!$C$3+1)*Assumptions!$B$11*0.95+0.05*Projects!$B$3*Assumptions!$B$11,Projects!$B$3*INDEX(Curves!$B$7:$AO$7,1,23-Projects!$C$3+1)*Assumptions!$B$11*0.95),0)+IF(AND(Projects!$G$4="Yes",23&gt;=Projects!$C$4,23&lt;Projects!$C$4+Projects!$D$4),IF(23=Projects!$C$4+Projects!$D$4-1,Projects!$B$4*INDEX(Curves!$B$8:$AO$8,1,23-Projects!$C$4+1)*Assumptions!$B$11*0.95+0.05*Projects!$B$4*Assumptions!$B$11,Projects!$B$4*INDEX(Curves!$B$8:$AO$8,1,23-Projects!$C$4+1)*Assumptions!$B$11*0.95),0)+IF(AND(Projects!$G$5="Yes",23&gt;=Projects!$C$5,23&lt;Projects!$C$5+Projects!$D$5),IF(23=Projects!$C$5+Projects!$D$5-1,Projects!$B$5*INDEX(Curves!$B$9:$AO$9,1,23-Projects!$C$5+1)*Assumptions!$B$11*0.95+0.05*Projects!$B$5*Assumptions!$B$11,Projects!$B$5*INDEX(Curves!$B$9:$AO$9,1,23-Projects!$C$5+1)*Assumptions!$B$11*0.95),0)+IF(AND(Projects!$G$6="Yes",23&gt;=Projects!$C$6,23&lt;Projects!$C$6+Projects!$D$6),IF(23=Projects!$C$6+Projects!$D$6-1,Projects!$B$6*INDEX(Curves!$B$4:$AO$4,1,23-Projects!$C$6+1)*Assumptions!$B$11*0.95+0.05*Projects!$B$6*Assumptions!$B$11,Projects!$B$6*INDEX(Curves!$B$4:$AO$4,1,23-Projects!$C$6+1)*Assumptions!$B$11*0.95),0)+IF(AND(Projects!$G$7="Yes",23&gt;=Projects!$C$7,23&lt;Projects!$C$7+Projects!$D$7),IF(23=Projects!$C$7+Projects!$D$7-1,Projects!$B$7*INDEX(Curves!$B$3:$AO$3,1,23-Projects!$C$7+1)*Assumptions!$B$11*0.95+0.05*Projects!$B$7*Assumptions!$B$11,Projects!$B$7*INDEX(Curves!$B$3:$AO$3,1,23-Projects!$C$7+1)*Assumptions!$B$11*0.95),0)+IF(AND(Projects!$G$8="Yes",23&gt;=Projects!$C$8,23&lt;Projects!$C$8+Projects!$D$8),IF(23=Projects!$C$8+Projects!$D$8-1,Projects!$B$8*INDEX(Curves!$B$4:$AO$4,1,23-Projects!$C$8+1)*Assumptions!$B$11*0.95+0.05*Projects!$B$8*Assumptions!$B$11,Projects!$B$8*INDEX(Curves!$B$4:$AO$4,1,23-Projects!$C$8+1)*Assumptions!$B$11*0.95),0)+IF(AND(Projects!$G$9="Yes",23&gt;=Projects!$C$9,23&lt;Projects!$C$9+Projects!$D$9),IF(23=Projects!$C$9+Projects!$D$9-1,Projects!$B$9*INDEX(Curves!$B$2:$AO$2,1,23-Projects!$C$9+1)*Assumptions!$B$11*0.95+0.05*Projects!$B$9*Assumptions!$B$11,Projects!$B$9*INDEX(Curves!$B$2:$AO$2,1,23-Projects!$C$9+1)*Assumptions!$B$11*0.95),0)+IF(AND(Projects!$G$10="Yes",23&gt;=Projects!$C$10,23&lt;Projects!$C$10+Projects!$D$10),IF(23=Projects!$C$10+Projects!$D$10-1,Projects!$B$10*INDEX(Curves!$B$4:$AO$4,1,23-Projects!$C$10+1)*Assumptions!$B$11*0.95+0.05*Projects!$B$10*Assumptions!$B$11,Projects!$B$10*INDEX(Curves!$B$4:$AO$4,1,23-Projects!$C$10+1)*Assumptions!$B$11*0.95),0)+IF(AND(Projects!$G$11="Yes",23&gt;=Projects!$C$11,23&lt;Projects!$C$11+Projects!$D$11),IF(23=Projects!$C$11+Projects!$D$11-1,Projects!$B$11*INDEX(Curves!$B$4:$AO$4,1,23-Projects!$C$11+1)*Assumptions!$B$11*0.95+0.05*Projects!$B$11*Assumptions!$B$11,Projects!$B$11*INDEX(Curves!$B$4:$AO$4,1,23-Projects!$C$11+1)*Assumptions!$B$11*0.95),0)+IF(AND(Projects!$G$12="Yes",23&gt;=Projects!$C$12,23&lt;Projects!$C$12+Projects!$D$12),IF(23=Projects!$C$12+Projects!$D$12-1,Projects!$B$12*INDEX(Curves!$B$4:$AO$4,1,23-Projects!$C$12+1)*Assumptions!$B$11*0.95+0.05*Projects!$B$12*Assumptions!$B$11,Projects!$B$12*INDEX(Curves!$B$4:$AO$4,1,23-Projects!$C$12+1)*Assumptions!$B$11*0.95),0)+IF(AND(Projects!$G$13="Yes",23&gt;=Projects!$C$13,23&lt;Projects!$C$13+Projects!$D$13),IF(23=Projects!$C$13+Projects!$D$13-1,Projects!$B$13*INDEX(Curves!$B$2:$AO$2,1,23-Projects!$C$13+1)*Assumptions!$B$11*0.95+0.05*Projects!$B$13*Assumptions!$B$11,Projects!$B$13*INDEX(Curves!$B$2:$AO$2,1,23-Projects!$C$13+1)*Assumptions!$B$11*0.95),0)+IF(AND(Projects!$G$14="Yes",23&gt;=Projects!$C$14,23&lt;Projects!$C$14+Projects!$D$14),IF(23=Projects!$C$14+Projects!$D$14-1,Projects!$B$14*INDEX(Curves!$B$2:$AO$2,1,23-Projects!$C$14+1)*Assumptions!$B$11*0.95+0.05*Projects!$B$14*Assumptions!$B$11,Projects!$B$14*INDEX(Curves!$B$2:$AO$2,1,23-Projects!$C$14+1)*Assumptions!$B$11*0.95),0)+IF(AND(Projects!$G$15="Yes",23&gt;=Projects!$C$15,23&lt;Projects!$C$15+Projects!$D$15),IF(23=Projects!$C$15+Projects!$D$15-1,Projects!$B$15*INDEX(Curves!$B$4:$AO$4,1,23-Projects!$C$15+1)*Assumptions!$B$11*0.95+0.05*Projects!$B$15*Assumptions!$B$11,Projects!$B$15*INDEX(Curves!$B$4:$AO$4,1,23-Projects!$C$15+1)*Assumptions!$B$11*0.95),0)+IF(AND(Projects!$G$16="Yes",23&gt;=Projects!$C$16,23&lt;Projects!$C$16+Projects!$D$16),IF(23=Projects!$C$16+Projects!$D$16-1,Projects!$B$16*INDEX(Curves!$B$4:$AO$4,1,23-Projects!$C$16+1)*Assumptions!$B$11*0.95+0.05*Projects!$B$16*Assumptions!$B$11,Projects!$B$16*INDEX(Curves!$B$4:$AO$4,1,23-Projects!$C$16+1)*Assumptions!$B$11*0.95),0)</f>
        <v>264764.13200608193</v>
      </c>
      <c r="Z9" s="8">
        <f>IF(AND(Projects!$G$2="Yes",24&gt;=Projects!$C$2,24&lt;Projects!$C$2+Projects!$D$2),IF(24=Projects!$C$2+Projects!$D$2-1,Projects!$B$2*INDEX(Curves!$B$6:$AO$6,1,24-Projects!$C$2+1)*Assumptions!$B$11*0.95+0.05*Projects!$B$2*Assumptions!$B$11,Projects!$B$2*INDEX(Curves!$B$6:$AO$6,1,24-Projects!$C$2+1)*Assumptions!$B$11*0.95),0)+IF(AND(Projects!$G$3="Yes",24&gt;=Projects!$C$3,24&lt;Projects!$C$3+Projects!$D$3),IF(24=Projects!$C$3+Projects!$D$3-1,Projects!$B$3*INDEX(Curves!$B$7:$AO$7,1,24-Projects!$C$3+1)*Assumptions!$B$11*0.95+0.05*Projects!$B$3*Assumptions!$B$11,Projects!$B$3*INDEX(Curves!$B$7:$AO$7,1,24-Projects!$C$3+1)*Assumptions!$B$11*0.95),0)+IF(AND(Projects!$G$4="Yes",24&gt;=Projects!$C$4,24&lt;Projects!$C$4+Projects!$D$4),IF(24=Projects!$C$4+Projects!$D$4-1,Projects!$B$4*INDEX(Curves!$B$8:$AO$8,1,24-Projects!$C$4+1)*Assumptions!$B$11*0.95+0.05*Projects!$B$4*Assumptions!$B$11,Projects!$B$4*INDEX(Curves!$B$8:$AO$8,1,24-Projects!$C$4+1)*Assumptions!$B$11*0.95),0)+IF(AND(Projects!$G$5="Yes",24&gt;=Projects!$C$5,24&lt;Projects!$C$5+Projects!$D$5),IF(24=Projects!$C$5+Projects!$D$5-1,Projects!$B$5*INDEX(Curves!$B$9:$AO$9,1,24-Projects!$C$5+1)*Assumptions!$B$11*0.95+0.05*Projects!$B$5*Assumptions!$B$11,Projects!$B$5*INDEX(Curves!$B$9:$AO$9,1,24-Projects!$C$5+1)*Assumptions!$B$11*0.95),0)+IF(AND(Projects!$G$6="Yes",24&gt;=Projects!$C$6,24&lt;Projects!$C$6+Projects!$D$6),IF(24=Projects!$C$6+Projects!$D$6-1,Projects!$B$6*INDEX(Curves!$B$4:$AO$4,1,24-Projects!$C$6+1)*Assumptions!$B$11*0.95+0.05*Projects!$B$6*Assumptions!$B$11,Projects!$B$6*INDEX(Curves!$B$4:$AO$4,1,24-Projects!$C$6+1)*Assumptions!$B$11*0.95),0)+IF(AND(Projects!$G$7="Yes",24&gt;=Projects!$C$7,24&lt;Projects!$C$7+Projects!$D$7),IF(24=Projects!$C$7+Projects!$D$7-1,Projects!$B$7*INDEX(Curves!$B$3:$AO$3,1,24-Projects!$C$7+1)*Assumptions!$B$11*0.95+0.05*Projects!$B$7*Assumptions!$B$11,Projects!$B$7*INDEX(Curves!$B$3:$AO$3,1,24-Projects!$C$7+1)*Assumptions!$B$11*0.95),0)+IF(AND(Projects!$G$8="Yes",24&gt;=Projects!$C$8,24&lt;Projects!$C$8+Projects!$D$8),IF(24=Projects!$C$8+Projects!$D$8-1,Projects!$B$8*INDEX(Curves!$B$4:$AO$4,1,24-Projects!$C$8+1)*Assumptions!$B$11*0.95+0.05*Projects!$B$8*Assumptions!$B$11,Projects!$B$8*INDEX(Curves!$B$4:$AO$4,1,24-Projects!$C$8+1)*Assumptions!$B$11*0.95),0)+IF(AND(Projects!$G$9="Yes",24&gt;=Projects!$C$9,24&lt;Projects!$C$9+Projects!$D$9),IF(24=Projects!$C$9+Projects!$D$9-1,Projects!$B$9*INDEX(Curves!$B$2:$AO$2,1,24-Projects!$C$9+1)*Assumptions!$B$11*0.95+0.05*Projects!$B$9*Assumptions!$B$11,Projects!$B$9*INDEX(Curves!$B$2:$AO$2,1,24-Projects!$C$9+1)*Assumptions!$B$11*0.95),0)+IF(AND(Projects!$G$10="Yes",24&gt;=Projects!$C$10,24&lt;Projects!$C$10+Projects!$D$10),IF(24=Projects!$C$10+Projects!$D$10-1,Projects!$B$10*INDEX(Curves!$B$4:$AO$4,1,24-Projects!$C$10+1)*Assumptions!$B$11*0.95+0.05*Projects!$B$10*Assumptions!$B$11,Projects!$B$10*INDEX(Curves!$B$4:$AO$4,1,24-Projects!$C$10+1)*Assumptions!$B$11*0.95),0)+IF(AND(Projects!$G$11="Yes",24&gt;=Projects!$C$11,24&lt;Projects!$C$11+Projects!$D$11),IF(24=Projects!$C$11+Projects!$D$11-1,Projects!$B$11*INDEX(Curves!$B$4:$AO$4,1,24-Projects!$C$11+1)*Assumptions!$B$11*0.95+0.05*Projects!$B$11*Assumptions!$B$11,Projects!$B$11*INDEX(Curves!$B$4:$AO$4,1,24-Projects!$C$11+1)*Assumptions!$B$11*0.95),0)+IF(AND(Projects!$G$12="Yes",24&gt;=Projects!$C$12,24&lt;Projects!$C$12+Projects!$D$12),IF(24=Projects!$C$12+Projects!$D$12-1,Projects!$B$12*INDEX(Curves!$B$4:$AO$4,1,24-Projects!$C$12+1)*Assumptions!$B$11*0.95+0.05*Projects!$B$12*Assumptions!$B$11,Projects!$B$12*INDEX(Curves!$B$4:$AO$4,1,24-Projects!$C$12+1)*Assumptions!$B$11*0.95),0)+IF(AND(Projects!$G$13="Yes",24&gt;=Projects!$C$13,24&lt;Projects!$C$13+Projects!$D$13),IF(24=Projects!$C$13+Projects!$D$13-1,Projects!$B$13*INDEX(Curves!$B$2:$AO$2,1,24-Projects!$C$13+1)*Assumptions!$B$11*0.95+0.05*Projects!$B$13*Assumptions!$B$11,Projects!$B$13*INDEX(Curves!$B$2:$AO$2,1,24-Projects!$C$13+1)*Assumptions!$B$11*0.95),0)+IF(AND(Projects!$G$14="Yes",24&gt;=Projects!$C$14,24&lt;Projects!$C$14+Projects!$D$14),IF(24=Projects!$C$14+Projects!$D$14-1,Projects!$B$14*INDEX(Curves!$B$2:$AO$2,1,24-Projects!$C$14+1)*Assumptions!$B$11*0.95+0.05*Projects!$B$14*Assumptions!$B$11,Projects!$B$14*INDEX(Curves!$B$2:$AO$2,1,24-Projects!$C$14+1)*Assumptions!$B$11*0.95),0)+IF(AND(Projects!$G$15="Yes",24&gt;=Projects!$C$15,24&lt;Projects!$C$15+Projects!$D$15),IF(24=Projects!$C$15+Projects!$D$15-1,Projects!$B$15*INDEX(Curves!$B$4:$AO$4,1,24-Projects!$C$15+1)*Assumptions!$B$11*0.95+0.05*Projects!$B$15*Assumptions!$B$11,Projects!$B$15*INDEX(Curves!$B$4:$AO$4,1,24-Projects!$C$15+1)*Assumptions!$B$11*0.95),0)+IF(AND(Projects!$G$16="Yes",24&gt;=Projects!$C$16,24&lt;Projects!$C$16+Projects!$D$16),IF(24=Projects!$C$16+Projects!$D$16-1,Projects!$B$16*INDEX(Curves!$B$4:$AO$4,1,24-Projects!$C$16+1)*Assumptions!$B$11*0.95+0.05*Projects!$B$16*Assumptions!$B$11,Projects!$B$16*INDEX(Curves!$B$4:$AO$4,1,24-Projects!$C$16+1)*Assumptions!$B$11*0.95),0)</f>
        <v>247950.01806284656</v>
      </c>
      <c r="AA9" s="8">
        <f>IF(AND(Projects!$G$2="Yes",25&gt;=Projects!$C$2,25&lt;Projects!$C$2+Projects!$D$2),IF(25=Projects!$C$2+Projects!$D$2-1,Projects!$B$2*INDEX(Curves!$B$6:$AO$6,1,25-Projects!$C$2+1)*Assumptions!$B$11*0.95+0.05*Projects!$B$2*Assumptions!$B$11,Projects!$B$2*INDEX(Curves!$B$6:$AO$6,1,25-Projects!$C$2+1)*Assumptions!$B$11*0.95),0)+IF(AND(Projects!$G$3="Yes",25&gt;=Projects!$C$3,25&lt;Projects!$C$3+Projects!$D$3),IF(25=Projects!$C$3+Projects!$D$3-1,Projects!$B$3*INDEX(Curves!$B$7:$AO$7,1,25-Projects!$C$3+1)*Assumptions!$B$11*0.95+0.05*Projects!$B$3*Assumptions!$B$11,Projects!$B$3*INDEX(Curves!$B$7:$AO$7,1,25-Projects!$C$3+1)*Assumptions!$B$11*0.95),0)+IF(AND(Projects!$G$4="Yes",25&gt;=Projects!$C$4,25&lt;Projects!$C$4+Projects!$D$4),IF(25=Projects!$C$4+Projects!$D$4-1,Projects!$B$4*INDEX(Curves!$B$8:$AO$8,1,25-Projects!$C$4+1)*Assumptions!$B$11*0.95+0.05*Projects!$B$4*Assumptions!$B$11,Projects!$B$4*INDEX(Curves!$B$8:$AO$8,1,25-Projects!$C$4+1)*Assumptions!$B$11*0.95),0)+IF(AND(Projects!$G$5="Yes",25&gt;=Projects!$C$5,25&lt;Projects!$C$5+Projects!$D$5),IF(25=Projects!$C$5+Projects!$D$5-1,Projects!$B$5*INDEX(Curves!$B$9:$AO$9,1,25-Projects!$C$5+1)*Assumptions!$B$11*0.95+0.05*Projects!$B$5*Assumptions!$B$11,Projects!$B$5*INDEX(Curves!$B$9:$AO$9,1,25-Projects!$C$5+1)*Assumptions!$B$11*0.95),0)+IF(AND(Projects!$G$6="Yes",25&gt;=Projects!$C$6,25&lt;Projects!$C$6+Projects!$D$6),IF(25=Projects!$C$6+Projects!$D$6-1,Projects!$B$6*INDEX(Curves!$B$4:$AO$4,1,25-Projects!$C$6+1)*Assumptions!$B$11*0.95+0.05*Projects!$B$6*Assumptions!$B$11,Projects!$B$6*INDEX(Curves!$B$4:$AO$4,1,25-Projects!$C$6+1)*Assumptions!$B$11*0.95),0)+IF(AND(Projects!$G$7="Yes",25&gt;=Projects!$C$7,25&lt;Projects!$C$7+Projects!$D$7),IF(25=Projects!$C$7+Projects!$D$7-1,Projects!$B$7*INDEX(Curves!$B$3:$AO$3,1,25-Projects!$C$7+1)*Assumptions!$B$11*0.95+0.05*Projects!$B$7*Assumptions!$B$11,Projects!$B$7*INDEX(Curves!$B$3:$AO$3,1,25-Projects!$C$7+1)*Assumptions!$B$11*0.95),0)+IF(AND(Projects!$G$8="Yes",25&gt;=Projects!$C$8,25&lt;Projects!$C$8+Projects!$D$8),IF(25=Projects!$C$8+Projects!$D$8-1,Projects!$B$8*INDEX(Curves!$B$4:$AO$4,1,25-Projects!$C$8+1)*Assumptions!$B$11*0.95+0.05*Projects!$B$8*Assumptions!$B$11,Projects!$B$8*INDEX(Curves!$B$4:$AO$4,1,25-Projects!$C$8+1)*Assumptions!$B$11*0.95),0)+IF(AND(Projects!$G$9="Yes",25&gt;=Projects!$C$9,25&lt;Projects!$C$9+Projects!$D$9),IF(25=Projects!$C$9+Projects!$D$9-1,Projects!$B$9*INDEX(Curves!$B$2:$AO$2,1,25-Projects!$C$9+1)*Assumptions!$B$11*0.95+0.05*Projects!$B$9*Assumptions!$B$11,Projects!$B$9*INDEX(Curves!$B$2:$AO$2,1,25-Projects!$C$9+1)*Assumptions!$B$11*0.95),0)+IF(AND(Projects!$G$10="Yes",25&gt;=Projects!$C$10,25&lt;Projects!$C$10+Projects!$D$10),IF(25=Projects!$C$10+Projects!$D$10-1,Projects!$B$10*INDEX(Curves!$B$4:$AO$4,1,25-Projects!$C$10+1)*Assumptions!$B$11*0.95+0.05*Projects!$B$10*Assumptions!$B$11,Projects!$B$10*INDEX(Curves!$B$4:$AO$4,1,25-Projects!$C$10+1)*Assumptions!$B$11*0.95),0)+IF(AND(Projects!$G$11="Yes",25&gt;=Projects!$C$11,25&lt;Projects!$C$11+Projects!$D$11),IF(25=Projects!$C$11+Projects!$D$11-1,Projects!$B$11*INDEX(Curves!$B$4:$AO$4,1,25-Projects!$C$11+1)*Assumptions!$B$11*0.95+0.05*Projects!$B$11*Assumptions!$B$11,Projects!$B$11*INDEX(Curves!$B$4:$AO$4,1,25-Projects!$C$11+1)*Assumptions!$B$11*0.95),0)+IF(AND(Projects!$G$12="Yes",25&gt;=Projects!$C$12,25&lt;Projects!$C$12+Projects!$D$12),IF(25=Projects!$C$12+Projects!$D$12-1,Projects!$B$12*INDEX(Curves!$B$4:$AO$4,1,25-Projects!$C$12+1)*Assumptions!$B$11*0.95+0.05*Projects!$B$12*Assumptions!$B$11,Projects!$B$12*INDEX(Curves!$B$4:$AO$4,1,25-Projects!$C$12+1)*Assumptions!$B$11*0.95),0)+IF(AND(Projects!$G$13="Yes",25&gt;=Projects!$C$13,25&lt;Projects!$C$13+Projects!$D$13),IF(25=Projects!$C$13+Projects!$D$13-1,Projects!$B$13*INDEX(Curves!$B$2:$AO$2,1,25-Projects!$C$13+1)*Assumptions!$B$11*0.95+0.05*Projects!$B$13*Assumptions!$B$11,Projects!$B$13*INDEX(Curves!$B$2:$AO$2,1,25-Projects!$C$13+1)*Assumptions!$B$11*0.95),0)+IF(AND(Projects!$G$14="Yes",25&gt;=Projects!$C$14,25&lt;Projects!$C$14+Projects!$D$14),IF(25=Projects!$C$14+Projects!$D$14-1,Projects!$B$14*INDEX(Curves!$B$2:$AO$2,1,25-Projects!$C$14+1)*Assumptions!$B$11*0.95+0.05*Projects!$B$14*Assumptions!$B$11,Projects!$B$14*INDEX(Curves!$B$2:$AO$2,1,25-Projects!$C$14+1)*Assumptions!$B$11*0.95),0)+IF(AND(Projects!$G$15="Yes",25&gt;=Projects!$C$15,25&lt;Projects!$C$15+Projects!$D$15),IF(25=Projects!$C$15+Projects!$D$15-1,Projects!$B$15*INDEX(Curves!$B$4:$AO$4,1,25-Projects!$C$15+1)*Assumptions!$B$11*0.95+0.05*Projects!$B$15*Assumptions!$B$11,Projects!$B$15*INDEX(Curves!$B$4:$AO$4,1,25-Projects!$C$15+1)*Assumptions!$B$11*0.95),0)+IF(AND(Projects!$G$16="Yes",25&gt;=Projects!$C$16,25&lt;Projects!$C$16+Projects!$D$16),IF(25=Projects!$C$16+Projects!$D$16-1,Projects!$B$16*INDEX(Curves!$B$4:$AO$4,1,25-Projects!$C$16+1)*Assumptions!$B$11*0.95+0.05*Projects!$B$16*Assumptions!$B$11,Projects!$B$16*INDEX(Curves!$B$4:$AO$4,1,25-Projects!$C$16+1)*Assumptions!$B$11*0.95),0)</f>
        <v>263847.0328088376</v>
      </c>
      <c r="AB9" s="8">
        <f>IF(AND(Projects!$G$2="Yes",26&gt;=Projects!$C$2,26&lt;Projects!$C$2+Projects!$D$2),IF(26=Projects!$C$2+Projects!$D$2-1,Projects!$B$2*INDEX(Curves!$B$6:$AO$6,1,26-Projects!$C$2+1)*Assumptions!$B$11*0.95+0.05*Projects!$B$2*Assumptions!$B$11,Projects!$B$2*INDEX(Curves!$B$6:$AO$6,1,26-Projects!$C$2+1)*Assumptions!$B$11*0.95),0)+IF(AND(Projects!$G$3="Yes",26&gt;=Projects!$C$3,26&lt;Projects!$C$3+Projects!$D$3),IF(26=Projects!$C$3+Projects!$D$3-1,Projects!$B$3*INDEX(Curves!$B$7:$AO$7,1,26-Projects!$C$3+1)*Assumptions!$B$11*0.95+0.05*Projects!$B$3*Assumptions!$B$11,Projects!$B$3*INDEX(Curves!$B$7:$AO$7,1,26-Projects!$C$3+1)*Assumptions!$B$11*0.95),0)+IF(AND(Projects!$G$4="Yes",26&gt;=Projects!$C$4,26&lt;Projects!$C$4+Projects!$D$4),IF(26=Projects!$C$4+Projects!$D$4-1,Projects!$B$4*INDEX(Curves!$B$8:$AO$8,1,26-Projects!$C$4+1)*Assumptions!$B$11*0.95+0.05*Projects!$B$4*Assumptions!$B$11,Projects!$B$4*INDEX(Curves!$B$8:$AO$8,1,26-Projects!$C$4+1)*Assumptions!$B$11*0.95),0)+IF(AND(Projects!$G$5="Yes",26&gt;=Projects!$C$5,26&lt;Projects!$C$5+Projects!$D$5),IF(26=Projects!$C$5+Projects!$D$5-1,Projects!$B$5*INDEX(Curves!$B$9:$AO$9,1,26-Projects!$C$5+1)*Assumptions!$B$11*0.95+0.05*Projects!$B$5*Assumptions!$B$11,Projects!$B$5*INDEX(Curves!$B$9:$AO$9,1,26-Projects!$C$5+1)*Assumptions!$B$11*0.95),0)+IF(AND(Projects!$G$6="Yes",26&gt;=Projects!$C$6,26&lt;Projects!$C$6+Projects!$D$6),IF(26=Projects!$C$6+Projects!$D$6-1,Projects!$B$6*INDEX(Curves!$B$4:$AO$4,1,26-Projects!$C$6+1)*Assumptions!$B$11*0.95+0.05*Projects!$B$6*Assumptions!$B$11,Projects!$B$6*INDEX(Curves!$B$4:$AO$4,1,26-Projects!$C$6+1)*Assumptions!$B$11*0.95),0)+IF(AND(Projects!$G$7="Yes",26&gt;=Projects!$C$7,26&lt;Projects!$C$7+Projects!$D$7),IF(26=Projects!$C$7+Projects!$D$7-1,Projects!$B$7*INDEX(Curves!$B$3:$AO$3,1,26-Projects!$C$7+1)*Assumptions!$B$11*0.95+0.05*Projects!$B$7*Assumptions!$B$11,Projects!$B$7*INDEX(Curves!$B$3:$AO$3,1,26-Projects!$C$7+1)*Assumptions!$B$11*0.95),0)+IF(AND(Projects!$G$8="Yes",26&gt;=Projects!$C$8,26&lt;Projects!$C$8+Projects!$D$8),IF(26=Projects!$C$8+Projects!$D$8-1,Projects!$B$8*INDEX(Curves!$B$4:$AO$4,1,26-Projects!$C$8+1)*Assumptions!$B$11*0.95+0.05*Projects!$B$8*Assumptions!$B$11,Projects!$B$8*INDEX(Curves!$B$4:$AO$4,1,26-Projects!$C$8+1)*Assumptions!$B$11*0.95),0)+IF(AND(Projects!$G$9="Yes",26&gt;=Projects!$C$9,26&lt;Projects!$C$9+Projects!$D$9),IF(26=Projects!$C$9+Projects!$D$9-1,Projects!$B$9*INDEX(Curves!$B$2:$AO$2,1,26-Projects!$C$9+1)*Assumptions!$B$11*0.95+0.05*Projects!$B$9*Assumptions!$B$11,Projects!$B$9*INDEX(Curves!$B$2:$AO$2,1,26-Projects!$C$9+1)*Assumptions!$B$11*0.95),0)+IF(AND(Projects!$G$10="Yes",26&gt;=Projects!$C$10,26&lt;Projects!$C$10+Projects!$D$10),IF(26=Projects!$C$10+Projects!$D$10-1,Projects!$B$10*INDEX(Curves!$B$4:$AO$4,1,26-Projects!$C$10+1)*Assumptions!$B$11*0.95+0.05*Projects!$B$10*Assumptions!$B$11,Projects!$B$10*INDEX(Curves!$B$4:$AO$4,1,26-Projects!$C$10+1)*Assumptions!$B$11*0.95),0)+IF(AND(Projects!$G$11="Yes",26&gt;=Projects!$C$11,26&lt;Projects!$C$11+Projects!$D$11),IF(26=Projects!$C$11+Projects!$D$11-1,Projects!$B$11*INDEX(Curves!$B$4:$AO$4,1,26-Projects!$C$11+1)*Assumptions!$B$11*0.95+0.05*Projects!$B$11*Assumptions!$B$11,Projects!$B$11*INDEX(Curves!$B$4:$AO$4,1,26-Projects!$C$11+1)*Assumptions!$B$11*0.95),0)+IF(AND(Projects!$G$12="Yes",26&gt;=Projects!$C$12,26&lt;Projects!$C$12+Projects!$D$12),IF(26=Projects!$C$12+Projects!$D$12-1,Projects!$B$12*INDEX(Curves!$B$4:$AO$4,1,26-Projects!$C$12+1)*Assumptions!$B$11*0.95+0.05*Projects!$B$12*Assumptions!$B$11,Projects!$B$12*INDEX(Curves!$B$4:$AO$4,1,26-Projects!$C$12+1)*Assumptions!$B$11*0.95),0)+IF(AND(Projects!$G$13="Yes",26&gt;=Projects!$C$13,26&lt;Projects!$C$13+Projects!$D$13),IF(26=Projects!$C$13+Projects!$D$13-1,Projects!$B$13*INDEX(Curves!$B$2:$AO$2,1,26-Projects!$C$13+1)*Assumptions!$B$11*0.95+0.05*Projects!$B$13*Assumptions!$B$11,Projects!$B$13*INDEX(Curves!$B$2:$AO$2,1,26-Projects!$C$13+1)*Assumptions!$B$11*0.95),0)+IF(AND(Projects!$G$14="Yes",26&gt;=Projects!$C$14,26&lt;Projects!$C$14+Projects!$D$14),IF(26=Projects!$C$14+Projects!$D$14-1,Projects!$B$14*INDEX(Curves!$B$2:$AO$2,1,26-Projects!$C$14+1)*Assumptions!$B$11*0.95+0.05*Projects!$B$14*Assumptions!$B$11,Projects!$B$14*INDEX(Curves!$B$2:$AO$2,1,26-Projects!$C$14+1)*Assumptions!$B$11*0.95),0)+IF(AND(Projects!$G$15="Yes",26&gt;=Projects!$C$15,26&lt;Projects!$C$15+Projects!$D$15),IF(26=Projects!$C$15+Projects!$D$15-1,Projects!$B$15*INDEX(Curves!$B$4:$AO$4,1,26-Projects!$C$15+1)*Assumptions!$B$11*0.95+0.05*Projects!$B$15*Assumptions!$B$11,Projects!$B$15*INDEX(Curves!$B$4:$AO$4,1,26-Projects!$C$15+1)*Assumptions!$B$11*0.95),0)+IF(AND(Projects!$G$16="Yes",26&gt;=Projects!$C$16,26&lt;Projects!$C$16+Projects!$D$16),IF(26=Projects!$C$16+Projects!$D$16-1,Projects!$B$16*INDEX(Curves!$B$4:$AO$4,1,26-Projects!$C$16+1)*Assumptions!$B$11*0.95+0.05*Projects!$B$16*Assumptions!$B$11,Projects!$B$16*INDEX(Curves!$B$4:$AO$4,1,26-Projects!$C$16+1)*Assumptions!$B$11*0.95),0)</f>
        <v>200280.95791792206</v>
      </c>
      <c r="AC9" s="8">
        <f>IF(AND(Projects!$G$2="Yes",27&gt;=Projects!$C$2,27&lt;Projects!$C$2+Projects!$D$2),IF(27=Projects!$C$2+Projects!$D$2-1,Projects!$B$2*INDEX(Curves!$B$6:$AO$6,1,27-Projects!$C$2+1)*Assumptions!$B$11*0.95+0.05*Projects!$B$2*Assumptions!$B$11,Projects!$B$2*INDEX(Curves!$B$6:$AO$6,1,27-Projects!$C$2+1)*Assumptions!$B$11*0.95),0)+IF(AND(Projects!$G$3="Yes",27&gt;=Projects!$C$3,27&lt;Projects!$C$3+Projects!$D$3),IF(27=Projects!$C$3+Projects!$D$3-1,Projects!$B$3*INDEX(Curves!$B$7:$AO$7,1,27-Projects!$C$3+1)*Assumptions!$B$11*0.95+0.05*Projects!$B$3*Assumptions!$B$11,Projects!$B$3*INDEX(Curves!$B$7:$AO$7,1,27-Projects!$C$3+1)*Assumptions!$B$11*0.95),0)+IF(AND(Projects!$G$4="Yes",27&gt;=Projects!$C$4,27&lt;Projects!$C$4+Projects!$D$4),IF(27=Projects!$C$4+Projects!$D$4-1,Projects!$B$4*INDEX(Curves!$B$8:$AO$8,1,27-Projects!$C$4+1)*Assumptions!$B$11*0.95+0.05*Projects!$B$4*Assumptions!$B$11,Projects!$B$4*INDEX(Curves!$B$8:$AO$8,1,27-Projects!$C$4+1)*Assumptions!$B$11*0.95),0)+IF(AND(Projects!$G$5="Yes",27&gt;=Projects!$C$5,27&lt;Projects!$C$5+Projects!$D$5),IF(27=Projects!$C$5+Projects!$D$5-1,Projects!$B$5*INDEX(Curves!$B$9:$AO$9,1,27-Projects!$C$5+1)*Assumptions!$B$11*0.95+0.05*Projects!$B$5*Assumptions!$B$11,Projects!$B$5*INDEX(Curves!$B$9:$AO$9,1,27-Projects!$C$5+1)*Assumptions!$B$11*0.95),0)+IF(AND(Projects!$G$6="Yes",27&gt;=Projects!$C$6,27&lt;Projects!$C$6+Projects!$D$6),IF(27=Projects!$C$6+Projects!$D$6-1,Projects!$B$6*INDEX(Curves!$B$4:$AO$4,1,27-Projects!$C$6+1)*Assumptions!$B$11*0.95+0.05*Projects!$B$6*Assumptions!$B$11,Projects!$B$6*INDEX(Curves!$B$4:$AO$4,1,27-Projects!$C$6+1)*Assumptions!$B$11*0.95),0)+IF(AND(Projects!$G$7="Yes",27&gt;=Projects!$C$7,27&lt;Projects!$C$7+Projects!$D$7),IF(27=Projects!$C$7+Projects!$D$7-1,Projects!$B$7*INDEX(Curves!$B$3:$AO$3,1,27-Projects!$C$7+1)*Assumptions!$B$11*0.95+0.05*Projects!$B$7*Assumptions!$B$11,Projects!$B$7*INDEX(Curves!$B$3:$AO$3,1,27-Projects!$C$7+1)*Assumptions!$B$11*0.95),0)+IF(AND(Projects!$G$8="Yes",27&gt;=Projects!$C$8,27&lt;Projects!$C$8+Projects!$D$8),IF(27=Projects!$C$8+Projects!$D$8-1,Projects!$B$8*INDEX(Curves!$B$4:$AO$4,1,27-Projects!$C$8+1)*Assumptions!$B$11*0.95+0.05*Projects!$B$8*Assumptions!$B$11,Projects!$B$8*INDEX(Curves!$B$4:$AO$4,1,27-Projects!$C$8+1)*Assumptions!$B$11*0.95),0)+IF(AND(Projects!$G$9="Yes",27&gt;=Projects!$C$9,27&lt;Projects!$C$9+Projects!$D$9),IF(27=Projects!$C$9+Projects!$D$9-1,Projects!$B$9*INDEX(Curves!$B$2:$AO$2,1,27-Projects!$C$9+1)*Assumptions!$B$11*0.95+0.05*Projects!$B$9*Assumptions!$B$11,Projects!$B$9*INDEX(Curves!$B$2:$AO$2,1,27-Projects!$C$9+1)*Assumptions!$B$11*0.95),0)+IF(AND(Projects!$G$10="Yes",27&gt;=Projects!$C$10,27&lt;Projects!$C$10+Projects!$D$10),IF(27=Projects!$C$10+Projects!$D$10-1,Projects!$B$10*INDEX(Curves!$B$4:$AO$4,1,27-Projects!$C$10+1)*Assumptions!$B$11*0.95+0.05*Projects!$B$10*Assumptions!$B$11,Projects!$B$10*INDEX(Curves!$B$4:$AO$4,1,27-Projects!$C$10+1)*Assumptions!$B$11*0.95),0)+IF(AND(Projects!$G$11="Yes",27&gt;=Projects!$C$11,27&lt;Projects!$C$11+Projects!$D$11),IF(27=Projects!$C$11+Projects!$D$11-1,Projects!$B$11*INDEX(Curves!$B$4:$AO$4,1,27-Projects!$C$11+1)*Assumptions!$B$11*0.95+0.05*Projects!$B$11*Assumptions!$B$11,Projects!$B$11*INDEX(Curves!$B$4:$AO$4,1,27-Projects!$C$11+1)*Assumptions!$B$11*0.95),0)+IF(AND(Projects!$G$12="Yes",27&gt;=Projects!$C$12,27&lt;Projects!$C$12+Projects!$D$12),IF(27=Projects!$C$12+Projects!$D$12-1,Projects!$B$12*INDEX(Curves!$B$4:$AO$4,1,27-Projects!$C$12+1)*Assumptions!$B$11*0.95+0.05*Projects!$B$12*Assumptions!$B$11,Projects!$B$12*INDEX(Curves!$B$4:$AO$4,1,27-Projects!$C$12+1)*Assumptions!$B$11*0.95),0)+IF(AND(Projects!$G$13="Yes",27&gt;=Projects!$C$13,27&lt;Projects!$C$13+Projects!$D$13),IF(27=Projects!$C$13+Projects!$D$13-1,Projects!$B$13*INDEX(Curves!$B$2:$AO$2,1,27-Projects!$C$13+1)*Assumptions!$B$11*0.95+0.05*Projects!$B$13*Assumptions!$B$11,Projects!$B$13*INDEX(Curves!$B$2:$AO$2,1,27-Projects!$C$13+1)*Assumptions!$B$11*0.95),0)+IF(AND(Projects!$G$14="Yes",27&gt;=Projects!$C$14,27&lt;Projects!$C$14+Projects!$D$14),IF(27=Projects!$C$14+Projects!$D$14-1,Projects!$B$14*INDEX(Curves!$B$2:$AO$2,1,27-Projects!$C$14+1)*Assumptions!$B$11*0.95+0.05*Projects!$B$14*Assumptions!$B$11,Projects!$B$14*INDEX(Curves!$B$2:$AO$2,1,27-Projects!$C$14+1)*Assumptions!$B$11*0.95),0)+IF(AND(Projects!$G$15="Yes",27&gt;=Projects!$C$15,27&lt;Projects!$C$15+Projects!$D$15),IF(27=Projects!$C$15+Projects!$D$15-1,Projects!$B$15*INDEX(Curves!$B$4:$AO$4,1,27-Projects!$C$15+1)*Assumptions!$B$11*0.95+0.05*Projects!$B$15*Assumptions!$B$11,Projects!$B$15*INDEX(Curves!$B$4:$AO$4,1,27-Projects!$C$15+1)*Assumptions!$B$11*0.95),0)+IF(AND(Projects!$G$16="Yes",27&gt;=Projects!$C$16,27&lt;Projects!$C$16+Projects!$D$16),IF(27=Projects!$C$16+Projects!$D$16-1,Projects!$B$16*INDEX(Curves!$B$4:$AO$4,1,27-Projects!$C$16+1)*Assumptions!$B$11*0.95+0.05*Projects!$B$16*Assumptions!$B$11,Projects!$B$16*INDEX(Curves!$B$4:$AO$4,1,27-Projects!$C$16+1)*Assumptions!$B$11*0.95),0)</f>
        <v>196839.7996115649</v>
      </c>
      <c r="AD9" s="8">
        <f>IF(AND(Projects!$G$2="Yes",28&gt;=Projects!$C$2,28&lt;Projects!$C$2+Projects!$D$2),IF(28=Projects!$C$2+Projects!$D$2-1,Projects!$B$2*INDEX(Curves!$B$6:$AO$6,1,28-Projects!$C$2+1)*Assumptions!$B$11*0.95+0.05*Projects!$B$2*Assumptions!$B$11,Projects!$B$2*INDEX(Curves!$B$6:$AO$6,1,28-Projects!$C$2+1)*Assumptions!$B$11*0.95),0)+IF(AND(Projects!$G$3="Yes",28&gt;=Projects!$C$3,28&lt;Projects!$C$3+Projects!$D$3),IF(28=Projects!$C$3+Projects!$D$3-1,Projects!$B$3*INDEX(Curves!$B$7:$AO$7,1,28-Projects!$C$3+1)*Assumptions!$B$11*0.95+0.05*Projects!$B$3*Assumptions!$B$11,Projects!$B$3*INDEX(Curves!$B$7:$AO$7,1,28-Projects!$C$3+1)*Assumptions!$B$11*0.95),0)+IF(AND(Projects!$G$4="Yes",28&gt;=Projects!$C$4,28&lt;Projects!$C$4+Projects!$D$4),IF(28=Projects!$C$4+Projects!$D$4-1,Projects!$B$4*INDEX(Curves!$B$8:$AO$8,1,28-Projects!$C$4+1)*Assumptions!$B$11*0.95+0.05*Projects!$B$4*Assumptions!$B$11,Projects!$B$4*INDEX(Curves!$B$8:$AO$8,1,28-Projects!$C$4+1)*Assumptions!$B$11*0.95),0)+IF(AND(Projects!$G$5="Yes",28&gt;=Projects!$C$5,28&lt;Projects!$C$5+Projects!$D$5),IF(28=Projects!$C$5+Projects!$D$5-1,Projects!$B$5*INDEX(Curves!$B$9:$AO$9,1,28-Projects!$C$5+1)*Assumptions!$B$11*0.95+0.05*Projects!$B$5*Assumptions!$B$11,Projects!$B$5*INDEX(Curves!$B$9:$AO$9,1,28-Projects!$C$5+1)*Assumptions!$B$11*0.95),0)+IF(AND(Projects!$G$6="Yes",28&gt;=Projects!$C$6,28&lt;Projects!$C$6+Projects!$D$6),IF(28=Projects!$C$6+Projects!$D$6-1,Projects!$B$6*INDEX(Curves!$B$4:$AO$4,1,28-Projects!$C$6+1)*Assumptions!$B$11*0.95+0.05*Projects!$B$6*Assumptions!$B$11,Projects!$B$6*INDEX(Curves!$B$4:$AO$4,1,28-Projects!$C$6+1)*Assumptions!$B$11*0.95),0)+IF(AND(Projects!$G$7="Yes",28&gt;=Projects!$C$7,28&lt;Projects!$C$7+Projects!$D$7),IF(28=Projects!$C$7+Projects!$D$7-1,Projects!$B$7*INDEX(Curves!$B$3:$AO$3,1,28-Projects!$C$7+1)*Assumptions!$B$11*0.95+0.05*Projects!$B$7*Assumptions!$B$11,Projects!$B$7*INDEX(Curves!$B$3:$AO$3,1,28-Projects!$C$7+1)*Assumptions!$B$11*0.95),0)+IF(AND(Projects!$G$8="Yes",28&gt;=Projects!$C$8,28&lt;Projects!$C$8+Projects!$D$8),IF(28=Projects!$C$8+Projects!$D$8-1,Projects!$B$8*INDEX(Curves!$B$4:$AO$4,1,28-Projects!$C$8+1)*Assumptions!$B$11*0.95+0.05*Projects!$B$8*Assumptions!$B$11,Projects!$B$8*INDEX(Curves!$B$4:$AO$4,1,28-Projects!$C$8+1)*Assumptions!$B$11*0.95),0)+IF(AND(Projects!$G$9="Yes",28&gt;=Projects!$C$9,28&lt;Projects!$C$9+Projects!$D$9),IF(28=Projects!$C$9+Projects!$D$9-1,Projects!$B$9*INDEX(Curves!$B$2:$AO$2,1,28-Projects!$C$9+1)*Assumptions!$B$11*0.95+0.05*Projects!$B$9*Assumptions!$B$11,Projects!$B$9*INDEX(Curves!$B$2:$AO$2,1,28-Projects!$C$9+1)*Assumptions!$B$11*0.95),0)+IF(AND(Projects!$G$10="Yes",28&gt;=Projects!$C$10,28&lt;Projects!$C$10+Projects!$D$10),IF(28=Projects!$C$10+Projects!$D$10-1,Projects!$B$10*INDEX(Curves!$B$4:$AO$4,1,28-Projects!$C$10+1)*Assumptions!$B$11*0.95+0.05*Projects!$B$10*Assumptions!$B$11,Projects!$B$10*INDEX(Curves!$B$4:$AO$4,1,28-Projects!$C$10+1)*Assumptions!$B$11*0.95),0)+IF(AND(Projects!$G$11="Yes",28&gt;=Projects!$C$11,28&lt;Projects!$C$11+Projects!$D$11),IF(28=Projects!$C$11+Projects!$D$11-1,Projects!$B$11*INDEX(Curves!$B$4:$AO$4,1,28-Projects!$C$11+1)*Assumptions!$B$11*0.95+0.05*Projects!$B$11*Assumptions!$B$11,Projects!$B$11*INDEX(Curves!$B$4:$AO$4,1,28-Projects!$C$11+1)*Assumptions!$B$11*0.95),0)+IF(AND(Projects!$G$12="Yes",28&gt;=Projects!$C$12,28&lt;Projects!$C$12+Projects!$D$12),IF(28=Projects!$C$12+Projects!$D$12-1,Projects!$B$12*INDEX(Curves!$B$4:$AO$4,1,28-Projects!$C$12+1)*Assumptions!$B$11*0.95+0.05*Projects!$B$12*Assumptions!$B$11,Projects!$B$12*INDEX(Curves!$B$4:$AO$4,1,28-Projects!$C$12+1)*Assumptions!$B$11*0.95),0)+IF(AND(Projects!$G$13="Yes",28&gt;=Projects!$C$13,28&lt;Projects!$C$13+Projects!$D$13),IF(28=Projects!$C$13+Projects!$D$13-1,Projects!$B$13*INDEX(Curves!$B$2:$AO$2,1,28-Projects!$C$13+1)*Assumptions!$B$11*0.95+0.05*Projects!$B$13*Assumptions!$B$11,Projects!$B$13*INDEX(Curves!$B$2:$AO$2,1,28-Projects!$C$13+1)*Assumptions!$B$11*0.95),0)+IF(AND(Projects!$G$14="Yes",28&gt;=Projects!$C$14,28&lt;Projects!$C$14+Projects!$D$14),IF(28=Projects!$C$14+Projects!$D$14-1,Projects!$B$14*INDEX(Curves!$B$2:$AO$2,1,28-Projects!$C$14+1)*Assumptions!$B$11*0.95+0.05*Projects!$B$14*Assumptions!$B$11,Projects!$B$14*INDEX(Curves!$B$2:$AO$2,1,28-Projects!$C$14+1)*Assumptions!$B$11*0.95),0)+IF(AND(Projects!$G$15="Yes",28&gt;=Projects!$C$15,28&lt;Projects!$C$15+Projects!$D$15),IF(28=Projects!$C$15+Projects!$D$15-1,Projects!$B$15*INDEX(Curves!$B$4:$AO$4,1,28-Projects!$C$15+1)*Assumptions!$B$11*0.95+0.05*Projects!$B$15*Assumptions!$B$11,Projects!$B$15*INDEX(Curves!$B$4:$AO$4,1,28-Projects!$C$15+1)*Assumptions!$B$11*0.95),0)+IF(AND(Projects!$G$16="Yes",28&gt;=Projects!$C$16,28&lt;Projects!$C$16+Projects!$D$16),IF(28=Projects!$C$16+Projects!$D$16-1,Projects!$B$16*INDEX(Curves!$B$4:$AO$4,1,28-Projects!$C$16+1)*Assumptions!$B$11*0.95+0.05*Projects!$B$16*Assumptions!$B$11,Projects!$B$16*INDEX(Curves!$B$4:$AO$4,1,28-Projects!$C$16+1)*Assumptions!$B$11*0.95),0)</f>
        <v>159028.21582611278</v>
      </c>
      <c r="AE9" s="8">
        <f>IF(AND(Projects!$G$2="Yes",29&gt;=Projects!$C$2,29&lt;Projects!$C$2+Projects!$D$2),IF(29=Projects!$C$2+Projects!$D$2-1,Projects!$B$2*INDEX(Curves!$B$6:$AO$6,1,29-Projects!$C$2+1)*Assumptions!$B$11*0.95+0.05*Projects!$B$2*Assumptions!$B$11,Projects!$B$2*INDEX(Curves!$B$6:$AO$6,1,29-Projects!$C$2+1)*Assumptions!$B$11*0.95),0)+IF(AND(Projects!$G$3="Yes",29&gt;=Projects!$C$3,29&lt;Projects!$C$3+Projects!$D$3),IF(29=Projects!$C$3+Projects!$D$3-1,Projects!$B$3*INDEX(Curves!$B$7:$AO$7,1,29-Projects!$C$3+1)*Assumptions!$B$11*0.95+0.05*Projects!$B$3*Assumptions!$B$11,Projects!$B$3*INDEX(Curves!$B$7:$AO$7,1,29-Projects!$C$3+1)*Assumptions!$B$11*0.95),0)+IF(AND(Projects!$G$4="Yes",29&gt;=Projects!$C$4,29&lt;Projects!$C$4+Projects!$D$4),IF(29=Projects!$C$4+Projects!$D$4-1,Projects!$B$4*INDEX(Curves!$B$8:$AO$8,1,29-Projects!$C$4+1)*Assumptions!$B$11*0.95+0.05*Projects!$B$4*Assumptions!$B$11,Projects!$B$4*INDEX(Curves!$B$8:$AO$8,1,29-Projects!$C$4+1)*Assumptions!$B$11*0.95),0)+IF(AND(Projects!$G$5="Yes",29&gt;=Projects!$C$5,29&lt;Projects!$C$5+Projects!$D$5),IF(29=Projects!$C$5+Projects!$D$5-1,Projects!$B$5*INDEX(Curves!$B$9:$AO$9,1,29-Projects!$C$5+1)*Assumptions!$B$11*0.95+0.05*Projects!$B$5*Assumptions!$B$11,Projects!$B$5*INDEX(Curves!$B$9:$AO$9,1,29-Projects!$C$5+1)*Assumptions!$B$11*0.95),0)+IF(AND(Projects!$G$6="Yes",29&gt;=Projects!$C$6,29&lt;Projects!$C$6+Projects!$D$6),IF(29=Projects!$C$6+Projects!$D$6-1,Projects!$B$6*INDEX(Curves!$B$4:$AO$4,1,29-Projects!$C$6+1)*Assumptions!$B$11*0.95+0.05*Projects!$B$6*Assumptions!$B$11,Projects!$B$6*INDEX(Curves!$B$4:$AO$4,1,29-Projects!$C$6+1)*Assumptions!$B$11*0.95),0)+IF(AND(Projects!$G$7="Yes",29&gt;=Projects!$C$7,29&lt;Projects!$C$7+Projects!$D$7),IF(29=Projects!$C$7+Projects!$D$7-1,Projects!$B$7*INDEX(Curves!$B$3:$AO$3,1,29-Projects!$C$7+1)*Assumptions!$B$11*0.95+0.05*Projects!$B$7*Assumptions!$B$11,Projects!$B$7*INDEX(Curves!$B$3:$AO$3,1,29-Projects!$C$7+1)*Assumptions!$B$11*0.95),0)+IF(AND(Projects!$G$8="Yes",29&gt;=Projects!$C$8,29&lt;Projects!$C$8+Projects!$D$8),IF(29=Projects!$C$8+Projects!$D$8-1,Projects!$B$8*INDEX(Curves!$B$4:$AO$4,1,29-Projects!$C$8+1)*Assumptions!$B$11*0.95+0.05*Projects!$B$8*Assumptions!$B$11,Projects!$B$8*INDEX(Curves!$B$4:$AO$4,1,29-Projects!$C$8+1)*Assumptions!$B$11*0.95),0)+IF(AND(Projects!$G$9="Yes",29&gt;=Projects!$C$9,29&lt;Projects!$C$9+Projects!$D$9),IF(29=Projects!$C$9+Projects!$D$9-1,Projects!$B$9*INDEX(Curves!$B$2:$AO$2,1,29-Projects!$C$9+1)*Assumptions!$B$11*0.95+0.05*Projects!$B$9*Assumptions!$B$11,Projects!$B$9*INDEX(Curves!$B$2:$AO$2,1,29-Projects!$C$9+1)*Assumptions!$B$11*0.95),0)+IF(AND(Projects!$G$10="Yes",29&gt;=Projects!$C$10,29&lt;Projects!$C$10+Projects!$D$10),IF(29=Projects!$C$10+Projects!$D$10-1,Projects!$B$10*INDEX(Curves!$B$4:$AO$4,1,29-Projects!$C$10+1)*Assumptions!$B$11*0.95+0.05*Projects!$B$10*Assumptions!$B$11,Projects!$B$10*INDEX(Curves!$B$4:$AO$4,1,29-Projects!$C$10+1)*Assumptions!$B$11*0.95),0)+IF(AND(Projects!$G$11="Yes",29&gt;=Projects!$C$11,29&lt;Projects!$C$11+Projects!$D$11),IF(29=Projects!$C$11+Projects!$D$11-1,Projects!$B$11*INDEX(Curves!$B$4:$AO$4,1,29-Projects!$C$11+1)*Assumptions!$B$11*0.95+0.05*Projects!$B$11*Assumptions!$B$11,Projects!$B$11*INDEX(Curves!$B$4:$AO$4,1,29-Projects!$C$11+1)*Assumptions!$B$11*0.95),0)+IF(AND(Projects!$G$12="Yes",29&gt;=Projects!$C$12,29&lt;Projects!$C$12+Projects!$D$12),IF(29=Projects!$C$12+Projects!$D$12-1,Projects!$B$12*INDEX(Curves!$B$4:$AO$4,1,29-Projects!$C$12+1)*Assumptions!$B$11*0.95+0.05*Projects!$B$12*Assumptions!$B$11,Projects!$B$12*INDEX(Curves!$B$4:$AO$4,1,29-Projects!$C$12+1)*Assumptions!$B$11*0.95),0)+IF(AND(Projects!$G$13="Yes",29&gt;=Projects!$C$13,29&lt;Projects!$C$13+Projects!$D$13),IF(29=Projects!$C$13+Projects!$D$13-1,Projects!$B$13*INDEX(Curves!$B$2:$AO$2,1,29-Projects!$C$13+1)*Assumptions!$B$11*0.95+0.05*Projects!$B$13*Assumptions!$B$11,Projects!$B$13*INDEX(Curves!$B$2:$AO$2,1,29-Projects!$C$13+1)*Assumptions!$B$11*0.95),0)+IF(AND(Projects!$G$14="Yes",29&gt;=Projects!$C$14,29&lt;Projects!$C$14+Projects!$D$14),IF(29=Projects!$C$14+Projects!$D$14-1,Projects!$B$14*INDEX(Curves!$B$2:$AO$2,1,29-Projects!$C$14+1)*Assumptions!$B$11*0.95+0.05*Projects!$B$14*Assumptions!$B$11,Projects!$B$14*INDEX(Curves!$B$2:$AO$2,1,29-Projects!$C$14+1)*Assumptions!$B$11*0.95),0)+IF(AND(Projects!$G$15="Yes",29&gt;=Projects!$C$15,29&lt;Projects!$C$15+Projects!$D$15),IF(29=Projects!$C$15+Projects!$D$15-1,Projects!$B$15*INDEX(Curves!$B$4:$AO$4,1,29-Projects!$C$15+1)*Assumptions!$B$11*0.95+0.05*Projects!$B$15*Assumptions!$B$11,Projects!$B$15*INDEX(Curves!$B$4:$AO$4,1,29-Projects!$C$15+1)*Assumptions!$B$11*0.95),0)+IF(AND(Projects!$G$16="Yes",29&gt;=Projects!$C$16,29&lt;Projects!$C$16+Projects!$D$16),IF(29=Projects!$C$16+Projects!$D$16-1,Projects!$B$16*INDEX(Curves!$B$4:$AO$4,1,29-Projects!$C$16+1)*Assumptions!$B$11*0.95+0.05*Projects!$B$16*Assumptions!$B$11,Projects!$B$16*INDEX(Curves!$B$4:$AO$4,1,29-Projects!$C$16+1)*Assumptions!$B$11*0.95),0)</f>
        <v>161141.26713844965</v>
      </c>
      <c r="AF9" s="8">
        <f>IF(AND(Projects!$G$2="Yes",30&gt;=Projects!$C$2,30&lt;Projects!$C$2+Projects!$D$2),IF(30=Projects!$C$2+Projects!$D$2-1,Projects!$B$2*INDEX(Curves!$B$6:$AO$6,1,30-Projects!$C$2+1)*Assumptions!$B$11*0.95+0.05*Projects!$B$2*Assumptions!$B$11,Projects!$B$2*INDEX(Curves!$B$6:$AO$6,1,30-Projects!$C$2+1)*Assumptions!$B$11*0.95),0)+IF(AND(Projects!$G$3="Yes",30&gt;=Projects!$C$3,30&lt;Projects!$C$3+Projects!$D$3),IF(30=Projects!$C$3+Projects!$D$3-1,Projects!$B$3*INDEX(Curves!$B$7:$AO$7,1,30-Projects!$C$3+1)*Assumptions!$B$11*0.95+0.05*Projects!$B$3*Assumptions!$B$11,Projects!$B$3*INDEX(Curves!$B$7:$AO$7,1,30-Projects!$C$3+1)*Assumptions!$B$11*0.95),0)+IF(AND(Projects!$G$4="Yes",30&gt;=Projects!$C$4,30&lt;Projects!$C$4+Projects!$D$4),IF(30=Projects!$C$4+Projects!$D$4-1,Projects!$B$4*INDEX(Curves!$B$8:$AO$8,1,30-Projects!$C$4+1)*Assumptions!$B$11*0.95+0.05*Projects!$B$4*Assumptions!$B$11,Projects!$B$4*INDEX(Curves!$B$8:$AO$8,1,30-Projects!$C$4+1)*Assumptions!$B$11*0.95),0)+IF(AND(Projects!$G$5="Yes",30&gt;=Projects!$C$5,30&lt;Projects!$C$5+Projects!$D$5),IF(30=Projects!$C$5+Projects!$D$5-1,Projects!$B$5*INDEX(Curves!$B$9:$AO$9,1,30-Projects!$C$5+1)*Assumptions!$B$11*0.95+0.05*Projects!$B$5*Assumptions!$B$11,Projects!$B$5*INDEX(Curves!$B$9:$AO$9,1,30-Projects!$C$5+1)*Assumptions!$B$11*0.95),0)+IF(AND(Projects!$G$6="Yes",30&gt;=Projects!$C$6,30&lt;Projects!$C$6+Projects!$D$6),IF(30=Projects!$C$6+Projects!$D$6-1,Projects!$B$6*INDEX(Curves!$B$4:$AO$4,1,30-Projects!$C$6+1)*Assumptions!$B$11*0.95+0.05*Projects!$B$6*Assumptions!$B$11,Projects!$B$6*INDEX(Curves!$B$4:$AO$4,1,30-Projects!$C$6+1)*Assumptions!$B$11*0.95),0)+IF(AND(Projects!$G$7="Yes",30&gt;=Projects!$C$7,30&lt;Projects!$C$7+Projects!$D$7),IF(30=Projects!$C$7+Projects!$D$7-1,Projects!$B$7*INDEX(Curves!$B$3:$AO$3,1,30-Projects!$C$7+1)*Assumptions!$B$11*0.95+0.05*Projects!$B$7*Assumptions!$B$11,Projects!$B$7*INDEX(Curves!$B$3:$AO$3,1,30-Projects!$C$7+1)*Assumptions!$B$11*0.95),0)+IF(AND(Projects!$G$8="Yes",30&gt;=Projects!$C$8,30&lt;Projects!$C$8+Projects!$D$8),IF(30=Projects!$C$8+Projects!$D$8-1,Projects!$B$8*INDEX(Curves!$B$4:$AO$4,1,30-Projects!$C$8+1)*Assumptions!$B$11*0.95+0.05*Projects!$B$8*Assumptions!$B$11,Projects!$B$8*INDEX(Curves!$B$4:$AO$4,1,30-Projects!$C$8+1)*Assumptions!$B$11*0.95),0)+IF(AND(Projects!$G$9="Yes",30&gt;=Projects!$C$9,30&lt;Projects!$C$9+Projects!$D$9),IF(30=Projects!$C$9+Projects!$D$9-1,Projects!$B$9*INDEX(Curves!$B$2:$AO$2,1,30-Projects!$C$9+1)*Assumptions!$B$11*0.95+0.05*Projects!$B$9*Assumptions!$B$11,Projects!$B$9*INDEX(Curves!$B$2:$AO$2,1,30-Projects!$C$9+1)*Assumptions!$B$11*0.95),0)+IF(AND(Projects!$G$10="Yes",30&gt;=Projects!$C$10,30&lt;Projects!$C$10+Projects!$D$10),IF(30=Projects!$C$10+Projects!$D$10-1,Projects!$B$10*INDEX(Curves!$B$4:$AO$4,1,30-Projects!$C$10+1)*Assumptions!$B$11*0.95+0.05*Projects!$B$10*Assumptions!$B$11,Projects!$B$10*INDEX(Curves!$B$4:$AO$4,1,30-Projects!$C$10+1)*Assumptions!$B$11*0.95),0)+IF(AND(Projects!$G$11="Yes",30&gt;=Projects!$C$11,30&lt;Projects!$C$11+Projects!$D$11),IF(30=Projects!$C$11+Projects!$D$11-1,Projects!$B$11*INDEX(Curves!$B$4:$AO$4,1,30-Projects!$C$11+1)*Assumptions!$B$11*0.95+0.05*Projects!$B$11*Assumptions!$B$11,Projects!$B$11*INDEX(Curves!$B$4:$AO$4,1,30-Projects!$C$11+1)*Assumptions!$B$11*0.95),0)+IF(AND(Projects!$G$12="Yes",30&gt;=Projects!$C$12,30&lt;Projects!$C$12+Projects!$D$12),IF(30=Projects!$C$12+Projects!$D$12-1,Projects!$B$12*INDEX(Curves!$B$4:$AO$4,1,30-Projects!$C$12+1)*Assumptions!$B$11*0.95+0.05*Projects!$B$12*Assumptions!$B$11,Projects!$B$12*INDEX(Curves!$B$4:$AO$4,1,30-Projects!$C$12+1)*Assumptions!$B$11*0.95),0)+IF(AND(Projects!$G$13="Yes",30&gt;=Projects!$C$13,30&lt;Projects!$C$13+Projects!$D$13),IF(30=Projects!$C$13+Projects!$D$13-1,Projects!$B$13*INDEX(Curves!$B$2:$AO$2,1,30-Projects!$C$13+1)*Assumptions!$B$11*0.95+0.05*Projects!$B$13*Assumptions!$B$11,Projects!$B$13*INDEX(Curves!$B$2:$AO$2,1,30-Projects!$C$13+1)*Assumptions!$B$11*0.95),0)+IF(AND(Projects!$G$14="Yes",30&gt;=Projects!$C$14,30&lt;Projects!$C$14+Projects!$D$14),IF(30=Projects!$C$14+Projects!$D$14-1,Projects!$B$14*INDEX(Curves!$B$2:$AO$2,1,30-Projects!$C$14+1)*Assumptions!$B$11*0.95+0.05*Projects!$B$14*Assumptions!$B$11,Projects!$B$14*INDEX(Curves!$B$2:$AO$2,1,30-Projects!$C$14+1)*Assumptions!$B$11*0.95),0)+IF(AND(Projects!$G$15="Yes",30&gt;=Projects!$C$15,30&lt;Projects!$C$15+Projects!$D$15),IF(30=Projects!$C$15+Projects!$D$15-1,Projects!$B$15*INDEX(Curves!$B$4:$AO$4,1,30-Projects!$C$15+1)*Assumptions!$B$11*0.95+0.05*Projects!$B$15*Assumptions!$B$11,Projects!$B$15*INDEX(Curves!$B$4:$AO$4,1,30-Projects!$C$15+1)*Assumptions!$B$11*0.95),0)+IF(AND(Projects!$G$16="Yes",30&gt;=Projects!$C$16,30&lt;Projects!$C$16+Projects!$D$16),IF(30=Projects!$C$16+Projects!$D$16-1,Projects!$B$16*INDEX(Curves!$B$4:$AO$4,1,30-Projects!$C$16+1)*Assumptions!$B$11*0.95+0.05*Projects!$B$16*Assumptions!$B$11,Projects!$B$16*INDEX(Curves!$B$4:$AO$4,1,30-Projects!$C$16+1)*Assumptions!$B$11*0.95),0)</f>
        <v>162438.23046937009</v>
      </c>
      <c r="AG9" s="8">
        <f>IF(AND(Projects!$G$2="Yes",31&gt;=Projects!$C$2,31&lt;Projects!$C$2+Projects!$D$2),IF(31=Projects!$C$2+Projects!$D$2-1,Projects!$B$2*INDEX(Curves!$B$6:$AO$6,1,31-Projects!$C$2+1)*Assumptions!$B$11*0.95+0.05*Projects!$B$2*Assumptions!$B$11,Projects!$B$2*INDEX(Curves!$B$6:$AO$6,1,31-Projects!$C$2+1)*Assumptions!$B$11*0.95),0)+IF(AND(Projects!$G$3="Yes",31&gt;=Projects!$C$3,31&lt;Projects!$C$3+Projects!$D$3),IF(31=Projects!$C$3+Projects!$D$3-1,Projects!$B$3*INDEX(Curves!$B$7:$AO$7,1,31-Projects!$C$3+1)*Assumptions!$B$11*0.95+0.05*Projects!$B$3*Assumptions!$B$11,Projects!$B$3*INDEX(Curves!$B$7:$AO$7,1,31-Projects!$C$3+1)*Assumptions!$B$11*0.95),0)+IF(AND(Projects!$G$4="Yes",31&gt;=Projects!$C$4,31&lt;Projects!$C$4+Projects!$D$4),IF(31=Projects!$C$4+Projects!$D$4-1,Projects!$B$4*INDEX(Curves!$B$8:$AO$8,1,31-Projects!$C$4+1)*Assumptions!$B$11*0.95+0.05*Projects!$B$4*Assumptions!$B$11,Projects!$B$4*INDEX(Curves!$B$8:$AO$8,1,31-Projects!$C$4+1)*Assumptions!$B$11*0.95),0)+IF(AND(Projects!$G$5="Yes",31&gt;=Projects!$C$5,31&lt;Projects!$C$5+Projects!$D$5),IF(31=Projects!$C$5+Projects!$D$5-1,Projects!$B$5*INDEX(Curves!$B$9:$AO$9,1,31-Projects!$C$5+1)*Assumptions!$B$11*0.95+0.05*Projects!$B$5*Assumptions!$B$11,Projects!$B$5*INDEX(Curves!$B$9:$AO$9,1,31-Projects!$C$5+1)*Assumptions!$B$11*0.95),0)+IF(AND(Projects!$G$6="Yes",31&gt;=Projects!$C$6,31&lt;Projects!$C$6+Projects!$D$6),IF(31=Projects!$C$6+Projects!$D$6-1,Projects!$B$6*INDEX(Curves!$B$4:$AO$4,1,31-Projects!$C$6+1)*Assumptions!$B$11*0.95+0.05*Projects!$B$6*Assumptions!$B$11,Projects!$B$6*INDEX(Curves!$B$4:$AO$4,1,31-Projects!$C$6+1)*Assumptions!$B$11*0.95),0)+IF(AND(Projects!$G$7="Yes",31&gt;=Projects!$C$7,31&lt;Projects!$C$7+Projects!$D$7),IF(31=Projects!$C$7+Projects!$D$7-1,Projects!$B$7*INDEX(Curves!$B$3:$AO$3,1,31-Projects!$C$7+1)*Assumptions!$B$11*0.95+0.05*Projects!$B$7*Assumptions!$B$11,Projects!$B$7*INDEX(Curves!$B$3:$AO$3,1,31-Projects!$C$7+1)*Assumptions!$B$11*0.95),0)+IF(AND(Projects!$G$8="Yes",31&gt;=Projects!$C$8,31&lt;Projects!$C$8+Projects!$D$8),IF(31=Projects!$C$8+Projects!$D$8-1,Projects!$B$8*INDEX(Curves!$B$4:$AO$4,1,31-Projects!$C$8+1)*Assumptions!$B$11*0.95+0.05*Projects!$B$8*Assumptions!$B$11,Projects!$B$8*INDEX(Curves!$B$4:$AO$4,1,31-Projects!$C$8+1)*Assumptions!$B$11*0.95),0)+IF(AND(Projects!$G$9="Yes",31&gt;=Projects!$C$9,31&lt;Projects!$C$9+Projects!$D$9),IF(31=Projects!$C$9+Projects!$D$9-1,Projects!$B$9*INDEX(Curves!$B$2:$AO$2,1,31-Projects!$C$9+1)*Assumptions!$B$11*0.95+0.05*Projects!$B$9*Assumptions!$B$11,Projects!$B$9*INDEX(Curves!$B$2:$AO$2,1,31-Projects!$C$9+1)*Assumptions!$B$11*0.95),0)+IF(AND(Projects!$G$10="Yes",31&gt;=Projects!$C$10,31&lt;Projects!$C$10+Projects!$D$10),IF(31=Projects!$C$10+Projects!$D$10-1,Projects!$B$10*INDEX(Curves!$B$4:$AO$4,1,31-Projects!$C$10+1)*Assumptions!$B$11*0.95+0.05*Projects!$B$10*Assumptions!$B$11,Projects!$B$10*INDEX(Curves!$B$4:$AO$4,1,31-Projects!$C$10+1)*Assumptions!$B$11*0.95),0)+IF(AND(Projects!$G$11="Yes",31&gt;=Projects!$C$11,31&lt;Projects!$C$11+Projects!$D$11),IF(31=Projects!$C$11+Projects!$D$11-1,Projects!$B$11*INDEX(Curves!$B$4:$AO$4,1,31-Projects!$C$11+1)*Assumptions!$B$11*0.95+0.05*Projects!$B$11*Assumptions!$B$11,Projects!$B$11*INDEX(Curves!$B$4:$AO$4,1,31-Projects!$C$11+1)*Assumptions!$B$11*0.95),0)+IF(AND(Projects!$G$12="Yes",31&gt;=Projects!$C$12,31&lt;Projects!$C$12+Projects!$D$12),IF(31=Projects!$C$12+Projects!$D$12-1,Projects!$B$12*INDEX(Curves!$B$4:$AO$4,1,31-Projects!$C$12+1)*Assumptions!$B$11*0.95+0.05*Projects!$B$12*Assumptions!$B$11,Projects!$B$12*INDEX(Curves!$B$4:$AO$4,1,31-Projects!$C$12+1)*Assumptions!$B$11*0.95),0)+IF(AND(Projects!$G$13="Yes",31&gt;=Projects!$C$13,31&lt;Projects!$C$13+Projects!$D$13),IF(31=Projects!$C$13+Projects!$D$13-1,Projects!$B$13*INDEX(Curves!$B$2:$AO$2,1,31-Projects!$C$13+1)*Assumptions!$B$11*0.95+0.05*Projects!$B$13*Assumptions!$B$11,Projects!$B$13*INDEX(Curves!$B$2:$AO$2,1,31-Projects!$C$13+1)*Assumptions!$B$11*0.95),0)+IF(AND(Projects!$G$14="Yes",31&gt;=Projects!$C$14,31&lt;Projects!$C$14+Projects!$D$14),IF(31=Projects!$C$14+Projects!$D$14-1,Projects!$B$14*INDEX(Curves!$B$2:$AO$2,1,31-Projects!$C$14+1)*Assumptions!$B$11*0.95+0.05*Projects!$B$14*Assumptions!$B$11,Projects!$B$14*INDEX(Curves!$B$2:$AO$2,1,31-Projects!$C$14+1)*Assumptions!$B$11*0.95),0)+IF(AND(Projects!$G$15="Yes",31&gt;=Projects!$C$15,31&lt;Projects!$C$15+Projects!$D$15),IF(31=Projects!$C$15+Projects!$D$15-1,Projects!$B$15*INDEX(Curves!$B$4:$AO$4,1,31-Projects!$C$15+1)*Assumptions!$B$11*0.95+0.05*Projects!$B$15*Assumptions!$B$11,Projects!$B$15*INDEX(Curves!$B$4:$AO$4,1,31-Projects!$C$15+1)*Assumptions!$B$11*0.95),0)+IF(AND(Projects!$G$16="Yes",31&gt;=Projects!$C$16,31&lt;Projects!$C$16+Projects!$D$16),IF(31=Projects!$C$16+Projects!$D$16-1,Projects!$B$16*INDEX(Curves!$B$4:$AO$4,1,31-Projects!$C$16+1)*Assumptions!$B$11*0.95+0.05*Projects!$B$16*Assumptions!$B$11,Projects!$B$16*INDEX(Curves!$B$4:$AO$4,1,31-Projects!$C$16+1)*Assumptions!$B$11*0.95),0)</f>
        <v>214717.70687849267</v>
      </c>
      <c r="AH9" s="8">
        <f>IF(AND(Projects!$G$2="Yes",32&gt;=Projects!$C$2,32&lt;Projects!$C$2+Projects!$D$2),IF(32=Projects!$C$2+Projects!$D$2-1,Projects!$B$2*INDEX(Curves!$B$6:$AO$6,1,32-Projects!$C$2+1)*Assumptions!$B$11*0.95+0.05*Projects!$B$2*Assumptions!$B$11,Projects!$B$2*INDEX(Curves!$B$6:$AO$6,1,32-Projects!$C$2+1)*Assumptions!$B$11*0.95),0)+IF(AND(Projects!$G$3="Yes",32&gt;=Projects!$C$3,32&lt;Projects!$C$3+Projects!$D$3),IF(32=Projects!$C$3+Projects!$D$3-1,Projects!$B$3*INDEX(Curves!$B$7:$AO$7,1,32-Projects!$C$3+1)*Assumptions!$B$11*0.95+0.05*Projects!$B$3*Assumptions!$B$11,Projects!$B$3*INDEX(Curves!$B$7:$AO$7,1,32-Projects!$C$3+1)*Assumptions!$B$11*0.95),0)+IF(AND(Projects!$G$4="Yes",32&gt;=Projects!$C$4,32&lt;Projects!$C$4+Projects!$D$4),IF(32=Projects!$C$4+Projects!$D$4-1,Projects!$B$4*INDEX(Curves!$B$8:$AO$8,1,32-Projects!$C$4+1)*Assumptions!$B$11*0.95+0.05*Projects!$B$4*Assumptions!$B$11,Projects!$B$4*INDEX(Curves!$B$8:$AO$8,1,32-Projects!$C$4+1)*Assumptions!$B$11*0.95),0)+IF(AND(Projects!$G$5="Yes",32&gt;=Projects!$C$5,32&lt;Projects!$C$5+Projects!$D$5),IF(32=Projects!$C$5+Projects!$D$5-1,Projects!$B$5*INDEX(Curves!$B$9:$AO$9,1,32-Projects!$C$5+1)*Assumptions!$B$11*0.95+0.05*Projects!$B$5*Assumptions!$B$11,Projects!$B$5*INDEX(Curves!$B$9:$AO$9,1,32-Projects!$C$5+1)*Assumptions!$B$11*0.95),0)+IF(AND(Projects!$G$6="Yes",32&gt;=Projects!$C$6,32&lt;Projects!$C$6+Projects!$D$6),IF(32=Projects!$C$6+Projects!$D$6-1,Projects!$B$6*INDEX(Curves!$B$4:$AO$4,1,32-Projects!$C$6+1)*Assumptions!$B$11*0.95+0.05*Projects!$B$6*Assumptions!$B$11,Projects!$B$6*INDEX(Curves!$B$4:$AO$4,1,32-Projects!$C$6+1)*Assumptions!$B$11*0.95),0)+IF(AND(Projects!$G$7="Yes",32&gt;=Projects!$C$7,32&lt;Projects!$C$7+Projects!$D$7),IF(32=Projects!$C$7+Projects!$D$7-1,Projects!$B$7*INDEX(Curves!$B$3:$AO$3,1,32-Projects!$C$7+1)*Assumptions!$B$11*0.95+0.05*Projects!$B$7*Assumptions!$B$11,Projects!$B$7*INDEX(Curves!$B$3:$AO$3,1,32-Projects!$C$7+1)*Assumptions!$B$11*0.95),0)+IF(AND(Projects!$G$8="Yes",32&gt;=Projects!$C$8,32&lt;Projects!$C$8+Projects!$D$8),IF(32=Projects!$C$8+Projects!$D$8-1,Projects!$B$8*INDEX(Curves!$B$4:$AO$4,1,32-Projects!$C$8+1)*Assumptions!$B$11*0.95+0.05*Projects!$B$8*Assumptions!$B$11,Projects!$B$8*INDEX(Curves!$B$4:$AO$4,1,32-Projects!$C$8+1)*Assumptions!$B$11*0.95),0)+IF(AND(Projects!$G$9="Yes",32&gt;=Projects!$C$9,32&lt;Projects!$C$9+Projects!$D$9),IF(32=Projects!$C$9+Projects!$D$9-1,Projects!$B$9*INDEX(Curves!$B$2:$AO$2,1,32-Projects!$C$9+1)*Assumptions!$B$11*0.95+0.05*Projects!$B$9*Assumptions!$B$11,Projects!$B$9*INDEX(Curves!$B$2:$AO$2,1,32-Projects!$C$9+1)*Assumptions!$B$11*0.95),0)+IF(AND(Projects!$G$10="Yes",32&gt;=Projects!$C$10,32&lt;Projects!$C$10+Projects!$D$10),IF(32=Projects!$C$10+Projects!$D$10-1,Projects!$B$10*INDEX(Curves!$B$4:$AO$4,1,32-Projects!$C$10+1)*Assumptions!$B$11*0.95+0.05*Projects!$B$10*Assumptions!$B$11,Projects!$B$10*INDEX(Curves!$B$4:$AO$4,1,32-Projects!$C$10+1)*Assumptions!$B$11*0.95),0)+IF(AND(Projects!$G$11="Yes",32&gt;=Projects!$C$11,32&lt;Projects!$C$11+Projects!$D$11),IF(32=Projects!$C$11+Projects!$D$11-1,Projects!$B$11*INDEX(Curves!$B$4:$AO$4,1,32-Projects!$C$11+1)*Assumptions!$B$11*0.95+0.05*Projects!$B$11*Assumptions!$B$11,Projects!$B$11*INDEX(Curves!$B$4:$AO$4,1,32-Projects!$C$11+1)*Assumptions!$B$11*0.95),0)+IF(AND(Projects!$G$12="Yes",32&gt;=Projects!$C$12,32&lt;Projects!$C$12+Projects!$D$12),IF(32=Projects!$C$12+Projects!$D$12-1,Projects!$B$12*INDEX(Curves!$B$4:$AO$4,1,32-Projects!$C$12+1)*Assumptions!$B$11*0.95+0.05*Projects!$B$12*Assumptions!$B$11,Projects!$B$12*INDEX(Curves!$B$4:$AO$4,1,32-Projects!$C$12+1)*Assumptions!$B$11*0.95),0)+IF(AND(Projects!$G$13="Yes",32&gt;=Projects!$C$13,32&lt;Projects!$C$13+Projects!$D$13),IF(32=Projects!$C$13+Projects!$D$13-1,Projects!$B$13*INDEX(Curves!$B$2:$AO$2,1,32-Projects!$C$13+1)*Assumptions!$B$11*0.95+0.05*Projects!$B$13*Assumptions!$B$11,Projects!$B$13*INDEX(Curves!$B$2:$AO$2,1,32-Projects!$C$13+1)*Assumptions!$B$11*0.95),0)+IF(AND(Projects!$G$14="Yes",32&gt;=Projects!$C$14,32&lt;Projects!$C$14+Projects!$D$14),IF(32=Projects!$C$14+Projects!$D$14-1,Projects!$B$14*INDEX(Curves!$B$2:$AO$2,1,32-Projects!$C$14+1)*Assumptions!$B$11*0.95+0.05*Projects!$B$14*Assumptions!$B$11,Projects!$B$14*INDEX(Curves!$B$2:$AO$2,1,32-Projects!$C$14+1)*Assumptions!$B$11*0.95),0)+IF(AND(Projects!$G$15="Yes",32&gt;=Projects!$C$15,32&lt;Projects!$C$15+Projects!$D$15),IF(32=Projects!$C$15+Projects!$D$15-1,Projects!$B$15*INDEX(Curves!$B$4:$AO$4,1,32-Projects!$C$15+1)*Assumptions!$B$11*0.95+0.05*Projects!$B$15*Assumptions!$B$11,Projects!$B$15*INDEX(Curves!$B$4:$AO$4,1,32-Projects!$C$15+1)*Assumptions!$B$11*0.95),0)+IF(AND(Projects!$G$16="Yes",32&gt;=Projects!$C$16,32&lt;Projects!$C$16+Projects!$D$16),IF(32=Projects!$C$16+Projects!$D$16-1,Projects!$B$16*INDEX(Curves!$B$4:$AO$4,1,32-Projects!$C$16+1)*Assumptions!$B$11*0.95+0.05*Projects!$B$16*Assumptions!$B$11,Projects!$B$16*INDEX(Curves!$B$4:$AO$4,1,32-Projects!$C$16+1)*Assumptions!$B$11*0.95),0)</f>
        <v>162678.47236765176</v>
      </c>
      <c r="AI9" s="8">
        <f>IF(AND(Projects!$G$2="Yes",33&gt;=Projects!$C$2,33&lt;Projects!$C$2+Projects!$D$2),IF(33=Projects!$C$2+Projects!$D$2-1,Projects!$B$2*INDEX(Curves!$B$6:$AO$6,1,33-Projects!$C$2+1)*Assumptions!$B$11*0.95+0.05*Projects!$B$2*Assumptions!$B$11,Projects!$B$2*INDEX(Curves!$B$6:$AO$6,1,33-Projects!$C$2+1)*Assumptions!$B$11*0.95),0)+IF(AND(Projects!$G$3="Yes",33&gt;=Projects!$C$3,33&lt;Projects!$C$3+Projects!$D$3),IF(33=Projects!$C$3+Projects!$D$3-1,Projects!$B$3*INDEX(Curves!$B$7:$AO$7,1,33-Projects!$C$3+1)*Assumptions!$B$11*0.95+0.05*Projects!$B$3*Assumptions!$B$11,Projects!$B$3*INDEX(Curves!$B$7:$AO$7,1,33-Projects!$C$3+1)*Assumptions!$B$11*0.95),0)+IF(AND(Projects!$G$4="Yes",33&gt;=Projects!$C$4,33&lt;Projects!$C$4+Projects!$D$4),IF(33=Projects!$C$4+Projects!$D$4-1,Projects!$B$4*INDEX(Curves!$B$8:$AO$8,1,33-Projects!$C$4+1)*Assumptions!$B$11*0.95+0.05*Projects!$B$4*Assumptions!$B$11,Projects!$B$4*INDEX(Curves!$B$8:$AO$8,1,33-Projects!$C$4+1)*Assumptions!$B$11*0.95),0)+IF(AND(Projects!$G$5="Yes",33&gt;=Projects!$C$5,33&lt;Projects!$C$5+Projects!$D$5),IF(33=Projects!$C$5+Projects!$D$5-1,Projects!$B$5*INDEX(Curves!$B$9:$AO$9,1,33-Projects!$C$5+1)*Assumptions!$B$11*0.95+0.05*Projects!$B$5*Assumptions!$B$11,Projects!$B$5*INDEX(Curves!$B$9:$AO$9,1,33-Projects!$C$5+1)*Assumptions!$B$11*0.95),0)+IF(AND(Projects!$G$6="Yes",33&gt;=Projects!$C$6,33&lt;Projects!$C$6+Projects!$D$6),IF(33=Projects!$C$6+Projects!$D$6-1,Projects!$B$6*INDEX(Curves!$B$4:$AO$4,1,33-Projects!$C$6+1)*Assumptions!$B$11*0.95+0.05*Projects!$B$6*Assumptions!$B$11,Projects!$B$6*INDEX(Curves!$B$4:$AO$4,1,33-Projects!$C$6+1)*Assumptions!$B$11*0.95),0)+IF(AND(Projects!$G$7="Yes",33&gt;=Projects!$C$7,33&lt;Projects!$C$7+Projects!$D$7),IF(33=Projects!$C$7+Projects!$D$7-1,Projects!$B$7*INDEX(Curves!$B$3:$AO$3,1,33-Projects!$C$7+1)*Assumptions!$B$11*0.95+0.05*Projects!$B$7*Assumptions!$B$11,Projects!$B$7*INDEX(Curves!$B$3:$AO$3,1,33-Projects!$C$7+1)*Assumptions!$B$11*0.95),0)+IF(AND(Projects!$G$8="Yes",33&gt;=Projects!$C$8,33&lt;Projects!$C$8+Projects!$D$8),IF(33=Projects!$C$8+Projects!$D$8-1,Projects!$B$8*INDEX(Curves!$B$4:$AO$4,1,33-Projects!$C$8+1)*Assumptions!$B$11*0.95+0.05*Projects!$B$8*Assumptions!$B$11,Projects!$B$8*INDEX(Curves!$B$4:$AO$4,1,33-Projects!$C$8+1)*Assumptions!$B$11*0.95),0)+IF(AND(Projects!$G$9="Yes",33&gt;=Projects!$C$9,33&lt;Projects!$C$9+Projects!$D$9),IF(33=Projects!$C$9+Projects!$D$9-1,Projects!$B$9*INDEX(Curves!$B$2:$AO$2,1,33-Projects!$C$9+1)*Assumptions!$B$11*0.95+0.05*Projects!$B$9*Assumptions!$B$11,Projects!$B$9*INDEX(Curves!$B$2:$AO$2,1,33-Projects!$C$9+1)*Assumptions!$B$11*0.95),0)+IF(AND(Projects!$G$10="Yes",33&gt;=Projects!$C$10,33&lt;Projects!$C$10+Projects!$D$10),IF(33=Projects!$C$10+Projects!$D$10-1,Projects!$B$10*INDEX(Curves!$B$4:$AO$4,1,33-Projects!$C$10+1)*Assumptions!$B$11*0.95+0.05*Projects!$B$10*Assumptions!$B$11,Projects!$B$10*INDEX(Curves!$B$4:$AO$4,1,33-Projects!$C$10+1)*Assumptions!$B$11*0.95),0)+IF(AND(Projects!$G$11="Yes",33&gt;=Projects!$C$11,33&lt;Projects!$C$11+Projects!$D$11),IF(33=Projects!$C$11+Projects!$D$11-1,Projects!$B$11*INDEX(Curves!$B$4:$AO$4,1,33-Projects!$C$11+1)*Assumptions!$B$11*0.95+0.05*Projects!$B$11*Assumptions!$B$11,Projects!$B$11*INDEX(Curves!$B$4:$AO$4,1,33-Projects!$C$11+1)*Assumptions!$B$11*0.95),0)+IF(AND(Projects!$G$12="Yes",33&gt;=Projects!$C$12,33&lt;Projects!$C$12+Projects!$D$12),IF(33=Projects!$C$12+Projects!$D$12-1,Projects!$B$12*INDEX(Curves!$B$4:$AO$4,1,33-Projects!$C$12+1)*Assumptions!$B$11*0.95+0.05*Projects!$B$12*Assumptions!$B$11,Projects!$B$12*INDEX(Curves!$B$4:$AO$4,1,33-Projects!$C$12+1)*Assumptions!$B$11*0.95),0)+IF(AND(Projects!$G$13="Yes",33&gt;=Projects!$C$13,33&lt;Projects!$C$13+Projects!$D$13),IF(33=Projects!$C$13+Projects!$D$13-1,Projects!$B$13*INDEX(Curves!$B$2:$AO$2,1,33-Projects!$C$13+1)*Assumptions!$B$11*0.95+0.05*Projects!$B$13*Assumptions!$B$11,Projects!$B$13*INDEX(Curves!$B$2:$AO$2,1,33-Projects!$C$13+1)*Assumptions!$B$11*0.95),0)+IF(AND(Projects!$G$14="Yes",33&gt;=Projects!$C$14,33&lt;Projects!$C$14+Projects!$D$14),IF(33=Projects!$C$14+Projects!$D$14-1,Projects!$B$14*INDEX(Curves!$B$2:$AO$2,1,33-Projects!$C$14+1)*Assumptions!$B$11*0.95+0.05*Projects!$B$14*Assumptions!$B$11,Projects!$B$14*INDEX(Curves!$B$2:$AO$2,1,33-Projects!$C$14+1)*Assumptions!$B$11*0.95),0)+IF(AND(Projects!$G$15="Yes",33&gt;=Projects!$C$15,33&lt;Projects!$C$15+Projects!$D$15),IF(33=Projects!$C$15+Projects!$D$15-1,Projects!$B$15*INDEX(Curves!$B$4:$AO$4,1,33-Projects!$C$15+1)*Assumptions!$B$11*0.95+0.05*Projects!$B$15*Assumptions!$B$11,Projects!$B$15*INDEX(Curves!$B$4:$AO$4,1,33-Projects!$C$15+1)*Assumptions!$B$11*0.95),0)+IF(AND(Projects!$G$16="Yes",33&gt;=Projects!$C$16,33&lt;Projects!$C$16+Projects!$D$16),IF(33=Projects!$C$16+Projects!$D$16-1,Projects!$B$16*INDEX(Curves!$B$4:$AO$4,1,33-Projects!$C$16+1)*Assumptions!$B$11*0.95+0.05*Projects!$B$16*Assumptions!$B$11,Projects!$B$16*INDEX(Curves!$B$4:$AO$4,1,33-Projects!$C$16+1)*Assumptions!$B$11*0.95),0)</f>
        <v>266318.32370122644</v>
      </c>
      <c r="AJ9" s="8">
        <f>IF(AND(Projects!$G$2="Yes",34&gt;=Projects!$C$2,34&lt;Projects!$C$2+Projects!$D$2),IF(34=Projects!$C$2+Projects!$D$2-1,Projects!$B$2*INDEX(Curves!$B$6:$AO$6,1,34-Projects!$C$2+1)*Assumptions!$B$11*0.95+0.05*Projects!$B$2*Assumptions!$B$11,Projects!$B$2*INDEX(Curves!$B$6:$AO$6,1,34-Projects!$C$2+1)*Assumptions!$B$11*0.95),0)+IF(AND(Projects!$G$3="Yes",34&gt;=Projects!$C$3,34&lt;Projects!$C$3+Projects!$D$3),IF(34=Projects!$C$3+Projects!$D$3-1,Projects!$B$3*INDEX(Curves!$B$7:$AO$7,1,34-Projects!$C$3+1)*Assumptions!$B$11*0.95+0.05*Projects!$B$3*Assumptions!$B$11,Projects!$B$3*INDEX(Curves!$B$7:$AO$7,1,34-Projects!$C$3+1)*Assumptions!$B$11*0.95),0)+IF(AND(Projects!$G$4="Yes",34&gt;=Projects!$C$4,34&lt;Projects!$C$4+Projects!$D$4),IF(34=Projects!$C$4+Projects!$D$4-1,Projects!$B$4*INDEX(Curves!$B$8:$AO$8,1,34-Projects!$C$4+1)*Assumptions!$B$11*0.95+0.05*Projects!$B$4*Assumptions!$B$11,Projects!$B$4*INDEX(Curves!$B$8:$AO$8,1,34-Projects!$C$4+1)*Assumptions!$B$11*0.95),0)+IF(AND(Projects!$G$5="Yes",34&gt;=Projects!$C$5,34&lt;Projects!$C$5+Projects!$D$5),IF(34=Projects!$C$5+Projects!$D$5-1,Projects!$B$5*INDEX(Curves!$B$9:$AO$9,1,34-Projects!$C$5+1)*Assumptions!$B$11*0.95+0.05*Projects!$B$5*Assumptions!$B$11,Projects!$B$5*INDEX(Curves!$B$9:$AO$9,1,34-Projects!$C$5+1)*Assumptions!$B$11*0.95),0)+IF(AND(Projects!$G$6="Yes",34&gt;=Projects!$C$6,34&lt;Projects!$C$6+Projects!$D$6),IF(34=Projects!$C$6+Projects!$D$6-1,Projects!$B$6*INDEX(Curves!$B$4:$AO$4,1,34-Projects!$C$6+1)*Assumptions!$B$11*0.95+0.05*Projects!$B$6*Assumptions!$B$11,Projects!$B$6*INDEX(Curves!$B$4:$AO$4,1,34-Projects!$C$6+1)*Assumptions!$B$11*0.95),0)+IF(AND(Projects!$G$7="Yes",34&gt;=Projects!$C$7,34&lt;Projects!$C$7+Projects!$D$7),IF(34=Projects!$C$7+Projects!$D$7-1,Projects!$B$7*INDEX(Curves!$B$3:$AO$3,1,34-Projects!$C$7+1)*Assumptions!$B$11*0.95+0.05*Projects!$B$7*Assumptions!$B$11,Projects!$B$7*INDEX(Curves!$B$3:$AO$3,1,34-Projects!$C$7+1)*Assumptions!$B$11*0.95),0)+IF(AND(Projects!$G$8="Yes",34&gt;=Projects!$C$8,34&lt;Projects!$C$8+Projects!$D$8),IF(34=Projects!$C$8+Projects!$D$8-1,Projects!$B$8*INDEX(Curves!$B$4:$AO$4,1,34-Projects!$C$8+1)*Assumptions!$B$11*0.95+0.05*Projects!$B$8*Assumptions!$B$11,Projects!$B$8*INDEX(Curves!$B$4:$AO$4,1,34-Projects!$C$8+1)*Assumptions!$B$11*0.95),0)+IF(AND(Projects!$G$9="Yes",34&gt;=Projects!$C$9,34&lt;Projects!$C$9+Projects!$D$9),IF(34=Projects!$C$9+Projects!$D$9-1,Projects!$B$9*INDEX(Curves!$B$2:$AO$2,1,34-Projects!$C$9+1)*Assumptions!$B$11*0.95+0.05*Projects!$B$9*Assumptions!$B$11,Projects!$B$9*INDEX(Curves!$B$2:$AO$2,1,34-Projects!$C$9+1)*Assumptions!$B$11*0.95),0)+IF(AND(Projects!$G$10="Yes",34&gt;=Projects!$C$10,34&lt;Projects!$C$10+Projects!$D$10),IF(34=Projects!$C$10+Projects!$D$10-1,Projects!$B$10*INDEX(Curves!$B$4:$AO$4,1,34-Projects!$C$10+1)*Assumptions!$B$11*0.95+0.05*Projects!$B$10*Assumptions!$B$11,Projects!$B$10*INDEX(Curves!$B$4:$AO$4,1,34-Projects!$C$10+1)*Assumptions!$B$11*0.95),0)+IF(AND(Projects!$G$11="Yes",34&gt;=Projects!$C$11,34&lt;Projects!$C$11+Projects!$D$11),IF(34=Projects!$C$11+Projects!$D$11-1,Projects!$B$11*INDEX(Curves!$B$4:$AO$4,1,34-Projects!$C$11+1)*Assumptions!$B$11*0.95+0.05*Projects!$B$11*Assumptions!$B$11,Projects!$B$11*INDEX(Curves!$B$4:$AO$4,1,34-Projects!$C$11+1)*Assumptions!$B$11*0.95),0)+IF(AND(Projects!$G$12="Yes",34&gt;=Projects!$C$12,34&lt;Projects!$C$12+Projects!$D$12),IF(34=Projects!$C$12+Projects!$D$12-1,Projects!$B$12*INDEX(Curves!$B$4:$AO$4,1,34-Projects!$C$12+1)*Assumptions!$B$11*0.95+0.05*Projects!$B$12*Assumptions!$B$11,Projects!$B$12*INDEX(Curves!$B$4:$AO$4,1,34-Projects!$C$12+1)*Assumptions!$B$11*0.95),0)+IF(AND(Projects!$G$13="Yes",34&gt;=Projects!$C$13,34&lt;Projects!$C$13+Projects!$D$13),IF(34=Projects!$C$13+Projects!$D$13-1,Projects!$B$13*INDEX(Curves!$B$2:$AO$2,1,34-Projects!$C$13+1)*Assumptions!$B$11*0.95+0.05*Projects!$B$13*Assumptions!$B$11,Projects!$B$13*INDEX(Curves!$B$2:$AO$2,1,34-Projects!$C$13+1)*Assumptions!$B$11*0.95),0)+IF(AND(Projects!$G$14="Yes",34&gt;=Projects!$C$14,34&lt;Projects!$C$14+Projects!$D$14),IF(34=Projects!$C$14+Projects!$D$14-1,Projects!$B$14*INDEX(Curves!$B$2:$AO$2,1,34-Projects!$C$14+1)*Assumptions!$B$11*0.95+0.05*Projects!$B$14*Assumptions!$B$11,Projects!$B$14*INDEX(Curves!$B$2:$AO$2,1,34-Projects!$C$14+1)*Assumptions!$B$11*0.95),0)+IF(AND(Projects!$G$15="Yes",34&gt;=Projects!$C$15,34&lt;Projects!$C$15+Projects!$D$15),IF(34=Projects!$C$15+Projects!$D$15-1,Projects!$B$15*INDEX(Curves!$B$4:$AO$4,1,34-Projects!$C$15+1)*Assumptions!$B$11*0.95+0.05*Projects!$B$15*Assumptions!$B$11,Projects!$B$15*INDEX(Curves!$B$4:$AO$4,1,34-Projects!$C$15+1)*Assumptions!$B$11*0.95),0)+IF(AND(Projects!$G$16="Yes",34&gt;=Projects!$C$16,34&lt;Projects!$C$16+Projects!$D$16),IF(34=Projects!$C$16+Projects!$D$16-1,Projects!$B$16*INDEX(Curves!$B$4:$AO$4,1,34-Projects!$C$16+1)*Assumptions!$B$11*0.95+0.05*Projects!$B$16*Assumptions!$B$11,Projects!$B$16*INDEX(Curves!$B$4:$AO$4,1,34-Projects!$C$16+1)*Assumptions!$B$11*0.95),0)</f>
        <v>160003.64837845368</v>
      </c>
      <c r="AK9" s="8">
        <f>IF(AND(Projects!$G$2="Yes",35&gt;=Projects!$C$2,35&lt;Projects!$C$2+Projects!$D$2),IF(35=Projects!$C$2+Projects!$D$2-1,Projects!$B$2*INDEX(Curves!$B$6:$AO$6,1,35-Projects!$C$2+1)*Assumptions!$B$11*0.95+0.05*Projects!$B$2*Assumptions!$B$11,Projects!$B$2*INDEX(Curves!$B$6:$AO$6,1,35-Projects!$C$2+1)*Assumptions!$B$11*0.95),0)+IF(AND(Projects!$G$3="Yes",35&gt;=Projects!$C$3,35&lt;Projects!$C$3+Projects!$D$3),IF(35=Projects!$C$3+Projects!$D$3-1,Projects!$B$3*INDEX(Curves!$B$7:$AO$7,1,35-Projects!$C$3+1)*Assumptions!$B$11*0.95+0.05*Projects!$B$3*Assumptions!$B$11,Projects!$B$3*INDEX(Curves!$B$7:$AO$7,1,35-Projects!$C$3+1)*Assumptions!$B$11*0.95),0)+IF(AND(Projects!$G$4="Yes",35&gt;=Projects!$C$4,35&lt;Projects!$C$4+Projects!$D$4),IF(35=Projects!$C$4+Projects!$D$4-1,Projects!$B$4*INDEX(Curves!$B$8:$AO$8,1,35-Projects!$C$4+1)*Assumptions!$B$11*0.95+0.05*Projects!$B$4*Assumptions!$B$11,Projects!$B$4*INDEX(Curves!$B$8:$AO$8,1,35-Projects!$C$4+1)*Assumptions!$B$11*0.95),0)+IF(AND(Projects!$G$5="Yes",35&gt;=Projects!$C$5,35&lt;Projects!$C$5+Projects!$D$5),IF(35=Projects!$C$5+Projects!$D$5-1,Projects!$B$5*INDEX(Curves!$B$9:$AO$9,1,35-Projects!$C$5+1)*Assumptions!$B$11*0.95+0.05*Projects!$B$5*Assumptions!$B$11,Projects!$B$5*INDEX(Curves!$B$9:$AO$9,1,35-Projects!$C$5+1)*Assumptions!$B$11*0.95),0)+IF(AND(Projects!$G$6="Yes",35&gt;=Projects!$C$6,35&lt;Projects!$C$6+Projects!$D$6),IF(35=Projects!$C$6+Projects!$D$6-1,Projects!$B$6*INDEX(Curves!$B$4:$AO$4,1,35-Projects!$C$6+1)*Assumptions!$B$11*0.95+0.05*Projects!$B$6*Assumptions!$B$11,Projects!$B$6*INDEX(Curves!$B$4:$AO$4,1,35-Projects!$C$6+1)*Assumptions!$B$11*0.95),0)+IF(AND(Projects!$G$7="Yes",35&gt;=Projects!$C$7,35&lt;Projects!$C$7+Projects!$D$7),IF(35=Projects!$C$7+Projects!$D$7-1,Projects!$B$7*INDEX(Curves!$B$3:$AO$3,1,35-Projects!$C$7+1)*Assumptions!$B$11*0.95+0.05*Projects!$B$7*Assumptions!$B$11,Projects!$B$7*INDEX(Curves!$B$3:$AO$3,1,35-Projects!$C$7+1)*Assumptions!$B$11*0.95),0)+IF(AND(Projects!$G$8="Yes",35&gt;=Projects!$C$8,35&lt;Projects!$C$8+Projects!$D$8),IF(35=Projects!$C$8+Projects!$D$8-1,Projects!$B$8*INDEX(Curves!$B$4:$AO$4,1,35-Projects!$C$8+1)*Assumptions!$B$11*0.95+0.05*Projects!$B$8*Assumptions!$B$11,Projects!$B$8*INDEX(Curves!$B$4:$AO$4,1,35-Projects!$C$8+1)*Assumptions!$B$11*0.95),0)+IF(AND(Projects!$G$9="Yes",35&gt;=Projects!$C$9,35&lt;Projects!$C$9+Projects!$D$9),IF(35=Projects!$C$9+Projects!$D$9-1,Projects!$B$9*INDEX(Curves!$B$2:$AO$2,1,35-Projects!$C$9+1)*Assumptions!$B$11*0.95+0.05*Projects!$B$9*Assumptions!$B$11,Projects!$B$9*INDEX(Curves!$B$2:$AO$2,1,35-Projects!$C$9+1)*Assumptions!$B$11*0.95),0)+IF(AND(Projects!$G$10="Yes",35&gt;=Projects!$C$10,35&lt;Projects!$C$10+Projects!$D$10),IF(35=Projects!$C$10+Projects!$D$10-1,Projects!$B$10*INDEX(Curves!$B$4:$AO$4,1,35-Projects!$C$10+1)*Assumptions!$B$11*0.95+0.05*Projects!$B$10*Assumptions!$B$11,Projects!$B$10*INDEX(Curves!$B$4:$AO$4,1,35-Projects!$C$10+1)*Assumptions!$B$11*0.95),0)+IF(AND(Projects!$G$11="Yes",35&gt;=Projects!$C$11,35&lt;Projects!$C$11+Projects!$D$11),IF(35=Projects!$C$11+Projects!$D$11-1,Projects!$B$11*INDEX(Curves!$B$4:$AO$4,1,35-Projects!$C$11+1)*Assumptions!$B$11*0.95+0.05*Projects!$B$11*Assumptions!$B$11,Projects!$B$11*INDEX(Curves!$B$4:$AO$4,1,35-Projects!$C$11+1)*Assumptions!$B$11*0.95),0)+IF(AND(Projects!$G$12="Yes",35&gt;=Projects!$C$12,35&lt;Projects!$C$12+Projects!$D$12),IF(35=Projects!$C$12+Projects!$D$12-1,Projects!$B$12*INDEX(Curves!$B$4:$AO$4,1,35-Projects!$C$12+1)*Assumptions!$B$11*0.95+0.05*Projects!$B$12*Assumptions!$B$11,Projects!$B$12*INDEX(Curves!$B$4:$AO$4,1,35-Projects!$C$12+1)*Assumptions!$B$11*0.95),0)+IF(AND(Projects!$G$13="Yes",35&gt;=Projects!$C$13,35&lt;Projects!$C$13+Projects!$D$13),IF(35=Projects!$C$13+Projects!$D$13-1,Projects!$B$13*INDEX(Curves!$B$2:$AO$2,1,35-Projects!$C$13+1)*Assumptions!$B$11*0.95+0.05*Projects!$B$13*Assumptions!$B$11,Projects!$B$13*INDEX(Curves!$B$2:$AO$2,1,35-Projects!$C$13+1)*Assumptions!$B$11*0.95),0)+IF(AND(Projects!$G$14="Yes",35&gt;=Projects!$C$14,35&lt;Projects!$C$14+Projects!$D$14),IF(35=Projects!$C$14+Projects!$D$14-1,Projects!$B$14*INDEX(Curves!$B$2:$AO$2,1,35-Projects!$C$14+1)*Assumptions!$B$11*0.95+0.05*Projects!$B$14*Assumptions!$B$11,Projects!$B$14*INDEX(Curves!$B$2:$AO$2,1,35-Projects!$C$14+1)*Assumptions!$B$11*0.95),0)+IF(AND(Projects!$G$15="Yes",35&gt;=Projects!$C$15,35&lt;Projects!$C$15+Projects!$D$15),IF(35=Projects!$C$15+Projects!$D$15-1,Projects!$B$15*INDEX(Curves!$B$4:$AO$4,1,35-Projects!$C$15+1)*Assumptions!$B$11*0.95+0.05*Projects!$B$15*Assumptions!$B$11,Projects!$B$15*INDEX(Curves!$B$4:$AO$4,1,35-Projects!$C$15+1)*Assumptions!$B$11*0.95),0)+IF(AND(Projects!$G$16="Yes",35&gt;=Projects!$C$16,35&lt;Projects!$C$16+Projects!$D$16),IF(35=Projects!$C$16+Projects!$D$16-1,Projects!$B$16*INDEX(Curves!$B$4:$AO$4,1,35-Projects!$C$16+1)*Assumptions!$B$11*0.95+0.05*Projects!$B$16*Assumptions!$B$11,Projects!$B$16*INDEX(Curves!$B$4:$AO$4,1,35-Projects!$C$16+1)*Assumptions!$B$11*0.95),0)</f>
        <v>157664.78126882628</v>
      </c>
      <c r="AL9" s="8">
        <f>IF(AND(Projects!$G$2="Yes",36&gt;=Projects!$C$2,36&lt;Projects!$C$2+Projects!$D$2),IF(36=Projects!$C$2+Projects!$D$2-1,Projects!$B$2*INDEX(Curves!$B$6:$AO$6,1,36-Projects!$C$2+1)*Assumptions!$B$11*0.95+0.05*Projects!$B$2*Assumptions!$B$11,Projects!$B$2*INDEX(Curves!$B$6:$AO$6,1,36-Projects!$C$2+1)*Assumptions!$B$11*0.95),0)+IF(AND(Projects!$G$3="Yes",36&gt;=Projects!$C$3,36&lt;Projects!$C$3+Projects!$D$3),IF(36=Projects!$C$3+Projects!$D$3-1,Projects!$B$3*INDEX(Curves!$B$7:$AO$7,1,36-Projects!$C$3+1)*Assumptions!$B$11*0.95+0.05*Projects!$B$3*Assumptions!$B$11,Projects!$B$3*INDEX(Curves!$B$7:$AO$7,1,36-Projects!$C$3+1)*Assumptions!$B$11*0.95),0)+IF(AND(Projects!$G$4="Yes",36&gt;=Projects!$C$4,36&lt;Projects!$C$4+Projects!$D$4),IF(36=Projects!$C$4+Projects!$D$4-1,Projects!$B$4*INDEX(Curves!$B$8:$AO$8,1,36-Projects!$C$4+1)*Assumptions!$B$11*0.95+0.05*Projects!$B$4*Assumptions!$B$11,Projects!$B$4*INDEX(Curves!$B$8:$AO$8,1,36-Projects!$C$4+1)*Assumptions!$B$11*0.95),0)+IF(AND(Projects!$G$5="Yes",36&gt;=Projects!$C$5,36&lt;Projects!$C$5+Projects!$D$5),IF(36=Projects!$C$5+Projects!$D$5-1,Projects!$B$5*INDEX(Curves!$B$9:$AO$9,1,36-Projects!$C$5+1)*Assumptions!$B$11*0.95+0.05*Projects!$B$5*Assumptions!$B$11,Projects!$B$5*INDEX(Curves!$B$9:$AO$9,1,36-Projects!$C$5+1)*Assumptions!$B$11*0.95),0)+IF(AND(Projects!$G$6="Yes",36&gt;=Projects!$C$6,36&lt;Projects!$C$6+Projects!$D$6),IF(36=Projects!$C$6+Projects!$D$6-1,Projects!$B$6*INDEX(Curves!$B$4:$AO$4,1,36-Projects!$C$6+1)*Assumptions!$B$11*0.95+0.05*Projects!$B$6*Assumptions!$B$11,Projects!$B$6*INDEX(Curves!$B$4:$AO$4,1,36-Projects!$C$6+1)*Assumptions!$B$11*0.95),0)+IF(AND(Projects!$G$7="Yes",36&gt;=Projects!$C$7,36&lt;Projects!$C$7+Projects!$D$7),IF(36=Projects!$C$7+Projects!$D$7-1,Projects!$B$7*INDEX(Curves!$B$3:$AO$3,1,36-Projects!$C$7+1)*Assumptions!$B$11*0.95+0.05*Projects!$B$7*Assumptions!$B$11,Projects!$B$7*INDEX(Curves!$B$3:$AO$3,1,36-Projects!$C$7+1)*Assumptions!$B$11*0.95),0)+IF(AND(Projects!$G$8="Yes",36&gt;=Projects!$C$8,36&lt;Projects!$C$8+Projects!$D$8),IF(36=Projects!$C$8+Projects!$D$8-1,Projects!$B$8*INDEX(Curves!$B$4:$AO$4,1,36-Projects!$C$8+1)*Assumptions!$B$11*0.95+0.05*Projects!$B$8*Assumptions!$B$11,Projects!$B$8*INDEX(Curves!$B$4:$AO$4,1,36-Projects!$C$8+1)*Assumptions!$B$11*0.95),0)+IF(AND(Projects!$G$9="Yes",36&gt;=Projects!$C$9,36&lt;Projects!$C$9+Projects!$D$9),IF(36=Projects!$C$9+Projects!$D$9-1,Projects!$B$9*INDEX(Curves!$B$2:$AO$2,1,36-Projects!$C$9+1)*Assumptions!$B$11*0.95+0.05*Projects!$B$9*Assumptions!$B$11,Projects!$B$9*INDEX(Curves!$B$2:$AO$2,1,36-Projects!$C$9+1)*Assumptions!$B$11*0.95),0)+IF(AND(Projects!$G$10="Yes",36&gt;=Projects!$C$10,36&lt;Projects!$C$10+Projects!$D$10),IF(36=Projects!$C$10+Projects!$D$10-1,Projects!$B$10*INDEX(Curves!$B$4:$AO$4,1,36-Projects!$C$10+1)*Assumptions!$B$11*0.95+0.05*Projects!$B$10*Assumptions!$B$11,Projects!$B$10*INDEX(Curves!$B$4:$AO$4,1,36-Projects!$C$10+1)*Assumptions!$B$11*0.95),0)+IF(AND(Projects!$G$11="Yes",36&gt;=Projects!$C$11,36&lt;Projects!$C$11+Projects!$D$11),IF(36=Projects!$C$11+Projects!$D$11-1,Projects!$B$11*INDEX(Curves!$B$4:$AO$4,1,36-Projects!$C$11+1)*Assumptions!$B$11*0.95+0.05*Projects!$B$11*Assumptions!$B$11,Projects!$B$11*INDEX(Curves!$B$4:$AO$4,1,36-Projects!$C$11+1)*Assumptions!$B$11*0.95),0)+IF(AND(Projects!$G$12="Yes",36&gt;=Projects!$C$12,36&lt;Projects!$C$12+Projects!$D$12),IF(36=Projects!$C$12+Projects!$D$12-1,Projects!$B$12*INDEX(Curves!$B$4:$AO$4,1,36-Projects!$C$12+1)*Assumptions!$B$11*0.95+0.05*Projects!$B$12*Assumptions!$B$11,Projects!$B$12*INDEX(Curves!$B$4:$AO$4,1,36-Projects!$C$12+1)*Assumptions!$B$11*0.95),0)+IF(AND(Projects!$G$13="Yes",36&gt;=Projects!$C$13,36&lt;Projects!$C$13+Projects!$D$13),IF(36=Projects!$C$13+Projects!$D$13-1,Projects!$B$13*INDEX(Curves!$B$2:$AO$2,1,36-Projects!$C$13+1)*Assumptions!$B$11*0.95+0.05*Projects!$B$13*Assumptions!$B$11,Projects!$B$13*INDEX(Curves!$B$2:$AO$2,1,36-Projects!$C$13+1)*Assumptions!$B$11*0.95),0)+IF(AND(Projects!$G$14="Yes",36&gt;=Projects!$C$14,36&lt;Projects!$C$14+Projects!$D$14),IF(36=Projects!$C$14+Projects!$D$14-1,Projects!$B$14*INDEX(Curves!$B$2:$AO$2,1,36-Projects!$C$14+1)*Assumptions!$B$11*0.95+0.05*Projects!$B$14*Assumptions!$B$11,Projects!$B$14*INDEX(Curves!$B$2:$AO$2,1,36-Projects!$C$14+1)*Assumptions!$B$11*0.95),0)+IF(AND(Projects!$G$15="Yes",36&gt;=Projects!$C$15,36&lt;Projects!$C$15+Projects!$D$15),IF(36=Projects!$C$15+Projects!$D$15-1,Projects!$B$15*INDEX(Curves!$B$4:$AO$4,1,36-Projects!$C$15+1)*Assumptions!$B$11*0.95+0.05*Projects!$B$15*Assumptions!$B$11,Projects!$B$15*INDEX(Curves!$B$4:$AO$4,1,36-Projects!$C$15+1)*Assumptions!$B$11*0.95),0)+IF(AND(Projects!$G$16="Yes",36&gt;=Projects!$C$16,36&lt;Projects!$C$16+Projects!$D$16),IF(36=Projects!$C$16+Projects!$D$16-1,Projects!$B$16*INDEX(Curves!$B$4:$AO$4,1,36-Projects!$C$16+1)*Assumptions!$B$11*0.95+0.05*Projects!$B$16*Assumptions!$B$11,Projects!$B$16*INDEX(Curves!$B$4:$AO$4,1,36-Projects!$C$16+1)*Assumptions!$B$11*0.95),0)</f>
        <v>193290.77922738553</v>
      </c>
      <c r="AM9" s="8">
        <f>IF(AND(Projects!$G$2="Yes",37&gt;=Projects!$C$2,37&lt;Projects!$C$2+Projects!$D$2),IF(37=Projects!$C$2+Projects!$D$2-1,Projects!$B$2*INDEX(Curves!$B$6:$AO$6,1,37-Projects!$C$2+1)*Assumptions!$B$11*0.95+0.05*Projects!$B$2*Assumptions!$B$11,Projects!$B$2*INDEX(Curves!$B$6:$AO$6,1,37-Projects!$C$2+1)*Assumptions!$B$11*0.95),0)+IF(AND(Projects!$G$3="Yes",37&gt;=Projects!$C$3,37&lt;Projects!$C$3+Projects!$D$3),IF(37=Projects!$C$3+Projects!$D$3-1,Projects!$B$3*INDEX(Curves!$B$7:$AO$7,1,37-Projects!$C$3+1)*Assumptions!$B$11*0.95+0.05*Projects!$B$3*Assumptions!$B$11,Projects!$B$3*INDEX(Curves!$B$7:$AO$7,1,37-Projects!$C$3+1)*Assumptions!$B$11*0.95),0)+IF(AND(Projects!$G$4="Yes",37&gt;=Projects!$C$4,37&lt;Projects!$C$4+Projects!$D$4),IF(37=Projects!$C$4+Projects!$D$4-1,Projects!$B$4*INDEX(Curves!$B$8:$AO$8,1,37-Projects!$C$4+1)*Assumptions!$B$11*0.95+0.05*Projects!$B$4*Assumptions!$B$11,Projects!$B$4*INDEX(Curves!$B$8:$AO$8,1,37-Projects!$C$4+1)*Assumptions!$B$11*0.95),0)+IF(AND(Projects!$G$5="Yes",37&gt;=Projects!$C$5,37&lt;Projects!$C$5+Projects!$D$5),IF(37=Projects!$C$5+Projects!$D$5-1,Projects!$B$5*INDEX(Curves!$B$9:$AO$9,1,37-Projects!$C$5+1)*Assumptions!$B$11*0.95+0.05*Projects!$B$5*Assumptions!$B$11,Projects!$B$5*INDEX(Curves!$B$9:$AO$9,1,37-Projects!$C$5+1)*Assumptions!$B$11*0.95),0)+IF(AND(Projects!$G$6="Yes",37&gt;=Projects!$C$6,37&lt;Projects!$C$6+Projects!$D$6),IF(37=Projects!$C$6+Projects!$D$6-1,Projects!$B$6*INDEX(Curves!$B$4:$AO$4,1,37-Projects!$C$6+1)*Assumptions!$B$11*0.95+0.05*Projects!$B$6*Assumptions!$B$11,Projects!$B$6*INDEX(Curves!$B$4:$AO$4,1,37-Projects!$C$6+1)*Assumptions!$B$11*0.95),0)+IF(AND(Projects!$G$7="Yes",37&gt;=Projects!$C$7,37&lt;Projects!$C$7+Projects!$D$7),IF(37=Projects!$C$7+Projects!$D$7-1,Projects!$B$7*INDEX(Curves!$B$3:$AO$3,1,37-Projects!$C$7+1)*Assumptions!$B$11*0.95+0.05*Projects!$B$7*Assumptions!$B$11,Projects!$B$7*INDEX(Curves!$B$3:$AO$3,1,37-Projects!$C$7+1)*Assumptions!$B$11*0.95),0)+IF(AND(Projects!$G$8="Yes",37&gt;=Projects!$C$8,37&lt;Projects!$C$8+Projects!$D$8),IF(37=Projects!$C$8+Projects!$D$8-1,Projects!$B$8*INDEX(Curves!$B$4:$AO$4,1,37-Projects!$C$8+1)*Assumptions!$B$11*0.95+0.05*Projects!$B$8*Assumptions!$B$11,Projects!$B$8*INDEX(Curves!$B$4:$AO$4,1,37-Projects!$C$8+1)*Assumptions!$B$11*0.95),0)+IF(AND(Projects!$G$9="Yes",37&gt;=Projects!$C$9,37&lt;Projects!$C$9+Projects!$D$9),IF(37=Projects!$C$9+Projects!$D$9-1,Projects!$B$9*INDEX(Curves!$B$2:$AO$2,1,37-Projects!$C$9+1)*Assumptions!$B$11*0.95+0.05*Projects!$B$9*Assumptions!$B$11,Projects!$B$9*INDEX(Curves!$B$2:$AO$2,1,37-Projects!$C$9+1)*Assumptions!$B$11*0.95),0)+IF(AND(Projects!$G$10="Yes",37&gt;=Projects!$C$10,37&lt;Projects!$C$10+Projects!$D$10),IF(37=Projects!$C$10+Projects!$D$10-1,Projects!$B$10*INDEX(Curves!$B$4:$AO$4,1,37-Projects!$C$10+1)*Assumptions!$B$11*0.95+0.05*Projects!$B$10*Assumptions!$B$11,Projects!$B$10*INDEX(Curves!$B$4:$AO$4,1,37-Projects!$C$10+1)*Assumptions!$B$11*0.95),0)+IF(AND(Projects!$G$11="Yes",37&gt;=Projects!$C$11,37&lt;Projects!$C$11+Projects!$D$11),IF(37=Projects!$C$11+Projects!$D$11-1,Projects!$B$11*INDEX(Curves!$B$4:$AO$4,1,37-Projects!$C$11+1)*Assumptions!$B$11*0.95+0.05*Projects!$B$11*Assumptions!$B$11,Projects!$B$11*INDEX(Curves!$B$4:$AO$4,1,37-Projects!$C$11+1)*Assumptions!$B$11*0.95),0)+IF(AND(Projects!$G$12="Yes",37&gt;=Projects!$C$12,37&lt;Projects!$C$12+Projects!$D$12),IF(37=Projects!$C$12+Projects!$D$12-1,Projects!$B$12*INDEX(Curves!$B$4:$AO$4,1,37-Projects!$C$12+1)*Assumptions!$B$11*0.95+0.05*Projects!$B$12*Assumptions!$B$11,Projects!$B$12*INDEX(Curves!$B$4:$AO$4,1,37-Projects!$C$12+1)*Assumptions!$B$11*0.95),0)+IF(AND(Projects!$G$13="Yes",37&gt;=Projects!$C$13,37&lt;Projects!$C$13+Projects!$D$13),IF(37=Projects!$C$13+Projects!$D$13-1,Projects!$B$13*INDEX(Curves!$B$2:$AO$2,1,37-Projects!$C$13+1)*Assumptions!$B$11*0.95+0.05*Projects!$B$13*Assumptions!$B$11,Projects!$B$13*INDEX(Curves!$B$2:$AO$2,1,37-Projects!$C$13+1)*Assumptions!$B$11*0.95),0)+IF(AND(Projects!$G$14="Yes",37&gt;=Projects!$C$14,37&lt;Projects!$C$14+Projects!$D$14),IF(37=Projects!$C$14+Projects!$D$14-1,Projects!$B$14*INDEX(Curves!$B$2:$AO$2,1,37-Projects!$C$14+1)*Assumptions!$B$11*0.95+0.05*Projects!$B$14*Assumptions!$B$11,Projects!$B$14*INDEX(Curves!$B$2:$AO$2,1,37-Projects!$C$14+1)*Assumptions!$B$11*0.95),0)+IF(AND(Projects!$G$15="Yes",37&gt;=Projects!$C$15,37&lt;Projects!$C$15+Projects!$D$15),IF(37=Projects!$C$15+Projects!$D$15-1,Projects!$B$15*INDEX(Curves!$B$4:$AO$4,1,37-Projects!$C$15+1)*Assumptions!$B$11*0.95+0.05*Projects!$B$15*Assumptions!$B$11,Projects!$B$15*INDEX(Curves!$B$4:$AO$4,1,37-Projects!$C$15+1)*Assumptions!$B$11*0.95),0)+IF(AND(Projects!$G$16="Yes",37&gt;=Projects!$C$16,37&lt;Projects!$C$16+Projects!$D$16),IF(37=Projects!$C$16+Projects!$D$16-1,Projects!$B$16*INDEX(Curves!$B$4:$AO$4,1,37-Projects!$C$16+1)*Assumptions!$B$11*0.95+0.05*Projects!$B$16*Assumptions!$B$11,Projects!$B$16*INDEX(Curves!$B$4:$AO$4,1,37-Projects!$C$16+1)*Assumptions!$B$11*0.95),0)</f>
        <v>141004.15868250484</v>
      </c>
      <c r="AN9" s="8">
        <f>IF(AND(Projects!$G$2="Yes",38&gt;=Projects!$C$2,38&lt;Projects!$C$2+Projects!$D$2),IF(38=Projects!$C$2+Projects!$D$2-1,Projects!$B$2*INDEX(Curves!$B$6:$AO$6,1,38-Projects!$C$2+1)*Assumptions!$B$11*0.95+0.05*Projects!$B$2*Assumptions!$B$11,Projects!$B$2*INDEX(Curves!$B$6:$AO$6,1,38-Projects!$C$2+1)*Assumptions!$B$11*0.95),0)+IF(AND(Projects!$G$3="Yes",38&gt;=Projects!$C$3,38&lt;Projects!$C$3+Projects!$D$3),IF(38=Projects!$C$3+Projects!$D$3-1,Projects!$B$3*INDEX(Curves!$B$7:$AO$7,1,38-Projects!$C$3+1)*Assumptions!$B$11*0.95+0.05*Projects!$B$3*Assumptions!$B$11,Projects!$B$3*INDEX(Curves!$B$7:$AO$7,1,38-Projects!$C$3+1)*Assumptions!$B$11*0.95),0)+IF(AND(Projects!$G$4="Yes",38&gt;=Projects!$C$4,38&lt;Projects!$C$4+Projects!$D$4),IF(38=Projects!$C$4+Projects!$D$4-1,Projects!$B$4*INDEX(Curves!$B$8:$AO$8,1,38-Projects!$C$4+1)*Assumptions!$B$11*0.95+0.05*Projects!$B$4*Assumptions!$B$11,Projects!$B$4*INDEX(Curves!$B$8:$AO$8,1,38-Projects!$C$4+1)*Assumptions!$B$11*0.95),0)+IF(AND(Projects!$G$5="Yes",38&gt;=Projects!$C$5,38&lt;Projects!$C$5+Projects!$D$5),IF(38=Projects!$C$5+Projects!$D$5-1,Projects!$B$5*INDEX(Curves!$B$9:$AO$9,1,38-Projects!$C$5+1)*Assumptions!$B$11*0.95+0.05*Projects!$B$5*Assumptions!$B$11,Projects!$B$5*INDEX(Curves!$B$9:$AO$9,1,38-Projects!$C$5+1)*Assumptions!$B$11*0.95),0)+IF(AND(Projects!$G$6="Yes",38&gt;=Projects!$C$6,38&lt;Projects!$C$6+Projects!$D$6),IF(38=Projects!$C$6+Projects!$D$6-1,Projects!$B$6*INDEX(Curves!$B$4:$AO$4,1,38-Projects!$C$6+1)*Assumptions!$B$11*0.95+0.05*Projects!$B$6*Assumptions!$B$11,Projects!$B$6*INDEX(Curves!$B$4:$AO$4,1,38-Projects!$C$6+1)*Assumptions!$B$11*0.95),0)+IF(AND(Projects!$G$7="Yes",38&gt;=Projects!$C$7,38&lt;Projects!$C$7+Projects!$D$7),IF(38=Projects!$C$7+Projects!$D$7-1,Projects!$B$7*INDEX(Curves!$B$3:$AO$3,1,38-Projects!$C$7+1)*Assumptions!$B$11*0.95+0.05*Projects!$B$7*Assumptions!$B$11,Projects!$B$7*INDEX(Curves!$B$3:$AO$3,1,38-Projects!$C$7+1)*Assumptions!$B$11*0.95),0)+IF(AND(Projects!$G$8="Yes",38&gt;=Projects!$C$8,38&lt;Projects!$C$8+Projects!$D$8),IF(38=Projects!$C$8+Projects!$D$8-1,Projects!$B$8*INDEX(Curves!$B$4:$AO$4,1,38-Projects!$C$8+1)*Assumptions!$B$11*0.95+0.05*Projects!$B$8*Assumptions!$B$11,Projects!$B$8*INDEX(Curves!$B$4:$AO$4,1,38-Projects!$C$8+1)*Assumptions!$B$11*0.95),0)+IF(AND(Projects!$G$9="Yes",38&gt;=Projects!$C$9,38&lt;Projects!$C$9+Projects!$D$9),IF(38=Projects!$C$9+Projects!$D$9-1,Projects!$B$9*INDEX(Curves!$B$2:$AO$2,1,38-Projects!$C$9+1)*Assumptions!$B$11*0.95+0.05*Projects!$B$9*Assumptions!$B$11,Projects!$B$9*INDEX(Curves!$B$2:$AO$2,1,38-Projects!$C$9+1)*Assumptions!$B$11*0.95),0)+IF(AND(Projects!$G$10="Yes",38&gt;=Projects!$C$10,38&lt;Projects!$C$10+Projects!$D$10),IF(38=Projects!$C$10+Projects!$D$10-1,Projects!$B$10*INDEX(Curves!$B$4:$AO$4,1,38-Projects!$C$10+1)*Assumptions!$B$11*0.95+0.05*Projects!$B$10*Assumptions!$B$11,Projects!$B$10*INDEX(Curves!$B$4:$AO$4,1,38-Projects!$C$10+1)*Assumptions!$B$11*0.95),0)+IF(AND(Projects!$G$11="Yes",38&gt;=Projects!$C$11,38&lt;Projects!$C$11+Projects!$D$11),IF(38=Projects!$C$11+Projects!$D$11-1,Projects!$B$11*INDEX(Curves!$B$4:$AO$4,1,38-Projects!$C$11+1)*Assumptions!$B$11*0.95+0.05*Projects!$B$11*Assumptions!$B$11,Projects!$B$11*INDEX(Curves!$B$4:$AO$4,1,38-Projects!$C$11+1)*Assumptions!$B$11*0.95),0)+IF(AND(Projects!$G$12="Yes",38&gt;=Projects!$C$12,38&lt;Projects!$C$12+Projects!$D$12),IF(38=Projects!$C$12+Projects!$D$12-1,Projects!$B$12*INDEX(Curves!$B$4:$AO$4,1,38-Projects!$C$12+1)*Assumptions!$B$11*0.95+0.05*Projects!$B$12*Assumptions!$B$11,Projects!$B$12*INDEX(Curves!$B$4:$AO$4,1,38-Projects!$C$12+1)*Assumptions!$B$11*0.95),0)+IF(AND(Projects!$G$13="Yes",38&gt;=Projects!$C$13,38&lt;Projects!$C$13+Projects!$D$13),IF(38=Projects!$C$13+Projects!$D$13-1,Projects!$B$13*INDEX(Curves!$B$2:$AO$2,1,38-Projects!$C$13+1)*Assumptions!$B$11*0.95+0.05*Projects!$B$13*Assumptions!$B$11,Projects!$B$13*INDEX(Curves!$B$2:$AO$2,1,38-Projects!$C$13+1)*Assumptions!$B$11*0.95),0)+IF(AND(Projects!$G$14="Yes",38&gt;=Projects!$C$14,38&lt;Projects!$C$14+Projects!$D$14),IF(38=Projects!$C$14+Projects!$D$14-1,Projects!$B$14*INDEX(Curves!$B$2:$AO$2,1,38-Projects!$C$14+1)*Assumptions!$B$11*0.95+0.05*Projects!$B$14*Assumptions!$B$11,Projects!$B$14*INDEX(Curves!$B$2:$AO$2,1,38-Projects!$C$14+1)*Assumptions!$B$11*0.95),0)+IF(AND(Projects!$G$15="Yes",38&gt;=Projects!$C$15,38&lt;Projects!$C$15+Projects!$D$15),IF(38=Projects!$C$15+Projects!$D$15-1,Projects!$B$15*INDEX(Curves!$B$4:$AO$4,1,38-Projects!$C$15+1)*Assumptions!$B$11*0.95+0.05*Projects!$B$15*Assumptions!$B$11,Projects!$B$15*INDEX(Curves!$B$4:$AO$4,1,38-Projects!$C$15+1)*Assumptions!$B$11*0.95),0)+IF(AND(Projects!$G$16="Yes",38&gt;=Projects!$C$16,38&lt;Projects!$C$16+Projects!$D$16),IF(38=Projects!$C$16+Projects!$D$16-1,Projects!$B$16*INDEX(Curves!$B$4:$AO$4,1,38-Projects!$C$16+1)*Assumptions!$B$11*0.95+0.05*Projects!$B$16*Assumptions!$B$11,Projects!$B$16*INDEX(Curves!$B$4:$AO$4,1,38-Projects!$C$16+1)*Assumptions!$B$11*0.95),0)</f>
        <v>138410.18219174509</v>
      </c>
      <c r="AO9" s="8">
        <f>IF(AND(Projects!$G$2="Yes",39&gt;=Projects!$C$2,39&lt;Projects!$C$2+Projects!$D$2),IF(39=Projects!$C$2+Projects!$D$2-1,Projects!$B$2*INDEX(Curves!$B$6:$AO$6,1,39-Projects!$C$2+1)*Assumptions!$B$11*0.95+0.05*Projects!$B$2*Assumptions!$B$11,Projects!$B$2*INDEX(Curves!$B$6:$AO$6,1,39-Projects!$C$2+1)*Assumptions!$B$11*0.95),0)+IF(AND(Projects!$G$3="Yes",39&gt;=Projects!$C$3,39&lt;Projects!$C$3+Projects!$D$3),IF(39=Projects!$C$3+Projects!$D$3-1,Projects!$B$3*INDEX(Curves!$B$7:$AO$7,1,39-Projects!$C$3+1)*Assumptions!$B$11*0.95+0.05*Projects!$B$3*Assumptions!$B$11,Projects!$B$3*INDEX(Curves!$B$7:$AO$7,1,39-Projects!$C$3+1)*Assumptions!$B$11*0.95),0)+IF(AND(Projects!$G$4="Yes",39&gt;=Projects!$C$4,39&lt;Projects!$C$4+Projects!$D$4),IF(39=Projects!$C$4+Projects!$D$4-1,Projects!$B$4*INDEX(Curves!$B$8:$AO$8,1,39-Projects!$C$4+1)*Assumptions!$B$11*0.95+0.05*Projects!$B$4*Assumptions!$B$11,Projects!$B$4*INDEX(Curves!$B$8:$AO$8,1,39-Projects!$C$4+1)*Assumptions!$B$11*0.95),0)+IF(AND(Projects!$G$5="Yes",39&gt;=Projects!$C$5,39&lt;Projects!$C$5+Projects!$D$5),IF(39=Projects!$C$5+Projects!$D$5-1,Projects!$B$5*INDEX(Curves!$B$9:$AO$9,1,39-Projects!$C$5+1)*Assumptions!$B$11*0.95+0.05*Projects!$B$5*Assumptions!$B$11,Projects!$B$5*INDEX(Curves!$B$9:$AO$9,1,39-Projects!$C$5+1)*Assumptions!$B$11*0.95),0)+IF(AND(Projects!$G$6="Yes",39&gt;=Projects!$C$6,39&lt;Projects!$C$6+Projects!$D$6),IF(39=Projects!$C$6+Projects!$D$6-1,Projects!$B$6*INDEX(Curves!$B$4:$AO$4,1,39-Projects!$C$6+1)*Assumptions!$B$11*0.95+0.05*Projects!$B$6*Assumptions!$B$11,Projects!$B$6*INDEX(Curves!$B$4:$AO$4,1,39-Projects!$C$6+1)*Assumptions!$B$11*0.95),0)+IF(AND(Projects!$G$7="Yes",39&gt;=Projects!$C$7,39&lt;Projects!$C$7+Projects!$D$7),IF(39=Projects!$C$7+Projects!$D$7-1,Projects!$B$7*INDEX(Curves!$B$3:$AO$3,1,39-Projects!$C$7+1)*Assumptions!$B$11*0.95+0.05*Projects!$B$7*Assumptions!$B$11,Projects!$B$7*INDEX(Curves!$B$3:$AO$3,1,39-Projects!$C$7+1)*Assumptions!$B$11*0.95),0)+IF(AND(Projects!$G$8="Yes",39&gt;=Projects!$C$8,39&lt;Projects!$C$8+Projects!$D$8),IF(39=Projects!$C$8+Projects!$D$8-1,Projects!$B$8*INDEX(Curves!$B$4:$AO$4,1,39-Projects!$C$8+1)*Assumptions!$B$11*0.95+0.05*Projects!$B$8*Assumptions!$B$11,Projects!$B$8*INDEX(Curves!$B$4:$AO$4,1,39-Projects!$C$8+1)*Assumptions!$B$11*0.95),0)+IF(AND(Projects!$G$9="Yes",39&gt;=Projects!$C$9,39&lt;Projects!$C$9+Projects!$D$9),IF(39=Projects!$C$9+Projects!$D$9-1,Projects!$B$9*INDEX(Curves!$B$2:$AO$2,1,39-Projects!$C$9+1)*Assumptions!$B$11*0.95+0.05*Projects!$B$9*Assumptions!$B$11,Projects!$B$9*INDEX(Curves!$B$2:$AO$2,1,39-Projects!$C$9+1)*Assumptions!$B$11*0.95),0)+IF(AND(Projects!$G$10="Yes",39&gt;=Projects!$C$10,39&lt;Projects!$C$10+Projects!$D$10),IF(39=Projects!$C$10+Projects!$D$10-1,Projects!$B$10*INDEX(Curves!$B$4:$AO$4,1,39-Projects!$C$10+1)*Assumptions!$B$11*0.95+0.05*Projects!$B$10*Assumptions!$B$11,Projects!$B$10*INDEX(Curves!$B$4:$AO$4,1,39-Projects!$C$10+1)*Assumptions!$B$11*0.95),0)+IF(AND(Projects!$G$11="Yes",39&gt;=Projects!$C$11,39&lt;Projects!$C$11+Projects!$D$11),IF(39=Projects!$C$11+Projects!$D$11-1,Projects!$B$11*INDEX(Curves!$B$4:$AO$4,1,39-Projects!$C$11+1)*Assumptions!$B$11*0.95+0.05*Projects!$B$11*Assumptions!$B$11,Projects!$B$11*INDEX(Curves!$B$4:$AO$4,1,39-Projects!$C$11+1)*Assumptions!$B$11*0.95),0)+IF(AND(Projects!$G$12="Yes",39&gt;=Projects!$C$12,39&lt;Projects!$C$12+Projects!$D$12),IF(39=Projects!$C$12+Projects!$D$12-1,Projects!$B$12*INDEX(Curves!$B$4:$AO$4,1,39-Projects!$C$12+1)*Assumptions!$B$11*0.95+0.05*Projects!$B$12*Assumptions!$B$11,Projects!$B$12*INDEX(Curves!$B$4:$AO$4,1,39-Projects!$C$12+1)*Assumptions!$B$11*0.95),0)+IF(AND(Projects!$G$13="Yes",39&gt;=Projects!$C$13,39&lt;Projects!$C$13+Projects!$D$13),IF(39=Projects!$C$13+Projects!$D$13-1,Projects!$B$13*INDEX(Curves!$B$2:$AO$2,1,39-Projects!$C$13+1)*Assumptions!$B$11*0.95+0.05*Projects!$B$13*Assumptions!$B$11,Projects!$B$13*INDEX(Curves!$B$2:$AO$2,1,39-Projects!$C$13+1)*Assumptions!$B$11*0.95),0)+IF(AND(Projects!$G$14="Yes",39&gt;=Projects!$C$14,39&lt;Projects!$C$14+Projects!$D$14),IF(39=Projects!$C$14+Projects!$D$14-1,Projects!$B$14*INDEX(Curves!$B$2:$AO$2,1,39-Projects!$C$14+1)*Assumptions!$B$11*0.95+0.05*Projects!$B$14*Assumptions!$B$11,Projects!$B$14*INDEX(Curves!$B$2:$AO$2,1,39-Projects!$C$14+1)*Assumptions!$B$11*0.95),0)+IF(AND(Projects!$G$15="Yes",39&gt;=Projects!$C$15,39&lt;Projects!$C$15+Projects!$D$15),IF(39=Projects!$C$15+Projects!$D$15-1,Projects!$B$15*INDEX(Curves!$B$4:$AO$4,1,39-Projects!$C$15+1)*Assumptions!$B$11*0.95+0.05*Projects!$B$15*Assumptions!$B$11,Projects!$B$15*INDEX(Curves!$B$4:$AO$4,1,39-Projects!$C$15+1)*Assumptions!$B$11*0.95),0)+IF(AND(Projects!$G$16="Yes",39&gt;=Projects!$C$16,39&lt;Projects!$C$16+Projects!$D$16),IF(39=Projects!$C$16+Projects!$D$16-1,Projects!$B$16*INDEX(Curves!$B$4:$AO$4,1,39-Projects!$C$16+1)*Assumptions!$B$11*0.95+0.05*Projects!$B$16*Assumptions!$B$11,Projects!$B$16*INDEX(Curves!$B$4:$AO$4,1,39-Projects!$C$16+1)*Assumptions!$B$11*0.95),0)</f>
        <v>135147.4219770146</v>
      </c>
      <c r="AP9" s="8">
        <f>IF(AND(Projects!$G$2="Yes",40&gt;=Projects!$C$2,40&lt;Projects!$C$2+Projects!$D$2),IF(40=Projects!$C$2+Projects!$D$2-1,Projects!$B$2*INDEX(Curves!$B$6:$AO$6,1,40-Projects!$C$2+1)*Assumptions!$B$11*0.95+0.05*Projects!$B$2*Assumptions!$B$11,Projects!$B$2*INDEX(Curves!$B$6:$AO$6,1,40-Projects!$C$2+1)*Assumptions!$B$11*0.95),0)+IF(AND(Projects!$G$3="Yes",40&gt;=Projects!$C$3,40&lt;Projects!$C$3+Projects!$D$3),IF(40=Projects!$C$3+Projects!$D$3-1,Projects!$B$3*INDEX(Curves!$B$7:$AO$7,1,40-Projects!$C$3+1)*Assumptions!$B$11*0.95+0.05*Projects!$B$3*Assumptions!$B$11,Projects!$B$3*INDEX(Curves!$B$7:$AO$7,1,40-Projects!$C$3+1)*Assumptions!$B$11*0.95),0)+IF(AND(Projects!$G$4="Yes",40&gt;=Projects!$C$4,40&lt;Projects!$C$4+Projects!$D$4),IF(40=Projects!$C$4+Projects!$D$4-1,Projects!$B$4*INDEX(Curves!$B$8:$AO$8,1,40-Projects!$C$4+1)*Assumptions!$B$11*0.95+0.05*Projects!$B$4*Assumptions!$B$11,Projects!$B$4*INDEX(Curves!$B$8:$AO$8,1,40-Projects!$C$4+1)*Assumptions!$B$11*0.95),0)+IF(AND(Projects!$G$5="Yes",40&gt;=Projects!$C$5,40&lt;Projects!$C$5+Projects!$D$5),IF(40=Projects!$C$5+Projects!$D$5-1,Projects!$B$5*INDEX(Curves!$B$9:$AO$9,1,40-Projects!$C$5+1)*Assumptions!$B$11*0.95+0.05*Projects!$B$5*Assumptions!$B$11,Projects!$B$5*INDEX(Curves!$B$9:$AO$9,1,40-Projects!$C$5+1)*Assumptions!$B$11*0.95),0)+IF(AND(Projects!$G$6="Yes",40&gt;=Projects!$C$6,40&lt;Projects!$C$6+Projects!$D$6),IF(40=Projects!$C$6+Projects!$D$6-1,Projects!$B$6*INDEX(Curves!$B$4:$AO$4,1,40-Projects!$C$6+1)*Assumptions!$B$11*0.95+0.05*Projects!$B$6*Assumptions!$B$11,Projects!$B$6*INDEX(Curves!$B$4:$AO$4,1,40-Projects!$C$6+1)*Assumptions!$B$11*0.95),0)+IF(AND(Projects!$G$7="Yes",40&gt;=Projects!$C$7,40&lt;Projects!$C$7+Projects!$D$7),IF(40=Projects!$C$7+Projects!$D$7-1,Projects!$B$7*INDEX(Curves!$B$3:$AO$3,1,40-Projects!$C$7+1)*Assumptions!$B$11*0.95+0.05*Projects!$B$7*Assumptions!$B$11,Projects!$B$7*INDEX(Curves!$B$3:$AO$3,1,40-Projects!$C$7+1)*Assumptions!$B$11*0.95),0)+IF(AND(Projects!$G$8="Yes",40&gt;=Projects!$C$8,40&lt;Projects!$C$8+Projects!$D$8),IF(40=Projects!$C$8+Projects!$D$8-1,Projects!$B$8*INDEX(Curves!$B$4:$AO$4,1,40-Projects!$C$8+1)*Assumptions!$B$11*0.95+0.05*Projects!$B$8*Assumptions!$B$11,Projects!$B$8*INDEX(Curves!$B$4:$AO$4,1,40-Projects!$C$8+1)*Assumptions!$B$11*0.95),0)+IF(AND(Projects!$G$9="Yes",40&gt;=Projects!$C$9,40&lt;Projects!$C$9+Projects!$D$9),IF(40=Projects!$C$9+Projects!$D$9-1,Projects!$B$9*INDEX(Curves!$B$2:$AO$2,1,40-Projects!$C$9+1)*Assumptions!$B$11*0.95+0.05*Projects!$B$9*Assumptions!$B$11,Projects!$B$9*INDEX(Curves!$B$2:$AO$2,1,40-Projects!$C$9+1)*Assumptions!$B$11*0.95),0)+IF(AND(Projects!$G$10="Yes",40&gt;=Projects!$C$10,40&lt;Projects!$C$10+Projects!$D$10),IF(40=Projects!$C$10+Projects!$D$10-1,Projects!$B$10*INDEX(Curves!$B$4:$AO$4,1,40-Projects!$C$10+1)*Assumptions!$B$11*0.95+0.05*Projects!$B$10*Assumptions!$B$11,Projects!$B$10*INDEX(Curves!$B$4:$AO$4,1,40-Projects!$C$10+1)*Assumptions!$B$11*0.95),0)+IF(AND(Projects!$G$11="Yes",40&gt;=Projects!$C$11,40&lt;Projects!$C$11+Projects!$D$11),IF(40=Projects!$C$11+Projects!$D$11-1,Projects!$B$11*INDEX(Curves!$B$4:$AO$4,1,40-Projects!$C$11+1)*Assumptions!$B$11*0.95+0.05*Projects!$B$11*Assumptions!$B$11,Projects!$B$11*INDEX(Curves!$B$4:$AO$4,1,40-Projects!$C$11+1)*Assumptions!$B$11*0.95),0)+IF(AND(Projects!$G$12="Yes",40&gt;=Projects!$C$12,40&lt;Projects!$C$12+Projects!$D$12),IF(40=Projects!$C$12+Projects!$D$12-1,Projects!$B$12*INDEX(Curves!$B$4:$AO$4,1,40-Projects!$C$12+1)*Assumptions!$B$11*0.95+0.05*Projects!$B$12*Assumptions!$B$11,Projects!$B$12*INDEX(Curves!$B$4:$AO$4,1,40-Projects!$C$12+1)*Assumptions!$B$11*0.95),0)+IF(AND(Projects!$G$13="Yes",40&gt;=Projects!$C$13,40&lt;Projects!$C$13+Projects!$D$13),IF(40=Projects!$C$13+Projects!$D$13-1,Projects!$B$13*INDEX(Curves!$B$2:$AO$2,1,40-Projects!$C$13+1)*Assumptions!$B$11*0.95+0.05*Projects!$B$13*Assumptions!$B$11,Projects!$B$13*INDEX(Curves!$B$2:$AO$2,1,40-Projects!$C$13+1)*Assumptions!$B$11*0.95),0)+IF(AND(Projects!$G$14="Yes",40&gt;=Projects!$C$14,40&lt;Projects!$C$14+Projects!$D$14),IF(40=Projects!$C$14+Projects!$D$14-1,Projects!$B$14*INDEX(Curves!$B$2:$AO$2,1,40-Projects!$C$14+1)*Assumptions!$B$11*0.95+0.05*Projects!$B$14*Assumptions!$B$11,Projects!$B$14*INDEX(Curves!$B$2:$AO$2,1,40-Projects!$C$14+1)*Assumptions!$B$11*0.95),0)+IF(AND(Projects!$G$15="Yes",40&gt;=Projects!$C$15,40&lt;Projects!$C$15+Projects!$D$15),IF(40=Projects!$C$15+Projects!$D$15-1,Projects!$B$15*INDEX(Curves!$B$4:$AO$4,1,40-Projects!$C$15+1)*Assumptions!$B$11*0.95+0.05*Projects!$B$15*Assumptions!$B$11,Projects!$B$15*INDEX(Curves!$B$4:$AO$4,1,40-Projects!$C$15+1)*Assumptions!$B$11*0.95),0)+IF(AND(Projects!$G$16="Yes",40&gt;=Projects!$C$16,40&lt;Projects!$C$16+Projects!$D$16),IF(40=Projects!$C$16+Projects!$D$16-1,Projects!$B$16*INDEX(Curves!$B$4:$AO$4,1,40-Projects!$C$16+1)*Assumptions!$B$11*0.95+0.05*Projects!$B$16*Assumptions!$B$11,Projects!$B$16*INDEX(Curves!$B$4:$AO$4,1,40-Projects!$C$16+1)*Assumptions!$B$11*0.95),0)</f>
        <v>131244.06126358925</v>
      </c>
      <c r="AQ9" s="8">
        <f>IF(AND(Projects!$G$2="Yes",41&gt;=Projects!$C$2,41&lt;Projects!$C$2+Projects!$D$2),IF(41=Projects!$C$2+Projects!$D$2-1,Projects!$B$2*INDEX(Curves!$B$6:$AO$6,1,41-Projects!$C$2+1)*Assumptions!$B$11*0.95+0.05*Projects!$B$2*Assumptions!$B$11,Projects!$B$2*INDEX(Curves!$B$6:$AO$6,1,41-Projects!$C$2+1)*Assumptions!$B$11*0.95),0)+IF(AND(Projects!$G$3="Yes",41&gt;=Projects!$C$3,41&lt;Projects!$C$3+Projects!$D$3),IF(41=Projects!$C$3+Projects!$D$3-1,Projects!$B$3*INDEX(Curves!$B$7:$AO$7,1,41-Projects!$C$3+1)*Assumptions!$B$11*0.95+0.05*Projects!$B$3*Assumptions!$B$11,Projects!$B$3*INDEX(Curves!$B$7:$AO$7,1,41-Projects!$C$3+1)*Assumptions!$B$11*0.95),0)+IF(AND(Projects!$G$4="Yes",41&gt;=Projects!$C$4,41&lt;Projects!$C$4+Projects!$D$4),IF(41=Projects!$C$4+Projects!$D$4-1,Projects!$B$4*INDEX(Curves!$B$8:$AO$8,1,41-Projects!$C$4+1)*Assumptions!$B$11*0.95+0.05*Projects!$B$4*Assumptions!$B$11,Projects!$B$4*INDEX(Curves!$B$8:$AO$8,1,41-Projects!$C$4+1)*Assumptions!$B$11*0.95),0)+IF(AND(Projects!$G$5="Yes",41&gt;=Projects!$C$5,41&lt;Projects!$C$5+Projects!$D$5),IF(41=Projects!$C$5+Projects!$D$5-1,Projects!$B$5*INDEX(Curves!$B$9:$AO$9,1,41-Projects!$C$5+1)*Assumptions!$B$11*0.95+0.05*Projects!$B$5*Assumptions!$B$11,Projects!$B$5*INDEX(Curves!$B$9:$AO$9,1,41-Projects!$C$5+1)*Assumptions!$B$11*0.95),0)+IF(AND(Projects!$G$6="Yes",41&gt;=Projects!$C$6,41&lt;Projects!$C$6+Projects!$D$6),IF(41=Projects!$C$6+Projects!$D$6-1,Projects!$B$6*INDEX(Curves!$B$4:$AO$4,1,41-Projects!$C$6+1)*Assumptions!$B$11*0.95+0.05*Projects!$B$6*Assumptions!$B$11,Projects!$B$6*INDEX(Curves!$B$4:$AO$4,1,41-Projects!$C$6+1)*Assumptions!$B$11*0.95),0)+IF(AND(Projects!$G$7="Yes",41&gt;=Projects!$C$7,41&lt;Projects!$C$7+Projects!$D$7),IF(41=Projects!$C$7+Projects!$D$7-1,Projects!$B$7*INDEX(Curves!$B$3:$AO$3,1,41-Projects!$C$7+1)*Assumptions!$B$11*0.95+0.05*Projects!$B$7*Assumptions!$B$11,Projects!$B$7*INDEX(Curves!$B$3:$AO$3,1,41-Projects!$C$7+1)*Assumptions!$B$11*0.95),0)+IF(AND(Projects!$G$8="Yes",41&gt;=Projects!$C$8,41&lt;Projects!$C$8+Projects!$D$8),IF(41=Projects!$C$8+Projects!$D$8-1,Projects!$B$8*INDEX(Curves!$B$4:$AO$4,1,41-Projects!$C$8+1)*Assumptions!$B$11*0.95+0.05*Projects!$B$8*Assumptions!$B$11,Projects!$B$8*INDEX(Curves!$B$4:$AO$4,1,41-Projects!$C$8+1)*Assumptions!$B$11*0.95),0)+IF(AND(Projects!$G$9="Yes",41&gt;=Projects!$C$9,41&lt;Projects!$C$9+Projects!$D$9),IF(41=Projects!$C$9+Projects!$D$9-1,Projects!$B$9*INDEX(Curves!$B$2:$AO$2,1,41-Projects!$C$9+1)*Assumptions!$B$11*0.95+0.05*Projects!$B$9*Assumptions!$B$11,Projects!$B$9*INDEX(Curves!$B$2:$AO$2,1,41-Projects!$C$9+1)*Assumptions!$B$11*0.95),0)+IF(AND(Projects!$G$10="Yes",41&gt;=Projects!$C$10,41&lt;Projects!$C$10+Projects!$D$10),IF(41=Projects!$C$10+Projects!$D$10-1,Projects!$B$10*INDEX(Curves!$B$4:$AO$4,1,41-Projects!$C$10+1)*Assumptions!$B$11*0.95+0.05*Projects!$B$10*Assumptions!$B$11,Projects!$B$10*INDEX(Curves!$B$4:$AO$4,1,41-Projects!$C$10+1)*Assumptions!$B$11*0.95),0)+IF(AND(Projects!$G$11="Yes",41&gt;=Projects!$C$11,41&lt;Projects!$C$11+Projects!$D$11),IF(41=Projects!$C$11+Projects!$D$11-1,Projects!$B$11*INDEX(Curves!$B$4:$AO$4,1,41-Projects!$C$11+1)*Assumptions!$B$11*0.95+0.05*Projects!$B$11*Assumptions!$B$11,Projects!$B$11*INDEX(Curves!$B$4:$AO$4,1,41-Projects!$C$11+1)*Assumptions!$B$11*0.95),0)+IF(AND(Projects!$G$12="Yes",41&gt;=Projects!$C$12,41&lt;Projects!$C$12+Projects!$D$12),IF(41=Projects!$C$12+Projects!$D$12-1,Projects!$B$12*INDEX(Curves!$B$4:$AO$4,1,41-Projects!$C$12+1)*Assumptions!$B$11*0.95+0.05*Projects!$B$12*Assumptions!$B$11,Projects!$B$12*INDEX(Curves!$B$4:$AO$4,1,41-Projects!$C$12+1)*Assumptions!$B$11*0.95),0)+IF(AND(Projects!$G$13="Yes",41&gt;=Projects!$C$13,41&lt;Projects!$C$13+Projects!$D$13),IF(41=Projects!$C$13+Projects!$D$13-1,Projects!$B$13*INDEX(Curves!$B$2:$AO$2,1,41-Projects!$C$13+1)*Assumptions!$B$11*0.95+0.05*Projects!$B$13*Assumptions!$B$11,Projects!$B$13*INDEX(Curves!$B$2:$AO$2,1,41-Projects!$C$13+1)*Assumptions!$B$11*0.95),0)+IF(AND(Projects!$G$14="Yes",41&gt;=Projects!$C$14,41&lt;Projects!$C$14+Projects!$D$14),IF(41=Projects!$C$14+Projects!$D$14-1,Projects!$B$14*INDEX(Curves!$B$2:$AO$2,1,41-Projects!$C$14+1)*Assumptions!$B$11*0.95+0.05*Projects!$B$14*Assumptions!$B$11,Projects!$B$14*INDEX(Curves!$B$2:$AO$2,1,41-Projects!$C$14+1)*Assumptions!$B$11*0.95),0)+IF(AND(Projects!$G$15="Yes",41&gt;=Projects!$C$15,41&lt;Projects!$C$15+Projects!$D$15),IF(41=Projects!$C$15+Projects!$D$15-1,Projects!$B$15*INDEX(Curves!$B$4:$AO$4,1,41-Projects!$C$15+1)*Assumptions!$B$11*0.95+0.05*Projects!$B$15*Assumptions!$B$11,Projects!$B$15*INDEX(Curves!$B$4:$AO$4,1,41-Projects!$C$15+1)*Assumptions!$B$11*0.95),0)+IF(AND(Projects!$G$16="Yes",41&gt;=Projects!$C$16,41&lt;Projects!$C$16+Projects!$D$16),IF(41=Projects!$C$16+Projects!$D$16-1,Projects!$B$16*INDEX(Curves!$B$4:$AO$4,1,41-Projects!$C$16+1)*Assumptions!$B$11*0.95+0.05*Projects!$B$16*Assumptions!$B$11,Projects!$B$16*INDEX(Curves!$B$4:$AO$4,1,41-Projects!$C$16+1)*Assumptions!$B$11*0.95),0)</f>
        <v>126738.13421615257</v>
      </c>
      <c r="AR9" s="8">
        <f>IF(AND(Projects!$G$2="Yes",42&gt;=Projects!$C$2,42&lt;Projects!$C$2+Projects!$D$2),IF(42=Projects!$C$2+Projects!$D$2-1,Projects!$B$2*INDEX(Curves!$B$6:$AO$6,1,42-Projects!$C$2+1)*Assumptions!$B$11*0.95+0.05*Projects!$B$2*Assumptions!$B$11,Projects!$B$2*INDEX(Curves!$B$6:$AO$6,1,42-Projects!$C$2+1)*Assumptions!$B$11*0.95),0)+IF(AND(Projects!$G$3="Yes",42&gt;=Projects!$C$3,42&lt;Projects!$C$3+Projects!$D$3),IF(42=Projects!$C$3+Projects!$D$3-1,Projects!$B$3*INDEX(Curves!$B$7:$AO$7,1,42-Projects!$C$3+1)*Assumptions!$B$11*0.95+0.05*Projects!$B$3*Assumptions!$B$11,Projects!$B$3*INDEX(Curves!$B$7:$AO$7,1,42-Projects!$C$3+1)*Assumptions!$B$11*0.95),0)+IF(AND(Projects!$G$4="Yes",42&gt;=Projects!$C$4,42&lt;Projects!$C$4+Projects!$D$4),IF(42=Projects!$C$4+Projects!$D$4-1,Projects!$B$4*INDEX(Curves!$B$8:$AO$8,1,42-Projects!$C$4+1)*Assumptions!$B$11*0.95+0.05*Projects!$B$4*Assumptions!$B$11,Projects!$B$4*INDEX(Curves!$B$8:$AO$8,1,42-Projects!$C$4+1)*Assumptions!$B$11*0.95),0)+IF(AND(Projects!$G$5="Yes",42&gt;=Projects!$C$5,42&lt;Projects!$C$5+Projects!$D$5),IF(42=Projects!$C$5+Projects!$D$5-1,Projects!$B$5*INDEX(Curves!$B$9:$AO$9,1,42-Projects!$C$5+1)*Assumptions!$B$11*0.95+0.05*Projects!$B$5*Assumptions!$B$11,Projects!$B$5*INDEX(Curves!$B$9:$AO$9,1,42-Projects!$C$5+1)*Assumptions!$B$11*0.95),0)+IF(AND(Projects!$G$6="Yes",42&gt;=Projects!$C$6,42&lt;Projects!$C$6+Projects!$D$6),IF(42=Projects!$C$6+Projects!$D$6-1,Projects!$B$6*INDEX(Curves!$B$4:$AO$4,1,42-Projects!$C$6+1)*Assumptions!$B$11*0.95+0.05*Projects!$B$6*Assumptions!$B$11,Projects!$B$6*INDEX(Curves!$B$4:$AO$4,1,42-Projects!$C$6+1)*Assumptions!$B$11*0.95),0)+IF(AND(Projects!$G$7="Yes",42&gt;=Projects!$C$7,42&lt;Projects!$C$7+Projects!$D$7),IF(42=Projects!$C$7+Projects!$D$7-1,Projects!$B$7*INDEX(Curves!$B$3:$AO$3,1,42-Projects!$C$7+1)*Assumptions!$B$11*0.95+0.05*Projects!$B$7*Assumptions!$B$11,Projects!$B$7*INDEX(Curves!$B$3:$AO$3,1,42-Projects!$C$7+1)*Assumptions!$B$11*0.95),0)+IF(AND(Projects!$G$8="Yes",42&gt;=Projects!$C$8,42&lt;Projects!$C$8+Projects!$D$8),IF(42=Projects!$C$8+Projects!$D$8-1,Projects!$B$8*INDEX(Curves!$B$4:$AO$4,1,42-Projects!$C$8+1)*Assumptions!$B$11*0.95+0.05*Projects!$B$8*Assumptions!$B$11,Projects!$B$8*INDEX(Curves!$B$4:$AO$4,1,42-Projects!$C$8+1)*Assumptions!$B$11*0.95),0)+IF(AND(Projects!$G$9="Yes",42&gt;=Projects!$C$9,42&lt;Projects!$C$9+Projects!$D$9),IF(42=Projects!$C$9+Projects!$D$9-1,Projects!$B$9*INDEX(Curves!$B$2:$AO$2,1,42-Projects!$C$9+1)*Assumptions!$B$11*0.95+0.05*Projects!$B$9*Assumptions!$B$11,Projects!$B$9*INDEX(Curves!$B$2:$AO$2,1,42-Projects!$C$9+1)*Assumptions!$B$11*0.95),0)+IF(AND(Projects!$G$10="Yes",42&gt;=Projects!$C$10,42&lt;Projects!$C$10+Projects!$D$10),IF(42=Projects!$C$10+Projects!$D$10-1,Projects!$B$10*INDEX(Curves!$B$4:$AO$4,1,42-Projects!$C$10+1)*Assumptions!$B$11*0.95+0.05*Projects!$B$10*Assumptions!$B$11,Projects!$B$10*INDEX(Curves!$B$4:$AO$4,1,42-Projects!$C$10+1)*Assumptions!$B$11*0.95),0)+IF(AND(Projects!$G$11="Yes",42&gt;=Projects!$C$11,42&lt;Projects!$C$11+Projects!$D$11),IF(42=Projects!$C$11+Projects!$D$11-1,Projects!$B$11*INDEX(Curves!$B$4:$AO$4,1,42-Projects!$C$11+1)*Assumptions!$B$11*0.95+0.05*Projects!$B$11*Assumptions!$B$11,Projects!$B$11*INDEX(Curves!$B$4:$AO$4,1,42-Projects!$C$11+1)*Assumptions!$B$11*0.95),0)+IF(AND(Projects!$G$12="Yes",42&gt;=Projects!$C$12,42&lt;Projects!$C$12+Projects!$D$12),IF(42=Projects!$C$12+Projects!$D$12-1,Projects!$B$12*INDEX(Curves!$B$4:$AO$4,1,42-Projects!$C$12+1)*Assumptions!$B$11*0.95+0.05*Projects!$B$12*Assumptions!$B$11,Projects!$B$12*INDEX(Curves!$B$4:$AO$4,1,42-Projects!$C$12+1)*Assumptions!$B$11*0.95),0)+IF(AND(Projects!$G$13="Yes",42&gt;=Projects!$C$13,42&lt;Projects!$C$13+Projects!$D$13),IF(42=Projects!$C$13+Projects!$D$13-1,Projects!$B$13*INDEX(Curves!$B$2:$AO$2,1,42-Projects!$C$13+1)*Assumptions!$B$11*0.95+0.05*Projects!$B$13*Assumptions!$B$11,Projects!$B$13*INDEX(Curves!$B$2:$AO$2,1,42-Projects!$C$13+1)*Assumptions!$B$11*0.95),0)+IF(AND(Projects!$G$14="Yes",42&gt;=Projects!$C$14,42&lt;Projects!$C$14+Projects!$D$14),IF(42=Projects!$C$14+Projects!$D$14-1,Projects!$B$14*INDEX(Curves!$B$2:$AO$2,1,42-Projects!$C$14+1)*Assumptions!$B$11*0.95+0.05*Projects!$B$14*Assumptions!$B$11,Projects!$B$14*INDEX(Curves!$B$2:$AO$2,1,42-Projects!$C$14+1)*Assumptions!$B$11*0.95),0)+IF(AND(Projects!$G$15="Yes",42&gt;=Projects!$C$15,42&lt;Projects!$C$15+Projects!$D$15),IF(42=Projects!$C$15+Projects!$D$15-1,Projects!$B$15*INDEX(Curves!$B$4:$AO$4,1,42-Projects!$C$15+1)*Assumptions!$B$11*0.95+0.05*Projects!$B$15*Assumptions!$B$11,Projects!$B$15*INDEX(Curves!$B$4:$AO$4,1,42-Projects!$C$15+1)*Assumptions!$B$11*0.95),0)+IF(AND(Projects!$G$16="Yes",42&gt;=Projects!$C$16,42&lt;Projects!$C$16+Projects!$D$16),IF(42=Projects!$C$16+Projects!$D$16-1,Projects!$B$16*INDEX(Curves!$B$4:$AO$4,1,42-Projects!$C$16+1)*Assumptions!$B$11*0.95+0.05*Projects!$B$16*Assumptions!$B$11,Projects!$B$16*INDEX(Curves!$B$4:$AO$4,1,42-Projects!$C$16+1)*Assumptions!$B$11*0.95),0)</f>
        <v>231903.67996604706</v>
      </c>
      <c r="AS9" s="8">
        <f>IF(AND(Projects!$G$2="Yes",43&gt;=Projects!$C$2,43&lt;Projects!$C$2+Projects!$D$2),IF(43=Projects!$C$2+Projects!$D$2-1,Projects!$B$2*INDEX(Curves!$B$6:$AO$6,1,43-Projects!$C$2+1)*Assumptions!$B$11*0.95+0.05*Projects!$B$2*Assumptions!$B$11,Projects!$B$2*INDEX(Curves!$B$6:$AO$6,1,43-Projects!$C$2+1)*Assumptions!$B$11*0.95),0)+IF(AND(Projects!$G$3="Yes",43&gt;=Projects!$C$3,43&lt;Projects!$C$3+Projects!$D$3),IF(43=Projects!$C$3+Projects!$D$3-1,Projects!$B$3*INDEX(Curves!$B$7:$AO$7,1,43-Projects!$C$3+1)*Assumptions!$B$11*0.95+0.05*Projects!$B$3*Assumptions!$B$11,Projects!$B$3*INDEX(Curves!$B$7:$AO$7,1,43-Projects!$C$3+1)*Assumptions!$B$11*0.95),0)+IF(AND(Projects!$G$4="Yes",43&gt;=Projects!$C$4,43&lt;Projects!$C$4+Projects!$D$4),IF(43=Projects!$C$4+Projects!$D$4-1,Projects!$B$4*INDEX(Curves!$B$8:$AO$8,1,43-Projects!$C$4+1)*Assumptions!$B$11*0.95+0.05*Projects!$B$4*Assumptions!$B$11,Projects!$B$4*INDEX(Curves!$B$8:$AO$8,1,43-Projects!$C$4+1)*Assumptions!$B$11*0.95),0)+IF(AND(Projects!$G$5="Yes",43&gt;=Projects!$C$5,43&lt;Projects!$C$5+Projects!$D$5),IF(43=Projects!$C$5+Projects!$D$5-1,Projects!$B$5*INDEX(Curves!$B$9:$AO$9,1,43-Projects!$C$5+1)*Assumptions!$B$11*0.95+0.05*Projects!$B$5*Assumptions!$B$11,Projects!$B$5*INDEX(Curves!$B$9:$AO$9,1,43-Projects!$C$5+1)*Assumptions!$B$11*0.95),0)+IF(AND(Projects!$G$6="Yes",43&gt;=Projects!$C$6,43&lt;Projects!$C$6+Projects!$D$6),IF(43=Projects!$C$6+Projects!$D$6-1,Projects!$B$6*INDEX(Curves!$B$4:$AO$4,1,43-Projects!$C$6+1)*Assumptions!$B$11*0.95+0.05*Projects!$B$6*Assumptions!$B$11,Projects!$B$6*INDEX(Curves!$B$4:$AO$4,1,43-Projects!$C$6+1)*Assumptions!$B$11*0.95),0)+IF(AND(Projects!$G$7="Yes",43&gt;=Projects!$C$7,43&lt;Projects!$C$7+Projects!$D$7),IF(43=Projects!$C$7+Projects!$D$7-1,Projects!$B$7*INDEX(Curves!$B$3:$AO$3,1,43-Projects!$C$7+1)*Assumptions!$B$11*0.95+0.05*Projects!$B$7*Assumptions!$B$11,Projects!$B$7*INDEX(Curves!$B$3:$AO$3,1,43-Projects!$C$7+1)*Assumptions!$B$11*0.95),0)+IF(AND(Projects!$G$8="Yes",43&gt;=Projects!$C$8,43&lt;Projects!$C$8+Projects!$D$8),IF(43=Projects!$C$8+Projects!$D$8-1,Projects!$B$8*INDEX(Curves!$B$4:$AO$4,1,43-Projects!$C$8+1)*Assumptions!$B$11*0.95+0.05*Projects!$B$8*Assumptions!$B$11,Projects!$B$8*INDEX(Curves!$B$4:$AO$4,1,43-Projects!$C$8+1)*Assumptions!$B$11*0.95),0)+IF(AND(Projects!$G$9="Yes",43&gt;=Projects!$C$9,43&lt;Projects!$C$9+Projects!$D$9),IF(43=Projects!$C$9+Projects!$D$9-1,Projects!$B$9*INDEX(Curves!$B$2:$AO$2,1,43-Projects!$C$9+1)*Assumptions!$B$11*0.95+0.05*Projects!$B$9*Assumptions!$B$11,Projects!$B$9*INDEX(Curves!$B$2:$AO$2,1,43-Projects!$C$9+1)*Assumptions!$B$11*0.95),0)+IF(AND(Projects!$G$10="Yes",43&gt;=Projects!$C$10,43&lt;Projects!$C$10+Projects!$D$10),IF(43=Projects!$C$10+Projects!$D$10-1,Projects!$B$10*INDEX(Curves!$B$4:$AO$4,1,43-Projects!$C$10+1)*Assumptions!$B$11*0.95+0.05*Projects!$B$10*Assumptions!$B$11,Projects!$B$10*INDEX(Curves!$B$4:$AO$4,1,43-Projects!$C$10+1)*Assumptions!$B$11*0.95),0)+IF(AND(Projects!$G$11="Yes",43&gt;=Projects!$C$11,43&lt;Projects!$C$11+Projects!$D$11),IF(43=Projects!$C$11+Projects!$D$11-1,Projects!$B$11*INDEX(Curves!$B$4:$AO$4,1,43-Projects!$C$11+1)*Assumptions!$B$11*0.95+0.05*Projects!$B$11*Assumptions!$B$11,Projects!$B$11*INDEX(Curves!$B$4:$AO$4,1,43-Projects!$C$11+1)*Assumptions!$B$11*0.95),0)+IF(AND(Projects!$G$12="Yes",43&gt;=Projects!$C$12,43&lt;Projects!$C$12+Projects!$D$12),IF(43=Projects!$C$12+Projects!$D$12-1,Projects!$B$12*INDEX(Curves!$B$4:$AO$4,1,43-Projects!$C$12+1)*Assumptions!$B$11*0.95+0.05*Projects!$B$12*Assumptions!$B$11,Projects!$B$12*INDEX(Curves!$B$4:$AO$4,1,43-Projects!$C$12+1)*Assumptions!$B$11*0.95),0)+IF(AND(Projects!$G$13="Yes",43&gt;=Projects!$C$13,43&lt;Projects!$C$13+Projects!$D$13),IF(43=Projects!$C$13+Projects!$D$13-1,Projects!$B$13*INDEX(Curves!$B$2:$AO$2,1,43-Projects!$C$13+1)*Assumptions!$B$11*0.95+0.05*Projects!$B$13*Assumptions!$B$11,Projects!$B$13*INDEX(Curves!$B$2:$AO$2,1,43-Projects!$C$13+1)*Assumptions!$B$11*0.95),0)+IF(AND(Projects!$G$14="Yes",43&gt;=Projects!$C$14,43&lt;Projects!$C$14+Projects!$D$14),IF(43=Projects!$C$14+Projects!$D$14-1,Projects!$B$14*INDEX(Curves!$B$2:$AO$2,1,43-Projects!$C$14+1)*Assumptions!$B$11*0.95+0.05*Projects!$B$14*Assumptions!$B$11,Projects!$B$14*INDEX(Curves!$B$2:$AO$2,1,43-Projects!$C$14+1)*Assumptions!$B$11*0.95),0)+IF(AND(Projects!$G$15="Yes",43&gt;=Projects!$C$15,43&lt;Projects!$C$15+Projects!$D$15),IF(43=Projects!$C$15+Projects!$D$15-1,Projects!$B$15*INDEX(Curves!$B$4:$AO$4,1,43-Projects!$C$15+1)*Assumptions!$B$11*0.95+0.05*Projects!$B$15*Assumptions!$B$11,Projects!$B$15*INDEX(Curves!$B$4:$AO$4,1,43-Projects!$C$15+1)*Assumptions!$B$11*0.95),0)+IF(AND(Projects!$G$16="Yes",43&gt;=Projects!$C$16,43&lt;Projects!$C$16+Projects!$D$16),IF(43=Projects!$C$16+Projects!$D$16-1,Projects!$B$16*INDEX(Curves!$B$4:$AO$4,1,43-Projects!$C$16+1)*Assumptions!$B$11*0.95+0.05*Projects!$B$16*Assumptions!$B$11,Projects!$B$16*INDEX(Curves!$B$4:$AO$4,1,43-Projects!$C$16+1)*Assumptions!$B$11*0.95),0)</f>
        <v>87081.072949928552</v>
      </c>
      <c r="AT9" s="8">
        <f>IF(AND(Projects!$G$2="Yes",44&gt;=Projects!$C$2,44&lt;Projects!$C$2+Projects!$D$2),IF(44=Projects!$C$2+Projects!$D$2-1,Projects!$B$2*INDEX(Curves!$B$6:$AO$6,1,44-Projects!$C$2+1)*Assumptions!$B$11*0.95+0.05*Projects!$B$2*Assumptions!$B$11,Projects!$B$2*INDEX(Curves!$B$6:$AO$6,1,44-Projects!$C$2+1)*Assumptions!$B$11*0.95),0)+IF(AND(Projects!$G$3="Yes",44&gt;=Projects!$C$3,44&lt;Projects!$C$3+Projects!$D$3),IF(44=Projects!$C$3+Projects!$D$3-1,Projects!$B$3*INDEX(Curves!$B$7:$AO$7,1,44-Projects!$C$3+1)*Assumptions!$B$11*0.95+0.05*Projects!$B$3*Assumptions!$B$11,Projects!$B$3*INDEX(Curves!$B$7:$AO$7,1,44-Projects!$C$3+1)*Assumptions!$B$11*0.95),0)+IF(AND(Projects!$G$4="Yes",44&gt;=Projects!$C$4,44&lt;Projects!$C$4+Projects!$D$4),IF(44=Projects!$C$4+Projects!$D$4-1,Projects!$B$4*INDEX(Curves!$B$8:$AO$8,1,44-Projects!$C$4+1)*Assumptions!$B$11*0.95+0.05*Projects!$B$4*Assumptions!$B$11,Projects!$B$4*INDEX(Curves!$B$8:$AO$8,1,44-Projects!$C$4+1)*Assumptions!$B$11*0.95),0)+IF(AND(Projects!$G$5="Yes",44&gt;=Projects!$C$5,44&lt;Projects!$C$5+Projects!$D$5),IF(44=Projects!$C$5+Projects!$D$5-1,Projects!$B$5*INDEX(Curves!$B$9:$AO$9,1,44-Projects!$C$5+1)*Assumptions!$B$11*0.95+0.05*Projects!$B$5*Assumptions!$B$11,Projects!$B$5*INDEX(Curves!$B$9:$AO$9,1,44-Projects!$C$5+1)*Assumptions!$B$11*0.95),0)+IF(AND(Projects!$G$6="Yes",44&gt;=Projects!$C$6,44&lt;Projects!$C$6+Projects!$D$6),IF(44=Projects!$C$6+Projects!$D$6-1,Projects!$B$6*INDEX(Curves!$B$4:$AO$4,1,44-Projects!$C$6+1)*Assumptions!$B$11*0.95+0.05*Projects!$B$6*Assumptions!$B$11,Projects!$B$6*INDEX(Curves!$B$4:$AO$4,1,44-Projects!$C$6+1)*Assumptions!$B$11*0.95),0)+IF(AND(Projects!$G$7="Yes",44&gt;=Projects!$C$7,44&lt;Projects!$C$7+Projects!$D$7),IF(44=Projects!$C$7+Projects!$D$7-1,Projects!$B$7*INDEX(Curves!$B$3:$AO$3,1,44-Projects!$C$7+1)*Assumptions!$B$11*0.95+0.05*Projects!$B$7*Assumptions!$B$11,Projects!$B$7*INDEX(Curves!$B$3:$AO$3,1,44-Projects!$C$7+1)*Assumptions!$B$11*0.95),0)+IF(AND(Projects!$G$8="Yes",44&gt;=Projects!$C$8,44&lt;Projects!$C$8+Projects!$D$8),IF(44=Projects!$C$8+Projects!$D$8-1,Projects!$B$8*INDEX(Curves!$B$4:$AO$4,1,44-Projects!$C$8+1)*Assumptions!$B$11*0.95+0.05*Projects!$B$8*Assumptions!$B$11,Projects!$B$8*INDEX(Curves!$B$4:$AO$4,1,44-Projects!$C$8+1)*Assumptions!$B$11*0.95),0)+IF(AND(Projects!$G$9="Yes",44&gt;=Projects!$C$9,44&lt;Projects!$C$9+Projects!$D$9),IF(44=Projects!$C$9+Projects!$D$9-1,Projects!$B$9*INDEX(Curves!$B$2:$AO$2,1,44-Projects!$C$9+1)*Assumptions!$B$11*0.95+0.05*Projects!$B$9*Assumptions!$B$11,Projects!$B$9*INDEX(Curves!$B$2:$AO$2,1,44-Projects!$C$9+1)*Assumptions!$B$11*0.95),0)+IF(AND(Projects!$G$10="Yes",44&gt;=Projects!$C$10,44&lt;Projects!$C$10+Projects!$D$10),IF(44=Projects!$C$10+Projects!$D$10-1,Projects!$B$10*INDEX(Curves!$B$4:$AO$4,1,44-Projects!$C$10+1)*Assumptions!$B$11*0.95+0.05*Projects!$B$10*Assumptions!$B$11,Projects!$B$10*INDEX(Curves!$B$4:$AO$4,1,44-Projects!$C$10+1)*Assumptions!$B$11*0.95),0)+IF(AND(Projects!$G$11="Yes",44&gt;=Projects!$C$11,44&lt;Projects!$C$11+Projects!$D$11),IF(44=Projects!$C$11+Projects!$D$11-1,Projects!$B$11*INDEX(Curves!$B$4:$AO$4,1,44-Projects!$C$11+1)*Assumptions!$B$11*0.95+0.05*Projects!$B$11*Assumptions!$B$11,Projects!$B$11*INDEX(Curves!$B$4:$AO$4,1,44-Projects!$C$11+1)*Assumptions!$B$11*0.95),0)+IF(AND(Projects!$G$12="Yes",44&gt;=Projects!$C$12,44&lt;Projects!$C$12+Projects!$D$12),IF(44=Projects!$C$12+Projects!$D$12-1,Projects!$B$12*INDEX(Curves!$B$4:$AO$4,1,44-Projects!$C$12+1)*Assumptions!$B$11*0.95+0.05*Projects!$B$12*Assumptions!$B$11,Projects!$B$12*INDEX(Curves!$B$4:$AO$4,1,44-Projects!$C$12+1)*Assumptions!$B$11*0.95),0)+IF(AND(Projects!$G$13="Yes",44&gt;=Projects!$C$13,44&lt;Projects!$C$13+Projects!$D$13),IF(44=Projects!$C$13+Projects!$D$13-1,Projects!$B$13*INDEX(Curves!$B$2:$AO$2,1,44-Projects!$C$13+1)*Assumptions!$B$11*0.95+0.05*Projects!$B$13*Assumptions!$B$11,Projects!$B$13*INDEX(Curves!$B$2:$AO$2,1,44-Projects!$C$13+1)*Assumptions!$B$11*0.95),0)+IF(AND(Projects!$G$14="Yes",44&gt;=Projects!$C$14,44&lt;Projects!$C$14+Projects!$D$14),IF(44=Projects!$C$14+Projects!$D$14-1,Projects!$B$14*INDEX(Curves!$B$2:$AO$2,1,44-Projects!$C$14+1)*Assumptions!$B$11*0.95+0.05*Projects!$B$14*Assumptions!$B$11,Projects!$B$14*INDEX(Curves!$B$2:$AO$2,1,44-Projects!$C$14+1)*Assumptions!$B$11*0.95),0)+IF(AND(Projects!$G$15="Yes",44&gt;=Projects!$C$15,44&lt;Projects!$C$15+Projects!$D$15),IF(44=Projects!$C$15+Projects!$D$15-1,Projects!$B$15*INDEX(Curves!$B$4:$AO$4,1,44-Projects!$C$15+1)*Assumptions!$B$11*0.95+0.05*Projects!$B$15*Assumptions!$B$11,Projects!$B$15*INDEX(Curves!$B$4:$AO$4,1,44-Projects!$C$15+1)*Assumptions!$B$11*0.95),0)+IF(AND(Projects!$G$16="Yes",44&gt;=Projects!$C$16,44&lt;Projects!$C$16+Projects!$D$16),IF(44=Projects!$C$16+Projects!$D$16-1,Projects!$B$16*INDEX(Curves!$B$4:$AO$4,1,44-Projects!$C$16+1)*Assumptions!$B$11*0.95+0.05*Projects!$B$16*Assumptions!$B$11,Projects!$B$16*INDEX(Curves!$B$4:$AO$4,1,44-Projects!$C$16+1)*Assumptions!$B$11*0.95),0)</f>
        <v>85359.082185642852</v>
      </c>
      <c r="AU9" s="8">
        <f>IF(AND(Projects!$G$2="Yes",45&gt;=Projects!$C$2,45&lt;Projects!$C$2+Projects!$D$2),IF(45=Projects!$C$2+Projects!$D$2-1,Projects!$B$2*INDEX(Curves!$B$6:$AO$6,1,45-Projects!$C$2+1)*Assumptions!$B$11*0.95+0.05*Projects!$B$2*Assumptions!$B$11,Projects!$B$2*INDEX(Curves!$B$6:$AO$6,1,45-Projects!$C$2+1)*Assumptions!$B$11*0.95),0)+IF(AND(Projects!$G$3="Yes",45&gt;=Projects!$C$3,45&lt;Projects!$C$3+Projects!$D$3),IF(45=Projects!$C$3+Projects!$D$3-1,Projects!$B$3*INDEX(Curves!$B$7:$AO$7,1,45-Projects!$C$3+1)*Assumptions!$B$11*0.95+0.05*Projects!$B$3*Assumptions!$B$11,Projects!$B$3*INDEX(Curves!$B$7:$AO$7,1,45-Projects!$C$3+1)*Assumptions!$B$11*0.95),0)+IF(AND(Projects!$G$4="Yes",45&gt;=Projects!$C$4,45&lt;Projects!$C$4+Projects!$D$4),IF(45=Projects!$C$4+Projects!$D$4-1,Projects!$B$4*INDEX(Curves!$B$8:$AO$8,1,45-Projects!$C$4+1)*Assumptions!$B$11*0.95+0.05*Projects!$B$4*Assumptions!$B$11,Projects!$B$4*INDEX(Curves!$B$8:$AO$8,1,45-Projects!$C$4+1)*Assumptions!$B$11*0.95),0)+IF(AND(Projects!$G$5="Yes",45&gt;=Projects!$C$5,45&lt;Projects!$C$5+Projects!$D$5),IF(45=Projects!$C$5+Projects!$D$5-1,Projects!$B$5*INDEX(Curves!$B$9:$AO$9,1,45-Projects!$C$5+1)*Assumptions!$B$11*0.95+0.05*Projects!$B$5*Assumptions!$B$11,Projects!$B$5*INDEX(Curves!$B$9:$AO$9,1,45-Projects!$C$5+1)*Assumptions!$B$11*0.95),0)+IF(AND(Projects!$G$6="Yes",45&gt;=Projects!$C$6,45&lt;Projects!$C$6+Projects!$D$6),IF(45=Projects!$C$6+Projects!$D$6-1,Projects!$B$6*INDEX(Curves!$B$4:$AO$4,1,45-Projects!$C$6+1)*Assumptions!$B$11*0.95+0.05*Projects!$B$6*Assumptions!$B$11,Projects!$B$6*INDEX(Curves!$B$4:$AO$4,1,45-Projects!$C$6+1)*Assumptions!$B$11*0.95),0)+IF(AND(Projects!$G$7="Yes",45&gt;=Projects!$C$7,45&lt;Projects!$C$7+Projects!$D$7),IF(45=Projects!$C$7+Projects!$D$7-1,Projects!$B$7*INDEX(Curves!$B$3:$AO$3,1,45-Projects!$C$7+1)*Assumptions!$B$11*0.95+0.05*Projects!$B$7*Assumptions!$B$11,Projects!$B$7*INDEX(Curves!$B$3:$AO$3,1,45-Projects!$C$7+1)*Assumptions!$B$11*0.95),0)+IF(AND(Projects!$G$8="Yes",45&gt;=Projects!$C$8,45&lt;Projects!$C$8+Projects!$D$8),IF(45=Projects!$C$8+Projects!$D$8-1,Projects!$B$8*INDEX(Curves!$B$4:$AO$4,1,45-Projects!$C$8+1)*Assumptions!$B$11*0.95+0.05*Projects!$B$8*Assumptions!$B$11,Projects!$B$8*INDEX(Curves!$B$4:$AO$4,1,45-Projects!$C$8+1)*Assumptions!$B$11*0.95),0)+IF(AND(Projects!$G$9="Yes",45&gt;=Projects!$C$9,45&lt;Projects!$C$9+Projects!$D$9),IF(45=Projects!$C$9+Projects!$D$9-1,Projects!$B$9*INDEX(Curves!$B$2:$AO$2,1,45-Projects!$C$9+1)*Assumptions!$B$11*0.95+0.05*Projects!$B$9*Assumptions!$B$11,Projects!$B$9*INDEX(Curves!$B$2:$AO$2,1,45-Projects!$C$9+1)*Assumptions!$B$11*0.95),0)+IF(AND(Projects!$G$10="Yes",45&gt;=Projects!$C$10,45&lt;Projects!$C$10+Projects!$D$10),IF(45=Projects!$C$10+Projects!$D$10-1,Projects!$B$10*INDEX(Curves!$B$4:$AO$4,1,45-Projects!$C$10+1)*Assumptions!$B$11*0.95+0.05*Projects!$B$10*Assumptions!$B$11,Projects!$B$10*INDEX(Curves!$B$4:$AO$4,1,45-Projects!$C$10+1)*Assumptions!$B$11*0.95),0)+IF(AND(Projects!$G$11="Yes",45&gt;=Projects!$C$11,45&lt;Projects!$C$11+Projects!$D$11),IF(45=Projects!$C$11+Projects!$D$11-1,Projects!$B$11*INDEX(Curves!$B$4:$AO$4,1,45-Projects!$C$11+1)*Assumptions!$B$11*0.95+0.05*Projects!$B$11*Assumptions!$B$11,Projects!$B$11*INDEX(Curves!$B$4:$AO$4,1,45-Projects!$C$11+1)*Assumptions!$B$11*0.95),0)+IF(AND(Projects!$G$12="Yes",45&gt;=Projects!$C$12,45&lt;Projects!$C$12+Projects!$D$12),IF(45=Projects!$C$12+Projects!$D$12-1,Projects!$B$12*INDEX(Curves!$B$4:$AO$4,1,45-Projects!$C$12+1)*Assumptions!$B$11*0.95+0.05*Projects!$B$12*Assumptions!$B$11,Projects!$B$12*INDEX(Curves!$B$4:$AO$4,1,45-Projects!$C$12+1)*Assumptions!$B$11*0.95),0)+IF(AND(Projects!$G$13="Yes",45&gt;=Projects!$C$13,45&lt;Projects!$C$13+Projects!$D$13),IF(45=Projects!$C$13+Projects!$D$13-1,Projects!$B$13*INDEX(Curves!$B$2:$AO$2,1,45-Projects!$C$13+1)*Assumptions!$B$11*0.95+0.05*Projects!$B$13*Assumptions!$B$11,Projects!$B$13*INDEX(Curves!$B$2:$AO$2,1,45-Projects!$C$13+1)*Assumptions!$B$11*0.95),0)+IF(AND(Projects!$G$14="Yes",45&gt;=Projects!$C$14,45&lt;Projects!$C$14+Projects!$D$14),IF(45=Projects!$C$14+Projects!$D$14-1,Projects!$B$14*INDEX(Curves!$B$2:$AO$2,1,45-Projects!$C$14+1)*Assumptions!$B$11*0.95+0.05*Projects!$B$14*Assumptions!$B$11,Projects!$B$14*INDEX(Curves!$B$2:$AO$2,1,45-Projects!$C$14+1)*Assumptions!$B$11*0.95),0)+IF(AND(Projects!$G$15="Yes",45&gt;=Projects!$C$15,45&lt;Projects!$C$15+Projects!$D$15),IF(45=Projects!$C$15+Projects!$D$15-1,Projects!$B$15*INDEX(Curves!$B$4:$AO$4,1,45-Projects!$C$15+1)*Assumptions!$B$11*0.95+0.05*Projects!$B$15*Assumptions!$B$11,Projects!$B$15*INDEX(Curves!$B$4:$AO$4,1,45-Projects!$C$15+1)*Assumptions!$B$11*0.95),0)+IF(AND(Projects!$G$16="Yes",45&gt;=Projects!$C$16,45&lt;Projects!$C$16+Projects!$D$16),IF(45=Projects!$C$16+Projects!$D$16-1,Projects!$B$16*INDEX(Curves!$B$4:$AO$4,1,45-Projects!$C$16+1)*Assumptions!$B$11*0.95+0.05*Projects!$B$16*Assumptions!$B$11,Projects!$B$16*INDEX(Curves!$B$4:$AO$4,1,45-Projects!$C$16+1)*Assumptions!$B$11*0.95),0)</f>
        <v>82837.322377499979</v>
      </c>
      <c r="AV9" s="8">
        <f>IF(AND(Projects!$G$2="Yes",46&gt;=Projects!$C$2,46&lt;Projects!$C$2+Projects!$D$2),IF(46=Projects!$C$2+Projects!$D$2-1,Projects!$B$2*INDEX(Curves!$B$6:$AO$6,1,46-Projects!$C$2+1)*Assumptions!$B$11*0.95+0.05*Projects!$B$2*Assumptions!$B$11,Projects!$B$2*INDEX(Curves!$B$6:$AO$6,1,46-Projects!$C$2+1)*Assumptions!$B$11*0.95),0)+IF(AND(Projects!$G$3="Yes",46&gt;=Projects!$C$3,46&lt;Projects!$C$3+Projects!$D$3),IF(46=Projects!$C$3+Projects!$D$3-1,Projects!$B$3*INDEX(Curves!$B$7:$AO$7,1,46-Projects!$C$3+1)*Assumptions!$B$11*0.95+0.05*Projects!$B$3*Assumptions!$B$11,Projects!$B$3*INDEX(Curves!$B$7:$AO$7,1,46-Projects!$C$3+1)*Assumptions!$B$11*0.95),0)+IF(AND(Projects!$G$4="Yes",46&gt;=Projects!$C$4,46&lt;Projects!$C$4+Projects!$D$4),IF(46=Projects!$C$4+Projects!$D$4-1,Projects!$B$4*INDEX(Curves!$B$8:$AO$8,1,46-Projects!$C$4+1)*Assumptions!$B$11*0.95+0.05*Projects!$B$4*Assumptions!$B$11,Projects!$B$4*INDEX(Curves!$B$8:$AO$8,1,46-Projects!$C$4+1)*Assumptions!$B$11*0.95),0)+IF(AND(Projects!$G$5="Yes",46&gt;=Projects!$C$5,46&lt;Projects!$C$5+Projects!$D$5),IF(46=Projects!$C$5+Projects!$D$5-1,Projects!$B$5*INDEX(Curves!$B$9:$AO$9,1,46-Projects!$C$5+1)*Assumptions!$B$11*0.95+0.05*Projects!$B$5*Assumptions!$B$11,Projects!$B$5*INDEX(Curves!$B$9:$AO$9,1,46-Projects!$C$5+1)*Assumptions!$B$11*0.95),0)+IF(AND(Projects!$G$6="Yes",46&gt;=Projects!$C$6,46&lt;Projects!$C$6+Projects!$D$6),IF(46=Projects!$C$6+Projects!$D$6-1,Projects!$B$6*INDEX(Curves!$B$4:$AO$4,1,46-Projects!$C$6+1)*Assumptions!$B$11*0.95+0.05*Projects!$B$6*Assumptions!$B$11,Projects!$B$6*INDEX(Curves!$B$4:$AO$4,1,46-Projects!$C$6+1)*Assumptions!$B$11*0.95),0)+IF(AND(Projects!$G$7="Yes",46&gt;=Projects!$C$7,46&lt;Projects!$C$7+Projects!$D$7),IF(46=Projects!$C$7+Projects!$D$7-1,Projects!$B$7*INDEX(Curves!$B$3:$AO$3,1,46-Projects!$C$7+1)*Assumptions!$B$11*0.95+0.05*Projects!$B$7*Assumptions!$B$11,Projects!$B$7*INDEX(Curves!$B$3:$AO$3,1,46-Projects!$C$7+1)*Assumptions!$B$11*0.95),0)+IF(AND(Projects!$G$8="Yes",46&gt;=Projects!$C$8,46&lt;Projects!$C$8+Projects!$D$8),IF(46=Projects!$C$8+Projects!$D$8-1,Projects!$B$8*INDEX(Curves!$B$4:$AO$4,1,46-Projects!$C$8+1)*Assumptions!$B$11*0.95+0.05*Projects!$B$8*Assumptions!$B$11,Projects!$B$8*INDEX(Curves!$B$4:$AO$4,1,46-Projects!$C$8+1)*Assumptions!$B$11*0.95),0)+IF(AND(Projects!$G$9="Yes",46&gt;=Projects!$C$9,46&lt;Projects!$C$9+Projects!$D$9),IF(46=Projects!$C$9+Projects!$D$9-1,Projects!$B$9*INDEX(Curves!$B$2:$AO$2,1,46-Projects!$C$9+1)*Assumptions!$B$11*0.95+0.05*Projects!$B$9*Assumptions!$B$11,Projects!$B$9*INDEX(Curves!$B$2:$AO$2,1,46-Projects!$C$9+1)*Assumptions!$B$11*0.95),0)+IF(AND(Projects!$G$10="Yes",46&gt;=Projects!$C$10,46&lt;Projects!$C$10+Projects!$D$10),IF(46=Projects!$C$10+Projects!$D$10-1,Projects!$B$10*INDEX(Curves!$B$4:$AO$4,1,46-Projects!$C$10+1)*Assumptions!$B$11*0.95+0.05*Projects!$B$10*Assumptions!$B$11,Projects!$B$10*INDEX(Curves!$B$4:$AO$4,1,46-Projects!$C$10+1)*Assumptions!$B$11*0.95),0)+IF(AND(Projects!$G$11="Yes",46&gt;=Projects!$C$11,46&lt;Projects!$C$11+Projects!$D$11),IF(46=Projects!$C$11+Projects!$D$11-1,Projects!$B$11*INDEX(Curves!$B$4:$AO$4,1,46-Projects!$C$11+1)*Assumptions!$B$11*0.95+0.05*Projects!$B$11*Assumptions!$B$11,Projects!$B$11*INDEX(Curves!$B$4:$AO$4,1,46-Projects!$C$11+1)*Assumptions!$B$11*0.95),0)+IF(AND(Projects!$G$12="Yes",46&gt;=Projects!$C$12,46&lt;Projects!$C$12+Projects!$D$12),IF(46=Projects!$C$12+Projects!$D$12-1,Projects!$B$12*INDEX(Curves!$B$4:$AO$4,1,46-Projects!$C$12+1)*Assumptions!$B$11*0.95+0.05*Projects!$B$12*Assumptions!$B$11,Projects!$B$12*INDEX(Curves!$B$4:$AO$4,1,46-Projects!$C$12+1)*Assumptions!$B$11*0.95),0)+IF(AND(Projects!$G$13="Yes",46&gt;=Projects!$C$13,46&lt;Projects!$C$13+Projects!$D$13),IF(46=Projects!$C$13+Projects!$D$13-1,Projects!$B$13*INDEX(Curves!$B$2:$AO$2,1,46-Projects!$C$13+1)*Assumptions!$B$11*0.95+0.05*Projects!$B$13*Assumptions!$B$11,Projects!$B$13*INDEX(Curves!$B$2:$AO$2,1,46-Projects!$C$13+1)*Assumptions!$B$11*0.95),0)+IF(AND(Projects!$G$14="Yes",46&gt;=Projects!$C$14,46&lt;Projects!$C$14+Projects!$D$14),IF(46=Projects!$C$14+Projects!$D$14-1,Projects!$B$14*INDEX(Curves!$B$2:$AO$2,1,46-Projects!$C$14+1)*Assumptions!$B$11*0.95+0.05*Projects!$B$14*Assumptions!$B$11,Projects!$B$14*INDEX(Curves!$B$2:$AO$2,1,46-Projects!$C$14+1)*Assumptions!$B$11*0.95),0)+IF(AND(Projects!$G$15="Yes",46&gt;=Projects!$C$15,46&lt;Projects!$C$15+Projects!$D$15),IF(46=Projects!$C$15+Projects!$D$15-1,Projects!$B$15*INDEX(Curves!$B$4:$AO$4,1,46-Projects!$C$15+1)*Assumptions!$B$11*0.95+0.05*Projects!$B$15*Assumptions!$B$11,Projects!$B$15*INDEX(Curves!$B$4:$AO$4,1,46-Projects!$C$15+1)*Assumptions!$B$11*0.95),0)+IF(AND(Projects!$G$16="Yes",46&gt;=Projects!$C$16,46&lt;Projects!$C$16+Projects!$D$16),IF(46=Projects!$C$16+Projects!$D$16-1,Projects!$B$16*INDEX(Curves!$B$4:$AO$4,1,46-Projects!$C$16+1)*Assumptions!$B$11*0.95+0.05*Projects!$B$16*Assumptions!$B$11,Projects!$B$16*INDEX(Curves!$B$4:$AO$4,1,46-Projects!$C$16+1)*Assumptions!$B$11*0.95),0)</f>
        <v>79592.326448357126</v>
      </c>
      <c r="AW9" s="8">
        <f>IF(AND(Projects!$G$2="Yes",47&gt;=Projects!$C$2,47&lt;Projects!$C$2+Projects!$D$2),IF(47=Projects!$C$2+Projects!$D$2-1,Projects!$B$2*INDEX(Curves!$B$6:$AO$6,1,47-Projects!$C$2+1)*Assumptions!$B$11*0.95+0.05*Projects!$B$2*Assumptions!$B$11,Projects!$B$2*INDEX(Curves!$B$6:$AO$6,1,47-Projects!$C$2+1)*Assumptions!$B$11*0.95),0)+IF(AND(Projects!$G$3="Yes",47&gt;=Projects!$C$3,47&lt;Projects!$C$3+Projects!$D$3),IF(47=Projects!$C$3+Projects!$D$3-1,Projects!$B$3*INDEX(Curves!$B$7:$AO$7,1,47-Projects!$C$3+1)*Assumptions!$B$11*0.95+0.05*Projects!$B$3*Assumptions!$B$11,Projects!$B$3*INDEX(Curves!$B$7:$AO$7,1,47-Projects!$C$3+1)*Assumptions!$B$11*0.95),0)+IF(AND(Projects!$G$4="Yes",47&gt;=Projects!$C$4,47&lt;Projects!$C$4+Projects!$D$4),IF(47=Projects!$C$4+Projects!$D$4-1,Projects!$B$4*INDEX(Curves!$B$8:$AO$8,1,47-Projects!$C$4+1)*Assumptions!$B$11*0.95+0.05*Projects!$B$4*Assumptions!$B$11,Projects!$B$4*INDEX(Curves!$B$8:$AO$8,1,47-Projects!$C$4+1)*Assumptions!$B$11*0.95),0)+IF(AND(Projects!$G$5="Yes",47&gt;=Projects!$C$5,47&lt;Projects!$C$5+Projects!$D$5),IF(47=Projects!$C$5+Projects!$D$5-1,Projects!$B$5*INDEX(Curves!$B$9:$AO$9,1,47-Projects!$C$5+1)*Assumptions!$B$11*0.95+0.05*Projects!$B$5*Assumptions!$B$11,Projects!$B$5*INDEX(Curves!$B$9:$AO$9,1,47-Projects!$C$5+1)*Assumptions!$B$11*0.95),0)+IF(AND(Projects!$G$6="Yes",47&gt;=Projects!$C$6,47&lt;Projects!$C$6+Projects!$D$6),IF(47=Projects!$C$6+Projects!$D$6-1,Projects!$B$6*INDEX(Curves!$B$4:$AO$4,1,47-Projects!$C$6+1)*Assumptions!$B$11*0.95+0.05*Projects!$B$6*Assumptions!$B$11,Projects!$B$6*INDEX(Curves!$B$4:$AO$4,1,47-Projects!$C$6+1)*Assumptions!$B$11*0.95),0)+IF(AND(Projects!$G$7="Yes",47&gt;=Projects!$C$7,47&lt;Projects!$C$7+Projects!$D$7),IF(47=Projects!$C$7+Projects!$D$7-1,Projects!$B$7*INDEX(Curves!$B$3:$AO$3,1,47-Projects!$C$7+1)*Assumptions!$B$11*0.95+0.05*Projects!$B$7*Assumptions!$B$11,Projects!$B$7*INDEX(Curves!$B$3:$AO$3,1,47-Projects!$C$7+1)*Assumptions!$B$11*0.95),0)+IF(AND(Projects!$G$8="Yes",47&gt;=Projects!$C$8,47&lt;Projects!$C$8+Projects!$D$8),IF(47=Projects!$C$8+Projects!$D$8-1,Projects!$B$8*INDEX(Curves!$B$4:$AO$4,1,47-Projects!$C$8+1)*Assumptions!$B$11*0.95+0.05*Projects!$B$8*Assumptions!$B$11,Projects!$B$8*INDEX(Curves!$B$4:$AO$4,1,47-Projects!$C$8+1)*Assumptions!$B$11*0.95),0)+IF(AND(Projects!$G$9="Yes",47&gt;=Projects!$C$9,47&lt;Projects!$C$9+Projects!$D$9),IF(47=Projects!$C$9+Projects!$D$9-1,Projects!$B$9*INDEX(Curves!$B$2:$AO$2,1,47-Projects!$C$9+1)*Assumptions!$B$11*0.95+0.05*Projects!$B$9*Assumptions!$B$11,Projects!$B$9*INDEX(Curves!$B$2:$AO$2,1,47-Projects!$C$9+1)*Assumptions!$B$11*0.95),0)+IF(AND(Projects!$G$10="Yes",47&gt;=Projects!$C$10,47&lt;Projects!$C$10+Projects!$D$10),IF(47=Projects!$C$10+Projects!$D$10-1,Projects!$B$10*INDEX(Curves!$B$4:$AO$4,1,47-Projects!$C$10+1)*Assumptions!$B$11*0.95+0.05*Projects!$B$10*Assumptions!$B$11,Projects!$B$10*INDEX(Curves!$B$4:$AO$4,1,47-Projects!$C$10+1)*Assumptions!$B$11*0.95),0)+IF(AND(Projects!$G$11="Yes",47&gt;=Projects!$C$11,47&lt;Projects!$C$11+Projects!$D$11),IF(47=Projects!$C$11+Projects!$D$11-1,Projects!$B$11*INDEX(Curves!$B$4:$AO$4,1,47-Projects!$C$11+1)*Assumptions!$B$11*0.95+0.05*Projects!$B$11*Assumptions!$B$11,Projects!$B$11*INDEX(Curves!$B$4:$AO$4,1,47-Projects!$C$11+1)*Assumptions!$B$11*0.95),0)+IF(AND(Projects!$G$12="Yes",47&gt;=Projects!$C$12,47&lt;Projects!$C$12+Projects!$D$12),IF(47=Projects!$C$12+Projects!$D$12-1,Projects!$B$12*INDEX(Curves!$B$4:$AO$4,1,47-Projects!$C$12+1)*Assumptions!$B$11*0.95+0.05*Projects!$B$12*Assumptions!$B$11,Projects!$B$12*INDEX(Curves!$B$4:$AO$4,1,47-Projects!$C$12+1)*Assumptions!$B$11*0.95),0)+IF(AND(Projects!$G$13="Yes",47&gt;=Projects!$C$13,47&lt;Projects!$C$13+Projects!$D$13),IF(47=Projects!$C$13+Projects!$D$13-1,Projects!$B$13*INDEX(Curves!$B$2:$AO$2,1,47-Projects!$C$13+1)*Assumptions!$B$11*0.95+0.05*Projects!$B$13*Assumptions!$B$11,Projects!$B$13*INDEX(Curves!$B$2:$AO$2,1,47-Projects!$C$13+1)*Assumptions!$B$11*0.95),0)+IF(AND(Projects!$G$14="Yes",47&gt;=Projects!$C$14,47&lt;Projects!$C$14+Projects!$D$14),IF(47=Projects!$C$14+Projects!$D$14-1,Projects!$B$14*INDEX(Curves!$B$2:$AO$2,1,47-Projects!$C$14+1)*Assumptions!$B$11*0.95+0.05*Projects!$B$14*Assumptions!$B$11,Projects!$B$14*INDEX(Curves!$B$2:$AO$2,1,47-Projects!$C$14+1)*Assumptions!$B$11*0.95),0)+IF(AND(Projects!$G$15="Yes",47&gt;=Projects!$C$15,47&lt;Projects!$C$15+Projects!$D$15),IF(47=Projects!$C$15+Projects!$D$15-1,Projects!$B$15*INDEX(Curves!$B$4:$AO$4,1,47-Projects!$C$15+1)*Assumptions!$B$11*0.95+0.05*Projects!$B$15*Assumptions!$B$11,Projects!$B$15*INDEX(Curves!$B$4:$AO$4,1,47-Projects!$C$15+1)*Assumptions!$B$11*0.95),0)+IF(AND(Projects!$G$16="Yes",47&gt;=Projects!$C$16,47&lt;Projects!$C$16+Projects!$D$16),IF(47=Projects!$C$16+Projects!$D$16-1,Projects!$B$16*INDEX(Curves!$B$4:$AO$4,1,47-Projects!$C$16+1)*Assumptions!$B$11*0.95+0.05*Projects!$B$16*Assumptions!$B$11,Projects!$B$16*INDEX(Curves!$B$4:$AO$4,1,47-Projects!$C$16+1)*Assumptions!$B$11*0.95),0)</f>
        <v>75714.020582571422</v>
      </c>
      <c r="AX9" s="8">
        <f>IF(AND(Projects!$G$2="Yes",48&gt;=Projects!$C$2,48&lt;Projects!$C$2+Projects!$D$2),IF(48=Projects!$C$2+Projects!$D$2-1,Projects!$B$2*INDEX(Curves!$B$6:$AO$6,1,48-Projects!$C$2+1)*Assumptions!$B$11*0.95+0.05*Projects!$B$2*Assumptions!$B$11,Projects!$B$2*INDEX(Curves!$B$6:$AO$6,1,48-Projects!$C$2+1)*Assumptions!$B$11*0.95),0)+IF(AND(Projects!$G$3="Yes",48&gt;=Projects!$C$3,48&lt;Projects!$C$3+Projects!$D$3),IF(48=Projects!$C$3+Projects!$D$3-1,Projects!$B$3*INDEX(Curves!$B$7:$AO$7,1,48-Projects!$C$3+1)*Assumptions!$B$11*0.95+0.05*Projects!$B$3*Assumptions!$B$11,Projects!$B$3*INDEX(Curves!$B$7:$AO$7,1,48-Projects!$C$3+1)*Assumptions!$B$11*0.95),0)+IF(AND(Projects!$G$4="Yes",48&gt;=Projects!$C$4,48&lt;Projects!$C$4+Projects!$D$4),IF(48=Projects!$C$4+Projects!$D$4-1,Projects!$B$4*INDEX(Curves!$B$8:$AO$8,1,48-Projects!$C$4+1)*Assumptions!$B$11*0.95+0.05*Projects!$B$4*Assumptions!$B$11,Projects!$B$4*INDEX(Curves!$B$8:$AO$8,1,48-Projects!$C$4+1)*Assumptions!$B$11*0.95),0)+IF(AND(Projects!$G$5="Yes",48&gt;=Projects!$C$5,48&lt;Projects!$C$5+Projects!$D$5),IF(48=Projects!$C$5+Projects!$D$5-1,Projects!$B$5*INDEX(Curves!$B$9:$AO$9,1,48-Projects!$C$5+1)*Assumptions!$B$11*0.95+0.05*Projects!$B$5*Assumptions!$B$11,Projects!$B$5*INDEX(Curves!$B$9:$AO$9,1,48-Projects!$C$5+1)*Assumptions!$B$11*0.95),0)+IF(AND(Projects!$G$6="Yes",48&gt;=Projects!$C$6,48&lt;Projects!$C$6+Projects!$D$6),IF(48=Projects!$C$6+Projects!$D$6-1,Projects!$B$6*INDEX(Curves!$B$4:$AO$4,1,48-Projects!$C$6+1)*Assumptions!$B$11*0.95+0.05*Projects!$B$6*Assumptions!$B$11,Projects!$B$6*INDEX(Curves!$B$4:$AO$4,1,48-Projects!$C$6+1)*Assumptions!$B$11*0.95),0)+IF(AND(Projects!$G$7="Yes",48&gt;=Projects!$C$7,48&lt;Projects!$C$7+Projects!$D$7),IF(48=Projects!$C$7+Projects!$D$7-1,Projects!$B$7*INDEX(Curves!$B$3:$AO$3,1,48-Projects!$C$7+1)*Assumptions!$B$11*0.95+0.05*Projects!$B$7*Assumptions!$B$11,Projects!$B$7*INDEX(Curves!$B$3:$AO$3,1,48-Projects!$C$7+1)*Assumptions!$B$11*0.95),0)+IF(AND(Projects!$G$8="Yes",48&gt;=Projects!$C$8,48&lt;Projects!$C$8+Projects!$D$8),IF(48=Projects!$C$8+Projects!$D$8-1,Projects!$B$8*INDEX(Curves!$B$4:$AO$4,1,48-Projects!$C$8+1)*Assumptions!$B$11*0.95+0.05*Projects!$B$8*Assumptions!$B$11,Projects!$B$8*INDEX(Curves!$B$4:$AO$4,1,48-Projects!$C$8+1)*Assumptions!$B$11*0.95),0)+IF(AND(Projects!$G$9="Yes",48&gt;=Projects!$C$9,48&lt;Projects!$C$9+Projects!$D$9),IF(48=Projects!$C$9+Projects!$D$9-1,Projects!$B$9*INDEX(Curves!$B$2:$AO$2,1,48-Projects!$C$9+1)*Assumptions!$B$11*0.95+0.05*Projects!$B$9*Assumptions!$B$11,Projects!$B$9*INDEX(Curves!$B$2:$AO$2,1,48-Projects!$C$9+1)*Assumptions!$B$11*0.95),0)+IF(AND(Projects!$G$10="Yes",48&gt;=Projects!$C$10,48&lt;Projects!$C$10+Projects!$D$10),IF(48=Projects!$C$10+Projects!$D$10-1,Projects!$B$10*INDEX(Curves!$B$4:$AO$4,1,48-Projects!$C$10+1)*Assumptions!$B$11*0.95+0.05*Projects!$B$10*Assumptions!$B$11,Projects!$B$10*INDEX(Curves!$B$4:$AO$4,1,48-Projects!$C$10+1)*Assumptions!$B$11*0.95),0)+IF(AND(Projects!$G$11="Yes",48&gt;=Projects!$C$11,48&lt;Projects!$C$11+Projects!$D$11),IF(48=Projects!$C$11+Projects!$D$11-1,Projects!$B$11*INDEX(Curves!$B$4:$AO$4,1,48-Projects!$C$11+1)*Assumptions!$B$11*0.95+0.05*Projects!$B$11*Assumptions!$B$11,Projects!$B$11*INDEX(Curves!$B$4:$AO$4,1,48-Projects!$C$11+1)*Assumptions!$B$11*0.95),0)+IF(AND(Projects!$G$12="Yes",48&gt;=Projects!$C$12,48&lt;Projects!$C$12+Projects!$D$12),IF(48=Projects!$C$12+Projects!$D$12-1,Projects!$B$12*INDEX(Curves!$B$4:$AO$4,1,48-Projects!$C$12+1)*Assumptions!$B$11*0.95+0.05*Projects!$B$12*Assumptions!$B$11,Projects!$B$12*INDEX(Curves!$B$4:$AO$4,1,48-Projects!$C$12+1)*Assumptions!$B$11*0.95),0)+IF(AND(Projects!$G$13="Yes",48&gt;=Projects!$C$13,48&lt;Projects!$C$13+Projects!$D$13),IF(48=Projects!$C$13+Projects!$D$13-1,Projects!$B$13*INDEX(Curves!$B$2:$AO$2,1,48-Projects!$C$13+1)*Assumptions!$B$11*0.95+0.05*Projects!$B$13*Assumptions!$B$11,Projects!$B$13*INDEX(Curves!$B$2:$AO$2,1,48-Projects!$C$13+1)*Assumptions!$B$11*0.95),0)+IF(AND(Projects!$G$14="Yes",48&gt;=Projects!$C$14,48&lt;Projects!$C$14+Projects!$D$14),IF(48=Projects!$C$14+Projects!$D$14-1,Projects!$B$14*INDEX(Curves!$B$2:$AO$2,1,48-Projects!$C$14+1)*Assumptions!$B$11*0.95+0.05*Projects!$B$14*Assumptions!$B$11,Projects!$B$14*INDEX(Curves!$B$2:$AO$2,1,48-Projects!$C$14+1)*Assumptions!$B$11*0.95),0)+IF(AND(Projects!$G$15="Yes",48&gt;=Projects!$C$15,48&lt;Projects!$C$15+Projects!$D$15),IF(48=Projects!$C$15+Projects!$D$15-1,Projects!$B$15*INDEX(Curves!$B$4:$AO$4,1,48-Projects!$C$15+1)*Assumptions!$B$11*0.95+0.05*Projects!$B$15*Assumptions!$B$11,Projects!$B$15*INDEX(Curves!$B$4:$AO$4,1,48-Projects!$C$15+1)*Assumptions!$B$11*0.95),0)+IF(AND(Projects!$G$16="Yes",48&gt;=Projects!$C$16,48&lt;Projects!$C$16+Projects!$D$16),IF(48=Projects!$C$16+Projects!$D$16-1,Projects!$B$16*INDEX(Curves!$B$4:$AO$4,1,48-Projects!$C$16+1)*Assumptions!$B$11*0.95+0.05*Projects!$B$16*Assumptions!$B$11,Projects!$B$16*INDEX(Curves!$B$4:$AO$4,1,48-Projects!$C$16+1)*Assumptions!$B$11*0.95),0)</f>
        <v>71307.637549071413</v>
      </c>
      <c r="AY9" s="8">
        <f>IF(AND(Projects!$G$2="Yes",49&gt;=Projects!$C$2,49&lt;Projects!$C$2+Projects!$D$2),IF(49=Projects!$C$2+Projects!$D$2-1,Projects!$B$2*INDEX(Curves!$B$6:$AO$6,1,49-Projects!$C$2+1)*Assumptions!$B$11*0.95+0.05*Projects!$B$2*Assumptions!$B$11,Projects!$B$2*INDEX(Curves!$B$6:$AO$6,1,49-Projects!$C$2+1)*Assumptions!$B$11*0.95),0)+IF(AND(Projects!$G$3="Yes",49&gt;=Projects!$C$3,49&lt;Projects!$C$3+Projects!$D$3),IF(49=Projects!$C$3+Projects!$D$3-1,Projects!$B$3*INDEX(Curves!$B$7:$AO$7,1,49-Projects!$C$3+1)*Assumptions!$B$11*0.95+0.05*Projects!$B$3*Assumptions!$B$11,Projects!$B$3*INDEX(Curves!$B$7:$AO$7,1,49-Projects!$C$3+1)*Assumptions!$B$11*0.95),0)+IF(AND(Projects!$G$4="Yes",49&gt;=Projects!$C$4,49&lt;Projects!$C$4+Projects!$D$4),IF(49=Projects!$C$4+Projects!$D$4-1,Projects!$B$4*INDEX(Curves!$B$8:$AO$8,1,49-Projects!$C$4+1)*Assumptions!$B$11*0.95+0.05*Projects!$B$4*Assumptions!$B$11,Projects!$B$4*INDEX(Curves!$B$8:$AO$8,1,49-Projects!$C$4+1)*Assumptions!$B$11*0.95),0)+IF(AND(Projects!$G$5="Yes",49&gt;=Projects!$C$5,49&lt;Projects!$C$5+Projects!$D$5),IF(49=Projects!$C$5+Projects!$D$5-1,Projects!$B$5*INDEX(Curves!$B$9:$AO$9,1,49-Projects!$C$5+1)*Assumptions!$B$11*0.95+0.05*Projects!$B$5*Assumptions!$B$11,Projects!$B$5*INDEX(Curves!$B$9:$AO$9,1,49-Projects!$C$5+1)*Assumptions!$B$11*0.95),0)+IF(AND(Projects!$G$6="Yes",49&gt;=Projects!$C$6,49&lt;Projects!$C$6+Projects!$D$6),IF(49=Projects!$C$6+Projects!$D$6-1,Projects!$B$6*INDEX(Curves!$B$4:$AO$4,1,49-Projects!$C$6+1)*Assumptions!$B$11*0.95+0.05*Projects!$B$6*Assumptions!$B$11,Projects!$B$6*INDEX(Curves!$B$4:$AO$4,1,49-Projects!$C$6+1)*Assumptions!$B$11*0.95),0)+IF(AND(Projects!$G$7="Yes",49&gt;=Projects!$C$7,49&lt;Projects!$C$7+Projects!$D$7),IF(49=Projects!$C$7+Projects!$D$7-1,Projects!$B$7*INDEX(Curves!$B$3:$AO$3,1,49-Projects!$C$7+1)*Assumptions!$B$11*0.95+0.05*Projects!$B$7*Assumptions!$B$11,Projects!$B$7*INDEX(Curves!$B$3:$AO$3,1,49-Projects!$C$7+1)*Assumptions!$B$11*0.95),0)+IF(AND(Projects!$G$8="Yes",49&gt;=Projects!$C$8,49&lt;Projects!$C$8+Projects!$D$8),IF(49=Projects!$C$8+Projects!$D$8-1,Projects!$B$8*INDEX(Curves!$B$4:$AO$4,1,49-Projects!$C$8+1)*Assumptions!$B$11*0.95+0.05*Projects!$B$8*Assumptions!$B$11,Projects!$B$8*INDEX(Curves!$B$4:$AO$4,1,49-Projects!$C$8+1)*Assumptions!$B$11*0.95),0)+IF(AND(Projects!$G$9="Yes",49&gt;=Projects!$C$9,49&lt;Projects!$C$9+Projects!$D$9),IF(49=Projects!$C$9+Projects!$D$9-1,Projects!$B$9*INDEX(Curves!$B$2:$AO$2,1,49-Projects!$C$9+1)*Assumptions!$B$11*0.95+0.05*Projects!$B$9*Assumptions!$B$11,Projects!$B$9*INDEX(Curves!$B$2:$AO$2,1,49-Projects!$C$9+1)*Assumptions!$B$11*0.95),0)+IF(AND(Projects!$G$10="Yes",49&gt;=Projects!$C$10,49&lt;Projects!$C$10+Projects!$D$10),IF(49=Projects!$C$10+Projects!$D$10-1,Projects!$B$10*INDEX(Curves!$B$4:$AO$4,1,49-Projects!$C$10+1)*Assumptions!$B$11*0.95+0.05*Projects!$B$10*Assumptions!$B$11,Projects!$B$10*INDEX(Curves!$B$4:$AO$4,1,49-Projects!$C$10+1)*Assumptions!$B$11*0.95),0)+IF(AND(Projects!$G$11="Yes",49&gt;=Projects!$C$11,49&lt;Projects!$C$11+Projects!$D$11),IF(49=Projects!$C$11+Projects!$D$11-1,Projects!$B$11*INDEX(Curves!$B$4:$AO$4,1,49-Projects!$C$11+1)*Assumptions!$B$11*0.95+0.05*Projects!$B$11*Assumptions!$B$11,Projects!$B$11*INDEX(Curves!$B$4:$AO$4,1,49-Projects!$C$11+1)*Assumptions!$B$11*0.95),0)+IF(AND(Projects!$G$12="Yes",49&gt;=Projects!$C$12,49&lt;Projects!$C$12+Projects!$D$12),IF(49=Projects!$C$12+Projects!$D$12-1,Projects!$B$12*INDEX(Curves!$B$4:$AO$4,1,49-Projects!$C$12+1)*Assumptions!$B$11*0.95+0.05*Projects!$B$12*Assumptions!$B$11,Projects!$B$12*INDEX(Curves!$B$4:$AO$4,1,49-Projects!$C$12+1)*Assumptions!$B$11*0.95),0)+IF(AND(Projects!$G$13="Yes",49&gt;=Projects!$C$13,49&lt;Projects!$C$13+Projects!$D$13),IF(49=Projects!$C$13+Projects!$D$13-1,Projects!$B$13*INDEX(Curves!$B$2:$AO$2,1,49-Projects!$C$13+1)*Assumptions!$B$11*0.95+0.05*Projects!$B$13*Assumptions!$B$11,Projects!$B$13*INDEX(Curves!$B$2:$AO$2,1,49-Projects!$C$13+1)*Assumptions!$B$11*0.95),0)+IF(AND(Projects!$G$14="Yes",49&gt;=Projects!$C$14,49&lt;Projects!$C$14+Projects!$D$14),IF(49=Projects!$C$14+Projects!$D$14-1,Projects!$B$14*INDEX(Curves!$B$2:$AO$2,1,49-Projects!$C$14+1)*Assumptions!$B$11*0.95+0.05*Projects!$B$14*Assumptions!$B$11,Projects!$B$14*INDEX(Curves!$B$2:$AO$2,1,49-Projects!$C$14+1)*Assumptions!$B$11*0.95),0)+IF(AND(Projects!$G$15="Yes",49&gt;=Projects!$C$15,49&lt;Projects!$C$15+Projects!$D$15),IF(49=Projects!$C$15+Projects!$D$15-1,Projects!$B$15*INDEX(Curves!$B$4:$AO$4,1,49-Projects!$C$15+1)*Assumptions!$B$11*0.95+0.05*Projects!$B$15*Assumptions!$B$11,Projects!$B$15*INDEX(Curves!$B$4:$AO$4,1,49-Projects!$C$15+1)*Assumptions!$B$11*0.95),0)+IF(AND(Projects!$G$16="Yes",49&gt;=Projects!$C$16,49&lt;Projects!$C$16+Projects!$D$16),IF(49=Projects!$C$16+Projects!$D$16-1,Projects!$B$16*INDEX(Curves!$B$4:$AO$4,1,49-Projects!$C$16+1)*Assumptions!$B$11*0.95+0.05*Projects!$B$16*Assumptions!$B$11,Projects!$B$16*INDEX(Curves!$B$4:$AO$4,1,49-Projects!$C$16+1)*Assumptions!$B$11*0.95),0)</f>
        <v>66491.803378285695</v>
      </c>
      <c r="AZ9" s="8">
        <f>IF(AND(Projects!$G$2="Yes",50&gt;=Projects!$C$2,50&lt;Projects!$C$2+Projects!$D$2),IF(50=Projects!$C$2+Projects!$D$2-1,Projects!$B$2*INDEX(Curves!$B$6:$AO$6,1,50-Projects!$C$2+1)*Assumptions!$B$11*0.95+0.05*Projects!$B$2*Assumptions!$B$11,Projects!$B$2*INDEX(Curves!$B$6:$AO$6,1,50-Projects!$C$2+1)*Assumptions!$B$11*0.95),0)+IF(AND(Projects!$G$3="Yes",50&gt;=Projects!$C$3,50&lt;Projects!$C$3+Projects!$D$3),IF(50=Projects!$C$3+Projects!$D$3-1,Projects!$B$3*INDEX(Curves!$B$7:$AO$7,1,50-Projects!$C$3+1)*Assumptions!$B$11*0.95+0.05*Projects!$B$3*Assumptions!$B$11,Projects!$B$3*INDEX(Curves!$B$7:$AO$7,1,50-Projects!$C$3+1)*Assumptions!$B$11*0.95),0)+IF(AND(Projects!$G$4="Yes",50&gt;=Projects!$C$4,50&lt;Projects!$C$4+Projects!$D$4),IF(50=Projects!$C$4+Projects!$D$4-1,Projects!$B$4*INDEX(Curves!$B$8:$AO$8,1,50-Projects!$C$4+1)*Assumptions!$B$11*0.95+0.05*Projects!$B$4*Assumptions!$B$11,Projects!$B$4*INDEX(Curves!$B$8:$AO$8,1,50-Projects!$C$4+1)*Assumptions!$B$11*0.95),0)+IF(AND(Projects!$G$5="Yes",50&gt;=Projects!$C$5,50&lt;Projects!$C$5+Projects!$D$5),IF(50=Projects!$C$5+Projects!$D$5-1,Projects!$B$5*INDEX(Curves!$B$9:$AO$9,1,50-Projects!$C$5+1)*Assumptions!$B$11*0.95+0.05*Projects!$B$5*Assumptions!$B$11,Projects!$B$5*INDEX(Curves!$B$9:$AO$9,1,50-Projects!$C$5+1)*Assumptions!$B$11*0.95),0)+IF(AND(Projects!$G$6="Yes",50&gt;=Projects!$C$6,50&lt;Projects!$C$6+Projects!$D$6),IF(50=Projects!$C$6+Projects!$D$6-1,Projects!$B$6*INDEX(Curves!$B$4:$AO$4,1,50-Projects!$C$6+1)*Assumptions!$B$11*0.95+0.05*Projects!$B$6*Assumptions!$B$11,Projects!$B$6*INDEX(Curves!$B$4:$AO$4,1,50-Projects!$C$6+1)*Assumptions!$B$11*0.95),0)+IF(AND(Projects!$G$7="Yes",50&gt;=Projects!$C$7,50&lt;Projects!$C$7+Projects!$D$7),IF(50=Projects!$C$7+Projects!$D$7-1,Projects!$B$7*INDEX(Curves!$B$3:$AO$3,1,50-Projects!$C$7+1)*Assumptions!$B$11*0.95+0.05*Projects!$B$7*Assumptions!$B$11,Projects!$B$7*INDEX(Curves!$B$3:$AO$3,1,50-Projects!$C$7+1)*Assumptions!$B$11*0.95),0)+IF(AND(Projects!$G$8="Yes",50&gt;=Projects!$C$8,50&lt;Projects!$C$8+Projects!$D$8),IF(50=Projects!$C$8+Projects!$D$8-1,Projects!$B$8*INDEX(Curves!$B$4:$AO$4,1,50-Projects!$C$8+1)*Assumptions!$B$11*0.95+0.05*Projects!$B$8*Assumptions!$B$11,Projects!$B$8*INDEX(Curves!$B$4:$AO$4,1,50-Projects!$C$8+1)*Assumptions!$B$11*0.95),0)+IF(AND(Projects!$G$9="Yes",50&gt;=Projects!$C$9,50&lt;Projects!$C$9+Projects!$D$9),IF(50=Projects!$C$9+Projects!$D$9-1,Projects!$B$9*INDEX(Curves!$B$2:$AO$2,1,50-Projects!$C$9+1)*Assumptions!$B$11*0.95+0.05*Projects!$B$9*Assumptions!$B$11,Projects!$B$9*INDEX(Curves!$B$2:$AO$2,1,50-Projects!$C$9+1)*Assumptions!$B$11*0.95),0)+IF(AND(Projects!$G$10="Yes",50&gt;=Projects!$C$10,50&lt;Projects!$C$10+Projects!$D$10),IF(50=Projects!$C$10+Projects!$D$10-1,Projects!$B$10*INDEX(Curves!$B$4:$AO$4,1,50-Projects!$C$10+1)*Assumptions!$B$11*0.95+0.05*Projects!$B$10*Assumptions!$B$11,Projects!$B$10*INDEX(Curves!$B$4:$AO$4,1,50-Projects!$C$10+1)*Assumptions!$B$11*0.95),0)+IF(AND(Projects!$G$11="Yes",50&gt;=Projects!$C$11,50&lt;Projects!$C$11+Projects!$D$11),IF(50=Projects!$C$11+Projects!$D$11-1,Projects!$B$11*INDEX(Curves!$B$4:$AO$4,1,50-Projects!$C$11+1)*Assumptions!$B$11*0.95+0.05*Projects!$B$11*Assumptions!$B$11,Projects!$B$11*INDEX(Curves!$B$4:$AO$4,1,50-Projects!$C$11+1)*Assumptions!$B$11*0.95),0)+IF(AND(Projects!$G$12="Yes",50&gt;=Projects!$C$12,50&lt;Projects!$C$12+Projects!$D$12),IF(50=Projects!$C$12+Projects!$D$12-1,Projects!$B$12*INDEX(Curves!$B$4:$AO$4,1,50-Projects!$C$12+1)*Assumptions!$B$11*0.95+0.05*Projects!$B$12*Assumptions!$B$11,Projects!$B$12*INDEX(Curves!$B$4:$AO$4,1,50-Projects!$C$12+1)*Assumptions!$B$11*0.95),0)+IF(AND(Projects!$G$13="Yes",50&gt;=Projects!$C$13,50&lt;Projects!$C$13+Projects!$D$13),IF(50=Projects!$C$13+Projects!$D$13-1,Projects!$B$13*INDEX(Curves!$B$2:$AO$2,1,50-Projects!$C$13+1)*Assumptions!$B$11*0.95+0.05*Projects!$B$13*Assumptions!$B$11,Projects!$B$13*INDEX(Curves!$B$2:$AO$2,1,50-Projects!$C$13+1)*Assumptions!$B$11*0.95),0)+IF(AND(Projects!$G$14="Yes",50&gt;=Projects!$C$14,50&lt;Projects!$C$14+Projects!$D$14),IF(50=Projects!$C$14+Projects!$D$14-1,Projects!$B$14*INDEX(Curves!$B$2:$AO$2,1,50-Projects!$C$14+1)*Assumptions!$B$11*0.95+0.05*Projects!$B$14*Assumptions!$B$11,Projects!$B$14*INDEX(Curves!$B$2:$AO$2,1,50-Projects!$C$14+1)*Assumptions!$B$11*0.95),0)+IF(AND(Projects!$G$15="Yes",50&gt;=Projects!$C$15,50&lt;Projects!$C$15+Projects!$D$15),IF(50=Projects!$C$15+Projects!$D$15-1,Projects!$B$15*INDEX(Curves!$B$4:$AO$4,1,50-Projects!$C$15+1)*Assumptions!$B$11*0.95+0.05*Projects!$B$15*Assumptions!$B$11,Projects!$B$15*INDEX(Curves!$B$4:$AO$4,1,50-Projects!$C$15+1)*Assumptions!$B$11*0.95),0)+IF(AND(Projects!$G$16="Yes",50&gt;=Projects!$C$16,50&lt;Projects!$C$16+Projects!$D$16),IF(50=Projects!$C$16+Projects!$D$16-1,Projects!$B$16*INDEX(Curves!$B$4:$AO$4,1,50-Projects!$C$16+1)*Assumptions!$B$11*0.95+0.05*Projects!$B$16*Assumptions!$B$11,Projects!$B$16*INDEX(Curves!$B$4:$AO$4,1,50-Projects!$C$16+1)*Assumptions!$B$11*0.95),0)</f>
        <v>61383.230777571422</v>
      </c>
      <c r="BA9" s="8">
        <f>IF(AND(Projects!$G$2="Yes",51&gt;=Projects!$C$2,51&lt;Projects!$C$2+Projects!$D$2),IF(51=Projects!$C$2+Projects!$D$2-1,Projects!$B$2*INDEX(Curves!$B$6:$AO$6,1,51-Projects!$C$2+1)*Assumptions!$B$11*0.95+0.05*Projects!$B$2*Assumptions!$B$11,Projects!$B$2*INDEX(Curves!$B$6:$AO$6,1,51-Projects!$C$2+1)*Assumptions!$B$11*0.95),0)+IF(AND(Projects!$G$3="Yes",51&gt;=Projects!$C$3,51&lt;Projects!$C$3+Projects!$D$3),IF(51=Projects!$C$3+Projects!$D$3-1,Projects!$B$3*INDEX(Curves!$B$7:$AO$7,1,51-Projects!$C$3+1)*Assumptions!$B$11*0.95+0.05*Projects!$B$3*Assumptions!$B$11,Projects!$B$3*INDEX(Curves!$B$7:$AO$7,1,51-Projects!$C$3+1)*Assumptions!$B$11*0.95),0)+IF(AND(Projects!$G$4="Yes",51&gt;=Projects!$C$4,51&lt;Projects!$C$4+Projects!$D$4),IF(51=Projects!$C$4+Projects!$D$4-1,Projects!$B$4*INDEX(Curves!$B$8:$AO$8,1,51-Projects!$C$4+1)*Assumptions!$B$11*0.95+0.05*Projects!$B$4*Assumptions!$B$11,Projects!$B$4*INDEX(Curves!$B$8:$AO$8,1,51-Projects!$C$4+1)*Assumptions!$B$11*0.95),0)+IF(AND(Projects!$G$5="Yes",51&gt;=Projects!$C$5,51&lt;Projects!$C$5+Projects!$D$5),IF(51=Projects!$C$5+Projects!$D$5-1,Projects!$B$5*INDEX(Curves!$B$9:$AO$9,1,51-Projects!$C$5+1)*Assumptions!$B$11*0.95+0.05*Projects!$B$5*Assumptions!$B$11,Projects!$B$5*INDEX(Curves!$B$9:$AO$9,1,51-Projects!$C$5+1)*Assumptions!$B$11*0.95),0)+IF(AND(Projects!$G$6="Yes",51&gt;=Projects!$C$6,51&lt;Projects!$C$6+Projects!$D$6),IF(51=Projects!$C$6+Projects!$D$6-1,Projects!$B$6*INDEX(Curves!$B$4:$AO$4,1,51-Projects!$C$6+1)*Assumptions!$B$11*0.95+0.05*Projects!$B$6*Assumptions!$B$11,Projects!$B$6*INDEX(Curves!$B$4:$AO$4,1,51-Projects!$C$6+1)*Assumptions!$B$11*0.95),0)+IF(AND(Projects!$G$7="Yes",51&gt;=Projects!$C$7,51&lt;Projects!$C$7+Projects!$D$7),IF(51=Projects!$C$7+Projects!$D$7-1,Projects!$B$7*INDEX(Curves!$B$3:$AO$3,1,51-Projects!$C$7+1)*Assumptions!$B$11*0.95+0.05*Projects!$B$7*Assumptions!$B$11,Projects!$B$7*INDEX(Curves!$B$3:$AO$3,1,51-Projects!$C$7+1)*Assumptions!$B$11*0.95),0)+IF(AND(Projects!$G$8="Yes",51&gt;=Projects!$C$8,51&lt;Projects!$C$8+Projects!$D$8),IF(51=Projects!$C$8+Projects!$D$8-1,Projects!$B$8*INDEX(Curves!$B$4:$AO$4,1,51-Projects!$C$8+1)*Assumptions!$B$11*0.95+0.05*Projects!$B$8*Assumptions!$B$11,Projects!$B$8*INDEX(Curves!$B$4:$AO$4,1,51-Projects!$C$8+1)*Assumptions!$B$11*0.95),0)+IF(AND(Projects!$G$9="Yes",51&gt;=Projects!$C$9,51&lt;Projects!$C$9+Projects!$D$9),IF(51=Projects!$C$9+Projects!$D$9-1,Projects!$B$9*INDEX(Curves!$B$2:$AO$2,1,51-Projects!$C$9+1)*Assumptions!$B$11*0.95+0.05*Projects!$B$9*Assumptions!$B$11,Projects!$B$9*INDEX(Curves!$B$2:$AO$2,1,51-Projects!$C$9+1)*Assumptions!$B$11*0.95),0)+IF(AND(Projects!$G$10="Yes",51&gt;=Projects!$C$10,51&lt;Projects!$C$10+Projects!$D$10),IF(51=Projects!$C$10+Projects!$D$10-1,Projects!$B$10*INDEX(Curves!$B$4:$AO$4,1,51-Projects!$C$10+1)*Assumptions!$B$11*0.95+0.05*Projects!$B$10*Assumptions!$B$11,Projects!$B$10*INDEX(Curves!$B$4:$AO$4,1,51-Projects!$C$10+1)*Assumptions!$B$11*0.95),0)+IF(AND(Projects!$G$11="Yes",51&gt;=Projects!$C$11,51&lt;Projects!$C$11+Projects!$D$11),IF(51=Projects!$C$11+Projects!$D$11-1,Projects!$B$11*INDEX(Curves!$B$4:$AO$4,1,51-Projects!$C$11+1)*Assumptions!$B$11*0.95+0.05*Projects!$B$11*Assumptions!$B$11,Projects!$B$11*INDEX(Curves!$B$4:$AO$4,1,51-Projects!$C$11+1)*Assumptions!$B$11*0.95),0)+IF(AND(Projects!$G$12="Yes",51&gt;=Projects!$C$12,51&lt;Projects!$C$12+Projects!$D$12),IF(51=Projects!$C$12+Projects!$D$12-1,Projects!$B$12*INDEX(Curves!$B$4:$AO$4,1,51-Projects!$C$12+1)*Assumptions!$B$11*0.95+0.05*Projects!$B$12*Assumptions!$B$11,Projects!$B$12*INDEX(Curves!$B$4:$AO$4,1,51-Projects!$C$12+1)*Assumptions!$B$11*0.95),0)+IF(AND(Projects!$G$13="Yes",51&gt;=Projects!$C$13,51&lt;Projects!$C$13+Projects!$D$13),IF(51=Projects!$C$13+Projects!$D$13-1,Projects!$B$13*INDEX(Curves!$B$2:$AO$2,1,51-Projects!$C$13+1)*Assumptions!$B$11*0.95+0.05*Projects!$B$13*Assumptions!$B$11,Projects!$B$13*INDEX(Curves!$B$2:$AO$2,1,51-Projects!$C$13+1)*Assumptions!$B$11*0.95),0)+IF(AND(Projects!$G$14="Yes",51&gt;=Projects!$C$14,51&lt;Projects!$C$14+Projects!$D$14),IF(51=Projects!$C$14+Projects!$D$14-1,Projects!$B$14*INDEX(Curves!$B$2:$AO$2,1,51-Projects!$C$14+1)*Assumptions!$B$11*0.95+0.05*Projects!$B$14*Assumptions!$B$11,Projects!$B$14*INDEX(Curves!$B$2:$AO$2,1,51-Projects!$C$14+1)*Assumptions!$B$11*0.95),0)+IF(AND(Projects!$G$15="Yes",51&gt;=Projects!$C$15,51&lt;Projects!$C$15+Projects!$D$15),IF(51=Projects!$C$15+Projects!$D$15-1,Projects!$B$15*INDEX(Curves!$B$4:$AO$4,1,51-Projects!$C$15+1)*Assumptions!$B$11*0.95+0.05*Projects!$B$15*Assumptions!$B$11,Projects!$B$15*INDEX(Curves!$B$4:$AO$4,1,51-Projects!$C$15+1)*Assumptions!$B$11*0.95),0)+IF(AND(Projects!$G$16="Yes",51&gt;=Projects!$C$16,51&lt;Projects!$C$16+Projects!$D$16),IF(51=Projects!$C$16+Projects!$D$16-1,Projects!$B$16*INDEX(Curves!$B$4:$AO$4,1,51-Projects!$C$16+1)*Assumptions!$B$11*0.95+0.05*Projects!$B$16*Assumptions!$B$11,Projects!$B$16*INDEX(Curves!$B$4:$AO$4,1,51-Projects!$C$16+1)*Assumptions!$B$11*0.95),0)</f>
        <v>56104.37242349999</v>
      </c>
      <c r="BB9" s="8">
        <f>IF(AND(Projects!$G$2="Yes",52&gt;=Projects!$C$2,52&lt;Projects!$C$2+Projects!$D$2),IF(52=Projects!$C$2+Projects!$D$2-1,Projects!$B$2*INDEX(Curves!$B$6:$AO$6,1,52-Projects!$C$2+1)*Assumptions!$B$11*0.95+0.05*Projects!$B$2*Assumptions!$B$11,Projects!$B$2*INDEX(Curves!$B$6:$AO$6,1,52-Projects!$C$2+1)*Assumptions!$B$11*0.95),0)+IF(AND(Projects!$G$3="Yes",52&gt;=Projects!$C$3,52&lt;Projects!$C$3+Projects!$D$3),IF(52=Projects!$C$3+Projects!$D$3-1,Projects!$B$3*INDEX(Curves!$B$7:$AO$7,1,52-Projects!$C$3+1)*Assumptions!$B$11*0.95+0.05*Projects!$B$3*Assumptions!$B$11,Projects!$B$3*INDEX(Curves!$B$7:$AO$7,1,52-Projects!$C$3+1)*Assumptions!$B$11*0.95),0)+IF(AND(Projects!$G$4="Yes",52&gt;=Projects!$C$4,52&lt;Projects!$C$4+Projects!$D$4),IF(52=Projects!$C$4+Projects!$D$4-1,Projects!$B$4*INDEX(Curves!$B$8:$AO$8,1,52-Projects!$C$4+1)*Assumptions!$B$11*0.95+0.05*Projects!$B$4*Assumptions!$B$11,Projects!$B$4*INDEX(Curves!$B$8:$AO$8,1,52-Projects!$C$4+1)*Assumptions!$B$11*0.95),0)+IF(AND(Projects!$G$5="Yes",52&gt;=Projects!$C$5,52&lt;Projects!$C$5+Projects!$D$5),IF(52=Projects!$C$5+Projects!$D$5-1,Projects!$B$5*INDEX(Curves!$B$9:$AO$9,1,52-Projects!$C$5+1)*Assumptions!$B$11*0.95+0.05*Projects!$B$5*Assumptions!$B$11,Projects!$B$5*INDEX(Curves!$B$9:$AO$9,1,52-Projects!$C$5+1)*Assumptions!$B$11*0.95),0)+IF(AND(Projects!$G$6="Yes",52&gt;=Projects!$C$6,52&lt;Projects!$C$6+Projects!$D$6),IF(52=Projects!$C$6+Projects!$D$6-1,Projects!$B$6*INDEX(Curves!$B$4:$AO$4,1,52-Projects!$C$6+1)*Assumptions!$B$11*0.95+0.05*Projects!$B$6*Assumptions!$B$11,Projects!$B$6*INDEX(Curves!$B$4:$AO$4,1,52-Projects!$C$6+1)*Assumptions!$B$11*0.95),0)+IF(AND(Projects!$G$7="Yes",52&gt;=Projects!$C$7,52&lt;Projects!$C$7+Projects!$D$7),IF(52=Projects!$C$7+Projects!$D$7-1,Projects!$B$7*INDEX(Curves!$B$3:$AO$3,1,52-Projects!$C$7+1)*Assumptions!$B$11*0.95+0.05*Projects!$B$7*Assumptions!$B$11,Projects!$B$7*INDEX(Curves!$B$3:$AO$3,1,52-Projects!$C$7+1)*Assumptions!$B$11*0.95),0)+IF(AND(Projects!$G$8="Yes",52&gt;=Projects!$C$8,52&lt;Projects!$C$8+Projects!$D$8),IF(52=Projects!$C$8+Projects!$D$8-1,Projects!$B$8*INDEX(Curves!$B$4:$AO$4,1,52-Projects!$C$8+1)*Assumptions!$B$11*0.95+0.05*Projects!$B$8*Assumptions!$B$11,Projects!$B$8*INDEX(Curves!$B$4:$AO$4,1,52-Projects!$C$8+1)*Assumptions!$B$11*0.95),0)+IF(AND(Projects!$G$9="Yes",52&gt;=Projects!$C$9,52&lt;Projects!$C$9+Projects!$D$9),IF(52=Projects!$C$9+Projects!$D$9-1,Projects!$B$9*INDEX(Curves!$B$2:$AO$2,1,52-Projects!$C$9+1)*Assumptions!$B$11*0.95+0.05*Projects!$B$9*Assumptions!$B$11,Projects!$B$9*INDEX(Curves!$B$2:$AO$2,1,52-Projects!$C$9+1)*Assumptions!$B$11*0.95),0)+IF(AND(Projects!$G$10="Yes",52&gt;=Projects!$C$10,52&lt;Projects!$C$10+Projects!$D$10),IF(52=Projects!$C$10+Projects!$D$10-1,Projects!$B$10*INDEX(Curves!$B$4:$AO$4,1,52-Projects!$C$10+1)*Assumptions!$B$11*0.95+0.05*Projects!$B$10*Assumptions!$B$11,Projects!$B$10*INDEX(Curves!$B$4:$AO$4,1,52-Projects!$C$10+1)*Assumptions!$B$11*0.95),0)+IF(AND(Projects!$G$11="Yes",52&gt;=Projects!$C$11,52&lt;Projects!$C$11+Projects!$D$11),IF(52=Projects!$C$11+Projects!$D$11-1,Projects!$B$11*INDEX(Curves!$B$4:$AO$4,1,52-Projects!$C$11+1)*Assumptions!$B$11*0.95+0.05*Projects!$B$11*Assumptions!$B$11,Projects!$B$11*INDEX(Curves!$B$4:$AO$4,1,52-Projects!$C$11+1)*Assumptions!$B$11*0.95),0)+IF(AND(Projects!$G$12="Yes",52&gt;=Projects!$C$12,52&lt;Projects!$C$12+Projects!$D$12),IF(52=Projects!$C$12+Projects!$D$12-1,Projects!$B$12*INDEX(Curves!$B$4:$AO$4,1,52-Projects!$C$12+1)*Assumptions!$B$11*0.95+0.05*Projects!$B$12*Assumptions!$B$11,Projects!$B$12*INDEX(Curves!$B$4:$AO$4,1,52-Projects!$C$12+1)*Assumptions!$B$11*0.95),0)+IF(AND(Projects!$G$13="Yes",52&gt;=Projects!$C$13,52&lt;Projects!$C$13+Projects!$D$13),IF(52=Projects!$C$13+Projects!$D$13-1,Projects!$B$13*INDEX(Curves!$B$2:$AO$2,1,52-Projects!$C$13+1)*Assumptions!$B$11*0.95+0.05*Projects!$B$13*Assumptions!$B$11,Projects!$B$13*INDEX(Curves!$B$2:$AO$2,1,52-Projects!$C$13+1)*Assumptions!$B$11*0.95),0)+IF(AND(Projects!$G$14="Yes",52&gt;=Projects!$C$14,52&lt;Projects!$C$14+Projects!$D$14),IF(52=Projects!$C$14+Projects!$D$14-1,Projects!$B$14*INDEX(Curves!$B$2:$AO$2,1,52-Projects!$C$14+1)*Assumptions!$B$11*0.95+0.05*Projects!$B$14*Assumptions!$B$11,Projects!$B$14*INDEX(Curves!$B$2:$AO$2,1,52-Projects!$C$14+1)*Assumptions!$B$11*0.95),0)+IF(AND(Projects!$G$15="Yes",52&gt;=Projects!$C$15,52&lt;Projects!$C$15+Projects!$D$15),IF(52=Projects!$C$15+Projects!$D$15-1,Projects!$B$15*INDEX(Curves!$B$4:$AO$4,1,52-Projects!$C$15+1)*Assumptions!$B$11*0.95+0.05*Projects!$B$15*Assumptions!$B$11,Projects!$B$15*INDEX(Curves!$B$4:$AO$4,1,52-Projects!$C$15+1)*Assumptions!$B$11*0.95),0)+IF(AND(Projects!$G$16="Yes",52&gt;=Projects!$C$16,52&lt;Projects!$C$16+Projects!$D$16),IF(52=Projects!$C$16+Projects!$D$16-1,Projects!$B$16*INDEX(Curves!$B$4:$AO$4,1,52-Projects!$C$16+1)*Assumptions!$B$11*0.95+0.05*Projects!$B$16*Assumptions!$B$11,Projects!$B$16*INDEX(Curves!$B$4:$AO$4,1,52-Projects!$C$16+1)*Assumptions!$B$11*0.95),0)</f>
        <v>50770.027700357132</v>
      </c>
      <c r="BC9" s="8">
        <f>IF(AND(Projects!$G$2="Yes",53&gt;=Projects!$C$2,53&lt;Projects!$C$2+Projects!$D$2),IF(53=Projects!$C$2+Projects!$D$2-1,Projects!$B$2*INDEX(Curves!$B$6:$AO$6,1,53-Projects!$C$2+1)*Assumptions!$B$11*0.95+0.05*Projects!$B$2*Assumptions!$B$11,Projects!$B$2*INDEX(Curves!$B$6:$AO$6,1,53-Projects!$C$2+1)*Assumptions!$B$11*0.95),0)+IF(AND(Projects!$G$3="Yes",53&gt;=Projects!$C$3,53&lt;Projects!$C$3+Projects!$D$3),IF(53=Projects!$C$3+Projects!$D$3-1,Projects!$B$3*INDEX(Curves!$B$7:$AO$7,1,53-Projects!$C$3+1)*Assumptions!$B$11*0.95+0.05*Projects!$B$3*Assumptions!$B$11,Projects!$B$3*INDEX(Curves!$B$7:$AO$7,1,53-Projects!$C$3+1)*Assumptions!$B$11*0.95),0)+IF(AND(Projects!$G$4="Yes",53&gt;=Projects!$C$4,53&lt;Projects!$C$4+Projects!$D$4),IF(53=Projects!$C$4+Projects!$D$4-1,Projects!$B$4*INDEX(Curves!$B$8:$AO$8,1,53-Projects!$C$4+1)*Assumptions!$B$11*0.95+0.05*Projects!$B$4*Assumptions!$B$11,Projects!$B$4*INDEX(Curves!$B$8:$AO$8,1,53-Projects!$C$4+1)*Assumptions!$B$11*0.95),0)+IF(AND(Projects!$G$5="Yes",53&gt;=Projects!$C$5,53&lt;Projects!$C$5+Projects!$D$5),IF(53=Projects!$C$5+Projects!$D$5-1,Projects!$B$5*INDEX(Curves!$B$9:$AO$9,1,53-Projects!$C$5+1)*Assumptions!$B$11*0.95+0.05*Projects!$B$5*Assumptions!$B$11,Projects!$B$5*INDEX(Curves!$B$9:$AO$9,1,53-Projects!$C$5+1)*Assumptions!$B$11*0.95),0)+IF(AND(Projects!$G$6="Yes",53&gt;=Projects!$C$6,53&lt;Projects!$C$6+Projects!$D$6),IF(53=Projects!$C$6+Projects!$D$6-1,Projects!$B$6*INDEX(Curves!$B$4:$AO$4,1,53-Projects!$C$6+1)*Assumptions!$B$11*0.95+0.05*Projects!$B$6*Assumptions!$B$11,Projects!$B$6*INDEX(Curves!$B$4:$AO$4,1,53-Projects!$C$6+1)*Assumptions!$B$11*0.95),0)+IF(AND(Projects!$G$7="Yes",53&gt;=Projects!$C$7,53&lt;Projects!$C$7+Projects!$D$7),IF(53=Projects!$C$7+Projects!$D$7-1,Projects!$B$7*INDEX(Curves!$B$3:$AO$3,1,53-Projects!$C$7+1)*Assumptions!$B$11*0.95+0.05*Projects!$B$7*Assumptions!$B$11,Projects!$B$7*INDEX(Curves!$B$3:$AO$3,1,53-Projects!$C$7+1)*Assumptions!$B$11*0.95),0)+IF(AND(Projects!$G$8="Yes",53&gt;=Projects!$C$8,53&lt;Projects!$C$8+Projects!$D$8),IF(53=Projects!$C$8+Projects!$D$8-1,Projects!$B$8*INDEX(Curves!$B$4:$AO$4,1,53-Projects!$C$8+1)*Assumptions!$B$11*0.95+0.05*Projects!$B$8*Assumptions!$B$11,Projects!$B$8*INDEX(Curves!$B$4:$AO$4,1,53-Projects!$C$8+1)*Assumptions!$B$11*0.95),0)+IF(AND(Projects!$G$9="Yes",53&gt;=Projects!$C$9,53&lt;Projects!$C$9+Projects!$D$9),IF(53=Projects!$C$9+Projects!$D$9-1,Projects!$B$9*INDEX(Curves!$B$2:$AO$2,1,53-Projects!$C$9+1)*Assumptions!$B$11*0.95+0.05*Projects!$B$9*Assumptions!$B$11,Projects!$B$9*INDEX(Curves!$B$2:$AO$2,1,53-Projects!$C$9+1)*Assumptions!$B$11*0.95),0)+IF(AND(Projects!$G$10="Yes",53&gt;=Projects!$C$10,53&lt;Projects!$C$10+Projects!$D$10),IF(53=Projects!$C$10+Projects!$D$10-1,Projects!$B$10*INDEX(Curves!$B$4:$AO$4,1,53-Projects!$C$10+1)*Assumptions!$B$11*0.95+0.05*Projects!$B$10*Assumptions!$B$11,Projects!$B$10*INDEX(Curves!$B$4:$AO$4,1,53-Projects!$C$10+1)*Assumptions!$B$11*0.95),0)+IF(AND(Projects!$G$11="Yes",53&gt;=Projects!$C$11,53&lt;Projects!$C$11+Projects!$D$11),IF(53=Projects!$C$11+Projects!$D$11-1,Projects!$B$11*INDEX(Curves!$B$4:$AO$4,1,53-Projects!$C$11+1)*Assumptions!$B$11*0.95+0.05*Projects!$B$11*Assumptions!$B$11,Projects!$B$11*INDEX(Curves!$B$4:$AO$4,1,53-Projects!$C$11+1)*Assumptions!$B$11*0.95),0)+IF(AND(Projects!$G$12="Yes",53&gt;=Projects!$C$12,53&lt;Projects!$C$12+Projects!$D$12),IF(53=Projects!$C$12+Projects!$D$12-1,Projects!$B$12*INDEX(Curves!$B$4:$AO$4,1,53-Projects!$C$12+1)*Assumptions!$B$11*0.95+0.05*Projects!$B$12*Assumptions!$B$11,Projects!$B$12*INDEX(Curves!$B$4:$AO$4,1,53-Projects!$C$12+1)*Assumptions!$B$11*0.95),0)+IF(AND(Projects!$G$13="Yes",53&gt;=Projects!$C$13,53&lt;Projects!$C$13+Projects!$D$13),IF(53=Projects!$C$13+Projects!$D$13-1,Projects!$B$13*INDEX(Curves!$B$2:$AO$2,1,53-Projects!$C$13+1)*Assumptions!$B$11*0.95+0.05*Projects!$B$13*Assumptions!$B$11,Projects!$B$13*INDEX(Curves!$B$2:$AO$2,1,53-Projects!$C$13+1)*Assumptions!$B$11*0.95),0)+IF(AND(Projects!$G$14="Yes",53&gt;=Projects!$C$14,53&lt;Projects!$C$14+Projects!$D$14),IF(53=Projects!$C$14+Projects!$D$14-1,Projects!$B$14*INDEX(Curves!$B$2:$AO$2,1,53-Projects!$C$14+1)*Assumptions!$B$11*0.95+0.05*Projects!$B$14*Assumptions!$B$11,Projects!$B$14*INDEX(Curves!$B$2:$AO$2,1,53-Projects!$C$14+1)*Assumptions!$B$11*0.95),0)+IF(AND(Projects!$G$15="Yes",53&gt;=Projects!$C$15,53&lt;Projects!$C$15+Projects!$D$15),IF(53=Projects!$C$15+Projects!$D$15-1,Projects!$B$15*INDEX(Curves!$B$4:$AO$4,1,53-Projects!$C$15+1)*Assumptions!$B$11*0.95+0.05*Projects!$B$15*Assumptions!$B$11,Projects!$B$15*INDEX(Curves!$B$4:$AO$4,1,53-Projects!$C$15+1)*Assumptions!$B$11*0.95),0)+IF(AND(Projects!$G$16="Yes",53&gt;=Projects!$C$16,53&lt;Projects!$C$16+Projects!$D$16),IF(53=Projects!$C$16+Projects!$D$16-1,Projects!$B$16*INDEX(Curves!$B$4:$AO$4,1,53-Projects!$C$16+1)*Assumptions!$B$11*0.95+0.05*Projects!$B$16*Assumptions!$B$11,Projects!$B$16*INDEX(Curves!$B$4:$AO$4,1,53-Projects!$C$16+1)*Assumptions!$B$11*0.95),0)</f>
        <v>45485.429377071421</v>
      </c>
      <c r="BD9" s="8">
        <f>IF(AND(Projects!$G$2="Yes",54&gt;=Projects!$C$2,54&lt;Projects!$C$2+Projects!$D$2),IF(54=Projects!$C$2+Projects!$D$2-1,Projects!$B$2*INDEX(Curves!$B$6:$AO$6,1,54-Projects!$C$2+1)*Assumptions!$B$11*0.95+0.05*Projects!$B$2*Assumptions!$B$11,Projects!$B$2*INDEX(Curves!$B$6:$AO$6,1,54-Projects!$C$2+1)*Assumptions!$B$11*0.95),0)+IF(AND(Projects!$G$3="Yes",54&gt;=Projects!$C$3,54&lt;Projects!$C$3+Projects!$D$3),IF(54=Projects!$C$3+Projects!$D$3-1,Projects!$B$3*INDEX(Curves!$B$7:$AO$7,1,54-Projects!$C$3+1)*Assumptions!$B$11*0.95+0.05*Projects!$B$3*Assumptions!$B$11,Projects!$B$3*INDEX(Curves!$B$7:$AO$7,1,54-Projects!$C$3+1)*Assumptions!$B$11*0.95),0)+IF(AND(Projects!$G$4="Yes",54&gt;=Projects!$C$4,54&lt;Projects!$C$4+Projects!$D$4),IF(54=Projects!$C$4+Projects!$D$4-1,Projects!$B$4*INDEX(Curves!$B$8:$AO$8,1,54-Projects!$C$4+1)*Assumptions!$B$11*0.95+0.05*Projects!$B$4*Assumptions!$B$11,Projects!$B$4*INDEX(Curves!$B$8:$AO$8,1,54-Projects!$C$4+1)*Assumptions!$B$11*0.95),0)+IF(AND(Projects!$G$5="Yes",54&gt;=Projects!$C$5,54&lt;Projects!$C$5+Projects!$D$5),IF(54=Projects!$C$5+Projects!$D$5-1,Projects!$B$5*INDEX(Curves!$B$9:$AO$9,1,54-Projects!$C$5+1)*Assumptions!$B$11*0.95+0.05*Projects!$B$5*Assumptions!$B$11,Projects!$B$5*INDEX(Curves!$B$9:$AO$9,1,54-Projects!$C$5+1)*Assumptions!$B$11*0.95),0)+IF(AND(Projects!$G$6="Yes",54&gt;=Projects!$C$6,54&lt;Projects!$C$6+Projects!$D$6),IF(54=Projects!$C$6+Projects!$D$6-1,Projects!$B$6*INDEX(Curves!$B$4:$AO$4,1,54-Projects!$C$6+1)*Assumptions!$B$11*0.95+0.05*Projects!$B$6*Assumptions!$B$11,Projects!$B$6*INDEX(Curves!$B$4:$AO$4,1,54-Projects!$C$6+1)*Assumptions!$B$11*0.95),0)+IF(AND(Projects!$G$7="Yes",54&gt;=Projects!$C$7,54&lt;Projects!$C$7+Projects!$D$7),IF(54=Projects!$C$7+Projects!$D$7-1,Projects!$B$7*INDEX(Curves!$B$3:$AO$3,1,54-Projects!$C$7+1)*Assumptions!$B$11*0.95+0.05*Projects!$B$7*Assumptions!$B$11,Projects!$B$7*INDEX(Curves!$B$3:$AO$3,1,54-Projects!$C$7+1)*Assumptions!$B$11*0.95),0)+IF(AND(Projects!$G$8="Yes",54&gt;=Projects!$C$8,54&lt;Projects!$C$8+Projects!$D$8),IF(54=Projects!$C$8+Projects!$D$8-1,Projects!$B$8*INDEX(Curves!$B$4:$AO$4,1,54-Projects!$C$8+1)*Assumptions!$B$11*0.95+0.05*Projects!$B$8*Assumptions!$B$11,Projects!$B$8*INDEX(Curves!$B$4:$AO$4,1,54-Projects!$C$8+1)*Assumptions!$B$11*0.95),0)+IF(AND(Projects!$G$9="Yes",54&gt;=Projects!$C$9,54&lt;Projects!$C$9+Projects!$D$9),IF(54=Projects!$C$9+Projects!$D$9-1,Projects!$B$9*INDEX(Curves!$B$2:$AO$2,1,54-Projects!$C$9+1)*Assumptions!$B$11*0.95+0.05*Projects!$B$9*Assumptions!$B$11,Projects!$B$9*INDEX(Curves!$B$2:$AO$2,1,54-Projects!$C$9+1)*Assumptions!$B$11*0.95),0)+IF(AND(Projects!$G$10="Yes",54&gt;=Projects!$C$10,54&lt;Projects!$C$10+Projects!$D$10),IF(54=Projects!$C$10+Projects!$D$10-1,Projects!$B$10*INDEX(Curves!$B$4:$AO$4,1,54-Projects!$C$10+1)*Assumptions!$B$11*0.95+0.05*Projects!$B$10*Assumptions!$B$11,Projects!$B$10*INDEX(Curves!$B$4:$AO$4,1,54-Projects!$C$10+1)*Assumptions!$B$11*0.95),0)+IF(AND(Projects!$G$11="Yes",54&gt;=Projects!$C$11,54&lt;Projects!$C$11+Projects!$D$11),IF(54=Projects!$C$11+Projects!$D$11-1,Projects!$B$11*INDEX(Curves!$B$4:$AO$4,1,54-Projects!$C$11+1)*Assumptions!$B$11*0.95+0.05*Projects!$B$11*Assumptions!$B$11,Projects!$B$11*INDEX(Curves!$B$4:$AO$4,1,54-Projects!$C$11+1)*Assumptions!$B$11*0.95),0)+IF(AND(Projects!$G$12="Yes",54&gt;=Projects!$C$12,54&lt;Projects!$C$12+Projects!$D$12),IF(54=Projects!$C$12+Projects!$D$12-1,Projects!$B$12*INDEX(Curves!$B$4:$AO$4,1,54-Projects!$C$12+1)*Assumptions!$B$11*0.95+0.05*Projects!$B$12*Assumptions!$B$11,Projects!$B$12*INDEX(Curves!$B$4:$AO$4,1,54-Projects!$C$12+1)*Assumptions!$B$11*0.95),0)+IF(AND(Projects!$G$13="Yes",54&gt;=Projects!$C$13,54&lt;Projects!$C$13+Projects!$D$13),IF(54=Projects!$C$13+Projects!$D$13-1,Projects!$B$13*INDEX(Curves!$B$2:$AO$2,1,54-Projects!$C$13+1)*Assumptions!$B$11*0.95+0.05*Projects!$B$13*Assumptions!$B$11,Projects!$B$13*INDEX(Curves!$B$2:$AO$2,1,54-Projects!$C$13+1)*Assumptions!$B$11*0.95),0)+IF(AND(Projects!$G$14="Yes",54&gt;=Projects!$C$14,54&lt;Projects!$C$14+Projects!$D$14),IF(54=Projects!$C$14+Projects!$D$14-1,Projects!$B$14*INDEX(Curves!$B$2:$AO$2,1,54-Projects!$C$14+1)*Assumptions!$B$11*0.95+0.05*Projects!$B$14*Assumptions!$B$11,Projects!$B$14*INDEX(Curves!$B$2:$AO$2,1,54-Projects!$C$14+1)*Assumptions!$B$11*0.95),0)+IF(AND(Projects!$G$15="Yes",54&gt;=Projects!$C$15,54&lt;Projects!$C$15+Projects!$D$15),IF(54=Projects!$C$15+Projects!$D$15-1,Projects!$B$15*INDEX(Curves!$B$4:$AO$4,1,54-Projects!$C$15+1)*Assumptions!$B$11*0.95+0.05*Projects!$B$15*Assumptions!$B$11,Projects!$B$15*INDEX(Curves!$B$4:$AO$4,1,54-Projects!$C$15+1)*Assumptions!$B$11*0.95),0)+IF(AND(Projects!$G$16="Yes",54&gt;=Projects!$C$16,54&lt;Projects!$C$16+Projects!$D$16),IF(54=Projects!$C$16+Projects!$D$16-1,Projects!$B$16*INDEX(Curves!$B$4:$AO$4,1,54-Projects!$C$16+1)*Assumptions!$B$11*0.95+0.05*Projects!$B$16*Assumptions!$B$11,Projects!$B$16*INDEX(Curves!$B$4:$AO$4,1,54-Projects!$C$16+1)*Assumptions!$B$11*0.95),0)</f>
        <v>40346.243607214281</v>
      </c>
      <c r="BE9" s="8">
        <f>IF(AND(Projects!$G$2="Yes",55&gt;=Projects!$C$2,55&lt;Projects!$C$2+Projects!$D$2),IF(55=Projects!$C$2+Projects!$D$2-1,Projects!$B$2*INDEX(Curves!$B$6:$AO$6,1,55-Projects!$C$2+1)*Assumptions!$B$11*0.95+0.05*Projects!$B$2*Assumptions!$B$11,Projects!$B$2*INDEX(Curves!$B$6:$AO$6,1,55-Projects!$C$2+1)*Assumptions!$B$11*0.95),0)+IF(AND(Projects!$G$3="Yes",55&gt;=Projects!$C$3,55&lt;Projects!$C$3+Projects!$D$3),IF(55=Projects!$C$3+Projects!$D$3-1,Projects!$B$3*INDEX(Curves!$B$7:$AO$7,1,55-Projects!$C$3+1)*Assumptions!$B$11*0.95+0.05*Projects!$B$3*Assumptions!$B$11,Projects!$B$3*INDEX(Curves!$B$7:$AO$7,1,55-Projects!$C$3+1)*Assumptions!$B$11*0.95),0)+IF(AND(Projects!$G$4="Yes",55&gt;=Projects!$C$4,55&lt;Projects!$C$4+Projects!$D$4),IF(55=Projects!$C$4+Projects!$D$4-1,Projects!$B$4*INDEX(Curves!$B$8:$AO$8,1,55-Projects!$C$4+1)*Assumptions!$B$11*0.95+0.05*Projects!$B$4*Assumptions!$B$11,Projects!$B$4*INDEX(Curves!$B$8:$AO$8,1,55-Projects!$C$4+1)*Assumptions!$B$11*0.95),0)+IF(AND(Projects!$G$5="Yes",55&gt;=Projects!$C$5,55&lt;Projects!$C$5+Projects!$D$5),IF(55=Projects!$C$5+Projects!$D$5-1,Projects!$B$5*INDEX(Curves!$B$9:$AO$9,1,55-Projects!$C$5+1)*Assumptions!$B$11*0.95+0.05*Projects!$B$5*Assumptions!$B$11,Projects!$B$5*INDEX(Curves!$B$9:$AO$9,1,55-Projects!$C$5+1)*Assumptions!$B$11*0.95),0)+IF(AND(Projects!$G$6="Yes",55&gt;=Projects!$C$6,55&lt;Projects!$C$6+Projects!$D$6),IF(55=Projects!$C$6+Projects!$D$6-1,Projects!$B$6*INDEX(Curves!$B$4:$AO$4,1,55-Projects!$C$6+1)*Assumptions!$B$11*0.95+0.05*Projects!$B$6*Assumptions!$B$11,Projects!$B$6*INDEX(Curves!$B$4:$AO$4,1,55-Projects!$C$6+1)*Assumptions!$B$11*0.95),0)+IF(AND(Projects!$G$7="Yes",55&gt;=Projects!$C$7,55&lt;Projects!$C$7+Projects!$D$7),IF(55=Projects!$C$7+Projects!$D$7-1,Projects!$B$7*INDEX(Curves!$B$3:$AO$3,1,55-Projects!$C$7+1)*Assumptions!$B$11*0.95+0.05*Projects!$B$7*Assumptions!$B$11,Projects!$B$7*INDEX(Curves!$B$3:$AO$3,1,55-Projects!$C$7+1)*Assumptions!$B$11*0.95),0)+IF(AND(Projects!$G$8="Yes",55&gt;=Projects!$C$8,55&lt;Projects!$C$8+Projects!$D$8),IF(55=Projects!$C$8+Projects!$D$8-1,Projects!$B$8*INDEX(Curves!$B$4:$AO$4,1,55-Projects!$C$8+1)*Assumptions!$B$11*0.95+0.05*Projects!$B$8*Assumptions!$B$11,Projects!$B$8*INDEX(Curves!$B$4:$AO$4,1,55-Projects!$C$8+1)*Assumptions!$B$11*0.95),0)+IF(AND(Projects!$G$9="Yes",55&gt;=Projects!$C$9,55&lt;Projects!$C$9+Projects!$D$9),IF(55=Projects!$C$9+Projects!$D$9-1,Projects!$B$9*INDEX(Curves!$B$2:$AO$2,1,55-Projects!$C$9+1)*Assumptions!$B$11*0.95+0.05*Projects!$B$9*Assumptions!$B$11,Projects!$B$9*INDEX(Curves!$B$2:$AO$2,1,55-Projects!$C$9+1)*Assumptions!$B$11*0.95),0)+IF(AND(Projects!$G$10="Yes",55&gt;=Projects!$C$10,55&lt;Projects!$C$10+Projects!$D$10),IF(55=Projects!$C$10+Projects!$D$10-1,Projects!$B$10*INDEX(Curves!$B$4:$AO$4,1,55-Projects!$C$10+1)*Assumptions!$B$11*0.95+0.05*Projects!$B$10*Assumptions!$B$11,Projects!$B$10*INDEX(Curves!$B$4:$AO$4,1,55-Projects!$C$10+1)*Assumptions!$B$11*0.95),0)+IF(AND(Projects!$G$11="Yes",55&gt;=Projects!$C$11,55&lt;Projects!$C$11+Projects!$D$11),IF(55=Projects!$C$11+Projects!$D$11-1,Projects!$B$11*INDEX(Curves!$B$4:$AO$4,1,55-Projects!$C$11+1)*Assumptions!$B$11*0.95+0.05*Projects!$B$11*Assumptions!$B$11,Projects!$B$11*INDEX(Curves!$B$4:$AO$4,1,55-Projects!$C$11+1)*Assumptions!$B$11*0.95),0)+IF(AND(Projects!$G$12="Yes",55&gt;=Projects!$C$12,55&lt;Projects!$C$12+Projects!$D$12),IF(55=Projects!$C$12+Projects!$D$12-1,Projects!$B$12*INDEX(Curves!$B$4:$AO$4,1,55-Projects!$C$12+1)*Assumptions!$B$11*0.95+0.05*Projects!$B$12*Assumptions!$B$11,Projects!$B$12*INDEX(Curves!$B$4:$AO$4,1,55-Projects!$C$12+1)*Assumptions!$B$11*0.95),0)+IF(AND(Projects!$G$13="Yes",55&gt;=Projects!$C$13,55&lt;Projects!$C$13+Projects!$D$13),IF(55=Projects!$C$13+Projects!$D$13-1,Projects!$B$13*INDEX(Curves!$B$2:$AO$2,1,55-Projects!$C$13+1)*Assumptions!$B$11*0.95+0.05*Projects!$B$13*Assumptions!$B$11,Projects!$B$13*INDEX(Curves!$B$2:$AO$2,1,55-Projects!$C$13+1)*Assumptions!$B$11*0.95),0)+IF(AND(Projects!$G$14="Yes",55&gt;=Projects!$C$14,55&lt;Projects!$C$14+Projects!$D$14),IF(55=Projects!$C$14+Projects!$D$14-1,Projects!$B$14*INDEX(Curves!$B$2:$AO$2,1,55-Projects!$C$14+1)*Assumptions!$B$11*0.95+0.05*Projects!$B$14*Assumptions!$B$11,Projects!$B$14*INDEX(Curves!$B$2:$AO$2,1,55-Projects!$C$14+1)*Assumptions!$B$11*0.95),0)+IF(AND(Projects!$G$15="Yes",55&gt;=Projects!$C$15,55&lt;Projects!$C$15+Projects!$D$15),IF(55=Projects!$C$15+Projects!$D$15-1,Projects!$B$15*INDEX(Curves!$B$4:$AO$4,1,55-Projects!$C$15+1)*Assumptions!$B$11*0.95+0.05*Projects!$B$15*Assumptions!$B$11,Projects!$B$15*INDEX(Curves!$B$4:$AO$4,1,55-Projects!$C$15+1)*Assumptions!$B$11*0.95),0)+IF(AND(Projects!$G$16="Yes",55&gt;=Projects!$C$16,55&lt;Projects!$C$16+Projects!$D$16),IF(55=Projects!$C$16+Projects!$D$16-1,Projects!$B$16*INDEX(Curves!$B$4:$AO$4,1,55-Projects!$C$16+1)*Assumptions!$B$11*0.95+0.05*Projects!$B$16*Assumptions!$B$11,Projects!$B$16*INDEX(Curves!$B$4:$AO$4,1,55-Projects!$C$16+1)*Assumptions!$B$11*0.95),0)</f>
        <v>35430.916636714283</v>
      </c>
      <c r="BF9" s="8">
        <f>IF(AND(Projects!$G$2="Yes",56&gt;=Projects!$C$2,56&lt;Projects!$C$2+Projects!$D$2),IF(56=Projects!$C$2+Projects!$D$2-1,Projects!$B$2*INDEX(Curves!$B$6:$AO$6,1,56-Projects!$C$2+1)*Assumptions!$B$11*0.95+0.05*Projects!$B$2*Assumptions!$B$11,Projects!$B$2*INDEX(Curves!$B$6:$AO$6,1,56-Projects!$C$2+1)*Assumptions!$B$11*0.95),0)+IF(AND(Projects!$G$3="Yes",56&gt;=Projects!$C$3,56&lt;Projects!$C$3+Projects!$D$3),IF(56=Projects!$C$3+Projects!$D$3-1,Projects!$B$3*INDEX(Curves!$B$7:$AO$7,1,56-Projects!$C$3+1)*Assumptions!$B$11*0.95+0.05*Projects!$B$3*Assumptions!$B$11,Projects!$B$3*INDEX(Curves!$B$7:$AO$7,1,56-Projects!$C$3+1)*Assumptions!$B$11*0.95),0)+IF(AND(Projects!$G$4="Yes",56&gt;=Projects!$C$4,56&lt;Projects!$C$4+Projects!$D$4),IF(56=Projects!$C$4+Projects!$D$4-1,Projects!$B$4*INDEX(Curves!$B$8:$AO$8,1,56-Projects!$C$4+1)*Assumptions!$B$11*0.95+0.05*Projects!$B$4*Assumptions!$B$11,Projects!$B$4*INDEX(Curves!$B$8:$AO$8,1,56-Projects!$C$4+1)*Assumptions!$B$11*0.95),0)+IF(AND(Projects!$G$5="Yes",56&gt;=Projects!$C$5,56&lt;Projects!$C$5+Projects!$D$5),IF(56=Projects!$C$5+Projects!$D$5-1,Projects!$B$5*INDEX(Curves!$B$9:$AO$9,1,56-Projects!$C$5+1)*Assumptions!$B$11*0.95+0.05*Projects!$B$5*Assumptions!$B$11,Projects!$B$5*INDEX(Curves!$B$9:$AO$9,1,56-Projects!$C$5+1)*Assumptions!$B$11*0.95),0)+IF(AND(Projects!$G$6="Yes",56&gt;=Projects!$C$6,56&lt;Projects!$C$6+Projects!$D$6),IF(56=Projects!$C$6+Projects!$D$6-1,Projects!$B$6*INDEX(Curves!$B$4:$AO$4,1,56-Projects!$C$6+1)*Assumptions!$B$11*0.95+0.05*Projects!$B$6*Assumptions!$B$11,Projects!$B$6*INDEX(Curves!$B$4:$AO$4,1,56-Projects!$C$6+1)*Assumptions!$B$11*0.95),0)+IF(AND(Projects!$G$7="Yes",56&gt;=Projects!$C$7,56&lt;Projects!$C$7+Projects!$D$7),IF(56=Projects!$C$7+Projects!$D$7-1,Projects!$B$7*INDEX(Curves!$B$3:$AO$3,1,56-Projects!$C$7+1)*Assumptions!$B$11*0.95+0.05*Projects!$B$7*Assumptions!$B$11,Projects!$B$7*INDEX(Curves!$B$3:$AO$3,1,56-Projects!$C$7+1)*Assumptions!$B$11*0.95),0)+IF(AND(Projects!$G$8="Yes",56&gt;=Projects!$C$8,56&lt;Projects!$C$8+Projects!$D$8),IF(56=Projects!$C$8+Projects!$D$8-1,Projects!$B$8*INDEX(Curves!$B$4:$AO$4,1,56-Projects!$C$8+1)*Assumptions!$B$11*0.95+0.05*Projects!$B$8*Assumptions!$B$11,Projects!$B$8*INDEX(Curves!$B$4:$AO$4,1,56-Projects!$C$8+1)*Assumptions!$B$11*0.95),0)+IF(AND(Projects!$G$9="Yes",56&gt;=Projects!$C$9,56&lt;Projects!$C$9+Projects!$D$9),IF(56=Projects!$C$9+Projects!$D$9-1,Projects!$B$9*INDEX(Curves!$B$2:$AO$2,1,56-Projects!$C$9+1)*Assumptions!$B$11*0.95+0.05*Projects!$B$9*Assumptions!$B$11,Projects!$B$9*INDEX(Curves!$B$2:$AO$2,1,56-Projects!$C$9+1)*Assumptions!$B$11*0.95),0)+IF(AND(Projects!$G$10="Yes",56&gt;=Projects!$C$10,56&lt;Projects!$C$10+Projects!$D$10),IF(56=Projects!$C$10+Projects!$D$10-1,Projects!$B$10*INDEX(Curves!$B$4:$AO$4,1,56-Projects!$C$10+1)*Assumptions!$B$11*0.95+0.05*Projects!$B$10*Assumptions!$B$11,Projects!$B$10*INDEX(Curves!$B$4:$AO$4,1,56-Projects!$C$10+1)*Assumptions!$B$11*0.95),0)+IF(AND(Projects!$G$11="Yes",56&gt;=Projects!$C$11,56&lt;Projects!$C$11+Projects!$D$11),IF(56=Projects!$C$11+Projects!$D$11-1,Projects!$B$11*INDEX(Curves!$B$4:$AO$4,1,56-Projects!$C$11+1)*Assumptions!$B$11*0.95+0.05*Projects!$B$11*Assumptions!$B$11,Projects!$B$11*INDEX(Curves!$B$4:$AO$4,1,56-Projects!$C$11+1)*Assumptions!$B$11*0.95),0)+IF(AND(Projects!$G$12="Yes",56&gt;=Projects!$C$12,56&lt;Projects!$C$12+Projects!$D$12),IF(56=Projects!$C$12+Projects!$D$12-1,Projects!$B$12*INDEX(Curves!$B$4:$AO$4,1,56-Projects!$C$12+1)*Assumptions!$B$11*0.95+0.05*Projects!$B$12*Assumptions!$B$11,Projects!$B$12*INDEX(Curves!$B$4:$AO$4,1,56-Projects!$C$12+1)*Assumptions!$B$11*0.95),0)+IF(AND(Projects!$G$13="Yes",56&gt;=Projects!$C$13,56&lt;Projects!$C$13+Projects!$D$13),IF(56=Projects!$C$13+Projects!$D$13-1,Projects!$B$13*INDEX(Curves!$B$2:$AO$2,1,56-Projects!$C$13+1)*Assumptions!$B$11*0.95+0.05*Projects!$B$13*Assumptions!$B$11,Projects!$B$13*INDEX(Curves!$B$2:$AO$2,1,56-Projects!$C$13+1)*Assumptions!$B$11*0.95),0)+IF(AND(Projects!$G$14="Yes",56&gt;=Projects!$C$14,56&lt;Projects!$C$14+Projects!$D$14),IF(56=Projects!$C$14+Projects!$D$14-1,Projects!$B$14*INDEX(Curves!$B$2:$AO$2,1,56-Projects!$C$14+1)*Assumptions!$B$11*0.95+0.05*Projects!$B$14*Assumptions!$B$11,Projects!$B$14*INDEX(Curves!$B$2:$AO$2,1,56-Projects!$C$14+1)*Assumptions!$B$11*0.95),0)+IF(AND(Projects!$G$15="Yes",56&gt;=Projects!$C$15,56&lt;Projects!$C$15+Projects!$D$15),IF(56=Projects!$C$15+Projects!$D$15-1,Projects!$B$15*INDEX(Curves!$B$4:$AO$4,1,56-Projects!$C$15+1)*Assumptions!$B$11*0.95+0.05*Projects!$B$15*Assumptions!$B$11,Projects!$B$15*INDEX(Curves!$B$4:$AO$4,1,56-Projects!$C$15+1)*Assumptions!$B$11*0.95),0)+IF(AND(Projects!$G$16="Yes",56&gt;=Projects!$C$16,56&lt;Projects!$C$16+Projects!$D$16),IF(56=Projects!$C$16+Projects!$D$16-1,Projects!$B$16*INDEX(Curves!$B$4:$AO$4,1,56-Projects!$C$16+1)*Assumptions!$B$11*0.95+0.05*Projects!$B$16*Assumptions!$B$11,Projects!$B$16*INDEX(Curves!$B$4:$AO$4,1,56-Projects!$C$16+1)*Assumptions!$B$11*0.95),0)</f>
        <v>131507.62905878571</v>
      </c>
      <c r="BG9" s="8">
        <f>IF(AND(Projects!$G$2="Yes",57&gt;=Projects!$C$2,57&lt;Projects!$C$2+Projects!$D$2),IF(57=Projects!$C$2+Projects!$D$2-1,Projects!$B$2*INDEX(Curves!$B$6:$AO$6,1,57-Projects!$C$2+1)*Assumptions!$B$11*0.95+0.05*Projects!$B$2*Assumptions!$B$11,Projects!$B$2*INDEX(Curves!$B$6:$AO$6,1,57-Projects!$C$2+1)*Assumptions!$B$11*0.95),0)+IF(AND(Projects!$G$3="Yes",57&gt;=Projects!$C$3,57&lt;Projects!$C$3+Projects!$D$3),IF(57=Projects!$C$3+Projects!$D$3-1,Projects!$B$3*INDEX(Curves!$B$7:$AO$7,1,57-Projects!$C$3+1)*Assumptions!$B$11*0.95+0.05*Projects!$B$3*Assumptions!$B$11,Projects!$B$3*INDEX(Curves!$B$7:$AO$7,1,57-Projects!$C$3+1)*Assumptions!$B$11*0.95),0)+IF(AND(Projects!$G$4="Yes",57&gt;=Projects!$C$4,57&lt;Projects!$C$4+Projects!$D$4),IF(57=Projects!$C$4+Projects!$D$4-1,Projects!$B$4*INDEX(Curves!$B$8:$AO$8,1,57-Projects!$C$4+1)*Assumptions!$B$11*0.95+0.05*Projects!$B$4*Assumptions!$B$11,Projects!$B$4*INDEX(Curves!$B$8:$AO$8,1,57-Projects!$C$4+1)*Assumptions!$B$11*0.95),0)+IF(AND(Projects!$G$5="Yes",57&gt;=Projects!$C$5,57&lt;Projects!$C$5+Projects!$D$5),IF(57=Projects!$C$5+Projects!$D$5-1,Projects!$B$5*INDEX(Curves!$B$9:$AO$9,1,57-Projects!$C$5+1)*Assumptions!$B$11*0.95+0.05*Projects!$B$5*Assumptions!$B$11,Projects!$B$5*INDEX(Curves!$B$9:$AO$9,1,57-Projects!$C$5+1)*Assumptions!$B$11*0.95),0)+IF(AND(Projects!$G$6="Yes",57&gt;=Projects!$C$6,57&lt;Projects!$C$6+Projects!$D$6),IF(57=Projects!$C$6+Projects!$D$6-1,Projects!$B$6*INDEX(Curves!$B$4:$AO$4,1,57-Projects!$C$6+1)*Assumptions!$B$11*0.95+0.05*Projects!$B$6*Assumptions!$B$11,Projects!$B$6*INDEX(Curves!$B$4:$AO$4,1,57-Projects!$C$6+1)*Assumptions!$B$11*0.95),0)+IF(AND(Projects!$G$7="Yes",57&gt;=Projects!$C$7,57&lt;Projects!$C$7+Projects!$D$7),IF(57=Projects!$C$7+Projects!$D$7-1,Projects!$B$7*INDEX(Curves!$B$3:$AO$3,1,57-Projects!$C$7+1)*Assumptions!$B$11*0.95+0.05*Projects!$B$7*Assumptions!$B$11,Projects!$B$7*INDEX(Curves!$B$3:$AO$3,1,57-Projects!$C$7+1)*Assumptions!$B$11*0.95),0)+IF(AND(Projects!$G$8="Yes",57&gt;=Projects!$C$8,57&lt;Projects!$C$8+Projects!$D$8),IF(57=Projects!$C$8+Projects!$D$8-1,Projects!$B$8*INDEX(Curves!$B$4:$AO$4,1,57-Projects!$C$8+1)*Assumptions!$B$11*0.95+0.05*Projects!$B$8*Assumptions!$B$11,Projects!$B$8*INDEX(Curves!$B$4:$AO$4,1,57-Projects!$C$8+1)*Assumptions!$B$11*0.95),0)+IF(AND(Projects!$G$9="Yes",57&gt;=Projects!$C$9,57&lt;Projects!$C$9+Projects!$D$9),IF(57=Projects!$C$9+Projects!$D$9-1,Projects!$B$9*INDEX(Curves!$B$2:$AO$2,1,57-Projects!$C$9+1)*Assumptions!$B$11*0.95+0.05*Projects!$B$9*Assumptions!$B$11,Projects!$B$9*INDEX(Curves!$B$2:$AO$2,1,57-Projects!$C$9+1)*Assumptions!$B$11*0.95),0)+IF(AND(Projects!$G$10="Yes",57&gt;=Projects!$C$10,57&lt;Projects!$C$10+Projects!$D$10),IF(57=Projects!$C$10+Projects!$D$10-1,Projects!$B$10*INDEX(Curves!$B$4:$AO$4,1,57-Projects!$C$10+1)*Assumptions!$B$11*0.95+0.05*Projects!$B$10*Assumptions!$B$11,Projects!$B$10*INDEX(Curves!$B$4:$AO$4,1,57-Projects!$C$10+1)*Assumptions!$B$11*0.95),0)+IF(AND(Projects!$G$11="Yes",57&gt;=Projects!$C$11,57&lt;Projects!$C$11+Projects!$D$11),IF(57=Projects!$C$11+Projects!$D$11-1,Projects!$B$11*INDEX(Curves!$B$4:$AO$4,1,57-Projects!$C$11+1)*Assumptions!$B$11*0.95+0.05*Projects!$B$11*Assumptions!$B$11,Projects!$B$11*INDEX(Curves!$B$4:$AO$4,1,57-Projects!$C$11+1)*Assumptions!$B$11*0.95),0)+IF(AND(Projects!$G$12="Yes",57&gt;=Projects!$C$12,57&lt;Projects!$C$12+Projects!$D$12),IF(57=Projects!$C$12+Projects!$D$12-1,Projects!$B$12*INDEX(Curves!$B$4:$AO$4,1,57-Projects!$C$12+1)*Assumptions!$B$11*0.95+0.05*Projects!$B$12*Assumptions!$B$11,Projects!$B$12*INDEX(Curves!$B$4:$AO$4,1,57-Projects!$C$12+1)*Assumptions!$B$11*0.95),0)+IF(AND(Projects!$G$13="Yes",57&gt;=Projects!$C$13,57&lt;Projects!$C$13+Projects!$D$13),IF(57=Projects!$C$13+Projects!$D$13-1,Projects!$B$13*INDEX(Curves!$B$2:$AO$2,1,57-Projects!$C$13+1)*Assumptions!$B$11*0.95+0.05*Projects!$B$13*Assumptions!$B$11,Projects!$B$13*INDEX(Curves!$B$2:$AO$2,1,57-Projects!$C$13+1)*Assumptions!$B$11*0.95),0)+IF(AND(Projects!$G$14="Yes",57&gt;=Projects!$C$14,57&lt;Projects!$C$14+Projects!$D$14),IF(57=Projects!$C$14+Projects!$D$14-1,Projects!$B$14*INDEX(Curves!$B$2:$AO$2,1,57-Projects!$C$14+1)*Assumptions!$B$11*0.95+0.05*Projects!$B$14*Assumptions!$B$11,Projects!$B$14*INDEX(Curves!$B$2:$AO$2,1,57-Projects!$C$14+1)*Assumptions!$B$11*0.95),0)+IF(AND(Projects!$G$15="Yes",57&gt;=Projects!$C$15,57&lt;Projects!$C$15+Projects!$D$15),IF(57=Projects!$C$15+Projects!$D$15-1,Projects!$B$15*INDEX(Curves!$B$4:$AO$4,1,57-Projects!$C$15+1)*Assumptions!$B$11*0.95+0.05*Projects!$B$15*Assumptions!$B$11,Projects!$B$15*INDEX(Curves!$B$4:$AO$4,1,57-Projects!$C$15+1)*Assumptions!$B$11*0.95),0)+IF(AND(Projects!$G$16="Yes",57&gt;=Projects!$C$16,57&lt;Projects!$C$16+Projects!$D$16),IF(57=Projects!$C$16+Projects!$D$16-1,Projects!$B$16*INDEX(Curves!$B$4:$AO$4,1,57-Projects!$C$16+1)*Assumptions!$B$11*0.95+0.05*Projects!$B$16*Assumptions!$B$11,Projects!$B$16*INDEX(Curves!$B$4:$AO$4,1,57-Projects!$C$16+1)*Assumptions!$B$11*0.95),0)</f>
        <v>0</v>
      </c>
      <c r="BH9" s="8">
        <f>IF(AND(Projects!$G$2="Yes",58&gt;=Projects!$C$2,58&lt;Projects!$C$2+Projects!$D$2),IF(58=Projects!$C$2+Projects!$D$2-1,Projects!$B$2*INDEX(Curves!$B$6:$AO$6,1,58-Projects!$C$2+1)*Assumptions!$B$11*0.95+0.05*Projects!$B$2*Assumptions!$B$11,Projects!$B$2*INDEX(Curves!$B$6:$AO$6,1,58-Projects!$C$2+1)*Assumptions!$B$11*0.95),0)+IF(AND(Projects!$G$3="Yes",58&gt;=Projects!$C$3,58&lt;Projects!$C$3+Projects!$D$3),IF(58=Projects!$C$3+Projects!$D$3-1,Projects!$B$3*INDEX(Curves!$B$7:$AO$7,1,58-Projects!$C$3+1)*Assumptions!$B$11*0.95+0.05*Projects!$B$3*Assumptions!$B$11,Projects!$B$3*INDEX(Curves!$B$7:$AO$7,1,58-Projects!$C$3+1)*Assumptions!$B$11*0.95),0)+IF(AND(Projects!$G$4="Yes",58&gt;=Projects!$C$4,58&lt;Projects!$C$4+Projects!$D$4),IF(58=Projects!$C$4+Projects!$D$4-1,Projects!$B$4*INDEX(Curves!$B$8:$AO$8,1,58-Projects!$C$4+1)*Assumptions!$B$11*0.95+0.05*Projects!$B$4*Assumptions!$B$11,Projects!$B$4*INDEX(Curves!$B$8:$AO$8,1,58-Projects!$C$4+1)*Assumptions!$B$11*0.95),0)+IF(AND(Projects!$G$5="Yes",58&gt;=Projects!$C$5,58&lt;Projects!$C$5+Projects!$D$5),IF(58=Projects!$C$5+Projects!$D$5-1,Projects!$B$5*INDEX(Curves!$B$9:$AO$9,1,58-Projects!$C$5+1)*Assumptions!$B$11*0.95+0.05*Projects!$B$5*Assumptions!$B$11,Projects!$B$5*INDEX(Curves!$B$9:$AO$9,1,58-Projects!$C$5+1)*Assumptions!$B$11*0.95),0)+IF(AND(Projects!$G$6="Yes",58&gt;=Projects!$C$6,58&lt;Projects!$C$6+Projects!$D$6),IF(58=Projects!$C$6+Projects!$D$6-1,Projects!$B$6*INDEX(Curves!$B$4:$AO$4,1,58-Projects!$C$6+1)*Assumptions!$B$11*0.95+0.05*Projects!$B$6*Assumptions!$B$11,Projects!$B$6*INDEX(Curves!$B$4:$AO$4,1,58-Projects!$C$6+1)*Assumptions!$B$11*0.95),0)+IF(AND(Projects!$G$7="Yes",58&gt;=Projects!$C$7,58&lt;Projects!$C$7+Projects!$D$7),IF(58=Projects!$C$7+Projects!$D$7-1,Projects!$B$7*INDEX(Curves!$B$3:$AO$3,1,58-Projects!$C$7+1)*Assumptions!$B$11*0.95+0.05*Projects!$B$7*Assumptions!$B$11,Projects!$B$7*INDEX(Curves!$B$3:$AO$3,1,58-Projects!$C$7+1)*Assumptions!$B$11*0.95),0)+IF(AND(Projects!$G$8="Yes",58&gt;=Projects!$C$8,58&lt;Projects!$C$8+Projects!$D$8),IF(58=Projects!$C$8+Projects!$D$8-1,Projects!$B$8*INDEX(Curves!$B$4:$AO$4,1,58-Projects!$C$8+1)*Assumptions!$B$11*0.95+0.05*Projects!$B$8*Assumptions!$B$11,Projects!$B$8*INDEX(Curves!$B$4:$AO$4,1,58-Projects!$C$8+1)*Assumptions!$B$11*0.95),0)+IF(AND(Projects!$G$9="Yes",58&gt;=Projects!$C$9,58&lt;Projects!$C$9+Projects!$D$9),IF(58=Projects!$C$9+Projects!$D$9-1,Projects!$B$9*INDEX(Curves!$B$2:$AO$2,1,58-Projects!$C$9+1)*Assumptions!$B$11*0.95+0.05*Projects!$B$9*Assumptions!$B$11,Projects!$B$9*INDEX(Curves!$B$2:$AO$2,1,58-Projects!$C$9+1)*Assumptions!$B$11*0.95),0)+IF(AND(Projects!$G$10="Yes",58&gt;=Projects!$C$10,58&lt;Projects!$C$10+Projects!$D$10),IF(58=Projects!$C$10+Projects!$D$10-1,Projects!$B$10*INDEX(Curves!$B$4:$AO$4,1,58-Projects!$C$10+1)*Assumptions!$B$11*0.95+0.05*Projects!$B$10*Assumptions!$B$11,Projects!$B$10*INDEX(Curves!$B$4:$AO$4,1,58-Projects!$C$10+1)*Assumptions!$B$11*0.95),0)+IF(AND(Projects!$G$11="Yes",58&gt;=Projects!$C$11,58&lt;Projects!$C$11+Projects!$D$11),IF(58=Projects!$C$11+Projects!$D$11-1,Projects!$B$11*INDEX(Curves!$B$4:$AO$4,1,58-Projects!$C$11+1)*Assumptions!$B$11*0.95+0.05*Projects!$B$11*Assumptions!$B$11,Projects!$B$11*INDEX(Curves!$B$4:$AO$4,1,58-Projects!$C$11+1)*Assumptions!$B$11*0.95),0)+IF(AND(Projects!$G$12="Yes",58&gt;=Projects!$C$12,58&lt;Projects!$C$12+Projects!$D$12),IF(58=Projects!$C$12+Projects!$D$12-1,Projects!$B$12*INDEX(Curves!$B$4:$AO$4,1,58-Projects!$C$12+1)*Assumptions!$B$11*0.95+0.05*Projects!$B$12*Assumptions!$B$11,Projects!$B$12*INDEX(Curves!$B$4:$AO$4,1,58-Projects!$C$12+1)*Assumptions!$B$11*0.95),0)+IF(AND(Projects!$G$13="Yes",58&gt;=Projects!$C$13,58&lt;Projects!$C$13+Projects!$D$13),IF(58=Projects!$C$13+Projects!$D$13-1,Projects!$B$13*INDEX(Curves!$B$2:$AO$2,1,58-Projects!$C$13+1)*Assumptions!$B$11*0.95+0.05*Projects!$B$13*Assumptions!$B$11,Projects!$B$13*INDEX(Curves!$B$2:$AO$2,1,58-Projects!$C$13+1)*Assumptions!$B$11*0.95),0)+IF(AND(Projects!$G$14="Yes",58&gt;=Projects!$C$14,58&lt;Projects!$C$14+Projects!$D$14),IF(58=Projects!$C$14+Projects!$D$14-1,Projects!$B$14*INDEX(Curves!$B$2:$AO$2,1,58-Projects!$C$14+1)*Assumptions!$B$11*0.95+0.05*Projects!$B$14*Assumptions!$B$11,Projects!$B$14*INDEX(Curves!$B$2:$AO$2,1,58-Projects!$C$14+1)*Assumptions!$B$11*0.95),0)+IF(AND(Projects!$G$15="Yes",58&gt;=Projects!$C$15,58&lt;Projects!$C$15+Projects!$D$15),IF(58=Projects!$C$15+Projects!$D$15-1,Projects!$B$15*INDEX(Curves!$B$4:$AO$4,1,58-Projects!$C$15+1)*Assumptions!$B$11*0.95+0.05*Projects!$B$15*Assumptions!$B$11,Projects!$B$15*INDEX(Curves!$B$4:$AO$4,1,58-Projects!$C$15+1)*Assumptions!$B$11*0.95),0)+IF(AND(Projects!$G$16="Yes",58&gt;=Projects!$C$16,58&lt;Projects!$C$16+Projects!$D$16),IF(58=Projects!$C$16+Projects!$D$16-1,Projects!$B$16*INDEX(Curves!$B$4:$AO$4,1,58-Projects!$C$16+1)*Assumptions!$B$11*0.95+0.05*Projects!$B$16*Assumptions!$B$11,Projects!$B$16*INDEX(Curves!$B$4:$AO$4,1,58-Projects!$C$16+1)*Assumptions!$B$11*0.95),0)</f>
        <v>0</v>
      </c>
      <c r="BI9" s="8">
        <f>IF(AND(Projects!$G$2="Yes",59&gt;=Projects!$C$2,59&lt;Projects!$C$2+Projects!$D$2),IF(59=Projects!$C$2+Projects!$D$2-1,Projects!$B$2*INDEX(Curves!$B$6:$AO$6,1,59-Projects!$C$2+1)*Assumptions!$B$11*0.95+0.05*Projects!$B$2*Assumptions!$B$11,Projects!$B$2*INDEX(Curves!$B$6:$AO$6,1,59-Projects!$C$2+1)*Assumptions!$B$11*0.95),0)+IF(AND(Projects!$G$3="Yes",59&gt;=Projects!$C$3,59&lt;Projects!$C$3+Projects!$D$3),IF(59=Projects!$C$3+Projects!$D$3-1,Projects!$B$3*INDEX(Curves!$B$7:$AO$7,1,59-Projects!$C$3+1)*Assumptions!$B$11*0.95+0.05*Projects!$B$3*Assumptions!$B$11,Projects!$B$3*INDEX(Curves!$B$7:$AO$7,1,59-Projects!$C$3+1)*Assumptions!$B$11*0.95),0)+IF(AND(Projects!$G$4="Yes",59&gt;=Projects!$C$4,59&lt;Projects!$C$4+Projects!$D$4),IF(59=Projects!$C$4+Projects!$D$4-1,Projects!$B$4*INDEX(Curves!$B$8:$AO$8,1,59-Projects!$C$4+1)*Assumptions!$B$11*0.95+0.05*Projects!$B$4*Assumptions!$B$11,Projects!$B$4*INDEX(Curves!$B$8:$AO$8,1,59-Projects!$C$4+1)*Assumptions!$B$11*0.95),0)+IF(AND(Projects!$G$5="Yes",59&gt;=Projects!$C$5,59&lt;Projects!$C$5+Projects!$D$5),IF(59=Projects!$C$5+Projects!$D$5-1,Projects!$B$5*INDEX(Curves!$B$9:$AO$9,1,59-Projects!$C$5+1)*Assumptions!$B$11*0.95+0.05*Projects!$B$5*Assumptions!$B$11,Projects!$B$5*INDEX(Curves!$B$9:$AO$9,1,59-Projects!$C$5+1)*Assumptions!$B$11*0.95),0)+IF(AND(Projects!$G$6="Yes",59&gt;=Projects!$C$6,59&lt;Projects!$C$6+Projects!$D$6),IF(59=Projects!$C$6+Projects!$D$6-1,Projects!$B$6*INDEX(Curves!$B$4:$AO$4,1,59-Projects!$C$6+1)*Assumptions!$B$11*0.95+0.05*Projects!$B$6*Assumptions!$B$11,Projects!$B$6*INDEX(Curves!$B$4:$AO$4,1,59-Projects!$C$6+1)*Assumptions!$B$11*0.95),0)+IF(AND(Projects!$G$7="Yes",59&gt;=Projects!$C$7,59&lt;Projects!$C$7+Projects!$D$7),IF(59=Projects!$C$7+Projects!$D$7-1,Projects!$B$7*INDEX(Curves!$B$3:$AO$3,1,59-Projects!$C$7+1)*Assumptions!$B$11*0.95+0.05*Projects!$B$7*Assumptions!$B$11,Projects!$B$7*INDEX(Curves!$B$3:$AO$3,1,59-Projects!$C$7+1)*Assumptions!$B$11*0.95),0)+IF(AND(Projects!$G$8="Yes",59&gt;=Projects!$C$8,59&lt;Projects!$C$8+Projects!$D$8),IF(59=Projects!$C$8+Projects!$D$8-1,Projects!$B$8*INDEX(Curves!$B$4:$AO$4,1,59-Projects!$C$8+1)*Assumptions!$B$11*0.95+0.05*Projects!$B$8*Assumptions!$B$11,Projects!$B$8*INDEX(Curves!$B$4:$AO$4,1,59-Projects!$C$8+1)*Assumptions!$B$11*0.95),0)+IF(AND(Projects!$G$9="Yes",59&gt;=Projects!$C$9,59&lt;Projects!$C$9+Projects!$D$9),IF(59=Projects!$C$9+Projects!$D$9-1,Projects!$B$9*INDEX(Curves!$B$2:$AO$2,1,59-Projects!$C$9+1)*Assumptions!$B$11*0.95+0.05*Projects!$B$9*Assumptions!$B$11,Projects!$B$9*INDEX(Curves!$B$2:$AO$2,1,59-Projects!$C$9+1)*Assumptions!$B$11*0.95),0)+IF(AND(Projects!$G$10="Yes",59&gt;=Projects!$C$10,59&lt;Projects!$C$10+Projects!$D$10),IF(59=Projects!$C$10+Projects!$D$10-1,Projects!$B$10*INDEX(Curves!$B$4:$AO$4,1,59-Projects!$C$10+1)*Assumptions!$B$11*0.95+0.05*Projects!$B$10*Assumptions!$B$11,Projects!$B$10*INDEX(Curves!$B$4:$AO$4,1,59-Projects!$C$10+1)*Assumptions!$B$11*0.95),0)+IF(AND(Projects!$G$11="Yes",59&gt;=Projects!$C$11,59&lt;Projects!$C$11+Projects!$D$11),IF(59=Projects!$C$11+Projects!$D$11-1,Projects!$B$11*INDEX(Curves!$B$4:$AO$4,1,59-Projects!$C$11+1)*Assumptions!$B$11*0.95+0.05*Projects!$B$11*Assumptions!$B$11,Projects!$B$11*INDEX(Curves!$B$4:$AO$4,1,59-Projects!$C$11+1)*Assumptions!$B$11*0.95),0)+IF(AND(Projects!$G$12="Yes",59&gt;=Projects!$C$12,59&lt;Projects!$C$12+Projects!$D$12),IF(59=Projects!$C$12+Projects!$D$12-1,Projects!$B$12*INDEX(Curves!$B$4:$AO$4,1,59-Projects!$C$12+1)*Assumptions!$B$11*0.95+0.05*Projects!$B$12*Assumptions!$B$11,Projects!$B$12*INDEX(Curves!$B$4:$AO$4,1,59-Projects!$C$12+1)*Assumptions!$B$11*0.95),0)+IF(AND(Projects!$G$13="Yes",59&gt;=Projects!$C$13,59&lt;Projects!$C$13+Projects!$D$13),IF(59=Projects!$C$13+Projects!$D$13-1,Projects!$B$13*INDEX(Curves!$B$2:$AO$2,1,59-Projects!$C$13+1)*Assumptions!$B$11*0.95+0.05*Projects!$B$13*Assumptions!$B$11,Projects!$B$13*INDEX(Curves!$B$2:$AO$2,1,59-Projects!$C$13+1)*Assumptions!$B$11*0.95),0)+IF(AND(Projects!$G$14="Yes",59&gt;=Projects!$C$14,59&lt;Projects!$C$14+Projects!$D$14),IF(59=Projects!$C$14+Projects!$D$14-1,Projects!$B$14*INDEX(Curves!$B$2:$AO$2,1,59-Projects!$C$14+1)*Assumptions!$B$11*0.95+0.05*Projects!$B$14*Assumptions!$B$11,Projects!$B$14*INDEX(Curves!$B$2:$AO$2,1,59-Projects!$C$14+1)*Assumptions!$B$11*0.95),0)+IF(AND(Projects!$G$15="Yes",59&gt;=Projects!$C$15,59&lt;Projects!$C$15+Projects!$D$15),IF(59=Projects!$C$15+Projects!$D$15-1,Projects!$B$15*INDEX(Curves!$B$4:$AO$4,1,59-Projects!$C$15+1)*Assumptions!$B$11*0.95+0.05*Projects!$B$15*Assumptions!$B$11,Projects!$B$15*INDEX(Curves!$B$4:$AO$4,1,59-Projects!$C$15+1)*Assumptions!$B$11*0.95),0)+IF(AND(Projects!$G$16="Yes",59&gt;=Projects!$C$16,59&lt;Projects!$C$16+Projects!$D$16),IF(59=Projects!$C$16+Projects!$D$16-1,Projects!$B$16*INDEX(Curves!$B$4:$AO$4,1,59-Projects!$C$16+1)*Assumptions!$B$11*0.95+0.05*Projects!$B$16*Assumptions!$B$11,Projects!$B$16*INDEX(Curves!$B$4:$AO$4,1,59-Projects!$C$16+1)*Assumptions!$B$11*0.95),0)</f>
        <v>0</v>
      </c>
      <c r="BJ9" s="8">
        <f>IF(AND(Projects!$G$2="Yes",60&gt;=Projects!$C$2,60&lt;Projects!$C$2+Projects!$D$2),IF(60=Projects!$C$2+Projects!$D$2-1,Projects!$B$2*INDEX(Curves!$B$6:$AO$6,1,60-Projects!$C$2+1)*Assumptions!$B$11*0.95+0.05*Projects!$B$2*Assumptions!$B$11,Projects!$B$2*INDEX(Curves!$B$6:$AO$6,1,60-Projects!$C$2+1)*Assumptions!$B$11*0.95),0)+IF(AND(Projects!$G$3="Yes",60&gt;=Projects!$C$3,60&lt;Projects!$C$3+Projects!$D$3),IF(60=Projects!$C$3+Projects!$D$3-1,Projects!$B$3*INDEX(Curves!$B$7:$AO$7,1,60-Projects!$C$3+1)*Assumptions!$B$11*0.95+0.05*Projects!$B$3*Assumptions!$B$11,Projects!$B$3*INDEX(Curves!$B$7:$AO$7,1,60-Projects!$C$3+1)*Assumptions!$B$11*0.95),0)+IF(AND(Projects!$G$4="Yes",60&gt;=Projects!$C$4,60&lt;Projects!$C$4+Projects!$D$4),IF(60=Projects!$C$4+Projects!$D$4-1,Projects!$B$4*INDEX(Curves!$B$8:$AO$8,1,60-Projects!$C$4+1)*Assumptions!$B$11*0.95+0.05*Projects!$B$4*Assumptions!$B$11,Projects!$B$4*INDEX(Curves!$B$8:$AO$8,1,60-Projects!$C$4+1)*Assumptions!$B$11*0.95),0)+IF(AND(Projects!$G$5="Yes",60&gt;=Projects!$C$5,60&lt;Projects!$C$5+Projects!$D$5),IF(60=Projects!$C$5+Projects!$D$5-1,Projects!$B$5*INDEX(Curves!$B$9:$AO$9,1,60-Projects!$C$5+1)*Assumptions!$B$11*0.95+0.05*Projects!$B$5*Assumptions!$B$11,Projects!$B$5*INDEX(Curves!$B$9:$AO$9,1,60-Projects!$C$5+1)*Assumptions!$B$11*0.95),0)+IF(AND(Projects!$G$6="Yes",60&gt;=Projects!$C$6,60&lt;Projects!$C$6+Projects!$D$6),IF(60=Projects!$C$6+Projects!$D$6-1,Projects!$B$6*INDEX(Curves!$B$4:$AO$4,1,60-Projects!$C$6+1)*Assumptions!$B$11*0.95+0.05*Projects!$B$6*Assumptions!$B$11,Projects!$B$6*INDEX(Curves!$B$4:$AO$4,1,60-Projects!$C$6+1)*Assumptions!$B$11*0.95),0)+IF(AND(Projects!$G$7="Yes",60&gt;=Projects!$C$7,60&lt;Projects!$C$7+Projects!$D$7),IF(60=Projects!$C$7+Projects!$D$7-1,Projects!$B$7*INDEX(Curves!$B$3:$AO$3,1,60-Projects!$C$7+1)*Assumptions!$B$11*0.95+0.05*Projects!$B$7*Assumptions!$B$11,Projects!$B$7*INDEX(Curves!$B$3:$AO$3,1,60-Projects!$C$7+1)*Assumptions!$B$11*0.95),0)+IF(AND(Projects!$G$8="Yes",60&gt;=Projects!$C$8,60&lt;Projects!$C$8+Projects!$D$8),IF(60=Projects!$C$8+Projects!$D$8-1,Projects!$B$8*INDEX(Curves!$B$4:$AO$4,1,60-Projects!$C$8+1)*Assumptions!$B$11*0.95+0.05*Projects!$B$8*Assumptions!$B$11,Projects!$B$8*INDEX(Curves!$B$4:$AO$4,1,60-Projects!$C$8+1)*Assumptions!$B$11*0.95),0)+IF(AND(Projects!$G$9="Yes",60&gt;=Projects!$C$9,60&lt;Projects!$C$9+Projects!$D$9),IF(60=Projects!$C$9+Projects!$D$9-1,Projects!$B$9*INDEX(Curves!$B$2:$AO$2,1,60-Projects!$C$9+1)*Assumptions!$B$11*0.95+0.05*Projects!$B$9*Assumptions!$B$11,Projects!$B$9*INDEX(Curves!$B$2:$AO$2,1,60-Projects!$C$9+1)*Assumptions!$B$11*0.95),0)+IF(AND(Projects!$G$10="Yes",60&gt;=Projects!$C$10,60&lt;Projects!$C$10+Projects!$D$10),IF(60=Projects!$C$10+Projects!$D$10-1,Projects!$B$10*INDEX(Curves!$B$4:$AO$4,1,60-Projects!$C$10+1)*Assumptions!$B$11*0.95+0.05*Projects!$B$10*Assumptions!$B$11,Projects!$B$10*INDEX(Curves!$B$4:$AO$4,1,60-Projects!$C$10+1)*Assumptions!$B$11*0.95),0)+IF(AND(Projects!$G$11="Yes",60&gt;=Projects!$C$11,60&lt;Projects!$C$11+Projects!$D$11),IF(60=Projects!$C$11+Projects!$D$11-1,Projects!$B$11*INDEX(Curves!$B$4:$AO$4,1,60-Projects!$C$11+1)*Assumptions!$B$11*0.95+0.05*Projects!$B$11*Assumptions!$B$11,Projects!$B$11*INDEX(Curves!$B$4:$AO$4,1,60-Projects!$C$11+1)*Assumptions!$B$11*0.95),0)+IF(AND(Projects!$G$12="Yes",60&gt;=Projects!$C$12,60&lt;Projects!$C$12+Projects!$D$12),IF(60=Projects!$C$12+Projects!$D$12-1,Projects!$B$12*INDEX(Curves!$B$4:$AO$4,1,60-Projects!$C$12+1)*Assumptions!$B$11*0.95+0.05*Projects!$B$12*Assumptions!$B$11,Projects!$B$12*INDEX(Curves!$B$4:$AO$4,1,60-Projects!$C$12+1)*Assumptions!$B$11*0.95),0)+IF(AND(Projects!$G$13="Yes",60&gt;=Projects!$C$13,60&lt;Projects!$C$13+Projects!$D$13),IF(60=Projects!$C$13+Projects!$D$13-1,Projects!$B$13*INDEX(Curves!$B$2:$AO$2,1,60-Projects!$C$13+1)*Assumptions!$B$11*0.95+0.05*Projects!$B$13*Assumptions!$B$11,Projects!$B$13*INDEX(Curves!$B$2:$AO$2,1,60-Projects!$C$13+1)*Assumptions!$B$11*0.95),0)+IF(AND(Projects!$G$14="Yes",60&gt;=Projects!$C$14,60&lt;Projects!$C$14+Projects!$D$14),IF(60=Projects!$C$14+Projects!$D$14-1,Projects!$B$14*INDEX(Curves!$B$2:$AO$2,1,60-Projects!$C$14+1)*Assumptions!$B$11*0.95+0.05*Projects!$B$14*Assumptions!$B$11,Projects!$B$14*INDEX(Curves!$B$2:$AO$2,1,60-Projects!$C$14+1)*Assumptions!$B$11*0.95),0)+IF(AND(Projects!$G$15="Yes",60&gt;=Projects!$C$15,60&lt;Projects!$C$15+Projects!$D$15),IF(60=Projects!$C$15+Projects!$D$15-1,Projects!$B$15*INDEX(Curves!$B$4:$AO$4,1,60-Projects!$C$15+1)*Assumptions!$B$11*0.95+0.05*Projects!$B$15*Assumptions!$B$11,Projects!$B$15*INDEX(Curves!$B$4:$AO$4,1,60-Projects!$C$15+1)*Assumptions!$B$11*0.95),0)+IF(AND(Projects!$G$16="Yes",60&gt;=Projects!$C$16,60&lt;Projects!$C$16+Projects!$D$16),IF(60=Projects!$C$16+Projects!$D$16-1,Projects!$B$16*INDEX(Curves!$B$4:$AO$4,1,60-Projects!$C$16+1)*Assumptions!$B$11*0.95+0.05*Projects!$B$16*Assumptions!$B$11,Projects!$B$16*INDEX(Curves!$B$4:$AO$4,1,60-Projects!$C$16+1)*Assumptions!$B$11*0.95),0)</f>
        <v>0</v>
      </c>
      <c r="BK9" s="8">
        <f>IF(AND(Projects!$G$2="Yes",61&gt;=Projects!$C$2,61&lt;Projects!$C$2+Projects!$D$2),IF(61=Projects!$C$2+Projects!$D$2-1,Projects!$B$2*INDEX(Curves!$B$6:$AO$6,1,61-Projects!$C$2+1)*Assumptions!$B$11*0.95+0.05*Projects!$B$2*Assumptions!$B$11,Projects!$B$2*INDEX(Curves!$B$6:$AO$6,1,61-Projects!$C$2+1)*Assumptions!$B$11*0.95),0)+IF(AND(Projects!$G$3="Yes",61&gt;=Projects!$C$3,61&lt;Projects!$C$3+Projects!$D$3),IF(61=Projects!$C$3+Projects!$D$3-1,Projects!$B$3*INDEX(Curves!$B$7:$AO$7,1,61-Projects!$C$3+1)*Assumptions!$B$11*0.95+0.05*Projects!$B$3*Assumptions!$B$11,Projects!$B$3*INDEX(Curves!$B$7:$AO$7,1,61-Projects!$C$3+1)*Assumptions!$B$11*0.95),0)+IF(AND(Projects!$G$4="Yes",61&gt;=Projects!$C$4,61&lt;Projects!$C$4+Projects!$D$4),IF(61=Projects!$C$4+Projects!$D$4-1,Projects!$B$4*INDEX(Curves!$B$8:$AO$8,1,61-Projects!$C$4+1)*Assumptions!$B$11*0.95+0.05*Projects!$B$4*Assumptions!$B$11,Projects!$B$4*INDEX(Curves!$B$8:$AO$8,1,61-Projects!$C$4+1)*Assumptions!$B$11*0.95),0)+IF(AND(Projects!$G$5="Yes",61&gt;=Projects!$C$5,61&lt;Projects!$C$5+Projects!$D$5),IF(61=Projects!$C$5+Projects!$D$5-1,Projects!$B$5*INDEX(Curves!$B$9:$AO$9,1,61-Projects!$C$5+1)*Assumptions!$B$11*0.95+0.05*Projects!$B$5*Assumptions!$B$11,Projects!$B$5*INDEX(Curves!$B$9:$AO$9,1,61-Projects!$C$5+1)*Assumptions!$B$11*0.95),0)+IF(AND(Projects!$G$6="Yes",61&gt;=Projects!$C$6,61&lt;Projects!$C$6+Projects!$D$6),IF(61=Projects!$C$6+Projects!$D$6-1,Projects!$B$6*INDEX(Curves!$B$4:$AO$4,1,61-Projects!$C$6+1)*Assumptions!$B$11*0.95+0.05*Projects!$B$6*Assumptions!$B$11,Projects!$B$6*INDEX(Curves!$B$4:$AO$4,1,61-Projects!$C$6+1)*Assumptions!$B$11*0.95),0)+IF(AND(Projects!$G$7="Yes",61&gt;=Projects!$C$7,61&lt;Projects!$C$7+Projects!$D$7),IF(61=Projects!$C$7+Projects!$D$7-1,Projects!$B$7*INDEX(Curves!$B$3:$AO$3,1,61-Projects!$C$7+1)*Assumptions!$B$11*0.95+0.05*Projects!$B$7*Assumptions!$B$11,Projects!$B$7*INDEX(Curves!$B$3:$AO$3,1,61-Projects!$C$7+1)*Assumptions!$B$11*0.95),0)+IF(AND(Projects!$G$8="Yes",61&gt;=Projects!$C$8,61&lt;Projects!$C$8+Projects!$D$8),IF(61=Projects!$C$8+Projects!$D$8-1,Projects!$B$8*INDEX(Curves!$B$4:$AO$4,1,61-Projects!$C$8+1)*Assumptions!$B$11*0.95+0.05*Projects!$B$8*Assumptions!$B$11,Projects!$B$8*INDEX(Curves!$B$4:$AO$4,1,61-Projects!$C$8+1)*Assumptions!$B$11*0.95),0)+IF(AND(Projects!$G$9="Yes",61&gt;=Projects!$C$9,61&lt;Projects!$C$9+Projects!$D$9),IF(61=Projects!$C$9+Projects!$D$9-1,Projects!$B$9*INDEX(Curves!$B$2:$AO$2,1,61-Projects!$C$9+1)*Assumptions!$B$11*0.95+0.05*Projects!$B$9*Assumptions!$B$11,Projects!$B$9*INDEX(Curves!$B$2:$AO$2,1,61-Projects!$C$9+1)*Assumptions!$B$11*0.95),0)+IF(AND(Projects!$G$10="Yes",61&gt;=Projects!$C$10,61&lt;Projects!$C$10+Projects!$D$10),IF(61=Projects!$C$10+Projects!$D$10-1,Projects!$B$10*INDEX(Curves!$B$4:$AO$4,1,61-Projects!$C$10+1)*Assumptions!$B$11*0.95+0.05*Projects!$B$10*Assumptions!$B$11,Projects!$B$10*INDEX(Curves!$B$4:$AO$4,1,61-Projects!$C$10+1)*Assumptions!$B$11*0.95),0)+IF(AND(Projects!$G$11="Yes",61&gt;=Projects!$C$11,61&lt;Projects!$C$11+Projects!$D$11),IF(61=Projects!$C$11+Projects!$D$11-1,Projects!$B$11*INDEX(Curves!$B$4:$AO$4,1,61-Projects!$C$11+1)*Assumptions!$B$11*0.95+0.05*Projects!$B$11*Assumptions!$B$11,Projects!$B$11*INDEX(Curves!$B$4:$AO$4,1,61-Projects!$C$11+1)*Assumptions!$B$11*0.95),0)+IF(AND(Projects!$G$12="Yes",61&gt;=Projects!$C$12,61&lt;Projects!$C$12+Projects!$D$12),IF(61=Projects!$C$12+Projects!$D$12-1,Projects!$B$12*INDEX(Curves!$B$4:$AO$4,1,61-Projects!$C$12+1)*Assumptions!$B$11*0.95+0.05*Projects!$B$12*Assumptions!$B$11,Projects!$B$12*INDEX(Curves!$B$4:$AO$4,1,61-Projects!$C$12+1)*Assumptions!$B$11*0.95),0)+IF(AND(Projects!$G$13="Yes",61&gt;=Projects!$C$13,61&lt;Projects!$C$13+Projects!$D$13),IF(61=Projects!$C$13+Projects!$D$13-1,Projects!$B$13*INDEX(Curves!$B$2:$AO$2,1,61-Projects!$C$13+1)*Assumptions!$B$11*0.95+0.05*Projects!$B$13*Assumptions!$B$11,Projects!$B$13*INDEX(Curves!$B$2:$AO$2,1,61-Projects!$C$13+1)*Assumptions!$B$11*0.95),0)+IF(AND(Projects!$G$14="Yes",61&gt;=Projects!$C$14,61&lt;Projects!$C$14+Projects!$D$14),IF(61=Projects!$C$14+Projects!$D$14-1,Projects!$B$14*INDEX(Curves!$B$2:$AO$2,1,61-Projects!$C$14+1)*Assumptions!$B$11*0.95+0.05*Projects!$B$14*Assumptions!$B$11,Projects!$B$14*INDEX(Curves!$B$2:$AO$2,1,61-Projects!$C$14+1)*Assumptions!$B$11*0.95),0)+IF(AND(Projects!$G$15="Yes",61&gt;=Projects!$C$15,61&lt;Projects!$C$15+Projects!$D$15),IF(61=Projects!$C$15+Projects!$D$15-1,Projects!$B$15*INDEX(Curves!$B$4:$AO$4,1,61-Projects!$C$15+1)*Assumptions!$B$11*0.95+0.05*Projects!$B$15*Assumptions!$B$11,Projects!$B$15*INDEX(Curves!$B$4:$AO$4,1,61-Projects!$C$15+1)*Assumptions!$B$11*0.95),0)+IF(AND(Projects!$G$16="Yes",61&gt;=Projects!$C$16,61&lt;Projects!$C$16+Projects!$D$16),IF(61=Projects!$C$16+Projects!$D$16-1,Projects!$B$16*INDEX(Curves!$B$4:$AO$4,1,61-Projects!$C$16+1)*Assumptions!$B$11*0.95+0.05*Projects!$B$16*Assumptions!$B$11,Projects!$B$16*INDEX(Curves!$B$4:$AO$4,1,61-Projects!$C$16+1)*Assumptions!$B$11*0.95),0)</f>
        <v>0</v>
      </c>
      <c r="BL9" s="8">
        <f>IF(AND(Projects!$G$2="Yes",62&gt;=Projects!$C$2,62&lt;Projects!$C$2+Projects!$D$2),IF(62=Projects!$C$2+Projects!$D$2-1,Projects!$B$2*INDEX(Curves!$B$6:$AO$6,1,62-Projects!$C$2+1)*Assumptions!$B$11*0.95+0.05*Projects!$B$2*Assumptions!$B$11,Projects!$B$2*INDEX(Curves!$B$6:$AO$6,1,62-Projects!$C$2+1)*Assumptions!$B$11*0.95),0)+IF(AND(Projects!$G$3="Yes",62&gt;=Projects!$C$3,62&lt;Projects!$C$3+Projects!$D$3),IF(62=Projects!$C$3+Projects!$D$3-1,Projects!$B$3*INDEX(Curves!$B$7:$AO$7,1,62-Projects!$C$3+1)*Assumptions!$B$11*0.95+0.05*Projects!$B$3*Assumptions!$B$11,Projects!$B$3*INDEX(Curves!$B$7:$AO$7,1,62-Projects!$C$3+1)*Assumptions!$B$11*0.95),0)+IF(AND(Projects!$G$4="Yes",62&gt;=Projects!$C$4,62&lt;Projects!$C$4+Projects!$D$4),IF(62=Projects!$C$4+Projects!$D$4-1,Projects!$B$4*INDEX(Curves!$B$8:$AO$8,1,62-Projects!$C$4+1)*Assumptions!$B$11*0.95+0.05*Projects!$B$4*Assumptions!$B$11,Projects!$B$4*INDEX(Curves!$B$8:$AO$8,1,62-Projects!$C$4+1)*Assumptions!$B$11*0.95),0)+IF(AND(Projects!$G$5="Yes",62&gt;=Projects!$C$5,62&lt;Projects!$C$5+Projects!$D$5),IF(62=Projects!$C$5+Projects!$D$5-1,Projects!$B$5*INDEX(Curves!$B$9:$AO$9,1,62-Projects!$C$5+1)*Assumptions!$B$11*0.95+0.05*Projects!$B$5*Assumptions!$B$11,Projects!$B$5*INDEX(Curves!$B$9:$AO$9,1,62-Projects!$C$5+1)*Assumptions!$B$11*0.95),0)+IF(AND(Projects!$G$6="Yes",62&gt;=Projects!$C$6,62&lt;Projects!$C$6+Projects!$D$6),IF(62=Projects!$C$6+Projects!$D$6-1,Projects!$B$6*INDEX(Curves!$B$4:$AO$4,1,62-Projects!$C$6+1)*Assumptions!$B$11*0.95+0.05*Projects!$B$6*Assumptions!$B$11,Projects!$B$6*INDEX(Curves!$B$4:$AO$4,1,62-Projects!$C$6+1)*Assumptions!$B$11*0.95),0)+IF(AND(Projects!$G$7="Yes",62&gt;=Projects!$C$7,62&lt;Projects!$C$7+Projects!$D$7),IF(62=Projects!$C$7+Projects!$D$7-1,Projects!$B$7*INDEX(Curves!$B$3:$AO$3,1,62-Projects!$C$7+1)*Assumptions!$B$11*0.95+0.05*Projects!$B$7*Assumptions!$B$11,Projects!$B$7*INDEX(Curves!$B$3:$AO$3,1,62-Projects!$C$7+1)*Assumptions!$B$11*0.95),0)+IF(AND(Projects!$G$8="Yes",62&gt;=Projects!$C$8,62&lt;Projects!$C$8+Projects!$D$8),IF(62=Projects!$C$8+Projects!$D$8-1,Projects!$B$8*INDEX(Curves!$B$4:$AO$4,1,62-Projects!$C$8+1)*Assumptions!$B$11*0.95+0.05*Projects!$B$8*Assumptions!$B$11,Projects!$B$8*INDEX(Curves!$B$4:$AO$4,1,62-Projects!$C$8+1)*Assumptions!$B$11*0.95),0)+IF(AND(Projects!$G$9="Yes",62&gt;=Projects!$C$9,62&lt;Projects!$C$9+Projects!$D$9),IF(62=Projects!$C$9+Projects!$D$9-1,Projects!$B$9*INDEX(Curves!$B$2:$AO$2,1,62-Projects!$C$9+1)*Assumptions!$B$11*0.95+0.05*Projects!$B$9*Assumptions!$B$11,Projects!$B$9*INDEX(Curves!$B$2:$AO$2,1,62-Projects!$C$9+1)*Assumptions!$B$11*0.95),0)+IF(AND(Projects!$G$10="Yes",62&gt;=Projects!$C$10,62&lt;Projects!$C$10+Projects!$D$10),IF(62=Projects!$C$10+Projects!$D$10-1,Projects!$B$10*INDEX(Curves!$B$4:$AO$4,1,62-Projects!$C$10+1)*Assumptions!$B$11*0.95+0.05*Projects!$B$10*Assumptions!$B$11,Projects!$B$10*INDEX(Curves!$B$4:$AO$4,1,62-Projects!$C$10+1)*Assumptions!$B$11*0.95),0)+IF(AND(Projects!$G$11="Yes",62&gt;=Projects!$C$11,62&lt;Projects!$C$11+Projects!$D$11),IF(62=Projects!$C$11+Projects!$D$11-1,Projects!$B$11*INDEX(Curves!$B$4:$AO$4,1,62-Projects!$C$11+1)*Assumptions!$B$11*0.95+0.05*Projects!$B$11*Assumptions!$B$11,Projects!$B$11*INDEX(Curves!$B$4:$AO$4,1,62-Projects!$C$11+1)*Assumptions!$B$11*0.95),0)+IF(AND(Projects!$G$12="Yes",62&gt;=Projects!$C$12,62&lt;Projects!$C$12+Projects!$D$12),IF(62=Projects!$C$12+Projects!$D$12-1,Projects!$B$12*INDEX(Curves!$B$4:$AO$4,1,62-Projects!$C$12+1)*Assumptions!$B$11*0.95+0.05*Projects!$B$12*Assumptions!$B$11,Projects!$B$12*INDEX(Curves!$B$4:$AO$4,1,62-Projects!$C$12+1)*Assumptions!$B$11*0.95),0)+IF(AND(Projects!$G$13="Yes",62&gt;=Projects!$C$13,62&lt;Projects!$C$13+Projects!$D$13),IF(62=Projects!$C$13+Projects!$D$13-1,Projects!$B$13*INDEX(Curves!$B$2:$AO$2,1,62-Projects!$C$13+1)*Assumptions!$B$11*0.95+0.05*Projects!$B$13*Assumptions!$B$11,Projects!$B$13*INDEX(Curves!$B$2:$AO$2,1,62-Projects!$C$13+1)*Assumptions!$B$11*0.95),0)+IF(AND(Projects!$G$14="Yes",62&gt;=Projects!$C$14,62&lt;Projects!$C$14+Projects!$D$14),IF(62=Projects!$C$14+Projects!$D$14-1,Projects!$B$14*INDEX(Curves!$B$2:$AO$2,1,62-Projects!$C$14+1)*Assumptions!$B$11*0.95+0.05*Projects!$B$14*Assumptions!$B$11,Projects!$B$14*INDEX(Curves!$B$2:$AO$2,1,62-Projects!$C$14+1)*Assumptions!$B$11*0.95),0)+IF(AND(Projects!$G$15="Yes",62&gt;=Projects!$C$15,62&lt;Projects!$C$15+Projects!$D$15),IF(62=Projects!$C$15+Projects!$D$15-1,Projects!$B$15*INDEX(Curves!$B$4:$AO$4,1,62-Projects!$C$15+1)*Assumptions!$B$11*0.95+0.05*Projects!$B$15*Assumptions!$B$11,Projects!$B$15*INDEX(Curves!$B$4:$AO$4,1,62-Projects!$C$15+1)*Assumptions!$B$11*0.95),0)+IF(AND(Projects!$G$16="Yes",62&gt;=Projects!$C$16,62&lt;Projects!$C$16+Projects!$D$16),IF(62=Projects!$C$16+Projects!$D$16-1,Projects!$B$16*INDEX(Curves!$B$4:$AO$4,1,62-Projects!$C$16+1)*Assumptions!$B$11*0.95+0.05*Projects!$B$16*Assumptions!$B$11,Projects!$B$16*INDEX(Curves!$B$4:$AO$4,1,62-Projects!$C$16+1)*Assumptions!$B$11*0.95),0)</f>
        <v>0</v>
      </c>
      <c r="BM9" s="8">
        <f>IF(AND(Projects!$G$2="Yes",63&gt;=Projects!$C$2,63&lt;Projects!$C$2+Projects!$D$2),IF(63=Projects!$C$2+Projects!$D$2-1,Projects!$B$2*INDEX(Curves!$B$6:$AO$6,1,63-Projects!$C$2+1)*Assumptions!$B$11*0.95+0.05*Projects!$B$2*Assumptions!$B$11,Projects!$B$2*INDEX(Curves!$B$6:$AO$6,1,63-Projects!$C$2+1)*Assumptions!$B$11*0.95),0)+IF(AND(Projects!$G$3="Yes",63&gt;=Projects!$C$3,63&lt;Projects!$C$3+Projects!$D$3),IF(63=Projects!$C$3+Projects!$D$3-1,Projects!$B$3*INDEX(Curves!$B$7:$AO$7,1,63-Projects!$C$3+1)*Assumptions!$B$11*0.95+0.05*Projects!$B$3*Assumptions!$B$11,Projects!$B$3*INDEX(Curves!$B$7:$AO$7,1,63-Projects!$C$3+1)*Assumptions!$B$11*0.95),0)+IF(AND(Projects!$G$4="Yes",63&gt;=Projects!$C$4,63&lt;Projects!$C$4+Projects!$D$4),IF(63=Projects!$C$4+Projects!$D$4-1,Projects!$B$4*INDEX(Curves!$B$8:$AO$8,1,63-Projects!$C$4+1)*Assumptions!$B$11*0.95+0.05*Projects!$B$4*Assumptions!$B$11,Projects!$B$4*INDEX(Curves!$B$8:$AO$8,1,63-Projects!$C$4+1)*Assumptions!$B$11*0.95),0)+IF(AND(Projects!$G$5="Yes",63&gt;=Projects!$C$5,63&lt;Projects!$C$5+Projects!$D$5),IF(63=Projects!$C$5+Projects!$D$5-1,Projects!$B$5*INDEX(Curves!$B$9:$AO$9,1,63-Projects!$C$5+1)*Assumptions!$B$11*0.95+0.05*Projects!$B$5*Assumptions!$B$11,Projects!$B$5*INDEX(Curves!$B$9:$AO$9,1,63-Projects!$C$5+1)*Assumptions!$B$11*0.95),0)+IF(AND(Projects!$G$6="Yes",63&gt;=Projects!$C$6,63&lt;Projects!$C$6+Projects!$D$6),IF(63=Projects!$C$6+Projects!$D$6-1,Projects!$B$6*INDEX(Curves!$B$4:$AO$4,1,63-Projects!$C$6+1)*Assumptions!$B$11*0.95+0.05*Projects!$B$6*Assumptions!$B$11,Projects!$B$6*INDEX(Curves!$B$4:$AO$4,1,63-Projects!$C$6+1)*Assumptions!$B$11*0.95),0)+IF(AND(Projects!$G$7="Yes",63&gt;=Projects!$C$7,63&lt;Projects!$C$7+Projects!$D$7),IF(63=Projects!$C$7+Projects!$D$7-1,Projects!$B$7*INDEX(Curves!$B$3:$AO$3,1,63-Projects!$C$7+1)*Assumptions!$B$11*0.95+0.05*Projects!$B$7*Assumptions!$B$11,Projects!$B$7*INDEX(Curves!$B$3:$AO$3,1,63-Projects!$C$7+1)*Assumptions!$B$11*0.95),0)+IF(AND(Projects!$G$8="Yes",63&gt;=Projects!$C$8,63&lt;Projects!$C$8+Projects!$D$8),IF(63=Projects!$C$8+Projects!$D$8-1,Projects!$B$8*INDEX(Curves!$B$4:$AO$4,1,63-Projects!$C$8+1)*Assumptions!$B$11*0.95+0.05*Projects!$B$8*Assumptions!$B$11,Projects!$B$8*INDEX(Curves!$B$4:$AO$4,1,63-Projects!$C$8+1)*Assumptions!$B$11*0.95),0)+IF(AND(Projects!$G$9="Yes",63&gt;=Projects!$C$9,63&lt;Projects!$C$9+Projects!$D$9),IF(63=Projects!$C$9+Projects!$D$9-1,Projects!$B$9*INDEX(Curves!$B$2:$AO$2,1,63-Projects!$C$9+1)*Assumptions!$B$11*0.95+0.05*Projects!$B$9*Assumptions!$B$11,Projects!$B$9*INDEX(Curves!$B$2:$AO$2,1,63-Projects!$C$9+1)*Assumptions!$B$11*0.95),0)+IF(AND(Projects!$G$10="Yes",63&gt;=Projects!$C$10,63&lt;Projects!$C$10+Projects!$D$10),IF(63=Projects!$C$10+Projects!$D$10-1,Projects!$B$10*INDEX(Curves!$B$4:$AO$4,1,63-Projects!$C$10+1)*Assumptions!$B$11*0.95+0.05*Projects!$B$10*Assumptions!$B$11,Projects!$B$10*INDEX(Curves!$B$4:$AO$4,1,63-Projects!$C$10+1)*Assumptions!$B$11*0.95),0)+IF(AND(Projects!$G$11="Yes",63&gt;=Projects!$C$11,63&lt;Projects!$C$11+Projects!$D$11),IF(63=Projects!$C$11+Projects!$D$11-1,Projects!$B$11*INDEX(Curves!$B$4:$AO$4,1,63-Projects!$C$11+1)*Assumptions!$B$11*0.95+0.05*Projects!$B$11*Assumptions!$B$11,Projects!$B$11*INDEX(Curves!$B$4:$AO$4,1,63-Projects!$C$11+1)*Assumptions!$B$11*0.95),0)+IF(AND(Projects!$G$12="Yes",63&gt;=Projects!$C$12,63&lt;Projects!$C$12+Projects!$D$12),IF(63=Projects!$C$12+Projects!$D$12-1,Projects!$B$12*INDEX(Curves!$B$4:$AO$4,1,63-Projects!$C$12+1)*Assumptions!$B$11*0.95+0.05*Projects!$B$12*Assumptions!$B$11,Projects!$B$12*INDEX(Curves!$B$4:$AO$4,1,63-Projects!$C$12+1)*Assumptions!$B$11*0.95),0)+IF(AND(Projects!$G$13="Yes",63&gt;=Projects!$C$13,63&lt;Projects!$C$13+Projects!$D$13),IF(63=Projects!$C$13+Projects!$D$13-1,Projects!$B$13*INDEX(Curves!$B$2:$AO$2,1,63-Projects!$C$13+1)*Assumptions!$B$11*0.95+0.05*Projects!$B$13*Assumptions!$B$11,Projects!$B$13*INDEX(Curves!$B$2:$AO$2,1,63-Projects!$C$13+1)*Assumptions!$B$11*0.95),0)+IF(AND(Projects!$G$14="Yes",63&gt;=Projects!$C$14,63&lt;Projects!$C$14+Projects!$D$14),IF(63=Projects!$C$14+Projects!$D$14-1,Projects!$B$14*INDEX(Curves!$B$2:$AO$2,1,63-Projects!$C$14+1)*Assumptions!$B$11*0.95+0.05*Projects!$B$14*Assumptions!$B$11,Projects!$B$14*INDEX(Curves!$B$2:$AO$2,1,63-Projects!$C$14+1)*Assumptions!$B$11*0.95),0)+IF(AND(Projects!$G$15="Yes",63&gt;=Projects!$C$15,63&lt;Projects!$C$15+Projects!$D$15),IF(63=Projects!$C$15+Projects!$D$15-1,Projects!$B$15*INDEX(Curves!$B$4:$AO$4,1,63-Projects!$C$15+1)*Assumptions!$B$11*0.95+0.05*Projects!$B$15*Assumptions!$B$11,Projects!$B$15*INDEX(Curves!$B$4:$AO$4,1,63-Projects!$C$15+1)*Assumptions!$B$11*0.95),0)+IF(AND(Projects!$G$16="Yes",63&gt;=Projects!$C$16,63&lt;Projects!$C$16+Projects!$D$16),IF(63=Projects!$C$16+Projects!$D$16-1,Projects!$B$16*INDEX(Curves!$B$4:$AO$4,1,63-Projects!$C$16+1)*Assumptions!$B$11*0.95+0.05*Projects!$B$16*Assumptions!$B$11,Projects!$B$16*INDEX(Curves!$B$4:$AO$4,1,63-Projects!$C$16+1)*Assumptions!$B$11*0.95),0)</f>
        <v>0</v>
      </c>
      <c r="BN9" s="8">
        <f>IF(AND(Projects!$G$2="Yes",64&gt;=Projects!$C$2,64&lt;Projects!$C$2+Projects!$D$2),IF(64=Projects!$C$2+Projects!$D$2-1,Projects!$B$2*INDEX(Curves!$B$6:$AO$6,1,64-Projects!$C$2+1)*Assumptions!$B$11*0.95+0.05*Projects!$B$2*Assumptions!$B$11,Projects!$B$2*INDEX(Curves!$B$6:$AO$6,1,64-Projects!$C$2+1)*Assumptions!$B$11*0.95),0)+IF(AND(Projects!$G$3="Yes",64&gt;=Projects!$C$3,64&lt;Projects!$C$3+Projects!$D$3),IF(64=Projects!$C$3+Projects!$D$3-1,Projects!$B$3*INDEX(Curves!$B$7:$AO$7,1,64-Projects!$C$3+1)*Assumptions!$B$11*0.95+0.05*Projects!$B$3*Assumptions!$B$11,Projects!$B$3*INDEX(Curves!$B$7:$AO$7,1,64-Projects!$C$3+1)*Assumptions!$B$11*0.95),0)+IF(AND(Projects!$G$4="Yes",64&gt;=Projects!$C$4,64&lt;Projects!$C$4+Projects!$D$4),IF(64=Projects!$C$4+Projects!$D$4-1,Projects!$B$4*INDEX(Curves!$B$8:$AO$8,1,64-Projects!$C$4+1)*Assumptions!$B$11*0.95+0.05*Projects!$B$4*Assumptions!$B$11,Projects!$B$4*INDEX(Curves!$B$8:$AO$8,1,64-Projects!$C$4+1)*Assumptions!$B$11*0.95),0)+IF(AND(Projects!$G$5="Yes",64&gt;=Projects!$C$5,64&lt;Projects!$C$5+Projects!$D$5),IF(64=Projects!$C$5+Projects!$D$5-1,Projects!$B$5*INDEX(Curves!$B$9:$AO$9,1,64-Projects!$C$5+1)*Assumptions!$B$11*0.95+0.05*Projects!$B$5*Assumptions!$B$11,Projects!$B$5*INDEX(Curves!$B$9:$AO$9,1,64-Projects!$C$5+1)*Assumptions!$B$11*0.95),0)+IF(AND(Projects!$G$6="Yes",64&gt;=Projects!$C$6,64&lt;Projects!$C$6+Projects!$D$6),IF(64=Projects!$C$6+Projects!$D$6-1,Projects!$B$6*INDEX(Curves!$B$4:$AO$4,1,64-Projects!$C$6+1)*Assumptions!$B$11*0.95+0.05*Projects!$B$6*Assumptions!$B$11,Projects!$B$6*INDEX(Curves!$B$4:$AO$4,1,64-Projects!$C$6+1)*Assumptions!$B$11*0.95),0)+IF(AND(Projects!$G$7="Yes",64&gt;=Projects!$C$7,64&lt;Projects!$C$7+Projects!$D$7),IF(64=Projects!$C$7+Projects!$D$7-1,Projects!$B$7*INDEX(Curves!$B$3:$AO$3,1,64-Projects!$C$7+1)*Assumptions!$B$11*0.95+0.05*Projects!$B$7*Assumptions!$B$11,Projects!$B$7*INDEX(Curves!$B$3:$AO$3,1,64-Projects!$C$7+1)*Assumptions!$B$11*0.95),0)+IF(AND(Projects!$G$8="Yes",64&gt;=Projects!$C$8,64&lt;Projects!$C$8+Projects!$D$8),IF(64=Projects!$C$8+Projects!$D$8-1,Projects!$B$8*INDEX(Curves!$B$4:$AO$4,1,64-Projects!$C$8+1)*Assumptions!$B$11*0.95+0.05*Projects!$B$8*Assumptions!$B$11,Projects!$B$8*INDEX(Curves!$B$4:$AO$4,1,64-Projects!$C$8+1)*Assumptions!$B$11*0.95),0)+IF(AND(Projects!$G$9="Yes",64&gt;=Projects!$C$9,64&lt;Projects!$C$9+Projects!$D$9),IF(64=Projects!$C$9+Projects!$D$9-1,Projects!$B$9*INDEX(Curves!$B$2:$AO$2,1,64-Projects!$C$9+1)*Assumptions!$B$11*0.95+0.05*Projects!$B$9*Assumptions!$B$11,Projects!$B$9*INDEX(Curves!$B$2:$AO$2,1,64-Projects!$C$9+1)*Assumptions!$B$11*0.95),0)+IF(AND(Projects!$G$10="Yes",64&gt;=Projects!$C$10,64&lt;Projects!$C$10+Projects!$D$10),IF(64=Projects!$C$10+Projects!$D$10-1,Projects!$B$10*INDEX(Curves!$B$4:$AO$4,1,64-Projects!$C$10+1)*Assumptions!$B$11*0.95+0.05*Projects!$B$10*Assumptions!$B$11,Projects!$B$10*INDEX(Curves!$B$4:$AO$4,1,64-Projects!$C$10+1)*Assumptions!$B$11*0.95),0)+IF(AND(Projects!$G$11="Yes",64&gt;=Projects!$C$11,64&lt;Projects!$C$11+Projects!$D$11),IF(64=Projects!$C$11+Projects!$D$11-1,Projects!$B$11*INDEX(Curves!$B$4:$AO$4,1,64-Projects!$C$11+1)*Assumptions!$B$11*0.95+0.05*Projects!$B$11*Assumptions!$B$11,Projects!$B$11*INDEX(Curves!$B$4:$AO$4,1,64-Projects!$C$11+1)*Assumptions!$B$11*0.95),0)+IF(AND(Projects!$G$12="Yes",64&gt;=Projects!$C$12,64&lt;Projects!$C$12+Projects!$D$12),IF(64=Projects!$C$12+Projects!$D$12-1,Projects!$B$12*INDEX(Curves!$B$4:$AO$4,1,64-Projects!$C$12+1)*Assumptions!$B$11*0.95+0.05*Projects!$B$12*Assumptions!$B$11,Projects!$B$12*INDEX(Curves!$B$4:$AO$4,1,64-Projects!$C$12+1)*Assumptions!$B$11*0.95),0)+IF(AND(Projects!$G$13="Yes",64&gt;=Projects!$C$13,64&lt;Projects!$C$13+Projects!$D$13),IF(64=Projects!$C$13+Projects!$D$13-1,Projects!$B$13*INDEX(Curves!$B$2:$AO$2,1,64-Projects!$C$13+1)*Assumptions!$B$11*0.95+0.05*Projects!$B$13*Assumptions!$B$11,Projects!$B$13*INDEX(Curves!$B$2:$AO$2,1,64-Projects!$C$13+1)*Assumptions!$B$11*0.95),0)+IF(AND(Projects!$G$14="Yes",64&gt;=Projects!$C$14,64&lt;Projects!$C$14+Projects!$D$14),IF(64=Projects!$C$14+Projects!$D$14-1,Projects!$B$14*INDEX(Curves!$B$2:$AO$2,1,64-Projects!$C$14+1)*Assumptions!$B$11*0.95+0.05*Projects!$B$14*Assumptions!$B$11,Projects!$B$14*INDEX(Curves!$B$2:$AO$2,1,64-Projects!$C$14+1)*Assumptions!$B$11*0.95),0)+IF(AND(Projects!$G$15="Yes",64&gt;=Projects!$C$15,64&lt;Projects!$C$15+Projects!$D$15),IF(64=Projects!$C$15+Projects!$D$15-1,Projects!$B$15*INDEX(Curves!$B$4:$AO$4,1,64-Projects!$C$15+1)*Assumptions!$B$11*0.95+0.05*Projects!$B$15*Assumptions!$B$11,Projects!$B$15*INDEX(Curves!$B$4:$AO$4,1,64-Projects!$C$15+1)*Assumptions!$B$11*0.95),0)+IF(AND(Projects!$G$16="Yes",64&gt;=Projects!$C$16,64&lt;Projects!$C$16+Projects!$D$16),IF(64=Projects!$C$16+Projects!$D$16-1,Projects!$B$16*INDEX(Curves!$B$4:$AO$4,1,64-Projects!$C$16+1)*Assumptions!$B$11*0.95+0.05*Projects!$B$16*Assumptions!$B$11,Projects!$B$16*INDEX(Curves!$B$4:$AO$4,1,64-Projects!$C$16+1)*Assumptions!$B$11*0.95),0)</f>
        <v>0</v>
      </c>
      <c r="BO9" s="8">
        <f>IF(AND(Projects!$G$2="Yes",65&gt;=Projects!$C$2,65&lt;Projects!$C$2+Projects!$D$2),IF(65=Projects!$C$2+Projects!$D$2-1,Projects!$B$2*INDEX(Curves!$B$6:$AO$6,1,65-Projects!$C$2+1)*Assumptions!$B$11*0.95+0.05*Projects!$B$2*Assumptions!$B$11,Projects!$B$2*INDEX(Curves!$B$6:$AO$6,1,65-Projects!$C$2+1)*Assumptions!$B$11*0.95),0)+IF(AND(Projects!$G$3="Yes",65&gt;=Projects!$C$3,65&lt;Projects!$C$3+Projects!$D$3),IF(65=Projects!$C$3+Projects!$D$3-1,Projects!$B$3*INDEX(Curves!$B$7:$AO$7,1,65-Projects!$C$3+1)*Assumptions!$B$11*0.95+0.05*Projects!$B$3*Assumptions!$B$11,Projects!$B$3*INDEX(Curves!$B$7:$AO$7,1,65-Projects!$C$3+1)*Assumptions!$B$11*0.95),0)+IF(AND(Projects!$G$4="Yes",65&gt;=Projects!$C$4,65&lt;Projects!$C$4+Projects!$D$4),IF(65=Projects!$C$4+Projects!$D$4-1,Projects!$B$4*INDEX(Curves!$B$8:$AO$8,1,65-Projects!$C$4+1)*Assumptions!$B$11*0.95+0.05*Projects!$B$4*Assumptions!$B$11,Projects!$B$4*INDEX(Curves!$B$8:$AO$8,1,65-Projects!$C$4+1)*Assumptions!$B$11*0.95),0)+IF(AND(Projects!$G$5="Yes",65&gt;=Projects!$C$5,65&lt;Projects!$C$5+Projects!$D$5),IF(65=Projects!$C$5+Projects!$D$5-1,Projects!$B$5*INDEX(Curves!$B$9:$AO$9,1,65-Projects!$C$5+1)*Assumptions!$B$11*0.95+0.05*Projects!$B$5*Assumptions!$B$11,Projects!$B$5*INDEX(Curves!$B$9:$AO$9,1,65-Projects!$C$5+1)*Assumptions!$B$11*0.95),0)+IF(AND(Projects!$G$6="Yes",65&gt;=Projects!$C$6,65&lt;Projects!$C$6+Projects!$D$6),IF(65=Projects!$C$6+Projects!$D$6-1,Projects!$B$6*INDEX(Curves!$B$4:$AO$4,1,65-Projects!$C$6+1)*Assumptions!$B$11*0.95+0.05*Projects!$B$6*Assumptions!$B$11,Projects!$B$6*INDEX(Curves!$B$4:$AO$4,1,65-Projects!$C$6+1)*Assumptions!$B$11*0.95),0)+IF(AND(Projects!$G$7="Yes",65&gt;=Projects!$C$7,65&lt;Projects!$C$7+Projects!$D$7),IF(65=Projects!$C$7+Projects!$D$7-1,Projects!$B$7*INDEX(Curves!$B$3:$AO$3,1,65-Projects!$C$7+1)*Assumptions!$B$11*0.95+0.05*Projects!$B$7*Assumptions!$B$11,Projects!$B$7*INDEX(Curves!$B$3:$AO$3,1,65-Projects!$C$7+1)*Assumptions!$B$11*0.95),0)+IF(AND(Projects!$G$8="Yes",65&gt;=Projects!$C$8,65&lt;Projects!$C$8+Projects!$D$8),IF(65=Projects!$C$8+Projects!$D$8-1,Projects!$B$8*INDEX(Curves!$B$4:$AO$4,1,65-Projects!$C$8+1)*Assumptions!$B$11*0.95+0.05*Projects!$B$8*Assumptions!$B$11,Projects!$B$8*INDEX(Curves!$B$4:$AO$4,1,65-Projects!$C$8+1)*Assumptions!$B$11*0.95),0)+IF(AND(Projects!$G$9="Yes",65&gt;=Projects!$C$9,65&lt;Projects!$C$9+Projects!$D$9),IF(65=Projects!$C$9+Projects!$D$9-1,Projects!$B$9*INDEX(Curves!$B$2:$AO$2,1,65-Projects!$C$9+1)*Assumptions!$B$11*0.95+0.05*Projects!$B$9*Assumptions!$B$11,Projects!$B$9*INDEX(Curves!$B$2:$AO$2,1,65-Projects!$C$9+1)*Assumptions!$B$11*0.95),0)+IF(AND(Projects!$G$10="Yes",65&gt;=Projects!$C$10,65&lt;Projects!$C$10+Projects!$D$10),IF(65=Projects!$C$10+Projects!$D$10-1,Projects!$B$10*INDEX(Curves!$B$4:$AO$4,1,65-Projects!$C$10+1)*Assumptions!$B$11*0.95+0.05*Projects!$B$10*Assumptions!$B$11,Projects!$B$10*INDEX(Curves!$B$4:$AO$4,1,65-Projects!$C$10+1)*Assumptions!$B$11*0.95),0)+IF(AND(Projects!$G$11="Yes",65&gt;=Projects!$C$11,65&lt;Projects!$C$11+Projects!$D$11),IF(65=Projects!$C$11+Projects!$D$11-1,Projects!$B$11*INDEX(Curves!$B$4:$AO$4,1,65-Projects!$C$11+1)*Assumptions!$B$11*0.95+0.05*Projects!$B$11*Assumptions!$B$11,Projects!$B$11*INDEX(Curves!$B$4:$AO$4,1,65-Projects!$C$11+1)*Assumptions!$B$11*0.95),0)+IF(AND(Projects!$G$12="Yes",65&gt;=Projects!$C$12,65&lt;Projects!$C$12+Projects!$D$12),IF(65=Projects!$C$12+Projects!$D$12-1,Projects!$B$12*INDEX(Curves!$B$4:$AO$4,1,65-Projects!$C$12+1)*Assumptions!$B$11*0.95+0.05*Projects!$B$12*Assumptions!$B$11,Projects!$B$12*INDEX(Curves!$B$4:$AO$4,1,65-Projects!$C$12+1)*Assumptions!$B$11*0.95),0)+IF(AND(Projects!$G$13="Yes",65&gt;=Projects!$C$13,65&lt;Projects!$C$13+Projects!$D$13),IF(65=Projects!$C$13+Projects!$D$13-1,Projects!$B$13*INDEX(Curves!$B$2:$AO$2,1,65-Projects!$C$13+1)*Assumptions!$B$11*0.95+0.05*Projects!$B$13*Assumptions!$B$11,Projects!$B$13*INDEX(Curves!$B$2:$AO$2,1,65-Projects!$C$13+1)*Assumptions!$B$11*0.95),0)+IF(AND(Projects!$G$14="Yes",65&gt;=Projects!$C$14,65&lt;Projects!$C$14+Projects!$D$14),IF(65=Projects!$C$14+Projects!$D$14-1,Projects!$B$14*INDEX(Curves!$B$2:$AO$2,1,65-Projects!$C$14+1)*Assumptions!$B$11*0.95+0.05*Projects!$B$14*Assumptions!$B$11,Projects!$B$14*INDEX(Curves!$B$2:$AO$2,1,65-Projects!$C$14+1)*Assumptions!$B$11*0.95),0)+IF(AND(Projects!$G$15="Yes",65&gt;=Projects!$C$15,65&lt;Projects!$C$15+Projects!$D$15),IF(65=Projects!$C$15+Projects!$D$15-1,Projects!$B$15*INDEX(Curves!$B$4:$AO$4,1,65-Projects!$C$15+1)*Assumptions!$B$11*0.95+0.05*Projects!$B$15*Assumptions!$B$11,Projects!$B$15*INDEX(Curves!$B$4:$AO$4,1,65-Projects!$C$15+1)*Assumptions!$B$11*0.95),0)+IF(AND(Projects!$G$16="Yes",65&gt;=Projects!$C$16,65&lt;Projects!$C$16+Projects!$D$16),IF(65=Projects!$C$16+Projects!$D$16-1,Projects!$B$16*INDEX(Curves!$B$4:$AO$4,1,65-Projects!$C$16+1)*Assumptions!$B$11*0.95+0.05*Projects!$B$16*Assumptions!$B$11,Projects!$B$16*INDEX(Curves!$B$4:$AO$4,1,65-Projects!$C$16+1)*Assumptions!$B$11*0.95),0)</f>
        <v>0</v>
      </c>
      <c r="BP9" s="8">
        <f>IF(AND(Projects!$G$2="Yes",66&gt;=Projects!$C$2,66&lt;Projects!$C$2+Projects!$D$2),IF(66=Projects!$C$2+Projects!$D$2-1,Projects!$B$2*INDEX(Curves!$B$6:$AO$6,1,66-Projects!$C$2+1)*Assumptions!$B$11*0.95+0.05*Projects!$B$2*Assumptions!$B$11,Projects!$B$2*INDEX(Curves!$B$6:$AO$6,1,66-Projects!$C$2+1)*Assumptions!$B$11*0.95),0)+IF(AND(Projects!$G$3="Yes",66&gt;=Projects!$C$3,66&lt;Projects!$C$3+Projects!$D$3),IF(66=Projects!$C$3+Projects!$D$3-1,Projects!$B$3*INDEX(Curves!$B$7:$AO$7,1,66-Projects!$C$3+1)*Assumptions!$B$11*0.95+0.05*Projects!$B$3*Assumptions!$B$11,Projects!$B$3*INDEX(Curves!$B$7:$AO$7,1,66-Projects!$C$3+1)*Assumptions!$B$11*0.95),0)+IF(AND(Projects!$G$4="Yes",66&gt;=Projects!$C$4,66&lt;Projects!$C$4+Projects!$D$4),IF(66=Projects!$C$4+Projects!$D$4-1,Projects!$B$4*INDEX(Curves!$B$8:$AO$8,1,66-Projects!$C$4+1)*Assumptions!$B$11*0.95+0.05*Projects!$B$4*Assumptions!$B$11,Projects!$B$4*INDEX(Curves!$B$8:$AO$8,1,66-Projects!$C$4+1)*Assumptions!$B$11*0.95),0)+IF(AND(Projects!$G$5="Yes",66&gt;=Projects!$C$5,66&lt;Projects!$C$5+Projects!$D$5),IF(66=Projects!$C$5+Projects!$D$5-1,Projects!$B$5*INDEX(Curves!$B$9:$AO$9,1,66-Projects!$C$5+1)*Assumptions!$B$11*0.95+0.05*Projects!$B$5*Assumptions!$B$11,Projects!$B$5*INDEX(Curves!$B$9:$AO$9,1,66-Projects!$C$5+1)*Assumptions!$B$11*0.95),0)+IF(AND(Projects!$G$6="Yes",66&gt;=Projects!$C$6,66&lt;Projects!$C$6+Projects!$D$6),IF(66=Projects!$C$6+Projects!$D$6-1,Projects!$B$6*INDEX(Curves!$B$4:$AO$4,1,66-Projects!$C$6+1)*Assumptions!$B$11*0.95+0.05*Projects!$B$6*Assumptions!$B$11,Projects!$B$6*INDEX(Curves!$B$4:$AO$4,1,66-Projects!$C$6+1)*Assumptions!$B$11*0.95),0)+IF(AND(Projects!$G$7="Yes",66&gt;=Projects!$C$7,66&lt;Projects!$C$7+Projects!$D$7),IF(66=Projects!$C$7+Projects!$D$7-1,Projects!$B$7*INDEX(Curves!$B$3:$AO$3,1,66-Projects!$C$7+1)*Assumptions!$B$11*0.95+0.05*Projects!$B$7*Assumptions!$B$11,Projects!$B$7*INDEX(Curves!$B$3:$AO$3,1,66-Projects!$C$7+1)*Assumptions!$B$11*0.95),0)+IF(AND(Projects!$G$8="Yes",66&gt;=Projects!$C$8,66&lt;Projects!$C$8+Projects!$D$8),IF(66=Projects!$C$8+Projects!$D$8-1,Projects!$B$8*INDEX(Curves!$B$4:$AO$4,1,66-Projects!$C$8+1)*Assumptions!$B$11*0.95+0.05*Projects!$B$8*Assumptions!$B$11,Projects!$B$8*INDEX(Curves!$B$4:$AO$4,1,66-Projects!$C$8+1)*Assumptions!$B$11*0.95),0)+IF(AND(Projects!$G$9="Yes",66&gt;=Projects!$C$9,66&lt;Projects!$C$9+Projects!$D$9),IF(66=Projects!$C$9+Projects!$D$9-1,Projects!$B$9*INDEX(Curves!$B$2:$AO$2,1,66-Projects!$C$9+1)*Assumptions!$B$11*0.95+0.05*Projects!$B$9*Assumptions!$B$11,Projects!$B$9*INDEX(Curves!$B$2:$AO$2,1,66-Projects!$C$9+1)*Assumptions!$B$11*0.95),0)+IF(AND(Projects!$G$10="Yes",66&gt;=Projects!$C$10,66&lt;Projects!$C$10+Projects!$D$10),IF(66=Projects!$C$10+Projects!$D$10-1,Projects!$B$10*INDEX(Curves!$B$4:$AO$4,1,66-Projects!$C$10+1)*Assumptions!$B$11*0.95+0.05*Projects!$B$10*Assumptions!$B$11,Projects!$B$10*INDEX(Curves!$B$4:$AO$4,1,66-Projects!$C$10+1)*Assumptions!$B$11*0.95),0)+IF(AND(Projects!$G$11="Yes",66&gt;=Projects!$C$11,66&lt;Projects!$C$11+Projects!$D$11),IF(66=Projects!$C$11+Projects!$D$11-1,Projects!$B$11*INDEX(Curves!$B$4:$AO$4,1,66-Projects!$C$11+1)*Assumptions!$B$11*0.95+0.05*Projects!$B$11*Assumptions!$B$11,Projects!$B$11*INDEX(Curves!$B$4:$AO$4,1,66-Projects!$C$11+1)*Assumptions!$B$11*0.95),0)+IF(AND(Projects!$G$12="Yes",66&gt;=Projects!$C$12,66&lt;Projects!$C$12+Projects!$D$12),IF(66=Projects!$C$12+Projects!$D$12-1,Projects!$B$12*INDEX(Curves!$B$4:$AO$4,1,66-Projects!$C$12+1)*Assumptions!$B$11*0.95+0.05*Projects!$B$12*Assumptions!$B$11,Projects!$B$12*INDEX(Curves!$B$4:$AO$4,1,66-Projects!$C$12+1)*Assumptions!$B$11*0.95),0)+IF(AND(Projects!$G$13="Yes",66&gt;=Projects!$C$13,66&lt;Projects!$C$13+Projects!$D$13),IF(66=Projects!$C$13+Projects!$D$13-1,Projects!$B$13*INDEX(Curves!$B$2:$AO$2,1,66-Projects!$C$13+1)*Assumptions!$B$11*0.95+0.05*Projects!$B$13*Assumptions!$B$11,Projects!$B$13*INDEX(Curves!$B$2:$AO$2,1,66-Projects!$C$13+1)*Assumptions!$B$11*0.95),0)+IF(AND(Projects!$G$14="Yes",66&gt;=Projects!$C$14,66&lt;Projects!$C$14+Projects!$D$14),IF(66=Projects!$C$14+Projects!$D$14-1,Projects!$B$14*INDEX(Curves!$B$2:$AO$2,1,66-Projects!$C$14+1)*Assumptions!$B$11*0.95+0.05*Projects!$B$14*Assumptions!$B$11,Projects!$B$14*INDEX(Curves!$B$2:$AO$2,1,66-Projects!$C$14+1)*Assumptions!$B$11*0.95),0)+IF(AND(Projects!$G$15="Yes",66&gt;=Projects!$C$15,66&lt;Projects!$C$15+Projects!$D$15),IF(66=Projects!$C$15+Projects!$D$15-1,Projects!$B$15*INDEX(Curves!$B$4:$AO$4,1,66-Projects!$C$15+1)*Assumptions!$B$11*0.95+0.05*Projects!$B$15*Assumptions!$B$11,Projects!$B$15*INDEX(Curves!$B$4:$AO$4,1,66-Projects!$C$15+1)*Assumptions!$B$11*0.95),0)+IF(AND(Projects!$G$16="Yes",66&gt;=Projects!$C$16,66&lt;Projects!$C$16+Projects!$D$16),IF(66=Projects!$C$16+Projects!$D$16-1,Projects!$B$16*INDEX(Curves!$B$4:$AO$4,1,66-Projects!$C$16+1)*Assumptions!$B$11*0.95+0.05*Projects!$B$16*Assumptions!$B$11,Projects!$B$16*INDEX(Curves!$B$4:$AO$4,1,66-Projects!$C$16+1)*Assumptions!$B$11*0.95),0)</f>
        <v>0</v>
      </c>
      <c r="BQ9" s="8">
        <f>IF(AND(Projects!$G$2="Yes",67&gt;=Projects!$C$2,67&lt;Projects!$C$2+Projects!$D$2),IF(67=Projects!$C$2+Projects!$D$2-1,Projects!$B$2*INDEX(Curves!$B$6:$AO$6,1,67-Projects!$C$2+1)*Assumptions!$B$11*0.95+0.05*Projects!$B$2*Assumptions!$B$11,Projects!$B$2*INDEX(Curves!$B$6:$AO$6,1,67-Projects!$C$2+1)*Assumptions!$B$11*0.95),0)+IF(AND(Projects!$G$3="Yes",67&gt;=Projects!$C$3,67&lt;Projects!$C$3+Projects!$D$3),IF(67=Projects!$C$3+Projects!$D$3-1,Projects!$B$3*INDEX(Curves!$B$7:$AO$7,1,67-Projects!$C$3+1)*Assumptions!$B$11*0.95+0.05*Projects!$B$3*Assumptions!$B$11,Projects!$B$3*INDEX(Curves!$B$7:$AO$7,1,67-Projects!$C$3+1)*Assumptions!$B$11*0.95),0)+IF(AND(Projects!$G$4="Yes",67&gt;=Projects!$C$4,67&lt;Projects!$C$4+Projects!$D$4),IF(67=Projects!$C$4+Projects!$D$4-1,Projects!$B$4*INDEX(Curves!$B$8:$AO$8,1,67-Projects!$C$4+1)*Assumptions!$B$11*0.95+0.05*Projects!$B$4*Assumptions!$B$11,Projects!$B$4*INDEX(Curves!$B$8:$AO$8,1,67-Projects!$C$4+1)*Assumptions!$B$11*0.95),0)+IF(AND(Projects!$G$5="Yes",67&gt;=Projects!$C$5,67&lt;Projects!$C$5+Projects!$D$5),IF(67=Projects!$C$5+Projects!$D$5-1,Projects!$B$5*INDEX(Curves!$B$9:$AO$9,1,67-Projects!$C$5+1)*Assumptions!$B$11*0.95+0.05*Projects!$B$5*Assumptions!$B$11,Projects!$B$5*INDEX(Curves!$B$9:$AO$9,1,67-Projects!$C$5+1)*Assumptions!$B$11*0.95),0)+IF(AND(Projects!$G$6="Yes",67&gt;=Projects!$C$6,67&lt;Projects!$C$6+Projects!$D$6),IF(67=Projects!$C$6+Projects!$D$6-1,Projects!$B$6*INDEX(Curves!$B$4:$AO$4,1,67-Projects!$C$6+1)*Assumptions!$B$11*0.95+0.05*Projects!$B$6*Assumptions!$B$11,Projects!$B$6*INDEX(Curves!$B$4:$AO$4,1,67-Projects!$C$6+1)*Assumptions!$B$11*0.95),0)+IF(AND(Projects!$G$7="Yes",67&gt;=Projects!$C$7,67&lt;Projects!$C$7+Projects!$D$7),IF(67=Projects!$C$7+Projects!$D$7-1,Projects!$B$7*INDEX(Curves!$B$3:$AO$3,1,67-Projects!$C$7+1)*Assumptions!$B$11*0.95+0.05*Projects!$B$7*Assumptions!$B$11,Projects!$B$7*INDEX(Curves!$B$3:$AO$3,1,67-Projects!$C$7+1)*Assumptions!$B$11*0.95),0)+IF(AND(Projects!$G$8="Yes",67&gt;=Projects!$C$8,67&lt;Projects!$C$8+Projects!$D$8),IF(67=Projects!$C$8+Projects!$D$8-1,Projects!$B$8*INDEX(Curves!$B$4:$AO$4,1,67-Projects!$C$8+1)*Assumptions!$B$11*0.95+0.05*Projects!$B$8*Assumptions!$B$11,Projects!$B$8*INDEX(Curves!$B$4:$AO$4,1,67-Projects!$C$8+1)*Assumptions!$B$11*0.95),0)+IF(AND(Projects!$G$9="Yes",67&gt;=Projects!$C$9,67&lt;Projects!$C$9+Projects!$D$9),IF(67=Projects!$C$9+Projects!$D$9-1,Projects!$B$9*INDEX(Curves!$B$2:$AO$2,1,67-Projects!$C$9+1)*Assumptions!$B$11*0.95+0.05*Projects!$B$9*Assumptions!$B$11,Projects!$B$9*INDEX(Curves!$B$2:$AO$2,1,67-Projects!$C$9+1)*Assumptions!$B$11*0.95),0)+IF(AND(Projects!$G$10="Yes",67&gt;=Projects!$C$10,67&lt;Projects!$C$10+Projects!$D$10),IF(67=Projects!$C$10+Projects!$D$10-1,Projects!$B$10*INDEX(Curves!$B$4:$AO$4,1,67-Projects!$C$10+1)*Assumptions!$B$11*0.95+0.05*Projects!$B$10*Assumptions!$B$11,Projects!$B$10*INDEX(Curves!$B$4:$AO$4,1,67-Projects!$C$10+1)*Assumptions!$B$11*0.95),0)+IF(AND(Projects!$G$11="Yes",67&gt;=Projects!$C$11,67&lt;Projects!$C$11+Projects!$D$11),IF(67=Projects!$C$11+Projects!$D$11-1,Projects!$B$11*INDEX(Curves!$B$4:$AO$4,1,67-Projects!$C$11+1)*Assumptions!$B$11*0.95+0.05*Projects!$B$11*Assumptions!$B$11,Projects!$B$11*INDEX(Curves!$B$4:$AO$4,1,67-Projects!$C$11+1)*Assumptions!$B$11*0.95),0)+IF(AND(Projects!$G$12="Yes",67&gt;=Projects!$C$12,67&lt;Projects!$C$12+Projects!$D$12),IF(67=Projects!$C$12+Projects!$D$12-1,Projects!$B$12*INDEX(Curves!$B$4:$AO$4,1,67-Projects!$C$12+1)*Assumptions!$B$11*0.95+0.05*Projects!$B$12*Assumptions!$B$11,Projects!$B$12*INDEX(Curves!$B$4:$AO$4,1,67-Projects!$C$12+1)*Assumptions!$B$11*0.95),0)+IF(AND(Projects!$G$13="Yes",67&gt;=Projects!$C$13,67&lt;Projects!$C$13+Projects!$D$13),IF(67=Projects!$C$13+Projects!$D$13-1,Projects!$B$13*INDEX(Curves!$B$2:$AO$2,1,67-Projects!$C$13+1)*Assumptions!$B$11*0.95+0.05*Projects!$B$13*Assumptions!$B$11,Projects!$B$13*INDEX(Curves!$B$2:$AO$2,1,67-Projects!$C$13+1)*Assumptions!$B$11*0.95),0)+IF(AND(Projects!$G$14="Yes",67&gt;=Projects!$C$14,67&lt;Projects!$C$14+Projects!$D$14),IF(67=Projects!$C$14+Projects!$D$14-1,Projects!$B$14*INDEX(Curves!$B$2:$AO$2,1,67-Projects!$C$14+1)*Assumptions!$B$11*0.95+0.05*Projects!$B$14*Assumptions!$B$11,Projects!$B$14*INDEX(Curves!$B$2:$AO$2,1,67-Projects!$C$14+1)*Assumptions!$B$11*0.95),0)+IF(AND(Projects!$G$15="Yes",67&gt;=Projects!$C$15,67&lt;Projects!$C$15+Projects!$D$15),IF(67=Projects!$C$15+Projects!$D$15-1,Projects!$B$15*INDEX(Curves!$B$4:$AO$4,1,67-Projects!$C$15+1)*Assumptions!$B$11*0.95+0.05*Projects!$B$15*Assumptions!$B$11,Projects!$B$15*INDEX(Curves!$B$4:$AO$4,1,67-Projects!$C$15+1)*Assumptions!$B$11*0.95),0)+IF(AND(Projects!$G$16="Yes",67&gt;=Projects!$C$16,67&lt;Projects!$C$16+Projects!$D$16),IF(67=Projects!$C$16+Projects!$D$16-1,Projects!$B$16*INDEX(Curves!$B$4:$AO$4,1,67-Projects!$C$16+1)*Assumptions!$B$11*0.95+0.05*Projects!$B$16*Assumptions!$B$11,Projects!$B$16*INDEX(Curves!$B$4:$AO$4,1,67-Projects!$C$16+1)*Assumptions!$B$11*0.95),0)</f>
        <v>0</v>
      </c>
      <c r="BR9" s="8">
        <f>IF(AND(Projects!$G$2="Yes",68&gt;=Projects!$C$2,68&lt;Projects!$C$2+Projects!$D$2),IF(68=Projects!$C$2+Projects!$D$2-1,Projects!$B$2*INDEX(Curves!$B$6:$AO$6,1,68-Projects!$C$2+1)*Assumptions!$B$11*0.95+0.05*Projects!$B$2*Assumptions!$B$11,Projects!$B$2*INDEX(Curves!$B$6:$AO$6,1,68-Projects!$C$2+1)*Assumptions!$B$11*0.95),0)+IF(AND(Projects!$G$3="Yes",68&gt;=Projects!$C$3,68&lt;Projects!$C$3+Projects!$D$3),IF(68=Projects!$C$3+Projects!$D$3-1,Projects!$B$3*INDEX(Curves!$B$7:$AO$7,1,68-Projects!$C$3+1)*Assumptions!$B$11*0.95+0.05*Projects!$B$3*Assumptions!$B$11,Projects!$B$3*INDEX(Curves!$B$7:$AO$7,1,68-Projects!$C$3+1)*Assumptions!$B$11*0.95),0)+IF(AND(Projects!$G$4="Yes",68&gt;=Projects!$C$4,68&lt;Projects!$C$4+Projects!$D$4),IF(68=Projects!$C$4+Projects!$D$4-1,Projects!$B$4*INDEX(Curves!$B$8:$AO$8,1,68-Projects!$C$4+1)*Assumptions!$B$11*0.95+0.05*Projects!$B$4*Assumptions!$B$11,Projects!$B$4*INDEX(Curves!$B$8:$AO$8,1,68-Projects!$C$4+1)*Assumptions!$B$11*0.95),0)+IF(AND(Projects!$G$5="Yes",68&gt;=Projects!$C$5,68&lt;Projects!$C$5+Projects!$D$5),IF(68=Projects!$C$5+Projects!$D$5-1,Projects!$B$5*INDEX(Curves!$B$9:$AO$9,1,68-Projects!$C$5+1)*Assumptions!$B$11*0.95+0.05*Projects!$B$5*Assumptions!$B$11,Projects!$B$5*INDEX(Curves!$B$9:$AO$9,1,68-Projects!$C$5+1)*Assumptions!$B$11*0.95),0)+IF(AND(Projects!$G$6="Yes",68&gt;=Projects!$C$6,68&lt;Projects!$C$6+Projects!$D$6),IF(68=Projects!$C$6+Projects!$D$6-1,Projects!$B$6*INDEX(Curves!$B$4:$AO$4,1,68-Projects!$C$6+1)*Assumptions!$B$11*0.95+0.05*Projects!$B$6*Assumptions!$B$11,Projects!$B$6*INDEX(Curves!$B$4:$AO$4,1,68-Projects!$C$6+1)*Assumptions!$B$11*0.95),0)+IF(AND(Projects!$G$7="Yes",68&gt;=Projects!$C$7,68&lt;Projects!$C$7+Projects!$D$7),IF(68=Projects!$C$7+Projects!$D$7-1,Projects!$B$7*INDEX(Curves!$B$3:$AO$3,1,68-Projects!$C$7+1)*Assumptions!$B$11*0.95+0.05*Projects!$B$7*Assumptions!$B$11,Projects!$B$7*INDEX(Curves!$B$3:$AO$3,1,68-Projects!$C$7+1)*Assumptions!$B$11*0.95),0)+IF(AND(Projects!$G$8="Yes",68&gt;=Projects!$C$8,68&lt;Projects!$C$8+Projects!$D$8),IF(68=Projects!$C$8+Projects!$D$8-1,Projects!$B$8*INDEX(Curves!$B$4:$AO$4,1,68-Projects!$C$8+1)*Assumptions!$B$11*0.95+0.05*Projects!$B$8*Assumptions!$B$11,Projects!$B$8*INDEX(Curves!$B$4:$AO$4,1,68-Projects!$C$8+1)*Assumptions!$B$11*0.95),0)+IF(AND(Projects!$G$9="Yes",68&gt;=Projects!$C$9,68&lt;Projects!$C$9+Projects!$D$9),IF(68=Projects!$C$9+Projects!$D$9-1,Projects!$B$9*INDEX(Curves!$B$2:$AO$2,1,68-Projects!$C$9+1)*Assumptions!$B$11*0.95+0.05*Projects!$B$9*Assumptions!$B$11,Projects!$B$9*INDEX(Curves!$B$2:$AO$2,1,68-Projects!$C$9+1)*Assumptions!$B$11*0.95),0)+IF(AND(Projects!$G$10="Yes",68&gt;=Projects!$C$10,68&lt;Projects!$C$10+Projects!$D$10),IF(68=Projects!$C$10+Projects!$D$10-1,Projects!$B$10*INDEX(Curves!$B$4:$AO$4,1,68-Projects!$C$10+1)*Assumptions!$B$11*0.95+0.05*Projects!$B$10*Assumptions!$B$11,Projects!$B$10*INDEX(Curves!$B$4:$AO$4,1,68-Projects!$C$10+1)*Assumptions!$B$11*0.95),0)+IF(AND(Projects!$G$11="Yes",68&gt;=Projects!$C$11,68&lt;Projects!$C$11+Projects!$D$11),IF(68=Projects!$C$11+Projects!$D$11-1,Projects!$B$11*INDEX(Curves!$B$4:$AO$4,1,68-Projects!$C$11+1)*Assumptions!$B$11*0.95+0.05*Projects!$B$11*Assumptions!$B$11,Projects!$B$11*INDEX(Curves!$B$4:$AO$4,1,68-Projects!$C$11+1)*Assumptions!$B$11*0.95),0)+IF(AND(Projects!$G$12="Yes",68&gt;=Projects!$C$12,68&lt;Projects!$C$12+Projects!$D$12),IF(68=Projects!$C$12+Projects!$D$12-1,Projects!$B$12*INDEX(Curves!$B$4:$AO$4,1,68-Projects!$C$12+1)*Assumptions!$B$11*0.95+0.05*Projects!$B$12*Assumptions!$B$11,Projects!$B$12*INDEX(Curves!$B$4:$AO$4,1,68-Projects!$C$12+1)*Assumptions!$B$11*0.95),0)+IF(AND(Projects!$G$13="Yes",68&gt;=Projects!$C$13,68&lt;Projects!$C$13+Projects!$D$13),IF(68=Projects!$C$13+Projects!$D$13-1,Projects!$B$13*INDEX(Curves!$B$2:$AO$2,1,68-Projects!$C$13+1)*Assumptions!$B$11*0.95+0.05*Projects!$B$13*Assumptions!$B$11,Projects!$B$13*INDEX(Curves!$B$2:$AO$2,1,68-Projects!$C$13+1)*Assumptions!$B$11*0.95),0)+IF(AND(Projects!$G$14="Yes",68&gt;=Projects!$C$14,68&lt;Projects!$C$14+Projects!$D$14),IF(68=Projects!$C$14+Projects!$D$14-1,Projects!$B$14*INDEX(Curves!$B$2:$AO$2,1,68-Projects!$C$14+1)*Assumptions!$B$11*0.95+0.05*Projects!$B$14*Assumptions!$B$11,Projects!$B$14*INDEX(Curves!$B$2:$AO$2,1,68-Projects!$C$14+1)*Assumptions!$B$11*0.95),0)+IF(AND(Projects!$G$15="Yes",68&gt;=Projects!$C$15,68&lt;Projects!$C$15+Projects!$D$15),IF(68=Projects!$C$15+Projects!$D$15-1,Projects!$B$15*INDEX(Curves!$B$4:$AO$4,1,68-Projects!$C$15+1)*Assumptions!$B$11*0.95+0.05*Projects!$B$15*Assumptions!$B$11,Projects!$B$15*INDEX(Curves!$B$4:$AO$4,1,68-Projects!$C$15+1)*Assumptions!$B$11*0.95),0)+IF(AND(Projects!$G$16="Yes",68&gt;=Projects!$C$16,68&lt;Projects!$C$16+Projects!$D$16),IF(68=Projects!$C$16+Projects!$D$16-1,Projects!$B$16*INDEX(Curves!$B$4:$AO$4,1,68-Projects!$C$16+1)*Assumptions!$B$11*0.95+0.05*Projects!$B$16*Assumptions!$B$11,Projects!$B$16*INDEX(Curves!$B$4:$AO$4,1,68-Projects!$C$16+1)*Assumptions!$B$11*0.95),0)</f>
        <v>0</v>
      </c>
      <c r="BS9" s="8">
        <f>IF(AND(Projects!$G$2="Yes",69&gt;=Projects!$C$2,69&lt;Projects!$C$2+Projects!$D$2),IF(69=Projects!$C$2+Projects!$D$2-1,Projects!$B$2*INDEX(Curves!$B$6:$AO$6,1,69-Projects!$C$2+1)*Assumptions!$B$11*0.95+0.05*Projects!$B$2*Assumptions!$B$11,Projects!$B$2*INDEX(Curves!$B$6:$AO$6,1,69-Projects!$C$2+1)*Assumptions!$B$11*0.95),0)+IF(AND(Projects!$G$3="Yes",69&gt;=Projects!$C$3,69&lt;Projects!$C$3+Projects!$D$3),IF(69=Projects!$C$3+Projects!$D$3-1,Projects!$B$3*INDEX(Curves!$B$7:$AO$7,1,69-Projects!$C$3+1)*Assumptions!$B$11*0.95+0.05*Projects!$B$3*Assumptions!$B$11,Projects!$B$3*INDEX(Curves!$B$7:$AO$7,1,69-Projects!$C$3+1)*Assumptions!$B$11*0.95),0)+IF(AND(Projects!$G$4="Yes",69&gt;=Projects!$C$4,69&lt;Projects!$C$4+Projects!$D$4),IF(69=Projects!$C$4+Projects!$D$4-1,Projects!$B$4*INDEX(Curves!$B$8:$AO$8,1,69-Projects!$C$4+1)*Assumptions!$B$11*0.95+0.05*Projects!$B$4*Assumptions!$B$11,Projects!$B$4*INDEX(Curves!$B$8:$AO$8,1,69-Projects!$C$4+1)*Assumptions!$B$11*0.95),0)+IF(AND(Projects!$G$5="Yes",69&gt;=Projects!$C$5,69&lt;Projects!$C$5+Projects!$D$5),IF(69=Projects!$C$5+Projects!$D$5-1,Projects!$B$5*INDEX(Curves!$B$9:$AO$9,1,69-Projects!$C$5+1)*Assumptions!$B$11*0.95+0.05*Projects!$B$5*Assumptions!$B$11,Projects!$B$5*INDEX(Curves!$B$9:$AO$9,1,69-Projects!$C$5+1)*Assumptions!$B$11*0.95),0)+IF(AND(Projects!$G$6="Yes",69&gt;=Projects!$C$6,69&lt;Projects!$C$6+Projects!$D$6),IF(69=Projects!$C$6+Projects!$D$6-1,Projects!$B$6*INDEX(Curves!$B$4:$AO$4,1,69-Projects!$C$6+1)*Assumptions!$B$11*0.95+0.05*Projects!$B$6*Assumptions!$B$11,Projects!$B$6*INDEX(Curves!$B$4:$AO$4,1,69-Projects!$C$6+1)*Assumptions!$B$11*0.95),0)+IF(AND(Projects!$G$7="Yes",69&gt;=Projects!$C$7,69&lt;Projects!$C$7+Projects!$D$7),IF(69=Projects!$C$7+Projects!$D$7-1,Projects!$B$7*INDEX(Curves!$B$3:$AO$3,1,69-Projects!$C$7+1)*Assumptions!$B$11*0.95+0.05*Projects!$B$7*Assumptions!$B$11,Projects!$B$7*INDEX(Curves!$B$3:$AO$3,1,69-Projects!$C$7+1)*Assumptions!$B$11*0.95),0)+IF(AND(Projects!$G$8="Yes",69&gt;=Projects!$C$8,69&lt;Projects!$C$8+Projects!$D$8),IF(69=Projects!$C$8+Projects!$D$8-1,Projects!$B$8*INDEX(Curves!$B$4:$AO$4,1,69-Projects!$C$8+1)*Assumptions!$B$11*0.95+0.05*Projects!$B$8*Assumptions!$B$11,Projects!$B$8*INDEX(Curves!$B$4:$AO$4,1,69-Projects!$C$8+1)*Assumptions!$B$11*0.95),0)+IF(AND(Projects!$G$9="Yes",69&gt;=Projects!$C$9,69&lt;Projects!$C$9+Projects!$D$9),IF(69=Projects!$C$9+Projects!$D$9-1,Projects!$B$9*INDEX(Curves!$B$2:$AO$2,1,69-Projects!$C$9+1)*Assumptions!$B$11*0.95+0.05*Projects!$B$9*Assumptions!$B$11,Projects!$B$9*INDEX(Curves!$B$2:$AO$2,1,69-Projects!$C$9+1)*Assumptions!$B$11*0.95),0)+IF(AND(Projects!$G$10="Yes",69&gt;=Projects!$C$10,69&lt;Projects!$C$10+Projects!$D$10),IF(69=Projects!$C$10+Projects!$D$10-1,Projects!$B$10*INDEX(Curves!$B$4:$AO$4,1,69-Projects!$C$10+1)*Assumptions!$B$11*0.95+0.05*Projects!$B$10*Assumptions!$B$11,Projects!$B$10*INDEX(Curves!$B$4:$AO$4,1,69-Projects!$C$10+1)*Assumptions!$B$11*0.95),0)+IF(AND(Projects!$G$11="Yes",69&gt;=Projects!$C$11,69&lt;Projects!$C$11+Projects!$D$11),IF(69=Projects!$C$11+Projects!$D$11-1,Projects!$B$11*INDEX(Curves!$B$4:$AO$4,1,69-Projects!$C$11+1)*Assumptions!$B$11*0.95+0.05*Projects!$B$11*Assumptions!$B$11,Projects!$B$11*INDEX(Curves!$B$4:$AO$4,1,69-Projects!$C$11+1)*Assumptions!$B$11*0.95),0)+IF(AND(Projects!$G$12="Yes",69&gt;=Projects!$C$12,69&lt;Projects!$C$12+Projects!$D$12),IF(69=Projects!$C$12+Projects!$D$12-1,Projects!$B$12*INDEX(Curves!$B$4:$AO$4,1,69-Projects!$C$12+1)*Assumptions!$B$11*0.95+0.05*Projects!$B$12*Assumptions!$B$11,Projects!$B$12*INDEX(Curves!$B$4:$AO$4,1,69-Projects!$C$12+1)*Assumptions!$B$11*0.95),0)+IF(AND(Projects!$G$13="Yes",69&gt;=Projects!$C$13,69&lt;Projects!$C$13+Projects!$D$13),IF(69=Projects!$C$13+Projects!$D$13-1,Projects!$B$13*INDEX(Curves!$B$2:$AO$2,1,69-Projects!$C$13+1)*Assumptions!$B$11*0.95+0.05*Projects!$B$13*Assumptions!$B$11,Projects!$B$13*INDEX(Curves!$B$2:$AO$2,1,69-Projects!$C$13+1)*Assumptions!$B$11*0.95),0)+IF(AND(Projects!$G$14="Yes",69&gt;=Projects!$C$14,69&lt;Projects!$C$14+Projects!$D$14),IF(69=Projects!$C$14+Projects!$D$14-1,Projects!$B$14*INDEX(Curves!$B$2:$AO$2,1,69-Projects!$C$14+1)*Assumptions!$B$11*0.95+0.05*Projects!$B$14*Assumptions!$B$11,Projects!$B$14*INDEX(Curves!$B$2:$AO$2,1,69-Projects!$C$14+1)*Assumptions!$B$11*0.95),0)+IF(AND(Projects!$G$15="Yes",69&gt;=Projects!$C$15,69&lt;Projects!$C$15+Projects!$D$15),IF(69=Projects!$C$15+Projects!$D$15-1,Projects!$B$15*INDEX(Curves!$B$4:$AO$4,1,69-Projects!$C$15+1)*Assumptions!$B$11*0.95+0.05*Projects!$B$15*Assumptions!$B$11,Projects!$B$15*INDEX(Curves!$B$4:$AO$4,1,69-Projects!$C$15+1)*Assumptions!$B$11*0.95),0)+IF(AND(Projects!$G$16="Yes",69&gt;=Projects!$C$16,69&lt;Projects!$C$16+Projects!$D$16),IF(69=Projects!$C$16+Projects!$D$16-1,Projects!$B$16*INDEX(Curves!$B$4:$AO$4,1,69-Projects!$C$16+1)*Assumptions!$B$11*0.95+0.05*Projects!$B$16*Assumptions!$B$11,Projects!$B$16*INDEX(Curves!$B$4:$AO$4,1,69-Projects!$C$16+1)*Assumptions!$B$11*0.95),0)</f>
        <v>0</v>
      </c>
      <c r="BT9" s="8">
        <f>IF(AND(Projects!$G$2="Yes",70&gt;=Projects!$C$2,70&lt;Projects!$C$2+Projects!$D$2),IF(70=Projects!$C$2+Projects!$D$2-1,Projects!$B$2*INDEX(Curves!$B$6:$AO$6,1,70-Projects!$C$2+1)*Assumptions!$B$11*0.95+0.05*Projects!$B$2*Assumptions!$B$11,Projects!$B$2*INDEX(Curves!$B$6:$AO$6,1,70-Projects!$C$2+1)*Assumptions!$B$11*0.95),0)+IF(AND(Projects!$G$3="Yes",70&gt;=Projects!$C$3,70&lt;Projects!$C$3+Projects!$D$3),IF(70=Projects!$C$3+Projects!$D$3-1,Projects!$B$3*INDEX(Curves!$B$7:$AO$7,1,70-Projects!$C$3+1)*Assumptions!$B$11*0.95+0.05*Projects!$B$3*Assumptions!$B$11,Projects!$B$3*INDEX(Curves!$B$7:$AO$7,1,70-Projects!$C$3+1)*Assumptions!$B$11*0.95),0)+IF(AND(Projects!$G$4="Yes",70&gt;=Projects!$C$4,70&lt;Projects!$C$4+Projects!$D$4),IF(70=Projects!$C$4+Projects!$D$4-1,Projects!$B$4*INDEX(Curves!$B$8:$AO$8,1,70-Projects!$C$4+1)*Assumptions!$B$11*0.95+0.05*Projects!$B$4*Assumptions!$B$11,Projects!$B$4*INDEX(Curves!$B$8:$AO$8,1,70-Projects!$C$4+1)*Assumptions!$B$11*0.95),0)+IF(AND(Projects!$G$5="Yes",70&gt;=Projects!$C$5,70&lt;Projects!$C$5+Projects!$D$5),IF(70=Projects!$C$5+Projects!$D$5-1,Projects!$B$5*INDEX(Curves!$B$9:$AO$9,1,70-Projects!$C$5+1)*Assumptions!$B$11*0.95+0.05*Projects!$B$5*Assumptions!$B$11,Projects!$B$5*INDEX(Curves!$B$9:$AO$9,1,70-Projects!$C$5+1)*Assumptions!$B$11*0.95),0)+IF(AND(Projects!$G$6="Yes",70&gt;=Projects!$C$6,70&lt;Projects!$C$6+Projects!$D$6),IF(70=Projects!$C$6+Projects!$D$6-1,Projects!$B$6*INDEX(Curves!$B$4:$AO$4,1,70-Projects!$C$6+1)*Assumptions!$B$11*0.95+0.05*Projects!$B$6*Assumptions!$B$11,Projects!$B$6*INDEX(Curves!$B$4:$AO$4,1,70-Projects!$C$6+1)*Assumptions!$B$11*0.95),0)+IF(AND(Projects!$G$7="Yes",70&gt;=Projects!$C$7,70&lt;Projects!$C$7+Projects!$D$7),IF(70=Projects!$C$7+Projects!$D$7-1,Projects!$B$7*INDEX(Curves!$B$3:$AO$3,1,70-Projects!$C$7+1)*Assumptions!$B$11*0.95+0.05*Projects!$B$7*Assumptions!$B$11,Projects!$B$7*INDEX(Curves!$B$3:$AO$3,1,70-Projects!$C$7+1)*Assumptions!$B$11*0.95),0)+IF(AND(Projects!$G$8="Yes",70&gt;=Projects!$C$8,70&lt;Projects!$C$8+Projects!$D$8),IF(70=Projects!$C$8+Projects!$D$8-1,Projects!$B$8*INDEX(Curves!$B$4:$AO$4,1,70-Projects!$C$8+1)*Assumptions!$B$11*0.95+0.05*Projects!$B$8*Assumptions!$B$11,Projects!$B$8*INDEX(Curves!$B$4:$AO$4,1,70-Projects!$C$8+1)*Assumptions!$B$11*0.95),0)+IF(AND(Projects!$G$9="Yes",70&gt;=Projects!$C$9,70&lt;Projects!$C$9+Projects!$D$9),IF(70=Projects!$C$9+Projects!$D$9-1,Projects!$B$9*INDEX(Curves!$B$2:$AO$2,1,70-Projects!$C$9+1)*Assumptions!$B$11*0.95+0.05*Projects!$B$9*Assumptions!$B$11,Projects!$B$9*INDEX(Curves!$B$2:$AO$2,1,70-Projects!$C$9+1)*Assumptions!$B$11*0.95),0)+IF(AND(Projects!$G$10="Yes",70&gt;=Projects!$C$10,70&lt;Projects!$C$10+Projects!$D$10),IF(70=Projects!$C$10+Projects!$D$10-1,Projects!$B$10*INDEX(Curves!$B$4:$AO$4,1,70-Projects!$C$10+1)*Assumptions!$B$11*0.95+0.05*Projects!$B$10*Assumptions!$B$11,Projects!$B$10*INDEX(Curves!$B$4:$AO$4,1,70-Projects!$C$10+1)*Assumptions!$B$11*0.95),0)+IF(AND(Projects!$G$11="Yes",70&gt;=Projects!$C$11,70&lt;Projects!$C$11+Projects!$D$11),IF(70=Projects!$C$11+Projects!$D$11-1,Projects!$B$11*INDEX(Curves!$B$4:$AO$4,1,70-Projects!$C$11+1)*Assumptions!$B$11*0.95+0.05*Projects!$B$11*Assumptions!$B$11,Projects!$B$11*INDEX(Curves!$B$4:$AO$4,1,70-Projects!$C$11+1)*Assumptions!$B$11*0.95),0)+IF(AND(Projects!$G$12="Yes",70&gt;=Projects!$C$12,70&lt;Projects!$C$12+Projects!$D$12),IF(70=Projects!$C$12+Projects!$D$12-1,Projects!$B$12*INDEX(Curves!$B$4:$AO$4,1,70-Projects!$C$12+1)*Assumptions!$B$11*0.95+0.05*Projects!$B$12*Assumptions!$B$11,Projects!$B$12*INDEX(Curves!$B$4:$AO$4,1,70-Projects!$C$12+1)*Assumptions!$B$11*0.95),0)+IF(AND(Projects!$G$13="Yes",70&gt;=Projects!$C$13,70&lt;Projects!$C$13+Projects!$D$13),IF(70=Projects!$C$13+Projects!$D$13-1,Projects!$B$13*INDEX(Curves!$B$2:$AO$2,1,70-Projects!$C$13+1)*Assumptions!$B$11*0.95+0.05*Projects!$B$13*Assumptions!$B$11,Projects!$B$13*INDEX(Curves!$B$2:$AO$2,1,70-Projects!$C$13+1)*Assumptions!$B$11*0.95),0)+IF(AND(Projects!$G$14="Yes",70&gt;=Projects!$C$14,70&lt;Projects!$C$14+Projects!$D$14),IF(70=Projects!$C$14+Projects!$D$14-1,Projects!$B$14*INDEX(Curves!$B$2:$AO$2,1,70-Projects!$C$14+1)*Assumptions!$B$11*0.95+0.05*Projects!$B$14*Assumptions!$B$11,Projects!$B$14*INDEX(Curves!$B$2:$AO$2,1,70-Projects!$C$14+1)*Assumptions!$B$11*0.95),0)+IF(AND(Projects!$G$15="Yes",70&gt;=Projects!$C$15,70&lt;Projects!$C$15+Projects!$D$15),IF(70=Projects!$C$15+Projects!$D$15-1,Projects!$B$15*INDEX(Curves!$B$4:$AO$4,1,70-Projects!$C$15+1)*Assumptions!$B$11*0.95+0.05*Projects!$B$15*Assumptions!$B$11,Projects!$B$15*INDEX(Curves!$B$4:$AO$4,1,70-Projects!$C$15+1)*Assumptions!$B$11*0.95),0)+IF(AND(Projects!$G$16="Yes",70&gt;=Projects!$C$16,70&lt;Projects!$C$16+Projects!$D$16),IF(70=Projects!$C$16+Projects!$D$16-1,Projects!$B$16*INDEX(Curves!$B$4:$AO$4,1,70-Projects!$C$16+1)*Assumptions!$B$11*0.95+0.05*Projects!$B$16*Assumptions!$B$11,Projects!$B$16*INDEX(Curves!$B$4:$AO$4,1,70-Projects!$C$16+1)*Assumptions!$B$11*0.95),0)</f>
        <v>0</v>
      </c>
      <c r="BU9" s="8">
        <f>IF(AND(Projects!$G$2="Yes",71&gt;=Projects!$C$2,71&lt;Projects!$C$2+Projects!$D$2),IF(71=Projects!$C$2+Projects!$D$2-1,Projects!$B$2*INDEX(Curves!$B$6:$AO$6,1,71-Projects!$C$2+1)*Assumptions!$B$11*0.95+0.05*Projects!$B$2*Assumptions!$B$11,Projects!$B$2*INDEX(Curves!$B$6:$AO$6,1,71-Projects!$C$2+1)*Assumptions!$B$11*0.95),0)+IF(AND(Projects!$G$3="Yes",71&gt;=Projects!$C$3,71&lt;Projects!$C$3+Projects!$D$3),IF(71=Projects!$C$3+Projects!$D$3-1,Projects!$B$3*INDEX(Curves!$B$7:$AO$7,1,71-Projects!$C$3+1)*Assumptions!$B$11*0.95+0.05*Projects!$B$3*Assumptions!$B$11,Projects!$B$3*INDEX(Curves!$B$7:$AO$7,1,71-Projects!$C$3+1)*Assumptions!$B$11*0.95),0)+IF(AND(Projects!$G$4="Yes",71&gt;=Projects!$C$4,71&lt;Projects!$C$4+Projects!$D$4),IF(71=Projects!$C$4+Projects!$D$4-1,Projects!$B$4*INDEX(Curves!$B$8:$AO$8,1,71-Projects!$C$4+1)*Assumptions!$B$11*0.95+0.05*Projects!$B$4*Assumptions!$B$11,Projects!$B$4*INDEX(Curves!$B$8:$AO$8,1,71-Projects!$C$4+1)*Assumptions!$B$11*0.95),0)+IF(AND(Projects!$G$5="Yes",71&gt;=Projects!$C$5,71&lt;Projects!$C$5+Projects!$D$5),IF(71=Projects!$C$5+Projects!$D$5-1,Projects!$B$5*INDEX(Curves!$B$9:$AO$9,1,71-Projects!$C$5+1)*Assumptions!$B$11*0.95+0.05*Projects!$B$5*Assumptions!$B$11,Projects!$B$5*INDEX(Curves!$B$9:$AO$9,1,71-Projects!$C$5+1)*Assumptions!$B$11*0.95),0)+IF(AND(Projects!$G$6="Yes",71&gt;=Projects!$C$6,71&lt;Projects!$C$6+Projects!$D$6),IF(71=Projects!$C$6+Projects!$D$6-1,Projects!$B$6*INDEX(Curves!$B$4:$AO$4,1,71-Projects!$C$6+1)*Assumptions!$B$11*0.95+0.05*Projects!$B$6*Assumptions!$B$11,Projects!$B$6*INDEX(Curves!$B$4:$AO$4,1,71-Projects!$C$6+1)*Assumptions!$B$11*0.95),0)+IF(AND(Projects!$G$7="Yes",71&gt;=Projects!$C$7,71&lt;Projects!$C$7+Projects!$D$7),IF(71=Projects!$C$7+Projects!$D$7-1,Projects!$B$7*INDEX(Curves!$B$3:$AO$3,1,71-Projects!$C$7+1)*Assumptions!$B$11*0.95+0.05*Projects!$B$7*Assumptions!$B$11,Projects!$B$7*INDEX(Curves!$B$3:$AO$3,1,71-Projects!$C$7+1)*Assumptions!$B$11*0.95),0)+IF(AND(Projects!$G$8="Yes",71&gt;=Projects!$C$8,71&lt;Projects!$C$8+Projects!$D$8),IF(71=Projects!$C$8+Projects!$D$8-1,Projects!$B$8*INDEX(Curves!$B$4:$AO$4,1,71-Projects!$C$8+1)*Assumptions!$B$11*0.95+0.05*Projects!$B$8*Assumptions!$B$11,Projects!$B$8*INDEX(Curves!$B$4:$AO$4,1,71-Projects!$C$8+1)*Assumptions!$B$11*0.95),0)+IF(AND(Projects!$G$9="Yes",71&gt;=Projects!$C$9,71&lt;Projects!$C$9+Projects!$D$9),IF(71=Projects!$C$9+Projects!$D$9-1,Projects!$B$9*INDEX(Curves!$B$2:$AO$2,1,71-Projects!$C$9+1)*Assumptions!$B$11*0.95+0.05*Projects!$B$9*Assumptions!$B$11,Projects!$B$9*INDEX(Curves!$B$2:$AO$2,1,71-Projects!$C$9+1)*Assumptions!$B$11*0.95),0)+IF(AND(Projects!$G$10="Yes",71&gt;=Projects!$C$10,71&lt;Projects!$C$10+Projects!$D$10),IF(71=Projects!$C$10+Projects!$D$10-1,Projects!$B$10*INDEX(Curves!$B$4:$AO$4,1,71-Projects!$C$10+1)*Assumptions!$B$11*0.95+0.05*Projects!$B$10*Assumptions!$B$11,Projects!$B$10*INDEX(Curves!$B$4:$AO$4,1,71-Projects!$C$10+1)*Assumptions!$B$11*0.95),0)+IF(AND(Projects!$G$11="Yes",71&gt;=Projects!$C$11,71&lt;Projects!$C$11+Projects!$D$11),IF(71=Projects!$C$11+Projects!$D$11-1,Projects!$B$11*INDEX(Curves!$B$4:$AO$4,1,71-Projects!$C$11+1)*Assumptions!$B$11*0.95+0.05*Projects!$B$11*Assumptions!$B$11,Projects!$B$11*INDEX(Curves!$B$4:$AO$4,1,71-Projects!$C$11+1)*Assumptions!$B$11*0.95),0)+IF(AND(Projects!$G$12="Yes",71&gt;=Projects!$C$12,71&lt;Projects!$C$12+Projects!$D$12),IF(71=Projects!$C$12+Projects!$D$12-1,Projects!$B$12*INDEX(Curves!$B$4:$AO$4,1,71-Projects!$C$12+1)*Assumptions!$B$11*0.95+0.05*Projects!$B$12*Assumptions!$B$11,Projects!$B$12*INDEX(Curves!$B$4:$AO$4,1,71-Projects!$C$12+1)*Assumptions!$B$11*0.95),0)+IF(AND(Projects!$G$13="Yes",71&gt;=Projects!$C$13,71&lt;Projects!$C$13+Projects!$D$13),IF(71=Projects!$C$13+Projects!$D$13-1,Projects!$B$13*INDEX(Curves!$B$2:$AO$2,1,71-Projects!$C$13+1)*Assumptions!$B$11*0.95+0.05*Projects!$B$13*Assumptions!$B$11,Projects!$B$13*INDEX(Curves!$B$2:$AO$2,1,71-Projects!$C$13+1)*Assumptions!$B$11*0.95),0)+IF(AND(Projects!$G$14="Yes",71&gt;=Projects!$C$14,71&lt;Projects!$C$14+Projects!$D$14),IF(71=Projects!$C$14+Projects!$D$14-1,Projects!$B$14*INDEX(Curves!$B$2:$AO$2,1,71-Projects!$C$14+1)*Assumptions!$B$11*0.95+0.05*Projects!$B$14*Assumptions!$B$11,Projects!$B$14*INDEX(Curves!$B$2:$AO$2,1,71-Projects!$C$14+1)*Assumptions!$B$11*0.95),0)+IF(AND(Projects!$G$15="Yes",71&gt;=Projects!$C$15,71&lt;Projects!$C$15+Projects!$D$15),IF(71=Projects!$C$15+Projects!$D$15-1,Projects!$B$15*INDEX(Curves!$B$4:$AO$4,1,71-Projects!$C$15+1)*Assumptions!$B$11*0.95+0.05*Projects!$B$15*Assumptions!$B$11,Projects!$B$15*INDEX(Curves!$B$4:$AO$4,1,71-Projects!$C$15+1)*Assumptions!$B$11*0.95),0)+IF(AND(Projects!$G$16="Yes",71&gt;=Projects!$C$16,71&lt;Projects!$C$16+Projects!$D$16),IF(71=Projects!$C$16+Projects!$D$16-1,Projects!$B$16*INDEX(Curves!$B$4:$AO$4,1,71-Projects!$C$16+1)*Assumptions!$B$11*0.95+0.05*Projects!$B$16*Assumptions!$B$11,Projects!$B$16*INDEX(Curves!$B$4:$AO$4,1,71-Projects!$C$16+1)*Assumptions!$B$11*0.95),0)</f>
        <v>0</v>
      </c>
      <c r="BV9" s="8">
        <f>IF(AND(Projects!$G$2="Yes",72&gt;=Projects!$C$2,72&lt;Projects!$C$2+Projects!$D$2),IF(72=Projects!$C$2+Projects!$D$2-1,Projects!$B$2*INDEX(Curves!$B$6:$AO$6,1,72-Projects!$C$2+1)*Assumptions!$B$11*0.95+0.05*Projects!$B$2*Assumptions!$B$11,Projects!$B$2*INDEX(Curves!$B$6:$AO$6,1,72-Projects!$C$2+1)*Assumptions!$B$11*0.95),0)+IF(AND(Projects!$G$3="Yes",72&gt;=Projects!$C$3,72&lt;Projects!$C$3+Projects!$D$3),IF(72=Projects!$C$3+Projects!$D$3-1,Projects!$B$3*INDEX(Curves!$B$7:$AO$7,1,72-Projects!$C$3+1)*Assumptions!$B$11*0.95+0.05*Projects!$B$3*Assumptions!$B$11,Projects!$B$3*INDEX(Curves!$B$7:$AO$7,1,72-Projects!$C$3+1)*Assumptions!$B$11*0.95),0)+IF(AND(Projects!$G$4="Yes",72&gt;=Projects!$C$4,72&lt;Projects!$C$4+Projects!$D$4),IF(72=Projects!$C$4+Projects!$D$4-1,Projects!$B$4*INDEX(Curves!$B$8:$AO$8,1,72-Projects!$C$4+1)*Assumptions!$B$11*0.95+0.05*Projects!$B$4*Assumptions!$B$11,Projects!$B$4*INDEX(Curves!$B$8:$AO$8,1,72-Projects!$C$4+1)*Assumptions!$B$11*0.95),0)+IF(AND(Projects!$G$5="Yes",72&gt;=Projects!$C$5,72&lt;Projects!$C$5+Projects!$D$5),IF(72=Projects!$C$5+Projects!$D$5-1,Projects!$B$5*INDEX(Curves!$B$9:$AO$9,1,72-Projects!$C$5+1)*Assumptions!$B$11*0.95+0.05*Projects!$B$5*Assumptions!$B$11,Projects!$B$5*INDEX(Curves!$B$9:$AO$9,1,72-Projects!$C$5+1)*Assumptions!$B$11*0.95),0)+IF(AND(Projects!$G$6="Yes",72&gt;=Projects!$C$6,72&lt;Projects!$C$6+Projects!$D$6),IF(72=Projects!$C$6+Projects!$D$6-1,Projects!$B$6*INDEX(Curves!$B$4:$AO$4,1,72-Projects!$C$6+1)*Assumptions!$B$11*0.95+0.05*Projects!$B$6*Assumptions!$B$11,Projects!$B$6*INDEX(Curves!$B$4:$AO$4,1,72-Projects!$C$6+1)*Assumptions!$B$11*0.95),0)+IF(AND(Projects!$G$7="Yes",72&gt;=Projects!$C$7,72&lt;Projects!$C$7+Projects!$D$7),IF(72=Projects!$C$7+Projects!$D$7-1,Projects!$B$7*INDEX(Curves!$B$3:$AO$3,1,72-Projects!$C$7+1)*Assumptions!$B$11*0.95+0.05*Projects!$B$7*Assumptions!$B$11,Projects!$B$7*INDEX(Curves!$B$3:$AO$3,1,72-Projects!$C$7+1)*Assumptions!$B$11*0.95),0)+IF(AND(Projects!$G$8="Yes",72&gt;=Projects!$C$8,72&lt;Projects!$C$8+Projects!$D$8),IF(72=Projects!$C$8+Projects!$D$8-1,Projects!$B$8*INDEX(Curves!$B$4:$AO$4,1,72-Projects!$C$8+1)*Assumptions!$B$11*0.95+0.05*Projects!$B$8*Assumptions!$B$11,Projects!$B$8*INDEX(Curves!$B$4:$AO$4,1,72-Projects!$C$8+1)*Assumptions!$B$11*0.95),0)+IF(AND(Projects!$G$9="Yes",72&gt;=Projects!$C$9,72&lt;Projects!$C$9+Projects!$D$9),IF(72=Projects!$C$9+Projects!$D$9-1,Projects!$B$9*INDEX(Curves!$B$2:$AO$2,1,72-Projects!$C$9+1)*Assumptions!$B$11*0.95+0.05*Projects!$B$9*Assumptions!$B$11,Projects!$B$9*INDEX(Curves!$B$2:$AO$2,1,72-Projects!$C$9+1)*Assumptions!$B$11*0.95),0)+IF(AND(Projects!$G$10="Yes",72&gt;=Projects!$C$10,72&lt;Projects!$C$10+Projects!$D$10),IF(72=Projects!$C$10+Projects!$D$10-1,Projects!$B$10*INDEX(Curves!$B$4:$AO$4,1,72-Projects!$C$10+1)*Assumptions!$B$11*0.95+0.05*Projects!$B$10*Assumptions!$B$11,Projects!$B$10*INDEX(Curves!$B$4:$AO$4,1,72-Projects!$C$10+1)*Assumptions!$B$11*0.95),0)+IF(AND(Projects!$G$11="Yes",72&gt;=Projects!$C$11,72&lt;Projects!$C$11+Projects!$D$11),IF(72=Projects!$C$11+Projects!$D$11-1,Projects!$B$11*INDEX(Curves!$B$4:$AO$4,1,72-Projects!$C$11+1)*Assumptions!$B$11*0.95+0.05*Projects!$B$11*Assumptions!$B$11,Projects!$B$11*INDEX(Curves!$B$4:$AO$4,1,72-Projects!$C$11+1)*Assumptions!$B$11*0.95),0)+IF(AND(Projects!$G$12="Yes",72&gt;=Projects!$C$12,72&lt;Projects!$C$12+Projects!$D$12),IF(72=Projects!$C$12+Projects!$D$12-1,Projects!$B$12*INDEX(Curves!$B$4:$AO$4,1,72-Projects!$C$12+1)*Assumptions!$B$11*0.95+0.05*Projects!$B$12*Assumptions!$B$11,Projects!$B$12*INDEX(Curves!$B$4:$AO$4,1,72-Projects!$C$12+1)*Assumptions!$B$11*0.95),0)+IF(AND(Projects!$G$13="Yes",72&gt;=Projects!$C$13,72&lt;Projects!$C$13+Projects!$D$13),IF(72=Projects!$C$13+Projects!$D$13-1,Projects!$B$13*INDEX(Curves!$B$2:$AO$2,1,72-Projects!$C$13+1)*Assumptions!$B$11*0.95+0.05*Projects!$B$13*Assumptions!$B$11,Projects!$B$13*INDEX(Curves!$B$2:$AO$2,1,72-Projects!$C$13+1)*Assumptions!$B$11*0.95),0)+IF(AND(Projects!$G$14="Yes",72&gt;=Projects!$C$14,72&lt;Projects!$C$14+Projects!$D$14),IF(72=Projects!$C$14+Projects!$D$14-1,Projects!$B$14*INDEX(Curves!$B$2:$AO$2,1,72-Projects!$C$14+1)*Assumptions!$B$11*0.95+0.05*Projects!$B$14*Assumptions!$B$11,Projects!$B$14*INDEX(Curves!$B$2:$AO$2,1,72-Projects!$C$14+1)*Assumptions!$B$11*0.95),0)+IF(AND(Projects!$G$15="Yes",72&gt;=Projects!$C$15,72&lt;Projects!$C$15+Projects!$D$15),IF(72=Projects!$C$15+Projects!$D$15-1,Projects!$B$15*INDEX(Curves!$B$4:$AO$4,1,72-Projects!$C$15+1)*Assumptions!$B$11*0.95+0.05*Projects!$B$15*Assumptions!$B$11,Projects!$B$15*INDEX(Curves!$B$4:$AO$4,1,72-Projects!$C$15+1)*Assumptions!$B$11*0.95),0)+IF(AND(Projects!$G$16="Yes",72&gt;=Projects!$C$16,72&lt;Projects!$C$16+Projects!$D$16),IF(72=Projects!$C$16+Projects!$D$16-1,Projects!$B$16*INDEX(Curves!$B$4:$AO$4,1,72-Projects!$C$16+1)*Assumptions!$B$11*0.95+0.05*Projects!$B$16*Assumptions!$B$11,Projects!$B$16*INDEX(Curves!$B$4:$AO$4,1,72-Projects!$C$16+1)*Assumptions!$B$11*0.95),0)</f>
        <v>0</v>
      </c>
      <c r="BW9" s="8">
        <f>IF(AND(Projects!$G$2="Yes",73&gt;=Projects!$C$2,73&lt;Projects!$C$2+Projects!$D$2),IF(73=Projects!$C$2+Projects!$D$2-1,Projects!$B$2*INDEX(Curves!$B$6:$AO$6,1,73-Projects!$C$2+1)*Assumptions!$B$11*0.95+0.05*Projects!$B$2*Assumptions!$B$11,Projects!$B$2*INDEX(Curves!$B$6:$AO$6,1,73-Projects!$C$2+1)*Assumptions!$B$11*0.95),0)+IF(AND(Projects!$G$3="Yes",73&gt;=Projects!$C$3,73&lt;Projects!$C$3+Projects!$D$3),IF(73=Projects!$C$3+Projects!$D$3-1,Projects!$B$3*INDEX(Curves!$B$7:$AO$7,1,73-Projects!$C$3+1)*Assumptions!$B$11*0.95+0.05*Projects!$B$3*Assumptions!$B$11,Projects!$B$3*INDEX(Curves!$B$7:$AO$7,1,73-Projects!$C$3+1)*Assumptions!$B$11*0.95),0)+IF(AND(Projects!$G$4="Yes",73&gt;=Projects!$C$4,73&lt;Projects!$C$4+Projects!$D$4),IF(73=Projects!$C$4+Projects!$D$4-1,Projects!$B$4*INDEX(Curves!$B$8:$AO$8,1,73-Projects!$C$4+1)*Assumptions!$B$11*0.95+0.05*Projects!$B$4*Assumptions!$B$11,Projects!$B$4*INDEX(Curves!$B$8:$AO$8,1,73-Projects!$C$4+1)*Assumptions!$B$11*0.95),0)+IF(AND(Projects!$G$5="Yes",73&gt;=Projects!$C$5,73&lt;Projects!$C$5+Projects!$D$5),IF(73=Projects!$C$5+Projects!$D$5-1,Projects!$B$5*INDEX(Curves!$B$9:$AO$9,1,73-Projects!$C$5+1)*Assumptions!$B$11*0.95+0.05*Projects!$B$5*Assumptions!$B$11,Projects!$B$5*INDEX(Curves!$B$9:$AO$9,1,73-Projects!$C$5+1)*Assumptions!$B$11*0.95),0)+IF(AND(Projects!$G$6="Yes",73&gt;=Projects!$C$6,73&lt;Projects!$C$6+Projects!$D$6),IF(73=Projects!$C$6+Projects!$D$6-1,Projects!$B$6*INDEX(Curves!$B$4:$AO$4,1,73-Projects!$C$6+1)*Assumptions!$B$11*0.95+0.05*Projects!$B$6*Assumptions!$B$11,Projects!$B$6*INDEX(Curves!$B$4:$AO$4,1,73-Projects!$C$6+1)*Assumptions!$B$11*0.95),0)+IF(AND(Projects!$G$7="Yes",73&gt;=Projects!$C$7,73&lt;Projects!$C$7+Projects!$D$7),IF(73=Projects!$C$7+Projects!$D$7-1,Projects!$B$7*INDEX(Curves!$B$3:$AO$3,1,73-Projects!$C$7+1)*Assumptions!$B$11*0.95+0.05*Projects!$B$7*Assumptions!$B$11,Projects!$B$7*INDEX(Curves!$B$3:$AO$3,1,73-Projects!$C$7+1)*Assumptions!$B$11*0.95),0)+IF(AND(Projects!$G$8="Yes",73&gt;=Projects!$C$8,73&lt;Projects!$C$8+Projects!$D$8),IF(73=Projects!$C$8+Projects!$D$8-1,Projects!$B$8*INDEX(Curves!$B$4:$AO$4,1,73-Projects!$C$8+1)*Assumptions!$B$11*0.95+0.05*Projects!$B$8*Assumptions!$B$11,Projects!$B$8*INDEX(Curves!$B$4:$AO$4,1,73-Projects!$C$8+1)*Assumptions!$B$11*0.95),0)+IF(AND(Projects!$G$9="Yes",73&gt;=Projects!$C$9,73&lt;Projects!$C$9+Projects!$D$9),IF(73=Projects!$C$9+Projects!$D$9-1,Projects!$B$9*INDEX(Curves!$B$2:$AO$2,1,73-Projects!$C$9+1)*Assumptions!$B$11*0.95+0.05*Projects!$B$9*Assumptions!$B$11,Projects!$B$9*INDEX(Curves!$B$2:$AO$2,1,73-Projects!$C$9+1)*Assumptions!$B$11*0.95),0)+IF(AND(Projects!$G$10="Yes",73&gt;=Projects!$C$10,73&lt;Projects!$C$10+Projects!$D$10),IF(73=Projects!$C$10+Projects!$D$10-1,Projects!$B$10*INDEX(Curves!$B$4:$AO$4,1,73-Projects!$C$10+1)*Assumptions!$B$11*0.95+0.05*Projects!$B$10*Assumptions!$B$11,Projects!$B$10*INDEX(Curves!$B$4:$AO$4,1,73-Projects!$C$10+1)*Assumptions!$B$11*0.95),0)+IF(AND(Projects!$G$11="Yes",73&gt;=Projects!$C$11,73&lt;Projects!$C$11+Projects!$D$11),IF(73=Projects!$C$11+Projects!$D$11-1,Projects!$B$11*INDEX(Curves!$B$4:$AO$4,1,73-Projects!$C$11+1)*Assumptions!$B$11*0.95+0.05*Projects!$B$11*Assumptions!$B$11,Projects!$B$11*INDEX(Curves!$B$4:$AO$4,1,73-Projects!$C$11+1)*Assumptions!$B$11*0.95),0)+IF(AND(Projects!$G$12="Yes",73&gt;=Projects!$C$12,73&lt;Projects!$C$12+Projects!$D$12),IF(73=Projects!$C$12+Projects!$D$12-1,Projects!$B$12*INDEX(Curves!$B$4:$AO$4,1,73-Projects!$C$12+1)*Assumptions!$B$11*0.95+0.05*Projects!$B$12*Assumptions!$B$11,Projects!$B$12*INDEX(Curves!$B$4:$AO$4,1,73-Projects!$C$12+1)*Assumptions!$B$11*0.95),0)+IF(AND(Projects!$G$13="Yes",73&gt;=Projects!$C$13,73&lt;Projects!$C$13+Projects!$D$13),IF(73=Projects!$C$13+Projects!$D$13-1,Projects!$B$13*INDEX(Curves!$B$2:$AO$2,1,73-Projects!$C$13+1)*Assumptions!$B$11*0.95+0.05*Projects!$B$13*Assumptions!$B$11,Projects!$B$13*INDEX(Curves!$B$2:$AO$2,1,73-Projects!$C$13+1)*Assumptions!$B$11*0.95),0)+IF(AND(Projects!$G$14="Yes",73&gt;=Projects!$C$14,73&lt;Projects!$C$14+Projects!$D$14),IF(73=Projects!$C$14+Projects!$D$14-1,Projects!$B$14*INDEX(Curves!$B$2:$AO$2,1,73-Projects!$C$14+1)*Assumptions!$B$11*0.95+0.05*Projects!$B$14*Assumptions!$B$11,Projects!$B$14*INDEX(Curves!$B$2:$AO$2,1,73-Projects!$C$14+1)*Assumptions!$B$11*0.95),0)+IF(AND(Projects!$G$15="Yes",73&gt;=Projects!$C$15,73&lt;Projects!$C$15+Projects!$D$15),IF(73=Projects!$C$15+Projects!$D$15-1,Projects!$B$15*INDEX(Curves!$B$4:$AO$4,1,73-Projects!$C$15+1)*Assumptions!$B$11*0.95+0.05*Projects!$B$15*Assumptions!$B$11,Projects!$B$15*INDEX(Curves!$B$4:$AO$4,1,73-Projects!$C$15+1)*Assumptions!$B$11*0.95),0)+IF(AND(Projects!$G$16="Yes",73&gt;=Projects!$C$16,73&lt;Projects!$C$16+Projects!$D$16),IF(73=Projects!$C$16+Projects!$D$16-1,Projects!$B$16*INDEX(Curves!$B$4:$AO$4,1,73-Projects!$C$16+1)*Assumptions!$B$11*0.95+0.05*Projects!$B$16*Assumptions!$B$11,Projects!$B$16*INDEX(Curves!$B$4:$AO$4,1,73-Projects!$C$16+1)*Assumptions!$B$11*0.95),0)</f>
        <v>0</v>
      </c>
      <c r="BX9" s="8">
        <f>IF(AND(Projects!$G$2="Yes",74&gt;=Projects!$C$2,74&lt;Projects!$C$2+Projects!$D$2),IF(74=Projects!$C$2+Projects!$D$2-1,Projects!$B$2*INDEX(Curves!$B$6:$AO$6,1,74-Projects!$C$2+1)*Assumptions!$B$11*0.95+0.05*Projects!$B$2*Assumptions!$B$11,Projects!$B$2*INDEX(Curves!$B$6:$AO$6,1,74-Projects!$C$2+1)*Assumptions!$B$11*0.95),0)+IF(AND(Projects!$G$3="Yes",74&gt;=Projects!$C$3,74&lt;Projects!$C$3+Projects!$D$3),IF(74=Projects!$C$3+Projects!$D$3-1,Projects!$B$3*INDEX(Curves!$B$7:$AO$7,1,74-Projects!$C$3+1)*Assumptions!$B$11*0.95+0.05*Projects!$B$3*Assumptions!$B$11,Projects!$B$3*INDEX(Curves!$B$7:$AO$7,1,74-Projects!$C$3+1)*Assumptions!$B$11*0.95),0)+IF(AND(Projects!$G$4="Yes",74&gt;=Projects!$C$4,74&lt;Projects!$C$4+Projects!$D$4),IF(74=Projects!$C$4+Projects!$D$4-1,Projects!$B$4*INDEX(Curves!$B$8:$AO$8,1,74-Projects!$C$4+1)*Assumptions!$B$11*0.95+0.05*Projects!$B$4*Assumptions!$B$11,Projects!$B$4*INDEX(Curves!$B$8:$AO$8,1,74-Projects!$C$4+1)*Assumptions!$B$11*0.95),0)+IF(AND(Projects!$G$5="Yes",74&gt;=Projects!$C$5,74&lt;Projects!$C$5+Projects!$D$5),IF(74=Projects!$C$5+Projects!$D$5-1,Projects!$B$5*INDEX(Curves!$B$9:$AO$9,1,74-Projects!$C$5+1)*Assumptions!$B$11*0.95+0.05*Projects!$B$5*Assumptions!$B$11,Projects!$B$5*INDEX(Curves!$B$9:$AO$9,1,74-Projects!$C$5+1)*Assumptions!$B$11*0.95),0)+IF(AND(Projects!$G$6="Yes",74&gt;=Projects!$C$6,74&lt;Projects!$C$6+Projects!$D$6),IF(74=Projects!$C$6+Projects!$D$6-1,Projects!$B$6*INDEX(Curves!$B$4:$AO$4,1,74-Projects!$C$6+1)*Assumptions!$B$11*0.95+0.05*Projects!$B$6*Assumptions!$B$11,Projects!$B$6*INDEX(Curves!$B$4:$AO$4,1,74-Projects!$C$6+1)*Assumptions!$B$11*0.95),0)+IF(AND(Projects!$G$7="Yes",74&gt;=Projects!$C$7,74&lt;Projects!$C$7+Projects!$D$7),IF(74=Projects!$C$7+Projects!$D$7-1,Projects!$B$7*INDEX(Curves!$B$3:$AO$3,1,74-Projects!$C$7+1)*Assumptions!$B$11*0.95+0.05*Projects!$B$7*Assumptions!$B$11,Projects!$B$7*INDEX(Curves!$B$3:$AO$3,1,74-Projects!$C$7+1)*Assumptions!$B$11*0.95),0)+IF(AND(Projects!$G$8="Yes",74&gt;=Projects!$C$8,74&lt;Projects!$C$8+Projects!$D$8),IF(74=Projects!$C$8+Projects!$D$8-1,Projects!$B$8*INDEX(Curves!$B$4:$AO$4,1,74-Projects!$C$8+1)*Assumptions!$B$11*0.95+0.05*Projects!$B$8*Assumptions!$B$11,Projects!$B$8*INDEX(Curves!$B$4:$AO$4,1,74-Projects!$C$8+1)*Assumptions!$B$11*0.95),0)+IF(AND(Projects!$G$9="Yes",74&gt;=Projects!$C$9,74&lt;Projects!$C$9+Projects!$D$9),IF(74=Projects!$C$9+Projects!$D$9-1,Projects!$B$9*INDEX(Curves!$B$2:$AO$2,1,74-Projects!$C$9+1)*Assumptions!$B$11*0.95+0.05*Projects!$B$9*Assumptions!$B$11,Projects!$B$9*INDEX(Curves!$B$2:$AO$2,1,74-Projects!$C$9+1)*Assumptions!$B$11*0.95),0)+IF(AND(Projects!$G$10="Yes",74&gt;=Projects!$C$10,74&lt;Projects!$C$10+Projects!$D$10),IF(74=Projects!$C$10+Projects!$D$10-1,Projects!$B$10*INDEX(Curves!$B$4:$AO$4,1,74-Projects!$C$10+1)*Assumptions!$B$11*0.95+0.05*Projects!$B$10*Assumptions!$B$11,Projects!$B$10*INDEX(Curves!$B$4:$AO$4,1,74-Projects!$C$10+1)*Assumptions!$B$11*0.95),0)+IF(AND(Projects!$G$11="Yes",74&gt;=Projects!$C$11,74&lt;Projects!$C$11+Projects!$D$11),IF(74=Projects!$C$11+Projects!$D$11-1,Projects!$B$11*INDEX(Curves!$B$4:$AO$4,1,74-Projects!$C$11+1)*Assumptions!$B$11*0.95+0.05*Projects!$B$11*Assumptions!$B$11,Projects!$B$11*INDEX(Curves!$B$4:$AO$4,1,74-Projects!$C$11+1)*Assumptions!$B$11*0.95),0)+IF(AND(Projects!$G$12="Yes",74&gt;=Projects!$C$12,74&lt;Projects!$C$12+Projects!$D$12),IF(74=Projects!$C$12+Projects!$D$12-1,Projects!$B$12*INDEX(Curves!$B$4:$AO$4,1,74-Projects!$C$12+1)*Assumptions!$B$11*0.95+0.05*Projects!$B$12*Assumptions!$B$11,Projects!$B$12*INDEX(Curves!$B$4:$AO$4,1,74-Projects!$C$12+1)*Assumptions!$B$11*0.95),0)+IF(AND(Projects!$G$13="Yes",74&gt;=Projects!$C$13,74&lt;Projects!$C$13+Projects!$D$13),IF(74=Projects!$C$13+Projects!$D$13-1,Projects!$B$13*INDEX(Curves!$B$2:$AO$2,1,74-Projects!$C$13+1)*Assumptions!$B$11*0.95+0.05*Projects!$B$13*Assumptions!$B$11,Projects!$B$13*INDEX(Curves!$B$2:$AO$2,1,74-Projects!$C$13+1)*Assumptions!$B$11*0.95),0)+IF(AND(Projects!$G$14="Yes",74&gt;=Projects!$C$14,74&lt;Projects!$C$14+Projects!$D$14),IF(74=Projects!$C$14+Projects!$D$14-1,Projects!$B$14*INDEX(Curves!$B$2:$AO$2,1,74-Projects!$C$14+1)*Assumptions!$B$11*0.95+0.05*Projects!$B$14*Assumptions!$B$11,Projects!$B$14*INDEX(Curves!$B$2:$AO$2,1,74-Projects!$C$14+1)*Assumptions!$B$11*0.95),0)+IF(AND(Projects!$G$15="Yes",74&gt;=Projects!$C$15,74&lt;Projects!$C$15+Projects!$D$15),IF(74=Projects!$C$15+Projects!$D$15-1,Projects!$B$15*INDEX(Curves!$B$4:$AO$4,1,74-Projects!$C$15+1)*Assumptions!$B$11*0.95+0.05*Projects!$B$15*Assumptions!$B$11,Projects!$B$15*INDEX(Curves!$B$4:$AO$4,1,74-Projects!$C$15+1)*Assumptions!$B$11*0.95),0)+IF(AND(Projects!$G$16="Yes",74&gt;=Projects!$C$16,74&lt;Projects!$C$16+Projects!$D$16),IF(74=Projects!$C$16+Projects!$D$16-1,Projects!$B$16*INDEX(Curves!$B$4:$AO$4,1,74-Projects!$C$16+1)*Assumptions!$B$11*0.95+0.05*Projects!$B$16*Assumptions!$B$11,Projects!$B$16*INDEX(Curves!$B$4:$AO$4,1,74-Projects!$C$16+1)*Assumptions!$B$11*0.95),0)</f>
        <v>0</v>
      </c>
      <c r="BY9" s="8">
        <f>IF(AND(Projects!$G$2="Yes",75&gt;=Projects!$C$2,75&lt;Projects!$C$2+Projects!$D$2),IF(75=Projects!$C$2+Projects!$D$2-1,Projects!$B$2*INDEX(Curves!$B$6:$AO$6,1,75-Projects!$C$2+1)*Assumptions!$B$11*0.95+0.05*Projects!$B$2*Assumptions!$B$11,Projects!$B$2*INDEX(Curves!$B$6:$AO$6,1,75-Projects!$C$2+1)*Assumptions!$B$11*0.95),0)+IF(AND(Projects!$G$3="Yes",75&gt;=Projects!$C$3,75&lt;Projects!$C$3+Projects!$D$3),IF(75=Projects!$C$3+Projects!$D$3-1,Projects!$B$3*INDEX(Curves!$B$7:$AO$7,1,75-Projects!$C$3+1)*Assumptions!$B$11*0.95+0.05*Projects!$B$3*Assumptions!$B$11,Projects!$B$3*INDEX(Curves!$B$7:$AO$7,1,75-Projects!$C$3+1)*Assumptions!$B$11*0.95),0)+IF(AND(Projects!$G$4="Yes",75&gt;=Projects!$C$4,75&lt;Projects!$C$4+Projects!$D$4),IF(75=Projects!$C$4+Projects!$D$4-1,Projects!$B$4*INDEX(Curves!$B$8:$AO$8,1,75-Projects!$C$4+1)*Assumptions!$B$11*0.95+0.05*Projects!$B$4*Assumptions!$B$11,Projects!$B$4*INDEX(Curves!$B$8:$AO$8,1,75-Projects!$C$4+1)*Assumptions!$B$11*0.95),0)+IF(AND(Projects!$G$5="Yes",75&gt;=Projects!$C$5,75&lt;Projects!$C$5+Projects!$D$5),IF(75=Projects!$C$5+Projects!$D$5-1,Projects!$B$5*INDEX(Curves!$B$9:$AO$9,1,75-Projects!$C$5+1)*Assumptions!$B$11*0.95+0.05*Projects!$B$5*Assumptions!$B$11,Projects!$B$5*INDEX(Curves!$B$9:$AO$9,1,75-Projects!$C$5+1)*Assumptions!$B$11*0.95),0)+IF(AND(Projects!$G$6="Yes",75&gt;=Projects!$C$6,75&lt;Projects!$C$6+Projects!$D$6),IF(75=Projects!$C$6+Projects!$D$6-1,Projects!$B$6*INDEX(Curves!$B$4:$AO$4,1,75-Projects!$C$6+1)*Assumptions!$B$11*0.95+0.05*Projects!$B$6*Assumptions!$B$11,Projects!$B$6*INDEX(Curves!$B$4:$AO$4,1,75-Projects!$C$6+1)*Assumptions!$B$11*0.95),0)+IF(AND(Projects!$G$7="Yes",75&gt;=Projects!$C$7,75&lt;Projects!$C$7+Projects!$D$7),IF(75=Projects!$C$7+Projects!$D$7-1,Projects!$B$7*INDEX(Curves!$B$3:$AO$3,1,75-Projects!$C$7+1)*Assumptions!$B$11*0.95+0.05*Projects!$B$7*Assumptions!$B$11,Projects!$B$7*INDEX(Curves!$B$3:$AO$3,1,75-Projects!$C$7+1)*Assumptions!$B$11*0.95),0)+IF(AND(Projects!$G$8="Yes",75&gt;=Projects!$C$8,75&lt;Projects!$C$8+Projects!$D$8),IF(75=Projects!$C$8+Projects!$D$8-1,Projects!$B$8*INDEX(Curves!$B$4:$AO$4,1,75-Projects!$C$8+1)*Assumptions!$B$11*0.95+0.05*Projects!$B$8*Assumptions!$B$11,Projects!$B$8*INDEX(Curves!$B$4:$AO$4,1,75-Projects!$C$8+1)*Assumptions!$B$11*0.95),0)+IF(AND(Projects!$G$9="Yes",75&gt;=Projects!$C$9,75&lt;Projects!$C$9+Projects!$D$9),IF(75=Projects!$C$9+Projects!$D$9-1,Projects!$B$9*INDEX(Curves!$B$2:$AO$2,1,75-Projects!$C$9+1)*Assumptions!$B$11*0.95+0.05*Projects!$B$9*Assumptions!$B$11,Projects!$B$9*INDEX(Curves!$B$2:$AO$2,1,75-Projects!$C$9+1)*Assumptions!$B$11*0.95),0)+IF(AND(Projects!$G$10="Yes",75&gt;=Projects!$C$10,75&lt;Projects!$C$10+Projects!$D$10),IF(75=Projects!$C$10+Projects!$D$10-1,Projects!$B$10*INDEX(Curves!$B$4:$AO$4,1,75-Projects!$C$10+1)*Assumptions!$B$11*0.95+0.05*Projects!$B$10*Assumptions!$B$11,Projects!$B$10*INDEX(Curves!$B$4:$AO$4,1,75-Projects!$C$10+1)*Assumptions!$B$11*0.95),0)+IF(AND(Projects!$G$11="Yes",75&gt;=Projects!$C$11,75&lt;Projects!$C$11+Projects!$D$11),IF(75=Projects!$C$11+Projects!$D$11-1,Projects!$B$11*INDEX(Curves!$B$4:$AO$4,1,75-Projects!$C$11+1)*Assumptions!$B$11*0.95+0.05*Projects!$B$11*Assumptions!$B$11,Projects!$B$11*INDEX(Curves!$B$4:$AO$4,1,75-Projects!$C$11+1)*Assumptions!$B$11*0.95),0)+IF(AND(Projects!$G$12="Yes",75&gt;=Projects!$C$12,75&lt;Projects!$C$12+Projects!$D$12),IF(75=Projects!$C$12+Projects!$D$12-1,Projects!$B$12*INDEX(Curves!$B$4:$AO$4,1,75-Projects!$C$12+1)*Assumptions!$B$11*0.95+0.05*Projects!$B$12*Assumptions!$B$11,Projects!$B$12*INDEX(Curves!$B$4:$AO$4,1,75-Projects!$C$12+1)*Assumptions!$B$11*0.95),0)+IF(AND(Projects!$G$13="Yes",75&gt;=Projects!$C$13,75&lt;Projects!$C$13+Projects!$D$13),IF(75=Projects!$C$13+Projects!$D$13-1,Projects!$B$13*INDEX(Curves!$B$2:$AO$2,1,75-Projects!$C$13+1)*Assumptions!$B$11*0.95+0.05*Projects!$B$13*Assumptions!$B$11,Projects!$B$13*INDEX(Curves!$B$2:$AO$2,1,75-Projects!$C$13+1)*Assumptions!$B$11*0.95),0)+IF(AND(Projects!$G$14="Yes",75&gt;=Projects!$C$14,75&lt;Projects!$C$14+Projects!$D$14),IF(75=Projects!$C$14+Projects!$D$14-1,Projects!$B$14*INDEX(Curves!$B$2:$AO$2,1,75-Projects!$C$14+1)*Assumptions!$B$11*0.95+0.05*Projects!$B$14*Assumptions!$B$11,Projects!$B$14*INDEX(Curves!$B$2:$AO$2,1,75-Projects!$C$14+1)*Assumptions!$B$11*0.95),0)+IF(AND(Projects!$G$15="Yes",75&gt;=Projects!$C$15,75&lt;Projects!$C$15+Projects!$D$15),IF(75=Projects!$C$15+Projects!$D$15-1,Projects!$B$15*INDEX(Curves!$B$4:$AO$4,1,75-Projects!$C$15+1)*Assumptions!$B$11*0.95+0.05*Projects!$B$15*Assumptions!$B$11,Projects!$B$15*INDEX(Curves!$B$4:$AO$4,1,75-Projects!$C$15+1)*Assumptions!$B$11*0.95),0)+IF(AND(Projects!$G$16="Yes",75&gt;=Projects!$C$16,75&lt;Projects!$C$16+Projects!$D$16),IF(75=Projects!$C$16+Projects!$D$16-1,Projects!$B$16*INDEX(Curves!$B$4:$AO$4,1,75-Projects!$C$16+1)*Assumptions!$B$11*0.95+0.05*Projects!$B$16*Assumptions!$B$11,Projects!$B$16*INDEX(Curves!$B$4:$AO$4,1,75-Projects!$C$16+1)*Assumptions!$B$11*0.95),0)</f>
        <v>0</v>
      </c>
      <c r="BZ9" s="8">
        <f>IF(AND(Projects!$G$2="Yes",76&gt;=Projects!$C$2,76&lt;Projects!$C$2+Projects!$D$2),IF(76=Projects!$C$2+Projects!$D$2-1,Projects!$B$2*INDEX(Curves!$B$6:$AO$6,1,76-Projects!$C$2+1)*Assumptions!$B$11*0.95+0.05*Projects!$B$2*Assumptions!$B$11,Projects!$B$2*INDEX(Curves!$B$6:$AO$6,1,76-Projects!$C$2+1)*Assumptions!$B$11*0.95),0)+IF(AND(Projects!$G$3="Yes",76&gt;=Projects!$C$3,76&lt;Projects!$C$3+Projects!$D$3),IF(76=Projects!$C$3+Projects!$D$3-1,Projects!$B$3*INDEX(Curves!$B$7:$AO$7,1,76-Projects!$C$3+1)*Assumptions!$B$11*0.95+0.05*Projects!$B$3*Assumptions!$B$11,Projects!$B$3*INDEX(Curves!$B$7:$AO$7,1,76-Projects!$C$3+1)*Assumptions!$B$11*0.95),0)+IF(AND(Projects!$G$4="Yes",76&gt;=Projects!$C$4,76&lt;Projects!$C$4+Projects!$D$4),IF(76=Projects!$C$4+Projects!$D$4-1,Projects!$B$4*INDEX(Curves!$B$8:$AO$8,1,76-Projects!$C$4+1)*Assumptions!$B$11*0.95+0.05*Projects!$B$4*Assumptions!$B$11,Projects!$B$4*INDEX(Curves!$B$8:$AO$8,1,76-Projects!$C$4+1)*Assumptions!$B$11*0.95),0)+IF(AND(Projects!$G$5="Yes",76&gt;=Projects!$C$5,76&lt;Projects!$C$5+Projects!$D$5),IF(76=Projects!$C$5+Projects!$D$5-1,Projects!$B$5*INDEX(Curves!$B$9:$AO$9,1,76-Projects!$C$5+1)*Assumptions!$B$11*0.95+0.05*Projects!$B$5*Assumptions!$B$11,Projects!$B$5*INDEX(Curves!$B$9:$AO$9,1,76-Projects!$C$5+1)*Assumptions!$B$11*0.95),0)+IF(AND(Projects!$G$6="Yes",76&gt;=Projects!$C$6,76&lt;Projects!$C$6+Projects!$D$6),IF(76=Projects!$C$6+Projects!$D$6-1,Projects!$B$6*INDEX(Curves!$B$4:$AO$4,1,76-Projects!$C$6+1)*Assumptions!$B$11*0.95+0.05*Projects!$B$6*Assumptions!$B$11,Projects!$B$6*INDEX(Curves!$B$4:$AO$4,1,76-Projects!$C$6+1)*Assumptions!$B$11*0.95),0)+IF(AND(Projects!$G$7="Yes",76&gt;=Projects!$C$7,76&lt;Projects!$C$7+Projects!$D$7),IF(76=Projects!$C$7+Projects!$D$7-1,Projects!$B$7*INDEX(Curves!$B$3:$AO$3,1,76-Projects!$C$7+1)*Assumptions!$B$11*0.95+0.05*Projects!$B$7*Assumptions!$B$11,Projects!$B$7*INDEX(Curves!$B$3:$AO$3,1,76-Projects!$C$7+1)*Assumptions!$B$11*0.95),0)+IF(AND(Projects!$G$8="Yes",76&gt;=Projects!$C$8,76&lt;Projects!$C$8+Projects!$D$8),IF(76=Projects!$C$8+Projects!$D$8-1,Projects!$B$8*INDEX(Curves!$B$4:$AO$4,1,76-Projects!$C$8+1)*Assumptions!$B$11*0.95+0.05*Projects!$B$8*Assumptions!$B$11,Projects!$B$8*INDEX(Curves!$B$4:$AO$4,1,76-Projects!$C$8+1)*Assumptions!$B$11*0.95),0)+IF(AND(Projects!$G$9="Yes",76&gt;=Projects!$C$9,76&lt;Projects!$C$9+Projects!$D$9),IF(76=Projects!$C$9+Projects!$D$9-1,Projects!$B$9*INDEX(Curves!$B$2:$AO$2,1,76-Projects!$C$9+1)*Assumptions!$B$11*0.95+0.05*Projects!$B$9*Assumptions!$B$11,Projects!$B$9*INDEX(Curves!$B$2:$AO$2,1,76-Projects!$C$9+1)*Assumptions!$B$11*0.95),0)+IF(AND(Projects!$G$10="Yes",76&gt;=Projects!$C$10,76&lt;Projects!$C$10+Projects!$D$10),IF(76=Projects!$C$10+Projects!$D$10-1,Projects!$B$10*INDEX(Curves!$B$4:$AO$4,1,76-Projects!$C$10+1)*Assumptions!$B$11*0.95+0.05*Projects!$B$10*Assumptions!$B$11,Projects!$B$10*INDEX(Curves!$B$4:$AO$4,1,76-Projects!$C$10+1)*Assumptions!$B$11*0.95),0)+IF(AND(Projects!$G$11="Yes",76&gt;=Projects!$C$11,76&lt;Projects!$C$11+Projects!$D$11),IF(76=Projects!$C$11+Projects!$D$11-1,Projects!$B$11*INDEX(Curves!$B$4:$AO$4,1,76-Projects!$C$11+1)*Assumptions!$B$11*0.95+0.05*Projects!$B$11*Assumptions!$B$11,Projects!$B$11*INDEX(Curves!$B$4:$AO$4,1,76-Projects!$C$11+1)*Assumptions!$B$11*0.95),0)+IF(AND(Projects!$G$12="Yes",76&gt;=Projects!$C$12,76&lt;Projects!$C$12+Projects!$D$12),IF(76=Projects!$C$12+Projects!$D$12-1,Projects!$B$12*INDEX(Curves!$B$4:$AO$4,1,76-Projects!$C$12+1)*Assumptions!$B$11*0.95+0.05*Projects!$B$12*Assumptions!$B$11,Projects!$B$12*INDEX(Curves!$B$4:$AO$4,1,76-Projects!$C$12+1)*Assumptions!$B$11*0.95),0)+IF(AND(Projects!$G$13="Yes",76&gt;=Projects!$C$13,76&lt;Projects!$C$13+Projects!$D$13),IF(76=Projects!$C$13+Projects!$D$13-1,Projects!$B$13*INDEX(Curves!$B$2:$AO$2,1,76-Projects!$C$13+1)*Assumptions!$B$11*0.95+0.05*Projects!$B$13*Assumptions!$B$11,Projects!$B$13*INDEX(Curves!$B$2:$AO$2,1,76-Projects!$C$13+1)*Assumptions!$B$11*0.95),0)+IF(AND(Projects!$G$14="Yes",76&gt;=Projects!$C$14,76&lt;Projects!$C$14+Projects!$D$14),IF(76=Projects!$C$14+Projects!$D$14-1,Projects!$B$14*INDEX(Curves!$B$2:$AO$2,1,76-Projects!$C$14+1)*Assumptions!$B$11*0.95+0.05*Projects!$B$14*Assumptions!$B$11,Projects!$B$14*INDEX(Curves!$B$2:$AO$2,1,76-Projects!$C$14+1)*Assumptions!$B$11*0.95),0)+IF(AND(Projects!$G$15="Yes",76&gt;=Projects!$C$15,76&lt;Projects!$C$15+Projects!$D$15),IF(76=Projects!$C$15+Projects!$D$15-1,Projects!$B$15*INDEX(Curves!$B$4:$AO$4,1,76-Projects!$C$15+1)*Assumptions!$B$11*0.95+0.05*Projects!$B$15*Assumptions!$B$11,Projects!$B$15*INDEX(Curves!$B$4:$AO$4,1,76-Projects!$C$15+1)*Assumptions!$B$11*0.95),0)+IF(AND(Projects!$G$16="Yes",76&gt;=Projects!$C$16,76&lt;Projects!$C$16+Projects!$D$16),IF(76=Projects!$C$16+Projects!$D$16-1,Projects!$B$16*INDEX(Curves!$B$4:$AO$4,1,76-Projects!$C$16+1)*Assumptions!$B$11*0.95+0.05*Projects!$B$16*Assumptions!$B$11,Projects!$B$16*INDEX(Curves!$B$4:$AO$4,1,76-Projects!$C$16+1)*Assumptions!$B$11*0.95),0)</f>
        <v>0</v>
      </c>
      <c r="CA9" s="8">
        <f>IF(AND(Projects!$G$2="Yes",77&gt;=Projects!$C$2,77&lt;Projects!$C$2+Projects!$D$2),IF(77=Projects!$C$2+Projects!$D$2-1,Projects!$B$2*INDEX(Curves!$B$6:$AO$6,1,77-Projects!$C$2+1)*Assumptions!$B$11*0.95+0.05*Projects!$B$2*Assumptions!$B$11,Projects!$B$2*INDEX(Curves!$B$6:$AO$6,1,77-Projects!$C$2+1)*Assumptions!$B$11*0.95),0)+IF(AND(Projects!$G$3="Yes",77&gt;=Projects!$C$3,77&lt;Projects!$C$3+Projects!$D$3),IF(77=Projects!$C$3+Projects!$D$3-1,Projects!$B$3*INDEX(Curves!$B$7:$AO$7,1,77-Projects!$C$3+1)*Assumptions!$B$11*0.95+0.05*Projects!$B$3*Assumptions!$B$11,Projects!$B$3*INDEX(Curves!$B$7:$AO$7,1,77-Projects!$C$3+1)*Assumptions!$B$11*0.95),0)+IF(AND(Projects!$G$4="Yes",77&gt;=Projects!$C$4,77&lt;Projects!$C$4+Projects!$D$4),IF(77=Projects!$C$4+Projects!$D$4-1,Projects!$B$4*INDEX(Curves!$B$8:$AO$8,1,77-Projects!$C$4+1)*Assumptions!$B$11*0.95+0.05*Projects!$B$4*Assumptions!$B$11,Projects!$B$4*INDEX(Curves!$B$8:$AO$8,1,77-Projects!$C$4+1)*Assumptions!$B$11*0.95),0)+IF(AND(Projects!$G$5="Yes",77&gt;=Projects!$C$5,77&lt;Projects!$C$5+Projects!$D$5),IF(77=Projects!$C$5+Projects!$D$5-1,Projects!$B$5*INDEX(Curves!$B$9:$AO$9,1,77-Projects!$C$5+1)*Assumptions!$B$11*0.95+0.05*Projects!$B$5*Assumptions!$B$11,Projects!$B$5*INDEX(Curves!$B$9:$AO$9,1,77-Projects!$C$5+1)*Assumptions!$B$11*0.95),0)+IF(AND(Projects!$G$6="Yes",77&gt;=Projects!$C$6,77&lt;Projects!$C$6+Projects!$D$6),IF(77=Projects!$C$6+Projects!$D$6-1,Projects!$B$6*INDEX(Curves!$B$4:$AO$4,1,77-Projects!$C$6+1)*Assumptions!$B$11*0.95+0.05*Projects!$B$6*Assumptions!$B$11,Projects!$B$6*INDEX(Curves!$B$4:$AO$4,1,77-Projects!$C$6+1)*Assumptions!$B$11*0.95),0)+IF(AND(Projects!$G$7="Yes",77&gt;=Projects!$C$7,77&lt;Projects!$C$7+Projects!$D$7),IF(77=Projects!$C$7+Projects!$D$7-1,Projects!$B$7*INDEX(Curves!$B$3:$AO$3,1,77-Projects!$C$7+1)*Assumptions!$B$11*0.95+0.05*Projects!$B$7*Assumptions!$B$11,Projects!$B$7*INDEX(Curves!$B$3:$AO$3,1,77-Projects!$C$7+1)*Assumptions!$B$11*0.95),0)+IF(AND(Projects!$G$8="Yes",77&gt;=Projects!$C$8,77&lt;Projects!$C$8+Projects!$D$8),IF(77=Projects!$C$8+Projects!$D$8-1,Projects!$B$8*INDEX(Curves!$B$4:$AO$4,1,77-Projects!$C$8+1)*Assumptions!$B$11*0.95+0.05*Projects!$B$8*Assumptions!$B$11,Projects!$B$8*INDEX(Curves!$B$4:$AO$4,1,77-Projects!$C$8+1)*Assumptions!$B$11*0.95),0)+IF(AND(Projects!$G$9="Yes",77&gt;=Projects!$C$9,77&lt;Projects!$C$9+Projects!$D$9),IF(77=Projects!$C$9+Projects!$D$9-1,Projects!$B$9*INDEX(Curves!$B$2:$AO$2,1,77-Projects!$C$9+1)*Assumptions!$B$11*0.95+0.05*Projects!$B$9*Assumptions!$B$11,Projects!$B$9*INDEX(Curves!$B$2:$AO$2,1,77-Projects!$C$9+1)*Assumptions!$B$11*0.95),0)+IF(AND(Projects!$G$10="Yes",77&gt;=Projects!$C$10,77&lt;Projects!$C$10+Projects!$D$10),IF(77=Projects!$C$10+Projects!$D$10-1,Projects!$B$10*INDEX(Curves!$B$4:$AO$4,1,77-Projects!$C$10+1)*Assumptions!$B$11*0.95+0.05*Projects!$B$10*Assumptions!$B$11,Projects!$B$10*INDEX(Curves!$B$4:$AO$4,1,77-Projects!$C$10+1)*Assumptions!$B$11*0.95),0)+IF(AND(Projects!$G$11="Yes",77&gt;=Projects!$C$11,77&lt;Projects!$C$11+Projects!$D$11),IF(77=Projects!$C$11+Projects!$D$11-1,Projects!$B$11*INDEX(Curves!$B$4:$AO$4,1,77-Projects!$C$11+1)*Assumptions!$B$11*0.95+0.05*Projects!$B$11*Assumptions!$B$11,Projects!$B$11*INDEX(Curves!$B$4:$AO$4,1,77-Projects!$C$11+1)*Assumptions!$B$11*0.95),0)+IF(AND(Projects!$G$12="Yes",77&gt;=Projects!$C$12,77&lt;Projects!$C$12+Projects!$D$12),IF(77=Projects!$C$12+Projects!$D$12-1,Projects!$B$12*INDEX(Curves!$B$4:$AO$4,1,77-Projects!$C$12+1)*Assumptions!$B$11*0.95+0.05*Projects!$B$12*Assumptions!$B$11,Projects!$B$12*INDEX(Curves!$B$4:$AO$4,1,77-Projects!$C$12+1)*Assumptions!$B$11*0.95),0)+IF(AND(Projects!$G$13="Yes",77&gt;=Projects!$C$13,77&lt;Projects!$C$13+Projects!$D$13),IF(77=Projects!$C$13+Projects!$D$13-1,Projects!$B$13*INDEX(Curves!$B$2:$AO$2,1,77-Projects!$C$13+1)*Assumptions!$B$11*0.95+0.05*Projects!$B$13*Assumptions!$B$11,Projects!$B$13*INDEX(Curves!$B$2:$AO$2,1,77-Projects!$C$13+1)*Assumptions!$B$11*0.95),0)+IF(AND(Projects!$G$14="Yes",77&gt;=Projects!$C$14,77&lt;Projects!$C$14+Projects!$D$14),IF(77=Projects!$C$14+Projects!$D$14-1,Projects!$B$14*INDEX(Curves!$B$2:$AO$2,1,77-Projects!$C$14+1)*Assumptions!$B$11*0.95+0.05*Projects!$B$14*Assumptions!$B$11,Projects!$B$14*INDEX(Curves!$B$2:$AO$2,1,77-Projects!$C$14+1)*Assumptions!$B$11*0.95),0)+IF(AND(Projects!$G$15="Yes",77&gt;=Projects!$C$15,77&lt;Projects!$C$15+Projects!$D$15),IF(77=Projects!$C$15+Projects!$D$15-1,Projects!$B$15*INDEX(Curves!$B$4:$AO$4,1,77-Projects!$C$15+1)*Assumptions!$B$11*0.95+0.05*Projects!$B$15*Assumptions!$B$11,Projects!$B$15*INDEX(Curves!$B$4:$AO$4,1,77-Projects!$C$15+1)*Assumptions!$B$11*0.95),0)+IF(AND(Projects!$G$16="Yes",77&gt;=Projects!$C$16,77&lt;Projects!$C$16+Projects!$D$16),IF(77=Projects!$C$16+Projects!$D$16-1,Projects!$B$16*INDEX(Curves!$B$4:$AO$4,1,77-Projects!$C$16+1)*Assumptions!$B$11*0.95+0.05*Projects!$B$16*Assumptions!$B$11,Projects!$B$16*INDEX(Curves!$B$4:$AO$4,1,77-Projects!$C$16+1)*Assumptions!$B$11*0.95),0)</f>
        <v>0</v>
      </c>
      <c r="CB9" s="8">
        <f>IF(AND(Projects!$G$2="Yes",78&gt;=Projects!$C$2,78&lt;Projects!$C$2+Projects!$D$2),IF(78=Projects!$C$2+Projects!$D$2-1,Projects!$B$2*INDEX(Curves!$B$6:$AO$6,1,78-Projects!$C$2+1)*Assumptions!$B$11*0.95+0.05*Projects!$B$2*Assumptions!$B$11,Projects!$B$2*INDEX(Curves!$B$6:$AO$6,1,78-Projects!$C$2+1)*Assumptions!$B$11*0.95),0)+IF(AND(Projects!$G$3="Yes",78&gt;=Projects!$C$3,78&lt;Projects!$C$3+Projects!$D$3),IF(78=Projects!$C$3+Projects!$D$3-1,Projects!$B$3*INDEX(Curves!$B$7:$AO$7,1,78-Projects!$C$3+1)*Assumptions!$B$11*0.95+0.05*Projects!$B$3*Assumptions!$B$11,Projects!$B$3*INDEX(Curves!$B$7:$AO$7,1,78-Projects!$C$3+1)*Assumptions!$B$11*0.95),0)+IF(AND(Projects!$G$4="Yes",78&gt;=Projects!$C$4,78&lt;Projects!$C$4+Projects!$D$4),IF(78=Projects!$C$4+Projects!$D$4-1,Projects!$B$4*INDEX(Curves!$B$8:$AO$8,1,78-Projects!$C$4+1)*Assumptions!$B$11*0.95+0.05*Projects!$B$4*Assumptions!$B$11,Projects!$B$4*INDEX(Curves!$B$8:$AO$8,1,78-Projects!$C$4+1)*Assumptions!$B$11*0.95),0)+IF(AND(Projects!$G$5="Yes",78&gt;=Projects!$C$5,78&lt;Projects!$C$5+Projects!$D$5),IF(78=Projects!$C$5+Projects!$D$5-1,Projects!$B$5*INDEX(Curves!$B$9:$AO$9,1,78-Projects!$C$5+1)*Assumptions!$B$11*0.95+0.05*Projects!$B$5*Assumptions!$B$11,Projects!$B$5*INDEX(Curves!$B$9:$AO$9,1,78-Projects!$C$5+1)*Assumptions!$B$11*0.95),0)+IF(AND(Projects!$G$6="Yes",78&gt;=Projects!$C$6,78&lt;Projects!$C$6+Projects!$D$6),IF(78=Projects!$C$6+Projects!$D$6-1,Projects!$B$6*INDEX(Curves!$B$4:$AO$4,1,78-Projects!$C$6+1)*Assumptions!$B$11*0.95+0.05*Projects!$B$6*Assumptions!$B$11,Projects!$B$6*INDEX(Curves!$B$4:$AO$4,1,78-Projects!$C$6+1)*Assumptions!$B$11*0.95),0)+IF(AND(Projects!$G$7="Yes",78&gt;=Projects!$C$7,78&lt;Projects!$C$7+Projects!$D$7),IF(78=Projects!$C$7+Projects!$D$7-1,Projects!$B$7*INDEX(Curves!$B$3:$AO$3,1,78-Projects!$C$7+1)*Assumptions!$B$11*0.95+0.05*Projects!$B$7*Assumptions!$B$11,Projects!$B$7*INDEX(Curves!$B$3:$AO$3,1,78-Projects!$C$7+1)*Assumptions!$B$11*0.95),0)+IF(AND(Projects!$G$8="Yes",78&gt;=Projects!$C$8,78&lt;Projects!$C$8+Projects!$D$8),IF(78=Projects!$C$8+Projects!$D$8-1,Projects!$B$8*INDEX(Curves!$B$4:$AO$4,1,78-Projects!$C$8+1)*Assumptions!$B$11*0.95+0.05*Projects!$B$8*Assumptions!$B$11,Projects!$B$8*INDEX(Curves!$B$4:$AO$4,1,78-Projects!$C$8+1)*Assumptions!$B$11*0.95),0)+IF(AND(Projects!$G$9="Yes",78&gt;=Projects!$C$9,78&lt;Projects!$C$9+Projects!$D$9),IF(78=Projects!$C$9+Projects!$D$9-1,Projects!$B$9*INDEX(Curves!$B$2:$AO$2,1,78-Projects!$C$9+1)*Assumptions!$B$11*0.95+0.05*Projects!$B$9*Assumptions!$B$11,Projects!$B$9*INDEX(Curves!$B$2:$AO$2,1,78-Projects!$C$9+1)*Assumptions!$B$11*0.95),0)+IF(AND(Projects!$G$10="Yes",78&gt;=Projects!$C$10,78&lt;Projects!$C$10+Projects!$D$10),IF(78=Projects!$C$10+Projects!$D$10-1,Projects!$B$10*INDEX(Curves!$B$4:$AO$4,1,78-Projects!$C$10+1)*Assumptions!$B$11*0.95+0.05*Projects!$B$10*Assumptions!$B$11,Projects!$B$10*INDEX(Curves!$B$4:$AO$4,1,78-Projects!$C$10+1)*Assumptions!$B$11*0.95),0)+IF(AND(Projects!$G$11="Yes",78&gt;=Projects!$C$11,78&lt;Projects!$C$11+Projects!$D$11),IF(78=Projects!$C$11+Projects!$D$11-1,Projects!$B$11*INDEX(Curves!$B$4:$AO$4,1,78-Projects!$C$11+1)*Assumptions!$B$11*0.95+0.05*Projects!$B$11*Assumptions!$B$11,Projects!$B$11*INDEX(Curves!$B$4:$AO$4,1,78-Projects!$C$11+1)*Assumptions!$B$11*0.95),0)+IF(AND(Projects!$G$12="Yes",78&gt;=Projects!$C$12,78&lt;Projects!$C$12+Projects!$D$12),IF(78=Projects!$C$12+Projects!$D$12-1,Projects!$B$12*INDEX(Curves!$B$4:$AO$4,1,78-Projects!$C$12+1)*Assumptions!$B$11*0.95+0.05*Projects!$B$12*Assumptions!$B$11,Projects!$B$12*INDEX(Curves!$B$4:$AO$4,1,78-Projects!$C$12+1)*Assumptions!$B$11*0.95),0)+IF(AND(Projects!$G$13="Yes",78&gt;=Projects!$C$13,78&lt;Projects!$C$13+Projects!$D$13),IF(78=Projects!$C$13+Projects!$D$13-1,Projects!$B$13*INDEX(Curves!$B$2:$AO$2,1,78-Projects!$C$13+1)*Assumptions!$B$11*0.95+0.05*Projects!$B$13*Assumptions!$B$11,Projects!$B$13*INDEX(Curves!$B$2:$AO$2,1,78-Projects!$C$13+1)*Assumptions!$B$11*0.95),0)+IF(AND(Projects!$G$14="Yes",78&gt;=Projects!$C$14,78&lt;Projects!$C$14+Projects!$D$14),IF(78=Projects!$C$14+Projects!$D$14-1,Projects!$B$14*INDEX(Curves!$B$2:$AO$2,1,78-Projects!$C$14+1)*Assumptions!$B$11*0.95+0.05*Projects!$B$14*Assumptions!$B$11,Projects!$B$14*INDEX(Curves!$B$2:$AO$2,1,78-Projects!$C$14+1)*Assumptions!$B$11*0.95),0)+IF(AND(Projects!$G$15="Yes",78&gt;=Projects!$C$15,78&lt;Projects!$C$15+Projects!$D$15),IF(78=Projects!$C$15+Projects!$D$15-1,Projects!$B$15*INDEX(Curves!$B$4:$AO$4,1,78-Projects!$C$15+1)*Assumptions!$B$11*0.95+0.05*Projects!$B$15*Assumptions!$B$11,Projects!$B$15*INDEX(Curves!$B$4:$AO$4,1,78-Projects!$C$15+1)*Assumptions!$B$11*0.95),0)+IF(AND(Projects!$G$16="Yes",78&gt;=Projects!$C$16,78&lt;Projects!$C$16+Projects!$D$16),IF(78=Projects!$C$16+Projects!$D$16-1,Projects!$B$16*INDEX(Curves!$B$4:$AO$4,1,78-Projects!$C$16+1)*Assumptions!$B$11*0.95+0.05*Projects!$B$16*Assumptions!$B$11,Projects!$B$16*INDEX(Curves!$B$4:$AO$4,1,78-Projects!$C$16+1)*Assumptions!$B$11*0.95),0)</f>
        <v>0</v>
      </c>
      <c r="CC9" s="8">
        <f>IF(AND(Projects!$G$2="Yes",79&gt;=Projects!$C$2,79&lt;Projects!$C$2+Projects!$D$2),IF(79=Projects!$C$2+Projects!$D$2-1,Projects!$B$2*INDEX(Curves!$B$6:$AO$6,1,79-Projects!$C$2+1)*Assumptions!$B$11*0.95+0.05*Projects!$B$2*Assumptions!$B$11,Projects!$B$2*INDEX(Curves!$B$6:$AO$6,1,79-Projects!$C$2+1)*Assumptions!$B$11*0.95),0)+IF(AND(Projects!$G$3="Yes",79&gt;=Projects!$C$3,79&lt;Projects!$C$3+Projects!$D$3),IF(79=Projects!$C$3+Projects!$D$3-1,Projects!$B$3*INDEX(Curves!$B$7:$AO$7,1,79-Projects!$C$3+1)*Assumptions!$B$11*0.95+0.05*Projects!$B$3*Assumptions!$B$11,Projects!$B$3*INDEX(Curves!$B$7:$AO$7,1,79-Projects!$C$3+1)*Assumptions!$B$11*0.95),0)+IF(AND(Projects!$G$4="Yes",79&gt;=Projects!$C$4,79&lt;Projects!$C$4+Projects!$D$4),IF(79=Projects!$C$4+Projects!$D$4-1,Projects!$B$4*INDEX(Curves!$B$8:$AO$8,1,79-Projects!$C$4+1)*Assumptions!$B$11*0.95+0.05*Projects!$B$4*Assumptions!$B$11,Projects!$B$4*INDEX(Curves!$B$8:$AO$8,1,79-Projects!$C$4+1)*Assumptions!$B$11*0.95),0)+IF(AND(Projects!$G$5="Yes",79&gt;=Projects!$C$5,79&lt;Projects!$C$5+Projects!$D$5),IF(79=Projects!$C$5+Projects!$D$5-1,Projects!$B$5*INDEX(Curves!$B$9:$AO$9,1,79-Projects!$C$5+1)*Assumptions!$B$11*0.95+0.05*Projects!$B$5*Assumptions!$B$11,Projects!$B$5*INDEX(Curves!$B$9:$AO$9,1,79-Projects!$C$5+1)*Assumptions!$B$11*0.95),0)+IF(AND(Projects!$G$6="Yes",79&gt;=Projects!$C$6,79&lt;Projects!$C$6+Projects!$D$6),IF(79=Projects!$C$6+Projects!$D$6-1,Projects!$B$6*INDEX(Curves!$B$4:$AO$4,1,79-Projects!$C$6+1)*Assumptions!$B$11*0.95+0.05*Projects!$B$6*Assumptions!$B$11,Projects!$B$6*INDEX(Curves!$B$4:$AO$4,1,79-Projects!$C$6+1)*Assumptions!$B$11*0.95),0)+IF(AND(Projects!$G$7="Yes",79&gt;=Projects!$C$7,79&lt;Projects!$C$7+Projects!$D$7),IF(79=Projects!$C$7+Projects!$D$7-1,Projects!$B$7*INDEX(Curves!$B$3:$AO$3,1,79-Projects!$C$7+1)*Assumptions!$B$11*0.95+0.05*Projects!$B$7*Assumptions!$B$11,Projects!$B$7*INDEX(Curves!$B$3:$AO$3,1,79-Projects!$C$7+1)*Assumptions!$B$11*0.95),0)+IF(AND(Projects!$G$8="Yes",79&gt;=Projects!$C$8,79&lt;Projects!$C$8+Projects!$D$8),IF(79=Projects!$C$8+Projects!$D$8-1,Projects!$B$8*INDEX(Curves!$B$4:$AO$4,1,79-Projects!$C$8+1)*Assumptions!$B$11*0.95+0.05*Projects!$B$8*Assumptions!$B$11,Projects!$B$8*INDEX(Curves!$B$4:$AO$4,1,79-Projects!$C$8+1)*Assumptions!$B$11*0.95),0)+IF(AND(Projects!$G$9="Yes",79&gt;=Projects!$C$9,79&lt;Projects!$C$9+Projects!$D$9),IF(79=Projects!$C$9+Projects!$D$9-1,Projects!$B$9*INDEX(Curves!$B$2:$AO$2,1,79-Projects!$C$9+1)*Assumptions!$B$11*0.95+0.05*Projects!$B$9*Assumptions!$B$11,Projects!$B$9*INDEX(Curves!$B$2:$AO$2,1,79-Projects!$C$9+1)*Assumptions!$B$11*0.95),0)+IF(AND(Projects!$G$10="Yes",79&gt;=Projects!$C$10,79&lt;Projects!$C$10+Projects!$D$10),IF(79=Projects!$C$10+Projects!$D$10-1,Projects!$B$10*INDEX(Curves!$B$4:$AO$4,1,79-Projects!$C$10+1)*Assumptions!$B$11*0.95+0.05*Projects!$B$10*Assumptions!$B$11,Projects!$B$10*INDEX(Curves!$B$4:$AO$4,1,79-Projects!$C$10+1)*Assumptions!$B$11*0.95),0)+IF(AND(Projects!$G$11="Yes",79&gt;=Projects!$C$11,79&lt;Projects!$C$11+Projects!$D$11),IF(79=Projects!$C$11+Projects!$D$11-1,Projects!$B$11*INDEX(Curves!$B$4:$AO$4,1,79-Projects!$C$11+1)*Assumptions!$B$11*0.95+0.05*Projects!$B$11*Assumptions!$B$11,Projects!$B$11*INDEX(Curves!$B$4:$AO$4,1,79-Projects!$C$11+1)*Assumptions!$B$11*0.95),0)+IF(AND(Projects!$G$12="Yes",79&gt;=Projects!$C$12,79&lt;Projects!$C$12+Projects!$D$12),IF(79=Projects!$C$12+Projects!$D$12-1,Projects!$B$12*INDEX(Curves!$B$4:$AO$4,1,79-Projects!$C$12+1)*Assumptions!$B$11*0.95+0.05*Projects!$B$12*Assumptions!$B$11,Projects!$B$12*INDEX(Curves!$B$4:$AO$4,1,79-Projects!$C$12+1)*Assumptions!$B$11*0.95),0)+IF(AND(Projects!$G$13="Yes",79&gt;=Projects!$C$13,79&lt;Projects!$C$13+Projects!$D$13),IF(79=Projects!$C$13+Projects!$D$13-1,Projects!$B$13*INDEX(Curves!$B$2:$AO$2,1,79-Projects!$C$13+1)*Assumptions!$B$11*0.95+0.05*Projects!$B$13*Assumptions!$B$11,Projects!$B$13*INDEX(Curves!$B$2:$AO$2,1,79-Projects!$C$13+1)*Assumptions!$B$11*0.95),0)+IF(AND(Projects!$G$14="Yes",79&gt;=Projects!$C$14,79&lt;Projects!$C$14+Projects!$D$14),IF(79=Projects!$C$14+Projects!$D$14-1,Projects!$B$14*INDEX(Curves!$B$2:$AO$2,1,79-Projects!$C$14+1)*Assumptions!$B$11*0.95+0.05*Projects!$B$14*Assumptions!$B$11,Projects!$B$14*INDEX(Curves!$B$2:$AO$2,1,79-Projects!$C$14+1)*Assumptions!$B$11*0.95),0)+IF(AND(Projects!$G$15="Yes",79&gt;=Projects!$C$15,79&lt;Projects!$C$15+Projects!$D$15),IF(79=Projects!$C$15+Projects!$D$15-1,Projects!$B$15*INDEX(Curves!$B$4:$AO$4,1,79-Projects!$C$15+1)*Assumptions!$B$11*0.95+0.05*Projects!$B$15*Assumptions!$B$11,Projects!$B$15*INDEX(Curves!$B$4:$AO$4,1,79-Projects!$C$15+1)*Assumptions!$B$11*0.95),0)+IF(AND(Projects!$G$16="Yes",79&gt;=Projects!$C$16,79&lt;Projects!$C$16+Projects!$D$16),IF(79=Projects!$C$16+Projects!$D$16-1,Projects!$B$16*INDEX(Curves!$B$4:$AO$4,1,79-Projects!$C$16+1)*Assumptions!$B$11*0.95+0.05*Projects!$B$16*Assumptions!$B$11,Projects!$B$16*INDEX(Curves!$B$4:$AO$4,1,79-Projects!$C$16+1)*Assumptions!$B$11*0.95),0)</f>
        <v>0</v>
      </c>
      <c r="CD9" s="8">
        <f>IF(AND(Projects!$G$2="Yes",80&gt;=Projects!$C$2,80&lt;Projects!$C$2+Projects!$D$2),IF(80=Projects!$C$2+Projects!$D$2-1,Projects!$B$2*INDEX(Curves!$B$6:$AO$6,1,80-Projects!$C$2+1)*Assumptions!$B$11*0.95+0.05*Projects!$B$2*Assumptions!$B$11,Projects!$B$2*INDEX(Curves!$B$6:$AO$6,1,80-Projects!$C$2+1)*Assumptions!$B$11*0.95),0)+IF(AND(Projects!$G$3="Yes",80&gt;=Projects!$C$3,80&lt;Projects!$C$3+Projects!$D$3),IF(80=Projects!$C$3+Projects!$D$3-1,Projects!$B$3*INDEX(Curves!$B$7:$AO$7,1,80-Projects!$C$3+1)*Assumptions!$B$11*0.95+0.05*Projects!$B$3*Assumptions!$B$11,Projects!$B$3*INDEX(Curves!$B$7:$AO$7,1,80-Projects!$C$3+1)*Assumptions!$B$11*0.95),0)+IF(AND(Projects!$G$4="Yes",80&gt;=Projects!$C$4,80&lt;Projects!$C$4+Projects!$D$4),IF(80=Projects!$C$4+Projects!$D$4-1,Projects!$B$4*INDEX(Curves!$B$8:$AO$8,1,80-Projects!$C$4+1)*Assumptions!$B$11*0.95+0.05*Projects!$B$4*Assumptions!$B$11,Projects!$B$4*INDEX(Curves!$B$8:$AO$8,1,80-Projects!$C$4+1)*Assumptions!$B$11*0.95),0)+IF(AND(Projects!$G$5="Yes",80&gt;=Projects!$C$5,80&lt;Projects!$C$5+Projects!$D$5),IF(80=Projects!$C$5+Projects!$D$5-1,Projects!$B$5*INDEX(Curves!$B$9:$AO$9,1,80-Projects!$C$5+1)*Assumptions!$B$11*0.95+0.05*Projects!$B$5*Assumptions!$B$11,Projects!$B$5*INDEX(Curves!$B$9:$AO$9,1,80-Projects!$C$5+1)*Assumptions!$B$11*0.95),0)+IF(AND(Projects!$G$6="Yes",80&gt;=Projects!$C$6,80&lt;Projects!$C$6+Projects!$D$6),IF(80=Projects!$C$6+Projects!$D$6-1,Projects!$B$6*INDEX(Curves!$B$4:$AO$4,1,80-Projects!$C$6+1)*Assumptions!$B$11*0.95+0.05*Projects!$B$6*Assumptions!$B$11,Projects!$B$6*INDEX(Curves!$B$4:$AO$4,1,80-Projects!$C$6+1)*Assumptions!$B$11*0.95),0)+IF(AND(Projects!$G$7="Yes",80&gt;=Projects!$C$7,80&lt;Projects!$C$7+Projects!$D$7),IF(80=Projects!$C$7+Projects!$D$7-1,Projects!$B$7*INDEX(Curves!$B$3:$AO$3,1,80-Projects!$C$7+1)*Assumptions!$B$11*0.95+0.05*Projects!$B$7*Assumptions!$B$11,Projects!$B$7*INDEX(Curves!$B$3:$AO$3,1,80-Projects!$C$7+1)*Assumptions!$B$11*0.95),0)+IF(AND(Projects!$G$8="Yes",80&gt;=Projects!$C$8,80&lt;Projects!$C$8+Projects!$D$8),IF(80=Projects!$C$8+Projects!$D$8-1,Projects!$B$8*INDEX(Curves!$B$4:$AO$4,1,80-Projects!$C$8+1)*Assumptions!$B$11*0.95+0.05*Projects!$B$8*Assumptions!$B$11,Projects!$B$8*INDEX(Curves!$B$4:$AO$4,1,80-Projects!$C$8+1)*Assumptions!$B$11*0.95),0)+IF(AND(Projects!$G$9="Yes",80&gt;=Projects!$C$9,80&lt;Projects!$C$9+Projects!$D$9),IF(80=Projects!$C$9+Projects!$D$9-1,Projects!$B$9*INDEX(Curves!$B$2:$AO$2,1,80-Projects!$C$9+1)*Assumptions!$B$11*0.95+0.05*Projects!$B$9*Assumptions!$B$11,Projects!$B$9*INDEX(Curves!$B$2:$AO$2,1,80-Projects!$C$9+1)*Assumptions!$B$11*0.95),0)+IF(AND(Projects!$G$10="Yes",80&gt;=Projects!$C$10,80&lt;Projects!$C$10+Projects!$D$10),IF(80=Projects!$C$10+Projects!$D$10-1,Projects!$B$10*INDEX(Curves!$B$4:$AO$4,1,80-Projects!$C$10+1)*Assumptions!$B$11*0.95+0.05*Projects!$B$10*Assumptions!$B$11,Projects!$B$10*INDEX(Curves!$B$4:$AO$4,1,80-Projects!$C$10+1)*Assumptions!$B$11*0.95),0)+IF(AND(Projects!$G$11="Yes",80&gt;=Projects!$C$11,80&lt;Projects!$C$11+Projects!$D$11),IF(80=Projects!$C$11+Projects!$D$11-1,Projects!$B$11*INDEX(Curves!$B$4:$AO$4,1,80-Projects!$C$11+1)*Assumptions!$B$11*0.95+0.05*Projects!$B$11*Assumptions!$B$11,Projects!$B$11*INDEX(Curves!$B$4:$AO$4,1,80-Projects!$C$11+1)*Assumptions!$B$11*0.95),0)+IF(AND(Projects!$G$12="Yes",80&gt;=Projects!$C$12,80&lt;Projects!$C$12+Projects!$D$12),IF(80=Projects!$C$12+Projects!$D$12-1,Projects!$B$12*INDEX(Curves!$B$4:$AO$4,1,80-Projects!$C$12+1)*Assumptions!$B$11*0.95+0.05*Projects!$B$12*Assumptions!$B$11,Projects!$B$12*INDEX(Curves!$B$4:$AO$4,1,80-Projects!$C$12+1)*Assumptions!$B$11*0.95),0)+IF(AND(Projects!$G$13="Yes",80&gt;=Projects!$C$13,80&lt;Projects!$C$13+Projects!$D$13),IF(80=Projects!$C$13+Projects!$D$13-1,Projects!$B$13*INDEX(Curves!$B$2:$AO$2,1,80-Projects!$C$13+1)*Assumptions!$B$11*0.95+0.05*Projects!$B$13*Assumptions!$B$11,Projects!$B$13*INDEX(Curves!$B$2:$AO$2,1,80-Projects!$C$13+1)*Assumptions!$B$11*0.95),0)+IF(AND(Projects!$G$14="Yes",80&gt;=Projects!$C$14,80&lt;Projects!$C$14+Projects!$D$14),IF(80=Projects!$C$14+Projects!$D$14-1,Projects!$B$14*INDEX(Curves!$B$2:$AO$2,1,80-Projects!$C$14+1)*Assumptions!$B$11*0.95+0.05*Projects!$B$14*Assumptions!$B$11,Projects!$B$14*INDEX(Curves!$B$2:$AO$2,1,80-Projects!$C$14+1)*Assumptions!$B$11*0.95),0)+IF(AND(Projects!$G$15="Yes",80&gt;=Projects!$C$15,80&lt;Projects!$C$15+Projects!$D$15),IF(80=Projects!$C$15+Projects!$D$15-1,Projects!$B$15*INDEX(Curves!$B$4:$AO$4,1,80-Projects!$C$15+1)*Assumptions!$B$11*0.95+0.05*Projects!$B$15*Assumptions!$B$11,Projects!$B$15*INDEX(Curves!$B$4:$AO$4,1,80-Projects!$C$15+1)*Assumptions!$B$11*0.95),0)+IF(AND(Projects!$G$16="Yes",80&gt;=Projects!$C$16,80&lt;Projects!$C$16+Projects!$D$16),IF(80=Projects!$C$16+Projects!$D$16-1,Projects!$B$16*INDEX(Curves!$B$4:$AO$4,1,80-Projects!$C$16+1)*Assumptions!$B$11*0.95+0.05*Projects!$B$16*Assumptions!$B$11,Projects!$B$16*INDEX(Curves!$B$4:$AO$4,1,80-Projects!$C$16+1)*Assumptions!$B$11*0.95),0)</f>
        <v>0</v>
      </c>
      <c r="CE9" s="8">
        <f>IF(AND(Projects!$G$2="Yes",81&gt;=Projects!$C$2,81&lt;Projects!$C$2+Projects!$D$2),IF(81=Projects!$C$2+Projects!$D$2-1,Projects!$B$2*INDEX(Curves!$B$6:$AO$6,1,81-Projects!$C$2+1)*Assumptions!$B$11*0.95+0.05*Projects!$B$2*Assumptions!$B$11,Projects!$B$2*INDEX(Curves!$B$6:$AO$6,1,81-Projects!$C$2+1)*Assumptions!$B$11*0.95),0)+IF(AND(Projects!$G$3="Yes",81&gt;=Projects!$C$3,81&lt;Projects!$C$3+Projects!$D$3),IF(81=Projects!$C$3+Projects!$D$3-1,Projects!$B$3*INDEX(Curves!$B$7:$AO$7,1,81-Projects!$C$3+1)*Assumptions!$B$11*0.95+0.05*Projects!$B$3*Assumptions!$B$11,Projects!$B$3*INDEX(Curves!$B$7:$AO$7,1,81-Projects!$C$3+1)*Assumptions!$B$11*0.95),0)+IF(AND(Projects!$G$4="Yes",81&gt;=Projects!$C$4,81&lt;Projects!$C$4+Projects!$D$4),IF(81=Projects!$C$4+Projects!$D$4-1,Projects!$B$4*INDEX(Curves!$B$8:$AO$8,1,81-Projects!$C$4+1)*Assumptions!$B$11*0.95+0.05*Projects!$B$4*Assumptions!$B$11,Projects!$B$4*INDEX(Curves!$B$8:$AO$8,1,81-Projects!$C$4+1)*Assumptions!$B$11*0.95),0)+IF(AND(Projects!$G$5="Yes",81&gt;=Projects!$C$5,81&lt;Projects!$C$5+Projects!$D$5),IF(81=Projects!$C$5+Projects!$D$5-1,Projects!$B$5*INDEX(Curves!$B$9:$AO$9,1,81-Projects!$C$5+1)*Assumptions!$B$11*0.95+0.05*Projects!$B$5*Assumptions!$B$11,Projects!$B$5*INDEX(Curves!$B$9:$AO$9,1,81-Projects!$C$5+1)*Assumptions!$B$11*0.95),0)+IF(AND(Projects!$G$6="Yes",81&gt;=Projects!$C$6,81&lt;Projects!$C$6+Projects!$D$6),IF(81=Projects!$C$6+Projects!$D$6-1,Projects!$B$6*INDEX(Curves!$B$4:$AO$4,1,81-Projects!$C$6+1)*Assumptions!$B$11*0.95+0.05*Projects!$B$6*Assumptions!$B$11,Projects!$B$6*INDEX(Curves!$B$4:$AO$4,1,81-Projects!$C$6+1)*Assumptions!$B$11*0.95),0)+IF(AND(Projects!$G$7="Yes",81&gt;=Projects!$C$7,81&lt;Projects!$C$7+Projects!$D$7),IF(81=Projects!$C$7+Projects!$D$7-1,Projects!$B$7*INDEX(Curves!$B$3:$AO$3,1,81-Projects!$C$7+1)*Assumptions!$B$11*0.95+0.05*Projects!$B$7*Assumptions!$B$11,Projects!$B$7*INDEX(Curves!$B$3:$AO$3,1,81-Projects!$C$7+1)*Assumptions!$B$11*0.95),0)+IF(AND(Projects!$G$8="Yes",81&gt;=Projects!$C$8,81&lt;Projects!$C$8+Projects!$D$8),IF(81=Projects!$C$8+Projects!$D$8-1,Projects!$B$8*INDEX(Curves!$B$4:$AO$4,1,81-Projects!$C$8+1)*Assumptions!$B$11*0.95+0.05*Projects!$B$8*Assumptions!$B$11,Projects!$B$8*INDEX(Curves!$B$4:$AO$4,1,81-Projects!$C$8+1)*Assumptions!$B$11*0.95),0)+IF(AND(Projects!$G$9="Yes",81&gt;=Projects!$C$9,81&lt;Projects!$C$9+Projects!$D$9),IF(81=Projects!$C$9+Projects!$D$9-1,Projects!$B$9*INDEX(Curves!$B$2:$AO$2,1,81-Projects!$C$9+1)*Assumptions!$B$11*0.95+0.05*Projects!$B$9*Assumptions!$B$11,Projects!$B$9*INDEX(Curves!$B$2:$AO$2,1,81-Projects!$C$9+1)*Assumptions!$B$11*0.95),0)+IF(AND(Projects!$G$10="Yes",81&gt;=Projects!$C$10,81&lt;Projects!$C$10+Projects!$D$10),IF(81=Projects!$C$10+Projects!$D$10-1,Projects!$B$10*INDEX(Curves!$B$4:$AO$4,1,81-Projects!$C$10+1)*Assumptions!$B$11*0.95+0.05*Projects!$B$10*Assumptions!$B$11,Projects!$B$10*INDEX(Curves!$B$4:$AO$4,1,81-Projects!$C$10+1)*Assumptions!$B$11*0.95),0)+IF(AND(Projects!$G$11="Yes",81&gt;=Projects!$C$11,81&lt;Projects!$C$11+Projects!$D$11),IF(81=Projects!$C$11+Projects!$D$11-1,Projects!$B$11*INDEX(Curves!$B$4:$AO$4,1,81-Projects!$C$11+1)*Assumptions!$B$11*0.95+0.05*Projects!$B$11*Assumptions!$B$11,Projects!$B$11*INDEX(Curves!$B$4:$AO$4,1,81-Projects!$C$11+1)*Assumptions!$B$11*0.95),0)+IF(AND(Projects!$G$12="Yes",81&gt;=Projects!$C$12,81&lt;Projects!$C$12+Projects!$D$12),IF(81=Projects!$C$12+Projects!$D$12-1,Projects!$B$12*INDEX(Curves!$B$4:$AO$4,1,81-Projects!$C$12+1)*Assumptions!$B$11*0.95+0.05*Projects!$B$12*Assumptions!$B$11,Projects!$B$12*INDEX(Curves!$B$4:$AO$4,1,81-Projects!$C$12+1)*Assumptions!$B$11*0.95),0)+IF(AND(Projects!$G$13="Yes",81&gt;=Projects!$C$13,81&lt;Projects!$C$13+Projects!$D$13),IF(81=Projects!$C$13+Projects!$D$13-1,Projects!$B$13*INDEX(Curves!$B$2:$AO$2,1,81-Projects!$C$13+1)*Assumptions!$B$11*0.95+0.05*Projects!$B$13*Assumptions!$B$11,Projects!$B$13*INDEX(Curves!$B$2:$AO$2,1,81-Projects!$C$13+1)*Assumptions!$B$11*0.95),0)+IF(AND(Projects!$G$14="Yes",81&gt;=Projects!$C$14,81&lt;Projects!$C$14+Projects!$D$14),IF(81=Projects!$C$14+Projects!$D$14-1,Projects!$B$14*INDEX(Curves!$B$2:$AO$2,1,81-Projects!$C$14+1)*Assumptions!$B$11*0.95+0.05*Projects!$B$14*Assumptions!$B$11,Projects!$B$14*INDEX(Curves!$B$2:$AO$2,1,81-Projects!$C$14+1)*Assumptions!$B$11*0.95),0)+IF(AND(Projects!$G$15="Yes",81&gt;=Projects!$C$15,81&lt;Projects!$C$15+Projects!$D$15),IF(81=Projects!$C$15+Projects!$D$15-1,Projects!$B$15*INDEX(Curves!$B$4:$AO$4,1,81-Projects!$C$15+1)*Assumptions!$B$11*0.95+0.05*Projects!$B$15*Assumptions!$B$11,Projects!$B$15*INDEX(Curves!$B$4:$AO$4,1,81-Projects!$C$15+1)*Assumptions!$B$11*0.95),0)+IF(AND(Projects!$G$16="Yes",81&gt;=Projects!$C$16,81&lt;Projects!$C$16+Projects!$D$16),IF(81=Projects!$C$16+Projects!$D$16-1,Projects!$B$16*INDEX(Curves!$B$4:$AO$4,1,81-Projects!$C$16+1)*Assumptions!$B$11*0.95+0.05*Projects!$B$16*Assumptions!$B$11,Projects!$B$16*INDEX(Curves!$B$4:$AO$4,1,81-Projects!$C$16+1)*Assumptions!$B$11*0.95),0)</f>
        <v>0</v>
      </c>
      <c r="CF9" s="8">
        <f>IF(AND(Projects!$G$2="Yes",82&gt;=Projects!$C$2,82&lt;Projects!$C$2+Projects!$D$2),IF(82=Projects!$C$2+Projects!$D$2-1,Projects!$B$2*INDEX(Curves!$B$6:$AO$6,1,82-Projects!$C$2+1)*Assumptions!$B$11*0.95+0.05*Projects!$B$2*Assumptions!$B$11,Projects!$B$2*INDEX(Curves!$B$6:$AO$6,1,82-Projects!$C$2+1)*Assumptions!$B$11*0.95),0)+IF(AND(Projects!$G$3="Yes",82&gt;=Projects!$C$3,82&lt;Projects!$C$3+Projects!$D$3),IF(82=Projects!$C$3+Projects!$D$3-1,Projects!$B$3*INDEX(Curves!$B$7:$AO$7,1,82-Projects!$C$3+1)*Assumptions!$B$11*0.95+0.05*Projects!$B$3*Assumptions!$B$11,Projects!$B$3*INDEX(Curves!$B$7:$AO$7,1,82-Projects!$C$3+1)*Assumptions!$B$11*0.95),0)+IF(AND(Projects!$G$4="Yes",82&gt;=Projects!$C$4,82&lt;Projects!$C$4+Projects!$D$4),IF(82=Projects!$C$4+Projects!$D$4-1,Projects!$B$4*INDEX(Curves!$B$8:$AO$8,1,82-Projects!$C$4+1)*Assumptions!$B$11*0.95+0.05*Projects!$B$4*Assumptions!$B$11,Projects!$B$4*INDEX(Curves!$B$8:$AO$8,1,82-Projects!$C$4+1)*Assumptions!$B$11*0.95),0)+IF(AND(Projects!$G$5="Yes",82&gt;=Projects!$C$5,82&lt;Projects!$C$5+Projects!$D$5),IF(82=Projects!$C$5+Projects!$D$5-1,Projects!$B$5*INDEX(Curves!$B$9:$AO$9,1,82-Projects!$C$5+1)*Assumptions!$B$11*0.95+0.05*Projects!$B$5*Assumptions!$B$11,Projects!$B$5*INDEX(Curves!$B$9:$AO$9,1,82-Projects!$C$5+1)*Assumptions!$B$11*0.95),0)+IF(AND(Projects!$G$6="Yes",82&gt;=Projects!$C$6,82&lt;Projects!$C$6+Projects!$D$6),IF(82=Projects!$C$6+Projects!$D$6-1,Projects!$B$6*INDEX(Curves!$B$4:$AO$4,1,82-Projects!$C$6+1)*Assumptions!$B$11*0.95+0.05*Projects!$B$6*Assumptions!$B$11,Projects!$B$6*INDEX(Curves!$B$4:$AO$4,1,82-Projects!$C$6+1)*Assumptions!$B$11*0.95),0)+IF(AND(Projects!$G$7="Yes",82&gt;=Projects!$C$7,82&lt;Projects!$C$7+Projects!$D$7),IF(82=Projects!$C$7+Projects!$D$7-1,Projects!$B$7*INDEX(Curves!$B$3:$AO$3,1,82-Projects!$C$7+1)*Assumptions!$B$11*0.95+0.05*Projects!$B$7*Assumptions!$B$11,Projects!$B$7*INDEX(Curves!$B$3:$AO$3,1,82-Projects!$C$7+1)*Assumptions!$B$11*0.95),0)+IF(AND(Projects!$G$8="Yes",82&gt;=Projects!$C$8,82&lt;Projects!$C$8+Projects!$D$8),IF(82=Projects!$C$8+Projects!$D$8-1,Projects!$B$8*INDEX(Curves!$B$4:$AO$4,1,82-Projects!$C$8+1)*Assumptions!$B$11*0.95+0.05*Projects!$B$8*Assumptions!$B$11,Projects!$B$8*INDEX(Curves!$B$4:$AO$4,1,82-Projects!$C$8+1)*Assumptions!$B$11*0.95),0)+IF(AND(Projects!$G$9="Yes",82&gt;=Projects!$C$9,82&lt;Projects!$C$9+Projects!$D$9),IF(82=Projects!$C$9+Projects!$D$9-1,Projects!$B$9*INDEX(Curves!$B$2:$AO$2,1,82-Projects!$C$9+1)*Assumptions!$B$11*0.95+0.05*Projects!$B$9*Assumptions!$B$11,Projects!$B$9*INDEX(Curves!$B$2:$AO$2,1,82-Projects!$C$9+1)*Assumptions!$B$11*0.95),0)+IF(AND(Projects!$G$10="Yes",82&gt;=Projects!$C$10,82&lt;Projects!$C$10+Projects!$D$10),IF(82=Projects!$C$10+Projects!$D$10-1,Projects!$B$10*INDEX(Curves!$B$4:$AO$4,1,82-Projects!$C$10+1)*Assumptions!$B$11*0.95+0.05*Projects!$B$10*Assumptions!$B$11,Projects!$B$10*INDEX(Curves!$B$4:$AO$4,1,82-Projects!$C$10+1)*Assumptions!$B$11*0.95),0)+IF(AND(Projects!$G$11="Yes",82&gt;=Projects!$C$11,82&lt;Projects!$C$11+Projects!$D$11),IF(82=Projects!$C$11+Projects!$D$11-1,Projects!$B$11*INDEX(Curves!$B$4:$AO$4,1,82-Projects!$C$11+1)*Assumptions!$B$11*0.95+0.05*Projects!$B$11*Assumptions!$B$11,Projects!$B$11*INDEX(Curves!$B$4:$AO$4,1,82-Projects!$C$11+1)*Assumptions!$B$11*0.95),0)+IF(AND(Projects!$G$12="Yes",82&gt;=Projects!$C$12,82&lt;Projects!$C$12+Projects!$D$12),IF(82=Projects!$C$12+Projects!$D$12-1,Projects!$B$12*INDEX(Curves!$B$4:$AO$4,1,82-Projects!$C$12+1)*Assumptions!$B$11*0.95+0.05*Projects!$B$12*Assumptions!$B$11,Projects!$B$12*INDEX(Curves!$B$4:$AO$4,1,82-Projects!$C$12+1)*Assumptions!$B$11*0.95),0)+IF(AND(Projects!$G$13="Yes",82&gt;=Projects!$C$13,82&lt;Projects!$C$13+Projects!$D$13),IF(82=Projects!$C$13+Projects!$D$13-1,Projects!$B$13*INDEX(Curves!$B$2:$AO$2,1,82-Projects!$C$13+1)*Assumptions!$B$11*0.95+0.05*Projects!$B$13*Assumptions!$B$11,Projects!$B$13*INDEX(Curves!$B$2:$AO$2,1,82-Projects!$C$13+1)*Assumptions!$B$11*0.95),0)+IF(AND(Projects!$G$14="Yes",82&gt;=Projects!$C$14,82&lt;Projects!$C$14+Projects!$D$14),IF(82=Projects!$C$14+Projects!$D$14-1,Projects!$B$14*INDEX(Curves!$B$2:$AO$2,1,82-Projects!$C$14+1)*Assumptions!$B$11*0.95+0.05*Projects!$B$14*Assumptions!$B$11,Projects!$B$14*INDEX(Curves!$B$2:$AO$2,1,82-Projects!$C$14+1)*Assumptions!$B$11*0.95),0)+IF(AND(Projects!$G$15="Yes",82&gt;=Projects!$C$15,82&lt;Projects!$C$15+Projects!$D$15),IF(82=Projects!$C$15+Projects!$D$15-1,Projects!$B$15*INDEX(Curves!$B$4:$AO$4,1,82-Projects!$C$15+1)*Assumptions!$B$11*0.95+0.05*Projects!$B$15*Assumptions!$B$11,Projects!$B$15*INDEX(Curves!$B$4:$AO$4,1,82-Projects!$C$15+1)*Assumptions!$B$11*0.95),0)+IF(AND(Projects!$G$16="Yes",82&gt;=Projects!$C$16,82&lt;Projects!$C$16+Projects!$D$16),IF(82=Projects!$C$16+Projects!$D$16-1,Projects!$B$16*INDEX(Curves!$B$4:$AO$4,1,82-Projects!$C$16+1)*Assumptions!$B$11*0.95+0.05*Projects!$B$16*Assumptions!$B$11,Projects!$B$16*INDEX(Curves!$B$4:$AO$4,1,82-Projects!$C$16+1)*Assumptions!$B$11*0.95),0)</f>
        <v>0</v>
      </c>
      <c r="CG9" s="8">
        <f>IF(AND(Projects!$G$2="Yes",83&gt;=Projects!$C$2,83&lt;Projects!$C$2+Projects!$D$2),IF(83=Projects!$C$2+Projects!$D$2-1,Projects!$B$2*INDEX(Curves!$B$6:$AO$6,1,83-Projects!$C$2+1)*Assumptions!$B$11*0.95+0.05*Projects!$B$2*Assumptions!$B$11,Projects!$B$2*INDEX(Curves!$B$6:$AO$6,1,83-Projects!$C$2+1)*Assumptions!$B$11*0.95),0)+IF(AND(Projects!$G$3="Yes",83&gt;=Projects!$C$3,83&lt;Projects!$C$3+Projects!$D$3),IF(83=Projects!$C$3+Projects!$D$3-1,Projects!$B$3*INDEX(Curves!$B$7:$AO$7,1,83-Projects!$C$3+1)*Assumptions!$B$11*0.95+0.05*Projects!$B$3*Assumptions!$B$11,Projects!$B$3*INDEX(Curves!$B$7:$AO$7,1,83-Projects!$C$3+1)*Assumptions!$B$11*0.95),0)+IF(AND(Projects!$G$4="Yes",83&gt;=Projects!$C$4,83&lt;Projects!$C$4+Projects!$D$4),IF(83=Projects!$C$4+Projects!$D$4-1,Projects!$B$4*INDEX(Curves!$B$8:$AO$8,1,83-Projects!$C$4+1)*Assumptions!$B$11*0.95+0.05*Projects!$B$4*Assumptions!$B$11,Projects!$B$4*INDEX(Curves!$B$8:$AO$8,1,83-Projects!$C$4+1)*Assumptions!$B$11*0.95),0)+IF(AND(Projects!$G$5="Yes",83&gt;=Projects!$C$5,83&lt;Projects!$C$5+Projects!$D$5),IF(83=Projects!$C$5+Projects!$D$5-1,Projects!$B$5*INDEX(Curves!$B$9:$AO$9,1,83-Projects!$C$5+1)*Assumptions!$B$11*0.95+0.05*Projects!$B$5*Assumptions!$B$11,Projects!$B$5*INDEX(Curves!$B$9:$AO$9,1,83-Projects!$C$5+1)*Assumptions!$B$11*0.95),0)+IF(AND(Projects!$G$6="Yes",83&gt;=Projects!$C$6,83&lt;Projects!$C$6+Projects!$D$6),IF(83=Projects!$C$6+Projects!$D$6-1,Projects!$B$6*INDEX(Curves!$B$4:$AO$4,1,83-Projects!$C$6+1)*Assumptions!$B$11*0.95+0.05*Projects!$B$6*Assumptions!$B$11,Projects!$B$6*INDEX(Curves!$B$4:$AO$4,1,83-Projects!$C$6+1)*Assumptions!$B$11*0.95),0)+IF(AND(Projects!$G$7="Yes",83&gt;=Projects!$C$7,83&lt;Projects!$C$7+Projects!$D$7),IF(83=Projects!$C$7+Projects!$D$7-1,Projects!$B$7*INDEX(Curves!$B$3:$AO$3,1,83-Projects!$C$7+1)*Assumptions!$B$11*0.95+0.05*Projects!$B$7*Assumptions!$B$11,Projects!$B$7*INDEX(Curves!$B$3:$AO$3,1,83-Projects!$C$7+1)*Assumptions!$B$11*0.95),0)+IF(AND(Projects!$G$8="Yes",83&gt;=Projects!$C$8,83&lt;Projects!$C$8+Projects!$D$8),IF(83=Projects!$C$8+Projects!$D$8-1,Projects!$B$8*INDEX(Curves!$B$4:$AO$4,1,83-Projects!$C$8+1)*Assumptions!$B$11*0.95+0.05*Projects!$B$8*Assumptions!$B$11,Projects!$B$8*INDEX(Curves!$B$4:$AO$4,1,83-Projects!$C$8+1)*Assumptions!$B$11*0.95),0)+IF(AND(Projects!$G$9="Yes",83&gt;=Projects!$C$9,83&lt;Projects!$C$9+Projects!$D$9),IF(83=Projects!$C$9+Projects!$D$9-1,Projects!$B$9*INDEX(Curves!$B$2:$AO$2,1,83-Projects!$C$9+1)*Assumptions!$B$11*0.95+0.05*Projects!$B$9*Assumptions!$B$11,Projects!$B$9*INDEX(Curves!$B$2:$AO$2,1,83-Projects!$C$9+1)*Assumptions!$B$11*0.95),0)+IF(AND(Projects!$G$10="Yes",83&gt;=Projects!$C$10,83&lt;Projects!$C$10+Projects!$D$10),IF(83=Projects!$C$10+Projects!$D$10-1,Projects!$B$10*INDEX(Curves!$B$4:$AO$4,1,83-Projects!$C$10+1)*Assumptions!$B$11*0.95+0.05*Projects!$B$10*Assumptions!$B$11,Projects!$B$10*INDEX(Curves!$B$4:$AO$4,1,83-Projects!$C$10+1)*Assumptions!$B$11*0.95),0)+IF(AND(Projects!$G$11="Yes",83&gt;=Projects!$C$11,83&lt;Projects!$C$11+Projects!$D$11),IF(83=Projects!$C$11+Projects!$D$11-1,Projects!$B$11*INDEX(Curves!$B$4:$AO$4,1,83-Projects!$C$11+1)*Assumptions!$B$11*0.95+0.05*Projects!$B$11*Assumptions!$B$11,Projects!$B$11*INDEX(Curves!$B$4:$AO$4,1,83-Projects!$C$11+1)*Assumptions!$B$11*0.95),0)+IF(AND(Projects!$G$12="Yes",83&gt;=Projects!$C$12,83&lt;Projects!$C$12+Projects!$D$12),IF(83=Projects!$C$12+Projects!$D$12-1,Projects!$B$12*INDEX(Curves!$B$4:$AO$4,1,83-Projects!$C$12+1)*Assumptions!$B$11*0.95+0.05*Projects!$B$12*Assumptions!$B$11,Projects!$B$12*INDEX(Curves!$B$4:$AO$4,1,83-Projects!$C$12+1)*Assumptions!$B$11*0.95),0)+IF(AND(Projects!$G$13="Yes",83&gt;=Projects!$C$13,83&lt;Projects!$C$13+Projects!$D$13),IF(83=Projects!$C$13+Projects!$D$13-1,Projects!$B$13*INDEX(Curves!$B$2:$AO$2,1,83-Projects!$C$13+1)*Assumptions!$B$11*0.95+0.05*Projects!$B$13*Assumptions!$B$11,Projects!$B$13*INDEX(Curves!$B$2:$AO$2,1,83-Projects!$C$13+1)*Assumptions!$B$11*0.95),0)+IF(AND(Projects!$G$14="Yes",83&gt;=Projects!$C$14,83&lt;Projects!$C$14+Projects!$D$14),IF(83=Projects!$C$14+Projects!$D$14-1,Projects!$B$14*INDEX(Curves!$B$2:$AO$2,1,83-Projects!$C$14+1)*Assumptions!$B$11*0.95+0.05*Projects!$B$14*Assumptions!$B$11,Projects!$B$14*INDEX(Curves!$B$2:$AO$2,1,83-Projects!$C$14+1)*Assumptions!$B$11*0.95),0)+IF(AND(Projects!$G$15="Yes",83&gt;=Projects!$C$15,83&lt;Projects!$C$15+Projects!$D$15),IF(83=Projects!$C$15+Projects!$D$15-1,Projects!$B$15*INDEX(Curves!$B$4:$AO$4,1,83-Projects!$C$15+1)*Assumptions!$B$11*0.95+0.05*Projects!$B$15*Assumptions!$B$11,Projects!$B$15*INDEX(Curves!$B$4:$AO$4,1,83-Projects!$C$15+1)*Assumptions!$B$11*0.95),0)+IF(AND(Projects!$G$16="Yes",83&gt;=Projects!$C$16,83&lt;Projects!$C$16+Projects!$D$16),IF(83=Projects!$C$16+Projects!$D$16-1,Projects!$B$16*INDEX(Curves!$B$4:$AO$4,1,83-Projects!$C$16+1)*Assumptions!$B$11*0.95+0.05*Projects!$B$16*Assumptions!$B$11,Projects!$B$16*INDEX(Curves!$B$4:$AO$4,1,83-Projects!$C$16+1)*Assumptions!$B$11*0.95),0)</f>
        <v>0</v>
      </c>
      <c r="CH9" s="8">
        <f>IF(AND(Projects!$G$2="Yes",84&gt;=Projects!$C$2,84&lt;Projects!$C$2+Projects!$D$2),IF(84=Projects!$C$2+Projects!$D$2-1,Projects!$B$2*INDEX(Curves!$B$6:$AO$6,1,84-Projects!$C$2+1)*Assumptions!$B$11*0.95+0.05*Projects!$B$2*Assumptions!$B$11,Projects!$B$2*INDEX(Curves!$B$6:$AO$6,1,84-Projects!$C$2+1)*Assumptions!$B$11*0.95),0)+IF(AND(Projects!$G$3="Yes",84&gt;=Projects!$C$3,84&lt;Projects!$C$3+Projects!$D$3),IF(84=Projects!$C$3+Projects!$D$3-1,Projects!$B$3*INDEX(Curves!$B$7:$AO$7,1,84-Projects!$C$3+1)*Assumptions!$B$11*0.95+0.05*Projects!$B$3*Assumptions!$B$11,Projects!$B$3*INDEX(Curves!$B$7:$AO$7,1,84-Projects!$C$3+1)*Assumptions!$B$11*0.95),0)+IF(AND(Projects!$G$4="Yes",84&gt;=Projects!$C$4,84&lt;Projects!$C$4+Projects!$D$4),IF(84=Projects!$C$4+Projects!$D$4-1,Projects!$B$4*INDEX(Curves!$B$8:$AO$8,1,84-Projects!$C$4+1)*Assumptions!$B$11*0.95+0.05*Projects!$B$4*Assumptions!$B$11,Projects!$B$4*INDEX(Curves!$B$8:$AO$8,1,84-Projects!$C$4+1)*Assumptions!$B$11*0.95),0)+IF(AND(Projects!$G$5="Yes",84&gt;=Projects!$C$5,84&lt;Projects!$C$5+Projects!$D$5),IF(84=Projects!$C$5+Projects!$D$5-1,Projects!$B$5*INDEX(Curves!$B$9:$AO$9,1,84-Projects!$C$5+1)*Assumptions!$B$11*0.95+0.05*Projects!$B$5*Assumptions!$B$11,Projects!$B$5*INDEX(Curves!$B$9:$AO$9,1,84-Projects!$C$5+1)*Assumptions!$B$11*0.95),0)+IF(AND(Projects!$G$6="Yes",84&gt;=Projects!$C$6,84&lt;Projects!$C$6+Projects!$D$6),IF(84=Projects!$C$6+Projects!$D$6-1,Projects!$B$6*INDEX(Curves!$B$4:$AO$4,1,84-Projects!$C$6+1)*Assumptions!$B$11*0.95+0.05*Projects!$B$6*Assumptions!$B$11,Projects!$B$6*INDEX(Curves!$B$4:$AO$4,1,84-Projects!$C$6+1)*Assumptions!$B$11*0.95),0)+IF(AND(Projects!$G$7="Yes",84&gt;=Projects!$C$7,84&lt;Projects!$C$7+Projects!$D$7),IF(84=Projects!$C$7+Projects!$D$7-1,Projects!$B$7*INDEX(Curves!$B$3:$AO$3,1,84-Projects!$C$7+1)*Assumptions!$B$11*0.95+0.05*Projects!$B$7*Assumptions!$B$11,Projects!$B$7*INDEX(Curves!$B$3:$AO$3,1,84-Projects!$C$7+1)*Assumptions!$B$11*0.95),0)+IF(AND(Projects!$G$8="Yes",84&gt;=Projects!$C$8,84&lt;Projects!$C$8+Projects!$D$8),IF(84=Projects!$C$8+Projects!$D$8-1,Projects!$B$8*INDEX(Curves!$B$4:$AO$4,1,84-Projects!$C$8+1)*Assumptions!$B$11*0.95+0.05*Projects!$B$8*Assumptions!$B$11,Projects!$B$8*INDEX(Curves!$B$4:$AO$4,1,84-Projects!$C$8+1)*Assumptions!$B$11*0.95),0)+IF(AND(Projects!$G$9="Yes",84&gt;=Projects!$C$9,84&lt;Projects!$C$9+Projects!$D$9),IF(84=Projects!$C$9+Projects!$D$9-1,Projects!$B$9*INDEX(Curves!$B$2:$AO$2,1,84-Projects!$C$9+1)*Assumptions!$B$11*0.95+0.05*Projects!$B$9*Assumptions!$B$11,Projects!$B$9*INDEX(Curves!$B$2:$AO$2,1,84-Projects!$C$9+1)*Assumptions!$B$11*0.95),0)+IF(AND(Projects!$G$10="Yes",84&gt;=Projects!$C$10,84&lt;Projects!$C$10+Projects!$D$10),IF(84=Projects!$C$10+Projects!$D$10-1,Projects!$B$10*INDEX(Curves!$B$4:$AO$4,1,84-Projects!$C$10+1)*Assumptions!$B$11*0.95+0.05*Projects!$B$10*Assumptions!$B$11,Projects!$B$10*INDEX(Curves!$B$4:$AO$4,1,84-Projects!$C$10+1)*Assumptions!$B$11*0.95),0)+IF(AND(Projects!$G$11="Yes",84&gt;=Projects!$C$11,84&lt;Projects!$C$11+Projects!$D$11),IF(84=Projects!$C$11+Projects!$D$11-1,Projects!$B$11*INDEX(Curves!$B$4:$AO$4,1,84-Projects!$C$11+1)*Assumptions!$B$11*0.95+0.05*Projects!$B$11*Assumptions!$B$11,Projects!$B$11*INDEX(Curves!$B$4:$AO$4,1,84-Projects!$C$11+1)*Assumptions!$B$11*0.95),0)+IF(AND(Projects!$G$12="Yes",84&gt;=Projects!$C$12,84&lt;Projects!$C$12+Projects!$D$12),IF(84=Projects!$C$12+Projects!$D$12-1,Projects!$B$12*INDEX(Curves!$B$4:$AO$4,1,84-Projects!$C$12+1)*Assumptions!$B$11*0.95+0.05*Projects!$B$12*Assumptions!$B$11,Projects!$B$12*INDEX(Curves!$B$4:$AO$4,1,84-Projects!$C$12+1)*Assumptions!$B$11*0.95),0)+IF(AND(Projects!$G$13="Yes",84&gt;=Projects!$C$13,84&lt;Projects!$C$13+Projects!$D$13),IF(84=Projects!$C$13+Projects!$D$13-1,Projects!$B$13*INDEX(Curves!$B$2:$AO$2,1,84-Projects!$C$13+1)*Assumptions!$B$11*0.95+0.05*Projects!$B$13*Assumptions!$B$11,Projects!$B$13*INDEX(Curves!$B$2:$AO$2,1,84-Projects!$C$13+1)*Assumptions!$B$11*0.95),0)+IF(AND(Projects!$G$14="Yes",84&gt;=Projects!$C$14,84&lt;Projects!$C$14+Projects!$D$14),IF(84=Projects!$C$14+Projects!$D$14-1,Projects!$B$14*INDEX(Curves!$B$2:$AO$2,1,84-Projects!$C$14+1)*Assumptions!$B$11*0.95+0.05*Projects!$B$14*Assumptions!$B$11,Projects!$B$14*INDEX(Curves!$B$2:$AO$2,1,84-Projects!$C$14+1)*Assumptions!$B$11*0.95),0)+IF(AND(Projects!$G$15="Yes",84&gt;=Projects!$C$15,84&lt;Projects!$C$15+Projects!$D$15),IF(84=Projects!$C$15+Projects!$D$15-1,Projects!$B$15*INDEX(Curves!$B$4:$AO$4,1,84-Projects!$C$15+1)*Assumptions!$B$11*0.95+0.05*Projects!$B$15*Assumptions!$B$11,Projects!$B$15*INDEX(Curves!$B$4:$AO$4,1,84-Projects!$C$15+1)*Assumptions!$B$11*0.95),0)+IF(AND(Projects!$G$16="Yes",84&gt;=Projects!$C$16,84&lt;Projects!$C$16+Projects!$D$16),IF(84=Projects!$C$16+Projects!$D$16-1,Projects!$B$16*INDEX(Curves!$B$4:$AO$4,1,84-Projects!$C$16+1)*Assumptions!$B$11*0.95+0.05*Projects!$B$16*Assumptions!$B$11,Projects!$B$16*INDEX(Curves!$B$4:$AO$4,1,84-Projects!$C$16+1)*Assumptions!$B$11*0.95),0)</f>
        <v>0</v>
      </c>
      <c r="CI9" s="23"/>
    </row>
    <row r="10" spans="1:87" ht="15" customHeight="1" x14ac:dyDescent="0.25">
      <c r="A10" s="7" t="s">
        <v>126</v>
      </c>
      <c r="B10" s="22"/>
      <c r="C10" s="8">
        <f>IF(AND(Projects!$G$2="Yes",1&gt;=Projects!$C$2,1&lt;Projects!$C$2+Projects!$D$2),IF(1=Projects!$C$2+Projects!$D$2-1,46323/Projects!$D$2*0.95+0.05*46323,46323/Projects!$D$2*0.95),0)+IF(AND(Projects!$G$3="Yes",1&gt;=Projects!$C$3,1&lt;Projects!$C$3+Projects!$D$3),IF(1=Projects!$C$3+Projects!$D$3-1,176626/Projects!$D$3*0.95+0.05*176626,176626/Projects!$D$3*0.95),0)+IF(AND(Projects!$G$4="Yes",1&gt;=Projects!$C$4,1&lt;Projects!$C$4+Projects!$D$4),IF(1=Projects!$C$4+Projects!$D$4-1,Projects!$B$4*Assumptions!$B$12/Projects!$D$4*0.95+0.05*Projects!$B$4*Assumptions!$B$12,Projects!$B$4*Assumptions!$B$12/Projects!$D$4*0.95),0)+IF(AND(Projects!$G$5="Yes",1&gt;=Projects!$C$5,1&lt;Projects!$C$5+Projects!$D$5),IF(1=Projects!$C$5+Projects!$D$5-1,Projects!$B$5*Assumptions!$B$12/Projects!$D$5*0.95+0.05*Projects!$B$5*Assumptions!$B$12,Projects!$B$5*Assumptions!$B$12/Projects!$D$5*0.95),0)+IF(AND(Projects!$G$6="Yes",1&gt;=Projects!$C$6,1&lt;Projects!$C$6+Projects!$D$6),IF(1=Projects!$C$6+Projects!$D$6-1,0/Projects!$D$6*0.95+0.05*0,0/Projects!$D$6*0.95),0)+IF(AND(Projects!$G$7="Yes",1&gt;=Projects!$C$7,1&lt;Projects!$C$7+Projects!$D$7),IF(1=Projects!$C$7+Projects!$D$7-1,Projects!$B$7*Assumptions!$B$12/Projects!$D$7*0.95+0.05*Projects!$B$7*Assumptions!$B$12,Projects!$B$7*Assumptions!$B$12/Projects!$D$7*0.95),0)+IF(AND(Projects!$G$8="Yes",1&gt;=Projects!$C$8,1&lt;Projects!$C$8+Projects!$D$8),IF(1=Projects!$C$8+Projects!$D$8-1,Projects!$B$8*Assumptions!$B$12/Projects!$D$8*0.95+0.05*Projects!$B$8*Assumptions!$B$12,Projects!$B$8*Assumptions!$B$12/Projects!$D$8*0.95),0)+IF(AND(Projects!$G$9="Yes",1&gt;=Projects!$C$9,1&lt;Projects!$C$9+Projects!$D$9),IF(1=Projects!$C$9+Projects!$D$9-1,Projects!$B$9*Assumptions!$B$12/Projects!$D$9*0.95+0.05*Projects!$B$9*Assumptions!$B$12,Projects!$B$9*Assumptions!$B$12/Projects!$D$9*0.95),0)+IF(AND(Projects!$G$10="Yes",1&gt;=Projects!$C$10,1&lt;Projects!$C$10+Projects!$D$10),IF(1=Projects!$C$10+Projects!$D$10-1,Projects!$B$10*Assumptions!$B$12/Projects!$D$10*0.95+0.05*Projects!$B$10*Assumptions!$B$12,Projects!$B$10*Assumptions!$B$12/Projects!$D$10*0.95),0)+IF(AND(Projects!$G$11="Yes",1&gt;=Projects!$C$11,1&lt;Projects!$C$11+Projects!$D$11),IF(1=Projects!$C$11+Projects!$D$11-1,Projects!$B$11*Assumptions!$B$12/Projects!$D$11*0.95+0.05*Projects!$B$11*Assumptions!$B$12,Projects!$B$11*Assumptions!$B$12/Projects!$D$11*0.95),0)+IF(AND(Projects!$G$12="Yes",1&gt;=Projects!$C$12,1&lt;Projects!$C$12+Projects!$D$12),IF(1=Projects!$C$12+Projects!$D$12-1,Projects!$B$12*Assumptions!$B$12/Projects!$D$12*0.95+0.05*Projects!$B$12*Assumptions!$B$12,Projects!$B$12*Assumptions!$B$12/Projects!$D$12*0.95),0)+IF(AND(Projects!$G$13="Yes",1&gt;=Projects!$C$13,1&lt;Projects!$C$13+Projects!$D$13),IF(1=Projects!$C$13+Projects!$D$13-1,Projects!$B$13*Assumptions!$B$12/Projects!$D$13*0.95+0.05*Projects!$B$13*Assumptions!$B$12,Projects!$B$13*Assumptions!$B$12/Projects!$D$13*0.95),0)+IF(AND(Projects!$G$14="Yes",1&gt;=Projects!$C$14,1&lt;Projects!$C$14+Projects!$D$14),IF(1=Projects!$C$14+Projects!$D$14-1,Projects!$B$14*Assumptions!$B$12/Projects!$D$14*0.95+0.05*Projects!$B$14*Assumptions!$B$12,Projects!$B$14*Assumptions!$B$12/Projects!$D$14*0.95),0)+IF(AND(Projects!$G$15="Yes",1&gt;=Projects!$C$15,1&lt;Projects!$C$15+Projects!$D$15),IF(1=Projects!$C$15+Projects!$D$15-1,Projects!$B$15*Assumptions!$B$12/Projects!$D$15*0.95+0.05*Projects!$B$15*Assumptions!$B$12,Projects!$B$15*Assumptions!$B$12/Projects!$D$15*0.95),0)+IF(AND(Projects!$G$16="Yes",1&gt;=Projects!$C$16,1&lt;Projects!$C$16+Projects!$D$16),IF(1=Projects!$C$16+Projects!$D$16-1,Projects!$B$16*Assumptions!$B$12/Projects!$D$16*0.95+0.05*Projects!$B$16*Assumptions!$B$12,Projects!$B$16*Assumptions!$B$12/Projects!$D$16*0.95),0)</f>
        <v>43087.457683982684</v>
      </c>
      <c r="D10" s="8">
        <f>IF(AND(Projects!$G$2="Yes",2&gt;=Projects!$C$2,2&lt;Projects!$C$2+Projects!$D$2),IF(2=Projects!$C$2+Projects!$D$2-1,46323/Projects!$D$2*0.95+0.05*46323,46323/Projects!$D$2*0.95),0)+IF(AND(Projects!$G$3="Yes",2&gt;=Projects!$C$3,2&lt;Projects!$C$3+Projects!$D$3),IF(2=Projects!$C$3+Projects!$D$3-1,176626/Projects!$D$3*0.95+0.05*176626,176626/Projects!$D$3*0.95),0)+IF(AND(Projects!$G$4="Yes",2&gt;=Projects!$C$4,2&lt;Projects!$C$4+Projects!$D$4),IF(2=Projects!$C$4+Projects!$D$4-1,Projects!$B$4*Assumptions!$B$12/Projects!$D$4*0.95+0.05*Projects!$B$4*Assumptions!$B$12,Projects!$B$4*Assumptions!$B$12/Projects!$D$4*0.95),0)+IF(AND(Projects!$G$5="Yes",2&gt;=Projects!$C$5,2&lt;Projects!$C$5+Projects!$D$5),IF(2=Projects!$C$5+Projects!$D$5-1,Projects!$B$5*Assumptions!$B$12/Projects!$D$5*0.95+0.05*Projects!$B$5*Assumptions!$B$12,Projects!$B$5*Assumptions!$B$12/Projects!$D$5*0.95),0)+IF(AND(Projects!$G$6="Yes",2&gt;=Projects!$C$6,2&lt;Projects!$C$6+Projects!$D$6),IF(2=Projects!$C$6+Projects!$D$6-1,0/Projects!$D$6*0.95+0.05*0,0/Projects!$D$6*0.95),0)+IF(AND(Projects!$G$7="Yes",2&gt;=Projects!$C$7,2&lt;Projects!$C$7+Projects!$D$7),IF(2=Projects!$C$7+Projects!$D$7-1,Projects!$B$7*Assumptions!$B$12/Projects!$D$7*0.95+0.05*Projects!$B$7*Assumptions!$B$12,Projects!$B$7*Assumptions!$B$12/Projects!$D$7*0.95),0)+IF(AND(Projects!$G$8="Yes",2&gt;=Projects!$C$8,2&lt;Projects!$C$8+Projects!$D$8),IF(2=Projects!$C$8+Projects!$D$8-1,Projects!$B$8*Assumptions!$B$12/Projects!$D$8*0.95+0.05*Projects!$B$8*Assumptions!$B$12,Projects!$B$8*Assumptions!$B$12/Projects!$D$8*0.95),0)+IF(AND(Projects!$G$9="Yes",2&gt;=Projects!$C$9,2&lt;Projects!$C$9+Projects!$D$9),IF(2=Projects!$C$9+Projects!$D$9-1,Projects!$B$9*Assumptions!$B$12/Projects!$D$9*0.95+0.05*Projects!$B$9*Assumptions!$B$12,Projects!$B$9*Assumptions!$B$12/Projects!$D$9*0.95),0)+IF(AND(Projects!$G$10="Yes",2&gt;=Projects!$C$10,2&lt;Projects!$C$10+Projects!$D$10),IF(2=Projects!$C$10+Projects!$D$10-1,Projects!$B$10*Assumptions!$B$12/Projects!$D$10*0.95+0.05*Projects!$B$10*Assumptions!$B$12,Projects!$B$10*Assumptions!$B$12/Projects!$D$10*0.95),0)+IF(AND(Projects!$G$11="Yes",2&gt;=Projects!$C$11,2&lt;Projects!$C$11+Projects!$D$11),IF(2=Projects!$C$11+Projects!$D$11-1,Projects!$B$11*Assumptions!$B$12/Projects!$D$11*0.95+0.05*Projects!$B$11*Assumptions!$B$12,Projects!$B$11*Assumptions!$B$12/Projects!$D$11*0.95),0)+IF(AND(Projects!$G$12="Yes",2&gt;=Projects!$C$12,2&lt;Projects!$C$12+Projects!$D$12),IF(2=Projects!$C$12+Projects!$D$12-1,Projects!$B$12*Assumptions!$B$12/Projects!$D$12*0.95+0.05*Projects!$B$12*Assumptions!$B$12,Projects!$B$12*Assumptions!$B$12/Projects!$D$12*0.95),0)+IF(AND(Projects!$G$13="Yes",2&gt;=Projects!$C$13,2&lt;Projects!$C$13+Projects!$D$13),IF(2=Projects!$C$13+Projects!$D$13-1,Projects!$B$13*Assumptions!$B$12/Projects!$D$13*0.95+0.05*Projects!$B$13*Assumptions!$B$12,Projects!$B$13*Assumptions!$B$12/Projects!$D$13*0.95),0)+IF(AND(Projects!$G$14="Yes",2&gt;=Projects!$C$14,2&lt;Projects!$C$14+Projects!$D$14),IF(2=Projects!$C$14+Projects!$D$14-1,Projects!$B$14*Assumptions!$B$12/Projects!$D$14*0.95+0.05*Projects!$B$14*Assumptions!$B$12,Projects!$B$14*Assumptions!$B$12/Projects!$D$14*0.95),0)+IF(AND(Projects!$G$15="Yes",2&gt;=Projects!$C$15,2&lt;Projects!$C$15+Projects!$D$15),IF(2=Projects!$C$15+Projects!$D$15-1,Projects!$B$15*Assumptions!$B$12/Projects!$D$15*0.95+0.05*Projects!$B$15*Assumptions!$B$12,Projects!$B$15*Assumptions!$B$12/Projects!$D$15*0.95),0)+IF(AND(Projects!$G$16="Yes",2&gt;=Projects!$C$16,2&lt;Projects!$C$16+Projects!$D$16),IF(2=Projects!$C$16+Projects!$D$16-1,Projects!$B$16*Assumptions!$B$12/Projects!$D$16*0.95+0.05*Projects!$B$16*Assumptions!$B$12,Projects!$B$16*Assumptions!$B$12/Projects!$D$16*0.95),0)</f>
        <v>43087.457683982684</v>
      </c>
      <c r="E10" s="8">
        <f>IF(AND(Projects!$G$2="Yes",3&gt;=Projects!$C$2,3&lt;Projects!$C$2+Projects!$D$2),IF(3=Projects!$C$2+Projects!$D$2-1,46323/Projects!$D$2*0.95+0.05*46323,46323/Projects!$D$2*0.95),0)+IF(AND(Projects!$G$3="Yes",3&gt;=Projects!$C$3,3&lt;Projects!$C$3+Projects!$D$3),IF(3=Projects!$C$3+Projects!$D$3-1,176626/Projects!$D$3*0.95+0.05*176626,176626/Projects!$D$3*0.95),0)+IF(AND(Projects!$G$4="Yes",3&gt;=Projects!$C$4,3&lt;Projects!$C$4+Projects!$D$4),IF(3=Projects!$C$4+Projects!$D$4-1,Projects!$B$4*Assumptions!$B$12/Projects!$D$4*0.95+0.05*Projects!$B$4*Assumptions!$B$12,Projects!$B$4*Assumptions!$B$12/Projects!$D$4*0.95),0)+IF(AND(Projects!$G$5="Yes",3&gt;=Projects!$C$5,3&lt;Projects!$C$5+Projects!$D$5),IF(3=Projects!$C$5+Projects!$D$5-1,Projects!$B$5*Assumptions!$B$12/Projects!$D$5*0.95+0.05*Projects!$B$5*Assumptions!$B$12,Projects!$B$5*Assumptions!$B$12/Projects!$D$5*0.95),0)+IF(AND(Projects!$G$6="Yes",3&gt;=Projects!$C$6,3&lt;Projects!$C$6+Projects!$D$6),IF(3=Projects!$C$6+Projects!$D$6-1,0/Projects!$D$6*0.95+0.05*0,0/Projects!$D$6*0.95),0)+IF(AND(Projects!$G$7="Yes",3&gt;=Projects!$C$7,3&lt;Projects!$C$7+Projects!$D$7),IF(3=Projects!$C$7+Projects!$D$7-1,Projects!$B$7*Assumptions!$B$12/Projects!$D$7*0.95+0.05*Projects!$B$7*Assumptions!$B$12,Projects!$B$7*Assumptions!$B$12/Projects!$D$7*0.95),0)+IF(AND(Projects!$G$8="Yes",3&gt;=Projects!$C$8,3&lt;Projects!$C$8+Projects!$D$8),IF(3=Projects!$C$8+Projects!$D$8-1,Projects!$B$8*Assumptions!$B$12/Projects!$D$8*0.95+0.05*Projects!$B$8*Assumptions!$B$12,Projects!$B$8*Assumptions!$B$12/Projects!$D$8*0.95),0)+IF(AND(Projects!$G$9="Yes",3&gt;=Projects!$C$9,3&lt;Projects!$C$9+Projects!$D$9),IF(3=Projects!$C$9+Projects!$D$9-1,Projects!$B$9*Assumptions!$B$12/Projects!$D$9*0.95+0.05*Projects!$B$9*Assumptions!$B$12,Projects!$B$9*Assumptions!$B$12/Projects!$D$9*0.95),0)+IF(AND(Projects!$G$10="Yes",3&gt;=Projects!$C$10,3&lt;Projects!$C$10+Projects!$D$10),IF(3=Projects!$C$10+Projects!$D$10-1,Projects!$B$10*Assumptions!$B$12/Projects!$D$10*0.95+0.05*Projects!$B$10*Assumptions!$B$12,Projects!$B$10*Assumptions!$B$12/Projects!$D$10*0.95),0)+IF(AND(Projects!$G$11="Yes",3&gt;=Projects!$C$11,3&lt;Projects!$C$11+Projects!$D$11),IF(3=Projects!$C$11+Projects!$D$11-1,Projects!$B$11*Assumptions!$B$12/Projects!$D$11*0.95+0.05*Projects!$B$11*Assumptions!$B$12,Projects!$B$11*Assumptions!$B$12/Projects!$D$11*0.95),0)+IF(AND(Projects!$G$12="Yes",3&gt;=Projects!$C$12,3&lt;Projects!$C$12+Projects!$D$12),IF(3=Projects!$C$12+Projects!$D$12-1,Projects!$B$12*Assumptions!$B$12/Projects!$D$12*0.95+0.05*Projects!$B$12*Assumptions!$B$12,Projects!$B$12*Assumptions!$B$12/Projects!$D$12*0.95),0)+IF(AND(Projects!$G$13="Yes",3&gt;=Projects!$C$13,3&lt;Projects!$C$13+Projects!$D$13),IF(3=Projects!$C$13+Projects!$D$13-1,Projects!$B$13*Assumptions!$B$12/Projects!$D$13*0.95+0.05*Projects!$B$13*Assumptions!$B$12,Projects!$B$13*Assumptions!$B$12/Projects!$D$13*0.95),0)+IF(AND(Projects!$G$14="Yes",3&gt;=Projects!$C$14,3&lt;Projects!$C$14+Projects!$D$14),IF(3=Projects!$C$14+Projects!$D$14-1,Projects!$B$14*Assumptions!$B$12/Projects!$D$14*0.95+0.05*Projects!$B$14*Assumptions!$B$12,Projects!$B$14*Assumptions!$B$12/Projects!$D$14*0.95),0)+IF(AND(Projects!$G$15="Yes",3&gt;=Projects!$C$15,3&lt;Projects!$C$15+Projects!$D$15),IF(3=Projects!$C$15+Projects!$D$15-1,Projects!$B$15*Assumptions!$B$12/Projects!$D$15*0.95+0.05*Projects!$B$15*Assumptions!$B$12,Projects!$B$15*Assumptions!$B$12/Projects!$D$15*0.95),0)+IF(AND(Projects!$G$16="Yes",3&gt;=Projects!$C$16,3&lt;Projects!$C$16+Projects!$D$16),IF(3=Projects!$C$16+Projects!$D$16-1,Projects!$B$16*Assumptions!$B$12/Projects!$D$16*0.95+0.05*Projects!$B$16*Assumptions!$B$12,Projects!$B$16*Assumptions!$B$12/Projects!$D$16*0.95),0)</f>
        <v>43087.457683982684</v>
      </c>
      <c r="F10" s="8">
        <f>IF(AND(Projects!$G$2="Yes",4&gt;=Projects!$C$2,4&lt;Projects!$C$2+Projects!$D$2),IF(4=Projects!$C$2+Projects!$D$2-1,46323/Projects!$D$2*0.95+0.05*46323,46323/Projects!$D$2*0.95),0)+IF(AND(Projects!$G$3="Yes",4&gt;=Projects!$C$3,4&lt;Projects!$C$3+Projects!$D$3),IF(4=Projects!$C$3+Projects!$D$3-1,176626/Projects!$D$3*0.95+0.05*176626,176626/Projects!$D$3*0.95),0)+IF(AND(Projects!$G$4="Yes",4&gt;=Projects!$C$4,4&lt;Projects!$C$4+Projects!$D$4),IF(4=Projects!$C$4+Projects!$D$4-1,Projects!$B$4*Assumptions!$B$12/Projects!$D$4*0.95+0.05*Projects!$B$4*Assumptions!$B$12,Projects!$B$4*Assumptions!$B$12/Projects!$D$4*0.95),0)+IF(AND(Projects!$G$5="Yes",4&gt;=Projects!$C$5,4&lt;Projects!$C$5+Projects!$D$5),IF(4=Projects!$C$5+Projects!$D$5-1,Projects!$B$5*Assumptions!$B$12/Projects!$D$5*0.95+0.05*Projects!$B$5*Assumptions!$B$12,Projects!$B$5*Assumptions!$B$12/Projects!$D$5*0.95),0)+IF(AND(Projects!$G$6="Yes",4&gt;=Projects!$C$6,4&lt;Projects!$C$6+Projects!$D$6),IF(4=Projects!$C$6+Projects!$D$6-1,0/Projects!$D$6*0.95+0.05*0,0/Projects!$D$6*0.95),0)+IF(AND(Projects!$G$7="Yes",4&gt;=Projects!$C$7,4&lt;Projects!$C$7+Projects!$D$7),IF(4=Projects!$C$7+Projects!$D$7-1,Projects!$B$7*Assumptions!$B$12/Projects!$D$7*0.95+0.05*Projects!$B$7*Assumptions!$B$12,Projects!$B$7*Assumptions!$B$12/Projects!$D$7*0.95),0)+IF(AND(Projects!$G$8="Yes",4&gt;=Projects!$C$8,4&lt;Projects!$C$8+Projects!$D$8),IF(4=Projects!$C$8+Projects!$D$8-1,Projects!$B$8*Assumptions!$B$12/Projects!$D$8*0.95+0.05*Projects!$B$8*Assumptions!$B$12,Projects!$B$8*Assumptions!$B$12/Projects!$D$8*0.95),0)+IF(AND(Projects!$G$9="Yes",4&gt;=Projects!$C$9,4&lt;Projects!$C$9+Projects!$D$9),IF(4=Projects!$C$9+Projects!$D$9-1,Projects!$B$9*Assumptions!$B$12/Projects!$D$9*0.95+0.05*Projects!$B$9*Assumptions!$B$12,Projects!$B$9*Assumptions!$B$12/Projects!$D$9*0.95),0)+IF(AND(Projects!$G$10="Yes",4&gt;=Projects!$C$10,4&lt;Projects!$C$10+Projects!$D$10),IF(4=Projects!$C$10+Projects!$D$10-1,Projects!$B$10*Assumptions!$B$12/Projects!$D$10*0.95+0.05*Projects!$B$10*Assumptions!$B$12,Projects!$B$10*Assumptions!$B$12/Projects!$D$10*0.95),0)+IF(AND(Projects!$G$11="Yes",4&gt;=Projects!$C$11,4&lt;Projects!$C$11+Projects!$D$11),IF(4=Projects!$C$11+Projects!$D$11-1,Projects!$B$11*Assumptions!$B$12/Projects!$D$11*0.95+0.05*Projects!$B$11*Assumptions!$B$12,Projects!$B$11*Assumptions!$B$12/Projects!$D$11*0.95),0)+IF(AND(Projects!$G$12="Yes",4&gt;=Projects!$C$12,4&lt;Projects!$C$12+Projects!$D$12),IF(4=Projects!$C$12+Projects!$D$12-1,Projects!$B$12*Assumptions!$B$12/Projects!$D$12*0.95+0.05*Projects!$B$12*Assumptions!$B$12,Projects!$B$12*Assumptions!$B$12/Projects!$D$12*0.95),0)+IF(AND(Projects!$G$13="Yes",4&gt;=Projects!$C$13,4&lt;Projects!$C$13+Projects!$D$13),IF(4=Projects!$C$13+Projects!$D$13-1,Projects!$B$13*Assumptions!$B$12/Projects!$D$13*0.95+0.05*Projects!$B$13*Assumptions!$B$12,Projects!$B$13*Assumptions!$B$12/Projects!$D$13*0.95),0)+IF(AND(Projects!$G$14="Yes",4&gt;=Projects!$C$14,4&lt;Projects!$C$14+Projects!$D$14),IF(4=Projects!$C$14+Projects!$D$14-1,Projects!$B$14*Assumptions!$B$12/Projects!$D$14*0.95+0.05*Projects!$B$14*Assumptions!$B$12,Projects!$B$14*Assumptions!$B$12/Projects!$D$14*0.95),0)+IF(AND(Projects!$G$15="Yes",4&gt;=Projects!$C$15,4&lt;Projects!$C$15+Projects!$D$15),IF(4=Projects!$C$15+Projects!$D$15-1,Projects!$B$15*Assumptions!$B$12/Projects!$D$15*0.95+0.05*Projects!$B$15*Assumptions!$B$12,Projects!$B$15*Assumptions!$B$12/Projects!$D$15*0.95),0)+IF(AND(Projects!$G$16="Yes",4&gt;=Projects!$C$16,4&lt;Projects!$C$16+Projects!$D$16),IF(4=Projects!$C$16+Projects!$D$16-1,Projects!$B$16*Assumptions!$B$12/Projects!$D$16*0.95+0.05*Projects!$B$16*Assumptions!$B$12,Projects!$B$16*Assumptions!$B$12/Projects!$D$16*0.95),0)</f>
        <v>65176.216125541127</v>
      </c>
      <c r="G10" s="8">
        <f>IF(AND(Projects!$G$2="Yes",5&gt;=Projects!$C$2,5&lt;Projects!$C$2+Projects!$D$2),IF(5=Projects!$C$2+Projects!$D$2-1,46323/Projects!$D$2*0.95+0.05*46323,46323/Projects!$D$2*0.95),0)+IF(AND(Projects!$G$3="Yes",5&gt;=Projects!$C$3,5&lt;Projects!$C$3+Projects!$D$3),IF(5=Projects!$C$3+Projects!$D$3-1,176626/Projects!$D$3*0.95+0.05*176626,176626/Projects!$D$3*0.95),0)+IF(AND(Projects!$G$4="Yes",5&gt;=Projects!$C$4,5&lt;Projects!$C$4+Projects!$D$4),IF(5=Projects!$C$4+Projects!$D$4-1,Projects!$B$4*Assumptions!$B$12/Projects!$D$4*0.95+0.05*Projects!$B$4*Assumptions!$B$12,Projects!$B$4*Assumptions!$B$12/Projects!$D$4*0.95),0)+IF(AND(Projects!$G$5="Yes",5&gt;=Projects!$C$5,5&lt;Projects!$C$5+Projects!$D$5),IF(5=Projects!$C$5+Projects!$D$5-1,Projects!$B$5*Assumptions!$B$12/Projects!$D$5*0.95+0.05*Projects!$B$5*Assumptions!$B$12,Projects!$B$5*Assumptions!$B$12/Projects!$D$5*0.95),0)+IF(AND(Projects!$G$6="Yes",5&gt;=Projects!$C$6,5&lt;Projects!$C$6+Projects!$D$6),IF(5=Projects!$C$6+Projects!$D$6-1,0/Projects!$D$6*0.95+0.05*0,0/Projects!$D$6*0.95),0)+IF(AND(Projects!$G$7="Yes",5&gt;=Projects!$C$7,5&lt;Projects!$C$7+Projects!$D$7),IF(5=Projects!$C$7+Projects!$D$7-1,Projects!$B$7*Assumptions!$B$12/Projects!$D$7*0.95+0.05*Projects!$B$7*Assumptions!$B$12,Projects!$B$7*Assumptions!$B$12/Projects!$D$7*0.95),0)+IF(AND(Projects!$G$8="Yes",5&gt;=Projects!$C$8,5&lt;Projects!$C$8+Projects!$D$8),IF(5=Projects!$C$8+Projects!$D$8-1,Projects!$B$8*Assumptions!$B$12/Projects!$D$8*0.95+0.05*Projects!$B$8*Assumptions!$B$12,Projects!$B$8*Assumptions!$B$12/Projects!$D$8*0.95),0)+IF(AND(Projects!$G$9="Yes",5&gt;=Projects!$C$9,5&lt;Projects!$C$9+Projects!$D$9),IF(5=Projects!$C$9+Projects!$D$9-1,Projects!$B$9*Assumptions!$B$12/Projects!$D$9*0.95+0.05*Projects!$B$9*Assumptions!$B$12,Projects!$B$9*Assumptions!$B$12/Projects!$D$9*0.95),0)+IF(AND(Projects!$G$10="Yes",5&gt;=Projects!$C$10,5&lt;Projects!$C$10+Projects!$D$10),IF(5=Projects!$C$10+Projects!$D$10-1,Projects!$B$10*Assumptions!$B$12/Projects!$D$10*0.95+0.05*Projects!$B$10*Assumptions!$B$12,Projects!$B$10*Assumptions!$B$12/Projects!$D$10*0.95),0)+IF(AND(Projects!$G$11="Yes",5&gt;=Projects!$C$11,5&lt;Projects!$C$11+Projects!$D$11),IF(5=Projects!$C$11+Projects!$D$11-1,Projects!$B$11*Assumptions!$B$12/Projects!$D$11*0.95+0.05*Projects!$B$11*Assumptions!$B$12,Projects!$B$11*Assumptions!$B$12/Projects!$D$11*0.95),0)+IF(AND(Projects!$G$12="Yes",5&gt;=Projects!$C$12,5&lt;Projects!$C$12+Projects!$D$12),IF(5=Projects!$C$12+Projects!$D$12-1,Projects!$B$12*Assumptions!$B$12/Projects!$D$12*0.95+0.05*Projects!$B$12*Assumptions!$B$12,Projects!$B$12*Assumptions!$B$12/Projects!$D$12*0.95),0)+IF(AND(Projects!$G$13="Yes",5&gt;=Projects!$C$13,5&lt;Projects!$C$13+Projects!$D$13),IF(5=Projects!$C$13+Projects!$D$13-1,Projects!$B$13*Assumptions!$B$12/Projects!$D$13*0.95+0.05*Projects!$B$13*Assumptions!$B$12,Projects!$B$13*Assumptions!$B$12/Projects!$D$13*0.95),0)+IF(AND(Projects!$G$14="Yes",5&gt;=Projects!$C$14,5&lt;Projects!$C$14+Projects!$D$14),IF(5=Projects!$C$14+Projects!$D$14-1,Projects!$B$14*Assumptions!$B$12/Projects!$D$14*0.95+0.05*Projects!$B$14*Assumptions!$B$12,Projects!$B$14*Assumptions!$B$12/Projects!$D$14*0.95),0)+IF(AND(Projects!$G$15="Yes",5&gt;=Projects!$C$15,5&lt;Projects!$C$15+Projects!$D$15),IF(5=Projects!$C$15+Projects!$D$15-1,Projects!$B$15*Assumptions!$B$12/Projects!$D$15*0.95+0.05*Projects!$B$15*Assumptions!$B$12,Projects!$B$15*Assumptions!$B$12/Projects!$D$15*0.95),0)+IF(AND(Projects!$G$16="Yes",5&gt;=Projects!$C$16,5&lt;Projects!$C$16+Projects!$D$16),IF(5=Projects!$C$16+Projects!$D$16-1,Projects!$B$16*Assumptions!$B$12/Projects!$D$16*0.95+0.05*Projects!$B$16*Assumptions!$B$12,Projects!$B$16*Assumptions!$B$12/Projects!$D$16*0.95),0)</f>
        <v>65176.216125541127</v>
      </c>
      <c r="H10" s="8">
        <f>IF(AND(Projects!$G$2="Yes",6&gt;=Projects!$C$2,6&lt;Projects!$C$2+Projects!$D$2),IF(6=Projects!$C$2+Projects!$D$2-1,46323/Projects!$D$2*0.95+0.05*46323,46323/Projects!$D$2*0.95),0)+IF(AND(Projects!$G$3="Yes",6&gt;=Projects!$C$3,6&lt;Projects!$C$3+Projects!$D$3),IF(6=Projects!$C$3+Projects!$D$3-1,176626/Projects!$D$3*0.95+0.05*176626,176626/Projects!$D$3*0.95),0)+IF(AND(Projects!$G$4="Yes",6&gt;=Projects!$C$4,6&lt;Projects!$C$4+Projects!$D$4),IF(6=Projects!$C$4+Projects!$D$4-1,Projects!$B$4*Assumptions!$B$12/Projects!$D$4*0.95+0.05*Projects!$B$4*Assumptions!$B$12,Projects!$B$4*Assumptions!$B$12/Projects!$D$4*0.95),0)+IF(AND(Projects!$G$5="Yes",6&gt;=Projects!$C$5,6&lt;Projects!$C$5+Projects!$D$5),IF(6=Projects!$C$5+Projects!$D$5-1,Projects!$B$5*Assumptions!$B$12/Projects!$D$5*0.95+0.05*Projects!$B$5*Assumptions!$B$12,Projects!$B$5*Assumptions!$B$12/Projects!$D$5*0.95),0)+IF(AND(Projects!$G$6="Yes",6&gt;=Projects!$C$6,6&lt;Projects!$C$6+Projects!$D$6),IF(6=Projects!$C$6+Projects!$D$6-1,0/Projects!$D$6*0.95+0.05*0,0/Projects!$D$6*0.95),0)+IF(AND(Projects!$G$7="Yes",6&gt;=Projects!$C$7,6&lt;Projects!$C$7+Projects!$D$7),IF(6=Projects!$C$7+Projects!$D$7-1,Projects!$B$7*Assumptions!$B$12/Projects!$D$7*0.95+0.05*Projects!$B$7*Assumptions!$B$12,Projects!$B$7*Assumptions!$B$12/Projects!$D$7*0.95),0)+IF(AND(Projects!$G$8="Yes",6&gt;=Projects!$C$8,6&lt;Projects!$C$8+Projects!$D$8),IF(6=Projects!$C$8+Projects!$D$8-1,Projects!$B$8*Assumptions!$B$12/Projects!$D$8*0.95+0.05*Projects!$B$8*Assumptions!$B$12,Projects!$B$8*Assumptions!$B$12/Projects!$D$8*0.95),0)+IF(AND(Projects!$G$9="Yes",6&gt;=Projects!$C$9,6&lt;Projects!$C$9+Projects!$D$9),IF(6=Projects!$C$9+Projects!$D$9-1,Projects!$B$9*Assumptions!$B$12/Projects!$D$9*0.95+0.05*Projects!$B$9*Assumptions!$B$12,Projects!$B$9*Assumptions!$B$12/Projects!$D$9*0.95),0)+IF(AND(Projects!$G$10="Yes",6&gt;=Projects!$C$10,6&lt;Projects!$C$10+Projects!$D$10),IF(6=Projects!$C$10+Projects!$D$10-1,Projects!$B$10*Assumptions!$B$12/Projects!$D$10*0.95+0.05*Projects!$B$10*Assumptions!$B$12,Projects!$B$10*Assumptions!$B$12/Projects!$D$10*0.95),0)+IF(AND(Projects!$G$11="Yes",6&gt;=Projects!$C$11,6&lt;Projects!$C$11+Projects!$D$11),IF(6=Projects!$C$11+Projects!$D$11-1,Projects!$B$11*Assumptions!$B$12/Projects!$D$11*0.95+0.05*Projects!$B$11*Assumptions!$B$12,Projects!$B$11*Assumptions!$B$12/Projects!$D$11*0.95),0)+IF(AND(Projects!$G$12="Yes",6&gt;=Projects!$C$12,6&lt;Projects!$C$12+Projects!$D$12),IF(6=Projects!$C$12+Projects!$D$12-1,Projects!$B$12*Assumptions!$B$12/Projects!$D$12*0.95+0.05*Projects!$B$12*Assumptions!$B$12,Projects!$B$12*Assumptions!$B$12/Projects!$D$12*0.95),0)+IF(AND(Projects!$G$13="Yes",6&gt;=Projects!$C$13,6&lt;Projects!$C$13+Projects!$D$13),IF(6=Projects!$C$13+Projects!$D$13-1,Projects!$B$13*Assumptions!$B$12/Projects!$D$13*0.95+0.05*Projects!$B$13*Assumptions!$B$12,Projects!$B$13*Assumptions!$B$12/Projects!$D$13*0.95),0)+IF(AND(Projects!$G$14="Yes",6&gt;=Projects!$C$14,6&lt;Projects!$C$14+Projects!$D$14),IF(6=Projects!$C$14+Projects!$D$14-1,Projects!$B$14*Assumptions!$B$12/Projects!$D$14*0.95+0.05*Projects!$B$14*Assumptions!$B$12,Projects!$B$14*Assumptions!$B$12/Projects!$D$14*0.95),0)+IF(AND(Projects!$G$15="Yes",6&gt;=Projects!$C$15,6&lt;Projects!$C$15+Projects!$D$15),IF(6=Projects!$C$15+Projects!$D$15-1,Projects!$B$15*Assumptions!$B$12/Projects!$D$15*0.95+0.05*Projects!$B$15*Assumptions!$B$12,Projects!$B$15*Assumptions!$B$12/Projects!$D$15*0.95),0)+IF(AND(Projects!$G$16="Yes",6&gt;=Projects!$C$16,6&lt;Projects!$C$16+Projects!$D$16),IF(6=Projects!$C$16+Projects!$D$16-1,Projects!$B$16*Assumptions!$B$12/Projects!$D$16*0.95+0.05*Projects!$B$16*Assumptions!$B$12,Projects!$B$16*Assumptions!$B$12/Projects!$D$16*0.95),0)</f>
        <v>65176.216125541127</v>
      </c>
      <c r="I10" s="8">
        <f>IF(AND(Projects!$G$2="Yes",7&gt;=Projects!$C$2,7&lt;Projects!$C$2+Projects!$D$2),IF(7=Projects!$C$2+Projects!$D$2-1,46323/Projects!$D$2*0.95+0.05*46323,46323/Projects!$D$2*0.95),0)+IF(AND(Projects!$G$3="Yes",7&gt;=Projects!$C$3,7&lt;Projects!$C$3+Projects!$D$3),IF(7=Projects!$C$3+Projects!$D$3-1,176626/Projects!$D$3*0.95+0.05*176626,176626/Projects!$D$3*0.95),0)+IF(AND(Projects!$G$4="Yes",7&gt;=Projects!$C$4,7&lt;Projects!$C$4+Projects!$D$4),IF(7=Projects!$C$4+Projects!$D$4-1,Projects!$B$4*Assumptions!$B$12/Projects!$D$4*0.95+0.05*Projects!$B$4*Assumptions!$B$12,Projects!$B$4*Assumptions!$B$12/Projects!$D$4*0.95),0)+IF(AND(Projects!$G$5="Yes",7&gt;=Projects!$C$5,7&lt;Projects!$C$5+Projects!$D$5),IF(7=Projects!$C$5+Projects!$D$5-1,Projects!$B$5*Assumptions!$B$12/Projects!$D$5*0.95+0.05*Projects!$B$5*Assumptions!$B$12,Projects!$B$5*Assumptions!$B$12/Projects!$D$5*0.95),0)+IF(AND(Projects!$G$6="Yes",7&gt;=Projects!$C$6,7&lt;Projects!$C$6+Projects!$D$6),IF(7=Projects!$C$6+Projects!$D$6-1,0/Projects!$D$6*0.95+0.05*0,0/Projects!$D$6*0.95),0)+IF(AND(Projects!$G$7="Yes",7&gt;=Projects!$C$7,7&lt;Projects!$C$7+Projects!$D$7),IF(7=Projects!$C$7+Projects!$D$7-1,Projects!$B$7*Assumptions!$B$12/Projects!$D$7*0.95+0.05*Projects!$B$7*Assumptions!$B$12,Projects!$B$7*Assumptions!$B$12/Projects!$D$7*0.95),0)+IF(AND(Projects!$G$8="Yes",7&gt;=Projects!$C$8,7&lt;Projects!$C$8+Projects!$D$8),IF(7=Projects!$C$8+Projects!$D$8-1,Projects!$B$8*Assumptions!$B$12/Projects!$D$8*0.95+0.05*Projects!$B$8*Assumptions!$B$12,Projects!$B$8*Assumptions!$B$12/Projects!$D$8*0.95),0)+IF(AND(Projects!$G$9="Yes",7&gt;=Projects!$C$9,7&lt;Projects!$C$9+Projects!$D$9),IF(7=Projects!$C$9+Projects!$D$9-1,Projects!$B$9*Assumptions!$B$12/Projects!$D$9*0.95+0.05*Projects!$B$9*Assumptions!$B$12,Projects!$B$9*Assumptions!$B$12/Projects!$D$9*0.95),0)+IF(AND(Projects!$G$10="Yes",7&gt;=Projects!$C$10,7&lt;Projects!$C$10+Projects!$D$10),IF(7=Projects!$C$10+Projects!$D$10-1,Projects!$B$10*Assumptions!$B$12/Projects!$D$10*0.95+0.05*Projects!$B$10*Assumptions!$B$12,Projects!$B$10*Assumptions!$B$12/Projects!$D$10*0.95),0)+IF(AND(Projects!$G$11="Yes",7&gt;=Projects!$C$11,7&lt;Projects!$C$11+Projects!$D$11),IF(7=Projects!$C$11+Projects!$D$11-1,Projects!$B$11*Assumptions!$B$12/Projects!$D$11*0.95+0.05*Projects!$B$11*Assumptions!$B$12,Projects!$B$11*Assumptions!$B$12/Projects!$D$11*0.95),0)+IF(AND(Projects!$G$12="Yes",7&gt;=Projects!$C$12,7&lt;Projects!$C$12+Projects!$D$12),IF(7=Projects!$C$12+Projects!$D$12-1,Projects!$B$12*Assumptions!$B$12/Projects!$D$12*0.95+0.05*Projects!$B$12*Assumptions!$B$12,Projects!$B$12*Assumptions!$B$12/Projects!$D$12*0.95),0)+IF(AND(Projects!$G$13="Yes",7&gt;=Projects!$C$13,7&lt;Projects!$C$13+Projects!$D$13),IF(7=Projects!$C$13+Projects!$D$13-1,Projects!$B$13*Assumptions!$B$12/Projects!$D$13*0.95+0.05*Projects!$B$13*Assumptions!$B$12,Projects!$B$13*Assumptions!$B$12/Projects!$D$13*0.95),0)+IF(AND(Projects!$G$14="Yes",7&gt;=Projects!$C$14,7&lt;Projects!$C$14+Projects!$D$14),IF(7=Projects!$C$14+Projects!$D$14-1,Projects!$B$14*Assumptions!$B$12/Projects!$D$14*0.95+0.05*Projects!$B$14*Assumptions!$B$12,Projects!$B$14*Assumptions!$B$12/Projects!$D$14*0.95),0)+IF(AND(Projects!$G$15="Yes",7&gt;=Projects!$C$15,7&lt;Projects!$C$15+Projects!$D$15),IF(7=Projects!$C$15+Projects!$D$15-1,Projects!$B$15*Assumptions!$B$12/Projects!$D$15*0.95+0.05*Projects!$B$15*Assumptions!$B$12,Projects!$B$15*Assumptions!$B$12/Projects!$D$15*0.95),0)+IF(AND(Projects!$G$16="Yes",7&gt;=Projects!$C$16,7&lt;Projects!$C$16+Projects!$D$16),IF(7=Projects!$C$16+Projects!$D$16-1,Projects!$B$16*Assumptions!$B$12/Projects!$D$16*0.95+0.05*Projects!$B$16*Assumptions!$B$12,Projects!$B$16*Assumptions!$B$12/Projects!$D$16*0.95),0)</f>
        <v>84381.463338744594</v>
      </c>
      <c r="J10" s="8">
        <f>IF(AND(Projects!$G$2="Yes",8&gt;=Projects!$C$2,8&lt;Projects!$C$2+Projects!$D$2),IF(8=Projects!$C$2+Projects!$D$2-1,46323/Projects!$D$2*0.95+0.05*46323,46323/Projects!$D$2*0.95),0)+IF(AND(Projects!$G$3="Yes",8&gt;=Projects!$C$3,8&lt;Projects!$C$3+Projects!$D$3),IF(8=Projects!$C$3+Projects!$D$3-1,176626/Projects!$D$3*0.95+0.05*176626,176626/Projects!$D$3*0.95),0)+IF(AND(Projects!$G$4="Yes",8&gt;=Projects!$C$4,8&lt;Projects!$C$4+Projects!$D$4),IF(8=Projects!$C$4+Projects!$D$4-1,Projects!$B$4*Assumptions!$B$12/Projects!$D$4*0.95+0.05*Projects!$B$4*Assumptions!$B$12,Projects!$B$4*Assumptions!$B$12/Projects!$D$4*0.95),0)+IF(AND(Projects!$G$5="Yes",8&gt;=Projects!$C$5,8&lt;Projects!$C$5+Projects!$D$5),IF(8=Projects!$C$5+Projects!$D$5-1,Projects!$B$5*Assumptions!$B$12/Projects!$D$5*0.95+0.05*Projects!$B$5*Assumptions!$B$12,Projects!$B$5*Assumptions!$B$12/Projects!$D$5*0.95),0)+IF(AND(Projects!$G$6="Yes",8&gt;=Projects!$C$6,8&lt;Projects!$C$6+Projects!$D$6),IF(8=Projects!$C$6+Projects!$D$6-1,0/Projects!$D$6*0.95+0.05*0,0/Projects!$D$6*0.95),0)+IF(AND(Projects!$G$7="Yes",8&gt;=Projects!$C$7,8&lt;Projects!$C$7+Projects!$D$7),IF(8=Projects!$C$7+Projects!$D$7-1,Projects!$B$7*Assumptions!$B$12/Projects!$D$7*0.95+0.05*Projects!$B$7*Assumptions!$B$12,Projects!$B$7*Assumptions!$B$12/Projects!$D$7*0.95),0)+IF(AND(Projects!$G$8="Yes",8&gt;=Projects!$C$8,8&lt;Projects!$C$8+Projects!$D$8),IF(8=Projects!$C$8+Projects!$D$8-1,Projects!$B$8*Assumptions!$B$12/Projects!$D$8*0.95+0.05*Projects!$B$8*Assumptions!$B$12,Projects!$B$8*Assumptions!$B$12/Projects!$D$8*0.95),0)+IF(AND(Projects!$G$9="Yes",8&gt;=Projects!$C$9,8&lt;Projects!$C$9+Projects!$D$9),IF(8=Projects!$C$9+Projects!$D$9-1,Projects!$B$9*Assumptions!$B$12/Projects!$D$9*0.95+0.05*Projects!$B$9*Assumptions!$B$12,Projects!$B$9*Assumptions!$B$12/Projects!$D$9*0.95),0)+IF(AND(Projects!$G$10="Yes",8&gt;=Projects!$C$10,8&lt;Projects!$C$10+Projects!$D$10),IF(8=Projects!$C$10+Projects!$D$10-1,Projects!$B$10*Assumptions!$B$12/Projects!$D$10*0.95+0.05*Projects!$B$10*Assumptions!$B$12,Projects!$B$10*Assumptions!$B$12/Projects!$D$10*0.95),0)+IF(AND(Projects!$G$11="Yes",8&gt;=Projects!$C$11,8&lt;Projects!$C$11+Projects!$D$11),IF(8=Projects!$C$11+Projects!$D$11-1,Projects!$B$11*Assumptions!$B$12/Projects!$D$11*0.95+0.05*Projects!$B$11*Assumptions!$B$12,Projects!$B$11*Assumptions!$B$12/Projects!$D$11*0.95),0)+IF(AND(Projects!$G$12="Yes",8&gt;=Projects!$C$12,8&lt;Projects!$C$12+Projects!$D$12),IF(8=Projects!$C$12+Projects!$D$12-1,Projects!$B$12*Assumptions!$B$12/Projects!$D$12*0.95+0.05*Projects!$B$12*Assumptions!$B$12,Projects!$B$12*Assumptions!$B$12/Projects!$D$12*0.95),0)+IF(AND(Projects!$G$13="Yes",8&gt;=Projects!$C$13,8&lt;Projects!$C$13+Projects!$D$13),IF(8=Projects!$C$13+Projects!$D$13-1,Projects!$B$13*Assumptions!$B$12/Projects!$D$13*0.95+0.05*Projects!$B$13*Assumptions!$B$12,Projects!$B$13*Assumptions!$B$12/Projects!$D$13*0.95),0)+IF(AND(Projects!$G$14="Yes",8&gt;=Projects!$C$14,8&lt;Projects!$C$14+Projects!$D$14),IF(8=Projects!$C$14+Projects!$D$14-1,Projects!$B$14*Assumptions!$B$12/Projects!$D$14*0.95+0.05*Projects!$B$14*Assumptions!$B$12,Projects!$B$14*Assumptions!$B$12/Projects!$D$14*0.95),0)+IF(AND(Projects!$G$15="Yes",8&gt;=Projects!$C$15,8&lt;Projects!$C$15+Projects!$D$15),IF(8=Projects!$C$15+Projects!$D$15-1,Projects!$B$15*Assumptions!$B$12/Projects!$D$15*0.95+0.05*Projects!$B$15*Assumptions!$B$12,Projects!$B$15*Assumptions!$B$12/Projects!$D$15*0.95),0)+IF(AND(Projects!$G$16="Yes",8&gt;=Projects!$C$16,8&lt;Projects!$C$16+Projects!$D$16),IF(8=Projects!$C$16+Projects!$D$16-1,Projects!$B$16*Assumptions!$B$12/Projects!$D$16*0.95+0.05*Projects!$B$16*Assumptions!$B$12,Projects!$B$16*Assumptions!$B$12/Projects!$D$16*0.95),0)</f>
        <v>100361.19203869048</v>
      </c>
      <c r="K10" s="8">
        <f>IF(AND(Projects!$G$2="Yes",9&gt;=Projects!$C$2,9&lt;Projects!$C$2+Projects!$D$2),IF(9=Projects!$C$2+Projects!$D$2-1,46323/Projects!$D$2*0.95+0.05*46323,46323/Projects!$D$2*0.95),0)+IF(AND(Projects!$G$3="Yes",9&gt;=Projects!$C$3,9&lt;Projects!$C$3+Projects!$D$3),IF(9=Projects!$C$3+Projects!$D$3-1,176626/Projects!$D$3*0.95+0.05*176626,176626/Projects!$D$3*0.95),0)+IF(AND(Projects!$G$4="Yes",9&gt;=Projects!$C$4,9&lt;Projects!$C$4+Projects!$D$4),IF(9=Projects!$C$4+Projects!$D$4-1,Projects!$B$4*Assumptions!$B$12/Projects!$D$4*0.95+0.05*Projects!$B$4*Assumptions!$B$12,Projects!$B$4*Assumptions!$B$12/Projects!$D$4*0.95),0)+IF(AND(Projects!$G$5="Yes",9&gt;=Projects!$C$5,9&lt;Projects!$C$5+Projects!$D$5),IF(9=Projects!$C$5+Projects!$D$5-1,Projects!$B$5*Assumptions!$B$12/Projects!$D$5*0.95+0.05*Projects!$B$5*Assumptions!$B$12,Projects!$B$5*Assumptions!$B$12/Projects!$D$5*0.95),0)+IF(AND(Projects!$G$6="Yes",9&gt;=Projects!$C$6,9&lt;Projects!$C$6+Projects!$D$6),IF(9=Projects!$C$6+Projects!$D$6-1,0/Projects!$D$6*0.95+0.05*0,0/Projects!$D$6*0.95),0)+IF(AND(Projects!$G$7="Yes",9&gt;=Projects!$C$7,9&lt;Projects!$C$7+Projects!$D$7),IF(9=Projects!$C$7+Projects!$D$7-1,Projects!$B$7*Assumptions!$B$12/Projects!$D$7*0.95+0.05*Projects!$B$7*Assumptions!$B$12,Projects!$B$7*Assumptions!$B$12/Projects!$D$7*0.95),0)+IF(AND(Projects!$G$8="Yes",9&gt;=Projects!$C$8,9&lt;Projects!$C$8+Projects!$D$8),IF(9=Projects!$C$8+Projects!$D$8-1,Projects!$B$8*Assumptions!$B$12/Projects!$D$8*0.95+0.05*Projects!$B$8*Assumptions!$B$12,Projects!$B$8*Assumptions!$B$12/Projects!$D$8*0.95),0)+IF(AND(Projects!$G$9="Yes",9&gt;=Projects!$C$9,9&lt;Projects!$C$9+Projects!$D$9),IF(9=Projects!$C$9+Projects!$D$9-1,Projects!$B$9*Assumptions!$B$12/Projects!$D$9*0.95+0.05*Projects!$B$9*Assumptions!$B$12,Projects!$B$9*Assumptions!$B$12/Projects!$D$9*0.95),0)+IF(AND(Projects!$G$10="Yes",9&gt;=Projects!$C$10,9&lt;Projects!$C$10+Projects!$D$10),IF(9=Projects!$C$10+Projects!$D$10-1,Projects!$B$10*Assumptions!$B$12/Projects!$D$10*0.95+0.05*Projects!$B$10*Assumptions!$B$12,Projects!$B$10*Assumptions!$B$12/Projects!$D$10*0.95),0)+IF(AND(Projects!$G$11="Yes",9&gt;=Projects!$C$11,9&lt;Projects!$C$11+Projects!$D$11),IF(9=Projects!$C$11+Projects!$D$11-1,Projects!$B$11*Assumptions!$B$12/Projects!$D$11*0.95+0.05*Projects!$B$11*Assumptions!$B$12,Projects!$B$11*Assumptions!$B$12/Projects!$D$11*0.95),0)+IF(AND(Projects!$G$12="Yes",9&gt;=Projects!$C$12,9&lt;Projects!$C$12+Projects!$D$12),IF(9=Projects!$C$12+Projects!$D$12-1,Projects!$B$12*Assumptions!$B$12/Projects!$D$12*0.95+0.05*Projects!$B$12*Assumptions!$B$12,Projects!$B$12*Assumptions!$B$12/Projects!$D$12*0.95),0)+IF(AND(Projects!$G$13="Yes",9&gt;=Projects!$C$13,9&lt;Projects!$C$13+Projects!$D$13),IF(9=Projects!$C$13+Projects!$D$13-1,Projects!$B$13*Assumptions!$B$12/Projects!$D$13*0.95+0.05*Projects!$B$13*Assumptions!$B$12,Projects!$B$13*Assumptions!$B$12/Projects!$D$13*0.95),0)+IF(AND(Projects!$G$14="Yes",9&gt;=Projects!$C$14,9&lt;Projects!$C$14+Projects!$D$14),IF(9=Projects!$C$14+Projects!$D$14-1,Projects!$B$14*Assumptions!$B$12/Projects!$D$14*0.95+0.05*Projects!$B$14*Assumptions!$B$12,Projects!$B$14*Assumptions!$B$12/Projects!$D$14*0.95),0)+IF(AND(Projects!$G$15="Yes",9&gt;=Projects!$C$15,9&lt;Projects!$C$15+Projects!$D$15),IF(9=Projects!$C$15+Projects!$D$15-1,Projects!$B$15*Assumptions!$B$12/Projects!$D$15*0.95+0.05*Projects!$B$15*Assumptions!$B$12,Projects!$B$15*Assumptions!$B$12/Projects!$D$15*0.95),0)+IF(AND(Projects!$G$16="Yes",9&gt;=Projects!$C$16,9&lt;Projects!$C$16+Projects!$D$16),IF(9=Projects!$C$16+Projects!$D$16-1,Projects!$B$16*Assumptions!$B$12/Projects!$D$16*0.95+0.05*Projects!$B$16*Assumptions!$B$12,Projects!$B$16*Assumptions!$B$12/Projects!$D$16*0.95),0)</f>
        <v>92544.185788690476</v>
      </c>
      <c r="L10" s="8">
        <f>IF(AND(Projects!$G$2="Yes",10&gt;=Projects!$C$2,10&lt;Projects!$C$2+Projects!$D$2),IF(10=Projects!$C$2+Projects!$D$2-1,46323/Projects!$D$2*0.95+0.05*46323,46323/Projects!$D$2*0.95),0)+IF(AND(Projects!$G$3="Yes",10&gt;=Projects!$C$3,10&lt;Projects!$C$3+Projects!$D$3),IF(10=Projects!$C$3+Projects!$D$3-1,176626/Projects!$D$3*0.95+0.05*176626,176626/Projects!$D$3*0.95),0)+IF(AND(Projects!$G$4="Yes",10&gt;=Projects!$C$4,10&lt;Projects!$C$4+Projects!$D$4),IF(10=Projects!$C$4+Projects!$D$4-1,Projects!$B$4*Assumptions!$B$12/Projects!$D$4*0.95+0.05*Projects!$B$4*Assumptions!$B$12,Projects!$B$4*Assumptions!$B$12/Projects!$D$4*0.95),0)+IF(AND(Projects!$G$5="Yes",10&gt;=Projects!$C$5,10&lt;Projects!$C$5+Projects!$D$5),IF(10=Projects!$C$5+Projects!$D$5-1,Projects!$B$5*Assumptions!$B$12/Projects!$D$5*0.95+0.05*Projects!$B$5*Assumptions!$B$12,Projects!$B$5*Assumptions!$B$12/Projects!$D$5*0.95),0)+IF(AND(Projects!$G$6="Yes",10&gt;=Projects!$C$6,10&lt;Projects!$C$6+Projects!$D$6),IF(10=Projects!$C$6+Projects!$D$6-1,0/Projects!$D$6*0.95+0.05*0,0/Projects!$D$6*0.95),0)+IF(AND(Projects!$G$7="Yes",10&gt;=Projects!$C$7,10&lt;Projects!$C$7+Projects!$D$7),IF(10=Projects!$C$7+Projects!$D$7-1,Projects!$B$7*Assumptions!$B$12/Projects!$D$7*0.95+0.05*Projects!$B$7*Assumptions!$B$12,Projects!$B$7*Assumptions!$B$12/Projects!$D$7*0.95),0)+IF(AND(Projects!$G$8="Yes",10&gt;=Projects!$C$8,10&lt;Projects!$C$8+Projects!$D$8),IF(10=Projects!$C$8+Projects!$D$8-1,Projects!$B$8*Assumptions!$B$12/Projects!$D$8*0.95+0.05*Projects!$B$8*Assumptions!$B$12,Projects!$B$8*Assumptions!$B$12/Projects!$D$8*0.95),0)+IF(AND(Projects!$G$9="Yes",10&gt;=Projects!$C$9,10&lt;Projects!$C$9+Projects!$D$9),IF(10=Projects!$C$9+Projects!$D$9-1,Projects!$B$9*Assumptions!$B$12/Projects!$D$9*0.95+0.05*Projects!$B$9*Assumptions!$B$12,Projects!$B$9*Assumptions!$B$12/Projects!$D$9*0.95),0)+IF(AND(Projects!$G$10="Yes",10&gt;=Projects!$C$10,10&lt;Projects!$C$10+Projects!$D$10),IF(10=Projects!$C$10+Projects!$D$10-1,Projects!$B$10*Assumptions!$B$12/Projects!$D$10*0.95+0.05*Projects!$B$10*Assumptions!$B$12,Projects!$B$10*Assumptions!$B$12/Projects!$D$10*0.95),0)+IF(AND(Projects!$G$11="Yes",10&gt;=Projects!$C$11,10&lt;Projects!$C$11+Projects!$D$11),IF(10=Projects!$C$11+Projects!$D$11-1,Projects!$B$11*Assumptions!$B$12/Projects!$D$11*0.95+0.05*Projects!$B$11*Assumptions!$B$12,Projects!$B$11*Assumptions!$B$12/Projects!$D$11*0.95),0)+IF(AND(Projects!$G$12="Yes",10&gt;=Projects!$C$12,10&lt;Projects!$C$12+Projects!$D$12),IF(10=Projects!$C$12+Projects!$D$12-1,Projects!$B$12*Assumptions!$B$12/Projects!$D$12*0.95+0.05*Projects!$B$12*Assumptions!$B$12,Projects!$B$12*Assumptions!$B$12/Projects!$D$12*0.95),0)+IF(AND(Projects!$G$13="Yes",10&gt;=Projects!$C$13,10&lt;Projects!$C$13+Projects!$D$13),IF(10=Projects!$C$13+Projects!$D$13-1,Projects!$B$13*Assumptions!$B$12/Projects!$D$13*0.95+0.05*Projects!$B$13*Assumptions!$B$12,Projects!$B$13*Assumptions!$B$12/Projects!$D$13*0.95),0)+IF(AND(Projects!$G$14="Yes",10&gt;=Projects!$C$14,10&lt;Projects!$C$14+Projects!$D$14),IF(10=Projects!$C$14+Projects!$D$14-1,Projects!$B$14*Assumptions!$B$12/Projects!$D$14*0.95+0.05*Projects!$B$14*Assumptions!$B$12,Projects!$B$14*Assumptions!$B$12/Projects!$D$14*0.95),0)+IF(AND(Projects!$G$15="Yes",10&gt;=Projects!$C$15,10&lt;Projects!$C$15+Projects!$D$15),IF(10=Projects!$C$15+Projects!$D$15-1,Projects!$B$15*Assumptions!$B$12/Projects!$D$15*0.95+0.05*Projects!$B$15*Assumptions!$B$12,Projects!$B$15*Assumptions!$B$12/Projects!$D$15*0.95),0)+IF(AND(Projects!$G$16="Yes",10&gt;=Projects!$C$16,10&lt;Projects!$C$16+Projects!$D$16),IF(10=Projects!$C$16+Projects!$D$16-1,Projects!$B$16*Assumptions!$B$12/Projects!$D$16*0.95+0.05*Projects!$B$16*Assumptions!$B$12,Projects!$B$16*Assumptions!$B$12/Projects!$D$16*0.95),0)</f>
        <v>92544.185788690476</v>
      </c>
      <c r="M10" s="8">
        <f>IF(AND(Projects!$G$2="Yes",11&gt;=Projects!$C$2,11&lt;Projects!$C$2+Projects!$D$2),IF(11=Projects!$C$2+Projects!$D$2-1,46323/Projects!$D$2*0.95+0.05*46323,46323/Projects!$D$2*0.95),0)+IF(AND(Projects!$G$3="Yes",11&gt;=Projects!$C$3,11&lt;Projects!$C$3+Projects!$D$3),IF(11=Projects!$C$3+Projects!$D$3-1,176626/Projects!$D$3*0.95+0.05*176626,176626/Projects!$D$3*0.95),0)+IF(AND(Projects!$G$4="Yes",11&gt;=Projects!$C$4,11&lt;Projects!$C$4+Projects!$D$4),IF(11=Projects!$C$4+Projects!$D$4-1,Projects!$B$4*Assumptions!$B$12/Projects!$D$4*0.95+0.05*Projects!$B$4*Assumptions!$B$12,Projects!$B$4*Assumptions!$B$12/Projects!$D$4*0.95),0)+IF(AND(Projects!$G$5="Yes",11&gt;=Projects!$C$5,11&lt;Projects!$C$5+Projects!$D$5),IF(11=Projects!$C$5+Projects!$D$5-1,Projects!$B$5*Assumptions!$B$12/Projects!$D$5*0.95+0.05*Projects!$B$5*Assumptions!$B$12,Projects!$B$5*Assumptions!$B$12/Projects!$D$5*0.95),0)+IF(AND(Projects!$G$6="Yes",11&gt;=Projects!$C$6,11&lt;Projects!$C$6+Projects!$D$6),IF(11=Projects!$C$6+Projects!$D$6-1,0/Projects!$D$6*0.95+0.05*0,0/Projects!$D$6*0.95),0)+IF(AND(Projects!$G$7="Yes",11&gt;=Projects!$C$7,11&lt;Projects!$C$7+Projects!$D$7),IF(11=Projects!$C$7+Projects!$D$7-1,Projects!$B$7*Assumptions!$B$12/Projects!$D$7*0.95+0.05*Projects!$B$7*Assumptions!$B$12,Projects!$B$7*Assumptions!$B$12/Projects!$D$7*0.95),0)+IF(AND(Projects!$G$8="Yes",11&gt;=Projects!$C$8,11&lt;Projects!$C$8+Projects!$D$8),IF(11=Projects!$C$8+Projects!$D$8-1,Projects!$B$8*Assumptions!$B$12/Projects!$D$8*0.95+0.05*Projects!$B$8*Assumptions!$B$12,Projects!$B$8*Assumptions!$B$12/Projects!$D$8*0.95),0)+IF(AND(Projects!$G$9="Yes",11&gt;=Projects!$C$9,11&lt;Projects!$C$9+Projects!$D$9),IF(11=Projects!$C$9+Projects!$D$9-1,Projects!$B$9*Assumptions!$B$12/Projects!$D$9*0.95+0.05*Projects!$B$9*Assumptions!$B$12,Projects!$B$9*Assumptions!$B$12/Projects!$D$9*0.95),0)+IF(AND(Projects!$G$10="Yes",11&gt;=Projects!$C$10,11&lt;Projects!$C$10+Projects!$D$10),IF(11=Projects!$C$10+Projects!$D$10-1,Projects!$B$10*Assumptions!$B$12/Projects!$D$10*0.95+0.05*Projects!$B$10*Assumptions!$B$12,Projects!$B$10*Assumptions!$B$12/Projects!$D$10*0.95),0)+IF(AND(Projects!$G$11="Yes",11&gt;=Projects!$C$11,11&lt;Projects!$C$11+Projects!$D$11),IF(11=Projects!$C$11+Projects!$D$11-1,Projects!$B$11*Assumptions!$B$12/Projects!$D$11*0.95+0.05*Projects!$B$11*Assumptions!$B$12,Projects!$B$11*Assumptions!$B$12/Projects!$D$11*0.95),0)+IF(AND(Projects!$G$12="Yes",11&gt;=Projects!$C$12,11&lt;Projects!$C$12+Projects!$D$12),IF(11=Projects!$C$12+Projects!$D$12-1,Projects!$B$12*Assumptions!$B$12/Projects!$D$12*0.95+0.05*Projects!$B$12*Assumptions!$B$12,Projects!$B$12*Assumptions!$B$12/Projects!$D$12*0.95),0)+IF(AND(Projects!$G$13="Yes",11&gt;=Projects!$C$13,11&lt;Projects!$C$13+Projects!$D$13),IF(11=Projects!$C$13+Projects!$D$13-1,Projects!$B$13*Assumptions!$B$12/Projects!$D$13*0.95+0.05*Projects!$B$13*Assumptions!$B$12,Projects!$B$13*Assumptions!$B$12/Projects!$D$13*0.95),0)+IF(AND(Projects!$G$14="Yes",11&gt;=Projects!$C$14,11&lt;Projects!$C$14+Projects!$D$14),IF(11=Projects!$C$14+Projects!$D$14-1,Projects!$B$14*Assumptions!$B$12/Projects!$D$14*0.95+0.05*Projects!$B$14*Assumptions!$B$12,Projects!$B$14*Assumptions!$B$12/Projects!$D$14*0.95),0)+IF(AND(Projects!$G$15="Yes",11&gt;=Projects!$C$15,11&lt;Projects!$C$15+Projects!$D$15),IF(11=Projects!$C$15+Projects!$D$15-1,Projects!$B$15*Assumptions!$B$12/Projects!$D$15*0.95+0.05*Projects!$B$15*Assumptions!$B$12,Projects!$B$15*Assumptions!$B$12/Projects!$D$15*0.95),0)+IF(AND(Projects!$G$16="Yes",11&gt;=Projects!$C$16,11&lt;Projects!$C$16+Projects!$D$16),IF(11=Projects!$C$16+Projects!$D$16-1,Projects!$B$16*Assumptions!$B$12/Projects!$D$16*0.95+0.05*Projects!$B$16*Assumptions!$B$12,Projects!$B$16*Assumptions!$B$12/Projects!$D$16*0.95),0)</f>
        <v>92544.185788690476</v>
      </c>
      <c r="N10" s="8">
        <f>IF(AND(Projects!$G$2="Yes",12&gt;=Projects!$C$2,12&lt;Projects!$C$2+Projects!$D$2),IF(12=Projects!$C$2+Projects!$D$2-1,46323/Projects!$D$2*0.95+0.05*46323,46323/Projects!$D$2*0.95),0)+IF(AND(Projects!$G$3="Yes",12&gt;=Projects!$C$3,12&lt;Projects!$C$3+Projects!$D$3),IF(12=Projects!$C$3+Projects!$D$3-1,176626/Projects!$D$3*0.95+0.05*176626,176626/Projects!$D$3*0.95),0)+IF(AND(Projects!$G$4="Yes",12&gt;=Projects!$C$4,12&lt;Projects!$C$4+Projects!$D$4),IF(12=Projects!$C$4+Projects!$D$4-1,Projects!$B$4*Assumptions!$B$12/Projects!$D$4*0.95+0.05*Projects!$B$4*Assumptions!$B$12,Projects!$B$4*Assumptions!$B$12/Projects!$D$4*0.95),0)+IF(AND(Projects!$G$5="Yes",12&gt;=Projects!$C$5,12&lt;Projects!$C$5+Projects!$D$5),IF(12=Projects!$C$5+Projects!$D$5-1,Projects!$B$5*Assumptions!$B$12/Projects!$D$5*0.95+0.05*Projects!$B$5*Assumptions!$B$12,Projects!$B$5*Assumptions!$B$12/Projects!$D$5*0.95),0)+IF(AND(Projects!$G$6="Yes",12&gt;=Projects!$C$6,12&lt;Projects!$C$6+Projects!$D$6),IF(12=Projects!$C$6+Projects!$D$6-1,0/Projects!$D$6*0.95+0.05*0,0/Projects!$D$6*0.95),0)+IF(AND(Projects!$G$7="Yes",12&gt;=Projects!$C$7,12&lt;Projects!$C$7+Projects!$D$7),IF(12=Projects!$C$7+Projects!$D$7-1,Projects!$B$7*Assumptions!$B$12/Projects!$D$7*0.95+0.05*Projects!$B$7*Assumptions!$B$12,Projects!$B$7*Assumptions!$B$12/Projects!$D$7*0.95),0)+IF(AND(Projects!$G$8="Yes",12&gt;=Projects!$C$8,12&lt;Projects!$C$8+Projects!$D$8),IF(12=Projects!$C$8+Projects!$D$8-1,Projects!$B$8*Assumptions!$B$12/Projects!$D$8*0.95+0.05*Projects!$B$8*Assumptions!$B$12,Projects!$B$8*Assumptions!$B$12/Projects!$D$8*0.95),0)+IF(AND(Projects!$G$9="Yes",12&gt;=Projects!$C$9,12&lt;Projects!$C$9+Projects!$D$9),IF(12=Projects!$C$9+Projects!$D$9-1,Projects!$B$9*Assumptions!$B$12/Projects!$D$9*0.95+0.05*Projects!$B$9*Assumptions!$B$12,Projects!$B$9*Assumptions!$B$12/Projects!$D$9*0.95),0)+IF(AND(Projects!$G$10="Yes",12&gt;=Projects!$C$10,12&lt;Projects!$C$10+Projects!$D$10),IF(12=Projects!$C$10+Projects!$D$10-1,Projects!$B$10*Assumptions!$B$12/Projects!$D$10*0.95+0.05*Projects!$B$10*Assumptions!$B$12,Projects!$B$10*Assumptions!$B$12/Projects!$D$10*0.95),0)+IF(AND(Projects!$G$11="Yes",12&gt;=Projects!$C$11,12&lt;Projects!$C$11+Projects!$D$11),IF(12=Projects!$C$11+Projects!$D$11-1,Projects!$B$11*Assumptions!$B$12/Projects!$D$11*0.95+0.05*Projects!$B$11*Assumptions!$B$12,Projects!$B$11*Assumptions!$B$12/Projects!$D$11*0.95),0)+IF(AND(Projects!$G$12="Yes",12&gt;=Projects!$C$12,12&lt;Projects!$C$12+Projects!$D$12),IF(12=Projects!$C$12+Projects!$D$12-1,Projects!$B$12*Assumptions!$B$12/Projects!$D$12*0.95+0.05*Projects!$B$12*Assumptions!$B$12,Projects!$B$12*Assumptions!$B$12/Projects!$D$12*0.95),0)+IF(AND(Projects!$G$13="Yes",12&gt;=Projects!$C$13,12&lt;Projects!$C$13+Projects!$D$13),IF(12=Projects!$C$13+Projects!$D$13-1,Projects!$B$13*Assumptions!$B$12/Projects!$D$13*0.95+0.05*Projects!$B$13*Assumptions!$B$12,Projects!$B$13*Assumptions!$B$12/Projects!$D$13*0.95),0)+IF(AND(Projects!$G$14="Yes",12&gt;=Projects!$C$14,12&lt;Projects!$C$14+Projects!$D$14),IF(12=Projects!$C$14+Projects!$D$14-1,Projects!$B$14*Assumptions!$B$12/Projects!$D$14*0.95+0.05*Projects!$B$14*Assumptions!$B$12,Projects!$B$14*Assumptions!$B$12/Projects!$D$14*0.95),0)+IF(AND(Projects!$G$15="Yes",12&gt;=Projects!$C$15,12&lt;Projects!$C$15+Projects!$D$15),IF(12=Projects!$C$15+Projects!$D$15-1,Projects!$B$15*Assumptions!$B$12/Projects!$D$15*0.95+0.05*Projects!$B$15*Assumptions!$B$12,Projects!$B$15*Assumptions!$B$12/Projects!$D$15*0.95),0)+IF(AND(Projects!$G$16="Yes",12&gt;=Projects!$C$16,12&lt;Projects!$C$16+Projects!$D$16),IF(12=Projects!$C$16+Projects!$D$16-1,Projects!$B$16*Assumptions!$B$12/Projects!$D$16*0.95+0.05*Projects!$B$16*Assumptions!$B$12,Projects!$B$16*Assumptions!$B$12/Projects!$D$16*0.95),0)</f>
        <v>92544.185788690476</v>
      </c>
      <c r="O10" s="8">
        <f>IF(AND(Projects!$G$2="Yes",13&gt;=Projects!$C$2,13&lt;Projects!$C$2+Projects!$D$2),IF(13=Projects!$C$2+Projects!$D$2-1,46323/Projects!$D$2*0.95+0.05*46323,46323/Projects!$D$2*0.95),0)+IF(AND(Projects!$G$3="Yes",13&gt;=Projects!$C$3,13&lt;Projects!$C$3+Projects!$D$3),IF(13=Projects!$C$3+Projects!$D$3-1,176626/Projects!$D$3*0.95+0.05*176626,176626/Projects!$D$3*0.95),0)+IF(AND(Projects!$G$4="Yes",13&gt;=Projects!$C$4,13&lt;Projects!$C$4+Projects!$D$4),IF(13=Projects!$C$4+Projects!$D$4-1,Projects!$B$4*Assumptions!$B$12/Projects!$D$4*0.95+0.05*Projects!$B$4*Assumptions!$B$12,Projects!$B$4*Assumptions!$B$12/Projects!$D$4*0.95),0)+IF(AND(Projects!$G$5="Yes",13&gt;=Projects!$C$5,13&lt;Projects!$C$5+Projects!$D$5),IF(13=Projects!$C$5+Projects!$D$5-1,Projects!$B$5*Assumptions!$B$12/Projects!$D$5*0.95+0.05*Projects!$B$5*Assumptions!$B$12,Projects!$B$5*Assumptions!$B$12/Projects!$D$5*0.95),0)+IF(AND(Projects!$G$6="Yes",13&gt;=Projects!$C$6,13&lt;Projects!$C$6+Projects!$D$6),IF(13=Projects!$C$6+Projects!$D$6-1,0/Projects!$D$6*0.95+0.05*0,0/Projects!$D$6*0.95),0)+IF(AND(Projects!$G$7="Yes",13&gt;=Projects!$C$7,13&lt;Projects!$C$7+Projects!$D$7),IF(13=Projects!$C$7+Projects!$D$7-1,Projects!$B$7*Assumptions!$B$12/Projects!$D$7*0.95+0.05*Projects!$B$7*Assumptions!$B$12,Projects!$B$7*Assumptions!$B$12/Projects!$D$7*0.95),0)+IF(AND(Projects!$G$8="Yes",13&gt;=Projects!$C$8,13&lt;Projects!$C$8+Projects!$D$8),IF(13=Projects!$C$8+Projects!$D$8-1,Projects!$B$8*Assumptions!$B$12/Projects!$D$8*0.95+0.05*Projects!$B$8*Assumptions!$B$12,Projects!$B$8*Assumptions!$B$12/Projects!$D$8*0.95),0)+IF(AND(Projects!$G$9="Yes",13&gt;=Projects!$C$9,13&lt;Projects!$C$9+Projects!$D$9),IF(13=Projects!$C$9+Projects!$D$9-1,Projects!$B$9*Assumptions!$B$12/Projects!$D$9*0.95+0.05*Projects!$B$9*Assumptions!$B$12,Projects!$B$9*Assumptions!$B$12/Projects!$D$9*0.95),0)+IF(AND(Projects!$G$10="Yes",13&gt;=Projects!$C$10,13&lt;Projects!$C$10+Projects!$D$10),IF(13=Projects!$C$10+Projects!$D$10-1,Projects!$B$10*Assumptions!$B$12/Projects!$D$10*0.95+0.05*Projects!$B$10*Assumptions!$B$12,Projects!$B$10*Assumptions!$B$12/Projects!$D$10*0.95),0)+IF(AND(Projects!$G$11="Yes",13&gt;=Projects!$C$11,13&lt;Projects!$C$11+Projects!$D$11),IF(13=Projects!$C$11+Projects!$D$11-1,Projects!$B$11*Assumptions!$B$12/Projects!$D$11*0.95+0.05*Projects!$B$11*Assumptions!$B$12,Projects!$B$11*Assumptions!$B$12/Projects!$D$11*0.95),0)+IF(AND(Projects!$G$12="Yes",13&gt;=Projects!$C$12,13&lt;Projects!$C$12+Projects!$D$12),IF(13=Projects!$C$12+Projects!$D$12-1,Projects!$B$12*Assumptions!$B$12/Projects!$D$12*0.95+0.05*Projects!$B$12*Assumptions!$B$12,Projects!$B$12*Assumptions!$B$12/Projects!$D$12*0.95),0)+IF(AND(Projects!$G$13="Yes",13&gt;=Projects!$C$13,13&lt;Projects!$C$13+Projects!$D$13),IF(13=Projects!$C$13+Projects!$D$13-1,Projects!$B$13*Assumptions!$B$12/Projects!$D$13*0.95+0.05*Projects!$B$13*Assumptions!$B$12,Projects!$B$13*Assumptions!$B$12/Projects!$D$13*0.95),0)+IF(AND(Projects!$G$14="Yes",13&gt;=Projects!$C$14,13&lt;Projects!$C$14+Projects!$D$14),IF(13=Projects!$C$14+Projects!$D$14-1,Projects!$B$14*Assumptions!$B$12/Projects!$D$14*0.95+0.05*Projects!$B$14*Assumptions!$B$12,Projects!$B$14*Assumptions!$B$12/Projects!$D$14*0.95),0)+IF(AND(Projects!$G$15="Yes",13&gt;=Projects!$C$15,13&lt;Projects!$C$15+Projects!$D$15),IF(13=Projects!$C$15+Projects!$D$15-1,Projects!$B$15*Assumptions!$B$12/Projects!$D$15*0.95+0.05*Projects!$B$15*Assumptions!$B$12,Projects!$B$15*Assumptions!$B$12/Projects!$D$15*0.95),0)+IF(AND(Projects!$G$16="Yes",13&gt;=Projects!$C$16,13&lt;Projects!$C$16+Projects!$D$16),IF(13=Projects!$C$16+Projects!$D$16-1,Projects!$B$16*Assumptions!$B$12/Projects!$D$16*0.95+0.05*Projects!$B$16*Assumptions!$B$12,Projects!$B$16*Assumptions!$B$12/Projects!$D$16*0.95),0)</f>
        <v>115814.44092938313</v>
      </c>
      <c r="P10" s="8">
        <f>IF(AND(Projects!$G$2="Yes",14&gt;=Projects!$C$2,14&lt;Projects!$C$2+Projects!$D$2),IF(14=Projects!$C$2+Projects!$D$2-1,46323/Projects!$D$2*0.95+0.05*46323,46323/Projects!$D$2*0.95),0)+IF(AND(Projects!$G$3="Yes",14&gt;=Projects!$C$3,14&lt;Projects!$C$3+Projects!$D$3),IF(14=Projects!$C$3+Projects!$D$3-1,176626/Projects!$D$3*0.95+0.05*176626,176626/Projects!$D$3*0.95),0)+IF(AND(Projects!$G$4="Yes",14&gt;=Projects!$C$4,14&lt;Projects!$C$4+Projects!$D$4),IF(14=Projects!$C$4+Projects!$D$4-1,Projects!$B$4*Assumptions!$B$12/Projects!$D$4*0.95+0.05*Projects!$B$4*Assumptions!$B$12,Projects!$B$4*Assumptions!$B$12/Projects!$D$4*0.95),0)+IF(AND(Projects!$G$5="Yes",14&gt;=Projects!$C$5,14&lt;Projects!$C$5+Projects!$D$5),IF(14=Projects!$C$5+Projects!$D$5-1,Projects!$B$5*Assumptions!$B$12/Projects!$D$5*0.95+0.05*Projects!$B$5*Assumptions!$B$12,Projects!$B$5*Assumptions!$B$12/Projects!$D$5*0.95),0)+IF(AND(Projects!$G$6="Yes",14&gt;=Projects!$C$6,14&lt;Projects!$C$6+Projects!$D$6),IF(14=Projects!$C$6+Projects!$D$6-1,0/Projects!$D$6*0.95+0.05*0,0/Projects!$D$6*0.95),0)+IF(AND(Projects!$G$7="Yes",14&gt;=Projects!$C$7,14&lt;Projects!$C$7+Projects!$D$7),IF(14=Projects!$C$7+Projects!$D$7-1,Projects!$B$7*Assumptions!$B$12/Projects!$D$7*0.95+0.05*Projects!$B$7*Assumptions!$B$12,Projects!$B$7*Assumptions!$B$12/Projects!$D$7*0.95),0)+IF(AND(Projects!$G$8="Yes",14&gt;=Projects!$C$8,14&lt;Projects!$C$8+Projects!$D$8),IF(14=Projects!$C$8+Projects!$D$8-1,Projects!$B$8*Assumptions!$B$12/Projects!$D$8*0.95+0.05*Projects!$B$8*Assumptions!$B$12,Projects!$B$8*Assumptions!$B$12/Projects!$D$8*0.95),0)+IF(AND(Projects!$G$9="Yes",14&gt;=Projects!$C$9,14&lt;Projects!$C$9+Projects!$D$9),IF(14=Projects!$C$9+Projects!$D$9-1,Projects!$B$9*Assumptions!$B$12/Projects!$D$9*0.95+0.05*Projects!$B$9*Assumptions!$B$12,Projects!$B$9*Assumptions!$B$12/Projects!$D$9*0.95),0)+IF(AND(Projects!$G$10="Yes",14&gt;=Projects!$C$10,14&lt;Projects!$C$10+Projects!$D$10),IF(14=Projects!$C$10+Projects!$D$10-1,Projects!$B$10*Assumptions!$B$12/Projects!$D$10*0.95+0.05*Projects!$B$10*Assumptions!$B$12,Projects!$B$10*Assumptions!$B$12/Projects!$D$10*0.95),0)+IF(AND(Projects!$G$11="Yes",14&gt;=Projects!$C$11,14&lt;Projects!$C$11+Projects!$D$11),IF(14=Projects!$C$11+Projects!$D$11-1,Projects!$B$11*Assumptions!$B$12/Projects!$D$11*0.95+0.05*Projects!$B$11*Assumptions!$B$12,Projects!$B$11*Assumptions!$B$12/Projects!$D$11*0.95),0)+IF(AND(Projects!$G$12="Yes",14&gt;=Projects!$C$12,14&lt;Projects!$C$12+Projects!$D$12),IF(14=Projects!$C$12+Projects!$D$12-1,Projects!$B$12*Assumptions!$B$12/Projects!$D$12*0.95+0.05*Projects!$B$12*Assumptions!$B$12,Projects!$B$12*Assumptions!$B$12/Projects!$D$12*0.95),0)+IF(AND(Projects!$G$13="Yes",14&gt;=Projects!$C$13,14&lt;Projects!$C$13+Projects!$D$13),IF(14=Projects!$C$13+Projects!$D$13-1,Projects!$B$13*Assumptions!$B$12/Projects!$D$13*0.95+0.05*Projects!$B$13*Assumptions!$B$12,Projects!$B$13*Assumptions!$B$12/Projects!$D$13*0.95),0)+IF(AND(Projects!$G$14="Yes",14&gt;=Projects!$C$14,14&lt;Projects!$C$14+Projects!$D$14),IF(14=Projects!$C$14+Projects!$D$14-1,Projects!$B$14*Assumptions!$B$12/Projects!$D$14*0.95+0.05*Projects!$B$14*Assumptions!$B$12,Projects!$B$14*Assumptions!$B$12/Projects!$D$14*0.95),0)+IF(AND(Projects!$G$15="Yes",14&gt;=Projects!$C$15,14&lt;Projects!$C$15+Projects!$D$15),IF(14=Projects!$C$15+Projects!$D$15-1,Projects!$B$15*Assumptions!$B$12/Projects!$D$15*0.95+0.05*Projects!$B$15*Assumptions!$B$12,Projects!$B$15*Assumptions!$B$12/Projects!$D$15*0.95),0)+IF(AND(Projects!$G$16="Yes",14&gt;=Projects!$C$16,14&lt;Projects!$C$16+Projects!$D$16),IF(14=Projects!$C$16+Projects!$D$16-1,Projects!$B$16*Assumptions!$B$12/Projects!$D$16*0.95+0.05*Projects!$B$16*Assumptions!$B$12,Projects!$B$16*Assumptions!$B$12/Projects!$D$16*0.95),0)</f>
        <v>115814.44092938313</v>
      </c>
      <c r="Q10" s="8">
        <f>IF(AND(Projects!$G$2="Yes",15&gt;=Projects!$C$2,15&lt;Projects!$C$2+Projects!$D$2),IF(15=Projects!$C$2+Projects!$D$2-1,46323/Projects!$D$2*0.95+0.05*46323,46323/Projects!$D$2*0.95),0)+IF(AND(Projects!$G$3="Yes",15&gt;=Projects!$C$3,15&lt;Projects!$C$3+Projects!$D$3),IF(15=Projects!$C$3+Projects!$D$3-1,176626/Projects!$D$3*0.95+0.05*176626,176626/Projects!$D$3*0.95),0)+IF(AND(Projects!$G$4="Yes",15&gt;=Projects!$C$4,15&lt;Projects!$C$4+Projects!$D$4),IF(15=Projects!$C$4+Projects!$D$4-1,Projects!$B$4*Assumptions!$B$12/Projects!$D$4*0.95+0.05*Projects!$B$4*Assumptions!$B$12,Projects!$B$4*Assumptions!$B$12/Projects!$D$4*0.95),0)+IF(AND(Projects!$G$5="Yes",15&gt;=Projects!$C$5,15&lt;Projects!$C$5+Projects!$D$5),IF(15=Projects!$C$5+Projects!$D$5-1,Projects!$B$5*Assumptions!$B$12/Projects!$D$5*0.95+0.05*Projects!$B$5*Assumptions!$B$12,Projects!$B$5*Assumptions!$B$12/Projects!$D$5*0.95),0)+IF(AND(Projects!$G$6="Yes",15&gt;=Projects!$C$6,15&lt;Projects!$C$6+Projects!$D$6),IF(15=Projects!$C$6+Projects!$D$6-1,0/Projects!$D$6*0.95+0.05*0,0/Projects!$D$6*0.95),0)+IF(AND(Projects!$G$7="Yes",15&gt;=Projects!$C$7,15&lt;Projects!$C$7+Projects!$D$7),IF(15=Projects!$C$7+Projects!$D$7-1,Projects!$B$7*Assumptions!$B$12/Projects!$D$7*0.95+0.05*Projects!$B$7*Assumptions!$B$12,Projects!$B$7*Assumptions!$B$12/Projects!$D$7*0.95),0)+IF(AND(Projects!$G$8="Yes",15&gt;=Projects!$C$8,15&lt;Projects!$C$8+Projects!$D$8),IF(15=Projects!$C$8+Projects!$D$8-1,Projects!$B$8*Assumptions!$B$12/Projects!$D$8*0.95+0.05*Projects!$B$8*Assumptions!$B$12,Projects!$B$8*Assumptions!$B$12/Projects!$D$8*0.95),0)+IF(AND(Projects!$G$9="Yes",15&gt;=Projects!$C$9,15&lt;Projects!$C$9+Projects!$D$9),IF(15=Projects!$C$9+Projects!$D$9-1,Projects!$B$9*Assumptions!$B$12/Projects!$D$9*0.95+0.05*Projects!$B$9*Assumptions!$B$12,Projects!$B$9*Assumptions!$B$12/Projects!$D$9*0.95),0)+IF(AND(Projects!$G$10="Yes",15&gt;=Projects!$C$10,15&lt;Projects!$C$10+Projects!$D$10),IF(15=Projects!$C$10+Projects!$D$10-1,Projects!$B$10*Assumptions!$B$12/Projects!$D$10*0.95+0.05*Projects!$B$10*Assumptions!$B$12,Projects!$B$10*Assumptions!$B$12/Projects!$D$10*0.95),0)+IF(AND(Projects!$G$11="Yes",15&gt;=Projects!$C$11,15&lt;Projects!$C$11+Projects!$D$11),IF(15=Projects!$C$11+Projects!$D$11-1,Projects!$B$11*Assumptions!$B$12/Projects!$D$11*0.95+0.05*Projects!$B$11*Assumptions!$B$12,Projects!$B$11*Assumptions!$B$12/Projects!$D$11*0.95),0)+IF(AND(Projects!$G$12="Yes",15&gt;=Projects!$C$12,15&lt;Projects!$C$12+Projects!$D$12),IF(15=Projects!$C$12+Projects!$D$12-1,Projects!$B$12*Assumptions!$B$12/Projects!$D$12*0.95+0.05*Projects!$B$12*Assumptions!$B$12,Projects!$B$12*Assumptions!$B$12/Projects!$D$12*0.95),0)+IF(AND(Projects!$G$13="Yes",15&gt;=Projects!$C$13,15&lt;Projects!$C$13+Projects!$D$13),IF(15=Projects!$C$13+Projects!$D$13-1,Projects!$B$13*Assumptions!$B$12/Projects!$D$13*0.95+0.05*Projects!$B$13*Assumptions!$B$12,Projects!$B$13*Assumptions!$B$12/Projects!$D$13*0.95),0)+IF(AND(Projects!$G$14="Yes",15&gt;=Projects!$C$14,15&lt;Projects!$C$14+Projects!$D$14),IF(15=Projects!$C$14+Projects!$D$14-1,Projects!$B$14*Assumptions!$B$12/Projects!$D$14*0.95+0.05*Projects!$B$14*Assumptions!$B$12,Projects!$B$14*Assumptions!$B$12/Projects!$D$14*0.95),0)+IF(AND(Projects!$G$15="Yes",15&gt;=Projects!$C$15,15&lt;Projects!$C$15+Projects!$D$15),IF(15=Projects!$C$15+Projects!$D$15-1,Projects!$B$15*Assumptions!$B$12/Projects!$D$15*0.95+0.05*Projects!$B$15*Assumptions!$B$12,Projects!$B$15*Assumptions!$B$12/Projects!$D$15*0.95),0)+IF(AND(Projects!$G$16="Yes",15&gt;=Projects!$C$16,15&lt;Projects!$C$16+Projects!$D$16),IF(15=Projects!$C$16+Projects!$D$16-1,Projects!$B$16*Assumptions!$B$12/Projects!$D$16*0.95+0.05*Projects!$B$16*Assumptions!$B$12,Projects!$B$16*Assumptions!$B$12/Projects!$D$16*0.95),0)</f>
        <v>137208.72989042208</v>
      </c>
      <c r="R10" s="8">
        <f>IF(AND(Projects!$G$2="Yes",16&gt;=Projects!$C$2,16&lt;Projects!$C$2+Projects!$D$2),IF(16=Projects!$C$2+Projects!$D$2-1,46323/Projects!$D$2*0.95+0.05*46323,46323/Projects!$D$2*0.95),0)+IF(AND(Projects!$G$3="Yes",16&gt;=Projects!$C$3,16&lt;Projects!$C$3+Projects!$D$3),IF(16=Projects!$C$3+Projects!$D$3-1,176626/Projects!$D$3*0.95+0.05*176626,176626/Projects!$D$3*0.95),0)+IF(AND(Projects!$G$4="Yes",16&gt;=Projects!$C$4,16&lt;Projects!$C$4+Projects!$D$4),IF(16=Projects!$C$4+Projects!$D$4-1,Projects!$B$4*Assumptions!$B$12/Projects!$D$4*0.95+0.05*Projects!$B$4*Assumptions!$B$12,Projects!$B$4*Assumptions!$B$12/Projects!$D$4*0.95),0)+IF(AND(Projects!$G$5="Yes",16&gt;=Projects!$C$5,16&lt;Projects!$C$5+Projects!$D$5),IF(16=Projects!$C$5+Projects!$D$5-1,Projects!$B$5*Assumptions!$B$12/Projects!$D$5*0.95+0.05*Projects!$B$5*Assumptions!$B$12,Projects!$B$5*Assumptions!$B$12/Projects!$D$5*0.95),0)+IF(AND(Projects!$G$6="Yes",16&gt;=Projects!$C$6,16&lt;Projects!$C$6+Projects!$D$6),IF(16=Projects!$C$6+Projects!$D$6-1,0/Projects!$D$6*0.95+0.05*0,0/Projects!$D$6*0.95),0)+IF(AND(Projects!$G$7="Yes",16&gt;=Projects!$C$7,16&lt;Projects!$C$7+Projects!$D$7),IF(16=Projects!$C$7+Projects!$D$7-1,Projects!$B$7*Assumptions!$B$12/Projects!$D$7*0.95+0.05*Projects!$B$7*Assumptions!$B$12,Projects!$B$7*Assumptions!$B$12/Projects!$D$7*0.95),0)+IF(AND(Projects!$G$8="Yes",16&gt;=Projects!$C$8,16&lt;Projects!$C$8+Projects!$D$8),IF(16=Projects!$C$8+Projects!$D$8-1,Projects!$B$8*Assumptions!$B$12/Projects!$D$8*0.95+0.05*Projects!$B$8*Assumptions!$B$12,Projects!$B$8*Assumptions!$B$12/Projects!$D$8*0.95),0)+IF(AND(Projects!$G$9="Yes",16&gt;=Projects!$C$9,16&lt;Projects!$C$9+Projects!$D$9),IF(16=Projects!$C$9+Projects!$D$9-1,Projects!$B$9*Assumptions!$B$12/Projects!$D$9*0.95+0.05*Projects!$B$9*Assumptions!$B$12,Projects!$B$9*Assumptions!$B$12/Projects!$D$9*0.95),0)+IF(AND(Projects!$G$10="Yes",16&gt;=Projects!$C$10,16&lt;Projects!$C$10+Projects!$D$10),IF(16=Projects!$C$10+Projects!$D$10-1,Projects!$B$10*Assumptions!$B$12/Projects!$D$10*0.95+0.05*Projects!$B$10*Assumptions!$B$12,Projects!$B$10*Assumptions!$B$12/Projects!$D$10*0.95),0)+IF(AND(Projects!$G$11="Yes",16&gt;=Projects!$C$11,16&lt;Projects!$C$11+Projects!$D$11),IF(16=Projects!$C$11+Projects!$D$11-1,Projects!$B$11*Assumptions!$B$12/Projects!$D$11*0.95+0.05*Projects!$B$11*Assumptions!$B$12,Projects!$B$11*Assumptions!$B$12/Projects!$D$11*0.95),0)+IF(AND(Projects!$G$12="Yes",16&gt;=Projects!$C$12,16&lt;Projects!$C$12+Projects!$D$12),IF(16=Projects!$C$12+Projects!$D$12-1,Projects!$B$12*Assumptions!$B$12/Projects!$D$12*0.95+0.05*Projects!$B$12*Assumptions!$B$12,Projects!$B$12*Assumptions!$B$12/Projects!$D$12*0.95),0)+IF(AND(Projects!$G$13="Yes",16&gt;=Projects!$C$13,16&lt;Projects!$C$13+Projects!$D$13),IF(16=Projects!$C$13+Projects!$D$13-1,Projects!$B$13*Assumptions!$B$12/Projects!$D$13*0.95+0.05*Projects!$B$13*Assumptions!$B$12,Projects!$B$13*Assumptions!$B$12/Projects!$D$13*0.95),0)+IF(AND(Projects!$G$14="Yes",16&gt;=Projects!$C$14,16&lt;Projects!$C$14+Projects!$D$14),IF(16=Projects!$C$14+Projects!$D$14-1,Projects!$B$14*Assumptions!$B$12/Projects!$D$14*0.95+0.05*Projects!$B$14*Assumptions!$B$12,Projects!$B$14*Assumptions!$B$12/Projects!$D$14*0.95),0)+IF(AND(Projects!$G$15="Yes",16&gt;=Projects!$C$15,16&lt;Projects!$C$15+Projects!$D$15),IF(16=Projects!$C$15+Projects!$D$15-1,Projects!$B$15*Assumptions!$B$12/Projects!$D$15*0.95+0.05*Projects!$B$15*Assumptions!$B$12,Projects!$B$15*Assumptions!$B$12/Projects!$D$15*0.95),0)+IF(AND(Projects!$G$16="Yes",16&gt;=Projects!$C$16,16&lt;Projects!$C$16+Projects!$D$16),IF(16=Projects!$C$16+Projects!$D$16-1,Projects!$B$16*Assumptions!$B$12/Projects!$D$16*0.95+0.05*Projects!$B$16*Assumptions!$B$12,Projects!$B$16*Assumptions!$B$12/Projects!$D$16*0.95),0)</f>
        <v>97546.308245400432</v>
      </c>
      <c r="S10" s="8">
        <f>IF(AND(Projects!$G$2="Yes",17&gt;=Projects!$C$2,17&lt;Projects!$C$2+Projects!$D$2),IF(17=Projects!$C$2+Projects!$D$2-1,46323/Projects!$D$2*0.95+0.05*46323,46323/Projects!$D$2*0.95),0)+IF(AND(Projects!$G$3="Yes",17&gt;=Projects!$C$3,17&lt;Projects!$C$3+Projects!$D$3),IF(17=Projects!$C$3+Projects!$D$3-1,176626/Projects!$D$3*0.95+0.05*176626,176626/Projects!$D$3*0.95),0)+IF(AND(Projects!$G$4="Yes",17&gt;=Projects!$C$4,17&lt;Projects!$C$4+Projects!$D$4),IF(17=Projects!$C$4+Projects!$D$4-1,Projects!$B$4*Assumptions!$B$12/Projects!$D$4*0.95+0.05*Projects!$B$4*Assumptions!$B$12,Projects!$B$4*Assumptions!$B$12/Projects!$D$4*0.95),0)+IF(AND(Projects!$G$5="Yes",17&gt;=Projects!$C$5,17&lt;Projects!$C$5+Projects!$D$5),IF(17=Projects!$C$5+Projects!$D$5-1,Projects!$B$5*Assumptions!$B$12/Projects!$D$5*0.95+0.05*Projects!$B$5*Assumptions!$B$12,Projects!$B$5*Assumptions!$B$12/Projects!$D$5*0.95),0)+IF(AND(Projects!$G$6="Yes",17&gt;=Projects!$C$6,17&lt;Projects!$C$6+Projects!$D$6),IF(17=Projects!$C$6+Projects!$D$6-1,0/Projects!$D$6*0.95+0.05*0,0/Projects!$D$6*0.95),0)+IF(AND(Projects!$G$7="Yes",17&gt;=Projects!$C$7,17&lt;Projects!$C$7+Projects!$D$7),IF(17=Projects!$C$7+Projects!$D$7-1,Projects!$B$7*Assumptions!$B$12/Projects!$D$7*0.95+0.05*Projects!$B$7*Assumptions!$B$12,Projects!$B$7*Assumptions!$B$12/Projects!$D$7*0.95),0)+IF(AND(Projects!$G$8="Yes",17&gt;=Projects!$C$8,17&lt;Projects!$C$8+Projects!$D$8),IF(17=Projects!$C$8+Projects!$D$8-1,Projects!$B$8*Assumptions!$B$12/Projects!$D$8*0.95+0.05*Projects!$B$8*Assumptions!$B$12,Projects!$B$8*Assumptions!$B$12/Projects!$D$8*0.95),0)+IF(AND(Projects!$G$9="Yes",17&gt;=Projects!$C$9,17&lt;Projects!$C$9+Projects!$D$9),IF(17=Projects!$C$9+Projects!$D$9-1,Projects!$B$9*Assumptions!$B$12/Projects!$D$9*0.95+0.05*Projects!$B$9*Assumptions!$B$12,Projects!$B$9*Assumptions!$B$12/Projects!$D$9*0.95),0)+IF(AND(Projects!$G$10="Yes",17&gt;=Projects!$C$10,17&lt;Projects!$C$10+Projects!$D$10),IF(17=Projects!$C$10+Projects!$D$10-1,Projects!$B$10*Assumptions!$B$12/Projects!$D$10*0.95+0.05*Projects!$B$10*Assumptions!$B$12,Projects!$B$10*Assumptions!$B$12/Projects!$D$10*0.95),0)+IF(AND(Projects!$G$11="Yes",17&gt;=Projects!$C$11,17&lt;Projects!$C$11+Projects!$D$11),IF(17=Projects!$C$11+Projects!$D$11-1,Projects!$B$11*Assumptions!$B$12/Projects!$D$11*0.95+0.05*Projects!$B$11*Assumptions!$B$12,Projects!$B$11*Assumptions!$B$12/Projects!$D$11*0.95),0)+IF(AND(Projects!$G$12="Yes",17&gt;=Projects!$C$12,17&lt;Projects!$C$12+Projects!$D$12),IF(17=Projects!$C$12+Projects!$D$12-1,Projects!$B$12*Assumptions!$B$12/Projects!$D$12*0.95+0.05*Projects!$B$12*Assumptions!$B$12,Projects!$B$12*Assumptions!$B$12/Projects!$D$12*0.95),0)+IF(AND(Projects!$G$13="Yes",17&gt;=Projects!$C$13,17&lt;Projects!$C$13+Projects!$D$13),IF(17=Projects!$C$13+Projects!$D$13-1,Projects!$B$13*Assumptions!$B$12/Projects!$D$13*0.95+0.05*Projects!$B$13*Assumptions!$B$12,Projects!$B$13*Assumptions!$B$12/Projects!$D$13*0.95),0)+IF(AND(Projects!$G$14="Yes",17&gt;=Projects!$C$14,17&lt;Projects!$C$14+Projects!$D$14),IF(17=Projects!$C$14+Projects!$D$14-1,Projects!$B$14*Assumptions!$B$12/Projects!$D$14*0.95+0.05*Projects!$B$14*Assumptions!$B$12,Projects!$B$14*Assumptions!$B$12/Projects!$D$14*0.95),0)+IF(AND(Projects!$G$15="Yes",17&gt;=Projects!$C$15,17&lt;Projects!$C$15+Projects!$D$15),IF(17=Projects!$C$15+Projects!$D$15-1,Projects!$B$15*Assumptions!$B$12/Projects!$D$15*0.95+0.05*Projects!$B$15*Assumptions!$B$12,Projects!$B$15*Assumptions!$B$12/Projects!$D$15*0.95),0)+IF(AND(Projects!$G$16="Yes",17&gt;=Projects!$C$16,17&lt;Projects!$C$16+Projects!$D$16),IF(17=Projects!$C$16+Projects!$D$16-1,Projects!$B$16*Assumptions!$B$12/Projects!$D$16*0.95+0.05*Projects!$B$16*Assumptions!$B$12,Projects!$B$16*Assumptions!$B$12/Projects!$D$16*0.95),0)</f>
        <v>78227.839495400432</v>
      </c>
      <c r="T10" s="8">
        <f>IF(AND(Projects!$G$2="Yes",18&gt;=Projects!$C$2,18&lt;Projects!$C$2+Projects!$D$2),IF(18=Projects!$C$2+Projects!$D$2-1,46323/Projects!$D$2*0.95+0.05*46323,46323/Projects!$D$2*0.95),0)+IF(AND(Projects!$G$3="Yes",18&gt;=Projects!$C$3,18&lt;Projects!$C$3+Projects!$D$3),IF(18=Projects!$C$3+Projects!$D$3-1,176626/Projects!$D$3*0.95+0.05*176626,176626/Projects!$D$3*0.95),0)+IF(AND(Projects!$G$4="Yes",18&gt;=Projects!$C$4,18&lt;Projects!$C$4+Projects!$D$4),IF(18=Projects!$C$4+Projects!$D$4-1,Projects!$B$4*Assumptions!$B$12/Projects!$D$4*0.95+0.05*Projects!$B$4*Assumptions!$B$12,Projects!$B$4*Assumptions!$B$12/Projects!$D$4*0.95),0)+IF(AND(Projects!$G$5="Yes",18&gt;=Projects!$C$5,18&lt;Projects!$C$5+Projects!$D$5),IF(18=Projects!$C$5+Projects!$D$5-1,Projects!$B$5*Assumptions!$B$12/Projects!$D$5*0.95+0.05*Projects!$B$5*Assumptions!$B$12,Projects!$B$5*Assumptions!$B$12/Projects!$D$5*0.95),0)+IF(AND(Projects!$G$6="Yes",18&gt;=Projects!$C$6,18&lt;Projects!$C$6+Projects!$D$6),IF(18=Projects!$C$6+Projects!$D$6-1,0/Projects!$D$6*0.95+0.05*0,0/Projects!$D$6*0.95),0)+IF(AND(Projects!$G$7="Yes",18&gt;=Projects!$C$7,18&lt;Projects!$C$7+Projects!$D$7),IF(18=Projects!$C$7+Projects!$D$7-1,Projects!$B$7*Assumptions!$B$12/Projects!$D$7*0.95+0.05*Projects!$B$7*Assumptions!$B$12,Projects!$B$7*Assumptions!$B$12/Projects!$D$7*0.95),0)+IF(AND(Projects!$G$8="Yes",18&gt;=Projects!$C$8,18&lt;Projects!$C$8+Projects!$D$8),IF(18=Projects!$C$8+Projects!$D$8-1,Projects!$B$8*Assumptions!$B$12/Projects!$D$8*0.95+0.05*Projects!$B$8*Assumptions!$B$12,Projects!$B$8*Assumptions!$B$12/Projects!$D$8*0.95),0)+IF(AND(Projects!$G$9="Yes",18&gt;=Projects!$C$9,18&lt;Projects!$C$9+Projects!$D$9),IF(18=Projects!$C$9+Projects!$D$9-1,Projects!$B$9*Assumptions!$B$12/Projects!$D$9*0.95+0.05*Projects!$B$9*Assumptions!$B$12,Projects!$B$9*Assumptions!$B$12/Projects!$D$9*0.95),0)+IF(AND(Projects!$G$10="Yes",18&gt;=Projects!$C$10,18&lt;Projects!$C$10+Projects!$D$10),IF(18=Projects!$C$10+Projects!$D$10-1,Projects!$B$10*Assumptions!$B$12/Projects!$D$10*0.95+0.05*Projects!$B$10*Assumptions!$B$12,Projects!$B$10*Assumptions!$B$12/Projects!$D$10*0.95),0)+IF(AND(Projects!$G$11="Yes",18&gt;=Projects!$C$11,18&lt;Projects!$C$11+Projects!$D$11),IF(18=Projects!$C$11+Projects!$D$11-1,Projects!$B$11*Assumptions!$B$12/Projects!$D$11*0.95+0.05*Projects!$B$11*Assumptions!$B$12,Projects!$B$11*Assumptions!$B$12/Projects!$D$11*0.95),0)+IF(AND(Projects!$G$12="Yes",18&gt;=Projects!$C$12,18&lt;Projects!$C$12+Projects!$D$12),IF(18=Projects!$C$12+Projects!$D$12-1,Projects!$B$12*Assumptions!$B$12/Projects!$D$12*0.95+0.05*Projects!$B$12*Assumptions!$B$12,Projects!$B$12*Assumptions!$B$12/Projects!$D$12*0.95),0)+IF(AND(Projects!$G$13="Yes",18&gt;=Projects!$C$13,18&lt;Projects!$C$13+Projects!$D$13),IF(18=Projects!$C$13+Projects!$D$13-1,Projects!$B$13*Assumptions!$B$12/Projects!$D$13*0.95+0.05*Projects!$B$13*Assumptions!$B$12,Projects!$B$13*Assumptions!$B$12/Projects!$D$13*0.95),0)+IF(AND(Projects!$G$14="Yes",18&gt;=Projects!$C$14,18&lt;Projects!$C$14+Projects!$D$14),IF(18=Projects!$C$14+Projects!$D$14-1,Projects!$B$14*Assumptions!$B$12/Projects!$D$14*0.95+0.05*Projects!$B$14*Assumptions!$B$12,Projects!$B$14*Assumptions!$B$12/Projects!$D$14*0.95),0)+IF(AND(Projects!$G$15="Yes",18&gt;=Projects!$C$15,18&lt;Projects!$C$15+Projects!$D$15),IF(18=Projects!$C$15+Projects!$D$15-1,Projects!$B$15*Assumptions!$B$12/Projects!$D$15*0.95+0.05*Projects!$B$15*Assumptions!$B$12,Projects!$B$15*Assumptions!$B$12/Projects!$D$15*0.95),0)+IF(AND(Projects!$G$16="Yes",18&gt;=Projects!$C$16,18&lt;Projects!$C$16+Projects!$D$16),IF(18=Projects!$C$16+Projects!$D$16-1,Projects!$B$16*Assumptions!$B$12/Projects!$D$16*0.95+0.05*Projects!$B$16*Assumptions!$B$12,Projects!$B$16*Assumptions!$B$12/Projects!$D$16*0.95),0)</f>
        <v>78227.839495400432</v>
      </c>
      <c r="U10" s="8">
        <f>IF(AND(Projects!$G$2="Yes",19&gt;=Projects!$C$2,19&lt;Projects!$C$2+Projects!$D$2),IF(19=Projects!$C$2+Projects!$D$2-1,46323/Projects!$D$2*0.95+0.05*46323,46323/Projects!$D$2*0.95),0)+IF(AND(Projects!$G$3="Yes",19&gt;=Projects!$C$3,19&lt;Projects!$C$3+Projects!$D$3),IF(19=Projects!$C$3+Projects!$D$3-1,176626/Projects!$D$3*0.95+0.05*176626,176626/Projects!$D$3*0.95),0)+IF(AND(Projects!$G$4="Yes",19&gt;=Projects!$C$4,19&lt;Projects!$C$4+Projects!$D$4),IF(19=Projects!$C$4+Projects!$D$4-1,Projects!$B$4*Assumptions!$B$12/Projects!$D$4*0.95+0.05*Projects!$B$4*Assumptions!$B$12,Projects!$B$4*Assumptions!$B$12/Projects!$D$4*0.95),0)+IF(AND(Projects!$G$5="Yes",19&gt;=Projects!$C$5,19&lt;Projects!$C$5+Projects!$D$5),IF(19=Projects!$C$5+Projects!$D$5-1,Projects!$B$5*Assumptions!$B$12/Projects!$D$5*0.95+0.05*Projects!$B$5*Assumptions!$B$12,Projects!$B$5*Assumptions!$B$12/Projects!$D$5*0.95),0)+IF(AND(Projects!$G$6="Yes",19&gt;=Projects!$C$6,19&lt;Projects!$C$6+Projects!$D$6),IF(19=Projects!$C$6+Projects!$D$6-1,0/Projects!$D$6*0.95+0.05*0,0/Projects!$D$6*0.95),0)+IF(AND(Projects!$G$7="Yes",19&gt;=Projects!$C$7,19&lt;Projects!$C$7+Projects!$D$7),IF(19=Projects!$C$7+Projects!$D$7-1,Projects!$B$7*Assumptions!$B$12/Projects!$D$7*0.95+0.05*Projects!$B$7*Assumptions!$B$12,Projects!$B$7*Assumptions!$B$12/Projects!$D$7*0.95),0)+IF(AND(Projects!$G$8="Yes",19&gt;=Projects!$C$8,19&lt;Projects!$C$8+Projects!$D$8),IF(19=Projects!$C$8+Projects!$D$8-1,Projects!$B$8*Assumptions!$B$12/Projects!$D$8*0.95+0.05*Projects!$B$8*Assumptions!$B$12,Projects!$B$8*Assumptions!$B$12/Projects!$D$8*0.95),0)+IF(AND(Projects!$G$9="Yes",19&gt;=Projects!$C$9,19&lt;Projects!$C$9+Projects!$D$9),IF(19=Projects!$C$9+Projects!$D$9-1,Projects!$B$9*Assumptions!$B$12/Projects!$D$9*0.95+0.05*Projects!$B$9*Assumptions!$B$12,Projects!$B$9*Assumptions!$B$12/Projects!$D$9*0.95),0)+IF(AND(Projects!$G$10="Yes",19&gt;=Projects!$C$10,19&lt;Projects!$C$10+Projects!$D$10),IF(19=Projects!$C$10+Projects!$D$10-1,Projects!$B$10*Assumptions!$B$12/Projects!$D$10*0.95+0.05*Projects!$B$10*Assumptions!$B$12,Projects!$B$10*Assumptions!$B$12/Projects!$D$10*0.95),0)+IF(AND(Projects!$G$11="Yes",19&gt;=Projects!$C$11,19&lt;Projects!$C$11+Projects!$D$11),IF(19=Projects!$C$11+Projects!$D$11-1,Projects!$B$11*Assumptions!$B$12/Projects!$D$11*0.95+0.05*Projects!$B$11*Assumptions!$B$12,Projects!$B$11*Assumptions!$B$12/Projects!$D$11*0.95),0)+IF(AND(Projects!$G$12="Yes",19&gt;=Projects!$C$12,19&lt;Projects!$C$12+Projects!$D$12),IF(19=Projects!$C$12+Projects!$D$12-1,Projects!$B$12*Assumptions!$B$12/Projects!$D$12*0.95+0.05*Projects!$B$12*Assumptions!$B$12,Projects!$B$12*Assumptions!$B$12/Projects!$D$12*0.95),0)+IF(AND(Projects!$G$13="Yes",19&gt;=Projects!$C$13,19&lt;Projects!$C$13+Projects!$D$13),IF(19=Projects!$C$13+Projects!$D$13-1,Projects!$B$13*Assumptions!$B$12/Projects!$D$13*0.95+0.05*Projects!$B$13*Assumptions!$B$12,Projects!$B$13*Assumptions!$B$12/Projects!$D$13*0.95),0)+IF(AND(Projects!$G$14="Yes",19&gt;=Projects!$C$14,19&lt;Projects!$C$14+Projects!$D$14),IF(19=Projects!$C$14+Projects!$D$14-1,Projects!$B$14*Assumptions!$B$12/Projects!$D$14*0.95+0.05*Projects!$B$14*Assumptions!$B$12,Projects!$B$14*Assumptions!$B$12/Projects!$D$14*0.95),0)+IF(AND(Projects!$G$15="Yes",19&gt;=Projects!$C$15,19&lt;Projects!$C$15+Projects!$D$15),IF(19=Projects!$C$15+Projects!$D$15-1,Projects!$B$15*Assumptions!$B$12/Projects!$D$15*0.95+0.05*Projects!$B$15*Assumptions!$B$12,Projects!$B$15*Assumptions!$B$12/Projects!$D$15*0.95),0)+IF(AND(Projects!$G$16="Yes",19&gt;=Projects!$C$16,19&lt;Projects!$C$16+Projects!$D$16),IF(19=Projects!$C$16+Projects!$D$16-1,Projects!$B$16*Assumptions!$B$12/Projects!$D$16*0.95+0.05*Projects!$B$16*Assumptions!$B$12,Projects!$B$16*Assumptions!$B$12/Projects!$D$16*0.95),0)</f>
        <v>78227.839495400432</v>
      </c>
      <c r="V10" s="8">
        <f>IF(AND(Projects!$G$2="Yes",20&gt;=Projects!$C$2,20&lt;Projects!$C$2+Projects!$D$2),IF(20=Projects!$C$2+Projects!$D$2-1,46323/Projects!$D$2*0.95+0.05*46323,46323/Projects!$D$2*0.95),0)+IF(AND(Projects!$G$3="Yes",20&gt;=Projects!$C$3,20&lt;Projects!$C$3+Projects!$D$3),IF(20=Projects!$C$3+Projects!$D$3-1,176626/Projects!$D$3*0.95+0.05*176626,176626/Projects!$D$3*0.95),0)+IF(AND(Projects!$G$4="Yes",20&gt;=Projects!$C$4,20&lt;Projects!$C$4+Projects!$D$4),IF(20=Projects!$C$4+Projects!$D$4-1,Projects!$B$4*Assumptions!$B$12/Projects!$D$4*0.95+0.05*Projects!$B$4*Assumptions!$B$12,Projects!$B$4*Assumptions!$B$12/Projects!$D$4*0.95),0)+IF(AND(Projects!$G$5="Yes",20&gt;=Projects!$C$5,20&lt;Projects!$C$5+Projects!$D$5),IF(20=Projects!$C$5+Projects!$D$5-1,Projects!$B$5*Assumptions!$B$12/Projects!$D$5*0.95+0.05*Projects!$B$5*Assumptions!$B$12,Projects!$B$5*Assumptions!$B$12/Projects!$D$5*0.95),0)+IF(AND(Projects!$G$6="Yes",20&gt;=Projects!$C$6,20&lt;Projects!$C$6+Projects!$D$6),IF(20=Projects!$C$6+Projects!$D$6-1,0/Projects!$D$6*0.95+0.05*0,0/Projects!$D$6*0.95),0)+IF(AND(Projects!$G$7="Yes",20&gt;=Projects!$C$7,20&lt;Projects!$C$7+Projects!$D$7),IF(20=Projects!$C$7+Projects!$D$7-1,Projects!$B$7*Assumptions!$B$12/Projects!$D$7*0.95+0.05*Projects!$B$7*Assumptions!$B$12,Projects!$B$7*Assumptions!$B$12/Projects!$D$7*0.95),0)+IF(AND(Projects!$G$8="Yes",20&gt;=Projects!$C$8,20&lt;Projects!$C$8+Projects!$D$8),IF(20=Projects!$C$8+Projects!$D$8-1,Projects!$B$8*Assumptions!$B$12/Projects!$D$8*0.95+0.05*Projects!$B$8*Assumptions!$B$12,Projects!$B$8*Assumptions!$B$12/Projects!$D$8*0.95),0)+IF(AND(Projects!$G$9="Yes",20&gt;=Projects!$C$9,20&lt;Projects!$C$9+Projects!$D$9),IF(20=Projects!$C$9+Projects!$D$9-1,Projects!$B$9*Assumptions!$B$12/Projects!$D$9*0.95+0.05*Projects!$B$9*Assumptions!$B$12,Projects!$B$9*Assumptions!$B$12/Projects!$D$9*0.95),0)+IF(AND(Projects!$G$10="Yes",20&gt;=Projects!$C$10,20&lt;Projects!$C$10+Projects!$D$10),IF(20=Projects!$C$10+Projects!$D$10-1,Projects!$B$10*Assumptions!$B$12/Projects!$D$10*0.95+0.05*Projects!$B$10*Assumptions!$B$12,Projects!$B$10*Assumptions!$B$12/Projects!$D$10*0.95),0)+IF(AND(Projects!$G$11="Yes",20&gt;=Projects!$C$11,20&lt;Projects!$C$11+Projects!$D$11),IF(20=Projects!$C$11+Projects!$D$11-1,Projects!$B$11*Assumptions!$B$12/Projects!$D$11*0.95+0.05*Projects!$B$11*Assumptions!$B$12,Projects!$B$11*Assumptions!$B$12/Projects!$D$11*0.95),0)+IF(AND(Projects!$G$12="Yes",20&gt;=Projects!$C$12,20&lt;Projects!$C$12+Projects!$D$12),IF(20=Projects!$C$12+Projects!$D$12-1,Projects!$B$12*Assumptions!$B$12/Projects!$D$12*0.95+0.05*Projects!$B$12*Assumptions!$B$12,Projects!$B$12*Assumptions!$B$12/Projects!$D$12*0.95),0)+IF(AND(Projects!$G$13="Yes",20&gt;=Projects!$C$13,20&lt;Projects!$C$13+Projects!$D$13),IF(20=Projects!$C$13+Projects!$D$13-1,Projects!$B$13*Assumptions!$B$12/Projects!$D$13*0.95+0.05*Projects!$B$13*Assumptions!$B$12,Projects!$B$13*Assumptions!$B$12/Projects!$D$13*0.95),0)+IF(AND(Projects!$G$14="Yes",20&gt;=Projects!$C$14,20&lt;Projects!$C$14+Projects!$D$14),IF(20=Projects!$C$14+Projects!$D$14-1,Projects!$B$14*Assumptions!$B$12/Projects!$D$14*0.95+0.05*Projects!$B$14*Assumptions!$B$12,Projects!$B$14*Assumptions!$B$12/Projects!$D$14*0.95),0)+IF(AND(Projects!$G$15="Yes",20&gt;=Projects!$C$15,20&lt;Projects!$C$15+Projects!$D$15),IF(20=Projects!$C$15+Projects!$D$15-1,Projects!$B$15*Assumptions!$B$12/Projects!$D$15*0.95+0.05*Projects!$B$15*Assumptions!$B$12,Projects!$B$15*Assumptions!$B$12/Projects!$D$15*0.95),0)+IF(AND(Projects!$G$16="Yes",20&gt;=Projects!$C$16,20&lt;Projects!$C$16+Projects!$D$16),IF(20=Projects!$C$16+Projects!$D$16-1,Projects!$B$16*Assumptions!$B$12/Projects!$D$16*0.95+0.05*Projects!$B$16*Assumptions!$B$12,Projects!$B$16*Assumptions!$B$12/Projects!$D$16*0.95),0)</f>
        <v>78227.839495400432</v>
      </c>
      <c r="W10" s="8">
        <f>IF(AND(Projects!$G$2="Yes",21&gt;=Projects!$C$2,21&lt;Projects!$C$2+Projects!$D$2),IF(21=Projects!$C$2+Projects!$D$2-1,46323/Projects!$D$2*0.95+0.05*46323,46323/Projects!$D$2*0.95),0)+IF(AND(Projects!$G$3="Yes",21&gt;=Projects!$C$3,21&lt;Projects!$C$3+Projects!$D$3),IF(21=Projects!$C$3+Projects!$D$3-1,176626/Projects!$D$3*0.95+0.05*176626,176626/Projects!$D$3*0.95),0)+IF(AND(Projects!$G$4="Yes",21&gt;=Projects!$C$4,21&lt;Projects!$C$4+Projects!$D$4),IF(21=Projects!$C$4+Projects!$D$4-1,Projects!$B$4*Assumptions!$B$12/Projects!$D$4*0.95+0.05*Projects!$B$4*Assumptions!$B$12,Projects!$B$4*Assumptions!$B$12/Projects!$D$4*0.95),0)+IF(AND(Projects!$G$5="Yes",21&gt;=Projects!$C$5,21&lt;Projects!$C$5+Projects!$D$5),IF(21=Projects!$C$5+Projects!$D$5-1,Projects!$B$5*Assumptions!$B$12/Projects!$D$5*0.95+0.05*Projects!$B$5*Assumptions!$B$12,Projects!$B$5*Assumptions!$B$12/Projects!$D$5*0.95),0)+IF(AND(Projects!$G$6="Yes",21&gt;=Projects!$C$6,21&lt;Projects!$C$6+Projects!$D$6),IF(21=Projects!$C$6+Projects!$D$6-1,0/Projects!$D$6*0.95+0.05*0,0/Projects!$D$6*0.95),0)+IF(AND(Projects!$G$7="Yes",21&gt;=Projects!$C$7,21&lt;Projects!$C$7+Projects!$D$7),IF(21=Projects!$C$7+Projects!$D$7-1,Projects!$B$7*Assumptions!$B$12/Projects!$D$7*0.95+0.05*Projects!$B$7*Assumptions!$B$12,Projects!$B$7*Assumptions!$B$12/Projects!$D$7*0.95),0)+IF(AND(Projects!$G$8="Yes",21&gt;=Projects!$C$8,21&lt;Projects!$C$8+Projects!$D$8),IF(21=Projects!$C$8+Projects!$D$8-1,Projects!$B$8*Assumptions!$B$12/Projects!$D$8*0.95+0.05*Projects!$B$8*Assumptions!$B$12,Projects!$B$8*Assumptions!$B$12/Projects!$D$8*0.95),0)+IF(AND(Projects!$G$9="Yes",21&gt;=Projects!$C$9,21&lt;Projects!$C$9+Projects!$D$9),IF(21=Projects!$C$9+Projects!$D$9-1,Projects!$B$9*Assumptions!$B$12/Projects!$D$9*0.95+0.05*Projects!$B$9*Assumptions!$B$12,Projects!$B$9*Assumptions!$B$12/Projects!$D$9*0.95),0)+IF(AND(Projects!$G$10="Yes",21&gt;=Projects!$C$10,21&lt;Projects!$C$10+Projects!$D$10),IF(21=Projects!$C$10+Projects!$D$10-1,Projects!$B$10*Assumptions!$B$12/Projects!$D$10*0.95+0.05*Projects!$B$10*Assumptions!$B$12,Projects!$B$10*Assumptions!$B$12/Projects!$D$10*0.95),0)+IF(AND(Projects!$G$11="Yes",21&gt;=Projects!$C$11,21&lt;Projects!$C$11+Projects!$D$11),IF(21=Projects!$C$11+Projects!$D$11-1,Projects!$B$11*Assumptions!$B$12/Projects!$D$11*0.95+0.05*Projects!$B$11*Assumptions!$B$12,Projects!$B$11*Assumptions!$B$12/Projects!$D$11*0.95),0)+IF(AND(Projects!$G$12="Yes",21&gt;=Projects!$C$12,21&lt;Projects!$C$12+Projects!$D$12),IF(21=Projects!$C$12+Projects!$D$12-1,Projects!$B$12*Assumptions!$B$12/Projects!$D$12*0.95+0.05*Projects!$B$12*Assumptions!$B$12,Projects!$B$12*Assumptions!$B$12/Projects!$D$12*0.95),0)+IF(AND(Projects!$G$13="Yes",21&gt;=Projects!$C$13,21&lt;Projects!$C$13+Projects!$D$13),IF(21=Projects!$C$13+Projects!$D$13-1,Projects!$B$13*Assumptions!$B$12/Projects!$D$13*0.95+0.05*Projects!$B$13*Assumptions!$B$12,Projects!$B$13*Assumptions!$B$12/Projects!$D$13*0.95),0)+IF(AND(Projects!$G$14="Yes",21&gt;=Projects!$C$14,21&lt;Projects!$C$14+Projects!$D$14),IF(21=Projects!$C$14+Projects!$D$14-1,Projects!$B$14*Assumptions!$B$12/Projects!$D$14*0.95+0.05*Projects!$B$14*Assumptions!$B$12,Projects!$B$14*Assumptions!$B$12/Projects!$D$14*0.95),0)+IF(AND(Projects!$G$15="Yes",21&gt;=Projects!$C$15,21&lt;Projects!$C$15+Projects!$D$15),IF(21=Projects!$C$15+Projects!$D$15-1,Projects!$B$15*Assumptions!$B$12/Projects!$D$15*0.95+0.05*Projects!$B$15*Assumptions!$B$12,Projects!$B$15*Assumptions!$B$12/Projects!$D$15*0.95),0)+IF(AND(Projects!$G$16="Yes",21&gt;=Projects!$C$16,21&lt;Projects!$C$16+Projects!$D$16),IF(21=Projects!$C$16+Projects!$D$16-1,Projects!$B$16*Assumptions!$B$12/Projects!$D$16*0.95+0.05*Projects!$B$16*Assumptions!$B$12,Projects!$B$16*Assumptions!$B$12/Projects!$D$16*0.95),0)</f>
        <v>78227.839495400432</v>
      </c>
      <c r="X10" s="8">
        <f>IF(AND(Projects!$G$2="Yes",22&gt;=Projects!$C$2,22&lt;Projects!$C$2+Projects!$D$2),IF(22=Projects!$C$2+Projects!$D$2-1,46323/Projects!$D$2*0.95+0.05*46323,46323/Projects!$D$2*0.95),0)+IF(AND(Projects!$G$3="Yes",22&gt;=Projects!$C$3,22&lt;Projects!$C$3+Projects!$D$3),IF(22=Projects!$C$3+Projects!$D$3-1,176626/Projects!$D$3*0.95+0.05*176626,176626/Projects!$D$3*0.95),0)+IF(AND(Projects!$G$4="Yes",22&gt;=Projects!$C$4,22&lt;Projects!$C$4+Projects!$D$4),IF(22=Projects!$C$4+Projects!$D$4-1,Projects!$B$4*Assumptions!$B$12/Projects!$D$4*0.95+0.05*Projects!$B$4*Assumptions!$B$12,Projects!$B$4*Assumptions!$B$12/Projects!$D$4*0.95),0)+IF(AND(Projects!$G$5="Yes",22&gt;=Projects!$C$5,22&lt;Projects!$C$5+Projects!$D$5),IF(22=Projects!$C$5+Projects!$D$5-1,Projects!$B$5*Assumptions!$B$12/Projects!$D$5*0.95+0.05*Projects!$B$5*Assumptions!$B$12,Projects!$B$5*Assumptions!$B$12/Projects!$D$5*0.95),0)+IF(AND(Projects!$G$6="Yes",22&gt;=Projects!$C$6,22&lt;Projects!$C$6+Projects!$D$6),IF(22=Projects!$C$6+Projects!$D$6-1,0/Projects!$D$6*0.95+0.05*0,0/Projects!$D$6*0.95),0)+IF(AND(Projects!$G$7="Yes",22&gt;=Projects!$C$7,22&lt;Projects!$C$7+Projects!$D$7),IF(22=Projects!$C$7+Projects!$D$7-1,Projects!$B$7*Assumptions!$B$12/Projects!$D$7*0.95+0.05*Projects!$B$7*Assumptions!$B$12,Projects!$B$7*Assumptions!$B$12/Projects!$D$7*0.95),0)+IF(AND(Projects!$G$8="Yes",22&gt;=Projects!$C$8,22&lt;Projects!$C$8+Projects!$D$8),IF(22=Projects!$C$8+Projects!$D$8-1,Projects!$B$8*Assumptions!$B$12/Projects!$D$8*0.95+0.05*Projects!$B$8*Assumptions!$B$12,Projects!$B$8*Assumptions!$B$12/Projects!$D$8*0.95),0)+IF(AND(Projects!$G$9="Yes",22&gt;=Projects!$C$9,22&lt;Projects!$C$9+Projects!$D$9),IF(22=Projects!$C$9+Projects!$D$9-1,Projects!$B$9*Assumptions!$B$12/Projects!$D$9*0.95+0.05*Projects!$B$9*Assumptions!$B$12,Projects!$B$9*Assumptions!$B$12/Projects!$D$9*0.95),0)+IF(AND(Projects!$G$10="Yes",22&gt;=Projects!$C$10,22&lt;Projects!$C$10+Projects!$D$10),IF(22=Projects!$C$10+Projects!$D$10-1,Projects!$B$10*Assumptions!$B$12/Projects!$D$10*0.95+0.05*Projects!$B$10*Assumptions!$B$12,Projects!$B$10*Assumptions!$B$12/Projects!$D$10*0.95),0)+IF(AND(Projects!$G$11="Yes",22&gt;=Projects!$C$11,22&lt;Projects!$C$11+Projects!$D$11),IF(22=Projects!$C$11+Projects!$D$11-1,Projects!$B$11*Assumptions!$B$12/Projects!$D$11*0.95+0.05*Projects!$B$11*Assumptions!$B$12,Projects!$B$11*Assumptions!$B$12/Projects!$D$11*0.95),0)+IF(AND(Projects!$G$12="Yes",22&gt;=Projects!$C$12,22&lt;Projects!$C$12+Projects!$D$12),IF(22=Projects!$C$12+Projects!$D$12-1,Projects!$B$12*Assumptions!$B$12/Projects!$D$12*0.95+0.05*Projects!$B$12*Assumptions!$B$12,Projects!$B$12*Assumptions!$B$12/Projects!$D$12*0.95),0)+IF(AND(Projects!$G$13="Yes",22&gt;=Projects!$C$13,22&lt;Projects!$C$13+Projects!$D$13),IF(22=Projects!$C$13+Projects!$D$13-1,Projects!$B$13*Assumptions!$B$12/Projects!$D$13*0.95+0.05*Projects!$B$13*Assumptions!$B$12,Projects!$B$13*Assumptions!$B$12/Projects!$D$13*0.95),0)+IF(AND(Projects!$G$14="Yes",22&gt;=Projects!$C$14,22&lt;Projects!$C$14+Projects!$D$14),IF(22=Projects!$C$14+Projects!$D$14-1,Projects!$B$14*Assumptions!$B$12/Projects!$D$14*0.95+0.05*Projects!$B$14*Assumptions!$B$12,Projects!$B$14*Assumptions!$B$12/Projects!$D$14*0.95),0)+IF(AND(Projects!$G$15="Yes",22&gt;=Projects!$C$15,22&lt;Projects!$C$15+Projects!$D$15),IF(22=Projects!$C$15+Projects!$D$15-1,Projects!$B$15*Assumptions!$B$12/Projects!$D$15*0.95+0.05*Projects!$B$15*Assumptions!$B$12,Projects!$B$15*Assumptions!$B$12/Projects!$D$15*0.95),0)+IF(AND(Projects!$G$16="Yes",22&gt;=Projects!$C$16,22&lt;Projects!$C$16+Projects!$D$16),IF(22=Projects!$C$16+Projects!$D$16-1,Projects!$B$16*Assumptions!$B$12/Projects!$D$16*0.95+0.05*Projects!$B$16*Assumptions!$B$12,Projects!$B$16*Assumptions!$B$12/Projects!$D$16*0.95),0)</f>
        <v>78227.839495400432</v>
      </c>
      <c r="Y10" s="8">
        <f>IF(AND(Projects!$G$2="Yes",23&gt;=Projects!$C$2,23&lt;Projects!$C$2+Projects!$D$2),IF(23=Projects!$C$2+Projects!$D$2-1,46323/Projects!$D$2*0.95+0.05*46323,46323/Projects!$D$2*0.95),0)+IF(AND(Projects!$G$3="Yes",23&gt;=Projects!$C$3,23&lt;Projects!$C$3+Projects!$D$3),IF(23=Projects!$C$3+Projects!$D$3-1,176626/Projects!$D$3*0.95+0.05*176626,176626/Projects!$D$3*0.95),0)+IF(AND(Projects!$G$4="Yes",23&gt;=Projects!$C$4,23&lt;Projects!$C$4+Projects!$D$4),IF(23=Projects!$C$4+Projects!$D$4-1,Projects!$B$4*Assumptions!$B$12/Projects!$D$4*0.95+0.05*Projects!$B$4*Assumptions!$B$12,Projects!$B$4*Assumptions!$B$12/Projects!$D$4*0.95),0)+IF(AND(Projects!$G$5="Yes",23&gt;=Projects!$C$5,23&lt;Projects!$C$5+Projects!$D$5),IF(23=Projects!$C$5+Projects!$D$5-1,Projects!$B$5*Assumptions!$B$12/Projects!$D$5*0.95+0.05*Projects!$B$5*Assumptions!$B$12,Projects!$B$5*Assumptions!$B$12/Projects!$D$5*0.95),0)+IF(AND(Projects!$G$6="Yes",23&gt;=Projects!$C$6,23&lt;Projects!$C$6+Projects!$D$6),IF(23=Projects!$C$6+Projects!$D$6-1,0/Projects!$D$6*0.95+0.05*0,0/Projects!$D$6*0.95),0)+IF(AND(Projects!$G$7="Yes",23&gt;=Projects!$C$7,23&lt;Projects!$C$7+Projects!$D$7),IF(23=Projects!$C$7+Projects!$D$7-1,Projects!$B$7*Assumptions!$B$12/Projects!$D$7*0.95+0.05*Projects!$B$7*Assumptions!$B$12,Projects!$B$7*Assumptions!$B$12/Projects!$D$7*0.95),0)+IF(AND(Projects!$G$8="Yes",23&gt;=Projects!$C$8,23&lt;Projects!$C$8+Projects!$D$8),IF(23=Projects!$C$8+Projects!$D$8-1,Projects!$B$8*Assumptions!$B$12/Projects!$D$8*0.95+0.05*Projects!$B$8*Assumptions!$B$12,Projects!$B$8*Assumptions!$B$12/Projects!$D$8*0.95),0)+IF(AND(Projects!$G$9="Yes",23&gt;=Projects!$C$9,23&lt;Projects!$C$9+Projects!$D$9),IF(23=Projects!$C$9+Projects!$D$9-1,Projects!$B$9*Assumptions!$B$12/Projects!$D$9*0.95+0.05*Projects!$B$9*Assumptions!$B$12,Projects!$B$9*Assumptions!$B$12/Projects!$D$9*0.95),0)+IF(AND(Projects!$G$10="Yes",23&gt;=Projects!$C$10,23&lt;Projects!$C$10+Projects!$D$10),IF(23=Projects!$C$10+Projects!$D$10-1,Projects!$B$10*Assumptions!$B$12/Projects!$D$10*0.95+0.05*Projects!$B$10*Assumptions!$B$12,Projects!$B$10*Assumptions!$B$12/Projects!$D$10*0.95),0)+IF(AND(Projects!$G$11="Yes",23&gt;=Projects!$C$11,23&lt;Projects!$C$11+Projects!$D$11),IF(23=Projects!$C$11+Projects!$D$11-1,Projects!$B$11*Assumptions!$B$12/Projects!$D$11*0.95+0.05*Projects!$B$11*Assumptions!$B$12,Projects!$B$11*Assumptions!$B$12/Projects!$D$11*0.95),0)+IF(AND(Projects!$G$12="Yes",23&gt;=Projects!$C$12,23&lt;Projects!$C$12+Projects!$D$12),IF(23=Projects!$C$12+Projects!$D$12-1,Projects!$B$12*Assumptions!$B$12/Projects!$D$12*0.95+0.05*Projects!$B$12*Assumptions!$B$12,Projects!$B$12*Assumptions!$B$12/Projects!$D$12*0.95),0)+IF(AND(Projects!$G$13="Yes",23&gt;=Projects!$C$13,23&lt;Projects!$C$13+Projects!$D$13),IF(23=Projects!$C$13+Projects!$D$13-1,Projects!$B$13*Assumptions!$B$12/Projects!$D$13*0.95+0.05*Projects!$B$13*Assumptions!$B$12,Projects!$B$13*Assumptions!$B$12/Projects!$D$13*0.95),0)+IF(AND(Projects!$G$14="Yes",23&gt;=Projects!$C$14,23&lt;Projects!$C$14+Projects!$D$14),IF(23=Projects!$C$14+Projects!$D$14-1,Projects!$B$14*Assumptions!$B$12/Projects!$D$14*0.95+0.05*Projects!$B$14*Assumptions!$B$12,Projects!$B$14*Assumptions!$B$12/Projects!$D$14*0.95),0)+IF(AND(Projects!$G$15="Yes",23&gt;=Projects!$C$15,23&lt;Projects!$C$15+Projects!$D$15),IF(23=Projects!$C$15+Projects!$D$15-1,Projects!$B$15*Assumptions!$B$12/Projects!$D$15*0.95+0.05*Projects!$B$15*Assumptions!$B$12,Projects!$B$15*Assumptions!$B$12/Projects!$D$15*0.95),0)+IF(AND(Projects!$G$16="Yes",23&gt;=Projects!$C$16,23&lt;Projects!$C$16+Projects!$D$16),IF(23=Projects!$C$16+Projects!$D$16-1,Projects!$B$16*Assumptions!$B$12/Projects!$D$16*0.95+0.05*Projects!$B$16*Assumptions!$B$12,Projects!$B$16*Assumptions!$B$12/Projects!$D$16*0.95),0)</f>
        <v>78227.839495400432</v>
      </c>
      <c r="Z10" s="8">
        <f>IF(AND(Projects!$G$2="Yes",24&gt;=Projects!$C$2,24&lt;Projects!$C$2+Projects!$D$2),IF(24=Projects!$C$2+Projects!$D$2-1,46323/Projects!$D$2*0.95+0.05*46323,46323/Projects!$D$2*0.95),0)+IF(AND(Projects!$G$3="Yes",24&gt;=Projects!$C$3,24&lt;Projects!$C$3+Projects!$D$3),IF(24=Projects!$C$3+Projects!$D$3-1,176626/Projects!$D$3*0.95+0.05*176626,176626/Projects!$D$3*0.95),0)+IF(AND(Projects!$G$4="Yes",24&gt;=Projects!$C$4,24&lt;Projects!$C$4+Projects!$D$4),IF(24=Projects!$C$4+Projects!$D$4-1,Projects!$B$4*Assumptions!$B$12/Projects!$D$4*0.95+0.05*Projects!$B$4*Assumptions!$B$12,Projects!$B$4*Assumptions!$B$12/Projects!$D$4*0.95),0)+IF(AND(Projects!$G$5="Yes",24&gt;=Projects!$C$5,24&lt;Projects!$C$5+Projects!$D$5),IF(24=Projects!$C$5+Projects!$D$5-1,Projects!$B$5*Assumptions!$B$12/Projects!$D$5*0.95+0.05*Projects!$B$5*Assumptions!$B$12,Projects!$B$5*Assumptions!$B$12/Projects!$D$5*0.95),0)+IF(AND(Projects!$G$6="Yes",24&gt;=Projects!$C$6,24&lt;Projects!$C$6+Projects!$D$6),IF(24=Projects!$C$6+Projects!$D$6-1,0/Projects!$D$6*0.95+0.05*0,0/Projects!$D$6*0.95),0)+IF(AND(Projects!$G$7="Yes",24&gt;=Projects!$C$7,24&lt;Projects!$C$7+Projects!$D$7),IF(24=Projects!$C$7+Projects!$D$7-1,Projects!$B$7*Assumptions!$B$12/Projects!$D$7*0.95+0.05*Projects!$B$7*Assumptions!$B$12,Projects!$B$7*Assumptions!$B$12/Projects!$D$7*0.95),0)+IF(AND(Projects!$G$8="Yes",24&gt;=Projects!$C$8,24&lt;Projects!$C$8+Projects!$D$8),IF(24=Projects!$C$8+Projects!$D$8-1,Projects!$B$8*Assumptions!$B$12/Projects!$D$8*0.95+0.05*Projects!$B$8*Assumptions!$B$12,Projects!$B$8*Assumptions!$B$12/Projects!$D$8*0.95),0)+IF(AND(Projects!$G$9="Yes",24&gt;=Projects!$C$9,24&lt;Projects!$C$9+Projects!$D$9),IF(24=Projects!$C$9+Projects!$D$9-1,Projects!$B$9*Assumptions!$B$12/Projects!$D$9*0.95+0.05*Projects!$B$9*Assumptions!$B$12,Projects!$B$9*Assumptions!$B$12/Projects!$D$9*0.95),0)+IF(AND(Projects!$G$10="Yes",24&gt;=Projects!$C$10,24&lt;Projects!$C$10+Projects!$D$10),IF(24=Projects!$C$10+Projects!$D$10-1,Projects!$B$10*Assumptions!$B$12/Projects!$D$10*0.95+0.05*Projects!$B$10*Assumptions!$B$12,Projects!$B$10*Assumptions!$B$12/Projects!$D$10*0.95),0)+IF(AND(Projects!$G$11="Yes",24&gt;=Projects!$C$11,24&lt;Projects!$C$11+Projects!$D$11),IF(24=Projects!$C$11+Projects!$D$11-1,Projects!$B$11*Assumptions!$B$12/Projects!$D$11*0.95+0.05*Projects!$B$11*Assumptions!$B$12,Projects!$B$11*Assumptions!$B$12/Projects!$D$11*0.95),0)+IF(AND(Projects!$G$12="Yes",24&gt;=Projects!$C$12,24&lt;Projects!$C$12+Projects!$D$12),IF(24=Projects!$C$12+Projects!$D$12-1,Projects!$B$12*Assumptions!$B$12/Projects!$D$12*0.95+0.05*Projects!$B$12*Assumptions!$B$12,Projects!$B$12*Assumptions!$B$12/Projects!$D$12*0.95),0)+IF(AND(Projects!$G$13="Yes",24&gt;=Projects!$C$13,24&lt;Projects!$C$13+Projects!$D$13),IF(24=Projects!$C$13+Projects!$D$13-1,Projects!$B$13*Assumptions!$B$12/Projects!$D$13*0.95+0.05*Projects!$B$13*Assumptions!$B$12,Projects!$B$13*Assumptions!$B$12/Projects!$D$13*0.95),0)+IF(AND(Projects!$G$14="Yes",24&gt;=Projects!$C$14,24&lt;Projects!$C$14+Projects!$D$14),IF(24=Projects!$C$14+Projects!$D$14-1,Projects!$B$14*Assumptions!$B$12/Projects!$D$14*0.95+0.05*Projects!$B$14*Assumptions!$B$12,Projects!$B$14*Assumptions!$B$12/Projects!$D$14*0.95),0)+IF(AND(Projects!$G$15="Yes",24&gt;=Projects!$C$15,24&lt;Projects!$C$15+Projects!$D$15),IF(24=Projects!$C$15+Projects!$D$15-1,Projects!$B$15*Assumptions!$B$12/Projects!$D$15*0.95+0.05*Projects!$B$15*Assumptions!$B$12,Projects!$B$15*Assumptions!$B$12/Projects!$D$15*0.95),0)+IF(AND(Projects!$G$16="Yes",24&gt;=Projects!$C$16,24&lt;Projects!$C$16+Projects!$D$16),IF(24=Projects!$C$16+Projects!$D$16-1,Projects!$B$16*Assumptions!$B$12/Projects!$D$16*0.95+0.05*Projects!$B$16*Assumptions!$B$12,Projects!$B$16*Assumptions!$B$12/Projects!$D$16*0.95),0)</f>
        <v>78227.839495400432</v>
      </c>
      <c r="AA10" s="8">
        <f>IF(AND(Projects!$G$2="Yes",25&gt;=Projects!$C$2,25&lt;Projects!$C$2+Projects!$D$2),IF(25=Projects!$C$2+Projects!$D$2-1,46323/Projects!$D$2*0.95+0.05*46323,46323/Projects!$D$2*0.95),0)+IF(AND(Projects!$G$3="Yes",25&gt;=Projects!$C$3,25&lt;Projects!$C$3+Projects!$D$3),IF(25=Projects!$C$3+Projects!$D$3-1,176626/Projects!$D$3*0.95+0.05*176626,176626/Projects!$D$3*0.95),0)+IF(AND(Projects!$G$4="Yes",25&gt;=Projects!$C$4,25&lt;Projects!$C$4+Projects!$D$4),IF(25=Projects!$C$4+Projects!$D$4-1,Projects!$B$4*Assumptions!$B$12/Projects!$D$4*0.95+0.05*Projects!$B$4*Assumptions!$B$12,Projects!$B$4*Assumptions!$B$12/Projects!$D$4*0.95),0)+IF(AND(Projects!$G$5="Yes",25&gt;=Projects!$C$5,25&lt;Projects!$C$5+Projects!$D$5),IF(25=Projects!$C$5+Projects!$D$5-1,Projects!$B$5*Assumptions!$B$12/Projects!$D$5*0.95+0.05*Projects!$B$5*Assumptions!$B$12,Projects!$B$5*Assumptions!$B$12/Projects!$D$5*0.95),0)+IF(AND(Projects!$G$6="Yes",25&gt;=Projects!$C$6,25&lt;Projects!$C$6+Projects!$D$6),IF(25=Projects!$C$6+Projects!$D$6-1,0/Projects!$D$6*0.95+0.05*0,0/Projects!$D$6*0.95),0)+IF(AND(Projects!$G$7="Yes",25&gt;=Projects!$C$7,25&lt;Projects!$C$7+Projects!$D$7),IF(25=Projects!$C$7+Projects!$D$7-1,Projects!$B$7*Assumptions!$B$12/Projects!$D$7*0.95+0.05*Projects!$B$7*Assumptions!$B$12,Projects!$B$7*Assumptions!$B$12/Projects!$D$7*0.95),0)+IF(AND(Projects!$G$8="Yes",25&gt;=Projects!$C$8,25&lt;Projects!$C$8+Projects!$D$8),IF(25=Projects!$C$8+Projects!$D$8-1,Projects!$B$8*Assumptions!$B$12/Projects!$D$8*0.95+0.05*Projects!$B$8*Assumptions!$B$12,Projects!$B$8*Assumptions!$B$12/Projects!$D$8*0.95),0)+IF(AND(Projects!$G$9="Yes",25&gt;=Projects!$C$9,25&lt;Projects!$C$9+Projects!$D$9),IF(25=Projects!$C$9+Projects!$D$9-1,Projects!$B$9*Assumptions!$B$12/Projects!$D$9*0.95+0.05*Projects!$B$9*Assumptions!$B$12,Projects!$B$9*Assumptions!$B$12/Projects!$D$9*0.95),0)+IF(AND(Projects!$G$10="Yes",25&gt;=Projects!$C$10,25&lt;Projects!$C$10+Projects!$D$10),IF(25=Projects!$C$10+Projects!$D$10-1,Projects!$B$10*Assumptions!$B$12/Projects!$D$10*0.95+0.05*Projects!$B$10*Assumptions!$B$12,Projects!$B$10*Assumptions!$B$12/Projects!$D$10*0.95),0)+IF(AND(Projects!$G$11="Yes",25&gt;=Projects!$C$11,25&lt;Projects!$C$11+Projects!$D$11),IF(25=Projects!$C$11+Projects!$D$11-1,Projects!$B$11*Assumptions!$B$12/Projects!$D$11*0.95+0.05*Projects!$B$11*Assumptions!$B$12,Projects!$B$11*Assumptions!$B$12/Projects!$D$11*0.95),0)+IF(AND(Projects!$G$12="Yes",25&gt;=Projects!$C$12,25&lt;Projects!$C$12+Projects!$D$12),IF(25=Projects!$C$12+Projects!$D$12-1,Projects!$B$12*Assumptions!$B$12/Projects!$D$12*0.95+0.05*Projects!$B$12*Assumptions!$B$12,Projects!$B$12*Assumptions!$B$12/Projects!$D$12*0.95),0)+IF(AND(Projects!$G$13="Yes",25&gt;=Projects!$C$13,25&lt;Projects!$C$13+Projects!$D$13),IF(25=Projects!$C$13+Projects!$D$13-1,Projects!$B$13*Assumptions!$B$12/Projects!$D$13*0.95+0.05*Projects!$B$13*Assumptions!$B$12,Projects!$B$13*Assumptions!$B$12/Projects!$D$13*0.95),0)+IF(AND(Projects!$G$14="Yes",25&gt;=Projects!$C$14,25&lt;Projects!$C$14+Projects!$D$14),IF(25=Projects!$C$14+Projects!$D$14-1,Projects!$B$14*Assumptions!$B$12/Projects!$D$14*0.95+0.05*Projects!$B$14*Assumptions!$B$12,Projects!$B$14*Assumptions!$B$12/Projects!$D$14*0.95),0)+IF(AND(Projects!$G$15="Yes",25&gt;=Projects!$C$15,25&lt;Projects!$C$15+Projects!$D$15),IF(25=Projects!$C$15+Projects!$D$15-1,Projects!$B$15*Assumptions!$B$12/Projects!$D$15*0.95+0.05*Projects!$B$15*Assumptions!$B$12,Projects!$B$15*Assumptions!$B$12/Projects!$D$15*0.95),0)+IF(AND(Projects!$G$16="Yes",25&gt;=Projects!$C$16,25&lt;Projects!$C$16+Projects!$D$16),IF(25=Projects!$C$16+Projects!$D$16-1,Projects!$B$16*Assumptions!$B$12/Projects!$D$16*0.95+0.05*Projects!$B$16*Assumptions!$B$12,Projects!$B$16*Assumptions!$B$12/Projects!$D$16*0.95),0)</f>
        <v>89287.719365530327</v>
      </c>
      <c r="AB10" s="8">
        <f>IF(AND(Projects!$G$2="Yes",26&gt;=Projects!$C$2,26&lt;Projects!$C$2+Projects!$D$2),IF(26=Projects!$C$2+Projects!$D$2-1,46323/Projects!$D$2*0.95+0.05*46323,46323/Projects!$D$2*0.95),0)+IF(AND(Projects!$G$3="Yes",26&gt;=Projects!$C$3,26&lt;Projects!$C$3+Projects!$D$3),IF(26=Projects!$C$3+Projects!$D$3-1,176626/Projects!$D$3*0.95+0.05*176626,176626/Projects!$D$3*0.95),0)+IF(AND(Projects!$G$4="Yes",26&gt;=Projects!$C$4,26&lt;Projects!$C$4+Projects!$D$4),IF(26=Projects!$C$4+Projects!$D$4-1,Projects!$B$4*Assumptions!$B$12/Projects!$D$4*0.95+0.05*Projects!$B$4*Assumptions!$B$12,Projects!$B$4*Assumptions!$B$12/Projects!$D$4*0.95),0)+IF(AND(Projects!$G$5="Yes",26&gt;=Projects!$C$5,26&lt;Projects!$C$5+Projects!$D$5),IF(26=Projects!$C$5+Projects!$D$5-1,Projects!$B$5*Assumptions!$B$12/Projects!$D$5*0.95+0.05*Projects!$B$5*Assumptions!$B$12,Projects!$B$5*Assumptions!$B$12/Projects!$D$5*0.95),0)+IF(AND(Projects!$G$6="Yes",26&gt;=Projects!$C$6,26&lt;Projects!$C$6+Projects!$D$6),IF(26=Projects!$C$6+Projects!$D$6-1,0/Projects!$D$6*0.95+0.05*0,0/Projects!$D$6*0.95),0)+IF(AND(Projects!$G$7="Yes",26&gt;=Projects!$C$7,26&lt;Projects!$C$7+Projects!$D$7),IF(26=Projects!$C$7+Projects!$D$7-1,Projects!$B$7*Assumptions!$B$12/Projects!$D$7*0.95+0.05*Projects!$B$7*Assumptions!$B$12,Projects!$B$7*Assumptions!$B$12/Projects!$D$7*0.95),0)+IF(AND(Projects!$G$8="Yes",26&gt;=Projects!$C$8,26&lt;Projects!$C$8+Projects!$D$8),IF(26=Projects!$C$8+Projects!$D$8-1,Projects!$B$8*Assumptions!$B$12/Projects!$D$8*0.95+0.05*Projects!$B$8*Assumptions!$B$12,Projects!$B$8*Assumptions!$B$12/Projects!$D$8*0.95),0)+IF(AND(Projects!$G$9="Yes",26&gt;=Projects!$C$9,26&lt;Projects!$C$9+Projects!$D$9),IF(26=Projects!$C$9+Projects!$D$9-1,Projects!$B$9*Assumptions!$B$12/Projects!$D$9*0.95+0.05*Projects!$B$9*Assumptions!$B$12,Projects!$B$9*Assumptions!$B$12/Projects!$D$9*0.95),0)+IF(AND(Projects!$G$10="Yes",26&gt;=Projects!$C$10,26&lt;Projects!$C$10+Projects!$D$10),IF(26=Projects!$C$10+Projects!$D$10-1,Projects!$B$10*Assumptions!$B$12/Projects!$D$10*0.95+0.05*Projects!$B$10*Assumptions!$B$12,Projects!$B$10*Assumptions!$B$12/Projects!$D$10*0.95),0)+IF(AND(Projects!$G$11="Yes",26&gt;=Projects!$C$11,26&lt;Projects!$C$11+Projects!$D$11),IF(26=Projects!$C$11+Projects!$D$11-1,Projects!$B$11*Assumptions!$B$12/Projects!$D$11*0.95+0.05*Projects!$B$11*Assumptions!$B$12,Projects!$B$11*Assumptions!$B$12/Projects!$D$11*0.95),0)+IF(AND(Projects!$G$12="Yes",26&gt;=Projects!$C$12,26&lt;Projects!$C$12+Projects!$D$12),IF(26=Projects!$C$12+Projects!$D$12-1,Projects!$B$12*Assumptions!$B$12/Projects!$D$12*0.95+0.05*Projects!$B$12*Assumptions!$B$12,Projects!$B$12*Assumptions!$B$12/Projects!$D$12*0.95),0)+IF(AND(Projects!$G$13="Yes",26&gt;=Projects!$C$13,26&lt;Projects!$C$13+Projects!$D$13),IF(26=Projects!$C$13+Projects!$D$13-1,Projects!$B$13*Assumptions!$B$12/Projects!$D$13*0.95+0.05*Projects!$B$13*Assumptions!$B$12,Projects!$B$13*Assumptions!$B$12/Projects!$D$13*0.95),0)+IF(AND(Projects!$G$14="Yes",26&gt;=Projects!$C$14,26&lt;Projects!$C$14+Projects!$D$14),IF(26=Projects!$C$14+Projects!$D$14-1,Projects!$B$14*Assumptions!$B$12/Projects!$D$14*0.95+0.05*Projects!$B$14*Assumptions!$B$12,Projects!$B$14*Assumptions!$B$12/Projects!$D$14*0.95),0)+IF(AND(Projects!$G$15="Yes",26&gt;=Projects!$C$15,26&lt;Projects!$C$15+Projects!$D$15),IF(26=Projects!$C$15+Projects!$D$15-1,Projects!$B$15*Assumptions!$B$12/Projects!$D$15*0.95+0.05*Projects!$B$15*Assumptions!$B$12,Projects!$B$15*Assumptions!$B$12/Projects!$D$15*0.95),0)+IF(AND(Projects!$G$16="Yes",26&gt;=Projects!$C$16,26&lt;Projects!$C$16+Projects!$D$16),IF(26=Projects!$C$16+Projects!$D$16-1,Projects!$B$16*Assumptions!$B$12/Projects!$D$16*0.95+0.05*Projects!$B$16*Assumptions!$B$12,Projects!$B$16*Assumptions!$B$12/Projects!$D$16*0.95),0)</f>
        <v>67167.959625270567</v>
      </c>
      <c r="AC10" s="8">
        <f>IF(AND(Projects!$G$2="Yes",27&gt;=Projects!$C$2,27&lt;Projects!$C$2+Projects!$D$2),IF(27=Projects!$C$2+Projects!$D$2-1,46323/Projects!$D$2*0.95+0.05*46323,46323/Projects!$D$2*0.95),0)+IF(AND(Projects!$G$3="Yes",27&gt;=Projects!$C$3,27&lt;Projects!$C$3+Projects!$D$3),IF(27=Projects!$C$3+Projects!$D$3-1,176626/Projects!$D$3*0.95+0.05*176626,176626/Projects!$D$3*0.95),0)+IF(AND(Projects!$G$4="Yes",27&gt;=Projects!$C$4,27&lt;Projects!$C$4+Projects!$D$4),IF(27=Projects!$C$4+Projects!$D$4-1,Projects!$B$4*Assumptions!$B$12/Projects!$D$4*0.95+0.05*Projects!$B$4*Assumptions!$B$12,Projects!$B$4*Assumptions!$B$12/Projects!$D$4*0.95),0)+IF(AND(Projects!$G$5="Yes",27&gt;=Projects!$C$5,27&lt;Projects!$C$5+Projects!$D$5),IF(27=Projects!$C$5+Projects!$D$5-1,Projects!$B$5*Assumptions!$B$12/Projects!$D$5*0.95+0.05*Projects!$B$5*Assumptions!$B$12,Projects!$B$5*Assumptions!$B$12/Projects!$D$5*0.95),0)+IF(AND(Projects!$G$6="Yes",27&gt;=Projects!$C$6,27&lt;Projects!$C$6+Projects!$D$6),IF(27=Projects!$C$6+Projects!$D$6-1,0/Projects!$D$6*0.95+0.05*0,0/Projects!$D$6*0.95),0)+IF(AND(Projects!$G$7="Yes",27&gt;=Projects!$C$7,27&lt;Projects!$C$7+Projects!$D$7),IF(27=Projects!$C$7+Projects!$D$7-1,Projects!$B$7*Assumptions!$B$12/Projects!$D$7*0.95+0.05*Projects!$B$7*Assumptions!$B$12,Projects!$B$7*Assumptions!$B$12/Projects!$D$7*0.95),0)+IF(AND(Projects!$G$8="Yes",27&gt;=Projects!$C$8,27&lt;Projects!$C$8+Projects!$D$8),IF(27=Projects!$C$8+Projects!$D$8-1,Projects!$B$8*Assumptions!$B$12/Projects!$D$8*0.95+0.05*Projects!$B$8*Assumptions!$B$12,Projects!$B$8*Assumptions!$B$12/Projects!$D$8*0.95),0)+IF(AND(Projects!$G$9="Yes",27&gt;=Projects!$C$9,27&lt;Projects!$C$9+Projects!$D$9),IF(27=Projects!$C$9+Projects!$D$9-1,Projects!$B$9*Assumptions!$B$12/Projects!$D$9*0.95+0.05*Projects!$B$9*Assumptions!$B$12,Projects!$B$9*Assumptions!$B$12/Projects!$D$9*0.95),0)+IF(AND(Projects!$G$10="Yes",27&gt;=Projects!$C$10,27&lt;Projects!$C$10+Projects!$D$10),IF(27=Projects!$C$10+Projects!$D$10-1,Projects!$B$10*Assumptions!$B$12/Projects!$D$10*0.95+0.05*Projects!$B$10*Assumptions!$B$12,Projects!$B$10*Assumptions!$B$12/Projects!$D$10*0.95),0)+IF(AND(Projects!$G$11="Yes",27&gt;=Projects!$C$11,27&lt;Projects!$C$11+Projects!$D$11),IF(27=Projects!$C$11+Projects!$D$11-1,Projects!$B$11*Assumptions!$B$12/Projects!$D$11*0.95+0.05*Projects!$B$11*Assumptions!$B$12,Projects!$B$11*Assumptions!$B$12/Projects!$D$11*0.95),0)+IF(AND(Projects!$G$12="Yes",27&gt;=Projects!$C$12,27&lt;Projects!$C$12+Projects!$D$12),IF(27=Projects!$C$12+Projects!$D$12-1,Projects!$B$12*Assumptions!$B$12/Projects!$D$12*0.95+0.05*Projects!$B$12*Assumptions!$B$12,Projects!$B$12*Assumptions!$B$12/Projects!$D$12*0.95),0)+IF(AND(Projects!$G$13="Yes",27&gt;=Projects!$C$13,27&lt;Projects!$C$13+Projects!$D$13),IF(27=Projects!$C$13+Projects!$D$13-1,Projects!$B$13*Assumptions!$B$12/Projects!$D$13*0.95+0.05*Projects!$B$13*Assumptions!$B$12,Projects!$B$13*Assumptions!$B$12/Projects!$D$13*0.95),0)+IF(AND(Projects!$G$14="Yes",27&gt;=Projects!$C$14,27&lt;Projects!$C$14+Projects!$D$14),IF(27=Projects!$C$14+Projects!$D$14-1,Projects!$B$14*Assumptions!$B$12/Projects!$D$14*0.95+0.05*Projects!$B$14*Assumptions!$B$12,Projects!$B$14*Assumptions!$B$12/Projects!$D$14*0.95),0)+IF(AND(Projects!$G$15="Yes",27&gt;=Projects!$C$15,27&lt;Projects!$C$15+Projects!$D$15),IF(27=Projects!$C$15+Projects!$D$15-1,Projects!$B$15*Assumptions!$B$12/Projects!$D$15*0.95+0.05*Projects!$B$15*Assumptions!$B$12,Projects!$B$15*Assumptions!$B$12/Projects!$D$15*0.95),0)+IF(AND(Projects!$G$16="Yes",27&gt;=Projects!$C$16,27&lt;Projects!$C$16+Projects!$D$16),IF(27=Projects!$C$16+Projects!$D$16-1,Projects!$B$16*Assumptions!$B$12/Projects!$D$16*0.95+0.05*Projects!$B$16*Assumptions!$B$12,Projects!$B$16*Assumptions!$B$12/Projects!$D$16*0.95),0)</f>
        <v>88427.104863365807</v>
      </c>
      <c r="AD10" s="8">
        <f>IF(AND(Projects!$G$2="Yes",28&gt;=Projects!$C$2,28&lt;Projects!$C$2+Projects!$D$2),IF(28=Projects!$C$2+Projects!$D$2-1,46323/Projects!$D$2*0.95+0.05*46323,46323/Projects!$D$2*0.95),0)+IF(AND(Projects!$G$3="Yes",28&gt;=Projects!$C$3,28&lt;Projects!$C$3+Projects!$D$3),IF(28=Projects!$C$3+Projects!$D$3-1,176626/Projects!$D$3*0.95+0.05*176626,176626/Projects!$D$3*0.95),0)+IF(AND(Projects!$G$4="Yes",28&gt;=Projects!$C$4,28&lt;Projects!$C$4+Projects!$D$4),IF(28=Projects!$C$4+Projects!$D$4-1,Projects!$B$4*Assumptions!$B$12/Projects!$D$4*0.95+0.05*Projects!$B$4*Assumptions!$B$12,Projects!$B$4*Assumptions!$B$12/Projects!$D$4*0.95),0)+IF(AND(Projects!$G$5="Yes",28&gt;=Projects!$C$5,28&lt;Projects!$C$5+Projects!$D$5),IF(28=Projects!$C$5+Projects!$D$5-1,Projects!$B$5*Assumptions!$B$12/Projects!$D$5*0.95+0.05*Projects!$B$5*Assumptions!$B$12,Projects!$B$5*Assumptions!$B$12/Projects!$D$5*0.95),0)+IF(AND(Projects!$G$6="Yes",28&gt;=Projects!$C$6,28&lt;Projects!$C$6+Projects!$D$6),IF(28=Projects!$C$6+Projects!$D$6-1,0/Projects!$D$6*0.95+0.05*0,0/Projects!$D$6*0.95),0)+IF(AND(Projects!$G$7="Yes",28&gt;=Projects!$C$7,28&lt;Projects!$C$7+Projects!$D$7),IF(28=Projects!$C$7+Projects!$D$7-1,Projects!$B$7*Assumptions!$B$12/Projects!$D$7*0.95+0.05*Projects!$B$7*Assumptions!$B$12,Projects!$B$7*Assumptions!$B$12/Projects!$D$7*0.95),0)+IF(AND(Projects!$G$8="Yes",28&gt;=Projects!$C$8,28&lt;Projects!$C$8+Projects!$D$8),IF(28=Projects!$C$8+Projects!$D$8-1,Projects!$B$8*Assumptions!$B$12/Projects!$D$8*0.95+0.05*Projects!$B$8*Assumptions!$B$12,Projects!$B$8*Assumptions!$B$12/Projects!$D$8*0.95),0)+IF(AND(Projects!$G$9="Yes",28&gt;=Projects!$C$9,28&lt;Projects!$C$9+Projects!$D$9),IF(28=Projects!$C$9+Projects!$D$9-1,Projects!$B$9*Assumptions!$B$12/Projects!$D$9*0.95+0.05*Projects!$B$9*Assumptions!$B$12,Projects!$B$9*Assumptions!$B$12/Projects!$D$9*0.95),0)+IF(AND(Projects!$G$10="Yes",28&gt;=Projects!$C$10,28&lt;Projects!$C$10+Projects!$D$10),IF(28=Projects!$C$10+Projects!$D$10-1,Projects!$B$10*Assumptions!$B$12/Projects!$D$10*0.95+0.05*Projects!$B$10*Assumptions!$B$12,Projects!$B$10*Assumptions!$B$12/Projects!$D$10*0.95),0)+IF(AND(Projects!$G$11="Yes",28&gt;=Projects!$C$11,28&lt;Projects!$C$11+Projects!$D$11),IF(28=Projects!$C$11+Projects!$D$11-1,Projects!$B$11*Assumptions!$B$12/Projects!$D$11*0.95+0.05*Projects!$B$11*Assumptions!$B$12,Projects!$B$11*Assumptions!$B$12/Projects!$D$11*0.95),0)+IF(AND(Projects!$G$12="Yes",28&gt;=Projects!$C$12,28&lt;Projects!$C$12+Projects!$D$12),IF(28=Projects!$C$12+Projects!$D$12-1,Projects!$B$12*Assumptions!$B$12/Projects!$D$12*0.95+0.05*Projects!$B$12*Assumptions!$B$12,Projects!$B$12*Assumptions!$B$12/Projects!$D$12*0.95),0)+IF(AND(Projects!$G$13="Yes",28&gt;=Projects!$C$13,28&lt;Projects!$C$13+Projects!$D$13),IF(28=Projects!$C$13+Projects!$D$13-1,Projects!$B$13*Assumptions!$B$12/Projects!$D$13*0.95+0.05*Projects!$B$13*Assumptions!$B$12,Projects!$B$13*Assumptions!$B$12/Projects!$D$13*0.95),0)+IF(AND(Projects!$G$14="Yes",28&gt;=Projects!$C$14,28&lt;Projects!$C$14+Projects!$D$14),IF(28=Projects!$C$14+Projects!$D$14-1,Projects!$B$14*Assumptions!$B$12/Projects!$D$14*0.95+0.05*Projects!$B$14*Assumptions!$B$12,Projects!$B$14*Assumptions!$B$12/Projects!$D$14*0.95),0)+IF(AND(Projects!$G$15="Yes",28&gt;=Projects!$C$15,28&lt;Projects!$C$15+Projects!$D$15),IF(28=Projects!$C$15+Projects!$D$15-1,Projects!$B$15*Assumptions!$B$12/Projects!$D$15*0.95+0.05*Projects!$B$15*Assumptions!$B$12,Projects!$B$15*Assumptions!$B$12/Projects!$D$15*0.95),0)+IF(AND(Projects!$G$16="Yes",28&gt;=Projects!$C$16,28&lt;Projects!$C$16+Projects!$D$16),IF(28=Projects!$C$16+Projects!$D$16-1,Projects!$B$16*Assumptions!$B$12/Projects!$D$16*0.95+0.05*Projects!$B$16*Assumptions!$B$12,Projects!$B$16*Assumptions!$B$12/Projects!$D$16*0.95),0)</f>
        <v>88427.104863365807</v>
      </c>
      <c r="AE10" s="8">
        <f>IF(AND(Projects!$G$2="Yes",29&gt;=Projects!$C$2,29&lt;Projects!$C$2+Projects!$D$2),IF(29=Projects!$C$2+Projects!$D$2-1,46323/Projects!$D$2*0.95+0.05*46323,46323/Projects!$D$2*0.95),0)+IF(AND(Projects!$G$3="Yes",29&gt;=Projects!$C$3,29&lt;Projects!$C$3+Projects!$D$3),IF(29=Projects!$C$3+Projects!$D$3-1,176626/Projects!$D$3*0.95+0.05*176626,176626/Projects!$D$3*0.95),0)+IF(AND(Projects!$G$4="Yes",29&gt;=Projects!$C$4,29&lt;Projects!$C$4+Projects!$D$4),IF(29=Projects!$C$4+Projects!$D$4-1,Projects!$B$4*Assumptions!$B$12/Projects!$D$4*0.95+0.05*Projects!$B$4*Assumptions!$B$12,Projects!$B$4*Assumptions!$B$12/Projects!$D$4*0.95),0)+IF(AND(Projects!$G$5="Yes",29&gt;=Projects!$C$5,29&lt;Projects!$C$5+Projects!$D$5),IF(29=Projects!$C$5+Projects!$D$5-1,Projects!$B$5*Assumptions!$B$12/Projects!$D$5*0.95+0.05*Projects!$B$5*Assumptions!$B$12,Projects!$B$5*Assumptions!$B$12/Projects!$D$5*0.95),0)+IF(AND(Projects!$G$6="Yes",29&gt;=Projects!$C$6,29&lt;Projects!$C$6+Projects!$D$6),IF(29=Projects!$C$6+Projects!$D$6-1,0/Projects!$D$6*0.95+0.05*0,0/Projects!$D$6*0.95),0)+IF(AND(Projects!$G$7="Yes",29&gt;=Projects!$C$7,29&lt;Projects!$C$7+Projects!$D$7),IF(29=Projects!$C$7+Projects!$D$7-1,Projects!$B$7*Assumptions!$B$12/Projects!$D$7*0.95+0.05*Projects!$B$7*Assumptions!$B$12,Projects!$B$7*Assumptions!$B$12/Projects!$D$7*0.95),0)+IF(AND(Projects!$G$8="Yes",29&gt;=Projects!$C$8,29&lt;Projects!$C$8+Projects!$D$8),IF(29=Projects!$C$8+Projects!$D$8-1,Projects!$B$8*Assumptions!$B$12/Projects!$D$8*0.95+0.05*Projects!$B$8*Assumptions!$B$12,Projects!$B$8*Assumptions!$B$12/Projects!$D$8*0.95),0)+IF(AND(Projects!$G$9="Yes",29&gt;=Projects!$C$9,29&lt;Projects!$C$9+Projects!$D$9),IF(29=Projects!$C$9+Projects!$D$9-1,Projects!$B$9*Assumptions!$B$12/Projects!$D$9*0.95+0.05*Projects!$B$9*Assumptions!$B$12,Projects!$B$9*Assumptions!$B$12/Projects!$D$9*0.95),0)+IF(AND(Projects!$G$10="Yes",29&gt;=Projects!$C$10,29&lt;Projects!$C$10+Projects!$D$10),IF(29=Projects!$C$10+Projects!$D$10-1,Projects!$B$10*Assumptions!$B$12/Projects!$D$10*0.95+0.05*Projects!$B$10*Assumptions!$B$12,Projects!$B$10*Assumptions!$B$12/Projects!$D$10*0.95),0)+IF(AND(Projects!$G$11="Yes",29&gt;=Projects!$C$11,29&lt;Projects!$C$11+Projects!$D$11),IF(29=Projects!$C$11+Projects!$D$11-1,Projects!$B$11*Assumptions!$B$12/Projects!$D$11*0.95+0.05*Projects!$B$11*Assumptions!$B$12,Projects!$B$11*Assumptions!$B$12/Projects!$D$11*0.95),0)+IF(AND(Projects!$G$12="Yes",29&gt;=Projects!$C$12,29&lt;Projects!$C$12+Projects!$D$12),IF(29=Projects!$C$12+Projects!$D$12-1,Projects!$B$12*Assumptions!$B$12/Projects!$D$12*0.95+0.05*Projects!$B$12*Assumptions!$B$12,Projects!$B$12*Assumptions!$B$12/Projects!$D$12*0.95),0)+IF(AND(Projects!$G$13="Yes",29&gt;=Projects!$C$13,29&lt;Projects!$C$13+Projects!$D$13),IF(29=Projects!$C$13+Projects!$D$13-1,Projects!$B$13*Assumptions!$B$12/Projects!$D$13*0.95+0.05*Projects!$B$13*Assumptions!$B$12,Projects!$B$13*Assumptions!$B$12/Projects!$D$13*0.95),0)+IF(AND(Projects!$G$14="Yes",29&gt;=Projects!$C$14,29&lt;Projects!$C$14+Projects!$D$14),IF(29=Projects!$C$14+Projects!$D$14-1,Projects!$B$14*Assumptions!$B$12/Projects!$D$14*0.95+0.05*Projects!$B$14*Assumptions!$B$12,Projects!$B$14*Assumptions!$B$12/Projects!$D$14*0.95),0)+IF(AND(Projects!$G$15="Yes",29&gt;=Projects!$C$15,29&lt;Projects!$C$15+Projects!$D$15),IF(29=Projects!$C$15+Projects!$D$15-1,Projects!$B$15*Assumptions!$B$12/Projects!$D$15*0.95+0.05*Projects!$B$15*Assumptions!$B$12,Projects!$B$15*Assumptions!$B$12/Projects!$D$15*0.95),0)+IF(AND(Projects!$G$16="Yes",29&gt;=Projects!$C$16,29&lt;Projects!$C$16+Projects!$D$16),IF(29=Projects!$C$16+Projects!$D$16-1,Projects!$B$16*Assumptions!$B$12/Projects!$D$16*0.95+0.05*Projects!$B$16*Assumptions!$B$12,Projects!$B$16*Assumptions!$B$12/Projects!$D$16*0.95),0)</f>
        <v>88427.104863365807</v>
      </c>
      <c r="AF10" s="8">
        <f>IF(AND(Projects!$G$2="Yes",30&gt;=Projects!$C$2,30&lt;Projects!$C$2+Projects!$D$2),IF(30=Projects!$C$2+Projects!$D$2-1,46323/Projects!$D$2*0.95+0.05*46323,46323/Projects!$D$2*0.95),0)+IF(AND(Projects!$G$3="Yes",30&gt;=Projects!$C$3,30&lt;Projects!$C$3+Projects!$D$3),IF(30=Projects!$C$3+Projects!$D$3-1,176626/Projects!$D$3*0.95+0.05*176626,176626/Projects!$D$3*0.95),0)+IF(AND(Projects!$G$4="Yes",30&gt;=Projects!$C$4,30&lt;Projects!$C$4+Projects!$D$4),IF(30=Projects!$C$4+Projects!$D$4-1,Projects!$B$4*Assumptions!$B$12/Projects!$D$4*0.95+0.05*Projects!$B$4*Assumptions!$B$12,Projects!$B$4*Assumptions!$B$12/Projects!$D$4*0.95),0)+IF(AND(Projects!$G$5="Yes",30&gt;=Projects!$C$5,30&lt;Projects!$C$5+Projects!$D$5),IF(30=Projects!$C$5+Projects!$D$5-1,Projects!$B$5*Assumptions!$B$12/Projects!$D$5*0.95+0.05*Projects!$B$5*Assumptions!$B$12,Projects!$B$5*Assumptions!$B$12/Projects!$D$5*0.95),0)+IF(AND(Projects!$G$6="Yes",30&gt;=Projects!$C$6,30&lt;Projects!$C$6+Projects!$D$6),IF(30=Projects!$C$6+Projects!$D$6-1,0/Projects!$D$6*0.95+0.05*0,0/Projects!$D$6*0.95),0)+IF(AND(Projects!$G$7="Yes",30&gt;=Projects!$C$7,30&lt;Projects!$C$7+Projects!$D$7),IF(30=Projects!$C$7+Projects!$D$7-1,Projects!$B$7*Assumptions!$B$12/Projects!$D$7*0.95+0.05*Projects!$B$7*Assumptions!$B$12,Projects!$B$7*Assumptions!$B$12/Projects!$D$7*0.95),0)+IF(AND(Projects!$G$8="Yes",30&gt;=Projects!$C$8,30&lt;Projects!$C$8+Projects!$D$8),IF(30=Projects!$C$8+Projects!$D$8-1,Projects!$B$8*Assumptions!$B$12/Projects!$D$8*0.95+0.05*Projects!$B$8*Assumptions!$B$12,Projects!$B$8*Assumptions!$B$12/Projects!$D$8*0.95),0)+IF(AND(Projects!$G$9="Yes",30&gt;=Projects!$C$9,30&lt;Projects!$C$9+Projects!$D$9),IF(30=Projects!$C$9+Projects!$D$9-1,Projects!$B$9*Assumptions!$B$12/Projects!$D$9*0.95+0.05*Projects!$B$9*Assumptions!$B$12,Projects!$B$9*Assumptions!$B$12/Projects!$D$9*0.95),0)+IF(AND(Projects!$G$10="Yes",30&gt;=Projects!$C$10,30&lt;Projects!$C$10+Projects!$D$10),IF(30=Projects!$C$10+Projects!$D$10-1,Projects!$B$10*Assumptions!$B$12/Projects!$D$10*0.95+0.05*Projects!$B$10*Assumptions!$B$12,Projects!$B$10*Assumptions!$B$12/Projects!$D$10*0.95),0)+IF(AND(Projects!$G$11="Yes",30&gt;=Projects!$C$11,30&lt;Projects!$C$11+Projects!$D$11),IF(30=Projects!$C$11+Projects!$D$11-1,Projects!$B$11*Assumptions!$B$12/Projects!$D$11*0.95+0.05*Projects!$B$11*Assumptions!$B$12,Projects!$B$11*Assumptions!$B$12/Projects!$D$11*0.95),0)+IF(AND(Projects!$G$12="Yes",30&gt;=Projects!$C$12,30&lt;Projects!$C$12+Projects!$D$12),IF(30=Projects!$C$12+Projects!$D$12-1,Projects!$B$12*Assumptions!$B$12/Projects!$D$12*0.95+0.05*Projects!$B$12*Assumptions!$B$12,Projects!$B$12*Assumptions!$B$12/Projects!$D$12*0.95),0)+IF(AND(Projects!$G$13="Yes",30&gt;=Projects!$C$13,30&lt;Projects!$C$13+Projects!$D$13),IF(30=Projects!$C$13+Projects!$D$13-1,Projects!$B$13*Assumptions!$B$12/Projects!$D$13*0.95+0.05*Projects!$B$13*Assumptions!$B$12,Projects!$B$13*Assumptions!$B$12/Projects!$D$13*0.95),0)+IF(AND(Projects!$G$14="Yes",30&gt;=Projects!$C$14,30&lt;Projects!$C$14+Projects!$D$14),IF(30=Projects!$C$14+Projects!$D$14-1,Projects!$B$14*Assumptions!$B$12/Projects!$D$14*0.95+0.05*Projects!$B$14*Assumptions!$B$12,Projects!$B$14*Assumptions!$B$12/Projects!$D$14*0.95),0)+IF(AND(Projects!$G$15="Yes",30&gt;=Projects!$C$15,30&lt;Projects!$C$15+Projects!$D$15),IF(30=Projects!$C$15+Projects!$D$15-1,Projects!$B$15*Assumptions!$B$12/Projects!$D$15*0.95+0.05*Projects!$B$15*Assumptions!$B$12,Projects!$B$15*Assumptions!$B$12/Projects!$D$15*0.95),0)+IF(AND(Projects!$G$16="Yes",30&gt;=Projects!$C$16,30&lt;Projects!$C$16+Projects!$D$16),IF(30=Projects!$C$16+Projects!$D$16-1,Projects!$B$16*Assumptions!$B$12/Projects!$D$16*0.95+0.05*Projects!$B$16*Assumptions!$B$12,Projects!$B$16*Assumptions!$B$12/Projects!$D$16*0.95),0)</f>
        <v>88427.104863365807</v>
      </c>
      <c r="AG10" s="8">
        <f>IF(AND(Projects!$G$2="Yes",31&gt;=Projects!$C$2,31&lt;Projects!$C$2+Projects!$D$2),IF(31=Projects!$C$2+Projects!$D$2-1,46323/Projects!$D$2*0.95+0.05*46323,46323/Projects!$D$2*0.95),0)+IF(AND(Projects!$G$3="Yes",31&gt;=Projects!$C$3,31&lt;Projects!$C$3+Projects!$D$3),IF(31=Projects!$C$3+Projects!$D$3-1,176626/Projects!$D$3*0.95+0.05*176626,176626/Projects!$D$3*0.95),0)+IF(AND(Projects!$G$4="Yes",31&gt;=Projects!$C$4,31&lt;Projects!$C$4+Projects!$D$4),IF(31=Projects!$C$4+Projects!$D$4-1,Projects!$B$4*Assumptions!$B$12/Projects!$D$4*0.95+0.05*Projects!$B$4*Assumptions!$B$12,Projects!$B$4*Assumptions!$B$12/Projects!$D$4*0.95),0)+IF(AND(Projects!$G$5="Yes",31&gt;=Projects!$C$5,31&lt;Projects!$C$5+Projects!$D$5),IF(31=Projects!$C$5+Projects!$D$5-1,Projects!$B$5*Assumptions!$B$12/Projects!$D$5*0.95+0.05*Projects!$B$5*Assumptions!$B$12,Projects!$B$5*Assumptions!$B$12/Projects!$D$5*0.95),0)+IF(AND(Projects!$G$6="Yes",31&gt;=Projects!$C$6,31&lt;Projects!$C$6+Projects!$D$6),IF(31=Projects!$C$6+Projects!$D$6-1,0/Projects!$D$6*0.95+0.05*0,0/Projects!$D$6*0.95),0)+IF(AND(Projects!$G$7="Yes",31&gt;=Projects!$C$7,31&lt;Projects!$C$7+Projects!$D$7),IF(31=Projects!$C$7+Projects!$D$7-1,Projects!$B$7*Assumptions!$B$12/Projects!$D$7*0.95+0.05*Projects!$B$7*Assumptions!$B$12,Projects!$B$7*Assumptions!$B$12/Projects!$D$7*0.95),0)+IF(AND(Projects!$G$8="Yes",31&gt;=Projects!$C$8,31&lt;Projects!$C$8+Projects!$D$8),IF(31=Projects!$C$8+Projects!$D$8-1,Projects!$B$8*Assumptions!$B$12/Projects!$D$8*0.95+0.05*Projects!$B$8*Assumptions!$B$12,Projects!$B$8*Assumptions!$B$12/Projects!$D$8*0.95),0)+IF(AND(Projects!$G$9="Yes",31&gt;=Projects!$C$9,31&lt;Projects!$C$9+Projects!$D$9),IF(31=Projects!$C$9+Projects!$D$9-1,Projects!$B$9*Assumptions!$B$12/Projects!$D$9*0.95+0.05*Projects!$B$9*Assumptions!$B$12,Projects!$B$9*Assumptions!$B$12/Projects!$D$9*0.95),0)+IF(AND(Projects!$G$10="Yes",31&gt;=Projects!$C$10,31&lt;Projects!$C$10+Projects!$D$10),IF(31=Projects!$C$10+Projects!$D$10-1,Projects!$B$10*Assumptions!$B$12/Projects!$D$10*0.95+0.05*Projects!$B$10*Assumptions!$B$12,Projects!$B$10*Assumptions!$B$12/Projects!$D$10*0.95),0)+IF(AND(Projects!$G$11="Yes",31&gt;=Projects!$C$11,31&lt;Projects!$C$11+Projects!$D$11),IF(31=Projects!$C$11+Projects!$D$11-1,Projects!$B$11*Assumptions!$B$12/Projects!$D$11*0.95+0.05*Projects!$B$11*Assumptions!$B$12,Projects!$B$11*Assumptions!$B$12/Projects!$D$11*0.95),0)+IF(AND(Projects!$G$12="Yes",31&gt;=Projects!$C$12,31&lt;Projects!$C$12+Projects!$D$12),IF(31=Projects!$C$12+Projects!$D$12-1,Projects!$B$12*Assumptions!$B$12/Projects!$D$12*0.95+0.05*Projects!$B$12*Assumptions!$B$12,Projects!$B$12*Assumptions!$B$12/Projects!$D$12*0.95),0)+IF(AND(Projects!$G$13="Yes",31&gt;=Projects!$C$13,31&lt;Projects!$C$13+Projects!$D$13),IF(31=Projects!$C$13+Projects!$D$13-1,Projects!$B$13*Assumptions!$B$12/Projects!$D$13*0.95+0.05*Projects!$B$13*Assumptions!$B$12,Projects!$B$13*Assumptions!$B$12/Projects!$D$13*0.95),0)+IF(AND(Projects!$G$14="Yes",31&gt;=Projects!$C$14,31&lt;Projects!$C$14+Projects!$D$14),IF(31=Projects!$C$14+Projects!$D$14-1,Projects!$B$14*Assumptions!$B$12/Projects!$D$14*0.95+0.05*Projects!$B$14*Assumptions!$B$12,Projects!$B$14*Assumptions!$B$12/Projects!$D$14*0.95),0)+IF(AND(Projects!$G$15="Yes",31&gt;=Projects!$C$15,31&lt;Projects!$C$15+Projects!$D$15),IF(31=Projects!$C$15+Projects!$D$15-1,Projects!$B$15*Assumptions!$B$12/Projects!$D$15*0.95+0.05*Projects!$B$15*Assumptions!$B$12,Projects!$B$15*Assumptions!$B$12/Projects!$D$15*0.95),0)+IF(AND(Projects!$G$16="Yes",31&gt;=Projects!$C$16,31&lt;Projects!$C$16+Projects!$D$16),IF(31=Projects!$C$16+Projects!$D$16-1,Projects!$B$16*Assumptions!$B$12/Projects!$D$16*0.95+0.05*Projects!$B$16*Assumptions!$B$12,Projects!$B$16*Assumptions!$B$12/Projects!$D$16*0.95),0)</f>
        <v>105686.3621685606</v>
      </c>
      <c r="AH10" s="8">
        <f>IF(AND(Projects!$G$2="Yes",32&gt;=Projects!$C$2,32&lt;Projects!$C$2+Projects!$D$2),IF(32=Projects!$C$2+Projects!$D$2-1,46323/Projects!$D$2*0.95+0.05*46323,46323/Projects!$D$2*0.95),0)+IF(AND(Projects!$G$3="Yes",32&gt;=Projects!$C$3,32&lt;Projects!$C$3+Projects!$D$3),IF(32=Projects!$C$3+Projects!$D$3-1,176626/Projects!$D$3*0.95+0.05*176626,176626/Projects!$D$3*0.95),0)+IF(AND(Projects!$G$4="Yes",32&gt;=Projects!$C$4,32&lt;Projects!$C$4+Projects!$D$4),IF(32=Projects!$C$4+Projects!$D$4-1,Projects!$B$4*Assumptions!$B$12/Projects!$D$4*0.95+0.05*Projects!$B$4*Assumptions!$B$12,Projects!$B$4*Assumptions!$B$12/Projects!$D$4*0.95),0)+IF(AND(Projects!$G$5="Yes",32&gt;=Projects!$C$5,32&lt;Projects!$C$5+Projects!$D$5),IF(32=Projects!$C$5+Projects!$D$5-1,Projects!$B$5*Assumptions!$B$12/Projects!$D$5*0.95+0.05*Projects!$B$5*Assumptions!$B$12,Projects!$B$5*Assumptions!$B$12/Projects!$D$5*0.95),0)+IF(AND(Projects!$G$6="Yes",32&gt;=Projects!$C$6,32&lt;Projects!$C$6+Projects!$D$6),IF(32=Projects!$C$6+Projects!$D$6-1,0/Projects!$D$6*0.95+0.05*0,0/Projects!$D$6*0.95),0)+IF(AND(Projects!$G$7="Yes",32&gt;=Projects!$C$7,32&lt;Projects!$C$7+Projects!$D$7),IF(32=Projects!$C$7+Projects!$D$7-1,Projects!$B$7*Assumptions!$B$12/Projects!$D$7*0.95+0.05*Projects!$B$7*Assumptions!$B$12,Projects!$B$7*Assumptions!$B$12/Projects!$D$7*0.95),0)+IF(AND(Projects!$G$8="Yes",32&gt;=Projects!$C$8,32&lt;Projects!$C$8+Projects!$D$8),IF(32=Projects!$C$8+Projects!$D$8-1,Projects!$B$8*Assumptions!$B$12/Projects!$D$8*0.95+0.05*Projects!$B$8*Assumptions!$B$12,Projects!$B$8*Assumptions!$B$12/Projects!$D$8*0.95),0)+IF(AND(Projects!$G$9="Yes",32&gt;=Projects!$C$9,32&lt;Projects!$C$9+Projects!$D$9),IF(32=Projects!$C$9+Projects!$D$9-1,Projects!$B$9*Assumptions!$B$12/Projects!$D$9*0.95+0.05*Projects!$B$9*Assumptions!$B$12,Projects!$B$9*Assumptions!$B$12/Projects!$D$9*0.95),0)+IF(AND(Projects!$G$10="Yes",32&gt;=Projects!$C$10,32&lt;Projects!$C$10+Projects!$D$10),IF(32=Projects!$C$10+Projects!$D$10-1,Projects!$B$10*Assumptions!$B$12/Projects!$D$10*0.95+0.05*Projects!$B$10*Assumptions!$B$12,Projects!$B$10*Assumptions!$B$12/Projects!$D$10*0.95),0)+IF(AND(Projects!$G$11="Yes",32&gt;=Projects!$C$11,32&lt;Projects!$C$11+Projects!$D$11),IF(32=Projects!$C$11+Projects!$D$11-1,Projects!$B$11*Assumptions!$B$12/Projects!$D$11*0.95+0.05*Projects!$B$11*Assumptions!$B$12,Projects!$B$11*Assumptions!$B$12/Projects!$D$11*0.95),0)+IF(AND(Projects!$G$12="Yes",32&gt;=Projects!$C$12,32&lt;Projects!$C$12+Projects!$D$12),IF(32=Projects!$C$12+Projects!$D$12-1,Projects!$B$12*Assumptions!$B$12/Projects!$D$12*0.95+0.05*Projects!$B$12*Assumptions!$B$12,Projects!$B$12*Assumptions!$B$12/Projects!$D$12*0.95),0)+IF(AND(Projects!$G$13="Yes",32&gt;=Projects!$C$13,32&lt;Projects!$C$13+Projects!$D$13),IF(32=Projects!$C$13+Projects!$D$13-1,Projects!$B$13*Assumptions!$B$12/Projects!$D$13*0.95+0.05*Projects!$B$13*Assumptions!$B$12,Projects!$B$13*Assumptions!$B$12/Projects!$D$13*0.95),0)+IF(AND(Projects!$G$14="Yes",32&gt;=Projects!$C$14,32&lt;Projects!$C$14+Projects!$D$14),IF(32=Projects!$C$14+Projects!$D$14-1,Projects!$B$14*Assumptions!$B$12/Projects!$D$14*0.95+0.05*Projects!$B$14*Assumptions!$B$12,Projects!$B$14*Assumptions!$B$12/Projects!$D$14*0.95),0)+IF(AND(Projects!$G$15="Yes",32&gt;=Projects!$C$15,32&lt;Projects!$C$15+Projects!$D$15),IF(32=Projects!$C$15+Projects!$D$15-1,Projects!$B$15*Assumptions!$B$12/Projects!$D$15*0.95+0.05*Projects!$B$15*Assumptions!$B$12,Projects!$B$15*Assumptions!$B$12/Projects!$D$15*0.95),0)+IF(AND(Projects!$G$16="Yes",32&gt;=Projects!$C$16,32&lt;Projects!$C$16+Projects!$D$16),IF(32=Projects!$C$16+Projects!$D$16-1,Projects!$B$16*Assumptions!$B$12/Projects!$D$16*0.95+0.05*Projects!$B$16*Assumptions!$B$12,Projects!$B$16*Assumptions!$B$12/Projects!$D$16*0.95),0)</f>
        <v>74763.526163419912</v>
      </c>
      <c r="AI10" s="8">
        <f>IF(AND(Projects!$G$2="Yes",33&gt;=Projects!$C$2,33&lt;Projects!$C$2+Projects!$D$2),IF(33=Projects!$C$2+Projects!$D$2-1,46323/Projects!$D$2*0.95+0.05*46323,46323/Projects!$D$2*0.95),0)+IF(AND(Projects!$G$3="Yes",33&gt;=Projects!$C$3,33&lt;Projects!$C$3+Projects!$D$3),IF(33=Projects!$C$3+Projects!$D$3-1,176626/Projects!$D$3*0.95+0.05*176626,176626/Projects!$D$3*0.95),0)+IF(AND(Projects!$G$4="Yes",33&gt;=Projects!$C$4,33&lt;Projects!$C$4+Projects!$D$4),IF(33=Projects!$C$4+Projects!$D$4-1,Projects!$B$4*Assumptions!$B$12/Projects!$D$4*0.95+0.05*Projects!$B$4*Assumptions!$B$12,Projects!$B$4*Assumptions!$B$12/Projects!$D$4*0.95),0)+IF(AND(Projects!$G$5="Yes",33&gt;=Projects!$C$5,33&lt;Projects!$C$5+Projects!$D$5),IF(33=Projects!$C$5+Projects!$D$5-1,Projects!$B$5*Assumptions!$B$12/Projects!$D$5*0.95+0.05*Projects!$B$5*Assumptions!$B$12,Projects!$B$5*Assumptions!$B$12/Projects!$D$5*0.95),0)+IF(AND(Projects!$G$6="Yes",33&gt;=Projects!$C$6,33&lt;Projects!$C$6+Projects!$D$6),IF(33=Projects!$C$6+Projects!$D$6-1,0/Projects!$D$6*0.95+0.05*0,0/Projects!$D$6*0.95),0)+IF(AND(Projects!$G$7="Yes",33&gt;=Projects!$C$7,33&lt;Projects!$C$7+Projects!$D$7),IF(33=Projects!$C$7+Projects!$D$7-1,Projects!$B$7*Assumptions!$B$12/Projects!$D$7*0.95+0.05*Projects!$B$7*Assumptions!$B$12,Projects!$B$7*Assumptions!$B$12/Projects!$D$7*0.95),0)+IF(AND(Projects!$G$8="Yes",33&gt;=Projects!$C$8,33&lt;Projects!$C$8+Projects!$D$8),IF(33=Projects!$C$8+Projects!$D$8-1,Projects!$B$8*Assumptions!$B$12/Projects!$D$8*0.95+0.05*Projects!$B$8*Assumptions!$B$12,Projects!$B$8*Assumptions!$B$12/Projects!$D$8*0.95),0)+IF(AND(Projects!$G$9="Yes",33&gt;=Projects!$C$9,33&lt;Projects!$C$9+Projects!$D$9),IF(33=Projects!$C$9+Projects!$D$9-1,Projects!$B$9*Assumptions!$B$12/Projects!$D$9*0.95+0.05*Projects!$B$9*Assumptions!$B$12,Projects!$B$9*Assumptions!$B$12/Projects!$D$9*0.95),0)+IF(AND(Projects!$G$10="Yes",33&gt;=Projects!$C$10,33&lt;Projects!$C$10+Projects!$D$10),IF(33=Projects!$C$10+Projects!$D$10-1,Projects!$B$10*Assumptions!$B$12/Projects!$D$10*0.95+0.05*Projects!$B$10*Assumptions!$B$12,Projects!$B$10*Assumptions!$B$12/Projects!$D$10*0.95),0)+IF(AND(Projects!$G$11="Yes",33&gt;=Projects!$C$11,33&lt;Projects!$C$11+Projects!$D$11),IF(33=Projects!$C$11+Projects!$D$11-1,Projects!$B$11*Assumptions!$B$12/Projects!$D$11*0.95+0.05*Projects!$B$11*Assumptions!$B$12,Projects!$B$11*Assumptions!$B$12/Projects!$D$11*0.95),0)+IF(AND(Projects!$G$12="Yes",33&gt;=Projects!$C$12,33&lt;Projects!$C$12+Projects!$D$12),IF(33=Projects!$C$12+Projects!$D$12-1,Projects!$B$12*Assumptions!$B$12/Projects!$D$12*0.95+0.05*Projects!$B$12*Assumptions!$B$12,Projects!$B$12*Assumptions!$B$12/Projects!$D$12*0.95),0)+IF(AND(Projects!$G$13="Yes",33&gt;=Projects!$C$13,33&lt;Projects!$C$13+Projects!$D$13),IF(33=Projects!$C$13+Projects!$D$13-1,Projects!$B$13*Assumptions!$B$12/Projects!$D$13*0.95+0.05*Projects!$B$13*Assumptions!$B$12,Projects!$B$13*Assumptions!$B$12/Projects!$D$13*0.95),0)+IF(AND(Projects!$G$14="Yes",33&gt;=Projects!$C$14,33&lt;Projects!$C$14+Projects!$D$14),IF(33=Projects!$C$14+Projects!$D$14-1,Projects!$B$14*Assumptions!$B$12/Projects!$D$14*0.95+0.05*Projects!$B$14*Assumptions!$B$12,Projects!$B$14*Assumptions!$B$12/Projects!$D$14*0.95),0)+IF(AND(Projects!$G$15="Yes",33&gt;=Projects!$C$15,33&lt;Projects!$C$15+Projects!$D$15),IF(33=Projects!$C$15+Projects!$D$15-1,Projects!$B$15*Assumptions!$B$12/Projects!$D$15*0.95+0.05*Projects!$B$15*Assumptions!$B$12,Projects!$B$15*Assumptions!$B$12/Projects!$D$15*0.95),0)+IF(AND(Projects!$G$16="Yes",33&gt;=Projects!$C$16,33&lt;Projects!$C$16+Projects!$D$16),IF(33=Projects!$C$16+Projects!$D$16-1,Projects!$B$16*Assumptions!$B$12/Projects!$D$16*0.95+0.05*Projects!$B$16*Assumptions!$B$12,Projects!$B$16*Assumptions!$B$12/Projects!$D$16*0.95),0)</f>
        <v>109640.51317640694</v>
      </c>
      <c r="AJ10" s="8">
        <f>IF(AND(Projects!$G$2="Yes",34&gt;=Projects!$C$2,34&lt;Projects!$C$2+Projects!$D$2),IF(34=Projects!$C$2+Projects!$D$2-1,46323/Projects!$D$2*0.95+0.05*46323,46323/Projects!$D$2*0.95),0)+IF(AND(Projects!$G$3="Yes",34&gt;=Projects!$C$3,34&lt;Projects!$C$3+Projects!$D$3),IF(34=Projects!$C$3+Projects!$D$3-1,176626/Projects!$D$3*0.95+0.05*176626,176626/Projects!$D$3*0.95),0)+IF(AND(Projects!$G$4="Yes",34&gt;=Projects!$C$4,34&lt;Projects!$C$4+Projects!$D$4),IF(34=Projects!$C$4+Projects!$D$4-1,Projects!$B$4*Assumptions!$B$12/Projects!$D$4*0.95+0.05*Projects!$B$4*Assumptions!$B$12,Projects!$B$4*Assumptions!$B$12/Projects!$D$4*0.95),0)+IF(AND(Projects!$G$5="Yes",34&gt;=Projects!$C$5,34&lt;Projects!$C$5+Projects!$D$5),IF(34=Projects!$C$5+Projects!$D$5-1,Projects!$B$5*Assumptions!$B$12/Projects!$D$5*0.95+0.05*Projects!$B$5*Assumptions!$B$12,Projects!$B$5*Assumptions!$B$12/Projects!$D$5*0.95),0)+IF(AND(Projects!$G$6="Yes",34&gt;=Projects!$C$6,34&lt;Projects!$C$6+Projects!$D$6),IF(34=Projects!$C$6+Projects!$D$6-1,0/Projects!$D$6*0.95+0.05*0,0/Projects!$D$6*0.95),0)+IF(AND(Projects!$G$7="Yes",34&gt;=Projects!$C$7,34&lt;Projects!$C$7+Projects!$D$7),IF(34=Projects!$C$7+Projects!$D$7-1,Projects!$B$7*Assumptions!$B$12/Projects!$D$7*0.95+0.05*Projects!$B$7*Assumptions!$B$12,Projects!$B$7*Assumptions!$B$12/Projects!$D$7*0.95),0)+IF(AND(Projects!$G$8="Yes",34&gt;=Projects!$C$8,34&lt;Projects!$C$8+Projects!$D$8),IF(34=Projects!$C$8+Projects!$D$8-1,Projects!$B$8*Assumptions!$B$12/Projects!$D$8*0.95+0.05*Projects!$B$8*Assumptions!$B$12,Projects!$B$8*Assumptions!$B$12/Projects!$D$8*0.95),0)+IF(AND(Projects!$G$9="Yes",34&gt;=Projects!$C$9,34&lt;Projects!$C$9+Projects!$D$9),IF(34=Projects!$C$9+Projects!$D$9-1,Projects!$B$9*Assumptions!$B$12/Projects!$D$9*0.95+0.05*Projects!$B$9*Assumptions!$B$12,Projects!$B$9*Assumptions!$B$12/Projects!$D$9*0.95),0)+IF(AND(Projects!$G$10="Yes",34&gt;=Projects!$C$10,34&lt;Projects!$C$10+Projects!$D$10),IF(34=Projects!$C$10+Projects!$D$10-1,Projects!$B$10*Assumptions!$B$12/Projects!$D$10*0.95+0.05*Projects!$B$10*Assumptions!$B$12,Projects!$B$10*Assumptions!$B$12/Projects!$D$10*0.95),0)+IF(AND(Projects!$G$11="Yes",34&gt;=Projects!$C$11,34&lt;Projects!$C$11+Projects!$D$11),IF(34=Projects!$C$11+Projects!$D$11-1,Projects!$B$11*Assumptions!$B$12/Projects!$D$11*0.95+0.05*Projects!$B$11*Assumptions!$B$12,Projects!$B$11*Assumptions!$B$12/Projects!$D$11*0.95),0)+IF(AND(Projects!$G$12="Yes",34&gt;=Projects!$C$12,34&lt;Projects!$C$12+Projects!$D$12),IF(34=Projects!$C$12+Projects!$D$12-1,Projects!$B$12*Assumptions!$B$12/Projects!$D$12*0.95+0.05*Projects!$B$12*Assumptions!$B$12,Projects!$B$12*Assumptions!$B$12/Projects!$D$12*0.95),0)+IF(AND(Projects!$G$13="Yes",34&gt;=Projects!$C$13,34&lt;Projects!$C$13+Projects!$D$13),IF(34=Projects!$C$13+Projects!$D$13-1,Projects!$B$13*Assumptions!$B$12/Projects!$D$13*0.95+0.05*Projects!$B$13*Assumptions!$B$12,Projects!$B$13*Assumptions!$B$12/Projects!$D$13*0.95),0)+IF(AND(Projects!$G$14="Yes",34&gt;=Projects!$C$14,34&lt;Projects!$C$14+Projects!$D$14),IF(34=Projects!$C$14+Projects!$D$14-1,Projects!$B$14*Assumptions!$B$12/Projects!$D$14*0.95+0.05*Projects!$B$14*Assumptions!$B$12,Projects!$B$14*Assumptions!$B$12/Projects!$D$14*0.95),0)+IF(AND(Projects!$G$15="Yes",34&gt;=Projects!$C$15,34&lt;Projects!$C$15+Projects!$D$15),IF(34=Projects!$C$15+Projects!$D$15-1,Projects!$B$15*Assumptions!$B$12/Projects!$D$15*0.95+0.05*Projects!$B$15*Assumptions!$B$12,Projects!$B$15*Assumptions!$B$12/Projects!$D$15*0.95),0)+IF(AND(Projects!$G$16="Yes",34&gt;=Projects!$C$16,34&lt;Projects!$C$16+Projects!$D$16),IF(34=Projects!$C$16+Projects!$D$16-1,Projects!$B$16*Assumptions!$B$12/Projects!$D$16*0.95+0.05*Projects!$B$16*Assumptions!$B$12,Projects!$B$16*Assumptions!$B$12/Projects!$D$16*0.95),0)</f>
        <v>52674.767721861477</v>
      </c>
      <c r="AK10" s="8">
        <f>IF(AND(Projects!$G$2="Yes",35&gt;=Projects!$C$2,35&lt;Projects!$C$2+Projects!$D$2),IF(35=Projects!$C$2+Projects!$D$2-1,46323/Projects!$D$2*0.95+0.05*46323,46323/Projects!$D$2*0.95),0)+IF(AND(Projects!$G$3="Yes",35&gt;=Projects!$C$3,35&lt;Projects!$C$3+Projects!$D$3),IF(35=Projects!$C$3+Projects!$D$3-1,176626/Projects!$D$3*0.95+0.05*176626,176626/Projects!$D$3*0.95),0)+IF(AND(Projects!$G$4="Yes",35&gt;=Projects!$C$4,35&lt;Projects!$C$4+Projects!$D$4),IF(35=Projects!$C$4+Projects!$D$4-1,Projects!$B$4*Assumptions!$B$12/Projects!$D$4*0.95+0.05*Projects!$B$4*Assumptions!$B$12,Projects!$B$4*Assumptions!$B$12/Projects!$D$4*0.95),0)+IF(AND(Projects!$G$5="Yes",35&gt;=Projects!$C$5,35&lt;Projects!$C$5+Projects!$D$5),IF(35=Projects!$C$5+Projects!$D$5-1,Projects!$B$5*Assumptions!$B$12/Projects!$D$5*0.95+0.05*Projects!$B$5*Assumptions!$B$12,Projects!$B$5*Assumptions!$B$12/Projects!$D$5*0.95),0)+IF(AND(Projects!$G$6="Yes",35&gt;=Projects!$C$6,35&lt;Projects!$C$6+Projects!$D$6),IF(35=Projects!$C$6+Projects!$D$6-1,0/Projects!$D$6*0.95+0.05*0,0/Projects!$D$6*0.95),0)+IF(AND(Projects!$G$7="Yes",35&gt;=Projects!$C$7,35&lt;Projects!$C$7+Projects!$D$7),IF(35=Projects!$C$7+Projects!$D$7-1,Projects!$B$7*Assumptions!$B$12/Projects!$D$7*0.95+0.05*Projects!$B$7*Assumptions!$B$12,Projects!$B$7*Assumptions!$B$12/Projects!$D$7*0.95),0)+IF(AND(Projects!$G$8="Yes",35&gt;=Projects!$C$8,35&lt;Projects!$C$8+Projects!$D$8),IF(35=Projects!$C$8+Projects!$D$8-1,Projects!$B$8*Assumptions!$B$12/Projects!$D$8*0.95+0.05*Projects!$B$8*Assumptions!$B$12,Projects!$B$8*Assumptions!$B$12/Projects!$D$8*0.95),0)+IF(AND(Projects!$G$9="Yes",35&gt;=Projects!$C$9,35&lt;Projects!$C$9+Projects!$D$9),IF(35=Projects!$C$9+Projects!$D$9-1,Projects!$B$9*Assumptions!$B$12/Projects!$D$9*0.95+0.05*Projects!$B$9*Assumptions!$B$12,Projects!$B$9*Assumptions!$B$12/Projects!$D$9*0.95),0)+IF(AND(Projects!$G$10="Yes",35&gt;=Projects!$C$10,35&lt;Projects!$C$10+Projects!$D$10),IF(35=Projects!$C$10+Projects!$D$10-1,Projects!$B$10*Assumptions!$B$12/Projects!$D$10*0.95+0.05*Projects!$B$10*Assumptions!$B$12,Projects!$B$10*Assumptions!$B$12/Projects!$D$10*0.95),0)+IF(AND(Projects!$G$11="Yes",35&gt;=Projects!$C$11,35&lt;Projects!$C$11+Projects!$D$11),IF(35=Projects!$C$11+Projects!$D$11-1,Projects!$B$11*Assumptions!$B$12/Projects!$D$11*0.95+0.05*Projects!$B$11*Assumptions!$B$12,Projects!$B$11*Assumptions!$B$12/Projects!$D$11*0.95),0)+IF(AND(Projects!$G$12="Yes",35&gt;=Projects!$C$12,35&lt;Projects!$C$12+Projects!$D$12),IF(35=Projects!$C$12+Projects!$D$12-1,Projects!$B$12*Assumptions!$B$12/Projects!$D$12*0.95+0.05*Projects!$B$12*Assumptions!$B$12,Projects!$B$12*Assumptions!$B$12/Projects!$D$12*0.95),0)+IF(AND(Projects!$G$13="Yes",35&gt;=Projects!$C$13,35&lt;Projects!$C$13+Projects!$D$13),IF(35=Projects!$C$13+Projects!$D$13-1,Projects!$B$13*Assumptions!$B$12/Projects!$D$13*0.95+0.05*Projects!$B$13*Assumptions!$B$12,Projects!$B$13*Assumptions!$B$12/Projects!$D$13*0.95),0)+IF(AND(Projects!$G$14="Yes",35&gt;=Projects!$C$14,35&lt;Projects!$C$14+Projects!$D$14),IF(35=Projects!$C$14+Projects!$D$14-1,Projects!$B$14*Assumptions!$B$12/Projects!$D$14*0.95+0.05*Projects!$B$14*Assumptions!$B$12,Projects!$B$14*Assumptions!$B$12/Projects!$D$14*0.95),0)+IF(AND(Projects!$G$15="Yes",35&gt;=Projects!$C$15,35&lt;Projects!$C$15+Projects!$D$15),IF(35=Projects!$C$15+Projects!$D$15-1,Projects!$B$15*Assumptions!$B$12/Projects!$D$15*0.95+0.05*Projects!$B$15*Assumptions!$B$12,Projects!$B$15*Assumptions!$B$12/Projects!$D$15*0.95),0)+IF(AND(Projects!$G$16="Yes",35&gt;=Projects!$C$16,35&lt;Projects!$C$16+Projects!$D$16),IF(35=Projects!$C$16+Projects!$D$16-1,Projects!$B$16*Assumptions!$B$12/Projects!$D$16*0.95+0.05*Projects!$B$16*Assumptions!$B$12,Projects!$B$16*Assumptions!$B$12/Projects!$D$16*0.95),0)</f>
        <v>52674.767721861477</v>
      </c>
      <c r="AL10" s="8">
        <f>IF(AND(Projects!$G$2="Yes",36&gt;=Projects!$C$2,36&lt;Projects!$C$2+Projects!$D$2),IF(36=Projects!$C$2+Projects!$D$2-1,46323/Projects!$D$2*0.95+0.05*46323,46323/Projects!$D$2*0.95),0)+IF(AND(Projects!$G$3="Yes",36&gt;=Projects!$C$3,36&lt;Projects!$C$3+Projects!$D$3),IF(36=Projects!$C$3+Projects!$D$3-1,176626/Projects!$D$3*0.95+0.05*176626,176626/Projects!$D$3*0.95),0)+IF(AND(Projects!$G$4="Yes",36&gt;=Projects!$C$4,36&lt;Projects!$C$4+Projects!$D$4),IF(36=Projects!$C$4+Projects!$D$4-1,Projects!$B$4*Assumptions!$B$12/Projects!$D$4*0.95+0.05*Projects!$B$4*Assumptions!$B$12,Projects!$B$4*Assumptions!$B$12/Projects!$D$4*0.95),0)+IF(AND(Projects!$G$5="Yes",36&gt;=Projects!$C$5,36&lt;Projects!$C$5+Projects!$D$5),IF(36=Projects!$C$5+Projects!$D$5-1,Projects!$B$5*Assumptions!$B$12/Projects!$D$5*0.95+0.05*Projects!$B$5*Assumptions!$B$12,Projects!$B$5*Assumptions!$B$12/Projects!$D$5*0.95),0)+IF(AND(Projects!$G$6="Yes",36&gt;=Projects!$C$6,36&lt;Projects!$C$6+Projects!$D$6),IF(36=Projects!$C$6+Projects!$D$6-1,0/Projects!$D$6*0.95+0.05*0,0/Projects!$D$6*0.95),0)+IF(AND(Projects!$G$7="Yes",36&gt;=Projects!$C$7,36&lt;Projects!$C$7+Projects!$D$7),IF(36=Projects!$C$7+Projects!$D$7-1,Projects!$B$7*Assumptions!$B$12/Projects!$D$7*0.95+0.05*Projects!$B$7*Assumptions!$B$12,Projects!$B$7*Assumptions!$B$12/Projects!$D$7*0.95),0)+IF(AND(Projects!$G$8="Yes",36&gt;=Projects!$C$8,36&lt;Projects!$C$8+Projects!$D$8),IF(36=Projects!$C$8+Projects!$D$8-1,Projects!$B$8*Assumptions!$B$12/Projects!$D$8*0.95+0.05*Projects!$B$8*Assumptions!$B$12,Projects!$B$8*Assumptions!$B$12/Projects!$D$8*0.95),0)+IF(AND(Projects!$G$9="Yes",36&gt;=Projects!$C$9,36&lt;Projects!$C$9+Projects!$D$9),IF(36=Projects!$C$9+Projects!$D$9-1,Projects!$B$9*Assumptions!$B$12/Projects!$D$9*0.95+0.05*Projects!$B$9*Assumptions!$B$12,Projects!$B$9*Assumptions!$B$12/Projects!$D$9*0.95),0)+IF(AND(Projects!$G$10="Yes",36&gt;=Projects!$C$10,36&lt;Projects!$C$10+Projects!$D$10),IF(36=Projects!$C$10+Projects!$D$10-1,Projects!$B$10*Assumptions!$B$12/Projects!$D$10*0.95+0.05*Projects!$B$10*Assumptions!$B$12,Projects!$B$10*Assumptions!$B$12/Projects!$D$10*0.95),0)+IF(AND(Projects!$G$11="Yes",36&gt;=Projects!$C$11,36&lt;Projects!$C$11+Projects!$D$11),IF(36=Projects!$C$11+Projects!$D$11-1,Projects!$B$11*Assumptions!$B$12/Projects!$D$11*0.95+0.05*Projects!$B$11*Assumptions!$B$12,Projects!$B$11*Assumptions!$B$12/Projects!$D$11*0.95),0)+IF(AND(Projects!$G$12="Yes",36&gt;=Projects!$C$12,36&lt;Projects!$C$12+Projects!$D$12),IF(36=Projects!$C$12+Projects!$D$12-1,Projects!$B$12*Assumptions!$B$12/Projects!$D$12*0.95+0.05*Projects!$B$12*Assumptions!$B$12,Projects!$B$12*Assumptions!$B$12/Projects!$D$12*0.95),0)+IF(AND(Projects!$G$13="Yes",36&gt;=Projects!$C$13,36&lt;Projects!$C$13+Projects!$D$13),IF(36=Projects!$C$13+Projects!$D$13-1,Projects!$B$13*Assumptions!$B$12/Projects!$D$13*0.95+0.05*Projects!$B$13*Assumptions!$B$12,Projects!$B$13*Assumptions!$B$12/Projects!$D$13*0.95),0)+IF(AND(Projects!$G$14="Yes",36&gt;=Projects!$C$14,36&lt;Projects!$C$14+Projects!$D$14),IF(36=Projects!$C$14+Projects!$D$14-1,Projects!$B$14*Assumptions!$B$12/Projects!$D$14*0.95+0.05*Projects!$B$14*Assumptions!$B$12,Projects!$B$14*Assumptions!$B$12/Projects!$D$14*0.95),0)+IF(AND(Projects!$G$15="Yes",36&gt;=Projects!$C$15,36&lt;Projects!$C$15+Projects!$D$15),IF(36=Projects!$C$15+Projects!$D$15-1,Projects!$B$15*Assumptions!$B$12/Projects!$D$15*0.95+0.05*Projects!$B$15*Assumptions!$B$12,Projects!$B$15*Assumptions!$B$12/Projects!$D$15*0.95),0)+IF(AND(Projects!$G$16="Yes",36&gt;=Projects!$C$16,36&lt;Projects!$C$16+Projects!$D$16),IF(36=Projects!$C$16+Projects!$D$16-1,Projects!$B$16*Assumptions!$B$12/Projects!$D$16*0.95+0.05*Projects!$B$16*Assumptions!$B$12,Projects!$B$16*Assumptions!$B$12/Projects!$D$16*0.95),0)</f>
        <v>65535.874053030304</v>
      </c>
      <c r="AM10" s="8">
        <f>IF(AND(Projects!$G$2="Yes",37&gt;=Projects!$C$2,37&lt;Projects!$C$2+Projects!$D$2),IF(37=Projects!$C$2+Projects!$D$2-1,46323/Projects!$D$2*0.95+0.05*46323,46323/Projects!$D$2*0.95),0)+IF(AND(Projects!$G$3="Yes",37&gt;=Projects!$C$3,37&lt;Projects!$C$3+Projects!$D$3),IF(37=Projects!$C$3+Projects!$D$3-1,176626/Projects!$D$3*0.95+0.05*176626,176626/Projects!$D$3*0.95),0)+IF(AND(Projects!$G$4="Yes",37&gt;=Projects!$C$4,37&lt;Projects!$C$4+Projects!$D$4),IF(37=Projects!$C$4+Projects!$D$4-1,Projects!$B$4*Assumptions!$B$12/Projects!$D$4*0.95+0.05*Projects!$B$4*Assumptions!$B$12,Projects!$B$4*Assumptions!$B$12/Projects!$D$4*0.95),0)+IF(AND(Projects!$G$5="Yes",37&gt;=Projects!$C$5,37&lt;Projects!$C$5+Projects!$D$5),IF(37=Projects!$C$5+Projects!$D$5-1,Projects!$B$5*Assumptions!$B$12/Projects!$D$5*0.95+0.05*Projects!$B$5*Assumptions!$B$12,Projects!$B$5*Assumptions!$B$12/Projects!$D$5*0.95),0)+IF(AND(Projects!$G$6="Yes",37&gt;=Projects!$C$6,37&lt;Projects!$C$6+Projects!$D$6),IF(37=Projects!$C$6+Projects!$D$6-1,0/Projects!$D$6*0.95+0.05*0,0/Projects!$D$6*0.95),0)+IF(AND(Projects!$G$7="Yes",37&gt;=Projects!$C$7,37&lt;Projects!$C$7+Projects!$D$7),IF(37=Projects!$C$7+Projects!$D$7-1,Projects!$B$7*Assumptions!$B$12/Projects!$D$7*0.95+0.05*Projects!$B$7*Assumptions!$B$12,Projects!$B$7*Assumptions!$B$12/Projects!$D$7*0.95),0)+IF(AND(Projects!$G$8="Yes",37&gt;=Projects!$C$8,37&lt;Projects!$C$8+Projects!$D$8),IF(37=Projects!$C$8+Projects!$D$8-1,Projects!$B$8*Assumptions!$B$12/Projects!$D$8*0.95+0.05*Projects!$B$8*Assumptions!$B$12,Projects!$B$8*Assumptions!$B$12/Projects!$D$8*0.95),0)+IF(AND(Projects!$G$9="Yes",37&gt;=Projects!$C$9,37&lt;Projects!$C$9+Projects!$D$9),IF(37=Projects!$C$9+Projects!$D$9-1,Projects!$B$9*Assumptions!$B$12/Projects!$D$9*0.95+0.05*Projects!$B$9*Assumptions!$B$12,Projects!$B$9*Assumptions!$B$12/Projects!$D$9*0.95),0)+IF(AND(Projects!$G$10="Yes",37&gt;=Projects!$C$10,37&lt;Projects!$C$10+Projects!$D$10),IF(37=Projects!$C$10+Projects!$D$10-1,Projects!$B$10*Assumptions!$B$12/Projects!$D$10*0.95+0.05*Projects!$B$10*Assumptions!$B$12,Projects!$B$10*Assumptions!$B$12/Projects!$D$10*0.95),0)+IF(AND(Projects!$G$11="Yes",37&gt;=Projects!$C$11,37&lt;Projects!$C$11+Projects!$D$11),IF(37=Projects!$C$11+Projects!$D$11-1,Projects!$B$11*Assumptions!$B$12/Projects!$D$11*0.95+0.05*Projects!$B$11*Assumptions!$B$12,Projects!$B$11*Assumptions!$B$12/Projects!$D$11*0.95),0)+IF(AND(Projects!$G$12="Yes",37&gt;=Projects!$C$12,37&lt;Projects!$C$12+Projects!$D$12),IF(37=Projects!$C$12+Projects!$D$12-1,Projects!$B$12*Assumptions!$B$12/Projects!$D$12*0.95+0.05*Projects!$B$12*Assumptions!$B$12,Projects!$B$12*Assumptions!$B$12/Projects!$D$12*0.95),0)+IF(AND(Projects!$G$13="Yes",37&gt;=Projects!$C$13,37&lt;Projects!$C$13+Projects!$D$13),IF(37=Projects!$C$13+Projects!$D$13-1,Projects!$B$13*Assumptions!$B$12/Projects!$D$13*0.95+0.05*Projects!$B$13*Assumptions!$B$12,Projects!$B$13*Assumptions!$B$12/Projects!$D$13*0.95),0)+IF(AND(Projects!$G$14="Yes",37&gt;=Projects!$C$14,37&lt;Projects!$C$14+Projects!$D$14),IF(37=Projects!$C$14+Projects!$D$14-1,Projects!$B$14*Assumptions!$B$12/Projects!$D$14*0.95+0.05*Projects!$B$14*Assumptions!$B$12,Projects!$B$14*Assumptions!$B$12/Projects!$D$14*0.95),0)+IF(AND(Projects!$G$15="Yes",37&gt;=Projects!$C$15,37&lt;Projects!$C$15+Projects!$D$15),IF(37=Projects!$C$15+Projects!$D$15-1,Projects!$B$15*Assumptions!$B$12/Projects!$D$15*0.95+0.05*Projects!$B$15*Assumptions!$B$12,Projects!$B$15*Assumptions!$B$12/Projects!$D$15*0.95),0)+IF(AND(Projects!$G$16="Yes",37&gt;=Projects!$C$16,37&lt;Projects!$C$16+Projects!$D$16),IF(37=Projects!$C$16+Projects!$D$16-1,Projects!$B$16*Assumptions!$B$12/Projects!$D$16*0.95+0.05*Projects!$B$16*Assumptions!$B$12,Projects!$B$16*Assumptions!$B$12/Projects!$D$16*0.95),0)</f>
        <v>44529.400378787883</v>
      </c>
      <c r="AN10" s="8">
        <f>IF(AND(Projects!$G$2="Yes",38&gt;=Projects!$C$2,38&lt;Projects!$C$2+Projects!$D$2),IF(38=Projects!$C$2+Projects!$D$2-1,46323/Projects!$D$2*0.95+0.05*46323,46323/Projects!$D$2*0.95),0)+IF(AND(Projects!$G$3="Yes",38&gt;=Projects!$C$3,38&lt;Projects!$C$3+Projects!$D$3),IF(38=Projects!$C$3+Projects!$D$3-1,176626/Projects!$D$3*0.95+0.05*176626,176626/Projects!$D$3*0.95),0)+IF(AND(Projects!$G$4="Yes",38&gt;=Projects!$C$4,38&lt;Projects!$C$4+Projects!$D$4),IF(38=Projects!$C$4+Projects!$D$4-1,Projects!$B$4*Assumptions!$B$12/Projects!$D$4*0.95+0.05*Projects!$B$4*Assumptions!$B$12,Projects!$B$4*Assumptions!$B$12/Projects!$D$4*0.95),0)+IF(AND(Projects!$G$5="Yes",38&gt;=Projects!$C$5,38&lt;Projects!$C$5+Projects!$D$5),IF(38=Projects!$C$5+Projects!$D$5-1,Projects!$B$5*Assumptions!$B$12/Projects!$D$5*0.95+0.05*Projects!$B$5*Assumptions!$B$12,Projects!$B$5*Assumptions!$B$12/Projects!$D$5*0.95),0)+IF(AND(Projects!$G$6="Yes",38&gt;=Projects!$C$6,38&lt;Projects!$C$6+Projects!$D$6),IF(38=Projects!$C$6+Projects!$D$6-1,0/Projects!$D$6*0.95+0.05*0,0/Projects!$D$6*0.95),0)+IF(AND(Projects!$G$7="Yes",38&gt;=Projects!$C$7,38&lt;Projects!$C$7+Projects!$D$7),IF(38=Projects!$C$7+Projects!$D$7-1,Projects!$B$7*Assumptions!$B$12/Projects!$D$7*0.95+0.05*Projects!$B$7*Assumptions!$B$12,Projects!$B$7*Assumptions!$B$12/Projects!$D$7*0.95),0)+IF(AND(Projects!$G$8="Yes",38&gt;=Projects!$C$8,38&lt;Projects!$C$8+Projects!$D$8),IF(38=Projects!$C$8+Projects!$D$8-1,Projects!$B$8*Assumptions!$B$12/Projects!$D$8*0.95+0.05*Projects!$B$8*Assumptions!$B$12,Projects!$B$8*Assumptions!$B$12/Projects!$D$8*0.95),0)+IF(AND(Projects!$G$9="Yes",38&gt;=Projects!$C$9,38&lt;Projects!$C$9+Projects!$D$9),IF(38=Projects!$C$9+Projects!$D$9-1,Projects!$B$9*Assumptions!$B$12/Projects!$D$9*0.95+0.05*Projects!$B$9*Assumptions!$B$12,Projects!$B$9*Assumptions!$B$12/Projects!$D$9*0.95),0)+IF(AND(Projects!$G$10="Yes",38&gt;=Projects!$C$10,38&lt;Projects!$C$10+Projects!$D$10),IF(38=Projects!$C$10+Projects!$D$10-1,Projects!$B$10*Assumptions!$B$12/Projects!$D$10*0.95+0.05*Projects!$B$10*Assumptions!$B$12,Projects!$B$10*Assumptions!$B$12/Projects!$D$10*0.95),0)+IF(AND(Projects!$G$11="Yes",38&gt;=Projects!$C$11,38&lt;Projects!$C$11+Projects!$D$11),IF(38=Projects!$C$11+Projects!$D$11-1,Projects!$B$11*Assumptions!$B$12/Projects!$D$11*0.95+0.05*Projects!$B$11*Assumptions!$B$12,Projects!$B$11*Assumptions!$B$12/Projects!$D$11*0.95),0)+IF(AND(Projects!$G$12="Yes",38&gt;=Projects!$C$12,38&lt;Projects!$C$12+Projects!$D$12),IF(38=Projects!$C$12+Projects!$D$12-1,Projects!$B$12*Assumptions!$B$12/Projects!$D$12*0.95+0.05*Projects!$B$12*Assumptions!$B$12,Projects!$B$12*Assumptions!$B$12/Projects!$D$12*0.95),0)+IF(AND(Projects!$G$13="Yes",38&gt;=Projects!$C$13,38&lt;Projects!$C$13+Projects!$D$13),IF(38=Projects!$C$13+Projects!$D$13-1,Projects!$B$13*Assumptions!$B$12/Projects!$D$13*0.95+0.05*Projects!$B$13*Assumptions!$B$12,Projects!$B$13*Assumptions!$B$12/Projects!$D$13*0.95),0)+IF(AND(Projects!$G$14="Yes",38&gt;=Projects!$C$14,38&lt;Projects!$C$14+Projects!$D$14),IF(38=Projects!$C$14+Projects!$D$14-1,Projects!$B$14*Assumptions!$B$12/Projects!$D$14*0.95+0.05*Projects!$B$14*Assumptions!$B$12,Projects!$B$14*Assumptions!$B$12/Projects!$D$14*0.95),0)+IF(AND(Projects!$G$15="Yes",38&gt;=Projects!$C$15,38&lt;Projects!$C$15+Projects!$D$15),IF(38=Projects!$C$15+Projects!$D$15-1,Projects!$B$15*Assumptions!$B$12/Projects!$D$15*0.95+0.05*Projects!$B$15*Assumptions!$B$12,Projects!$B$15*Assumptions!$B$12/Projects!$D$15*0.95),0)+IF(AND(Projects!$G$16="Yes",38&gt;=Projects!$C$16,38&lt;Projects!$C$16+Projects!$D$16),IF(38=Projects!$C$16+Projects!$D$16-1,Projects!$B$16*Assumptions!$B$12/Projects!$D$16*0.95+0.05*Projects!$B$16*Assumptions!$B$12,Projects!$B$16*Assumptions!$B$12/Projects!$D$16*0.95),0)</f>
        <v>44529.400378787883</v>
      </c>
      <c r="AO10" s="8">
        <f>IF(AND(Projects!$G$2="Yes",39&gt;=Projects!$C$2,39&lt;Projects!$C$2+Projects!$D$2),IF(39=Projects!$C$2+Projects!$D$2-1,46323/Projects!$D$2*0.95+0.05*46323,46323/Projects!$D$2*0.95),0)+IF(AND(Projects!$G$3="Yes",39&gt;=Projects!$C$3,39&lt;Projects!$C$3+Projects!$D$3),IF(39=Projects!$C$3+Projects!$D$3-1,176626/Projects!$D$3*0.95+0.05*176626,176626/Projects!$D$3*0.95),0)+IF(AND(Projects!$G$4="Yes",39&gt;=Projects!$C$4,39&lt;Projects!$C$4+Projects!$D$4),IF(39=Projects!$C$4+Projects!$D$4-1,Projects!$B$4*Assumptions!$B$12/Projects!$D$4*0.95+0.05*Projects!$B$4*Assumptions!$B$12,Projects!$B$4*Assumptions!$B$12/Projects!$D$4*0.95),0)+IF(AND(Projects!$G$5="Yes",39&gt;=Projects!$C$5,39&lt;Projects!$C$5+Projects!$D$5),IF(39=Projects!$C$5+Projects!$D$5-1,Projects!$B$5*Assumptions!$B$12/Projects!$D$5*0.95+0.05*Projects!$B$5*Assumptions!$B$12,Projects!$B$5*Assumptions!$B$12/Projects!$D$5*0.95),0)+IF(AND(Projects!$G$6="Yes",39&gt;=Projects!$C$6,39&lt;Projects!$C$6+Projects!$D$6),IF(39=Projects!$C$6+Projects!$D$6-1,0/Projects!$D$6*0.95+0.05*0,0/Projects!$D$6*0.95),0)+IF(AND(Projects!$G$7="Yes",39&gt;=Projects!$C$7,39&lt;Projects!$C$7+Projects!$D$7),IF(39=Projects!$C$7+Projects!$D$7-1,Projects!$B$7*Assumptions!$B$12/Projects!$D$7*0.95+0.05*Projects!$B$7*Assumptions!$B$12,Projects!$B$7*Assumptions!$B$12/Projects!$D$7*0.95),0)+IF(AND(Projects!$G$8="Yes",39&gt;=Projects!$C$8,39&lt;Projects!$C$8+Projects!$D$8),IF(39=Projects!$C$8+Projects!$D$8-1,Projects!$B$8*Assumptions!$B$12/Projects!$D$8*0.95+0.05*Projects!$B$8*Assumptions!$B$12,Projects!$B$8*Assumptions!$B$12/Projects!$D$8*0.95),0)+IF(AND(Projects!$G$9="Yes",39&gt;=Projects!$C$9,39&lt;Projects!$C$9+Projects!$D$9),IF(39=Projects!$C$9+Projects!$D$9-1,Projects!$B$9*Assumptions!$B$12/Projects!$D$9*0.95+0.05*Projects!$B$9*Assumptions!$B$12,Projects!$B$9*Assumptions!$B$12/Projects!$D$9*0.95),0)+IF(AND(Projects!$G$10="Yes",39&gt;=Projects!$C$10,39&lt;Projects!$C$10+Projects!$D$10),IF(39=Projects!$C$10+Projects!$D$10-1,Projects!$B$10*Assumptions!$B$12/Projects!$D$10*0.95+0.05*Projects!$B$10*Assumptions!$B$12,Projects!$B$10*Assumptions!$B$12/Projects!$D$10*0.95),0)+IF(AND(Projects!$G$11="Yes",39&gt;=Projects!$C$11,39&lt;Projects!$C$11+Projects!$D$11),IF(39=Projects!$C$11+Projects!$D$11-1,Projects!$B$11*Assumptions!$B$12/Projects!$D$11*0.95+0.05*Projects!$B$11*Assumptions!$B$12,Projects!$B$11*Assumptions!$B$12/Projects!$D$11*0.95),0)+IF(AND(Projects!$G$12="Yes",39&gt;=Projects!$C$12,39&lt;Projects!$C$12+Projects!$D$12),IF(39=Projects!$C$12+Projects!$D$12-1,Projects!$B$12*Assumptions!$B$12/Projects!$D$12*0.95+0.05*Projects!$B$12*Assumptions!$B$12,Projects!$B$12*Assumptions!$B$12/Projects!$D$12*0.95),0)+IF(AND(Projects!$G$13="Yes",39&gt;=Projects!$C$13,39&lt;Projects!$C$13+Projects!$D$13),IF(39=Projects!$C$13+Projects!$D$13-1,Projects!$B$13*Assumptions!$B$12/Projects!$D$13*0.95+0.05*Projects!$B$13*Assumptions!$B$12,Projects!$B$13*Assumptions!$B$12/Projects!$D$13*0.95),0)+IF(AND(Projects!$G$14="Yes",39&gt;=Projects!$C$14,39&lt;Projects!$C$14+Projects!$D$14),IF(39=Projects!$C$14+Projects!$D$14-1,Projects!$B$14*Assumptions!$B$12/Projects!$D$14*0.95+0.05*Projects!$B$14*Assumptions!$B$12,Projects!$B$14*Assumptions!$B$12/Projects!$D$14*0.95),0)+IF(AND(Projects!$G$15="Yes",39&gt;=Projects!$C$15,39&lt;Projects!$C$15+Projects!$D$15),IF(39=Projects!$C$15+Projects!$D$15-1,Projects!$B$15*Assumptions!$B$12/Projects!$D$15*0.95+0.05*Projects!$B$15*Assumptions!$B$12,Projects!$B$15*Assumptions!$B$12/Projects!$D$15*0.95),0)+IF(AND(Projects!$G$16="Yes",39&gt;=Projects!$C$16,39&lt;Projects!$C$16+Projects!$D$16),IF(39=Projects!$C$16+Projects!$D$16-1,Projects!$B$16*Assumptions!$B$12/Projects!$D$16*0.95+0.05*Projects!$B$16*Assumptions!$B$12,Projects!$B$16*Assumptions!$B$12/Projects!$D$16*0.95),0)</f>
        <v>44529.400378787883</v>
      </c>
      <c r="AP10" s="8">
        <f>IF(AND(Projects!$G$2="Yes",40&gt;=Projects!$C$2,40&lt;Projects!$C$2+Projects!$D$2),IF(40=Projects!$C$2+Projects!$D$2-1,46323/Projects!$D$2*0.95+0.05*46323,46323/Projects!$D$2*0.95),0)+IF(AND(Projects!$G$3="Yes",40&gt;=Projects!$C$3,40&lt;Projects!$C$3+Projects!$D$3),IF(40=Projects!$C$3+Projects!$D$3-1,176626/Projects!$D$3*0.95+0.05*176626,176626/Projects!$D$3*0.95),0)+IF(AND(Projects!$G$4="Yes",40&gt;=Projects!$C$4,40&lt;Projects!$C$4+Projects!$D$4),IF(40=Projects!$C$4+Projects!$D$4-1,Projects!$B$4*Assumptions!$B$12/Projects!$D$4*0.95+0.05*Projects!$B$4*Assumptions!$B$12,Projects!$B$4*Assumptions!$B$12/Projects!$D$4*0.95),0)+IF(AND(Projects!$G$5="Yes",40&gt;=Projects!$C$5,40&lt;Projects!$C$5+Projects!$D$5),IF(40=Projects!$C$5+Projects!$D$5-1,Projects!$B$5*Assumptions!$B$12/Projects!$D$5*0.95+0.05*Projects!$B$5*Assumptions!$B$12,Projects!$B$5*Assumptions!$B$12/Projects!$D$5*0.95),0)+IF(AND(Projects!$G$6="Yes",40&gt;=Projects!$C$6,40&lt;Projects!$C$6+Projects!$D$6),IF(40=Projects!$C$6+Projects!$D$6-1,0/Projects!$D$6*0.95+0.05*0,0/Projects!$D$6*0.95),0)+IF(AND(Projects!$G$7="Yes",40&gt;=Projects!$C$7,40&lt;Projects!$C$7+Projects!$D$7),IF(40=Projects!$C$7+Projects!$D$7-1,Projects!$B$7*Assumptions!$B$12/Projects!$D$7*0.95+0.05*Projects!$B$7*Assumptions!$B$12,Projects!$B$7*Assumptions!$B$12/Projects!$D$7*0.95),0)+IF(AND(Projects!$G$8="Yes",40&gt;=Projects!$C$8,40&lt;Projects!$C$8+Projects!$D$8),IF(40=Projects!$C$8+Projects!$D$8-1,Projects!$B$8*Assumptions!$B$12/Projects!$D$8*0.95+0.05*Projects!$B$8*Assumptions!$B$12,Projects!$B$8*Assumptions!$B$12/Projects!$D$8*0.95),0)+IF(AND(Projects!$G$9="Yes",40&gt;=Projects!$C$9,40&lt;Projects!$C$9+Projects!$D$9),IF(40=Projects!$C$9+Projects!$D$9-1,Projects!$B$9*Assumptions!$B$12/Projects!$D$9*0.95+0.05*Projects!$B$9*Assumptions!$B$12,Projects!$B$9*Assumptions!$B$12/Projects!$D$9*0.95),0)+IF(AND(Projects!$G$10="Yes",40&gt;=Projects!$C$10,40&lt;Projects!$C$10+Projects!$D$10),IF(40=Projects!$C$10+Projects!$D$10-1,Projects!$B$10*Assumptions!$B$12/Projects!$D$10*0.95+0.05*Projects!$B$10*Assumptions!$B$12,Projects!$B$10*Assumptions!$B$12/Projects!$D$10*0.95),0)+IF(AND(Projects!$G$11="Yes",40&gt;=Projects!$C$11,40&lt;Projects!$C$11+Projects!$D$11),IF(40=Projects!$C$11+Projects!$D$11-1,Projects!$B$11*Assumptions!$B$12/Projects!$D$11*0.95+0.05*Projects!$B$11*Assumptions!$B$12,Projects!$B$11*Assumptions!$B$12/Projects!$D$11*0.95),0)+IF(AND(Projects!$G$12="Yes",40&gt;=Projects!$C$12,40&lt;Projects!$C$12+Projects!$D$12),IF(40=Projects!$C$12+Projects!$D$12-1,Projects!$B$12*Assumptions!$B$12/Projects!$D$12*0.95+0.05*Projects!$B$12*Assumptions!$B$12,Projects!$B$12*Assumptions!$B$12/Projects!$D$12*0.95),0)+IF(AND(Projects!$G$13="Yes",40&gt;=Projects!$C$13,40&lt;Projects!$C$13+Projects!$D$13),IF(40=Projects!$C$13+Projects!$D$13-1,Projects!$B$13*Assumptions!$B$12/Projects!$D$13*0.95+0.05*Projects!$B$13*Assumptions!$B$12,Projects!$B$13*Assumptions!$B$12/Projects!$D$13*0.95),0)+IF(AND(Projects!$G$14="Yes",40&gt;=Projects!$C$14,40&lt;Projects!$C$14+Projects!$D$14),IF(40=Projects!$C$14+Projects!$D$14-1,Projects!$B$14*Assumptions!$B$12/Projects!$D$14*0.95+0.05*Projects!$B$14*Assumptions!$B$12,Projects!$B$14*Assumptions!$B$12/Projects!$D$14*0.95),0)+IF(AND(Projects!$G$15="Yes",40&gt;=Projects!$C$15,40&lt;Projects!$C$15+Projects!$D$15),IF(40=Projects!$C$15+Projects!$D$15-1,Projects!$B$15*Assumptions!$B$12/Projects!$D$15*0.95+0.05*Projects!$B$15*Assumptions!$B$12,Projects!$B$15*Assumptions!$B$12/Projects!$D$15*0.95),0)+IF(AND(Projects!$G$16="Yes",40&gt;=Projects!$C$16,40&lt;Projects!$C$16+Projects!$D$16),IF(40=Projects!$C$16+Projects!$D$16-1,Projects!$B$16*Assumptions!$B$12/Projects!$D$16*0.95+0.05*Projects!$B$16*Assumptions!$B$12,Projects!$B$16*Assumptions!$B$12/Projects!$D$16*0.95),0)</f>
        <v>44529.400378787883</v>
      </c>
      <c r="AQ10" s="8">
        <f>IF(AND(Projects!$G$2="Yes",41&gt;=Projects!$C$2,41&lt;Projects!$C$2+Projects!$D$2),IF(41=Projects!$C$2+Projects!$D$2-1,46323/Projects!$D$2*0.95+0.05*46323,46323/Projects!$D$2*0.95),0)+IF(AND(Projects!$G$3="Yes",41&gt;=Projects!$C$3,41&lt;Projects!$C$3+Projects!$D$3),IF(41=Projects!$C$3+Projects!$D$3-1,176626/Projects!$D$3*0.95+0.05*176626,176626/Projects!$D$3*0.95),0)+IF(AND(Projects!$G$4="Yes",41&gt;=Projects!$C$4,41&lt;Projects!$C$4+Projects!$D$4),IF(41=Projects!$C$4+Projects!$D$4-1,Projects!$B$4*Assumptions!$B$12/Projects!$D$4*0.95+0.05*Projects!$B$4*Assumptions!$B$12,Projects!$B$4*Assumptions!$B$12/Projects!$D$4*0.95),0)+IF(AND(Projects!$G$5="Yes",41&gt;=Projects!$C$5,41&lt;Projects!$C$5+Projects!$D$5),IF(41=Projects!$C$5+Projects!$D$5-1,Projects!$B$5*Assumptions!$B$12/Projects!$D$5*0.95+0.05*Projects!$B$5*Assumptions!$B$12,Projects!$B$5*Assumptions!$B$12/Projects!$D$5*0.95),0)+IF(AND(Projects!$G$6="Yes",41&gt;=Projects!$C$6,41&lt;Projects!$C$6+Projects!$D$6),IF(41=Projects!$C$6+Projects!$D$6-1,0/Projects!$D$6*0.95+0.05*0,0/Projects!$D$6*0.95),0)+IF(AND(Projects!$G$7="Yes",41&gt;=Projects!$C$7,41&lt;Projects!$C$7+Projects!$D$7),IF(41=Projects!$C$7+Projects!$D$7-1,Projects!$B$7*Assumptions!$B$12/Projects!$D$7*0.95+0.05*Projects!$B$7*Assumptions!$B$12,Projects!$B$7*Assumptions!$B$12/Projects!$D$7*0.95),0)+IF(AND(Projects!$G$8="Yes",41&gt;=Projects!$C$8,41&lt;Projects!$C$8+Projects!$D$8),IF(41=Projects!$C$8+Projects!$D$8-1,Projects!$B$8*Assumptions!$B$12/Projects!$D$8*0.95+0.05*Projects!$B$8*Assumptions!$B$12,Projects!$B$8*Assumptions!$B$12/Projects!$D$8*0.95),0)+IF(AND(Projects!$G$9="Yes",41&gt;=Projects!$C$9,41&lt;Projects!$C$9+Projects!$D$9),IF(41=Projects!$C$9+Projects!$D$9-1,Projects!$B$9*Assumptions!$B$12/Projects!$D$9*0.95+0.05*Projects!$B$9*Assumptions!$B$12,Projects!$B$9*Assumptions!$B$12/Projects!$D$9*0.95),0)+IF(AND(Projects!$G$10="Yes",41&gt;=Projects!$C$10,41&lt;Projects!$C$10+Projects!$D$10),IF(41=Projects!$C$10+Projects!$D$10-1,Projects!$B$10*Assumptions!$B$12/Projects!$D$10*0.95+0.05*Projects!$B$10*Assumptions!$B$12,Projects!$B$10*Assumptions!$B$12/Projects!$D$10*0.95),0)+IF(AND(Projects!$G$11="Yes",41&gt;=Projects!$C$11,41&lt;Projects!$C$11+Projects!$D$11),IF(41=Projects!$C$11+Projects!$D$11-1,Projects!$B$11*Assumptions!$B$12/Projects!$D$11*0.95+0.05*Projects!$B$11*Assumptions!$B$12,Projects!$B$11*Assumptions!$B$12/Projects!$D$11*0.95),0)+IF(AND(Projects!$G$12="Yes",41&gt;=Projects!$C$12,41&lt;Projects!$C$12+Projects!$D$12),IF(41=Projects!$C$12+Projects!$D$12-1,Projects!$B$12*Assumptions!$B$12/Projects!$D$12*0.95+0.05*Projects!$B$12*Assumptions!$B$12,Projects!$B$12*Assumptions!$B$12/Projects!$D$12*0.95),0)+IF(AND(Projects!$G$13="Yes",41&gt;=Projects!$C$13,41&lt;Projects!$C$13+Projects!$D$13),IF(41=Projects!$C$13+Projects!$D$13-1,Projects!$B$13*Assumptions!$B$12/Projects!$D$13*0.95+0.05*Projects!$B$13*Assumptions!$B$12,Projects!$B$13*Assumptions!$B$12/Projects!$D$13*0.95),0)+IF(AND(Projects!$G$14="Yes",41&gt;=Projects!$C$14,41&lt;Projects!$C$14+Projects!$D$14),IF(41=Projects!$C$14+Projects!$D$14-1,Projects!$B$14*Assumptions!$B$12/Projects!$D$14*0.95+0.05*Projects!$B$14*Assumptions!$B$12,Projects!$B$14*Assumptions!$B$12/Projects!$D$14*0.95),0)+IF(AND(Projects!$G$15="Yes",41&gt;=Projects!$C$15,41&lt;Projects!$C$15+Projects!$D$15),IF(41=Projects!$C$15+Projects!$D$15-1,Projects!$B$15*Assumptions!$B$12/Projects!$D$15*0.95+0.05*Projects!$B$15*Assumptions!$B$12,Projects!$B$15*Assumptions!$B$12/Projects!$D$15*0.95),0)+IF(AND(Projects!$G$16="Yes",41&gt;=Projects!$C$16,41&lt;Projects!$C$16+Projects!$D$16),IF(41=Projects!$C$16+Projects!$D$16-1,Projects!$B$16*Assumptions!$B$12/Projects!$D$16*0.95+0.05*Projects!$B$16*Assumptions!$B$12,Projects!$B$16*Assumptions!$B$12/Projects!$D$16*0.95),0)</f>
        <v>44529.400378787883</v>
      </c>
      <c r="AR10" s="8">
        <f>IF(AND(Projects!$G$2="Yes",42&gt;=Projects!$C$2,42&lt;Projects!$C$2+Projects!$D$2),IF(42=Projects!$C$2+Projects!$D$2-1,46323/Projects!$D$2*0.95+0.05*46323,46323/Projects!$D$2*0.95),0)+IF(AND(Projects!$G$3="Yes",42&gt;=Projects!$C$3,42&lt;Projects!$C$3+Projects!$D$3),IF(42=Projects!$C$3+Projects!$D$3-1,176626/Projects!$D$3*0.95+0.05*176626,176626/Projects!$D$3*0.95),0)+IF(AND(Projects!$G$4="Yes",42&gt;=Projects!$C$4,42&lt;Projects!$C$4+Projects!$D$4),IF(42=Projects!$C$4+Projects!$D$4-1,Projects!$B$4*Assumptions!$B$12/Projects!$D$4*0.95+0.05*Projects!$B$4*Assumptions!$B$12,Projects!$B$4*Assumptions!$B$12/Projects!$D$4*0.95),0)+IF(AND(Projects!$G$5="Yes",42&gt;=Projects!$C$5,42&lt;Projects!$C$5+Projects!$D$5),IF(42=Projects!$C$5+Projects!$D$5-1,Projects!$B$5*Assumptions!$B$12/Projects!$D$5*0.95+0.05*Projects!$B$5*Assumptions!$B$12,Projects!$B$5*Assumptions!$B$12/Projects!$D$5*0.95),0)+IF(AND(Projects!$G$6="Yes",42&gt;=Projects!$C$6,42&lt;Projects!$C$6+Projects!$D$6),IF(42=Projects!$C$6+Projects!$D$6-1,0/Projects!$D$6*0.95+0.05*0,0/Projects!$D$6*0.95),0)+IF(AND(Projects!$G$7="Yes",42&gt;=Projects!$C$7,42&lt;Projects!$C$7+Projects!$D$7),IF(42=Projects!$C$7+Projects!$D$7-1,Projects!$B$7*Assumptions!$B$12/Projects!$D$7*0.95+0.05*Projects!$B$7*Assumptions!$B$12,Projects!$B$7*Assumptions!$B$12/Projects!$D$7*0.95),0)+IF(AND(Projects!$G$8="Yes",42&gt;=Projects!$C$8,42&lt;Projects!$C$8+Projects!$D$8),IF(42=Projects!$C$8+Projects!$D$8-1,Projects!$B$8*Assumptions!$B$12/Projects!$D$8*0.95+0.05*Projects!$B$8*Assumptions!$B$12,Projects!$B$8*Assumptions!$B$12/Projects!$D$8*0.95),0)+IF(AND(Projects!$G$9="Yes",42&gt;=Projects!$C$9,42&lt;Projects!$C$9+Projects!$D$9),IF(42=Projects!$C$9+Projects!$D$9-1,Projects!$B$9*Assumptions!$B$12/Projects!$D$9*0.95+0.05*Projects!$B$9*Assumptions!$B$12,Projects!$B$9*Assumptions!$B$12/Projects!$D$9*0.95),0)+IF(AND(Projects!$G$10="Yes",42&gt;=Projects!$C$10,42&lt;Projects!$C$10+Projects!$D$10),IF(42=Projects!$C$10+Projects!$D$10-1,Projects!$B$10*Assumptions!$B$12/Projects!$D$10*0.95+0.05*Projects!$B$10*Assumptions!$B$12,Projects!$B$10*Assumptions!$B$12/Projects!$D$10*0.95),0)+IF(AND(Projects!$G$11="Yes",42&gt;=Projects!$C$11,42&lt;Projects!$C$11+Projects!$D$11),IF(42=Projects!$C$11+Projects!$D$11-1,Projects!$B$11*Assumptions!$B$12/Projects!$D$11*0.95+0.05*Projects!$B$11*Assumptions!$B$12,Projects!$B$11*Assumptions!$B$12/Projects!$D$11*0.95),0)+IF(AND(Projects!$G$12="Yes",42&gt;=Projects!$C$12,42&lt;Projects!$C$12+Projects!$D$12),IF(42=Projects!$C$12+Projects!$D$12-1,Projects!$B$12*Assumptions!$B$12/Projects!$D$12*0.95+0.05*Projects!$B$12*Assumptions!$B$12,Projects!$B$12*Assumptions!$B$12/Projects!$D$12*0.95),0)+IF(AND(Projects!$G$13="Yes",42&gt;=Projects!$C$13,42&lt;Projects!$C$13+Projects!$D$13),IF(42=Projects!$C$13+Projects!$D$13-1,Projects!$B$13*Assumptions!$B$12/Projects!$D$13*0.95+0.05*Projects!$B$13*Assumptions!$B$12,Projects!$B$13*Assumptions!$B$12/Projects!$D$13*0.95),0)+IF(AND(Projects!$G$14="Yes",42&gt;=Projects!$C$14,42&lt;Projects!$C$14+Projects!$D$14),IF(42=Projects!$C$14+Projects!$D$14-1,Projects!$B$14*Assumptions!$B$12/Projects!$D$14*0.95+0.05*Projects!$B$14*Assumptions!$B$12,Projects!$B$14*Assumptions!$B$12/Projects!$D$14*0.95),0)+IF(AND(Projects!$G$15="Yes",42&gt;=Projects!$C$15,42&lt;Projects!$C$15+Projects!$D$15),IF(42=Projects!$C$15+Projects!$D$15-1,Projects!$B$15*Assumptions!$B$12/Projects!$D$15*0.95+0.05*Projects!$B$15*Assumptions!$B$12,Projects!$B$15*Assumptions!$B$12/Projects!$D$15*0.95),0)+IF(AND(Projects!$G$16="Yes",42&gt;=Projects!$C$16,42&lt;Projects!$C$16+Projects!$D$16),IF(42=Projects!$C$16+Projects!$D$16-1,Projects!$B$16*Assumptions!$B$12/Projects!$D$16*0.95+0.05*Projects!$B$16*Assumptions!$B$12,Projects!$B$16*Assumptions!$B$12/Projects!$D$16*0.95),0)</f>
        <v>81271.908495670999</v>
      </c>
      <c r="AS10" s="8">
        <f>IF(AND(Projects!$G$2="Yes",43&gt;=Projects!$C$2,43&lt;Projects!$C$2+Projects!$D$2),IF(43=Projects!$C$2+Projects!$D$2-1,46323/Projects!$D$2*0.95+0.05*46323,46323/Projects!$D$2*0.95),0)+IF(AND(Projects!$G$3="Yes",43&gt;=Projects!$C$3,43&lt;Projects!$C$3+Projects!$D$3),IF(43=Projects!$C$3+Projects!$D$3-1,176626/Projects!$D$3*0.95+0.05*176626,176626/Projects!$D$3*0.95),0)+IF(AND(Projects!$G$4="Yes",43&gt;=Projects!$C$4,43&lt;Projects!$C$4+Projects!$D$4),IF(43=Projects!$C$4+Projects!$D$4-1,Projects!$B$4*Assumptions!$B$12/Projects!$D$4*0.95+0.05*Projects!$B$4*Assumptions!$B$12,Projects!$B$4*Assumptions!$B$12/Projects!$D$4*0.95),0)+IF(AND(Projects!$G$5="Yes",43&gt;=Projects!$C$5,43&lt;Projects!$C$5+Projects!$D$5),IF(43=Projects!$C$5+Projects!$D$5-1,Projects!$B$5*Assumptions!$B$12/Projects!$D$5*0.95+0.05*Projects!$B$5*Assumptions!$B$12,Projects!$B$5*Assumptions!$B$12/Projects!$D$5*0.95),0)+IF(AND(Projects!$G$6="Yes",43&gt;=Projects!$C$6,43&lt;Projects!$C$6+Projects!$D$6),IF(43=Projects!$C$6+Projects!$D$6-1,0/Projects!$D$6*0.95+0.05*0,0/Projects!$D$6*0.95),0)+IF(AND(Projects!$G$7="Yes",43&gt;=Projects!$C$7,43&lt;Projects!$C$7+Projects!$D$7),IF(43=Projects!$C$7+Projects!$D$7-1,Projects!$B$7*Assumptions!$B$12/Projects!$D$7*0.95+0.05*Projects!$B$7*Assumptions!$B$12,Projects!$B$7*Assumptions!$B$12/Projects!$D$7*0.95),0)+IF(AND(Projects!$G$8="Yes",43&gt;=Projects!$C$8,43&lt;Projects!$C$8+Projects!$D$8),IF(43=Projects!$C$8+Projects!$D$8-1,Projects!$B$8*Assumptions!$B$12/Projects!$D$8*0.95+0.05*Projects!$B$8*Assumptions!$B$12,Projects!$B$8*Assumptions!$B$12/Projects!$D$8*0.95),0)+IF(AND(Projects!$G$9="Yes",43&gt;=Projects!$C$9,43&lt;Projects!$C$9+Projects!$D$9),IF(43=Projects!$C$9+Projects!$D$9-1,Projects!$B$9*Assumptions!$B$12/Projects!$D$9*0.95+0.05*Projects!$B$9*Assumptions!$B$12,Projects!$B$9*Assumptions!$B$12/Projects!$D$9*0.95),0)+IF(AND(Projects!$G$10="Yes",43&gt;=Projects!$C$10,43&lt;Projects!$C$10+Projects!$D$10),IF(43=Projects!$C$10+Projects!$D$10-1,Projects!$B$10*Assumptions!$B$12/Projects!$D$10*0.95+0.05*Projects!$B$10*Assumptions!$B$12,Projects!$B$10*Assumptions!$B$12/Projects!$D$10*0.95),0)+IF(AND(Projects!$G$11="Yes",43&gt;=Projects!$C$11,43&lt;Projects!$C$11+Projects!$D$11),IF(43=Projects!$C$11+Projects!$D$11-1,Projects!$B$11*Assumptions!$B$12/Projects!$D$11*0.95+0.05*Projects!$B$11*Assumptions!$B$12,Projects!$B$11*Assumptions!$B$12/Projects!$D$11*0.95),0)+IF(AND(Projects!$G$12="Yes",43&gt;=Projects!$C$12,43&lt;Projects!$C$12+Projects!$D$12),IF(43=Projects!$C$12+Projects!$D$12-1,Projects!$B$12*Assumptions!$B$12/Projects!$D$12*0.95+0.05*Projects!$B$12*Assumptions!$B$12,Projects!$B$12*Assumptions!$B$12/Projects!$D$12*0.95),0)+IF(AND(Projects!$G$13="Yes",43&gt;=Projects!$C$13,43&lt;Projects!$C$13+Projects!$D$13),IF(43=Projects!$C$13+Projects!$D$13-1,Projects!$B$13*Assumptions!$B$12/Projects!$D$13*0.95+0.05*Projects!$B$13*Assumptions!$B$12,Projects!$B$13*Assumptions!$B$12/Projects!$D$13*0.95),0)+IF(AND(Projects!$G$14="Yes",43&gt;=Projects!$C$14,43&lt;Projects!$C$14+Projects!$D$14),IF(43=Projects!$C$14+Projects!$D$14-1,Projects!$B$14*Assumptions!$B$12/Projects!$D$14*0.95+0.05*Projects!$B$14*Assumptions!$B$12,Projects!$B$14*Assumptions!$B$12/Projects!$D$14*0.95),0)+IF(AND(Projects!$G$15="Yes",43&gt;=Projects!$C$15,43&lt;Projects!$C$15+Projects!$D$15),IF(43=Projects!$C$15+Projects!$D$15-1,Projects!$B$15*Assumptions!$B$12/Projects!$D$15*0.95+0.05*Projects!$B$15*Assumptions!$B$12,Projects!$B$15*Assumptions!$B$12/Projects!$D$15*0.95),0)+IF(AND(Projects!$G$16="Yes",43&gt;=Projects!$C$16,43&lt;Projects!$C$16+Projects!$D$16),IF(43=Projects!$C$16+Projects!$D$16-1,Projects!$B$16*Assumptions!$B$12/Projects!$D$16*0.95+0.05*Projects!$B$16*Assumptions!$B$12,Projects!$B$16*Assumptions!$B$12/Projects!$D$16*0.95),0)</f>
        <v>21259.14523809524</v>
      </c>
      <c r="AT10" s="8">
        <f>IF(AND(Projects!$G$2="Yes",44&gt;=Projects!$C$2,44&lt;Projects!$C$2+Projects!$D$2),IF(44=Projects!$C$2+Projects!$D$2-1,46323/Projects!$D$2*0.95+0.05*46323,46323/Projects!$D$2*0.95),0)+IF(AND(Projects!$G$3="Yes",44&gt;=Projects!$C$3,44&lt;Projects!$C$3+Projects!$D$3),IF(44=Projects!$C$3+Projects!$D$3-1,176626/Projects!$D$3*0.95+0.05*176626,176626/Projects!$D$3*0.95),0)+IF(AND(Projects!$G$4="Yes",44&gt;=Projects!$C$4,44&lt;Projects!$C$4+Projects!$D$4),IF(44=Projects!$C$4+Projects!$D$4-1,Projects!$B$4*Assumptions!$B$12/Projects!$D$4*0.95+0.05*Projects!$B$4*Assumptions!$B$12,Projects!$B$4*Assumptions!$B$12/Projects!$D$4*0.95),0)+IF(AND(Projects!$G$5="Yes",44&gt;=Projects!$C$5,44&lt;Projects!$C$5+Projects!$D$5),IF(44=Projects!$C$5+Projects!$D$5-1,Projects!$B$5*Assumptions!$B$12/Projects!$D$5*0.95+0.05*Projects!$B$5*Assumptions!$B$12,Projects!$B$5*Assumptions!$B$12/Projects!$D$5*0.95),0)+IF(AND(Projects!$G$6="Yes",44&gt;=Projects!$C$6,44&lt;Projects!$C$6+Projects!$D$6),IF(44=Projects!$C$6+Projects!$D$6-1,0/Projects!$D$6*0.95+0.05*0,0/Projects!$D$6*0.95),0)+IF(AND(Projects!$G$7="Yes",44&gt;=Projects!$C$7,44&lt;Projects!$C$7+Projects!$D$7),IF(44=Projects!$C$7+Projects!$D$7-1,Projects!$B$7*Assumptions!$B$12/Projects!$D$7*0.95+0.05*Projects!$B$7*Assumptions!$B$12,Projects!$B$7*Assumptions!$B$12/Projects!$D$7*0.95),0)+IF(AND(Projects!$G$8="Yes",44&gt;=Projects!$C$8,44&lt;Projects!$C$8+Projects!$D$8),IF(44=Projects!$C$8+Projects!$D$8-1,Projects!$B$8*Assumptions!$B$12/Projects!$D$8*0.95+0.05*Projects!$B$8*Assumptions!$B$12,Projects!$B$8*Assumptions!$B$12/Projects!$D$8*0.95),0)+IF(AND(Projects!$G$9="Yes",44&gt;=Projects!$C$9,44&lt;Projects!$C$9+Projects!$D$9),IF(44=Projects!$C$9+Projects!$D$9-1,Projects!$B$9*Assumptions!$B$12/Projects!$D$9*0.95+0.05*Projects!$B$9*Assumptions!$B$12,Projects!$B$9*Assumptions!$B$12/Projects!$D$9*0.95),0)+IF(AND(Projects!$G$10="Yes",44&gt;=Projects!$C$10,44&lt;Projects!$C$10+Projects!$D$10),IF(44=Projects!$C$10+Projects!$D$10-1,Projects!$B$10*Assumptions!$B$12/Projects!$D$10*0.95+0.05*Projects!$B$10*Assumptions!$B$12,Projects!$B$10*Assumptions!$B$12/Projects!$D$10*0.95),0)+IF(AND(Projects!$G$11="Yes",44&gt;=Projects!$C$11,44&lt;Projects!$C$11+Projects!$D$11),IF(44=Projects!$C$11+Projects!$D$11-1,Projects!$B$11*Assumptions!$B$12/Projects!$D$11*0.95+0.05*Projects!$B$11*Assumptions!$B$12,Projects!$B$11*Assumptions!$B$12/Projects!$D$11*0.95),0)+IF(AND(Projects!$G$12="Yes",44&gt;=Projects!$C$12,44&lt;Projects!$C$12+Projects!$D$12),IF(44=Projects!$C$12+Projects!$D$12-1,Projects!$B$12*Assumptions!$B$12/Projects!$D$12*0.95+0.05*Projects!$B$12*Assumptions!$B$12,Projects!$B$12*Assumptions!$B$12/Projects!$D$12*0.95),0)+IF(AND(Projects!$G$13="Yes",44&gt;=Projects!$C$13,44&lt;Projects!$C$13+Projects!$D$13),IF(44=Projects!$C$13+Projects!$D$13-1,Projects!$B$13*Assumptions!$B$12/Projects!$D$13*0.95+0.05*Projects!$B$13*Assumptions!$B$12,Projects!$B$13*Assumptions!$B$12/Projects!$D$13*0.95),0)+IF(AND(Projects!$G$14="Yes",44&gt;=Projects!$C$14,44&lt;Projects!$C$14+Projects!$D$14),IF(44=Projects!$C$14+Projects!$D$14-1,Projects!$B$14*Assumptions!$B$12/Projects!$D$14*0.95+0.05*Projects!$B$14*Assumptions!$B$12,Projects!$B$14*Assumptions!$B$12/Projects!$D$14*0.95),0)+IF(AND(Projects!$G$15="Yes",44&gt;=Projects!$C$15,44&lt;Projects!$C$15+Projects!$D$15),IF(44=Projects!$C$15+Projects!$D$15-1,Projects!$B$15*Assumptions!$B$12/Projects!$D$15*0.95+0.05*Projects!$B$15*Assumptions!$B$12,Projects!$B$15*Assumptions!$B$12/Projects!$D$15*0.95),0)+IF(AND(Projects!$G$16="Yes",44&gt;=Projects!$C$16,44&lt;Projects!$C$16+Projects!$D$16),IF(44=Projects!$C$16+Projects!$D$16-1,Projects!$B$16*Assumptions!$B$12/Projects!$D$16*0.95+0.05*Projects!$B$16*Assumptions!$B$12,Projects!$B$16*Assumptions!$B$12/Projects!$D$16*0.95),0)</f>
        <v>21259.14523809524</v>
      </c>
      <c r="AU10" s="8">
        <f>IF(AND(Projects!$G$2="Yes",45&gt;=Projects!$C$2,45&lt;Projects!$C$2+Projects!$D$2),IF(45=Projects!$C$2+Projects!$D$2-1,46323/Projects!$D$2*0.95+0.05*46323,46323/Projects!$D$2*0.95),0)+IF(AND(Projects!$G$3="Yes",45&gt;=Projects!$C$3,45&lt;Projects!$C$3+Projects!$D$3),IF(45=Projects!$C$3+Projects!$D$3-1,176626/Projects!$D$3*0.95+0.05*176626,176626/Projects!$D$3*0.95),0)+IF(AND(Projects!$G$4="Yes",45&gt;=Projects!$C$4,45&lt;Projects!$C$4+Projects!$D$4),IF(45=Projects!$C$4+Projects!$D$4-1,Projects!$B$4*Assumptions!$B$12/Projects!$D$4*0.95+0.05*Projects!$B$4*Assumptions!$B$12,Projects!$B$4*Assumptions!$B$12/Projects!$D$4*0.95),0)+IF(AND(Projects!$G$5="Yes",45&gt;=Projects!$C$5,45&lt;Projects!$C$5+Projects!$D$5),IF(45=Projects!$C$5+Projects!$D$5-1,Projects!$B$5*Assumptions!$B$12/Projects!$D$5*0.95+0.05*Projects!$B$5*Assumptions!$B$12,Projects!$B$5*Assumptions!$B$12/Projects!$D$5*0.95),0)+IF(AND(Projects!$G$6="Yes",45&gt;=Projects!$C$6,45&lt;Projects!$C$6+Projects!$D$6),IF(45=Projects!$C$6+Projects!$D$6-1,0/Projects!$D$6*0.95+0.05*0,0/Projects!$D$6*0.95),0)+IF(AND(Projects!$G$7="Yes",45&gt;=Projects!$C$7,45&lt;Projects!$C$7+Projects!$D$7),IF(45=Projects!$C$7+Projects!$D$7-1,Projects!$B$7*Assumptions!$B$12/Projects!$D$7*0.95+0.05*Projects!$B$7*Assumptions!$B$12,Projects!$B$7*Assumptions!$B$12/Projects!$D$7*0.95),0)+IF(AND(Projects!$G$8="Yes",45&gt;=Projects!$C$8,45&lt;Projects!$C$8+Projects!$D$8),IF(45=Projects!$C$8+Projects!$D$8-1,Projects!$B$8*Assumptions!$B$12/Projects!$D$8*0.95+0.05*Projects!$B$8*Assumptions!$B$12,Projects!$B$8*Assumptions!$B$12/Projects!$D$8*0.95),0)+IF(AND(Projects!$G$9="Yes",45&gt;=Projects!$C$9,45&lt;Projects!$C$9+Projects!$D$9),IF(45=Projects!$C$9+Projects!$D$9-1,Projects!$B$9*Assumptions!$B$12/Projects!$D$9*0.95+0.05*Projects!$B$9*Assumptions!$B$12,Projects!$B$9*Assumptions!$B$12/Projects!$D$9*0.95),0)+IF(AND(Projects!$G$10="Yes",45&gt;=Projects!$C$10,45&lt;Projects!$C$10+Projects!$D$10),IF(45=Projects!$C$10+Projects!$D$10-1,Projects!$B$10*Assumptions!$B$12/Projects!$D$10*0.95+0.05*Projects!$B$10*Assumptions!$B$12,Projects!$B$10*Assumptions!$B$12/Projects!$D$10*0.95),0)+IF(AND(Projects!$G$11="Yes",45&gt;=Projects!$C$11,45&lt;Projects!$C$11+Projects!$D$11),IF(45=Projects!$C$11+Projects!$D$11-1,Projects!$B$11*Assumptions!$B$12/Projects!$D$11*0.95+0.05*Projects!$B$11*Assumptions!$B$12,Projects!$B$11*Assumptions!$B$12/Projects!$D$11*0.95),0)+IF(AND(Projects!$G$12="Yes",45&gt;=Projects!$C$12,45&lt;Projects!$C$12+Projects!$D$12),IF(45=Projects!$C$12+Projects!$D$12-1,Projects!$B$12*Assumptions!$B$12/Projects!$D$12*0.95+0.05*Projects!$B$12*Assumptions!$B$12,Projects!$B$12*Assumptions!$B$12/Projects!$D$12*0.95),0)+IF(AND(Projects!$G$13="Yes",45&gt;=Projects!$C$13,45&lt;Projects!$C$13+Projects!$D$13),IF(45=Projects!$C$13+Projects!$D$13-1,Projects!$B$13*Assumptions!$B$12/Projects!$D$13*0.95+0.05*Projects!$B$13*Assumptions!$B$12,Projects!$B$13*Assumptions!$B$12/Projects!$D$13*0.95),0)+IF(AND(Projects!$G$14="Yes",45&gt;=Projects!$C$14,45&lt;Projects!$C$14+Projects!$D$14),IF(45=Projects!$C$14+Projects!$D$14-1,Projects!$B$14*Assumptions!$B$12/Projects!$D$14*0.95+0.05*Projects!$B$14*Assumptions!$B$12,Projects!$B$14*Assumptions!$B$12/Projects!$D$14*0.95),0)+IF(AND(Projects!$G$15="Yes",45&gt;=Projects!$C$15,45&lt;Projects!$C$15+Projects!$D$15),IF(45=Projects!$C$15+Projects!$D$15-1,Projects!$B$15*Assumptions!$B$12/Projects!$D$15*0.95+0.05*Projects!$B$15*Assumptions!$B$12,Projects!$B$15*Assumptions!$B$12/Projects!$D$15*0.95),0)+IF(AND(Projects!$G$16="Yes",45&gt;=Projects!$C$16,45&lt;Projects!$C$16+Projects!$D$16),IF(45=Projects!$C$16+Projects!$D$16-1,Projects!$B$16*Assumptions!$B$12/Projects!$D$16*0.95+0.05*Projects!$B$16*Assumptions!$B$12,Projects!$B$16*Assumptions!$B$12/Projects!$D$16*0.95),0)</f>
        <v>21259.14523809524</v>
      </c>
      <c r="AV10" s="8">
        <f>IF(AND(Projects!$G$2="Yes",46&gt;=Projects!$C$2,46&lt;Projects!$C$2+Projects!$D$2),IF(46=Projects!$C$2+Projects!$D$2-1,46323/Projects!$D$2*0.95+0.05*46323,46323/Projects!$D$2*0.95),0)+IF(AND(Projects!$G$3="Yes",46&gt;=Projects!$C$3,46&lt;Projects!$C$3+Projects!$D$3),IF(46=Projects!$C$3+Projects!$D$3-1,176626/Projects!$D$3*0.95+0.05*176626,176626/Projects!$D$3*0.95),0)+IF(AND(Projects!$G$4="Yes",46&gt;=Projects!$C$4,46&lt;Projects!$C$4+Projects!$D$4),IF(46=Projects!$C$4+Projects!$D$4-1,Projects!$B$4*Assumptions!$B$12/Projects!$D$4*0.95+0.05*Projects!$B$4*Assumptions!$B$12,Projects!$B$4*Assumptions!$B$12/Projects!$D$4*0.95),0)+IF(AND(Projects!$G$5="Yes",46&gt;=Projects!$C$5,46&lt;Projects!$C$5+Projects!$D$5),IF(46=Projects!$C$5+Projects!$D$5-1,Projects!$B$5*Assumptions!$B$12/Projects!$D$5*0.95+0.05*Projects!$B$5*Assumptions!$B$12,Projects!$B$5*Assumptions!$B$12/Projects!$D$5*0.95),0)+IF(AND(Projects!$G$6="Yes",46&gt;=Projects!$C$6,46&lt;Projects!$C$6+Projects!$D$6),IF(46=Projects!$C$6+Projects!$D$6-1,0/Projects!$D$6*0.95+0.05*0,0/Projects!$D$6*0.95),0)+IF(AND(Projects!$G$7="Yes",46&gt;=Projects!$C$7,46&lt;Projects!$C$7+Projects!$D$7),IF(46=Projects!$C$7+Projects!$D$7-1,Projects!$B$7*Assumptions!$B$12/Projects!$D$7*0.95+0.05*Projects!$B$7*Assumptions!$B$12,Projects!$B$7*Assumptions!$B$12/Projects!$D$7*0.95),0)+IF(AND(Projects!$G$8="Yes",46&gt;=Projects!$C$8,46&lt;Projects!$C$8+Projects!$D$8),IF(46=Projects!$C$8+Projects!$D$8-1,Projects!$B$8*Assumptions!$B$12/Projects!$D$8*0.95+0.05*Projects!$B$8*Assumptions!$B$12,Projects!$B$8*Assumptions!$B$12/Projects!$D$8*0.95),0)+IF(AND(Projects!$G$9="Yes",46&gt;=Projects!$C$9,46&lt;Projects!$C$9+Projects!$D$9),IF(46=Projects!$C$9+Projects!$D$9-1,Projects!$B$9*Assumptions!$B$12/Projects!$D$9*0.95+0.05*Projects!$B$9*Assumptions!$B$12,Projects!$B$9*Assumptions!$B$12/Projects!$D$9*0.95),0)+IF(AND(Projects!$G$10="Yes",46&gt;=Projects!$C$10,46&lt;Projects!$C$10+Projects!$D$10),IF(46=Projects!$C$10+Projects!$D$10-1,Projects!$B$10*Assumptions!$B$12/Projects!$D$10*0.95+0.05*Projects!$B$10*Assumptions!$B$12,Projects!$B$10*Assumptions!$B$12/Projects!$D$10*0.95),0)+IF(AND(Projects!$G$11="Yes",46&gt;=Projects!$C$11,46&lt;Projects!$C$11+Projects!$D$11),IF(46=Projects!$C$11+Projects!$D$11-1,Projects!$B$11*Assumptions!$B$12/Projects!$D$11*0.95+0.05*Projects!$B$11*Assumptions!$B$12,Projects!$B$11*Assumptions!$B$12/Projects!$D$11*0.95),0)+IF(AND(Projects!$G$12="Yes",46&gt;=Projects!$C$12,46&lt;Projects!$C$12+Projects!$D$12),IF(46=Projects!$C$12+Projects!$D$12-1,Projects!$B$12*Assumptions!$B$12/Projects!$D$12*0.95+0.05*Projects!$B$12*Assumptions!$B$12,Projects!$B$12*Assumptions!$B$12/Projects!$D$12*0.95),0)+IF(AND(Projects!$G$13="Yes",46&gt;=Projects!$C$13,46&lt;Projects!$C$13+Projects!$D$13),IF(46=Projects!$C$13+Projects!$D$13-1,Projects!$B$13*Assumptions!$B$12/Projects!$D$13*0.95+0.05*Projects!$B$13*Assumptions!$B$12,Projects!$B$13*Assumptions!$B$12/Projects!$D$13*0.95),0)+IF(AND(Projects!$G$14="Yes",46&gt;=Projects!$C$14,46&lt;Projects!$C$14+Projects!$D$14),IF(46=Projects!$C$14+Projects!$D$14-1,Projects!$B$14*Assumptions!$B$12/Projects!$D$14*0.95+0.05*Projects!$B$14*Assumptions!$B$12,Projects!$B$14*Assumptions!$B$12/Projects!$D$14*0.95),0)+IF(AND(Projects!$G$15="Yes",46&gt;=Projects!$C$15,46&lt;Projects!$C$15+Projects!$D$15),IF(46=Projects!$C$15+Projects!$D$15-1,Projects!$B$15*Assumptions!$B$12/Projects!$D$15*0.95+0.05*Projects!$B$15*Assumptions!$B$12,Projects!$B$15*Assumptions!$B$12/Projects!$D$15*0.95),0)+IF(AND(Projects!$G$16="Yes",46&gt;=Projects!$C$16,46&lt;Projects!$C$16+Projects!$D$16),IF(46=Projects!$C$16+Projects!$D$16-1,Projects!$B$16*Assumptions!$B$12/Projects!$D$16*0.95+0.05*Projects!$B$16*Assumptions!$B$12,Projects!$B$16*Assumptions!$B$12/Projects!$D$16*0.95),0)</f>
        <v>21259.14523809524</v>
      </c>
      <c r="AW10" s="8">
        <f>IF(AND(Projects!$G$2="Yes",47&gt;=Projects!$C$2,47&lt;Projects!$C$2+Projects!$D$2),IF(47=Projects!$C$2+Projects!$D$2-1,46323/Projects!$D$2*0.95+0.05*46323,46323/Projects!$D$2*0.95),0)+IF(AND(Projects!$G$3="Yes",47&gt;=Projects!$C$3,47&lt;Projects!$C$3+Projects!$D$3),IF(47=Projects!$C$3+Projects!$D$3-1,176626/Projects!$D$3*0.95+0.05*176626,176626/Projects!$D$3*0.95),0)+IF(AND(Projects!$G$4="Yes",47&gt;=Projects!$C$4,47&lt;Projects!$C$4+Projects!$D$4),IF(47=Projects!$C$4+Projects!$D$4-1,Projects!$B$4*Assumptions!$B$12/Projects!$D$4*0.95+0.05*Projects!$B$4*Assumptions!$B$12,Projects!$B$4*Assumptions!$B$12/Projects!$D$4*0.95),0)+IF(AND(Projects!$G$5="Yes",47&gt;=Projects!$C$5,47&lt;Projects!$C$5+Projects!$D$5),IF(47=Projects!$C$5+Projects!$D$5-1,Projects!$B$5*Assumptions!$B$12/Projects!$D$5*0.95+0.05*Projects!$B$5*Assumptions!$B$12,Projects!$B$5*Assumptions!$B$12/Projects!$D$5*0.95),0)+IF(AND(Projects!$G$6="Yes",47&gt;=Projects!$C$6,47&lt;Projects!$C$6+Projects!$D$6),IF(47=Projects!$C$6+Projects!$D$6-1,0/Projects!$D$6*0.95+0.05*0,0/Projects!$D$6*0.95),0)+IF(AND(Projects!$G$7="Yes",47&gt;=Projects!$C$7,47&lt;Projects!$C$7+Projects!$D$7),IF(47=Projects!$C$7+Projects!$D$7-1,Projects!$B$7*Assumptions!$B$12/Projects!$D$7*0.95+0.05*Projects!$B$7*Assumptions!$B$12,Projects!$B$7*Assumptions!$B$12/Projects!$D$7*0.95),0)+IF(AND(Projects!$G$8="Yes",47&gt;=Projects!$C$8,47&lt;Projects!$C$8+Projects!$D$8),IF(47=Projects!$C$8+Projects!$D$8-1,Projects!$B$8*Assumptions!$B$12/Projects!$D$8*0.95+0.05*Projects!$B$8*Assumptions!$B$12,Projects!$B$8*Assumptions!$B$12/Projects!$D$8*0.95),0)+IF(AND(Projects!$G$9="Yes",47&gt;=Projects!$C$9,47&lt;Projects!$C$9+Projects!$D$9),IF(47=Projects!$C$9+Projects!$D$9-1,Projects!$B$9*Assumptions!$B$12/Projects!$D$9*0.95+0.05*Projects!$B$9*Assumptions!$B$12,Projects!$B$9*Assumptions!$B$12/Projects!$D$9*0.95),0)+IF(AND(Projects!$G$10="Yes",47&gt;=Projects!$C$10,47&lt;Projects!$C$10+Projects!$D$10),IF(47=Projects!$C$10+Projects!$D$10-1,Projects!$B$10*Assumptions!$B$12/Projects!$D$10*0.95+0.05*Projects!$B$10*Assumptions!$B$12,Projects!$B$10*Assumptions!$B$12/Projects!$D$10*0.95),0)+IF(AND(Projects!$G$11="Yes",47&gt;=Projects!$C$11,47&lt;Projects!$C$11+Projects!$D$11),IF(47=Projects!$C$11+Projects!$D$11-1,Projects!$B$11*Assumptions!$B$12/Projects!$D$11*0.95+0.05*Projects!$B$11*Assumptions!$B$12,Projects!$B$11*Assumptions!$B$12/Projects!$D$11*0.95),0)+IF(AND(Projects!$G$12="Yes",47&gt;=Projects!$C$12,47&lt;Projects!$C$12+Projects!$D$12),IF(47=Projects!$C$12+Projects!$D$12-1,Projects!$B$12*Assumptions!$B$12/Projects!$D$12*0.95+0.05*Projects!$B$12*Assumptions!$B$12,Projects!$B$12*Assumptions!$B$12/Projects!$D$12*0.95),0)+IF(AND(Projects!$G$13="Yes",47&gt;=Projects!$C$13,47&lt;Projects!$C$13+Projects!$D$13),IF(47=Projects!$C$13+Projects!$D$13-1,Projects!$B$13*Assumptions!$B$12/Projects!$D$13*0.95+0.05*Projects!$B$13*Assumptions!$B$12,Projects!$B$13*Assumptions!$B$12/Projects!$D$13*0.95),0)+IF(AND(Projects!$G$14="Yes",47&gt;=Projects!$C$14,47&lt;Projects!$C$14+Projects!$D$14),IF(47=Projects!$C$14+Projects!$D$14-1,Projects!$B$14*Assumptions!$B$12/Projects!$D$14*0.95+0.05*Projects!$B$14*Assumptions!$B$12,Projects!$B$14*Assumptions!$B$12/Projects!$D$14*0.95),0)+IF(AND(Projects!$G$15="Yes",47&gt;=Projects!$C$15,47&lt;Projects!$C$15+Projects!$D$15),IF(47=Projects!$C$15+Projects!$D$15-1,Projects!$B$15*Assumptions!$B$12/Projects!$D$15*0.95+0.05*Projects!$B$15*Assumptions!$B$12,Projects!$B$15*Assumptions!$B$12/Projects!$D$15*0.95),0)+IF(AND(Projects!$G$16="Yes",47&gt;=Projects!$C$16,47&lt;Projects!$C$16+Projects!$D$16),IF(47=Projects!$C$16+Projects!$D$16-1,Projects!$B$16*Assumptions!$B$12/Projects!$D$16*0.95+0.05*Projects!$B$16*Assumptions!$B$12,Projects!$B$16*Assumptions!$B$12/Projects!$D$16*0.95),0)</f>
        <v>21259.14523809524</v>
      </c>
      <c r="AX10" s="8">
        <f>IF(AND(Projects!$G$2="Yes",48&gt;=Projects!$C$2,48&lt;Projects!$C$2+Projects!$D$2),IF(48=Projects!$C$2+Projects!$D$2-1,46323/Projects!$D$2*0.95+0.05*46323,46323/Projects!$D$2*0.95),0)+IF(AND(Projects!$G$3="Yes",48&gt;=Projects!$C$3,48&lt;Projects!$C$3+Projects!$D$3),IF(48=Projects!$C$3+Projects!$D$3-1,176626/Projects!$D$3*0.95+0.05*176626,176626/Projects!$D$3*0.95),0)+IF(AND(Projects!$G$4="Yes",48&gt;=Projects!$C$4,48&lt;Projects!$C$4+Projects!$D$4),IF(48=Projects!$C$4+Projects!$D$4-1,Projects!$B$4*Assumptions!$B$12/Projects!$D$4*0.95+0.05*Projects!$B$4*Assumptions!$B$12,Projects!$B$4*Assumptions!$B$12/Projects!$D$4*0.95),0)+IF(AND(Projects!$G$5="Yes",48&gt;=Projects!$C$5,48&lt;Projects!$C$5+Projects!$D$5),IF(48=Projects!$C$5+Projects!$D$5-1,Projects!$B$5*Assumptions!$B$12/Projects!$D$5*0.95+0.05*Projects!$B$5*Assumptions!$B$12,Projects!$B$5*Assumptions!$B$12/Projects!$D$5*0.95),0)+IF(AND(Projects!$G$6="Yes",48&gt;=Projects!$C$6,48&lt;Projects!$C$6+Projects!$D$6),IF(48=Projects!$C$6+Projects!$D$6-1,0/Projects!$D$6*0.95+0.05*0,0/Projects!$D$6*0.95),0)+IF(AND(Projects!$G$7="Yes",48&gt;=Projects!$C$7,48&lt;Projects!$C$7+Projects!$D$7),IF(48=Projects!$C$7+Projects!$D$7-1,Projects!$B$7*Assumptions!$B$12/Projects!$D$7*0.95+0.05*Projects!$B$7*Assumptions!$B$12,Projects!$B$7*Assumptions!$B$12/Projects!$D$7*0.95),0)+IF(AND(Projects!$G$8="Yes",48&gt;=Projects!$C$8,48&lt;Projects!$C$8+Projects!$D$8),IF(48=Projects!$C$8+Projects!$D$8-1,Projects!$B$8*Assumptions!$B$12/Projects!$D$8*0.95+0.05*Projects!$B$8*Assumptions!$B$12,Projects!$B$8*Assumptions!$B$12/Projects!$D$8*0.95),0)+IF(AND(Projects!$G$9="Yes",48&gt;=Projects!$C$9,48&lt;Projects!$C$9+Projects!$D$9),IF(48=Projects!$C$9+Projects!$D$9-1,Projects!$B$9*Assumptions!$B$12/Projects!$D$9*0.95+0.05*Projects!$B$9*Assumptions!$B$12,Projects!$B$9*Assumptions!$B$12/Projects!$D$9*0.95),0)+IF(AND(Projects!$G$10="Yes",48&gt;=Projects!$C$10,48&lt;Projects!$C$10+Projects!$D$10),IF(48=Projects!$C$10+Projects!$D$10-1,Projects!$B$10*Assumptions!$B$12/Projects!$D$10*0.95+0.05*Projects!$B$10*Assumptions!$B$12,Projects!$B$10*Assumptions!$B$12/Projects!$D$10*0.95),0)+IF(AND(Projects!$G$11="Yes",48&gt;=Projects!$C$11,48&lt;Projects!$C$11+Projects!$D$11),IF(48=Projects!$C$11+Projects!$D$11-1,Projects!$B$11*Assumptions!$B$12/Projects!$D$11*0.95+0.05*Projects!$B$11*Assumptions!$B$12,Projects!$B$11*Assumptions!$B$12/Projects!$D$11*0.95),0)+IF(AND(Projects!$G$12="Yes",48&gt;=Projects!$C$12,48&lt;Projects!$C$12+Projects!$D$12),IF(48=Projects!$C$12+Projects!$D$12-1,Projects!$B$12*Assumptions!$B$12/Projects!$D$12*0.95+0.05*Projects!$B$12*Assumptions!$B$12,Projects!$B$12*Assumptions!$B$12/Projects!$D$12*0.95),0)+IF(AND(Projects!$G$13="Yes",48&gt;=Projects!$C$13,48&lt;Projects!$C$13+Projects!$D$13),IF(48=Projects!$C$13+Projects!$D$13-1,Projects!$B$13*Assumptions!$B$12/Projects!$D$13*0.95+0.05*Projects!$B$13*Assumptions!$B$12,Projects!$B$13*Assumptions!$B$12/Projects!$D$13*0.95),0)+IF(AND(Projects!$G$14="Yes",48&gt;=Projects!$C$14,48&lt;Projects!$C$14+Projects!$D$14),IF(48=Projects!$C$14+Projects!$D$14-1,Projects!$B$14*Assumptions!$B$12/Projects!$D$14*0.95+0.05*Projects!$B$14*Assumptions!$B$12,Projects!$B$14*Assumptions!$B$12/Projects!$D$14*0.95),0)+IF(AND(Projects!$G$15="Yes",48&gt;=Projects!$C$15,48&lt;Projects!$C$15+Projects!$D$15),IF(48=Projects!$C$15+Projects!$D$15-1,Projects!$B$15*Assumptions!$B$12/Projects!$D$15*0.95+0.05*Projects!$B$15*Assumptions!$B$12,Projects!$B$15*Assumptions!$B$12/Projects!$D$15*0.95),0)+IF(AND(Projects!$G$16="Yes",48&gt;=Projects!$C$16,48&lt;Projects!$C$16+Projects!$D$16),IF(48=Projects!$C$16+Projects!$D$16-1,Projects!$B$16*Assumptions!$B$12/Projects!$D$16*0.95+0.05*Projects!$B$16*Assumptions!$B$12,Projects!$B$16*Assumptions!$B$12/Projects!$D$16*0.95),0)</f>
        <v>21259.14523809524</v>
      </c>
      <c r="AY10" s="8">
        <f>IF(AND(Projects!$G$2="Yes",49&gt;=Projects!$C$2,49&lt;Projects!$C$2+Projects!$D$2),IF(49=Projects!$C$2+Projects!$D$2-1,46323/Projects!$D$2*0.95+0.05*46323,46323/Projects!$D$2*0.95),0)+IF(AND(Projects!$G$3="Yes",49&gt;=Projects!$C$3,49&lt;Projects!$C$3+Projects!$D$3),IF(49=Projects!$C$3+Projects!$D$3-1,176626/Projects!$D$3*0.95+0.05*176626,176626/Projects!$D$3*0.95),0)+IF(AND(Projects!$G$4="Yes",49&gt;=Projects!$C$4,49&lt;Projects!$C$4+Projects!$D$4),IF(49=Projects!$C$4+Projects!$D$4-1,Projects!$B$4*Assumptions!$B$12/Projects!$D$4*0.95+0.05*Projects!$B$4*Assumptions!$B$12,Projects!$B$4*Assumptions!$B$12/Projects!$D$4*0.95),0)+IF(AND(Projects!$G$5="Yes",49&gt;=Projects!$C$5,49&lt;Projects!$C$5+Projects!$D$5),IF(49=Projects!$C$5+Projects!$D$5-1,Projects!$B$5*Assumptions!$B$12/Projects!$D$5*0.95+0.05*Projects!$B$5*Assumptions!$B$12,Projects!$B$5*Assumptions!$B$12/Projects!$D$5*0.95),0)+IF(AND(Projects!$G$6="Yes",49&gt;=Projects!$C$6,49&lt;Projects!$C$6+Projects!$D$6),IF(49=Projects!$C$6+Projects!$D$6-1,0/Projects!$D$6*0.95+0.05*0,0/Projects!$D$6*0.95),0)+IF(AND(Projects!$G$7="Yes",49&gt;=Projects!$C$7,49&lt;Projects!$C$7+Projects!$D$7),IF(49=Projects!$C$7+Projects!$D$7-1,Projects!$B$7*Assumptions!$B$12/Projects!$D$7*0.95+0.05*Projects!$B$7*Assumptions!$B$12,Projects!$B$7*Assumptions!$B$12/Projects!$D$7*0.95),0)+IF(AND(Projects!$G$8="Yes",49&gt;=Projects!$C$8,49&lt;Projects!$C$8+Projects!$D$8),IF(49=Projects!$C$8+Projects!$D$8-1,Projects!$B$8*Assumptions!$B$12/Projects!$D$8*0.95+0.05*Projects!$B$8*Assumptions!$B$12,Projects!$B$8*Assumptions!$B$12/Projects!$D$8*0.95),0)+IF(AND(Projects!$G$9="Yes",49&gt;=Projects!$C$9,49&lt;Projects!$C$9+Projects!$D$9),IF(49=Projects!$C$9+Projects!$D$9-1,Projects!$B$9*Assumptions!$B$12/Projects!$D$9*0.95+0.05*Projects!$B$9*Assumptions!$B$12,Projects!$B$9*Assumptions!$B$12/Projects!$D$9*0.95),0)+IF(AND(Projects!$G$10="Yes",49&gt;=Projects!$C$10,49&lt;Projects!$C$10+Projects!$D$10),IF(49=Projects!$C$10+Projects!$D$10-1,Projects!$B$10*Assumptions!$B$12/Projects!$D$10*0.95+0.05*Projects!$B$10*Assumptions!$B$12,Projects!$B$10*Assumptions!$B$12/Projects!$D$10*0.95),0)+IF(AND(Projects!$G$11="Yes",49&gt;=Projects!$C$11,49&lt;Projects!$C$11+Projects!$D$11),IF(49=Projects!$C$11+Projects!$D$11-1,Projects!$B$11*Assumptions!$B$12/Projects!$D$11*0.95+0.05*Projects!$B$11*Assumptions!$B$12,Projects!$B$11*Assumptions!$B$12/Projects!$D$11*0.95),0)+IF(AND(Projects!$G$12="Yes",49&gt;=Projects!$C$12,49&lt;Projects!$C$12+Projects!$D$12),IF(49=Projects!$C$12+Projects!$D$12-1,Projects!$B$12*Assumptions!$B$12/Projects!$D$12*0.95+0.05*Projects!$B$12*Assumptions!$B$12,Projects!$B$12*Assumptions!$B$12/Projects!$D$12*0.95),0)+IF(AND(Projects!$G$13="Yes",49&gt;=Projects!$C$13,49&lt;Projects!$C$13+Projects!$D$13),IF(49=Projects!$C$13+Projects!$D$13-1,Projects!$B$13*Assumptions!$B$12/Projects!$D$13*0.95+0.05*Projects!$B$13*Assumptions!$B$12,Projects!$B$13*Assumptions!$B$12/Projects!$D$13*0.95),0)+IF(AND(Projects!$G$14="Yes",49&gt;=Projects!$C$14,49&lt;Projects!$C$14+Projects!$D$14),IF(49=Projects!$C$14+Projects!$D$14-1,Projects!$B$14*Assumptions!$B$12/Projects!$D$14*0.95+0.05*Projects!$B$14*Assumptions!$B$12,Projects!$B$14*Assumptions!$B$12/Projects!$D$14*0.95),0)+IF(AND(Projects!$G$15="Yes",49&gt;=Projects!$C$15,49&lt;Projects!$C$15+Projects!$D$15),IF(49=Projects!$C$15+Projects!$D$15-1,Projects!$B$15*Assumptions!$B$12/Projects!$D$15*0.95+0.05*Projects!$B$15*Assumptions!$B$12,Projects!$B$15*Assumptions!$B$12/Projects!$D$15*0.95),0)+IF(AND(Projects!$G$16="Yes",49&gt;=Projects!$C$16,49&lt;Projects!$C$16+Projects!$D$16),IF(49=Projects!$C$16+Projects!$D$16-1,Projects!$B$16*Assumptions!$B$12/Projects!$D$16*0.95+0.05*Projects!$B$16*Assumptions!$B$12,Projects!$B$16*Assumptions!$B$12/Projects!$D$16*0.95),0)</f>
        <v>21259.14523809524</v>
      </c>
      <c r="AZ10" s="8">
        <f>IF(AND(Projects!$G$2="Yes",50&gt;=Projects!$C$2,50&lt;Projects!$C$2+Projects!$D$2),IF(50=Projects!$C$2+Projects!$D$2-1,46323/Projects!$D$2*0.95+0.05*46323,46323/Projects!$D$2*0.95),0)+IF(AND(Projects!$G$3="Yes",50&gt;=Projects!$C$3,50&lt;Projects!$C$3+Projects!$D$3),IF(50=Projects!$C$3+Projects!$D$3-1,176626/Projects!$D$3*0.95+0.05*176626,176626/Projects!$D$3*0.95),0)+IF(AND(Projects!$G$4="Yes",50&gt;=Projects!$C$4,50&lt;Projects!$C$4+Projects!$D$4),IF(50=Projects!$C$4+Projects!$D$4-1,Projects!$B$4*Assumptions!$B$12/Projects!$D$4*0.95+0.05*Projects!$B$4*Assumptions!$B$12,Projects!$B$4*Assumptions!$B$12/Projects!$D$4*0.95),0)+IF(AND(Projects!$G$5="Yes",50&gt;=Projects!$C$5,50&lt;Projects!$C$5+Projects!$D$5),IF(50=Projects!$C$5+Projects!$D$5-1,Projects!$B$5*Assumptions!$B$12/Projects!$D$5*0.95+0.05*Projects!$B$5*Assumptions!$B$12,Projects!$B$5*Assumptions!$B$12/Projects!$D$5*0.95),0)+IF(AND(Projects!$G$6="Yes",50&gt;=Projects!$C$6,50&lt;Projects!$C$6+Projects!$D$6),IF(50=Projects!$C$6+Projects!$D$6-1,0/Projects!$D$6*0.95+0.05*0,0/Projects!$D$6*0.95),0)+IF(AND(Projects!$G$7="Yes",50&gt;=Projects!$C$7,50&lt;Projects!$C$7+Projects!$D$7),IF(50=Projects!$C$7+Projects!$D$7-1,Projects!$B$7*Assumptions!$B$12/Projects!$D$7*0.95+0.05*Projects!$B$7*Assumptions!$B$12,Projects!$B$7*Assumptions!$B$12/Projects!$D$7*0.95),0)+IF(AND(Projects!$G$8="Yes",50&gt;=Projects!$C$8,50&lt;Projects!$C$8+Projects!$D$8),IF(50=Projects!$C$8+Projects!$D$8-1,Projects!$B$8*Assumptions!$B$12/Projects!$D$8*0.95+0.05*Projects!$B$8*Assumptions!$B$12,Projects!$B$8*Assumptions!$B$12/Projects!$D$8*0.95),0)+IF(AND(Projects!$G$9="Yes",50&gt;=Projects!$C$9,50&lt;Projects!$C$9+Projects!$D$9),IF(50=Projects!$C$9+Projects!$D$9-1,Projects!$B$9*Assumptions!$B$12/Projects!$D$9*0.95+0.05*Projects!$B$9*Assumptions!$B$12,Projects!$B$9*Assumptions!$B$12/Projects!$D$9*0.95),0)+IF(AND(Projects!$G$10="Yes",50&gt;=Projects!$C$10,50&lt;Projects!$C$10+Projects!$D$10),IF(50=Projects!$C$10+Projects!$D$10-1,Projects!$B$10*Assumptions!$B$12/Projects!$D$10*0.95+0.05*Projects!$B$10*Assumptions!$B$12,Projects!$B$10*Assumptions!$B$12/Projects!$D$10*0.95),0)+IF(AND(Projects!$G$11="Yes",50&gt;=Projects!$C$11,50&lt;Projects!$C$11+Projects!$D$11),IF(50=Projects!$C$11+Projects!$D$11-1,Projects!$B$11*Assumptions!$B$12/Projects!$D$11*0.95+0.05*Projects!$B$11*Assumptions!$B$12,Projects!$B$11*Assumptions!$B$12/Projects!$D$11*0.95),0)+IF(AND(Projects!$G$12="Yes",50&gt;=Projects!$C$12,50&lt;Projects!$C$12+Projects!$D$12),IF(50=Projects!$C$12+Projects!$D$12-1,Projects!$B$12*Assumptions!$B$12/Projects!$D$12*0.95+0.05*Projects!$B$12*Assumptions!$B$12,Projects!$B$12*Assumptions!$B$12/Projects!$D$12*0.95),0)+IF(AND(Projects!$G$13="Yes",50&gt;=Projects!$C$13,50&lt;Projects!$C$13+Projects!$D$13),IF(50=Projects!$C$13+Projects!$D$13-1,Projects!$B$13*Assumptions!$B$12/Projects!$D$13*0.95+0.05*Projects!$B$13*Assumptions!$B$12,Projects!$B$13*Assumptions!$B$12/Projects!$D$13*0.95),0)+IF(AND(Projects!$G$14="Yes",50&gt;=Projects!$C$14,50&lt;Projects!$C$14+Projects!$D$14),IF(50=Projects!$C$14+Projects!$D$14-1,Projects!$B$14*Assumptions!$B$12/Projects!$D$14*0.95+0.05*Projects!$B$14*Assumptions!$B$12,Projects!$B$14*Assumptions!$B$12/Projects!$D$14*0.95),0)+IF(AND(Projects!$G$15="Yes",50&gt;=Projects!$C$15,50&lt;Projects!$C$15+Projects!$D$15),IF(50=Projects!$C$15+Projects!$D$15-1,Projects!$B$15*Assumptions!$B$12/Projects!$D$15*0.95+0.05*Projects!$B$15*Assumptions!$B$12,Projects!$B$15*Assumptions!$B$12/Projects!$D$15*0.95),0)+IF(AND(Projects!$G$16="Yes",50&gt;=Projects!$C$16,50&lt;Projects!$C$16+Projects!$D$16),IF(50=Projects!$C$16+Projects!$D$16-1,Projects!$B$16*Assumptions!$B$12/Projects!$D$16*0.95+0.05*Projects!$B$16*Assumptions!$B$12,Projects!$B$16*Assumptions!$B$12/Projects!$D$16*0.95),0)</f>
        <v>21259.14523809524</v>
      </c>
      <c r="BA10" s="8">
        <f>IF(AND(Projects!$G$2="Yes",51&gt;=Projects!$C$2,51&lt;Projects!$C$2+Projects!$D$2),IF(51=Projects!$C$2+Projects!$D$2-1,46323/Projects!$D$2*0.95+0.05*46323,46323/Projects!$D$2*0.95),0)+IF(AND(Projects!$G$3="Yes",51&gt;=Projects!$C$3,51&lt;Projects!$C$3+Projects!$D$3),IF(51=Projects!$C$3+Projects!$D$3-1,176626/Projects!$D$3*0.95+0.05*176626,176626/Projects!$D$3*0.95),0)+IF(AND(Projects!$G$4="Yes",51&gt;=Projects!$C$4,51&lt;Projects!$C$4+Projects!$D$4),IF(51=Projects!$C$4+Projects!$D$4-1,Projects!$B$4*Assumptions!$B$12/Projects!$D$4*0.95+0.05*Projects!$B$4*Assumptions!$B$12,Projects!$B$4*Assumptions!$B$12/Projects!$D$4*0.95),0)+IF(AND(Projects!$G$5="Yes",51&gt;=Projects!$C$5,51&lt;Projects!$C$5+Projects!$D$5),IF(51=Projects!$C$5+Projects!$D$5-1,Projects!$B$5*Assumptions!$B$12/Projects!$D$5*0.95+0.05*Projects!$B$5*Assumptions!$B$12,Projects!$B$5*Assumptions!$B$12/Projects!$D$5*0.95),0)+IF(AND(Projects!$G$6="Yes",51&gt;=Projects!$C$6,51&lt;Projects!$C$6+Projects!$D$6),IF(51=Projects!$C$6+Projects!$D$6-1,0/Projects!$D$6*0.95+0.05*0,0/Projects!$D$6*0.95),0)+IF(AND(Projects!$G$7="Yes",51&gt;=Projects!$C$7,51&lt;Projects!$C$7+Projects!$D$7),IF(51=Projects!$C$7+Projects!$D$7-1,Projects!$B$7*Assumptions!$B$12/Projects!$D$7*0.95+0.05*Projects!$B$7*Assumptions!$B$12,Projects!$B$7*Assumptions!$B$12/Projects!$D$7*0.95),0)+IF(AND(Projects!$G$8="Yes",51&gt;=Projects!$C$8,51&lt;Projects!$C$8+Projects!$D$8),IF(51=Projects!$C$8+Projects!$D$8-1,Projects!$B$8*Assumptions!$B$12/Projects!$D$8*0.95+0.05*Projects!$B$8*Assumptions!$B$12,Projects!$B$8*Assumptions!$B$12/Projects!$D$8*0.95),0)+IF(AND(Projects!$G$9="Yes",51&gt;=Projects!$C$9,51&lt;Projects!$C$9+Projects!$D$9),IF(51=Projects!$C$9+Projects!$D$9-1,Projects!$B$9*Assumptions!$B$12/Projects!$D$9*0.95+0.05*Projects!$B$9*Assumptions!$B$12,Projects!$B$9*Assumptions!$B$12/Projects!$D$9*0.95),0)+IF(AND(Projects!$G$10="Yes",51&gt;=Projects!$C$10,51&lt;Projects!$C$10+Projects!$D$10),IF(51=Projects!$C$10+Projects!$D$10-1,Projects!$B$10*Assumptions!$B$12/Projects!$D$10*0.95+0.05*Projects!$B$10*Assumptions!$B$12,Projects!$B$10*Assumptions!$B$12/Projects!$D$10*0.95),0)+IF(AND(Projects!$G$11="Yes",51&gt;=Projects!$C$11,51&lt;Projects!$C$11+Projects!$D$11),IF(51=Projects!$C$11+Projects!$D$11-1,Projects!$B$11*Assumptions!$B$12/Projects!$D$11*0.95+0.05*Projects!$B$11*Assumptions!$B$12,Projects!$B$11*Assumptions!$B$12/Projects!$D$11*0.95),0)+IF(AND(Projects!$G$12="Yes",51&gt;=Projects!$C$12,51&lt;Projects!$C$12+Projects!$D$12),IF(51=Projects!$C$12+Projects!$D$12-1,Projects!$B$12*Assumptions!$B$12/Projects!$D$12*0.95+0.05*Projects!$B$12*Assumptions!$B$12,Projects!$B$12*Assumptions!$B$12/Projects!$D$12*0.95),0)+IF(AND(Projects!$G$13="Yes",51&gt;=Projects!$C$13,51&lt;Projects!$C$13+Projects!$D$13),IF(51=Projects!$C$13+Projects!$D$13-1,Projects!$B$13*Assumptions!$B$12/Projects!$D$13*0.95+0.05*Projects!$B$13*Assumptions!$B$12,Projects!$B$13*Assumptions!$B$12/Projects!$D$13*0.95),0)+IF(AND(Projects!$G$14="Yes",51&gt;=Projects!$C$14,51&lt;Projects!$C$14+Projects!$D$14),IF(51=Projects!$C$14+Projects!$D$14-1,Projects!$B$14*Assumptions!$B$12/Projects!$D$14*0.95+0.05*Projects!$B$14*Assumptions!$B$12,Projects!$B$14*Assumptions!$B$12/Projects!$D$14*0.95),0)+IF(AND(Projects!$G$15="Yes",51&gt;=Projects!$C$15,51&lt;Projects!$C$15+Projects!$D$15),IF(51=Projects!$C$15+Projects!$D$15-1,Projects!$B$15*Assumptions!$B$12/Projects!$D$15*0.95+0.05*Projects!$B$15*Assumptions!$B$12,Projects!$B$15*Assumptions!$B$12/Projects!$D$15*0.95),0)+IF(AND(Projects!$G$16="Yes",51&gt;=Projects!$C$16,51&lt;Projects!$C$16+Projects!$D$16),IF(51=Projects!$C$16+Projects!$D$16-1,Projects!$B$16*Assumptions!$B$12/Projects!$D$16*0.95+0.05*Projects!$B$16*Assumptions!$B$12,Projects!$B$16*Assumptions!$B$12/Projects!$D$16*0.95),0)</f>
        <v>21259.14523809524</v>
      </c>
      <c r="BB10" s="8">
        <f>IF(AND(Projects!$G$2="Yes",52&gt;=Projects!$C$2,52&lt;Projects!$C$2+Projects!$D$2),IF(52=Projects!$C$2+Projects!$D$2-1,46323/Projects!$D$2*0.95+0.05*46323,46323/Projects!$D$2*0.95),0)+IF(AND(Projects!$G$3="Yes",52&gt;=Projects!$C$3,52&lt;Projects!$C$3+Projects!$D$3),IF(52=Projects!$C$3+Projects!$D$3-1,176626/Projects!$D$3*0.95+0.05*176626,176626/Projects!$D$3*0.95),0)+IF(AND(Projects!$G$4="Yes",52&gt;=Projects!$C$4,52&lt;Projects!$C$4+Projects!$D$4),IF(52=Projects!$C$4+Projects!$D$4-1,Projects!$B$4*Assumptions!$B$12/Projects!$D$4*0.95+0.05*Projects!$B$4*Assumptions!$B$12,Projects!$B$4*Assumptions!$B$12/Projects!$D$4*0.95),0)+IF(AND(Projects!$G$5="Yes",52&gt;=Projects!$C$5,52&lt;Projects!$C$5+Projects!$D$5),IF(52=Projects!$C$5+Projects!$D$5-1,Projects!$B$5*Assumptions!$B$12/Projects!$D$5*0.95+0.05*Projects!$B$5*Assumptions!$B$12,Projects!$B$5*Assumptions!$B$12/Projects!$D$5*0.95),0)+IF(AND(Projects!$G$6="Yes",52&gt;=Projects!$C$6,52&lt;Projects!$C$6+Projects!$D$6),IF(52=Projects!$C$6+Projects!$D$6-1,0/Projects!$D$6*0.95+0.05*0,0/Projects!$D$6*0.95),0)+IF(AND(Projects!$G$7="Yes",52&gt;=Projects!$C$7,52&lt;Projects!$C$7+Projects!$D$7),IF(52=Projects!$C$7+Projects!$D$7-1,Projects!$B$7*Assumptions!$B$12/Projects!$D$7*0.95+0.05*Projects!$B$7*Assumptions!$B$12,Projects!$B$7*Assumptions!$B$12/Projects!$D$7*0.95),0)+IF(AND(Projects!$G$8="Yes",52&gt;=Projects!$C$8,52&lt;Projects!$C$8+Projects!$D$8),IF(52=Projects!$C$8+Projects!$D$8-1,Projects!$B$8*Assumptions!$B$12/Projects!$D$8*0.95+0.05*Projects!$B$8*Assumptions!$B$12,Projects!$B$8*Assumptions!$B$12/Projects!$D$8*0.95),0)+IF(AND(Projects!$G$9="Yes",52&gt;=Projects!$C$9,52&lt;Projects!$C$9+Projects!$D$9),IF(52=Projects!$C$9+Projects!$D$9-1,Projects!$B$9*Assumptions!$B$12/Projects!$D$9*0.95+0.05*Projects!$B$9*Assumptions!$B$12,Projects!$B$9*Assumptions!$B$12/Projects!$D$9*0.95),0)+IF(AND(Projects!$G$10="Yes",52&gt;=Projects!$C$10,52&lt;Projects!$C$10+Projects!$D$10),IF(52=Projects!$C$10+Projects!$D$10-1,Projects!$B$10*Assumptions!$B$12/Projects!$D$10*0.95+0.05*Projects!$B$10*Assumptions!$B$12,Projects!$B$10*Assumptions!$B$12/Projects!$D$10*0.95),0)+IF(AND(Projects!$G$11="Yes",52&gt;=Projects!$C$11,52&lt;Projects!$C$11+Projects!$D$11),IF(52=Projects!$C$11+Projects!$D$11-1,Projects!$B$11*Assumptions!$B$12/Projects!$D$11*0.95+0.05*Projects!$B$11*Assumptions!$B$12,Projects!$B$11*Assumptions!$B$12/Projects!$D$11*0.95),0)+IF(AND(Projects!$G$12="Yes",52&gt;=Projects!$C$12,52&lt;Projects!$C$12+Projects!$D$12),IF(52=Projects!$C$12+Projects!$D$12-1,Projects!$B$12*Assumptions!$B$12/Projects!$D$12*0.95+0.05*Projects!$B$12*Assumptions!$B$12,Projects!$B$12*Assumptions!$B$12/Projects!$D$12*0.95),0)+IF(AND(Projects!$G$13="Yes",52&gt;=Projects!$C$13,52&lt;Projects!$C$13+Projects!$D$13),IF(52=Projects!$C$13+Projects!$D$13-1,Projects!$B$13*Assumptions!$B$12/Projects!$D$13*0.95+0.05*Projects!$B$13*Assumptions!$B$12,Projects!$B$13*Assumptions!$B$12/Projects!$D$13*0.95),0)+IF(AND(Projects!$G$14="Yes",52&gt;=Projects!$C$14,52&lt;Projects!$C$14+Projects!$D$14),IF(52=Projects!$C$14+Projects!$D$14-1,Projects!$B$14*Assumptions!$B$12/Projects!$D$14*0.95+0.05*Projects!$B$14*Assumptions!$B$12,Projects!$B$14*Assumptions!$B$12/Projects!$D$14*0.95),0)+IF(AND(Projects!$G$15="Yes",52&gt;=Projects!$C$15,52&lt;Projects!$C$15+Projects!$D$15),IF(52=Projects!$C$15+Projects!$D$15-1,Projects!$B$15*Assumptions!$B$12/Projects!$D$15*0.95+0.05*Projects!$B$15*Assumptions!$B$12,Projects!$B$15*Assumptions!$B$12/Projects!$D$15*0.95),0)+IF(AND(Projects!$G$16="Yes",52&gt;=Projects!$C$16,52&lt;Projects!$C$16+Projects!$D$16),IF(52=Projects!$C$16+Projects!$D$16-1,Projects!$B$16*Assumptions!$B$12/Projects!$D$16*0.95+0.05*Projects!$B$16*Assumptions!$B$12,Projects!$B$16*Assumptions!$B$12/Projects!$D$16*0.95),0)</f>
        <v>21259.14523809524</v>
      </c>
      <c r="BC10" s="8">
        <f>IF(AND(Projects!$G$2="Yes",53&gt;=Projects!$C$2,53&lt;Projects!$C$2+Projects!$D$2),IF(53=Projects!$C$2+Projects!$D$2-1,46323/Projects!$D$2*0.95+0.05*46323,46323/Projects!$D$2*0.95),0)+IF(AND(Projects!$G$3="Yes",53&gt;=Projects!$C$3,53&lt;Projects!$C$3+Projects!$D$3),IF(53=Projects!$C$3+Projects!$D$3-1,176626/Projects!$D$3*0.95+0.05*176626,176626/Projects!$D$3*0.95),0)+IF(AND(Projects!$G$4="Yes",53&gt;=Projects!$C$4,53&lt;Projects!$C$4+Projects!$D$4),IF(53=Projects!$C$4+Projects!$D$4-1,Projects!$B$4*Assumptions!$B$12/Projects!$D$4*0.95+0.05*Projects!$B$4*Assumptions!$B$12,Projects!$B$4*Assumptions!$B$12/Projects!$D$4*0.95),0)+IF(AND(Projects!$G$5="Yes",53&gt;=Projects!$C$5,53&lt;Projects!$C$5+Projects!$D$5),IF(53=Projects!$C$5+Projects!$D$5-1,Projects!$B$5*Assumptions!$B$12/Projects!$D$5*0.95+0.05*Projects!$B$5*Assumptions!$B$12,Projects!$B$5*Assumptions!$B$12/Projects!$D$5*0.95),0)+IF(AND(Projects!$G$6="Yes",53&gt;=Projects!$C$6,53&lt;Projects!$C$6+Projects!$D$6),IF(53=Projects!$C$6+Projects!$D$6-1,0/Projects!$D$6*0.95+0.05*0,0/Projects!$D$6*0.95),0)+IF(AND(Projects!$G$7="Yes",53&gt;=Projects!$C$7,53&lt;Projects!$C$7+Projects!$D$7),IF(53=Projects!$C$7+Projects!$D$7-1,Projects!$B$7*Assumptions!$B$12/Projects!$D$7*0.95+0.05*Projects!$B$7*Assumptions!$B$12,Projects!$B$7*Assumptions!$B$12/Projects!$D$7*0.95),0)+IF(AND(Projects!$G$8="Yes",53&gt;=Projects!$C$8,53&lt;Projects!$C$8+Projects!$D$8),IF(53=Projects!$C$8+Projects!$D$8-1,Projects!$B$8*Assumptions!$B$12/Projects!$D$8*0.95+0.05*Projects!$B$8*Assumptions!$B$12,Projects!$B$8*Assumptions!$B$12/Projects!$D$8*0.95),0)+IF(AND(Projects!$G$9="Yes",53&gt;=Projects!$C$9,53&lt;Projects!$C$9+Projects!$D$9),IF(53=Projects!$C$9+Projects!$D$9-1,Projects!$B$9*Assumptions!$B$12/Projects!$D$9*0.95+0.05*Projects!$B$9*Assumptions!$B$12,Projects!$B$9*Assumptions!$B$12/Projects!$D$9*0.95),0)+IF(AND(Projects!$G$10="Yes",53&gt;=Projects!$C$10,53&lt;Projects!$C$10+Projects!$D$10),IF(53=Projects!$C$10+Projects!$D$10-1,Projects!$B$10*Assumptions!$B$12/Projects!$D$10*0.95+0.05*Projects!$B$10*Assumptions!$B$12,Projects!$B$10*Assumptions!$B$12/Projects!$D$10*0.95),0)+IF(AND(Projects!$G$11="Yes",53&gt;=Projects!$C$11,53&lt;Projects!$C$11+Projects!$D$11),IF(53=Projects!$C$11+Projects!$D$11-1,Projects!$B$11*Assumptions!$B$12/Projects!$D$11*0.95+0.05*Projects!$B$11*Assumptions!$B$12,Projects!$B$11*Assumptions!$B$12/Projects!$D$11*0.95),0)+IF(AND(Projects!$G$12="Yes",53&gt;=Projects!$C$12,53&lt;Projects!$C$12+Projects!$D$12),IF(53=Projects!$C$12+Projects!$D$12-1,Projects!$B$12*Assumptions!$B$12/Projects!$D$12*0.95+0.05*Projects!$B$12*Assumptions!$B$12,Projects!$B$12*Assumptions!$B$12/Projects!$D$12*0.95),0)+IF(AND(Projects!$G$13="Yes",53&gt;=Projects!$C$13,53&lt;Projects!$C$13+Projects!$D$13),IF(53=Projects!$C$13+Projects!$D$13-1,Projects!$B$13*Assumptions!$B$12/Projects!$D$13*0.95+0.05*Projects!$B$13*Assumptions!$B$12,Projects!$B$13*Assumptions!$B$12/Projects!$D$13*0.95),0)+IF(AND(Projects!$G$14="Yes",53&gt;=Projects!$C$14,53&lt;Projects!$C$14+Projects!$D$14),IF(53=Projects!$C$14+Projects!$D$14-1,Projects!$B$14*Assumptions!$B$12/Projects!$D$14*0.95+0.05*Projects!$B$14*Assumptions!$B$12,Projects!$B$14*Assumptions!$B$12/Projects!$D$14*0.95),0)+IF(AND(Projects!$G$15="Yes",53&gt;=Projects!$C$15,53&lt;Projects!$C$15+Projects!$D$15),IF(53=Projects!$C$15+Projects!$D$15-1,Projects!$B$15*Assumptions!$B$12/Projects!$D$15*0.95+0.05*Projects!$B$15*Assumptions!$B$12,Projects!$B$15*Assumptions!$B$12/Projects!$D$15*0.95),0)+IF(AND(Projects!$G$16="Yes",53&gt;=Projects!$C$16,53&lt;Projects!$C$16+Projects!$D$16),IF(53=Projects!$C$16+Projects!$D$16-1,Projects!$B$16*Assumptions!$B$12/Projects!$D$16*0.95+0.05*Projects!$B$16*Assumptions!$B$12,Projects!$B$16*Assumptions!$B$12/Projects!$D$16*0.95),0)</f>
        <v>21259.14523809524</v>
      </c>
      <c r="BD10" s="8">
        <f>IF(AND(Projects!$G$2="Yes",54&gt;=Projects!$C$2,54&lt;Projects!$C$2+Projects!$D$2),IF(54=Projects!$C$2+Projects!$D$2-1,46323/Projects!$D$2*0.95+0.05*46323,46323/Projects!$D$2*0.95),0)+IF(AND(Projects!$G$3="Yes",54&gt;=Projects!$C$3,54&lt;Projects!$C$3+Projects!$D$3),IF(54=Projects!$C$3+Projects!$D$3-1,176626/Projects!$D$3*0.95+0.05*176626,176626/Projects!$D$3*0.95),0)+IF(AND(Projects!$G$4="Yes",54&gt;=Projects!$C$4,54&lt;Projects!$C$4+Projects!$D$4),IF(54=Projects!$C$4+Projects!$D$4-1,Projects!$B$4*Assumptions!$B$12/Projects!$D$4*0.95+0.05*Projects!$B$4*Assumptions!$B$12,Projects!$B$4*Assumptions!$B$12/Projects!$D$4*0.95),0)+IF(AND(Projects!$G$5="Yes",54&gt;=Projects!$C$5,54&lt;Projects!$C$5+Projects!$D$5),IF(54=Projects!$C$5+Projects!$D$5-1,Projects!$B$5*Assumptions!$B$12/Projects!$D$5*0.95+0.05*Projects!$B$5*Assumptions!$B$12,Projects!$B$5*Assumptions!$B$12/Projects!$D$5*0.95),0)+IF(AND(Projects!$G$6="Yes",54&gt;=Projects!$C$6,54&lt;Projects!$C$6+Projects!$D$6),IF(54=Projects!$C$6+Projects!$D$6-1,0/Projects!$D$6*0.95+0.05*0,0/Projects!$D$6*0.95),0)+IF(AND(Projects!$G$7="Yes",54&gt;=Projects!$C$7,54&lt;Projects!$C$7+Projects!$D$7),IF(54=Projects!$C$7+Projects!$D$7-1,Projects!$B$7*Assumptions!$B$12/Projects!$D$7*0.95+0.05*Projects!$B$7*Assumptions!$B$12,Projects!$B$7*Assumptions!$B$12/Projects!$D$7*0.95),0)+IF(AND(Projects!$G$8="Yes",54&gt;=Projects!$C$8,54&lt;Projects!$C$8+Projects!$D$8),IF(54=Projects!$C$8+Projects!$D$8-1,Projects!$B$8*Assumptions!$B$12/Projects!$D$8*0.95+0.05*Projects!$B$8*Assumptions!$B$12,Projects!$B$8*Assumptions!$B$12/Projects!$D$8*0.95),0)+IF(AND(Projects!$G$9="Yes",54&gt;=Projects!$C$9,54&lt;Projects!$C$9+Projects!$D$9),IF(54=Projects!$C$9+Projects!$D$9-1,Projects!$B$9*Assumptions!$B$12/Projects!$D$9*0.95+0.05*Projects!$B$9*Assumptions!$B$12,Projects!$B$9*Assumptions!$B$12/Projects!$D$9*0.95),0)+IF(AND(Projects!$G$10="Yes",54&gt;=Projects!$C$10,54&lt;Projects!$C$10+Projects!$D$10),IF(54=Projects!$C$10+Projects!$D$10-1,Projects!$B$10*Assumptions!$B$12/Projects!$D$10*0.95+0.05*Projects!$B$10*Assumptions!$B$12,Projects!$B$10*Assumptions!$B$12/Projects!$D$10*0.95),0)+IF(AND(Projects!$G$11="Yes",54&gt;=Projects!$C$11,54&lt;Projects!$C$11+Projects!$D$11),IF(54=Projects!$C$11+Projects!$D$11-1,Projects!$B$11*Assumptions!$B$12/Projects!$D$11*0.95+0.05*Projects!$B$11*Assumptions!$B$12,Projects!$B$11*Assumptions!$B$12/Projects!$D$11*0.95),0)+IF(AND(Projects!$G$12="Yes",54&gt;=Projects!$C$12,54&lt;Projects!$C$12+Projects!$D$12),IF(54=Projects!$C$12+Projects!$D$12-1,Projects!$B$12*Assumptions!$B$12/Projects!$D$12*0.95+0.05*Projects!$B$12*Assumptions!$B$12,Projects!$B$12*Assumptions!$B$12/Projects!$D$12*0.95),0)+IF(AND(Projects!$G$13="Yes",54&gt;=Projects!$C$13,54&lt;Projects!$C$13+Projects!$D$13),IF(54=Projects!$C$13+Projects!$D$13-1,Projects!$B$13*Assumptions!$B$12/Projects!$D$13*0.95+0.05*Projects!$B$13*Assumptions!$B$12,Projects!$B$13*Assumptions!$B$12/Projects!$D$13*0.95),0)+IF(AND(Projects!$G$14="Yes",54&gt;=Projects!$C$14,54&lt;Projects!$C$14+Projects!$D$14),IF(54=Projects!$C$14+Projects!$D$14-1,Projects!$B$14*Assumptions!$B$12/Projects!$D$14*0.95+0.05*Projects!$B$14*Assumptions!$B$12,Projects!$B$14*Assumptions!$B$12/Projects!$D$14*0.95),0)+IF(AND(Projects!$G$15="Yes",54&gt;=Projects!$C$15,54&lt;Projects!$C$15+Projects!$D$15),IF(54=Projects!$C$15+Projects!$D$15-1,Projects!$B$15*Assumptions!$B$12/Projects!$D$15*0.95+0.05*Projects!$B$15*Assumptions!$B$12,Projects!$B$15*Assumptions!$B$12/Projects!$D$15*0.95),0)+IF(AND(Projects!$G$16="Yes",54&gt;=Projects!$C$16,54&lt;Projects!$C$16+Projects!$D$16),IF(54=Projects!$C$16+Projects!$D$16-1,Projects!$B$16*Assumptions!$B$12/Projects!$D$16*0.95+0.05*Projects!$B$16*Assumptions!$B$12,Projects!$B$16*Assumptions!$B$12/Projects!$D$16*0.95),0)</f>
        <v>21259.14523809524</v>
      </c>
      <c r="BE10" s="8">
        <f>IF(AND(Projects!$G$2="Yes",55&gt;=Projects!$C$2,55&lt;Projects!$C$2+Projects!$D$2),IF(55=Projects!$C$2+Projects!$D$2-1,46323/Projects!$D$2*0.95+0.05*46323,46323/Projects!$D$2*0.95),0)+IF(AND(Projects!$G$3="Yes",55&gt;=Projects!$C$3,55&lt;Projects!$C$3+Projects!$D$3),IF(55=Projects!$C$3+Projects!$D$3-1,176626/Projects!$D$3*0.95+0.05*176626,176626/Projects!$D$3*0.95),0)+IF(AND(Projects!$G$4="Yes",55&gt;=Projects!$C$4,55&lt;Projects!$C$4+Projects!$D$4),IF(55=Projects!$C$4+Projects!$D$4-1,Projects!$B$4*Assumptions!$B$12/Projects!$D$4*0.95+0.05*Projects!$B$4*Assumptions!$B$12,Projects!$B$4*Assumptions!$B$12/Projects!$D$4*0.95),0)+IF(AND(Projects!$G$5="Yes",55&gt;=Projects!$C$5,55&lt;Projects!$C$5+Projects!$D$5),IF(55=Projects!$C$5+Projects!$D$5-1,Projects!$B$5*Assumptions!$B$12/Projects!$D$5*0.95+0.05*Projects!$B$5*Assumptions!$B$12,Projects!$B$5*Assumptions!$B$12/Projects!$D$5*0.95),0)+IF(AND(Projects!$G$6="Yes",55&gt;=Projects!$C$6,55&lt;Projects!$C$6+Projects!$D$6),IF(55=Projects!$C$6+Projects!$D$6-1,0/Projects!$D$6*0.95+0.05*0,0/Projects!$D$6*0.95),0)+IF(AND(Projects!$G$7="Yes",55&gt;=Projects!$C$7,55&lt;Projects!$C$7+Projects!$D$7),IF(55=Projects!$C$7+Projects!$D$7-1,Projects!$B$7*Assumptions!$B$12/Projects!$D$7*0.95+0.05*Projects!$B$7*Assumptions!$B$12,Projects!$B$7*Assumptions!$B$12/Projects!$D$7*0.95),0)+IF(AND(Projects!$G$8="Yes",55&gt;=Projects!$C$8,55&lt;Projects!$C$8+Projects!$D$8),IF(55=Projects!$C$8+Projects!$D$8-1,Projects!$B$8*Assumptions!$B$12/Projects!$D$8*0.95+0.05*Projects!$B$8*Assumptions!$B$12,Projects!$B$8*Assumptions!$B$12/Projects!$D$8*0.95),0)+IF(AND(Projects!$G$9="Yes",55&gt;=Projects!$C$9,55&lt;Projects!$C$9+Projects!$D$9),IF(55=Projects!$C$9+Projects!$D$9-1,Projects!$B$9*Assumptions!$B$12/Projects!$D$9*0.95+0.05*Projects!$B$9*Assumptions!$B$12,Projects!$B$9*Assumptions!$B$12/Projects!$D$9*0.95),0)+IF(AND(Projects!$G$10="Yes",55&gt;=Projects!$C$10,55&lt;Projects!$C$10+Projects!$D$10),IF(55=Projects!$C$10+Projects!$D$10-1,Projects!$B$10*Assumptions!$B$12/Projects!$D$10*0.95+0.05*Projects!$B$10*Assumptions!$B$12,Projects!$B$10*Assumptions!$B$12/Projects!$D$10*0.95),0)+IF(AND(Projects!$G$11="Yes",55&gt;=Projects!$C$11,55&lt;Projects!$C$11+Projects!$D$11),IF(55=Projects!$C$11+Projects!$D$11-1,Projects!$B$11*Assumptions!$B$12/Projects!$D$11*0.95+0.05*Projects!$B$11*Assumptions!$B$12,Projects!$B$11*Assumptions!$B$12/Projects!$D$11*0.95),0)+IF(AND(Projects!$G$12="Yes",55&gt;=Projects!$C$12,55&lt;Projects!$C$12+Projects!$D$12),IF(55=Projects!$C$12+Projects!$D$12-1,Projects!$B$12*Assumptions!$B$12/Projects!$D$12*0.95+0.05*Projects!$B$12*Assumptions!$B$12,Projects!$B$12*Assumptions!$B$12/Projects!$D$12*0.95),0)+IF(AND(Projects!$G$13="Yes",55&gt;=Projects!$C$13,55&lt;Projects!$C$13+Projects!$D$13),IF(55=Projects!$C$13+Projects!$D$13-1,Projects!$B$13*Assumptions!$B$12/Projects!$D$13*0.95+0.05*Projects!$B$13*Assumptions!$B$12,Projects!$B$13*Assumptions!$B$12/Projects!$D$13*0.95),0)+IF(AND(Projects!$G$14="Yes",55&gt;=Projects!$C$14,55&lt;Projects!$C$14+Projects!$D$14),IF(55=Projects!$C$14+Projects!$D$14-1,Projects!$B$14*Assumptions!$B$12/Projects!$D$14*0.95+0.05*Projects!$B$14*Assumptions!$B$12,Projects!$B$14*Assumptions!$B$12/Projects!$D$14*0.95),0)+IF(AND(Projects!$G$15="Yes",55&gt;=Projects!$C$15,55&lt;Projects!$C$15+Projects!$D$15),IF(55=Projects!$C$15+Projects!$D$15-1,Projects!$B$15*Assumptions!$B$12/Projects!$D$15*0.95+0.05*Projects!$B$15*Assumptions!$B$12,Projects!$B$15*Assumptions!$B$12/Projects!$D$15*0.95),0)+IF(AND(Projects!$G$16="Yes",55&gt;=Projects!$C$16,55&lt;Projects!$C$16+Projects!$D$16),IF(55=Projects!$C$16+Projects!$D$16-1,Projects!$B$16*Assumptions!$B$12/Projects!$D$16*0.95+0.05*Projects!$B$16*Assumptions!$B$12,Projects!$B$16*Assumptions!$B$12/Projects!$D$16*0.95),0)</f>
        <v>21259.14523809524</v>
      </c>
      <c r="BF10" s="8">
        <f>IF(AND(Projects!$G$2="Yes",56&gt;=Projects!$C$2,56&lt;Projects!$C$2+Projects!$D$2),IF(56=Projects!$C$2+Projects!$D$2-1,46323/Projects!$D$2*0.95+0.05*46323,46323/Projects!$D$2*0.95),0)+IF(AND(Projects!$G$3="Yes",56&gt;=Projects!$C$3,56&lt;Projects!$C$3+Projects!$D$3),IF(56=Projects!$C$3+Projects!$D$3-1,176626/Projects!$D$3*0.95+0.05*176626,176626/Projects!$D$3*0.95),0)+IF(AND(Projects!$G$4="Yes",56&gt;=Projects!$C$4,56&lt;Projects!$C$4+Projects!$D$4),IF(56=Projects!$C$4+Projects!$D$4-1,Projects!$B$4*Assumptions!$B$12/Projects!$D$4*0.95+0.05*Projects!$B$4*Assumptions!$B$12,Projects!$B$4*Assumptions!$B$12/Projects!$D$4*0.95),0)+IF(AND(Projects!$G$5="Yes",56&gt;=Projects!$C$5,56&lt;Projects!$C$5+Projects!$D$5),IF(56=Projects!$C$5+Projects!$D$5-1,Projects!$B$5*Assumptions!$B$12/Projects!$D$5*0.95+0.05*Projects!$B$5*Assumptions!$B$12,Projects!$B$5*Assumptions!$B$12/Projects!$D$5*0.95),0)+IF(AND(Projects!$G$6="Yes",56&gt;=Projects!$C$6,56&lt;Projects!$C$6+Projects!$D$6),IF(56=Projects!$C$6+Projects!$D$6-1,0/Projects!$D$6*0.95+0.05*0,0/Projects!$D$6*0.95),0)+IF(AND(Projects!$G$7="Yes",56&gt;=Projects!$C$7,56&lt;Projects!$C$7+Projects!$D$7),IF(56=Projects!$C$7+Projects!$D$7-1,Projects!$B$7*Assumptions!$B$12/Projects!$D$7*0.95+0.05*Projects!$B$7*Assumptions!$B$12,Projects!$B$7*Assumptions!$B$12/Projects!$D$7*0.95),0)+IF(AND(Projects!$G$8="Yes",56&gt;=Projects!$C$8,56&lt;Projects!$C$8+Projects!$D$8),IF(56=Projects!$C$8+Projects!$D$8-1,Projects!$B$8*Assumptions!$B$12/Projects!$D$8*0.95+0.05*Projects!$B$8*Assumptions!$B$12,Projects!$B$8*Assumptions!$B$12/Projects!$D$8*0.95),0)+IF(AND(Projects!$G$9="Yes",56&gt;=Projects!$C$9,56&lt;Projects!$C$9+Projects!$D$9),IF(56=Projects!$C$9+Projects!$D$9-1,Projects!$B$9*Assumptions!$B$12/Projects!$D$9*0.95+0.05*Projects!$B$9*Assumptions!$B$12,Projects!$B$9*Assumptions!$B$12/Projects!$D$9*0.95),0)+IF(AND(Projects!$G$10="Yes",56&gt;=Projects!$C$10,56&lt;Projects!$C$10+Projects!$D$10),IF(56=Projects!$C$10+Projects!$D$10-1,Projects!$B$10*Assumptions!$B$12/Projects!$D$10*0.95+0.05*Projects!$B$10*Assumptions!$B$12,Projects!$B$10*Assumptions!$B$12/Projects!$D$10*0.95),0)+IF(AND(Projects!$G$11="Yes",56&gt;=Projects!$C$11,56&lt;Projects!$C$11+Projects!$D$11),IF(56=Projects!$C$11+Projects!$D$11-1,Projects!$B$11*Assumptions!$B$12/Projects!$D$11*0.95+0.05*Projects!$B$11*Assumptions!$B$12,Projects!$B$11*Assumptions!$B$12/Projects!$D$11*0.95),0)+IF(AND(Projects!$G$12="Yes",56&gt;=Projects!$C$12,56&lt;Projects!$C$12+Projects!$D$12),IF(56=Projects!$C$12+Projects!$D$12-1,Projects!$B$12*Assumptions!$B$12/Projects!$D$12*0.95+0.05*Projects!$B$12*Assumptions!$B$12,Projects!$B$12*Assumptions!$B$12/Projects!$D$12*0.95),0)+IF(AND(Projects!$G$13="Yes",56&gt;=Projects!$C$13,56&lt;Projects!$C$13+Projects!$D$13),IF(56=Projects!$C$13+Projects!$D$13-1,Projects!$B$13*Assumptions!$B$12/Projects!$D$13*0.95+0.05*Projects!$B$13*Assumptions!$B$12,Projects!$B$13*Assumptions!$B$12/Projects!$D$13*0.95),0)+IF(AND(Projects!$G$14="Yes",56&gt;=Projects!$C$14,56&lt;Projects!$C$14+Projects!$D$14),IF(56=Projects!$C$14+Projects!$D$14-1,Projects!$B$14*Assumptions!$B$12/Projects!$D$14*0.95+0.05*Projects!$B$14*Assumptions!$B$12,Projects!$B$14*Assumptions!$B$12/Projects!$D$14*0.95),0)+IF(AND(Projects!$G$15="Yes",56&gt;=Projects!$C$15,56&lt;Projects!$C$15+Projects!$D$15),IF(56=Projects!$C$15+Projects!$D$15-1,Projects!$B$15*Assumptions!$B$12/Projects!$D$15*0.95+0.05*Projects!$B$15*Assumptions!$B$12,Projects!$B$15*Assumptions!$B$12/Projects!$D$15*0.95),0)+IF(AND(Projects!$G$16="Yes",56&gt;=Projects!$C$16,56&lt;Projects!$C$16+Projects!$D$16),IF(56=Projects!$C$16+Projects!$D$16-1,Projects!$B$16*Assumptions!$B$12/Projects!$D$16*0.95+0.05*Projects!$B$16*Assumptions!$B$12,Projects!$B$16*Assumptions!$B$12/Projects!$D$16*0.95),0)</f>
        <v>54826.216666666674</v>
      </c>
      <c r="BG10" s="8">
        <f>IF(AND(Projects!$G$2="Yes",57&gt;=Projects!$C$2,57&lt;Projects!$C$2+Projects!$D$2),IF(57=Projects!$C$2+Projects!$D$2-1,46323/Projects!$D$2*0.95+0.05*46323,46323/Projects!$D$2*0.95),0)+IF(AND(Projects!$G$3="Yes",57&gt;=Projects!$C$3,57&lt;Projects!$C$3+Projects!$D$3),IF(57=Projects!$C$3+Projects!$D$3-1,176626/Projects!$D$3*0.95+0.05*176626,176626/Projects!$D$3*0.95),0)+IF(AND(Projects!$G$4="Yes",57&gt;=Projects!$C$4,57&lt;Projects!$C$4+Projects!$D$4),IF(57=Projects!$C$4+Projects!$D$4-1,Projects!$B$4*Assumptions!$B$12/Projects!$D$4*0.95+0.05*Projects!$B$4*Assumptions!$B$12,Projects!$B$4*Assumptions!$B$12/Projects!$D$4*0.95),0)+IF(AND(Projects!$G$5="Yes",57&gt;=Projects!$C$5,57&lt;Projects!$C$5+Projects!$D$5),IF(57=Projects!$C$5+Projects!$D$5-1,Projects!$B$5*Assumptions!$B$12/Projects!$D$5*0.95+0.05*Projects!$B$5*Assumptions!$B$12,Projects!$B$5*Assumptions!$B$12/Projects!$D$5*0.95),0)+IF(AND(Projects!$G$6="Yes",57&gt;=Projects!$C$6,57&lt;Projects!$C$6+Projects!$D$6),IF(57=Projects!$C$6+Projects!$D$6-1,0/Projects!$D$6*0.95+0.05*0,0/Projects!$D$6*0.95),0)+IF(AND(Projects!$G$7="Yes",57&gt;=Projects!$C$7,57&lt;Projects!$C$7+Projects!$D$7),IF(57=Projects!$C$7+Projects!$D$7-1,Projects!$B$7*Assumptions!$B$12/Projects!$D$7*0.95+0.05*Projects!$B$7*Assumptions!$B$12,Projects!$B$7*Assumptions!$B$12/Projects!$D$7*0.95),0)+IF(AND(Projects!$G$8="Yes",57&gt;=Projects!$C$8,57&lt;Projects!$C$8+Projects!$D$8),IF(57=Projects!$C$8+Projects!$D$8-1,Projects!$B$8*Assumptions!$B$12/Projects!$D$8*0.95+0.05*Projects!$B$8*Assumptions!$B$12,Projects!$B$8*Assumptions!$B$12/Projects!$D$8*0.95),0)+IF(AND(Projects!$G$9="Yes",57&gt;=Projects!$C$9,57&lt;Projects!$C$9+Projects!$D$9),IF(57=Projects!$C$9+Projects!$D$9-1,Projects!$B$9*Assumptions!$B$12/Projects!$D$9*0.95+0.05*Projects!$B$9*Assumptions!$B$12,Projects!$B$9*Assumptions!$B$12/Projects!$D$9*0.95),0)+IF(AND(Projects!$G$10="Yes",57&gt;=Projects!$C$10,57&lt;Projects!$C$10+Projects!$D$10),IF(57=Projects!$C$10+Projects!$D$10-1,Projects!$B$10*Assumptions!$B$12/Projects!$D$10*0.95+0.05*Projects!$B$10*Assumptions!$B$12,Projects!$B$10*Assumptions!$B$12/Projects!$D$10*0.95),0)+IF(AND(Projects!$G$11="Yes",57&gt;=Projects!$C$11,57&lt;Projects!$C$11+Projects!$D$11),IF(57=Projects!$C$11+Projects!$D$11-1,Projects!$B$11*Assumptions!$B$12/Projects!$D$11*0.95+0.05*Projects!$B$11*Assumptions!$B$12,Projects!$B$11*Assumptions!$B$12/Projects!$D$11*0.95),0)+IF(AND(Projects!$G$12="Yes",57&gt;=Projects!$C$12,57&lt;Projects!$C$12+Projects!$D$12),IF(57=Projects!$C$12+Projects!$D$12-1,Projects!$B$12*Assumptions!$B$12/Projects!$D$12*0.95+0.05*Projects!$B$12*Assumptions!$B$12,Projects!$B$12*Assumptions!$B$12/Projects!$D$12*0.95),0)+IF(AND(Projects!$G$13="Yes",57&gt;=Projects!$C$13,57&lt;Projects!$C$13+Projects!$D$13),IF(57=Projects!$C$13+Projects!$D$13-1,Projects!$B$13*Assumptions!$B$12/Projects!$D$13*0.95+0.05*Projects!$B$13*Assumptions!$B$12,Projects!$B$13*Assumptions!$B$12/Projects!$D$13*0.95),0)+IF(AND(Projects!$G$14="Yes",57&gt;=Projects!$C$14,57&lt;Projects!$C$14+Projects!$D$14),IF(57=Projects!$C$14+Projects!$D$14-1,Projects!$B$14*Assumptions!$B$12/Projects!$D$14*0.95+0.05*Projects!$B$14*Assumptions!$B$12,Projects!$B$14*Assumptions!$B$12/Projects!$D$14*0.95),0)+IF(AND(Projects!$G$15="Yes",57&gt;=Projects!$C$15,57&lt;Projects!$C$15+Projects!$D$15),IF(57=Projects!$C$15+Projects!$D$15-1,Projects!$B$15*Assumptions!$B$12/Projects!$D$15*0.95+0.05*Projects!$B$15*Assumptions!$B$12,Projects!$B$15*Assumptions!$B$12/Projects!$D$15*0.95),0)+IF(AND(Projects!$G$16="Yes",57&gt;=Projects!$C$16,57&lt;Projects!$C$16+Projects!$D$16),IF(57=Projects!$C$16+Projects!$D$16-1,Projects!$B$16*Assumptions!$B$12/Projects!$D$16*0.95+0.05*Projects!$B$16*Assumptions!$B$12,Projects!$B$16*Assumptions!$B$12/Projects!$D$16*0.95),0)</f>
        <v>0</v>
      </c>
      <c r="BH10" s="8">
        <f>IF(AND(Projects!$G$2="Yes",58&gt;=Projects!$C$2,58&lt;Projects!$C$2+Projects!$D$2),IF(58=Projects!$C$2+Projects!$D$2-1,46323/Projects!$D$2*0.95+0.05*46323,46323/Projects!$D$2*0.95),0)+IF(AND(Projects!$G$3="Yes",58&gt;=Projects!$C$3,58&lt;Projects!$C$3+Projects!$D$3),IF(58=Projects!$C$3+Projects!$D$3-1,176626/Projects!$D$3*0.95+0.05*176626,176626/Projects!$D$3*0.95),0)+IF(AND(Projects!$G$4="Yes",58&gt;=Projects!$C$4,58&lt;Projects!$C$4+Projects!$D$4),IF(58=Projects!$C$4+Projects!$D$4-1,Projects!$B$4*Assumptions!$B$12/Projects!$D$4*0.95+0.05*Projects!$B$4*Assumptions!$B$12,Projects!$B$4*Assumptions!$B$12/Projects!$D$4*0.95),0)+IF(AND(Projects!$G$5="Yes",58&gt;=Projects!$C$5,58&lt;Projects!$C$5+Projects!$D$5),IF(58=Projects!$C$5+Projects!$D$5-1,Projects!$B$5*Assumptions!$B$12/Projects!$D$5*0.95+0.05*Projects!$B$5*Assumptions!$B$12,Projects!$B$5*Assumptions!$B$12/Projects!$D$5*0.95),0)+IF(AND(Projects!$G$6="Yes",58&gt;=Projects!$C$6,58&lt;Projects!$C$6+Projects!$D$6),IF(58=Projects!$C$6+Projects!$D$6-1,0/Projects!$D$6*0.95+0.05*0,0/Projects!$D$6*0.95),0)+IF(AND(Projects!$G$7="Yes",58&gt;=Projects!$C$7,58&lt;Projects!$C$7+Projects!$D$7),IF(58=Projects!$C$7+Projects!$D$7-1,Projects!$B$7*Assumptions!$B$12/Projects!$D$7*0.95+0.05*Projects!$B$7*Assumptions!$B$12,Projects!$B$7*Assumptions!$B$12/Projects!$D$7*0.95),0)+IF(AND(Projects!$G$8="Yes",58&gt;=Projects!$C$8,58&lt;Projects!$C$8+Projects!$D$8),IF(58=Projects!$C$8+Projects!$D$8-1,Projects!$B$8*Assumptions!$B$12/Projects!$D$8*0.95+0.05*Projects!$B$8*Assumptions!$B$12,Projects!$B$8*Assumptions!$B$12/Projects!$D$8*0.95),0)+IF(AND(Projects!$G$9="Yes",58&gt;=Projects!$C$9,58&lt;Projects!$C$9+Projects!$D$9),IF(58=Projects!$C$9+Projects!$D$9-1,Projects!$B$9*Assumptions!$B$12/Projects!$D$9*0.95+0.05*Projects!$B$9*Assumptions!$B$12,Projects!$B$9*Assumptions!$B$12/Projects!$D$9*0.95),0)+IF(AND(Projects!$G$10="Yes",58&gt;=Projects!$C$10,58&lt;Projects!$C$10+Projects!$D$10),IF(58=Projects!$C$10+Projects!$D$10-1,Projects!$B$10*Assumptions!$B$12/Projects!$D$10*0.95+0.05*Projects!$B$10*Assumptions!$B$12,Projects!$B$10*Assumptions!$B$12/Projects!$D$10*0.95),0)+IF(AND(Projects!$G$11="Yes",58&gt;=Projects!$C$11,58&lt;Projects!$C$11+Projects!$D$11),IF(58=Projects!$C$11+Projects!$D$11-1,Projects!$B$11*Assumptions!$B$12/Projects!$D$11*0.95+0.05*Projects!$B$11*Assumptions!$B$12,Projects!$B$11*Assumptions!$B$12/Projects!$D$11*0.95),0)+IF(AND(Projects!$G$12="Yes",58&gt;=Projects!$C$12,58&lt;Projects!$C$12+Projects!$D$12),IF(58=Projects!$C$12+Projects!$D$12-1,Projects!$B$12*Assumptions!$B$12/Projects!$D$12*0.95+0.05*Projects!$B$12*Assumptions!$B$12,Projects!$B$12*Assumptions!$B$12/Projects!$D$12*0.95),0)+IF(AND(Projects!$G$13="Yes",58&gt;=Projects!$C$13,58&lt;Projects!$C$13+Projects!$D$13),IF(58=Projects!$C$13+Projects!$D$13-1,Projects!$B$13*Assumptions!$B$12/Projects!$D$13*0.95+0.05*Projects!$B$13*Assumptions!$B$12,Projects!$B$13*Assumptions!$B$12/Projects!$D$13*0.95),0)+IF(AND(Projects!$G$14="Yes",58&gt;=Projects!$C$14,58&lt;Projects!$C$14+Projects!$D$14),IF(58=Projects!$C$14+Projects!$D$14-1,Projects!$B$14*Assumptions!$B$12/Projects!$D$14*0.95+0.05*Projects!$B$14*Assumptions!$B$12,Projects!$B$14*Assumptions!$B$12/Projects!$D$14*0.95),0)+IF(AND(Projects!$G$15="Yes",58&gt;=Projects!$C$15,58&lt;Projects!$C$15+Projects!$D$15),IF(58=Projects!$C$15+Projects!$D$15-1,Projects!$B$15*Assumptions!$B$12/Projects!$D$15*0.95+0.05*Projects!$B$15*Assumptions!$B$12,Projects!$B$15*Assumptions!$B$12/Projects!$D$15*0.95),0)+IF(AND(Projects!$G$16="Yes",58&gt;=Projects!$C$16,58&lt;Projects!$C$16+Projects!$D$16),IF(58=Projects!$C$16+Projects!$D$16-1,Projects!$B$16*Assumptions!$B$12/Projects!$D$16*0.95+0.05*Projects!$B$16*Assumptions!$B$12,Projects!$B$16*Assumptions!$B$12/Projects!$D$16*0.95),0)</f>
        <v>0</v>
      </c>
      <c r="BI10" s="8">
        <f>IF(AND(Projects!$G$2="Yes",59&gt;=Projects!$C$2,59&lt;Projects!$C$2+Projects!$D$2),IF(59=Projects!$C$2+Projects!$D$2-1,46323/Projects!$D$2*0.95+0.05*46323,46323/Projects!$D$2*0.95),0)+IF(AND(Projects!$G$3="Yes",59&gt;=Projects!$C$3,59&lt;Projects!$C$3+Projects!$D$3),IF(59=Projects!$C$3+Projects!$D$3-1,176626/Projects!$D$3*0.95+0.05*176626,176626/Projects!$D$3*0.95),0)+IF(AND(Projects!$G$4="Yes",59&gt;=Projects!$C$4,59&lt;Projects!$C$4+Projects!$D$4),IF(59=Projects!$C$4+Projects!$D$4-1,Projects!$B$4*Assumptions!$B$12/Projects!$D$4*0.95+0.05*Projects!$B$4*Assumptions!$B$12,Projects!$B$4*Assumptions!$B$12/Projects!$D$4*0.95),0)+IF(AND(Projects!$G$5="Yes",59&gt;=Projects!$C$5,59&lt;Projects!$C$5+Projects!$D$5),IF(59=Projects!$C$5+Projects!$D$5-1,Projects!$B$5*Assumptions!$B$12/Projects!$D$5*0.95+0.05*Projects!$B$5*Assumptions!$B$12,Projects!$B$5*Assumptions!$B$12/Projects!$D$5*0.95),0)+IF(AND(Projects!$G$6="Yes",59&gt;=Projects!$C$6,59&lt;Projects!$C$6+Projects!$D$6),IF(59=Projects!$C$6+Projects!$D$6-1,0/Projects!$D$6*0.95+0.05*0,0/Projects!$D$6*0.95),0)+IF(AND(Projects!$G$7="Yes",59&gt;=Projects!$C$7,59&lt;Projects!$C$7+Projects!$D$7),IF(59=Projects!$C$7+Projects!$D$7-1,Projects!$B$7*Assumptions!$B$12/Projects!$D$7*0.95+0.05*Projects!$B$7*Assumptions!$B$12,Projects!$B$7*Assumptions!$B$12/Projects!$D$7*0.95),0)+IF(AND(Projects!$G$8="Yes",59&gt;=Projects!$C$8,59&lt;Projects!$C$8+Projects!$D$8),IF(59=Projects!$C$8+Projects!$D$8-1,Projects!$B$8*Assumptions!$B$12/Projects!$D$8*0.95+0.05*Projects!$B$8*Assumptions!$B$12,Projects!$B$8*Assumptions!$B$12/Projects!$D$8*0.95),0)+IF(AND(Projects!$G$9="Yes",59&gt;=Projects!$C$9,59&lt;Projects!$C$9+Projects!$D$9),IF(59=Projects!$C$9+Projects!$D$9-1,Projects!$B$9*Assumptions!$B$12/Projects!$D$9*0.95+0.05*Projects!$B$9*Assumptions!$B$12,Projects!$B$9*Assumptions!$B$12/Projects!$D$9*0.95),0)+IF(AND(Projects!$G$10="Yes",59&gt;=Projects!$C$10,59&lt;Projects!$C$10+Projects!$D$10),IF(59=Projects!$C$10+Projects!$D$10-1,Projects!$B$10*Assumptions!$B$12/Projects!$D$10*0.95+0.05*Projects!$B$10*Assumptions!$B$12,Projects!$B$10*Assumptions!$B$12/Projects!$D$10*0.95),0)+IF(AND(Projects!$G$11="Yes",59&gt;=Projects!$C$11,59&lt;Projects!$C$11+Projects!$D$11),IF(59=Projects!$C$11+Projects!$D$11-1,Projects!$B$11*Assumptions!$B$12/Projects!$D$11*0.95+0.05*Projects!$B$11*Assumptions!$B$12,Projects!$B$11*Assumptions!$B$12/Projects!$D$11*0.95),0)+IF(AND(Projects!$G$12="Yes",59&gt;=Projects!$C$12,59&lt;Projects!$C$12+Projects!$D$12),IF(59=Projects!$C$12+Projects!$D$12-1,Projects!$B$12*Assumptions!$B$12/Projects!$D$12*0.95+0.05*Projects!$B$12*Assumptions!$B$12,Projects!$B$12*Assumptions!$B$12/Projects!$D$12*0.95),0)+IF(AND(Projects!$G$13="Yes",59&gt;=Projects!$C$13,59&lt;Projects!$C$13+Projects!$D$13),IF(59=Projects!$C$13+Projects!$D$13-1,Projects!$B$13*Assumptions!$B$12/Projects!$D$13*0.95+0.05*Projects!$B$13*Assumptions!$B$12,Projects!$B$13*Assumptions!$B$12/Projects!$D$13*0.95),0)+IF(AND(Projects!$G$14="Yes",59&gt;=Projects!$C$14,59&lt;Projects!$C$14+Projects!$D$14),IF(59=Projects!$C$14+Projects!$D$14-1,Projects!$B$14*Assumptions!$B$12/Projects!$D$14*0.95+0.05*Projects!$B$14*Assumptions!$B$12,Projects!$B$14*Assumptions!$B$12/Projects!$D$14*0.95),0)+IF(AND(Projects!$G$15="Yes",59&gt;=Projects!$C$15,59&lt;Projects!$C$15+Projects!$D$15),IF(59=Projects!$C$15+Projects!$D$15-1,Projects!$B$15*Assumptions!$B$12/Projects!$D$15*0.95+0.05*Projects!$B$15*Assumptions!$B$12,Projects!$B$15*Assumptions!$B$12/Projects!$D$15*0.95),0)+IF(AND(Projects!$G$16="Yes",59&gt;=Projects!$C$16,59&lt;Projects!$C$16+Projects!$D$16),IF(59=Projects!$C$16+Projects!$D$16-1,Projects!$B$16*Assumptions!$B$12/Projects!$D$16*0.95+0.05*Projects!$B$16*Assumptions!$B$12,Projects!$B$16*Assumptions!$B$12/Projects!$D$16*0.95),0)</f>
        <v>0</v>
      </c>
      <c r="BJ10" s="8">
        <f>IF(AND(Projects!$G$2="Yes",60&gt;=Projects!$C$2,60&lt;Projects!$C$2+Projects!$D$2),IF(60=Projects!$C$2+Projects!$D$2-1,46323/Projects!$D$2*0.95+0.05*46323,46323/Projects!$D$2*0.95),0)+IF(AND(Projects!$G$3="Yes",60&gt;=Projects!$C$3,60&lt;Projects!$C$3+Projects!$D$3),IF(60=Projects!$C$3+Projects!$D$3-1,176626/Projects!$D$3*0.95+0.05*176626,176626/Projects!$D$3*0.95),0)+IF(AND(Projects!$G$4="Yes",60&gt;=Projects!$C$4,60&lt;Projects!$C$4+Projects!$D$4),IF(60=Projects!$C$4+Projects!$D$4-1,Projects!$B$4*Assumptions!$B$12/Projects!$D$4*0.95+0.05*Projects!$B$4*Assumptions!$B$12,Projects!$B$4*Assumptions!$B$12/Projects!$D$4*0.95),0)+IF(AND(Projects!$G$5="Yes",60&gt;=Projects!$C$5,60&lt;Projects!$C$5+Projects!$D$5),IF(60=Projects!$C$5+Projects!$D$5-1,Projects!$B$5*Assumptions!$B$12/Projects!$D$5*0.95+0.05*Projects!$B$5*Assumptions!$B$12,Projects!$B$5*Assumptions!$B$12/Projects!$D$5*0.95),0)+IF(AND(Projects!$G$6="Yes",60&gt;=Projects!$C$6,60&lt;Projects!$C$6+Projects!$D$6),IF(60=Projects!$C$6+Projects!$D$6-1,0/Projects!$D$6*0.95+0.05*0,0/Projects!$D$6*0.95),0)+IF(AND(Projects!$G$7="Yes",60&gt;=Projects!$C$7,60&lt;Projects!$C$7+Projects!$D$7),IF(60=Projects!$C$7+Projects!$D$7-1,Projects!$B$7*Assumptions!$B$12/Projects!$D$7*0.95+0.05*Projects!$B$7*Assumptions!$B$12,Projects!$B$7*Assumptions!$B$12/Projects!$D$7*0.95),0)+IF(AND(Projects!$G$8="Yes",60&gt;=Projects!$C$8,60&lt;Projects!$C$8+Projects!$D$8),IF(60=Projects!$C$8+Projects!$D$8-1,Projects!$B$8*Assumptions!$B$12/Projects!$D$8*0.95+0.05*Projects!$B$8*Assumptions!$B$12,Projects!$B$8*Assumptions!$B$12/Projects!$D$8*0.95),0)+IF(AND(Projects!$G$9="Yes",60&gt;=Projects!$C$9,60&lt;Projects!$C$9+Projects!$D$9),IF(60=Projects!$C$9+Projects!$D$9-1,Projects!$B$9*Assumptions!$B$12/Projects!$D$9*0.95+0.05*Projects!$B$9*Assumptions!$B$12,Projects!$B$9*Assumptions!$B$12/Projects!$D$9*0.95),0)+IF(AND(Projects!$G$10="Yes",60&gt;=Projects!$C$10,60&lt;Projects!$C$10+Projects!$D$10),IF(60=Projects!$C$10+Projects!$D$10-1,Projects!$B$10*Assumptions!$B$12/Projects!$D$10*0.95+0.05*Projects!$B$10*Assumptions!$B$12,Projects!$B$10*Assumptions!$B$12/Projects!$D$10*0.95),0)+IF(AND(Projects!$G$11="Yes",60&gt;=Projects!$C$11,60&lt;Projects!$C$11+Projects!$D$11),IF(60=Projects!$C$11+Projects!$D$11-1,Projects!$B$11*Assumptions!$B$12/Projects!$D$11*0.95+0.05*Projects!$B$11*Assumptions!$B$12,Projects!$B$11*Assumptions!$B$12/Projects!$D$11*0.95),0)+IF(AND(Projects!$G$12="Yes",60&gt;=Projects!$C$12,60&lt;Projects!$C$12+Projects!$D$12),IF(60=Projects!$C$12+Projects!$D$12-1,Projects!$B$12*Assumptions!$B$12/Projects!$D$12*0.95+0.05*Projects!$B$12*Assumptions!$B$12,Projects!$B$12*Assumptions!$B$12/Projects!$D$12*0.95),0)+IF(AND(Projects!$G$13="Yes",60&gt;=Projects!$C$13,60&lt;Projects!$C$13+Projects!$D$13),IF(60=Projects!$C$13+Projects!$D$13-1,Projects!$B$13*Assumptions!$B$12/Projects!$D$13*0.95+0.05*Projects!$B$13*Assumptions!$B$12,Projects!$B$13*Assumptions!$B$12/Projects!$D$13*0.95),0)+IF(AND(Projects!$G$14="Yes",60&gt;=Projects!$C$14,60&lt;Projects!$C$14+Projects!$D$14),IF(60=Projects!$C$14+Projects!$D$14-1,Projects!$B$14*Assumptions!$B$12/Projects!$D$14*0.95+0.05*Projects!$B$14*Assumptions!$B$12,Projects!$B$14*Assumptions!$B$12/Projects!$D$14*0.95),0)+IF(AND(Projects!$G$15="Yes",60&gt;=Projects!$C$15,60&lt;Projects!$C$15+Projects!$D$15),IF(60=Projects!$C$15+Projects!$D$15-1,Projects!$B$15*Assumptions!$B$12/Projects!$D$15*0.95+0.05*Projects!$B$15*Assumptions!$B$12,Projects!$B$15*Assumptions!$B$12/Projects!$D$15*0.95),0)+IF(AND(Projects!$G$16="Yes",60&gt;=Projects!$C$16,60&lt;Projects!$C$16+Projects!$D$16),IF(60=Projects!$C$16+Projects!$D$16-1,Projects!$B$16*Assumptions!$B$12/Projects!$D$16*0.95+0.05*Projects!$B$16*Assumptions!$B$12,Projects!$B$16*Assumptions!$B$12/Projects!$D$16*0.95),0)</f>
        <v>0</v>
      </c>
      <c r="BK10" s="8">
        <f>IF(AND(Projects!$G$2="Yes",61&gt;=Projects!$C$2,61&lt;Projects!$C$2+Projects!$D$2),IF(61=Projects!$C$2+Projects!$D$2-1,46323/Projects!$D$2*0.95+0.05*46323,46323/Projects!$D$2*0.95),0)+IF(AND(Projects!$G$3="Yes",61&gt;=Projects!$C$3,61&lt;Projects!$C$3+Projects!$D$3),IF(61=Projects!$C$3+Projects!$D$3-1,176626/Projects!$D$3*0.95+0.05*176626,176626/Projects!$D$3*0.95),0)+IF(AND(Projects!$G$4="Yes",61&gt;=Projects!$C$4,61&lt;Projects!$C$4+Projects!$D$4),IF(61=Projects!$C$4+Projects!$D$4-1,Projects!$B$4*Assumptions!$B$12/Projects!$D$4*0.95+0.05*Projects!$B$4*Assumptions!$B$12,Projects!$B$4*Assumptions!$B$12/Projects!$D$4*0.95),0)+IF(AND(Projects!$G$5="Yes",61&gt;=Projects!$C$5,61&lt;Projects!$C$5+Projects!$D$5),IF(61=Projects!$C$5+Projects!$D$5-1,Projects!$B$5*Assumptions!$B$12/Projects!$D$5*0.95+0.05*Projects!$B$5*Assumptions!$B$12,Projects!$B$5*Assumptions!$B$12/Projects!$D$5*0.95),0)+IF(AND(Projects!$G$6="Yes",61&gt;=Projects!$C$6,61&lt;Projects!$C$6+Projects!$D$6),IF(61=Projects!$C$6+Projects!$D$6-1,0/Projects!$D$6*0.95+0.05*0,0/Projects!$D$6*0.95),0)+IF(AND(Projects!$G$7="Yes",61&gt;=Projects!$C$7,61&lt;Projects!$C$7+Projects!$D$7),IF(61=Projects!$C$7+Projects!$D$7-1,Projects!$B$7*Assumptions!$B$12/Projects!$D$7*0.95+0.05*Projects!$B$7*Assumptions!$B$12,Projects!$B$7*Assumptions!$B$12/Projects!$D$7*0.95),0)+IF(AND(Projects!$G$8="Yes",61&gt;=Projects!$C$8,61&lt;Projects!$C$8+Projects!$D$8),IF(61=Projects!$C$8+Projects!$D$8-1,Projects!$B$8*Assumptions!$B$12/Projects!$D$8*0.95+0.05*Projects!$B$8*Assumptions!$B$12,Projects!$B$8*Assumptions!$B$12/Projects!$D$8*0.95),0)+IF(AND(Projects!$G$9="Yes",61&gt;=Projects!$C$9,61&lt;Projects!$C$9+Projects!$D$9),IF(61=Projects!$C$9+Projects!$D$9-1,Projects!$B$9*Assumptions!$B$12/Projects!$D$9*0.95+0.05*Projects!$B$9*Assumptions!$B$12,Projects!$B$9*Assumptions!$B$12/Projects!$D$9*0.95),0)+IF(AND(Projects!$G$10="Yes",61&gt;=Projects!$C$10,61&lt;Projects!$C$10+Projects!$D$10),IF(61=Projects!$C$10+Projects!$D$10-1,Projects!$B$10*Assumptions!$B$12/Projects!$D$10*0.95+0.05*Projects!$B$10*Assumptions!$B$12,Projects!$B$10*Assumptions!$B$12/Projects!$D$10*0.95),0)+IF(AND(Projects!$G$11="Yes",61&gt;=Projects!$C$11,61&lt;Projects!$C$11+Projects!$D$11),IF(61=Projects!$C$11+Projects!$D$11-1,Projects!$B$11*Assumptions!$B$12/Projects!$D$11*0.95+0.05*Projects!$B$11*Assumptions!$B$12,Projects!$B$11*Assumptions!$B$12/Projects!$D$11*0.95),0)+IF(AND(Projects!$G$12="Yes",61&gt;=Projects!$C$12,61&lt;Projects!$C$12+Projects!$D$12),IF(61=Projects!$C$12+Projects!$D$12-1,Projects!$B$12*Assumptions!$B$12/Projects!$D$12*0.95+0.05*Projects!$B$12*Assumptions!$B$12,Projects!$B$12*Assumptions!$B$12/Projects!$D$12*0.95),0)+IF(AND(Projects!$G$13="Yes",61&gt;=Projects!$C$13,61&lt;Projects!$C$13+Projects!$D$13),IF(61=Projects!$C$13+Projects!$D$13-1,Projects!$B$13*Assumptions!$B$12/Projects!$D$13*0.95+0.05*Projects!$B$13*Assumptions!$B$12,Projects!$B$13*Assumptions!$B$12/Projects!$D$13*0.95),0)+IF(AND(Projects!$G$14="Yes",61&gt;=Projects!$C$14,61&lt;Projects!$C$14+Projects!$D$14),IF(61=Projects!$C$14+Projects!$D$14-1,Projects!$B$14*Assumptions!$B$12/Projects!$D$14*0.95+0.05*Projects!$B$14*Assumptions!$B$12,Projects!$B$14*Assumptions!$B$12/Projects!$D$14*0.95),0)+IF(AND(Projects!$G$15="Yes",61&gt;=Projects!$C$15,61&lt;Projects!$C$15+Projects!$D$15),IF(61=Projects!$C$15+Projects!$D$15-1,Projects!$B$15*Assumptions!$B$12/Projects!$D$15*0.95+0.05*Projects!$B$15*Assumptions!$B$12,Projects!$B$15*Assumptions!$B$12/Projects!$D$15*0.95),0)+IF(AND(Projects!$G$16="Yes",61&gt;=Projects!$C$16,61&lt;Projects!$C$16+Projects!$D$16),IF(61=Projects!$C$16+Projects!$D$16-1,Projects!$B$16*Assumptions!$B$12/Projects!$D$16*0.95+0.05*Projects!$B$16*Assumptions!$B$12,Projects!$B$16*Assumptions!$B$12/Projects!$D$16*0.95),0)</f>
        <v>0</v>
      </c>
      <c r="BL10" s="8">
        <f>IF(AND(Projects!$G$2="Yes",62&gt;=Projects!$C$2,62&lt;Projects!$C$2+Projects!$D$2),IF(62=Projects!$C$2+Projects!$D$2-1,46323/Projects!$D$2*0.95+0.05*46323,46323/Projects!$D$2*0.95),0)+IF(AND(Projects!$G$3="Yes",62&gt;=Projects!$C$3,62&lt;Projects!$C$3+Projects!$D$3),IF(62=Projects!$C$3+Projects!$D$3-1,176626/Projects!$D$3*0.95+0.05*176626,176626/Projects!$D$3*0.95),0)+IF(AND(Projects!$G$4="Yes",62&gt;=Projects!$C$4,62&lt;Projects!$C$4+Projects!$D$4),IF(62=Projects!$C$4+Projects!$D$4-1,Projects!$B$4*Assumptions!$B$12/Projects!$D$4*0.95+0.05*Projects!$B$4*Assumptions!$B$12,Projects!$B$4*Assumptions!$B$12/Projects!$D$4*0.95),0)+IF(AND(Projects!$G$5="Yes",62&gt;=Projects!$C$5,62&lt;Projects!$C$5+Projects!$D$5),IF(62=Projects!$C$5+Projects!$D$5-1,Projects!$B$5*Assumptions!$B$12/Projects!$D$5*0.95+0.05*Projects!$B$5*Assumptions!$B$12,Projects!$B$5*Assumptions!$B$12/Projects!$D$5*0.95),0)+IF(AND(Projects!$G$6="Yes",62&gt;=Projects!$C$6,62&lt;Projects!$C$6+Projects!$D$6),IF(62=Projects!$C$6+Projects!$D$6-1,0/Projects!$D$6*0.95+0.05*0,0/Projects!$D$6*0.95),0)+IF(AND(Projects!$G$7="Yes",62&gt;=Projects!$C$7,62&lt;Projects!$C$7+Projects!$D$7),IF(62=Projects!$C$7+Projects!$D$7-1,Projects!$B$7*Assumptions!$B$12/Projects!$D$7*0.95+0.05*Projects!$B$7*Assumptions!$B$12,Projects!$B$7*Assumptions!$B$12/Projects!$D$7*0.95),0)+IF(AND(Projects!$G$8="Yes",62&gt;=Projects!$C$8,62&lt;Projects!$C$8+Projects!$D$8),IF(62=Projects!$C$8+Projects!$D$8-1,Projects!$B$8*Assumptions!$B$12/Projects!$D$8*0.95+0.05*Projects!$B$8*Assumptions!$B$12,Projects!$B$8*Assumptions!$B$12/Projects!$D$8*0.95),0)+IF(AND(Projects!$G$9="Yes",62&gt;=Projects!$C$9,62&lt;Projects!$C$9+Projects!$D$9),IF(62=Projects!$C$9+Projects!$D$9-1,Projects!$B$9*Assumptions!$B$12/Projects!$D$9*0.95+0.05*Projects!$B$9*Assumptions!$B$12,Projects!$B$9*Assumptions!$B$12/Projects!$D$9*0.95),0)+IF(AND(Projects!$G$10="Yes",62&gt;=Projects!$C$10,62&lt;Projects!$C$10+Projects!$D$10),IF(62=Projects!$C$10+Projects!$D$10-1,Projects!$B$10*Assumptions!$B$12/Projects!$D$10*0.95+0.05*Projects!$B$10*Assumptions!$B$12,Projects!$B$10*Assumptions!$B$12/Projects!$D$10*0.95),0)+IF(AND(Projects!$G$11="Yes",62&gt;=Projects!$C$11,62&lt;Projects!$C$11+Projects!$D$11),IF(62=Projects!$C$11+Projects!$D$11-1,Projects!$B$11*Assumptions!$B$12/Projects!$D$11*0.95+0.05*Projects!$B$11*Assumptions!$B$12,Projects!$B$11*Assumptions!$B$12/Projects!$D$11*0.95),0)+IF(AND(Projects!$G$12="Yes",62&gt;=Projects!$C$12,62&lt;Projects!$C$12+Projects!$D$12),IF(62=Projects!$C$12+Projects!$D$12-1,Projects!$B$12*Assumptions!$B$12/Projects!$D$12*0.95+0.05*Projects!$B$12*Assumptions!$B$12,Projects!$B$12*Assumptions!$B$12/Projects!$D$12*0.95),0)+IF(AND(Projects!$G$13="Yes",62&gt;=Projects!$C$13,62&lt;Projects!$C$13+Projects!$D$13),IF(62=Projects!$C$13+Projects!$D$13-1,Projects!$B$13*Assumptions!$B$12/Projects!$D$13*0.95+0.05*Projects!$B$13*Assumptions!$B$12,Projects!$B$13*Assumptions!$B$12/Projects!$D$13*0.95),0)+IF(AND(Projects!$G$14="Yes",62&gt;=Projects!$C$14,62&lt;Projects!$C$14+Projects!$D$14),IF(62=Projects!$C$14+Projects!$D$14-1,Projects!$B$14*Assumptions!$B$12/Projects!$D$14*0.95+0.05*Projects!$B$14*Assumptions!$B$12,Projects!$B$14*Assumptions!$B$12/Projects!$D$14*0.95),0)+IF(AND(Projects!$G$15="Yes",62&gt;=Projects!$C$15,62&lt;Projects!$C$15+Projects!$D$15),IF(62=Projects!$C$15+Projects!$D$15-1,Projects!$B$15*Assumptions!$B$12/Projects!$D$15*0.95+0.05*Projects!$B$15*Assumptions!$B$12,Projects!$B$15*Assumptions!$B$12/Projects!$D$15*0.95),0)+IF(AND(Projects!$G$16="Yes",62&gt;=Projects!$C$16,62&lt;Projects!$C$16+Projects!$D$16),IF(62=Projects!$C$16+Projects!$D$16-1,Projects!$B$16*Assumptions!$B$12/Projects!$D$16*0.95+0.05*Projects!$B$16*Assumptions!$B$12,Projects!$B$16*Assumptions!$B$12/Projects!$D$16*0.95),0)</f>
        <v>0</v>
      </c>
      <c r="BM10" s="8">
        <f>IF(AND(Projects!$G$2="Yes",63&gt;=Projects!$C$2,63&lt;Projects!$C$2+Projects!$D$2),IF(63=Projects!$C$2+Projects!$D$2-1,46323/Projects!$D$2*0.95+0.05*46323,46323/Projects!$D$2*0.95),0)+IF(AND(Projects!$G$3="Yes",63&gt;=Projects!$C$3,63&lt;Projects!$C$3+Projects!$D$3),IF(63=Projects!$C$3+Projects!$D$3-1,176626/Projects!$D$3*0.95+0.05*176626,176626/Projects!$D$3*0.95),0)+IF(AND(Projects!$G$4="Yes",63&gt;=Projects!$C$4,63&lt;Projects!$C$4+Projects!$D$4),IF(63=Projects!$C$4+Projects!$D$4-1,Projects!$B$4*Assumptions!$B$12/Projects!$D$4*0.95+0.05*Projects!$B$4*Assumptions!$B$12,Projects!$B$4*Assumptions!$B$12/Projects!$D$4*0.95),0)+IF(AND(Projects!$G$5="Yes",63&gt;=Projects!$C$5,63&lt;Projects!$C$5+Projects!$D$5),IF(63=Projects!$C$5+Projects!$D$5-1,Projects!$B$5*Assumptions!$B$12/Projects!$D$5*0.95+0.05*Projects!$B$5*Assumptions!$B$12,Projects!$B$5*Assumptions!$B$12/Projects!$D$5*0.95),0)+IF(AND(Projects!$G$6="Yes",63&gt;=Projects!$C$6,63&lt;Projects!$C$6+Projects!$D$6),IF(63=Projects!$C$6+Projects!$D$6-1,0/Projects!$D$6*0.95+0.05*0,0/Projects!$D$6*0.95),0)+IF(AND(Projects!$G$7="Yes",63&gt;=Projects!$C$7,63&lt;Projects!$C$7+Projects!$D$7),IF(63=Projects!$C$7+Projects!$D$7-1,Projects!$B$7*Assumptions!$B$12/Projects!$D$7*0.95+0.05*Projects!$B$7*Assumptions!$B$12,Projects!$B$7*Assumptions!$B$12/Projects!$D$7*0.95),0)+IF(AND(Projects!$G$8="Yes",63&gt;=Projects!$C$8,63&lt;Projects!$C$8+Projects!$D$8),IF(63=Projects!$C$8+Projects!$D$8-1,Projects!$B$8*Assumptions!$B$12/Projects!$D$8*0.95+0.05*Projects!$B$8*Assumptions!$B$12,Projects!$B$8*Assumptions!$B$12/Projects!$D$8*0.95),0)+IF(AND(Projects!$G$9="Yes",63&gt;=Projects!$C$9,63&lt;Projects!$C$9+Projects!$D$9),IF(63=Projects!$C$9+Projects!$D$9-1,Projects!$B$9*Assumptions!$B$12/Projects!$D$9*0.95+0.05*Projects!$B$9*Assumptions!$B$12,Projects!$B$9*Assumptions!$B$12/Projects!$D$9*0.95),0)+IF(AND(Projects!$G$10="Yes",63&gt;=Projects!$C$10,63&lt;Projects!$C$10+Projects!$D$10),IF(63=Projects!$C$10+Projects!$D$10-1,Projects!$B$10*Assumptions!$B$12/Projects!$D$10*0.95+0.05*Projects!$B$10*Assumptions!$B$12,Projects!$B$10*Assumptions!$B$12/Projects!$D$10*0.95),0)+IF(AND(Projects!$G$11="Yes",63&gt;=Projects!$C$11,63&lt;Projects!$C$11+Projects!$D$11),IF(63=Projects!$C$11+Projects!$D$11-1,Projects!$B$11*Assumptions!$B$12/Projects!$D$11*0.95+0.05*Projects!$B$11*Assumptions!$B$12,Projects!$B$11*Assumptions!$B$12/Projects!$D$11*0.95),0)+IF(AND(Projects!$G$12="Yes",63&gt;=Projects!$C$12,63&lt;Projects!$C$12+Projects!$D$12),IF(63=Projects!$C$12+Projects!$D$12-1,Projects!$B$12*Assumptions!$B$12/Projects!$D$12*0.95+0.05*Projects!$B$12*Assumptions!$B$12,Projects!$B$12*Assumptions!$B$12/Projects!$D$12*0.95),0)+IF(AND(Projects!$G$13="Yes",63&gt;=Projects!$C$13,63&lt;Projects!$C$13+Projects!$D$13),IF(63=Projects!$C$13+Projects!$D$13-1,Projects!$B$13*Assumptions!$B$12/Projects!$D$13*0.95+0.05*Projects!$B$13*Assumptions!$B$12,Projects!$B$13*Assumptions!$B$12/Projects!$D$13*0.95),0)+IF(AND(Projects!$G$14="Yes",63&gt;=Projects!$C$14,63&lt;Projects!$C$14+Projects!$D$14),IF(63=Projects!$C$14+Projects!$D$14-1,Projects!$B$14*Assumptions!$B$12/Projects!$D$14*0.95+0.05*Projects!$B$14*Assumptions!$B$12,Projects!$B$14*Assumptions!$B$12/Projects!$D$14*0.95),0)+IF(AND(Projects!$G$15="Yes",63&gt;=Projects!$C$15,63&lt;Projects!$C$15+Projects!$D$15),IF(63=Projects!$C$15+Projects!$D$15-1,Projects!$B$15*Assumptions!$B$12/Projects!$D$15*0.95+0.05*Projects!$B$15*Assumptions!$B$12,Projects!$B$15*Assumptions!$B$12/Projects!$D$15*0.95),0)+IF(AND(Projects!$G$16="Yes",63&gt;=Projects!$C$16,63&lt;Projects!$C$16+Projects!$D$16),IF(63=Projects!$C$16+Projects!$D$16-1,Projects!$B$16*Assumptions!$B$12/Projects!$D$16*0.95+0.05*Projects!$B$16*Assumptions!$B$12,Projects!$B$16*Assumptions!$B$12/Projects!$D$16*0.95),0)</f>
        <v>0</v>
      </c>
      <c r="BN10" s="8">
        <f>IF(AND(Projects!$G$2="Yes",64&gt;=Projects!$C$2,64&lt;Projects!$C$2+Projects!$D$2),IF(64=Projects!$C$2+Projects!$D$2-1,46323/Projects!$D$2*0.95+0.05*46323,46323/Projects!$D$2*0.95),0)+IF(AND(Projects!$G$3="Yes",64&gt;=Projects!$C$3,64&lt;Projects!$C$3+Projects!$D$3),IF(64=Projects!$C$3+Projects!$D$3-1,176626/Projects!$D$3*0.95+0.05*176626,176626/Projects!$D$3*0.95),0)+IF(AND(Projects!$G$4="Yes",64&gt;=Projects!$C$4,64&lt;Projects!$C$4+Projects!$D$4),IF(64=Projects!$C$4+Projects!$D$4-1,Projects!$B$4*Assumptions!$B$12/Projects!$D$4*0.95+0.05*Projects!$B$4*Assumptions!$B$12,Projects!$B$4*Assumptions!$B$12/Projects!$D$4*0.95),0)+IF(AND(Projects!$G$5="Yes",64&gt;=Projects!$C$5,64&lt;Projects!$C$5+Projects!$D$5),IF(64=Projects!$C$5+Projects!$D$5-1,Projects!$B$5*Assumptions!$B$12/Projects!$D$5*0.95+0.05*Projects!$B$5*Assumptions!$B$12,Projects!$B$5*Assumptions!$B$12/Projects!$D$5*0.95),0)+IF(AND(Projects!$G$6="Yes",64&gt;=Projects!$C$6,64&lt;Projects!$C$6+Projects!$D$6),IF(64=Projects!$C$6+Projects!$D$6-1,0/Projects!$D$6*0.95+0.05*0,0/Projects!$D$6*0.95),0)+IF(AND(Projects!$G$7="Yes",64&gt;=Projects!$C$7,64&lt;Projects!$C$7+Projects!$D$7),IF(64=Projects!$C$7+Projects!$D$7-1,Projects!$B$7*Assumptions!$B$12/Projects!$D$7*0.95+0.05*Projects!$B$7*Assumptions!$B$12,Projects!$B$7*Assumptions!$B$12/Projects!$D$7*0.95),0)+IF(AND(Projects!$G$8="Yes",64&gt;=Projects!$C$8,64&lt;Projects!$C$8+Projects!$D$8),IF(64=Projects!$C$8+Projects!$D$8-1,Projects!$B$8*Assumptions!$B$12/Projects!$D$8*0.95+0.05*Projects!$B$8*Assumptions!$B$12,Projects!$B$8*Assumptions!$B$12/Projects!$D$8*0.95),0)+IF(AND(Projects!$G$9="Yes",64&gt;=Projects!$C$9,64&lt;Projects!$C$9+Projects!$D$9),IF(64=Projects!$C$9+Projects!$D$9-1,Projects!$B$9*Assumptions!$B$12/Projects!$D$9*0.95+0.05*Projects!$B$9*Assumptions!$B$12,Projects!$B$9*Assumptions!$B$12/Projects!$D$9*0.95),0)+IF(AND(Projects!$G$10="Yes",64&gt;=Projects!$C$10,64&lt;Projects!$C$10+Projects!$D$10),IF(64=Projects!$C$10+Projects!$D$10-1,Projects!$B$10*Assumptions!$B$12/Projects!$D$10*0.95+0.05*Projects!$B$10*Assumptions!$B$12,Projects!$B$10*Assumptions!$B$12/Projects!$D$10*0.95),0)+IF(AND(Projects!$G$11="Yes",64&gt;=Projects!$C$11,64&lt;Projects!$C$11+Projects!$D$11),IF(64=Projects!$C$11+Projects!$D$11-1,Projects!$B$11*Assumptions!$B$12/Projects!$D$11*0.95+0.05*Projects!$B$11*Assumptions!$B$12,Projects!$B$11*Assumptions!$B$12/Projects!$D$11*0.95),0)+IF(AND(Projects!$G$12="Yes",64&gt;=Projects!$C$12,64&lt;Projects!$C$12+Projects!$D$12),IF(64=Projects!$C$12+Projects!$D$12-1,Projects!$B$12*Assumptions!$B$12/Projects!$D$12*0.95+0.05*Projects!$B$12*Assumptions!$B$12,Projects!$B$12*Assumptions!$B$12/Projects!$D$12*0.95),0)+IF(AND(Projects!$G$13="Yes",64&gt;=Projects!$C$13,64&lt;Projects!$C$13+Projects!$D$13),IF(64=Projects!$C$13+Projects!$D$13-1,Projects!$B$13*Assumptions!$B$12/Projects!$D$13*0.95+0.05*Projects!$B$13*Assumptions!$B$12,Projects!$B$13*Assumptions!$B$12/Projects!$D$13*0.95),0)+IF(AND(Projects!$G$14="Yes",64&gt;=Projects!$C$14,64&lt;Projects!$C$14+Projects!$D$14),IF(64=Projects!$C$14+Projects!$D$14-1,Projects!$B$14*Assumptions!$B$12/Projects!$D$14*0.95+0.05*Projects!$B$14*Assumptions!$B$12,Projects!$B$14*Assumptions!$B$12/Projects!$D$14*0.95),0)+IF(AND(Projects!$G$15="Yes",64&gt;=Projects!$C$15,64&lt;Projects!$C$15+Projects!$D$15),IF(64=Projects!$C$15+Projects!$D$15-1,Projects!$B$15*Assumptions!$B$12/Projects!$D$15*0.95+0.05*Projects!$B$15*Assumptions!$B$12,Projects!$B$15*Assumptions!$B$12/Projects!$D$15*0.95),0)+IF(AND(Projects!$G$16="Yes",64&gt;=Projects!$C$16,64&lt;Projects!$C$16+Projects!$D$16),IF(64=Projects!$C$16+Projects!$D$16-1,Projects!$B$16*Assumptions!$B$12/Projects!$D$16*0.95+0.05*Projects!$B$16*Assumptions!$B$12,Projects!$B$16*Assumptions!$B$12/Projects!$D$16*0.95),0)</f>
        <v>0</v>
      </c>
      <c r="BO10" s="8">
        <f>IF(AND(Projects!$G$2="Yes",65&gt;=Projects!$C$2,65&lt;Projects!$C$2+Projects!$D$2),IF(65=Projects!$C$2+Projects!$D$2-1,46323/Projects!$D$2*0.95+0.05*46323,46323/Projects!$D$2*0.95),0)+IF(AND(Projects!$G$3="Yes",65&gt;=Projects!$C$3,65&lt;Projects!$C$3+Projects!$D$3),IF(65=Projects!$C$3+Projects!$D$3-1,176626/Projects!$D$3*0.95+0.05*176626,176626/Projects!$D$3*0.95),0)+IF(AND(Projects!$G$4="Yes",65&gt;=Projects!$C$4,65&lt;Projects!$C$4+Projects!$D$4),IF(65=Projects!$C$4+Projects!$D$4-1,Projects!$B$4*Assumptions!$B$12/Projects!$D$4*0.95+0.05*Projects!$B$4*Assumptions!$B$12,Projects!$B$4*Assumptions!$B$12/Projects!$D$4*0.95),0)+IF(AND(Projects!$G$5="Yes",65&gt;=Projects!$C$5,65&lt;Projects!$C$5+Projects!$D$5),IF(65=Projects!$C$5+Projects!$D$5-1,Projects!$B$5*Assumptions!$B$12/Projects!$D$5*0.95+0.05*Projects!$B$5*Assumptions!$B$12,Projects!$B$5*Assumptions!$B$12/Projects!$D$5*0.95),0)+IF(AND(Projects!$G$6="Yes",65&gt;=Projects!$C$6,65&lt;Projects!$C$6+Projects!$D$6),IF(65=Projects!$C$6+Projects!$D$6-1,0/Projects!$D$6*0.95+0.05*0,0/Projects!$D$6*0.95),0)+IF(AND(Projects!$G$7="Yes",65&gt;=Projects!$C$7,65&lt;Projects!$C$7+Projects!$D$7),IF(65=Projects!$C$7+Projects!$D$7-1,Projects!$B$7*Assumptions!$B$12/Projects!$D$7*0.95+0.05*Projects!$B$7*Assumptions!$B$12,Projects!$B$7*Assumptions!$B$12/Projects!$D$7*0.95),0)+IF(AND(Projects!$G$8="Yes",65&gt;=Projects!$C$8,65&lt;Projects!$C$8+Projects!$D$8),IF(65=Projects!$C$8+Projects!$D$8-1,Projects!$B$8*Assumptions!$B$12/Projects!$D$8*0.95+0.05*Projects!$B$8*Assumptions!$B$12,Projects!$B$8*Assumptions!$B$12/Projects!$D$8*0.95),0)+IF(AND(Projects!$G$9="Yes",65&gt;=Projects!$C$9,65&lt;Projects!$C$9+Projects!$D$9),IF(65=Projects!$C$9+Projects!$D$9-1,Projects!$B$9*Assumptions!$B$12/Projects!$D$9*0.95+0.05*Projects!$B$9*Assumptions!$B$12,Projects!$B$9*Assumptions!$B$12/Projects!$D$9*0.95),0)+IF(AND(Projects!$G$10="Yes",65&gt;=Projects!$C$10,65&lt;Projects!$C$10+Projects!$D$10),IF(65=Projects!$C$10+Projects!$D$10-1,Projects!$B$10*Assumptions!$B$12/Projects!$D$10*0.95+0.05*Projects!$B$10*Assumptions!$B$12,Projects!$B$10*Assumptions!$B$12/Projects!$D$10*0.95),0)+IF(AND(Projects!$G$11="Yes",65&gt;=Projects!$C$11,65&lt;Projects!$C$11+Projects!$D$11),IF(65=Projects!$C$11+Projects!$D$11-1,Projects!$B$11*Assumptions!$B$12/Projects!$D$11*0.95+0.05*Projects!$B$11*Assumptions!$B$12,Projects!$B$11*Assumptions!$B$12/Projects!$D$11*0.95),0)+IF(AND(Projects!$G$12="Yes",65&gt;=Projects!$C$12,65&lt;Projects!$C$12+Projects!$D$12),IF(65=Projects!$C$12+Projects!$D$12-1,Projects!$B$12*Assumptions!$B$12/Projects!$D$12*0.95+0.05*Projects!$B$12*Assumptions!$B$12,Projects!$B$12*Assumptions!$B$12/Projects!$D$12*0.95),0)+IF(AND(Projects!$G$13="Yes",65&gt;=Projects!$C$13,65&lt;Projects!$C$13+Projects!$D$13),IF(65=Projects!$C$13+Projects!$D$13-1,Projects!$B$13*Assumptions!$B$12/Projects!$D$13*0.95+0.05*Projects!$B$13*Assumptions!$B$12,Projects!$B$13*Assumptions!$B$12/Projects!$D$13*0.95),0)+IF(AND(Projects!$G$14="Yes",65&gt;=Projects!$C$14,65&lt;Projects!$C$14+Projects!$D$14),IF(65=Projects!$C$14+Projects!$D$14-1,Projects!$B$14*Assumptions!$B$12/Projects!$D$14*0.95+0.05*Projects!$B$14*Assumptions!$B$12,Projects!$B$14*Assumptions!$B$12/Projects!$D$14*0.95),0)+IF(AND(Projects!$G$15="Yes",65&gt;=Projects!$C$15,65&lt;Projects!$C$15+Projects!$D$15),IF(65=Projects!$C$15+Projects!$D$15-1,Projects!$B$15*Assumptions!$B$12/Projects!$D$15*0.95+0.05*Projects!$B$15*Assumptions!$B$12,Projects!$B$15*Assumptions!$B$12/Projects!$D$15*0.95),0)+IF(AND(Projects!$G$16="Yes",65&gt;=Projects!$C$16,65&lt;Projects!$C$16+Projects!$D$16),IF(65=Projects!$C$16+Projects!$D$16-1,Projects!$B$16*Assumptions!$B$12/Projects!$D$16*0.95+0.05*Projects!$B$16*Assumptions!$B$12,Projects!$B$16*Assumptions!$B$12/Projects!$D$16*0.95),0)</f>
        <v>0</v>
      </c>
      <c r="BP10" s="8">
        <f>IF(AND(Projects!$G$2="Yes",66&gt;=Projects!$C$2,66&lt;Projects!$C$2+Projects!$D$2),IF(66=Projects!$C$2+Projects!$D$2-1,46323/Projects!$D$2*0.95+0.05*46323,46323/Projects!$D$2*0.95),0)+IF(AND(Projects!$G$3="Yes",66&gt;=Projects!$C$3,66&lt;Projects!$C$3+Projects!$D$3),IF(66=Projects!$C$3+Projects!$D$3-1,176626/Projects!$D$3*0.95+0.05*176626,176626/Projects!$D$3*0.95),0)+IF(AND(Projects!$G$4="Yes",66&gt;=Projects!$C$4,66&lt;Projects!$C$4+Projects!$D$4),IF(66=Projects!$C$4+Projects!$D$4-1,Projects!$B$4*Assumptions!$B$12/Projects!$D$4*0.95+0.05*Projects!$B$4*Assumptions!$B$12,Projects!$B$4*Assumptions!$B$12/Projects!$D$4*0.95),0)+IF(AND(Projects!$G$5="Yes",66&gt;=Projects!$C$5,66&lt;Projects!$C$5+Projects!$D$5),IF(66=Projects!$C$5+Projects!$D$5-1,Projects!$B$5*Assumptions!$B$12/Projects!$D$5*0.95+0.05*Projects!$B$5*Assumptions!$B$12,Projects!$B$5*Assumptions!$B$12/Projects!$D$5*0.95),0)+IF(AND(Projects!$G$6="Yes",66&gt;=Projects!$C$6,66&lt;Projects!$C$6+Projects!$D$6),IF(66=Projects!$C$6+Projects!$D$6-1,0/Projects!$D$6*0.95+0.05*0,0/Projects!$D$6*0.95),0)+IF(AND(Projects!$G$7="Yes",66&gt;=Projects!$C$7,66&lt;Projects!$C$7+Projects!$D$7),IF(66=Projects!$C$7+Projects!$D$7-1,Projects!$B$7*Assumptions!$B$12/Projects!$D$7*0.95+0.05*Projects!$B$7*Assumptions!$B$12,Projects!$B$7*Assumptions!$B$12/Projects!$D$7*0.95),0)+IF(AND(Projects!$G$8="Yes",66&gt;=Projects!$C$8,66&lt;Projects!$C$8+Projects!$D$8),IF(66=Projects!$C$8+Projects!$D$8-1,Projects!$B$8*Assumptions!$B$12/Projects!$D$8*0.95+0.05*Projects!$B$8*Assumptions!$B$12,Projects!$B$8*Assumptions!$B$12/Projects!$D$8*0.95),0)+IF(AND(Projects!$G$9="Yes",66&gt;=Projects!$C$9,66&lt;Projects!$C$9+Projects!$D$9),IF(66=Projects!$C$9+Projects!$D$9-1,Projects!$B$9*Assumptions!$B$12/Projects!$D$9*0.95+0.05*Projects!$B$9*Assumptions!$B$12,Projects!$B$9*Assumptions!$B$12/Projects!$D$9*0.95),0)+IF(AND(Projects!$G$10="Yes",66&gt;=Projects!$C$10,66&lt;Projects!$C$10+Projects!$D$10),IF(66=Projects!$C$10+Projects!$D$10-1,Projects!$B$10*Assumptions!$B$12/Projects!$D$10*0.95+0.05*Projects!$B$10*Assumptions!$B$12,Projects!$B$10*Assumptions!$B$12/Projects!$D$10*0.95),0)+IF(AND(Projects!$G$11="Yes",66&gt;=Projects!$C$11,66&lt;Projects!$C$11+Projects!$D$11),IF(66=Projects!$C$11+Projects!$D$11-1,Projects!$B$11*Assumptions!$B$12/Projects!$D$11*0.95+0.05*Projects!$B$11*Assumptions!$B$12,Projects!$B$11*Assumptions!$B$12/Projects!$D$11*0.95),0)+IF(AND(Projects!$G$12="Yes",66&gt;=Projects!$C$12,66&lt;Projects!$C$12+Projects!$D$12),IF(66=Projects!$C$12+Projects!$D$12-1,Projects!$B$12*Assumptions!$B$12/Projects!$D$12*0.95+0.05*Projects!$B$12*Assumptions!$B$12,Projects!$B$12*Assumptions!$B$12/Projects!$D$12*0.95),0)+IF(AND(Projects!$G$13="Yes",66&gt;=Projects!$C$13,66&lt;Projects!$C$13+Projects!$D$13),IF(66=Projects!$C$13+Projects!$D$13-1,Projects!$B$13*Assumptions!$B$12/Projects!$D$13*0.95+0.05*Projects!$B$13*Assumptions!$B$12,Projects!$B$13*Assumptions!$B$12/Projects!$D$13*0.95),0)+IF(AND(Projects!$G$14="Yes",66&gt;=Projects!$C$14,66&lt;Projects!$C$14+Projects!$D$14),IF(66=Projects!$C$14+Projects!$D$14-1,Projects!$B$14*Assumptions!$B$12/Projects!$D$14*0.95+0.05*Projects!$B$14*Assumptions!$B$12,Projects!$B$14*Assumptions!$B$12/Projects!$D$14*0.95),0)+IF(AND(Projects!$G$15="Yes",66&gt;=Projects!$C$15,66&lt;Projects!$C$15+Projects!$D$15),IF(66=Projects!$C$15+Projects!$D$15-1,Projects!$B$15*Assumptions!$B$12/Projects!$D$15*0.95+0.05*Projects!$B$15*Assumptions!$B$12,Projects!$B$15*Assumptions!$B$12/Projects!$D$15*0.95),0)+IF(AND(Projects!$G$16="Yes",66&gt;=Projects!$C$16,66&lt;Projects!$C$16+Projects!$D$16),IF(66=Projects!$C$16+Projects!$D$16-1,Projects!$B$16*Assumptions!$B$12/Projects!$D$16*0.95+0.05*Projects!$B$16*Assumptions!$B$12,Projects!$B$16*Assumptions!$B$12/Projects!$D$16*0.95),0)</f>
        <v>0</v>
      </c>
      <c r="BQ10" s="8">
        <f>IF(AND(Projects!$G$2="Yes",67&gt;=Projects!$C$2,67&lt;Projects!$C$2+Projects!$D$2),IF(67=Projects!$C$2+Projects!$D$2-1,46323/Projects!$D$2*0.95+0.05*46323,46323/Projects!$D$2*0.95),0)+IF(AND(Projects!$G$3="Yes",67&gt;=Projects!$C$3,67&lt;Projects!$C$3+Projects!$D$3),IF(67=Projects!$C$3+Projects!$D$3-1,176626/Projects!$D$3*0.95+0.05*176626,176626/Projects!$D$3*0.95),0)+IF(AND(Projects!$G$4="Yes",67&gt;=Projects!$C$4,67&lt;Projects!$C$4+Projects!$D$4),IF(67=Projects!$C$4+Projects!$D$4-1,Projects!$B$4*Assumptions!$B$12/Projects!$D$4*0.95+0.05*Projects!$B$4*Assumptions!$B$12,Projects!$B$4*Assumptions!$B$12/Projects!$D$4*0.95),0)+IF(AND(Projects!$G$5="Yes",67&gt;=Projects!$C$5,67&lt;Projects!$C$5+Projects!$D$5),IF(67=Projects!$C$5+Projects!$D$5-1,Projects!$B$5*Assumptions!$B$12/Projects!$D$5*0.95+0.05*Projects!$B$5*Assumptions!$B$12,Projects!$B$5*Assumptions!$B$12/Projects!$D$5*0.95),0)+IF(AND(Projects!$G$6="Yes",67&gt;=Projects!$C$6,67&lt;Projects!$C$6+Projects!$D$6),IF(67=Projects!$C$6+Projects!$D$6-1,0/Projects!$D$6*0.95+0.05*0,0/Projects!$D$6*0.95),0)+IF(AND(Projects!$G$7="Yes",67&gt;=Projects!$C$7,67&lt;Projects!$C$7+Projects!$D$7),IF(67=Projects!$C$7+Projects!$D$7-1,Projects!$B$7*Assumptions!$B$12/Projects!$D$7*0.95+0.05*Projects!$B$7*Assumptions!$B$12,Projects!$B$7*Assumptions!$B$12/Projects!$D$7*0.95),0)+IF(AND(Projects!$G$8="Yes",67&gt;=Projects!$C$8,67&lt;Projects!$C$8+Projects!$D$8),IF(67=Projects!$C$8+Projects!$D$8-1,Projects!$B$8*Assumptions!$B$12/Projects!$D$8*0.95+0.05*Projects!$B$8*Assumptions!$B$12,Projects!$B$8*Assumptions!$B$12/Projects!$D$8*0.95),0)+IF(AND(Projects!$G$9="Yes",67&gt;=Projects!$C$9,67&lt;Projects!$C$9+Projects!$D$9),IF(67=Projects!$C$9+Projects!$D$9-1,Projects!$B$9*Assumptions!$B$12/Projects!$D$9*0.95+0.05*Projects!$B$9*Assumptions!$B$12,Projects!$B$9*Assumptions!$B$12/Projects!$D$9*0.95),0)+IF(AND(Projects!$G$10="Yes",67&gt;=Projects!$C$10,67&lt;Projects!$C$10+Projects!$D$10),IF(67=Projects!$C$10+Projects!$D$10-1,Projects!$B$10*Assumptions!$B$12/Projects!$D$10*0.95+0.05*Projects!$B$10*Assumptions!$B$12,Projects!$B$10*Assumptions!$B$12/Projects!$D$10*0.95),0)+IF(AND(Projects!$G$11="Yes",67&gt;=Projects!$C$11,67&lt;Projects!$C$11+Projects!$D$11),IF(67=Projects!$C$11+Projects!$D$11-1,Projects!$B$11*Assumptions!$B$12/Projects!$D$11*0.95+0.05*Projects!$B$11*Assumptions!$B$12,Projects!$B$11*Assumptions!$B$12/Projects!$D$11*0.95),0)+IF(AND(Projects!$G$12="Yes",67&gt;=Projects!$C$12,67&lt;Projects!$C$12+Projects!$D$12),IF(67=Projects!$C$12+Projects!$D$12-1,Projects!$B$12*Assumptions!$B$12/Projects!$D$12*0.95+0.05*Projects!$B$12*Assumptions!$B$12,Projects!$B$12*Assumptions!$B$12/Projects!$D$12*0.95),0)+IF(AND(Projects!$G$13="Yes",67&gt;=Projects!$C$13,67&lt;Projects!$C$13+Projects!$D$13),IF(67=Projects!$C$13+Projects!$D$13-1,Projects!$B$13*Assumptions!$B$12/Projects!$D$13*0.95+0.05*Projects!$B$13*Assumptions!$B$12,Projects!$B$13*Assumptions!$B$12/Projects!$D$13*0.95),0)+IF(AND(Projects!$G$14="Yes",67&gt;=Projects!$C$14,67&lt;Projects!$C$14+Projects!$D$14),IF(67=Projects!$C$14+Projects!$D$14-1,Projects!$B$14*Assumptions!$B$12/Projects!$D$14*0.95+0.05*Projects!$B$14*Assumptions!$B$12,Projects!$B$14*Assumptions!$B$12/Projects!$D$14*0.95),0)+IF(AND(Projects!$G$15="Yes",67&gt;=Projects!$C$15,67&lt;Projects!$C$15+Projects!$D$15),IF(67=Projects!$C$15+Projects!$D$15-1,Projects!$B$15*Assumptions!$B$12/Projects!$D$15*0.95+0.05*Projects!$B$15*Assumptions!$B$12,Projects!$B$15*Assumptions!$B$12/Projects!$D$15*0.95),0)+IF(AND(Projects!$G$16="Yes",67&gt;=Projects!$C$16,67&lt;Projects!$C$16+Projects!$D$16),IF(67=Projects!$C$16+Projects!$D$16-1,Projects!$B$16*Assumptions!$B$12/Projects!$D$16*0.95+0.05*Projects!$B$16*Assumptions!$B$12,Projects!$B$16*Assumptions!$B$12/Projects!$D$16*0.95),0)</f>
        <v>0</v>
      </c>
      <c r="BR10" s="8">
        <f>IF(AND(Projects!$G$2="Yes",68&gt;=Projects!$C$2,68&lt;Projects!$C$2+Projects!$D$2),IF(68=Projects!$C$2+Projects!$D$2-1,46323/Projects!$D$2*0.95+0.05*46323,46323/Projects!$D$2*0.95),0)+IF(AND(Projects!$G$3="Yes",68&gt;=Projects!$C$3,68&lt;Projects!$C$3+Projects!$D$3),IF(68=Projects!$C$3+Projects!$D$3-1,176626/Projects!$D$3*0.95+0.05*176626,176626/Projects!$D$3*0.95),0)+IF(AND(Projects!$G$4="Yes",68&gt;=Projects!$C$4,68&lt;Projects!$C$4+Projects!$D$4),IF(68=Projects!$C$4+Projects!$D$4-1,Projects!$B$4*Assumptions!$B$12/Projects!$D$4*0.95+0.05*Projects!$B$4*Assumptions!$B$12,Projects!$B$4*Assumptions!$B$12/Projects!$D$4*0.95),0)+IF(AND(Projects!$G$5="Yes",68&gt;=Projects!$C$5,68&lt;Projects!$C$5+Projects!$D$5),IF(68=Projects!$C$5+Projects!$D$5-1,Projects!$B$5*Assumptions!$B$12/Projects!$D$5*0.95+0.05*Projects!$B$5*Assumptions!$B$12,Projects!$B$5*Assumptions!$B$12/Projects!$D$5*0.95),0)+IF(AND(Projects!$G$6="Yes",68&gt;=Projects!$C$6,68&lt;Projects!$C$6+Projects!$D$6),IF(68=Projects!$C$6+Projects!$D$6-1,0/Projects!$D$6*0.95+0.05*0,0/Projects!$D$6*0.95),0)+IF(AND(Projects!$G$7="Yes",68&gt;=Projects!$C$7,68&lt;Projects!$C$7+Projects!$D$7),IF(68=Projects!$C$7+Projects!$D$7-1,Projects!$B$7*Assumptions!$B$12/Projects!$D$7*0.95+0.05*Projects!$B$7*Assumptions!$B$12,Projects!$B$7*Assumptions!$B$12/Projects!$D$7*0.95),0)+IF(AND(Projects!$G$8="Yes",68&gt;=Projects!$C$8,68&lt;Projects!$C$8+Projects!$D$8),IF(68=Projects!$C$8+Projects!$D$8-1,Projects!$B$8*Assumptions!$B$12/Projects!$D$8*0.95+0.05*Projects!$B$8*Assumptions!$B$12,Projects!$B$8*Assumptions!$B$12/Projects!$D$8*0.95),0)+IF(AND(Projects!$G$9="Yes",68&gt;=Projects!$C$9,68&lt;Projects!$C$9+Projects!$D$9),IF(68=Projects!$C$9+Projects!$D$9-1,Projects!$B$9*Assumptions!$B$12/Projects!$D$9*0.95+0.05*Projects!$B$9*Assumptions!$B$12,Projects!$B$9*Assumptions!$B$12/Projects!$D$9*0.95),0)+IF(AND(Projects!$G$10="Yes",68&gt;=Projects!$C$10,68&lt;Projects!$C$10+Projects!$D$10),IF(68=Projects!$C$10+Projects!$D$10-1,Projects!$B$10*Assumptions!$B$12/Projects!$D$10*0.95+0.05*Projects!$B$10*Assumptions!$B$12,Projects!$B$10*Assumptions!$B$12/Projects!$D$10*0.95),0)+IF(AND(Projects!$G$11="Yes",68&gt;=Projects!$C$11,68&lt;Projects!$C$11+Projects!$D$11),IF(68=Projects!$C$11+Projects!$D$11-1,Projects!$B$11*Assumptions!$B$12/Projects!$D$11*0.95+0.05*Projects!$B$11*Assumptions!$B$12,Projects!$B$11*Assumptions!$B$12/Projects!$D$11*0.95),0)+IF(AND(Projects!$G$12="Yes",68&gt;=Projects!$C$12,68&lt;Projects!$C$12+Projects!$D$12),IF(68=Projects!$C$12+Projects!$D$12-1,Projects!$B$12*Assumptions!$B$12/Projects!$D$12*0.95+0.05*Projects!$B$12*Assumptions!$B$12,Projects!$B$12*Assumptions!$B$12/Projects!$D$12*0.95),0)+IF(AND(Projects!$G$13="Yes",68&gt;=Projects!$C$13,68&lt;Projects!$C$13+Projects!$D$13),IF(68=Projects!$C$13+Projects!$D$13-1,Projects!$B$13*Assumptions!$B$12/Projects!$D$13*0.95+0.05*Projects!$B$13*Assumptions!$B$12,Projects!$B$13*Assumptions!$B$12/Projects!$D$13*0.95),0)+IF(AND(Projects!$G$14="Yes",68&gt;=Projects!$C$14,68&lt;Projects!$C$14+Projects!$D$14),IF(68=Projects!$C$14+Projects!$D$14-1,Projects!$B$14*Assumptions!$B$12/Projects!$D$14*0.95+0.05*Projects!$B$14*Assumptions!$B$12,Projects!$B$14*Assumptions!$B$12/Projects!$D$14*0.95),0)+IF(AND(Projects!$G$15="Yes",68&gt;=Projects!$C$15,68&lt;Projects!$C$15+Projects!$D$15),IF(68=Projects!$C$15+Projects!$D$15-1,Projects!$B$15*Assumptions!$B$12/Projects!$D$15*0.95+0.05*Projects!$B$15*Assumptions!$B$12,Projects!$B$15*Assumptions!$B$12/Projects!$D$15*0.95),0)+IF(AND(Projects!$G$16="Yes",68&gt;=Projects!$C$16,68&lt;Projects!$C$16+Projects!$D$16),IF(68=Projects!$C$16+Projects!$D$16-1,Projects!$B$16*Assumptions!$B$12/Projects!$D$16*0.95+0.05*Projects!$B$16*Assumptions!$B$12,Projects!$B$16*Assumptions!$B$12/Projects!$D$16*0.95),0)</f>
        <v>0</v>
      </c>
      <c r="BS10" s="8">
        <f>IF(AND(Projects!$G$2="Yes",69&gt;=Projects!$C$2,69&lt;Projects!$C$2+Projects!$D$2),IF(69=Projects!$C$2+Projects!$D$2-1,46323/Projects!$D$2*0.95+0.05*46323,46323/Projects!$D$2*0.95),0)+IF(AND(Projects!$G$3="Yes",69&gt;=Projects!$C$3,69&lt;Projects!$C$3+Projects!$D$3),IF(69=Projects!$C$3+Projects!$D$3-1,176626/Projects!$D$3*0.95+0.05*176626,176626/Projects!$D$3*0.95),0)+IF(AND(Projects!$G$4="Yes",69&gt;=Projects!$C$4,69&lt;Projects!$C$4+Projects!$D$4),IF(69=Projects!$C$4+Projects!$D$4-1,Projects!$B$4*Assumptions!$B$12/Projects!$D$4*0.95+0.05*Projects!$B$4*Assumptions!$B$12,Projects!$B$4*Assumptions!$B$12/Projects!$D$4*0.95),0)+IF(AND(Projects!$G$5="Yes",69&gt;=Projects!$C$5,69&lt;Projects!$C$5+Projects!$D$5),IF(69=Projects!$C$5+Projects!$D$5-1,Projects!$B$5*Assumptions!$B$12/Projects!$D$5*0.95+0.05*Projects!$B$5*Assumptions!$B$12,Projects!$B$5*Assumptions!$B$12/Projects!$D$5*0.95),0)+IF(AND(Projects!$G$6="Yes",69&gt;=Projects!$C$6,69&lt;Projects!$C$6+Projects!$D$6),IF(69=Projects!$C$6+Projects!$D$6-1,0/Projects!$D$6*0.95+0.05*0,0/Projects!$D$6*0.95),0)+IF(AND(Projects!$G$7="Yes",69&gt;=Projects!$C$7,69&lt;Projects!$C$7+Projects!$D$7),IF(69=Projects!$C$7+Projects!$D$7-1,Projects!$B$7*Assumptions!$B$12/Projects!$D$7*0.95+0.05*Projects!$B$7*Assumptions!$B$12,Projects!$B$7*Assumptions!$B$12/Projects!$D$7*0.95),0)+IF(AND(Projects!$G$8="Yes",69&gt;=Projects!$C$8,69&lt;Projects!$C$8+Projects!$D$8),IF(69=Projects!$C$8+Projects!$D$8-1,Projects!$B$8*Assumptions!$B$12/Projects!$D$8*0.95+0.05*Projects!$B$8*Assumptions!$B$12,Projects!$B$8*Assumptions!$B$12/Projects!$D$8*0.95),0)+IF(AND(Projects!$G$9="Yes",69&gt;=Projects!$C$9,69&lt;Projects!$C$9+Projects!$D$9),IF(69=Projects!$C$9+Projects!$D$9-1,Projects!$B$9*Assumptions!$B$12/Projects!$D$9*0.95+0.05*Projects!$B$9*Assumptions!$B$12,Projects!$B$9*Assumptions!$B$12/Projects!$D$9*0.95),0)+IF(AND(Projects!$G$10="Yes",69&gt;=Projects!$C$10,69&lt;Projects!$C$10+Projects!$D$10),IF(69=Projects!$C$10+Projects!$D$10-1,Projects!$B$10*Assumptions!$B$12/Projects!$D$10*0.95+0.05*Projects!$B$10*Assumptions!$B$12,Projects!$B$10*Assumptions!$B$12/Projects!$D$10*0.95),0)+IF(AND(Projects!$G$11="Yes",69&gt;=Projects!$C$11,69&lt;Projects!$C$11+Projects!$D$11),IF(69=Projects!$C$11+Projects!$D$11-1,Projects!$B$11*Assumptions!$B$12/Projects!$D$11*0.95+0.05*Projects!$B$11*Assumptions!$B$12,Projects!$B$11*Assumptions!$B$12/Projects!$D$11*0.95),0)+IF(AND(Projects!$G$12="Yes",69&gt;=Projects!$C$12,69&lt;Projects!$C$12+Projects!$D$12),IF(69=Projects!$C$12+Projects!$D$12-1,Projects!$B$12*Assumptions!$B$12/Projects!$D$12*0.95+0.05*Projects!$B$12*Assumptions!$B$12,Projects!$B$12*Assumptions!$B$12/Projects!$D$12*0.95),0)+IF(AND(Projects!$G$13="Yes",69&gt;=Projects!$C$13,69&lt;Projects!$C$13+Projects!$D$13),IF(69=Projects!$C$13+Projects!$D$13-1,Projects!$B$13*Assumptions!$B$12/Projects!$D$13*0.95+0.05*Projects!$B$13*Assumptions!$B$12,Projects!$B$13*Assumptions!$B$12/Projects!$D$13*0.95),0)+IF(AND(Projects!$G$14="Yes",69&gt;=Projects!$C$14,69&lt;Projects!$C$14+Projects!$D$14),IF(69=Projects!$C$14+Projects!$D$14-1,Projects!$B$14*Assumptions!$B$12/Projects!$D$14*0.95+0.05*Projects!$B$14*Assumptions!$B$12,Projects!$B$14*Assumptions!$B$12/Projects!$D$14*0.95),0)+IF(AND(Projects!$G$15="Yes",69&gt;=Projects!$C$15,69&lt;Projects!$C$15+Projects!$D$15),IF(69=Projects!$C$15+Projects!$D$15-1,Projects!$B$15*Assumptions!$B$12/Projects!$D$15*0.95+0.05*Projects!$B$15*Assumptions!$B$12,Projects!$B$15*Assumptions!$B$12/Projects!$D$15*0.95),0)+IF(AND(Projects!$G$16="Yes",69&gt;=Projects!$C$16,69&lt;Projects!$C$16+Projects!$D$16),IF(69=Projects!$C$16+Projects!$D$16-1,Projects!$B$16*Assumptions!$B$12/Projects!$D$16*0.95+0.05*Projects!$B$16*Assumptions!$B$12,Projects!$B$16*Assumptions!$B$12/Projects!$D$16*0.95),0)</f>
        <v>0</v>
      </c>
      <c r="BT10" s="8">
        <f>IF(AND(Projects!$G$2="Yes",70&gt;=Projects!$C$2,70&lt;Projects!$C$2+Projects!$D$2),IF(70=Projects!$C$2+Projects!$D$2-1,46323/Projects!$D$2*0.95+0.05*46323,46323/Projects!$D$2*0.95),0)+IF(AND(Projects!$G$3="Yes",70&gt;=Projects!$C$3,70&lt;Projects!$C$3+Projects!$D$3),IF(70=Projects!$C$3+Projects!$D$3-1,176626/Projects!$D$3*0.95+0.05*176626,176626/Projects!$D$3*0.95),0)+IF(AND(Projects!$G$4="Yes",70&gt;=Projects!$C$4,70&lt;Projects!$C$4+Projects!$D$4),IF(70=Projects!$C$4+Projects!$D$4-1,Projects!$B$4*Assumptions!$B$12/Projects!$D$4*0.95+0.05*Projects!$B$4*Assumptions!$B$12,Projects!$B$4*Assumptions!$B$12/Projects!$D$4*0.95),0)+IF(AND(Projects!$G$5="Yes",70&gt;=Projects!$C$5,70&lt;Projects!$C$5+Projects!$D$5),IF(70=Projects!$C$5+Projects!$D$5-1,Projects!$B$5*Assumptions!$B$12/Projects!$D$5*0.95+0.05*Projects!$B$5*Assumptions!$B$12,Projects!$B$5*Assumptions!$B$12/Projects!$D$5*0.95),0)+IF(AND(Projects!$G$6="Yes",70&gt;=Projects!$C$6,70&lt;Projects!$C$6+Projects!$D$6),IF(70=Projects!$C$6+Projects!$D$6-1,0/Projects!$D$6*0.95+0.05*0,0/Projects!$D$6*0.95),0)+IF(AND(Projects!$G$7="Yes",70&gt;=Projects!$C$7,70&lt;Projects!$C$7+Projects!$D$7),IF(70=Projects!$C$7+Projects!$D$7-1,Projects!$B$7*Assumptions!$B$12/Projects!$D$7*0.95+0.05*Projects!$B$7*Assumptions!$B$12,Projects!$B$7*Assumptions!$B$12/Projects!$D$7*0.95),0)+IF(AND(Projects!$G$8="Yes",70&gt;=Projects!$C$8,70&lt;Projects!$C$8+Projects!$D$8),IF(70=Projects!$C$8+Projects!$D$8-1,Projects!$B$8*Assumptions!$B$12/Projects!$D$8*0.95+0.05*Projects!$B$8*Assumptions!$B$12,Projects!$B$8*Assumptions!$B$12/Projects!$D$8*0.95),0)+IF(AND(Projects!$G$9="Yes",70&gt;=Projects!$C$9,70&lt;Projects!$C$9+Projects!$D$9),IF(70=Projects!$C$9+Projects!$D$9-1,Projects!$B$9*Assumptions!$B$12/Projects!$D$9*0.95+0.05*Projects!$B$9*Assumptions!$B$12,Projects!$B$9*Assumptions!$B$12/Projects!$D$9*0.95),0)+IF(AND(Projects!$G$10="Yes",70&gt;=Projects!$C$10,70&lt;Projects!$C$10+Projects!$D$10),IF(70=Projects!$C$10+Projects!$D$10-1,Projects!$B$10*Assumptions!$B$12/Projects!$D$10*0.95+0.05*Projects!$B$10*Assumptions!$B$12,Projects!$B$10*Assumptions!$B$12/Projects!$D$10*0.95),0)+IF(AND(Projects!$G$11="Yes",70&gt;=Projects!$C$11,70&lt;Projects!$C$11+Projects!$D$11),IF(70=Projects!$C$11+Projects!$D$11-1,Projects!$B$11*Assumptions!$B$12/Projects!$D$11*0.95+0.05*Projects!$B$11*Assumptions!$B$12,Projects!$B$11*Assumptions!$B$12/Projects!$D$11*0.95),0)+IF(AND(Projects!$G$12="Yes",70&gt;=Projects!$C$12,70&lt;Projects!$C$12+Projects!$D$12),IF(70=Projects!$C$12+Projects!$D$12-1,Projects!$B$12*Assumptions!$B$12/Projects!$D$12*0.95+0.05*Projects!$B$12*Assumptions!$B$12,Projects!$B$12*Assumptions!$B$12/Projects!$D$12*0.95),0)+IF(AND(Projects!$G$13="Yes",70&gt;=Projects!$C$13,70&lt;Projects!$C$13+Projects!$D$13),IF(70=Projects!$C$13+Projects!$D$13-1,Projects!$B$13*Assumptions!$B$12/Projects!$D$13*0.95+0.05*Projects!$B$13*Assumptions!$B$12,Projects!$B$13*Assumptions!$B$12/Projects!$D$13*0.95),0)+IF(AND(Projects!$G$14="Yes",70&gt;=Projects!$C$14,70&lt;Projects!$C$14+Projects!$D$14),IF(70=Projects!$C$14+Projects!$D$14-1,Projects!$B$14*Assumptions!$B$12/Projects!$D$14*0.95+0.05*Projects!$B$14*Assumptions!$B$12,Projects!$B$14*Assumptions!$B$12/Projects!$D$14*0.95),0)+IF(AND(Projects!$G$15="Yes",70&gt;=Projects!$C$15,70&lt;Projects!$C$15+Projects!$D$15),IF(70=Projects!$C$15+Projects!$D$15-1,Projects!$B$15*Assumptions!$B$12/Projects!$D$15*0.95+0.05*Projects!$B$15*Assumptions!$B$12,Projects!$B$15*Assumptions!$B$12/Projects!$D$15*0.95),0)+IF(AND(Projects!$G$16="Yes",70&gt;=Projects!$C$16,70&lt;Projects!$C$16+Projects!$D$16),IF(70=Projects!$C$16+Projects!$D$16-1,Projects!$B$16*Assumptions!$B$12/Projects!$D$16*0.95+0.05*Projects!$B$16*Assumptions!$B$12,Projects!$B$16*Assumptions!$B$12/Projects!$D$16*0.95),0)</f>
        <v>0</v>
      </c>
      <c r="BU10" s="8">
        <f>IF(AND(Projects!$G$2="Yes",71&gt;=Projects!$C$2,71&lt;Projects!$C$2+Projects!$D$2),IF(71=Projects!$C$2+Projects!$D$2-1,46323/Projects!$D$2*0.95+0.05*46323,46323/Projects!$D$2*0.95),0)+IF(AND(Projects!$G$3="Yes",71&gt;=Projects!$C$3,71&lt;Projects!$C$3+Projects!$D$3),IF(71=Projects!$C$3+Projects!$D$3-1,176626/Projects!$D$3*0.95+0.05*176626,176626/Projects!$D$3*0.95),0)+IF(AND(Projects!$G$4="Yes",71&gt;=Projects!$C$4,71&lt;Projects!$C$4+Projects!$D$4),IF(71=Projects!$C$4+Projects!$D$4-1,Projects!$B$4*Assumptions!$B$12/Projects!$D$4*0.95+0.05*Projects!$B$4*Assumptions!$B$12,Projects!$B$4*Assumptions!$B$12/Projects!$D$4*0.95),0)+IF(AND(Projects!$G$5="Yes",71&gt;=Projects!$C$5,71&lt;Projects!$C$5+Projects!$D$5),IF(71=Projects!$C$5+Projects!$D$5-1,Projects!$B$5*Assumptions!$B$12/Projects!$D$5*0.95+0.05*Projects!$B$5*Assumptions!$B$12,Projects!$B$5*Assumptions!$B$12/Projects!$D$5*0.95),0)+IF(AND(Projects!$G$6="Yes",71&gt;=Projects!$C$6,71&lt;Projects!$C$6+Projects!$D$6),IF(71=Projects!$C$6+Projects!$D$6-1,0/Projects!$D$6*0.95+0.05*0,0/Projects!$D$6*0.95),0)+IF(AND(Projects!$G$7="Yes",71&gt;=Projects!$C$7,71&lt;Projects!$C$7+Projects!$D$7),IF(71=Projects!$C$7+Projects!$D$7-1,Projects!$B$7*Assumptions!$B$12/Projects!$D$7*0.95+0.05*Projects!$B$7*Assumptions!$B$12,Projects!$B$7*Assumptions!$B$12/Projects!$D$7*0.95),0)+IF(AND(Projects!$G$8="Yes",71&gt;=Projects!$C$8,71&lt;Projects!$C$8+Projects!$D$8),IF(71=Projects!$C$8+Projects!$D$8-1,Projects!$B$8*Assumptions!$B$12/Projects!$D$8*0.95+0.05*Projects!$B$8*Assumptions!$B$12,Projects!$B$8*Assumptions!$B$12/Projects!$D$8*0.95),0)+IF(AND(Projects!$G$9="Yes",71&gt;=Projects!$C$9,71&lt;Projects!$C$9+Projects!$D$9),IF(71=Projects!$C$9+Projects!$D$9-1,Projects!$B$9*Assumptions!$B$12/Projects!$D$9*0.95+0.05*Projects!$B$9*Assumptions!$B$12,Projects!$B$9*Assumptions!$B$12/Projects!$D$9*0.95),0)+IF(AND(Projects!$G$10="Yes",71&gt;=Projects!$C$10,71&lt;Projects!$C$10+Projects!$D$10),IF(71=Projects!$C$10+Projects!$D$10-1,Projects!$B$10*Assumptions!$B$12/Projects!$D$10*0.95+0.05*Projects!$B$10*Assumptions!$B$12,Projects!$B$10*Assumptions!$B$12/Projects!$D$10*0.95),0)+IF(AND(Projects!$G$11="Yes",71&gt;=Projects!$C$11,71&lt;Projects!$C$11+Projects!$D$11),IF(71=Projects!$C$11+Projects!$D$11-1,Projects!$B$11*Assumptions!$B$12/Projects!$D$11*0.95+0.05*Projects!$B$11*Assumptions!$B$12,Projects!$B$11*Assumptions!$B$12/Projects!$D$11*0.95),0)+IF(AND(Projects!$G$12="Yes",71&gt;=Projects!$C$12,71&lt;Projects!$C$12+Projects!$D$12),IF(71=Projects!$C$12+Projects!$D$12-1,Projects!$B$12*Assumptions!$B$12/Projects!$D$12*0.95+0.05*Projects!$B$12*Assumptions!$B$12,Projects!$B$12*Assumptions!$B$12/Projects!$D$12*0.95),0)+IF(AND(Projects!$G$13="Yes",71&gt;=Projects!$C$13,71&lt;Projects!$C$13+Projects!$D$13),IF(71=Projects!$C$13+Projects!$D$13-1,Projects!$B$13*Assumptions!$B$12/Projects!$D$13*0.95+0.05*Projects!$B$13*Assumptions!$B$12,Projects!$B$13*Assumptions!$B$12/Projects!$D$13*0.95),0)+IF(AND(Projects!$G$14="Yes",71&gt;=Projects!$C$14,71&lt;Projects!$C$14+Projects!$D$14),IF(71=Projects!$C$14+Projects!$D$14-1,Projects!$B$14*Assumptions!$B$12/Projects!$D$14*0.95+0.05*Projects!$B$14*Assumptions!$B$12,Projects!$B$14*Assumptions!$B$12/Projects!$D$14*0.95),0)+IF(AND(Projects!$G$15="Yes",71&gt;=Projects!$C$15,71&lt;Projects!$C$15+Projects!$D$15),IF(71=Projects!$C$15+Projects!$D$15-1,Projects!$B$15*Assumptions!$B$12/Projects!$D$15*0.95+0.05*Projects!$B$15*Assumptions!$B$12,Projects!$B$15*Assumptions!$B$12/Projects!$D$15*0.95),0)+IF(AND(Projects!$G$16="Yes",71&gt;=Projects!$C$16,71&lt;Projects!$C$16+Projects!$D$16),IF(71=Projects!$C$16+Projects!$D$16-1,Projects!$B$16*Assumptions!$B$12/Projects!$D$16*0.95+0.05*Projects!$B$16*Assumptions!$B$12,Projects!$B$16*Assumptions!$B$12/Projects!$D$16*0.95),0)</f>
        <v>0</v>
      </c>
      <c r="BV10" s="8">
        <f>IF(AND(Projects!$G$2="Yes",72&gt;=Projects!$C$2,72&lt;Projects!$C$2+Projects!$D$2),IF(72=Projects!$C$2+Projects!$D$2-1,46323/Projects!$D$2*0.95+0.05*46323,46323/Projects!$D$2*0.95),0)+IF(AND(Projects!$G$3="Yes",72&gt;=Projects!$C$3,72&lt;Projects!$C$3+Projects!$D$3),IF(72=Projects!$C$3+Projects!$D$3-1,176626/Projects!$D$3*0.95+0.05*176626,176626/Projects!$D$3*0.95),0)+IF(AND(Projects!$G$4="Yes",72&gt;=Projects!$C$4,72&lt;Projects!$C$4+Projects!$D$4),IF(72=Projects!$C$4+Projects!$D$4-1,Projects!$B$4*Assumptions!$B$12/Projects!$D$4*0.95+0.05*Projects!$B$4*Assumptions!$B$12,Projects!$B$4*Assumptions!$B$12/Projects!$D$4*0.95),0)+IF(AND(Projects!$G$5="Yes",72&gt;=Projects!$C$5,72&lt;Projects!$C$5+Projects!$D$5),IF(72=Projects!$C$5+Projects!$D$5-1,Projects!$B$5*Assumptions!$B$12/Projects!$D$5*0.95+0.05*Projects!$B$5*Assumptions!$B$12,Projects!$B$5*Assumptions!$B$12/Projects!$D$5*0.95),0)+IF(AND(Projects!$G$6="Yes",72&gt;=Projects!$C$6,72&lt;Projects!$C$6+Projects!$D$6),IF(72=Projects!$C$6+Projects!$D$6-1,0/Projects!$D$6*0.95+0.05*0,0/Projects!$D$6*0.95),0)+IF(AND(Projects!$G$7="Yes",72&gt;=Projects!$C$7,72&lt;Projects!$C$7+Projects!$D$7),IF(72=Projects!$C$7+Projects!$D$7-1,Projects!$B$7*Assumptions!$B$12/Projects!$D$7*0.95+0.05*Projects!$B$7*Assumptions!$B$12,Projects!$B$7*Assumptions!$B$12/Projects!$D$7*0.95),0)+IF(AND(Projects!$G$8="Yes",72&gt;=Projects!$C$8,72&lt;Projects!$C$8+Projects!$D$8),IF(72=Projects!$C$8+Projects!$D$8-1,Projects!$B$8*Assumptions!$B$12/Projects!$D$8*0.95+0.05*Projects!$B$8*Assumptions!$B$12,Projects!$B$8*Assumptions!$B$12/Projects!$D$8*0.95),0)+IF(AND(Projects!$G$9="Yes",72&gt;=Projects!$C$9,72&lt;Projects!$C$9+Projects!$D$9),IF(72=Projects!$C$9+Projects!$D$9-1,Projects!$B$9*Assumptions!$B$12/Projects!$D$9*0.95+0.05*Projects!$B$9*Assumptions!$B$12,Projects!$B$9*Assumptions!$B$12/Projects!$D$9*0.95),0)+IF(AND(Projects!$G$10="Yes",72&gt;=Projects!$C$10,72&lt;Projects!$C$10+Projects!$D$10),IF(72=Projects!$C$10+Projects!$D$10-1,Projects!$B$10*Assumptions!$B$12/Projects!$D$10*0.95+0.05*Projects!$B$10*Assumptions!$B$12,Projects!$B$10*Assumptions!$B$12/Projects!$D$10*0.95),0)+IF(AND(Projects!$G$11="Yes",72&gt;=Projects!$C$11,72&lt;Projects!$C$11+Projects!$D$11),IF(72=Projects!$C$11+Projects!$D$11-1,Projects!$B$11*Assumptions!$B$12/Projects!$D$11*0.95+0.05*Projects!$B$11*Assumptions!$B$12,Projects!$B$11*Assumptions!$B$12/Projects!$D$11*0.95),0)+IF(AND(Projects!$G$12="Yes",72&gt;=Projects!$C$12,72&lt;Projects!$C$12+Projects!$D$12),IF(72=Projects!$C$12+Projects!$D$12-1,Projects!$B$12*Assumptions!$B$12/Projects!$D$12*0.95+0.05*Projects!$B$12*Assumptions!$B$12,Projects!$B$12*Assumptions!$B$12/Projects!$D$12*0.95),0)+IF(AND(Projects!$G$13="Yes",72&gt;=Projects!$C$13,72&lt;Projects!$C$13+Projects!$D$13),IF(72=Projects!$C$13+Projects!$D$13-1,Projects!$B$13*Assumptions!$B$12/Projects!$D$13*0.95+0.05*Projects!$B$13*Assumptions!$B$12,Projects!$B$13*Assumptions!$B$12/Projects!$D$13*0.95),0)+IF(AND(Projects!$G$14="Yes",72&gt;=Projects!$C$14,72&lt;Projects!$C$14+Projects!$D$14),IF(72=Projects!$C$14+Projects!$D$14-1,Projects!$B$14*Assumptions!$B$12/Projects!$D$14*0.95+0.05*Projects!$B$14*Assumptions!$B$12,Projects!$B$14*Assumptions!$B$12/Projects!$D$14*0.95),0)+IF(AND(Projects!$G$15="Yes",72&gt;=Projects!$C$15,72&lt;Projects!$C$15+Projects!$D$15),IF(72=Projects!$C$15+Projects!$D$15-1,Projects!$B$15*Assumptions!$B$12/Projects!$D$15*0.95+0.05*Projects!$B$15*Assumptions!$B$12,Projects!$B$15*Assumptions!$B$12/Projects!$D$15*0.95),0)+IF(AND(Projects!$G$16="Yes",72&gt;=Projects!$C$16,72&lt;Projects!$C$16+Projects!$D$16),IF(72=Projects!$C$16+Projects!$D$16-1,Projects!$B$16*Assumptions!$B$12/Projects!$D$16*0.95+0.05*Projects!$B$16*Assumptions!$B$12,Projects!$B$16*Assumptions!$B$12/Projects!$D$16*0.95),0)</f>
        <v>0</v>
      </c>
      <c r="BW10" s="8">
        <f>IF(AND(Projects!$G$2="Yes",73&gt;=Projects!$C$2,73&lt;Projects!$C$2+Projects!$D$2),IF(73=Projects!$C$2+Projects!$D$2-1,46323/Projects!$D$2*0.95+0.05*46323,46323/Projects!$D$2*0.95),0)+IF(AND(Projects!$G$3="Yes",73&gt;=Projects!$C$3,73&lt;Projects!$C$3+Projects!$D$3),IF(73=Projects!$C$3+Projects!$D$3-1,176626/Projects!$D$3*0.95+0.05*176626,176626/Projects!$D$3*0.95),0)+IF(AND(Projects!$G$4="Yes",73&gt;=Projects!$C$4,73&lt;Projects!$C$4+Projects!$D$4),IF(73=Projects!$C$4+Projects!$D$4-1,Projects!$B$4*Assumptions!$B$12/Projects!$D$4*0.95+0.05*Projects!$B$4*Assumptions!$B$12,Projects!$B$4*Assumptions!$B$12/Projects!$D$4*0.95),0)+IF(AND(Projects!$G$5="Yes",73&gt;=Projects!$C$5,73&lt;Projects!$C$5+Projects!$D$5),IF(73=Projects!$C$5+Projects!$D$5-1,Projects!$B$5*Assumptions!$B$12/Projects!$D$5*0.95+0.05*Projects!$B$5*Assumptions!$B$12,Projects!$B$5*Assumptions!$B$12/Projects!$D$5*0.95),0)+IF(AND(Projects!$G$6="Yes",73&gt;=Projects!$C$6,73&lt;Projects!$C$6+Projects!$D$6),IF(73=Projects!$C$6+Projects!$D$6-1,0/Projects!$D$6*0.95+0.05*0,0/Projects!$D$6*0.95),0)+IF(AND(Projects!$G$7="Yes",73&gt;=Projects!$C$7,73&lt;Projects!$C$7+Projects!$D$7),IF(73=Projects!$C$7+Projects!$D$7-1,Projects!$B$7*Assumptions!$B$12/Projects!$D$7*0.95+0.05*Projects!$B$7*Assumptions!$B$12,Projects!$B$7*Assumptions!$B$12/Projects!$D$7*0.95),0)+IF(AND(Projects!$G$8="Yes",73&gt;=Projects!$C$8,73&lt;Projects!$C$8+Projects!$D$8),IF(73=Projects!$C$8+Projects!$D$8-1,Projects!$B$8*Assumptions!$B$12/Projects!$D$8*0.95+0.05*Projects!$B$8*Assumptions!$B$12,Projects!$B$8*Assumptions!$B$12/Projects!$D$8*0.95),0)+IF(AND(Projects!$G$9="Yes",73&gt;=Projects!$C$9,73&lt;Projects!$C$9+Projects!$D$9),IF(73=Projects!$C$9+Projects!$D$9-1,Projects!$B$9*Assumptions!$B$12/Projects!$D$9*0.95+0.05*Projects!$B$9*Assumptions!$B$12,Projects!$B$9*Assumptions!$B$12/Projects!$D$9*0.95),0)+IF(AND(Projects!$G$10="Yes",73&gt;=Projects!$C$10,73&lt;Projects!$C$10+Projects!$D$10),IF(73=Projects!$C$10+Projects!$D$10-1,Projects!$B$10*Assumptions!$B$12/Projects!$D$10*0.95+0.05*Projects!$B$10*Assumptions!$B$12,Projects!$B$10*Assumptions!$B$12/Projects!$D$10*0.95),0)+IF(AND(Projects!$G$11="Yes",73&gt;=Projects!$C$11,73&lt;Projects!$C$11+Projects!$D$11),IF(73=Projects!$C$11+Projects!$D$11-1,Projects!$B$11*Assumptions!$B$12/Projects!$D$11*0.95+0.05*Projects!$B$11*Assumptions!$B$12,Projects!$B$11*Assumptions!$B$12/Projects!$D$11*0.95),0)+IF(AND(Projects!$G$12="Yes",73&gt;=Projects!$C$12,73&lt;Projects!$C$12+Projects!$D$12),IF(73=Projects!$C$12+Projects!$D$12-1,Projects!$B$12*Assumptions!$B$12/Projects!$D$12*0.95+0.05*Projects!$B$12*Assumptions!$B$12,Projects!$B$12*Assumptions!$B$12/Projects!$D$12*0.95),0)+IF(AND(Projects!$G$13="Yes",73&gt;=Projects!$C$13,73&lt;Projects!$C$13+Projects!$D$13),IF(73=Projects!$C$13+Projects!$D$13-1,Projects!$B$13*Assumptions!$B$12/Projects!$D$13*0.95+0.05*Projects!$B$13*Assumptions!$B$12,Projects!$B$13*Assumptions!$B$12/Projects!$D$13*0.95),0)+IF(AND(Projects!$G$14="Yes",73&gt;=Projects!$C$14,73&lt;Projects!$C$14+Projects!$D$14),IF(73=Projects!$C$14+Projects!$D$14-1,Projects!$B$14*Assumptions!$B$12/Projects!$D$14*0.95+0.05*Projects!$B$14*Assumptions!$B$12,Projects!$B$14*Assumptions!$B$12/Projects!$D$14*0.95),0)+IF(AND(Projects!$G$15="Yes",73&gt;=Projects!$C$15,73&lt;Projects!$C$15+Projects!$D$15),IF(73=Projects!$C$15+Projects!$D$15-1,Projects!$B$15*Assumptions!$B$12/Projects!$D$15*0.95+0.05*Projects!$B$15*Assumptions!$B$12,Projects!$B$15*Assumptions!$B$12/Projects!$D$15*0.95),0)+IF(AND(Projects!$G$16="Yes",73&gt;=Projects!$C$16,73&lt;Projects!$C$16+Projects!$D$16),IF(73=Projects!$C$16+Projects!$D$16-1,Projects!$B$16*Assumptions!$B$12/Projects!$D$16*0.95+0.05*Projects!$B$16*Assumptions!$B$12,Projects!$B$16*Assumptions!$B$12/Projects!$D$16*0.95),0)</f>
        <v>0</v>
      </c>
      <c r="BX10" s="8">
        <f>IF(AND(Projects!$G$2="Yes",74&gt;=Projects!$C$2,74&lt;Projects!$C$2+Projects!$D$2),IF(74=Projects!$C$2+Projects!$D$2-1,46323/Projects!$D$2*0.95+0.05*46323,46323/Projects!$D$2*0.95),0)+IF(AND(Projects!$G$3="Yes",74&gt;=Projects!$C$3,74&lt;Projects!$C$3+Projects!$D$3),IF(74=Projects!$C$3+Projects!$D$3-1,176626/Projects!$D$3*0.95+0.05*176626,176626/Projects!$D$3*0.95),0)+IF(AND(Projects!$G$4="Yes",74&gt;=Projects!$C$4,74&lt;Projects!$C$4+Projects!$D$4),IF(74=Projects!$C$4+Projects!$D$4-1,Projects!$B$4*Assumptions!$B$12/Projects!$D$4*0.95+0.05*Projects!$B$4*Assumptions!$B$12,Projects!$B$4*Assumptions!$B$12/Projects!$D$4*0.95),0)+IF(AND(Projects!$G$5="Yes",74&gt;=Projects!$C$5,74&lt;Projects!$C$5+Projects!$D$5),IF(74=Projects!$C$5+Projects!$D$5-1,Projects!$B$5*Assumptions!$B$12/Projects!$D$5*0.95+0.05*Projects!$B$5*Assumptions!$B$12,Projects!$B$5*Assumptions!$B$12/Projects!$D$5*0.95),0)+IF(AND(Projects!$G$6="Yes",74&gt;=Projects!$C$6,74&lt;Projects!$C$6+Projects!$D$6),IF(74=Projects!$C$6+Projects!$D$6-1,0/Projects!$D$6*0.95+0.05*0,0/Projects!$D$6*0.95),0)+IF(AND(Projects!$G$7="Yes",74&gt;=Projects!$C$7,74&lt;Projects!$C$7+Projects!$D$7),IF(74=Projects!$C$7+Projects!$D$7-1,Projects!$B$7*Assumptions!$B$12/Projects!$D$7*0.95+0.05*Projects!$B$7*Assumptions!$B$12,Projects!$B$7*Assumptions!$B$12/Projects!$D$7*0.95),0)+IF(AND(Projects!$G$8="Yes",74&gt;=Projects!$C$8,74&lt;Projects!$C$8+Projects!$D$8),IF(74=Projects!$C$8+Projects!$D$8-1,Projects!$B$8*Assumptions!$B$12/Projects!$D$8*0.95+0.05*Projects!$B$8*Assumptions!$B$12,Projects!$B$8*Assumptions!$B$12/Projects!$D$8*0.95),0)+IF(AND(Projects!$G$9="Yes",74&gt;=Projects!$C$9,74&lt;Projects!$C$9+Projects!$D$9),IF(74=Projects!$C$9+Projects!$D$9-1,Projects!$B$9*Assumptions!$B$12/Projects!$D$9*0.95+0.05*Projects!$B$9*Assumptions!$B$12,Projects!$B$9*Assumptions!$B$12/Projects!$D$9*0.95),0)+IF(AND(Projects!$G$10="Yes",74&gt;=Projects!$C$10,74&lt;Projects!$C$10+Projects!$D$10),IF(74=Projects!$C$10+Projects!$D$10-1,Projects!$B$10*Assumptions!$B$12/Projects!$D$10*0.95+0.05*Projects!$B$10*Assumptions!$B$12,Projects!$B$10*Assumptions!$B$12/Projects!$D$10*0.95),0)+IF(AND(Projects!$G$11="Yes",74&gt;=Projects!$C$11,74&lt;Projects!$C$11+Projects!$D$11),IF(74=Projects!$C$11+Projects!$D$11-1,Projects!$B$11*Assumptions!$B$12/Projects!$D$11*0.95+0.05*Projects!$B$11*Assumptions!$B$12,Projects!$B$11*Assumptions!$B$12/Projects!$D$11*0.95),0)+IF(AND(Projects!$G$12="Yes",74&gt;=Projects!$C$12,74&lt;Projects!$C$12+Projects!$D$12),IF(74=Projects!$C$12+Projects!$D$12-1,Projects!$B$12*Assumptions!$B$12/Projects!$D$12*0.95+0.05*Projects!$B$12*Assumptions!$B$12,Projects!$B$12*Assumptions!$B$12/Projects!$D$12*0.95),0)+IF(AND(Projects!$G$13="Yes",74&gt;=Projects!$C$13,74&lt;Projects!$C$13+Projects!$D$13),IF(74=Projects!$C$13+Projects!$D$13-1,Projects!$B$13*Assumptions!$B$12/Projects!$D$13*0.95+0.05*Projects!$B$13*Assumptions!$B$12,Projects!$B$13*Assumptions!$B$12/Projects!$D$13*0.95),0)+IF(AND(Projects!$G$14="Yes",74&gt;=Projects!$C$14,74&lt;Projects!$C$14+Projects!$D$14),IF(74=Projects!$C$14+Projects!$D$14-1,Projects!$B$14*Assumptions!$B$12/Projects!$D$14*0.95+0.05*Projects!$B$14*Assumptions!$B$12,Projects!$B$14*Assumptions!$B$12/Projects!$D$14*0.95),0)+IF(AND(Projects!$G$15="Yes",74&gt;=Projects!$C$15,74&lt;Projects!$C$15+Projects!$D$15),IF(74=Projects!$C$15+Projects!$D$15-1,Projects!$B$15*Assumptions!$B$12/Projects!$D$15*0.95+0.05*Projects!$B$15*Assumptions!$B$12,Projects!$B$15*Assumptions!$B$12/Projects!$D$15*0.95),0)+IF(AND(Projects!$G$16="Yes",74&gt;=Projects!$C$16,74&lt;Projects!$C$16+Projects!$D$16),IF(74=Projects!$C$16+Projects!$D$16-1,Projects!$B$16*Assumptions!$B$12/Projects!$D$16*0.95+0.05*Projects!$B$16*Assumptions!$B$12,Projects!$B$16*Assumptions!$B$12/Projects!$D$16*0.95),0)</f>
        <v>0</v>
      </c>
      <c r="BY10" s="8">
        <f>IF(AND(Projects!$G$2="Yes",75&gt;=Projects!$C$2,75&lt;Projects!$C$2+Projects!$D$2),IF(75=Projects!$C$2+Projects!$D$2-1,46323/Projects!$D$2*0.95+0.05*46323,46323/Projects!$D$2*0.95),0)+IF(AND(Projects!$G$3="Yes",75&gt;=Projects!$C$3,75&lt;Projects!$C$3+Projects!$D$3),IF(75=Projects!$C$3+Projects!$D$3-1,176626/Projects!$D$3*0.95+0.05*176626,176626/Projects!$D$3*0.95),0)+IF(AND(Projects!$G$4="Yes",75&gt;=Projects!$C$4,75&lt;Projects!$C$4+Projects!$D$4),IF(75=Projects!$C$4+Projects!$D$4-1,Projects!$B$4*Assumptions!$B$12/Projects!$D$4*0.95+0.05*Projects!$B$4*Assumptions!$B$12,Projects!$B$4*Assumptions!$B$12/Projects!$D$4*0.95),0)+IF(AND(Projects!$G$5="Yes",75&gt;=Projects!$C$5,75&lt;Projects!$C$5+Projects!$D$5),IF(75=Projects!$C$5+Projects!$D$5-1,Projects!$B$5*Assumptions!$B$12/Projects!$D$5*0.95+0.05*Projects!$B$5*Assumptions!$B$12,Projects!$B$5*Assumptions!$B$12/Projects!$D$5*0.95),0)+IF(AND(Projects!$G$6="Yes",75&gt;=Projects!$C$6,75&lt;Projects!$C$6+Projects!$D$6),IF(75=Projects!$C$6+Projects!$D$6-1,0/Projects!$D$6*0.95+0.05*0,0/Projects!$D$6*0.95),0)+IF(AND(Projects!$G$7="Yes",75&gt;=Projects!$C$7,75&lt;Projects!$C$7+Projects!$D$7),IF(75=Projects!$C$7+Projects!$D$7-1,Projects!$B$7*Assumptions!$B$12/Projects!$D$7*0.95+0.05*Projects!$B$7*Assumptions!$B$12,Projects!$B$7*Assumptions!$B$12/Projects!$D$7*0.95),0)+IF(AND(Projects!$G$8="Yes",75&gt;=Projects!$C$8,75&lt;Projects!$C$8+Projects!$D$8),IF(75=Projects!$C$8+Projects!$D$8-1,Projects!$B$8*Assumptions!$B$12/Projects!$D$8*0.95+0.05*Projects!$B$8*Assumptions!$B$12,Projects!$B$8*Assumptions!$B$12/Projects!$D$8*0.95),0)+IF(AND(Projects!$G$9="Yes",75&gt;=Projects!$C$9,75&lt;Projects!$C$9+Projects!$D$9),IF(75=Projects!$C$9+Projects!$D$9-1,Projects!$B$9*Assumptions!$B$12/Projects!$D$9*0.95+0.05*Projects!$B$9*Assumptions!$B$12,Projects!$B$9*Assumptions!$B$12/Projects!$D$9*0.95),0)+IF(AND(Projects!$G$10="Yes",75&gt;=Projects!$C$10,75&lt;Projects!$C$10+Projects!$D$10),IF(75=Projects!$C$10+Projects!$D$10-1,Projects!$B$10*Assumptions!$B$12/Projects!$D$10*0.95+0.05*Projects!$B$10*Assumptions!$B$12,Projects!$B$10*Assumptions!$B$12/Projects!$D$10*0.95),0)+IF(AND(Projects!$G$11="Yes",75&gt;=Projects!$C$11,75&lt;Projects!$C$11+Projects!$D$11),IF(75=Projects!$C$11+Projects!$D$11-1,Projects!$B$11*Assumptions!$B$12/Projects!$D$11*0.95+0.05*Projects!$B$11*Assumptions!$B$12,Projects!$B$11*Assumptions!$B$12/Projects!$D$11*0.95),0)+IF(AND(Projects!$G$12="Yes",75&gt;=Projects!$C$12,75&lt;Projects!$C$12+Projects!$D$12),IF(75=Projects!$C$12+Projects!$D$12-1,Projects!$B$12*Assumptions!$B$12/Projects!$D$12*0.95+0.05*Projects!$B$12*Assumptions!$B$12,Projects!$B$12*Assumptions!$B$12/Projects!$D$12*0.95),0)+IF(AND(Projects!$G$13="Yes",75&gt;=Projects!$C$13,75&lt;Projects!$C$13+Projects!$D$13),IF(75=Projects!$C$13+Projects!$D$13-1,Projects!$B$13*Assumptions!$B$12/Projects!$D$13*0.95+0.05*Projects!$B$13*Assumptions!$B$12,Projects!$B$13*Assumptions!$B$12/Projects!$D$13*0.95),0)+IF(AND(Projects!$G$14="Yes",75&gt;=Projects!$C$14,75&lt;Projects!$C$14+Projects!$D$14),IF(75=Projects!$C$14+Projects!$D$14-1,Projects!$B$14*Assumptions!$B$12/Projects!$D$14*0.95+0.05*Projects!$B$14*Assumptions!$B$12,Projects!$B$14*Assumptions!$B$12/Projects!$D$14*0.95),0)+IF(AND(Projects!$G$15="Yes",75&gt;=Projects!$C$15,75&lt;Projects!$C$15+Projects!$D$15),IF(75=Projects!$C$15+Projects!$D$15-1,Projects!$B$15*Assumptions!$B$12/Projects!$D$15*0.95+0.05*Projects!$B$15*Assumptions!$B$12,Projects!$B$15*Assumptions!$B$12/Projects!$D$15*0.95),0)+IF(AND(Projects!$G$16="Yes",75&gt;=Projects!$C$16,75&lt;Projects!$C$16+Projects!$D$16),IF(75=Projects!$C$16+Projects!$D$16-1,Projects!$B$16*Assumptions!$B$12/Projects!$D$16*0.95+0.05*Projects!$B$16*Assumptions!$B$12,Projects!$B$16*Assumptions!$B$12/Projects!$D$16*0.95),0)</f>
        <v>0</v>
      </c>
      <c r="BZ10" s="8">
        <f>IF(AND(Projects!$G$2="Yes",76&gt;=Projects!$C$2,76&lt;Projects!$C$2+Projects!$D$2),IF(76=Projects!$C$2+Projects!$D$2-1,46323/Projects!$D$2*0.95+0.05*46323,46323/Projects!$D$2*0.95),0)+IF(AND(Projects!$G$3="Yes",76&gt;=Projects!$C$3,76&lt;Projects!$C$3+Projects!$D$3),IF(76=Projects!$C$3+Projects!$D$3-1,176626/Projects!$D$3*0.95+0.05*176626,176626/Projects!$D$3*0.95),0)+IF(AND(Projects!$G$4="Yes",76&gt;=Projects!$C$4,76&lt;Projects!$C$4+Projects!$D$4),IF(76=Projects!$C$4+Projects!$D$4-1,Projects!$B$4*Assumptions!$B$12/Projects!$D$4*0.95+0.05*Projects!$B$4*Assumptions!$B$12,Projects!$B$4*Assumptions!$B$12/Projects!$D$4*0.95),0)+IF(AND(Projects!$G$5="Yes",76&gt;=Projects!$C$5,76&lt;Projects!$C$5+Projects!$D$5),IF(76=Projects!$C$5+Projects!$D$5-1,Projects!$B$5*Assumptions!$B$12/Projects!$D$5*0.95+0.05*Projects!$B$5*Assumptions!$B$12,Projects!$B$5*Assumptions!$B$12/Projects!$D$5*0.95),0)+IF(AND(Projects!$G$6="Yes",76&gt;=Projects!$C$6,76&lt;Projects!$C$6+Projects!$D$6),IF(76=Projects!$C$6+Projects!$D$6-1,0/Projects!$D$6*0.95+0.05*0,0/Projects!$D$6*0.95),0)+IF(AND(Projects!$G$7="Yes",76&gt;=Projects!$C$7,76&lt;Projects!$C$7+Projects!$D$7),IF(76=Projects!$C$7+Projects!$D$7-1,Projects!$B$7*Assumptions!$B$12/Projects!$D$7*0.95+0.05*Projects!$B$7*Assumptions!$B$12,Projects!$B$7*Assumptions!$B$12/Projects!$D$7*0.95),0)+IF(AND(Projects!$G$8="Yes",76&gt;=Projects!$C$8,76&lt;Projects!$C$8+Projects!$D$8),IF(76=Projects!$C$8+Projects!$D$8-1,Projects!$B$8*Assumptions!$B$12/Projects!$D$8*0.95+0.05*Projects!$B$8*Assumptions!$B$12,Projects!$B$8*Assumptions!$B$12/Projects!$D$8*0.95),0)+IF(AND(Projects!$G$9="Yes",76&gt;=Projects!$C$9,76&lt;Projects!$C$9+Projects!$D$9),IF(76=Projects!$C$9+Projects!$D$9-1,Projects!$B$9*Assumptions!$B$12/Projects!$D$9*0.95+0.05*Projects!$B$9*Assumptions!$B$12,Projects!$B$9*Assumptions!$B$12/Projects!$D$9*0.95),0)+IF(AND(Projects!$G$10="Yes",76&gt;=Projects!$C$10,76&lt;Projects!$C$10+Projects!$D$10),IF(76=Projects!$C$10+Projects!$D$10-1,Projects!$B$10*Assumptions!$B$12/Projects!$D$10*0.95+0.05*Projects!$B$10*Assumptions!$B$12,Projects!$B$10*Assumptions!$B$12/Projects!$D$10*0.95),0)+IF(AND(Projects!$G$11="Yes",76&gt;=Projects!$C$11,76&lt;Projects!$C$11+Projects!$D$11),IF(76=Projects!$C$11+Projects!$D$11-1,Projects!$B$11*Assumptions!$B$12/Projects!$D$11*0.95+0.05*Projects!$B$11*Assumptions!$B$12,Projects!$B$11*Assumptions!$B$12/Projects!$D$11*0.95),0)+IF(AND(Projects!$G$12="Yes",76&gt;=Projects!$C$12,76&lt;Projects!$C$12+Projects!$D$12),IF(76=Projects!$C$12+Projects!$D$12-1,Projects!$B$12*Assumptions!$B$12/Projects!$D$12*0.95+0.05*Projects!$B$12*Assumptions!$B$12,Projects!$B$12*Assumptions!$B$12/Projects!$D$12*0.95),0)+IF(AND(Projects!$G$13="Yes",76&gt;=Projects!$C$13,76&lt;Projects!$C$13+Projects!$D$13),IF(76=Projects!$C$13+Projects!$D$13-1,Projects!$B$13*Assumptions!$B$12/Projects!$D$13*0.95+0.05*Projects!$B$13*Assumptions!$B$12,Projects!$B$13*Assumptions!$B$12/Projects!$D$13*0.95),0)+IF(AND(Projects!$G$14="Yes",76&gt;=Projects!$C$14,76&lt;Projects!$C$14+Projects!$D$14),IF(76=Projects!$C$14+Projects!$D$14-1,Projects!$B$14*Assumptions!$B$12/Projects!$D$14*0.95+0.05*Projects!$B$14*Assumptions!$B$12,Projects!$B$14*Assumptions!$B$12/Projects!$D$14*0.95),0)+IF(AND(Projects!$G$15="Yes",76&gt;=Projects!$C$15,76&lt;Projects!$C$15+Projects!$D$15),IF(76=Projects!$C$15+Projects!$D$15-1,Projects!$B$15*Assumptions!$B$12/Projects!$D$15*0.95+0.05*Projects!$B$15*Assumptions!$B$12,Projects!$B$15*Assumptions!$B$12/Projects!$D$15*0.95),0)+IF(AND(Projects!$G$16="Yes",76&gt;=Projects!$C$16,76&lt;Projects!$C$16+Projects!$D$16),IF(76=Projects!$C$16+Projects!$D$16-1,Projects!$B$16*Assumptions!$B$12/Projects!$D$16*0.95+0.05*Projects!$B$16*Assumptions!$B$12,Projects!$B$16*Assumptions!$B$12/Projects!$D$16*0.95),0)</f>
        <v>0</v>
      </c>
      <c r="CA10" s="8">
        <f>IF(AND(Projects!$G$2="Yes",77&gt;=Projects!$C$2,77&lt;Projects!$C$2+Projects!$D$2),IF(77=Projects!$C$2+Projects!$D$2-1,46323/Projects!$D$2*0.95+0.05*46323,46323/Projects!$D$2*0.95),0)+IF(AND(Projects!$G$3="Yes",77&gt;=Projects!$C$3,77&lt;Projects!$C$3+Projects!$D$3),IF(77=Projects!$C$3+Projects!$D$3-1,176626/Projects!$D$3*0.95+0.05*176626,176626/Projects!$D$3*0.95),0)+IF(AND(Projects!$G$4="Yes",77&gt;=Projects!$C$4,77&lt;Projects!$C$4+Projects!$D$4),IF(77=Projects!$C$4+Projects!$D$4-1,Projects!$B$4*Assumptions!$B$12/Projects!$D$4*0.95+0.05*Projects!$B$4*Assumptions!$B$12,Projects!$B$4*Assumptions!$B$12/Projects!$D$4*0.95),0)+IF(AND(Projects!$G$5="Yes",77&gt;=Projects!$C$5,77&lt;Projects!$C$5+Projects!$D$5),IF(77=Projects!$C$5+Projects!$D$5-1,Projects!$B$5*Assumptions!$B$12/Projects!$D$5*0.95+0.05*Projects!$B$5*Assumptions!$B$12,Projects!$B$5*Assumptions!$B$12/Projects!$D$5*0.95),0)+IF(AND(Projects!$G$6="Yes",77&gt;=Projects!$C$6,77&lt;Projects!$C$6+Projects!$D$6),IF(77=Projects!$C$6+Projects!$D$6-1,0/Projects!$D$6*0.95+0.05*0,0/Projects!$D$6*0.95),0)+IF(AND(Projects!$G$7="Yes",77&gt;=Projects!$C$7,77&lt;Projects!$C$7+Projects!$D$7),IF(77=Projects!$C$7+Projects!$D$7-1,Projects!$B$7*Assumptions!$B$12/Projects!$D$7*0.95+0.05*Projects!$B$7*Assumptions!$B$12,Projects!$B$7*Assumptions!$B$12/Projects!$D$7*0.95),0)+IF(AND(Projects!$G$8="Yes",77&gt;=Projects!$C$8,77&lt;Projects!$C$8+Projects!$D$8),IF(77=Projects!$C$8+Projects!$D$8-1,Projects!$B$8*Assumptions!$B$12/Projects!$D$8*0.95+0.05*Projects!$B$8*Assumptions!$B$12,Projects!$B$8*Assumptions!$B$12/Projects!$D$8*0.95),0)+IF(AND(Projects!$G$9="Yes",77&gt;=Projects!$C$9,77&lt;Projects!$C$9+Projects!$D$9),IF(77=Projects!$C$9+Projects!$D$9-1,Projects!$B$9*Assumptions!$B$12/Projects!$D$9*0.95+0.05*Projects!$B$9*Assumptions!$B$12,Projects!$B$9*Assumptions!$B$12/Projects!$D$9*0.95),0)+IF(AND(Projects!$G$10="Yes",77&gt;=Projects!$C$10,77&lt;Projects!$C$10+Projects!$D$10),IF(77=Projects!$C$10+Projects!$D$10-1,Projects!$B$10*Assumptions!$B$12/Projects!$D$10*0.95+0.05*Projects!$B$10*Assumptions!$B$12,Projects!$B$10*Assumptions!$B$12/Projects!$D$10*0.95),0)+IF(AND(Projects!$G$11="Yes",77&gt;=Projects!$C$11,77&lt;Projects!$C$11+Projects!$D$11),IF(77=Projects!$C$11+Projects!$D$11-1,Projects!$B$11*Assumptions!$B$12/Projects!$D$11*0.95+0.05*Projects!$B$11*Assumptions!$B$12,Projects!$B$11*Assumptions!$B$12/Projects!$D$11*0.95),0)+IF(AND(Projects!$G$12="Yes",77&gt;=Projects!$C$12,77&lt;Projects!$C$12+Projects!$D$12),IF(77=Projects!$C$12+Projects!$D$12-1,Projects!$B$12*Assumptions!$B$12/Projects!$D$12*0.95+0.05*Projects!$B$12*Assumptions!$B$12,Projects!$B$12*Assumptions!$B$12/Projects!$D$12*0.95),0)+IF(AND(Projects!$G$13="Yes",77&gt;=Projects!$C$13,77&lt;Projects!$C$13+Projects!$D$13),IF(77=Projects!$C$13+Projects!$D$13-1,Projects!$B$13*Assumptions!$B$12/Projects!$D$13*0.95+0.05*Projects!$B$13*Assumptions!$B$12,Projects!$B$13*Assumptions!$B$12/Projects!$D$13*0.95),0)+IF(AND(Projects!$G$14="Yes",77&gt;=Projects!$C$14,77&lt;Projects!$C$14+Projects!$D$14),IF(77=Projects!$C$14+Projects!$D$14-1,Projects!$B$14*Assumptions!$B$12/Projects!$D$14*0.95+0.05*Projects!$B$14*Assumptions!$B$12,Projects!$B$14*Assumptions!$B$12/Projects!$D$14*0.95),0)+IF(AND(Projects!$G$15="Yes",77&gt;=Projects!$C$15,77&lt;Projects!$C$15+Projects!$D$15),IF(77=Projects!$C$15+Projects!$D$15-1,Projects!$B$15*Assumptions!$B$12/Projects!$D$15*0.95+0.05*Projects!$B$15*Assumptions!$B$12,Projects!$B$15*Assumptions!$B$12/Projects!$D$15*0.95),0)+IF(AND(Projects!$G$16="Yes",77&gt;=Projects!$C$16,77&lt;Projects!$C$16+Projects!$D$16),IF(77=Projects!$C$16+Projects!$D$16-1,Projects!$B$16*Assumptions!$B$12/Projects!$D$16*0.95+0.05*Projects!$B$16*Assumptions!$B$12,Projects!$B$16*Assumptions!$B$12/Projects!$D$16*0.95),0)</f>
        <v>0</v>
      </c>
      <c r="CB10" s="8">
        <f>IF(AND(Projects!$G$2="Yes",78&gt;=Projects!$C$2,78&lt;Projects!$C$2+Projects!$D$2),IF(78=Projects!$C$2+Projects!$D$2-1,46323/Projects!$D$2*0.95+0.05*46323,46323/Projects!$D$2*0.95),0)+IF(AND(Projects!$G$3="Yes",78&gt;=Projects!$C$3,78&lt;Projects!$C$3+Projects!$D$3),IF(78=Projects!$C$3+Projects!$D$3-1,176626/Projects!$D$3*0.95+0.05*176626,176626/Projects!$D$3*0.95),0)+IF(AND(Projects!$G$4="Yes",78&gt;=Projects!$C$4,78&lt;Projects!$C$4+Projects!$D$4),IF(78=Projects!$C$4+Projects!$D$4-1,Projects!$B$4*Assumptions!$B$12/Projects!$D$4*0.95+0.05*Projects!$B$4*Assumptions!$B$12,Projects!$B$4*Assumptions!$B$12/Projects!$D$4*0.95),0)+IF(AND(Projects!$G$5="Yes",78&gt;=Projects!$C$5,78&lt;Projects!$C$5+Projects!$D$5),IF(78=Projects!$C$5+Projects!$D$5-1,Projects!$B$5*Assumptions!$B$12/Projects!$D$5*0.95+0.05*Projects!$B$5*Assumptions!$B$12,Projects!$B$5*Assumptions!$B$12/Projects!$D$5*0.95),0)+IF(AND(Projects!$G$6="Yes",78&gt;=Projects!$C$6,78&lt;Projects!$C$6+Projects!$D$6),IF(78=Projects!$C$6+Projects!$D$6-1,0/Projects!$D$6*0.95+0.05*0,0/Projects!$D$6*0.95),0)+IF(AND(Projects!$G$7="Yes",78&gt;=Projects!$C$7,78&lt;Projects!$C$7+Projects!$D$7),IF(78=Projects!$C$7+Projects!$D$7-1,Projects!$B$7*Assumptions!$B$12/Projects!$D$7*0.95+0.05*Projects!$B$7*Assumptions!$B$12,Projects!$B$7*Assumptions!$B$12/Projects!$D$7*0.95),0)+IF(AND(Projects!$G$8="Yes",78&gt;=Projects!$C$8,78&lt;Projects!$C$8+Projects!$D$8),IF(78=Projects!$C$8+Projects!$D$8-1,Projects!$B$8*Assumptions!$B$12/Projects!$D$8*0.95+0.05*Projects!$B$8*Assumptions!$B$12,Projects!$B$8*Assumptions!$B$12/Projects!$D$8*0.95),0)+IF(AND(Projects!$G$9="Yes",78&gt;=Projects!$C$9,78&lt;Projects!$C$9+Projects!$D$9),IF(78=Projects!$C$9+Projects!$D$9-1,Projects!$B$9*Assumptions!$B$12/Projects!$D$9*0.95+0.05*Projects!$B$9*Assumptions!$B$12,Projects!$B$9*Assumptions!$B$12/Projects!$D$9*0.95),0)+IF(AND(Projects!$G$10="Yes",78&gt;=Projects!$C$10,78&lt;Projects!$C$10+Projects!$D$10),IF(78=Projects!$C$10+Projects!$D$10-1,Projects!$B$10*Assumptions!$B$12/Projects!$D$10*0.95+0.05*Projects!$B$10*Assumptions!$B$12,Projects!$B$10*Assumptions!$B$12/Projects!$D$10*0.95),0)+IF(AND(Projects!$G$11="Yes",78&gt;=Projects!$C$11,78&lt;Projects!$C$11+Projects!$D$11),IF(78=Projects!$C$11+Projects!$D$11-1,Projects!$B$11*Assumptions!$B$12/Projects!$D$11*0.95+0.05*Projects!$B$11*Assumptions!$B$12,Projects!$B$11*Assumptions!$B$12/Projects!$D$11*0.95),0)+IF(AND(Projects!$G$12="Yes",78&gt;=Projects!$C$12,78&lt;Projects!$C$12+Projects!$D$12),IF(78=Projects!$C$12+Projects!$D$12-1,Projects!$B$12*Assumptions!$B$12/Projects!$D$12*0.95+0.05*Projects!$B$12*Assumptions!$B$12,Projects!$B$12*Assumptions!$B$12/Projects!$D$12*0.95),0)+IF(AND(Projects!$G$13="Yes",78&gt;=Projects!$C$13,78&lt;Projects!$C$13+Projects!$D$13),IF(78=Projects!$C$13+Projects!$D$13-1,Projects!$B$13*Assumptions!$B$12/Projects!$D$13*0.95+0.05*Projects!$B$13*Assumptions!$B$12,Projects!$B$13*Assumptions!$B$12/Projects!$D$13*0.95),0)+IF(AND(Projects!$G$14="Yes",78&gt;=Projects!$C$14,78&lt;Projects!$C$14+Projects!$D$14),IF(78=Projects!$C$14+Projects!$D$14-1,Projects!$B$14*Assumptions!$B$12/Projects!$D$14*0.95+0.05*Projects!$B$14*Assumptions!$B$12,Projects!$B$14*Assumptions!$B$12/Projects!$D$14*0.95),0)+IF(AND(Projects!$G$15="Yes",78&gt;=Projects!$C$15,78&lt;Projects!$C$15+Projects!$D$15),IF(78=Projects!$C$15+Projects!$D$15-1,Projects!$B$15*Assumptions!$B$12/Projects!$D$15*0.95+0.05*Projects!$B$15*Assumptions!$B$12,Projects!$B$15*Assumptions!$B$12/Projects!$D$15*0.95),0)+IF(AND(Projects!$G$16="Yes",78&gt;=Projects!$C$16,78&lt;Projects!$C$16+Projects!$D$16),IF(78=Projects!$C$16+Projects!$D$16-1,Projects!$B$16*Assumptions!$B$12/Projects!$D$16*0.95+0.05*Projects!$B$16*Assumptions!$B$12,Projects!$B$16*Assumptions!$B$12/Projects!$D$16*0.95),0)</f>
        <v>0</v>
      </c>
      <c r="CC10" s="8">
        <f>IF(AND(Projects!$G$2="Yes",79&gt;=Projects!$C$2,79&lt;Projects!$C$2+Projects!$D$2),IF(79=Projects!$C$2+Projects!$D$2-1,46323/Projects!$D$2*0.95+0.05*46323,46323/Projects!$D$2*0.95),0)+IF(AND(Projects!$G$3="Yes",79&gt;=Projects!$C$3,79&lt;Projects!$C$3+Projects!$D$3),IF(79=Projects!$C$3+Projects!$D$3-1,176626/Projects!$D$3*0.95+0.05*176626,176626/Projects!$D$3*0.95),0)+IF(AND(Projects!$G$4="Yes",79&gt;=Projects!$C$4,79&lt;Projects!$C$4+Projects!$D$4),IF(79=Projects!$C$4+Projects!$D$4-1,Projects!$B$4*Assumptions!$B$12/Projects!$D$4*0.95+0.05*Projects!$B$4*Assumptions!$B$12,Projects!$B$4*Assumptions!$B$12/Projects!$D$4*0.95),0)+IF(AND(Projects!$G$5="Yes",79&gt;=Projects!$C$5,79&lt;Projects!$C$5+Projects!$D$5),IF(79=Projects!$C$5+Projects!$D$5-1,Projects!$B$5*Assumptions!$B$12/Projects!$D$5*0.95+0.05*Projects!$B$5*Assumptions!$B$12,Projects!$B$5*Assumptions!$B$12/Projects!$D$5*0.95),0)+IF(AND(Projects!$G$6="Yes",79&gt;=Projects!$C$6,79&lt;Projects!$C$6+Projects!$D$6),IF(79=Projects!$C$6+Projects!$D$6-1,0/Projects!$D$6*0.95+0.05*0,0/Projects!$D$6*0.95),0)+IF(AND(Projects!$G$7="Yes",79&gt;=Projects!$C$7,79&lt;Projects!$C$7+Projects!$D$7),IF(79=Projects!$C$7+Projects!$D$7-1,Projects!$B$7*Assumptions!$B$12/Projects!$D$7*0.95+0.05*Projects!$B$7*Assumptions!$B$12,Projects!$B$7*Assumptions!$B$12/Projects!$D$7*0.95),0)+IF(AND(Projects!$G$8="Yes",79&gt;=Projects!$C$8,79&lt;Projects!$C$8+Projects!$D$8),IF(79=Projects!$C$8+Projects!$D$8-1,Projects!$B$8*Assumptions!$B$12/Projects!$D$8*0.95+0.05*Projects!$B$8*Assumptions!$B$12,Projects!$B$8*Assumptions!$B$12/Projects!$D$8*0.95),0)+IF(AND(Projects!$G$9="Yes",79&gt;=Projects!$C$9,79&lt;Projects!$C$9+Projects!$D$9),IF(79=Projects!$C$9+Projects!$D$9-1,Projects!$B$9*Assumptions!$B$12/Projects!$D$9*0.95+0.05*Projects!$B$9*Assumptions!$B$12,Projects!$B$9*Assumptions!$B$12/Projects!$D$9*0.95),0)+IF(AND(Projects!$G$10="Yes",79&gt;=Projects!$C$10,79&lt;Projects!$C$10+Projects!$D$10),IF(79=Projects!$C$10+Projects!$D$10-1,Projects!$B$10*Assumptions!$B$12/Projects!$D$10*0.95+0.05*Projects!$B$10*Assumptions!$B$12,Projects!$B$10*Assumptions!$B$12/Projects!$D$10*0.95),0)+IF(AND(Projects!$G$11="Yes",79&gt;=Projects!$C$11,79&lt;Projects!$C$11+Projects!$D$11),IF(79=Projects!$C$11+Projects!$D$11-1,Projects!$B$11*Assumptions!$B$12/Projects!$D$11*0.95+0.05*Projects!$B$11*Assumptions!$B$12,Projects!$B$11*Assumptions!$B$12/Projects!$D$11*0.95),0)+IF(AND(Projects!$G$12="Yes",79&gt;=Projects!$C$12,79&lt;Projects!$C$12+Projects!$D$12),IF(79=Projects!$C$12+Projects!$D$12-1,Projects!$B$12*Assumptions!$B$12/Projects!$D$12*0.95+0.05*Projects!$B$12*Assumptions!$B$12,Projects!$B$12*Assumptions!$B$12/Projects!$D$12*0.95),0)+IF(AND(Projects!$G$13="Yes",79&gt;=Projects!$C$13,79&lt;Projects!$C$13+Projects!$D$13),IF(79=Projects!$C$13+Projects!$D$13-1,Projects!$B$13*Assumptions!$B$12/Projects!$D$13*0.95+0.05*Projects!$B$13*Assumptions!$B$12,Projects!$B$13*Assumptions!$B$12/Projects!$D$13*0.95),0)+IF(AND(Projects!$G$14="Yes",79&gt;=Projects!$C$14,79&lt;Projects!$C$14+Projects!$D$14),IF(79=Projects!$C$14+Projects!$D$14-1,Projects!$B$14*Assumptions!$B$12/Projects!$D$14*0.95+0.05*Projects!$B$14*Assumptions!$B$12,Projects!$B$14*Assumptions!$B$12/Projects!$D$14*0.95),0)+IF(AND(Projects!$G$15="Yes",79&gt;=Projects!$C$15,79&lt;Projects!$C$15+Projects!$D$15),IF(79=Projects!$C$15+Projects!$D$15-1,Projects!$B$15*Assumptions!$B$12/Projects!$D$15*0.95+0.05*Projects!$B$15*Assumptions!$B$12,Projects!$B$15*Assumptions!$B$12/Projects!$D$15*0.95),0)+IF(AND(Projects!$G$16="Yes",79&gt;=Projects!$C$16,79&lt;Projects!$C$16+Projects!$D$16),IF(79=Projects!$C$16+Projects!$D$16-1,Projects!$B$16*Assumptions!$B$12/Projects!$D$16*0.95+0.05*Projects!$B$16*Assumptions!$B$12,Projects!$B$16*Assumptions!$B$12/Projects!$D$16*0.95),0)</f>
        <v>0</v>
      </c>
      <c r="CD10" s="8">
        <f>IF(AND(Projects!$G$2="Yes",80&gt;=Projects!$C$2,80&lt;Projects!$C$2+Projects!$D$2),IF(80=Projects!$C$2+Projects!$D$2-1,46323/Projects!$D$2*0.95+0.05*46323,46323/Projects!$D$2*0.95),0)+IF(AND(Projects!$G$3="Yes",80&gt;=Projects!$C$3,80&lt;Projects!$C$3+Projects!$D$3),IF(80=Projects!$C$3+Projects!$D$3-1,176626/Projects!$D$3*0.95+0.05*176626,176626/Projects!$D$3*0.95),0)+IF(AND(Projects!$G$4="Yes",80&gt;=Projects!$C$4,80&lt;Projects!$C$4+Projects!$D$4),IF(80=Projects!$C$4+Projects!$D$4-1,Projects!$B$4*Assumptions!$B$12/Projects!$D$4*0.95+0.05*Projects!$B$4*Assumptions!$B$12,Projects!$B$4*Assumptions!$B$12/Projects!$D$4*0.95),0)+IF(AND(Projects!$G$5="Yes",80&gt;=Projects!$C$5,80&lt;Projects!$C$5+Projects!$D$5),IF(80=Projects!$C$5+Projects!$D$5-1,Projects!$B$5*Assumptions!$B$12/Projects!$D$5*0.95+0.05*Projects!$B$5*Assumptions!$B$12,Projects!$B$5*Assumptions!$B$12/Projects!$D$5*0.95),0)+IF(AND(Projects!$G$6="Yes",80&gt;=Projects!$C$6,80&lt;Projects!$C$6+Projects!$D$6),IF(80=Projects!$C$6+Projects!$D$6-1,0/Projects!$D$6*0.95+0.05*0,0/Projects!$D$6*0.95),0)+IF(AND(Projects!$G$7="Yes",80&gt;=Projects!$C$7,80&lt;Projects!$C$7+Projects!$D$7),IF(80=Projects!$C$7+Projects!$D$7-1,Projects!$B$7*Assumptions!$B$12/Projects!$D$7*0.95+0.05*Projects!$B$7*Assumptions!$B$12,Projects!$B$7*Assumptions!$B$12/Projects!$D$7*0.95),0)+IF(AND(Projects!$G$8="Yes",80&gt;=Projects!$C$8,80&lt;Projects!$C$8+Projects!$D$8),IF(80=Projects!$C$8+Projects!$D$8-1,Projects!$B$8*Assumptions!$B$12/Projects!$D$8*0.95+0.05*Projects!$B$8*Assumptions!$B$12,Projects!$B$8*Assumptions!$B$12/Projects!$D$8*0.95),0)+IF(AND(Projects!$G$9="Yes",80&gt;=Projects!$C$9,80&lt;Projects!$C$9+Projects!$D$9),IF(80=Projects!$C$9+Projects!$D$9-1,Projects!$B$9*Assumptions!$B$12/Projects!$D$9*0.95+0.05*Projects!$B$9*Assumptions!$B$12,Projects!$B$9*Assumptions!$B$12/Projects!$D$9*0.95),0)+IF(AND(Projects!$G$10="Yes",80&gt;=Projects!$C$10,80&lt;Projects!$C$10+Projects!$D$10),IF(80=Projects!$C$10+Projects!$D$10-1,Projects!$B$10*Assumptions!$B$12/Projects!$D$10*0.95+0.05*Projects!$B$10*Assumptions!$B$12,Projects!$B$10*Assumptions!$B$12/Projects!$D$10*0.95),0)+IF(AND(Projects!$G$11="Yes",80&gt;=Projects!$C$11,80&lt;Projects!$C$11+Projects!$D$11),IF(80=Projects!$C$11+Projects!$D$11-1,Projects!$B$11*Assumptions!$B$12/Projects!$D$11*0.95+0.05*Projects!$B$11*Assumptions!$B$12,Projects!$B$11*Assumptions!$B$12/Projects!$D$11*0.95),0)+IF(AND(Projects!$G$12="Yes",80&gt;=Projects!$C$12,80&lt;Projects!$C$12+Projects!$D$12),IF(80=Projects!$C$12+Projects!$D$12-1,Projects!$B$12*Assumptions!$B$12/Projects!$D$12*0.95+0.05*Projects!$B$12*Assumptions!$B$12,Projects!$B$12*Assumptions!$B$12/Projects!$D$12*0.95),0)+IF(AND(Projects!$G$13="Yes",80&gt;=Projects!$C$13,80&lt;Projects!$C$13+Projects!$D$13),IF(80=Projects!$C$13+Projects!$D$13-1,Projects!$B$13*Assumptions!$B$12/Projects!$D$13*0.95+0.05*Projects!$B$13*Assumptions!$B$12,Projects!$B$13*Assumptions!$B$12/Projects!$D$13*0.95),0)+IF(AND(Projects!$G$14="Yes",80&gt;=Projects!$C$14,80&lt;Projects!$C$14+Projects!$D$14),IF(80=Projects!$C$14+Projects!$D$14-1,Projects!$B$14*Assumptions!$B$12/Projects!$D$14*0.95+0.05*Projects!$B$14*Assumptions!$B$12,Projects!$B$14*Assumptions!$B$12/Projects!$D$14*0.95),0)+IF(AND(Projects!$G$15="Yes",80&gt;=Projects!$C$15,80&lt;Projects!$C$15+Projects!$D$15),IF(80=Projects!$C$15+Projects!$D$15-1,Projects!$B$15*Assumptions!$B$12/Projects!$D$15*0.95+0.05*Projects!$B$15*Assumptions!$B$12,Projects!$B$15*Assumptions!$B$12/Projects!$D$15*0.95),0)+IF(AND(Projects!$G$16="Yes",80&gt;=Projects!$C$16,80&lt;Projects!$C$16+Projects!$D$16),IF(80=Projects!$C$16+Projects!$D$16-1,Projects!$B$16*Assumptions!$B$12/Projects!$D$16*0.95+0.05*Projects!$B$16*Assumptions!$B$12,Projects!$B$16*Assumptions!$B$12/Projects!$D$16*0.95),0)</f>
        <v>0</v>
      </c>
      <c r="CE10" s="8">
        <f>IF(AND(Projects!$G$2="Yes",81&gt;=Projects!$C$2,81&lt;Projects!$C$2+Projects!$D$2),IF(81=Projects!$C$2+Projects!$D$2-1,46323/Projects!$D$2*0.95+0.05*46323,46323/Projects!$D$2*0.95),0)+IF(AND(Projects!$G$3="Yes",81&gt;=Projects!$C$3,81&lt;Projects!$C$3+Projects!$D$3),IF(81=Projects!$C$3+Projects!$D$3-1,176626/Projects!$D$3*0.95+0.05*176626,176626/Projects!$D$3*0.95),0)+IF(AND(Projects!$G$4="Yes",81&gt;=Projects!$C$4,81&lt;Projects!$C$4+Projects!$D$4),IF(81=Projects!$C$4+Projects!$D$4-1,Projects!$B$4*Assumptions!$B$12/Projects!$D$4*0.95+0.05*Projects!$B$4*Assumptions!$B$12,Projects!$B$4*Assumptions!$B$12/Projects!$D$4*0.95),0)+IF(AND(Projects!$G$5="Yes",81&gt;=Projects!$C$5,81&lt;Projects!$C$5+Projects!$D$5),IF(81=Projects!$C$5+Projects!$D$5-1,Projects!$B$5*Assumptions!$B$12/Projects!$D$5*0.95+0.05*Projects!$B$5*Assumptions!$B$12,Projects!$B$5*Assumptions!$B$12/Projects!$D$5*0.95),0)+IF(AND(Projects!$G$6="Yes",81&gt;=Projects!$C$6,81&lt;Projects!$C$6+Projects!$D$6),IF(81=Projects!$C$6+Projects!$D$6-1,0/Projects!$D$6*0.95+0.05*0,0/Projects!$D$6*0.95),0)+IF(AND(Projects!$G$7="Yes",81&gt;=Projects!$C$7,81&lt;Projects!$C$7+Projects!$D$7),IF(81=Projects!$C$7+Projects!$D$7-1,Projects!$B$7*Assumptions!$B$12/Projects!$D$7*0.95+0.05*Projects!$B$7*Assumptions!$B$12,Projects!$B$7*Assumptions!$B$12/Projects!$D$7*0.95),0)+IF(AND(Projects!$G$8="Yes",81&gt;=Projects!$C$8,81&lt;Projects!$C$8+Projects!$D$8),IF(81=Projects!$C$8+Projects!$D$8-1,Projects!$B$8*Assumptions!$B$12/Projects!$D$8*0.95+0.05*Projects!$B$8*Assumptions!$B$12,Projects!$B$8*Assumptions!$B$12/Projects!$D$8*0.95),0)+IF(AND(Projects!$G$9="Yes",81&gt;=Projects!$C$9,81&lt;Projects!$C$9+Projects!$D$9),IF(81=Projects!$C$9+Projects!$D$9-1,Projects!$B$9*Assumptions!$B$12/Projects!$D$9*0.95+0.05*Projects!$B$9*Assumptions!$B$12,Projects!$B$9*Assumptions!$B$12/Projects!$D$9*0.95),0)+IF(AND(Projects!$G$10="Yes",81&gt;=Projects!$C$10,81&lt;Projects!$C$10+Projects!$D$10),IF(81=Projects!$C$10+Projects!$D$10-1,Projects!$B$10*Assumptions!$B$12/Projects!$D$10*0.95+0.05*Projects!$B$10*Assumptions!$B$12,Projects!$B$10*Assumptions!$B$12/Projects!$D$10*0.95),0)+IF(AND(Projects!$G$11="Yes",81&gt;=Projects!$C$11,81&lt;Projects!$C$11+Projects!$D$11),IF(81=Projects!$C$11+Projects!$D$11-1,Projects!$B$11*Assumptions!$B$12/Projects!$D$11*0.95+0.05*Projects!$B$11*Assumptions!$B$12,Projects!$B$11*Assumptions!$B$12/Projects!$D$11*0.95),0)+IF(AND(Projects!$G$12="Yes",81&gt;=Projects!$C$12,81&lt;Projects!$C$12+Projects!$D$12),IF(81=Projects!$C$12+Projects!$D$12-1,Projects!$B$12*Assumptions!$B$12/Projects!$D$12*0.95+0.05*Projects!$B$12*Assumptions!$B$12,Projects!$B$12*Assumptions!$B$12/Projects!$D$12*0.95),0)+IF(AND(Projects!$G$13="Yes",81&gt;=Projects!$C$13,81&lt;Projects!$C$13+Projects!$D$13),IF(81=Projects!$C$13+Projects!$D$13-1,Projects!$B$13*Assumptions!$B$12/Projects!$D$13*0.95+0.05*Projects!$B$13*Assumptions!$B$12,Projects!$B$13*Assumptions!$B$12/Projects!$D$13*0.95),0)+IF(AND(Projects!$G$14="Yes",81&gt;=Projects!$C$14,81&lt;Projects!$C$14+Projects!$D$14),IF(81=Projects!$C$14+Projects!$D$14-1,Projects!$B$14*Assumptions!$B$12/Projects!$D$14*0.95+0.05*Projects!$B$14*Assumptions!$B$12,Projects!$B$14*Assumptions!$B$12/Projects!$D$14*0.95),0)+IF(AND(Projects!$G$15="Yes",81&gt;=Projects!$C$15,81&lt;Projects!$C$15+Projects!$D$15),IF(81=Projects!$C$15+Projects!$D$15-1,Projects!$B$15*Assumptions!$B$12/Projects!$D$15*0.95+0.05*Projects!$B$15*Assumptions!$B$12,Projects!$B$15*Assumptions!$B$12/Projects!$D$15*0.95),0)+IF(AND(Projects!$G$16="Yes",81&gt;=Projects!$C$16,81&lt;Projects!$C$16+Projects!$D$16),IF(81=Projects!$C$16+Projects!$D$16-1,Projects!$B$16*Assumptions!$B$12/Projects!$D$16*0.95+0.05*Projects!$B$16*Assumptions!$B$12,Projects!$B$16*Assumptions!$B$12/Projects!$D$16*0.95),0)</f>
        <v>0</v>
      </c>
      <c r="CF10" s="8">
        <f>IF(AND(Projects!$G$2="Yes",82&gt;=Projects!$C$2,82&lt;Projects!$C$2+Projects!$D$2),IF(82=Projects!$C$2+Projects!$D$2-1,46323/Projects!$D$2*0.95+0.05*46323,46323/Projects!$D$2*0.95),0)+IF(AND(Projects!$G$3="Yes",82&gt;=Projects!$C$3,82&lt;Projects!$C$3+Projects!$D$3),IF(82=Projects!$C$3+Projects!$D$3-1,176626/Projects!$D$3*0.95+0.05*176626,176626/Projects!$D$3*0.95),0)+IF(AND(Projects!$G$4="Yes",82&gt;=Projects!$C$4,82&lt;Projects!$C$4+Projects!$D$4),IF(82=Projects!$C$4+Projects!$D$4-1,Projects!$B$4*Assumptions!$B$12/Projects!$D$4*0.95+0.05*Projects!$B$4*Assumptions!$B$12,Projects!$B$4*Assumptions!$B$12/Projects!$D$4*0.95),0)+IF(AND(Projects!$G$5="Yes",82&gt;=Projects!$C$5,82&lt;Projects!$C$5+Projects!$D$5),IF(82=Projects!$C$5+Projects!$D$5-1,Projects!$B$5*Assumptions!$B$12/Projects!$D$5*0.95+0.05*Projects!$B$5*Assumptions!$B$12,Projects!$B$5*Assumptions!$B$12/Projects!$D$5*0.95),0)+IF(AND(Projects!$G$6="Yes",82&gt;=Projects!$C$6,82&lt;Projects!$C$6+Projects!$D$6),IF(82=Projects!$C$6+Projects!$D$6-1,0/Projects!$D$6*0.95+0.05*0,0/Projects!$D$6*0.95),0)+IF(AND(Projects!$G$7="Yes",82&gt;=Projects!$C$7,82&lt;Projects!$C$7+Projects!$D$7),IF(82=Projects!$C$7+Projects!$D$7-1,Projects!$B$7*Assumptions!$B$12/Projects!$D$7*0.95+0.05*Projects!$B$7*Assumptions!$B$12,Projects!$B$7*Assumptions!$B$12/Projects!$D$7*0.95),0)+IF(AND(Projects!$G$8="Yes",82&gt;=Projects!$C$8,82&lt;Projects!$C$8+Projects!$D$8),IF(82=Projects!$C$8+Projects!$D$8-1,Projects!$B$8*Assumptions!$B$12/Projects!$D$8*0.95+0.05*Projects!$B$8*Assumptions!$B$12,Projects!$B$8*Assumptions!$B$12/Projects!$D$8*0.95),0)+IF(AND(Projects!$G$9="Yes",82&gt;=Projects!$C$9,82&lt;Projects!$C$9+Projects!$D$9),IF(82=Projects!$C$9+Projects!$D$9-1,Projects!$B$9*Assumptions!$B$12/Projects!$D$9*0.95+0.05*Projects!$B$9*Assumptions!$B$12,Projects!$B$9*Assumptions!$B$12/Projects!$D$9*0.95),0)+IF(AND(Projects!$G$10="Yes",82&gt;=Projects!$C$10,82&lt;Projects!$C$10+Projects!$D$10),IF(82=Projects!$C$10+Projects!$D$10-1,Projects!$B$10*Assumptions!$B$12/Projects!$D$10*0.95+0.05*Projects!$B$10*Assumptions!$B$12,Projects!$B$10*Assumptions!$B$12/Projects!$D$10*0.95),0)+IF(AND(Projects!$G$11="Yes",82&gt;=Projects!$C$11,82&lt;Projects!$C$11+Projects!$D$11),IF(82=Projects!$C$11+Projects!$D$11-1,Projects!$B$11*Assumptions!$B$12/Projects!$D$11*0.95+0.05*Projects!$B$11*Assumptions!$B$12,Projects!$B$11*Assumptions!$B$12/Projects!$D$11*0.95),0)+IF(AND(Projects!$G$12="Yes",82&gt;=Projects!$C$12,82&lt;Projects!$C$12+Projects!$D$12),IF(82=Projects!$C$12+Projects!$D$12-1,Projects!$B$12*Assumptions!$B$12/Projects!$D$12*0.95+0.05*Projects!$B$12*Assumptions!$B$12,Projects!$B$12*Assumptions!$B$12/Projects!$D$12*0.95),0)+IF(AND(Projects!$G$13="Yes",82&gt;=Projects!$C$13,82&lt;Projects!$C$13+Projects!$D$13),IF(82=Projects!$C$13+Projects!$D$13-1,Projects!$B$13*Assumptions!$B$12/Projects!$D$13*0.95+0.05*Projects!$B$13*Assumptions!$B$12,Projects!$B$13*Assumptions!$B$12/Projects!$D$13*0.95),0)+IF(AND(Projects!$G$14="Yes",82&gt;=Projects!$C$14,82&lt;Projects!$C$14+Projects!$D$14),IF(82=Projects!$C$14+Projects!$D$14-1,Projects!$B$14*Assumptions!$B$12/Projects!$D$14*0.95+0.05*Projects!$B$14*Assumptions!$B$12,Projects!$B$14*Assumptions!$B$12/Projects!$D$14*0.95),0)+IF(AND(Projects!$G$15="Yes",82&gt;=Projects!$C$15,82&lt;Projects!$C$15+Projects!$D$15),IF(82=Projects!$C$15+Projects!$D$15-1,Projects!$B$15*Assumptions!$B$12/Projects!$D$15*0.95+0.05*Projects!$B$15*Assumptions!$B$12,Projects!$B$15*Assumptions!$B$12/Projects!$D$15*0.95),0)+IF(AND(Projects!$G$16="Yes",82&gt;=Projects!$C$16,82&lt;Projects!$C$16+Projects!$D$16),IF(82=Projects!$C$16+Projects!$D$16-1,Projects!$B$16*Assumptions!$B$12/Projects!$D$16*0.95+0.05*Projects!$B$16*Assumptions!$B$12,Projects!$B$16*Assumptions!$B$12/Projects!$D$16*0.95),0)</f>
        <v>0</v>
      </c>
      <c r="CG10" s="8">
        <f>IF(AND(Projects!$G$2="Yes",83&gt;=Projects!$C$2,83&lt;Projects!$C$2+Projects!$D$2),IF(83=Projects!$C$2+Projects!$D$2-1,46323/Projects!$D$2*0.95+0.05*46323,46323/Projects!$D$2*0.95),0)+IF(AND(Projects!$G$3="Yes",83&gt;=Projects!$C$3,83&lt;Projects!$C$3+Projects!$D$3),IF(83=Projects!$C$3+Projects!$D$3-1,176626/Projects!$D$3*0.95+0.05*176626,176626/Projects!$D$3*0.95),0)+IF(AND(Projects!$G$4="Yes",83&gt;=Projects!$C$4,83&lt;Projects!$C$4+Projects!$D$4),IF(83=Projects!$C$4+Projects!$D$4-1,Projects!$B$4*Assumptions!$B$12/Projects!$D$4*0.95+0.05*Projects!$B$4*Assumptions!$B$12,Projects!$B$4*Assumptions!$B$12/Projects!$D$4*0.95),0)+IF(AND(Projects!$G$5="Yes",83&gt;=Projects!$C$5,83&lt;Projects!$C$5+Projects!$D$5),IF(83=Projects!$C$5+Projects!$D$5-1,Projects!$B$5*Assumptions!$B$12/Projects!$D$5*0.95+0.05*Projects!$B$5*Assumptions!$B$12,Projects!$B$5*Assumptions!$B$12/Projects!$D$5*0.95),0)+IF(AND(Projects!$G$6="Yes",83&gt;=Projects!$C$6,83&lt;Projects!$C$6+Projects!$D$6),IF(83=Projects!$C$6+Projects!$D$6-1,0/Projects!$D$6*0.95+0.05*0,0/Projects!$D$6*0.95),0)+IF(AND(Projects!$G$7="Yes",83&gt;=Projects!$C$7,83&lt;Projects!$C$7+Projects!$D$7),IF(83=Projects!$C$7+Projects!$D$7-1,Projects!$B$7*Assumptions!$B$12/Projects!$D$7*0.95+0.05*Projects!$B$7*Assumptions!$B$12,Projects!$B$7*Assumptions!$B$12/Projects!$D$7*0.95),0)+IF(AND(Projects!$G$8="Yes",83&gt;=Projects!$C$8,83&lt;Projects!$C$8+Projects!$D$8),IF(83=Projects!$C$8+Projects!$D$8-1,Projects!$B$8*Assumptions!$B$12/Projects!$D$8*0.95+0.05*Projects!$B$8*Assumptions!$B$12,Projects!$B$8*Assumptions!$B$12/Projects!$D$8*0.95),0)+IF(AND(Projects!$G$9="Yes",83&gt;=Projects!$C$9,83&lt;Projects!$C$9+Projects!$D$9),IF(83=Projects!$C$9+Projects!$D$9-1,Projects!$B$9*Assumptions!$B$12/Projects!$D$9*0.95+0.05*Projects!$B$9*Assumptions!$B$12,Projects!$B$9*Assumptions!$B$12/Projects!$D$9*0.95),0)+IF(AND(Projects!$G$10="Yes",83&gt;=Projects!$C$10,83&lt;Projects!$C$10+Projects!$D$10),IF(83=Projects!$C$10+Projects!$D$10-1,Projects!$B$10*Assumptions!$B$12/Projects!$D$10*0.95+0.05*Projects!$B$10*Assumptions!$B$12,Projects!$B$10*Assumptions!$B$12/Projects!$D$10*0.95),0)+IF(AND(Projects!$G$11="Yes",83&gt;=Projects!$C$11,83&lt;Projects!$C$11+Projects!$D$11),IF(83=Projects!$C$11+Projects!$D$11-1,Projects!$B$11*Assumptions!$B$12/Projects!$D$11*0.95+0.05*Projects!$B$11*Assumptions!$B$12,Projects!$B$11*Assumptions!$B$12/Projects!$D$11*0.95),0)+IF(AND(Projects!$G$12="Yes",83&gt;=Projects!$C$12,83&lt;Projects!$C$12+Projects!$D$12),IF(83=Projects!$C$12+Projects!$D$12-1,Projects!$B$12*Assumptions!$B$12/Projects!$D$12*0.95+0.05*Projects!$B$12*Assumptions!$B$12,Projects!$B$12*Assumptions!$B$12/Projects!$D$12*0.95),0)+IF(AND(Projects!$G$13="Yes",83&gt;=Projects!$C$13,83&lt;Projects!$C$13+Projects!$D$13),IF(83=Projects!$C$13+Projects!$D$13-1,Projects!$B$13*Assumptions!$B$12/Projects!$D$13*0.95+0.05*Projects!$B$13*Assumptions!$B$12,Projects!$B$13*Assumptions!$B$12/Projects!$D$13*0.95),0)+IF(AND(Projects!$G$14="Yes",83&gt;=Projects!$C$14,83&lt;Projects!$C$14+Projects!$D$14),IF(83=Projects!$C$14+Projects!$D$14-1,Projects!$B$14*Assumptions!$B$12/Projects!$D$14*0.95+0.05*Projects!$B$14*Assumptions!$B$12,Projects!$B$14*Assumptions!$B$12/Projects!$D$14*0.95),0)+IF(AND(Projects!$G$15="Yes",83&gt;=Projects!$C$15,83&lt;Projects!$C$15+Projects!$D$15),IF(83=Projects!$C$15+Projects!$D$15-1,Projects!$B$15*Assumptions!$B$12/Projects!$D$15*0.95+0.05*Projects!$B$15*Assumptions!$B$12,Projects!$B$15*Assumptions!$B$12/Projects!$D$15*0.95),0)+IF(AND(Projects!$G$16="Yes",83&gt;=Projects!$C$16,83&lt;Projects!$C$16+Projects!$D$16),IF(83=Projects!$C$16+Projects!$D$16-1,Projects!$B$16*Assumptions!$B$12/Projects!$D$16*0.95+0.05*Projects!$B$16*Assumptions!$B$12,Projects!$B$16*Assumptions!$B$12/Projects!$D$16*0.95),0)</f>
        <v>0</v>
      </c>
      <c r="CH10" s="8">
        <f>IF(AND(Projects!$G$2="Yes",84&gt;=Projects!$C$2,84&lt;Projects!$C$2+Projects!$D$2),IF(84=Projects!$C$2+Projects!$D$2-1,46323/Projects!$D$2*0.95+0.05*46323,46323/Projects!$D$2*0.95),0)+IF(AND(Projects!$G$3="Yes",84&gt;=Projects!$C$3,84&lt;Projects!$C$3+Projects!$D$3),IF(84=Projects!$C$3+Projects!$D$3-1,176626/Projects!$D$3*0.95+0.05*176626,176626/Projects!$D$3*0.95),0)+IF(AND(Projects!$G$4="Yes",84&gt;=Projects!$C$4,84&lt;Projects!$C$4+Projects!$D$4),IF(84=Projects!$C$4+Projects!$D$4-1,Projects!$B$4*Assumptions!$B$12/Projects!$D$4*0.95+0.05*Projects!$B$4*Assumptions!$B$12,Projects!$B$4*Assumptions!$B$12/Projects!$D$4*0.95),0)+IF(AND(Projects!$G$5="Yes",84&gt;=Projects!$C$5,84&lt;Projects!$C$5+Projects!$D$5),IF(84=Projects!$C$5+Projects!$D$5-1,Projects!$B$5*Assumptions!$B$12/Projects!$D$5*0.95+0.05*Projects!$B$5*Assumptions!$B$12,Projects!$B$5*Assumptions!$B$12/Projects!$D$5*0.95),0)+IF(AND(Projects!$G$6="Yes",84&gt;=Projects!$C$6,84&lt;Projects!$C$6+Projects!$D$6),IF(84=Projects!$C$6+Projects!$D$6-1,0/Projects!$D$6*0.95+0.05*0,0/Projects!$D$6*0.95),0)+IF(AND(Projects!$G$7="Yes",84&gt;=Projects!$C$7,84&lt;Projects!$C$7+Projects!$D$7),IF(84=Projects!$C$7+Projects!$D$7-1,Projects!$B$7*Assumptions!$B$12/Projects!$D$7*0.95+0.05*Projects!$B$7*Assumptions!$B$12,Projects!$B$7*Assumptions!$B$12/Projects!$D$7*0.95),0)+IF(AND(Projects!$G$8="Yes",84&gt;=Projects!$C$8,84&lt;Projects!$C$8+Projects!$D$8),IF(84=Projects!$C$8+Projects!$D$8-1,Projects!$B$8*Assumptions!$B$12/Projects!$D$8*0.95+0.05*Projects!$B$8*Assumptions!$B$12,Projects!$B$8*Assumptions!$B$12/Projects!$D$8*0.95),0)+IF(AND(Projects!$G$9="Yes",84&gt;=Projects!$C$9,84&lt;Projects!$C$9+Projects!$D$9),IF(84=Projects!$C$9+Projects!$D$9-1,Projects!$B$9*Assumptions!$B$12/Projects!$D$9*0.95+0.05*Projects!$B$9*Assumptions!$B$12,Projects!$B$9*Assumptions!$B$12/Projects!$D$9*0.95),0)+IF(AND(Projects!$G$10="Yes",84&gt;=Projects!$C$10,84&lt;Projects!$C$10+Projects!$D$10),IF(84=Projects!$C$10+Projects!$D$10-1,Projects!$B$10*Assumptions!$B$12/Projects!$D$10*0.95+0.05*Projects!$B$10*Assumptions!$B$12,Projects!$B$10*Assumptions!$B$12/Projects!$D$10*0.95),0)+IF(AND(Projects!$G$11="Yes",84&gt;=Projects!$C$11,84&lt;Projects!$C$11+Projects!$D$11),IF(84=Projects!$C$11+Projects!$D$11-1,Projects!$B$11*Assumptions!$B$12/Projects!$D$11*0.95+0.05*Projects!$B$11*Assumptions!$B$12,Projects!$B$11*Assumptions!$B$12/Projects!$D$11*0.95),0)+IF(AND(Projects!$G$12="Yes",84&gt;=Projects!$C$12,84&lt;Projects!$C$12+Projects!$D$12),IF(84=Projects!$C$12+Projects!$D$12-1,Projects!$B$12*Assumptions!$B$12/Projects!$D$12*0.95+0.05*Projects!$B$12*Assumptions!$B$12,Projects!$B$12*Assumptions!$B$12/Projects!$D$12*0.95),0)+IF(AND(Projects!$G$13="Yes",84&gt;=Projects!$C$13,84&lt;Projects!$C$13+Projects!$D$13),IF(84=Projects!$C$13+Projects!$D$13-1,Projects!$B$13*Assumptions!$B$12/Projects!$D$13*0.95+0.05*Projects!$B$13*Assumptions!$B$12,Projects!$B$13*Assumptions!$B$12/Projects!$D$13*0.95),0)+IF(AND(Projects!$G$14="Yes",84&gt;=Projects!$C$14,84&lt;Projects!$C$14+Projects!$D$14),IF(84=Projects!$C$14+Projects!$D$14-1,Projects!$B$14*Assumptions!$B$12/Projects!$D$14*0.95+0.05*Projects!$B$14*Assumptions!$B$12,Projects!$B$14*Assumptions!$B$12/Projects!$D$14*0.95),0)+IF(AND(Projects!$G$15="Yes",84&gt;=Projects!$C$15,84&lt;Projects!$C$15+Projects!$D$15),IF(84=Projects!$C$15+Projects!$D$15-1,Projects!$B$15*Assumptions!$B$12/Projects!$D$15*0.95+0.05*Projects!$B$15*Assumptions!$B$12,Projects!$B$15*Assumptions!$B$12/Projects!$D$15*0.95),0)+IF(AND(Projects!$G$16="Yes",84&gt;=Projects!$C$16,84&lt;Projects!$C$16+Projects!$D$16),IF(84=Projects!$C$16+Projects!$D$16-1,Projects!$B$16*Assumptions!$B$12/Projects!$D$16*0.95+0.05*Projects!$B$16*Assumptions!$B$12,Projects!$B$16*Assumptions!$B$12/Projects!$D$16*0.95),0)</f>
        <v>0</v>
      </c>
      <c r="CI10" s="23"/>
    </row>
    <row r="11" spans="1:87" ht="15" customHeight="1" x14ac:dyDescent="0.25">
      <c r="A11" s="7" t="s">
        <v>127</v>
      </c>
      <c r="B11" s="22"/>
      <c r="C11" s="8">
        <f>IF(AND(Projects!$G$6="Yes",Projects!$F$6="Yes",1=Projects!$C$6),Projects!$B$6*Assumptions!$B$15,0)+IF(AND(Projects!$G$7="Yes",Projects!$F$7="Yes",1=Projects!$C$7),Projects!$B$7*Assumptions!$B$15,0)+IF(AND(Projects!$G$8="Yes",Projects!$F$8="Yes",1=Projects!$C$8),Projects!$B$8*Assumptions!$B$15,0)+IF(AND(Projects!$G$9="Yes",Projects!$F$9="Yes",1=Projects!$C$9),Projects!$B$9*Assumptions!$B$15,0)+IF(AND(Projects!$G$10="Yes",Projects!$F$10="Yes",1=Projects!$C$10),Projects!$B$10*Assumptions!$B$15,0)+IF(AND(Projects!$G$11="Yes",Projects!$F$11="Yes",1=Projects!$C$11),Projects!$B$11*Assumptions!$B$15,0)+IF(AND(Projects!$G$12="Yes",Projects!$F$12="Yes",1=Projects!$C$12),Projects!$B$12*Assumptions!$B$15,0)+IF(AND(Projects!$G$13="Yes",Projects!$F$13="Yes",1=Projects!$C$13),Projects!$B$13*Assumptions!$B$15,0)+IF(AND(Projects!$G$14="Yes",Projects!$F$14="Yes",1=Projects!$C$14),Projects!$B$14*Assumptions!$B$15,0)+IF(AND(Projects!$G$15="Yes",Projects!$F$15="Yes",1=Projects!$C$15),Projects!$B$15*Assumptions!$B$15,0)+IF(AND(Projects!$G$16="Yes",Projects!$F$16="Yes",1=Projects!$C$16),Projects!$B$16*Assumptions!$B$15,0)</f>
        <v>0</v>
      </c>
      <c r="D11" s="8">
        <f>IF(AND(Projects!$G$6="Yes",Projects!$F$6="Yes",2=Projects!$C$6),Projects!$B$6*Assumptions!$B$15,0)+IF(AND(Projects!$G$7="Yes",Projects!$F$7="Yes",2=Projects!$C$7),Projects!$B$7*Assumptions!$B$15,0)+IF(AND(Projects!$G$8="Yes",Projects!$F$8="Yes",2=Projects!$C$8),Projects!$B$8*Assumptions!$B$15,0)+IF(AND(Projects!$G$9="Yes",Projects!$F$9="Yes",2=Projects!$C$9),Projects!$B$9*Assumptions!$B$15,0)+IF(AND(Projects!$G$10="Yes",Projects!$F$10="Yes",2=Projects!$C$10),Projects!$B$10*Assumptions!$B$15,0)+IF(AND(Projects!$G$11="Yes",Projects!$F$11="Yes",2=Projects!$C$11),Projects!$B$11*Assumptions!$B$15,0)+IF(AND(Projects!$G$12="Yes",Projects!$F$12="Yes",2=Projects!$C$12),Projects!$B$12*Assumptions!$B$15,0)+IF(AND(Projects!$G$13="Yes",Projects!$F$13="Yes",2=Projects!$C$13),Projects!$B$13*Assumptions!$B$15,0)+IF(AND(Projects!$G$14="Yes",Projects!$F$14="Yes",2=Projects!$C$14),Projects!$B$14*Assumptions!$B$15,0)+IF(AND(Projects!$G$15="Yes",Projects!$F$15="Yes",2=Projects!$C$15),Projects!$B$15*Assumptions!$B$15,0)+IF(AND(Projects!$G$16="Yes",Projects!$F$16="Yes",2=Projects!$C$16),Projects!$B$16*Assumptions!$B$15,0)</f>
        <v>0</v>
      </c>
      <c r="E11" s="8">
        <f>IF(AND(Projects!$G$6="Yes",Projects!$F$6="Yes",3=Projects!$C$6),Projects!$B$6*Assumptions!$B$15,0)+IF(AND(Projects!$G$7="Yes",Projects!$F$7="Yes",3=Projects!$C$7),Projects!$B$7*Assumptions!$B$15,0)+IF(AND(Projects!$G$8="Yes",Projects!$F$8="Yes",3=Projects!$C$8),Projects!$B$8*Assumptions!$B$15,0)+IF(AND(Projects!$G$9="Yes",Projects!$F$9="Yes",3=Projects!$C$9),Projects!$B$9*Assumptions!$B$15,0)+IF(AND(Projects!$G$10="Yes",Projects!$F$10="Yes",3=Projects!$C$10),Projects!$B$10*Assumptions!$B$15,0)+IF(AND(Projects!$G$11="Yes",Projects!$F$11="Yes",3=Projects!$C$11),Projects!$B$11*Assumptions!$B$15,0)+IF(AND(Projects!$G$12="Yes",Projects!$F$12="Yes",3=Projects!$C$12),Projects!$B$12*Assumptions!$B$15,0)+IF(AND(Projects!$G$13="Yes",Projects!$F$13="Yes",3=Projects!$C$13),Projects!$B$13*Assumptions!$B$15,0)+IF(AND(Projects!$G$14="Yes",Projects!$F$14="Yes",3=Projects!$C$14),Projects!$B$14*Assumptions!$B$15,0)+IF(AND(Projects!$G$15="Yes",Projects!$F$15="Yes",3=Projects!$C$15),Projects!$B$15*Assumptions!$B$15,0)+IF(AND(Projects!$G$16="Yes",Projects!$F$16="Yes",3=Projects!$C$16),Projects!$B$16*Assumptions!$B$15,0)</f>
        <v>0</v>
      </c>
      <c r="F11" s="8">
        <f>IF(AND(Projects!$G$6="Yes",Projects!$F$6="Yes",4=Projects!$C$6),Projects!$B$6*Assumptions!$B$15,0)+IF(AND(Projects!$G$7="Yes",Projects!$F$7="Yes",4=Projects!$C$7),Projects!$B$7*Assumptions!$B$15,0)+IF(AND(Projects!$G$8="Yes",Projects!$F$8="Yes",4=Projects!$C$8),Projects!$B$8*Assumptions!$B$15,0)+IF(AND(Projects!$G$9="Yes",Projects!$F$9="Yes",4=Projects!$C$9),Projects!$B$9*Assumptions!$B$15,0)+IF(AND(Projects!$G$10="Yes",Projects!$F$10="Yes",4=Projects!$C$10),Projects!$B$10*Assumptions!$B$15,0)+IF(AND(Projects!$G$11="Yes",Projects!$F$11="Yes",4=Projects!$C$11),Projects!$B$11*Assumptions!$B$15,0)+IF(AND(Projects!$G$12="Yes",Projects!$F$12="Yes",4=Projects!$C$12),Projects!$B$12*Assumptions!$B$15,0)+IF(AND(Projects!$G$13="Yes",Projects!$F$13="Yes",4=Projects!$C$13),Projects!$B$13*Assumptions!$B$15,0)+IF(AND(Projects!$G$14="Yes",Projects!$F$14="Yes",4=Projects!$C$14),Projects!$B$14*Assumptions!$B$15,0)+IF(AND(Projects!$G$15="Yes",Projects!$F$15="Yes",4=Projects!$C$15),Projects!$B$15*Assumptions!$B$15,0)+IF(AND(Projects!$G$16="Yes",Projects!$F$16="Yes",4=Projects!$C$16),Projects!$B$16*Assumptions!$B$15,0)</f>
        <v>644526.72</v>
      </c>
      <c r="G11" s="8">
        <f>IF(AND(Projects!$G$6="Yes",Projects!$F$6="Yes",5=Projects!$C$6),Projects!$B$6*Assumptions!$B$15,0)+IF(AND(Projects!$G$7="Yes",Projects!$F$7="Yes",5=Projects!$C$7),Projects!$B$7*Assumptions!$B$15,0)+IF(AND(Projects!$G$8="Yes",Projects!$F$8="Yes",5=Projects!$C$8),Projects!$B$8*Assumptions!$B$15,0)+IF(AND(Projects!$G$9="Yes",Projects!$F$9="Yes",5=Projects!$C$9),Projects!$B$9*Assumptions!$B$15,0)+IF(AND(Projects!$G$10="Yes",Projects!$F$10="Yes",5=Projects!$C$10),Projects!$B$10*Assumptions!$B$15,0)+IF(AND(Projects!$G$11="Yes",Projects!$F$11="Yes",5=Projects!$C$11),Projects!$B$11*Assumptions!$B$15,0)+IF(AND(Projects!$G$12="Yes",Projects!$F$12="Yes",5=Projects!$C$12),Projects!$B$12*Assumptions!$B$15,0)+IF(AND(Projects!$G$13="Yes",Projects!$F$13="Yes",5=Projects!$C$13),Projects!$B$13*Assumptions!$B$15,0)+IF(AND(Projects!$G$14="Yes",Projects!$F$14="Yes",5=Projects!$C$14),Projects!$B$14*Assumptions!$B$15,0)+IF(AND(Projects!$G$15="Yes",Projects!$F$15="Yes",5=Projects!$C$15),Projects!$B$15*Assumptions!$B$15,0)+IF(AND(Projects!$G$16="Yes",Projects!$F$16="Yes",5=Projects!$C$16),Projects!$B$16*Assumptions!$B$15,0)</f>
        <v>0</v>
      </c>
      <c r="H11" s="8">
        <f>IF(AND(Projects!$G$6="Yes",Projects!$F$6="Yes",6=Projects!$C$6),Projects!$B$6*Assumptions!$B$15,0)+IF(AND(Projects!$G$7="Yes",Projects!$F$7="Yes",6=Projects!$C$7),Projects!$B$7*Assumptions!$B$15,0)+IF(AND(Projects!$G$8="Yes",Projects!$F$8="Yes",6=Projects!$C$8),Projects!$B$8*Assumptions!$B$15,0)+IF(AND(Projects!$G$9="Yes",Projects!$F$9="Yes",6=Projects!$C$9),Projects!$B$9*Assumptions!$B$15,0)+IF(AND(Projects!$G$10="Yes",Projects!$F$10="Yes",6=Projects!$C$10),Projects!$B$10*Assumptions!$B$15,0)+IF(AND(Projects!$G$11="Yes",Projects!$F$11="Yes",6=Projects!$C$11),Projects!$B$11*Assumptions!$B$15,0)+IF(AND(Projects!$G$12="Yes",Projects!$F$12="Yes",6=Projects!$C$12),Projects!$B$12*Assumptions!$B$15,0)+IF(AND(Projects!$G$13="Yes",Projects!$F$13="Yes",6=Projects!$C$13),Projects!$B$13*Assumptions!$B$15,0)+IF(AND(Projects!$G$14="Yes",Projects!$F$14="Yes",6=Projects!$C$14),Projects!$B$14*Assumptions!$B$15,0)+IF(AND(Projects!$G$15="Yes",Projects!$F$15="Yes",6=Projects!$C$15),Projects!$B$15*Assumptions!$B$15,0)+IF(AND(Projects!$G$16="Yes",Projects!$F$16="Yes",6=Projects!$C$16),Projects!$B$16*Assumptions!$B$15,0)</f>
        <v>0</v>
      </c>
      <c r="I11" s="8">
        <f>IF(AND(Projects!$G$6="Yes",Projects!$F$6="Yes",7=Projects!$C$6),Projects!$B$6*Assumptions!$B$15,0)+IF(AND(Projects!$G$7="Yes",Projects!$F$7="Yes",7=Projects!$C$7),Projects!$B$7*Assumptions!$B$15,0)+IF(AND(Projects!$G$8="Yes",Projects!$F$8="Yes",7=Projects!$C$8),Projects!$B$8*Assumptions!$B$15,0)+IF(AND(Projects!$G$9="Yes",Projects!$F$9="Yes",7=Projects!$C$9),Projects!$B$9*Assumptions!$B$15,0)+IF(AND(Projects!$G$10="Yes",Projects!$F$10="Yes",7=Projects!$C$10),Projects!$B$10*Assumptions!$B$15,0)+IF(AND(Projects!$G$11="Yes",Projects!$F$11="Yes",7=Projects!$C$11),Projects!$B$11*Assumptions!$B$15,0)+IF(AND(Projects!$G$12="Yes",Projects!$F$12="Yes",7=Projects!$C$12),Projects!$B$12*Assumptions!$B$15,0)+IF(AND(Projects!$G$13="Yes",Projects!$F$13="Yes",7=Projects!$C$13),Projects!$B$13*Assumptions!$B$15,0)+IF(AND(Projects!$G$14="Yes",Projects!$F$14="Yes",7=Projects!$C$14),Projects!$B$14*Assumptions!$B$15,0)+IF(AND(Projects!$G$15="Yes",Projects!$F$15="Yes",7=Projects!$C$15),Projects!$B$15*Assumptions!$B$15,0)+IF(AND(Projects!$G$16="Yes",Projects!$F$16="Yes",7=Projects!$C$16),Projects!$B$16*Assumptions!$B$15,0)</f>
        <v>442059.82499999995</v>
      </c>
      <c r="J11" s="8">
        <f>IF(AND(Projects!$G$6="Yes",Projects!$F$6="Yes",8=Projects!$C$6),Projects!$B$6*Assumptions!$B$15,0)+IF(AND(Projects!$G$7="Yes",Projects!$F$7="Yes",8=Projects!$C$7),Projects!$B$7*Assumptions!$B$15,0)+IF(AND(Projects!$G$8="Yes",Projects!$F$8="Yes",8=Projects!$C$8),Projects!$B$8*Assumptions!$B$15,0)+IF(AND(Projects!$G$9="Yes",Projects!$F$9="Yes",8=Projects!$C$9),Projects!$B$9*Assumptions!$B$15,0)+IF(AND(Projects!$G$10="Yes",Projects!$F$10="Yes",8=Projects!$C$10),Projects!$B$10*Assumptions!$B$15,0)+IF(AND(Projects!$G$11="Yes",Projects!$F$11="Yes",8=Projects!$C$11),Projects!$B$11*Assumptions!$B$15,0)+IF(AND(Projects!$G$12="Yes",Projects!$F$12="Yes",8=Projects!$C$12),Projects!$B$12*Assumptions!$B$15,0)+IF(AND(Projects!$G$13="Yes",Projects!$F$13="Yes",8=Projects!$C$13),Projects!$B$13*Assumptions!$B$15,0)+IF(AND(Projects!$G$14="Yes",Projects!$F$14="Yes",8=Projects!$C$14),Projects!$B$14*Assumptions!$B$15,0)+IF(AND(Projects!$G$15="Yes",Projects!$F$15="Yes",8=Projects!$C$15),Projects!$B$15*Assumptions!$B$15,0)+IF(AND(Projects!$G$16="Yes",Projects!$F$16="Yes",8=Projects!$C$16),Projects!$B$16*Assumptions!$B$15,0)</f>
        <v>318951.07500000001</v>
      </c>
      <c r="K11" s="8">
        <f>IF(AND(Projects!$G$6="Yes",Projects!$F$6="Yes",9=Projects!$C$6),Projects!$B$6*Assumptions!$B$15,0)+IF(AND(Projects!$G$7="Yes",Projects!$F$7="Yes",9=Projects!$C$7),Projects!$B$7*Assumptions!$B$15,0)+IF(AND(Projects!$G$8="Yes",Projects!$F$8="Yes",9=Projects!$C$8),Projects!$B$8*Assumptions!$B$15,0)+IF(AND(Projects!$G$9="Yes",Projects!$F$9="Yes",9=Projects!$C$9),Projects!$B$9*Assumptions!$B$15,0)+IF(AND(Projects!$G$10="Yes",Projects!$F$10="Yes",9=Projects!$C$10),Projects!$B$10*Assumptions!$B$15,0)+IF(AND(Projects!$G$11="Yes",Projects!$F$11="Yes",9=Projects!$C$11),Projects!$B$11*Assumptions!$B$15,0)+IF(AND(Projects!$G$12="Yes",Projects!$F$12="Yes",9=Projects!$C$12),Projects!$B$12*Assumptions!$B$15,0)+IF(AND(Projects!$G$13="Yes",Projects!$F$13="Yes",9=Projects!$C$13),Projects!$B$13*Assumptions!$B$15,0)+IF(AND(Projects!$G$14="Yes",Projects!$F$14="Yes",9=Projects!$C$14),Projects!$B$14*Assumptions!$B$15,0)+IF(AND(Projects!$G$15="Yes",Projects!$F$15="Yes",9=Projects!$C$15),Projects!$B$15*Assumptions!$B$15,0)+IF(AND(Projects!$G$16="Yes",Projects!$F$16="Yes",9=Projects!$C$16),Projects!$B$16*Assumptions!$B$15,0)</f>
        <v>0</v>
      </c>
      <c r="L11" s="8">
        <f>IF(AND(Projects!$G$6="Yes",Projects!$F$6="Yes",10=Projects!$C$6),Projects!$B$6*Assumptions!$B$15,0)+IF(AND(Projects!$G$7="Yes",Projects!$F$7="Yes",10=Projects!$C$7),Projects!$B$7*Assumptions!$B$15,0)+IF(AND(Projects!$G$8="Yes",Projects!$F$8="Yes",10=Projects!$C$8),Projects!$B$8*Assumptions!$B$15,0)+IF(AND(Projects!$G$9="Yes",Projects!$F$9="Yes",10=Projects!$C$9),Projects!$B$9*Assumptions!$B$15,0)+IF(AND(Projects!$G$10="Yes",Projects!$F$10="Yes",10=Projects!$C$10),Projects!$B$10*Assumptions!$B$15,0)+IF(AND(Projects!$G$11="Yes",Projects!$F$11="Yes",10=Projects!$C$11),Projects!$B$11*Assumptions!$B$15,0)+IF(AND(Projects!$G$12="Yes",Projects!$F$12="Yes",10=Projects!$C$12),Projects!$B$12*Assumptions!$B$15,0)+IF(AND(Projects!$G$13="Yes",Projects!$F$13="Yes",10=Projects!$C$13),Projects!$B$13*Assumptions!$B$15,0)+IF(AND(Projects!$G$14="Yes",Projects!$F$14="Yes",10=Projects!$C$14),Projects!$B$14*Assumptions!$B$15,0)+IF(AND(Projects!$G$15="Yes",Projects!$F$15="Yes",10=Projects!$C$15),Projects!$B$15*Assumptions!$B$15,0)+IF(AND(Projects!$G$16="Yes",Projects!$F$16="Yes",10=Projects!$C$16),Projects!$B$16*Assumptions!$B$15,0)</f>
        <v>0</v>
      </c>
      <c r="M11" s="8">
        <f>IF(AND(Projects!$G$6="Yes",Projects!$F$6="Yes",11=Projects!$C$6),Projects!$B$6*Assumptions!$B$15,0)+IF(AND(Projects!$G$7="Yes",Projects!$F$7="Yes",11=Projects!$C$7),Projects!$B$7*Assumptions!$B$15,0)+IF(AND(Projects!$G$8="Yes",Projects!$F$8="Yes",11=Projects!$C$8),Projects!$B$8*Assumptions!$B$15,0)+IF(AND(Projects!$G$9="Yes",Projects!$F$9="Yes",11=Projects!$C$9),Projects!$B$9*Assumptions!$B$15,0)+IF(AND(Projects!$G$10="Yes",Projects!$F$10="Yes",11=Projects!$C$10),Projects!$B$10*Assumptions!$B$15,0)+IF(AND(Projects!$G$11="Yes",Projects!$F$11="Yes",11=Projects!$C$11),Projects!$B$11*Assumptions!$B$15,0)+IF(AND(Projects!$G$12="Yes",Projects!$F$12="Yes",11=Projects!$C$12),Projects!$B$12*Assumptions!$B$15,0)+IF(AND(Projects!$G$13="Yes",Projects!$F$13="Yes",11=Projects!$C$13),Projects!$B$13*Assumptions!$B$15,0)+IF(AND(Projects!$G$14="Yes",Projects!$F$14="Yes",11=Projects!$C$14),Projects!$B$14*Assumptions!$B$15,0)+IF(AND(Projects!$G$15="Yes",Projects!$F$15="Yes",11=Projects!$C$15),Projects!$B$15*Assumptions!$B$15,0)+IF(AND(Projects!$G$16="Yes",Projects!$F$16="Yes",11=Projects!$C$16),Projects!$B$16*Assumptions!$B$15,0)</f>
        <v>0</v>
      </c>
      <c r="N11" s="8">
        <f>IF(AND(Projects!$G$6="Yes",Projects!$F$6="Yes",12=Projects!$C$6),Projects!$B$6*Assumptions!$B$15,0)+IF(AND(Projects!$G$7="Yes",Projects!$F$7="Yes",12=Projects!$C$7),Projects!$B$7*Assumptions!$B$15,0)+IF(AND(Projects!$G$8="Yes",Projects!$F$8="Yes",12=Projects!$C$8),Projects!$B$8*Assumptions!$B$15,0)+IF(AND(Projects!$G$9="Yes",Projects!$F$9="Yes",12=Projects!$C$9),Projects!$B$9*Assumptions!$B$15,0)+IF(AND(Projects!$G$10="Yes",Projects!$F$10="Yes",12=Projects!$C$10),Projects!$B$10*Assumptions!$B$15,0)+IF(AND(Projects!$G$11="Yes",Projects!$F$11="Yes",12=Projects!$C$11),Projects!$B$11*Assumptions!$B$15,0)+IF(AND(Projects!$G$12="Yes",Projects!$F$12="Yes",12=Projects!$C$12),Projects!$B$12*Assumptions!$B$15,0)+IF(AND(Projects!$G$13="Yes",Projects!$F$13="Yes",12=Projects!$C$13),Projects!$B$13*Assumptions!$B$15,0)+IF(AND(Projects!$G$14="Yes",Projects!$F$14="Yes",12=Projects!$C$14),Projects!$B$14*Assumptions!$B$15,0)+IF(AND(Projects!$G$15="Yes",Projects!$F$15="Yes",12=Projects!$C$15),Projects!$B$15*Assumptions!$B$15,0)+IF(AND(Projects!$G$16="Yes",Projects!$F$16="Yes",12=Projects!$C$16),Projects!$B$16*Assumptions!$B$15,0)</f>
        <v>0</v>
      </c>
      <c r="O11" s="8">
        <f>IF(AND(Projects!$G$6="Yes",Projects!$F$6="Yes",13=Projects!$C$6),Projects!$B$6*Assumptions!$B$15,0)+IF(AND(Projects!$G$7="Yes",Projects!$F$7="Yes",13=Projects!$C$7),Projects!$B$7*Assumptions!$B$15,0)+IF(AND(Projects!$G$8="Yes",Projects!$F$8="Yes",13=Projects!$C$8),Projects!$B$8*Assumptions!$B$15,0)+IF(AND(Projects!$G$9="Yes",Projects!$F$9="Yes",13=Projects!$C$9),Projects!$B$9*Assumptions!$B$15,0)+IF(AND(Projects!$G$10="Yes",Projects!$F$10="Yes",13=Projects!$C$10),Projects!$B$10*Assumptions!$B$15,0)+IF(AND(Projects!$G$11="Yes",Projects!$F$11="Yes",13=Projects!$C$11),Projects!$B$11*Assumptions!$B$15,0)+IF(AND(Projects!$G$12="Yes",Projects!$F$12="Yes",13=Projects!$C$12),Projects!$B$12*Assumptions!$B$15,0)+IF(AND(Projects!$G$13="Yes",Projects!$F$13="Yes",13=Projects!$C$13),Projects!$B$13*Assumptions!$B$15,0)+IF(AND(Projects!$G$14="Yes",Projects!$F$14="Yes",13=Projects!$C$14),Projects!$B$14*Assumptions!$B$15,0)+IF(AND(Projects!$G$15="Yes",Projects!$F$15="Yes",13=Projects!$C$15),Projects!$B$15*Assumptions!$B$15,0)+IF(AND(Projects!$G$16="Yes",Projects!$F$16="Yes",13=Projects!$C$16),Projects!$B$16*Assumptions!$B$15,0)</f>
        <v>679001.54999999993</v>
      </c>
      <c r="P11" s="8">
        <f>IF(AND(Projects!$G$6="Yes",Projects!$F$6="Yes",14=Projects!$C$6),Projects!$B$6*Assumptions!$B$15,0)+IF(AND(Projects!$G$7="Yes",Projects!$F$7="Yes",14=Projects!$C$7),Projects!$B$7*Assumptions!$B$15,0)+IF(AND(Projects!$G$8="Yes",Projects!$F$8="Yes",14=Projects!$C$8),Projects!$B$8*Assumptions!$B$15,0)+IF(AND(Projects!$G$9="Yes",Projects!$F$9="Yes",14=Projects!$C$9),Projects!$B$9*Assumptions!$B$15,0)+IF(AND(Projects!$G$10="Yes",Projects!$F$10="Yes",14=Projects!$C$10),Projects!$B$10*Assumptions!$B$15,0)+IF(AND(Projects!$G$11="Yes",Projects!$F$11="Yes",14=Projects!$C$11),Projects!$B$11*Assumptions!$B$15,0)+IF(AND(Projects!$G$12="Yes",Projects!$F$12="Yes",14=Projects!$C$12),Projects!$B$12*Assumptions!$B$15,0)+IF(AND(Projects!$G$13="Yes",Projects!$F$13="Yes",14=Projects!$C$13),Projects!$B$13*Assumptions!$B$15,0)+IF(AND(Projects!$G$14="Yes",Projects!$F$14="Yes",14=Projects!$C$14),Projects!$B$14*Assumptions!$B$15,0)+IF(AND(Projects!$G$15="Yes",Projects!$F$15="Yes",14=Projects!$C$15),Projects!$B$15*Assumptions!$B$15,0)+IF(AND(Projects!$G$16="Yes",Projects!$F$16="Yes",14=Projects!$C$16),Projects!$B$16*Assumptions!$B$15,0)</f>
        <v>0</v>
      </c>
      <c r="Q11" s="8">
        <f>IF(AND(Projects!$G$6="Yes",Projects!$F$6="Yes",15=Projects!$C$6),Projects!$B$6*Assumptions!$B$15,0)+IF(AND(Projects!$G$7="Yes",Projects!$F$7="Yes",15=Projects!$C$7),Projects!$B$7*Assumptions!$B$15,0)+IF(AND(Projects!$G$8="Yes",Projects!$F$8="Yes",15=Projects!$C$8),Projects!$B$8*Assumptions!$B$15,0)+IF(AND(Projects!$G$9="Yes",Projects!$F$9="Yes",15=Projects!$C$9),Projects!$B$9*Assumptions!$B$15,0)+IF(AND(Projects!$G$10="Yes",Projects!$F$10="Yes",15=Projects!$C$10),Projects!$B$10*Assumptions!$B$15,0)+IF(AND(Projects!$G$11="Yes",Projects!$F$11="Yes",15=Projects!$C$11),Projects!$B$11*Assumptions!$B$15,0)+IF(AND(Projects!$G$12="Yes",Projects!$F$12="Yes",15=Projects!$C$12),Projects!$B$12*Assumptions!$B$15,0)+IF(AND(Projects!$G$13="Yes",Projects!$F$13="Yes",15=Projects!$C$13),Projects!$B$13*Assumptions!$B$15,0)+IF(AND(Projects!$G$14="Yes",Projects!$F$14="Yes",15=Projects!$C$14),Projects!$B$14*Assumptions!$B$15,0)+IF(AND(Projects!$G$15="Yes",Projects!$F$15="Yes",15=Projects!$C$15),Projects!$B$15*Assumptions!$B$15,0)+IF(AND(Projects!$G$16="Yes",Projects!$F$16="Yes",15=Projects!$C$16),Projects!$B$16*Assumptions!$B$15,0)</f>
        <v>0</v>
      </c>
      <c r="R11" s="8">
        <f>IF(AND(Projects!$G$6="Yes",Projects!$F$6="Yes",16=Projects!$C$6),Projects!$B$6*Assumptions!$B$15,0)+IF(AND(Projects!$G$7="Yes",Projects!$F$7="Yes",16=Projects!$C$7),Projects!$B$7*Assumptions!$B$15,0)+IF(AND(Projects!$G$8="Yes",Projects!$F$8="Yes",16=Projects!$C$8),Projects!$B$8*Assumptions!$B$15,0)+IF(AND(Projects!$G$9="Yes",Projects!$F$9="Yes",16=Projects!$C$9),Projects!$B$9*Assumptions!$B$15,0)+IF(AND(Projects!$G$10="Yes",Projects!$F$10="Yes",16=Projects!$C$10),Projects!$B$10*Assumptions!$B$15,0)+IF(AND(Projects!$G$11="Yes",Projects!$F$11="Yes",16=Projects!$C$11),Projects!$B$11*Assumptions!$B$15,0)+IF(AND(Projects!$G$12="Yes",Projects!$F$12="Yes",16=Projects!$C$12),Projects!$B$12*Assumptions!$B$15,0)+IF(AND(Projects!$G$13="Yes",Projects!$F$13="Yes",16=Projects!$C$13),Projects!$B$13*Assumptions!$B$15,0)+IF(AND(Projects!$G$14="Yes",Projects!$F$14="Yes",16=Projects!$C$14),Projects!$B$14*Assumptions!$B$15,0)+IF(AND(Projects!$G$15="Yes",Projects!$F$15="Yes",16=Projects!$C$15),Projects!$B$15*Assumptions!$B$15,0)+IF(AND(Projects!$G$16="Yes",Projects!$F$16="Yes",16=Projects!$C$16),Projects!$B$16*Assumptions!$B$15,0)</f>
        <v>0</v>
      </c>
      <c r="S11" s="8">
        <f>IF(AND(Projects!$G$6="Yes",Projects!$F$6="Yes",17=Projects!$C$6),Projects!$B$6*Assumptions!$B$15,0)+IF(AND(Projects!$G$7="Yes",Projects!$F$7="Yes",17=Projects!$C$7),Projects!$B$7*Assumptions!$B$15,0)+IF(AND(Projects!$G$8="Yes",Projects!$F$8="Yes",17=Projects!$C$8),Projects!$B$8*Assumptions!$B$15,0)+IF(AND(Projects!$G$9="Yes",Projects!$F$9="Yes",17=Projects!$C$9),Projects!$B$9*Assumptions!$B$15,0)+IF(AND(Projects!$G$10="Yes",Projects!$F$10="Yes",17=Projects!$C$10),Projects!$B$10*Assumptions!$B$15,0)+IF(AND(Projects!$G$11="Yes",Projects!$F$11="Yes",17=Projects!$C$11),Projects!$B$11*Assumptions!$B$15,0)+IF(AND(Projects!$G$12="Yes",Projects!$F$12="Yes",17=Projects!$C$12),Projects!$B$12*Assumptions!$B$15,0)+IF(AND(Projects!$G$13="Yes",Projects!$F$13="Yes",17=Projects!$C$13),Projects!$B$13*Assumptions!$B$15,0)+IF(AND(Projects!$G$14="Yes",Projects!$F$14="Yes",17=Projects!$C$14),Projects!$B$14*Assumptions!$B$15,0)+IF(AND(Projects!$G$15="Yes",Projects!$F$15="Yes",17=Projects!$C$15),Projects!$B$15*Assumptions!$B$15,0)+IF(AND(Projects!$G$16="Yes",Projects!$F$16="Yes",17=Projects!$C$16),Projects!$B$16*Assumptions!$B$15,0)</f>
        <v>0</v>
      </c>
      <c r="T11" s="8">
        <f>IF(AND(Projects!$G$6="Yes",Projects!$F$6="Yes",18=Projects!$C$6),Projects!$B$6*Assumptions!$B$15,0)+IF(AND(Projects!$G$7="Yes",Projects!$F$7="Yes",18=Projects!$C$7),Projects!$B$7*Assumptions!$B$15,0)+IF(AND(Projects!$G$8="Yes",Projects!$F$8="Yes",18=Projects!$C$8),Projects!$B$8*Assumptions!$B$15,0)+IF(AND(Projects!$G$9="Yes",Projects!$F$9="Yes",18=Projects!$C$9),Projects!$B$9*Assumptions!$B$15,0)+IF(AND(Projects!$G$10="Yes",Projects!$F$10="Yes",18=Projects!$C$10),Projects!$B$10*Assumptions!$B$15,0)+IF(AND(Projects!$G$11="Yes",Projects!$F$11="Yes",18=Projects!$C$11),Projects!$B$11*Assumptions!$B$15,0)+IF(AND(Projects!$G$12="Yes",Projects!$F$12="Yes",18=Projects!$C$12),Projects!$B$12*Assumptions!$B$15,0)+IF(AND(Projects!$G$13="Yes",Projects!$F$13="Yes",18=Projects!$C$13),Projects!$B$13*Assumptions!$B$15,0)+IF(AND(Projects!$G$14="Yes",Projects!$F$14="Yes",18=Projects!$C$14),Projects!$B$14*Assumptions!$B$15,0)+IF(AND(Projects!$G$15="Yes",Projects!$F$15="Yes",18=Projects!$C$15),Projects!$B$15*Assumptions!$B$15,0)+IF(AND(Projects!$G$16="Yes",Projects!$F$16="Yes",18=Projects!$C$16),Projects!$B$16*Assumptions!$B$15,0)</f>
        <v>0</v>
      </c>
      <c r="U11" s="8">
        <f>IF(AND(Projects!$G$6="Yes",Projects!$F$6="Yes",19=Projects!$C$6),Projects!$B$6*Assumptions!$B$15,0)+IF(AND(Projects!$G$7="Yes",Projects!$F$7="Yes",19=Projects!$C$7),Projects!$B$7*Assumptions!$B$15,0)+IF(AND(Projects!$G$8="Yes",Projects!$F$8="Yes",19=Projects!$C$8),Projects!$B$8*Assumptions!$B$15,0)+IF(AND(Projects!$G$9="Yes",Projects!$F$9="Yes",19=Projects!$C$9),Projects!$B$9*Assumptions!$B$15,0)+IF(AND(Projects!$G$10="Yes",Projects!$F$10="Yes",19=Projects!$C$10),Projects!$B$10*Assumptions!$B$15,0)+IF(AND(Projects!$G$11="Yes",Projects!$F$11="Yes",19=Projects!$C$11),Projects!$B$11*Assumptions!$B$15,0)+IF(AND(Projects!$G$12="Yes",Projects!$F$12="Yes",19=Projects!$C$12),Projects!$B$12*Assumptions!$B$15,0)+IF(AND(Projects!$G$13="Yes",Projects!$F$13="Yes",19=Projects!$C$13),Projects!$B$13*Assumptions!$B$15,0)+IF(AND(Projects!$G$14="Yes",Projects!$F$14="Yes",19=Projects!$C$14),Projects!$B$14*Assumptions!$B$15,0)+IF(AND(Projects!$G$15="Yes",Projects!$F$15="Yes",19=Projects!$C$15),Projects!$B$15*Assumptions!$B$15,0)+IF(AND(Projects!$G$16="Yes",Projects!$F$16="Yes",19=Projects!$C$16),Projects!$B$16*Assumptions!$B$15,0)</f>
        <v>0</v>
      </c>
      <c r="V11" s="8">
        <f>IF(AND(Projects!$G$6="Yes",Projects!$F$6="Yes",20=Projects!$C$6),Projects!$B$6*Assumptions!$B$15,0)+IF(AND(Projects!$G$7="Yes",Projects!$F$7="Yes",20=Projects!$C$7),Projects!$B$7*Assumptions!$B$15,0)+IF(AND(Projects!$G$8="Yes",Projects!$F$8="Yes",20=Projects!$C$8),Projects!$B$8*Assumptions!$B$15,0)+IF(AND(Projects!$G$9="Yes",Projects!$F$9="Yes",20=Projects!$C$9),Projects!$B$9*Assumptions!$B$15,0)+IF(AND(Projects!$G$10="Yes",Projects!$F$10="Yes",20=Projects!$C$10),Projects!$B$10*Assumptions!$B$15,0)+IF(AND(Projects!$G$11="Yes",Projects!$F$11="Yes",20=Projects!$C$11),Projects!$B$11*Assumptions!$B$15,0)+IF(AND(Projects!$G$12="Yes",Projects!$F$12="Yes",20=Projects!$C$12),Projects!$B$12*Assumptions!$B$15,0)+IF(AND(Projects!$G$13="Yes",Projects!$F$13="Yes",20=Projects!$C$13),Projects!$B$13*Assumptions!$B$15,0)+IF(AND(Projects!$G$14="Yes",Projects!$F$14="Yes",20=Projects!$C$14),Projects!$B$14*Assumptions!$B$15,0)+IF(AND(Projects!$G$15="Yes",Projects!$F$15="Yes",20=Projects!$C$15),Projects!$B$15*Assumptions!$B$15,0)+IF(AND(Projects!$G$16="Yes",Projects!$F$16="Yes",20=Projects!$C$16),Projects!$B$16*Assumptions!$B$15,0)</f>
        <v>0</v>
      </c>
      <c r="W11" s="8">
        <f>IF(AND(Projects!$G$6="Yes",Projects!$F$6="Yes",21=Projects!$C$6),Projects!$B$6*Assumptions!$B$15,0)+IF(AND(Projects!$G$7="Yes",Projects!$F$7="Yes",21=Projects!$C$7),Projects!$B$7*Assumptions!$B$15,0)+IF(AND(Projects!$G$8="Yes",Projects!$F$8="Yes",21=Projects!$C$8),Projects!$B$8*Assumptions!$B$15,0)+IF(AND(Projects!$G$9="Yes",Projects!$F$9="Yes",21=Projects!$C$9),Projects!$B$9*Assumptions!$B$15,0)+IF(AND(Projects!$G$10="Yes",Projects!$F$10="Yes",21=Projects!$C$10),Projects!$B$10*Assumptions!$B$15,0)+IF(AND(Projects!$G$11="Yes",Projects!$F$11="Yes",21=Projects!$C$11),Projects!$B$11*Assumptions!$B$15,0)+IF(AND(Projects!$G$12="Yes",Projects!$F$12="Yes",21=Projects!$C$12),Projects!$B$12*Assumptions!$B$15,0)+IF(AND(Projects!$G$13="Yes",Projects!$F$13="Yes",21=Projects!$C$13),Projects!$B$13*Assumptions!$B$15,0)+IF(AND(Projects!$G$14="Yes",Projects!$F$14="Yes",21=Projects!$C$14),Projects!$B$14*Assumptions!$B$15,0)+IF(AND(Projects!$G$15="Yes",Projects!$F$15="Yes",21=Projects!$C$15),Projects!$B$15*Assumptions!$B$15,0)+IF(AND(Projects!$G$16="Yes",Projects!$F$16="Yes",21=Projects!$C$16),Projects!$B$16*Assumptions!$B$15,0)</f>
        <v>0</v>
      </c>
      <c r="X11" s="8">
        <f>IF(AND(Projects!$G$6="Yes",Projects!$F$6="Yes",22=Projects!$C$6),Projects!$B$6*Assumptions!$B$15,0)+IF(AND(Projects!$G$7="Yes",Projects!$F$7="Yes",22=Projects!$C$7),Projects!$B$7*Assumptions!$B$15,0)+IF(AND(Projects!$G$8="Yes",Projects!$F$8="Yes",22=Projects!$C$8),Projects!$B$8*Assumptions!$B$15,0)+IF(AND(Projects!$G$9="Yes",Projects!$F$9="Yes",22=Projects!$C$9),Projects!$B$9*Assumptions!$B$15,0)+IF(AND(Projects!$G$10="Yes",Projects!$F$10="Yes",22=Projects!$C$10),Projects!$B$10*Assumptions!$B$15,0)+IF(AND(Projects!$G$11="Yes",Projects!$F$11="Yes",22=Projects!$C$11),Projects!$B$11*Assumptions!$B$15,0)+IF(AND(Projects!$G$12="Yes",Projects!$F$12="Yes",22=Projects!$C$12),Projects!$B$12*Assumptions!$B$15,0)+IF(AND(Projects!$G$13="Yes",Projects!$F$13="Yes",22=Projects!$C$13),Projects!$B$13*Assumptions!$B$15,0)+IF(AND(Projects!$G$14="Yes",Projects!$F$14="Yes",22=Projects!$C$14),Projects!$B$14*Assumptions!$B$15,0)+IF(AND(Projects!$G$15="Yes",Projects!$F$15="Yes",22=Projects!$C$15),Projects!$B$15*Assumptions!$B$15,0)+IF(AND(Projects!$G$16="Yes",Projects!$F$16="Yes",22=Projects!$C$16),Projects!$B$16*Assumptions!$B$15,0)</f>
        <v>0</v>
      </c>
      <c r="Y11" s="8">
        <f>IF(AND(Projects!$G$6="Yes",Projects!$F$6="Yes",23=Projects!$C$6),Projects!$B$6*Assumptions!$B$15,0)+IF(AND(Projects!$G$7="Yes",Projects!$F$7="Yes",23=Projects!$C$7),Projects!$B$7*Assumptions!$B$15,0)+IF(AND(Projects!$G$8="Yes",Projects!$F$8="Yes",23=Projects!$C$8),Projects!$B$8*Assumptions!$B$15,0)+IF(AND(Projects!$G$9="Yes",Projects!$F$9="Yes",23=Projects!$C$9),Projects!$B$9*Assumptions!$B$15,0)+IF(AND(Projects!$G$10="Yes",Projects!$F$10="Yes",23=Projects!$C$10),Projects!$B$10*Assumptions!$B$15,0)+IF(AND(Projects!$G$11="Yes",Projects!$F$11="Yes",23=Projects!$C$11),Projects!$B$11*Assumptions!$B$15,0)+IF(AND(Projects!$G$12="Yes",Projects!$F$12="Yes",23=Projects!$C$12),Projects!$B$12*Assumptions!$B$15,0)+IF(AND(Projects!$G$13="Yes",Projects!$F$13="Yes",23=Projects!$C$13),Projects!$B$13*Assumptions!$B$15,0)+IF(AND(Projects!$G$14="Yes",Projects!$F$14="Yes",23=Projects!$C$14),Projects!$B$14*Assumptions!$B$15,0)+IF(AND(Projects!$G$15="Yes",Projects!$F$15="Yes",23=Projects!$C$15),Projects!$B$15*Assumptions!$B$15,0)+IF(AND(Projects!$G$16="Yes",Projects!$F$16="Yes",23=Projects!$C$16),Projects!$B$16*Assumptions!$B$15,0)</f>
        <v>0</v>
      </c>
      <c r="Z11" s="8">
        <f>IF(AND(Projects!$G$6="Yes",Projects!$F$6="Yes",24=Projects!$C$6),Projects!$B$6*Assumptions!$B$15,0)+IF(AND(Projects!$G$7="Yes",Projects!$F$7="Yes",24=Projects!$C$7),Projects!$B$7*Assumptions!$B$15,0)+IF(AND(Projects!$G$8="Yes",Projects!$F$8="Yes",24=Projects!$C$8),Projects!$B$8*Assumptions!$B$15,0)+IF(AND(Projects!$G$9="Yes",Projects!$F$9="Yes",24=Projects!$C$9),Projects!$B$9*Assumptions!$B$15,0)+IF(AND(Projects!$G$10="Yes",Projects!$F$10="Yes",24=Projects!$C$10),Projects!$B$10*Assumptions!$B$15,0)+IF(AND(Projects!$G$11="Yes",Projects!$F$11="Yes",24=Projects!$C$11),Projects!$B$11*Assumptions!$B$15,0)+IF(AND(Projects!$G$12="Yes",Projects!$F$12="Yes",24=Projects!$C$12),Projects!$B$12*Assumptions!$B$15,0)+IF(AND(Projects!$G$13="Yes",Projects!$F$13="Yes",24=Projects!$C$13),Projects!$B$13*Assumptions!$B$15,0)+IF(AND(Projects!$G$14="Yes",Projects!$F$14="Yes",24=Projects!$C$14),Projects!$B$14*Assumptions!$B$15,0)+IF(AND(Projects!$G$15="Yes",Projects!$F$15="Yes",24=Projects!$C$15),Projects!$B$15*Assumptions!$B$15,0)+IF(AND(Projects!$G$16="Yes",Projects!$F$16="Yes",24=Projects!$C$16),Projects!$B$16*Assumptions!$B$15,0)</f>
        <v>0</v>
      </c>
      <c r="AA11" s="8">
        <f>IF(AND(Projects!$G$6="Yes",Projects!$F$6="Yes",25=Projects!$C$6),Projects!$B$6*Assumptions!$B$15,0)+IF(AND(Projects!$G$7="Yes",Projects!$F$7="Yes",25=Projects!$C$7),Projects!$B$7*Assumptions!$B$15,0)+IF(AND(Projects!$G$8="Yes",Projects!$F$8="Yes",25=Projects!$C$8),Projects!$B$8*Assumptions!$B$15,0)+IF(AND(Projects!$G$9="Yes",Projects!$F$9="Yes",25=Projects!$C$9),Projects!$B$9*Assumptions!$B$15,0)+IF(AND(Projects!$G$10="Yes",Projects!$F$10="Yes",25=Projects!$C$10),Projects!$B$10*Assumptions!$B$15,0)+IF(AND(Projects!$G$11="Yes",Projects!$F$11="Yes",25=Projects!$C$11),Projects!$B$11*Assumptions!$B$15,0)+IF(AND(Projects!$G$12="Yes",Projects!$F$12="Yes",25=Projects!$C$12),Projects!$B$12*Assumptions!$B$15,0)+IF(AND(Projects!$G$13="Yes",Projects!$F$13="Yes",25=Projects!$C$13),Projects!$B$13*Assumptions!$B$15,0)+IF(AND(Projects!$G$14="Yes",Projects!$F$14="Yes",25=Projects!$C$14),Projects!$B$14*Assumptions!$B$15,0)+IF(AND(Projects!$G$15="Yes",Projects!$F$15="Yes",25=Projects!$C$15),Projects!$B$15*Assumptions!$B$15,0)+IF(AND(Projects!$G$16="Yes",Projects!$F$16="Yes",25=Projects!$C$16),Projects!$B$16*Assumptions!$B$15,0)</f>
        <v>0</v>
      </c>
      <c r="AB11" s="8">
        <f>IF(AND(Projects!$G$6="Yes",Projects!$F$6="Yes",26=Projects!$C$6),Projects!$B$6*Assumptions!$B$15,0)+IF(AND(Projects!$G$7="Yes",Projects!$F$7="Yes",26=Projects!$C$7),Projects!$B$7*Assumptions!$B$15,0)+IF(AND(Projects!$G$8="Yes",Projects!$F$8="Yes",26=Projects!$C$8),Projects!$B$8*Assumptions!$B$15,0)+IF(AND(Projects!$G$9="Yes",Projects!$F$9="Yes",26=Projects!$C$9),Projects!$B$9*Assumptions!$B$15,0)+IF(AND(Projects!$G$10="Yes",Projects!$F$10="Yes",26=Projects!$C$10),Projects!$B$10*Assumptions!$B$15,0)+IF(AND(Projects!$G$11="Yes",Projects!$F$11="Yes",26=Projects!$C$11),Projects!$B$11*Assumptions!$B$15,0)+IF(AND(Projects!$G$12="Yes",Projects!$F$12="Yes",26=Projects!$C$12),Projects!$B$12*Assumptions!$B$15,0)+IF(AND(Projects!$G$13="Yes",Projects!$F$13="Yes",26=Projects!$C$13),Projects!$B$13*Assumptions!$B$15,0)+IF(AND(Projects!$G$14="Yes",Projects!$F$14="Yes",26=Projects!$C$14),Projects!$B$14*Assumptions!$B$15,0)+IF(AND(Projects!$G$15="Yes",Projects!$F$15="Yes",26=Projects!$C$15),Projects!$B$15*Assumptions!$B$15,0)+IF(AND(Projects!$G$16="Yes",Projects!$F$16="Yes",26=Projects!$C$16),Projects!$B$16*Assumptions!$B$15,0)</f>
        <v>0</v>
      </c>
      <c r="AC11" s="8">
        <f>IF(AND(Projects!$G$6="Yes",Projects!$F$6="Yes",27=Projects!$C$6),Projects!$B$6*Assumptions!$B$15,0)+IF(AND(Projects!$G$7="Yes",Projects!$F$7="Yes",27=Projects!$C$7),Projects!$B$7*Assumptions!$B$15,0)+IF(AND(Projects!$G$8="Yes",Projects!$F$8="Yes",27=Projects!$C$8),Projects!$B$8*Assumptions!$B$15,0)+IF(AND(Projects!$G$9="Yes",Projects!$F$9="Yes",27=Projects!$C$9),Projects!$B$9*Assumptions!$B$15,0)+IF(AND(Projects!$G$10="Yes",Projects!$F$10="Yes",27=Projects!$C$10),Projects!$B$10*Assumptions!$B$15,0)+IF(AND(Projects!$G$11="Yes",Projects!$F$11="Yes",27=Projects!$C$11),Projects!$B$11*Assumptions!$B$15,0)+IF(AND(Projects!$G$12="Yes",Projects!$F$12="Yes",27=Projects!$C$12),Projects!$B$12*Assumptions!$B$15,0)+IF(AND(Projects!$G$13="Yes",Projects!$F$13="Yes",27=Projects!$C$13),Projects!$B$13*Assumptions!$B$15,0)+IF(AND(Projects!$G$14="Yes",Projects!$F$14="Yes",27=Projects!$C$14),Projects!$B$14*Assumptions!$B$15,0)+IF(AND(Projects!$G$15="Yes",Projects!$F$15="Yes",27=Projects!$C$15),Projects!$B$15*Assumptions!$B$15,0)+IF(AND(Projects!$G$16="Yes",Projects!$F$16="Yes",27=Projects!$C$16),Projects!$B$16*Assumptions!$B$15,0)</f>
        <v>620319.48</v>
      </c>
      <c r="AD11" s="8">
        <f>IF(AND(Projects!$G$6="Yes",Projects!$F$6="Yes",28=Projects!$C$6),Projects!$B$6*Assumptions!$B$15,0)+IF(AND(Projects!$G$7="Yes",Projects!$F$7="Yes",28=Projects!$C$7),Projects!$B$7*Assumptions!$B$15,0)+IF(AND(Projects!$G$8="Yes",Projects!$F$8="Yes",28=Projects!$C$8),Projects!$B$8*Assumptions!$B$15,0)+IF(AND(Projects!$G$9="Yes",Projects!$F$9="Yes",28=Projects!$C$9),Projects!$B$9*Assumptions!$B$15,0)+IF(AND(Projects!$G$10="Yes",Projects!$F$10="Yes",28=Projects!$C$10),Projects!$B$10*Assumptions!$B$15,0)+IF(AND(Projects!$G$11="Yes",Projects!$F$11="Yes",28=Projects!$C$11),Projects!$B$11*Assumptions!$B$15,0)+IF(AND(Projects!$G$12="Yes",Projects!$F$12="Yes",28=Projects!$C$12),Projects!$B$12*Assumptions!$B$15,0)+IF(AND(Projects!$G$13="Yes",Projects!$F$13="Yes",28=Projects!$C$13),Projects!$B$13*Assumptions!$B$15,0)+IF(AND(Projects!$G$14="Yes",Projects!$F$14="Yes",28=Projects!$C$14),Projects!$B$14*Assumptions!$B$15,0)+IF(AND(Projects!$G$15="Yes",Projects!$F$15="Yes",28=Projects!$C$15),Projects!$B$15*Assumptions!$B$15,0)+IF(AND(Projects!$G$16="Yes",Projects!$F$16="Yes",28=Projects!$C$16),Projects!$B$16*Assumptions!$B$15,0)</f>
        <v>0</v>
      </c>
      <c r="AE11" s="8">
        <f>IF(AND(Projects!$G$6="Yes",Projects!$F$6="Yes",29=Projects!$C$6),Projects!$B$6*Assumptions!$B$15,0)+IF(AND(Projects!$G$7="Yes",Projects!$F$7="Yes",29=Projects!$C$7),Projects!$B$7*Assumptions!$B$15,0)+IF(AND(Projects!$G$8="Yes",Projects!$F$8="Yes",29=Projects!$C$8),Projects!$B$8*Assumptions!$B$15,0)+IF(AND(Projects!$G$9="Yes",Projects!$F$9="Yes",29=Projects!$C$9),Projects!$B$9*Assumptions!$B$15,0)+IF(AND(Projects!$G$10="Yes",Projects!$F$10="Yes",29=Projects!$C$10),Projects!$B$10*Assumptions!$B$15,0)+IF(AND(Projects!$G$11="Yes",Projects!$F$11="Yes",29=Projects!$C$11),Projects!$B$11*Assumptions!$B$15,0)+IF(AND(Projects!$G$12="Yes",Projects!$F$12="Yes",29=Projects!$C$12),Projects!$B$12*Assumptions!$B$15,0)+IF(AND(Projects!$G$13="Yes",Projects!$F$13="Yes",29=Projects!$C$13),Projects!$B$13*Assumptions!$B$15,0)+IF(AND(Projects!$G$14="Yes",Projects!$F$14="Yes",29=Projects!$C$14),Projects!$B$14*Assumptions!$B$15,0)+IF(AND(Projects!$G$15="Yes",Projects!$F$15="Yes",29=Projects!$C$15),Projects!$B$15*Assumptions!$B$15,0)+IF(AND(Projects!$G$16="Yes",Projects!$F$16="Yes",29=Projects!$C$16),Projects!$B$16*Assumptions!$B$15,0)</f>
        <v>0</v>
      </c>
      <c r="AF11" s="8">
        <f>IF(AND(Projects!$G$6="Yes",Projects!$F$6="Yes",30=Projects!$C$6),Projects!$B$6*Assumptions!$B$15,0)+IF(AND(Projects!$G$7="Yes",Projects!$F$7="Yes",30=Projects!$C$7),Projects!$B$7*Assumptions!$B$15,0)+IF(AND(Projects!$G$8="Yes",Projects!$F$8="Yes",30=Projects!$C$8),Projects!$B$8*Assumptions!$B$15,0)+IF(AND(Projects!$G$9="Yes",Projects!$F$9="Yes",30=Projects!$C$9),Projects!$B$9*Assumptions!$B$15,0)+IF(AND(Projects!$G$10="Yes",Projects!$F$10="Yes",30=Projects!$C$10),Projects!$B$10*Assumptions!$B$15,0)+IF(AND(Projects!$G$11="Yes",Projects!$F$11="Yes",30=Projects!$C$11),Projects!$B$11*Assumptions!$B$15,0)+IF(AND(Projects!$G$12="Yes",Projects!$F$12="Yes",30=Projects!$C$12),Projects!$B$12*Assumptions!$B$15,0)+IF(AND(Projects!$G$13="Yes",Projects!$F$13="Yes",30=Projects!$C$13),Projects!$B$13*Assumptions!$B$15,0)+IF(AND(Projects!$G$14="Yes",Projects!$F$14="Yes",30=Projects!$C$14),Projects!$B$14*Assumptions!$B$15,0)+IF(AND(Projects!$G$15="Yes",Projects!$F$15="Yes",30=Projects!$C$15),Projects!$B$15*Assumptions!$B$15,0)+IF(AND(Projects!$G$16="Yes",Projects!$F$16="Yes",30=Projects!$C$16),Projects!$B$16*Assumptions!$B$15,0)</f>
        <v>0</v>
      </c>
      <c r="AG11" s="8">
        <f>IF(AND(Projects!$G$6="Yes",Projects!$F$6="Yes",31=Projects!$C$6),Projects!$B$6*Assumptions!$B$15,0)+IF(AND(Projects!$G$7="Yes",Projects!$F$7="Yes",31=Projects!$C$7),Projects!$B$7*Assumptions!$B$15,0)+IF(AND(Projects!$G$8="Yes",Projects!$F$8="Yes",31=Projects!$C$8),Projects!$B$8*Assumptions!$B$15,0)+IF(AND(Projects!$G$9="Yes",Projects!$F$9="Yes",31=Projects!$C$9),Projects!$B$9*Assumptions!$B$15,0)+IF(AND(Projects!$G$10="Yes",Projects!$F$10="Yes",31=Projects!$C$10),Projects!$B$10*Assumptions!$B$15,0)+IF(AND(Projects!$G$11="Yes",Projects!$F$11="Yes",31=Projects!$C$11),Projects!$B$11*Assumptions!$B$15,0)+IF(AND(Projects!$G$12="Yes",Projects!$F$12="Yes",31=Projects!$C$12),Projects!$B$12*Assumptions!$B$15,0)+IF(AND(Projects!$G$13="Yes",Projects!$F$13="Yes",31=Projects!$C$13),Projects!$B$13*Assumptions!$B$15,0)+IF(AND(Projects!$G$14="Yes",Projects!$F$14="Yes",31=Projects!$C$14),Projects!$B$14*Assumptions!$B$15,0)+IF(AND(Projects!$G$15="Yes",Projects!$F$15="Yes",31=Projects!$C$15),Projects!$B$15*Assumptions!$B$15,0)+IF(AND(Projects!$G$16="Yes",Projects!$F$16="Yes",31=Projects!$C$16),Projects!$B$16*Assumptions!$B$15,0)</f>
        <v>0</v>
      </c>
      <c r="AH11" s="8">
        <f>IF(AND(Projects!$G$6="Yes",Projects!$F$6="Yes",32=Projects!$C$6),Projects!$B$6*Assumptions!$B$15,0)+IF(AND(Projects!$G$7="Yes",Projects!$F$7="Yes",32=Projects!$C$7),Projects!$B$7*Assumptions!$B$15,0)+IF(AND(Projects!$G$8="Yes",Projects!$F$8="Yes",32=Projects!$C$8),Projects!$B$8*Assumptions!$B$15,0)+IF(AND(Projects!$G$9="Yes",Projects!$F$9="Yes",32=Projects!$C$9),Projects!$B$9*Assumptions!$B$15,0)+IF(AND(Projects!$G$10="Yes",Projects!$F$10="Yes",32=Projects!$C$10),Projects!$B$10*Assumptions!$B$15,0)+IF(AND(Projects!$G$11="Yes",Projects!$F$11="Yes",32=Projects!$C$11),Projects!$B$11*Assumptions!$B$15,0)+IF(AND(Projects!$G$12="Yes",Projects!$F$12="Yes",32=Projects!$C$12),Projects!$B$12*Assumptions!$B$15,0)+IF(AND(Projects!$G$13="Yes",Projects!$F$13="Yes",32=Projects!$C$13),Projects!$B$13*Assumptions!$B$15,0)+IF(AND(Projects!$G$14="Yes",Projects!$F$14="Yes",32=Projects!$C$14),Projects!$B$14*Assumptions!$B$15,0)+IF(AND(Projects!$G$15="Yes",Projects!$F$15="Yes",32=Projects!$C$15),Projects!$B$15*Assumptions!$B$15,0)+IF(AND(Projects!$G$16="Yes",Projects!$F$16="Yes",32=Projects!$C$16),Projects!$B$16*Assumptions!$B$15,0)</f>
        <v>0</v>
      </c>
      <c r="AI11" s="8">
        <f>IF(AND(Projects!$G$6="Yes",Projects!$F$6="Yes",33=Projects!$C$6),Projects!$B$6*Assumptions!$B$15,0)+IF(AND(Projects!$G$7="Yes",Projects!$F$7="Yes",33=Projects!$C$7),Projects!$B$7*Assumptions!$B$15,0)+IF(AND(Projects!$G$8="Yes",Projects!$F$8="Yes",33=Projects!$C$8),Projects!$B$8*Assumptions!$B$15,0)+IF(AND(Projects!$G$9="Yes",Projects!$F$9="Yes",33=Projects!$C$9),Projects!$B$9*Assumptions!$B$15,0)+IF(AND(Projects!$G$10="Yes",Projects!$F$10="Yes",33=Projects!$C$10),Projects!$B$10*Assumptions!$B$15,0)+IF(AND(Projects!$G$11="Yes",Projects!$F$11="Yes",33=Projects!$C$11),Projects!$B$11*Assumptions!$B$15,0)+IF(AND(Projects!$G$12="Yes",Projects!$F$12="Yes",33=Projects!$C$12),Projects!$B$12*Assumptions!$B$15,0)+IF(AND(Projects!$G$13="Yes",Projects!$F$13="Yes",33=Projects!$C$13),Projects!$B$13*Assumptions!$B$15,0)+IF(AND(Projects!$G$14="Yes",Projects!$F$14="Yes",33=Projects!$C$14),Projects!$B$14*Assumptions!$B$15,0)+IF(AND(Projects!$G$15="Yes",Projects!$F$15="Yes",33=Projects!$C$15),Projects!$B$15*Assumptions!$B$15,0)+IF(AND(Projects!$G$16="Yes",Projects!$F$16="Yes",33=Projects!$C$16),Projects!$B$16*Assumptions!$B$15,0)</f>
        <v>0</v>
      </c>
      <c r="AJ11" s="8">
        <f>IF(AND(Projects!$G$6="Yes",Projects!$F$6="Yes",34=Projects!$C$6),Projects!$B$6*Assumptions!$B$15,0)+IF(AND(Projects!$G$7="Yes",Projects!$F$7="Yes",34=Projects!$C$7),Projects!$B$7*Assumptions!$B$15,0)+IF(AND(Projects!$G$8="Yes",Projects!$F$8="Yes",34=Projects!$C$8),Projects!$B$8*Assumptions!$B$15,0)+IF(AND(Projects!$G$9="Yes",Projects!$F$9="Yes",34=Projects!$C$9),Projects!$B$9*Assumptions!$B$15,0)+IF(AND(Projects!$G$10="Yes",Projects!$F$10="Yes",34=Projects!$C$10),Projects!$B$10*Assumptions!$B$15,0)+IF(AND(Projects!$G$11="Yes",Projects!$F$11="Yes",34=Projects!$C$11),Projects!$B$11*Assumptions!$B$15,0)+IF(AND(Projects!$G$12="Yes",Projects!$F$12="Yes",34=Projects!$C$12),Projects!$B$12*Assumptions!$B$15,0)+IF(AND(Projects!$G$13="Yes",Projects!$F$13="Yes",34=Projects!$C$13),Projects!$B$13*Assumptions!$B$15,0)+IF(AND(Projects!$G$14="Yes",Projects!$F$14="Yes",34=Projects!$C$14),Projects!$B$14*Assumptions!$B$15,0)+IF(AND(Projects!$G$15="Yes",Projects!$F$15="Yes",34=Projects!$C$15),Projects!$B$15*Assumptions!$B$15,0)+IF(AND(Projects!$G$16="Yes",Projects!$F$16="Yes",34=Projects!$C$16),Projects!$B$16*Assumptions!$B$15,0)</f>
        <v>0</v>
      </c>
      <c r="AK11" s="8">
        <f>IF(AND(Projects!$G$6="Yes",Projects!$F$6="Yes",35=Projects!$C$6),Projects!$B$6*Assumptions!$B$15,0)+IF(AND(Projects!$G$7="Yes",Projects!$F$7="Yes",35=Projects!$C$7),Projects!$B$7*Assumptions!$B$15,0)+IF(AND(Projects!$G$8="Yes",Projects!$F$8="Yes",35=Projects!$C$8),Projects!$B$8*Assumptions!$B$15,0)+IF(AND(Projects!$G$9="Yes",Projects!$F$9="Yes",35=Projects!$C$9),Projects!$B$9*Assumptions!$B$15,0)+IF(AND(Projects!$G$10="Yes",Projects!$F$10="Yes",35=Projects!$C$10),Projects!$B$10*Assumptions!$B$15,0)+IF(AND(Projects!$G$11="Yes",Projects!$F$11="Yes",35=Projects!$C$11),Projects!$B$11*Assumptions!$B$15,0)+IF(AND(Projects!$G$12="Yes",Projects!$F$12="Yes",35=Projects!$C$12),Projects!$B$12*Assumptions!$B$15,0)+IF(AND(Projects!$G$13="Yes",Projects!$F$13="Yes",35=Projects!$C$13),Projects!$B$13*Assumptions!$B$15,0)+IF(AND(Projects!$G$14="Yes",Projects!$F$14="Yes",35=Projects!$C$14),Projects!$B$14*Assumptions!$B$15,0)+IF(AND(Projects!$G$15="Yes",Projects!$F$15="Yes",35=Projects!$C$15),Projects!$B$15*Assumptions!$B$15,0)+IF(AND(Projects!$G$16="Yes",Projects!$F$16="Yes",35=Projects!$C$16),Projects!$B$16*Assumptions!$B$15,0)</f>
        <v>0</v>
      </c>
      <c r="AL11" s="8">
        <f>IF(AND(Projects!$G$6="Yes",Projects!$F$6="Yes",36=Projects!$C$6),Projects!$B$6*Assumptions!$B$15,0)+IF(AND(Projects!$G$7="Yes",Projects!$F$7="Yes",36=Projects!$C$7),Projects!$B$7*Assumptions!$B$15,0)+IF(AND(Projects!$G$8="Yes",Projects!$F$8="Yes",36=Projects!$C$8),Projects!$B$8*Assumptions!$B$15,0)+IF(AND(Projects!$G$9="Yes",Projects!$F$9="Yes",36=Projects!$C$9),Projects!$B$9*Assumptions!$B$15,0)+IF(AND(Projects!$G$10="Yes",Projects!$F$10="Yes",36=Projects!$C$10),Projects!$B$10*Assumptions!$B$15,0)+IF(AND(Projects!$G$11="Yes",Projects!$F$11="Yes",36=Projects!$C$11),Projects!$B$11*Assumptions!$B$15,0)+IF(AND(Projects!$G$12="Yes",Projects!$F$12="Yes",36=Projects!$C$12),Projects!$B$12*Assumptions!$B$15,0)+IF(AND(Projects!$G$13="Yes",Projects!$F$13="Yes",36=Projects!$C$13),Projects!$B$13*Assumptions!$B$15,0)+IF(AND(Projects!$G$14="Yes",Projects!$F$14="Yes",36=Projects!$C$14),Projects!$B$14*Assumptions!$B$15,0)+IF(AND(Projects!$G$15="Yes",Projects!$F$15="Yes",36=Projects!$C$15),Projects!$B$15*Assumptions!$B$15,0)+IF(AND(Projects!$G$16="Yes",Projects!$F$16="Yes",36=Projects!$C$16),Projects!$B$16*Assumptions!$B$15,0)</f>
        <v>0</v>
      </c>
      <c r="AM11" s="8">
        <f>IF(AND(Projects!$G$6="Yes",Projects!$F$6="Yes",37=Projects!$C$6),Projects!$B$6*Assumptions!$B$15,0)+IF(AND(Projects!$G$7="Yes",Projects!$F$7="Yes",37=Projects!$C$7),Projects!$B$7*Assumptions!$B$15,0)+IF(AND(Projects!$G$8="Yes",Projects!$F$8="Yes",37=Projects!$C$8),Projects!$B$8*Assumptions!$B$15,0)+IF(AND(Projects!$G$9="Yes",Projects!$F$9="Yes",37=Projects!$C$9),Projects!$B$9*Assumptions!$B$15,0)+IF(AND(Projects!$G$10="Yes",Projects!$F$10="Yes",37=Projects!$C$10),Projects!$B$10*Assumptions!$B$15,0)+IF(AND(Projects!$G$11="Yes",Projects!$F$11="Yes",37=Projects!$C$11),Projects!$B$11*Assumptions!$B$15,0)+IF(AND(Projects!$G$12="Yes",Projects!$F$12="Yes",37=Projects!$C$12),Projects!$B$12*Assumptions!$B$15,0)+IF(AND(Projects!$G$13="Yes",Projects!$F$13="Yes",37=Projects!$C$13),Projects!$B$13*Assumptions!$B$15,0)+IF(AND(Projects!$G$14="Yes",Projects!$F$14="Yes",37=Projects!$C$14),Projects!$B$14*Assumptions!$B$15,0)+IF(AND(Projects!$G$15="Yes",Projects!$F$15="Yes",37=Projects!$C$15),Projects!$B$15*Assumptions!$B$15,0)+IF(AND(Projects!$G$16="Yes",Projects!$F$16="Yes",37=Projects!$C$16),Projects!$B$16*Assumptions!$B$15,0)</f>
        <v>0</v>
      </c>
      <c r="AN11" s="8">
        <f>IF(AND(Projects!$G$6="Yes",Projects!$F$6="Yes",38=Projects!$C$6),Projects!$B$6*Assumptions!$B$15,0)+IF(AND(Projects!$G$7="Yes",Projects!$F$7="Yes",38=Projects!$C$7),Projects!$B$7*Assumptions!$B$15,0)+IF(AND(Projects!$G$8="Yes",Projects!$F$8="Yes",38=Projects!$C$8),Projects!$B$8*Assumptions!$B$15,0)+IF(AND(Projects!$G$9="Yes",Projects!$F$9="Yes",38=Projects!$C$9),Projects!$B$9*Assumptions!$B$15,0)+IF(AND(Projects!$G$10="Yes",Projects!$F$10="Yes",38=Projects!$C$10),Projects!$B$10*Assumptions!$B$15,0)+IF(AND(Projects!$G$11="Yes",Projects!$F$11="Yes",38=Projects!$C$11),Projects!$B$11*Assumptions!$B$15,0)+IF(AND(Projects!$G$12="Yes",Projects!$F$12="Yes",38=Projects!$C$12),Projects!$B$12*Assumptions!$B$15,0)+IF(AND(Projects!$G$13="Yes",Projects!$F$13="Yes",38=Projects!$C$13),Projects!$B$13*Assumptions!$B$15,0)+IF(AND(Projects!$G$14="Yes",Projects!$F$14="Yes",38=Projects!$C$14),Projects!$B$14*Assumptions!$B$15,0)+IF(AND(Projects!$G$15="Yes",Projects!$F$15="Yes",38=Projects!$C$15),Projects!$B$15*Assumptions!$B$15,0)+IF(AND(Projects!$G$16="Yes",Projects!$F$16="Yes",38=Projects!$C$16),Projects!$B$16*Assumptions!$B$15,0)</f>
        <v>0</v>
      </c>
      <c r="AO11" s="8">
        <f>IF(AND(Projects!$G$6="Yes",Projects!$F$6="Yes",39=Projects!$C$6),Projects!$B$6*Assumptions!$B$15,0)+IF(AND(Projects!$G$7="Yes",Projects!$F$7="Yes",39=Projects!$C$7),Projects!$B$7*Assumptions!$B$15,0)+IF(AND(Projects!$G$8="Yes",Projects!$F$8="Yes",39=Projects!$C$8),Projects!$B$8*Assumptions!$B$15,0)+IF(AND(Projects!$G$9="Yes",Projects!$F$9="Yes",39=Projects!$C$9),Projects!$B$9*Assumptions!$B$15,0)+IF(AND(Projects!$G$10="Yes",Projects!$F$10="Yes",39=Projects!$C$10),Projects!$B$10*Assumptions!$B$15,0)+IF(AND(Projects!$G$11="Yes",Projects!$F$11="Yes",39=Projects!$C$11),Projects!$B$11*Assumptions!$B$15,0)+IF(AND(Projects!$G$12="Yes",Projects!$F$12="Yes",39=Projects!$C$12),Projects!$B$12*Assumptions!$B$15,0)+IF(AND(Projects!$G$13="Yes",Projects!$F$13="Yes",39=Projects!$C$13),Projects!$B$13*Assumptions!$B$15,0)+IF(AND(Projects!$G$14="Yes",Projects!$F$14="Yes",39=Projects!$C$14),Projects!$B$14*Assumptions!$B$15,0)+IF(AND(Projects!$G$15="Yes",Projects!$F$15="Yes",39=Projects!$C$15),Projects!$B$15*Assumptions!$B$15,0)+IF(AND(Projects!$G$16="Yes",Projects!$F$16="Yes",39=Projects!$C$16),Projects!$B$16*Assumptions!$B$15,0)</f>
        <v>0</v>
      </c>
      <c r="AP11" s="8">
        <f>IF(AND(Projects!$G$6="Yes",Projects!$F$6="Yes",40=Projects!$C$6),Projects!$B$6*Assumptions!$B$15,0)+IF(AND(Projects!$G$7="Yes",Projects!$F$7="Yes",40=Projects!$C$7),Projects!$B$7*Assumptions!$B$15,0)+IF(AND(Projects!$G$8="Yes",Projects!$F$8="Yes",40=Projects!$C$8),Projects!$B$8*Assumptions!$B$15,0)+IF(AND(Projects!$G$9="Yes",Projects!$F$9="Yes",40=Projects!$C$9),Projects!$B$9*Assumptions!$B$15,0)+IF(AND(Projects!$G$10="Yes",Projects!$F$10="Yes",40=Projects!$C$10),Projects!$B$10*Assumptions!$B$15,0)+IF(AND(Projects!$G$11="Yes",Projects!$F$11="Yes",40=Projects!$C$11),Projects!$B$11*Assumptions!$B$15,0)+IF(AND(Projects!$G$12="Yes",Projects!$F$12="Yes",40=Projects!$C$12),Projects!$B$12*Assumptions!$B$15,0)+IF(AND(Projects!$G$13="Yes",Projects!$F$13="Yes",40=Projects!$C$13),Projects!$B$13*Assumptions!$B$15,0)+IF(AND(Projects!$G$14="Yes",Projects!$F$14="Yes",40=Projects!$C$14),Projects!$B$14*Assumptions!$B$15,0)+IF(AND(Projects!$G$15="Yes",Projects!$F$15="Yes",40=Projects!$C$15),Projects!$B$15*Assumptions!$B$15,0)+IF(AND(Projects!$G$16="Yes",Projects!$F$16="Yes",40=Projects!$C$16),Projects!$B$16*Assumptions!$B$15,0)</f>
        <v>0</v>
      </c>
      <c r="AQ11" s="8">
        <f>IF(AND(Projects!$G$6="Yes",Projects!$F$6="Yes",41=Projects!$C$6),Projects!$B$6*Assumptions!$B$15,0)+IF(AND(Projects!$G$7="Yes",Projects!$F$7="Yes",41=Projects!$C$7),Projects!$B$7*Assumptions!$B$15,0)+IF(AND(Projects!$G$8="Yes",Projects!$F$8="Yes",41=Projects!$C$8),Projects!$B$8*Assumptions!$B$15,0)+IF(AND(Projects!$G$9="Yes",Projects!$F$9="Yes",41=Projects!$C$9),Projects!$B$9*Assumptions!$B$15,0)+IF(AND(Projects!$G$10="Yes",Projects!$F$10="Yes",41=Projects!$C$10),Projects!$B$10*Assumptions!$B$15,0)+IF(AND(Projects!$G$11="Yes",Projects!$F$11="Yes",41=Projects!$C$11),Projects!$B$11*Assumptions!$B$15,0)+IF(AND(Projects!$G$12="Yes",Projects!$F$12="Yes",41=Projects!$C$12),Projects!$B$12*Assumptions!$B$15,0)+IF(AND(Projects!$G$13="Yes",Projects!$F$13="Yes",41=Projects!$C$13),Projects!$B$13*Assumptions!$B$15,0)+IF(AND(Projects!$G$14="Yes",Projects!$F$14="Yes",41=Projects!$C$14),Projects!$B$14*Assumptions!$B$15,0)+IF(AND(Projects!$G$15="Yes",Projects!$F$15="Yes",41=Projects!$C$15),Projects!$B$15*Assumptions!$B$15,0)+IF(AND(Projects!$G$16="Yes",Projects!$F$16="Yes",41=Projects!$C$16),Projects!$B$16*Assumptions!$B$15,0)</f>
        <v>0</v>
      </c>
      <c r="AR11" s="8">
        <f>IF(AND(Projects!$G$6="Yes",Projects!$F$6="Yes",42=Projects!$C$6),Projects!$B$6*Assumptions!$B$15,0)+IF(AND(Projects!$G$7="Yes",Projects!$F$7="Yes",42=Projects!$C$7),Projects!$B$7*Assumptions!$B$15,0)+IF(AND(Projects!$G$8="Yes",Projects!$F$8="Yes",42=Projects!$C$8),Projects!$B$8*Assumptions!$B$15,0)+IF(AND(Projects!$G$9="Yes",Projects!$F$9="Yes",42=Projects!$C$9),Projects!$B$9*Assumptions!$B$15,0)+IF(AND(Projects!$G$10="Yes",Projects!$F$10="Yes",42=Projects!$C$10),Projects!$B$10*Assumptions!$B$15,0)+IF(AND(Projects!$G$11="Yes",Projects!$F$11="Yes",42=Projects!$C$11),Projects!$B$11*Assumptions!$B$15,0)+IF(AND(Projects!$G$12="Yes",Projects!$F$12="Yes",42=Projects!$C$12),Projects!$B$12*Assumptions!$B$15,0)+IF(AND(Projects!$G$13="Yes",Projects!$F$13="Yes",42=Projects!$C$13),Projects!$B$13*Assumptions!$B$15,0)+IF(AND(Projects!$G$14="Yes",Projects!$F$14="Yes",42=Projects!$C$14),Projects!$B$14*Assumptions!$B$15,0)+IF(AND(Projects!$G$15="Yes",Projects!$F$15="Yes",42=Projects!$C$15),Projects!$B$15*Assumptions!$B$15,0)+IF(AND(Projects!$G$16="Yes",Projects!$F$16="Yes",42=Projects!$C$16),Projects!$B$16*Assumptions!$B$15,0)</f>
        <v>0</v>
      </c>
      <c r="AS11" s="8">
        <f>IF(AND(Projects!$G$6="Yes",Projects!$F$6="Yes",43=Projects!$C$6),Projects!$B$6*Assumptions!$B$15,0)+IF(AND(Projects!$G$7="Yes",Projects!$F$7="Yes",43=Projects!$C$7),Projects!$B$7*Assumptions!$B$15,0)+IF(AND(Projects!$G$8="Yes",Projects!$F$8="Yes",43=Projects!$C$8),Projects!$B$8*Assumptions!$B$15,0)+IF(AND(Projects!$G$9="Yes",Projects!$F$9="Yes",43=Projects!$C$9),Projects!$B$9*Assumptions!$B$15,0)+IF(AND(Projects!$G$10="Yes",Projects!$F$10="Yes",43=Projects!$C$10),Projects!$B$10*Assumptions!$B$15,0)+IF(AND(Projects!$G$11="Yes",Projects!$F$11="Yes",43=Projects!$C$11),Projects!$B$11*Assumptions!$B$15,0)+IF(AND(Projects!$G$12="Yes",Projects!$F$12="Yes",43=Projects!$C$12),Projects!$B$12*Assumptions!$B$15,0)+IF(AND(Projects!$G$13="Yes",Projects!$F$13="Yes",43=Projects!$C$13),Projects!$B$13*Assumptions!$B$15,0)+IF(AND(Projects!$G$14="Yes",Projects!$F$14="Yes",43=Projects!$C$14),Projects!$B$14*Assumptions!$B$15,0)+IF(AND(Projects!$G$15="Yes",Projects!$F$15="Yes",43=Projects!$C$15),Projects!$B$15*Assumptions!$B$15,0)+IF(AND(Projects!$G$16="Yes",Projects!$F$16="Yes",43=Projects!$C$16),Projects!$B$16*Assumptions!$B$15,0)</f>
        <v>0</v>
      </c>
      <c r="AT11" s="8">
        <f>IF(AND(Projects!$G$6="Yes",Projects!$F$6="Yes",44=Projects!$C$6),Projects!$B$6*Assumptions!$B$15,0)+IF(AND(Projects!$G$7="Yes",Projects!$F$7="Yes",44=Projects!$C$7),Projects!$B$7*Assumptions!$B$15,0)+IF(AND(Projects!$G$8="Yes",Projects!$F$8="Yes",44=Projects!$C$8),Projects!$B$8*Assumptions!$B$15,0)+IF(AND(Projects!$G$9="Yes",Projects!$F$9="Yes",44=Projects!$C$9),Projects!$B$9*Assumptions!$B$15,0)+IF(AND(Projects!$G$10="Yes",Projects!$F$10="Yes",44=Projects!$C$10),Projects!$B$10*Assumptions!$B$15,0)+IF(AND(Projects!$G$11="Yes",Projects!$F$11="Yes",44=Projects!$C$11),Projects!$B$11*Assumptions!$B$15,0)+IF(AND(Projects!$G$12="Yes",Projects!$F$12="Yes",44=Projects!$C$12),Projects!$B$12*Assumptions!$B$15,0)+IF(AND(Projects!$G$13="Yes",Projects!$F$13="Yes",44=Projects!$C$13),Projects!$B$13*Assumptions!$B$15,0)+IF(AND(Projects!$G$14="Yes",Projects!$F$14="Yes",44=Projects!$C$14),Projects!$B$14*Assumptions!$B$15,0)+IF(AND(Projects!$G$15="Yes",Projects!$F$15="Yes",44=Projects!$C$15),Projects!$B$15*Assumptions!$B$15,0)+IF(AND(Projects!$G$16="Yes",Projects!$F$16="Yes",44=Projects!$C$16),Projects!$B$16*Assumptions!$B$15,0)</f>
        <v>0</v>
      </c>
      <c r="AU11" s="8">
        <f>IF(AND(Projects!$G$6="Yes",Projects!$F$6="Yes",45=Projects!$C$6),Projects!$B$6*Assumptions!$B$15,0)+IF(AND(Projects!$G$7="Yes",Projects!$F$7="Yes",45=Projects!$C$7),Projects!$B$7*Assumptions!$B$15,0)+IF(AND(Projects!$G$8="Yes",Projects!$F$8="Yes",45=Projects!$C$8),Projects!$B$8*Assumptions!$B$15,0)+IF(AND(Projects!$G$9="Yes",Projects!$F$9="Yes",45=Projects!$C$9),Projects!$B$9*Assumptions!$B$15,0)+IF(AND(Projects!$G$10="Yes",Projects!$F$10="Yes",45=Projects!$C$10),Projects!$B$10*Assumptions!$B$15,0)+IF(AND(Projects!$G$11="Yes",Projects!$F$11="Yes",45=Projects!$C$11),Projects!$B$11*Assumptions!$B$15,0)+IF(AND(Projects!$G$12="Yes",Projects!$F$12="Yes",45=Projects!$C$12),Projects!$B$12*Assumptions!$B$15,0)+IF(AND(Projects!$G$13="Yes",Projects!$F$13="Yes",45=Projects!$C$13),Projects!$B$13*Assumptions!$B$15,0)+IF(AND(Projects!$G$14="Yes",Projects!$F$14="Yes",45=Projects!$C$14),Projects!$B$14*Assumptions!$B$15,0)+IF(AND(Projects!$G$15="Yes",Projects!$F$15="Yes",45=Projects!$C$15),Projects!$B$15*Assumptions!$B$15,0)+IF(AND(Projects!$G$16="Yes",Projects!$F$16="Yes",45=Projects!$C$16),Projects!$B$16*Assumptions!$B$15,0)</f>
        <v>0</v>
      </c>
      <c r="AV11" s="8">
        <f>IF(AND(Projects!$G$6="Yes",Projects!$F$6="Yes",46=Projects!$C$6),Projects!$B$6*Assumptions!$B$15,0)+IF(AND(Projects!$G$7="Yes",Projects!$F$7="Yes",46=Projects!$C$7),Projects!$B$7*Assumptions!$B$15,0)+IF(AND(Projects!$G$8="Yes",Projects!$F$8="Yes",46=Projects!$C$8),Projects!$B$8*Assumptions!$B$15,0)+IF(AND(Projects!$G$9="Yes",Projects!$F$9="Yes",46=Projects!$C$9),Projects!$B$9*Assumptions!$B$15,0)+IF(AND(Projects!$G$10="Yes",Projects!$F$10="Yes",46=Projects!$C$10),Projects!$B$10*Assumptions!$B$15,0)+IF(AND(Projects!$G$11="Yes",Projects!$F$11="Yes",46=Projects!$C$11),Projects!$B$11*Assumptions!$B$15,0)+IF(AND(Projects!$G$12="Yes",Projects!$F$12="Yes",46=Projects!$C$12),Projects!$B$12*Assumptions!$B$15,0)+IF(AND(Projects!$G$13="Yes",Projects!$F$13="Yes",46=Projects!$C$13),Projects!$B$13*Assumptions!$B$15,0)+IF(AND(Projects!$G$14="Yes",Projects!$F$14="Yes",46=Projects!$C$14),Projects!$B$14*Assumptions!$B$15,0)+IF(AND(Projects!$G$15="Yes",Projects!$F$15="Yes",46=Projects!$C$15),Projects!$B$15*Assumptions!$B$15,0)+IF(AND(Projects!$G$16="Yes",Projects!$F$16="Yes",46=Projects!$C$16),Projects!$B$16*Assumptions!$B$15,0)</f>
        <v>0</v>
      </c>
      <c r="AW11" s="8">
        <f>IF(AND(Projects!$G$6="Yes",Projects!$F$6="Yes",47=Projects!$C$6),Projects!$B$6*Assumptions!$B$15,0)+IF(AND(Projects!$G$7="Yes",Projects!$F$7="Yes",47=Projects!$C$7),Projects!$B$7*Assumptions!$B$15,0)+IF(AND(Projects!$G$8="Yes",Projects!$F$8="Yes",47=Projects!$C$8),Projects!$B$8*Assumptions!$B$15,0)+IF(AND(Projects!$G$9="Yes",Projects!$F$9="Yes",47=Projects!$C$9),Projects!$B$9*Assumptions!$B$15,0)+IF(AND(Projects!$G$10="Yes",Projects!$F$10="Yes",47=Projects!$C$10),Projects!$B$10*Assumptions!$B$15,0)+IF(AND(Projects!$G$11="Yes",Projects!$F$11="Yes",47=Projects!$C$11),Projects!$B$11*Assumptions!$B$15,0)+IF(AND(Projects!$G$12="Yes",Projects!$F$12="Yes",47=Projects!$C$12),Projects!$B$12*Assumptions!$B$15,0)+IF(AND(Projects!$G$13="Yes",Projects!$F$13="Yes",47=Projects!$C$13),Projects!$B$13*Assumptions!$B$15,0)+IF(AND(Projects!$G$14="Yes",Projects!$F$14="Yes",47=Projects!$C$14),Projects!$B$14*Assumptions!$B$15,0)+IF(AND(Projects!$G$15="Yes",Projects!$F$15="Yes",47=Projects!$C$15),Projects!$B$15*Assumptions!$B$15,0)+IF(AND(Projects!$G$16="Yes",Projects!$F$16="Yes",47=Projects!$C$16),Projects!$B$16*Assumptions!$B$15,0)</f>
        <v>0</v>
      </c>
      <c r="AX11" s="8">
        <f>IF(AND(Projects!$G$6="Yes",Projects!$F$6="Yes",48=Projects!$C$6),Projects!$B$6*Assumptions!$B$15,0)+IF(AND(Projects!$G$7="Yes",Projects!$F$7="Yes",48=Projects!$C$7),Projects!$B$7*Assumptions!$B$15,0)+IF(AND(Projects!$G$8="Yes",Projects!$F$8="Yes",48=Projects!$C$8),Projects!$B$8*Assumptions!$B$15,0)+IF(AND(Projects!$G$9="Yes",Projects!$F$9="Yes",48=Projects!$C$9),Projects!$B$9*Assumptions!$B$15,0)+IF(AND(Projects!$G$10="Yes",Projects!$F$10="Yes",48=Projects!$C$10),Projects!$B$10*Assumptions!$B$15,0)+IF(AND(Projects!$G$11="Yes",Projects!$F$11="Yes",48=Projects!$C$11),Projects!$B$11*Assumptions!$B$15,0)+IF(AND(Projects!$G$12="Yes",Projects!$F$12="Yes",48=Projects!$C$12),Projects!$B$12*Assumptions!$B$15,0)+IF(AND(Projects!$G$13="Yes",Projects!$F$13="Yes",48=Projects!$C$13),Projects!$B$13*Assumptions!$B$15,0)+IF(AND(Projects!$G$14="Yes",Projects!$F$14="Yes",48=Projects!$C$14),Projects!$B$14*Assumptions!$B$15,0)+IF(AND(Projects!$G$15="Yes",Projects!$F$15="Yes",48=Projects!$C$15),Projects!$B$15*Assumptions!$B$15,0)+IF(AND(Projects!$G$16="Yes",Projects!$F$16="Yes",48=Projects!$C$16),Projects!$B$16*Assumptions!$B$15,0)</f>
        <v>0</v>
      </c>
      <c r="AY11" s="8">
        <f>IF(AND(Projects!$G$6="Yes",Projects!$F$6="Yes",49=Projects!$C$6),Projects!$B$6*Assumptions!$B$15,0)+IF(AND(Projects!$G$7="Yes",Projects!$F$7="Yes",49=Projects!$C$7),Projects!$B$7*Assumptions!$B$15,0)+IF(AND(Projects!$G$8="Yes",Projects!$F$8="Yes",49=Projects!$C$8),Projects!$B$8*Assumptions!$B$15,0)+IF(AND(Projects!$G$9="Yes",Projects!$F$9="Yes",49=Projects!$C$9),Projects!$B$9*Assumptions!$B$15,0)+IF(AND(Projects!$G$10="Yes",Projects!$F$10="Yes",49=Projects!$C$10),Projects!$B$10*Assumptions!$B$15,0)+IF(AND(Projects!$G$11="Yes",Projects!$F$11="Yes",49=Projects!$C$11),Projects!$B$11*Assumptions!$B$15,0)+IF(AND(Projects!$G$12="Yes",Projects!$F$12="Yes",49=Projects!$C$12),Projects!$B$12*Assumptions!$B$15,0)+IF(AND(Projects!$G$13="Yes",Projects!$F$13="Yes",49=Projects!$C$13),Projects!$B$13*Assumptions!$B$15,0)+IF(AND(Projects!$G$14="Yes",Projects!$F$14="Yes",49=Projects!$C$14),Projects!$B$14*Assumptions!$B$15,0)+IF(AND(Projects!$G$15="Yes",Projects!$F$15="Yes",49=Projects!$C$15),Projects!$B$15*Assumptions!$B$15,0)+IF(AND(Projects!$G$16="Yes",Projects!$F$16="Yes",49=Projects!$C$16),Projects!$B$16*Assumptions!$B$15,0)</f>
        <v>0</v>
      </c>
      <c r="AZ11" s="8">
        <f>IF(AND(Projects!$G$6="Yes",Projects!$F$6="Yes",50=Projects!$C$6),Projects!$B$6*Assumptions!$B$15,0)+IF(AND(Projects!$G$7="Yes",Projects!$F$7="Yes",50=Projects!$C$7),Projects!$B$7*Assumptions!$B$15,0)+IF(AND(Projects!$G$8="Yes",Projects!$F$8="Yes",50=Projects!$C$8),Projects!$B$8*Assumptions!$B$15,0)+IF(AND(Projects!$G$9="Yes",Projects!$F$9="Yes",50=Projects!$C$9),Projects!$B$9*Assumptions!$B$15,0)+IF(AND(Projects!$G$10="Yes",Projects!$F$10="Yes",50=Projects!$C$10),Projects!$B$10*Assumptions!$B$15,0)+IF(AND(Projects!$G$11="Yes",Projects!$F$11="Yes",50=Projects!$C$11),Projects!$B$11*Assumptions!$B$15,0)+IF(AND(Projects!$G$12="Yes",Projects!$F$12="Yes",50=Projects!$C$12),Projects!$B$12*Assumptions!$B$15,0)+IF(AND(Projects!$G$13="Yes",Projects!$F$13="Yes",50=Projects!$C$13),Projects!$B$13*Assumptions!$B$15,0)+IF(AND(Projects!$G$14="Yes",Projects!$F$14="Yes",50=Projects!$C$14),Projects!$B$14*Assumptions!$B$15,0)+IF(AND(Projects!$G$15="Yes",Projects!$F$15="Yes",50=Projects!$C$15),Projects!$B$15*Assumptions!$B$15,0)+IF(AND(Projects!$G$16="Yes",Projects!$F$16="Yes",50=Projects!$C$16),Projects!$B$16*Assumptions!$B$15,0)</f>
        <v>0</v>
      </c>
      <c r="BA11" s="8">
        <f>IF(AND(Projects!$G$6="Yes",Projects!$F$6="Yes",51=Projects!$C$6),Projects!$B$6*Assumptions!$B$15,0)+IF(AND(Projects!$G$7="Yes",Projects!$F$7="Yes",51=Projects!$C$7),Projects!$B$7*Assumptions!$B$15,0)+IF(AND(Projects!$G$8="Yes",Projects!$F$8="Yes",51=Projects!$C$8),Projects!$B$8*Assumptions!$B$15,0)+IF(AND(Projects!$G$9="Yes",Projects!$F$9="Yes",51=Projects!$C$9),Projects!$B$9*Assumptions!$B$15,0)+IF(AND(Projects!$G$10="Yes",Projects!$F$10="Yes",51=Projects!$C$10),Projects!$B$10*Assumptions!$B$15,0)+IF(AND(Projects!$G$11="Yes",Projects!$F$11="Yes",51=Projects!$C$11),Projects!$B$11*Assumptions!$B$15,0)+IF(AND(Projects!$G$12="Yes",Projects!$F$12="Yes",51=Projects!$C$12),Projects!$B$12*Assumptions!$B$15,0)+IF(AND(Projects!$G$13="Yes",Projects!$F$13="Yes",51=Projects!$C$13),Projects!$B$13*Assumptions!$B$15,0)+IF(AND(Projects!$G$14="Yes",Projects!$F$14="Yes",51=Projects!$C$14),Projects!$B$14*Assumptions!$B$15,0)+IF(AND(Projects!$G$15="Yes",Projects!$F$15="Yes",51=Projects!$C$15),Projects!$B$15*Assumptions!$B$15,0)+IF(AND(Projects!$G$16="Yes",Projects!$F$16="Yes",51=Projects!$C$16),Projects!$B$16*Assumptions!$B$15,0)</f>
        <v>0</v>
      </c>
      <c r="BB11" s="8">
        <f>IF(AND(Projects!$G$6="Yes",Projects!$F$6="Yes",52=Projects!$C$6),Projects!$B$6*Assumptions!$B$15,0)+IF(AND(Projects!$G$7="Yes",Projects!$F$7="Yes",52=Projects!$C$7),Projects!$B$7*Assumptions!$B$15,0)+IF(AND(Projects!$G$8="Yes",Projects!$F$8="Yes",52=Projects!$C$8),Projects!$B$8*Assumptions!$B$15,0)+IF(AND(Projects!$G$9="Yes",Projects!$F$9="Yes",52=Projects!$C$9),Projects!$B$9*Assumptions!$B$15,0)+IF(AND(Projects!$G$10="Yes",Projects!$F$10="Yes",52=Projects!$C$10),Projects!$B$10*Assumptions!$B$15,0)+IF(AND(Projects!$G$11="Yes",Projects!$F$11="Yes",52=Projects!$C$11),Projects!$B$11*Assumptions!$B$15,0)+IF(AND(Projects!$G$12="Yes",Projects!$F$12="Yes",52=Projects!$C$12),Projects!$B$12*Assumptions!$B$15,0)+IF(AND(Projects!$G$13="Yes",Projects!$F$13="Yes",52=Projects!$C$13),Projects!$B$13*Assumptions!$B$15,0)+IF(AND(Projects!$G$14="Yes",Projects!$F$14="Yes",52=Projects!$C$14),Projects!$B$14*Assumptions!$B$15,0)+IF(AND(Projects!$G$15="Yes",Projects!$F$15="Yes",52=Projects!$C$15),Projects!$B$15*Assumptions!$B$15,0)+IF(AND(Projects!$G$16="Yes",Projects!$F$16="Yes",52=Projects!$C$16),Projects!$B$16*Assumptions!$B$15,0)</f>
        <v>0</v>
      </c>
      <c r="BC11" s="8">
        <f>IF(AND(Projects!$G$6="Yes",Projects!$F$6="Yes",53=Projects!$C$6),Projects!$B$6*Assumptions!$B$15,0)+IF(AND(Projects!$G$7="Yes",Projects!$F$7="Yes",53=Projects!$C$7),Projects!$B$7*Assumptions!$B$15,0)+IF(AND(Projects!$G$8="Yes",Projects!$F$8="Yes",53=Projects!$C$8),Projects!$B$8*Assumptions!$B$15,0)+IF(AND(Projects!$G$9="Yes",Projects!$F$9="Yes",53=Projects!$C$9),Projects!$B$9*Assumptions!$B$15,0)+IF(AND(Projects!$G$10="Yes",Projects!$F$10="Yes",53=Projects!$C$10),Projects!$B$10*Assumptions!$B$15,0)+IF(AND(Projects!$G$11="Yes",Projects!$F$11="Yes",53=Projects!$C$11),Projects!$B$11*Assumptions!$B$15,0)+IF(AND(Projects!$G$12="Yes",Projects!$F$12="Yes",53=Projects!$C$12),Projects!$B$12*Assumptions!$B$15,0)+IF(AND(Projects!$G$13="Yes",Projects!$F$13="Yes",53=Projects!$C$13),Projects!$B$13*Assumptions!$B$15,0)+IF(AND(Projects!$G$14="Yes",Projects!$F$14="Yes",53=Projects!$C$14),Projects!$B$14*Assumptions!$B$15,0)+IF(AND(Projects!$G$15="Yes",Projects!$F$15="Yes",53=Projects!$C$15),Projects!$B$15*Assumptions!$B$15,0)+IF(AND(Projects!$G$16="Yes",Projects!$F$16="Yes",53=Projects!$C$16),Projects!$B$16*Assumptions!$B$15,0)</f>
        <v>0</v>
      </c>
      <c r="BD11" s="8">
        <f>IF(AND(Projects!$G$6="Yes",Projects!$F$6="Yes",54=Projects!$C$6),Projects!$B$6*Assumptions!$B$15,0)+IF(AND(Projects!$G$7="Yes",Projects!$F$7="Yes",54=Projects!$C$7),Projects!$B$7*Assumptions!$B$15,0)+IF(AND(Projects!$G$8="Yes",Projects!$F$8="Yes",54=Projects!$C$8),Projects!$B$8*Assumptions!$B$15,0)+IF(AND(Projects!$G$9="Yes",Projects!$F$9="Yes",54=Projects!$C$9),Projects!$B$9*Assumptions!$B$15,0)+IF(AND(Projects!$G$10="Yes",Projects!$F$10="Yes",54=Projects!$C$10),Projects!$B$10*Assumptions!$B$15,0)+IF(AND(Projects!$G$11="Yes",Projects!$F$11="Yes",54=Projects!$C$11),Projects!$B$11*Assumptions!$B$15,0)+IF(AND(Projects!$G$12="Yes",Projects!$F$12="Yes",54=Projects!$C$12),Projects!$B$12*Assumptions!$B$15,0)+IF(AND(Projects!$G$13="Yes",Projects!$F$13="Yes",54=Projects!$C$13),Projects!$B$13*Assumptions!$B$15,0)+IF(AND(Projects!$G$14="Yes",Projects!$F$14="Yes",54=Projects!$C$14),Projects!$B$14*Assumptions!$B$15,0)+IF(AND(Projects!$G$15="Yes",Projects!$F$15="Yes",54=Projects!$C$15),Projects!$B$15*Assumptions!$B$15,0)+IF(AND(Projects!$G$16="Yes",Projects!$F$16="Yes",54=Projects!$C$16),Projects!$B$16*Assumptions!$B$15,0)</f>
        <v>0</v>
      </c>
      <c r="BE11" s="8">
        <f>IF(AND(Projects!$G$6="Yes",Projects!$F$6="Yes",55=Projects!$C$6),Projects!$B$6*Assumptions!$B$15,0)+IF(AND(Projects!$G$7="Yes",Projects!$F$7="Yes",55=Projects!$C$7),Projects!$B$7*Assumptions!$B$15,0)+IF(AND(Projects!$G$8="Yes",Projects!$F$8="Yes",55=Projects!$C$8),Projects!$B$8*Assumptions!$B$15,0)+IF(AND(Projects!$G$9="Yes",Projects!$F$9="Yes",55=Projects!$C$9),Projects!$B$9*Assumptions!$B$15,0)+IF(AND(Projects!$G$10="Yes",Projects!$F$10="Yes",55=Projects!$C$10),Projects!$B$10*Assumptions!$B$15,0)+IF(AND(Projects!$G$11="Yes",Projects!$F$11="Yes",55=Projects!$C$11),Projects!$B$11*Assumptions!$B$15,0)+IF(AND(Projects!$G$12="Yes",Projects!$F$12="Yes",55=Projects!$C$12),Projects!$B$12*Assumptions!$B$15,0)+IF(AND(Projects!$G$13="Yes",Projects!$F$13="Yes",55=Projects!$C$13),Projects!$B$13*Assumptions!$B$15,0)+IF(AND(Projects!$G$14="Yes",Projects!$F$14="Yes",55=Projects!$C$14),Projects!$B$14*Assumptions!$B$15,0)+IF(AND(Projects!$G$15="Yes",Projects!$F$15="Yes",55=Projects!$C$15),Projects!$B$15*Assumptions!$B$15,0)+IF(AND(Projects!$G$16="Yes",Projects!$F$16="Yes",55=Projects!$C$16),Projects!$B$16*Assumptions!$B$15,0)</f>
        <v>0</v>
      </c>
      <c r="BF11" s="8">
        <f>IF(AND(Projects!$G$6="Yes",Projects!$F$6="Yes",56=Projects!$C$6),Projects!$B$6*Assumptions!$B$15,0)+IF(AND(Projects!$G$7="Yes",Projects!$F$7="Yes",56=Projects!$C$7),Projects!$B$7*Assumptions!$B$15,0)+IF(AND(Projects!$G$8="Yes",Projects!$F$8="Yes",56=Projects!$C$8),Projects!$B$8*Assumptions!$B$15,0)+IF(AND(Projects!$G$9="Yes",Projects!$F$9="Yes",56=Projects!$C$9),Projects!$B$9*Assumptions!$B$15,0)+IF(AND(Projects!$G$10="Yes",Projects!$F$10="Yes",56=Projects!$C$10),Projects!$B$10*Assumptions!$B$15,0)+IF(AND(Projects!$G$11="Yes",Projects!$F$11="Yes",56=Projects!$C$11),Projects!$B$11*Assumptions!$B$15,0)+IF(AND(Projects!$G$12="Yes",Projects!$F$12="Yes",56=Projects!$C$12),Projects!$B$12*Assumptions!$B$15,0)+IF(AND(Projects!$G$13="Yes",Projects!$F$13="Yes",56=Projects!$C$13),Projects!$B$13*Assumptions!$B$15,0)+IF(AND(Projects!$G$14="Yes",Projects!$F$14="Yes",56=Projects!$C$14),Projects!$B$14*Assumptions!$B$15,0)+IF(AND(Projects!$G$15="Yes",Projects!$F$15="Yes",56=Projects!$C$15),Projects!$B$15*Assumptions!$B$15,0)+IF(AND(Projects!$G$16="Yes",Projects!$F$16="Yes",56=Projects!$C$16),Projects!$B$16*Assumptions!$B$15,0)</f>
        <v>0</v>
      </c>
      <c r="BG11" s="8">
        <f>IF(AND(Projects!$G$6="Yes",Projects!$F$6="Yes",57=Projects!$C$6),Projects!$B$6*Assumptions!$B$15,0)+IF(AND(Projects!$G$7="Yes",Projects!$F$7="Yes",57=Projects!$C$7),Projects!$B$7*Assumptions!$B$15,0)+IF(AND(Projects!$G$8="Yes",Projects!$F$8="Yes",57=Projects!$C$8),Projects!$B$8*Assumptions!$B$15,0)+IF(AND(Projects!$G$9="Yes",Projects!$F$9="Yes",57=Projects!$C$9),Projects!$B$9*Assumptions!$B$15,0)+IF(AND(Projects!$G$10="Yes",Projects!$F$10="Yes",57=Projects!$C$10),Projects!$B$10*Assumptions!$B$15,0)+IF(AND(Projects!$G$11="Yes",Projects!$F$11="Yes",57=Projects!$C$11),Projects!$B$11*Assumptions!$B$15,0)+IF(AND(Projects!$G$12="Yes",Projects!$F$12="Yes",57=Projects!$C$12),Projects!$B$12*Assumptions!$B$15,0)+IF(AND(Projects!$G$13="Yes",Projects!$F$13="Yes",57=Projects!$C$13),Projects!$B$13*Assumptions!$B$15,0)+IF(AND(Projects!$G$14="Yes",Projects!$F$14="Yes",57=Projects!$C$14),Projects!$B$14*Assumptions!$B$15,0)+IF(AND(Projects!$G$15="Yes",Projects!$F$15="Yes",57=Projects!$C$15),Projects!$B$15*Assumptions!$B$15,0)+IF(AND(Projects!$G$16="Yes",Projects!$F$16="Yes",57=Projects!$C$16),Projects!$B$16*Assumptions!$B$15,0)</f>
        <v>0</v>
      </c>
      <c r="BH11" s="8">
        <f>IF(AND(Projects!$G$6="Yes",Projects!$F$6="Yes",58=Projects!$C$6),Projects!$B$6*Assumptions!$B$15,0)+IF(AND(Projects!$G$7="Yes",Projects!$F$7="Yes",58=Projects!$C$7),Projects!$B$7*Assumptions!$B$15,0)+IF(AND(Projects!$G$8="Yes",Projects!$F$8="Yes",58=Projects!$C$8),Projects!$B$8*Assumptions!$B$15,0)+IF(AND(Projects!$G$9="Yes",Projects!$F$9="Yes",58=Projects!$C$9),Projects!$B$9*Assumptions!$B$15,0)+IF(AND(Projects!$G$10="Yes",Projects!$F$10="Yes",58=Projects!$C$10),Projects!$B$10*Assumptions!$B$15,0)+IF(AND(Projects!$G$11="Yes",Projects!$F$11="Yes",58=Projects!$C$11),Projects!$B$11*Assumptions!$B$15,0)+IF(AND(Projects!$G$12="Yes",Projects!$F$12="Yes",58=Projects!$C$12),Projects!$B$12*Assumptions!$B$15,0)+IF(AND(Projects!$G$13="Yes",Projects!$F$13="Yes",58=Projects!$C$13),Projects!$B$13*Assumptions!$B$15,0)+IF(AND(Projects!$G$14="Yes",Projects!$F$14="Yes",58=Projects!$C$14),Projects!$B$14*Assumptions!$B$15,0)+IF(AND(Projects!$G$15="Yes",Projects!$F$15="Yes",58=Projects!$C$15),Projects!$B$15*Assumptions!$B$15,0)+IF(AND(Projects!$G$16="Yes",Projects!$F$16="Yes",58=Projects!$C$16),Projects!$B$16*Assumptions!$B$15,0)</f>
        <v>0</v>
      </c>
      <c r="BI11" s="8">
        <f>IF(AND(Projects!$G$6="Yes",Projects!$F$6="Yes",59=Projects!$C$6),Projects!$B$6*Assumptions!$B$15,0)+IF(AND(Projects!$G$7="Yes",Projects!$F$7="Yes",59=Projects!$C$7),Projects!$B$7*Assumptions!$B$15,0)+IF(AND(Projects!$G$8="Yes",Projects!$F$8="Yes",59=Projects!$C$8),Projects!$B$8*Assumptions!$B$15,0)+IF(AND(Projects!$G$9="Yes",Projects!$F$9="Yes",59=Projects!$C$9),Projects!$B$9*Assumptions!$B$15,0)+IF(AND(Projects!$G$10="Yes",Projects!$F$10="Yes",59=Projects!$C$10),Projects!$B$10*Assumptions!$B$15,0)+IF(AND(Projects!$G$11="Yes",Projects!$F$11="Yes",59=Projects!$C$11),Projects!$B$11*Assumptions!$B$15,0)+IF(AND(Projects!$G$12="Yes",Projects!$F$12="Yes",59=Projects!$C$12),Projects!$B$12*Assumptions!$B$15,0)+IF(AND(Projects!$G$13="Yes",Projects!$F$13="Yes",59=Projects!$C$13),Projects!$B$13*Assumptions!$B$15,0)+IF(AND(Projects!$G$14="Yes",Projects!$F$14="Yes",59=Projects!$C$14),Projects!$B$14*Assumptions!$B$15,0)+IF(AND(Projects!$G$15="Yes",Projects!$F$15="Yes",59=Projects!$C$15),Projects!$B$15*Assumptions!$B$15,0)+IF(AND(Projects!$G$16="Yes",Projects!$F$16="Yes",59=Projects!$C$16),Projects!$B$16*Assumptions!$B$15,0)</f>
        <v>0</v>
      </c>
      <c r="BJ11" s="8">
        <f>IF(AND(Projects!$G$6="Yes",Projects!$F$6="Yes",60=Projects!$C$6),Projects!$B$6*Assumptions!$B$15,0)+IF(AND(Projects!$G$7="Yes",Projects!$F$7="Yes",60=Projects!$C$7),Projects!$B$7*Assumptions!$B$15,0)+IF(AND(Projects!$G$8="Yes",Projects!$F$8="Yes",60=Projects!$C$8),Projects!$B$8*Assumptions!$B$15,0)+IF(AND(Projects!$G$9="Yes",Projects!$F$9="Yes",60=Projects!$C$9),Projects!$B$9*Assumptions!$B$15,0)+IF(AND(Projects!$G$10="Yes",Projects!$F$10="Yes",60=Projects!$C$10),Projects!$B$10*Assumptions!$B$15,0)+IF(AND(Projects!$G$11="Yes",Projects!$F$11="Yes",60=Projects!$C$11),Projects!$B$11*Assumptions!$B$15,0)+IF(AND(Projects!$G$12="Yes",Projects!$F$12="Yes",60=Projects!$C$12),Projects!$B$12*Assumptions!$B$15,0)+IF(AND(Projects!$G$13="Yes",Projects!$F$13="Yes",60=Projects!$C$13),Projects!$B$13*Assumptions!$B$15,0)+IF(AND(Projects!$G$14="Yes",Projects!$F$14="Yes",60=Projects!$C$14),Projects!$B$14*Assumptions!$B$15,0)+IF(AND(Projects!$G$15="Yes",Projects!$F$15="Yes",60=Projects!$C$15),Projects!$B$15*Assumptions!$B$15,0)+IF(AND(Projects!$G$16="Yes",Projects!$F$16="Yes",60=Projects!$C$16),Projects!$B$16*Assumptions!$B$15,0)</f>
        <v>0</v>
      </c>
      <c r="BK11" s="8">
        <f>IF(AND(Projects!$G$6="Yes",Projects!$F$6="Yes",61=Projects!$C$6),Projects!$B$6*Assumptions!$B$15,0)+IF(AND(Projects!$G$7="Yes",Projects!$F$7="Yes",61=Projects!$C$7),Projects!$B$7*Assumptions!$B$15,0)+IF(AND(Projects!$G$8="Yes",Projects!$F$8="Yes",61=Projects!$C$8),Projects!$B$8*Assumptions!$B$15,0)+IF(AND(Projects!$G$9="Yes",Projects!$F$9="Yes",61=Projects!$C$9),Projects!$B$9*Assumptions!$B$15,0)+IF(AND(Projects!$G$10="Yes",Projects!$F$10="Yes",61=Projects!$C$10),Projects!$B$10*Assumptions!$B$15,0)+IF(AND(Projects!$G$11="Yes",Projects!$F$11="Yes",61=Projects!$C$11),Projects!$B$11*Assumptions!$B$15,0)+IF(AND(Projects!$G$12="Yes",Projects!$F$12="Yes",61=Projects!$C$12),Projects!$B$12*Assumptions!$B$15,0)+IF(AND(Projects!$G$13="Yes",Projects!$F$13="Yes",61=Projects!$C$13),Projects!$B$13*Assumptions!$B$15,0)+IF(AND(Projects!$G$14="Yes",Projects!$F$14="Yes",61=Projects!$C$14),Projects!$B$14*Assumptions!$B$15,0)+IF(AND(Projects!$G$15="Yes",Projects!$F$15="Yes",61=Projects!$C$15),Projects!$B$15*Assumptions!$B$15,0)+IF(AND(Projects!$G$16="Yes",Projects!$F$16="Yes",61=Projects!$C$16),Projects!$B$16*Assumptions!$B$15,0)</f>
        <v>0</v>
      </c>
      <c r="BL11" s="8">
        <f>IF(AND(Projects!$G$6="Yes",Projects!$F$6="Yes",62=Projects!$C$6),Projects!$B$6*Assumptions!$B$15,0)+IF(AND(Projects!$G$7="Yes",Projects!$F$7="Yes",62=Projects!$C$7),Projects!$B$7*Assumptions!$B$15,0)+IF(AND(Projects!$G$8="Yes",Projects!$F$8="Yes",62=Projects!$C$8),Projects!$B$8*Assumptions!$B$15,0)+IF(AND(Projects!$G$9="Yes",Projects!$F$9="Yes",62=Projects!$C$9),Projects!$B$9*Assumptions!$B$15,0)+IF(AND(Projects!$G$10="Yes",Projects!$F$10="Yes",62=Projects!$C$10),Projects!$B$10*Assumptions!$B$15,0)+IF(AND(Projects!$G$11="Yes",Projects!$F$11="Yes",62=Projects!$C$11),Projects!$B$11*Assumptions!$B$15,0)+IF(AND(Projects!$G$12="Yes",Projects!$F$12="Yes",62=Projects!$C$12),Projects!$B$12*Assumptions!$B$15,0)+IF(AND(Projects!$G$13="Yes",Projects!$F$13="Yes",62=Projects!$C$13),Projects!$B$13*Assumptions!$B$15,0)+IF(AND(Projects!$G$14="Yes",Projects!$F$14="Yes",62=Projects!$C$14),Projects!$B$14*Assumptions!$B$15,0)+IF(AND(Projects!$G$15="Yes",Projects!$F$15="Yes",62=Projects!$C$15),Projects!$B$15*Assumptions!$B$15,0)+IF(AND(Projects!$G$16="Yes",Projects!$F$16="Yes",62=Projects!$C$16),Projects!$B$16*Assumptions!$B$15,0)</f>
        <v>0</v>
      </c>
      <c r="BM11" s="8">
        <f>IF(AND(Projects!$G$6="Yes",Projects!$F$6="Yes",63=Projects!$C$6),Projects!$B$6*Assumptions!$B$15,0)+IF(AND(Projects!$G$7="Yes",Projects!$F$7="Yes",63=Projects!$C$7),Projects!$B$7*Assumptions!$B$15,0)+IF(AND(Projects!$G$8="Yes",Projects!$F$8="Yes",63=Projects!$C$8),Projects!$B$8*Assumptions!$B$15,0)+IF(AND(Projects!$G$9="Yes",Projects!$F$9="Yes",63=Projects!$C$9),Projects!$B$9*Assumptions!$B$15,0)+IF(AND(Projects!$G$10="Yes",Projects!$F$10="Yes",63=Projects!$C$10),Projects!$B$10*Assumptions!$B$15,0)+IF(AND(Projects!$G$11="Yes",Projects!$F$11="Yes",63=Projects!$C$11),Projects!$B$11*Assumptions!$B$15,0)+IF(AND(Projects!$G$12="Yes",Projects!$F$12="Yes",63=Projects!$C$12),Projects!$B$12*Assumptions!$B$15,0)+IF(AND(Projects!$G$13="Yes",Projects!$F$13="Yes",63=Projects!$C$13),Projects!$B$13*Assumptions!$B$15,0)+IF(AND(Projects!$G$14="Yes",Projects!$F$14="Yes",63=Projects!$C$14),Projects!$B$14*Assumptions!$B$15,0)+IF(AND(Projects!$G$15="Yes",Projects!$F$15="Yes",63=Projects!$C$15),Projects!$B$15*Assumptions!$B$15,0)+IF(AND(Projects!$G$16="Yes",Projects!$F$16="Yes",63=Projects!$C$16),Projects!$B$16*Assumptions!$B$15,0)</f>
        <v>0</v>
      </c>
      <c r="BN11" s="8">
        <f>IF(AND(Projects!$G$6="Yes",Projects!$F$6="Yes",64=Projects!$C$6),Projects!$B$6*Assumptions!$B$15,0)+IF(AND(Projects!$G$7="Yes",Projects!$F$7="Yes",64=Projects!$C$7),Projects!$B$7*Assumptions!$B$15,0)+IF(AND(Projects!$G$8="Yes",Projects!$F$8="Yes",64=Projects!$C$8),Projects!$B$8*Assumptions!$B$15,0)+IF(AND(Projects!$G$9="Yes",Projects!$F$9="Yes",64=Projects!$C$9),Projects!$B$9*Assumptions!$B$15,0)+IF(AND(Projects!$G$10="Yes",Projects!$F$10="Yes",64=Projects!$C$10),Projects!$B$10*Assumptions!$B$15,0)+IF(AND(Projects!$G$11="Yes",Projects!$F$11="Yes",64=Projects!$C$11),Projects!$B$11*Assumptions!$B$15,0)+IF(AND(Projects!$G$12="Yes",Projects!$F$12="Yes",64=Projects!$C$12),Projects!$B$12*Assumptions!$B$15,0)+IF(AND(Projects!$G$13="Yes",Projects!$F$13="Yes",64=Projects!$C$13),Projects!$B$13*Assumptions!$B$15,0)+IF(AND(Projects!$G$14="Yes",Projects!$F$14="Yes",64=Projects!$C$14),Projects!$B$14*Assumptions!$B$15,0)+IF(AND(Projects!$G$15="Yes",Projects!$F$15="Yes",64=Projects!$C$15),Projects!$B$15*Assumptions!$B$15,0)+IF(AND(Projects!$G$16="Yes",Projects!$F$16="Yes",64=Projects!$C$16),Projects!$B$16*Assumptions!$B$15,0)</f>
        <v>0</v>
      </c>
      <c r="BO11" s="8">
        <f>IF(AND(Projects!$G$6="Yes",Projects!$F$6="Yes",65=Projects!$C$6),Projects!$B$6*Assumptions!$B$15,0)+IF(AND(Projects!$G$7="Yes",Projects!$F$7="Yes",65=Projects!$C$7),Projects!$B$7*Assumptions!$B$15,0)+IF(AND(Projects!$G$8="Yes",Projects!$F$8="Yes",65=Projects!$C$8),Projects!$B$8*Assumptions!$B$15,0)+IF(AND(Projects!$G$9="Yes",Projects!$F$9="Yes",65=Projects!$C$9),Projects!$B$9*Assumptions!$B$15,0)+IF(AND(Projects!$G$10="Yes",Projects!$F$10="Yes",65=Projects!$C$10),Projects!$B$10*Assumptions!$B$15,0)+IF(AND(Projects!$G$11="Yes",Projects!$F$11="Yes",65=Projects!$C$11),Projects!$B$11*Assumptions!$B$15,0)+IF(AND(Projects!$G$12="Yes",Projects!$F$12="Yes",65=Projects!$C$12),Projects!$B$12*Assumptions!$B$15,0)+IF(AND(Projects!$G$13="Yes",Projects!$F$13="Yes",65=Projects!$C$13),Projects!$B$13*Assumptions!$B$15,0)+IF(AND(Projects!$G$14="Yes",Projects!$F$14="Yes",65=Projects!$C$14),Projects!$B$14*Assumptions!$B$15,0)+IF(AND(Projects!$G$15="Yes",Projects!$F$15="Yes",65=Projects!$C$15),Projects!$B$15*Assumptions!$B$15,0)+IF(AND(Projects!$G$16="Yes",Projects!$F$16="Yes",65=Projects!$C$16),Projects!$B$16*Assumptions!$B$15,0)</f>
        <v>0</v>
      </c>
      <c r="BP11" s="8">
        <f>IF(AND(Projects!$G$6="Yes",Projects!$F$6="Yes",66=Projects!$C$6),Projects!$B$6*Assumptions!$B$15,0)+IF(AND(Projects!$G$7="Yes",Projects!$F$7="Yes",66=Projects!$C$7),Projects!$B$7*Assumptions!$B$15,0)+IF(AND(Projects!$G$8="Yes",Projects!$F$8="Yes",66=Projects!$C$8),Projects!$B$8*Assumptions!$B$15,0)+IF(AND(Projects!$G$9="Yes",Projects!$F$9="Yes",66=Projects!$C$9),Projects!$B$9*Assumptions!$B$15,0)+IF(AND(Projects!$G$10="Yes",Projects!$F$10="Yes",66=Projects!$C$10),Projects!$B$10*Assumptions!$B$15,0)+IF(AND(Projects!$G$11="Yes",Projects!$F$11="Yes",66=Projects!$C$11),Projects!$B$11*Assumptions!$B$15,0)+IF(AND(Projects!$G$12="Yes",Projects!$F$12="Yes",66=Projects!$C$12),Projects!$B$12*Assumptions!$B$15,0)+IF(AND(Projects!$G$13="Yes",Projects!$F$13="Yes",66=Projects!$C$13),Projects!$B$13*Assumptions!$B$15,0)+IF(AND(Projects!$G$14="Yes",Projects!$F$14="Yes",66=Projects!$C$14),Projects!$B$14*Assumptions!$B$15,0)+IF(AND(Projects!$G$15="Yes",Projects!$F$15="Yes",66=Projects!$C$15),Projects!$B$15*Assumptions!$B$15,0)+IF(AND(Projects!$G$16="Yes",Projects!$F$16="Yes",66=Projects!$C$16),Projects!$B$16*Assumptions!$B$15,0)</f>
        <v>0</v>
      </c>
      <c r="BQ11" s="8">
        <f>IF(AND(Projects!$G$6="Yes",Projects!$F$6="Yes",67=Projects!$C$6),Projects!$B$6*Assumptions!$B$15,0)+IF(AND(Projects!$G$7="Yes",Projects!$F$7="Yes",67=Projects!$C$7),Projects!$B$7*Assumptions!$B$15,0)+IF(AND(Projects!$G$8="Yes",Projects!$F$8="Yes",67=Projects!$C$8),Projects!$B$8*Assumptions!$B$15,0)+IF(AND(Projects!$G$9="Yes",Projects!$F$9="Yes",67=Projects!$C$9),Projects!$B$9*Assumptions!$B$15,0)+IF(AND(Projects!$G$10="Yes",Projects!$F$10="Yes",67=Projects!$C$10),Projects!$B$10*Assumptions!$B$15,0)+IF(AND(Projects!$G$11="Yes",Projects!$F$11="Yes",67=Projects!$C$11),Projects!$B$11*Assumptions!$B$15,0)+IF(AND(Projects!$G$12="Yes",Projects!$F$12="Yes",67=Projects!$C$12),Projects!$B$12*Assumptions!$B$15,0)+IF(AND(Projects!$G$13="Yes",Projects!$F$13="Yes",67=Projects!$C$13),Projects!$B$13*Assumptions!$B$15,0)+IF(AND(Projects!$G$14="Yes",Projects!$F$14="Yes",67=Projects!$C$14),Projects!$B$14*Assumptions!$B$15,0)+IF(AND(Projects!$G$15="Yes",Projects!$F$15="Yes",67=Projects!$C$15),Projects!$B$15*Assumptions!$B$15,0)+IF(AND(Projects!$G$16="Yes",Projects!$F$16="Yes",67=Projects!$C$16),Projects!$B$16*Assumptions!$B$15,0)</f>
        <v>0</v>
      </c>
      <c r="BR11" s="8">
        <f>IF(AND(Projects!$G$6="Yes",Projects!$F$6="Yes",68=Projects!$C$6),Projects!$B$6*Assumptions!$B$15,0)+IF(AND(Projects!$G$7="Yes",Projects!$F$7="Yes",68=Projects!$C$7),Projects!$B$7*Assumptions!$B$15,0)+IF(AND(Projects!$G$8="Yes",Projects!$F$8="Yes",68=Projects!$C$8),Projects!$B$8*Assumptions!$B$15,0)+IF(AND(Projects!$G$9="Yes",Projects!$F$9="Yes",68=Projects!$C$9),Projects!$B$9*Assumptions!$B$15,0)+IF(AND(Projects!$G$10="Yes",Projects!$F$10="Yes",68=Projects!$C$10),Projects!$B$10*Assumptions!$B$15,0)+IF(AND(Projects!$G$11="Yes",Projects!$F$11="Yes",68=Projects!$C$11),Projects!$B$11*Assumptions!$B$15,0)+IF(AND(Projects!$G$12="Yes",Projects!$F$12="Yes",68=Projects!$C$12),Projects!$B$12*Assumptions!$B$15,0)+IF(AND(Projects!$G$13="Yes",Projects!$F$13="Yes",68=Projects!$C$13),Projects!$B$13*Assumptions!$B$15,0)+IF(AND(Projects!$G$14="Yes",Projects!$F$14="Yes",68=Projects!$C$14),Projects!$B$14*Assumptions!$B$15,0)+IF(AND(Projects!$G$15="Yes",Projects!$F$15="Yes",68=Projects!$C$15),Projects!$B$15*Assumptions!$B$15,0)+IF(AND(Projects!$G$16="Yes",Projects!$F$16="Yes",68=Projects!$C$16),Projects!$B$16*Assumptions!$B$15,0)</f>
        <v>0</v>
      </c>
      <c r="BS11" s="8">
        <f>IF(AND(Projects!$G$6="Yes",Projects!$F$6="Yes",69=Projects!$C$6),Projects!$B$6*Assumptions!$B$15,0)+IF(AND(Projects!$G$7="Yes",Projects!$F$7="Yes",69=Projects!$C$7),Projects!$B$7*Assumptions!$B$15,0)+IF(AND(Projects!$G$8="Yes",Projects!$F$8="Yes",69=Projects!$C$8),Projects!$B$8*Assumptions!$B$15,0)+IF(AND(Projects!$G$9="Yes",Projects!$F$9="Yes",69=Projects!$C$9),Projects!$B$9*Assumptions!$B$15,0)+IF(AND(Projects!$G$10="Yes",Projects!$F$10="Yes",69=Projects!$C$10),Projects!$B$10*Assumptions!$B$15,0)+IF(AND(Projects!$G$11="Yes",Projects!$F$11="Yes",69=Projects!$C$11),Projects!$B$11*Assumptions!$B$15,0)+IF(AND(Projects!$G$12="Yes",Projects!$F$12="Yes",69=Projects!$C$12),Projects!$B$12*Assumptions!$B$15,0)+IF(AND(Projects!$G$13="Yes",Projects!$F$13="Yes",69=Projects!$C$13),Projects!$B$13*Assumptions!$B$15,0)+IF(AND(Projects!$G$14="Yes",Projects!$F$14="Yes",69=Projects!$C$14),Projects!$B$14*Assumptions!$B$15,0)+IF(AND(Projects!$G$15="Yes",Projects!$F$15="Yes",69=Projects!$C$15),Projects!$B$15*Assumptions!$B$15,0)+IF(AND(Projects!$G$16="Yes",Projects!$F$16="Yes",69=Projects!$C$16),Projects!$B$16*Assumptions!$B$15,0)</f>
        <v>0</v>
      </c>
      <c r="BT11" s="8">
        <f>IF(AND(Projects!$G$6="Yes",Projects!$F$6="Yes",70=Projects!$C$6),Projects!$B$6*Assumptions!$B$15,0)+IF(AND(Projects!$G$7="Yes",Projects!$F$7="Yes",70=Projects!$C$7),Projects!$B$7*Assumptions!$B$15,0)+IF(AND(Projects!$G$8="Yes",Projects!$F$8="Yes",70=Projects!$C$8),Projects!$B$8*Assumptions!$B$15,0)+IF(AND(Projects!$G$9="Yes",Projects!$F$9="Yes",70=Projects!$C$9),Projects!$B$9*Assumptions!$B$15,0)+IF(AND(Projects!$G$10="Yes",Projects!$F$10="Yes",70=Projects!$C$10),Projects!$B$10*Assumptions!$B$15,0)+IF(AND(Projects!$G$11="Yes",Projects!$F$11="Yes",70=Projects!$C$11),Projects!$B$11*Assumptions!$B$15,0)+IF(AND(Projects!$G$12="Yes",Projects!$F$12="Yes",70=Projects!$C$12),Projects!$B$12*Assumptions!$B$15,0)+IF(AND(Projects!$G$13="Yes",Projects!$F$13="Yes",70=Projects!$C$13),Projects!$B$13*Assumptions!$B$15,0)+IF(AND(Projects!$G$14="Yes",Projects!$F$14="Yes",70=Projects!$C$14),Projects!$B$14*Assumptions!$B$15,0)+IF(AND(Projects!$G$15="Yes",Projects!$F$15="Yes",70=Projects!$C$15),Projects!$B$15*Assumptions!$B$15,0)+IF(AND(Projects!$G$16="Yes",Projects!$F$16="Yes",70=Projects!$C$16),Projects!$B$16*Assumptions!$B$15,0)</f>
        <v>0</v>
      </c>
      <c r="BU11" s="8">
        <f>IF(AND(Projects!$G$6="Yes",Projects!$F$6="Yes",71=Projects!$C$6),Projects!$B$6*Assumptions!$B$15,0)+IF(AND(Projects!$G$7="Yes",Projects!$F$7="Yes",71=Projects!$C$7),Projects!$B$7*Assumptions!$B$15,0)+IF(AND(Projects!$G$8="Yes",Projects!$F$8="Yes",71=Projects!$C$8),Projects!$B$8*Assumptions!$B$15,0)+IF(AND(Projects!$G$9="Yes",Projects!$F$9="Yes",71=Projects!$C$9),Projects!$B$9*Assumptions!$B$15,0)+IF(AND(Projects!$G$10="Yes",Projects!$F$10="Yes",71=Projects!$C$10),Projects!$B$10*Assumptions!$B$15,0)+IF(AND(Projects!$G$11="Yes",Projects!$F$11="Yes",71=Projects!$C$11),Projects!$B$11*Assumptions!$B$15,0)+IF(AND(Projects!$G$12="Yes",Projects!$F$12="Yes",71=Projects!$C$12),Projects!$B$12*Assumptions!$B$15,0)+IF(AND(Projects!$G$13="Yes",Projects!$F$13="Yes",71=Projects!$C$13),Projects!$B$13*Assumptions!$B$15,0)+IF(AND(Projects!$G$14="Yes",Projects!$F$14="Yes",71=Projects!$C$14),Projects!$B$14*Assumptions!$B$15,0)+IF(AND(Projects!$G$15="Yes",Projects!$F$15="Yes",71=Projects!$C$15),Projects!$B$15*Assumptions!$B$15,0)+IF(AND(Projects!$G$16="Yes",Projects!$F$16="Yes",71=Projects!$C$16),Projects!$B$16*Assumptions!$B$15,0)</f>
        <v>0</v>
      </c>
      <c r="BV11" s="8">
        <f>IF(AND(Projects!$G$6="Yes",Projects!$F$6="Yes",72=Projects!$C$6),Projects!$B$6*Assumptions!$B$15,0)+IF(AND(Projects!$G$7="Yes",Projects!$F$7="Yes",72=Projects!$C$7),Projects!$B$7*Assumptions!$B$15,0)+IF(AND(Projects!$G$8="Yes",Projects!$F$8="Yes",72=Projects!$C$8),Projects!$B$8*Assumptions!$B$15,0)+IF(AND(Projects!$G$9="Yes",Projects!$F$9="Yes",72=Projects!$C$9),Projects!$B$9*Assumptions!$B$15,0)+IF(AND(Projects!$G$10="Yes",Projects!$F$10="Yes",72=Projects!$C$10),Projects!$B$10*Assumptions!$B$15,0)+IF(AND(Projects!$G$11="Yes",Projects!$F$11="Yes",72=Projects!$C$11),Projects!$B$11*Assumptions!$B$15,0)+IF(AND(Projects!$G$12="Yes",Projects!$F$12="Yes",72=Projects!$C$12),Projects!$B$12*Assumptions!$B$15,0)+IF(AND(Projects!$G$13="Yes",Projects!$F$13="Yes",72=Projects!$C$13),Projects!$B$13*Assumptions!$B$15,0)+IF(AND(Projects!$G$14="Yes",Projects!$F$14="Yes",72=Projects!$C$14),Projects!$B$14*Assumptions!$B$15,0)+IF(AND(Projects!$G$15="Yes",Projects!$F$15="Yes",72=Projects!$C$15),Projects!$B$15*Assumptions!$B$15,0)+IF(AND(Projects!$G$16="Yes",Projects!$F$16="Yes",72=Projects!$C$16),Projects!$B$16*Assumptions!$B$15,0)</f>
        <v>0</v>
      </c>
      <c r="BW11" s="8">
        <f>IF(AND(Projects!$G$6="Yes",Projects!$F$6="Yes",73=Projects!$C$6),Projects!$B$6*Assumptions!$B$15,0)+IF(AND(Projects!$G$7="Yes",Projects!$F$7="Yes",73=Projects!$C$7),Projects!$B$7*Assumptions!$B$15,0)+IF(AND(Projects!$G$8="Yes",Projects!$F$8="Yes",73=Projects!$C$8),Projects!$B$8*Assumptions!$B$15,0)+IF(AND(Projects!$G$9="Yes",Projects!$F$9="Yes",73=Projects!$C$9),Projects!$B$9*Assumptions!$B$15,0)+IF(AND(Projects!$G$10="Yes",Projects!$F$10="Yes",73=Projects!$C$10),Projects!$B$10*Assumptions!$B$15,0)+IF(AND(Projects!$G$11="Yes",Projects!$F$11="Yes",73=Projects!$C$11),Projects!$B$11*Assumptions!$B$15,0)+IF(AND(Projects!$G$12="Yes",Projects!$F$12="Yes",73=Projects!$C$12),Projects!$B$12*Assumptions!$B$15,0)+IF(AND(Projects!$G$13="Yes",Projects!$F$13="Yes",73=Projects!$C$13),Projects!$B$13*Assumptions!$B$15,0)+IF(AND(Projects!$G$14="Yes",Projects!$F$14="Yes",73=Projects!$C$14),Projects!$B$14*Assumptions!$B$15,0)+IF(AND(Projects!$G$15="Yes",Projects!$F$15="Yes",73=Projects!$C$15),Projects!$B$15*Assumptions!$B$15,0)+IF(AND(Projects!$G$16="Yes",Projects!$F$16="Yes",73=Projects!$C$16),Projects!$B$16*Assumptions!$B$15,0)</f>
        <v>0</v>
      </c>
      <c r="BX11" s="8">
        <f>IF(AND(Projects!$G$6="Yes",Projects!$F$6="Yes",74=Projects!$C$6),Projects!$B$6*Assumptions!$B$15,0)+IF(AND(Projects!$G$7="Yes",Projects!$F$7="Yes",74=Projects!$C$7),Projects!$B$7*Assumptions!$B$15,0)+IF(AND(Projects!$G$8="Yes",Projects!$F$8="Yes",74=Projects!$C$8),Projects!$B$8*Assumptions!$B$15,0)+IF(AND(Projects!$G$9="Yes",Projects!$F$9="Yes",74=Projects!$C$9),Projects!$B$9*Assumptions!$B$15,0)+IF(AND(Projects!$G$10="Yes",Projects!$F$10="Yes",74=Projects!$C$10),Projects!$B$10*Assumptions!$B$15,0)+IF(AND(Projects!$G$11="Yes",Projects!$F$11="Yes",74=Projects!$C$11),Projects!$B$11*Assumptions!$B$15,0)+IF(AND(Projects!$G$12="Yes",Projects!$F$12="Yes",74=Projects!$C$12),Projects!$B$12*Assumptions!$B$15,0)+IF(AND(Projects!$G$13="Yes",Projects!$F$13="Yes",74=Projects!$C$13),Projects!$B$13*Assumptions!$B$15,0)+IF(AND(Projects!$G$14="Yes",Projects!$F$14="Yes",74=Projects!$C$14),Projects!$B$14*Assumptions!$B$15,0)+IF(AND(Projects!$G$15="Yes",Projects!$F$15="Yes",74=Projects!$C$15),Projects!$B$15*Assumptions!$B$15,0)+IF(AND(Projects!$G$16="Yes",Projects!$F$16="Yes",74=Projects!$C$16),Projects!$B$16*Assumptions!$B$15,0)</f>
        <v>0</v>
      </c>
      <c r="BY11" s="8">
        <f>IF(AND(Projects!$G$6="Yes",Projects!$F$6="Yes",75=Projects!$C$6),Projects!$B$6*Assumptions!$B$15,0)+IF(AND(Projects!$G$7="Yes",Projects!$F$7="Yes",75=Projects!$C$7),Projects!$B$7*Assumptions!$B$15,0)+IF(AND(Projects!$G$8="Yes",Projects!$F$8="Yes",75=Projects!$C$8),Projects!$B$8*Assumptions!$B$15,0)+IF(AND(Projects!$G$9="Yes",Projects!$F$9="Yes",75=Projects!$C$9),Projects!$B$9*Assumptions!$B$15,0)+IF(AND(Projects!$G$10="Yes",Projects!$F$10="Yes",75=Projects!$C$10),Projects!$B$10*Assumptions!$B$15,0)+IF(AND(Projects!$G$11="Yes",Projects!$F$11="Yes",75=Projects!$C$11),Projects!$B$11*Assumptions!$B$15,0)+IF(AND(Projects!$G$12="Yes",Projects!$F$12="Yes",75=Projects!$C$12),Projects!$B$12*Assumptions!$B$15,0)+IF(AND(Projects!$G$13="Yes",Projects!$F$13="Yes",75=Projects!$C$13),Projects!$B$13*Assumptions!$B$15,0)+IF(AND(Projects!$G$14="Yes",Projects!$F$14="Yes",75=Projects!$C$14),Projects!$B$14*Assumptions!$B$15,0)+IF(AND(Projects!$G$15="Yes",Projects!$F$15="Yes",75=Projects!$C$15),Projects!$B$15*Assumptions!$B$15,0)+IF(AND(Projects!$G$16="Yes",Projects!$F$16="Yes",75=Projects!$C$16),Projects!$B$16*Assumptions!$B$15,0)</f>
        <v>0</v>
      </c>
      <c r="BZ11" s="8">
        <f>IF(AND(Projects!$G$6="Yes",Projects!$F$6="Yes",76=Projects!$C$6),Projects!$B$6*Assumptions!$B$15,0)+IF(AND(Projects!$G$7="Yes",Projects!$F$7="Yes",76=Projects!$C$7),Projects!$B$7*Assumptions!$B$15,0)+IF(AND(Projects!$G$8="Yes",Projects!$F$8="Yes",76=Projects!$C$8),Projects!$B$8*Assumptions!$B$15,0)+IF(AND(Projects!$G$9="Yes",Projects!$F$9="Yes",76=Projects!$C$9),Projects!$B$9*Assumptions!$B$15,0)+IF(AND(Projects!$G$10="Yes",Projects!$F$10="Yes",76=Projects!$C$10),Projects!$B$10*Assumptions!$B$15,0)+IF(AND(Projects!$G$11="Yes",Projects!$F$11="Yes",76=Projects!$C$11),Projects!$B$11*Assumptions!$B$15,0)+IF(AND(Projects!$G$12="Yes",Projects!$F$12="Yes",76=Projects!$C$12),Projects!$B$12*Assumptions!$B$15,0)+IF(AND(Projects!$G$13="Yes",Projects!$F$13="Yes",76=Projects!$C$13),Projects!$B$13*Assumptions!$B$15,0)+IF(AND(Projects!$G$14="Yes",Projects!$F$14="Yes",76=Projects!$C$14),Projects!$B$14*Assumptions!$B$15,0)+IF(AND(Projects!$G$15="Yes",Projects!$F$15="Yes",76=Projects!$C$15),Projects!$B$15*Assumptions!$B$15,0)+IF(AND(Projects!$G$16="Yes",Projects!$F$16="Yes",76=Projects!$C$16),Projects!$B$16*Assumptions!$B$15,0)</f>
        <v>0</v>
      </c>
      <c r="CA11" s="8">
        <f>IF(AND(Projects!$G$6="Yes",Projects!$F$6="Yes",77=Projects!$C$6),Projects!$B$6*Assumptions!$B$15,0)+IF(AND(Projects!$G$7="Yes",Projects!$F$7="Yes",77=Projects!$C$7),Projects!$B$7*Assumptions!$B$15,0)+IF(AND(Projects!$G$8="Yes",Projects!$F$8="Yes",77=Projects!$C$8),Projects!$B$8*Assumptions!$B$15,0)+IF(AND(Projects!$G$9="Yes",Projects!$F$9="Yes",77=Projects!$C$9),Projects!$B$9*Assumptions!$B$15,0)+IF(AND(Projects!$G$10="Yes",Projects!$F$10="Yes",77=Projects!$C$10),Projects!$B$10*Assumptions!$B$15,0)+IF(AND(Projects!$G$11="Yes",Projects!$F$11="Yes",77=Projects!$C$11),Projects!$B$11*Assumptions!$B$15,0)+IF(AND(Projects!$G$12="Yes",Projects!$F$12="Yes",77=Projects!$C$12),Projects!$B$12*Assumptions!$B$15,0)+IF(AND(Projects!$G$13="Yes",Projects!$F$13="Yes",77=Projects!$C$13),Projects!$B$13*Assumptions!$B$15,0)+IF(AND(Projects!$G$14="Yes",Projects!$F$14="Yes",77=Projects!$C$14),Projects!$B$14*Assumptions!$B$15,0)+IF(AND(Projects!$G$15="Yes",Projects!$F$15="Yes",77=Projects!$C$15),Projects!$B$15*Assumptions!$B$15,0)+IF(AND(Projects!$G$16="Yes",Projects!$F$16="Yes",77=Projects!$C$16),Projects!$B$16*Assumptions!$B$15,0)</f>
        <v>0</v>
      </c>
      <c r="CB11" s="8">
        <f>IF(AND(Projects!$G$6="Yes",Projects!$F$6="Yes",78=Projects!$C$6),Projects!$B$6*Assumptions!$B$15,0)+IF(AND(Projects!$G$7="Yes",Projects!$F$7="Yes",78=Projects!$C$7),Projects!$B$7*Assumptions!$B$15,0)+IF(AND(Projects!$G$8="Yes",Projects!$F$8="Yes",78=Projects!$C$8),Projects!$B$8*Assumptions!$B$15,0)+IF(AND(Projects!$G$9="Yes",Projects!$F$9="Yes",78=Projects!$C$9),Projects!$B$9*Assumptions!$B$15,0)+IF(AND(Projects!$G$10="Yes",Projects!$F$10="Yes",78=Projects!$C$10),Projects!$B$10*Assumptions!$B$15,0)+IF(AND(Projects!$G$11="Yes",Projects!$F$11="Yes",78=Projects!$C$11),Projects!$B$11*Assumptions!$B$15,0)+IF(AND(Projects!$G$12="Yes",Projects!$F$12="Yes",78=Projects!$C$12),Projects!$B$12*Assumptions!$B$15,0)+IF(AND(Projects!$G$13="Yes",Projects!$F$13="Yes",78=Projects!$C$13),Projects!$B$13*Assumptions!$B$15,0)+IF(AND(Projects!$G$14="Yes",Projects!$F$14="Yes",78=Projects!$C$14),Projects!$B$14*Assumptions!$B$15,0)+IF(AND(Projects!$G$15="Yes",Projects!$F$15="Yes",78=Projects!$C$15),Projects!$B$15*Assumptions!$B$15,0)+IF(AND(Projects!$G$16="Yes",Projects!$F$16="Yes",78=Projects!$C$16),Projects!$B$16*Assumptions!$B$15,0)</f>
        <v>0</v>
      </c>
      <c r="CC11" s="8">
        <f>IF(AND(Projects!$G$6="Yes",Projects!$F$6="Yes",79=Projects!$C$6),Projects!$B$6*Assumptions!$B$15,0)+IF(AND(Projects!$G$7="Yes",Projects!$F$7="Yes",79=Projects!$C$7),Projects!$B$7*Assumptions!$B$15,0)+IF(AND(Projects!$G$8="Yes",Projects!$F$8="Yes",79=Projects!$C$8),Projects!$B$8*Assumptions!$B$15,0)+IF(AND(Projects!$G$9="Yes",Projects!$F$9="Yes",79=Projects!$C$9),Projects!$B$9*Assumptions!$B$15,0)+IF(AND(Projects!$G$10="Yes",Projects!$F$10="Yes",79=Projects!$C$10),Projects!$B$10*Assumptions!$B$15,0)+IF(AND(Projects!$G$11="Yes",Projects!$F$11="Yes",79=Projects!$C$11),Projects!$B$11*Assumptions!$B$15,0)+IF(AND(Projects!$G$12="Yes",Projects!$F$12="Yes",79=Projects!$C$12),Projects!$B$12*Assumptions!$B$15,0)+IF(AND(Projects!$G$13="Yes",Projects!$F$13="Yes",79=Projects!$C$13),Projects!$B$13*Assumptions!$B$15,0)+IF(AND(Projects!$G$14="Yes",Projects!$F$14="Yes",79=Projects!$C$14),Projects!$B$14*Assumptions!$B$15,0)+IF(AND(Projects!$G$15="Yes",Projects!$F$15="Yes",79=Projects!$C$15),Projects!$B$15*Assumptions!$B$15,0)+IF(AND(Projects!$G$16="Yes",Projects!$F$16="Yes",79=Projects!$C$16),Projects!$B$16*Assumptions!$B$15,0)</f>
        <v>0</v>
      </c>
      <c r="CD11" s="8">
        <f>IF(AND(Projects!$G$6="Yes",Projects!$F$6="Yes",80=Projects!$C$6),Projects!$B$6*Assumptions!$B$15,0)+IF(AND(Projects!$G$7="Yes",Projects!$F$7="Yes",80=Projects!$C$7),Projects!$B$7*Assumptions!$B$15,0)+IF(AND(Projects!$G$8="Yes",Projects!$F$8="Yes",80=Projects!$C$8),Projects!$B$8*Assumptions!$B$15,0)+IF(AND(Projects!$G$9="Yes",Projects!$F$9="Yes",80=Projects!$C$9),Projects!$B$9*Assumptions!$B$15,0)+IF(AND(Projects!$G$10="Yes",Projects!$F$10="Yes",80=Projects!$C$10),Projects!$B$10*Assumptions!$B$15,0)+IF(AND(Projects!$G$11="Yes",Projects!$F$11="Yes",80=Projects!$C$11),Projects!$B$11*Assumptions!$B$15,0)+IF(AND(Projects!$G$12="Yes",Projects!$F$12="Yes",80=Projects!$C$12),Projects!$B$12*Assumptions!$B$15,0)+IF(AND(Projects!$G$13="Yes",Projects!$F$13="Yes",80=Projects!$C$13),Projects!$B$13*Assumptions!$B$15,0)+IF(AND(Projects!$G$14="Yes",Projects!$F$14="Yes",80=Projects!$C$14),Projects!$B$14*Assumptions!$B$15,0)+IF(AND(Projects!$G$15="Yes",Projects!$F$15="Yes",80=Projects!$C$15),Projects!$B$15*Assumptions!$B$15,0)+IF(AND(Projects!$G$16="Yes",Projects!$F$16="Yes",80=Projects!$C$16),Projects!$B$16*Assumptions!$B$15,0)</f>
        <v>0</v>
      </c>
      <c r="CE11" s="8">
        <f>IF(AND(Projects!$G$6="Yes",Projects!$F$6="Yes",81=Projects!$C$6),Projects!$B$6*Assumptions!$B$15,0)+IF(AND(Projects!$G$7="Yes",Projects!$F$7="Yes",81=Projects!$C$7),Projects!$B$7*Assumptions!$B$15,0)+IF(AND(Projects!$G$8="Yes",Projects!$F$8="Yes",81=Projects!$C$8),Projects!$B$8*Assumptions!$B$15,0)+IF(AND(Projects!$G$9="Yes",Projects!$F$9="Yes",81=Projects!$C$9),Projects!$B$9*Assumptions!$B$15,0)+IF(AND(Projects!$G$10="Yes",Projects!$F$10="Yes",81=Projects!$C$10),Projects!$B$10*Assumptions!$B$15,0)+IF(AND(Projects!$G$11="Yes",Projects!$F$11="Yes",81=Projects!$C$11),Projects!$B$11*Assumptions!$B$15,0)+IF(AND(Projects!$G$12="Yes",Projects!$F$12="Yes",81=Projects!$C$12),Projects!$B$12*Assumptions!$B$15,0)+IF(AND(Projects!$G$13="Yes",Projects!$F$13="Yes",81=Projects!$C$13),Projects!$B$13*Assumptions!$B$15,0)+IF(AND(Projects!$G$14="Yes",Projects!$F$14="Yes",81=Projects!$C$14),Projects!$B$14*Assumptions!$B$15,0)+IF(AND(Projects!$G$15="Yes",Projects!$F$15="Yes",81=Projects!$C$15),Projects!$B$15*Assumptions!$B$15,0)+IF(AND(Projects!$G$16="Yes",Projects!$F$16="Yes",81=Projects!$C$16),Projects!$B$16*Assumptions!$B$15,0)</f>
        <v>0</v>
      </c>
      <c r="CF11" s="8">
        <f>IF(AND(Projects!$G$6="Yes",Projects!$F$6="Yes",82=Projects!$C$6),Projects!$B$6*Assumptions!$B$15,0)+IF(AND(Projects!$G$7="Yes",Projects!$F$7="Yes",82=Projects!$C$7),Projects!$B$7*Assumptions!$B$15,0)+IF(AND(Projects!$G$8="Yes",Projects!$F$8="Yes",82=Projects!$C$8),Projects!$B$8*Assumptions!$B$15,0)+IF(AND(Projects!$G$9="Yes",Projects!$F$9="Yes",82=Projects!$C$9),Projects!$B$9*Assumptions!$B$15,0)+IF(AND(Projects!$G$10="Yes",Projects!$F$10="Yes",82=Projects!$C$10),Projects!$B$10*Assumptions!$B$15,0)+IF(AND(Projects!$G$11="Yes",Projects!$F$11="Yes",82=Projects!$C$11),Projects!$B$11*Assumptions!$B$15,0)+IF(AND(Projects!$G$12="Yes",Projects!$F$12="Yes",82=Projects!$C$12),Projects!$B$12*Assumptions!$B$15,0)+IF(AND(Projects!$G$13="Yes",Projects!$F$13="Yes",82=Projects!$C$13),Projects!$B$13*Assumptions!$B$15,0)+IF(AND(Projects!$G$14="Yes",Projects!$F$14="Yes",82=Projects!$C$14),Projects!$B$14*Assumptions!$B$15,0)+IF(AND(Projects!$G$15="Yes",Projects!$F$15="Yes",82=Projects!$C$15),Projects!$B$15*Assumptions!$B$15,0)+IF(AND(Projects!$G$16="Yes",Projects!$F$16="Yes",82=Projects!$C$16),Projects!$B$16*Assumptions!$B$15,0)</f>
        <v>0</v>
      </c>
      <c r="CG11" s="8">
        <f>IF(AND(Projects!$G$6="Yes",Projects!$F$6="Yes",83=Projects!$C$6),Projects!$B$6*Assumptions!$B$15,0)+IF(AND(Projects!$G$7="Yes",Projects!$F$7="Yes",83=Projects!$C$7),Projects!$B$7*Assumptions!$B$15,0)+IF(AND(Projects!$G$8="Yes",Projects!$F$8="Yes",83=Projects!$C$8),Projects!$B$8*Assumptions!$B$15,0)+IF(AND(Projects!$G$9="Yes",Projects!$F$9="Yes",83=Projects!$C$9),Projects!$B$9*Assumptions!$B$15,0)+IF(AND(Projects!$G$10="Yes",Projects!$F$10="Yes",83=Projects!$C$10),Projects!$B$10*Assumptions!$B$15,0)+IF(AND(Projects!$G$11="Yes",Projects!$F$11="Yes",83=Projects!$C$11),Projects!$B$11*Assumptions!$B$15,0)+IF(AND(Projects!$G$12="Yes",Projects!$F$12="Yes",83=Projects!$C$12),Projects!$B$12*Assumptions!$B$15,0)+IF(AND(Projects!$G$13="Yes",Projects!$F$13="Yes",83=Projects!$C$13),Projects!$B$13*Assumptions!$B$15,0)+IF(AND(Projects!$G$14="Yes",Projects!$F$14="Yes",83=Projects!$C$14),Projects!$B$14*Assumptions!$B$15,0)+IF(AND(Projects!$G$15="Yes",Projects!$F$15="Yes",83=Projects!$C$15),Projects!$B$15*Assumptions!$B$15,0)+IF(AND(Projects!$G$16="Yes",Projects!$F$16="Yes",83=Projects!$C$16),Projects!$B$16*Assumptions!$B$15,0)</f>
        <v>0</v>
      </c>
      <c r="CH11" s="8">
        <f>IF(AND(Projects!$G$6="Yes",Projects!$F$6="Yes",84=Projects!$C$6),Projects!$B$6*Assumptions!$B$15,0)+IF(AND(Projects!$G$7="Yes",Projects!$F$7="Yes",84=Projects!$C$7),Projects!$B$7*Assumptions!$B$15,0)+IF(AND(Projects!$G$8="Yes",Projects!$F$8="Yes",84=Projects!$C$8),Projects!$B$8*Assumptions!$B$15,0)+IF(AND(Projects!$G$9="Yes",Projects!$F$9="Yes",84=Projects!$C$9),Projects!$B$9*Assumptions!$B$15,0)+IF(AND(Projects!$G$10="Yes",Projects!$F$10="Yes",84=Projects!$C$10),Projects!$B$10*Assumptions!$B$15,0)+IF(AND(Projects!$G$11="Yes",Projects!$F$11="Yes",84=Projects!$C$11),Projects!$B$11*Assumptions!$B$15,0)+IF(AND(Projects!$G$12="Yes",Projects!$F$12="Yes",84=Projects!$C$12),Projects!$B$12*Assumptions!$B$15,0)+IF(AND(Projects!$G$13="Yes",Projects!$F$13="Yes",84=Projects!$C$13),Projects!$B$13*Assumptions!$B$15,0)+IF(AND(Projects!$G$14="Yes",Projects!$F$14="Yes",84=Projects!$C$14),Projects!$B$14*Assumptions!$B$15,0)+IF(AND(Projects!$G$15="Yes",Projects!$F$15="Yes",84=Projects!$C$15),Projects!$B$15*Assumptions!$B$15,0)+IF(AND(Projects!$G$16="Yes",Projects!$F$16="Yes",84=Projects!$C$16),Projects!$B$16*Assumptions!$B$15,0)</f>
        <v>0</v>
      </c>
      <c r="CI11" s="23"/>
    </row>
    <row r="12" spans="1:87" ht="15" customHeight="1" x14ac:dyDescent="0.25">
      <c r="A12" s="9" t="s">
        <v>81</v>
      </c>
      <c r="B12" s="28"/>
      <c r="C12" s="10">
        <f t="shared" ref="C12:AH12" si="0">C8+C9+C10+C11</f>
        <v>418599.72384991788</v>
      </c>
      <c r="D12" s="10">
        <f t="shared" si="0"/>
        <v>427527.22627411911</v>
      </c>
      <c r="E12" s="10">
        <f t="shared" si="0"/>
        <v>433830.17001248139</v>
      </c>
      <c r="F12" s="10">
        <f t="shared" si="0"/>
        <v>1210658.2550369636</v>
      </c>
      <c r="G12" s="10">
        <f t="shared" si="0"/>
        <v>573510.76114662446</v>
      </c>
      <c r="H12" s="10">
        <f t="shared" si="0"/>
        <v>577796.8679158492</v>
      </c>
      <c r="I12" s="10">
        <f t="shared" si="0"/>
        <v>1126248.4482867743</v>
      </c>
      <c r="J12" s="10">
        <f t="shared" si="0"/>
        <v>1116825.7161347144</v>
      </c>
      <c r="K12" s="10">
        <f t="shared" si="0"/>
        <v>726762.86043040117</v>
      </c>
      <c r="L12" s="10">
        <f t="shared" si="0"/>
        <v>735437.15012346685</v>
      </c>
      <c r="M12" s="10">
        <f t="shared" si="0"/>
        <v>741497.56151734095</v>
      </c>
      <c r="N12" s="10">
        <f t="shared" si="0"/>
        <v>744808.56550294103</v>
      </c>
      <c r="O12" s="10">
        <f t="shared" si="0"/>
        <v>1551010.3871854262</v>
      </c>
      <c r="P12" s="10">
        <f t="shared" si="0"/>
        <v>874385.23951928783</v>
      </c>
      <c r="Q12" s="10">
        <f t="shared" si="0"/>
        <v>1023609.8606531039</v>
      </c>
      <c r="R12" s="10">
        <f t="shared" si="0"/>
        <v>834343.0174824954</v>
      </c>
      <c r="S12" s="10">
        <f t="shared" si="0"/>
        <v>646881.92630444828</v>
      </c>
      <c r="T12" s="10">
        <f t="shared" si="0"/>
        <v>646844.246435988</v>
      </c>
      <c r="U12" s="10">
        <f t="shared" si="0"/>
        <v>663422.60783743276</v>
      </c>
      <c r="V12" s="10">
        <f t="shared" si="0"/>
        <v>618103.15631027054</v>
      </c>
      <c r="W12" s="10">
        <f t="shared" si="0"/>
        <v>607080.58086320059</v>
      </c>
      <c r="X12" s="10">
        <f t="shared" si="0"/>
        <v>593340.24798612762</v>
      </c>
      <c r="Y12" s="10">
        <f t="shared" si="0"/>
        <v>577675.4899876836</v>
      </c>
      <c r="Z12" s="10">
        <f t="shared" si="0"/>
        <v>560861.37604444823</v>
      </c>
      <c r="AA12" s="10">
        <f t="shared" si="0"/>
        <v>620997.91027095879</v>
      </c>
      <c r="AB12" s="10">
        <f t="shared" si="0"/>
        <v>468952.79641900427</v>
      </c>
      <c r="AC12" s="10">
        <f t="shared" si="0"/>
        <v>1170867.699065028</v>
      </c>
      <c r="AD12" s="10">
        <f t="shared" si="0"/>
        <v>512736.63527957594</v>
      </c>
      <c r="AE12" s="10">
        <f t="shared" si="0"/>
        <v>514849.68659191282</v>
      </c>
      <c r="AF12" s="10">
        <f t="shared" si="0"/>
        <v>516146.64992283325</v>
      </c>
      <c r="AG12" s="10">
        <f t="shared" si="0"/>
        <v>637463.15555273497</v>
      </c>
      <c r="AH12" s="10">
        <f t="shared" si="0"/>
        <v>461732.57702133141</v>
      </c>
      <c r="AI12" s="10">
        <f t="shared" ref="AI12:BN12" si="1">AI8+AI9+AI10+AI11</f>
        <v>704880.37640685413</v>
      </c>
      <c r="AJ12" s="10">
        <f t="shared" si="1"/>
        <v>370702.71926589956</v>
      </c>
      <c r="AK12" s="10">
        <f t="shared" si="1"/>
        <v>368363.85215627216</v>
      </c>
      <c r="AL12" s="10">
        <f t="shared" si="1"/>
        <v>455434.27543950675</v>
      </c>
      <c r="AM12" s="10">
        <f t="shared" si="1"/>
        <v>319121.76019765635</v>
      </c>
      <c r="AN12" s="10">
        <f t="shared" si="1"/>
        <v>316527.78370689659</v>
      </c>
      <c r="AO12" s="10">
        <f t="shared" si="1"/>
        <v>313265.02349216613</v>
      </c>
      <c r="AP12" s="10">
        <f t="shared" si="1"/>
        <v>309361.66277874075</v>
      </c>
      <c r="AQ12" s="10">
        <f t="shared" si="1"/>
        <v>304855.7357313041</v>
      </c>
      <c r="AR12" s="10">
        <f t="shared" si="1"/>
        <v>556991.31394873105</v>
      </c>
      <c r="AS12" s="10">
        <f t="shared" si="1"/>
        <v>172117.65390230948</v>
      </c>
      <c r="AT12" s="10">
        <f t="shared" si="1"/>
        <v>170395.66313802381</v>
      </c>
      <c r="AU12" s="10">
        <f t="shared" si="1"/>
        <v>167873.90332988091</v>
      </c>
      <c r="AV12" s="10">
        <f t="shared" si="1"/>
        <v>164628.9074007381</v>
      </c>
      <c r="AW12" s="10">
        <f t="shared" si="1"/>
        <v>160750.60153495235</v>
      </c>
      <c r="AX12" s="10">
        <f t="shared" si="1"/>
        <v>156344.21850145236</v>
      </c>
      <c r="AY12" s="10">
        <f t="shared" si="1"/>
        <v>151528.38433066662</v>
      </c>
      <c r="AZ12" s="10">
        <f t="shared" si="1"/>
        <v>146419.81172995237</v>
      </c>
      <c r="BA12" s="10">
        <f t="shared" si="1"/>
        <v>141140.95337588096</v>
      </c>
      <c r="BB12" s="10">
        <f t="shared" si="1"/>
        <v>135806.6086527381</v>
      </c>
      <c r="BC12" s="10">
        <f t="shared" si="1"/>
        <v>130522.01032945237</v>
      </c>
      <c r="BD12" s="10">
        <f t="shared" si="1"/>
        <v>125382.82455959523</v>
      </c>
      <c r="BE12" s="10">
        <f t="shared" si="1"/>
        <v>120467.49758909523</v>
      </c>
      <c r="BF12" s="10">
        <f t="shared" si="1"/>
        <v>350812.49572545238</v>
      </c>
      <c r="BG12" s="10">
        <f t="shared" si="1"/>
        <v>0</v>
      </c>
      <c r="BH12" s="10">
        <f t="shared" si="1"/>
        <v>0</v>
      </c>
      <c r="BI12" s="10">
        <f t="shared" si="1"/>
        <v>0</v>
      </c>
      <c r="BJ12" s="10">
        <f t="shared" si="1"/>
        <v>0</v>
      </c>
      <c r="BK12" s="10">
        <f t="shared" si="1"/>
        <v>0</v>
      </c>
      <c r="BL12" s="10">
        <f t="shared" si="1"/>
        <v>0</v>
      </c>
      <c r="BM12" s="10">
        <f t="shared" si="1"/>
        <v>0</v>
      </c>
      <c r="BN12" s="10">
        <f t="shared" si="1"/>
        <v>0</v>
      </c>
      <c r="BO12" s="10">
        <f t="shared" ref="BO12:CT12" si="2">BO8+BO9+BO10+BO11</f>
        <v>0</v>
      </c>
      <c r="BP12" s="10">
        <f t="shared" si="2"/>
        <v>0</v>
      </c>
      <c r="BQ12" s="10">
        <f t="shared" si="2"/>
        <v>0</v>
      </c>
      <c r="BR12" s="10">
        <f t="shared" si="2"/>
        <v>0</v>
      </c>
      <c r="BS12" s="10">
        <f t="shared" si="2"/>
        <v>0</v>
      </c>
      <c r="BT12" s="10">
        <f t="shared" si="2"/>
        <v>0</v>
      </c>
      <c r="BU12" s="10">
        <f t="shared" si="2"/>
        <v>0</v>
      </c>
      <c r="BV12" s="10">
        <f t="shared" si="2"/>
        <v>0</v>
      </c>
      <c r="BW12" s="10">
        <f t="shared" si="2"/>
        <v>0</v>
      </c>
      <c r="BX12" s="10">
        <f t="shared" si="2"/>
        <v>0</v>
      </c>
      <c r="BY12" s="10">
        <f t="shared" si="2"/>
        <v>0</v>
      </c>
      <c r="BZ12" s="10">
        <f t="shared" si="2"/>
        <v>0</v>
      </c>
      <c r="CA12" s="10">
        <f t="shared" si="2"/>
        <v>0</v>
      </c>
      <c r="CB12" s="10">
        <f t="shared" si="2"/>
        <v>0</v>
      </c>
      <c r="CC12" s="10">
        <f t="shared" si="2"/>
        <v>0</v>
      </c>
      <c r="CD12" s="10">
        <f t="shared" si="2"/>
        <v>0</v>
      </c>
      <c r="CE12" s="10">
        <f t="shared" si="2"/>
        <v>0</v>
      </c>
      <c r="CF12" s="10">
        <f t="shared" si="2"/>
        <v>0</v>
      </c>
      <c r="CG12" s="10">
        <f t="shared" si="2"/>
        <v>0</v>
      </c>
      <c r="CH12" s="10">
        <f t="shared" si="2"/>
        <v>0</v>
      </c>
      <c r="CI12" s="23"/>
    </row>
    <row r="13" spans="1:87" ht="15" customHeight="1" x14ac:dyDescent="0.25">
      <c r="A13" s="22"/>
      <c r="B13" s="22"/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22"/>
      <c r="AS13" s="22"/>
      <c r="AT13" s="22"/>
      <c r="AU13" s="22"/>
      <c r="AV13" s="22"/>
      <c r="AW13" s="22"/>
      <c r="AX13" s="22"/>
      <c r="AY13" s="22"/>
      <c r="AZ13" s="22"/>
      <c r="BA13" s="22"/>
      <c r="BB13" s="22"/>
      <c r="BC13" s="22"/>
      <c r="BD13" s="22"/>
      <c r="BE13" s="22"/>
      <c r="BF13" s="22"/>
      <c r="BG13" s="22"/>
      <c r="BH13" s="22"/>
      <c r="BI13" s="22"/>
      <c r="BJ13" s="22"/>
      <c r="BK13" s="22"/>
      <c r="BL13" s="22"/>
      <c r="BM13" s="22"/>
      <c r="BN13" s="22"/>
      <c r="BO13" s="22"/>
      <c r="BP13" s="22"/>
      <c r="BQ13" s="22"/>
      <c r="BR13" s="22"/>
      <c r="BS13" s="22"/>
      <c r="BT13" s="22"/>
      <c r="BU13" s="22"/>
      <c r="BV13" s="22"/>
      <c r="BW13" s="22"/>
      <c r="BX13" s="22"/>
      <c r="BY13" s="22"/>
      <c r="BZ13" s="22"/>
      <c r="CA13" s="22"/>
      <c r="CB13" s="22"/>
      <c r="CC13" s="22"/>
      <c r="CD13" s="22"/>
      <c r="CE13" s="22"/>
      <c r="CF13" s="22"/>
      <c r="CG13" s="22"/>
      <c r="CH13" s="22"/>
      <c r="CI13" s="23"/>
    </row>
    <row r="14" spans="1:87" ht="15" customHeight="1" x14ac:dyDescent="0.25">
      <c r="A14" s="6" t="s">
        <v>82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23"/>
    </row>
    <row r="15" spans="1:87" ht="15" customHeight="1" x14ac:dyDescent="0.25">
      <c r="A15" s="7" t="s">
        <v>128</v>
      </c>
      <c r="B15" s="22"/>
      <c r="C15" s="8">
        <f>-(IF(AND(Projects!$G$6="Yes",Projects!$F$6="Yes",1=Projects!$C$6),Projects!$B$6*Projects!$I$6,0)+IF(AND(Projects!$G$7="Yes",Projects!$F$7="Yes",1=Projects!$C$7),Projects!$B$7*Projects!$I$7,0)+IF(AND(Projects!$G$8="Yes",Projects!$F$8="Yes",1=Projects!$C$8),Projects!$B$8*Projects!$I$8,0)+IF(AND(Projects!$G$9="Yes",Projects!$F$9="Yes",1=Projects!$C$9),Projects!$B$9*Projects!$I$9,0)+IF(AND(Projects!$G$10="Yes",Projects!$F$10="Yes",1=Projects!$C$10),Projects!$B$10*Projects!$I$10,0)+IF(AND(Projects!$G$11="Yes",Projects!$F$11="Yes",1=Projects!$C$11),Projects!$B$11*Projects!$I$11,0)+IF(AND(Projects!$G$12="Yes",Projects!$F$12="Yes",1=Projects!$C$12),Projects!$B$12*Projects!$I$12,0)+IF(AND(Projects!$G$13="Yes",Projects!$F$13="Yes",1=Projects!$C$13),Projects!$B$13*Projects!$I$13,0)+IF(AND(Projects!$G$14="Yes",Projects!$F$14="Yes",1=Projects!$C$14),Projects!$B$14*Projects!$I$14,0)+IF(AND(Projects!$G$15="Yes",Projects!$F$15="Yes",1=Projects!$C$15),Projects!$B$15*Projects!$I$15,0)+IF(AND(Projects!$G$16="Yes",Projects!$F$16="Yes",1=Projects!$C$16),Projects!$B$16*Projects!$I$16,0))</f>
        <v>0</v>
      </c>
      <c r="D15" s="8">
        <f>-(IF(AND(Projects!$G$6="Yes",Projects!$F$6="Yes",2=Projects!$C$6),Projects!$B$6*Projects!$I$6,0)+IF(AND(Projects!$G$7="Yes",Projects!$F$7="Yes",2=Projects!$C$7),Projects!$B$7*Projects!$I$7,0)+IF(AND(Projects!$G$8="Yes",Projects!$F$8="Yes",2=Projects!$C$8),Projects!$B$8*Projects!$I$8,0)+IF(AND(Projects!$G$9="Yes",Projects!$F$9="Yes",2=Projects!$C$9),Projects!$B$9*Projects!$I$9,0)+IF(AND(Projects!$G$10="Yes",Projects!$F$10="Yes",2=Projects!$C$10),Projects!$B$10*Projects!$I$10,0)+IF(AND(Projects!$G$11="Yes",Projects!$F$11="Yes",2=Projects!$C$11),Projects!$B$11*Projects!$I$11,0)+IF(AND(Projects!$G$12="Yes",Projects!$F$12="Yes",2=Projects!$C$12),Projects!$B$12*Projects!$I$12,0)+IF(AND(Projects!$G$13="Yes",Projects!$F$13="Yes",2=Projects!$C$13),Projects!$B$13*Projects!$I$13,0)+IF(AND(Projects!$G$14="Yes",Projects!$F$14="Yes",2=Projects!$C$14),Projects!$B$14*Projects!$I$14,0)+IF(AND(Projects!$G$15="Yes",Projects!$F$15="Yes",2=Projects!$C$15),Projects!$B$15*Projects!$I$15,0)+IF(AND(Projects!$G$16="Yes",Projects!$F$16="Yes",2=Projects!$C$16),Projects!$B$16*Projects!$I$16,0))</f>
        <v>0</v>
      </c>
      <c r="E15" s="8">
        <f>-(IF(AND(Projects!$G$6="Yes",Projects!$F$6="Yes",3=Projects!$C$6),Projects!$B$6*Projects!$I$6,0)+IF(AND(Projects!$G$7="Yes",Projects!$F$7="Yes",3=Projects!$C$7),Projects!$B$7*Projects!$I$7,0)+IF(AND(Projects!$G$8="Yes",Projects!$F$8="Yes",3=Projects!$C$8),Projects!$B$8*Projects!$I$8,0)+IF(AND(Projects!$G$9="Yes",Projects!$F$9="Yes",3=Projects!$C$9),Projects!$B$9*Projects!$I$9,0)+IF(AND(Projects!$G$10="Yes",Projects!$F$10="Yes",3=Projects!$C$10),Projects!$B$10*Projects!$I$10,0)+IF(AND(Projects!$G$11="Yes",Projects!$F$11="Yes",3=Projects!$C$11),Projects!$B$11*Projects!$I$11,0)+IF(AND(Projects!$G$12="Yes",Projects!$F$12="Yes",3=Projects!$C$12),Projects!$B$12*Projects!$I$12,0)+IF(AND(Projects!$G$13="Yes",Projects!$F$13="Yes",3=Projects!$C$13),Projects!$B$13*Projects!$I$13,0)+IF(AND(Projects!$G$14="Yes",Projects!$F$14="Yes",3=Projects!$C$14),Projects!$B$14*Projects!$I$14,0)+IF(AND(Projects!$G$15="Yes",Projects!$F$15="Yes",3=Projects!$C$15),Projects!$B$15*Projects!$I$15,0)+IF(AND(Projects!$G$16="Yes",Projects!$F$16="Yes",3=Projects!$C$16),Projects!$B$16*Projects!$I$16,0))</f>
        <v>0</v>
      </c>
      <c r="F15" s="8">
        <f>-(IF(AND(Projects!$G$6="Yes",Projects!$F$6="Yes",4=Projects!$C$6),Projects!$B$6*Projects!$I$6,0)+IF(AND(Projects!$G$7="Yes",Projects!$F$7="Yes",4=Projects!$C$7),Projects!$B$7*Projects!$I$7,0)+IF(AND(Projects!$G$8="Yes",Projects!$F$8="Yes",4=Projects!$C$8),Projects!$B$8*Projects!$I$8,0)+IF(AND(Projects!$G$9="Yes",Projects!$F$9="Yes",4=Projects!$C$9),Projects!$B$9*Projects!$I$9,0)+IF(AND(Projects!$G$10="Yes",Projects!$F$10="Yes",4=Projects!$C$10),Projects!$B$10*Projects!$I$10,0)+IF(AND(Projects!$G$11="Yes",Projects!$F$11="Yes",4=Projects!$C$11),Projects!$B$11*Projects!$I$11,0)+IF(AND(Projects!$G$12="Yes",Projects!$F$12="Yes",4=Projects!$C$12),Projects!$B$12*Projects!$I$12,0)+IF(AND(Projects!$G$13="Yes",Projects!$F$13="Yes",4=Projects!$C$13),Projects!$B$13*Projects!$I$13,0)+IF(AND(Projects!$G$14="Yes",Projects!$F$14="Yes",4=Projects!$C$14),Projects!$B$14*Projects!$I$14,0)+IF(AND(Projects!$G$15="Yes",Projects!$F$15="Yes",4=Projects!$C$15),Projects!$B$15*Projects!$I$15,0)+IF(AND(Projects!$G$16="Yes",Projects!$F$16="Yes",4=Projects!$C$16),Projects!$B$16*Projects!$I$16,0))</f>
        <v>-317966.51520000002</v>
      </c>
      <c r="G15" s="8">
        <f>-(IF(AND(Projects!$G$6="Yes",Projects!$F$6="Yes",5=Projects!$C$6),Projects!$B$6*Projects!$I$6,0)+IF(AND(Projects!$G$7="Yes",Projects!$F$7="Yes",5=Projects!$C$7),Projects!$B$7*Projects!$I$7,0)+IF(AND(Projects!$G$8="Yes",Projects!$F$8="Yes",5=Projects!$C$8),Projects!$B$8*Projects!$I$8,0)+IF(AND(Projects!$G$9="Yes",Projects!$F$9="Yes",5=Projects!$C$9),Projects!$B$9*Projects!$I$9,0)+IF(AND(Projects!$G$10="Yes",Projects!$F$10="Yes",5=Projects!$C$10),Projects!$B$10*Projects!$I$10,0)+IF(AND(Projects!$G$11="Yes",Projects!$F$11="Yes",5=Projects!$C$11),Projects!$B$11*Projects!$I$11,0)+IF(AND(Projects!$G$12="Yes",Projects!$F$12="Yes",5=Projects!$C$12),Projects!$B$12*Projects!$I$12,0)+IF(AND(Projects!$G$13="Yes",Projects!$F$13="Yes",5=Projects!$C$13),Projects!$B$13*Projects!$I$13,0)+IF(AND(Projects!$G$14="Yes",Projects!$F$14="Yes",5=Projects!$C$14),Projects!$B$14*Projects!$I$14,0)+IF(AND(Projects!$G$15="Yes",Projects!$F$15="Yes",5=Projects!$C$15),Projects!$B$15*Projects!$I$15,0)+IF(AND(Projects!$G$16="Yes",Projects!$F$16="Yes",5=Projects!$C$16),Projects!$B$16*Projects!$I$16,0))</f>
        <v>0</v>
      </c>
      <c r="H15" s="8">
        <f>-(IF(AND(Projects!$G$6="Yes",Projects!$F$6="Yes",6=Projects!$C$6),Projects!$B$6*Projects!$I$6,0)+IF(AND(Projects!$G$7="Yes",Projects!$F$7="Yes",6=Projects!$C$7),Projects!$B$7*Projects!$I$7,0)+IF(AND(Projects!$G$8="Yes",Projects!$F$8="Yes",6=Projects!$C$8),Projects!$B$8*Projects!$I$8,0)+IF(AND(Projects!$G$9="Yes",Projects!$F$9="Yes",6=Projects!$C$9),Projects!$B$9*Projects!$I$9,0)+IF(AND(Projects!$G$10="Yes",Projects!$F$10="Yes",6=Projects!$C$10),Projects!$B$10*Projects!$I$10,0)+IF(AND(Projects!$G$11="Yes",Projects!$F$11="Yes",6=Projects!$C$11),Projects!$B$11*Projects!$I$11,0)+IF(AND(Projects!$G$12="Yes",Projects!$F$12="Yes",6=Projects!$C$12),Projects!$B$12*Projects!$I$12,0)+IF(AND(Projects!$G$13="Yes",Projects!$F$13="Yes",6=Projects!$C$13),Projects!$B$13*Projects!$I$13,0)+IF(AND(Projects!$G$14="Yes",Projects!$F$14="Yes",6=Projects!$C$14),Projects!$B$14*Projects!$I$14,0)+IF(AND(Projects!$G$15="Yes",Projects!$F$15="Yes",6=Projects!$C$15),Projects!$B$15*Projects!$I$15,0)+IF(AND(Projects!$G$16="Yes",Projects!$F$16="Yes",6=Projects!$C$16),Projects!$B$16*Projects!$I$16,0))</f>
        <v>0</v>
      </c>
      <c r="I15" s="8">
        <f>-(IF(AND(Projects!$G$6="Yes",Projects!$F$6="Yes",7=Projects!$C$6),Projects!$B$6*Projects!$I$6,0)+IF(AND(Projects!$G$7="Yes",Projects!$F$7="Yes",7=Projects!$C$7),Projects!$B$7*Projects!$I$7,0)+IF(AND(Projects!$G$8="Yes",Projects!$F$8="Yes",7=Projects!$C$8),Projects!$B$8*Projects!$I$8,0)+IF(AND(Projects!$G$9="Yes",Projects!$F$9="Yes",7=Projects!$C$9),Projects!$B$9*Projects!$I$9,0)+IF(AND(Projects!$G$10="Yes",Projects!$F$10="Yes",7=Projects!$C$10),Projects!$B$10*Projects!$I$10,0)+IF(AND(Projects!$G$11="Yes",Projects!$F$11="Yes",7=Projects!$C$11),Projects!$B$11*Projects!$I$11,0)+IF(AND(Projects!$G$12="Yes",Projects!$F$12="Yes",7=Projects!$C$12),Projects!$B$12*Projects!$I$12,0)+IF(AND(Projects!$G$13="Yes",Projects!$F$13="Yes",7=Projects!$C$13),Projects!$B$13*Projects!$I$13,0)+IF(AND(Projects!$G$14="Yes",Projects!$F$14="Yes",7=Projects!$C$14),Projects!$B$14*Projects!$I$14,0)+IF(AND(Projects!$G$15="Yes",Projects!$F$15="Yes",7=Projects!$C$15),Projects!$B$15*Projects!$I$15,0)+IF(AND(Projects!$G$16="Yes",Projects!$F$16="Yes",7=Projects!$C$16),Projects!$B$16*Projects!$I$16,0))</f>
        <v>-218082.84700000001</v>
      </c>
      <c r="J15" s="8">
        <f>-(IF(AND(Projects!$G$6="Yes",Projects!$F$6="Yes",8=Projects!$C$6),Projects!$B$6*Projects!$I$6,0)+IF(AND(Projects!$G$7="Yes",Projects!$F$7="Yes",8=Projects!$C$7),Projects!$B$7*Projects!$I$7,0)+IF(AND(Projects!$G$8="Yes",Projects!$F$8="Yes",8=Projects!$C$8),Projects!$B$8*Projects!$I$8,0)+IF(AND(Projects!$G$9="Yes",Projects!$F$9="Yes",8=Projects!$C$9),Projects!$B$9*Projects!$I$9,0)+IF(AND(Projects!$G$10="Yes",Projects!$F$10="Yes",8=Projects!$C$10),Projects!$B$10*Projects!$I$10,0)+IF(AND(Projects!$G$11="Yes",Projects!$F$11="Yes",8=Projects!$C$11),Projects!$B$11*Projects!$I$11,0)+IF(AND(Projects!$G$12="Yes",Projects!$F$12="Yes",8=Projects!$C$12),Projects!$B$12*Projects!$I$12,0)+IF(AND(Projects!$G$13="Yes",Projects!$F$13="Yes",8=Projects!$C$13),Projects!$B$13*Projects!$I$13,0)+IF(AND(Projects!$G$14="Yes",Projects!$F$14="Yes",8=Projects!$C$14),Projects!$B$14*Projects!$I$14,0)+IF(AND(Projects!$G$15="Yes",Projects!$F$15="Yes",8=Projects!$C$15),Projects!$B$15*Projects!$I$15,0)+IF(AND(Projects!$G$16="Yes",Projects!$F$16="Yes",8=Projects!$C$16),Projects!$B$16*Projects!$I$16,0))</f>
        <v>-157349.19700000001</v>
      </c>
      <c r="K15" s="8">
        <f>-(IF(AND(Projects!$G$6="Yes",Projects!$F$6="Yes",9=Projects!$C$6),Projects!$B$6*Projects!$I$6,0)+IF(AND(Projects!$G$7="Yes",Projects!$F$7="Yes",9=Projects!$C$7),Projects!$B$7*Projects!$I$7,0)+IF(AND(Projects!$G$8="Yes",Projects!$F$8="Yes",9=Projects!$C$8),Projects!$B$8*Projects!$I$8,0)+IF(AND(Projects!$G$9="Yes",Projects!$F$9="Yes",9=Projects!$C$9),Projects!$B$9*Projects!$I$9,0)+IF(AND(Projects!$G$10="Yes",Projects!$F$10="Yes",9=Projects!$C$10),Projects!$B$10*Projects!$I$10,0)+IF(AND(Projects!$G$11="Yes",Projects!$F$11="Yes",9=Projects!$C$11),Projects!$B$11*Projects!$I$11,0)+IF(AND(Projects!$G$12="Yes",Projects!$F$12="Yes",9=Projects!$C$12),Projects!$B$12*Projects!$I$12,0)+IF(AND(Projects!$G$13="Yes",Projects!$F$13="Yes",9=Projects!$C$13),Projects!$B$13*Projects!$I$13,0)+IF(AND(Projects!$G$14="Yes",Projects!$F$14="Yes",9=Projects!$C$14),Projects!$B$14*Projects!$I$14,0)+IF(AND(Projects!$G$15="Yes",Projects!$F$15="Yes",9=Projects!$C$15),Projects!$B$15*Projects!$I$15,0)+IF(AND(Projects!$G$16="Yes",Projects!$F$16="Yes",9=Projects!$C$16),Projects!$B$16*Projects!$I$16,0))</f>
        <v>0</v>
      </c>
      <c r="L15" s="8">
        <f>-(IF(AND(Projects!$G$6="Yes",Projects!$F$6="Yes",10=Projects!$C$6),Projects!$B$6*Projects!$I$6,0)+IF(AND(Projects!$G$7="Yes",Projects!$F$7="Yes",10=Projects!$C$7),Projects!$B$7*Projects!$I$7,0)+IF(AND(Projects!$G$8="Yes",Projects!$F$8="Yes",10=Projects!$C$8),Projects!$B$8*Projects!$I$8,0)+IF(AND(Projects!$G$9="Yes",Projects!$F$9="Yes",10=Projects!$C$9),Projects!$B$9*Projects!$I$9,0)+IF(AND(Projects!$G$10="Yes",Projects!$F$10="Yes",10=Projects!$C$10),Projects!$B$10*Projects!$I$10,0)+IF(AND(Projects!$G$11="Yes",Projects!$F$11="Yes",10=Projects!$C$11),Projects!$B$11*Projects!$I$11,0)+IF(AND(Projects!$G$12="Yes",Projects!$F$12="Yes",10=Projects!$C$12),Projects!$B$12*Projects!$I$12,0)+IF(AND(Projects!$G$13="Yes",Projects!$F$13="Yes",10=Projects!$C$13),Projects!$B$13*Projects!$I$13,0)+IF(AND(Projects!$G$14="Yes",Projects!$F$14="Yes",10=Projects!$C$14),Projects!$B$14*Projects!$I$14,0)+IF(AND(Projects!$G$15="Yes",Projects!$F$15="Yes",10=Projects!$C$15),Projects!$B$15*Projects!$I$15,0)+IF(AND(Projects!$G$16="Yes",Projects!$F$16="Yes",10=Projects!$C$16),Projects!$B$16*Projects!$I$16,0))</f>
        <v>0</v>
      </c>
      <c r="M15" s="8">
        <f>-(IF(AND(Projects!$G$6="Yes",Projects!$F$6="Yes",11=Projects!$C$6),Projects!$B$6*Projects!$I$6,0)+IF(AND(Projects!$G$7="Yes",Projects!$F$7="Yes",11=Projects!$C$7),Projects!$B$7*Projects!$I$7,0)+IF(AND(Projects!$G$8="Yes",Projects!$F$8="Yes",11=Projects!$C$8),Projects!$B$8*Projects!$I$8,0)+IF(AND(Projects!$G$9="Yes",Projects!$F$9="Yes",11=Projects!$C$9),Projects!$B$9*Projects!$I$9,0)+IF(AND(Projects!$G$10="Yes",Projects!$F$10="Yes",11=Projects!$C$10),Projects!$B$10*Projects!$I$10,0)+IF(AND(Projects!$G$11="Yes",Projects!$F$11="Yes",11=Projects!$C$11),Projects!$B$11*Projects!$I$11,0)+IF(AND(Projects!$G$12="Yes",Projects!$F$12="Yes",11=Projects!$C$12),Projects!$B$12*Projects!$I$12,0)+IF(AND(Projects!$G$13="Yes",Projects!$F$13="Yes",11=Projects!$C$13),Projects!$B$13*Projects!$I$13,0)+IF(AND(Projects!$G$14="Yes",Projects!$F$14="Yes",11=Projects!$C$14),Projects!$B$14*Projects!$I$14,0)+IF(AND(Projects!$G$15="Yes",Projects!$F$15="Yes",11=Projects!$C$15),Projects!$B$15*Projects!$I$15,0)+IF(AND(Projects!$G$16="Yes",Projects!$F$16="Yes",11=Projects!$C$16),Projects!$B$16*Projects!$I$16,0))</f>
        <v>0</v>
      </c>
      <c r="N15" s="8">
        <f>-(IF(AND(Projects!$G$6="Yes",Projects!$F$6="Yes",12=Projects!$C$6),Projects!$B$6*Projects!$I$6,0)+IF(AND(Projects!$G$7="Yes",Projects!$F$7="Yes",12=Projects!$C$7),Projects!$B$7*Projects!$I$7,0)+IF(AND(Projects!$G$8="Yes",Projects!$F$8="Yes",12=Projects!$C$8),Projects!$B$8*Projects!$I$8,0)+IF(AND(Projects!$G$9="Yes",Projects!$F$9="Yes",12=Projects!$C$9),Projects!$B$9*Projects!$I$9,0)+IF(AND(Projects!$G$10="Yes",Projects!$F$10="Yes",12=Projects!$C$10),Projects!$B$10*Projects!$I$10,0)+IF(AND(Projects!$G$11="Yes",Projects!$F$11="Yes",12=Projects!$C$11),Projects!$B$11*Projects!$I$11,0)+IF(AND(Projects!$G$12="Yes",Projects!$F$12="Yes",12=Projects!$C$12),Projects!$B$12*Projects!$I$12,0)+IF(AND(Projects!$G$13="Yes",Projects!$F$13="Yes",12=Projects!$C$13),Projects!$B$13*Projects!$I$13,0)+IF(AND(Projects!$G$14="Yes",Projects!$F$14="Yes",12=Projects!$C$14),Projects!$B$14*Projects!$I$14,0)+IF(AND(Projects!$G$15="Yes",Projects!$F$15="Yes",12=Projects!$C$15),Projects!$B$15*Projects!$I$15,0)+IF(AND(Projects!$G$16="Yes",Projects!$F$16="Yes",12=Projects!$C$16),Projects!$B$16*Projects!$I$16,0))</f>
        <v>0</v>
      </c>
      <c r="O15" s="8">
        <f>-(IF(AND(Projects!$G$6="Yes",Projects!$F$6="Yes",13=Projects!$C$6),Projects!$B$6*Projects!$I$6,0)+IF(AND(Projects!$G$7="Yes",Projects!$F$7="Yes",13=Projects!$C$7),Projects!$B$7*Projects!$I$7,0)+IF(AND(Projects!$G$8="Yes",Projects!$F$8="Yes",13=Projects!$C$8),Projects!$B$8*Projects!$I$8,0)+IF(AND(Projects!$G$9="Yes",Projects!$F$9="Yes",13=Projects!$C$9),Projects!$B$9*Projects!$I$9,0)+IF(AND(Projects!$G$10="Yes",Projects!$F$10="Yes",13=Projects!$C$10),Projects!$B$10*Projects!$I$10,0)+IF(AND(Projects!$G$11="Yes",Projects!$F$11="Yes",13=Projects!$C$11),Projects!$B$11*Projects!$I$11,0)+IF(AND(Projects!$G$12="Yes",Projects!$F$12="Yes",13=Projects!$C$12),Projects!$B$12*Projects!$I$12,0)+IF(AND(Projects!$G$13="Yes",Projects!$F$13="Yes",13=Projects!$C$13),Projects!$B$13*Projects!$I$13,0)+IF(AND(Projects!$G$14="Yes",Projects!$F$14="Yes",13=Projects!$C$14),Projects!$B$14*Projects!$I$14,0)+IF(AND(Projects!$G$15="Yes",Projects!$F$15="Yes",13=Projects!$C$15),Projects!$B$15*Projects!$I$15,0)+IF(AND(Projects!$G$16="Yes",Projects!$F$16="Yes",13=Projects!$C$16),Projects!$B$16*Projects!$I$16,0))</f>
        <v>-1471170.0250000001</v>
      </c>
      <c r="P15" s="8">
        <f>-(IF(AND(Projects!$G$6="Yes",Projects!$F$6="Yes",14=Projects!$C$6),Projects!$B$6*Projects!$I$6,0)+IF(AND(Projects!$G$7="Yes",Projects!$F$7="Yes",14=Projects!$C$7),Projects!$B$7*Projects!$I$7,0)+IF(AND(Projects!$G$8="Yes",Projects!$F$8="Yes",14=Projects!$C$8),Projects!$B$8*Projects!$I$8,0)+IF(AND(Projects!$G$9="Yes",Projects!$F$9="Yes",14=Projects!$C$9),Projects!$B$9*Projects!$I$9,0)+IF(AND(Projects!$G$10="Yes",Projects!$F$10="Yes",14=Projects!$C$10),Projects!$B$10*Projects!$I$10,0)+IF(AND(Projects!$G$11="Yes",Projects!$F$11="Yes",14=Projects!$C$11),Projects!$B$11*Projects!$I$11,0)+IF(AND(Projects!$G$12="Yes",Projects!$F$12="Yes",14=Projects!$C$12),Projects!$B$12*Projects!$I$12,0)+IF(AND(Projects!$G$13="Yes",Projects!$F$13="Yes",14=Projects!$C$13),Projects!$B$13*Projects!$I$13,0)+IF(AND(Projects!$G$14="Yes",Projects!$F$14="Yes",14=Projects!$C$14),Projects!$B$14*Projects!$I$14,0)+IF(AND(Projects!$G$15="Yes",Projects!$F$15="Yes",14=Projects!$C$15),Projects!$B$15*Projects!$I$15,0)+IF(AND(Projects!$G$16="Yes",Projects!$F$16="Yes",14=Projects!$C$16),Projects!$B$16*Projects!$I$16,0))</f>
        <v>0</v>
      </c>
      <c r="Q15" s="8">
        <f>-(IF(AND(Projects!$G$6="Yes",Projects!$F$6="Yes",15=Projects!$C$6),Projects!$B$6*Projects!$I$6,0)+IF(AND(Projects!$G$7="Yes",Projects!$F$7="Yes",15=Projects!$C$7),Projects!$B$7*Projects!$I$7,0)+IF(AND(Projects!$G$8="Yes",Projects!$F$8="Yes",15=Projects!$C$8),Projects!$B$8*Projects!$I$8,0)+IF(AND(Projects!$G$9="Yes",Projects!$F$9="Yes",15=Projects!$C$9),Projects!$B$9*Projects!$I$9,0)+IF(AND(Projects!$G$10="Yes",Projects!$F$10="Yes",15=Projects!$C$10),Projects!$B$10*Projects!$I$10,0)+IF(AND(Projects!$G$11="Yes",Projects!$F$11="Yes",15=Projects!$C$11),Projects!$B$11*Projects!$I$11,0)+IF(AND(Projects!$G$12="Yes",Projects!$F$12="Yes",15=Projects!$C$12),Projects!$B$12*Projects!$I$12,0)+IF(AND(Projects!$G$13="Yes",Projects!$F$13="Yes",15=Projects!$C$13),Projects!$B$13*Projects!$I$13,0)+IF(AND(Projects!$G$14="Yes",Projects!$F$14="Yes",15=Projects!$C$14),Projects!$B$14*Projects!$I$14,0)+IF(AND(Projects!$G$15="Yes",Projects!$F$15="Yes",15=Projects!$C$15),Projects!$B$15*Projects!$I$15,0)+IF(AND(Projects!$G$16="Yes",Projects!$F$16="Yes",15=Projects!$C$16),Projects!$B$16*Projects!$I$16,0))</f>
        <v>0</v>
      </c>
      <c r="R15" s="8">
        <f>-(IF(AND(Projects!$G$6="Yes",Projects!$F$6="Yes",16=Projects!$C$6),Projects!$B$6*Projects!$I$6,0)+IF(AND(Projects!$G$7="Yes",Projects!$F$7="Yes",16=Projects!$C$7),Projects!$B$7*Projects!$I$7,0)+IF(AND(Projects!$G$8="Yes",Projects!$F$8="Yes",16=Projects!$C$8),Projects!$B$8*Projects!$I$8,0)+IF(AND(Projects!$G$9="Yes",Projects!$F$9="Yes",16=Projects!$C$9),Projects!$B$9*Projects!$I$9,0)+IF(AND(Projects!$G$10="Yes",Projects!$F$10="Yes",16=Projects!$C$10),Projects!$B$10*Projects!$I$10,0)+IF(AND(Projects!$G$11="Yes",Projects!$F$11="Yes",16=Projects!$C$11),Projects!$B$11*Projects!$I$11,0)+IF(AND(Projects!$G$12="Yes",Projects!$F$12="Yes",16=Projects!$C$12),Projects!$B$12*Projects!$I$12,0)+IF(AND(Projects!$G$13="Yes",Projects!$F$13="Yes",16=Projects!$C$13),Projects!$B$13*Projects!$I$13,0)+IF(AND(Projects!$G$14="Yes",Projects!$F$14="Yes",16=Projects!$C$14),Projects!$B$14*Projects!$I$14,0)+IF(AND(Projects!$G$15="Yes",Projects!$F$15="Yes",16=Projects!$C$15),Projects!$B$15*Projects!$I$15,0)+IF(AND(Projects!$G$16="Yes",Projects!$F$16="Yes",16=Projects!$C$16),Projects!$B$16*Projects!$I$16,0))</f>
        <v>0</v>
      </c>
      <c r="S15" s="8">
        <f>-(IF(AND(Projects!$G$6="Yes",Projects!$F$6="Yes",17=Projects!$C$6),Projects!$B$6*Projects!$I$6,0)+IF(AND(Projects!$G$7="Yes",Projects!$F$7="Yes",17=Projects!$C$7),Projects!$B$7*Projects!$I$7,0)+IF(AND(Projects!$G$8="Yes",Projects!$F$8="Yes",17=Projects!$C$8),Projects!$B$8*Projects!$I$8,0)+IF(AND(Projects!$G$9="Yes",Projects!$F$9="Yes",17=Projects!$C$9),Projects!$B$9*Projects!$I$9,0)+IF(AND(Projects!$G$10="Yes",Projects!$F$10="Yes",17=Projects!$C$10),Projects!$B$10*Projects!$I$10,0)+IF(AND(Projects!$G$11="Yes",Projects!$F$11="Yes",17=Projects!$C$11),Projects!$B$11*Projects!$I$11,0)+IF(AND(Projects!$G$12="Yes",Projects!$F$12="Yes",17=Projects!$C$12),Projects!$B$12*Projects!$I$12,0)+IF(AND(Projects!$G$13="Yes",Projects!$F$13="Yes",17=Projects!$C$13),Projects!$B$13*Projects!$I$13,0)+IF(AND(Projects!$G$14="Yes",Projects!$F$14="Yes",17=Projects!$C$14),Projects!$B$14*Projects!$I$14,0)+IF(AND(Projects!$G$15="Yes",Projects!$F$15="Yes",17=Projects!$C$15),Projects!$B$15*Projects!$I$15,0)+IF(AND(Projects!$G$16="Yes",Projects!$F$16="Yes",17=Projects!$C$16),Projects!$B$16*Projects!$I$16,0))</f>
        <v>0</v>
      </c>
      <c r="T15" s="8">
        <f>-(IF(AND(Projects!$G$6="Yes",Projects!$F$6="Yes",18=Projects!$C$6),Projects!$B$6*Projects!$I$6,0)+IF(AND(Projects!$G$7="Yes",Projects!$F$7="Yes",18=Projects!$C$7),Projects!$B$7*Projects!$I$7,0)+IF(AND(Projects!$G$8="Yes",Projects!$F$8="Yes",18=Projects!$C$8),Projects!$B$8*Projects!$I$8,0)+IF(AND(Projects!$G$9="Yes",Projects!$F$9="Yes",18=Projects!$C$9),Projects!$B$9*Projects!$I$9,0)+IF(AND(Projects!$G$10="Yes",Projects!$F$10="Yes",18=Projects!$C$10),Projects!$B$10*Projects!$I$10,0)+IF(AND(Projects!$G$11="Yes",Projects!$F$11="Yes",18=Projects!$C$11),Projects!$B$11*Projects!$I$11,0)+IF(AND(Projects!$G$12="Yes",Projects!$F$12="Yes",18=Projects!$C$12),Projects!$B$12*Projects!$I$12,0)+IF(AND(Projects!$G$13="Yes",Projects!$F$13="Yes",18=Projects!$C$13),Projects!$B$13*Projects!$I$13,0)+IF(AND(Projects!$G$14="Yes",Projects!$F$14="Yes",18=Projects!$C$14),Projects!$B$14*Projects!$I$14,0)+IF(AND(Projects!$G$15="Yes",Projects!$F$15="Yes",18=Projects!$C$15),Projects!$B$15*Projects!$I$15,0)+IF(AND(Projects!$G$16="Yes",Projects!$F$16="Yes",18=Projects!$C$16),Projects!$B$16*Projects!$I$16,0))</f>
        <v>0</v>
      </c>
      <c r="U15" s="8">
        <f>-(IF(AND(Projects!$G$6="Yes",Projects!$F$6="Yes",19=Projects!$C$6),Projects!$B$6*Projects!$I$6,0)+IF(AND(Projects!$G$7="Yes",Projects!$F$7="Yes",19=Projects!$C$7),Projects!$B$7*Projects!$I$7,0)+IF(AND(Projects!$G$8="Yes",Projects!$F$8="Yes",19=Projects!$C$8),Projects!$B$8*Projects!$I$8,0)+IF(AND(Projects!$G$9="Yes",Projects!$F$9="Yes",19=Projects!$C$9),Projects!$B$9*Projects!$I$9,0)+IF(AND(Projects!$G$10="Yes",Projects!$F$10="Yes",19=Projects!$C$10),Projects!$B$10*Projects!$I$10,0)+IF(AND(Projects!$G$11="Yes",Projects!$F$11="Yes",19=Projects!$C$11),Projects!$B$11*Projects!$I$11,0)+IF(AND(Projects!$G$12="Yes",Projects!$F$12="Yes",19=Projects!$C$12),Projects!$B$12*Projects!$I$12,0)+IF(AND(Projects!$G$13="Yes",Projects!$F$13="Yes",19=Projects!$C$13),Projects!$B$13*Projects!$I$13,0)+IF(AND(Projects!$G$14="Yes",Projects!$F$14="Yes",19=Projects!$C$14),Projects!$B$14*Projects!$I$14,0)+IF(AND(Projects!$G$15="Yes",Projects!$F$15="Yes",19=Projects!$C$15),Projects!$B$15*Projects!$I$15,0)+IF(AND(Projects!$G$16="Yes",Projects!$F$16="Yes",19=Projects!$C$16),Projects!$B$16*Projects!$I$16,0))</f>
        <v>0</v>
      </c>
      <c r="V15" s="8">
        <f>-(IF(AND(Projects!$G$6="Yes",Projects!$F$6="Yes",20=Projects!$C$6),Projects!$B$6*Projects!$I$6,0)+IF(AND(Projects!$G$7="Yes",Projects!$F$7="Yes",20=Projects!$C$7),Projects!$B$7*Projects!$I$7,0)+IF(AND(Projects!$G$8="Yes",Projects!$F$8="Yes",20=Projects!$C$8),Projects!$B$8*Projects!$I$8,0)+IF(AND(Projects!$G$9="Yes",Projects!$F$9="Yes",20=Projects!$C$9),Projects!$B$9*Projects!$I$9,0)+IF(AND(Projects!$G$10="Yes",Projects!$F$10="Yes",20=Projects!$C$10),Projects!$B$10*Projects!$I$10,0)+IF(AND(Projects!$G$11="Yes",Projects!$F$11="Yes",20=Projects!$C$11),Projects!$B$11*Projects!$I$11,0)+IF(AND(Projects!$G$12="Yes",Projects!$F$12="Yes",20=Projects!$C$12),Projects!$B$12*Projects!$I$12,0)+IF(AND(Projects!$G$13="Yes",Projects!$F$13="Yes",20=Projects!$C$13),Projects!$B$13*Projects!$I$13,0)+IF(AND(Projects!$G$14="Yes",Projects!$F$14="Yes",20=Projects!$C$14),Projects!$B$14*Projects!$I$14,0)+IF(AND(Projects!$G$15="Yes",Projects!$F$15="Yes",20=Projects!$C$15),Projects!$B$15*Projects!$I$15,0)+IF(AND(Projects!$G$16="Yes",Projects!$F$16="Yes",20=Projects!$C$16),Projects!$B$16*Projects!$I$16,0))</f>
        <v>0</v>
      </c>
      <c r="W15" s="8">
        <f>-(IF(AND(Projects!$G$6="Yes",Projects!$F$6="Yes",21=Projects!$C$6),Projects!$B$6*Projects!$I$6,0)+IF(AND(Projects!$G$7="Yes",Projects!$F$7="Yes",21=Projects!$C$7),Projects!$B$7*Projects!$I$7,0)+IF(AND(Projects!$G$8="Yes",Projects!$F$8="Yes",21=Projects!$C$8),Projects!$B$8*Projects!$I$8,0)+IF(AND(Projects!$G$9="Yes",Projects!$F$9="Yes",21=Projects!$C$9),Projects!$B$9*Projects!$I$9,0)+IF(AND(Projects!$G$10="Yes",Projects!$F$10="Yes",21=Projects!$C$10),Projects!$B$10*Projects!$I$10,0)+IF(AND(Projects!$G$11="Yes",Projects!$F$11="Yes",21=Projects!$C$11),Projects!$B$11*Projects!$I$11,0)+IF(AND(Projects!$G$12="Yes",Projects!$F$12="Yes",21=Projects!$C$12),Projects!$B$12*Projects!$I$12,0)+IF(AND(Projects!$G$13="Yes",Projects!$F$13="Yes",21=Projects!$C$13),Projects!$B$13*Projects!$I$13,0)+IF(AND(Projects!$G$14="Yes",Projects!$F$14="Yes",21=Projects!$C$14),Projects!$B$14*Projects!$I$14,0)+IF(AND(Projects!$G$15="Yes",Projects!$F$15="Yes",21=Projects!$C$15),Projects!$B$15*Projects!$I$15,0)+IF(AND(Projects!$G$16="Yes",Projects!$F$16="Yes",21=Projects!$C$16),Projects!$B$16*Projects!$I$16,0))</f>
        <v>0</v>
      </c>
      <c r="X15" s="8">
        <f>-(IF(AND(Projects!$G$6="Yes",Projects!$F$6="Yes",22=Projects!$C$6),Projects!$B$6*Projects!$I$6,0)+IF(AND(Projects!$G$7="Yes",Projects!$F$7="Yes",22=Projects!$C$7),Projects!$B$7*Projects!$I$7,0)+IF(AND(Projects!$G$8="Yes",Projects!$F$8="Yes",22=Projects!$C$8),Projects!$B$8*Projects!$I$8,0)+IF(AND(Projects!$G$9="Yes",Projects!$F$9="Yes",22=Projects!$C$9),Projects!$B$9*Projects!$I$9,0)+IF(AND(Projects!$G$10="Yes",Projects!$F$10="Yes",22=Projects!$C$10),Projects!$B$10*Projects!$I$10,0)+IF(AND(Projects!$G$11="Yes",Projects!$F$11="Yes",22=Projects!$C$11),Projects!$B$11*Projects!$I$11,0)+IF(AND(Projects!$G$12="Yes",Projects!$F$12="Yes",22=Projects!$C$12),Projects!$B$12*Projects!$I$12,0)+IF(AND(Projects!$G$13="Yes",Projects!$F$13="Yes",22=Projects!$C$13),Projects!$B$13*Projects!$I$13,0)+IF(AND(Projects!$G$14="Yes",Projects!$F$14="Yes",22=Projects!$C$14),Projects!$B$14*Projects!$I$14,0)+IF(AND(Projects!$G$15="Yes",Projects!$F$15="Yes",22=Projects!$C$15),Projects!$B$15*Projects!$I$15,0)+IF(AND(Projects!$G$16="Yes",Projects!$F$16="Yes",22=Projects!$C$16),Projects!$B$16*Projects!$I$16,0))</f>
        <v>0</v>
      </c>
      <c r="Y15" s="8">
        <f>-(IF(AND(Projects!$G$6="Yes",Projects!$F$6="Yes",23=Projects!$C$6),Projects!$B$6*Projects!$I$6,0)+IF(AND(Projects!$G$7="Yes",Projects!$F$7="Yes",23=Projects!$C$7),Projects!$B$7*Projects!$I$7,0)+IF(AND(Projects!$G$8="Yes",Projects!$F$8="Yes",23=Projects!$C$8),Projects!$B$8*Projects!$I$8,0)+IF(AND(Projects!$G$9="Yes",Projects!$F$9="Yes",23=Projects!$C$9),Projects!$B$9*Projects!$I$9,0)+IF(AND(Projects!$G$10="Yes",Projects!$F$10="Yes",23=Projects!$C$10),Projects!$B$10*Projects!$I$10,0)+IF(AND(Projects!$G$11="Yes",Projects!$F$11="Yes",23=Projects!$C$11),Projects!$B$11*Projects!$I$11,0)+IF(AND(Projects!$G$12="Yes",Projects!$F$12="Yes",23=Projects!$C$12),Projects!$B$12*Projects!$I$12,0)+IF(AND(Projects!$G$13="Yes",Projects!$F$13="Yes",23=Projects!$C$13),Projects!$B$13*Projects!$I$13,0)+IF(AND(Projects!$G$14="Yes",Projects!$F$14="Yes",23=Projects!$C$14),Projects!$B$14*Projects!$I$14,0)+IF(AND(Projects!$G$15="Yes",Projects!$F$15="Yes",23=Projects!$C$15),Projects!$B$15*Projects!$I$15,0)+IF(AND(Projects!$G$16="Yes",Projects!$F$16="Yes",23=Projects!$C$16),Projects!$B$16*Projects!$I$16,0))</f>
        <v>0</v>
      </c>
      <c r="Z15" s="8">
        <f>-(IF(AND(Projects!$G$6="Yes",Projects!$F$6="Yes",24=Projects!$C$6),Projects!$B$6*Projects!$I$6,0)+IF(AND(Projects!$G$7="Yes",Projects!$F$7="Yes",24=Projects!$C$7),Projects!$B$7*Projects!$I$7,0)+IF(AND(Projects!$G$8="Yes",Projects!$F$8="Yes",24=Projects!$C$8),Projects!$B$8*Projects!$I$8,0)+IF(AND(Projects!$G$9="Yes",Projects!$F$9="Yes",24=Projects!$C$9),Projects!$B$9*Projects!$I$9,0)+IF(AND(Projects!$G$10="Yes",Projects!$F$10="Yes",24=Projects!$C$10),Projects!$B$10*Projects!$I$10,0)+IF(AND(Projects!$G$11="Yes",Projects!$F$11="Yes",24=Projects!$C$11),Projects!$B$11*Projects!$I$11,0)+IF(AND(Projects!$G$12="Yes",Projects!$F$12="Yes",24=Projects!$C$12),Projects!$B$12*Projects!$I$12,0)+IF(AND(Projects!$G$13="Yes",Projects!$F$13="Yes",24=Projects!$C$13),Projects!$B$13*Projects!$I$13,0)+IF(AND(Projects!$G$14="Yes",Projects!$F$14="Yes",24=Projects!$C$14),Projects!$B$14*Projects!$I$14,0)+IF(AND(Projects!$G$15="Yes",Projects!$F$15="Yes",24=Projects!$C$15),Projects!$B$15*Projects!$I$15,0)+IF(AND(Projects!$G$16="Yes",Projects!$F$16="Yes",24=Projects!$C$16),Projects!$B$16*Projects!$I$16,0))</f>
        <v>0</v>
      </c>
      <c r="AA15" s="8">
        <f>-(IF(AND(Projects!$G$6="Yes",Projects!$F$6="Yes",25=Projects!$C$6),Projects!$B$6*Projects!$I$6,0)+IF(AND(Projects!$G$7="Yes",Projects!$F$7="Yes",25=Projects!$C$7),Projects!$B$7*Projects!$I$7,0)+IF(AND(Projects!$G$8="Yes",Projects!$F$8="Yes",25=Projects!$C$8),Projects!$B$8*Projects!$I$8,0)+IF(AND(Projects!$G$9="Yes",Projects!$F$9="Yes",25=Projects!$C$9),Projects!$B$9*Projects!$I$9,0)+IF(AND(Projects!$G$10="Yes",Projects!$F$10="Yes",25=Projects!$C$10),Projects!$B$10*Projects!$I$10,0)+IF(AND(Projects!$G$11="Yes",Projects!$F$11="Yes",25=Projects!$C$11),Projects!$B$11*Projects!$I$11,0)+IF(AND(Projects!$G$12="Yes",Projects!$F$12="Yes",25=Projects!$C$12),Projects!$B$12*Projects!$I$12,0)+IF(AND(Projects!$G$13="Yes",Projects!$F$13="Yes",25=Projects!$C$13),Projects!$B$13*Projects!$I$13,0)+IF(AND(Projects!$G$14="Yes",Projects!$F$14="Yes",25=Projects!$C$14),Projects!$B$14*Projects!$I$14,0)+IF(AND(Projects!$G$15="Yes",Projects!$F$15="Yes",25=Projects!$C$15),Projects!$B$15*Projects!$I$15,0)+IF(AND(Projects!$G$16="Yes",Projects!$F$16="Yes",25=Projects!$C$16),Projects!$B$16*Projects!$I$16,0))</f>
        <v>0</v>
      </c>
      <c r="AB15" s="8">
        <f>-(IF(AND(Projects!$G$6="Yes",Projects!$F$6="Yes",26=Projects!$C$6),Projects!$B$6*Projects!$I$6,0)+IF(AND(Projects!$G$7="Yes",Projects!$F$7="Yes",26=Projects!$C$7),Projects!$B$7*Projects!$I$7,0)+IF(AND(Projects!$G$8="Yes",Projects!$F$8="Yes",26=Projects!$C$8),Projects!$B$8*Projects!$I$8,0)+IF(AND(Projects!$G$9="Yes",Projects!$F$9="Yes",26=Projects!$C$9),Projects!$B$9*Projects!$I$9,0)+IF(AND(Projects!$G$10="Yes",Projects!$F$10="Yes",26=Projects!$C$10),Projects!$B$10*Projects!$I$10,0)+IF(AND(Projects!$G$11="Yes",Projects!$F$11="Yes",26=Projects!$C$11),Projects!$B$11*Projects!$I$11,0)+IF(AND(Projects!$G$12="Yes",Projects!$F$12="Yes",26=Projects!$C$12),Projects!$B$12*Projects!$I$12,0)+IF(AND(Projects!$G$13="Yes",Projects!$F$13="Yes",26=Projects!$C$13),Projects!$B$13*Projects!$I$13,0)+IF(AND(Projects!$G$14="Yes",Projects!$F$14="Yes",26=Projects!$C$14),Projects!$B$14*Projects!$I$14,0)+IF(AND(Projects!$G$15="Yes",Projects!$F$15="Yes",26=Projects!$C$15),Projects!$B$15*Projects!$I$15,0)+IF(AND(Projects!$G$16="Yes",Projects!$F$16="Yes",26=Projects!$C$16),Projects!$B$16*Projects!$I$16,0))</f>
        <v>0</v>
      </c>
      <c r="AC15" s="8">
        <f>-(IF(AND(Projects!$G$6="Yes",Projects!$F$6="Yes",27=Projects!$C$6),Projects!$B$6*Projects!$I$6,0)+IF(AND(Projects!$G$7="Yes",Projects!$F$7="Yes",27=Projects!$C$7),Projects!$B$7*Projects!$I$7,0)+IF(AND(Projects!$G$8="Yes",Projects!$F$8="Yes",27=Projects!$C$8),Projects!$B$8*Projects!$I$8,0)+IF(AND(Projects!$G$9="Yes",Projects!$F$9="Yes",27=Projects!$C$9),Projects!$B$9*Projects!$I$9,0)+IF(AND(Projects!$G$10="Yes",Projects!$F$10="Yes",27=Projects!$C$10),Projects!$B$10*Projects!$I$10,0)+IF(AND(Projects!$G$11="Yes",Projects!$F$11="Yes",27=Projects!$C$11),Projects!$B$11*Projects!$I$11,0)+IF(AND(Projects!$G$12="Yes",Projects!$F$12="Yes",27=Projects!$C$12),Projects!$B$12*Projects!$I$12,0)+IF(AND(Projects!$G$13="Yes",Projects!$F$13="Yes",27=Projects!$C$13),Projects!$B$13*Projects!$I$13,0)+IF(AND(Projects!$G$14="Yes",Projects!$F$14="Yes",27=Projects!$C$14),Projects!$B$14*Projects!$I$14,0)+IF(AND(Projects!$G$15="Yes",Projects!$F$15="Yes",27=Projects!$C$15),Projects!$B$15*Projects!$I$15,0)+IF(AND(Projects!$G$16="Yes",Projects!$F$16="Yes",27=Projects!$C$16),Projects!$B$16*Projects!$I$16,0))</f>
        <v>-1344025.54</v>
      </c>
      <c r="AD15" s="8">
        <f>-(IF(AND(Projects!$G$6="Yes",Projects!$F$6="Yes",28=Projects!$C$6),Projects!$B$6*Projects!$I$6,0)+IF(AND(Projects!$G$7="Yes",Projects!$F$7="Yes",28=Projects!$C$7),Projects!$B$7*Projects!$I$7,0)+IF(AND(Projects!$G$8="Yes",Projects!$F$8="Yes",28=Projects!$C$8),Projects!$B$8*Projects!$I$8,0)+IF(AND(Projects!$G$9="Yes",Projects!$F$9="Yes",28=Projects!$C$9),Projects!$B$9*Projects!$I$9,0)+IF(AND(Projects!$G$10="Yes",Projects!$F$10="Yes",28=Projects!$C$10),Projects!$B$10*Projects!$I$10,0)+IF(AND(Projects!$G$11="Yes",Projects!$F$11="Yes",28=Projects!$C$11),Projects!$B$11*Projects!$I$11,0)+IF(AND(Projects!$G$12="Yes",Projects!$F$12="Yes",28=Projects!$C$12),Projects!$B$12*Projects!$I$12,0)+IF(AND(Projects!$G$13="Yes",Projects!$F$13="Yes",28=Projects!$C$13),Projects!$B$13*Projects!$I$13,0)+IF(AND(Projects!$G$14="Yes",Projects!$F$14="Yes",28=Projects!$C$14),Projects!$B$14*Projects!$I$14,0)+IF(AND(Projects!$G$15="Yes",Projects!$F$15="Yes",28=Projects!$C$15),Projects!$B$15*Projects!$I$15,0)+IF(AND(Projects!$G$16="Yes",Projects!$F$16="Yes",28=Projects!$C$16),Projects!$B$16*Projects!$I$16,0))</f>
        <v>0</v>
      </c>
      <c r="AE15" s="8">
        <f>-(IF(AND(Projects!$G$6="Yes",Projects!$F$6="Yes",29=Projects!$C$6),Projects!$B$6*Projects!$I$6,0)+IF(AND(Projects!$G$7="Yes",Projects!$F$7="Yes",29=Projects!$C$7),Projects!$B$7*Projects!$I$7,0)+IF(AND(Projects!$G$8="Yes",Projects!$F$8="Yes",29=Projects!$C$8),Projects!$B$8*Projects!$I$8,0)+IF(AND(Projects!$G$9="Yes",Projects!$F$9="Yes",29=Projects!$C$9),Projects!$B$9*Projects!$I$9,0)+IF(AND(Projects!$G$10="Yes",Projects!$F$10="Yes",29=Projects!$C$10),Projects!$B$10*Projects!$I$10,0)+IF(AND(Projects!$G$11="Yes",Projects!$F$11="Yes",29=Projects!$C$11),Projects!$B$11*Projects!$I$11,0)+IF(AND(Projects!$G$12="Yes",Projects!$F$12="Yes",29=Projects!$C$12),Projects!$B$12*Projects!$I$12,0)+IF(AND(Projects!$G$13="Yes",Projects!$F$13="Yes",29=Projects!$C$13),Projects!$B$13*Projects!$I$13,0)+IF(AND(Projects!$G$14="Yes",Projects!$F$14="Yes",29=Projects!$C$14),Projects!$B$14*Projects!$I$14,0)+IF(AND(Projects!$G$15="Yes",Projects!$F$15="Yes",29=Projects!$C$15),Projects!$B$15*Projects!$I$15,0)+IF(AND(Projects!$G$16="Yes",Projects!$F$16="Yes",29=Projects!$C$16),Projects!$B$16*Projects!$I$16,0))</f>
        <v>0</v>
      </c>
      <c r="AF15" s="8">
        <f>-(IF(AND(Projects!$G$6="Yes",Projects!$F$6="Yes",30=Projects!$C$6),Projects!$B$6*Projects!$I$6,0)+IF(AND(Projects!$G$7="Yes",Projects!$F$7="Yes",30=Projects!$C$7),Projects!$B$7*Projects!$I$7,0)+IF(AND(Projects!$G$8="Yes",Projects!$F$8="Yes",30=Projects!$C$8),Projects!$B$8*Projects!$I$8,0)+IF(AND(Projects!$G$9="Yes",Projects!$F$9="Yes",30=Projects!$C$9),Projects!$B$9*Projects!$I$9,0)+IF(AND(Projects!$G$10="Yes",Projects!$F$10="Yes",30=Projects!$C$10),Projects!$B$10*Projects!$I$10,0)+IF(AND(Projects!$G$11="Yes",Projects!$F$11="Yes",30=Projects!$C$11),Projects!$B$11*Projects!$I$11,0)+IF(AND(Projects!$G$12="Yes",Projects!$F$12="Yes",30=Projects!$C$12),Projects!$B$12*Projects!$I$12,0)+IF(AND(Projects!$G$13="Yes",Projects!$F$13="Yes",30=Projects!$C$13),Projects!$B$13*Projects!$I$13,0)+IF(AND(Projects!$G$14="Yes",Projects!$F$14="Yes",30=Projects!$C$14),Projects!$B$14*Projects!$I$14,0)+IF(AND(Projects!$G$15="Yes",Projects!$F$15="Yes",30=Projects!$C$15),Projects!$B$15*Projects!$I$15,0)+IF(AND(Projects!$G$16="Yes",Projects!$F$16="Yes",30=Projects!$C$16),Projects!$B$16*Projects!$I$16,0))</f>
        <v>0</v>
      </c>
      <c r="AG15" s="8">
        <f>-(IF(AND(Projects!$G$6="Yes",Projects!$F$6="Yes",31=Projects!$C$6),Projects!$B$6*Projects!$I$6,0)+IF(AND(Projects!$G$7="Yes",Projects!$F$7="Yes",31=Projects!$C$7),Projects!$B$7*Projects!$I$7,0)+IF(AND(Projects!$G$8="Yes",Projects!$F$8="Yes",31=Projects!$C$8),Projects!$B$8*Projects!$I$8,0)+IF(AND(Projects!$G$9="Yes",Projects!$F$9="Yes",31=Projects!$C$9),Projects!$B$9*Projects!$I$9,0)+IF(AND(Projects!$G$10="Yes",Projects!$F$10="Yes",31=Projects!$C$10),Projects!$B$10*Projects!$I$10,0)+IF(AND(Projects!$G$11="Yes",Projects!$F$11="Yes",31=Projects!$C$11),Projects!$B$11*Projects!$I$11,0)+IF(AND(Projects!$G$12="Yes",Projects!$F$12="Yes",31=Projects!$C$12),Projects!$B$12*Projects!$I$12,0)+IF(AND(Projects!$G$13="Yes",Projects!$F$13="Yes",31=Projects!$C$13),Projects!$B$13*Projects!$I$13,0)+IF(AND(Projects!$G$14="Yes",Projects!$F$14="Yes",31=Projects!$C$14),Projects!$B$14*Projects!$I$14,0)+IF(AND(Projects!$G$15="Yes",Projects!$F$15="Yes",31=Projects!$C$15),Projects!$B$15*Projects!$I$15,0)+IF(AND(Projects!$G$16="Yes",Projects!$F$16="Yes",31=Projects!$C$16),Projects!$B$16*Projects!$I$16,0))</f>
        <v>0</v>
      </c>
      <c r="AH15" s="8">
        <f>-(IF(AND(Projects!$G$6="Yes",Projects!$F$6="Yes",32=Projects!$C$6),Projects!$B$6*Projects!$I$6,0)+IF(AND(Projects!$G$7="Yes",Projects!$F$7="Yes",32=Projects!$C$7),Projects!$B$7*Projects!$I$7,0)+IF(AND(Projects!$G$8="Yes",Projects!$F$8="Yes",32=Projects!$C$8),Projects!$B$8*Projects!$I$8,0)+IF(AND(Projects!$G$9="Yes",Projects!$F$9="Yes",32=Projects!$C$9),Projects!$B$9*Projects!$I$9,0)+IF(AND(Projects!$G$10="Yes",Projects!$F$10="Yes",32=Projects!$C$10),Projects!$B$10*Projects!$I$10,0)+IF(AND(Projects!$G$11="Yes",Projects!$F$11="Yes",32=Projects!$C$11),Projects!$B$11*Projects!$I$11,0)+IF(AND(Projects!$G$12="Yes",Projects!$F$12="Yes",32=Projects!$C$12),Projects!$B$12*Projects!$I$12,0)+IF(AND(Projects!$G$13="Yes",Projects!$F$13="Yes",32=Projects!$C$13),Projects!$B$13*Projects!$I$13,0)+IF(AND(Projects!$G$14="Yes",Projects!$F$14="Yes",32=Projects!$C$14),Projects!$B$14*Projects!$I$14,0)+IF(AND(Projects!$G$15="Yes",Projects!$F$15="Yes",32=Projects!$C$15),Projects!$B$15*Projects!$I$15,0)+IF(AND(Projects!$G$16="Yes",Projects!$F$16="Yes",32=Projects!$C$16),Projects!$B$16*Projects!$I$16,0))</f>
        <v>0</v>
      </c>
      <c r="AI15" s="8">
        <f>-(IF(AND(Projects!$G$6="Yes",Projects!$F$6="Yes",33=Projects!$C$6),Projects!$B$6*Projects!$I$6,0)+IF(AND(Projects!$G$7="Yes",Projects!$F$7="Yes",33=Projects!$C$7),Projects!$B$7*Projects!$I$7,0)+IF(AND(Projects!$G$8="Yes",Projects!$F$8="Yes",33=Projects!$C$8),Projects!$B$8*Projects!$I$8,0)+IF(AND(Projects!$G$9="Yes",Projects!$F$9="Yes",33=Projects!$C$9),Projects!$B$9*Projects!$I$9,0)+IF(AND(Projects!$G$10="Yes",Projects!$F$10="Yes",33=Projects!$C$10),Projects!$B$10*Projects!$I$10,0)+IF(AND(Projects!$G$11="Yes",Projects!$F$11="Yes",33=Projects!$C$11),Projects!$B$11*Projects!$I$11,0)+IF(AND(Projects!$G$12="Yes",Projects!$F$12="Yes",33=Projects!$C$12),Projects!$B$12*Projects!$I$12,0)+IF(AND(Projects!$G$13="Yes",Projects!$F$13="Yes",33=Projects!$C$13),Projects!$B$13*Projects!$I$13,0)+IF(AND(Projects!$G$14="Yes",Projects!$F$14="Yes",33=Projects!$C$14),Projects!$B$14*Projects!$I$14,0)+IF(AND(Projects!$G$15="Yes",Projects!$F$15="Yes",33=Projects!$C$15),Projects!$B$15*Projects!$I$15,0)+IF(AND(Projects!$G$16="Yes",Projects!$F$16="Yes",33=Projects!$C$16),Projects!$B$16*Projects!$I$16,0))</f>
        <v>0</v>
      </c>
      <c r="AJ15" s="8">
        <f>-(IF(AND(Projects!$G$6="Yes",Projects!$F$6="Yes",34=Projects!$C$6),Projects!$B$6*Projects!$I$6,0)+IF(AND(Projects!$G$7="Yes",Projects!$F$7="Yes",34=Projects!$C$7),Projects!$B$7*Projects!$I$7,0)+IF(AND(Projects!$G$8="Yes",Projects!$F$8="Yes",34=Projects!$C$8),Projects!$B$8*Projects!$I$8,0)+IF(AND(Projects!$G$9="Yes",Projects!$F$9="Yes",34=Projects!$C$9),Projects!$B$9*Projects!$I$9,0)+IF(AND(Projects!$G$10="Yes",Projects!$F$10="Yes",34=Projects!$C$10),Projects!$B$10*Projects!$I$10,0)+IF(AND(Projects!$G$11="Yes",Projects!$F$11="Yes",34=Projects!$C$11),Projects!$B$11*Projects!$I$11,0)+IF(AND(Projects!$G$12="Yes",Projects!$F$12="Yes",34=Projects!$C$12),Projects!$B$12*Projects!$I$12,0)+IF(AND(Projects!$G$13="Yes",Projects!$F$13="Yes",34=Projects!$C$13),Projects!$B$13*Projects!$I$13,0)+IF(AND(Projects!$G$14="Yes",Projects!$F$14="Yes",34=Projects!$C$14),Projects!$B$14*Projects!$I$14,0)+IF(AND(Projects!$G$15="Yes",Projects!$F$15="Yes",34=Projects!$C$15),Projects!$B$15*Projects!$I$15,0)+IF(AND(Projects!$G$16="Yes",Projects!$F$16="Yes",34=Projects!$C$16),Projects!$B$16*Projects!$I$16,0))</f>
        <v>0</v>
      </c>
      <c r="AK15" s="8">
        <f>-(IF(AND(Projects!$G$6="Yes",Projects!$F$6="Yes",35=Projects!$C$6),Projects!$B$6*Projects!$I$6,0)+IF(AND(Projects!$G$7="Yes",Projects!$F$7="Yes",35=Projects!$C$7),Projects!$B$7*Projects!$I$7,0)+IF(AND(Projects!$G$8="Yes",Projects!$F$8="Yes",35=Projects!$C$8),Projects!$B$8*Projects!$I$8,0)+IF(AND(Projects!$G$9="Yes",Projects!$F$9="Yes",35=Projects!$C$9),Projects!$B$9*Projects!$I$9,0)+IF(AND(Projects!$G$10="Yes",Projects!$F$10="Yes",35=Projects!$C$10),Projects!$B$10*Projects!$I$10,0)+IF(AND(Projects!$G$11="Yes",Projects!$F$11="Yes",35=Projects!$C$11),Projects!$B$11*Projects!$I$11,0)+IF(AND(Projects!$G$12="Yes",Projects!$F$12="Yes",35=Projects!$C$12),Projects!$B$12*Projects!$I$12,0)+IF(AND(Projects!$G$13="Yes",Projects!$F$13="Yes",35=Projects!$C$13),Projects!$B$13*Projects!$I$13,0)+IF(AND(Projects!$G$14="Yes",Projects!$F$14="Yes",35=Projects!$C$14),Projects!$B$14*Projects!$I$14,0)+IF(AND(Projects!$G$15="Yes",Projects!$F$15="Yes",35=Projects!$C$15),Projects!$B$15*Projects!$I$15,0)+IF(AND(Projects!$G$16="Yes",Projects!$F$16="Yes",35=Projects!$C$16),Projects!$B$16*Projects!$I$16,0))</f>
        <v>0</v>
      </c>
      <c r="AL15" s="8">
        <f>-(IF(AND(Projects!$G$6="Yes",Projects!$F$6="Yes",36=Projects!$C$6),Projects!$B$6*Projects!$I$6,0)+IF(AND(Projects!$G$7="Yes",Projects!$F$7="Yes",36=Projects!$C$7),Projects!$B$7*Projects!$I$7,0)+IF(AND(Projects!$G$8="Yes",Projects!$F$8="Yes",36=Projects!$C$8),Projects!$B$8*Projects!$I$8,0)+IF(AND(Projects!$G$9="Yes",Projects!$F$9="Yes",36=Projects!$C$9),Projects!$B$9*Projects!$I$9,0)+IF(AND(Projects!$G$10="Yes",Projects!$F$10="Yes",36=Projects!$C$10),Projects!$B$10*Projects!$I$10,0)+IF(AND(Projects!$G$11="Yes",Projects!$F$11="Yes",36=Projects!$C$11),Projects!$B$11*Projects!$I$11,0)+IF(AND(Projects!$G$12="Yes",Projects!$F$12="Yes",36=Projects!$C$12),Projects!$B$12*Projects!$I$12,0)+IF(AND(Projects!$G$13="Yes",Projects!$F$13="Yes",36=Projects!$C$13),Projects!$B$13*Projects!$I$13,0)+IF(AND(Projects!$G$14="Yes",Projects!$F$14="Yes",36=Projects!$C$14),Projects!$B$14*Projects!$I$14,0)+IF(AND(Projects!$G$15="Yes",Projects!$F$15="Yes",36=Projects!$C$15),Projects!$B$15*Projects!$I$15,0)+IF(AND(Projects!$G$16="Yes",Projects!$F$16="Yes",36=Projects!$C$16),Projects!$B$16*Projects!$I$16,0))</f>
        <v>0</v>
      </c>
      <c r="AM15" s="8">
        <f>-(IF(AND(Projects!$G$6="Yes",Projects!$F$6="Yes",37=Projects!$C$6),Projects!$B$6*Projects!$I$6,0)+IF(AND(Projects!$G$7="Yes",Projects!$F$7="Yes",37=Projects!$C$7),Projects!$B$7*Projects!$I$7,0)+IF(AND(Projects!$G$8="Yes",Projects!$F$8="Yes",37=Projects!$C$8),Projects!$B$8*Projects!$I$8,0)+IF(AND(Projects!$G$9="Yes",Projects!$F$9="Yes",37=Projects!$C$9),Projects!$B$9*Projects!$I$9,0)+IF(AND(Projects!$G$10="Yes",Projects!$F$10="Yes",37=Projects!$C$10),Projects!$B$10*Projects!$I$10,0)+IF(AND(Projects!$G$11="Yes",Projects!$F$11="Yes",37=Projects!$C$11),Projects!$B$11*Projects!$I$11,0)+IF(AND(Projects!$G$12="Yes",Projects!$F$12="Yes",37=Projects!$C$12),Projects!$B$12*Projects!$I$12,0)+IF(AND(Projects!$G$13="Yes",Projects!$F$13="Yes",37=Projects!$C$13),Projects!$B$13*Projects!$I$13,0)+IF(AND(Projects!$G$14="Yes",Projects!$F$14="Yes",37=Projects!$C$14),Projects!$B$14*Projects!$I$14,0)+IF(AND(Projects!$G$15="Yes",Projects!$F$15="Yes",37=Projects!$C$15),Projects!$B$15*Projects!$I$15,0)+IF(AND(Projects!$G$16="Yes",Projects!$F$16="Yes",37=Projects!$C$16),Projects!$B$16*Projects!$I$16,0))</f>
        <v>0</v>
      </c>
      <c r="AN15" s="8">
        <f>-(IF(AND(Projects!$G$6="Yes",Projects!$F$6="Yes",38=Projects!$C$6),Projects!$B$6*Projects!$I$6,0)+IF(AND(Projects!$G$7="Yes",Projects!$F$7="Yes",38=Projects!$C$7),Projects!$B$7*Projects!$I$7,0)+IF(AND(Projects!$G$8="Yes",Projects!$F$8="Yes",38=Projects!$C$8),Projects!$B$8*Projects!$I$8,0)+IF(AND(Projects!$G$9="Yes",Projects!$F$9="Yes",38=Projects!$C$9),Projects!$B$9*Projects!$I$9,0)+IF(AND(Projects!$G$10="Yes",Projects!$F$10="Yes",38=Projects!$C$10),Projects!$B$10*Projects!$I$10,0)+IF(AND(Projects!$G$11="Yes",Projects!$F$11="Yes",38=Projects!$C$11),Projects!$B$11*Projects!$I$11,0)+IF(AND(Projects!$G$12="Yes",Projects!$F$12="Yes",38=Projects!$C$12),Projects!$B$12*Projects!$I$12,0)+IF(AND(Projects!$G$13="Yes",Projects!$F$13="Yes",38=Projects!$C$13),Projects!$B$13*Projects!$I$13,0)+IF(AND(Projects!$G$14="Yes",Projects!$F$14="Yes",38=Projects!$C$14),Projects!$B$14*Projects!$I$14,0)+IF(AND(Projects!$G$15="Yes",Projects!$F$15="Yes",38=Projects!$C$15),Projects!$B$15*Projects!$I$15,0)+IF(AND(Projects!$G$16="Yes",Projects!$F$16="Yes",38=Projects!$C$16),Projects!$B$16*Projects!$I$16,0))</f>
        <v>0</v>
      </c>
      <c r="AO15" s="8">
        <f>-(IF(AND(Projects!$G$6="Yes",Projects!$F$6="Yes",39=Projects!$C$6),Projects!$B$6*Projects!$I$6,0)+IF(AND(Projects!$G$7="Yes",Projects!$F$7="Yes",39=Projects!$C$7),Projects!$B$7*Projects!$I$7,0)+IF(AND(Projects!$G$8="Yes",Projects!$F$8="Yes",39=Projects!$C$8),Projects!$B$8*Projects!$I$8,0)+IF(AND(Projects!$G$9="Yes",Projects!$F$9="Yes",39=Projects!$C$9),Projects!$B$9*Projects!$I$9,0)+IF(AND(Projects!$G$10="Yes",Projects!$F$10="Yes",39=Projects!$C$10),Projects!$B$10*Projects!$I$10,0)+IF(AND(Projects!$G$11="Yes",Projects!$F$11="Yes",39=Projects!$C$11),Projects!$B$11*Projects!$I$11,0)+IF(AND(Projects!$G$12="Yes",Projects!$F$12="Yes",39=Projects!$C$12),Projects!$B$12*Projects!$I$12,0)+IF(AND(Projects!$G$13="Yes",Projects!$F$13="Yes",39=Projects!$C$13),Projects!$B$13*Projects!$I$13,0)+IF(AND(Projects!$G$14="Yes",Projects!$F$14="Yes",39=Projects!$C$14),Projects!$B$14*Projects!$I$14,0)+IF(AND(Projects!$G$15="Yes",Projects!$F$15="Yes",39=Projects!$C$15),Projects!$B$15*Projects!$I$15,0)+IF(AND(Projects!$G$16="Yes",Projects!$F$16="Yes",39=Projects!$C$16),Projects!$B$16*Projects!$I$16,0))</f>
        <v>0</v>
      </c>
      <c r="AP15" s="8">
        <f>-(IF(AND(Projects!$G$6="Yes",Projects!$F$6="Yes",40=Projects!$C$6),Projects!$B$6*Projects!$I$6,0)+IF(AND(Projects!$G$7="Yes",Projects!$F$7="Yes",40=Projects!$C$7),Projects!$B$7*Projects!$I$7,0)+IF(AND(Projects!$G$8="Yes",Projects!$F$8="Yes",40=Projects!$C$8),Projects!$B$8*Projects!$I$8,0)+IF(AND(Projects!$G$9="Yes",Projects!$F$9="Yes",40=Projects!$C$9),Projects!$B$9*Projects!$I$9,0)+IF(AND(Projects!$G$10="Yes",Projects!$F$10="Yes",40=Projects!$C$10),Projects!$B$10*Projects!$I$10,0)+IF(AND(Projects!$G$11="Yes",Projects!$F$11="Yes",40=Projects!$C$11),Projects!$B$11*Projects!$I$11,0)+IF(AND(Projects!$G$12="Yes",Projects!$F$12="Yes",40=Projects!$C$12),Projects!$B$12*Projects!$I$12,0)+IF(AND(Projects!$G$13="Yes",Projects!$F$13="Yes",40=Projects!$C$13),Projects!$B$13*Projects!$I$13,0)+IF(AND(Projects!$G$14="Yes",Projects!$F$14="Yes",40=Projects!$C$14),Projects!$B$14*Projects!$I$14,0)+IF(AND(Projects!$G$15="Yes",Projects!$F$15="Yes",40=Projects!$C$15),Projects!$B$15*Projects!$I$15,0)+IF(AND(Projects!$G$16="Yes",Projects!$F$16="Yes",40=Projects!$C$16),Projects!$B$16*Projects!$I$16,0))</f>
        <v>0</v>
      </c>
      <c r="AQ15" s="8">
        <f>-(IF(AND(Projects!$G$6="Yes",Projects!$F$6="Yes",41=Projects!$C$6),Projects!$B$6*Projects!$I$6,0)+IF(AND(Projects!$G$7="Yes",Projects!$F$7="Yes",41=Projects!$C$7),Projects!$B$7*Projects!$I$7,0)+IF(AND(Projects!$G$8="Yes",Projects!$F$8="Yes",41=Projects!$C$8),Projects!$B$8*Projects!$I$8,0)+IF(AND(Projects!$G$9="Yes",Projects!$F$9="Yes",41=Projects!$C$9),Projects!$B$9*Projects!$I$9,0)+IF(AND(Projects!$G$10="Yes",Projects!$F$10="Yes",41=Projects!$C$10),Projects!$B$10*Projects!$I$10,0)+IF(AND(Projects!$G$11="Yes",Projects!$F$11="Yes",41=Projects!$C$11),Projects!$B$11*Projects!$I$11,0)+IF(AND(Projects!$G$12="Yes",Projects!$F$12="Yes",41=Projects!$C$12),Projects!$B$12*Projects!$I$12,0)+IF(AND(Projects!$G$13="Yes",Projects!$F$13="Yes",41=Projects!$C$13),Projects!$B$13*Projects!$I$13,0)+IF(AND(Projects!$G$14="Yes",Projects!$F$14="Yes",41=Projects!$C$14),Projects!$B$14*Projects!$I$14,0)+IF(AND(Projects!$G$15="Yes",Projects!$F$15="Yes",41=Projects!$C$15),Projects!$B$15*Projects!$I$15,0)+IF(AND(Projects!$G$16="Yes",Projects!$F$16="Yes",41=Projects!$C$16),Projects!$B$16*Projects!$I$16,0))</f>
        <v>0</v>
      </c>
      <c r="AR15" s="8">
        <f>-(IF(AND(Projects!$G$6="Yes",Projects!$F$6="Yes",42=Projects!$C$6),Projects!$B$6*Projects!$I$6,0)+IF(AND(Projects!$G$7="Yes",Projects!$F$7="Yes",42=Projects!$C$7),Projects!$B$7*Projects!$I$7,0)+IF(AND(Projects!$G$8="Yes",Projects!$F$8="Yes",42=Projects!$C$8),Projects!$B$8*Projects!$I$8,0)+IF(AND(Projects!$G$9="Yes",Projects!$F$9="Yes",42=Projects!$C$9),Projects!$B$9*Projects!$I$9,0)+IF(AND(Projects!$G$10="Yes",Projects!$F$10="Yes",42=Projects!$C$10),Projects!$B$10*Projects!$I$10,0)+IF(AND(Projects!$G$11="Yes",Projects!$F$11="Yes",42=Projects!$C$11),Projects!$B$11*Projects!$I$11,0)+IF(AND(Projects!$G$12="Yes",Projects!$F$12="Yes",42=Projects!$C$12),Projects!$B$12*Projects!$I$12,0)+IF(AND(Projects!$G$13="Yes",Projects!$F$13="Yes",42=Projects!$C$13),Projects!$B$13*Projects!$I$13,0)+IF(AND(Projects!$G$14="Yes",Projects!$F$14="Yes",42=Projects!$C$14),Projects!$B$14*Projects!$I$14,0)+IF(AND(Projects!$G$15="Yes",Projects!$F$15="Yes",42=Projects!$C$15),Projects!$B$15*Projects!$I$15,0)+IF(AND(Projects!$G$16="Yes",Projects!$F$16="Yes",42=Projects!$C$16),Projects!$B$16*Projects!$I$16,0))</f>
        <v>0</v>
      </c>
      <c r="AS15" s="8">
        <f>-(IF(AND(Projects!$G$6="Yes",Projects!$F$6="Yes",43=Projects!$C$6),Projects!$B$6*Projects!$I$6,0)+IF(AND(Projects!$G$7="Yes",Projects!$F$7="Yes",43=Projects!$C$7),Projects!$B$7*Projects!$I$7,0)+IF(AND(Projects!$G$8="Yes",Projects!$F$8="Yes",43=Projects!$C$8),Projects!$B$8*Projects!$I$8,0)+IF(AND(Projects!$G$9="Yes",Projects!$F$9="Yes",43=Projects!$C$9),Projects!$B$9*Projects!$I$9,0)+IF(AND(Projects!$G$10="Yes",Projects!$F$10="Yes",43=Projects!$C$10),Projects!$B$10*Projects!$I$10,0)+IF(AND(Projects!$G$11="Yes",Projects!$F$11="Yes",43=Projects!$C$11),Projects!$B$11*Projects!$I$11,0)+IF(AND(Projects!$G$12="Yes",Projects!$F$12="Yes",43=Projects!$C$12),Projects!$B$12*Projects!$I$12,0)+IF(AND(Projects!$G$13="Yes",Projects!$F$13="Yes",43=Projects!$C$13),Projects!$B$13*Projects!$I$13,0)+IF(AND(Projects!$G$14="Yes",Projects!$F$14="Yes",43=Projects!$C$14),Projects!$B$14*Projects!$I$14,0)+IF(AND(Projects!$G$15="Yes",Projects!$F$15="Yes",43=Projects!$C$15),Projects!$B$15*Projects!$I$15,0)+IF(AND(Projects!$G$16="Yes",Projects!$F$16="Yes",43=Projects!$C$16),Projects!$B$16*Projects!$I$16,0))</f>
        <v>0</v>
      </c>
      <c r="AT15" s="8">
        <f>-(IF(AND(Projects!$G$6="Yes",Projects!$F$6="Yes",44=Projects!$C$6),Projects!$B$6*Projects!$I$6,0)+IF(AND(Projects!$G$7="Yes",Projects!$F$7="Yes",44=Projects!$C$7),Projects!$B$7*Projects!$I$7,0)+IF(AND(Projects!$G$8="Yes",Projects!$F$8="Yes",44=Projects!$C$8),Projects!$B$8*Projects!$I$8,0)+IF(AND(Projects!$G$9="Yes",Projects!$F$9="Yes",44=Projects!$C$9),Projects!$B$9*Projects!$I$9,0)+IF(AND(Projects!$G$10="Yes",Projects!$F$10="Yes",44=Projects!$C$10),Projects!$B$10*Projects!$I$10,0)+IF(AND(Projects!$G$11="Yes",Projects!$F$11="Yes",44=Projects!$C$11),Projects!$B$11*Projects!$I$11,0)+IF(AND(Projects!$G$12="Yes",Projects!$F$12="Yes",44=Projects!$C$12),Projects!$B$12*Projects!$I$12,0)+IF(AND(Projects!$G$13="Yes",Projects!$F$13="Yes",44=Projects!$C$13),Projects!$B$13*Projects!$I$13,0)+IF(AND(Projects!$G$14="Yes",Projects!$F$14="Yes",44=Projects!$C$14),Projects!$B$14*Projects!$I$14,0)+IF(AND(Projects!$G$15="Yes",Projects!$F$15="Yes",44=Projects!$C$15),Projects!$B$15*Projects!$I$15,0)+IF(AND(Projects!$G$16="Yes",Projects!$F$16="Yes",44=Projects!$C$16),Projects!$B$16*Projects!$I$16,0))</f>
        <v>0</v>
      </c>
      <c r="AU15" s="8">
        <f>-(IF(AND(Projects!$G$6="Yes",Projects!$F$6="Yes",45=Projects!$C$6),Projects!$B$6*Projects!$I$6,0)+IF(AND(Projects!$G$7="Yes",Projects!$F$7="Yes",45=Projects!$C$7),Projects!$B$7*Projects!$I$7,0)+IF(AND(Projects!$G$8="Yes",Projects!$F$8="Yes",45=Projects!$C$8),Projects!$B$8*Projects!$I$8,0)+IF(AND(Projects!$G$9="Yes",Projects!$F$9="Yes",45=Projects!$C$9),Projects!$B$9*Projects!$I$9,0)+IF(AND(Projects!$G$10="Yes",Projects!$F$10="Yes",45=Projects!$C$10),Projects!$B$10*Projects!$I$10,0)+IF(AND(Projects!$G$11="Yes",Projects!$F$11="Yes",45=Projects!$C$11),Projects!$B$11*Projects!$I$11,0)+IF(AND(Projects!$G$12="Yes",Projects!$F$12="Yes",45=Projects!$C$12),Projects!$B$12*Projects!$I$12,0)+IF(AND(Projects!$G$13="Yes",Projects!$F$13="Yes",45=Projects!$C$13),Projects!$B$13*Projects!$I$13,0)+IF(AND(Projects!$G$14="Yes",Projects!$F$14="Yes",45=Projects!$C$14),Projects!$B$14*Projects!$I$14,0)+IF(AND(Projects!$G$15="Yes",Projects!$F$15="Yes",45=Projects!$C$15),Projects!$B$15*Projects!$I$15,0)+IF(AND(Projects!$G$16="Yes",Projects!$F$16="Yes",45=Projects!$C$16),Projects!$B$16*Projects!$I$16,0))</f>
        <v>0</v>
      </c>
      <c r="AV15" s="8">
        <f>-(IF(AND(Projects!$G$6="Yes",Projects!$F$6="Yes",46=Projects!$C$6),Projects!$B$6*Projects!$I$6,0)+IF(AND(Projects!$G$7="Yes",Projects!$F$7="Yes",46=Projects!$C$7),Projects!$B$7*Projects!$I$7,0)+IF(AND(Projects!$G$8="Yes",Projects!$F$8="Yes",46=Projects!$C$8),Projects!$B$8*Projects!$I$8,0)+IF(AND(Projects!$G$9="Yes",Projects!$F$9="Yes",46=Projects!$C$9),Projects!$B$9*Projects!$I$9,0)+IF(AND(Projects!$G$10="Yes",Projects!$F$10="Yes",46=Projects!$C$10),Projects!$B$10*Projects!$I$10,0)+IF(AND(Projects!$G$11="Yes",Projects!$F$11="Yes",46=Projects!$C$11),Projects!$B$11*Projects!$I$11,0)+IF(AND(Projects!$G$12="Yes",Projects!$F$12="Yes",46=Projects!$C$12),Projects!$B$12*Projects!$I$12,0)+IF(AND(Projects!$G$13="Yes",Projects!$F$13="Yes",46=Projects!$C$13),Projects!$B$13*Projects!$I$13,0)+IF(AND(Projects!$G$14="Yes",Projects!$F$14="Yes",46=Projects!$C$14),Projects!$B$14*Projects!$I$14,0)+IF(AND(Projects!$G$15="Yes",Projects!$F$15="Yes",46=Projects!$C$15),Projects!$B$15*Projects!$I$15,0)+IF(AND(Projects!$G$16="Yes",Projects!$F$16="Yes",46=Projects!$C$16),Projects!$B$16*Projects!$I$16,0))</f>
        <v>0</v>
      </c>
      <c r="AW15" s="8">
        <f>-(IF(AND(Projects!$G$6="Yes",Projects!$F$6="Yes",47=Projects!$C$6),Projects!$B$6*Projects!$I$6,0)+IF(AND(Projects!$G$7="Yes",Projects!$F$7="Yes",47=Projects!$C$7),Projects!$B$7*Projects!$I$7,0)+IF(AND(Projects!$G$8="Yes",Projects!$F$8="Yes",47=Projects!$C$8),Projects!$B$8*Projects!$I$8,0)+IF(AND(Projects!$G$9="Yes",Projects!$F$9="Yes",47=Projects!$C$9),Projects!$B$9*Projects!$I$9,0)+IF(AND(Projects!$G$10="Yes",Projects!$F$10="Yes",47=Projects!$C$10),Projects!$B$10*Projects!$I$10,0)+IF(AND(Projects!$G$11="Yes",Projects!$F$11="Yes",47=Projects!$C$11),Projects!$B$11*Projects!$I$11,0)+IF(AND(Projects!$G$12="Yes",Projects!$F$12="Yes",47=Projects!$C$12),Projects!$B$12*Projects!$I$12,0)+IF(AND(Projects!$G$13="Yes",Projects!$F$13="Yes",47=Projects!$C$13),Projects!$B$13*Projects!$I$13,0)+IF(AND(Projects!$G$14="Yes",Projects!$F$14="Yes",47=Projects!$C$14),Projects!$B$14*Projects!$I$14,0)+IF(AND(Projects!$G$15="Yes",Projects!$F$15="Yes",47=Projects!$C$15),Projects!$B$15*Projects!$I$15,0)+IF(AND(Projects!$G$16="Yes",Projects!$F$16="Yes",47=Projects!$C$16),Projects!$B$16*Projects!$I$16,0))</f>
        <v>0</v>
      </c>
      <c r="AX15" s="8">
        <f>-(IF(AND(Projects!$G$6="Yes",Projects!$F$6="Yes",48=Projects!$C$6),Projects!$B$6*Projects!$I$6,0)+IF(AND(Projects!$G$7="Yes",Projects!$F$7="Yes",48=Projects!$C$7),Projects!$B$7*Projects!$I$7,0)+IF(AND(Projects!$G$8="Yes",Projects!$F$8="Yes",48=Projects!$C$8),Projects!$B$8*Projects!$I$8,0)+IF(AND(Projects!$G$9="Yes",Projects!$F$9="Yes",48=Projects!$C$9),Projects!$B$9*Projects!$I$9,0)+IF(AND(Projects!$G$10="Yes",Projects!$F$10="Yes",48=Projects!$C$10),Projects!$B$10*Projects!$I$10,0)+IF(AND(Projects!$G$11="Yes",Projects!$F$11="Yes",48=Projects!$C$11),Projects!$B$11*Projects!$I$11,0)+IF(AND(Projects!$G$12="Yes",Projects!$F$12="Yes",48=Projects!$C$12),Projects!$B$12*Projects!$I$12,0)+IF(AND(Projects!$G$13="Yes",Projects!$F$13="Yes",48=Projects!$C$13),Projects!$B$13*Projects!$I$13,0)+IF(AND(Projects!$G$14="Yes",Projects!$F$14="Yes",48=Projects!$C$14),Projects!$B$14*Projects!$I$14,0)+IF(AND(Projects!$G$15="Yes",Projects!$F$15="Yes",48=Projects!$C$15),Projects!$B$15*Projects!$I$15,0)+IF(AND(Projects!$G$16="Yes",Projects!$F$16="Yes",48=Projects!$C$16),Projects!$B$16*Projects!$I$16,0))</f>
        <v>0</v>
      </c>
      <c r="AY15" s="8">
        <f>-(IF(AND(Projects!$G$6="Yes",Projects!$F$6="Yes",49=Projects!$C$6),Projects!$B$6*Projects!$I$6,0)+IF(AND(Projects!$G$7="Yes",Projects!$F$7="Yes",49=Projects!$C$7),Projects!$B$7*Projects!$I$7,0)+IF(AND(Projects!$G$8="Yes",Projects!$F$8="Yes",49=Projects!$C$8),Projects!$B$8*Projects!$I$8,0)+IF(AND(Projects!$G$9="Yes",Projects!$F$9="Yes",49=Projects!$C$9),Projects!$B$9*Projects!$I$9,0)+IF(AND(Projects!$G$10="Yes",Projects!$F$10="Yes",49=Projects!$C$10),Projects!$B$10*Projects!$I$10,0)+IF(AND(Projects!$G$11="Yes",Projects!$F$11="Yes",49=Projects!$C$11),Projects!$B$11*Projects!$I$11,0)+IF(AND(Projects!$G$12="Yes",Projects!$F$12="Yes",49=Projects!$C$12),Projects!$B$12*Projects!$I$12,0)+IF(AND(Projects!$G$13="Yes",Projects!$F$13="Yes",49=Projects!$C$13),Projects!$B$13*Projects!$I$13,0)+IF(AND(Projects!$G$14="Yes",Projects!$F$14="Yes",49=Projects!$C$14),Projects!$B$14*Projects!$I$14,0)+IF(AND(Projects!$G$15="Yes",Projects!$F$15="Yes",49=Projects!$C$15),Projects!$B$15*Projects!$I$15,0)+IF(AND(Projects!$G$16="Yes",Projects!$F$16="Yes",49=Projects!$C$16),Projects!$B$16*Projects!$I$16,0))</f>
        <v>0</v>
      </c>
      <c r="AZ15" s="8">
        <f>-(IF(AND(Projects!$G$6="Yes",Projects!$F$6="Yes",50=Projects!$C$6),Projects!$B$6*Projects!$I$6,0)+IF(AND(Projects!$G$7="Yes",Projects!$F$7="Yes",50=Projects!$C$7),Projects!$B$7*Projects!$I$7,0)+IF(AND(Projects!$G$8="Yes",Projects!$F$8="Yes",50=Projects!$C$8),Projects!$B$8*Projects!$I$8,0)+IF(AND(Projects!$G$9="Yes",Projects!$F$9="Yes",50=Projects!$C$9),Projects!$B$9*Projects!$I$9,0)+IF(AND(Projects!$G$10="Yes",Projects!$F$10="Yes",50=Projects!$C$10),Projects!$B$10*Projects!$I$10,0)+IF(AND(Projects!$G$11="Yes",Projects!$F$11="Yes",50=Projects!$C$11),Projects!$B$11*Projects!$I$11,0)+IF(AND(Projects!$G$12="Yes",Projects!$F$12="Yes",50=Projects!$C$12),Projects!$B$12*Projects!$I$12,0)+IF(AND(Projects!$G$13="Yes",Projects!$F$13="Yes",50=Projects!$C$13),Projects!$B$13*Projects!$I$13,0)+IF(AND(Projects!$G$14="Yes",Projects!$F$14="Yes",50=Projects!$C$14),Projects!$B$14*Projects!$I$14,0)+IF(AND(Projects!$G$15="Yes",Projects!$F$15="Yes",50=Projects!$C$15),Projects!$B$15*Projects!$I$15,0)+IF(AND(Projects!$G$16="Yes",Projects!$F$16="Yes",50=Projects!$C$16),Projects!$B$16*Projects!$I$16,0))</f>
        <v>0</v>
      </c>
      <c r="BA15" s="8">
        <f>-(IF(AND(Projects!$G$6="Yes",Projects!$F$6="Yes",51=Projects!$C$6),Projects!$B$6*Projects!$I$6,0)+IF(AND(Projects!$G$7="Yes",Projects!$F$7="Yes",51=Projects!$C$7),Projects!$B$7*Projects!$I$7,0)+IF(AND(Projects!$G$8="Yes",Projects!$F$8="Yes",51=Projects!$C$8),Projects!$B$8*Projects!$I$8,0)+IF(AND(Projects!$G$9="Yes",Projects!$F$9="Yes",51=Projects!$C$9),Projects!$B$9*Projects!$I$9,0)+IF(AND(Projects!$G$10="Yes",Projects!$F$10="Yes",51=Projects!$C$10),Projects!$B$10*Projects!$I$10,0)+IF(AND(Projects!$G$11="Yes",Projects!$F$11="Yes",51=Projects!$C$11),Projects!$B$11*Projects!$I$11,0)+IF(AND(Projects!$G$12="Yes",Projects!$F$12="Yes",51=Projects!$C$12),Projects!$B$12*Projects!$I$12,0)+IF(AND(Projects!$G$13="Yes",Projects!$F$13="Yes",51=Projects!$C$13),Projects!$B$13*Projects!$I$13,0)+IF(AND(Projects!$G$14="Yes",Projects!$F$14="Yes",51=Projects!$C$14),Projects!$B$14*Projects!$I$14,0)+IF(AND(Projects!$G$15="Yes",Projects!$F$15="Yes",51=Projects!$C$15),Projects!$B$15*Projects!$I$15,0)+IF(AND(Projects!$G$16="Yes",Projects!$F$16="Yes",51=Projects!$C$16),Projects!$B$16*Projects!$I$16,0))</f>
        <v>0</v>
      </c>
      <c r="BB15" s="8">
        <f>-(IF(AND(Projects!$G$6="Yes",Projects!$F$6="Yes",52=Projects!$C$6),Projects!$B$6*Projects!$I$6,0)+IF(AND(Projects!$G$7="Yes",Projects!$F$7="Yes",52=Projects!$C$7),Projects!$B$7*Projects!$I$7,0)+IF(AND(Projects!$G$8="Yes",Projects!$F$8="Yes",52=Projects!$C$8),Projects!$B$8*Projects!$I$8,0)+IF(AND(Projects!$G$9="Yes",Projects!$F$9="Yes",52=Projects!$C$9),Projects!$B$9*Projects!$I$9,0)+IF(AND(Projects!$G$10="Yes",Projects!$F$10="Yes",52=Projects!$C$10),Projects!$B$10*Projects!$I$10,0)+IF(AND(Projects!$G$11="Yes",Projects!$F$11="Yes",52=Projects!$C$11),Projects!$B$11*Projects!$I$11,0)+IF(AND(Projects!$G$12="Yes",Projects!$F$12="Yes",52=Projects!$C$12),Projects!$B$12*Projects!$I$12,0)+IF(AND(Projects!$G$13="Yes",Projects!$F$13="Yes",52=Projects!$C$13),Projects!$B$13*Projects!$I$13,0)+IF(AND(Projects!$G$14="Yes",Projects!$F$14="Yes",52=Projects!$C$14),Projects!$B$14*Projects!$I$14,0)+IF(AND(Projects!$G$15="Yes",Projects!$F$15="Yes",52=Projects!$C$15),Projects!$B$15*Projects!$I$15,0)+IF(AND(Projects!$G$16="Yes",Projects!$F$16="Yes",52=Projects!$C$16),Projects!$B$16*Projects!$I$16,0))</f>
        <v>0</v>
      </c>
      <c r="BC15" s="8">
        <f>-(IF(AND(Projects!$G$6="Yes",Projects!$F$6="Yes",53=Projects!$C$6),Projects!$B$6*Projects!$I$6,0)+IF(AND(Projects!$G$7="Yes",Projects!$F$7="Yes",53=Projects!$C$7),Projects!$B$7*Projects!$I$7,0)+IF(AND(Projects!$G$8="Yes",Projects!$F$8="Yes",53=Projects!$C$8),Projects!$B$8*Projects!$I$8,0)+IF(AND(Projects!$G$9="Yes",Projects!$F$9="Yes",53=Projects!$C$9),Projects!$B$9*Projects!$I$9,0)+IF(AND(Projects!$G$10="Yes",Projects!$F$10="Yes",53=Projects!$C$10),Projects!$B$10*Projects!$I$10,0)+IF(AND(Projects!$G$11="Yes",Projects!$F$11="Yes",53=Projects!$C$11),Projects!$B$11*Projects!$I$11,0)+IF(AND(Projects!$G$12="Yes",Projects!$F$12="Yes",53=Projects!$C$12),Projects!$B$12*Projects!$I$12,0)+IF(AND(Projects!$G$13="Yes",Projects!$F$13="Yes",53=Projects!$C$13),Projects!$B$13*Projects!$I$13,0)+IF(AND(Projects!$G$14="Yes",Projects!$F$14="Yes",53=Projects!$C$14),Projects!$B$14*Projects!$I$14,0)+IF(AND(Projects!$G$15="Yes",Projects!$F$15="Yes",53=Projects!$C$15),Projects!$B$15*Projects!$I$15,0)+IF(AND(Projects!$G$16="Yes",Projects!$F$16="Yes",53=Projects!$C$16),Projects!$B$16*Projects!$I$16,0))</f>
        <v>0</v>
      </c>
      <c r="BD15" s="8">
        <f>-(IF(AND(Projects!$G$6="Yes",Projects!$F$6="Yes",54=Projects!$C$6),Projects!$B$6*Projects!$I$6,0)+IF(AND(Projects!$G$7="Yes",Projects!$F$7="Yes",54=Projects!$C$7),Projects!$B$7*Projects!$I$7,0)+IF(AND(Projects!$G$8="Yes",Projects!$F$8="Yes",54=Projects!$C$8),Projects!$B$8*Projects!$I$8,0)+IF(AND(Projects!$G$9="Yes",Projects!$F$9="Yes",54=Projects!$C$9),Projects!$B$9*Projects!$I$9,0)+IF(AND(Projects!$G$10="Yes",Projects!$F$10="Yes",54=Projects!$C$10),Projects!$B$10*Projects!$I$10,0)+IF(AND(Projects!$G$11="Yes",Projects!$F$11="Yes",54=Projects!$C$11),Projects!$B$11*Projects!$I$11,0)+IF(AND(Projects!$G$12="Yes",Projects!$F$12="Yes",54=Projects!$C$12),Projects!$B$12*Projects!$I$12,0)+IF(AND(Projects!$G$13="Yes",Projects!$F$13="Yes",54=Projects!$C$13),Projects!$B$13*Projects!$I$13,0)+IF(AND(Projects!$G$14="Yes",Projects!$F$14="Yes",54=Projects!$C$14),Projects!$B$14*Projects!$I$14,0)+IF(AND(Projects!$G$15="Yes",Projects!$F$15="Yes",54=Projects!$C$15),Projects!$B$15*Projects!$I$15,0)+IF(AND(Projects!$G$16="Yes",Projects!$F$16="Yes",54=Projects!$C$16),Projects!$B$16*Projects!$I$16,0))</f>
        <v>0</v>
      </c>
      <c r="BE15" s="8">
        <f>-(IF(AND(Projects!$G$6="Yes",Projects!$F$6="Yes",55=Projects!$C$6),Projects!$B$6*Projects!$I$6,0)+IF(AND(Projects!$G$7="Yes",Projects!$F$7="Yes",55=Projects!$C$7),Projects!$B$7*Projects!$I$7,0)+IF(AND(Projects!$G$8="Yes",Projects!$F$8="Yes",55=Projects!$C$8),Projects!$B$8*Projects!$I$8,0)+IF(AND(Projects!$G$9="Yes",Projects!$F$9="Yes",55=Projects!$C$9),Projects!$B$9*Projects!$I$9,0)+IF(AND(Projects!$G$10="Yes",Projects!$F$10="Yes",55=Projects!$C$10),Projects!$B$10*Projects!$I$10,0)+IF(AND(Projects!$G$11="Yes",Projects!$F$11="Yes",55=Projects!$C$11),Projects!$B$11*Projects!$I$11,0)+IF(AND(Projects!$G$12="Yes",Projects!$F$12="Yes",55=Projects!$C$12),Projects!$B$12*Projects!$I$12,0)+IF(AND(Projects!$G$13="Yes",Projects!$F$13="Yes",55=Projects!$C$13),Projects!$B$13*Projects!$I$13,0)+IF(AND(Projects!$G$14="Yes",Projects!$F$14="Yes",55=Projects!$C$14),Projects!$B$14*Projects!$I$14,0)+IF(AND(Projects!$G$15="Yes",Projects!$F$15="Yes",55=Projects!$C$15),Projects!$B$15*Projects!$I$15,0)+IF(AND(Projects!$G$16="Yes",Projects!$F$16="Yes",55=Projects!$C$16),Projects!$B$16*Projects!$I$16,0))</f>
        <v>0</v>
      </c>
      <c r="BF15" s="8">
        <f>-(IF(AND(Projects!$G$6="Yes",Projects!$F$6="Yes",56=Projects!$C$6),Projects!$B$6*Projects!$I$6,0)+IF(AND(Projects!$G$7="Yes",Projects!$F$7="Yes",56=Projects!$C$7),Projects!$B$7*Projects!$I$7,0)+IF(AND(Projects!$G$8="Yes",Projects!$F$8="Yes",56=Projects!$C$8),Projects!$B$8*Projects!$I$8,0)+IF(AND(Projects!$G$9="Yes",Projects!$F$9="Yes",56=Projects!$C$9),Projects!$B$9*Projects!$I$9,0)+IF(AND(Projects!$G$10="Yes",Projects!$F$10="Yes",56=Projects!$C$10),Projects!$B$10*Projects!$I$10,0)+IF(AND(Projects!$G$11="Yes",Projects!$F$11="Yes",56=Projects!$C$11),Projects!$B$11*Projects!$I$11,0)+IF(AND(Projects!$G$12="Yes",Projects!$F$12="Yes",56=Projects!$C$12),Projects!$B$12*Projects!$I$12,0)+IF(AND(Projects!$G$13="Yes",Projects!$F$13="Yes",56=Projects!$C$13),Projects!$B$13*Projects!$I$13,0)+IF(AND(Projects!$G$14="Yes",Projects!$F$14="Yes",56=Projects!$C$14),Projects!$B$14*Projects!$I$14,0)+IF(AND(Projects!$G$15="Yes",Projects!$F$15="Yes",56=Projects!$C$15),Projects!$B$15*Projects!$I$15,0)+IF(AND(Projects!$G$16="Yes",Projects!$F$16="Yes",56=Projects!$C$16),Projects!$B$16*Projects!$I$16,0))</f>
        <v>0</v>
      </c>
      <c r="BG15" s="8">
        <f>-(IF(AND(Projects!$G$6="Yes",Projects!$F$6="Yes",57=Projects!$C$6),Projects!$B$6*Projects!$I$6,0)+IF(AND(Projects!$G$7="Yes",Projects!$F$7="Yes",57=Projects!$C$7),Projects!$B$7*Projects!$I$7,0)+IF(AND(Projects!$G$8="Yes",Projects!$F$8="Yes",57=Projects!$C$8),Projects!$B$8*Projects!$I$8,0)+IF(AND(Projects!$G$9="Yes",Projects!$F$9="Yes",57=Projects!$C$9),Projects!$B$9*Projects!$I$9,0)+IF(AND(Projects!$G$10="Yes",Projects!$F$10="Yes",57=Projects!$C$10),Projects!$B$10*Projects!$I$10,0)+IF(AND(Projects!$G$11="Yes",Projects!$F$11="Yes",57=Projects!$C$11),Projects!$B$11*Projects!$I$11,0)+IF(AND(Projects!$G$12="Yes",Projects!$F$12="Yes",57=Projects!$C$12),Projects!$B$12*Projects!$I$12,0)+IF(AND(Projects!$G$13="Yes",Projects!$F$13="Yes",57=Projects!$C$13),Projects!$B$13*Projects!$I$13,0)+IF(AND(Projects!$G$14="Yes",Projects!$F$14="Yes",57=Projects!$C$14),Projects!$B$14*Projects!$I$14,0)+IF(AND(Projects!$G$15="Yes",Projects!$F$15="Yes",57=Projects!$C$15),Projects!$B$15*Projects!$I$15,0)+IF(AND(Projects!$G$16="Yes",Projects!$F$16="Yes",57=Projects!$C$16),Projects!$B$16*Projects!$I$16,0))</f>
        <v>0</v>
      </c>
      <c r="BH15" s="8">
        <f>-(IF(AND(Projects!$G$6="Yes",Projects!$F$6="Yes",58=Projects!$C$6),Projects!$B$6*Projects!$I$6,0)+IF(AND(Projects!$G$7="Yes",Projects!$F$7="Yes",58=Projects!$C$7),Projects!$B$7*Projects!$I$7,0)+IF(AND(Projects!$G$8="Yes",Projects!$F$8="Yes",58=Projects!$C$8),Projects!$B$8*Projects!$I$8,0)+IF(AND(Projects!$G$9="Yes",Projects!$F$9="Yes",58=Projects!$C$9),Projects!$B$9*Projects!$I$9,0)+IF(AND(Projects!$G$10="Yes",Projects!$F$10="Yes",58=Projects!$C$10),Projects!$B$10*Projects!$I$10,0)+IF(AND(Projects!$G$11="Yes",Projects!$F$11="Yes",58=Projects!$C$11),Projects!$B$11*Projects!$I$11,0)+IF(AND(Projects!$G$12="Yes",Projects!$F$12="Yes",58=Projects!$C$12),Projects!$B$12*Projects!$I$12,0)+IF(AND(Projects!$G$13="Yes",Projects!$F$13="Yes",58=Projects!$C$13),Projects!$B$13*Projects!$I$13,0)+IF(AND(Projects!$G$14="Yes",Projects!$F$14="Yes",58=Projects!$C$14),Projects!$B$14*Projects!$I$14,0)+IF(AND(Projects!$G$15="Yes",Projects!$F$15="Yes",58=Projects!$C$15),Projects!$B$15*Projects!$I$15,0)+IF(AND(Projects!$G$16="Yes",Projects!$F$16="Yes",58=Projects!$C$16),Projects!$B$16*Projects!$I$16,0))</f>
        <v>0</v>
      </c>
      <c r="BI15" s="8">
        <f>-(IF(AND(Projects!$G$6="Yes",Projects!$F$6="Yes",59=Projects!$C$6),Projects!$B$6*Projects!$I$6,0)+IF(AND(Projects!$G$7="Yes",Projects!$F$7="Yes",59=Projects!$C$7),Projects!$B$7*Projects!$I$7,0)+IF(AND(Projects!$G$8="Yes",Projects!$F$8="Yes",59=Projects!$C$8),Projects!$B$8*Projects!$I$8,0)+IF(AND(Projects!$G$9="Yes",Projects!$F$9="Yes",59=Projects!$C$9),Projects!$B$9*Projects!$I$9,0)+IF(AND(Projects!$G$10="Yes",Projects!$F$10="Yes",59=Projects!$C$10),Projects!$B$10*Projects!$I$10,0)+IF(AND(Projects!$G$11="Yes",Projects!$F$11="Yes",59=Projects!$C$11),Projects!$B$11*Projects!$I$11,0)+IF(AND(Projects!$G$12="Yes",Projects!$F$12="Yes",59=Projects!$C$12),Projects!$B$12*Projects!$I$12,0)+IF(AND(Projects!$G$13="Yes",Projects!$F$13="Yes",59=Projects!$C$13),Projects!$B$13*Projects!$I$13,0)+IF(AND(Projects!$G$14="Yes",Projects!$F$14="Yes",59=Projects!$C$14),Projects!$B$14*Projects!$I$14,0)+IF(AND(Projects!$G$15="Yes",Projects!$F$15="Yes",59=Projects!$C$15),Projects!$B$15*Projects!$I$15,0)+IF(AND(Projects!$G$16="Yes",Projects!$F$16="Yes",59=Projects!$C$16),Projects!$B$16*Projects!$I$16,0))</f>
        <v>0</v>
      </c>
      <c r="BJ15" s="8">
        <f>-(IF(AND(Projects!$G$6="Yes",Projects!$F$6="Yes",60=Projects!$C$6),Projects!$B$6*Projects!$I$6,0)+IF(AND(Projects!$G$7="Yes",Projects!$F$7="Yes",60=Projects!$C$7),Projects!$B$7*Projects!$I$7,0)+IF(AND(Projects!$G$8="Yes",Projects!$F$8="Yes",60=Projects!$C$8),Projects!$B$8*Projects!$I$8,0)+IF(AND(Projects!$G$9="Yes",Projects!$F$9="Yes",60=Projects!$C$9),Projects!$B$9*Projects!$I$9,0)+IF(AND(Projects!$G$10="Yes",Projects!$F$10="Yes",60=Projects!$C$10),Projects!$B$10*Projects!$I$10,0)+IF(AND(Projects!$G$11="Yes",Projects!$F$11="Yes",60=Projects!$C$11),Projects!$B$11*Projects!$I$11,0)+IF(AND(Projects!$G$12="Yes",Projects!$F$12="Yes",60=Projects!$C$12),Projects!$B$12*Projects!$I$12,0)+IF(AND(Projects!$G$13="Yes",Projects!$F$13="Yes",60=Projects!$C$13),Projects!$B$13*Projects!$I$13,0)+IF(AND(Projects!$G$14="Yes",Projects!$F$14="Yes",60=Projects!$C$14),Projects!$B$14*Projects!$I$14,0)+IF(AND(Projects!$G$15="Yes",Projects!$F$15="Yes",60=Projects!$C$15),Projects!$B$15*Projects!$I$15,0)+IF(AND(Projects!$G$16="Yes",Projects!$F$16="Yes",60=Projects!$C$16),Projects!$B$16*Projects!$I$16,0))</f>
        <v>0</v>
      </c>
      <c r="BK15" s="8">
        <f>-(IF(AND(Projects!$G$6="Yes",Projects!$F$6="Yes",61=Projects!$C$6),Projects!$B$6*Projects!$I$6,0)+IF(AND(Projects!$G$7="Yes",Projects!$F$7="Yes",61=Projects!$C$7),Projects!$B$7*Projects!$I$7,0)+IF(AND(Projects!$G$8="Yes",Projects!$F$8="Yes",61=Projects!$C$8),Projects!$B$8*Projects!$I$8,0)+IF(AND(Projects!$G$9="Yes",Projects!$F$9="Yes",61=Projects!$C$9),Projects!$B$9*Projects!$I$9,0)+IF(AND(Projects!$G$10="Yes",Projects!$F$10="Yes",61=Projects!$C$10),Projects!$B$10*Projects!$I$10,0)+IF(AND(Projects!$G$11="Yes",Projects!$F$11="Yes",61=Projects!$C$11),Projects!$B$11*Projects!$I$11,0)+IF(AND(Projects!$G$12="Yes",Projects!$F$12="Yes",61=Projects!$C$12),Projects!$B$12*Projects!$I$12,0)+IF(AND(Projects!$G$13="Yes",Projects!$F$13="Yes",61=Projects!$C$13),Projects!$B$13*Projects!$I$13,0)+IF(AND(Projects!$G$14="Yes",Projects!$F$14="Yes",61=Projects!$C$14),Projects!$B$14*Projects!$I$14,0)+IF(AND(Projects!$G$15="Yes",Projects!$F$15="Yes",61=Projects!$C$15),Projects!$B$15*Projects!$I$15,0)+IF(AND(Projects!$G$16="Yes",Projects!$F$16="Yes",61=Projects!$C$16),Projects!$B$16*Projects!$I$16,0))</f>
        <v>0</v>
      </c>
      <c r="BL15" s="8">
        <f>-(IF(AND(Projects!$G$6="Yes",Projects!$F$6="Yes",62=Projects!$C$6),Projects!$B$6*Projects!$I$6,0)+IF(AND(Projects!$G$7="Yes",Projects!$F$7="Yes",62=Projects!$C$7),Projects!$B$7*Projects!$I$7,0)+IF(AND(Projects!$G$8="Yes",Projects!$F$8="Yes",62=Projects!$C$8),Projects!$B$8*Projects!$I$8,0)+IF(AND(Projects!$G$9="Yes",Projects!$F$9="Yes",62=Projects!$C$9),Projects!$B$9*Projects!$I$9,0)+IF(AND(Projects!$G$10="Yes",Projects!$F$10="Yes",62=Projects!$C$10),Projects!$B$10*Projects!$I$10,0)+IF(AND(Projects!$G$11="Yes",Projects!$F$11="Yes",62=Projects!$C$11),Projects!$B$11*Projects!$I$11,0)+IF(AND(Projects!$G$12="Yes",Projects!$F$12="Yes",62=Projects!$C$12),Projects!$B$12*Projects!$I$12,0)+IF(AND(Projects!$G$13="Yes",Projects!$F$13="Yes",62=Projects!$C$13),Projects!$B$13*Projects!$I$13,0)+IF(AND(Projects!$G$14="Yes",Projects!$F$14="Yes",62=Projects!$C$14),Projects!$B$14*Projects!$I$14,0)+IF(AND(Projects!$G$15="Yes",Projects!$F$15="Yes",62=Projects!$C$15),Projects!$B$15*Projects!$I$15,0)+IF(AND(Projects!$G$16="Yes",Projects!$F$16="Yes",62=Projects!$C$16),Projects!$B$16*Projects!$I$16,0))</f>
        <v>0</v>
      </c>
      <c r="BM15" s="8">
        <f>-(IF(AND(Projects!$G$6="Yes",Projects!$F$6="Yes",63=Projects!$C$6),Projects!$B$6*Projects!$I$6,0)+IF(AND(Projects!$G$7="Yes",Projects!$F$7="Yes",63=Projects!$C$7),Projects!$B$7*Projects!$I$7,0)+IF(AND(Projects!$G$8="Yes",Projects!$F$8="Yes",63=Projects!$C$8),Projects!$B$8*Projects!$I$8,0)+IF(AND(Projects!$G$9="Yes",Projects!$F$9="Yes",63=Projects!$C$9),Projects!$B$9*Projects!$I$9,0)+IF(AND(Projects!$G$10="Yes",Projects!$F$10="Yes",63=Projects!$C$10),Projects!$B$10*Projects!$I$10,0)+IF(AND(Projects!$G$11="Yes",Projects!$F$11="Yes",63=Projects!$C$11),Projects!$B$11*Projects!$I$11,0)+IF(AND(Projects!$G$12="Yes",Projects!$F$12="Yes",63=Projects!$C$12),Projects!$B$12*Projects!$I$12,0)+IF(AND(Projects!$G$13="Yes",Projects!$F$13="Yes",63=Projects!$C$13),Projects!$B$13*Projects!$I$13,0)+IF(AND(Projects!$G$14="Yes",Projects!$F$14="Yes",63=Projects!$C$14),Projects!$B$14*Projects!$I$14,0)+IF(AND(Projects!$G$15="Yes",Projects!$F$15="Yes",63=Projects!$C$15),Projects!$B$15*Projects!$I$15,0)+IF(AND(Projects!$G$16="Yes",Projects!$F$16="Yes",63=Projects!$C$16),Projects!$B$16*Projects!$I$16,0))</f>
        <v>0</v>
      </c>
      <c r="BN15" s="8">
        <f>-(IF(AND(Projects!$G$6="Yes",Projects!$F$6="Yes",64=Projects!$C$6),Projects!$B$6*Projects!$I$6,0)+IF(AND(Projects!$G$7="Yes",Projects!$F$7="Yes",64=Projects!$C$7),Projects!$B$7*Projects!$I$7,0)+IF(AND(Projects!$G$8="Yes",Projects!$F$8="Yes",64=Projects!$C$8),Projects!$B$8*Projects!$I$8,0)+IF(AND(Projects!$G$9="Yes",Projects!$F$9="Yes",64=Projects!$C$9),Projects!$B$9*Projects!$I$9,0)+IF(AND(Projects!$G$10="Yes",Projects!$F$10="Yes",64=Projects!$C$10),Projects!$B$10*Projects!$I$10,0)+IF(AND(Projects!$G$11="Yes",Projects!$F$11="Yes",64=Projects!$C$11),Projects!$B$11*Projects!$I$11,0)+IF(AND(Projects!$G$12="Yes",Projects!$F$12="Yes",64=Projects!$C$12),Projects!$B$12*Projects!$I$12,0)+IF(AND(Projects!$G$13="Yes",Projects!$F$13="Yes",64=Projects!$C$13),Projects!$B$13*Projects!$I$13,0)+IF(AND(Projects!$G$14="Yes",Projects!$F$14="Yes",64=Projects!$C$14),Projects!$B$14*Projects!$I$14,0)+IF(AND(Projects!$G$15="Yes",Projects!$F$15="Yes",64=Projects!$C$15),Projects!$B$15*Projects!$I$15,0)+IF(AND(Projects!$G$16="Yes",Projects!$F$16="Yes",64=Projects!$C$16),Projects!$B$16*Projects!$I$16,0))</f>
        <v>0</v>
      </c>
      <c r="BO15" s="8">
        <f>-(IF(AND(Projects!$G$6="Yes",Projects!$F$6="Yes",65=Projects!$C$6),Projects!$B$6*Projects!$I$6,0)+IF(AND(Projects!$G$7="Yes",Projects!$F$7="Yes",65=Projects!$C$7),Projects!$B$7*Projects!$I$7,0)+IF(AND(Projects!$G$8="Yes",Projects!$F$8="Yes",65=Projects!$C$8),Projects!$B$8*Projects!$I$8,0)+IF(AND(Projects!$G$9="Yes",Projects!$F$9="Yes",65=Projects!$C$9),Projects!$B$9*Projects!$I$9,0)+IF(AND(Projects!$G$10="Yes",Projects!$F$10="Yes",65=Projects!$C$10),Projects!$B$10*Projects!$I$10,0)+IF(AND(Projects!$G$11="Yes",Projects!$F$11="Yes",65=Projects!$C$11),Projects!$B$11*Projects!$I$11,0)+IF(AND(Projects!$G$12="Yes",Projects!$F$12="Yes",65=Projects!$C$12),Projects!$B$12*Projects!$I$12,0)+IF(AND(Projects!$G$13="Yes",Projects!$F$13="Yes",65=Projects!$C$13),Projects!$B$13*Projects!$I$13,0)+IF(AND(Projects!$G$14="Yes",Projects!$F$14="Yes",65=Projects!$C$14),Projects!$B$14*Projects!$I$14,0)+IF(AND(Projects!$G$15="Yes",Projects!$F$15="Yes",65=Projects!$C$15),Projects!$B$15*Projects!$I$15,0)+IF(AND(Projects!$G$16="Yes",Projects!$F$16="Yes",65=Projects!$C$16),Projects!$B$16*Projects!$I$16,0))</f>
        <v>0</v>
      </c>
      <c r="BP15" s="8">
        <f>-(IF(AND(Projects!$G$6="Yes",Projects!$F$6="Yes",66=Projects!$C$6),Projects!$B$6*Projects!$I$6,0)+IF(AND(Projects!$G$7="Yes",Projects!$F$7="Yes",66=Projects!$C$7),Projects!$B$7*Projects!$I$7,0)+IF(AND(Projects!$G$8="Yes",Projects!$F$8="Yes",66=Projects!$C$8),Projects!$B$8*Projects!$I$8,0)+IF(AND(Projects!$G$9="Yes",Projects!$F$9="Yes",66=Projects!$C$9),Projects!$B$9*Projects!$I$9,0)+IF(AND(Projects!$G$10="Yes",Projects!$F$10="Yes",66=Projects!$C$10),Projects!$B$10*Projects!$I$10,0)+IF(AND(Projects!$G$11="Yes",Projects!$F$11="Yes",66=Projects!$C$11),Projects!$B$11*Projects!$I$11,0)+IF(AND(Projects!$G$12="Yes",Projects!$F$12="Yes",66=Projects!$C$12),Projects!$B$12*Projects!$I$12,0)+IF(AND(Projects!$G$13="Yes",Projects!$F$13="Yes",66=Projects!$C$13),Projects!$B$13*Projects!$I$13,0)+IF(AND(Projects!$G$14="Yes",Projects!$F$14="Yes",66=Projects!$C$14),Projects!$B$14*Projects!$I$14,0)+IF(AND(Projects!$G$15="Yes",Projects!$F$15="Yes",66=Projects!$C$15),Projects!$B$15*Projects!$I$15,0)+IF(AND(Projects!$G$16="Yes",Projects!$F$16="Yes",66=Projects!$C$16),Projects!$B$16*Projects!$I$16,0))</f>
        <v>0</v>
      </c>
      <c r="BQ15" s="8">
        <f>-(IF(AND(Projects!$G$6="Yes",Projects!$F$6="Yes",67=Projects!$C$6),Projects!$B$6*Projects!$I$6,0)+IF(AND(Projects!$G$7="Yes",Projects!$F$7="Yes",67=Projects!$C$7),Projects!$B$7*Projects!$I$7,0)+IF(AND(Projects!$G$8="Yes",Projects!$F$8="Yes",67=Projects!$C$8),Projects!$B$8*Projects!$I$8,0)+IF(AND(Projects!$G$9="Yes",Projects!$F$9="Yes",67=Projects!$C$9),Projects!$B$9*Projects!$I$9,0)+IF(AND(Projects!$G$10="Yes",Projects!$F$10="Yes",67=Projects!$C$10),Projects!$B$10*Projects!$I$10,0)+IF(AND(Projects!$G$11="Yes",Projects!$F$11="Yes",67=Projects!$C$11),Projects!$B$11*Projects!$I$11,0)+IF(AND(Projects!$G$12="Yes",Projects!$F$12="Yes",67=Projects!$C$12),Projects!$B$12*Projects!$I$12,0)+IF(AND(Projects!$G$13="Yes",Projects!$F$13="Yes",67=Projects!$C$13),Projects!$B$13*Projects!$I$13,0)+IF(AND(Projects!$G$14="Yes",Projects!$F$14="Yes",67=Projects!$C$14),Projects!$B$14*Projects!$I$14,0)+IF(AND(Projects!$G$15="Yes",Projects!$F$15="Yes",67=Projects!$C$15),Projects!$B$15*Projects!$I$15,0)+IF(AND(Projects!$G$16="Yes",Projects!$F$16="Yes",67=Projects!$C$16),Projects!$B$16*Projects!$I$16,0))</f>
        <v>0</v>
      </c>
      <c r="BR15" s="8">
        <f>-(IF(AND(Projects!$G$6="Yes",Projects!$F$6="Yes",68=Projects!$C$6),Projects!$B$6*Projects!$I$6,0)+IF(AND(Projects!$G$7="Yes",Projects!$F$7="Yes",68=Projects!$C$7),Projects!$B$7*Projects!$I$7,0)+IF(AND(Projects!$G$8="Yes",Projects!$F$8="Yes",68=Projects!$C$8),Projects!$B$8*Projects!$I$8,0)+IF(AND(Projects!$G$9="Yes",Projects!$F$9="Yes",68=Projects!$C$9),Projects!$B$9*Projects!$I$9,0)+IF(AND(Projects!$G$10="Yes",Projects!$F$10="Yes",68=Projects!$C$10),Projects!$B$10*Projects!$I$10,0)+IF(AND(Projects!$G$11="Yes",Projects!$F$11="Yes",68=Projects!$C$11),Projects!$B$11*Projects!$I$11,0)+IF(AND(Projects!$G$12="Yes",Projects!$F$12="Yes",68=Projects!$C$12),Projects!$B$12*Projects!$I$12,0)+IF(AND(Projects!$G$13="Yes",Projects!$F$13="Yes",68=Projects!$C$13),Projects!$B$13*Projects!$I$13,0)+IF(AND(Projects!$G$14="Yes",Projects!$F$14="Yes",68=Projects!$C$14),Projects!$B$14*Projects!$I$14,0)+IF(AND(Projects!$G$15="Yes",Projects!$F$15="Yes",68=Projects!$C$15),Projects!$B$15*Projects!$I$15,0)+IF(AND(Projects!$G$16="Yes",Projects!$F$16="Yes",68=Projects!$C$16),Projects!$B$16*Projects!$I$16,0))</f>
        <v>0</v>
      </c>
      <c r="BS15" s="8">
        <f>-(IF(AND(Projects!$G$6="Yes",Projects!$F$6="Yes",69=Projects!$C$6),Projects!$B$6*Projects!$I$6,0)+IF(AND(Projects!$G$7="Yes",Projects!$F$7="Yes",69=Projects!$C$7),Projects!$B$7*Projects!$I$7,0)+IF(AND(Projects!$G$8="Yes",Projects!$F$8="Yes",69=Projects!$C$8),Projects!$B$8*Projects!$I$8,0)+IF(AND(Projects!$G$9="Yes",Projects!$F$9="Yes",69=Projects!$C$9),Projects!$B$9*Projects!$I$9,0)+IF(AND(Projects!$G$10="Yes",Projects!$F$10="Yes",69=Projects!$C$10),Projects!$B$10*Projects!$I$10,0)+IF(AND(Projects!$G$11="Yes",Projects!$F$11="Yes",69=Projects!$C$11),Projects!$B$11*Projects!$I$11,0)+IF(AND(Projects!$G$12="Yes",Projects!$F$12="Yes",69=Projects!$C$12),Projects!$B$12*Projects!$I$12,0)+IF(AND(Projects!$G$13="Yes",Projects!$F$13="Yes",69=Projects!$C$13),Projects!$B$13*Projects!$I$13,0)+IF(AND(Projects!$G$14="Yes",Projects!$F$14="Yes",69=Projects!$C$14),Projects!$B$14*Projects!$I$14,0)+IF(AND(Projects!$G$15="Yes",Projects!$F$15="Yes",69=Projects!$C$15),Projects!$B$15*Projects!$I$15,0)+IF(AND(Projects!$G$16="Yes",Projects!$F$16="Yes",69=Projects!$C$16),Projects!$B$16*Projects!$I$16,0))</f>
        <v>0</v>
      </c>
      <c r="BT15" s="8">
        <f>-(IF(AND(Projects!$G$6="Yes",Projects!$F$6="Yes",70=Projects!$C$6),Projects!$B$6*Projects!$I$6,0)+IF(AND(Projects!$G$7="Yes",Projects!$F$7="Yes",70=Projects!$C$7),Projects!$B$7*Projects!$I$7,0)+IF(AND(Projects!$G$8="Yes",Projects!$F$8="Yes",70=Projects!$C$8),Projects!$B$8*Projects!$I$8,0)+IF(AND(Projects!$G$9="Yes",Projects!$F$9="Yes",70=Projects!$C$9),Projects!$B$9*Projects!$I$9,0)+IF(AND(Projects!$G$10="Yes",Projects!$F$10="Yes",70=Projects!$C$10),Projects!$B$10*Projects!$I$10,0)+IF(AND(Projects!$G$11="Yes",Projects!$F$11="Yes",70=Projects!$C$11),Projects!$B$11*Projects!$I$11,0)+IF(AND(Projects!$G$12="Yes",Projects!$F$12="Yes",70=Projects!$C$12),Projects!$B$12*Projects!$I$12,0)+IF(AND(Projects!$G$13="Yes",Projects!$F$13="Yes",70=Projects!$C$13),Projects!$B$13*Projects!$I$13,0)+IF(AND(Projects!$G$14="Yes",Projects!$F$14="Yes",70=Projects!$C$14),Projects!$B$14*Projects!$I$14,0)+IF(AND(Projects!$G$15="Yes",Projects!$F$15="Yes",70=Projects!$C$15),Projects!$B$15*Projects!$I$15,0)+IF(AND(Projects!$G$16="Yes",Projects!$F$16="Yes",70=Projects!$C$16),Projects!$B$16*Projects!$I$16,0))</f>
        <v>0</v>
      </c>
      <c r="BU15" s="8">
        <f>-(IF(AND(Projects!$G$6="Yes",Projects!$F$6="Yes",71=Projects!$C$6),Projects!$B$6*Projects!$I$6,0)+IF(AND(Projects!$G$7="Yes",Projects!$F$7="Yes",71=Projects!$C$7),Projects!$B$7*Projects!$I$7,0)+IF(AND(Projects!$G$8="Yes",Projects!$F$8="Yes",71=Projects!$C$8),Projects!$B$8*Projects!$I$8,0)+IF(AND(Projects!$G$9="Yes",Projects!$F$9="Yes",71=Projects!$C$9),Projects!$B$9*Projects!$I$9,0)+IF(AND(Projects!$G$10="Yes",Projects!$F$10="Yes",71=Projects!$C$10),Projects!$B$10*Projects!$I$10,0)+IF(AND(Projects!$G$11="Yes",Projects!$F$11="Yes",71=Projects!$C$11),Projects!$B$11*Projects!$I$11,0)+IF(AND(Projects!$G$12="Yes",Projects!$F$12="Yes",71=Projects!$C$12),Projects!$B$12*Projects!$I$12,0)+IF(AND(Projects!$G$13="Yes",Projects!$F$13="Yes",71=Projects!$C$13),Projects!$B$13*Projects!$I$13,0)+IF(AND(Projects!$G$14="Yes",Projects!$F$14="Yes",71=Projects!$C$14),Projects!$B$14*Projects!$I$14,0)+IF(AND(Projects!$G$15="Yes",Projects!$F$15="Yes",71=Projects!$C$15),Projects!$B$15*Projects!$I$15,0)+IF(AND(Projects!$G$16="Yes",Projects!$F$16="Yes",71=Projects!$C$16),Projects!$B$16*Projects!$I$16,0))</f>
        <v>0</v>
      </c>
      <c r="BV15" s="8">
        <f>-(IF(AND(Projects!$G$6="Yes",Projects!$F$6="Yes",72=Projects!$C$6),Projects!$B$6*Projects!$I$6,0)+IF(AND(Projects!$G$7="Yes",Projects!$F$7="Yes",72=Projects!$C$7),Projects!$B$7*Projects!$I$7,0)+IF(AND(Projects!$G$8="Yes",Projects!$F$8="Yes",72=Projects!$C$8),Projects!$B$8*Projects!$I$8,0)+IF(AND(Projects!$G$9="Yes",Projects!$F$9="Yes",72=Projects!$C$9),Projects!$B$9*Projects!$I$9,0)+IF(AND(Projects!$G$10="Yes",Projects!$F$10="Yes",72=Projects!$C$10),Projects!$B$10*Projects!$I$10,0)+IF(AND(Projects!$G$11="Yes",Projects!$F$11="Yes",72=Projects!$C$11),Projects!$B$11*Projects!$I$11,0)+IF(AND(Projects!$G$12="Yes",Projects!$F$12="Yes",72=Projects!$C$12),Projects!$B$12*Projects!$I$12,0)+IF(AND(Projects!$G$13="Yes",Projects!$F$13="Yes",72=Projects!$C$13),Projects!$B$13*Projects!$I$13,0)+IF(AND(Projects!$G$14="Yes",Projects!$F$14="Yes",72=Projects!$C$14),Projects!$B$14*Projects!$I$14,0)+IF(AND(Projects!$G$15="Yes",Projects!$F$15="Yes",72=Projects!$C$15),Projects!$B$15*Projects!$I$15,0)+IF(AND(Projects!$G$16="Yes",Projects!$F$16="Yes",72=Projects!$C$16),Projects!$B$16*Projects!$I$16,0))</f>
        <v>0</v>
      </c>
      <c r="BW15" s="8">
        <f>-(IF(AND(Projects!$G$6="Yes",Projects!$F$6="Yes",73=Projects!$C$6),Projects!$B$6*Projects!$I$6,0)+IF(AND(Projects!$G$7="Yes",Projects!$F$7="Yes",73=Projects!$C$7),Projects!$B$7*Projects!$I$7,0)+IF(AND(Projects!$G$8="Yes",Projects!$F$8="Yes",73=Projects!$C$8),Projects!$B$8*Projects!$I$8,0)+IF(AND(Projects!$G$9="Yes",Projects!$F$9="Yes",73=Projects!$C$9),Projects!$B$9*Projects!$I$9,0)+IF(AND(Projects!$G$10="Yes",Projects!$F$10="Yes",73=Projects!$C$10),Projects!$B$10*Projects!$I$10,0)+IF(AND(Projects!$G$11="Yes",Projects!$F$11="Yes",73=Projects!$C$11),Projects!$B$11*Projects!$I$11,0)+IF(AND(Projects!$G$12="Yes",Projects!$F$12="Yes",73=Projects!$C$12),Projects!$B$12*Projects!$I$12,0)+IF(AND(Projects!$G$13="Yes",Projects!$F$13="Yes",73=Projects!$C$13),Projects!$B$13*Projects!$I$13,0)+IF(AND(Projects!$G$14="Yes",Projects!$F$14="Yes",73=Projects!$C$14),Projects!$B$14*Projects!$I$14,0)+IF(AND(Projects!$G$15="Yes",Projects!$F$15="Yes",73=Projects!$C$15),Projects!$B$15*Projects!$I$15,0)+IF(AND(Projects!$G$16="Yes",Projects!$F$16="Yes",73=Projects!$C$16),Projects!$B$16*Projects!$I$16,0))</f>
        <v>0</v>
      </c>
      <c r="BX15" s="8">
        <f>-(IF(AND(Projects!$G$6="Yes",Projects!$F$6="Yes",74=Projects!$C$6),Projects!$B$6*Projects!$I$6,0)+IF(AND(Projects!$G$7="Yes",Projects!$F$7="Yes",74=Projects!$C$7),Projects!$B$7*Projects!$I$7,0)+IF(AND(Projects!$G$8="Yes",Projects!$F$8="Yes",74=Projects!$C$8),Projects!$B$8*Projects!$I$8,0)+IF(AND(Projects!$G$9="Yes",Projects!$F$9="Yes",74=Projects!$C$9),Projects!$B$9*Projects!$I$9,0)+IF(AND(Projects!$G$10="Yes",Projects!$F$10="Yes",74=Projects!$C$10),Projects!$B$10*Projects!$I$10,0)+IF(AND(Projects!$G$11="Yes",Projects!$F$11="Yes",74=Projects!$C$11),Projects!$B$11*Projects!$I$11,0)+IF(AND(Projects!$G$12="Yes",Projects!$F$12="Yes",74=Projects!$C$12),Projects!$B$12*Projects!$I$12,0)+IF(AND(Projects!$G$13="Yes",Projects!$F$13="Yes",74=Projects!$C$13),Projects!$B$13*Projects!$I$13,0)+IF(AND(Projects!$G$14="Yes",Projects!$F$14="Yes",74=Projects!$C$14),Projects!$B$14*Projects!$I$14,0)+IF(AND(Projects!$G$15="Yes",Projects!$F$15="Yes",74=Projects!$C$15),Projects!$B$15*Projects!$I$15,0)+IF(AND(Projects!$G$16="Yes",Projects!$F$16="Yes",74=Projects!$C$16),Projects!$B$16*Projects!$I$16,0))</f>
        <v>0</v>
      </c>
      <c r="BY15" s="8">
        <f>-(IF(AND(Projects!$G$6="Yes",Projects!$F$6="Yes",75=Projects!$C$6),Projects!$B$6*Projects!$I$6,0)+IF(AND(Projects!$G$7="Yes",Projects!$F$7="Yes",75=Projects!$C$7),Projects!$B$7*Projects!$I$7,0)+IF(AND(Projects!$G$8="Yes",Projects!$F$8="Yes",75=Projects!$C$8),Projects!$B$8*Projects!$I$8,0)+IF(AND(Projects!$G$9="Yes",Projects!$F$9="Yes",75=Projects!$C$9),Projects!$B$9*Projects!$I$9,0)+IF(AND(Projects!$G$10="Yes",Projects!$F$10="Yes",75=Projects!$C$10),Projects!$B$10*Projects!$I$10,0)+IF(AND(Projects!$G$11="Yes",Projects!$F$11="Yes",75=Projects!$C$11),Projects!$B$11*Projects!$I$11,0)+IF(AND(Projects!$G$12="Yes",Projects!$F$12="Yes",75=Projects!$C$12),Projects!$B$12*Projects!$I$12,0)+IF(AND(Projects!$G$13="Yes",Projects!$F$13="Yes",75=Projects!$C$13),Projects!$B$13*Projects!$I$13,0)+IF(AND(Projects!$G$14="Yes",Projects!$F$14="Yes",75=Projects!$C$14),Projects!$B$14*Projects!$I$14,0)+IF(AND(Projects!$G$15="Yes",Projects!$F$15="Yes",75=Projects!$C$15),Projects!$B$15*Projects!$I$15,0)+IF(AND(Projects!$G$16="Yes",Projects!$F$16="Yes",75=Projects!$C$16),Projects!$B$16*Projects!$I$16,0))</f>
        <v>0</v>
      </c>
      <c r="BZ15" s="8">
        <f>-(IF(AND(Projects!$G$6="Yes",Projects!$F$6="Yes",76=Projects!$C$6),Projects!$B$6*Projects!$I$6,0)+IF(AND(Projects!$G$7="Yes",Projects!$F$7="Yes",76=Projects!$C$7),Projects!$B$7*Projects!$I$7,0)+IF(AND(Projects!$G$8="Yes",Projects!$F$8="Yes",76=Projects!$C$8),Projects!$B$8*Projects!$I$8,0)+IF(AND(Projects!$G$9="Yes",Projects!$F$9="Yes",76=Projects!$C$9),Projects!$B$9*Projects!$I$9,0)+IF(AND(Projects!$G$10="Yes",Projects!$F$10="Yes",76=Projects!$C$10),Projects!$B$10*Projects!$I$10,0)+IF(AND(Projects!$G$11="Yes",Projects!$F$11="Yes",76=Projects!$C$11),Projects!$B$11*Projects!$I$11,0)+IF(AND(Projects!$G$12="Yes",Projects!$F$12="Yes",76=Projects!$C$12),Projects!$B$12*Projects!$I$12,0)+IF(AND(Projects!$G$13="Yes",Projects!$F$13="Yes",76=Projects!$C$13),Projects!$B$13*Projects!$I$13,0)+IF(AND(Projects!$G$14="Yes",Projects!$F$14="Yes",76=Projects!$C$14),Projects!$B$14*Projects!$I$14,0)+IF(AND(Projects!$G$15="Yes",Projects!$F$15="Yes",76=Projects!$C$15),Projects!$B$15*Projects!$I$15,0)+IF(AND(Projects!$G$16="Yes",Projects!$F$16="Yes",76=Projects!$C$16),Projects!$B$16*Projects!$I$16,0))</f>
        <v>0</v>
      </c>
      <c r="CA15" s="8">
        <f>-(IF(AND(Projects!$G$6="Yes",Projects!$F$6="Yes",77=Projects!$C$6),Projects!$B$6*Projects!$I$6,0)+IF(AND(Projects!$G$7="Yes",Projects!$F$7="Yes",77=Projects!$C$7),Projects!$B$7*Projects!$I$7,0)+IF(AND(Projects!$G$8="Yes",Projects!$F$8="Yes",77=Projects!$C$8),Projects!$B$8*Projects!$I$8,0)+IF(AND(Projects!$G$9="Yes",Projects!$F$9="Yes",77=Projects!$C$9),Projects!$B$9*Projects!$I$9,0)+IF(AND(Projects!$G$10="Yes",Projects!$F$10="Yes",77=Projects!$C$10),Projects!$B$10*Projects!$I$10,0)+IF(AND(Projects!$G$11="Yes",Projects!$F$11="Yes",77=Projects!$C$11),Projects!$B$11*Projects!$I$11,0)+IF(AND(Projects!$G$12="Yes",Projects!$F$12="Yes",77=Projects!$C$12),Projects!$B$12*Projects!$I$12,0)+IF(AND(Projects!$G$13="Yes",Projects!$F$13="Yes",77=Projects!$C$13),Projects!$B$13*Projects!$I$13,0)+IF(AND(Projects!$G$14="Yes",Projects!$F$14="Yes",77=Projects!$C$14),Projects!$B$14*Projects!$I$14,0)+IF(AND(Projects!$G$15="Yes",Projects!$F$15="Yes",77=Projects!$C$15),Projects!$B$15*Projects!$I$15,0)+IF(AND(Projects!$G$16="Yes",Projects!$F$16="Yes",77=Projects!$C$16),Projects!$B$16*Projects!$I$16,0))</f>
        <v>0</v>
      </c>
      <c r="CB15" s="8">
        <f>-(IF(AND(Projects!$G$6="Yes",Projects!$F$6="Yes",78=Projects!$C$6),Projects!$B$6*Projects!$I$6,0)+IF(AND(Projects!$G$7="Yes",Projects!$F$7="Yes",78=Projects!$C$7),Projects!$B$7*Projects!$I$7,0)+IF(AND(Projects!$G$8="Yes",Projects!$F$8="Yes",78=Projects!$C$8),Projects!$B$8*Projects!$I$8,0)+IF(AND(Projects!$G$9="Yes",Projects!$F$9="Yes",78=Projects!$C$9),Projects!$B$9*Projects!$I$9,0)+IF(AND(Projects!$G$10="Yes",Projects!$F$10="Yes",78=Projects!$C$10),Projects!$B$10*Projects!$I$10,0)+IF(AND(Projects!$G$11="Yes",Projects!$F$11="Yes",78=Projects!$C$11),Projects!$B$11*Projects!$I$11,0)+IF(AND(Projects!$G$12="Yes",Projects!$F$12="Yes",78=Projects!$C$12),Projects!$B$12*Projects!$I$12,0)+IF(AND(Projects!$G$13="Yes",Projects!$F$13="Yes",78=Projects!$C$13),Projects!$B$13*Projects!$I$13,0)+IF(AND(Projects!$G$14="Yes",Projects!$F$14="Yes",78=Projects!$C$14),Projects!$B$14*Projects!$I$14,0)+IF(AND(Projects!$G$15="Yes",Projects!$F$15="Yes",78=Projects!$C$15),Projects!$B$15*Projects!$I$15,0)+IF(AND(Projects!$G$16="Yes",Projects!$F$16="Yes",78=Projects!$C$16),Projects!$B$16*Projects!$I$16,0))</f>
        <v>0</v>
      </c>
      <c r="CC15" s="8">
        <f>-(IF(AND(Projects!$G$6="Yes",Projects!$F$6="Yes",79=Projects!$C$6),Projects!$B$6*Projects!$I$6,0)+IF(AND(Projects!$G$7="Yes",Projects!$F$7="Yes",79=Projects!$C$7),Projects!$B$7*Projects!$I$7,0)+IF(AND(Projects!$G$8="Yes",Projects!$F$8="Yes",79=Projects!$C$8),Projects!$B$8*Projects!$I$8,0)+IF(AND(Projects!$G$9="Yes",Projects!$F$9="Yes",79=Projects!$C$9),Projects!$B$9*Projects!$I$9,0)+IF(AND(Projects!$G$10="Yes",Projects!$F$10="Yes",79=Projects!$C$10),Projects!$B$10*Projects!$I$10,0)+IF(AND(Projects!$G$11="Yes",Projects!$F$11="Yes",79=Projects!$C$11),Projects!$B$11*Projects!$I$11,0)+IF(AND(Projects!$G$12="Yes",Projects!$F$12="Yes",79=Projects!$C$12),Projects!$B$12*Projects!$I$12,0)+IF(AND(Projects!$G$13="Yes",Projects!$F$13="Yes",79=Projects!$C$13),Projects!$B$13*Projects!$I$13,0)+IF(AND(Projects!$G$14="Yes",Projects!$F$14="Yes",79=Projects!$C$14),Projects!$B$14*Projects!$I$14,0)+IF(AND(Projects!$G$15="Yes",Projects!$F$15="Yes",79=Projects!$C$15),Projects!$B$15*Projects!$I$15,0)+IF(AND(Projects!$G$16="Yes",Projects!$F$16="Yes",79=Projects!$C$16),Projects!$B$16*Projects!$I$16,0))</f>
        <v>0</v>
      </c>
      <c r="CD15" s="8">
        <f>-(IF(AND(Projects!$G$6="Yes",Projects!$F$6="Yes",80=Projects!$C$6),Projects!$B$6*Projects!$I$6,0)+IF(AND(Projects!$G$7="Yes",Projects!$F$7="Yes",80=Projects!$C$7),Projects!$B$7*Projects!$I$7,0)+IF(AND(Projects!$G$8="Yes",Projects!$F$8="Yes",80=Projects!$C$8),Projects!$B$8*Projects!$I$8,0)+IF(AND(Projects!$G$9="Yes",Projects!$F$9="Yes",80=Projects!$C$9),Projects!$B$9*Projects!$I$9,0)+IF(AND(Projects!$G$10="Yes",Projects!$F$10="Yes",80=Projects!$C$10),Projects!$B$10*Projects!$I$10,0)+IF(AND(Projects!$G$11="Yes",Projects!$F$11="Yes",80=Projects!$C$11),Projects!$B$11*Projects!$I$11,0)+IF(AND(Projects!$G$12="Yes",Projects!$F$12="Yes",80=Projects!$C$12),Projects!$B$12*Projects!$I$12,0)+IF(AND(Projects!$G$13="Yes",Projects!$F$13="Yes",80=Projects!$C$13),Projects!$B$13*Projects!$I$13,0)+IF(AND(Projects!$G$14="Yes",Projects!$F$14="Yes",80=Projects!$C$14),Projects!$B$14*Projects!$I$14,0)+IF(AND(Projects!$G$15="Yes",Projects!$F$15="Yes",80=Projects!$C$15),Projects!$B$15*Projects!$I$15,0)+IF(AND(Projects!$G$16="Yes",Projects!$F$16="Yes",80=Projects!$C$16),Projects!$B$16*Projects!$I$16,0))</f>
        <v>0</v>
      </c>
      <c r="CE15" s="8">
        <f>-(IF(AND(Projects!$G$6="Yes",Projects!$F$6="Yes",81=Projects!$C$6),Projects!$B$6*Projects!$I$6,0)+IF(AND(Projects!$G$7="Yes",Projects!$F$7="Yes",81=Projects!$C$7),Projects!$B$7*Projects!$I$7,0)+IF(AND(Projects!$G$8="Yes",Projects!$F$8="Yes",81=Projects!$C$8),Projects!$B$8*Projects!$I$8,0)+IF(AND(Projects!$G$9="Yes",Projects!$F$9="Yes",81=Projects!$C$9),Projects!$B$9*Projects!$I$9,0)+IF(AND(Projects!$G$10="Yes",Projects!$F$10="Yes",81=Projects!$C$10),Projects!$B$10*Projects!$I$10,0)+IF(AND(Projects!$G$11="Yes",Projects!$F$11="Yes",81=Projects!$C$11),Projects!$B$11*Projects!$I$11,0)+IF(AND(Projects!$G$12="Yes",Projects!$F$12="Yes",81=Projects!$C$12),Projects!$B$12*Projects!$I$12,0)+IF(AND(Projects!$G$13="Yes",Projects!$F$13="Yes",81=Projects!$C$13),Projects!$B$13*Projects!$I$13,0)+IF(AND(Projects!$G$14="Yes",Projects!$F$14="Yes",81=Projects!$C$14),Projects!$B$14*Projects!$I$14,0)+IF(AND(Projects!$G$15="Yes",Projects!$F$15="Yes",81=Projects!$C$15),Projects!$B$15*Projects!$I$15,0)+IF(AND(Projects!$G$16="Yes",Projects!$F$16="Yes",81=Projects!$C$16),Projects!$B$16*Projects!$I$16,0))</f>
        <v>0</v>
      </c>
      <c r="CF15" s="8">
        <f>-(IF(AND(Projects!$G$6="Yes",Projects!$F$6="Yes",82=Projects!$C$6),Projects!$B$6*Projects!$I$6,0)+IF(AND(Projects!$G$7="Yes",Projects!$F$7="Yes",82=Projects!$C$7),Projects!$B$7*Projects!$I$7,0)+IF(AND(Projects!$G$8="Yes",Projects!$F$8="Yes",82=Projects!$C$8),Projects!$B$8*Projects!$I$8,0)+IF(AND(Projects!$G$9="Yes",Projects!$F$9="Yes",82=Projects!$C$9),Projects!$B$9*Projects!$I$9,0)+IF(AND(Projects!$G$10="Yes",Projects!$F$10="Yes",82=Projects!$C$10),Projects!$B$10*Projects!$I$10,0)+IF(AND(Projects!$G$11="Yes",Projects!$F$11="Yes",82=Projects!$C$11),Projects!$B$11*Projects!$I$11,0)+IF(AND(Projects!$G$12="Yes",Projects!$F$12="Yes",82=Projects!$C$12),Projects!$B$12*Projects!$I$12,0)+IF(AND(Projects!$G$13="Yes",Projects!$F$13="Yes",82=Projects!$C$13),Projects!$B$13*Projects!$I$13,0)+IF(AND(Projects!$G$14="Yes",Projects!$F$14="Yes",82=Projects!$C$14),Projects!$B$14*Projects!$I$14,0)+IF(AND(Projects!$G$15="Yes",Projects!$F$15="Yes",82=Projects!$C$15),Projects!$B$15*Projects!$I$15,0)+IF(AND(Projects!$G$16="Yes",Projects!$F$16="Yes",82=Projects!$C$16),Projects!$B$16*Projects!$I$16,0))</f>
        <v>0</v>
      </c>
      <c r="CG15" s="8">
        <f>-(IF(AND(Projects!$G$6="Yes",Projects!$F$6="Yes",83=Projects!$C$6),Projects!$B$6*Projects!$I$6,0)+IF(AND(Projects!$G$7="Yes",Projects!$F$7="Yes",83=Projects!$C$7),Projects!$B$7*Projects!$I$7,0)+IF(AND(Projects!$G$8="Yes",Projects!$F$8="Yes",83=Projects!$C$8),Projects!$B$8*Projects!$I$8,0)+IF(AND(Projects!$G$9="Yes",Projects!$F$9="Yes",83=Projects!$C$9),Projects!$B$9*Projects!$I$9,0)+IF(AND(Projects!$G$10="Yes",Projects!$F$10="Yes",83=Projects!$C$10),Projects!$B$10*Projects!$I$10,0)+IF(AND(Projects!$G$11="Yes",Projects!$F$11="Yes",83=Projects!$C$11),Projects!$B$11*Projects!$I$11,0)+IF(AND(Projects!$G$12="Yes",Projects!$F$12="Yes",83=Projects!$C$12),Projects!$B$12*Projects!$I$12,0)+IF(AND(Projects!$G$13="Yes",Projects!$F$13="Yes",83=Projects!$C$13),Projects!$B$13*Projects!$I$13,0)+IF(AND(Projects!$G$14="Yes",Projects!$F$14="Yes",83=Projects!$C$14),Projects!$B$14*Projects!$I$14,0)+IF(AND(Projects!$G$15="Yes",Projects!$F$15="Yes",83=Projects!$C$15),Projects!$B$15*Projects!$I$15,0)+IF(AND(Projects!$G$16="Yes",Projects!$F$16="Yes",83=Projects!$C$16),Projects!$B$16*Projects!$I$16,0))</f>
        <v>0</v>
      </c>
      <c r="CH15" s="8">
        <f>-(IF(AND(Projects!$G$6="Yes",Projects!$F$6="Yes",84=Projects!$C$6),Projects!$B$6*Projects!$I$6,0)+IF(AND(Projects!$G$7="Yes",Projects!$F$7="Yes",84=Projects!$C$7),Projects!$B$7*Projects!$I$7,0)+IF(AND(Projects!$G$8="Yes",Projects!$F$8="Yes",84=Projects!$C$8),Projects!$B$8*Projects!$I$8,0)+IF(AND(Projects!$G$9="Yes",Projects!$F$9="Yes",84=Projects!$C$9),Projects!$B$9*Projects!$I$9,0)+IF(AND(Projects!$G$10="Yes",Projects!$F$10="Yes",84=Projects!$C$10),Projects!$B$10*Projects!$I$10,0)+IF(AND(Projects!$G$11="Yes",Projects!$F$11="Yes",84=Projects!$C$11),Projects!$B$11*Projects!$I$11,0)+IF(AND(Projects!$G$12="Yes",Projects!$F$12="Yes",84=Projects!$C$12),Projects!$B$12*Projects!$I$12,0)+IF(AND(Projects!$G$13="Yes",Projects!$F$13="Yes",84=Projects!$C$13),Projects!$B$13*Projects!$I$13,0)+IF(AND(Projects!$G$14="Yes",Projects!$F$14="Yes",84=Projects!$C$14),Projects!$B$14*Projects!$I$14,0)+IF(AND(Projects!$G$15="Yes",Projects!$F$15="Yes",84=Projects!$C$15),Projects!$B$15*Projects!$I$15,0)+IF(AND(Projects!$G$16="Yes",Projects!$F$16="Yes",84=Projects!$C$16),Projects!$B$16*Projects!$I$16,0))</f>
        <v>0</v>
      </c>
      <c r="CI15" s="23"/>
    </row>
    <row r="16" spans="1:87" ht="15" customHeight="1" x14ac:dyDescent="0.25">
      <c r="A16" s="7" t="s">
        <v>129</v>
      </c>
      <c r="B16" s="22"/>
      <c r="C16" s="8">
        <f>-(IF(AND(1&gt;=Personnel!$E$7,Personnel!$G$7="Yes"),Personnel!$D$7,0)+IF(AND(1&gt;=Personnel!$E$8,Personnel!$G$8="Yes"),Personnel!$D$8,0)+IF(AND(1&gt;=Personnel!$E$9,Personnel!$G$9="Yes"),Personnel!$D$9,0)+IF(AND(1&gt;=Personnel!$E$10,Personnel!$G$10="Yes"),Personnel!$D$10,0)+IF(AND(1&gt;=Personnel!$E$11,Personnel!$G$11="Yes"),Personnel!$D$11,0)+IF(AND(1&gt;=Personnel!$E$12,Personnel!$G$12="Yes"),Personnel!$D$12,0)+IF(AND(1&gt;=Personnel!$E$13,Personnel!$G$13="Yes"),Personnel!$D$13,0)+IF(AND(1&gt;=Personnel!$E$14,Personnel!$G$14="Yes"),Personnel!$D$14,0)+IF(AND(1&gt;=Personnel!$E$15,Personnel!$G$15="Yes"),Personnel!$D$15,0)+IF(AND(1&gt;=Personnel!$E$16,Personnel!$G$16="Yes"),Personnel!$D$16,0)+IF(AND(1&gt;=Personnel!$E$17,Personnel!$G$17="Yes"),Personnel!$D$17,0)+IF(AND(1&gt;=Personnel!$E$18,Personnel!$G$18="Yes"),Personnel!$D$18,0)+IF(AND(1&gt;=Personnel!$E$19,Personnel!$G$19="Yes"),Personnel!$D$19,0)+IF(AND(1&gt;=Personnel!$E$20,Personnel!$G$20="Yes"),Personnel!$D$20,0)+IF(AND(1&gt;=Personnel!$E$21,Personnel!$G$21="Yes"),Personnel!$D$21,0)+IF(AND(1&gt;=Personnel!$E$22,Personnel!$G$22="Yes"),Personnel!$D$22,0)+IF(AND(1&gt;=Personnel!$E$23,Personnel!$G$23="Yes"),Personnel!$D$23,0)+IF(AND(1&gt;=Personnel!$E$24,Personnel!$G$24="Yes"),Personnel!$D$24,0)+IF(AND(1&gt;=Personnel!$E$25,Personnel!$G$25="Yes"),Personnel!$D$25,0)+IF(AND(1&gt;=Personnel!$E$26,Personnel!$G$26="Yes"),Personnel!$D$26,0)+IF(AND(1&gt;=Personnel!$E$27,Personnel!$G$27="Yes"),Personnel!$D$27,0)+IF(AND(1&gt;=Personnel!$E$28,Personnel!$G$28="Yes"),Personnel!$D$28,0)+IF(AND(1&gt;=Personnel!$E$29,Personnel!$G$29="Yes"),Personnel!$D$29,0))</f>
        <v>-173157.66666666669</v>
      </c>
      <c r="D16" s="8">
        <f>-(IF(AND(2&gt;=Personnel!$E$7,Personnel!$G$7="Yes"),Personnel!$D$7,0)+IF(AND(2&gt;=Personnel!$E$8,Personnel!$G$8="Yes"),Personnel!$D$8,0)+IF(AND(2&gt;=Personnel!$E$9,Personnel!$G$9="Yes"),Personnel!$D$9,0)+IF(AND(2&gt;=Personnel!$E$10,Personnel!$G$10="Yes"),Personnel!$D$10,0)+IF(AND(2&gt;=Personnel!$E$11,Personnel!$G$11="Yes"),Personnel!$D$11,0)+IF(AND(2&gt;=Personnel!$E$12,Personnel!$G$12="Yes"),Personnel!$D$12,0)+IF(AND(2&gt;=Personnel!$E$13,Personnel!$G$13="Yes"),Personnel!$D$13,0)+IF(AND(2&gt;=Personnel!$E$14,Personnel!$G$14="Yes"),Personnel!$D$14,0)+IF(AND(2&gt;=Personnel!$E$15,Personnel!$G$15="Yes"),Personnel!$D$15,0)+IF(AND(2&gt;=Personnel!$E$16,Personnel!$G$16="Yes"),Personnel!$D$16,0)+IF(AND(2&gt;=Personnel!$E$17,Personnel!$G$17="Yes"),Personnel!$D$17,0)+IF(AND(2&gt;=Personnel!$E$18,Personnel!$G$18="Yes"),Personnel!$D$18,0)+IF(AND(2&gt;=Personnel!$E$19,Personnel!$G$19="Yes"),Personnel!$D$19,0)+IF(AND(2&gt;=Personnel!$E$20,Personnel!$G$20="Yes"),Personnel!$D$20,0)+IF(AND(2&gt;=Personnel!$E$21,Personnel!$G$21="Yes"),Personnel!$D$21,0)+IF(AND(2&gt;=Personnel!$E$22,Personnel!$G$22="Yes"),Personnel!$D$22,0)+IF(AND(2&gt;=Personnel!$E$23,Personnel!$G$23="Yes"),Personnel!$D$23,0)+IF(AND(2&gt;=Personnel!$E$24,Personnel!$G$24="Yes"),Personnel!$D$24,0)+IF(AND(2&gt;=Personnel!$E$25,Personnel!$G$25="Yes"),Personnel!$D$25,0)+IF(AND(2&gt;=Personnel!$E$26,Personnel!$G$26="Yes"),Personnel!$D$26,0)+IF(AND(2&gt;=Personnel!$E$27,Personnel!$G$27="Yes"),Personnel!$D$27,0)+IF(AND(2&gt;=Personnel!$E$28,Personnel!$G$28="Yes"),Personnel!$D$28,0)+IF(AND(2&gt;=Personnel!$E$29,Personnel!$G$29="Yes"),Personnel!$D$29,0))</f>
        <v>-209407.66666666666</v>
      </c>
      <c r="E16" s="8">
        <f>-(IF(AND(3&gt;=Personnel!$E$7,Personnel!$G$7="Yes"),Personnel!$D$7,0)+IF(AND(3&gt;=Personnel!$E$8,Personnel!$G$8="Yes"),Personnel!$D$8,0)+IF(AND(3&gt;=Personnel!$E$9,Personnel!$G$9="Yes"),Personnel!$D$9,0)+IF(AND(3&gt;=Personnel!$E$10,Personnel!$G$10="Yes"),Personnel!$D$10,0)+IF(AND(3&gt;=Personnel!$E$11,Personnel!$G$11="Yes"),Personnel!$D$11,0)+IF(AND(3&gt;=Personnel!$E$12,Personnel!$G$12="Yes"),Personnel!$D$12,0)+IF(AND(3&gt;=Personnel!$E$13,Personnel!$G$13="Yes"),Personnel!$D$13,0)+IF(AND(3&gt;=Personnel!$E$14,Personnel!$G$14="Yes"),Personnel!$D$14,0)+IF(AND(3&gt;=Personnel!$E$15,Personnel!$G$15="Yes"),Personnel!$D$15,0)+IF(AND(3&gt;=Personnel!$E$16,Personnel!$G$16="Yes"),Personnel!$D$16,0)+IF(AND(3&gt;=Personnel!$E$17,Personnel!$G$17="Yes"),Personnel!$D$17,0)+IF(AND(3&gt;=Personnel!$E$18,Personnel!$G$18="Yes"),Personnel!$D$18,0)+IF(AND(3&gt;=Personnel!$E$19,Personnel!$G$19="Yes"),Personnel!$D$19,0)+IF(AND(3&gt;=Personnel!$E$20,Personnel!$G$20="Yes"),Personnel!$D$20,0)+IF(AND(3&gt;=Personnel!$E$21,Personnel!$G$21="Yes"),Personnel!$D$21,0)+IF(AND(3&gt;=Personnel!$E$22,Personnel!$G$22="Yes"),Personnel!$D$22,0)+IF(AND(3&gt;=Personnel!$E$23,Personnel!$G$23="Yes"),Personnel!$D$23,0)+IF(AND(3&gt;=Personnel!$E$24,Personnel!$G$24="Yes"),Personnel!$D$24,0)+IF(AND(3&gt;=Personnel!$E$25,Personnel!$G$25="Yes"),Personnel!$D$25,0)+IF(AND(3&gt;=Personnel!$E$26,Personnel!$G$26="Yes"),Personnel!$D$26,0)+IF(AND(3&gt;=Personnel!$E$27,Personnel!$G$27="Yes"),Personnel!$D$27,0)+IF(AND(3&gt;=Personnel!$E$28,Personnel!$G$28="Yes"),Personnel!$D$28,0)+IF(AND(3&gt;=Personnel!$E$29,Personnel!$G$29="Yes"),Personnel!$D$29,0))</f>
        <v>-239407.66666666666</v>
      </c>
      <c r="F16" s="8">
        <f>-(IF(AND(4&gt;=Personnel!$E$7,Personnel!$G$7="Yes"),Personnel!$D$7,0)+IF(AND(4&gt;=Personnel!$E$8,Personnel!$G$8="Yes"),Personnel!$D$8,0)+IF(AND(4&gt;=Personnel!$E$9,Personnel!$G$9="Yes"),Personnel!$D$9,0)+IF(AND(4&gt;=Personnel!$E$10,Personnel!$G$10="Yes"),Personnel!$D$10,0)+IF(AND(4&gt;=Personnel!$E$11,Personnel!$G$11="Yes"),Personnel!$D$11,0)+IF(AND(4&gt;=Personnel!$E$12,Personnel!$G$12="Yes"),Personnel!$D$12,0)+IF(AND(4&gt;=Personnel!$E$13,Personnel!$G$13="Yes"),Personnel!$D$13,0)+IF(AND(4&gt;=Personnel!$E$14,Personnel!$G$14="Yes"),Personnel!$D$14,0)+IF(AND(4&gt;=Personnel!$E$15,Personnel!$G$15="Yes"),Personnel!$D$15,0)+IF(AND(4&gt;=Personnel!$E$16,Personnel!$G$16="Yes"),Personnel!$D$16,0)+IF(AND(4&gt;=Personnel!$E$17,Personnel!$G$17="Yes"),Personnel!$D$17,0)+IF(AND(4&gt;=Personnel!$E$18,Personnel!$G$18="Yes"),Personnel!$D$18,0)+IF(AND(4&gt;=Personnel!$E$19,Personnel!$G$19="Yes"),Personnel!$D$19,0)+IF(AND(4&gt;=Personnel!$E$20,Personnel!$G$20="Yes"),Personnel!$D$20,0)+IF(AND(4&gt;=Personnel!$E$21,Personnel!$G$21="Yes"),Personnel!$D$21,0)+IF(AND(4&gt;=Personnel!$E$22,Personnel!$G$22="Yes"),Personnel!$D$22,0)+IF(AND(4&gt;=Personnel!$E$23,Personnel!$G$23="Yes"),Personnel!$D$23,0)+IF(AND(4&gt;=Personnel!$E$24,Personnel!$G$24="Yes"),Personnel!$D$24,0)+IF(AND(4&gt;=Personnel!$E$25,Personnel!$G$25="Yes"),Personnel!$D$25,0)+IF(AND(4&gt;=Personnel!$E$26,Personnel!$G$26="Yes"),Personnel!$D$26,0)+IF(AND(4&gt;=Personnel!$E$27,Personnel!$G$27="Yes"),Personnel!$D$27,0)+IF(AND(4&gt;=Personnel!$E$28,Personnel!$G$28="Yes"),Personnel!$D$28,0)+IF(AND(4&gt;=Personnel!$E$29,Personnel!$G$29="Yes"),Personnel!$D$29,0))</f>
        <v>-239407.66666666666</v>
      </c>
      <c r="G16" s="8">
        <f>-(IF(AND(5&gt;=Personnel!$E$7,Personnel!$G$7="Yes"),Personnel!$D$7,0)+IF(AND(5&gt;=Personnel!$E$8,Personnel!$G$8="Yes"),Personnel!$D$8,0)+IF(AND(5&gt;=Personnel!$E$9,Personnel!$G$9="Yes"),Personnel!$D$9,0)+IF(AND(5&gt;=Personnel!$E$10,Personnel!$G$10="Yes"),Personnel!$D$10,0)+IF(AND(5&gt;=Personnel!$E$11,Personnel!$G$11="Yes"),Personnel!$D$11,0)+IF(AND(5&gt;=Personnel!$E$12,Personnel!$G$12="Yes"),Personnel!$D$12,0)+IF(AND(5&gt;=Personnel!$E$13,Personnel!$G$13="Yes"),Personnel!$D$13,0)+IF(AND(5&gt;=Personnel!$E$14,Personnel!$G$14="Yes"),Personnel!$D$14,0)+IF(AND(5&gt;=Personnel!$E$15,Personnel!$G$15="Yes"),Personnel!$D$15,0)+IF(AND(5&gt;=Personnel!$E$16,Personnel!$G$16="Yes"),Personnel!$D$16,0)+IF(AND(5&gt;=Personnel!$E$17,Personnel!$G$17="Yes"),Personnel!$D$17,0)+IF(AND(5&gt;=Personnel!$E$18,Personnel!$G$18="Yes"),Personnel!$D$18,0)+IF(AND(5&gt;=Personnel!$E$19,Personnel!$G$19="Yes"),Personnel!$D$19,0)+IF(AND(5&gt;=Personnel!$E$20,Personnel!$G$20="Yes"),Personnel!$D$20,0)+IF(AND(5&gt;=Personnel!$E$21,Personnel!$G$21="Yes"),Personnel!$D$21,0)+IF(AND(5&gt;=Personnel!$E$22,Personnel!$G$22="Yes"),Personnel!$D$22,0)+IF(AND(5&gt;=Personnel!$E$23,Personnel!$G$23="Yes"),Personnel!$D$23,0)+IF(AND(5&gt;=Personnel!$E$24,Personnel!$G$24="Yes"),Personnel!$D$24,0)+IF(AND(5&gt;=Personnel!$E$25,Personnel!$G$25="Yes"),Personnel!$D$25,0)+IF(AND(5&gt;=Personnel!$E$26,Personnel!$G$26="Yes"),Personnel!$D$26,0)+IF(AND(5&gt;=Personnel!$E$27,Personnel!$G$27="Yes"),Personnel!$D$27,0)+IF(AND(5&gt;=Personnel!$E$28,Personnel!$G$28="Yes"),Personnel!$D$28,0)+IF(AND(5&gt;=Personnel!$E$29,Personnel!$G$29="Yes"),Personnel!$D$29,0))</f>
        <v>-239407.66666666666</v>
      </c>
      <c r="H16" s="8">
        <f>-(IF(AND(6&gt;=Personnel!$E$7,Personnel!$G$7="Yes"),Personnel!$D$7,0)+IF(AND(6&gt;=Personnel!$E$8,Personnel!$G$8="Yes"),Personnel!$D$8,0)+IF(AND(6&gt;=Personnel!$E$9,Personnel!$G$9="Yes"),Personnel!$D$9,0)+IF(AND(6&gt;=Personnel!$E$10,Personnel!$G$10="Yes"),Personnel!$D$10,0)+IF(AND(6&gt;=Personnel!$E$11,Personnel!$G$11="Yes"),Personnel!$D$11,0)+IF(AND(6&gt;=Personnel!$E$12,Personnel!$G$12="Yes"),Personnel!$D$12,0)+IF(AND(6&gt;=Personnel!$E$13,Personnel!$G$13="Yes"),Personnel!$D$13,0)+IF(AND(6&gt;=Personnel!$E$14,Personnel!$G$14="Yes"),Personnel!$D$14,0)+IF(AND(6&gt;=Personnel!$E$15,Personnel!$G$15="Yes"),Personnel!$D$15,0)+IF(AND(6&gt;=Personnel!$E$16,Personnel!$G$16="Yes"),Personnel!$D$16,0)+IF(AND(6&gt;=Personnel!$E$17,Personnel!$G$17="Yes"),Personnel!$D$17,0)+IF(AND(6&gt;=Personnel!$E$18,Personnel!$G$18="Yes"),Personnel!$D$18,0)+IF(AND(6&gt;=Personnel!$E$19,Personnel!$G$19="Yes"),Personnel!$D$19,0)+IF(AND(6&gt;=Personnel!$E$20,Personnel!$G$20="Yes"),Personnel!$D$20,0)+IF(AND(6&gt;=Personnel!$E$21,Personnel!$G$21="Yes"),Personnel!$D$21,0)+IF(AND(6&gt;=Personnel!$E$22,Personnel!$G$22="Yes"),Personnel!$D$22,0)+IF(AND(6&gt;=Personnel!$E$23,Personnel!$G$23="Yes"),Personnel!$D$23,0)+IF(AND(6&gt;=Personnel!$E$24,Personnel!$G$24="Yes"),Personnel!$D$24,0)+IF(AND(6&gt;=Personnel!$E$25,Personnel!$G$25="Yes"),Personnel!$D$25,0)+IF(AND(6&gt;=Personnel!$E$26,Personnel!$G$26="Yes"),Personnel!$D$26,0)+IF(AND(6&gt;=Personnel!$E$27,Personnel!$G$27="Yes"),Personnel!$D$27,0)+IF(AND(6&gt;=Personnel!$E$28,Personnel!$G$28="Yes"),Personnel!$D$28,0)+IF(AND(6&gt;=Personnel!$E$29,Personnel!$G$29="Yes"),Personnel!$D$29,0))</f>
        <v>-239407.66666666666</v>
      </c>
      <c r="I16" s="8">
        <f>-(IF(AND(7&gt;=Personnel!$E$7,Personnel!$G$7="Yes"),Personnel!$D$7,0)+IF(AND(7&gt;=Personnel!$E$8,Personnel!$G$8="Yes"),Personnel!$D$8,0)+IF(AND(7&gt;=Personnel!$E$9,Personnel!$G$9="Yes"),Personnel!$D$9,0)+IF(AND(7&gt;=Personnel!$E$10,Personnel!$G$10="Yes"),Personnel!$D$10,0)+IF(AND(7&gt;=Personnel!$E$11,Personnel!$G$11="Yes"),Personnel!$D$11,0)+IF(AND(7&gt;=Personnel!$E$12,Personnel!$G$12="Yes"),Personnel!$D$12,0)+IF(AND(7&gt;=Personnel!$E$13,Personnel!$G$13="Yes"),Personnel!$D$13,0)+IF(AND(7&gt;=Personnel!$E$14,Personnel!$G$14="Yes"),Personnel!$D$14,0)+IF(AND(7&gt;=Personnel!$E$15,Personnel!$G$15="Yes"),Personnel!$D$15,0)+IF(AND(7&gt;=Personnel!$E$16,Personnel!$G$16="Yes"),Personnel!$D$16,0)+IF(AND(7&gt;=Personnel!$E$17,Personnel!$G$17="Yes"),Personnel!$D$17,0)+IF(AND(7&gt;=Personnel!$E$18,Personnel!$G$18="Yes"),Personnel!$D$18,0)+IF(AND(7&gt;=Personnel!$E$19,Personnel!$G$19="Yes"),Personnel!$D$19,0)+IF(AND(7&gt;=Personnel!$E$20,Personnel!$G$20="Yes"),Personnel!$D$20,0)+IF(AND(7&gt;=Personnel!$E$21,Personnel!$G$21="Yes"),Personnel!$D$21,0)+IF(AND(7&gt;=Personnel!$E$22,Personnel!$G$22="Yes"),Personnel!$D$22,0)+IF(AND(7&gt;=Personnel!$E$23,Personnel!$G$23="Yes"),Personnel!$D$23,0)+IF(AND(7&gt;=Personnel!$E$24,Personnel!$G$24="Yes"),Personnel!$D$24,0)+IF(AND(7&gt;=Personnel!$E$25,Personnel!$G$25="Yes"),Personnel!$D$25,0)+IF(AND(7&gt;=Personnel!$E$26,Personnel!$G$26="Yes"),Personnel!$D$26,0)+IF(AND(7&gt;=Personnel!$E$27,Personnel!$G$27="Yes"),Personnel!$D$27,0)+IF(AND(7&gt;=Personnel!$E$28,Personnel!$G$28="Yes"),Personnel!$D$28,0)+IF(AND(7&gt;=Personnel!$E$29,Personnel!$G$29="Yes"),Personnel!$D$29,0))</f>
        <v>-239407.66666666666</v>
      </c>
      <c r="J16" s="8">
        <f>-(IF(AND(8&gt;=Personnel!$E$7,Personnel!$G$7="Yes"),Personnel!$D$7,0)+IF(AND(8&gt;=Personnel!$E$8,Personnel!$G$8="Yes"),Personnel!$D$8,0)+IF(AND(8&gt;=Personnel!$E$9,Personnel!$G$9="Yes"),Personnel!$D$9,0)+IF(AND(8&gt;=Personnel!$E$10,Personnel!$G$10="Yes"),Personnel!$D$10,0)+IF(AND(8&gt;=Personnel!$E$11,Personnel!$G$11="Yes"),Personnel!$D$11,0)+IF(AND(8&gt;=Personnel!$E$12,Personnel!$G$12="Yes"),Personnel!$D$12,0)+IF(AND(8&gt;=Personnel!$E$13,Personnel!$G$13="Yes"),Personnel!$D$13,0)+IF(AND(8&gt;=Personnel!$E$14,Personnel!$G$14="Yes"),Personnel!$D$14,0)+IF(AND(8&gt;=Personnel!$E$15,Personnel!$G$15="Yes"),Personnel!$D$15,0)+IF(AND(8&gt;=Personnel!$E$16,Personnel!$G$16="Yes"),Personnel!$D$16,0)+IF(AND(8&gt;=Personnel!$E$17,Personnel!$G$17="Yes"),Personnel!$D$17,0)+IF(AND(8&gt;=Personnel!$E$18,Personnel!$G$18="Yes"),Personnel!$D$18,0)+IF(AND(8&gt;=Personnel!$E$19,Personnel!$G$19="Yes"),Personnel!$D$19,0)+IF(AND(8&gt;=Personnel!$E$20,Personnel!$G$20="Yes"),Personnel!$D$20,0)+IF(AND(8&gt;=Personnel!$E$21,Personnel!$G$21="Yes"),Personnel!$D$21,0)+IF(AND(8&gt;=Personnel!$E$22,Personnel!$G$22="Yes"),Personnel!$D$22,0)+IF(AND(8&gt;=Personnel!$E$23,Personnel!$G$23="Yes"),Personnel!$D$23,0)+IF(AND(8&gt;=Personnel!$E$24,Personnel!$G$24="Yes"),Personnel!$D$24,0)+IF(AND(8&gt;=Personnel!$E$25,Personnel!$G$25="Yes"),Personnel!$D$25,0)+IF(AND(8&gt;=Personnel!$E$26,Personnel!$G$26="Yes"),Personnel!$D$26,0)+IF(AND(8&gt;=Personnel!$E$27,Personnel!$G$27="Yes"),Personnel!$D$27,0)+IF(AND(8&gt;=Personnel!$E$28,Personnel!$G$28="Yes"),Personnel!$D$28,0)+IF(AND(8&gt;=Personnel!$E$29,Personnel!$G$29="Yes"),Personnel!$D$29,0))</f>
        <v>-239407.66666666666</v>
      </c>
      <c r="K16" s="8">
        <f>-(IF(AND(9&gt;=Personnel!$E$7,Personnel!$G$7="Yes"),Personnel!$D$7,0)+IF(AND(9&gt;=Personnel!$E$8,Personnel!$G$8="Yes"),Personnel!$D$8,0)+IF(AND(9&gt;=Personnel!$E$9,Personnel!$G$9="Yes"),Personnel!$D$9,0)+IF(AND(9&gt;=Personnel!$E$10,Personnel!$G$10="Yes"),Personnel!$D$10,0)+IF(AND(9&gt;=Personnel!$E$11,Personnel!$G$11="Yes"),Personnel!$D$11,0)+IF(AND(9&gt;=Personnel!$E$12,Personnel!$G$12="Yes"),Personnel!$D$12,0)+IF(AND(9&gt;=Personnel!$E$13,Personnel!$G$13="Yes"),Personnel!$D$13,0)+IF(AND(9&gt;=Personnel!$E$14,Personnel!$G$14="Yes"),Personnel!$D$14,0)+IF(AND(9&gt;=Personnel!$E$15,Personnel!$G$15="Yes"),Personnel!$D$15,0)+IF(AND(9&gt;=Personnel!$E$16,Personnel!$G$16="Yes"),Personnel!$D$16,0)+IF(AND(9&gt;=Personnel!$E$17,Personnel!$G$17="Yes"),Personnel!$D$17,0)+IF(AND(9&gt;=Personnel!$E$18,Personnel!$G$18="Yes"),Personnel!$D$18,0)+IF(AND(9&gt;=Personnel!$E$19,Personnel!$G$19="Yes"),Personnel!$D$19,0)+IF(AND(9&gt;=Personnel!$E$20,Personnel!$G$20="Yes"),Personnel!$D$20,0)+IF(AND(9&gt;=Personnel!$E$21,Personnel!$G$21="Yes"),Personnel!$D$21,0)+IF(AND(9&gt;=Personnel!$E$22,Personnel!$G$22="Yes"),Personnel!$D$22,0)+IF(AND(9&gt;=Personnel!$E$23,Personnel!$G$23="Yes"),Personnel!$D$23,0)+IF(AND(9&gt;=Personnel!$E$24,Personnel!$G$24="Yes"),Personnel!$D$24,0)+IF(AND(9&gt;=Personnel!$E$25,Personnel!$G$25="Yes"),Personnel!$D$25,0)+IF(AND(9&gt;=Personnel!$E$26,Personnel!$G$26="Yes"),Personnel!$D$26,0)+IF(AND(9&gt;=Personnel!$E$27,Personnel!$G$27="Yes"),Personnel!$D$27,0)+IF(AND(9&gt;=Personnel!$E$28,Personnel!$G$28="Yes"),Personnel!$D$28,0)+IF(AND(9&gt;=Personnel!$E$29,Personnel!$G$29="Yes"),Personnel!$D$29,0))</f>
        <v>-239407.66666666666</v>
      </c>
      <c r="L16" s="8">
        <f>-(IF(AND(10&gt;=Personnel!$E$7,Personnel!$G$7="Yes"),Personnel!$D$7,0)+IF(AND(10&gt;=Personnel!$E$8,Personnel!$G$8="Yes"),Personnel!$D$8,0)+IF(AND(10&gt;=Personnel!$E$9,Personnel!$G$9="Yes"),Personnel!$D$9,0)+IF(AND(10&gt;=Personnel!$E$10,Personnel!$G$10="Yes"),Personnel!$D$10,0)+IF(AND(10&gt;=Personnel!$E$11,Personnel!$G$11="Yes"),Personnel!$D$11,0)+IF(AND(10&gt;=Personnel!$E$12,Personnel!$G$12="Yes"),Personnel!$D$12,0)+IF(AND(10&gt;=Personnel!$E$13,Personnel!$G$13="Yes"),Personnel!$D$13,0)+IF(AND(10&gt;=Personnel!$E$14,Personnel!$G$14="Yes"),Personnel!$D$14,0)+IF(AND(10&gt;=Personnel!$E$15,Personnel!$G$15="Yes"),Personnel!$D$15,0)+IF(AND(10&gt;=Personnel!$E$16,Personnel!$G$16="Yes"),Personnel!$D$16,0)+IF(AND(10&gt;=Personnel!$E$17,Personnel!$G$17="Yes"),Personnel!$D$17,0)+IF(AND(10&gt;=Personnel!$E$18,Personnel!$G$18="Yes"),Personnel!$D$18,0)+IF(AND(10&gt;=Personnel!$E$19,Personnel!$G$19="Yes"),Personnel!$D$19,0)+IF(AND(10&gt;=Personnel!$E$20,Personnel!$G$20="Yes"),Personnel!$D$20,0)+IF(AND(10&gt;=Personnel!$E$21,Personnel!$G$21="Yes"),Personnel!$D$21,0)+IF(AND(10&gt;=Personnel!$E$22,Personnel!$G$22="Yes"),Personnel!$D$22,0)+IF(AND(10&gt;=Personnel!$E$23,Personnel!$G$23="Yes"),Personnel!$D$23,0)+IF(AND(10&gt;=Personnel!$E$24,Personnel!$G$24="Yes"),Personnel!$D$24,0)+IF(AND(10&gt;=Personnel!$E$25,Personnel!$G$25="Yes"),Personnel!$D$25,0)+IF(AND(10&gt;=Personnel!$E$26,Personnel!$G$26="Yes"),Personnel!$D$26,0)+IF(AND(10&gt;=Personnel!$E$27,Personnel!$G$27="Yes"),Personnel!$D$27,0)+IF(AND(10&gt;=Personnel!$E$28,Personnel!$G$28="Yes"),Personnel!$D$28,0)+IF(AND(10&gt;=Personnel!$E$29,Personnel!$G$29="Yes"),Personnel!$D$29,0))</f>
        <v>-239407.66666666666</v>
      </c>
      <c r="M16" s="8">
        <f>-(IF(AND(11&gt;=Personnel!$E$7,Personnel!$G$7="Yes"),Personnel!$D$7,0)+IF(AND(11&gt;=Personnel!$E$8,Personnel!$G$8="Yes"),Personnel!$D$8,0)+IF(AND(11&gt;=Personnel!$E$9,Personnel!$G$9="Yes"),Personnel!$D$9,0)+IF(AND(11&gt;=Personnel!$E$10,Personnel!$G$10="Yes"),Personnel!$D$10,0)+IF(AND(11&gt;=Personnel!$E$11,Personnel!$G$11="Yes"),Personnel!$D$11,0)+IF(AND(11&gt;=Personnel!$E$12,Personnel!$G$12="Yes"),Personnel!$D$12,0)+IF(AND(11&gt;=Personnel!$E$13,Personnel!$G$13="Yes"),Personnel!$D$13,0)+IF(AND(11&gt;=Personnel!$E$14,Personnel!$G$14="Yes"),Personnel!$D$14,0)+IF(AND(11&gt;=Personnel!$E$15,Personnel!$G$15="Yes"),Personnel!$D$15,0)+IF(AND(11&gt;=Personnel!$E$16,Personnel!$G$16="Yes"),Personnel!$D$16,0)+IF(AND(11&gt;=Personnel!$E$17,Personnel!$G$17="Yes"),Personnel!$D$17,0)+IF(AND(11&gt;=Personnel!$E$18,Personnel!$G$18="Yes"),Personnel!$D$18,0)+IF(AND(11&gt;=Personnel!$E$19,Personnel!$G$19="Yes"),Personnel!$D$19,0)+IF(AND(11&gt;=Personnel!$E$20,Personnel!$G$20="Yes"),Personnel!$D$20,0)+IF(AND(11&gt;=Personnel!$E$21,Personnel!$G$21="Yes"),Personnel!$D$21,0)+IF(AND(11&gt;=Personnel!$E$22,Personnel!$G$22="Yes"),Personnel!$D$22,0)+IF(AND(11&gt;=Personnel!$E$23,Personnel!$G$23="Yes"),Personnel!$D$23,0)+IF(AND(11&gt;=Personnel!$E$24,Personnel!$G$24="Yes"),Personnel!$D$24,0)+IF(AND(11&gt;=Personnel!$E$25,Personnel!$G$25="Yes"),Personnel!$D$25,0)+IF(AND(11&gt;=Personnel!$E$26,Personnel!$G$26="Yes"),Personnel!$D$26,0)+IF(AND(11&gt;=Personnel!$E$27,Personnel!$G$27="Yes"),Personnel!$D$27,0)+IF(AND(11&gt;=Personnel!$E$28,Personnel!$G$28="Yes"),Personnel!$D$28,0)+IF(AND(11&gt;=Personnel!$E$29,Personnel!$G$29="Yes"),Personnel!$D$29,0))</f>
        <v>-239407.66666666666</v>
      </c>
      <c r="N16" s="8">
        <f>-(IF(AND(12&gt;=Personnel!$E$7,Personnel!$G$7="Yes"),Personnel!$D$7,0)+IF(AND(12&gt;=Personnel!$E$8,Personnel!$G$8="Yes"),Personnel!$D$8,0)+IF(AND(12&gt;=Personnel!$E$9,Personnel!$G$9="Yes"),Personnel!$D$9,0)+IF(AND(12&gt;=Personnel!$E$10,Personnel!$G$10="Yes"),Personnel!$D$10,0)+IF(AND(12&gt;=Personnel!$E$11,Personnel!$G$11="Yes"),Personnel!$D$11,0)+IF(AND(12&gt;=Personnel!$E$12,Personnel!$G$12="Yes"),Personnel!$D$12,0)+IF(AND(12&gt;=Personnel!$E$13,Personnel!$G$13="Yes"),Personnel!$D$13,0)+IF(AND(12&gt;=Personnel!$E$14,Personnel!$G$14="Yes"),Personnel!$D$14,0)+IF(AND(12&gt;=Personnel!$E$15,Personnel!$G$15="Yes"),Personnel!$D$15,0)+IF(AND(12&gt;=Personnel!$E$16,Personnel!$G$16="Yes"),Personnel!$D$16,0)+IF(AND(12&gt;=Personnel!$E$17,Personnel!$G$17="Yes"),Personnel!$D$17,0)+IF(AND(12&gt;=Personnel!$E$18,Personnel!$G$18="Yes"),Personnel!$D$18,0)+IF(AND(12&gt;=Personnel!$E$19,Personnel!$G$19="Yes"),Personnel!$D$19,0)+IF(AND(12&gt;=Personnel!$E$20,Personnel!$G$20="Yes"),Personnel!$D$20,0)+IF(AND(12&gt;=Personnel!$E$21,Personnel!$G$21="Yes"),Personnel!$D$21,0)+IF(AND(12&gt;=Personnel!$E$22,Personnel!$G$22="Yes"),Personnel!$D$22,0)+IF(AND(12&gt;=Personnel!$E$23,Personnel!$G$23="Yes"),Personnel!$D$23,0)+IF(AND(12&gt;=Personnel!$E$24,Personnel!$G$24="Yes"),Personnel!$D$24,0)+IF(AND(12&gt;=Personnel!$E$25,Personnel!$G$25="Yes"),Personnel!$D$25,0)+IF(AND(12&gt;=Personnel!$E$26,Personnel!$G$26="Yes"),Personnel!$D$26,0)+IF(AND(12&gt;=Personnel!$E$27,Personnel!$G$27="Yes"),Personnel!$D$27,0)+IF(AND(12&gt;=Personnel!$E$28,Personnel!$G$28="Yes"),Personnel!$D$28,0)+IF(AND(12&gt;=Personnel!$E$29,Personnel!$G$29="Yes"),Personnel!$D$29,0))</f>
        <v>-239407.66666666666</v>
      </c>
      <c r="O16" s="8">
        <f>-(IF(AND(13&gt;=Personnel!$E$7,Personnel!$G$7="Yes"),Personnel!$D$7,0)+IF(AND(13&gt;=Personnel!$E$8,Personnel!$G$8="Yes"),Personnel!$D$8,0)+IF(AND(13&gt;=Personnel!$E$9,Personnel!$G$9="Yes"),Personnel!$D$9,0)+IF(AND(13&gt;=Personnel!$E$10,Personnel!$G$10="Yes"),Personnel!$D$10,0)+IF(AND(13&gt;=Personnel!$E$11,Personnel!$G$11="Yes"),Personnel!$D$11,0)+IF(AND(13&gt;=Personnel!$E$12,Personnel!$G$12="Yes"),Personnel!$D$12,0)+IF(AND(13&gt;=Personnel!$E$13,Personnel!$G$13="Yes"),Personnel!$D$13,0)+IF(AND(13&gt;=Personnel!$E$14,Personnel!$G$14="Yes"),Personnel!$D$14,0)+IF(AND(13&gt;=Personnel!$E$15,Personnel!$G$15="Yes"),Personnel!$D$15,0)+IF(AND(13&gt;=Personnel!$E$16,Personnel!$G$16="Yes"),Personnel!$D$16,0)+IF(AND(13&gt;=Personnel!$E$17,Personnel!$G$17="Yes"),Personnel!$D$17,0)+IF(AND(13&gt;=Personnel!$E$18,Personnel!$G$18="Yes"),Personnel!$D$18,0)+IF(AND(13&gt;=Personnel!$E$19,Personnel!$G$19="Yes"),Personnel!$D$19,0)+IF(AND(13&gt;=Personnel!$E$20,Personnel!$G$20="Yes"),Personnel!$D$20,0)+IF(AND(13&gt;=Personnel!$E$21,Personnel!$G$21="Yes"),Personnel!$D$21,0)+IF(AND(13&gt;=Personnel!$E$22,Personnel!$G$22="Yes"),Personnel!$D$22,0)+IF(AND(13&gt;=Personnel!$E$23,Personnel!$G$23="Yes"),Personnel!$D$23,0)+IF(AND(13&gt;=Personnel!$E$24,Personnel!$G$24="Yes"),Personnel!$D$24,0)+IF(AND(13&gt;=Personnel!$E$25,Personnel!$G$25="Yes"),Personnel!$D$25,0)+IF(AND(13&gt;=Personnel!$E$26,Personnel!$G$26="Yes"),Personnel!$D$26,0)+IF(AND(13&gt;=Personnel!$E$27,Personnel!$G$27="Yes"),Personnel!$D$27,0)+IF(AND(13&gt;=Personnel!$E$28,Personnel!$G$28="Yes"),Personnel!$D$28,0)+IF(AND(13&gt;=Personnel!$E$29,Personnel!$G$29="Yes"),Personnel!$D$29,0))</f>
        <v>-239407.66666666666</v>
      </c>
      <c r="P16" s="8">
        <f>-(IF(AND(14&gt;=Personnel!$E$7,Personnel!$G$7="Yes"),Personnel!$D$7,0)+IF(AND(14&gt;=Personnel!$E$8,Personnel!$G$8="Yes"),Personnel!$D$8,0)+IF(AND(14&gt;=Personnel!$E$9,Personnel!$G$9="Yes"),Personnel!$D$9,0)+IF(AND(14&gt;=Personnel!$E$10,Personnel!$G$10="Yes"),Personnel!$D$10,0)+IF(AND(14&gt;=Personnel!$E$11,Personnel!$G$11="Yes"),Personnel!$D$11,0)+IF(AND(14&gt;=Personnel!$E$12,Personnel!$G$12="Yes"),Personnel!$D$12,0)+IF(AND(14&gt;=Personnel!$E$13,Personnel!$G$13="Yes"),Personnel!$D$13,0)+IF(AND(14&gt;=Personnel!$E$14,Personnel!$G$14="Yes"),Personnel!$D$14,0)+IF(AND(14&gt;=Personnel!$E$15,Personnel!$G$15="Yes"),Personnel!$D$15,0)+IF(AND(14&gt;=Personnel!$E$16,Personnel!$G$16="Yes"),Personnel!$D$16,0)+IF(AND(14&gt;=Personnel!$E$17,Personnel!$G$17="Yes"),Personnel!$D$17,0)+IF(AND(14&gt;=Personnel!$E$18,Personnel!$G$18="Yes"),Personnel!$D$18,0)+IF(AND(14&gt;=Personnel!$E$19,Personnel!$G$19="Yes"),Personnel!$D$19,0)+IF(AND(14&gt;=Personnel!$E$20,Personnel!$G$20="Yes"),Personnel!$D$20,0)+IF(AND(14&gt;=Personnel!$E$21,Personnel!$G$21="Yes"),Personnel!$D$21,0)+IF(AND(14&gt;=Personnel!$E$22,Personnel!$G$22="Yes"),Personnel!$D$22,0)+IF(AND(14&gt;=Personnel!$E$23,Personnel!$G$23="Yes"),Personnel!$D$23,0)+IF(AND(14&gt;=Personnel!$E$24,Personnel!$G$24="Yes"),Personnel!$D$24,0)+IF(AND(14&gt;=Personnel!$E$25,Personnel!$G$25="Yes"),Personnel!$D$25,0)+IF(AND(14&gt;=Personnel!$E$26,Personnel!$G$26="Yes"),Personnel!$D$26,0)+IF(AND(14&gt;=Personnel!$E$27,Personnel!$G$27="Yes"),Personnel!$D$27,0)+IF(AND(14&gt;=Personnel!$E$28,Personnel!$G$28="Yes"),Personnel!$D$28,0)+IF(AND(14&gt;=Personnel!$E$29,Personnel!$G$29="Yes"),Personnel!$D$29,0))</f>
        <v>-239407.66666666666</v>
      </c>
      <c r="Q16" s="8">
        <f>-(IF(AND(15&gt;=Personnel!$E$7,Personnel!$G$7="Yes"),Personnel!$D$7,0)+IF(AND(15&gt;=Personnel!$E$8,Personnel!$G$8="Yes"),Personnel!$D$8,0)+IF(AND(15&gt;=Personnel!$E$9,Personnel!$G$9="Yes"),Personnel!$D$9,0)+IF(AND(15&gt;=Personnel!$E$10,Personnel!$G$10="Yes"),Personnel!$D$10,0)+IF(AND(15&gt;=Personnel!$E$11,Personnel!$G$11="Yes"),Personnel!$D$11,0)+IF(AND(15&gt;=Personnel!$E$12,Personnel!$G$12="Yes"),Personnel!$D$12,0)+IF(AND(15&gt;=Personnel!$E$13,Personnel!$G$13="Yes"),Personnel!$D$13,0)+IF(AND(15&gt;=Personnel!$E$14,Personnel!$G$14="Yes"),Personnel!$D$14,0)+IF(AND(15&gt;=Personnel!$E$15,Personnel!$G$15="Yes"),Personnel!$D$15,0)+IF(AND(15&gt;=Personnel!$E$16,Personnel!$G$16="Yes"),Personnel!$D$16,0)+IF(AND(15&gt;=Personnel!$E$17,Personnel!$G$17="Yes"),Personnel!$D$17,0)+IF(AND(15&gt;=Personnel!$E$18,Personnel!$G$18="Yes"),Personnel!$D$18,0)+IF(AND(15&gt;=Personnel!$E$19,Personnel!$G$19="Yes"),Personnel!$D$19,0)+IF(AND(15&gt;=Personnel!$E$20,Personnel!$G$20="Yes"),Personnel!$D$20,0)+IF(AND(15&gt;=Personnel!$E$21,Personnel!$G$21="Yes"),Personnel!$D$21,0)+IF(AND(15&gt;=Personnel!$E$22,Personnel!$G$22="Yes"),Personnel!$D$22,0)+IF(AND(15&gt;=Personnel!$E$23,Personnel!$G$23="Yes"),Personnel!$D$23,0)+IF(AND(15&gt;=Personnel!$E$24,Personnel!$G$24="Yes"),Personnel!$D$24,0)+IF(AND(15&gt;=Personnel!$E$25,Personnel!$G$25="Yes"),Personnel!$D$25,0)+IF(AND(15&gt;=Personnel!$E$26,Personnel!$G$26="Yes"),Personnel!$D$26,0)+IF(AND(15&gt;=Personnel!$E$27,Personnel!$G$27="Yes"),Personnel!$D$27,0)+IF(AND(15&gt;=Personnel!$E$28,Personnel!$G$28="Yes"),Personnel!$D$28,0)+IF(AND(15&gt;=Personnel!$E$29,Personnel!$G$29="Yes"),Personnel!$D$29,0))</f>
        <v>-239407.66666666666</v>
      </c>
      <c r="R16" s="8">
        <f>-(IF(AND(16&gt;=Personnel!$E$7,Personnel!$G$7="Yes"),Personnel!$D$7,0)+IF(AND(16&gt;=Personnel!$E$8,Personnel!$G$8="Yes"),Personnel!$D$8,0)+IF(AND(16&gt;=Personnel!$E$9,Personnel!$G$9="Yes"),Personnel!$D$9,0)+IF(AND(16&gt;=Personnel!$E$10,Personnel!$G$10="Yes"),Personnel!$D$10,0)+IF(AND(16&gt;=Personnel!$E$11,Personnel!$G$11="Yes"),Personnel!$D$11,0)+IF(AND(16&gt;=Personnel!$E$12,Personnel!$G$12="Yes"),Personnel!$D$12,0)+IF(AND(16&gt;=Personnel!$E$13,Personnel!$G$13="Yes"),Personnel!$D$13,0)+IF(AND(16&gt;=Personnel!$E$14,Personnel!$G$14="Yes"),Personnel!$D$14,0)+IF(AND(16&gt;=Personnel!$E$15,Personnel!$G$15="Yes"),Personnel!$D$15,0)+IF(AND(16&gt;=Personnel!$E$16,Personnel!$G$16="Yes"),Personnel!$D$16,0)+IF(AND(16&gt;=Personnel!$E$17,Personnel!$G$17="Yes"),Personnel!$D$17,0)+IF(AND(16&gt;=Personnel!$E$18,Personnel!$G$18="Yes"),Personnel!$D$18,0)+IF(AND(16&gt;=Personnel!$E$19,Personnel!$G$19="Yes"),Personnel!$D$19,0)+IF(AND(16&gt;=Personnel!$E$20,Personnel!$G$20="Yes"),Personnel!$D$20,0)+IF(AND(16&gt;=Personnel!$E$21,Personnel!$G$21="Yes"),Personnel!$D$21,0)+IF(AND(16&gt;=Personnel!$E$22,Personnel!$G$22="Yes"),Personnel!$D$22,0)+IF(AND(16&gt;=Personnel!$E$23,Personnel!$G$23="Yes"),Personnel!$D$23,0)+IF(AND(16&gt;=Personnel!$E$24,Personnel!$G$24="Yes"),Personnel!$D$24,0)+IF(AND(16&gt;=Personnel!$E$25,Personnel!$G$25="Yes"),Personnel!$D$25,0)+IF(AND(16&gt;=Personnel!$E$26,Personnel!$G$26="Yes"),Personnel!$D$26,0)+IF(AND(16&gt;=Personnel!$E$27,Personnel!$G$27="Yes"),Personnel!$D$27,0)+IF(AND(16&gt;=Personnel!$E$28,Personnel!$G$28="Yes"),Personnel!$D$28,0)+IF(AND(16&gt;=Personnel!$E$29,Personnel!$G$29="Yes"),Personnel!$D$29,0))</f>
        <v>-239407.66666666666</v>
      </c>
      <c r="S16" s="8">
        <f>-(IF(AND(17&gt;=Personnel!$E$7,Personnel!$G$7="Yes"),Personnel!$D$7,0)+IF(AND(17&gt;=Personnel!$E$8,Personnel!$G$8="Yes"),Personnel!$D$8,0)+IF(AND(17&gt;=Personnel!$E$9,Personnel!$G$9="Yes"),Personnel!$D$9,0)+IF(AND(17&gt;=Personnel!$E$10,Personnel!$G$10="Yes"),Personnel!$D$10,0)+IF(AND(17&gt;=Personnel!$E$11,Personnel!$G$11="Yes"),Personnel!$D$11,0)+IF(AND(17&gt;=Personnel!$E$12,Personnel!$G$12="Yes"),Personnel!$D$12,0)+IF(AND(17&gt;=Personnel!$E$13,Personnel!$G$13="Yes"),Personnel!$D$13,0)+IF(AND(17&gt;=Personnel!$E$14,Personnel!$G$14="Yes"),Personnel!$D$14,0)+IF(AND(17&gt;=Personnel!$E$15,Personnel!$G$15="Yes"),Personnel!$D$15,0)+IF(AND(17&gt;=Personnel!$E$16,Personnel!$G$16="Yes"),Personnel!$D$16,0)+IF(AND(17&gt;=Personnel!$E$17,Personnel!$G$17="Yes"),Personnel!$D$17,0)+IF(AND(17&gt;=Personnel!$E$18,Personnel!$G$18="Yes"),Personnel!$D$18,0)+IF(AND(17&gt;=Personnel!$E$19,Personnel!$G$19="Yes"),Personnel!$D$19,0)+IF(AND(17&gt;=Personnel!$E$20,Personnel!$G$20="Yes"),Personnel!$D$20,0)+IF(AND(17&gt;=Personnel!$E$21,Personnel!$G$21="Yes"),Personnel!$D$21,0)+IF(AND(17&gt;=Personnel!$E$22,Personnel!$G$22="Yes"),Personnel!$D$22,0)+IF(AND(17&gt;=Personnel!$E$23,Personnel!$G$23="Yes"),Personnel!$D$23,0)+IF(AND(17&gt;=Personnel!$E$24,Personnel!$G$24="Yes"),Personnel!$D$24,0)+IF(AND(17&gt;=Personnel!$E$25,Personnel!$G$25="Yes"),Personnel!$D$25,0)+IF(AND(17&gt;=Personnel!$E$26,Personnel!$G$26="Yes"),Personnel!$D$26,0)+IF(AND(17&gt;=Personnel!$E$27,Personnel!$G$27="Yes"),Personnel!$D$27,0)+IF(AND(17&gt;=Personnel!$E$28,Personnel!$G$28="Yes"),Personnel!$D$28,0)+IF(AND(17&gt;=Personnel!$E$29,Personnel!$G$29="Yes"),Personnel!$D$29,0))</f>
        <v>-239407.66666666666</v>
      </c>
      <c r="T16" s="8">
        <f>-(IF(AND(18&gt;=Personnel!$E$7,Personnel!$G$7="Yes"),Personnel!$D$7,0)+IF(AND(18&gt;=Personnel!$E$8,Personnel!$G$8="Yes"),Personnel!$D$8,0)+IF(AND(18&gt;=Personnel!$E$9,Personnel!$G$9="Yes"),Personnel!$D$9,0)+IF(AND(18&gt;=Personnel!$E$10,Personnel!$G$10="Yes"),Personnel!$D$10,0)+IF(AND(18&gt;=Personnel!$E$11,Personnel!$G$11="Yes"),Personnel!$D$11,0)+IF(AND(18&gt;=Personnel!$E$12,Personnel!$G$12="Yes"),Personnel!$D$12,0)+IF(AND(18&gt;=Personnel!$E$13,Personnel!$G$13="Yes"),Personnel!$D$13,0)+IF(AND(18&gt;=Personnel!$E$14,Personnel!$G$14="Yes"),Personnel!$D$14,0)+IF(AND(18&gt;=Personnel!$E$15,Personnel!$G$15="Yes"),Personnel!$D$15,0)+IF(AND(18&gt;=Personnel!$E$16,Personnel!$G$16="Yes"),Personnel!$D$16,0)+IF(AND(18&gt;=Personnel!$E$17,Personnel!$G$17="Yes"),Personnel!$D$17,0)+IF(AND(18&gt;=Personnel!$E$18,Personnel!$G$18="Yes"),Personnel!$D$18,0)+IF(AND(18&gt;=Personnel!$E$19,Personnel!$G$19="Yes"),Personnel!$D$19,0)+IF(AND(18&gt;=Personnel!$E$20,Personnel!$G$20="Yes"),Personnel!$D$20,0)+IF(AND(18&gt;=Personnel!$E$21,Personnel!$G$21="Yes"),Personnel!$D$21,0)+IF(AND(18&gt;=Personnel!$E$22,Personnel!$G$22="Yes"),Personnel!$D$22,0)+IF(AND(18&gt;=Personnel!$E$23,Personnel!$G$23="Yes"),Personnel!$D$23,0)+IF(AND(18&gt;=Personnel!$E$24,Personnel!$G$24="Yes"),Personnel!$D$24,0)+IF(AND(18&gt;=Personnel!$E$25,Personnel!$G$25="Yes"),Personnel!$D$25,0)+IF(AND(18&gt;=Personnel!$E$26,Personnel!$G$26="Yes"),Personnel!$D$26,0)+IF(AND(18&gt;=Personnel!$E$27,Personnel!$G$27="Yes"),Personnel!$D$27,0)+IF(AND(18&gt;=Personnel!$E$28,Personnel!$G$28="Yes"),Personnel!$D$28,0)+IF(AND(18&gt;=Personnel!$E$29,Personnel!$G$29="Yes"),Personnel!$D$29,0))</f>
        <v>-239407.66666666666</v>
      </c>
      <c r="U16" s="8">
        <f>-(IF(AND(19&gt;=Personnel!$E$7,Personnel!$G$7="Yes"),Personnel!$D$7,0)+IF(AND(19&gt;=Personnel!$E$8,Personnel!$G$8="Yes"),Personnel!$D$8,0)+IF(AND(19&gt;=Personnel!$E$9,Personnel!$G$9="Yes"),Personnel!$D$9,0)+IF(AND(19&gt;=Personnel!$E$10,Personnel!$G$10="Yes"),Personnel!$D$10,0)+IF(AND(19&gt;=Personnel!$E$11,Personnel!$G$11="Yes"),Personnel!$D$11,0)+IF(AND(19&gt;=Personnel!$E$12,Personnel!$G$12="Yes"),Personnel!$D$12,0)+IF(AND(19&gt;=Personnel!$E$13,Personnel!$G$13="Yes"),Personnel!$D$13,0)+IF(AND(19&gt;=Personnel!$E$14,Personnel!$G$14="Yes"),Personnel!$D$14,0)+IF(AND(19&gt;=Personnel!$E$15,Personnel!$G$15="Yes"),Personnel!$D$15,0)+IF(AND(19&gt;=Personnel!$E$16,Personnel!$G$16="Yes"),Personnel!$D$16,0)+IF(AND(19&gt;=Personnel!$E$17,Personnel!$G$17="Yes"),Personnel!$D$17,0)+IF(AND(19&gt;=Personnel!$E$18,Personnel!$G$18="Yes"),Personnel!$D$18,0)+IF(AND(19&gt;=Personnel!$E$19,Personnel!$G$19="Yes"),Personnel!$D$19,0)+IF(AND(19&gt;=Personnel!$E$20,Personnel!$G$20="Yes"),Personnel!$D$20,0)+IF(AND(19&gt;=Personnel!$E$21,Personnel!$G$21="Yes"),Personnel!$D$21,0)+IF(AND(19&gt;=Personnel!$E$22,Personnel!$G$22="Yes"),Personnel!$D$22,0)+IF(AND(19&gt;=Personnel!$E$23,Personnel!$G$23="Yes"),Personnel!$D$23,0)+IF(AND(19&gt;=Personnel!$E$24,Personnel!$G$24="Yes"),Personnel!$D$24,0)+IF(AND(19&gt;=Personnel!$E$25,Personnel!$G$25="Yes"),Personnel!$D$25,0)+IF(AND(19&gt;=Personnel!$E$26,Personnel!$G$26="Yes"),Personnel!$D$26,0)+IF(AND(19&gt;=Personnel!$E$27,Personnel!$G$27="Yes"),Personnel!$D$27,0)+IF(AND(19&gt;=Personnel!$E$28,Personnel!$G$28="Yes"),Personnel!$D$28,0)+IF(AND(19&gt;=Personnel!$E$29,Personnel!$G$29="Yes"),Personnel!$D$29,0))</f>
        <v>-239407.66666666666</v>
      </c>
      <c r="V16" s="8">
        <f>-(IF(AND(20&gt;=Personnel!$E$7,Personnel!$G$7="Yes"),Personnel!$D$7,0)+IF(AND(20&gt;=Personnel!$E$8,Personnel!$G$8="Yes"),Personnel!$D$8,0)+IF(AND(20&gt;=Personnel!$E$9,Personnel!$G$9="Yes"),Personnel!$D$9,0)+IF(AND(20&gt;=Personnel!$E$10,Personnel!$G$10="Yes"),Personnel!$D$10,0)+IF(AND(20&gt;=Personnel!$E$11,Personnel!$G$11="Yes"),Personnel!$D$11,0)+IF(AND(20&gt;=Personnel!$E$12,Personnel!$G$12="Yes"),Personnel!$D$12,0)+IF(AND(20&gt;=Personnel!$E$13,Personnel!$G$13="Yes"),Personnel!$D$13,0)+IF(AND(20&gt;=Personnel!$E$14,Personnel!$G$14="Yes"),Personnel!$D$14,0)+IF(AND(20&gt;=Personnel!$E$15,Personnel!$G$15="Yes"),Personnel!$D$15,0)+IF(AND(20&gt;=Personnel!$E$16,Personnel!$G$16="Yes"),Personnel!$D$16,0)+IF(AND(20&gt;=Personnel!$E$17,Personnel!$G$17="Yes"),Personnel!$D$17,0)+IF(AND(20&gt;=Personnel!$E$18,Personnel!$G$18="Yes"),Personnel!$D$18,0)+IF(AND(20&gt;=Personnel!$E$19,Personnel!$G$19="Yes"),Personnel!$D$19,0)+IF(AND(20&gt;=Personnel!$E$20,Personnel!$G$20="Yes"),Personnel!$D$20,0)+IF(AND(20&gt;=Personnel!$E$21,Personnel!$G$21="Yes"),Personnel!$D$21,0)+IF(AND(20&gt;=Personnel!$E$22,Personnel!$G$22="Yes"),Personnel!$D$22,0)+IF(AND(20&gt;=Personnel!$E$23,Personnel!$G$23="Yes"),Personnel!$D$23,0)+IF(AND(20&gt;=Personnel!$E$24,Personnel!$G$24="Yes"),Personnel!$D$24,0)+IF(AND(20&gt;=Personnel!$E$25,Personnel!$G$25="Yes"),Personnel!$D$25,0)+IF(AND(20&gt;=Personnel!$E$26,Personnel!$G$26="Yes"),Personnel!$D$26,0)+IF(AND(20&gt;=Personnel!$E$27,Personnel!$G$27="Yes"),Personnel!$D$27,0)+IF(AND(20&gt;=Personnel!$E$28,Personnel!$G$28="Yes"),Personnel!$D$28,0)+IF(AND(20&gt;=Personnel!$E$29,Personnel!$G$29="Yes"),Personnel!$D$29,0))</f>
        <v>-239407.66666666666</v>
      </c>
      <c r="W16" s="8">
        <f>-(IF(AND(21&gt;=Personnel!$E$7,Personnel!$G$7="Yes"),Personnel!$D$7,0)+IF(AND(21&gt;=Personnel!$E$8,Personnel!$G$8="Yes"),Personnel!$D$8,0)+IF(AND(21&gt;=Personnel!$E$9,Personnel!$G$9="Yes"),Personnel!$D$9,0)+IF(AND(21&gt;=Personnel!$E$10,Personnel!$G$10="Yes"),Personnel!$D$10,0)+IF(AND(21&gt;=Personnel!$E$11,Personnel!$G$11="Yes"),Personnel!$D$11,0)+IF(AND(21&gt;=Personnel!$E$12,Personnel!$G$12="Yes"),Personnel!$D$12,0)+IF(AND(21&gt;=Personnel!$E$13,Personnel!$G$13="Yes"),Personnel!$D$13,0)+IF(AND(21&gt;=Personnel!$E$14,Personnel!$G$14="Yes"),Personnel!$D$14,0)+IF(AND(21&gt;=Personnel!$E$15,Personnel!$G$15="Yes"),Personnel!$D$15,0)+IF(AND(21&gt;=Personnel!$E$16,Personnel!$G$16="Yes"),Personnel!$D$16,0)+IF(AND(21&gt;=Personnel!$E$17,Personnel!$G$17="Yes"),Personnel!$D$17,0)+IF(AND(21&gt;=Personnel!$E$18,Personnel!$G$18="Yes"),Personnel!$D$18,0)+IF(AND(21&gt;=Personnel!$E$19,Personnel!$G$19="Yes"),Personnel!$D$19,0)+IF(AND(21&gt;=Personnel!$E$20,Personnel!$G$20="Yes"),Personnel!$D$20,0)+IF(AND(21&gt;=Personnel!$E$21,Personnel!$G$21="Yes"),Personnel!$D$21,0)+IF(AND(21&gt;=Personnel!$E$22,Personnel!$G$22="Yes"),Personnel!$D$22,0)+IF(AND(21&gt;=Personnel!$E$23,Personnel!$G$23="Yes"),Personnel!$D$23,0)+IF(AND(21&gt;=Personnel!$E$24,Personnel!$G$24="Yes"),Personnel!$D$24,0)+IF(AND(21&gt;=Personnel!$E$25,Personnel!$G$25="Yes"),Personnel!$D$25,0)+IF(AND(21&gt;=Personnel!$E$26,Personnel!$G$26="Yes"),Personnel!$D$26,0)+IF(AND(21&gt;=Personnel!$E$27,Personnel!$G$27="Yes"),Personnel!$D$27,0)+IF(AND(21&gt;=Personnel!$E$28,Personnel!$G$28="Yes"),Personnel!$D$28,0)+IF(AND(21&gt;=Personnel!$E$29,Personnel!$G$29="Yes"),Personnel!$D$29,0))</f>
        <v>-239407.66666666666</v>
      </c>
      <c r="X16" s="8">
        <f>-(IF(AND(22&gt;=Personnel!$E$7,Personnel!$G$7="Yes"),Personnel!$D$7,0)+IF(AND(22&gt;=Personnel!$E$8,Personnel!$G$8="Yes"),Personnel!$D$8,0)+IF(AND(22&gt;=Personnel!$E$9,Personnel!$G$9="Yes"),Personnel!$D$9,0)+IF(AND(22&gt;=Personnel!$E$10,Personnel!$G$10="Yes"),Personnel!$D$10,0)+IF(AND(22&gt;=Personnel!$E$11,Personnel!$G$11="Yes"),Personnel!$D$11,0)+IF(AND(22&gt;=Personnel!$E$12,Personnel!$G$12="Yes"),Personnel!$D$12,0)+IF(AND(22&gt;=Personnel!$E$13,Personnel!$G$13="Yes"),Personnel!$D$13,0)+IF(AND(22&gt;=Personnel!$E$14,Personnel!$G$14="Yes"),Personnel!$D$14,0)+IF(AND(22&gt;=Personnel!$E$15,Personnel!$G$15="Yes"),Personnel!$D$15,0)+IF(AND(22&gt;=Personnel!$E$16,Personnel!$G$16="Yes"),Personnel!$D$16,0)+IF(AND(22&gt;=Personnel!$E$17,Personnel!$G$17="Yes"),Personnel!$D$17,0)+IF(AND(22&gt;=Personnel!$E$18,Personnel!$G$18="Yes"),Personnel!$D$18,0)+IF(AND(22&gt;=Personnel!$E$19,Personnel!$G$19="Yes"),Personnel!$D$19,0)+IF(AND(22&gt;=Personnel!$E$20,Personnel!$G$20="Yes"),Personnel!$D$20,0)+IF(AND(22&gt;=Personnel!$E$21,Personnel!$G$21="Yes"),Personnel!$D$21,0)+IF(AND(22&gt;=Personnel!$E$22,Personnel!$G$22="Yes"),Personnel!$D$22,0)+IF(AND(22&gt;=Personnel!$E$23,Personnel!$G$23="Yes"),Personnel!$D$23,0)+IF(AND(22&gt;=Personnel!$E$24,Personnel!$G$24="Yes"),Personnel!$D$24,0)+IF(AND(22&gt;=Personnel!$E$25,Personnel!$G$25="Yes"),Personnel!$D$25,0)+IF(AND(22&gt;=Personnel!$E$26,Personnel!$G$26="Yes"),Personnel!$D$26,0)+IF(AND(22&gt;=Personnel!$E$27,Personnel!$G$27="Yes"),Personnel!$D$27,0)+IF(AND(22&gt;=Personnel!$E$28,Personnel!$G$28="Yes"),Personnel!$D$28,0)+IF(AND(22&gt;=Personnel!$E$29,Personnel!$G$29="Yes"),Personnel!$D$29,0))</f>
        <v>-239407.66666666666</v>
      </c>
      <c r="Y16" s="8">
        <f>-(IF(AND(23&gt;=Personnel!$E$7,Personnel!$G$7="Yes"),Personnel!$D$7,0)+IF(AND(23&gt;=Personnel!$E$8,Personnel!$G$8="Yes"),Personnel!$D$8,0)+IF(AND(23&gt;=Personnel!$E$9,Personnel!$G$9="Yes"),Personnel!$D$9,0)+IF(AND(23&gt;=Personnel!$E$10,Personnel!$G$10="Yes"),Personnel!$D$10,0)+IF(AND(23&gt;=Personnel!$E$11,Personnel!$G$11="Yes"),Personnel!$D$11,0)+IF(AND(23&gt;=Personnel!$E$12,Personnel!$G$12="Yes"),Personnel!$D$12,0)+IF(AND(23&gt;=Personnel!$E$13,Personnel!$G$13="Yes"),Personnel!$D$13,0)+IF(AND(23&gt;=Personnel!$E$14,Personnel!$G$14="Yes"),Personnel!$D$14,0)+IF(AND(23&gt;=Personnel!$E$15,Personnel!$G$15="Yes"),Personnel!$D$15,0)+IF(AND(23&gt;=Personnel!$E$16,Personnel!$G$16="Yes"),Personnel!$D$16,0)+IF(AND(23&gt;=Personnel!$E$17,Personnel!$G$17="Yes"),Personnel!$D$17,0)+IF(AND(23&gt;=Personnel!$E$18,Personnel!$G$18="Yes"),Personnel!$D$18,0)+IF(AND(23&gt;=Personnel!$E$19,Personnel!$G$19="Yes"),Personnel!$D$19,0)+IF(AND(23&gt;=Personnel!$E$20,Personnel!$G$20="Yes"),Personnel!$D$20,0)+IF(AND(23&gt;=Personnel!$E$21,Personnel!$G$21="Yes"),Personnel!$D$21,0)+IF(AND(23&gt;=Personnel!$E$22,Personnel!$G$22="Yes"),Personnel!$D$22,0)+IF(AND(23&gt;=Personnel!$E$23,Personnel!$G$23="Yes"),Personnel!$D$23,0)+IF(AND(23&gt;=Personnel!$E$24,Personnel!$G$24="Yes"),Personnel!$D$24,0)+IF(AND(23&gt;=Personnel!$E$25,Personnel!$G$25="Yes"),Personnel!$D$25,0)+IF(AND(23&gt;=Personnel!$E$26,Personnel!$G$26="Yes"),Personnel!$D$26,0)+IF(AND(23&gt;=Personnel!$E$27,Personnel!$G$27="Yes"),Personnel!$D$27,0)+IF(AND(23&gt;=Personnel!$E$28,Personnel!$G$28="Yes"),Personnel!$D$28,0)+IF(AND(23&gt;=Personnel!$E$29,Personnel!$G$29="Yes"),Personnel!$D$29,0))</f>
        <v>-239407.66666666666</v>
      </c>
      <c r="Z16" s="8">
        <f>-(IF(AND(24&gt;=Personnel!$E$7,Personnel!$G$7="Yes"),Personnel!$D$7,0)+IF(AND(24&gt;=Personnel!$E$8,Personnel!$G$8="Yes"),Personnel!$D$8,0)+IF(AND(24&gt;=Personnel!$E$9,Personnel!$G$9="Yes"),Personnel!$D$9,0)+IF(AND(24&gt;=Personnel!$E$10,Personnel!$G$10="Yes"),Personnel!$D$10,0)+IF(AND(24&gt;=Personnel!$E$11,Personnel!$G$11="Yes"),Personnel!$D$11,0)+IF(AND(24&gt;=Personnel!$E$12,Personnel!$G$12="Yes"),Personnel!$D$12,0)+IF(AND(24&gt;=Personnel!$E$13,Personnel!$G$13="Yes"),Personnel!$D$13,0)+IF(AND(24&gt;=Personnel!$E$14,Personnel!$G$14="Yes"),Personnel!$D$14,0)+IF(AND(24&gt;=Personnel!$E$15,Personnel!$G$15="Yes"),Personnel!$D$15,0)+IF(AND(24&gt;=Personnel!$E$16,Personnel!$G$16="Yes"),Personnel!$D$16,0)+IF(AND(24&gt;=Personnel!$E$17,Personnel!$G$17="Yes"),Personnel!$D$17,0)+IF(AND(24&gt;=Personnel!$E$18,Personnel!$G$18="Yes"),Personnel!$D$18,0)+IF(AND(24&gt;=Personnel!$E$19,Personnel!$G$19="Yes"),Personnel!$D$19,0)+IF(AND(24&gt;=Personnel!$E$20,Personnel!$G$20="Yes"),Personnel!$D$20,0)+IF(AND(24&gt;=Personnel!$E$21,Personnel!$G$21="Yes"),Personnel!$D$21,0)+IF(AND(24&gt;=Personnel!$E$22,Personnel!$G$22="Yes"),Personnel!$D$22,0)+IF(AND(24&gt;=Personnel!$E$23,Personnel!$G$23="Yes"),Personnel!$D$23,0)+IF(AND(24&gt;=Personnel!$E$24,Personnel!$G$24="Yes"),Personnel!$D$24,0)+IF(AND(24&gt;=Personnel!$E$25,Personnel!$G$25="Yes"),Personnel!$D$25,0)+IF(AND(24&gt;=Personnel!$E$26,Personnel!$G$26="Yes"),Personnel!$D$26,0)+IF(AND(24&gt;=Personnel!$E$27,Personnel!$G$27="Yes"),Personnel!$D$27,0)+IF(AND(24&gt;=Personnel!$E$28,Personnel!$G$28="Yes"),Personnel!$D$28,0)+IF(AND(24&gt;=Personnel!$E$29,Personnel!$G$29="Yes"),Personnel!$D$29,0))</f>
        <v>-239407.66666666666</v>
      </c>
      <c r="AA16" s="8">
        <f>-(IF(AND(25&gt;=Personnel!$E$7,Personnel!$G$7="Yes"),Personnel!$D$7,0)+IF(AND(25&gt;=Personnel!$E$8,Personnel!$G$8="Yes"),Personnel!$D$8,0)+IF(AND(25&gt;=Personnel!$E$9,Personnel!$G$9="Yes"),Personnel!$D$9,0)+IF(AND(25&gt;=Personnel!$E$10,Personnel!$G$10="Yes"),Personnel!$D$10,0)+IF(AND(25&gt;=Personnel!$E$11,Personnel!$G$11="Yes"),Personnel!$D$11,0)+IF(AND(25&gt;=Personnel!$E$12,Personnel!$G$12="Yes"),Personnel!$D$12,0)+IF(AND(25&gt;=Personnel!$E$13,Personnel!$G$13="Yes"),Personnel!$D$13,0)+IF(AND(25&gt;=Personnel!$E$14,Personnel!$G$14="Yes"),Personnel!$D$14,0)+IF(AND(25&gt;=Personnel!$E$15,Personnel!$G$15="Yes"),Personnel!$D$15,0)+IF(AND(25&gt;=Personnel!$E$16,Personnel!$G$16="Yes"),Personnel!$D$16,0)+IF(AND(25&gt;=Personnel!$E$17,Personnel!$G$17="Yes"),Personnel!$D$17,0)+IF(AND(25&gt;=Personnel!$E$18,Personnel!$G$18="Yes"),Personnel!$D$18,0)+IF(AND(25&gt;=Personnel!$E$19,Personnel!$G$19="Yes"),Personnel!$D$19,0)+IF(AND(25&gt;=Personnel!$E$20,Personnel!$G$20="Yes"),Personnel!$D$20,0)+IF(AND(25&gt;=Personnel!$E$21,Personnel!$G$21="Yes"),Personnel!$D$21,0)+IF(AND(25&gt;=Personnel!$E$22,Personnel!$G$22="Yes"),Personnel!$D$22,0)+IF(AND(25&gt;=Personnel!$E$23,Personnel!$G$23="Yes"),Personnel!$D$23,0)+IF(AND(25&gt;=Personnel!$E$24,Personnel!$G$24="Yes"),Personnel!$D$24,0)+IF(AND(25&gt;=Personnel!$E$25,Personnel!$G$25="Yes"),Personnel!$D$25,0)+IF(AND(25&gt;=Personnel!$E$26,Personnel!$G$26="Yes"),Personnel!$D$26,0)+IF(AND(25&gt;=Personnel!$E$27,Personnel!$G$27="Yes"),Personnel!$D$27,0)+IF(AND(25&gt;=Personnel!$E$28,Personnel!$G$28="Yes"),Personnel!$D$28,0)+IF(AND(25&gt;=Personnel!$E$29,Personnel!$G$29="Yes"),Personnel!$D$29,0))</f>
        <v>-239407.66666666666</v>
      </c>
      <c r="AB16" s="8">
        <f>-(IF(AND(26&gt;=Personnel!$E$7,Personnel!$G$7="Yes"),Personnel!$D$7,0)+IF(AND(26&gt;=Personnel!$E$8,Personnel!$G$8="Yes"),Personnel!$D$8,0)+IF(AND(26&gt;=Personnel!$E$9,Personnel!$G$9="Yes"),Personnel!$D$9,0)+IF(AND(26&gt;=Personnel!$E$10,Personnel!$G$10="Yes"),Personnel!$D$10,0)+IF(AND(26&gt;=Personnel!$E$11,Personnel!$G$11="Yes"),Personnel!$D$11,0)+IF(AND(26&gt;=Personnel!$E$12,Personnel!$G$12="Yes"),Personnel!$D$12,0)+IF(AND(26&gt;=Personnel!$E$13,Personnel!$G$13="Yes"),Personnel!$D$13,0)+IF(AND(26&gt;=Personnel!$E$14,Personnel!$G$14="Yes"),Personnel!$D$14,0)+IF(AND(26&gt;=Personnel!$E$15,Personnel!$G$15="Yes"),Personnel!$D$15,0)+IF(AND(26&gt;=Personnel!$E$16,Personnel!$G$16="Yes"),Personnel!$D$16,0)+IF(AND(26&gt;=Personnel!$E$17,Personnel!$G$17="Yes"),Personnel!$D$17,0)+IF(AND(26&gt;=Personnel!$E$18,Personnel!$G$18="Yes"),Personnel!$D$18,0)+IF(AND(26&gt;=Personnel!$E$19,Personnel!$G$19="Yes"),Personnel!$D$19,0)+IF(AND(26&gt;=Personnel!$E$20,Personnel!$G$20="Yes"),Personnel!$D$20,0)+IF(AND(26&gt;=Personnel!$E$21,Personnel!$G$21="Yes"),Personnel!$D$21,0)+IF(AND(26&gt;=Personnel!$E$22,Personnel!$G$22="Yes"),Personnel!$D$22,0)+IF(AND(26&gt;=Personnel!$E$23,Personnel!$G$23="Yes"),Personnel!$D$23,0)+IF(AND(26&gt;=Personnel!$E$24,Personnel!$G$24="Yes"),Personnel!$D$24,0)+IF(AND(26&gt;=Personnel!$E$25,Personnel!$G$25="Yes"),Personnel!$D$25,0)+IF(AND(26&gt;=Personnel!$E$26,Personnel!$G$26="Yes"),Personnel!$D$26,0)+IF(AND(26&gt;=Personnel!$E$27,Personnel!$G$27="Yes"),Personnel!$D$27,0)+IF(AND(26&gt;=Personnel!$E$28,Personnel!$G$28="Yes"),Personnel!$D$28,0)+IF(AND(26&gt;=Personnel!$E$29,Personnel!$G$29="Yes"),Personnel!$D$29,0))</f>
        <v>-239407.66666666666</v>
      </c>
      <c r="AC16" s="8">
        <f>-(IF(AND(27&gt;=Personnel!$E$7,Personnel!$G$7="Yes"),Personnel!$D$7,0)+IF(AND(27&gt;=Personnel!$E$8,Personnel!$G$8="Yes"),Personnel!$D$8,0)+IF(AND(27&gt;=Personnel!$E$9,Personnel!$G$9="Yes"),Personnel!$D$9,0)+IF(AND(27&gt;=Personnel!$E$10,Personnel!$G$10="Yes"),Personnel!$D$10,0)+IF(AND(27&gt;=Personnel!$E$11,Personnel!$G$11="Yes"),Personnel!$D$11,0)+IF(AND(27&gt;=Personnel!$E$12,Personnel!$G$12="Yes"),Personnel!$D$12,0)+IF(AND(27&gt;=Personnel!$E$13,Personnel!$G$13="Yes"),Personnel!$D$13,0)+IF(AND(27&gt;=Personnel!$E$14,Personnel!$G$14="Yes"),Personnel!$D$14,0)+IF(AND(27&gt;=Personnel!$E$15,Personnel!$G$15="Yes"),Personnel!$D$15,0)+IF(AND(27&gt;=Personnel!$E$16,Personnel!$G$16="Yes"),Personnel!$D$16,0)+IF(AND(27&gt;=Personnel!$E$17,Personnel!$G$17="Yes"),Personnel!$D$17,0)+IF(AND(27&gt;=Personnel!$E$18,Personnel!$G$18="Yes"),Personnel!$D$18,0)+IF(AND(27&gt;=Personnel!$E$19,Personnel!$G$19="Yes"),Personnel!$D$19,0)+IF(AND(27&gt;=Personnel!$E$20,Personnel!$G$20="Yes"),Personnel!$D$20,0)+IF(AND(27&gt;=Personnel!$E$21,Personnel!$G$21="Yes"),Personnel!$D$21,0)+IF(AND(27&gt;=Personnel!$E$22,Personnel!$G$22="Yes"),Personnel!$D$22,0)+IF(AND(27&gt;=Personnel!$E$23,Personnel!$G$23="Yes"),Personnel!$D$23,0)+IF(AND(27&gt;=Personnel!$E$24,Personnel!$G$24="Yes"),Personnel!$D$24,0)+IF(AND(27&gt;=Personnel!$E$25,Personnel!$G$25="Yes"),Personnel!$D$25,0)+IF(AND(27&gt;=Personnel!$E$26,Personnel!$G$26="Yes"),Personnel!$D$26,0)+IF(AND(27&gt;=Personnel!$E$27,Personnel!$G$27="Yes"),Personnel!$D$27,0)+IF(AND(27&gt;=Personnel!$E$28,Personnel!$G$28="Yes"),Personnel!$D$28,0)+IF(AND(27&gt;=Personnel!$E$29,Personnel!$G$29="Yes"),Personnel!$D$29,0))</f>
        <v>-239407.66666666666</v>
      </c>
      <c r="AD16" s="8">
        <f>-(IF(AND(28&gt;=Personnel!$E$7,Personnel!$G$7="Yes"),Personnel!$D$7,0)+IF(AND(28&gt;=Personnel!$E$8,Personnel!$G$8="Yes"),Personnel!$D$8,0)+IF(AND(28&gt;=Personnel!$E$9,Personnel!$G$9="Yes"),Personnel!$D$9,0)+IF(AND(28&gt;=Personnel!$E$10,Personnel!$G$10="Yes"),Personnel!$D$10,0)+IF(AND(28&gt;=Personnel!$E$11,Personnel!$G$11="Yes"),Personnel!$D$11,0)+IF(AND(28&gt;=Personnel!$E$12,Personnel!$G$12="Yes"),Personnel!$D$12,0)+IF(AND(28&gt;=Personnel!$E$13,Personnel!$G$13="Yes"),Personnel!$D$13,0)+IF(AND(28&gt;=Personnel!$E$14,Personnel!$G$14="Yes"),Personnel!$D$14,0)+IF(AND(28&gt;=Personnel!$E$15,Personnel!$G$15="Yes"),Personnel!$D$15,0)+IF(AND(28&gt;=Personnel!$E$16,Personnel!$G$16="Yes"),Personnel!$D$16,0)+IF(AND(28&gt;=Personnel!$E$17,Personnel!$G$17="Yes"),Personnel!$D$17,0)+IF(AND(28&gt;=Personnel!$E$18,Personnel!$G$18="Yes"),Personnel!$D$18,0)+IF(AND(28&gt;=Personnel!$E$19,Personnel!$G$19="Yes"),Personnel!$D$19,0)+IF(AND(28&gt;=Personnel!$E$20,Personnel!$G$20="Yes"),Personnel!$D$20,0)+IF(AND(28&gt;=Personnel!$E$21,Personnel!$G$21="Yes"),Personnel!$D$21,0)+IF(AND(28&gt;=Personnel!$E$22,Personnel!$G$22="Yes"),Personnel!$D$22,0)+IF(AND(28&gt;=Personnel!$E$23,Personnel!$G$23="Yes"),Personnel!$D$23,0)+IF(AND(28&gt;=Personnel!$E$24,Personnel!$G$24="Yes"),Personnel!$D$24,0)+IF(AND(28&gt;=Personnel!$E$25,Personnel!$G$25="Yes"),Personnel!$D$25,0)+IF(AND(28&gt;=Personnel!$E$26,Personnel!$G$26="Yes"),Personnel!$D$26,0)+IF(AND(28&gt;=Personnel!$E$27,Personnel!$G$27="Yes"),Personnel!$D$27,0)+IF(AND(28&gt;=Personnel!$E$28,Personnel!$G$28="Yes"),Personnel!$D$28,0)+IF(AND(28&gt;=Personnel!$E$29,Personnel!$G$29="Yes"),Personnel!$D$29,0))</f>
        <v>-239407.66666666666</v>
      </c>
      <c r="AE16" s="8">
        <f>-(IF(AND(29&gt;=Personnel!$E$7,Personnel!$G$7="Yes"),Personnel!$D$7,0)+IF(AND(29&gt;=Personnel!$E$8,Personnel!$G$8="Yes"),Personnel!$D$8,0)+IF(AND(29&gt;=Personnel!$E$9,Personnel!$G$9="Yes"),Personnel!$D$9,0)+IF(AND(29&gt;=Personnel!$E$10,Personnel!$G$10="Yes"),Personnel!$D$10,0)+IF(AND(29&gt;=Personnel!$E$11,Personnel!$G$11="Yes"),Personnel!$D$11,0)+IF(AND(29&gt;=Personnel!$E$12,Personnel!$G$12="Yes"),Personnel!$D$12,0)+IF(AND(29&gt;=Personnel!$E$13,Personnel!$G$13="Yes"),Personnel!$D$13,0)+IF(AND(29&gt;=Personnel!$E$14,Personnel!$G$14="Yes"),Personnel!$D$14,0)+IF(AND(29&gt;=Personnel!$E$15,Personnel!$G$15="Yes"),Personnel!$D$15,0)+IF(AND(29&gt;=Personnel!$E$16,Personnel!$G$16="Yes"),Personnel!$D$16,0)+IF(AND(29&gt;=Personnel!$E$17,Personnel!$G$17="Yes"),Personnel!$D$17,0)+IF(AND(29&gt;=Personnel!$E$18,Personnel!$G$18="Yes"),Personnel!$D$18,0)+IF(AND(29&gt;=Personnel!$E$19,Personnel!$G$19="Yes"),Personnel!$D$19,0)+IF(AND(29&gt;=Personnel!$E$20,Personnel!$G$20="Yes"),Personnel!$D$20,0)+IF(AND(29&gt;=Personnel!$E$21,Personnel!$G$21="Yes"),Personnel!$D$21,0)+IF(AND(29&gt;=Personnel!$E$22,Personnel!$G$22="Yes"),Personnel!$D$22,0)+IF(AND(29&gt;=Personnel!$E$23,Personnel!$G$23="Yes"),Personnel!$D$23,0)+IF(AND(29&gt;=Personnel!$E$24,Personnel!$G$24="Yes"),Personnel!$D$24,0)+IF(AND(29&gt;=Personnel!$E$25,Personnel!$G$25="Yes"),Personnel!$D$25,0)+IF(AND(29&gt;=Personnel!$E$26,Personnel!$G$26="Yes"),Personnel!$D$26,0)+IF(AND(29&gt;=Personnel!$E$27,Personnel!$G$27="Yes"),Personnel!$D$27,0)+IF(AND(29&gt;=Personnel!$E$28,Personnel!$G$28="Yes"),Personnel!$D$28,0)+IF(AND(29&gt;=Personnel!$E$29,Personnel!$G$29="Yes"),Personnel!$D$29,0))</f>
        <v>-239407.66666666666</v>
      </c>
      <c r="AF16" s="8">
        <f>-(IF(AND(30&gt;=Personnel!$E$7,Personnel!$G$7="Yes"),Personnel!$D$7,0)+IF(AND(30&gt;=Personnel!$E$8,Personnel!$G$8="Yes"),Personnel!$D$8,0)+IF(AND(30&gt;=Personnel!$E$9,Personnel!$G$9="Yes"),Personnel!$D$9,0)+IF(AND(30&gt;=Personnel!$E$10,Personnel!$G$10="Yes"),Personnel!$D$10,0)+IF(AND(30&gt;=Personnel!$E$11,Personnel!$G$11="Yes"),Personnel!$D$11,0)+IF(AND(30&gt;=Personnel!$E$12,Personnel!$G$12="Yes"),Personnel!$D$12,0)+IF(AND(30&gt;=Personnel!$E$13,Personnel!$G$13="Yes"),Personnel!$D$13,0)+IF(AND(30&gt;=Personnel!$E$14,Personnel!$G$14="Yes"),Personnel!$D$14,0)+IF(AND(30&gt;=Personnel!$E$15,Personnel!$G$15="Yes"),Personnel!$D$15,0)+IF(AND(30&gt;=Personnel!$E$16,Personnel!$G$16="Yes"),Personnel!$D$16,0)+IF(AND(30&gt;=Personnel!$E$17,Personnel!$G$17="Yes"),Personnel!$D$17,0)+IF(AND(30&gt;=Personnel!$E$18,Personnel!$G$18="Yes"),Personnel!$D$18,0)+IF(AND(30&gt;=Personnel!$E$19,Personnel!$G$19="Yes"),Personnel!$D$19,0)+IF(AND(30&gt;=Personnel!$E$20,Personnel!$G$20="Yes"),Personnel!$D$20,0)+IF(AND(30&gt;=Personnel!$E$21,Personnel!$G$21="Yes"),Personnel!$D$21,0)+IF(AND(30&gt;=Personnel!$E$22,Personnel!$G$22="Yes"),Personnel!$D$22,0)+IF(AND(30&gt;=Personnel!$E$23,Personnel!$G$23="Yes"),Personnel!$D$23,0)+IF(AND(30&gt;=Personnel!$E$24,Personnel!$G$24="Yes"),Personnel!$D$24,0)+IF(AND(30&gt;=Personnel!$E$25,Personnel!$G$25="Yes"),Personnel!$D$25,0)+IF(AND(30&gt;=Personnel!$E$26,Personnel!$G$26="Yes"),Personnel!$D$26,0)+IF(AND(30&gt;=Personnel!$E$27,Personnel!$G$27="Yes"),Personnel!$D$27,0)+IF(AND(30&gt;=Personnel!$E$28,Personnel!$G$28="Yes"),Personnel!$D$28,0)+IF(AND(30&gt;=Personnel!$E$29,Personnel!$G$29="Yes"),Personnel!$D$29,0))</f>
        <v>-239407.66666666666</v>
      </c>
      <c r="AG16" s="8">
        <f>-(IF(AND(31&gt;=Personnel!$E$7,Personnel!$G$7="Yes"),Personnel!$D$7,0)+IF(AND(31&gt;=Personnel!$E$8,Personnel!$G$8="Yes"),Personnel!$D$8,0)+IF(AND(31&gt;=Personnel!$E$9,Personnel!$G$9="Yes"),Personnel!$D$9,0)+IF(AND(31&gt;=Personnel!$E$10,Personnel!$G$10="Yes"),Personnel!$D$10,0)+IF(AND(31&gt;=Personnel!$E$11,Personnel!$G$11="Yes"),Personnel!$D$11,0)+IF(AND(31&gt;=Personnel!$E$12,Personnel!$G$12="Yes"),Personnel!$D$12,0)+IF(AND(31&gt;=Personnel!$E$13,Personnel!$G$13="Yes"),Personnel!$D$13,0)+IF(AND(31&gt;=Personnel!$E$14,Personnel!$G$14="Yes"),Personnel!$D$14,0)+IF(AND(31&gt;=Personnel!$E$15,Personnel!$G$15="Yes"),Personnel!$D$15,0)+IF(AND(31&gt;=Personnel!$E$16,Personnel!$G$16="Yes"),Personnel!$D$16,0)+IF(AND(31&gt;=Personnel!$E$17,Personnel!$G$17="Yes"),Personnel!$D$17,0)+IF(AND(31&gt;=Personnel!$E$18,Personnel!$G$18="Yes"),Personnel!$D$18,0)+IF(AND(31&gt;=Personnel!$E$19,Personnel!$G$19="Yes"),Personnel!$D$19,0)+IF(AND(31&gt;=Personnel!$E$20,Personnel!$G$20="Yes"),Personnel!$D$20,0)+IF(AND(31&gt;=Personnel!$E$21,Personnel!$G$21="Yes"),Personnel!$D$21,0)+IF(AND(31&gt;=Personnel!$E$22,Personnel!$G$22="Yes"),Personnel!$D$22,0)+IF(AND(31&gt;=Personnel!$E$23,Personnel!$G$23="Yes"),Personnel!$D$23,0)+IF(AND(31&gt;=Personnel!$E$24,Personnel!$G$24="Yes"),Personnel!$D$24,0)+IF(AND(31&gt;=Personnel!$E$25,Personnel!$G$25="Yes"),Personnel!$D$25,0)+IF(AND(31&gt;=Personnel!$E$26,Personnel!$G$26="Yes"),Personnel!$D$26,0)+IF(AND(31&gt;=Personnel!$E$27,Personnel!$G$27="Yes"),Personnel!$D$27,0)+IF(AND(31&gt;=Personnel!$E$28,Personnel!$G$28="Yes"),Personnel!$D$28,0)+IF(AND(31&gt;=Personnel!$E$29,Personnel!$G$29="Yes"),Personnel!$D$29,0))</f>
        <v>-239407.66666666666</v>
      </c>
      <c r="AH16" s="8">
        <f>-(IF(AND(32&gt;=Personnel!$E$7,Personnel!$G$7="Yes"),Personnel!$D$7,0)+IF(AND(32&gt;=Personnel!$E$8,Personnel!$G$8="Yes"),Personnel!$D$8,0)+IF(AND(32&gt;=Personnel!$E$9,Personnel!$G$9="Yes"),Personnel!$D$9,0)+IF(AND(32&gt;=Personnel!$E$10,Personnel!$G$10="Yes"),Personnel!$D$10,0)+IF(AND(32&gt;=Personnel!$E$11,Personnel!$G$11="Yes"),Personnel!$D$11,0)+IF(AND(32&gt;=Personnel!$E$12,Personnel!$G$12="Yes"),Personnel!$D$12,0)+IF(AND(32&gt;=Personnel!$E$13,Personnel!$G$13="Yes"),Personnel!$D$13,0)+IF(AND(32&gt;=Personnel!$E$14,Personnel!$G$14="Yes"),Personnel!$D$14,0)+IF(AND(32&gt;=Personnel!$E$15,Personnel!$G$15="Yes"),Personnel!$D$15,0)+IF(AND(32&gt;=Personnel!$E$16,Personnel!$G$16="Yes"),Personnel!$D$16,0)+IF(AND(32&gt;=Personnel!$E$17,Personnel!$G$17="Yes"),Personnel!$D$17,0)+IF(AND(32&gt;=Personnel!$E$18,Personnel!$G$18="Yes"),Personnel!$D$18,0)+IF(AND(32&gt;=Personnel!$E$19,Personnel!$G$19="Yes"),Personnel!$D$19,0)+IF(AND(32&gt;=Personnel!$E$20,Personnel!$G$20="Yes"),Personnel!$D$20,0)+IF(AND(32&gt;=Personnel!$E$21,Personnel!$G$21="Yes"),Personnel!$D$21,0)+IF(AND(32&gt;=Personnel!$E$22,Personnel!$G$22="Yes"),Personnel!$D$22,0)+IF(AND(32&gt;=Personnel!$E$23,Personnel!$G$23="Yes"),Personnel!$D$23,0)+IF(AND(32&gt;=Personnel!$E$24,Personnel!$G$24="Yes"),Personnel!$D$24,0)+IF(AND(32&gt;=Personnel!$E$25,Personnel!$G$25="Yes"),Personnel!$D$25,0)+IF(AND(32&gt;=Personnel!$E$26,Personnel!$G$26="Yes"),Personnel!$D$26,0)+IF(AND(32&gt;=Personnel!$E$27,Personnel!$G$27="Yes"),Personnel!$D$27,0)+IF(AND(32&gt;=Personnel!$E$28,Personnel!$G$28="Yes"),Personnel!$D$28,0)+IF(AND(32&gt;=Personnel!$E$29,Personnel!$G$29="Yes"),Personnel!$D$29,0))</f>
        <v>-239407.66666666666</v>
      </c>
      <c r="AI16" s="8">
        <f>-(IF(AND(33&gt;=Personnel!$E$7,Personnel!$G$7="Yes"),Personnel!$D$7,0)+IF(AND(33&gt;=Personnel!$E$8,Personnel!$G$8="Yes"),Personnel!$D$8,0)+IF(AND(33&gt;=Personnel!$E$9,Personnel!$G$9="Yes"),Personnel!$D$9,0)+IF(AND(33&gt;=Personnel!$E$10,Personnel!$G$10="Yes"),Personnel!$D$10,0)+IF(AND(33&gt;=Personnel!$E$11,Personnel!$G$11="Yes"),Personnel!$D$11,0)+IF(AND(33&gt;=Personnel!$E$12,Personnel!$G$12="Yes"),Personnel!$D$12,0)+IF(AND(33&gt;=Personnel!$E$13,Personnel!$G$13="Yes"),Personnel!$D$13,0)+IF(AND(33&gt;=Personnel!$E$14,Personnel!$G$14="Yes"),Personnel!$D$14,0)+IF(AND(33&gt;=Personnel!$E$15,Personnel!$G$15="Yes"),Personnel!$D$15,0)+IF(AND(33&gt;=Personnel!$E$16,Personnel!$G$16="Yes"),Personnel!$D$16,0)+IF(AND(33&gt;=Personnel!$E$17,Personnel!$G$17="Yes"),Personnel!$D$17,0)+IF(AND(33&gt;=Personnel!$E$18,Personnel!$G$18="Yes"),Personnel!$D$18,0)+IF(AND(33&gt;=Personnel!$E$19,Personnel!$G$19="Yes"),Personnel!$D$19,0)+IF(AND(33&gt;=Personnel!$E$20,Personnel!$G$20="Yes"),Personnel!$D$20,0)+IF(AND(33&gt;=Personnel!$E$21,Personnel!$G$21="Yes"),Personnel!$D$21,0)+IF(AND(33&gt;=Personnel!$E$22,Personnel!$G$22="Yes"),Personnel!$D$22,0)+IF(AND(33&gt;=Personnel!$E$23,Personnel!$G$23="Yes"),Personnel!$D$23,0)+IF(AND(33&gt;=Personnel!$E$24,Personnel!$G$24="Yes"),Personnel!$D$24,0)+IF(AND(33&gt;=Personnel!$E$25,Personnel!$G$25="Yes"),Personnel!$D$25,0)+IF(AND(33&gt;=Personnel!$E$26,Personnel!$G$26="Yes"),Personnel!$D$26,0)+IF(AND(33&gt;=Personnel!$E$27,Personnel!$G$27="Yes"),Personnel!$D$27,0)+IF(AND(33&gt;=Personnel!$E$28,Personnel!$G$28="Yes"),Personnel!$D$28,0)+IF(AND(33&gt;=Personnel!$E$29,Personnel!$G$29="Yes"),Personnel!$D$29,0))</f>
        <v>-239407.66666666666</v>
      </c>
      <c r="AJ16" s="8">
        <f>-(IF(AND(34&gt;=Personnel!$E$7,Personnel!$G$7="Yes"),Personnel!$D$7,0)+IF(AND(34&gt;=Personnel!$E$8,Personnel!$G$8="Yes"),Personnel!$D$8,0)+IF(AND(34&gt;=Personnel!$E$9,Personnel!$G$9="Yes"),Personnel!$D$9,0)+IF(AND(34&gt;=Personnel!$E$10,Personnel!$G$10="Yes"),Personnel!$D$10,0)+IF(AND(34&gt;=Personnel!$E$11,Personnel!$G$11="Yes"),Personnel!$D$11,0)+IF(AND(34&gt;=Personnel!$E$12,Personnel!$G$12="Yes"),Personnel!$D$12,0)+IF(AND(34&gt;=Personnel!$E$13,Personnel!$G$13="Yes"),Personnel!$D$13,0)+IF(AND(34&gt;=Personnel!$E$14,Personnel!$G$14="Yes"),Personnel!$D$14,0)+IF(AND(34&gt;=Personnel!$E$15,Personnel!$G$15="Yes"),Personnel!$D$15,0)+IF(AND(34&gt;=Personnel!$E$16,Personnel!$G$16="Yes"),Personnel!$D$16,0)+IF(AND(34&gt;=Personnel!$E$17,Personnel!$G$17="Yes"),Personnel!$D$17,0)+IF(AND(34&gt;=Personnel!$E$18,Personnel!$G$18="Yes"),Personnel!$D$18,0)+IF(AND(34&gt;=Personnel!$E$19,Personnel!$G$19="Yes"),Personnel!$D$19,0)+IF(AND(34&gt;=Personnel!$E$20,Personnel!$G$20="Yes"),Personnel!$D$20,0)+IF(AND(34&gt;=Personnel!$E$21,Personnel!$G$21="Yes"),Personnel!$D$21,0)+IF(AND(34&gt;=Personnel!$E$22,Personnel!$G$22="Yes"),Personnel!$D$22,0)+IF(AND(34&gt;=Personnel!$E$23,Personnel!$G$23="Yes"),Personnel!$D$23,0)+IF(AND(34&gt;=Personnel!$E$24,Personnel!$G$24="Yes"),Personnel!$D$24,0)+IF(AND(34&gt;=Personnel!$E$25,Personnel!$G$25="Yes"),Personnel!$D$25,0)+IF(AND(34&gt;=Personnel!$E$26,Personnel!$G$26="Yes"),Personnel!$D$26,0)+IF(AND(34&gt;=Personnel!$E$27,Personnel!$G$27="Yes"),Personnel!$D$27,0)+IF(AND(34&gt;=Personnel!$E$28,Personnel!$G$28="Yes"),Personnel!$D$28,0)+IF(AND(34&gt;=Personnel!$E$29,Personnel!$G$29="Yes"),Personnel!$D$29,0))</f>
        <v>-239407.66666666666</v>
      </c>
      <c r="AK16" s="8">
        <f>-(IF(AND(35&gt;=Personnel!$E$7,Personnel!$G$7="Yes"),Personnel!$D$7,0)+IF(AND(35&gt;=Personnel!$E$8,Personnel!$G$8="Yes"),Personnel!$D$8,0)+IF(AND(35&gt;=Personnel!$E$9,Personnel!$G$9="Yes"),Personnel!$D$9,0)+IF(AND(35&gt;=Personnel!$E$10,Personnel!$G$10="Yes"),Personnel!$D$10,0)+IF(AND(35&gt;=Personnel!$E$11,Personnel!$G$11="Yes"),Personnel!$D$11,0)+IF(AND(35&gt;=Personnel!$E$12,Personnel!$G$12="Yes"),Personnel!$D$12,0)+IF(AND(35&gt;=Personnel!$E$13,Personnel!$G$13="Yes"),Personnel!$D$13,0)+IF(AND(35&gt;=Personnel!$E$14,Personnel!$G$14="Yes"),Personnel!$D$14,0)+IF(AND(35&gt;=Personnel!$E$15,Personnel!$G$15="Yes"),Personnel!$D$15,0)+IF(AND(35&gt;=Personnel!$E$16,Personnel!$G$16="Yes"),Personnel!$D$16,0)+IF(AND(35&gt;=Personnel!$E$17,Personnel!$G$17="Yes"),Personnel!$D$17,0)+IF(AND(35&gt;=Personnel!$E$18,Personnel!$G$18="Yes"),Personnel!$D$18,0)+IF(AND(35&gt;=Personnel!$E$19,Personnel!$G$19="Yes"),Personnel!$D$19,0)+IF(AND(35&gt;=Personnel!$E$20,Personnel!$G$20="Yes"),Personnel!$D$20,0)+IF(AND(35&gt;=Personnel!$E$21,Personnel!$G$21="Yes"),Personnel!$D$21,0)+IF(AND(35&gt;=Personnel!$E$22,Personnel!$G$22="Yes"),Personnel!$D$22,0)+IF(AND(35&gt;=Personnel!$E$23,Personnel!$G$23="Yes"),Personnel!$D$23,0)+IF(AND(35&gt;=Personnel!$E$24,Personnel!$G$24="Yes"),Personnel!$D$24,0)+IF(AND(35&gt;=Personnel!$E$25,Personnel!$G$25="Yes"),Personnel!$D$25,0)+IF(AND(35&gt;=Personnel!$E$26,Personnel!$G$26="Yes"),Personnel!$D$26,0)+IF(AND(35&gt;=Personnel!$E$27,Personnel!$G$27="Yes"),Personnel!$D$27,0)+IF(AND(35&gt;=Personnel!$E$28,Personnel!$G$28="Yes"),Personnel!$D$28,0)+IF(AND(35&gt;=Personnel!$E$29,Personnel!$G$29="Yes"),Personnel!$D$29,0))</f>
        <v>-239407.66666666666</v>
      </c>
      <c r="AL16" s="8">
        <f>-(IF(AND(36&gt;=Personnel!$E$7,Personnel!$G$7="Yes"),Personnel!$D$7,0)+IF(AND(36&gt;=Personnel!$E$8,Personnel!$G$8="Yes"),Personnel!$D$8,0)+IF(AND(36&gt;=Personnel!$E$9,Personnel!$G$9="Yes"),Personnel!$D$9,0)+IF(AND(36&gt;=Personnel!$E$10,Personnel!$G$10="Yes"),Personnel!$D$10,0)+IF(AND(36&gt;=Personnel!$E$11,Personnel!$G$11="Yes"),Personnel!$D$11,0)+IF(AND(36&gt;=Personnel!$E$12,Personnel!$G$12="Yes"),Personnel!$D$12,0)+IF(AND(36&gt;=Personnel!$E$13,Personnel!$G$13="Yes"),Personnel!$D$13,0)+IF(AND(36&gt;=Personnel!$E$14,Personnel!$G$14="Yes"),Personnel!$D$14,0)+IF(AND(36&gt;=Personnel!$E$15,Personnel!$G$15="Yes"),Personnel!$D$15,0)+IF(AND(36&gt;=Personnel!$E$16,Personnel!$G$16="Yes"),Personnel!$D$16,0)+IF(AND(36&gt;=Personnel!$E$17,Personnel!$G$17="Yes"),Personnel!$D$17,0)+IF(AND(36&gt;=Personnel!$E$18,Personnel!$G$18="Yes"),Personnel!$D$18,0)+IF(AND(36&gt;=Personnel!$E$19,Personnel!$G$19="Yes"),Personnel!$D$19,0)+IF(AND(36&gt;=Personnel!$E$20,Personnel!$G$20="Yes"),Personnel!$D$20,0)+IF(AND(36&gt;=Personnel!$E$21,Personnel!$G$21="Yes"),Personnel!$D$21,0)+IF(AND(36&gt;=Personnel!$E$22,Personnel!$G$22="Yes"),Personnel!$D$22,0)+IF(AND(36&gt;=Personnel!$E$23,Personnel!$G$23="Yes"),Personnel!$D$23,0)+IF(AND(36&gt;=Personnel!$E$24,Personnel!$G$24="Yes"),Personnel!$D$24,0)+IF(AND(36&gt;=Personnel!$E$25,Personnel!$G$25="Yes"),Personnel!$D$25,0)+IF(AND(36&gt;=Personnel!$E$26,Personnel!$G$26="Yes"),Personnel!$D$26,0)+IF(AND(36&gt;=Personnel!$E$27,Personnel!$G$27="Yes"),Personnel!$D$27,0)+IF(AND(36&gt;=Personnel!$E$28,Personnel!$G$28="Yes"),Personnel!$D$28,0)+IF(AND(36&gt;=Personnel!$E$29,Personnel!$G$29="Yes"),Personnel!$D$29,0))</f>
        <v>-239407.66666666666</v>
      </c>
      <c r="AM16" s="8">
        <f>-(IF(AND(37&gt;=Personnel!$E$7,Personnel!$G$7="Yes"),Personnel!$D$7,0)+IF(AND(37&gt;=Personnel!$E$8,Personnel!$G$8="Yes"),Personnel!$D$8,0)+IF(AND(37&gt;=Personnel!$E$9,Personnel!$G$9="Yes"),Personnel!$D$9,0)+IF(AND(37&gt;=Personnel!$E$10,Personnel!$G$10="Yes"),Personnel!$D$10,0)+IF(AND(37&gt;=Personnel!$E$11,Personnel!$G$11="Yes"),Personnel!$D$11,0)+IF(AND(37&gt;=Personnel!$E$12,Personnel!$G$12="Yes"),Personnel!$D$12,0)+IF(AND(37&gt;=Personnel!$E$13,Personnel!$G$13="Yes"),Personnel!$D$13,0)+IF(AND(37&gt;=Personnel!$E$14,Personnel!$G$14="Yes"),Personnel!$D$14,0)+IF(AND(37&gt;=Personnel!$E$15,Personnel!$G$15="Yes"),Personnel!$D$15,0)+IF(AND(37&gt;=Personnel!$E$16,Personnel!$G$16="Yes"),Personnel!$D$16,0)+IF(AND(37&gt;=Personnel!$E$17,Personnel!$G$17="Yes"),Personnel!$D$17,0)+IF(AND(37&gt;=Personnel!$E$18,Personnel!$G$18="Yes"),Personnel!$D$18,0)+IF(AND(37&gt;=Personnel!$E$19,Personnel!$G$19="Yes"),Personnel!$D$19,0)+IF(AND(37&gt;=Personnel!$E$20,Personnel!$G$20="Yes"),Personnel!$D$20,0)+IF(AND(37&gt;=Personnel!$E$21,Personnel!$G$21="Yes"),Personnel!$D$21,0)+IF(AND(37&gt;=Personnel!$E$22,Personnel!$G$22="Yes"),Personnel!$D$22,0)+IF(AND(37&gt;=Personnel!$E$23,Personnel!$G$23="Yes"),Personnel!$D$23,0)+IF(AND(37&gt;=Personnel!$E$24,Personnel!$G$24="Yes"),Personnel!$D$24,0)+IF(AND(37&gt;=Personnel!$E$25,Personnel!$G$25="Yes"),Personnel!$D$25,0)+IF(AND(37&gt;=Personnel!$E$26,Personnel!$G$26="Yes"),Personnel!$D$26,0)+IF(AND(37&gt;=Personnel!$E$27,Personnel!$G$27="Yes"),Personnel!$D$27,0)+IF(AND(37&gt;=Personnel!$E$28,Personnel!$G$28="Yes"),Personnel!$D$28,0)+IF(AND(37&gt;=Personnel!$E$29,Personnel!$G$29="Yes"),Personnel!$D$29,0))</f>
        <v>-239407.66666666666</v>
      </c>
      <c r="AN16" s="8">
        <f>-(IF(AND(38&gt;=Personnel!$E$7,Personnel!$G$7="Yes"),Personnel!$D$7,0)+IF(AND(38&gt;=Personnel!$E$8,Personnel!$G$8="Yes"),Personnel!$D$8,0)+IF(AND(38&gt;=Personnel!$E$9,Personnel!$G$9="Yes"),Personnel!$D$9,0)+IF(AND(38&gt;=Personnel!$E$10,Personnel!$G$10="Yes"),Personnel!$D$10,0)+IF(AND(38&gt;=Personnel!$E$11,Personnel!$G$11="Yes"),Personnel!$D$11,0)+IF(AND(38&gt;=Personnel!$E$12,Personnel!$G$12="Yes"),Personnel!$D$12,0)+IF(AND(38&gt;=Personnel!$E$13,Personnel!$G$13="Yes"),Personnel!$D$13,0)+IF(AND(38&gt;=Personnel!$E$14,Personnel!$G$14="Yes"),Personnel!$D$14,0)+IF(AND(38&gt;=Personnel!$E$15,Personnel!$G$15="Yes"),Personnel!$D$15,0)+IF(AND(38&gt;=Personnel!$E$16,Personnel!$G$16="Yes"),Personnel!$D$16,0)+IF(AND(38&gt;=Personnel!$E$17,Personnel!$G$17="Yes"),Personnel!$D$17,0)+IF(AND(38&gt;=Personnel!$E$18,Personnel!$G$18="Yes"),Personnel!$D$18,0)+IF(AND(38&gt;=Personnel!$E$19,Personnel!$G$19="Yes"),Personnel!$D$19,0)+IF(AND(38&gt;=Personnel!$E$20,Personnel!$G$20="Yes"),Personnel!$D$20,0)+IF(AND(38&gt;=Personnel!$E$21,Personnel!$G$21="Yes"),Personnel!$D$21,0)+IF(AND(38&gt;=Personnel!$E$22,Personnel!$G$22="Yes"),Personnel!$D$22,0)+IF(AND(38&gt;=Personnel!$E$23,Personnel!$G$23="Yes"),Personnel!$D$23,0)+IF(AND(38&gt;=Personnel!$E$24,Personnel!$G$24="Yes"),Personnel!$D$24,0)+IF(AND(38&gt;=Personnel!$E$25,Personnel!$G$25="Yes"),Personnel!$D$25,0)+IF(AND(38&gt;=Personnel!$E$26,Personnel!$G$26="Yes"),Personnel!$D$26,0)+IF(AND(38&gt;=Personnel!$E$27,Personnel!$G$27="Yes"),Personnel!$D$27,0)+IF(AND(38&gt;=Personnel!$E$28,Personnel!$G$28="Yes"),Personnel!$D$28,0)+IF(AND(38&gt;=Personnel!$E$29,Personnel!$G$29="Yes"),Personnel!$D$29,0))</f>
        <v>-239407.66666666666</v>
      </c>
      <c r="AO16" s="8">
        <f>-(IF(AND(39&gt;=Personnel!$E$7,Personnel!$G$7="Yes"),Personnel!$D$7,0)+IF(AND(39&gt;=Personnel!$E$8,Personnel!$G$8="Yes"),Personnel!$D$8,0)+IF(AND(39&gt;=Personnel!$E$9,Personnel!$G$9="Yes"),Personnel!$D$9,0)+IF(AND(39&gt;=Personnel!$E$10,Personnel!$G$10="Yes"),Personnel!$D$10,0)+IF(AND(39&gt;=Personnel!$E$11,Personnel!$G$11="Yes"),Personnel!$D$11,0)+IF(AND(39&gt;=Personnel!$E$12,Personnel!$G$12="Yes"),Personnel!$D$12,0)+IF(AND(39&gt;=Personnel!$E$13,Personnel!$G$13="Yes"),Personnel!$D$13,0)+IF(AND(39&gt;=Personnel!$E$14,Personnel!$G$14="Yes"),Personnel!$D$14,0)+IF(AND(39&gt;=Personnel!$E$15,Personnel!$G$15="Yes"),Personnel!$D$15,0)+IF(AND(39&gt;=Personnel!$E$16,Personnel!$G$16="Yes"),Personnel!$D$16,0)+IF(AND(39&gt;=Personnel!$E$17,Personnel!$G$17="Yes"),Personnel!$D$17,0)+IF(AND(39&gt;=Personnel!$E$18,Personnel!$G$18="Yes"),Personnel!$D$18,0)+IF(AND(39&gt;=Personnel!$E$19,Personnel!$G$19="Yes"),Personnel!$D$19,0)+IF(AND(39&gt;=Personnel!$E$20,Personnel!$G$20="Yes"),Personnel!$D$20,0)+IF(AND(39&gt;=Personnel!$E$21,Personnel!$G$21="Yes"),Personnel!$D$21,0)+IF(AND(39&gt;=Personnel!$E$22,Personnel!$G$22="Yes"),Personnel!$D$22,0)+IF(AND(39&gt;=Personnel!$E$23,Personnel!$G$23="Yes"),Personnel!$D$23,0)+IF(AND(39&gt;=Personnel!$E$24,Personnel!$G$24="Yes"),Personnel!$D$24,0)+IF(AND(39&gt;=Personnel!$E$25,Personnel!$G$25="Yes"),Personnel!$D$25,0)+IF(AND(39&gt;=Personnel!$E$26,Personnel!$G$26="Yes"),Personnel!$D$26,0)+IF(AND(39&gt;=Personnel!$E$27,Personnel!$G$27="Yes"),Personnel!$D$27,0)+IF(AND(39&gt;=Personnel!$E$28,Personnel!$G$28="Yes"),Personnel!$D$28,0)+IF(AND(39&gt;=Personnel!$E$29,Personnel!$G$29="Yes"),Personnel!$D$29,0))</f>
        <v>-239407.66666666666</v>
      </c>
      <c r="AP16" s="8">
        <f>-(IF(AND(40&gt;=Personnel!$E$7,Personnel!$G$7="Yes"),Personnel!$D$7,0)+IF(AND(40&gt;=Personnel!$E$8,Personnel!$G$8="Yes"),Personnel!$D$8,0)+IF(AND(40&gt;=Personnel!$E$9,Personnel!$G$9="Yes"),Personnel!$D$9,0)+IF(AND(40&gt;=Personnel!$E$10,Personnel!$G$10="Yes"),Personnel!$D$10,0)+IF(AND(40&gt;=Personnel!$E$11,Personnel!$G$11="Yes"),Personnel!$D$11,0)+IF(AND(40&gt;=Personnel!$E$12,Personnel!$G$12="Yes"),Personnel!$D$12,0)+IF(AND(40&gt;=Personnel!$E$13,Personnel!$G$13="Yes"),Personnel!$D$13,0)+IF(AND(40&gt;=Personnel!$E$14,Personnel!$G$14="Yes"),Personnel!$D$14,0)+IF(AND(40&gt;=Personnel!$E$15,Personnel!$G$15="Yes"),Personnel!$D$15,0)+IF(AND(40&gt;=Personnel!$E$16,Personnel!$G$16="Yes"),Personnel!$D$16,0)+IF(AND(40&gt;=Personnel!$E$17,Personnel!$G$17="Yes"),Personnel!$D$17,0)+IF(AND(40&gt;=Personnel!$E$18,Personnel!$G$18="Yes"),Personnel!$D$18,0)+IF(AND(40&gt;=Personnel!$E$19,Personnel!$G$19="Yes"),Personnel!$D$19,0)+IF(AND(40&gt;=Personnel!$E$20,Personnel!$G$20="Yes"),Personnel!$D$20,0)+IF(AND(40&gt;=Personnel!$E$21,Personnel!$G$21="Yes"),Personnel!$D$21,0)+IF(AND(40&gt;=Personnel!$E$22,Personnel!$G$22="Yes"),Personnel!$D$22,0)+IF(AND(40&gt;=Personnel!$E$23,Personnel!$G$23="Yes"),Personnel!$D$23,0)+IF(AND(40&gt;=Personnel!$E$24,Personnel!$G$24="Yes"),Personnel!$D$24,0)+IF(AND(40&gt;=Personnel!$E$25,Personnel!$G$25="Yes"),Personnel!$D$25,0)+IF(AND(40&gt;=Personnel!$E$26,Personnel!$G$26="Yes"),Personnel!$D$26,0)+IF(AND(40&gt;=Personnel!$E$27,Personnel!$G$27="Yes"),Personnel!$D$27,0)+IF(AND(40&gt;=Personnel!$E$28,Personnel!$G$28="Yes"),Personnel!$D$28,0)+IF(AND(40&gt;=Personnel!$E$29,Personnel!$G$29="Yes"),Personnel!$D$29,0))</f>
        <v>-239407.66666666666</v>
      </c>
      <c r="AQ16" s="8">
        <f>-(IF(AND(41&gt;=Personnel!$E$7,Personnel!$G$7="Yes"),Personnel!$D$7,0)+IF(AND(41&gt;=Personnel!$E$8,Personnel!$G$8="Yes"),Personnel!$D$8,0)+IF(AND(41&gt;=Personnel!$E$9,Personnel!$G$9="Yes"),Personnel!$D$9,0)+IF(AND(41&gt;=Personnel!$E$10,Personnel!$G$10="Yes"),Personnel!$D$10,0)+IF(AND(41&gt;=Personnel!$E$11,Personnel!$G$11="Yes"),Personnel!$D$11,0)+IF(AND(41&gt;=Personnel!$E$12,Personnel!$G$12="Yes"),Personnel!$D$12,0)+IF(AND(41&gt;=Personnel!$E$13,Personnel!$G$13="Yes"),Personnel!$D$13,0)+IF(AND(41&gt;=Personnel!$E$14,Personnel!$G$14="Yes"),Personnel!$D$14,0)+IF(AND(41&gt;=Personnel!$E$15,Personnel!$G$15="Yes"),Personnel!$D$15,0)+IF(AND(41&gt;=Personnel!$E$16,Personnel!$G$16="Yes"),Personnel!$D$16,0)+IF(AND(41&gt;=Personnel!$E$17,Personnel!$G$17="Yes"),Personnel!$D$17,0)+IF(AND(41&gt;=Personnel!$E$18,Personnel!$G$18="Yes"),Personnel!$D$18,0)+IF(AND(41&gt;=Personnel!$E$19,Personnel!$G$19="Yes"),Personnel!$D$19,0)+IF(AND(41&gt;=Personnel!$E$20,Personnel!$G$20="Yes"),Personnel!$D$20,0)+IF(AND(41&gt;=Personnel!$E$21,Personnel!$G$21="Yes"),Personnel!$D$21,0)+IF(AND(41&gt;=Personnel!$E$22,Personnel!$G$22="Yes"),Personnel!$D$22,0)+IF(AND(41&gt;=Personnel!$E$23,Personnel!$G$23="Yes"),Personnel!$D$23,0)+IF(AND(41&gt;=Personnel!$E$24,Personnel!$G$24="Yes"),Personnel!$D$24,0)+IF(AND(41&gt;=Personnel!$E$25,Personnel!$G$25="Yes"),Personnel!$D$25,0)+IF(AND(41&gt;=Personnel!$E$26,Personnel!$G$26="Yes"),Personnel!$D$26,0)+IF(AND(41&gt;=Personnel!$E$27,Personnel!$G$27="Yes"),Personnel!$D$27,0)+IF(AND(41&gt;=Personnel!$E$28,Personnel!$G$28="Yes"),Personnel!$D$28,0)+IF(AND(41&gt;=Personnel!$E$29,Personnel!$G$29="Yes"),Personnel!$D$29,0))</f>
        <v>-239407.66666666666</v>
      </c>
      <c r="AR16" s="8">
        <f>-(IF(AND(42&gt;=Personnel!$E$7,Personnel!$G$7="Yes"),Personnel!$D$7,0)+IF(AND(42&gt;=Personnel!$E$8,Personnel!$G$8="Yes"),Personnel!$D$8,0)+IF(AND(42&gt;=Personnel!$E$9,Personnel!$G$9="Yes"),Personnel!$D$9,0)+IF(AND(42&gt;=Personnel!$E$10,Personnel!$G$10="Yes"),Personnel!$D$10,0)+IF(AND(42&gt;=Personnel!$E$11,Personnel!$G$11="Yes"),Personnel!$D$11,0)+IF(AND(42&gt;=Personnel!$E$12,Personnel!$G$12="Yes"),Personnel!$D$12,0)+IF(AND(42&gt;=Personnel!$E$13,Personnel!$G$13="Yes"),Personnel!$D$13,0)+IF(AND(42&gt;=Personnel!$E$14,Personnel!$G$14="Yes"),Personnel!$D$14,0)+IF(AND(42&gt;=Personnel!$E$15,Personnel!$G$15="Yes"),Personnel!$D$15,0)+IF(AND(42&gt;=Personnel!$E$16,Personnel!$G$16="Yes"),Personnel!$D$16,0)+IF(AND(42&gt;=Personnel!$E$17,Personnel!$G$17="Yes"),Personnel!$D$17,0)+IF(AND(42&gt;=Personnel!$E$18,Personnel!$G$18="Yes"),Personnel!$D$18,0)+IF(AND(42&gt;=Personnel!$E$19,Personnel!$G$19="Yes"),Personnel!$D$19,0)+IF(AND(42&gt;=Personnel!$E$20,Personnel!$G$20="Yes"),Personnel!$D$20,0)+IF(AND(42&gt;=Personnel!$E$21,Personnel!$G$21="Yes"),Personnel!$D$21,0)+IF(AND(42&gt;=Personnel!$E$22,Personnel!$G$22="Yes"),Personnel!$D$22,0)+IF(AND(42&gt;=Personnel!$E$23,Personnel!$G$23="Yes"),Personnel!$D$23,0)+IF(AND(42&gt;=Personnel!$E$24,Personnel!$G$24="Yes"),Personnel!$D$24,0)+IF(AND(42&gt;=Personnel!$E$25,Personnel!$G$25="Yes"),Personnel!$D$25,0)+IF(AND(42&gt;=Personnel!$E$26,Personnel!$G$26="Yes"),Personnel!$D$26,0)+IF(AND(42&gt;=Personnel!$E$27,Personnel!$G$27="Yes"),Personnel!$D$27,0)+IF(AND(42&gt;=Personnel!$E$28,Personnel!$G$28="Yes"),Personnel!$D$28,0)+IF(AND(42&gt;=Personnel!$E$29,Personnel!$G$29="Yes"),Personnel!$D$29,0))</f>
        <v>-239407.66666666666</v>
      </c>
      <c r="AS16" s="8">
        <f>-(IF(AND(43&gt;=Personnel!$E$7,Personnel!$G$7="Yes"),Personnel!$D$7,0)+IF(AND(43&gt;=Personnel!$E$8,Personnel!$G$8="Yes"),Personnel!$D$8,0)+IF(AND(43&gt;=Personnel!$E$9,Personnel!$G$9="Yes"),Personnel!$D$9,0)+IF(AND(43&gt;=Personnel!$E$10,Personnel!$G$10="Yes"),Personnel!$D$10,0)+IF(AND(43&gt;=Personnel!$E$11,Personnel!$G$11="Yes"),Personnel!$D$11,0)+IF(AND(43&gt;=Personnel!$E$12,Personnel!$G$12="Yes"),Personnel!$D$12,0)+IF(AND(43&gt;=Personnel!$E$13,Personnel!$G$13="Yes"),Personnel!$D$13,0)+IF(AND(43&gt;=Personnel!$E$14,Personnel!$G$14="Yes"),Personnel!$D$14,0)+IF(AND(43&gt;=Personnel!$E$15,Personnel!$G$15="Yes"),Personnel!$D$15,0)+IF(AND(43&gt;=Personnel!$E$16,Personnel!$G$16="Yes"),Personnel!$D$16,0)+IF(AND(43&gt;=Personnel!$E$17,Personnel!$G$17="Yes"),Personnel!$D$17,0)+IF(AND(43&gt;=Personnel!$E$18,Personnel!$G$18="Yes"),Personnel!$D$18,0)+IF(AND(43&gt;=Personnel!$E$19,Personnel!$G$19="Yes"),Personnel!$D$19,0)+IF(AND(43&gt;=Personnel!$E$20,Personnel!$G$20="Yes"),Personnel!$D$20,0)+IF(AND(43&gt;=Personnel!$E$21,Personnel!$G$21="Yes"),Personnel!$D$21,0)+IF(AND(43&gt;=Personnel!$E$22,Personnel!$G$22="Yes"),Personnel!$D$22,0)+IF(AND(43&gt;=Personnel!$E$23,Personnel!$G$23="Yes"),Personnel!$D$23,0)+IF(AND(43&gt;=Personnel!$E$24,Personnel!$G$24="Yes"),Personnel!$D$24,0)+IF(AND(43&gt;=Personnel!$E$25,Personnel!$G$25="Yes"),Personnel!$D$25,0)+IF(AND(43&gt;=Personnel!$E$26,Personnel!$G$26="Yes"),Personnel!$D$26,0)+IF(AND(43&gt;=Personnel!$E$27,Personnel!$G$27="Yes"),Personnel!$D$27,0)+IF(AND(43&gt;=Personnel!$E$28,Personnel!$G$28="Yes"),Personnel!$D$28,0)+IF(AND(43&gt;=Personnel!$E$29,Personnel!$G$29="Yes"),Personnel!$D$29,0))</f>
        <v>-239407.66666666666</v>
      </c>
      <c r="AT16" s="8">
        <f>-(IF(AND(44&gt;=Personnel!$E$7,Personnel!$G$7="Yes"),Personnel!$D$7,0)+IF(AND(44&gt;=Personnel!$E$8,Personnel!$G$8="Yes"),Personnel!$D$8,0)+IF(AND(44&gt;=Personnel!$E$9,Personnel!$G$9="Yes"),Personnel!$D$9,0)+IF(AND(44&gt;=Personnel!$E$10,Personnel!$G$10="Yes"),Personnel!$D$10,0)+IF(AND(44&gt;=Personnel!$E$11,Personnel!$G$11="Yes"),Personnel!$D$11,0)+IF(AND(44&gt;=Personnel!$E$12,Personnel!$G$12="Yes"),Personnel!$D$12,0)+IF(AND(44&gt;=Personnel!$E$13,Personnel!$G$13="Yes"),Personnel!$D$13,0)+IF(AND(44&gt;=Personnel!$E$14,Personnel!$G$14="Yes"),Personnel!$D$14,0)+IF(AND(44&gt;=Personnel!$E$15,Personnel!$G$15="Yes"),Personnel!$D$15,0)+IF(AND(44&gt;=Personnel!$E$16,Personnel!$G$16="Yes"),Personnel!$D$16,0)+IF(AND(44&gt;=Personnel!$E$17,Personnel!$G$17="Yes"),Personnel!$D$17,0)+IF(AND(44&gt;=Personnel!$E$18,Personnel!$G$18="Yes"),Personnel!$D$18,0)+IF(AND(44&gt;=Personnel!$E$19,Personnel!$G$19="Yes"),Personnel!$D$19,0)+IF(AND(44&gt;=Personnel!$E$20,Personnel!$G$20="Yes"),Personnel!$D$20,0)+IF(AND(44&gt;=Personnel!$E$21,Personnel!$G$21="Yes"),Personnel!$D$21,0)+IF(AND(44&gt;=Personnel!$E$22,Personnel!$G$22="Yes"),Personnel!$D$22,0)+IF(AND(44&gt;=Personnel!$E$23,Personnel!$G$23="Yes"),Personnel!$D$23,0)+IF(AND(44&gt;=Personnel!$E$24,Personnel!$G$24="Yes"),Personnel!$D$24,0)+IF(AND(44&gt;=Personnel!$E$25,Personnel!$G$25="Yes"),Personnel!$D$25,0)+IF(AND(44&gt;=Personnel!$E$26,Personnel!$G$26="Yes"),Personnel!$D$26,0)+IF(AND(44&gt;=Personnel!$E$27,Personnel!$G$27="Yes"),Personnel!$D$27,0)+IF(AND(44&gt;=Personnel!$E$28,Personnel!$G$28="Yes"),Personnel!$D$28,0)+IF(AND(44&gt;=Personnel!$E$29,Personnel!$G$29="Yes"),Personnel!$D$29,0))</f>
        <v>-239407.66666666666</v>
      </c>
      <c r="AU16" s="8">
        <f>-(IF(AND(45&gt;=Personnel!$E$7,Personnel!$G$7="Yes"),Personnel!$D$7,0)+IF(AND(45&gt;=Personnel!$E$8,Personnel!$G$8="Yes"),Personnel!$D$8,0)+IF(AND(45&gt;=Personnel!$E$9,Personnel!$G$9="Yes"),Personnel!$D$9,0)+IF(AND(45&gt;=Personnel!$E$10,Personnel!$G$10="Yes"),Personnel!$D$10,0)+IF(AND(45&gt;=Personnel!$E$11,Personnel!$G$11="Yes"),Personnel!$D$11,0)+IF(AND(45&gt;=Personnel!$E$12,Personnel!$G$12="Yes"),Personnel!$D$12,0)+IF(AND(45&gt;=Personnel!$E$13,Personnel!$G$13="Yes"),Personnel!$D$13,0)+IF(AND(45&gt;=Personnel!$E$14,Personnel!$G$14="Yes"),Personnel!$D$14,0)+IF(AND(45&gt;=Personnel!$E$15,Personnel!$G$15="Yes"),Personnel!$D$15,0)+IF(AND(45&gt;=Personnel!$E$16,Personnel!$G$16="Yes"),Personnel!$D$16,0)+IF(AND(45&gt;=Personnel!$E$17,Personnel!$G$17="Yes"),Personnel!$D$17,0)+IF(AND(45&gt;=Personnel!$E$18,Personnel!$G$18="Yes"),Personnel!$D$18,0)+IF(AND(45&gt;=Personnel!$E$19,Personnel!$G$19="Yes"),Personnel!$D$19,0)+IF(AND(45&gt;=Personnel!$E$20,Personnel!$G$20="Yes"),Personnel!$D$20,0)+IF(AND(45&gt;=Personnel!$E$21,Personnel!$G$21="Yes"),Personnel!$D$21,0)+IF(AND(45&gt;=Personnel!$E$22,Personnel!$G$22="Yes"),Personnel!$D$22,0)+IF(AND(45&gt;=Personnel!$E$23,Personnel!$G$23="Yes"),Personnel!$D$23,0)+IF(AND(45&gt;=Personnel!$E$24,Personnel!$G$24="Yes"),Personnel!$D$24,0)+IF(AND(45&gt;=Personnel!$E$25,Personnel!$G$25="Yes"),Personnel!$D$25,0)+IF(AND(45&gt;=Personnel!$E$26,Personnel!$G$26="Yes"),Personnel!$D$26,0)+IF(AND(45&gt;=Personnel!$E$27,Personnel!$G$27="Yes"),Personnel!$D$27,0)+IF(AND(45&gt;=Personnel!$E$28,Personnel!$G$28="Yes"),Personnel!$D$28,0)+IF(AND(45&gt;=Personnel!$E$29,Personnel!$G$29="Yes"),Personnel!$D$29,0))</f>
        <v>-239407.66666666666</v>
      </c>
      <c r="AV16" s="8">
        <f>-(IF(AND(46&gt;=Personnel!$E$7,Personnel!$G$7="Yes"),Personnel!$D$7,0)+IF(AND(46&gt;=Personnel!$E$8,Personnel!$G$8="Yes"),Personnel!$D$8,0)+IF(AND(46&gt;=Personnel!$E$9,Personnel!$G$9="Yes"),Personnel!$D$9,0)+IF(AND(46&gt;=Personnel!$E$10,Personnel!$G$10="Yes"),Personnel!$D$10,0)+IF(AND(46&gt;=Personnel!$E$11,Personnel!$G$11="Yes"),Personnel!$D$11,0)+IF(AND(46&gt;=Personnel!$E$12,Personnel!$G$12="Yes"),Personnel!$D$12,0)+IF(AND(46&gt;=Personnel!$E$13,Personnel!$G$13="Yes"),Personnel!$D$13,0)+IF(AND(46&gt;=Personnel!$E$14,Personnel!$G$14="Yes"),Personnel!$D$14,0)+IF(AND(46&gt;=Personnel!$E$15,Personnel!$G$15="Yes"),Personnel!$D$15,0)+IF(AND(46&gt;=Personnel!$E$16,Personnel!$G$16="Yes"),Personnel!$D$16,0)+IF(AND(46&gt;=Personnel!$E$17,Personnel!$G$17="Yes"),Personnel!$D$17,0)+IF(AND(46&gt;=Personnel!$E$18,Personnel!$G$18="Yes"),Personnel!$D$18,0)+IF(AND(46&gt;=Personnel!$E$19,Personnel!$G$19="Yes"),Personnel!$D$19,0)+IF(AND(46&gt;=Personnel!$E$20,Personnel!$G$20="Yes"),Personnel!$D$20,0)+IF(AND(46&gt;=Personnel!$E$21,Personnel!$G$21="Yes"),Personnel!$D$21,0)+IF(AND(46&gt;=Personnel!$E$22,Personnel!$G$22="Yes"),Personnel!$D$22,0)+IF(AND(46&gt;=Personnel!$E$23,Personnel!$G$23="Yes"),Personnel!$D$23,0)+IF(AND(46&gt;=Personnel!$E$24,Personnel!$G$24="Yes"),Personnel!$D$24,0)+IF(AND(46&gt;=Personnel!$E$25,Personnel!$G$25="Yes"),Personnel!$D$25,0)+IF(AND(46&gt;=Personnel!$E$26,Personnel!$G$26="Yes"),Personnel!$D$26,0)+IF(AND(46&gt;=Personnel!$E$27,Personnel!$G$27="Yes"),Personnel!$D$27,0)+IF(AND(46&gt;=Personnel!$E$28,Personnel!$G$28="Yes"),Personnel!$D$28,0)+IF(AND(46&gt;=Personnel!$E$29,Personnel!$G$29="Yes"),Personnel!$D$29,0))</f>
        <v>-239407.66666666666</v>
      </c>
      <c r="AW16" s="8">
        <f>-(IF(AND(47&gt;=Personnel!$E$7,Personnel!$G$7="Yes"),Personnel!$D$7,0)+IF(AND(47&gt;=Personnel!$E$8,Personnel!$G$8="Yes"),Personnel!$D$8,0)+IF(AND(47&gt;=Personnel!$E$9,Personnel!$G$9="Yes"),Personnel!$D$9,0)+IF(AND(47&gt;=Personnel!$E$10,Personnel!$G$10="Yes"),Personnel!$D$10,0)+IF(AND(47&gt;=Personnel!$E$11,Personnel!$G$11="Yes"),Personnel!$D$11,0)+IF(AND(47&gt;=Personnel!$E$12,Personnel!$G$12="Yes"),Personnel!$D$12,0)+IF(AND(47&gt;=Personnel!$E$13,Personnel!$G$13="Yes"),Personnel!$D$13,0)+IF(AND(47&gt;=Personnel!$E$14,Personnel!$G$14="Yes"),Personnel!$D$14,0)+IF(AND(47&gt;=Personnel!$E$15,Personnel!$G$15="Yes"),Personnel!$D$15,0)+IF(AND(47&gt;=Personnel!$E$16,Personnel!$G$16="Yes"),Personnel!$D$16,0)+IF(AND(47&gt;=Personnel!$E$17,Personnel!$G$17="Yes"),Personnel!$D$17,0)+IF(AND(47&gt;=Personnel!$E$18,Personnel!$G$18="Yes"),Personnel!$D$18,0)+IF(AND(47&gt;=Personnel!$E$19,Personnel!$G$19="Yes"),Personnel!$D$19,0)+IF(AND(47&gt;=Personnel!$E$20,Personnel!$G$20="Yes"),Personnel!$D$20,0)+IF(AND(47&gt;=Personnel!$E$21,Personnel!$G$21="Yes"),Personnel!$D$21,0)+IF(AND(47&gt;=Personnel!$E$22,Personnel!$G$22="Yes"),Personnel!$D$22,0)+IF(AND(47&gt;=Personnel!$E$23,Personnel!$G$23="Yes"),Personnel!$D$23,0)+IF(AND(47&gt;=Personnel!$E$24,Personnel!$G$24="Yes"),Personnel!$D$24,0)+IF(AND(47&gt;=Personnel!$E$25,Personnel!$G$25="Yes"),Personnel!$D$25,0)+IF(AND(47&gt;=Personnel!$E$26,Personnel!$G$26="Yes"),Personnel!$D$26,0)+IF(AND(47&gt;=Personnel!$E$27,Personnel!$G$27="Yes"),Personnel!$D$27,0)+IF(AND(47&gt;=Personnel!$E$28,Personnel!$G$28="Yes"),Personnel!$D$28,0)+IF(AND(47&gt;=Personnel!$E$29,Personnel!$G$29="Yes"),Personnel!$D$29,0))</f>
        <v>-239407.66666666666</v>
      </c>
      <c r="AX16" s="8">
        <f>-(IF(AND(48&gt;=Personnel!$E$7,Personnel!$G$7="Yes"),Personnel!$D$7,0)+IF(AND(48&gt;=Personnel!$E$8,Personnel!$G$8="Yes"),Personnel!$D$8,0)+IF(AND(48&gt;=Personnel!$E$9,Personnel!$G$9="Yes"),Personnel!$D$9,0)+IF(AND(48&gt;=Personnel!$E$10,Personnel!$G$10="Yes"),Personnel!$D$10,0)+IF(AND(48&gt;=Personnel!$E$11,Personnel!$G$11="Yes"),Personnel!$D$11,0)+IF(AND(48&gt;=Personnel!$E$12,Personnel!$G$12="Yes"),Personnel!$D$12,0)+IF(AND(48&gt;=Personnel!$E$13,Personnel!$G$13="Yes"),Personnel!$D$13,0)+IF(AND(48&gt;=Personnel!$E$14,Personnel!$G$14="Yes"),Personnel!$D$14,0)+IF(AND(48&gt;=Personnel!$E$15,Personnel!$G$15="Yes"),Personnel!$D$15,0)+IF(AND(48&gt;=Personnel!$E$16,Personnel!$G$16="Yes"),Personnel!$D$16,0)+IF(AND(48&gt;=Personnel!$E$17,Personnel!$G$17="Yes"),Personnel!$D$17,0)+IF(AND(48&gt;=Personnel!$E$18,Personnel!$G$18="Yes"),Personnel!$D$18,0)+IF(AND(48&gt;=Personnel!$E$19,Personnel!$G$19="Yes"),Personnel!$D$19,0)+IF(AND(48&gt;=Personnel!$E$20,Personnel!$G$20="Yes"),Personnel!$D$20,0)+IF(AND(48&gt;=Personnel!$E$21,Personnel!$G$21="Yes"),Personnel!$D$21,0)+IF(AND(48&gt;=Personnel!$E$22,Personnel!$G$22="Yes"),Personnel!$D$22,0)+IF(AND(48&gt;=Personnel!$E$23,Personnel!$G$23="Yes"),Personnel!$D$23,0)+IF(AND(48&gt;=Personnel!$E$24,Personnel!$G$24="Yes"),Personnel!$D$24,0)+IF(AND(48&gt;=Personnel!$E$25,Personnel!$G$25="Yes"),Personnel!$D$25,0)+IF(AND(48&gt;=Personnel!$E$26,Personnel!$G$26="Yes"),Personnel!$D$26,0)+IF(AND(48&gt;=Personnel!$E$27,Personnel!$G$27="Yes"),Personnel!$D$27,0)+IF(AND(48&gt;=Personnel!$E$28,Personnel!$G$28="Yes"),Personnel!$D$28,0)+IF(AND(48&gt;=Personnel!$E$29,Personnel!$G$29="Yes"),Personnel!$D$29,0))</f>
        <v>-239407.66666666666</v>
      </c>
      <c r="AY16" s="8">
        <f>-(IF(AND(49&gt;=Personnel!$E$7,Personnel!$G$7="Yes"),Personnel!$D$7,0)+IF(AND(49&gt;=Personnel!$E$8,Personnel!$G$8="Yes"),Personnel!$D$8,0)+IF(AND(49&gt;=Personnel!$E$9,Personnel!$G$9="Yes"),Personnel!$D$9,0)+IF(AND(49&gt;=Personnel!$E$10,Personnel!$G$10="Yes"),Personnel!$D$10,0)+IF(AND(49&gt;=Personnel!$E$11,Personnel!$G$11="Yes"),Personnel!$D$11,0)+IF(AND(49&gt;=Personnel!$E$12,Personnel!$G$12="Yes"),Personnel!$D$12,0)+IF(AND(49&gt;=Personnel!$E$13,Personnel!$G$13="Yes"),Personnel!$D$13,0)+IF(AND(49&gt;=Personnel!$E$14,Personnel!$G$14="Yes"),Personnel!$D$14,0)+IF(AND(49&gt;=Personnel!$E$15,Personnel!$G$15="Yes"),Personnel!$D$15,0)+IF(AND(49&gt;=Personnel!$E$16,Personnel!$G$16="Yes"),Personnel!$D$16,0)+IF(AND(49&gt;=Personnel!$E$17,Personnel!$G$17="Yes"),Personnel!$D$17,0)+IF(AND(49&gt;=Personnel!$E$18,Personnel!$G$18="Yes"),Personnel!$D$18,0)+IF(AND(49&gt;=Personnel!$E$19,Personnel!$G$19="Yes"),Personnel!$D$19,0)+IF(AND(49&gt;=Personnel!$E$20,Personnel!$G$20="Yes"),Personnel!$D$20,0)+IF(AND(49&gt;=Personnel!$E$21,Personnel!$G$21="Yes"),Personnel!$D$21,0)+IF(AND(49&gt;=Personnel!$E$22,Personnel!$G$22="Yes"),Personnel!$D$22,0)+IF(AND(49&gt;=Personnel!$E$23,Personnel!$G$23="Yes"),Personnel!$D$23,0)+IF(AND(49&gt;=Personnel!$E$24,Personnel!$G$24="Yes"),Personnel!$D$24,0)+IF(AND(49&gt;=Personnel!$E$25,Personnel!$G$25="Yes"),Personnel!$D$25,0)+IF(AND(49&gt;=Personnel!$E$26,Personnel!$G$26="Yes"),Personnel!$D$26,0)+IF(AND(49&gt;=Personnel!$E$27,Personnel!$G$27="Yes"),Personnel!$D$27,0)+IF(AND(49&gt;=Personnel!$E$28,Personnel!$G$28="Yes"),Personnel!$D$28,0)+IF(AND(49&gt;=Personnel!$E$29,Personnel!$G$29="Yes"),Personnel!$D$29,0))</f>
        <v>-239407.66666666666</v>
      </c>
      <c r="AZ16" s="8">
        <f>-(IF(AND(50&gt;=Personnel!$E$7,Personnel!$G$7="Yes"),Personnel!$D$7,0)+IF(AND(50&gt;=Personnel!$E$8,Personnel!$G$8="Yes"),Personnel!$D$8,0)+IF(AND(50&gt;=Personnel!$E$9,Personnel!$G$9="Yes"),Personnel!$D$9,0)+IF(AND(50&gt;=Personnel!$E$10,Personnel!$G$10="Yes"),Personnel!$D$10,0)+IF(AND(50&gt;=Personnel!$E$11,Personnel!$G$11="Yes"),Personnel!$D$11,0)+IF(AND(50&gt;=Personnel!$E$12,Personnel!$G$12="Yes"),Personnel!$D$12,0)+IF(AND(50&gt;=Personnel!$E$13,Personnel!$G$13="Yes"),Personnel!$D$13,0)+IF(AND(50&gt;=Personnel!$E$14,Personnel!$G$14="Yes"),Personnel!$D$14,0)+IF(AND(50&gt;=Personnel!$E$15,Personnel!$G$15="Yes"),Personnel!$D$15,0)+IF(AND(50&gt;=Personnel!$E$16,Personnel!$G$16="Yes"),Personnel!$D$16,0)+IF(AND(50&gt;=Personnel!$E$17,Personnel!$G$17="Yes"),Personnel!$D$17,0)+IF(AND(50&gt;=Personnel!$E$18,Personnel!$G$18="Yes"),Personnel!$D$18,0)+IF(AND(50&gt;=Personnel!$E$19,Personnel!$G$19="Yes"),Personnel!$D$19,0)+IF(AND(50&gt;=Personnel!$E$20,Personnel!$G$20="Yes"),Personnel!$D$20,0)+IF(AND(50&gt;=Personnel!$E$21,Personnel!$G$21="Yes"),Personnel!$D$21,0)+IF(AND(50&gt;=Personnel!$E$22,Personnel!$G$22="Yes"),Personnel!$D$22,0)+IF(AND(50&gt;=Personnel!$E$23,Personnel!$G$23="Yes"),Personnel!$D$23,0)+IF(AND(50&gt;=Personnel!$E$24,Personnel!$G$24="Yes"),Personnel!$D$24,0)+IF(AND(50&gt;=Personnel!$E$25,Personnel!$G$25="Yes"),Personnel!$D$25,0)+IF(AND(50&gt;=Personnel!$E$26,Personnel!$G$26="Yes"),Personnel!$D$26,0)+IF(AND(50&gt;=Personnel!$E$27,Personnel!$G$27="Yes"),Personnel!$D$27,0)+IF(AND(50&gt;=Personnel!$E$28,Personnel!$G$28="Yes"),Personnel!$D$28,0)+IF(AND(50&gt;=Personnel!$E$29,Personnel!$G$29="Yes"),Personnel!$D$29,0))</f>
        <v>-239407.66666666666</v>
      </c>
      <c r="BA16" s="8">
        <f>-(IF(AND(51&gt;=Personnel!$E$7,Personnel!$G$7="Yes"),Personnel!$D$7,0)+IF(AND(51&gt;=Personnel!$E$8,Personnel!$G$8="Yes"),Personnel!$D$8,0)+IF(AND(51&gt;=Personnel!$E$9,Personnel!$G$9="Yes"),Personnel!$D$9,0)+IF(AND(51&gt;=Personnel!$E$10,Personnel!$G$10="Yes"),Personnel!$D$10,0)+IF(AND(51&gt;=Personnel!$E$11,Personnel!$G$11="Yes"),Personnel!$D$11,0)+IF(AND(51&gt;=Personnel!$E$12,Personnel!$G$12="Yes"),Personnel!$D$12,0)+IF(AND(51&gt;=Personnel!$E$13,Personnel!$G$13="Yes"),Personnel!$D$13,0)+IF(AND(51&gt;=Personnel!$E$14,Personnel!$G$14="Yes"),Personnel!$D$14,0)+IF(AND(51&gt;=Personnel!$E$15,Personnel!$G$15="Yes"),Personnel!$D$15,0)+IF(AND(51&gt;=Personnel!$E$16,Personnel!$G$16="Yes"),Personnel!$D$16,0)+IF(AND(51&gt;=Personnel!$E$17,Personnel!$G$17="Yes"),Personnel!$D$17,0)+IF(AND(51&gt;=Personnel!$E$18,Personnel!$G$18="Yes"),Personnel!$D$18,0)+IF(AND(51&gt;=Personnel!$E$19,Personnel!$G$19="Yes"),Personnel!$D$19,0)+IF(AND(51&gt;=Personnel!$E$20,Personnel!$G$20="Yes"),Personnel!$D$20,0)+IF(AND(51&gt;=Personnel!$E$21,Personnel!$G$21="Yes"),Personnel!$D$21,0)+IF(AND(51&gt;=Personnel!$E$22,Personnel!$G$22="Yes"),Personnel!$D$22,0)+IF(AND(51&gt;=Personnel!$E$23,Personnel!$G$23="Yes"),Personnel!$D$23,0)+IF(AND(51&gt;=Personnel!$E$24,Personnel!$G$24="Yes"),Personnel!$D$24,0)+IF(AND(51&gt;=Personnel!$E$25,Personnel!$G$25="Yes"),Personnel!$D$25,0)+IF(AND(51&gt;=Personnel!$E$26,Personnel!$G$26="Yes"),Personnel!$D$26,0)+IF(AND(51&gt;=Personnel!$E$27,Personnel!$G$27="Yes"),Personnel!$D$27,0)+IF(AND(51&gt;=Personnel!$E$28,Personnel!$G$28="Yes"),Personnel!$D$28,0)+IF(AND(51&gt;=Personnel!$E$29,Personnel!$G$29="Yes"),Personnel!$D$29,0))</f>
        <v>-239407.66666666666</v>
      </c>
      <c r="BB16" s="8">
        <f>-(IF(AND(52&gt;=Personnel!$E$7,Personnel!$G$7="Yes"),Personnel!$D$7,0)+IF(AND(52&gt;=Personnel!$E$8,Personnel!$G$8="Yes"),Personnel!$D$8,0)+IF(AND(52&gt;=Personnel!$E$9,Personnel!$G$9="Yes"),Personnel!$D$9,0)+IF(AND(52&gt;=Personnel!$E$10,Personnel!$G$10="Yes"),Personnel!$D$10,0)+IF(AND(52&gt;=Personnel!$E$11,Personnel!$G$11="Yes"),Personnel!$D$11,0)+IF(AND(52&gt;=Personnel!$E$12,Personnel!$G$12="Yes"),Personnel!$D$12,0)+IF(AND(52&gt;=Personnel!$E$13,Personnel!$G$13="Yes"),Personnel!$D$13,0)+IF(AND(52&gt;=Personnel!$E$14,Personnel!$G$14="Yes"),Personnel!$D$14,0)+IF(AND(52&gt;=Personnel!$E$15,Personnel!$G$15="Yes"),Personnel!$D$15,0)+IF(AND(52&gt;=Personnel!$E$16,Personnel!$G$16="Yes"),Personnel!$D$16,0)+IF(AND(52&gt;=Personnel!$E$17,Personnel!$G$17="Yes"),Personnel!$D$17,0)+IF(AND(52&gt;=Personnel!$E$18,Personnel!$G$18="Yes"),Personnel!$D$18,0)+IF(AND(52&gt;=Personnel!$E$19,Personnel!$G$19="Yes"),Personnel!$D$19,0)+IF(AND(52&gt;=Personnel!$E$20,Personnel!$G$20="Yes"),Personnel!$D$20,0)+IF(AND(52&gt;=Personnel!$E$21,Personnel!$G$21="Yes"),Personnel!$D$21,0)+IF(AND(52&gt;=Personnel!$E$22,Personnel!$G$22="Yes"),Personnel!$D$22,0)+IF(AND(52&gt;=Personnel!$E$23,Personnel!$G$23="Yes"),Personnel!$D$23,0)+IF(AND(52&gt;=Personnel!$E$24,Personnel!$G$24="Yes"),Personnel!$D$24,0)+IF(AND(52&gt;=Personnel!$E$25,Personnel!$G$25="Yes"),Personnel!$D$25,0)+IF(AND(52&gt;=Personnel!$E$26,Personnel!$G$26="Yes"),Personnel!$D$26,0)+IF(AND(52&gt;=Personnel!$E$27,Personnel!$G$27="Yes"),Personnel!$D$27,0)+IF(AND(52&gt;=Personnel!$E$28,Personnel!$G$28="Yes"),Personnel!$D$28,0)+IF(AND(52&gt;=Personnel!$E$29,Personnel!$G$29="Yes"),Personnel!$D$29,0))</f>
        <v>-239407.66666666666</v>
      </c>
      <c r="BC16" s="8">
        <f>-(IF(AND(53&gt;=Personnel!$E$7,Personnel!$G$7="Yes"),Personnel!$D$7,0)+IF(AND(53&gt;=Personnel!$E$8,Personnel!$G$8="Yes"),Personnel!$D$8,0)+IF(AND(53&gt;=Personnel!$E$9,Personnel!$G$9="Yes"),Personnel!$D$9,0)+IF(AND(53&gt;=Personnel!$E$10,Personnel!$G$10="Yes"),Personnel!$D$10,0)+IF(AND(53&gt;=Personnel!$E$11,Personnel!$G$11="Yes"),Personnel!$D$11,0)+IF(AND(53&gt;=Personnel!$E$12,Personnel!$G$12="Yes"),Personnel!$D$12,0)+IF(AND(53&gt;=Personnel!$E$13,Personnel!$G$13="Yes"),Personnel!$D$13,0)+IF(AND(53&gt;=Personnel!$E$14,Personnel!$G$14="Yes"),Personnel!$D$14,0)+IF(AND(53&gt;=Personnel!$E$15,Personnel!$G$15="Yes"),Personnel!$D$15,0)+IF(AND(53&gt;=Personnel!$E$16,Personnel!$G$16="Yes"),Personnel!$D$16,0)+IF(AND(53&gt;=Personnel!$E$17,Personnel!$G$17="Yes"),Personnel!$D$17,0)+IF(AND(53&gt;=Personnel!$E$18,Personnel!$G$18="Yes"),Personnel!$D$18,0)+IF(AND(53&gt;=Personnel!$E$19,Personnel!$G$19="Yes"),Personnel!$D$19,0)+IF(AND(53&gt;=Personnel!$E$20,Personnel!$G$20="Yes"),Personnel!$D$20,0)+IF(AND(53&gt;=Personnel!$E$21,Personnel!$G$21="Yes"),Personnel!$D$21,0)+IF(AND(53&gt;=Personnel!$E$22,Personnel!$G$22="Yes"),Personnel!$D$22,0)+IF(AND(53&gt;=Personnel!$E$23,Personnel!$G$23="Yes"),Personnel!$D$23,0)+IF(AND(53&gt;=Personnel!$E$24,Personnel!$G$24="Yes"),Personnel!$D$24,0)+IF(AND(53&gt;=Personnel!$E$25,Personnel!$G$25="Yes"),Personnel!$D$25,0)+IF(AND(53&gt;=Personnel!$E$26,Personnel!$G$26="Yes"),Personnel!$D$26,0)+IF(AND(53&gt;=Personnel!$E$27,Personnel!$G$27="Yes"),Personnel!$D$27,0)+IF(AND(53&gt;=Personnel!$E$28,Personnel!$G$28="Yes"),Personnel!$D$28,0)+IF(AND(53&gt;=Personnel!$E$29,Personnel!$G$29="Yes"),Personnel!$D$29,0))</f>
        <v>-239407.66666666666</v>
      </c>
      <c r="BD16" s="8">
        <f>-(IF(AND(54&gt;=Personnel!$E$7,Personnel!$G$7="Yes"),Personnel!$D$7,0)+IF(AND(54&gt;=Personnel!$E$8,Personnel!$G$8="Yes"),Personnel!$D$8,0)+IF(AND(54&gt;=Personnel!$E$9,Personnel!$G$9="Yes"),Personnel!$D$9,0)+IF(AND(54&gt;=Personnel!$E$10,Personnel!$G$10="Yes"),Personnel!$D$10,0)+IF(AND(54&gt;=Personnel!$E$11,Personnel!$G$11="Yes"),Personnel!$D$11,0)+IF(AND(54&gt;=Personnel!$E$12,Personnel!$G$12="Yes"),Personnel!$D$12,0)+IF(AND(54&gt;=Personnel!$E$13,Personnel!$G$13="Yes"),Personnel!$D$13,0)+IF(AND(54&gt;=Personnel!$E$14,Personnel!$G$14="Yes"),Personnel!$D$14,0)+IF(AND(54&gt;=Personnel!$E$15,Personnel!$G$15="Yes"),Personnel!$D$15,0)+IF(AND(54&gt;=Personnel!$E$16,Personnel!$G$16="Yes"),Personnel!$D$16,0)+IF(AND(54&gt;=Personnel!$E$17,Personnel!$G$17="Yes"),Personnel!$D$17,0)+IF(AND(54&gt;=Personnel!$E$18,Personnel!$G$18="Yes"),Personnel!$D$18,0)+IF(AND(54&gt;=Personnel!$E$19,Personnel!$G$19="Yes"),Personnel!$D$19,0)+IF(AND(54&gt;=Personnel!$E$20,Personnel!$G$20="Yes"),Personnel!$D$20,0)+IF(AND(54&gt;=Personnel!$E$21,Personnel!$G$21="Yes"),Personnel!$D$21,0)+IF(AND(54&gt;=Personnel!$E$22,Personnel!$G$22="Yes"),Personnel!$D$22,0)+IF(AND(54&gt;=Personnel!$E$23,Personnel!$G$23="Yes"),Personnel!$D$23,0)+IF(AND(54&gt;=Personnel!$E$24,Personnel!$G$24="Yes"),Personnel!$D$24,0)+IF(AND(54&gt;=Personnel!$E$25,Personnel!$G$25="Yes"),Personnel!$D$25,0)+IF(AND(54&gt;=Personnel!$E$26,Personnel!$G$26="Yes"),Personnel!$D$26,0)+IF(AND(54&gt;=Personnel!$E$27,Personnel!$G$27="Yes"),Personnel!$D$27,0)+IF(AND(54&gt;=Personnel!$E$28,Personnel!$G$28="Yes"),Personnel!$D$28,0)+IF(AND(54&gt;=Personnel!$E$29,Personnel!$G$29="Yes"),Personnel!$D$29,0))</f>
        <v>-239407.66666666666</v>
      </c>
      <c r="BE16" s="8">
        <f>-(IF(AND(55&gt;=Personnel!$E$7,Personnel!$G$7="Yes"),Personnel!$D$7,0)+IF(AND(55&gt;=Personnel!$E$8,Personnel!$G$8="Yes"),Personnel!$D$8,0)+IF(AND(55&gt;=Personnel!$E$9,Personnel!$G$9="Yes"),Personnel!$D$9,0)+IF(AND(55&gt;=Personnel!$E$10,Personnel!$G$10="Yes"),Personnel!$D$10,0)+IF(AND(55&gt;=Personnel!$E$11,Personnel!$G$11="Yes"),Personnel!$D$11,0)+IF(AND(55&gt;=Personnel!$E$12,Personnel!$G$12="Yes"),Personnel!$D$12,0)+IF(AND(55&gt;=Personnel!$E$13,Personnel!$G$13="Yes"),Personnel!$D$13,0)+IF(AND(55&gt;=Personnel!$E$14,Personnel!$G$14="Yes"),Personnel!$D$14,0)+IF(AND(55&gt;=Personnel!$E$15,Personnel!$G$15="Yes"),Personnel!$D$15,0)+IF(AND(55&gt;=Personnel!$E$16,Personnel!$G$16="Yes"),Personnel!$D$16,0)+IF(AND(55&gt;=Personnel!$E$17,Personnel!$G$17="Yes"),Personnel!$D$17,0)+IF(AND(55&gt;=Personnel!$E$18,Personnel!$G$18="Yes"),Personnel!$D$18,0)+IF(AND(55&gt;=Personnel!$E$19,Personnel!$G$19="Yes"),Personnel!$D$19,0)+IF(AND(55&gt;=Personnel!$E$20,Personnel!$G$20="Yes"),Personnel!$D$20,0)+IF(AND(55&gt;=Personnel!$E$21,Personnel!$G$21="Yes"),Personnel!$D$21,0)+IF(AND(55&gt;=Personnel!$E$22,Personnel!$G$22="Yes"),Personnel!$D$22,0)+IF(AND(55&gt;=Personnel!$E$23,Personnel!$G$23="Yes"),Personnel!$D$23,0)+IF(AND(55&gt;=Personnel!$E$24,Personnel!$G$24="Yes"),Personnel!$D$24,0)+IF(AND(55&gt;=Personnel!$E$25,Personnel!$G$25="Yes"),Personnel!$D$25,0)+IF(AND(55&gt;=Personnel!$E$26,Personnel!$G$26="Yes"),Personnel!$D$26,0)+IF(AND(55&gt;=Personnel!$E$27,Personnel!$G$27="Yes"),Personnel!$D$27,0)+IF(AND(55&gt;=Personnel!$E$28,Personnel!$G$28="Yes"),Personnel!$D$28,0)+IF(AND(55&gt;=Personnel!$E$29,Personnel!$G$29="Yes"),Personnel!$D$29,0))</f>
        <v>-239407.66666666666</v>
      </c>
      <c r="BF16" s="8">
        <f>-(IF(AND(56&gt;=Personnel!$E$7,Personnel!$G$7="Yes"),Personnel!$D$7,0)+IF(AND(56&gt;=Personnel!$E$8,Personnel!$G$8="Yes"),Personnel!$D$8,0)+IF(AND(56&gt;=Personnel!$E$9,Personnel!$G$9="Yes"),Personnel!$D$9,0)+IF(AND(56&gt;=Personnel!$E$10,Personnel!$G$10="Yes"),Personnel!$D$10,0)+IF(AND(56&gt;=Personnel!$E$11,Personnel!$G$11="Yes"),Personnel!$D$11,0)+IF(AND(56&gt;=Personnel!$E$12,Personnel!$G$12="Yes"),Personnel!$D$12,0)+IF(AND(56&gt;=Personnel!$E$13,Personnel!$G$13="Yes"),Personnel!$D$13,0)+IF(AND(56&gt;=Personnel!$E$14,Personnel!$G$14="Yes"),Personnel!$D$14,0)+IF(AND(56&gt;=Personnel!$E$15,Personnel!$G$15="Yes"),Personnel!$D$15,0)+IF(AND(56&gt;=Personnel!$E$16,Personnel!$G$16="Yes"),Personnel!$D$16,0)+IF(AND(56&gt;=Personnel!$E$17,Personnel!$G$17="Yes"),Personnel!$D$17,0)+IF(AND(56&gt;=Personnel!$E$18,Personnel!$G$18="Yes"),Personnel!$D$18,0)+IF(AND(56&gt;=Personnel!$E$19,Personnel!$G$19="Yes"),Personnel!$D$19,0)+IF(AND(56&gt;=Personnel!$E$20,Personnel!$G$20="Yes"),Personnel!$D$20,0)+IF(AND(56&gt;=Personnel!$E$21,Personnel!$G$21="Yes"),Personnel!$D$21,0)+IF(AND(56&gt;=Personnel!$E$22,Personnel!$G$22="Yes"),Personnel!$D$22,0)+IF(AND(56&gt;=Personnel!$E$23,Personnel!$G$23="Yes"),Personnel!$D$23,0)+IF(AND(56&gt;=Personnel!$E$24,Personnel!$G$24="Yes"),Personnel!$D$24,0)+IF(AND(56&gt;=Personnel!$E$25,Personnel!$G$25="Yes"),Personnel!$D$25,0)+IF(AND(56&gt;=Personnel!$E$26,Personnel!$G$26="Yes"),Personnel!$D$26,0)+IF(AND(56&gt;=Personnel!$E$27,Personnel!$G$27="Yes"),Personnel!$D$27,0)+IF(AND(56&gt;=Personnel!$E$28,Personnel!$G$28="Yes"),Personnel!$D$28,0)+IF(AND(56&gt;=Personnel!$E$29,Personnel!$G$29="Yes"),Personnel!$D$29,0))</f>
        <v>-239407.66666666666</v>
      </c>
      <c r="BG16" s="8">
        <f>-(IF(AND(57&gt;=Personnel!$E$7,Personnel!$G$7="Yes"),Personnel!$D$7,0)+IF(AND(57&gt;=Personnel!$E$8,Personnel!$G$8="Yes"),Personnel!$D$8,0)+IF(AND(57&gt;=Personnel!$E$9,Personnel!$G$9="Yes"),Personnel!$D$9,0)+IF(AND(57&gt;=Personnel!$E$10,Personnel!$G$10="Yes"),Personnel!$D$10,0)+IF(AND(57&gt;=Personnel!$E$11,Personnel!$G$11="Yes"),Personnel!$D$11,0)+IF(AND(57&gt;=Personnel!$E$12,Personnel!$G$12="Yes"),Personnel!$D$12,0)+IF(AND(57&gt;=Personnel!$E$13,Personnel!$G$13="Yes"),Personnel!$D$13,0)+IF(AND(57&gt;=Personnel!$E$14,Personnel!$G$14="Yes"),Personnel!$D$14,0)+IF(AND(57&gt;=Personnel!$E$15,Personnel!$G$15="Yes"),Personnel!$D$15,0)+IF(AND(57&gt;=Personnel!$E$16,Personnel!$G$16="Yes"),Personnel!$D$16,0)+IF(AND(57&gt;=Personnel!$E$17,Personnel!$G$17="Yes"),Personnel!$D$17,0)+IF(AND(57&gt;=Personnel!$E$18,Personnel!$G$18="Yes"),Personnel!$D$18,0)+IF(AND(57&gt;=Personnel!$E$19,Personnel!$G$19="Yes"),Personnel!$D$19,0)+IF(AND(57&gt;=Personnel!$E$20,Personnel!$G$20="Yes"),Personnel!$D$20,0)+IF(AND(57&gt;=Personnel!$E$21,Personnel!$G$21="Yes"),Personnel!$D$21,0)+IF(AND(57&gt;=Personnel!$E$22,Personnel!$G$22="Yes"),Personnel!$D$22,0)+IF(AND(57&gt;=Personnel!$E$23,Personnel!$G$23="Yes"),Personnel!$D$23,0)+IF(AND(57&gt;=Personnel!$E$24,Personnel!$G$24="Yes"),Personnel!$D$24,0)+IF(AND(57&gt;=Personnel!$E$25,Personnel!$G$25="Yes"),Personnel!$D$25,0)+IF(AND(57&gt;=Personnel!$E$26,Personnel!$G$26="Yes"),Personnel!$D$26,0)+IF(AND(57&gt;=Personnel!$E$27,Personnel!$G$27="Yes"),Personnel!$D$27,0)+IF(AND(57&gt;=Personnel!$E$28,Personnel!$G$28="Yes"),Personnel!$D$28,0)+IF(AND(57&gt;=Personnel!$E$29,Personnel!$G$29="Yes"),Personnel!$D$29,0))</f>
        <v>-239407.66666666666</v>
      </c>
      <c r="BH16" s="8">
        <f>-(IF(AND(58&gt;=Personnel!$E$7,Personnel!$G$7="Yes"),Personnel!$D$7,0)+IF(AND(58&gt;=Personnel!$E$8,Personnel!$G$8="Yes"),Personnel!$D$8,0)+IF(AND(58&gt;=Personnel!$E$9,Personnel!$G$9="Yes"),Personnel!$D$9,0)+IF(AND(58&gt;=Personnel!$E$10,Personnel!$G$10="Yes"),Personnel!$D$10,0)+IF(AND(58&gt;=Personnel!$E$11,Personnel!$G$11="Yes"),Personnel!$D$11,0)+IF(AND(58&gt;=Personnel!$E$12,Personnel!$G$12="Yes"),Personnel!$D$12,0)+IF(AND(58&gt;=Personnel!$E$13,Personnel!$G$13="Yes"),Personnel!$D$13,0)+IF(AND(58&gt;=Personnel!$E$14,Personnel!$G$14="Yes"),Personnel!$D$14,0)+IF(AND(58&gt;=Personnel!$E$15,Personnel!$G$15="Yes"),Personnel!$D$15,0)+IF(AND(58&gt;=Personnel!$E$16,Personnel!$G$16="Yes"),Personnel!$D$16,0)+IF(AND(58&gt;=Personnel!$E$17,Personnel!$G$17="Yes"),Personnel!$D$17,0)+IF(AND(58&gt;=Personnel!$E$18,Personnel!$G$18="Yes"),Personnel!$D$18,0)+IF(AND(58&gt;=Personnel!$E$19,Personnel!$G$19="Yes"),Personnel!$D$19,0)+IF(AND(58&gt;=Personnel!$E$20,Personnel!$G$20="Yes"),Personnel!$D$20,0)+IF(AND(58&gt;=Personnel!$E$21,Personnel!$G$21="Yes"),Personnel!$D$21,0)+IF(AND(58&gt;=Personnel!$E$22,Personnel!$G$22="Yes"),Personnel!$D$22,0)+IF(AND(58&gt;=Personnel!$E$23,Personnel!$G$23="Yes"),Personnel!$D$23,0)+IF(AND(58&gt;=Personnel!$E$24,Personnel!$G$24="Yes"),Personnel!$D$24,0)+IF(AND(58&gt;=Personnel!$E$25,Personnel!$G$25="Yes"),Personnel!$D$25,0)+IF(AND(58&gt;=Personnel!$E$26,Personnel!$G$26="Yes"),Personnel!$D$26,0)+IF(AND(58&gt;=Personnel!$E$27,Personnel!$G$27="Yes"),Personnel!$D$27,0)+IF(AND(58&gt;=Personnel!$E$28,Personnel!$G$28="Yes"),Personnel!$D$28,0)+IF(AND(58&gt;=Personnel!$E$29,Personnel!$G$29="Yes"),Personnel!$D$29,0))</f>
        <v>-239407.66666666666</v>
      </c>
      <c r="BI16" s="8">
        <f>-(IF(AND(59&gt;=Personnel!$E$7,Personnel!$G$7="Yes"),Personnel!$D$7,0)+IF(AND(59&gt;=Personnel!$E$8,Personnel!$G$8="Yes"),Personnel!$D$8,0)+IF(AND(59&gt;=Personnel!$E$9,Personnel!$G$9="Yes"),Personnel!$D$9,0)+IF(AND(59&gt;=Personnel!$E$10,Personnel!$G$10="Yes"),Personnel!$D$10,0)+IF(AND(59&gt;=Personnel!$E$11,Personnel!$G$11="Yes"),Personnel!$D$11,0)+IF(AND(59&gt;=Personnel!$E$12,Personnel!$G$12="Yes"),Personnel!$D$12,0)+IF(AND(59&gt;=Personnel!$E$13,Personnel!$G$13="Yes"),Personnel!$D$13,0)+IF(AND(59&gt;=Personnel!$E$14,Personnel!$G$14="Yes"),Personnel!$D$14,0)+IF(AND(59&gt;=Personnel!$E$15,Personnel!$G$15="Yes"),Personnel!$D$15,0)+IF(AND(59&gt;=Personnel!$E$16,Personnel!$G$16="Yes"),Personnel!$D$16,0)+IF(AND(59&gt;=Personnel!$E$17,Personnel!$G$17="Yes"),Personnel!$D$17,0)+IF(AND(59&gt;=Personnel!$E$18,Personnel!$G$18="Yes"),Personnel!$D$18,0)+IF(AND(59&gt;=Personnel!$E$19,Personnel!$G$19="Yes"),Personnel!$D$19,0)+IF(AND(59&gt;=Personnel!$E$20,Personnel!$G$20="Yes"),Personnel!$D$20,0)+IF(AND(59&gt;=Personnel!$E$21,Personnel!$G$21="Yes"),Personnel!$D$21,0)+IF(AND(59&gt;=Personnel!$E$22,Personnel!$G$22="Yes"),Personnel!$D$22,0)+IF(AND(59&gt;=Personnel!$E$23,Personnel!$G$23="Yes"),Personnel!$D$23,0)+IF(AND(59&gt;=Personnel!$E$24,Personnel!$G$24="Yes"),Personnel!$D$24,0)+IF(AND(59&gt;=Personnel!$E$25,Personnel!$G$25="Yes"),Personnel!$D$25,0)+IF(AND(59&gt;=Personnel!$E$26,Personnel!$G$26="Yes"),Personnel!$D$26,0)+IF(AND(59&gt;=Personnel!$E$27,Personnel!$G$27="Yes"),Personnel!$D$27,0)+IF(AND(59&gt;=Personnel!$E$28,Personnel!$G$28="Yes"),Personnel!$D$28,0)+IF(AND(59&gt;=Personnel!$E$29,Personnel!$G$29="Yes"),Personnel!$D$29,0))</f>
        <v>-239407.66666666666</v>
      </c>
      <c r="BJ16" s="8">
        <f>-(IF(AND(60&gt;=Personnel!$E$7,Personnel!$G$7="Yes"),Personnel!$D$7,0)+IF(AND(60&gt;=Personnel!$E$8,Personnel!$G$8="Yes"),Personnel!$D$8,0)+IF(AND(60&gt;=Personnel!$E$9,Personnel!$G$9="Yes"),Personnel!$D$9,0)+IF(AND(60&gt;=Personnel!$E$10,Personnel!$G$10="Yes"),Personnel!$D$10,0)+IF(AND(60&gt;=Personnel!$E$11,Personnel!$G$11="Yes"),Personnel!$D$11,0)+IF(AND(60&gt;=Personnel!$E$12,Personnel!$G$12="Yes"),Personnel!$D$12,0)+IF(AND(60&gt;=Personnel!$E$13,Personnel!$G$13="Yes"),Personnel!$D$13,0)+IF(AND(60&gt;=Personnel!$E$14,Personnel!$G$14="Yes"),Personnel!$D$14,0)+IF(AND(60&gt;=Personnel!$E$15,Personnel!$G$15="Yes"),Personnel!$D$15,0)+IF(AND(60&gt;=Personnel!$E$16,Personnel!$G$16="Yes"),Personnel!$D$16,0)+IF(AND(60&gt;=Personnel!$E$17,Personnel!$G$17="Yes"),Personnel!$D$17,0)+IF(AND(60&gt;=Personnel!$E$18,Personnel!$G$18="Yes"),Personnel!$D$18,0)+IF(AND(60&gt;=Personnel!$E$19,Personnel!$G$19="Yes"),Personnel!$D$19,0)+IF(AND(60&gt;=Personnel!$E$20,Personnel!$G$20="Yes"),Personnel!$D$20,0)+IF(AND(60&gt;=Personnel!$E$21,Personnel!$G$21="Yes"),Personnel!$D$21,0)+IF(AND(60&gt;=Personnel!$E$22,Personnel!$G$22="Yes"),Personnel!$D$22,0)+IF(AND(60&gt;=Personnel!$E$23,Personnel!$G$23="Yes"),Personnel!$D$23,0)+IF(AND(60&gt;=Personnel!$E$24,Personnel!$G$24="Yes"),Personnel!$D$24,0)+IF(AND(60&gt;=Personnel!$E$25,Personnel!$G$25="Yes"),Personnel!$D$25,0)+IF(AND(60&gt;=Personnel!$E$26,Personnel!$G$26="Yes"),Personnel!$D$26,0)+IF(AND(60&gt;=Personnel!$E$27,Personnel!$G$27="Yes"),Personnel!$D$27,0)+IF(AND(60&gt;=Personnel!$E$28,Personnel!$G$28="Yes"),Personnel!$D$28,0)+IF(AND(60&gt;=Personnel!$E$29,Personnel!$G$29="Yes"),Personnel!$D$29,0))</f>
        <v>-239407.66666666666</v>
      </c>
      <c r="BK16" s="8">
        <f>-(IF(AND(61&gt;=Personnel!$E$7,Personnel!$G$7="Yes"),Personnel!$D$7,0)+IF(AND(61&gt;=Personnel!$E$8,Personnel!$G$8="Yes"),Personnel!$D$8,0)+IF(AND(61&gt;=Personnel!$E$9,Personnel!$G$9="Yes"),Personnel!$D$9,0)+IF(AND(61&gt;=Personnel!$E$10,Personnel!$G$10="Yes"),Personnel!$D$10,0)+IF(AND(61&gt;=Personnel!$E$11,Personnel!$G$11="Yes"),Personnel!$D$11,0)+IF(AND(61&gt;=Personnel!$E$12,Personnel!$G$12="Yes"),Personnel!$D$12,0)+IF(AND(61&gt;=Personnel!$E$13,Personnel!$G$13="Yes"),Personnel!$D$13,0)+IF(AND(61&gt;=Personnel!$E$14,Personnel!$G$14="Yes"),Personnel!$D$14,0)+IF(AND(61&gt;=Personnel!$E$15,Personnel!$G$15="Yes"),Personnel!$D$15,0)+IF(AND(61&gt;=Personnel!$E$16,Personnel!$G$16="Yes"),Personnel!$D$16,0)+IF(AND(61&gt;=Personnel!$E$17,Personnel!$G$17="Yes"),Personnel!$D$17,0)+IF(AND(61&gt;=Personnel!$E$18,Personnel!$G$18="Yes"),Personnel!$D$18,0)+IF(AND(61&gt;=Personnel!$E$19,Personnel!$G$19="Yes"),Personnel!$D$19,0)+IF(AND(61&gt;=Personnel!$E$20,Personnel!$G$20="Yes"),Personnel!$D$20,0)+IF(AND(61&gt;=Personnel!$E$21,Personnel!$G$21="Yes"),Personnel!$D$21,0)+IF(AND(61&gt;=Personnel!$E$22,Personnel!$G$22="Yes"),Personnel!$D$22,0)+IF(AND(61&gt;=Personnel!$E$23,Personnel!$G$23="Yes"),Personnel!$D$23,0)+IF(AND(61&gt;=Personnel!$E$24,Personnel!$G$24="Yes"),Personnel!$D$24,0)+IF(AND(61&gt;=Personnel!$E$25,Personnel!$G$25="Yes"),Personnel!$D$25,0)+IF(AND(61&gt;=Personnel!$E$26,Personnel!$G$26="Yes"),Personnel!$D$26,0)+IF(AND(61&gt;=Personnel!$E$27,Personnel!$G$27="Yes"),Personnel!$D$27,0)+IF(AND(61&gt;=Personnel!$E$28,Personnel!$G$28="Yes"),Personnel!$D$28,0)+IF(AND(61&gt;=Personnel!$E$29,Personnel!$G$29="Yes"),Personnel!$D$29,0))</f>
        <v>-239407.66666666666</v>
      </c>
      <c r="BL16" s="8">
        <f>-(IF(AND(62&gt;=Personnel!$E$7,Personnel!$G$7="Yes"),Personnel!$D$7,0)+IF(AND(62&gt;=Personnel!$E$8,Personnel!$G$8="Yes"),Personnel!$D$8,0)+IF(AND(62&gt;=Personnel!$E$9,Personnel!$G$9="Yes"),Personnel!$D$9,0)+IF(AND(62&gt;=Personnel!$E$10,Personnel!$G$10="Yes"),Personnel!$D$10,0)+IF(AND(62&gt;=Personnel!$E$11,Personnel!$G$11="Yes"),Personnel!$D$11,0)+IF(AND(62&gt;=Personnel!$E$12,Personnel!$G$12="Yes"),Personnel!$D$12,0)+IF(AND(62&gt;=Personnel!$E$13,Personnel!$G$13="Yes"),Personnel!$D$13,0)+IF(AND(62&gt;=Personnel!$E$14,Personnel!$G$14="Yes"),Personnel!$D$14,0)+IF(AND(62&gt;=Personnel!$E$15,Personnel!$G$15="Yes"),Personnel!$D$15,0)+IF(AND(62&gt;=Personnel!$E$16,Personnel!$G$16="Yes"),Personnel!$D$16,0)+IF(AND(62&gt;=Personnel!$E$17,Personnel!$G$17="Yes"),Personnel!$D$17,0)+IF(AND(62&gt;=Personnel!$E$18,Personnel!$G$18="Yes"),Personnel!$D$18,0)+IF(AND(62&gt;=Personnel!$E$19,Personnel!$G$19="Yes"),Personnel!$D$19,0)+IF(AND(62&gt;=Personnel!$E$20,Personnel!$G$20="Yes"),Personnel!$D$20,0)+IF(AND(62&gt;=Personnel!$E$21,Personnel!$G$21="Yes"),Personnel!$D$21,0)+IF(AND(62&gt;=Personnel!$E$22,Personnel!$G$22="Yes"),Personnel!$D$22,0)+IF(AND(62&gt;=Personnel!$E$23,Personnel!$G$23="Yes"),Personnel!$D$23,0)+IF(AND(62&gt;=Personnel!$E$24,Personnel!$G$24="Yes"),Personnel!$D$24,0)+IF(AND(62&gt;=Personnel!$E$25,Personnel!$G$25="Yes"),Personnel!$D$25,0)+IF(AND(62&gt;=Personnel!$E$26,Personnel!$G$26="Yes"),Personnel!$D$26,0)+IF(AND(62&gt;=Personnel!$E$27,Personnel!$G$27="Yes"),Personnel!$D$27,0)+IF(AND(62&gt;=Personnel!$E$28,Personnel!$G$28="Yes"),Personnel!$D$28,0)+IF(AND(62&gt;=Personnel!$E$29,Personnel!$G$29="Yes"),Personnel!$D$29,0))</f>
        <v>-239407.66666666666</v>
      </c>
      <c r="BM16" s="8">
        <f>-(IF(AND(63&gt;=Personnel!$E$7,Personnel!$G$7="Yes"),Personnel!$D$7,0)+IF(AND(63&gt;=Personnel!$E$8,Personnel!$G$8="Yes"),Personnel!$D$8,0)+IF(AND(63&gt;=Personnel!$E$9,Personnel!$G$9="Yes"),Personnel!$D$9,0)+IF(AND(63&gt;=Personnel!$E$10,Personnel!$G$10="Yes"),Personnel!$D$10,0)+IF(AND(63&gt;=Personnel!$E$11,Personnel!$G$11="Yes"),Personnel!$D$11,0)+IF(AND(63&gt;=Personnel!$E$12,Personnel!$G$12="Yes"),Personnel!$D$12,0)+IF(AND(63&gt;=Personnel!$E$13,Personnel!$G$13="Yes"),Personnel!$D$13,0)+IF(AND(63&gt;=Personnel!$E$14,Personnel!$G$14="Yes"),Personnel!$D$14,0)+IF(AND(63&gt;=Personnel!$E$15,Personnel!$G$15="Yes"),Personnel!$D$15,0)+IF(AND(63&gt;=Personnel!$E$16,Personnel!$G$16="Yes"),Personnel!$D$16,0)+IF(AND(63&gt;=Personnel!$E$17,Personnel!$G$17="Yes"),Personnel!$D$17,0)+IF(AND(63&gt;=Personnel!$E$18,Personnel!$G$18="Yes"),Personnel!$D$18,0)+IF(AND(63&gt;=Personnel!$E$19,Personnel!$G$19="Yes"),Personnel!$D$19,0)+IF(AND(63&gt;=Personnel!$E$20,Personnel!$G$20="Yes"),Personnel!$D$20,0)+IF(AND(63&gt;=Personnel!$E$21,Personnel!$G$21="Yes"),Personnel!$D$21,0)+IF(AND(63&gt;=Personnel!$E$22,Personnel!$G$22="Yes"),Personnel!$D$22,0)+IF(AND(63&gt;=Personnel!$E$23,Personnel!$G$23="Yes"),Personnel!$D$23,0)+IF(AND(63&gt;=Personnel!$E$24,Personnel!$G$24="Yes"),Personnel!$D$24,0)+IF(AND(63&gt;=Personnel!$E$25,Personnel!$G$25="Yes"),Personnel!$D$25,0)+IF(AND(63&gt;=Personnel!$E$26,Personnel!$G$26="Yes"),Personnel!$D$26,0)+IF(AND(63&gt;=Personnel!$E$27,Personnel!$G$27="Yes"),Personnel!$D$27,0)+IF(AND(63&gt;=Personnel!$E$28,Personnel!$G$28="Yes"),Personnel!$D$28,0)+IF(AND(63&gt;=Personnel!$E$29,Personnel!$G$29="Yes"),Personnel!$D$29,0))</f>
        <v>-239407.66666666666</v>
      </c>
      <c r="BN16" s="8">
        <f>-(IF(AND(64&gt;=Personnel!$E$7,Personnel!$G$7="Yes"),Personnel!$D$7,0)+IF(AND(64&gt;=Personnel!$E$8,Personnel!$G$8="Yes"),Personnel!$D$8,0)+IF(AND(64&gt;=Personnel!$E$9,Personnel!$G$9="Yes"),Personnel!$D$9,0)+IF(AND(64&gt;=Personnel!$E$10,Personnel!$G$10="Yes"),Personnel!$D$10,0)+IF(AND(64&gt;=Personnel!$E$11,Personnel!$G$11="Yes"),Personnel!$D$11,0)+IF(AND(64&gt;=Personnel!$E$12,Personnel!$G$12="Yes"),Personnel!$D$12,0)+IF(AND(64&gt;=Personnel!$E$13,Personnel!$G$13="Yes"),Personnel!$D$13,0)+IF(AND(64&gt;=Personnel!$E$14,Personnel!$G$14="Yes"),Personnel!$D$14,0)+IF(AND(64&gt;=Personnel!$E$15,Personnel!$G$15="Yes"),Personnel!$D$15,0)+IF(AND(64&gt;=Personnel!$E$16,Personnel!$G$16="Yes"),Personnel!$D$16,0)+IF(AND(64&gt;=Personnel!$E$17,Personnel!$G$17="Yes"),Personnel!$D$17,0)+IF(AND(64&gt;=Personnel!$E$18,Personnel!$G$18="Yes"),Personnel!$D$18,0)+IF(AND(64&gt;=Personnel!$E$19,Personnel!$G$19="Yes"),Personnel!$D$19,0)+IF(AND(64&gt;=Personnel!$E$20,Personnel!$G$20="Yes"),Personnel!$D$20,0)+IF(AND(64&gt;=Personnel!$E$21,Personnel!$G$21="Yes"),Personnel!$D$21,0)+IF(AND(64&gt;=Personnel!$E$22,Personnel!$G$22="Yes"),Personnel!$D$22,0)+IF(AND(64&gt;=Personnel!$E$23,Personnel!$G$23="Yes"),Personnel!$D$23,0)+IF(AND(64&gt;=Personnel!$E$24,Personnel!$G$24="Yes"),Personnel!$D$24,0)+IF(AND(64&gt;=Personnel!$E$25,Personnel!$G$25="Yes"),Personnel!$D$25,0)+IF(AND(64&gt;=Personnel!$E$26,Personnel!$G$26="Yes"),Personnel!$D$26,0)+IF(AND(64&gt;=Personnel!$E$27,Personnel!$G$27="Yes"),Personnel!$D$27,0)+IF(AND(64&gt;=Personnel!$E$28,Personnel!$G$28="Yes"),Personnel!$D$28,0)+IF(AND(64&gt;=Personnel!$E$29,Personnel!$G$29="Yes"),Personnel!$D$29,0))</f>
        <v>-239407.66666666666</v>
      </c>
      <c r="BO16" s="8">
        <f>-(IF(AND(65&gt;=Personnel!$E$7,Personnel!$G$7="Yes"),Personnel!$D$7,0)+IF(AND(65&gt;=Personnel!$E$8,Personnel!$G$8="Yes"),Personnel!$D$8,0)+IF(AND(65&gt;=Personnel!$E$9,Personnel!$G$9="Yes"),Personnel!$D$9,0)+IF(AND(65&gt;=Personnel!$E$10,Personnel!$G$10="Yes"),Personnel!$D$10,0)+IF(AND(65&gt;=Personnel!$E$11,Personnel!$G$11="Yes"),Personnel!$D$11,0)+IF(AND(65&gt;=Personnel!$E$12,Personnel!$G$12="Yes"),Personnel!$D$12,0)+IF(AND(65&gt;=Personnel!$E$13,Personnel!$G$13="Yes"),Personnel!$D$13,0)+IF(AND(65&gt;=Personnel!$E$14,Personnel!$G$14="Yes"),Personnel!$D$14,0)+IF(AND(65&gt;=Personnel!$E$15,Personnel!$G$15="Yes"),Personnel!$D$15,0)+IF(AND(65&gt;=Personnel!$E$16,Personnel!$G$16="Yes"),Personnel!$D$16,0)+IF(AND(65&gt;=Personnel!$E$17,Personnel!$G$17="Yes"),Personnel!$D$17,0)+IF(AND(65&gt;=Personnel!$E$18,Personnel!$G$18="Yes"),Personnel!$D$18,0)+IF(AND(65&gt;=Personnel!$E$19,Personnel!$G$19="Yes"),Personnel!$D$19,0)+IF(AND(65&gt;=Personnel!$E$20,Personnel!$G$20="Yes"),Personnel!$D$20,0)+IF(AND(65&gt;=Personnel!$E$21,Personnel!$G$21="Yes"),Personnel!$D$21,0)+IF(AND(65&gt;=Personnel!$E$22,Personnel!$G$22="Yes"),Personnel!$D$22,0)+IF(AND(65&gt;=Personnel!$E$23,Personnel!$G$23="Yes"),Personnel!$D$23,0)+IF(AND(65&gt;=Personnel!$E$24,Personnel!$G$24="Yes"),Personnel!$D$24,0)+IF(AND(65&gt;=Personnel!$E$25,Personnel!$G$25="Yes"),Personnel!$D$25,0)+IF(AND(65&gt;=Personnel!$E$26,Personnel!$G$26="Yes"),Personnel!$D$26,0)+IF(AND(65&gt;=Personnel!$E$27,Personnel!$G$27="Yes"),Personnel!$D$27,0)+IF(AND(65&gt;=Personnel!$E$28,Personnel!$G$28="Yes"),Personnel!$D$28,0)+IF(AND(65&gt;=Personnel!$E$29,Personnel!$G$29="Yes"),Personnel!$D$29,0))</f>
        <v>-239407.66666666666</v>
      </c>
      <c r="BP16" s="8">
        <f>-(IF(AND(66&gt;=Personnel!$E$7,Personnel!$G$7="Yes"),Personnel!$D$7,0)+IF(AND(66&gt;=Personnel!$E$8,Personnel!$G$8="Yes"),Personnel!$D$8,0)+IF(AND(66&gt;=Personnel!$E$9,Personnel!$G$9="Yes"),Personnel!$D$9,0)+IF(AND(66&gt;=Personnel!$E$10,Personnel!$G$10="Yes"),Personnel!$D$10,0)+IF(AND(66&gt;=Personnel!$E$11,Personnel!$G$11="Yes"),Personnel!$D$11,0)+IF(AND(66&gt;=Personnel!$E$12,Personnel!$G$12="Yes"),Personnel!$D$12,0)+IF(AND(66&gt;=Personnel!$E$13,Personnel!$G$13="Yes"),Personnel!$D$13,0)+IF(AND(66&gt;=Personnel!$E$14,Personnel!$G$14="Yes"),Personnel!$D$14,0)+IF(AND(66&gt;=Personnel!$E$15,Personnel!$G$15="Yes"),Personnel!$D$15,0)+IF(AND(66&gt;=Personnel!$E$16,Personnel!$G$16="Yes"),Personnel!$D$16,0)+IF(AND(66&gt;=Personnel!$E$17,Personnel!$G$17="Yes"),Personnel!$D$17,0)+IF(AND(66&gt;=Personnel!$E$18,Personnel!$G$18="Yes"),Personnel!$D$18,0)+IF(AND(66&gt;=Personnel!$E$19,Personnel!$G$19="Yes"),Personnel!$D$19,0)+IF(AND(66&gt;=Personnel!$E$20,Personnel!$G$20="Yes"),Personnel!$D$20,0)+IF(AND(66&gt;=Personnel!$E$21,Personnel!$G$21="Yes"),Personnel!$D$21,0)+IF(AND(66&gt;=Personnel!$E$22,Personnel!$G$22="Yes"),Personnel!$D$22,0)+IF(AND(66&gt;=Personnel!$E$23,Personnel!$G$23="Yes"),Personnel!$D$23,0)+IF(AND(66&gt;=Personnel!$E$24,Personnel!$G$24="Yes"),Personnel!$D$24,0)+IF(AND(66&gt;=Personnel!$E$25,Personnel!$G$25="Yes"),Personnel!$D$25,0)+IF(AND(66&gt;=Personnel!$E$26,Personnel!$G$26="Yes"),Personnel!$D$26,0)+IF(AND(66&gt;=Personnel!$E$27,Personnel!$G$27="Yes"),Personnel!$D$27,0)+IF(AND(66&gt;=Personnel!$E$28,Personnel!$G$28="Yes"),Personnel!$D$28,0)+IF(AND(66&gt;=Personnel!$E$29,Personnel!$G$29="Yes"),Personnel!$D$29,0))</f>
        <v>-239407.66666666666</v>
      </c>
      <c r="BQ16" s="8">
        <f>-(IF(AND(67&gt;=Personnel!$E$7,Personnel!$G$7="Yes"),Personnel!$D$7,0)+IF(AND(67&gt;=Personnel!$E$8,Personnel!$G$8="Yes"),Personnel!$D$8,0)+IF(AND(67&gt;=Personnel!$E$9,Personnel!$G$9="Yes"),Personnel!$D$9,0)+IF(AND(67&gt;=Personnel!$E$10,Personnel!$G$10="Yes"),Personnel!$D$10,0)+IF(AND(67&gt;=Personnel!$E$11,Personnel!$G$11="Yes"),Personnel!$D$11,0)+IF(AND(67&gt;=Personnel!$E$12,Personnel!$G$12="Yes"),Personnel!$D$12,0)+IF(AND(67&gt;=Personnel!$E$13,Personnel!$G$13="Yes"),Personnel!$D$13,0)+IF(AND(67&gt;=Personnel!$E$14,Personnel!$G$14="Yes"),Personnel!$D$14,0)+IF(AND(67&gt;=Personnel!$E$15,Personnel!$G$15="Yes"),Personnel!$D$15,0)+IF(AND(67&gt;=Personnel!$E$16,Personnel!$G$16="Yes"),Personnel!$D$16,0)+IF(AND(67&gt;=Personnel!$E$17,Personnel!$G$17="Yes"),Personnel!$D$17,0)+IF(AND(67&gt;=Personnel!$E$18,Personnel!$G$18="Yes"),Personnel!$D$18,0)+IF(AND(67&gt;=Personnel!$E$19,Personnel!$G$19="Yes"),Personnel!$D$19,0)+IF(AND(67&gt;=Personnel!$E$20,Personnel!$G$20="Yes"),Personnel!$D$20,0)+IF(AND(67&gt;=Personnel!$E$21,Personnel!$G$21="Yes"),Personnel!$D$21,0)+IF(AND(67&gt;=Personnel!$E$22,Personnel!$G$22="Yes"),Personnel!$D$22,0)+IF(AND(67&gt;=Personnel!$E$23,Personnel!$G$23="Yes"),Personnel!$D$23,0)+IF(AND(67&gt;=Personnel!$E$24,Personnel!$G$24="Yes"),Personnel!$D$24,0)+IF(AND(67&gt;=Personnel!$E$25,Personnel!$G$25="Yes"),Personnel!$D$25,0)+IF(AND(67&gt;=Personnel!$E$26,Personnel!$G$26="Yes"),Personnel!$D$26,0)+IF(AND(67&gt;=Personnel!$E$27,Personnel!$G$27="Yes"),Personnel!$D$27,0)+IF(AND(67&gt;=Personnel!$E$28,Personnel!$G$28="Yes"),Personnel!$D$28,0)+IF(AND(67&gt;=Personnel!$E$29,Personnel!$G$29="Yes"),Personnel!$D$29,0))</f>
        <v>-239407.66666666666</v>
      </c>
      <c r="BR16" s="8">
        <f>-(IF(AND(68&gt;=Personnel!$E$7,Personnel!$G$7="Yes"),Personnel!$D$7,0)+IF(AND(68&gt;=Personnel!$E$8,Personnel!$G$8="Yes"),Personnel!$D$8,0)+IF(AND(68&gt;=Personnel!$E$9,Personnel!$G$9="Yes"),Personnel!$D$9,0)+IF(AND(68&gt;=Personnel!$E$10,Personnel!$G$10="Yes"),Personnel!$D$10,0)+IF(AND(68&gt;=Personnel!$E$11,Personnel!$G$11="Yes"),Personnel!$D$11,0)+IF(AND(68&gt;=Personnel!$E$12,Personnel!$G$12="Yes"),Personnel!$D$12,0)+IF(AND(68&gt;=Personnel!$E$13,Personnel!$G$13="Yes"),Personnel!$D$13,0)+IF(AND(68&gt;=Personnel!$E$14,Personnel!$G$14="Yes"),Personnel!$D$14,0)+IF(AND(68&gt;=Personnel!$E$15,Personnel!$G$15="Yes"),Personnel!$D$15,0)+IF(AND(68&gt;=Personnel!$E$16,Personnel!$G$16="Yes"),Personnel!$D$16,0)+IF(AND(68&gt;=Personnel!$E$17,Personnel!$G$17="Yes"),Personnel!$D$17,0)+IF(AND(68&gt;=Personnel!$E$18,Personnel!$G$18="Yes"),Personnel!$D$18,0)+IF(AND(68&gt;=Personnel!$E$19,Personnel!$G$19="Yes"),Personnel!$D$19,0)+IF(AND(68&gt;=Personnel!$E$20,Personnel!$G$20="Yes"),Personnel!$D$20,0)+IF(AND(68&gt;=Personnel!$E$21,Personnel!$G$21="Yes"),Personnel!$D$21,0)+IF(AND(68&gt;=Personnel!$E$22,Personnel!$G$22="Yes"),Personnel!$D$22,0)+IF(AND(68&gt;=Personnel!$E$23,Personnel!$G$23="Yes"),Personnel!$D$23,0)+IF(AND(68&gt;=Personnel!$E$24,Personnel!$G$24="Yes"),Personnel!$D$24,0)+IF(AND(68&gt;=Personnel!$E$25,Personnel!$G$25="Yes"),Personnel!$D$25,0)+IF(AND(68&gt;=Personnel!$E$26,Personnel!$G$26="Yes"),Personnel!$D$26,0)+IF(AND(68&gt;=Personnel!$E$27,Personnel!$G$27="Yes"),Personnel!$D$27,0)+IF(AND(68&gt;=Personnel!$E$28,Personnel!$G$28="Yes"),Personnel!$D$28,0)+IF(AND(68&gt;=Personnel!$E$29,Personnel!$G$29="Yes"),Personnel!$D$29,0))</f>
        <v>-239407.66666666666</v>
      </c>
      <c r="BS16" s="8">
        <f>-(IF(AND(69&gt;=Personnel!$E$7,Personnel!$G$7="Yes"),Personnel!$D$7,0)+IF(AND(69&gt;=Personnel!$E$8,Personnel!$G$8="Yes"),Personnel!$D$8,0)+IF(AND(69&gt;=Personnel!$E$9,Personnel!$G$9="Yes"),Personnel!$D$9,0)+IF(AND(69&gt;=Personnel!$E$10,Personnel!$G$10="Yes"),Personnel!$D$10,0)+IF(AND(69&gt;=Personnel!$E$11,Personnel!$G$11="Yes"),Personnel!$D$11,0)+IF(AND(69&gt;=Personnel!$E$12,Personnel!$G$12="Yes"),Personnel!$D$12,0)+IF(AND(69&gt;=Personnel!$E$13,Personnel!$G$13="Yes"),Personnel!$D$13,0)+IF(AND(69&gt;=Personnel!$E$14,Personnel!$G$14="Yes"),Personnel!$D$14,0)+IF(AND(69&gt;=Personnel!$E$15,Personnel!$G$15="Yes"),Personnel!$D$15,0)+IF(AND(69&gt;=Personnel!$E$16,Personnel!$G$16="Yes"),Personnel!$D$16,0)+IF(AND(69&gt;=Personnel!$E$17,Personnel!$G$17="Yes"),Personnel!$D$17,0)+IF(AND(69&gt;=Personnel!$E$18,Personnel!$G$18="Yes"),Personnel!$D$18,0)+IF(AND(69&gt;=Personnel!$E$19,Personnel!$G$19="Yes"),Personnel!$D$19,0)+IF(AND(69&gt;=Personnel!$E$20,Personnel!$G$20="Yes"),Personnel!$D$20,0)+IF(AND(69&gt;=Personnel!$E$21,Personnel!$G$21="Yes"),Personnel!$D$21,0)+IF(AND(69&gt;=Personnel!$E$22,Personnel!$G$22="Yes"),Personnel!$D$22,0)+IF(AND(69&gt;=Personnel!$E$23,Personnel!$G$23="Yes"),Personnel!$D$23,0)+IF(AND(69&gt;=Personnel!$E$24,Personnel!$G$24="Yes"),Personnel!$D$24,0)+IF(AND(69&gt;=Personnel!$E$25,Personnel!$G$25="Yes"),Personnel!$D$25,0)+IF(AND(69&gt;=Personnel!$E$26,Personnel!$G$26="Yes"),Personnel!$D$26,0)+IF(AND(69&gt;=Personnel!$E$27,Personnel!$G$27="Yes"),Personnel!$D$27,0)+IF(AND(69&gt;=Personnel!$E$28,Personnel!$G$28="Yes"),Personnel!$D$28,0)+IF(AND(69&gt;=Personnel!$E$29,Personnel!$G$29="Yes"),Personnel!$D$29,0))</f>
        <v>-239407.66666666666</v>
      </c>
      <c r="BT16" s="8">
        <f>-(IF(AND(70&gt;=Personnel!$E$7,Personnel!$G$7="Yes"),Personnel!$D$7,0)+IF(AND(70&gt;=Personnel!$E$8,Personnel!$G$8="Yes"),Personnel!$D$8,0)+IF(AND(70&gt;=Personnel!$E$9,Personnel!$G$9="Yes"),Personnel!$D$9,0)+IF(AND(70&gt;=Personnel!$E$10,Personnel!$G$10="Yes"),Personnel!$D$10,0)+IF(AND(70&gt;=Personnel!$E$11,Personnel!$G$11="Yes"),Personnel!$D$11,0)+IF(AND(70&gt;=Personnel!$E$12,Personnel!$G$12="Yes"),Personnel!$D$12,0)+IF(AND(70&gt;=Personnel!$E$13,Personnel!$G$13="Yes"),Personnel!$D$13,0)+IF(AND(70&gt;=Personnel!$E$14,Personnel!$G$14="Yes"),Personnel!$D$14,0)+IF(AND(70&gt;=Personnel!$E$15,Personnel!$G$15="Yes"),Personnel!$D$15,0)+IF(AND(70&gt;=Personnel!$E$16,Personnel!$G$16="Yes"),Personnel!$D$16,0)+IF(AND(70&gt;=Personnel!$E$17,Personnel!$G$17="Yes"),Personnel!$D$17,0)+IF(AND(70&gt;=Personnel!$E$18,Personnel!$G$18="Yes"),Personnel!$D$18,0)+IF(AND(70&gt;=Personnel!$E$19,Personnel!$G$19="Yes"),Personnel!$D$19,0)+IF(AND(70&gt;=Personnel!$E$20,Personnel!$G$20="Yes"),Personnel!$D$20,0)+IF(AND(70&gt;=Personnel!$E$21,Personnel!$G$21="Yes"),Personnel!$D$21,0)+IF(AND(70&gt;=Personnel!$E$22,Personnel!$G$22="Yes"),Personnel!$D$22,0)+IF(AND(70&gt;=Personnel!$E$23,Personnel!$G$23="Yes"),Personnel!$D$23,0)+IF(AND(70&gt;=Personnel!$E$24,Personnel!$G$24="Yes"),Personnel!$D$24,0)+IF(AND(70&gt;=Personnel!$E$25,Personnel!$G$25="Yes"),Personnel!$D$25,0)+IF(AND(70&gt;=Personnel!$E$26,Personnel!$G$26="Yes"),Personnel!$D$26,0)+IF(AND(70&gt;=Personnel!$E$27,Personnel!$G$27="Yes"),Personnel!$D$27,0)+IF(AND(70&gt;=Personnel!$E$28,Personnel!$G$28="Yes"),Personnel!$D$28,0)+IF(AND(70&gt;=Personnel!$E$29,Personnel!$G$29="Yes"),Personnel!$D$29,0))</f>
        <v>-239407.66666666666</v>
      </c>
      <c r="BU16" s="8">
        <f>-(IF(AND(71&gt;=Personnel!$E$7,Personnel!$G$7="Yes"),Personnel!$D$7,0)+IF(AND(71&gt;=Personnel!$E$8,Personnel!$G$8="Yes"),Personnel!$D$8,0)+IF(AND(71&gt;=Personnel!$E$9,Personnel!$G$9="Yes"),Personnel!$D$9,0)+IF(AND(71&gt;=Personnel!$E$10,Personnel!$G$10="Yes"),Personnel!$D$10,0)+IF(AND(71&gt;=Personnel!$E$11,Personnel!$G$11="Yes"),Personnel!$D$11,0)+IF(AND(71&gt;=Personnel!$E$12,Personnel!$G$12="Yes"),Personnel!$D$12,0)+IF(AND(71&gt;=Personnel!$E$13,Personnel!$G$13="Yes"),Personnel!$D$13,0)+IF(AND(71&gt;=Personnel!$E$14,Personnel!$G$14="Yes"),Personnel!$D$14,0)+IF(AND(71&gt;=Personnel!$E$15,Personnel!$G$15="Yes"),Personnel!$D$15,0)+IF(AND(71&gt;=Personnel!$E$16,Personnel!$G$16="Yes"),Personnel!$D$16,0)+IF(AND(71&gt;=Personnel!$E$17,Personnel!$G$17="Yes"),Personnel!$D$17,0)+IF(AND(71&gt;=Personnel!$E$18,Personnel!$G$18="Yes"),Personnel!$D$18,0)+IF(AND(71&gt;=Personnel!$E$19,Personnel!$G$19="Yes"),Personnel!$D$19,0)+IF(AND(71&gt;=Personnel!$E$20,Personnel!$G$20="Yes"),Personnel!$D$20,0)+IF(AND(71&gt;=Personnel!$E$21,Personnel!$G$21="Yes"),Personnel!$D$21,0)+IF(AND(71&gt;=Personnel!$E$22,Personnel!$G$22="Yes"),Personnel!$D$22,0)+IF(AND(71&gt;=Personnel!$E$23,Personnel!$G$23="Yes"),Personnel!$D$23,0)+IF(AND(71&gt;=Personnel!$E$24,Personnel!$G$24="Yes"),Personnel!$D$24,0)+IF(AND(71&gt;=Personnel!$E$25,Personnel!$G$25="Yes"),Personnel!$D$25,0)+IF(AND(71&gt;=Personnel!$E$26,Personnel!$G$26="Yes"),Personnel!$D$26,0)+IF(AND(71&gt;=Personnel!$E$27,Personnel!$G$27="Yes"),Personnel!$D$27,0)+IF(AND(71&gt;=Personnel!$E$28,Personnel!$G$28="Yes"),Personnel!$D$28,0)+IF(AND(71&gt;=Personnel!$E$29,Personnel!$G$29="Yes"),Personnel!$D$29,0))</f>
        <v>-239407.66666666666</v>
      </c>
      <c r="BV16" s="8">
        <f>-(IF(AND(72&gt;=Personnel!$E$7,Personnel!$G$7="Yes"),Personnel!$D$7,0)+IF(AND(72&gt;=Personnel!$E$8,Personnel!$G$8="Yes"),Personnel!$D$8,0)+IF(AND(72&gt;=Personnel!$E$9,Personnel!$G$9="Yes"),Personnel!$D$9,0)+IF(AND(72&gt;=Personnel!$E$10,Personnel!$G$10="Yes"),Personnel!$D$10,0)+IF(AND(72&gt;=Personnel!$E$11,Personnel!$G$11="Yes"),Personnel!$D$11,0)+IF(AND(72&gt;=Personnel!$E$12,Personnel!$G$12="Yes"),Personnel!$D$12,0)+IF(AND(72&gt;=Personnel!$E$13,Personnel!$G$13="Yes"),Personnel!$D$13,0)+IF(AND(72&gt;=Personnel!$E$14,Personnel!$G$14="Yes"),Personnel!$D$14,0)+IF(AND(72&gt;=Personnel!$E$15,Personnel!$G$15="Yes"),Personnel!$D$15,0)+IF(AND(72&gt;=Personnel!$E$16,Personnel!$G$16="Yes"),Personnel!$D$16,0)+IF(AND(72&gt;=Personnel!$E$17,Personnel!$G$17="Yes"),Personnel!$D$17,0)+IF(AND(72&gt;=Personnel!$E$18,Personnel!$G$18="Yes"),Personnel!$D$18,0)+IF(AND(72&gt;=Personnel!$E$19,Personnel!$G$19="Yes"),Personnel!$D$19,0)+IF(AND(72&gt;=Personnel!$E$20,Personnel!$G$20="Yes"),Personnel!$D$20,0)+IF(AND(72&gt;=Personnel!$E$21,Personnel!$G$21="Yes"),Personnel!$D$21,0)+IF(AND(72&gt;=Personnel!$E$22,Personnel!$G$22="Yes"),Personnel!$D$22,0)+IF(AND(72&gt;=Personnel!$E$23,Personnel!$G$23="Yes"),Personnel!$D$23,0)+IF(AND(72&gt;=Personnel!$E$24,Personnel!$G$24="Yes"),Personnel!$D$24,0)+IF(AND(72&gt;=Personnel!$E$25,Personnel!$G$25="Yes"),Personnel!$D$25,0)+IF(AND(72&gt;=Personnel!$E$26,Personnel!$G$26="Yes"),Personnel!$D$26,0)+IF(AND(72&gt;=Personnel!$E$27,Personnel!$G$27="Yes"),Personnel!$D$27,0)+IF(AND(72&gt;=Personnel!$E$28,Personnel!$G$28="Yes"),Personnel!$D$28,0)+IF(AND(72&gt;=Personnel!$E$29,Personnel!$G$29="Yes"),Personnel!$D$29,0))</f>
        <v>-239407.66666666666</v>
      </c>
      <c r="BW16" s="8">
        <f>-(IF(AND(73&gt;=Personnel!$E$7,Personnel!$G$7="Yes"),Personnel!$D$7,0)+IF(AND(73&gt;=Personnel!$E$8,Personnel!$G$8="Yes"),Personnel!$D$8,0)+IF(AND(73&gt;=Personnel!$E$9,Personnel!$G$9="Yes"),Personnel!$D$9,0)+IF(AND(73&gt;=Personnel!$E$10,Personnel!$G$10="Yes"),Personnel!$D$10,0)+IF(AND(73&gt;=Personnel!$E$11,Personnel!$G$11="Yes"),Personnel!$D$11,0)+IF(AND(73&gt;=Personnel!$E$12,Personnel!$G$12="Yes"),Personnel!$D$12,0)+IF(AND(73&gt;=Personnel!$E$13,Personnel!$G$13="Yes"),Personnel!$D$13,0)+IF(AND(73&gt;=Personnel!$E$14,Personnel!$G$14="Yes"),Personnel!$D$14,0)+IF(AND(73&gt;=Personnel!$E$15,Personnel!$G$15="Yes"),Personnel!$D$15,0)+IF(AND(73&gt;=Personnel!$E$16,Personnel!$G$16="Yes"),Personnel!$D$16,0)+IF(AND(73&gt;=Personnel!$E$17,Personnel!$G$17="Yes"),Personnel!$D$17,0)+IF(AND(73&gt;=Personnel!$E$18,Personnel!$G$18="Yes"),Personnel!$D$18,0)+IF(AND(73&gt;=Personnel!$E$19,Personnel!$G$19="Yes"),Personnel!$D$19,0)+IF(AND(73&gt;=Personnel!$E$20,Personnel!$G$20="Yes"),Personnel!$D$20,0)+IF(AND(73&gt;=Personnel!$E$21,Personnel!$G$21="Yes"),Personnel!$D$21,0)+IF(AND(73&gt;=Personnel!$E$22,Personnel!$G$22="Yes"),Personnel!$D$22,0)+IF(AND(73&gt;=Personnel!$E$23,Personnel!$G$23="Yes"),Personnel!$D$23,0)+IF(AND(73&gt;=Personnel!$E$24,Personnel!$G$24="Yes"),Personnel!$D$24,0)+IF(AND(73&gt;=Personnel!$E$25,Personnel!$G$25="Yes"),Personnel!$D$25,0)+IF(AND(73&gt;=Personnel!$E$26,Personnel!$G$26="Yes"),Personnel!$D$26,0)+IF(AND(73&gt;=Personnel!$E$27,Personnel!$G$27="Yes"),Personnel!$D$27,0)+IF(AND(73&gt;=Personnel!$E$28,Personnel!$G$28="Yes"),Personnel!$D$28,0)+IF(AND(73&gt;=Personnel!$E$29,Personnel!$G$29="Yes"),Personnel!$D$29,0))</f>
        <v>-239407.66666666666</v>
      </c>
      <c r="BX16" s="8">
        <f>-(IF(AND(74&gt;=Personnel!$E$7,Personnel!$G$7="Yes"),Personnel!$D$7,0)+IF(AND(74&gt;=Personnel!$E$8,Personnel!$G$8="Yes"),Personnel!$D$8,0)+IF(AND(74&gt;=Personnel!$E$9,Personnel!$G$9="Yes"),Personnel!$D$9,0)+IF(AND(74&gt;=Personnel!$E$10,Personnel!$G$10="Yes"),Personnel!$D$10,0)+IF(AND(74&gt;=Personnel!$E$11,Personnel!$G$11="Yes"),Personnel!$D$11,0)+IF(AND(74&gt;=Personnel!$E$12,Personnel!$G$12="Yes"),Personnel!$D$12,0)+IF(AND(74&gt;=Personnel!$E$13,Personnel!$G$13="Yes"),Personnel!$D$13,0)+IF(AND(74&gt;=Personnel!$E$14,Personnel!$G$14="Yes"),Personnel!$D$14,0)+IF(AND(74&gt;=Personnel!$E$15,Personnel!$G$15="Yes"),Personnel!$D$15,0)+IF(AND(74&gt;=Personnel!$E$16,Personnel!$G$16="Yes"),Personnel!$D$16,0)+IF(AND(74&gt;=Personnel!$E$17,Personnel!$G$17="Yes"),Personnel!$D$17,0)+IF(AND(74&gt;=Personnel!$E$18,Personnel!$G$18="Yes"),Personnel!$D$18,0)+IF(AND(74&gt;=Personnel!$E$19,Personnel!$G$19="Yes"),Personnel!$D$19,0)+IF(AND(74&gt;=Personnel!$E$20,Personnel!$G$20="Yes"),Personnel!$D$20,0)+IF(AND(74&gt;=Personnel!$E$21,Personnel!$G$21="Yes"),Personnel!$D$21,0)+IF(AND(74&gt;=Personnel!$E$22,Personnel!$G$22="Yes"),Personnel!$D$22,0)+IF(AND(74&gt;=Personnel!$E$23,Personnel!$G$23="Yes"),Personnel!$D$23,0)+IF(AND(74&gt;=Personnel!$E$24,Personnel!$G$24="Yes"),Personnel!$D$24,0)+IF(AND(74&gt;=Personnel!$E$25,Personnel!$G$25="Yes"),Personnel!$D$25,0)+IF(AND(74&gt;=Personnel!$E$26,Personnel!$G$26="Yes"),Personnel!$D$26,0)+IF(AND(74&gt;=Personnel!$E$27,Personnel!$G$27="Yes"),Personnel!$D$27,0)+IF(AND(74&gt;=Personnel!$E$28,Personnel!$G$28="Yes"),Personnel!$D$28,0)+IF(AND(74&gt;=Personnel!$E$29,Personnel!$G$29="Yes"),Personnel!$D$29,0))</f>
        <v>-239407.66666666666</v>
      </c>
      <c r="BY16" s="8">
        <f>-(IF(AND(75&gt;=Personnel!$E$7,Personnel!$G$7="Yes"),Personnel!$D$7,0)+IF(AND(75&gt;=Personnel!$E$8,Personnel!$G$8="Yes"),Personnel!$D$8,0)+IF(AND(75&gt;=Personnel!$E$9,Personnel!$G$9="Yes"),Personnel!$D$9,0)+IF(AND(75&gt;=Personnel!$E$10,Personnel!$G$10="Yes"),Personnel!$D$10,0)+IF(AND(75&gt;=Personnel!$E$11,Personnel!$G$11="Yes"),Personnel!$D$11,0)+IF(AND(75&gt;=Personnel!$E$12,Personnel!$G$12="Yes"),Personnel!$D$12,0)+IF(AND(75&gt;=Personnel!$E$13,Personnel!$G$13="Yes"),Personnel!$D$13,0)+IF(AND(75&gt;=Personnel!$E$14,Personnel!$G$14="Yes"),Personnel!$D$14,0)+IF(AND(75&gt;=Personnel!$E$15,Personnel!$G$15="Yes"),Personnel!$D$15,0)+IF(AND(75&gt;=Personnel!$E$16,Personnel!$G$16="Yes"),Personnel!$D$16,0)+IF(AND(75&gt;=Personnel!$E$17,Personnel!$G$17="Yes"),Personnel!$D$17,0)+IF(AND(75&gt;=Personnel!$E$18,Personnel!$G$18="Yes"),Personnel!$D$18,0)+IF(AND(75&gt;=Personnel!$E$19,Personnel!$G$19="Yes"),Personnel!$D$19,0)+IF(AND(75&gt;=Personnel!$E$20,Personnel!$G$20="Yes"),Personnel!$D$20,0)+IF(AND(75&gt;=Personnel!$E$21,Personnel!$G$21="Yes"),Personnel!$D$21,0)+IF(AND(75&gt;=Personnel!$E$22,Personnel!$G$22="Yes"),Personnel!$D$22,0)+IF(AND(75&gt;=Personnel!$E$23,Personnel!$G$23="Yes"),Personnel!$D$23,0)+IF(AND(75&gt;=Personnel!$E$24,Personnel!$G$24="Yes"),Personnel!$D$24,0)+IF(AND(75&gt;=Personnel!$E$25,Personnel!$G$25="Yes"),Personnel!$D$25,0)+IF(AND(75&gt;=Personnel!$E$26,Personnel!$G$26="Yes"),Personnel!$D$26,0)+IF(AND(75&gt;=Personnel!$E$27,Personnel!$G$27="Yes"),Personnel!$D$27,0)+IF(AND(75&gt;=Personnel!$E$28,Personnel!$G$28="Yes"),Personnel!$D$28,0)+IF(AND(75&gt;=Personnel!$E$29,Personnel!$G$29="Yes"),Personnel!$D$29,0))</f>
        <v>-239407.66666666666</v>
      </c>
      <c r="BZ16" s="8">
        <f>-(IF(AND(76&gt;=Personnel!$E$7,Personnel!$G$7="Yes"),Personnel!$D$7,0)+IF(AND(76&gt;=Personnel!$E$8,Personnel!$G$8="Yes"),Personnel!$D$8,0)+IF(AND(76&gt;=Personnel!$E$9,Personnel!$G$9="Yes"),Personnel!$D$9,0)+IF(AND(76&gt;=Personnel!$E$10,Personnel!$G$10="Yes"),Personnel!$D$10,0)+IF(AND(76&gt;=Personnel!$E$11,Personnel!$G$11="Yes"),Personnel!$D$11,0)+IF(AND(76&gt;=Personnel!$E$12,Personnel!$G$12="Yes"),Personnel!$D$12,0)+IF(AND(76&gt;=Personnel!$E$13,Personnel!$G$13="Yes"),Personnel!$D$13,0)+IF(AND(76&gt;=Personnel!$E$14,Personnel!$G$14="Yes"),Personnel!$D$14,0)+IF(AND(76&gt;=Personnel!$E$15,Personnel!$G$15="Yes"),Personnel!$D$15,0)+IF(AND(76&gt;=Personnel!$E$16,Personnel!$G$16="Yes"),Personnel!$D$16,0)+IF(AND(76&gt;=Personnel!$E$17,Personnel!$G$17="Yes"),Personnel!$D$17,0)+IF(AND(76&gt;=Personnel!$E$18,Personnel!$G$18="Yes"),Personnel!$D$18,0)+IF(AND(76&gt;=Personnel!$E$19,Personnel!$G$19="Yes"),Personnel!$D$19,0)+IF(AND(76&gt;=Personnel!$E$20,Personnel!$G$20="Yes"),Personnel!$D$20,0)+IF(AND(76&gt;=Personnel!$E$21,Personnel!$G$21="Yes"),Personnel!$D$21,0)+IF(AND(76&gt;=Personnel!$E$22,Personnel!$G$22="Yes"),Personnel!$D$22,0)+IF(AND(76&gt;=Personnel!$E$23,Personnel!$G$23="Yes"),Personnel!$D$23,0)+IF(AND(76&gt;=Personnel!$E$24,Personnel!$G$24="Yes"),Personnel!$D$24,0)+IF(AND(76&gt;=Personnel!$E$25,Personnel!$G$25="Yes"),Personnel!$D$25,0)+IF(AND(76&gt;=Personnel!$E$26,Personnel!$G$26="Yes"),Personnel!$D$26,0)+IF(AND(76&gt;=Personnel!$E$27,Personnel!$G$27="Yes"),Personnel!$D$27,0)+IF(AND(76&gt;=Personnel!$E$28,Personnel!$G$28="Yes"),Personnel!$D$28,0)+IF(AND(76&gt;=Personnel!$E$29,Personnel!$G$29="Yes"),Personnel!$D$29,0))</f>
        <v>-239407.66666666666</v>
      </c>
      <c r="CA16" s="8">
        <f>-(IF(AND(77&gt;=Personnel!$E$7,Personnel!$G$7="Yes"),Personnel!$D$7,0)+IF(AND(77&gt;=Personnel!$E$8,Personnel!$G$8="Yes"),Personnel!$D$8,0)+IF(AND(77&gt;=Personnel!$E$9,Personnel!$G$9="Yes"),Personnel!$D$9,0)+IF(AND(77&gt;=Personnel!$E$10,Personnel!$G$10="Yes"),Personnel!$D$10,0)+IF(AND(77&gt;=Personnel!$E$11,Personnel!$G$11="Yes"),Personnel!$D$11,0)+IF(AND(77&gt;=Personnel!$E$12,Personnel!$G$12="Yes"),Personnel!$D$12,0)+IF(AND(77&gt;=Personnel!$E$13,Personnel!$G$13="Yes"),Personnel!$D$13,0)+IF(AND(77&gt;=Personnel!$E$14,Personnel!$G$14="Yes"),Personnel!$D$14,0)+IF(AND(77&gt;=Personnel!$E$15,Personnel!$G$15="Yes"),Personnel!$D$15,0)+IF(AND(77&gt;=Personnel!$E$16,Personnel!$G$16="Yes"),Personnel!$D$16,0)+IF(AND(77&gt;=Personnel!$E$17,Personnel!$G$17="Yes"),Personnel!$D$17,0)+IF(AND(77&gt;=Personnel!$E$18,Personnel!$G$18="Yes"),Personnel!$D$18,0)+IF(AND(77&gt;=Personnel!$E$19,Personnel!$G$19="Yes"),Personnel!$D$19,0)+IF(AND(77&gt;=Personnel!$E$20,Personnel!$G$20="Yes"),Personnel!$D$20,0)+IF(AND(77&gt;=Personnel!$E$21,Personnel!$G$21="Yes"),Personnel!$D$21,0)+IF(AND(77&gt;=Personnel!$E$22,Personnel!$G$22="Yes"),Personnel!$D$22,0)+IF(AND(77&gt;=Personnel!$E$23,Personnel!$G$23="Yes"),Personnel!$D$23,0)+IF(AND(77&gt;=Personnel!$E$24,Personnel!$G$24="Yes"),Personnel!$D$24,0)+IF(AND(77&gt;=Personnel!$E$25,Personnel!$G$25="Yes"),Personnel!$D$25,0)+IF(AND(77&gt;=Personnel!$E$26,Personnel!$G$26="Yes"),Personnel!$D$26,0)+IF(AND(77&gt;=Personnel!$E$27,Personnel!$G$27="Yes"),Personnel!$D$27,0)+IF(AND(77&gt;=Personnel!$E$28,Personnel!$G$28="Yes"),Personnel!$D$28,0)+IF(AND(77&gt;=Personnel!$E$29,Personnel!$G$29="Yes"),Personnel!$D$29,0))</f>
        <v>-239407.66666666666</v>
      </c>
      <c r="CB16" s="8">
        <f>-(IF(AND(78&gt;=Personnel!$E$7,Personnel!$G$7="Yes"),Personnel!$D$7,0)+IF(AND(78&gt;=Personnel!$E$8,Personnel!$G$8="Yes"),Personnel!$D$8,0)+IF(AND(78&gt;=Personnel!$E$9,Personnel!$G$9="Yes"),Personnel!$D$9,0)+IF(AND(78&gt;=Personnel!$E$10,Personnel!$G$10="Yes"),Personnel!$D$10,0)+IF(AND(78&gt;=Personnel!$E$11,Personnel!$G$11="Yes"),Personnel!$D$11,0)+IF(AND(78&gt;=Personnel!$E$12,Personnel!$G$12="Yes"),Personnel!$D$12,0)+IF(AND(78&gt;=Personnel!$E$13,Personnel!$G$13="Yes"),Personnel!$D$13,0)+IF(AND(78&gt;=Personnel!$E$14,Personnel!$G$14="Yes"),Personnel!$D$14,0)+IF(AND(78&gt;=Personnel!$E$15,Personnel!$G$15="Yes"),Personnel!$D$15,0)+IF(AND(78&gt;=Personnel!$E$16,Personnel!$G$16="Yes"),Personnel!$D$16,0)+IF(AND(78&gt;=Personnel!$E$17,Personnel!$G$17="Yes"),Personnel!$D$17,0)+IF(AND(78&gt;=Personnel!$E$18,Personnel!$G$18="Yes"),Personnel!$D$18,0)+IF(AND(78&gt;=Personnel!$E$19,Personnel!$G$19="Yes"),Personnel!$D$19,0)+IF(AND(78&gt;=Personnel!$E$20,Personnel!$G$20="Yes"),Personnel!$D$20,0)+IF(AND(78&gt;=Personnel!$E$21,Personnel!$G$21="Yes"),Personnel!$D$21,0)+IF(AND(78&gt;=Personnel!$E$22,Personnel!$G$22="Yes"),Personnel!$D$22,0)+IF(AND(78&gt;=Personnel!$E$23,Personnel!$G$23="Yes"),Personnel!$D$23,0)+IF(AND(78&gt;=Personnel!$E$24,Personnel!$G$24="Yes"),Personnel!$D$24,0)+IF(AND(78&gt;=Personnel!$E$25,Personnel!$G$25="Yes"),Personnel!$D$25,0)+IF(AND(78&gt;=Personnel!$E$26,Personnel!$G$26="Yes"),Personnel!$D$26,0)+IF(AND(78&gt;=Personnel!$E$27,Personnel!$G$27="Yes"),Personnel!$D$27,0)+IF(AND(78&gt;=Personnel!$E$28,Personnel!$G$28="Yes"),Personnel!$D$28,0)+IF(AND(78&gt;=Personnel!$E$29,Personnel!$G$29="Yes"),Personnel!$D$29,0))</f>
        <v>-239407.66666666666</v>
      </c>
      <c r="CC16" s="8">
        <f>-(IF(AND(79&gt;=Personnel!$E$7,Personnel!$G$7="Yes"),Personnel!$D$7,0)+IF(AND(79&gt;=Personnel!$E$8,Personnel!$G$8="Yes"),Personnel!$D$8,0)+IF(AND(79&gt;=Personnel!$E$9,Personnel!$G$9="Yes"),Personnel!$D$9,0)+IF(AND(79&gt;=Personnel!$E$10,Personnel!$G$10="Yes"),Personnel!$D$10,0)+IF(AND(79&gt;=Personnel!$E$11,Personnel!$G$11="Yes"),Personnel!$D$11,0)+IF(AND(79&gt;=Personnel!$E$12,Personnel!$G$12="Yes"),Personnel!$D$12,0)+IF(AND(79&gt;=Personnel!$E$13,Personnel!$G$13="Yes"),Personnel!$D$13,0)+IF(AND(79&gt;=Personnel!$E$14,Personnel!$G$14="Yes"),Personnel!$D$14,0)+IF(AND(79&gt;=Personnel!$E$15,Personnel!$G$15="Yes"),Personnel!$D$15,0)+IF(AND(79&gt;=Personnel!$E$16,Personnel!$G$16="Yes"),Personnel!$D$16,0)+IF(AND(79&gt;=Personnel!$E$17,Personnel!$G$17="Yes"),Personnel!$D$17,0)+IF(AND(79&gt;=Personnel!$E$18,Personnel!$G$18="Yes"),Personnel!$D$18,0)+IF(AND(79&gt;=Personnel!$E$19,Personnel!$G$19="Yes"),Personnel!$D$19,0)+IF(AND(79&gt;=Personnel!$E$20,Personnel!$G$20="Yes"),Personnel!$D$20,0)+IF(AND(79&gt;=Personnel!$E$21,Personnel!$G$21="Yes"),Personnel!$D$21,0)+IF(AND(79&gt;=Personnel!$E$22,Personnel!$G$22="Yes"),Personnel!$D$22,0)+IF(AND(79&gt;=Personnel!$E$23,Personnel!$G$23="Yes"),Personnel!$D$23,0)+IF(AND(79&gt;=Personnel!$E$24,Personnel!$G$24="Yes"),Personnel!$D$24,0)+IF(AND(79&gt;=Personnel!$E$25,Personnel!$G$25="Yes"),Personnel!$D$25,0)+IF(AND(79&gt;=Personnel!$E$26,Personnel!$G$26="Yes"),Personnel!$D$26,0)+IF(AND(79&gt;=Personnel!$E$27,Personnel!$G$27="Yes"),Personnel!$D$27,0)+IF(AND(79&gt;=Personnel!$E$28,Personnel!$G$28="Yes"),Personnel!$D$28,0)+IF(AND(79&gt;=Personnel!$E$29,Personnel!$G$29="Yes"),Personnel!$D$29,0))</f>
        <v>-239407.66666666666</v>
      </c>
      <c r="CD16" s="8">
        <f>-(IF(AND(80&gt;=Personnel!$E$7,Personnel!$G$7="Yes"),Personnel!$D$7,0)+IF(AND(80&gt;=Personnel!$E$8,Personnel!$G$8="Yes"),Personnel!$D$8,0)+IF(AND(80&gt;=Personnel!$E$9,Personnel!$G$9="Yes"),Personnel!$D$9,0)+IF(AND(80&gt;=Personnel!$E$10,Personnel!$G$10="Yes"),Personnel!$D$10,0)+IF(AND(80&gt;=Personnel!$E$11,Personnel!$G$11="Yes"),Personnel!$D$11,0)+IF(AND(80&gt;=Personnel!$E$12,Personnel!$G$12="Yes"),Personnel!$D$12,0)+IF(AND(80&gt;=Personnel!$E$13,Personnel!$G$13="Yes"),Personnel!$D$13,0)+IF(AND(80&gt;=Personnel!$E$14,Personnel!$G$14="Yes"),Personnel!$D$14,0)+IF(AND(80&gt;=Personnel!$E$15,Personnel!$G$15="Yes"),Personnel!$D$15,0)+IF(AND(80&gt;=Personnel!$E$16,Personnel!$G$16="Yes"),Personnel!$D$16,0)+IF(AND(80&gt;=Personnel!$E$17,Personnel!$G$17="Yes"),Personnel!$D$17,0)+IF(AND(80&gt;=Personnel!$E$18,Personnel!$G$18="Yes"),Personnel!$D$18,0)+IF(AND(80&gt;=Personnel!$E$19,Personnel!$G$19="Yes"),Personnel!$D$19,0)+IF(AND(80&gt;=Personnel!$E$20,Personnel!$G$20="Yes"),Personnel!$D$20,0)+IF(AND(80&gt;=Personnel!$E$21,Personnel!$G$21="Yes"),Personnel!$D$21,0)+IF(AND(80&gt;=Personnel!$E$22,Personnel!$G$22="Yes"),Personnel!$D$22,0)+IF(AND(80&gt;=Personnel!$E$23,Personnel!$G$23="Yes"),Personnel!$D$23,0)+IF(AND(80&gt;=Personnel!$E$24,Personnel!$G$24="Yes"),Personnel!$D$24,0)+IF(AND(80&gt;=Personnel!$E$25,Personnel!$G$25="Yes"),Personnel!$D$25,0)+IF(AND(80&gt;=Personnel!$E$26,Personnel!$G$26="Yes"),Personnel!$D$26,0)+IF(AND(80&gt;=Personnel!$E$27,Personnel!$G$27="Yes"),Personnel!$D$27,0)+IF(AND(80&gt;=Personnel!$E$28,Personnel!$G$28="Yes"),Personnel!$D$28,0)+IF(AND(80&gt;=Personnel!$E$29,Personnel!$G$29="Yes"),Personnel!$D$29,0))</f>
        <v>-239407.66666666666</v>
      </c>
      <c r="CE16" s="8">
        <f>-(IF(AND(81&gt;=Personnel!$E$7,Personnel!$G$7="Yes"),Personnel!$D$7,0)+IF(AND(81&gt;=Personnel!$E$8,Personnel!$G$8="Yes"),Personnel!$D$8,0)+IF(AND(81&gt;=Personnel!$E$9,Personnel!$G$9="Yes"),Personnel!$D$9,0)+IF(AND(81&gt;=Personnel!$E$10,Personnel!$G$10="Yes"),Personnel!$D$10,0)+IF(AND(81&gt;=Personnel!$E$11,Personnel!$G$11="Yes"),Personnel!$D$11,0)+IF(AND(81&gt;=Personnel!$E$12,Personnel!$G$12="Yes"),Personnel!$D$12,0)+IF(AND(81&gt;=Personnel!$E$13,Personnel!$G$13="Yes"),Personnel!$D$13,0)+IF(AND(81&gt;=Personnel!$E$14,Personnel!$G$14="Yes"),Personnel!$D$14,0)+IF(AND(81&gt;=Personnel!$E$15,Personnel!$G$15="Yes"),Personnel!$D$15,0)+IF(AND(81&gt;=Personnel!$E$16,Personnel!$G$16="Yes"),Personnel!$D$16,0)+IF(AND(81&gt;=Personnel!$E$17,Personnel!$G$17="Yes"),Personnel!$D$17,0)+IF(AND(81&gt;=Personnel!$E$18,Personnel!$G$18="Yes"),Personnel!$D$18,0)+IF(AND(81&gt;=Personnel!$E$19,Personnel!$G$19="Yes"),Personnel!$D$19,0)+IF(AND(81&gt;=Personnel!$E$20,Personnel!$G$20="Yes"),Personnel!$D$20,0)+IF(AND(81&gt;=Personnel!$E$21,Personnel!$G$21="Yes"),Personnel!$D$21,0)+IF(AND(81&gt;=Personnel!$E$22,Personnel!$G$22="Yes"),Personnel!$D$22,0)+IF(AND(81&gt;=Personnel!$E$23,Personnel!$G$23="Yes"),Personnel!$D$23,0)+IF(AND(81&gt;=Personnel!$E$24,Personnel!$G$24="Yes"),Personnel!$D$24,0)+IF(AND(81&gt;=Personnel!$E$25,Personnel!$G$25="Yes"),Personnel!$D$25,0)+IF(AND(81&gt;=Personnel!$E$26,Personnel!$G$26="Yes"),Personnel!$D$26,0)+IF(AND(81&gt;=Personnel!$E$27,Personnel!$G$27="Yes"),Personnel!$D$27,0)+IF(AND(81&gt;=Personnel!$E$28,Personnel!$G$28="Yes"),Personnel!$D$28,0)+IF(AND(81&gt;=Personnel!$E$29,Personnel!$G$29="Yes"),Personnel!$D$29,0))</f>
        <v>-239407.66666666666</v>
      </c>
      <c r="CF16" s="8">
        <f>-(IF(AND(82&gt;=Personnel!$E$7,Personnel!$G$7="Yes"),Personnel!$D$7,0)+IF(AND(82&gt;=Personnel!$E$8,Personnel!$G$8="Yes"),Personnel!$D$8,0)+IF(AND(82&gt;=Personnel!$E$9,Personnel!$G$9="Yes"),Personnel!$D$9,0)+IF(AND(82&gt;=Personnel!$E$10,Personnel!$G$10="Yes"),Personnel!$D$10,0)+IF(AND(82&gt;=Personnel!$E$11,Personnel!$G$11="Yes"),Personnel!$D$11,0)+IF(AND(82&gt;=Personnel!$E$12,Personnel!$G$12="Yes"),Personnel!$D$12,0)+IF(AND(82&gt;=Personnel!$E$13,Personnel!$G$13="Yes"),Personnel!$D$13,0)+IF(AND(82&gt;=Personnel!$E$14,Personnel!$G$14="Yes"),Personnel!$D$14,0)+IF(AND(82&gt;=Personnel!$E$15,Personnel!$G$15="Yes"),Personnel!$D$15,0)+IF(AND(82&gt;=Personnel!$E$16,Personnel!$G$16="Yes"),Personnel!$D$16,0)+IF(AND(82&gt;=Personnel!$E$17,Personnel!$G$17="Yes"),Personnel!$D$17,0)+IF(AND(82&gt;=Personnel!$E$18,Personnel!$G$18="Yes"),Personnel!$D$18,0)+IF(AND(82&gt;=Personnel!$E$19,Personnel!$G$19="Yes"),Personnel!$D$19,0)+IF(AND(82&gt;=Personnel!$E$20,Personnel!$G$20="Yes"),Personnel!$D$20,0)+IF(AND(82&gt;=Personnel!$E$21,Personnel!$G$21="Yes"),Personnel!$D$21,0)+IF(AND(82&gt;=Personnel!$E$22,Personnel!$G$22="Yes"),Personnel!$D$22,0)+IF(AND(82&gt;=Personnel!$E$23,Personnel!$G$23="Yes"),Personnel!$D$23,0)+IF(AND(82&gt;=Personnel!$E$24,Personnel!$G$24="Yes"),Personnel!$D$24,0)+IF(AND(82&gt;=Personnel!$E$25,Personnel!$G$25="Yes"),Personnel!$D$25,0)+IF(AND(82&gt;=Personnel!$E$26,Personnel!$G$26="Yes"),Personnel!$D$26,0)+IF(AND(82&gt;=Personnel!$E$27,Personnel!$G$27="Yes"),Personnel!$D$27,0)+IF(AND(82&gt;=Personnel!$E$28,Personnel!$G$28="Yes"),Personnel!$D$28,0)+IF(AND(82&gt;=Personnel!$E$29,Personnel!$G$29="Yes"),Personnel!$D$29,0))</f>
        <v>-239407.66666666666</v>
      </c>
      <c r="CG16" s="8">
        <f>-(IF(AND(83&gt;=Personnel!$E$7,Personnel!$G$7="Yes"),Personnel!$D$7,0)+IF(AND(83&gt;=Personnel!$E$8,Personnel!$G$8="Yes"),Personnel!$D$8,0)+IF(AND(83&gt;=Personnel!$E$9,Personnel!$G$9="Yes"),Personnel!$D$9,0)+IF(AND(83&gt;=Personnel!$E$10,Personnel!$G$10="Yes"),Personnel!$D$10,0)+IF(AND(83&gt;=Personnel!$E$11,Personnel!$G$11="Yes"),Personnel!$D$11,0)+IF(AND(83&gt;=Personnel!$E$12,Personnel!$G$12="Yes"),Personnel!$D$12,0)+IF(AND(83&gt;=Personnel!$E$13,Personnel!$G$13="Yes"),Personnel!$D$13,0)+IF(AND(83&gt;=Personnel!$E$14,Personnel!$G$14="Yes"),Personnel!$D$14,0)+IF(AND(83&gt;=Personnel!$E$15,Personnel!$G$15="Yes"),Personnel!$D$15,0)+IF(AND(83&gt;=Personnel!$E$16,Personnel!$G$16="Yes"),Personnel!$D$16,0)+IF(AND(83&gt;=Personnel!$E$17,Personnel!$G$17="Yes"),Personnel!$D$17,0)+IF(AND(83&gt;=Personnel!$E$18,Personnel!$G$18="Yes"),Personnel!$D$18,0)+IF(AND(83&gt;=Personnel!$E$19,Personnel!$G$19="Yes"),Personnel!$D$19,0)+IF(AND(83&gt;=Personnel!$E$20,Personnel!$G$20="Yes"),Personnel!$D$20,0)+IF(AND(83&gt;=Personnel!$E$21,Personnel!$G$21="Yes"),Personnel!$D$21,0)+IF(AND(83&gt;=Personnel!$E$22,Personnel!$G$22="Yes"),Personnel!$D$22,0)+IF(AND(83&gt;=Personnel!$E$23,Personnel!$G$23="Yes"),Personnel!$D$23,0)+IF(AND(83&gt;=Personnel!$E$24,Personnel!$G$24="Yes"),Personnel!$D$24,0)+IF(AND(83&gt;=Personnel!$E$25,Personnel!$G$25="Yes"),Personnel!$D$25,0)+IF(AND(83&gt;=Personnel!$E$26,Personnel!$G$26="Yes"),Personnel!$D$26,0)+IF(AND(83&gt;=Personnel!$E$27,Personnel!$G$27="Yes"),Personnel!$D$27,0)+IF(AND(83&gt;=Personnel!$E$28,Personnel!$G$28="Yes"),Personnel!$D$28,0)+IF(AND(83&gt;=Personnel!$E$29,Personnel!$G$29="Yes"),Personnel!$D$29,0))</f>
        <v>-239407.66666666666</v>
      </c>
      <c r="CH16" s="8">
        <f>-(IF(AND(84&gt;=Personnel!$E$7,Personnel!$G$7="Yes"),Personnel!$D$7,0)+IF(AND(84&gt;=Personnel!$E$8,Personnel!$G$8="Yes"),Personnel!$D$8,0)+IF(AND(84&gt;=Personnel!$E$9,Personnel!$G$9="Yes"),Personnel!$D$9,0)+IF(AND(84&gt;=Personnel!$E$10,Personnel!$G$10="Yes"),Personnel!$D$10,0)+IF(AND(84&gt;=Personnel!$E$11,Personnel!$G$11="Yes"),Personnel!$D$11,0)+IF(AND(84&gt;=Personnel!$E$12,Personnel!$G$12="Yes"),Personnel!$D$12,0)+IF(AND(84&gt;=Personnel!$E$13,Personnel!$G$13="Yes"),Personnel!$D$13,0)+IF(AND(84&gt;=Personnel!$E$14,Personnel!$G$14="Yes"),Personnel!$D$14,0)+IF(AND(84&gt;=Personnel!$E$15,Personnel!$G$15="Yes"),Personnel!$D$15,0)+IF(AND(84&gt;=Personnel!$E$16,Personnel!$G$16="Yes"),Personnel!$D$16,0)+IF(AND(84&gt;=Personnel!$E$17,Personnel!$G$17="Yes"),Personnel!$D$17,0)+IF(AND(84&gt;=Personnel!$E$18,Personnel!$G$18="Yes"),Personnel!$D$18,0)+IF(AND(84&gt;=Personnel!$E$19,Personnel!$G$19="Yes"),Personnel!$D$19,0)+IF(AND(84&gt;=Personnel!$E$20,Personnel!$G$20="Yes"),Personnel!$D$20,0)+IF(AND(84&gt;=Personnel!$E$21,Personnel!$G$21="Yes"),Personnel!$D$21,0)+IF(AND(84&gt;=Personnel!$E$22,Personnel!$G$22="Yes"),Personnel!$D$22,0)+IF(AND(84&gt;=Personnel!$E$23,Personnel!$G$23="Yes"),Personnel!$D$23,0)+IF(AND(84&gt;=Personnel!$E$24,Personnel!$G$24="Yes"),Personnel!$D$24,0)+IF(AND(84&gt;=Personnel!$E$25,Personnel!$G$25="Yes"),Personnel!$D$25,0)+IF(AND(84&gt;=Personnel!$E$26,Personnel!$G$26="Yes"),Personnel!$D$26,0)+IF(AND(84&gt;=Personnel!$E$27,Personnel!$G$27="Yes"),Personnel!$D$27,0)+IF(AND(84&gt;=Personnel!$E$28,Personnel!$G$28="Yes"),Personnel!$D$28,0)+IF(AND(84&gt;=Personnel!$E$29,Personnel!$G$29="Yes"),Personnel!$D$29,0))</f>
        <v>-239407.66666666666</v>
      </c>
      <c r="CI16" s="23"/>
    </row>
    <row r="17" spans="1:87" ht="15" customHeight="1" x14ac:dyDescent="0.25">
      <c r="A17" s="7" t="s">
        <v>130</v>
      </c>
      <c r="B17" s="22"/>
      <c r="C17" s="8">
        <f>-(IF(AND(1&gt;=Personnel!$E$2,Personnel!$G$2="Yes"),Personnel!$D$2,0)+IF(AND(1&gt;=Personnel!$E$3,Personnel!$G$3="Yes"),Personnel!$D$3,0)+IF(AND(1&gt;=Personnel!$E$4,Personnel!$G$4="Yes"),Personnel!$D$4,0)+IF(AND(1&gt;=Personnel!$E$5,Personnel!$G$5="Yes"),Personnel!$D$5,0)+IF(AND(1&gt;=Personnel!$E$6,Personnel!$G$6="Yes"),Personnel!$D$6,0))</f>
        <v>-17833.333333333336</v>
      </c>
      <c r="D17" s="8">
        <f>-(IF(AND(2&gt;=Personnel!$E$2,Personnel!$G$2="Yes"),Personnel!$D$2,0)+IF(AND(2&gt;=Personnel!$E$3,Personnel!$G$3="Yes"),Personnel!$D$3,0)+IF(AND(2&gt;=Personnel!$E$4,Personnel!$G$4="Yes"),Personnel!$D$4,0)+IF(AND(2&gt;=Personnel!$E$5,Personnel!$G$5="Yes"),Personnel!$D$5,0)+IF(AND(2&gt;=Personnel!$E$6,Personnel!$G$6="Yes"),Personnel!$D$6,0))</f>
        <v>-17833.333333333336</v>
      </c>
      <c r="E17" s="8">
        <f>-(IF(AND(3&gt;=Personnel!$E$2,Personnel!$G$2="Yes"),Personnel!$D$2,0)+IF(AND(3&gt;=Personnel!$E$3,Personnel!$G$3="Yes"),Personnel!$D$3,0)+IF(AND(3&gt;=Personnel!$E$4,Personnel!$G$4="Yes"),Personnel!$D$4,0)+IF(AND(3&gt;=Personnel!$E$5,Personnel!$G$5="Yes"),Personnel!$D$5,0)+IF(AND(3&gt;=Personnel!$E$6,Personnel!$G$6="Yes"),Personnel!$D$6,0))</f>
        <v>-17833.333333333336</v>
      </c>
      <c r="F17" s="8">
        <f>-(IF(AND(4&gt;=Personnel!$E$2,Personnel!$G$2="Yes"),Personnel!$D$2,0)+IF(AND(4&gt;=Personnel!$E$3,Personnel!$G$3="Yes"),Personnel!$D$3,0)+IF(AND(4&gt;=Personnel!$E$4,Personnel!$G$4="Yes"),Personnel!$D$4,0)+IF(AND(4&gt;=Personnel!$E$5,Personnel!$G$5="Yes"),Personnel!$D$5,0)+IF(AND(4&gt;=Personnel!$E$6,Personnel!$G$6="Yes"),Personnel!$D$6,0))</f>
        <v>-17833.333333333336</v>
      </c>
      <c r="G17" s="8">
        <f>-(IF(AND(5&gt;=Personnel!$E$2,Personnel!$G$2="Yes"),Personnel!$D$2,0)+IF(AND(5&gt;=Personnel!$E$3,Personnel!$G$3="Yes"),Personnel!$D$3,0)+IF(AND(5&gt;=Personnel!$E$4,Personnel!$G$4="Yes"),Personnel!$D$4,0)+IF(AND(5&gt;=Personnel!$E$5,Personnel!$G$5="Yes"),Personnel!$D$5,0)+IF(AND(5&gt;=Personnel!$E$6,Personnel!$G$6="Yes"),Personnel!$D$6,0))</f>
        <v>-17833.333333333336</v>
      </c>
      <c r="H17" s="8">
        <f>-(IF(AND(6&gt;=Personnel!$E$2,Personnel!$G$2="Yes"),Personnel!$D$2,0)+IF(AND(6&gt;=Personnel!$E$3,Personnel!$G$3="Yes"),Personnel!$D$3,0)+IF(AND(6&gt;=Personnel!$E$4,Personnel!$G$4="Yes"),Personnel!$D$4,0)+IF(AND(6&gt;=Personnel!$E$5,Personnel!$G$5="Yes"),Personnel!$D$5,0)+IF(AND(6&gt;=Personnel!$E$6,Personnel!$G$6="Yes"),Personnel!$D$6,0))</f>
        <v>-17833.333333333336</v>
      </c>
      <c r="I17" s="8">
        <f>-(IF(AND(7&gt;=Personnel!$E$2,Personnel!$G$2="Yes"),Personnel!$D$2,0)+IF(AND(7&gt;=Personnel!$E$3,Personnel!$G$3="Yes"),Personnel!$D$3,0)+IF(AND(7&gt;=Personnel!$E$4,Personnel!$G$4="Yes"),Personnel!$D$4,0)+IF(AND(7&gt;=Personnel!$E$5,Personnel!$G$5="Yes"),Personnel!$D$5,0)+IF(AND(7&gt;=Personnel!$E$6,Personnel!$G$6="Yes"),Personnel!$D$6,0))</f>
        <v>-17833.333333333336</v>
      </c>
      <c r="J17" s="8">
        <f>-(IF(AND(8&gt;=Personnel!$E$2,Personnel!$G$2="Yes"),Personnel!$D$2,0)+IF(AND(8&gt;=Personnel!$E$3,Personnel!$G$3="Yes"),Personnel!$D$3,0)+IF(AND(8&gt;=Personnel!$E$4,Personnel!$G$4="Yes"),Personnel!$D$4,0)+IF(AND(8&gt;=Personnel!$E$5,Personnel!$G$5="Yes"),Personnel!$D$5,0)+IF(AND(8&gt;=Personnel!$E$6,Personnel!$G$6="Yes"),Personnel!$D$6,0))</f>
        <v>-17833.333333333336</v>
      </c>
      <c r="K17" s="8">
        <f>-(IF(AND(9&gt;=Personnel!$E$2,Personnel!$G$2="Yes"),Personnel!$D$2,0)+IF(AND(9&gt;=Personnel!$E$3,Personnel!$G$3="Yes"),Personnel!$D$3,0)+IF(AND(9&gt;=Personnel!$E$4,Personnel!$G$4="Yes"),Personnel!$D$4,0)+IF(AND(9&gt;=Personnel!$E$5,Personnel!$G$5="Yes"),Personnel!$D$5,0)+IF(AND(9&gt;=Personnel!$E$6,Personnel!$G$6="Yes"),Personnel!$D$6,0))</f>
        <v>-17833.333333333336</v>
      </c>
      <c r="L17" s="8">
        <f>-(IF(AND(10&gt;=Personnel!$E$2,Personnel!$G$2="Yes"),Personnel!$D$2,0)+IF(AND(10&gt;=Personnel!$E$3,Personnel!$G$3="Yes"),Personnel!$D$3,0)+IF(AND(10&gt;=Personnel!$E$4,Personnel!$G$4="Yes"),Personnel!$D$4,0)+IF(AND(10&gt;=Personnel!$E$5,Personnel!$G$5="Yes"),Personnel!$D$5,0)+IF(AND(10&gt;=Personnel!$E$6,Personnel!$G$6="Yes"),Personnel!$D$6,0))</f>
        <v>-17833.333333333336</v>
      </c>
      <c r="M17" s="8">
        <f>-(IF(AND(11&gt;=Personnel!$E$2,Personnel!$G$2="Yes"),Personnel!$D$2,0)+IF(AND(11&gt;=Personnel!$E$3,Personnel!$G$3="Yes"),Personnel!$D$3,0)+IF(AND(11&gt;=Personnel!$E$4,Personnel!$G$4="Yes"),Personnel!$D$4,0)+IF(AND(11&gt;=Personnel!$E$5,Personnel!$G$5="Yes"),Personnel!$D$5,0)+IF(AND(11&gt;=Personnel!$E$6,Personnel!$G$6="Yes"),Personnel!$D$6,0))</f>
        <v>-17833.333333333336</v>
      </c>
      <c r="N17" s="8">
        <f>-(IF(AND(12&gt;=Personnel!$E$2,Personnel!$G$2="Yes"),Personnel!$D$2,0)+IF(AND(12&gt;=Personnel!$E$3,Personnel!$G$3="Yes"),Personnel!$D$3,0)+IF(AND(12&gt;=Personnel!$E$4,Personnel!$G$4="Yes"),Personnel!$D$4,0)+IF(AND(12&gt;=Personnel!$E$5,Personnel!$G$5="Yes"),Personnel!$D$5,0)+IF(AND(12&gt;=Personnel!$E$6,Personnel!$G$6="Yes"),Personnel!$D$6,0))</f>
        <v>-17833.333333333336</v>
      </c>
      <c r="O17" s="8">
        <f>-(IF(AND(13&gt;=Personnel!$E$2,Personnel!$G$2="Yes"),Personnel!$D$2,0)+IF(AND(13&gt;=Personnel!$E$3,Personnel!$G$3="Yes"),Personnel!$D$3,0)+IF(AND(13&gt;=Personnel!$E$4,Personnel!$G$4="Yes"),Personnel!$D$4,0)+IF(AND(13&gt;=Personnel!$E$5,Personnel!$G$5="Yes"),Personnel!$D$5,0)+IF(AND(13&gt;=Personnel!$E$6,Personnel!$G$6="Yes"),Personnel!$D$6,0))</f>
        <v>-17833.333333333336</v>
      </c>
      <c r="P17" s="8">
        <f>-(IF(AND(14&gt;=Personnel!$E$2,Personnel!$G$2="Yes"),Personnel!$D$2,0)+IF(AND(14&gt;=Personnel!$E$3,Personnel!$G$3="Yes"),Personnel!$D$3,0)+IF(AND(14&gt;=Personnel!$E$4,Personnel!$G$4="Yes"),Personnel!$D$4,0)+IF(AND(14&gt;=Personnel!$E$5,Personnel!$G$5="Yes"),Personnel!$D$5,0)+IF(AND(14&gt;=Personnel!$E$6,Personnel!$G$6="Yes"),Personnel!$D$6,0))</f>
        <v>-17833.333333333336</v>
      </c>
      <c r="Q17" s="8">
        <f>-(IF(AND(15&gt;=Personnel!$E$2,Personnel!$G$2="Yes"),Personnel!$D$2,0)+IF(AND(15&gt;=Personnel!$E$3,Personnel!$G$3="Yes"),Personnel!$D$3,0)+IF(AND(15&gt;=Personnel!$E$4,Personnel!$G$4="Yes"),Personnel!$D$4,0)+IF(AND(15&gt;=Personnel!$E$5,Personnel!$G$5="Yes"),Personnel!$D$5,0)+IF(AND(15&gt;=Personnel!$E$6,Personnel!$G$6="Yes"),Personnel!$D$6,0))</f>
        <v>-17833.333333333336</v>
      </c>
      <c r="R17" s="8">
        <f>-(IF(AND(16&gt;=Personnel!$E$2,Personnel!$G$2="Yes"),Personnel!$D$2,0)+IF(AND(16&gt;=Personnel!$E$3,Personnel!$G$3="Yes"),Personnel!$D$3,0)+IF(AND(16&gt;=Personnel!$E$4,Personnel!$G$4="Yes"),Personnel!$D$4,0)+IF(AND(16&gt;=Personnel!$E$5,Personnel!$G$5="Yes"),Personnel!$D$5,0)+IF(AND(16&gt;=Personnel!$E$6,Personnel!$G$6="Yes"),Personnel!$D$6,0))</f>
        <v>-17833.333333333336</v>
      </c>
      <c r="S17" s="8">
        <f>-(IF(AND(17&gt;=Personnel!$E$2,Personnel!$G$2="Yes"),Personnel!$D$2,0)+IF(AND(17&gt;=Personnel!$E$3,Personnel!$G$3="Yes"),Personnel!$D$3,0)+IF(AND(17&gt;=Personnel!$E$4,Personnel!$G$4="Yes"),Personnel!$D$4,0)+IF(AND(17&gt;=Personnel!$E$5,Personnel!$G$5="Yes"),Personnel!$D$5,0)+IF(AND(17&gt;=Personnel!$E$6,Personnel!$G$6="Yes"),Personnel!$D$6,0))</f>
        <v>-17833.333333333336</v>
      </c>
      <c r="T17" s="8">
        <f>-(IF(AND(18&gt;=Personnel!$E$2,Personnel!$G$2="Yes"),Personnel!$D$2,0)+IF(AND(18&gt;=Personnel!$E$3,Personnel!$G$3="Yes"),Personnel!$D$3,0)+IF(AND(18&gt;=Personnel!$E$4,Personnel!$G$4="Yes"),Personnel!$D$4,0)+IF(AND(18&gt;=Personnel!$E$5,Personnel!$G$5="Yes"),Personnel!$D$5,0)+IF(AND(18&gt;=Personnel!$E$6,Personnel!$G$6="Yes"),Personnel!$D$6,0))</f>
        <v>-17833.333333333336</v>
      </c>
      <c r="U17" s="8">
        <f>-(IF(AND(19&gt;=Personnel!$E$2,Personnel!$G$2="Yes"),Personnel!$D$2,0)+IF(AND(19&gt;=Personnel!$E$3,Personnel!$G$3="Yes"),Personnel!$D$3,0)+IF(AND(19&gt;=Personnel!$E$4,Personnel!$G$4="Yes"),Personnel!$D$4,0)+IF(AND(19&gt;=Personnel!$E$5,Personnel!$G$5="Yes"),Personnel!$D$5,0)+IF(AND(19&gt;=Personnel!$E$6,Personnel!$G$6="Yes"),Personnel!$D$6,0))</f>
        <v>-17833.333333333336</v>
      </c>
      <c r="V17" s="8">
        <f>-(IF(AND(20&gt;=Personnel!$E$2,Personnel!$G$2="Yes"),Personnel!$D$2,0)+IF(AND(20&gt;=Personnel!$E$3,Personnel!$G$3="Yes"),Personnel!$D$3,0)+IF(AND(20&gt;=Personnel!$E$4,Personnel!$G$4="Yes"),Personnel!$D$4,0)+IF(AND(20&gt;=Personnel!$E$5,Personnel!$G$5="Yes"),Personnel!$D$5,0)+IF(AND(20&gt;=Personnel!$E$6,Personnel!$G$6="Yes"),Personnel!$D$6,0))</f>
        <v>-17833.333333333336</v>
      </c>
      <c r="W17" s="8">
        <f>-(IF(AND(21&gt;=Personnel!$E$2,Personnel!$G$2="Yes"),Personnel!$D$2,0)+IF(AND(21&gt;=Personnel!$E$3,Personnel!$G$3="Yes"),Personnel!$D$3,0)+IF(AND(21&gt;=Personnel!$E$4,Personnel!$G$4="Yes"),Personnel!$D$4,0)+IF(AND(21&gt;=Personnel!$E$5,Personnel!$G$5="Yes"),Personnel!$D$5,0)+IF(AND(21&gt;=Personnel!$E$6,Personnel!$G$6="Yes"),Personnel!$D$6,0))</f>
        <v>-17833.333333333336</v>
      </c>
      <c r="X17" s="8">
        <f>-(IF(AND(22&gt;=Personnel!$E$2,Personnel!$G$2="Yes"),Personnel!$D$2,0)+IF(AND(22&gt;=Personnel!$E$3,Personnel!$G$3="Yes"),Personnel!$D$3,0)+IF(AND(22&gt;=Personnel!$E$4,Personnel!$G$4="Yes"),Personnel!$D$4,0)+IF(AND(22&gt;=Personnel!$E$5,Personnel!$G$5="Yes"),Personnel!$D$5,0)+IF(AND(22&gt;=Personnel!$E$6,Personnel!$G$6="Yes"),Personnel!$D$6,0))</f>
        <v>-17833.333333333336</v>
      </c>
      <c r="Y17" s="8">
        <f>-(IF(AND(23&gt;=Personnel!$E$2,Personnel!$G$2="Yes"),Personnel!$D$2,0)+IF(AND(23&gt;=Personnel!$E$3,Personnel!$G$3="Yes"),Personnel!$D$3,0)+IF(AND(23&gt;=Personnel!$E$4,Personnel!$G$4="Yes"),Personnel!$D$4,0)+IF(AND(23&gt;=Personnel!$E$5,Personnel!$G$5="Yes"),Personnel!$D$5,0)+IF(AND(23&gt;=Personnel!$E$6,Personnel!$G$6="Yes"),Personnel!$D$6,0))</f>
        <v>-17833.333333333336</v>
      </c>
      <c r="Z17" s="8">
        <f>-(IF(AND(24&gt;=Personnel!$E$2,Personnel!$G$2="Yes"),Personnel!$D$2,0)+IF(AND(24&gt;=Personnel!$E$3,Personnel!$G$3="Yes"),Personnel!$D$3,0)+IF(AND(24&gt;=Personnel!$E$4,Personnel!$G$4="Yes"),Personnel!$D$4,0)+IF(AND(24&gt;=Personnel!$E$5,Personnel!$G$5="Yes"),Personnel!$D$5,0)+IF(AND(24&gt;=Personnel!$E$6,Personnel!$G$6="Yes"),Personnel!$D$6,0))</f>
        <v>-17833.333333333336</v>
      </c>
      <c r="AA17" s="8">
        <f>-(IF(AND(25&gt;=Personnel!$E$2,Personnel!$G$2="Yes"),Personnel!$D$2,0)+IF(AND(25&gt;=Personnel!$E$3,Personnel!$G$3="Yes"),Personnel!$D$3,0)+IF(AND(25&gt;=Personnel!$E$4,Personnel!$G$4="Yes"),Personnel!$D$4,0)+IF(AND(25&gt;=Personnel!$E$5,Personnel!$G$5="Yes"),Personnel!$D$5,0)+IF(AND(25&gt;=Personnel!$E$6,Personnel!$G$6="Yes"),Personnel!$D$6,0))</f>
        <v>-17833.333333333336</v>
      </c>
      <c r="AB17" s="8">
        <f>-(IF(AND(26&gt;=Personnel!$E$2,Personnel!$G$2="Yes"),Personnel!$D$2,0)+IF(AND(26&gt;=Personnel!$E$3,Personnel!$G$3="Yes"),Personnel!$D$3,0)+IF(AND(26&gt;=Personnel!$E$4,Personnel!$G$4="Yes"),Personnel!$D$4,0)+IF(AND(26&gt;=Personnel!$E$5,Personnel!$G$5="Yes"),Personnel!$D$5,0)+IF(AND(26&gt;=Personnel!$E$6,Personnel!$G$6="Yes"),Personnel!$D$6,0))</f>
        <v>-17833.333333333336</v>
      </c>
      <c r="AC17" s="8">
        <f>-(IF(AND(27&gt;=Personnel!$E$2,Personnel!$G$2="Yes"),Personnel!$D$2,0)+IF(AND(27&gt;=Personnel!$E$3,Personnel!$G$3="Yes"),Personnel!$D$3,0)+IF(AND(27&gt;=Personnel!$E$4,Personnel!$G$4="Yes"),Personnel!$D$4,0)+IF(AND(27&gt;=Personnel!$E$5,Personnel!$G$5="Yes"),Personnel!$D$5,0)+IF(AND(27&gt;=Personnel!$E$6,Personnel!$G$6="Yes"),Personnel!$D$6,0))</f>
        <v>-17833.333333333336</v>
      </c>
      <c r="AD17" s="8">
        <f>-(IF(AND(28&gt;=Personnel!$E$2,Personnel!$G$2="Yes"),Personnel!$D$2,0)+IF(AND(28&gt;=Personnel!$E$3,Personnel!$G$3="Yes"),Personnel!$D$3,0)+IF(AND(28&gt;=Personnel!$E$4,Personnel!$G$4="Yes"),Personnel!$D$4,0)+IF(AND(28&gt;=Personnel!$E$5,Personnel!$G$5="Yes"),Personnel!$D$5,0)+IF(AND(28&gt;=Personnel!$E$6,Personnel!$G$6="Yes"),Personnel!$D$6,0))</f>
        <v>-17833.333333333336</v>
      </c>
      <c r="AE17" s="8">
        <f>-(IF(AND(29&gt;=Personnel!$E$2,Personnel!$G$2="Yes"),Personnel!$D$2,0)+IF(AND(29&gt;=Personnel!$E$3,Personnel!$G$3="Yes"),Personnel!$D$3,0)+IF(AND(29&gt;=Personnel!$E$4,Personnel!$G$4="Yes"),Personnel!$D$4,0)+IF(AND(29&gt;=Personnel!$E$5,Personnel!$G$5="Yes"),Personnel!$D$5,0)+IF(AND(29&gt;=Personnel!$E$6,Personnel!$G$6="Yes"),Personnel!$D$6,0))</f>
        <v>-17833.333333333336</v>
      </c>
      <c r="AF17" s="8">
        <f>-(IF(AND(30&gt;=Personnel!$E$2,Personnel!$G$2="Yes"),Personnel!$D$2,0)+IF(AND(30&gt;=Personnel!$E$3,Personnel!$G$3="Yes"),Personnel!$D$3,0)+IF(AND(30&gt;=Personnel!$E$4,Personnel!$G$4="Yes"),Personnel!$D$4,0)+IF(AND(30&gt;=Personnel!$E$5,Personnel!$G$5="Yes"),Personnel!$D$5,0)+IF(AND(30&gt;=Personnel!$E$6,Personnel!$G$6="Yes"),Personnel!$D$6,0))</f>
        <v>-17833.333333333336</v>
      </c>
      <c r="AG17" s="8">
        <f>-(IF(AND(31&gt;=Personnel!$E$2,Personnel!$G$2="Yes"),Personnel!$D$2,0)+IF(AND(31&gt;=Personnel!$E$3,Personnel!$G$3="Yes"),Personnel!$D$3,0)+IF(AND(31&gt;=Personnel!$E$4,Personnel!$G$4="Yes"),Personnel!$D$4,0)+IF(AND(31&gt;=Personnel!$E$5,Personnel!$G$5="Yes"),Personnel!$D$5,0)+IF(AND(31&gt;=Personnel!$E$6,Personnel!$G$6="Yes"),Personnel!$D$6,0))</f>
        <v>-17833.333333333336</v>
      </c>
      <c r="AH17" s="8">
        <f>-(IF(AND(32&gt;=Personnel!$E$2,Personnel!$G$2="Yes"),Personnel!$D$2,0)+IF(AND(32&gt;=Personnel!$E$3,Personnel!$G$3="Yes"),Personnel!$D$3,0)+IF(AND(32&gt;=Personnel!$E$4,Personnel!$G$4="Yes"),Personnel!$D$4,0)+IF(AND(32&gt;=Personnel!$E$5,Personnel!$G$5="Yes"),Personnel!$D$5,0)+IF(AND(32&gt;=Personnel!$E$6,Personnel!$G$6="Yes"),Personnel!$D$6,0))</f>
        <v>-17833.333333333336</v>
      </c>
      <c r="AI17" s="8">
        <f>-(IF(AND(33&gt;=Personnel!$E$2,Personnel!$G$2="Yes"),Personnel!$D$2,0)+IF(AND(33&gt;=Personnel!$E$3,Personnel!$G$3="Yes"),Personnel!$D$3,0)+IF(AND(33&gt;=Personnel!$E$4,Personnel!$G$4="Yes"),Personnel!$D$4,0)+IF(AND(33&gt;=Personnel!$E$5,Personnel!$G$5="Yes"),Personnel!$D$5,0)+IF(AND(33&gt;=Personnel!$E$6,Personnel!$G$6="Yes"),Personnel!$D$6,0))</f>
        <v>-17833.333333333336</v>
      </c>
      <c r="AJ17" s="8">
        <f>-(IF(AND(34&gt;=Personnel!$E$2,Personnel!$G$2="Yes"),Personnel!$D$2,0)+IF(AND(34&gt;=Personnel!$E$3,Personnel!$G$3="Yes"),Personnel!$D$3,0)+IF(AND(34&gt;=Personnel!$E$4,Personnel!$G$4="Yes"),Personnel!$D$4,0)+IF(AND(34&gt;=Personnel!$E$5,Personnel!$G$5="Yes"),Personnel!$D$5,0)+IF(AND(34&gt;=Personnel!$E$6,Personnel!$G$6="Yes"),Personnel!$D$6,0))</f>
        <v>-17833.333333333336</v>
      </c>
      <c r="AK17" s="8">
        <f>-(IF(AND(35&gt;=Personnel!$E$2,Personnel!$G$2="Yes"),Personnel!$D$2,0)+IF(AND(35&gt;=Personnel!$E$3,Personnel!$G$3="Yes"),Personnel!$D$3,0)+IF(AND(35&gt;=Personnel!$E$4,Personnel!$G$4="Yes"),Personnel!$D$4,0)+IF(AND(35&gt;=Personnel!$E$5,Personnel!$G$5="Yes"),Personnel!$D$5,0)+IF(AND(35&gt;=Personnel!$E$6,Personnel!$G$6="Yes"),Personnel!$D$6,0))</f>
        <v>-17833.333333333336</v>
      </c>
      <c r="AL17" s="8">
        <f>-(IF(AND(36&gt;=Personnel!$E$2,Personnel!$G$2="Yes"),Personnel!$D$2,0)+IF(AND(36&gt;=Personnel!$E$3,Personnel!$G$3="Yes"),Personnel!$D$3,0)+IF(AND(36&gt;=Personnel!$E$4,Personnel!$G$4="Yes"),Personnel!$D$4,0)+IF(AND(36&gt;=Personnel!$E$5,Personnel!$G$5="Yes"),Personnel!$D$5,0)+IF(AND(36&gt;=Personnel!$E$6,Personnel!$G$6="Yes"),Personnel!$D$6,0))</f>
        <v>-17833.333333333336</v>
      </c>
      <c r="AM17" s="8">
        <f>-(IF(AND(37&gt;=Personnel!$E$2,Personnel!$G$2="Yes"),Personnel!$D$2,0)+IF(AND(37&gt;=Personnel!$E$3,Personnel!$G$3="Yes"),Personnel!$D$3,0)+IF(AND(37&gt;=Personnel!$E$4,Personnel!$G$4="Yes"),Personnel!$D$4,0)+IF(AND(37&gt;=Personnel!$E$5,Personnel!$G$5="Yes"),Personnel!$D$5,0)+IF(AND(37&gt;=Personnel!$E$6,Personnel!$G$6="Yes"),Personnel!$D$6,0))</f>
        <v>-17833.333333333336</v>
      </c>
      <c r="AN17" s="8">
        <f>-(IF(AND(38&gt;=Personnel!$E$2,Personnel!$G$2="Yes"),Personnel!$D$2,0)+IF(AND(38&gt;=Personnel!$E$3,Personnel!$G$3="Yes"),Personnel!$D$3,0)+IF(AND(38&gt;=Personnel!$E$4,Personnel!$G$4="Yes"),Personnel!$D$4,0)+IF(AND(38&gt;=Personnel!$E$5,Personnel!$G$5="Yes"),Personnel!$D$5,0)+IF(AND(38&gt;=Personnel!$E$6,Personnel!$G$6="Yes"),Personnel!$D$6,0))</f>
        <v>-17833.333333333336</v>
      </c>
      <c r="AO17" s="8">
        <f>-(IF(AND(39&gt;=Personnel!$E$2,Personnel!$G$2="Yes"),Personnel!$D$2,0)+IF(AND(39&gt;=Personnel!$E$3,Personnel!$G$3="Yes"),Personnel!$D$3,0)+IF(AND(39&gt;=Personnel!$E$4,Personnel!$G$4="Yes"),Personnel!$D$4,0)+IF(AND(39&gt;=Personnel!$E$5,Personnel!$G$5="Yes"),Personnel!$D$5,0)+IF(AND(39&gt;=Personnel!$E$6,Personnel!$G$6="Yes"),Personnel!$D$6,0))</f>
        <v>-17833.333333333336</v>
      </c>
      <c r="AP17" s="8">
        <f>-(IF(AND(40&gt;=Personnel!$E$2,Personnel!$G$2="Yes"),Personnel!$D$2,0)+IF(AND(40&gt;=Personnel!$E$3,Personnel!$G$3="Yes"),Personnel!$D$3,0)+IF(AND(40&gt;=Personnel!$E$4,Personnel!$G$4="Yes"),Personnel!$D$4,0)+IF(AND(40&gt;=Personnel!$E$5,Personnel!$G$5="Yes"),Personnel!$D$5,0)+IF(AND(40&gt;=Personnel!$E$6,Personnel!$G$6="Yes"),Personnel!$D$6,0))</f>
        <v>-17833.333333333336</v>
      </c>
      <c r="AQ17" s="8">
        <f>-(IF(AND(41&gt;=Personnel!$E$2,Personnel!$G$2="Yes"),Personnel!$D$2,0)+IF(AND(41&gt;=Personnel!$E$3,Personnel!$G$3="Yes"),Personnel!$D$3,0)+IF(AND(41&gt;=Personnel!$E$4,Personnel!$G$4="Yes"),Personnel!$D$4,0)+IF(AND(41&gt;=Personnel!$E$5,Personnel!$G$5="Yes"),Personnel!$D$5,0)+IF(AND(41&gt;=Personnel!$E$6,Personnel!$G$6="Yes"),Personnel!$D$6,0))</f>
        <v>-17833.333333333336</v>
      </c>
      <c r="AR17" s="8">
        <f>-(IF(AND(42&gt;=Personnel!$E$2,Personnel!$G$2="Yes"),Personnel!$D$2,0)+IF(AND(42&gt;=Personnel!$E$3,Personnel!$G$3="Yes"),Personnel!$D$3,0)+IF(AND(42&gt;=Personnel!$E$4,Personnel!$G$4="Yes"),Personnel!$D$4,0)+IF(AND(42&gt;=Personnel!$E$5,Personnel!$G$5="Yes"),Personnel!$D$5,0)+IF(AND(42&gt;=Personnel!$E$6,Personnel!$G$6="Yes"),Personnel!$D$6,0))</f>
        <v>-17833.333333333336</v>
      </c>
      <c r="AS17" s="8">
        <f>-(IF(AND(43&gt;=Personnel!$E$2,Personnel!$G$2="Yes"),Personnel!$D$2,0)+IF(AND(43&gt;=Personnel!$E$3,Personnel!$G$3="Yes"),Personnel!$D$3,0)+IF(AND(43&gt;=Personnel!$E$4,Personnel!$G$4="Yes"),Personnel!$D$4,0)+IF(AND(43&gt;=Personnel!$E$5,Personnel!$G$5="Yes"),Personnel!$D$5,0)+IF(AND(43&gt;=Personnel!$E$6,Personnel!$G$6="Yes"),Personnel!$D$6,0))</f>
        <v>-17833.333333333336</v>
      </c>
      <c r="AT17" s="8">
        <f>-(IF(AND(44&gt;=Personnel!$E$2,Personnel!$G$2="Yes"),Personnel!$D$2,0)+IF(AND(44&gt;=Personnel!$E$3,Personnel!$G$3="Yes"),Personnel!$D$3,0)+IF(AND(44&gt;=Personnel!$E$4,Personnel!$G$4="Yes"),Personnel!$D$4,0)+IF(AND(44&gt;=Personnel!$E$5,Personnel!$G$5="Yes"),Personnel!$D$5,0)+IF(AND(44&gt;=Personnel!$E$6,Personnel!$G$6="Yes"),Personnel!$D$6,0))</f>
        <v>-17833.333333333336</v>
      </c>
      <c r="AU17" s="8">
        <f>-(IF(AND(45&gt;=Personnel!$E$2,Personnel!$G$2="Yes"),Personnel!$D$2,0)+IF(AND(45&gt;=Personnel!$E$3,Personnel!$G$3="Yes"),Personnel!$D$3,0)+IF(AND(45&gt;=Personnel!$E$4,Personnel!$G$4="Yes"),Personnel!$D$4,0)+IF(AND(45&gt;=Personnel!$E$5,Personnel!$G$5="Yes"),Personnel!$D$5,0)+IF(AND(45&gt;=Personnel!$E$6,Personnel!$G$6="Yes"),Personnel!$D$6,0))</f>
        <v>-17833.333333333336</v>
      </c>
      <c r="AV17" s="8">
        <f>-(IF(AND(46&gt;=Personnel!$E$2,Personnel!$G$2="Yes"),Personnel!$D$2,0)+IF(AND(46&gt;=Personnel!$E$3,Personnel!$G$3="Yes"),Personnel!$D$3,0)+IF(AND(46&gt;=Personnel!$E$4,Personnel!$G$4="Yes"),Personnel!$D$4,0)+IF(AND(46&gt;=Personnel!$E$5,Personnel!$G$5="Yes"),Personnel!$D$5,0)+IF(AND(46&gt;=Personnel!$E$6,Personnel!$G$6="Yes"),Personnel!$D$6,0))</f>
        <v>-17833.333333333336</v>
      </c>
      <c r="AW17" s="8">
        <f>-(IF(AND(47&gt;=Personnel!$E$2,Personnel!$G$2="Yes"),Personnel!$D$2,0)+IF(AND(47&gt;=Personnel!$E$3,Personnel!$G$3="Yes"),Personnel!$D$3,0)+IF(AND(47&gt;=Personnel!$E$4,Personnel!$G$4="Yes"),Personnel!$D$4,0)+IF(AND(47&gt;=Personnel!$E$5,Personnel!$G$5="Yes"),Personnel!$D$5,0)+IF(AND(47&gt;=Personnel!$E$6,Personnel!$G$6="Yes"),Personnel!$D$6,0))</f>
        <v>-17833.333333333336</v>
      </c>
      <c r="AX17" s="8">
        <f>-(IF(AND(48&gt;=Personnel!$E$2,Personnel!$G$2="Yes"),Personnel!$D$2,0)+IF(AND(48&gt;=Personnel!$E$3,Personnel!$G$3="Yes"),Personnel!$D$3,0)+IF(AND(48&gt;=Personnel!$E$4,Personnel!$G$4="Yes"),Personnel!$D$4,0)+IF(AND(48&gt;=Personnel!$E$5,Personnel!$G$5="Yes"),Personnel!$D$5,0)+IF(AND(48&gt;=Personnel!$E$6,Personnel!$G$6="Yes"),Personnel!$D$6,0))</f>
        <v>-17833.333333333336</v>
      </c>
      <c r="AY17" s="8">
        <f>-(IF(AND(49&gt;=Personnel!$E$2,Personnel!$G$2="Yes"),Personnel!$D$2,0)+IF(AND(49&gt;=Personnel!$E$3,Personnel!$G$3="Yes"),Personnel!$D$3,0)+IF(AND(49&gt;=Personnel!$E$4,Personnel!$G$4="Yes"),Personnel!$D$4,0)+IF(AND(49&gt;=Personnel!$E$5,Personnel!$G$5="Yes"),Personnel!$D$5,0)+IF(AND(49&gt;=Personnel!$E$6,Personnel!$G$6="Yes"),Personnel!$D$6,0))</f>
        <v>-17833.333333333336</v>
      </c>
      <c r="AZ17" s="8">
        <f>-(IF(AND(50&gt;=Personnel!$E$2,Personnel!$G$2="Yes"),Personnel!$D$2,0)+IF(AND(50&gt;=Personnel!$E$3,Personnel!$G$3="Yes"),Personnel!$D$3,0)+IF(AND(50&gt;=Personnel!$E$4,Personnel!$G$4="Yes"),Personnel!$D$4,0)+IF(AND(50&gt;=Personnel!$E$5,Personnel!$G$5="Yes"),Personnel!$D$5,0)+IF(AND(50&gt;=Personnel!$E$6,Personnel!$G$6="Yes"),Personnel!$D$6,0))</f>
        <v>-17833.333333333336</v>
      </c>
      <c r="BA17" s="8">
        <f>-(IF(AND(51&gt;=Personnel!$E$2,Personnel!$G$2="Yes"),Personnel!$D$2,0)+IF(AND(51&gt;=Personnel!$E$3,Personnel!$G$3="Yes"),Personnel!$D$3,0)+IF(AND(51&gt;=Personnel!$E$4,Personnel!$G$4="Yes"),Personnel!$D$4,0)+IF(AND(51&gt;=Personnel!$E$5,Personnel!$G$5="Yes"),Personnel!$D$5,0)+IF(AND(51&gt;=Personnel!$E$6,Personnel!$G$6="Yes"),Personnel!$D$6,0))</f>
        <v>-17833.333333333336</v>
      </c>
      <c r="BB17" s="8">
        <f>-(IF(AND(52&gt;=Personnel!$E$2,Personnel!$G$2="Yes"),Personnel!$D$2,0)+IF(AND(52&gt;=Personnel!$E$3,Personnel!$G$3="Yes"),Personnel!$D$3,0)+IF(AND(52&gt;=Personnel!$E$4,Personnel!$G$4="Yes"),Personnel!$D$4,0)+IF(AND(52&gt;=Personnel!$E$5,Personnel!$G$5="Yes"),Personnel!$D$5,0)+IF(AND(52&gt;=Personnel!$E$6,Personnel!$G$6="Yes"),Personnel!$D$6,0))</f>
        <v>-17833.333333333336</v>
      </c>
      <c r="BC17" s="8">
        <f>-(IF(AND(53&gt;=Personnel!$E$2,Personnel!$G$2="Yes"),Personnel!$D$2,0)+IF(AND(53&gt;=Personnel!$E$3,Personnel!$G$3="Yes"),Personnel!$D$3,0)+IF(AND(53&gt;=Personnel!$E$4,Personnel!$G$4="Yes"),Personnel!$D$4,0)+IF(AND(53&gt;=Personnel!$E$5,Personnel!$G$5="Yes"),Personnel!$D$5,0)+IF(AND(53&gt;=Personnel!$E$6,Personnel!$G$6="Yes"),Personnel!$D$6,0))</f>
        <v>-17833.333333333336</v>
      </c>
      <c r="BD17" s="8">
        <f>-(IF(AND(54&gt;=Personnel!$E$2,Personnel!$G$2="Yes"),Personnel!$D$2,0)+IF(AND(54&gt;=Personnel!$E$3,Personnel!$G$3="Yes"),Personnel!$D$3,0)+IF(AND(54&gt;=Personnel!$E$4,Personnel!$G$4="Yes"),Personnel!$D$4,0)+IF(AND(54&gt;=Personnel!$E$5,Personnel!$G$5="Yes"),Personnel!$D$5,0)+IF(AND(54&gt;=Personnel!$E$6,Personnel!$G$6="Yes"),Personnel!$D$6,0))</f>
        <v>-17833.333333333336</v>
      </c>
      <c r="BE17" s="8">
        <f>-(IF(AND(55&gt;=Personnel!$E$2,Personnel!$G$2="Yes"),Personnel!$D$2,0)+IF(AND(55&gt;=Personnel!$E$3,Personnel!$G$3="Yes"),Personnel!$D$3,0)+IF(AND(55&gt;=Personnel!$E$4,Personnel!$G$4="Yes"),Personnel!$D$4,0)+IF(AND(55&gt;=Personnel!$E$5,Personnel!$G$5="Yes"),Personnel!$D$5,0)+IF(AND(55&gt;=Personnel!$E$6,Personnel!$G$6="Yes"),Personnel!$D$6,0))</f>
        <v>-17833.333333333336</v>
      </c>
      <c r="BF17" s="8">
        <f>-(IF(AND(56&gt;=Personnel!$E$2,Personnel!$G$2="Yes"),Personnel!$D$2,0)+IF(AND(56&gt;=Personnel!$E$3,Personnel!$G$3="Yes"),Personnel!$D$3,0)+IF(AND(56&gt;=Personnel!$E$4,Personnel!$G$4="Yes"),Personnel!$D$4,0)+IF(AND(56&gt;=Personnel!$E$5,Personnel!$G$5="Yes"),Personnel!$D$5,0)+IF(AND(56&gt;=Personnel!$E$6,Personnel!$G$6="Yes"),Personnel!$D$6,0))</f>
        <v>-17833.333333333336</v>
      </c>
      <c r="BG17" s="8">
        <f>-(IF(AND(57&gt;=Personnel!$E$2,Personnel!$G$2="Yes"),Personnel!$D$2,0)+IF(AND(57&gt;=Personnel!$E$3,Personnel!$G$3="Yes"),Personnel!$D$3,0)+IF(AND(57&gt;=Personnel!$E$4,Personnel!$G$4="Yes"),Personnel!$D$4,0)+IF(AND(57&gt;=Personnel!$E$5,Personnel!$G$5="Yes"),Personnel!$D$5,0)+IF(AND(57&gt;=Personnel!$E$6,Personnel!$G$6="Yes"),Personnel!$D$6,0))</f>
        <v>-17833.333333333336</v>
      </c>
      <c r="BH17" s="8">
        <f>-(IF(AND(58&gt;=Personnel!$E$2,Personnel!$G$2="Yes"),Personnel!$D$2,0)+IF(AND(58&gt;=Personnel!$E$3,Personnel!$G$3="Yes"),Personnel!$D$3,0)+IF(AND(58&gt;=Personnel!$E$4,Personnel!$G$4="Yes"),Personnel!$D$4,0)+IF(AND(58&gt;=Personnel!$E$5,Personnel!$G$5="Yes"),Personnel!$D$5,0)+IF(AND(58&gt;=Personnel!$E$6,Personnel!$G$6="Yes"),Personnel!$D$6,0))</f>
        <v>-17833.333333333336</v>
      </c>
      <c r="BI17" s="8">
        <f>-(IF(AND(59&gt;=Personnel!$E$2,Personnel!$G$2="Yes"),Personnel!$D$2,0)+IF(AND(59&gt;=Personnel!$E$3,Personnel!$G$3="Yes"),Personnel!$D$3,0)+IF(AND(59&gt;=Personnel!$E$4,Personnel!$G$4="Yes"),Personnel!$D$4,0)+IF(AND(59&gt;=Personnel!$E$5,Personnel!$G$5="Yes"),Personnel!$D$5,0)+IF(AND(59&gt;=Personnel!$E$6,Personnel!$G$6="Yes"),Personnel!$D$6,0))</f>
        <v>-17833.333333333336</v>
      </c>
      <c r="BJ17" s="8">
        <f>-(IF(AND(60&gt;=Personnel!$E$2,Personnel!$G$2="Yes"),Personnel!$D$2,0)+IF(AND(60&gt;=Personnel!$E$3,Personnel!$G$3="Yes"),Personnel!$D$3,0)+IF(AND(60&gt;=Personnel!$E$4,Personnel!$G$4="Yes"),Personnel!$D$4,0)+IF(AND(60&gt;=Personnel!$E$5,Personnel!$G$5="Yes"),Personnel!$D$5,0)+IF(AND(60&gt;=Personnel!$E$6,Personnel!$G$6="Yes"),Personnel!$D$6,0))</f>
        <v>-17833.333333333336</v>
      </c>
      <c r="BK17" s="8">
        <f>-(IF(AND(61&gt;=Personnel!$E$2,Personnel!$G$2="Yes"),Personnel!$D$2,0)+IF(AND(61&gt;=Personnel!$E$3,Personnel!$G$3="Yes"),Personnel!$D$3,0)+IF(AND(61&gt;=Personnel!$E$4,Personnel!$G$4="Yes"),Personnel!$D$4,0)+IF(AND(61&gt;=Personnel!$E$5,Personnel!$G$5="Yes"),Personnel!$D$5,0)+IF(AND(61&gt;=Personnel!$E$6,Personnel!$G$6="Yes"),Personnel!$D$6,0))</f>
        <v>-17833.333333333336</v>
      </c>
      <c r="BL17" s="8">
        <f>-(IF(AND(62&gt;=Personnel!$E$2,Personnel!$G$2="Yes"),Personnel!$D$2,0)+IF(AND(62&gt;=Personnel!$E$3,Personnel!$G$3="Yes"),Personnel!$D$3,0)+IF(AND(62&gt;=Personnel!$E$4,Personnel!$G$4="Yes"),Personnel!$D$4,0)+IF(AND(62&gt;=Personnel!$E$5,Personnel!$G$5="Yes"),Personnel!$D$5,0)+IF(AND(62&gt;=Personnel!$E$6,Personnel!$G$6="Yes"),Personnel!$D$6,0))</f>
        <v>-17833.333333333336</v>
      </c>
      <c r="BM17" s="8">
        <f>-(IF(AND(63&gt;=Personnel!$E$2,Personnel!$G$2="Yes"),Personnel!$D$2,0)+IF(AND(63&gt;=Personnel!$E$3,Personnel!$G$3="Yes"),Personnel!$D$3,0)+IF(AND(63&gt;=Personnel!$E$4,Personnel!$G$4="Yes"),Personnel!$D$4,0)+IF(AND(63&gt;=Personnel!$E$5,Personnel!$G$5="Yes"),Personnel!$D$5,0)+IF(AND(63&gt;=Personnel!$E$6,Personnel!$G$6="Yes"),Personnel!$D$6,0))</f>
        <v>-17833.333333333336</v>
      </c>
      <c r="BN17" s="8">
        <f>-(IF(AND(64&gt;=Personnel!$E$2,Personnel!$G$2="Yes"),Personnel!$D$2,0)+IF(AND(64&gt;=Personnel!$E$3,Personnel!$G$3="Yes"),Personnel!$D$3,0)+IF(AND(64&gt;=Personnel!$E$4,Personnel!$G$4="Yes"),Personnel!$D$4,0)+IF(AND(64&gt;=Personnel!$E$5,Personnel!$G$5="Yes"),Personnel!$D$5,0)+IF(AND(64&gt;=Personnel!$E$6,Personnel!$G$6="Yes"),Personnel!$D$6,0))</f>
        <v>-17833.333333333336</v>
      </c>
      <c r="BO17" s="8">
        <f>-(IF(AND(65&gt;=Personnel!$E$2,Personnel!$G$2="Yes"),Personnel!$D$2,0)+IF(AND(65&gt;=Personnel!$E$3,Personnel!$G$3="Yes"),Personnel!$D$3,0)+IF(AND(65&gt;=Personnel!$E$4,Personnel!$G$4="Yes"),Personnel!$D$4,0)+IF(AND(65&gt;=Personnel!$E$5,Personnel!$G$5="Yes"),Personnel!$D$5,0)+IF(AND(65&gt;=Personnel!$E$6,Personnel!$G$6="Yes"),Personnel!$D$6,0))</f>
        <v>-17833.333333333336</v>
      </c>
      <c r="BP17" s="8">
        <f>-(IF(AND(66&gt;=Personnel!$E$2,Personnel!$G$2="Yes"),Personnel!$D$2,0)+IF(AND(66&gt;=Personnel!$E$3,Personnel!$G$3="Yes"),Personnel!$D$3,0)+IF(AND(66&gt;=Personnel!$E$4,Personnel!$G$4="Yes"),Personnel!$D$4,0)+IF(AND(66&gt;=Personnel!$E$5,Personnel!$G$5="Yes"),Personnel!$D$5,0)+IF(AND(66&gt;=Personnel!$E$6,Personnel!$G$6="Yes"),Personnel!$D$6,0))</f>
        <v>-17833.333333333336</v>
      </c>
      <c r="BQ17" s="8">
        <f>-(IF(AND(67&gt;=Personnel!$E$2,Personnel!$G$2="Yes"),Personnel!$D$2,0)+IF(AND(67&gt;=Personnel!$E$3,Personnel!$G$3="Yes"),Personnel!$D$3,0)+IF(AND(67&gt;=Personnel!$E$4,Personnel!$G$4="Yes"),Personnel!$D$4,0)+IF(AND(67&gt;=Personnel!$E$5,Personnel!$G$5="Yes"),Personnel!$D$5,0)+IF(AND(67&gt;=Personnel!$E$6,Personnel!$G$6="Yes"),Personnel!$D$6,0))</f>
        <v>-17833.333333333336</v>
      </c>
      <c r="BR17" s="8">
        <f>-(IF(AND(68&gt;=Personnel!$E$2,Personnel!$G$2="Yes"),Personnel!$D$2,0)+IF(AND(68&gt;=Personnel!$E$3,Personnel!$G$3="Yes"),Personnel!$D$3,0)+IF(AND(68&gt;=Personnel!$E$4,Personnel!$G$4="Yes"),Personnel!$D$4,0)+IF(AND(68&gt;=Personnel!$E$5,Personnel!$G$5="Yes"),Personnel!$D$5,0)+IF(AND(68&gt;=Personnel!$E$6,Personnel!$G$6="Yes"),Personnel!$D$6,0))</f>
        <v>-17833.333333333336</v>
      </c>
      <c r="BS17" s="8">
        <f>-(IF(AND(69&gt;=Personnel!$E$2,Personnel!$G$2="Yes"),Personnel!$D$2,0)+IF(AND(69&gt;=Personnel!$E$3,Personnel!$G$3="Yes"),Personnel!$D$3,0)+IF(AND(69&gt;=Personnel!$E$4,Personnel!$G$4="Yes"),Personnel!$D$4,0)+IF(AND(69&gt;=Personnel!$E$5,Personnel!$G$5="Yes"),Personnel!$D$5,0)+IF(AND(69&gt;=Personnel!$E$6,Personnel!$G$6="Yes"),Personnel!$D$6,0))</f>
        <v>-17833.333333333336</v>
      </c>
      <c r="BT17" s="8">
        <f>-(IF(AND(70&gt;=Personnel!$E$2,Personnel!$G$2="Yes"),Personnel!$D$2,0)+IF(AND(70&gt;=Personnel!$E$3,Personnel!$G$3="Yes"),Personnel!$D$3,0)+IF(AND(70&gt;=Personnel!$E$4,Personnel!$G$4="Yes"),Personnel!$D$4,0)+IF(AND(70&gt;=Personnel!$E$5,Personnel!$G$5="Yes"),Personnel!$D$5,0)+IF(AND(70&gt;=Personnel!$E$6,Personnel!$G$6="Yes"),Personnel!$D$6,0))</f>
        <v>-17833.333333333336</v>
      </c>
      <c r="BU17" s="8">
        <f>-(IF(AND(71&gt;=Personnel!$E$2,Personnel!$G$2="Yes"),Personnel!$D$2,0)+IF(AND(71&gt;=Personnel!$E$3,Personnel!$G$3="Yes"),Personnel!$D$3,0)+IF(AND(71&gt;=Personnel!$E$4,Personnel!$G$4="Yes"),Personnel!$D$4,0)+IF(AND(71&gt;=Personnel!$E$5,Personnel!$G$5="Yes"),Personnel!$D$5,0)+IF(AND(71&gt;=Personnel!$E$6,Personnel!$G$6="Yes"),Personnel!$D$6,0))</f>
        <v>-17833.333333333336</v>
      </c>
      <c r="BV17" s="8">
        <f>-(IF(AND(72&gt;=Personnel!$E$2,Personnel!$G$2="Yes"),Personnel!$D$2,0)+IF(AND(72&gt;=Personnel!$E$3,Personnel!$G$3="Yes"),Personnel!$D$3,0)+IF(AND(72&gt;=Personnel!$E$4,Personnel!$G$4="Yes"),Personnel!$D$4,0)+IF(AND(72&gt;=Personnel!$E$5,Personnel!$G$5="Yes"),Personnel!$D$5,0)+IF(AND(72&gt;=Personnel!$E$6,Personnel!$G$6="Yes"),Personnel!$D$6,0))</f>
        <v>-17833.333333333336</v>
      </c>
      <c r="BW17" s="8">
        <f>-(IF(AND(73&gt;=Personnel!$E$2,Personnel!$G$2="Yes"),Personnel!$D$2,0)+IF(AND(73&gt;=Personnel!$E$3,Personnel!$G$3="Yes"),Personnel!$D$3,0)+IF(AND(73&gt;=Personnel!$E$4,Personnel!$G$4="Yes"),Personnel!$D$4,0)+IF(AND(73&gt;=Personnel!$E$5,Personnel!$G$5="Yes"),Personnel!$D$5,0)+IF(AND(73&gt;=Personnel!$E$6,Personnel!$G$6="Yes"),Personnel!$D$6,0))</f>
        <v>-17833.333333333336</v>
      </c>
      <c r="BX17" s="8">
        <f>-(IF(AND(74&gt;=Personnel!$E$2,Personnel!$G$2="Yes"),Personnel!$D$2,0)+IF(AND(74&gt;=Personnel!$E$3,Personnel!$G$3="Yes"),Personnel!$D$3,0)+IF(AND(74&gt;=Personnel!$E$4,Personnel!$G$4="Yes"),Personnel!$D$4,0)+IF(AND(74&gt;=Personnel!$E$5,Personnel!$G$5="Yes"),Personnel!$D$5,0)+IF(AND(74&gt;=Personnel!$E$6,Personnel!$G$6="Yes"),Personnel!$D$6,0))</f>
        <v>-17833.333333333336</v>
      </c>
      <c r="BY17" s="8">
        <f>-(IF(AND(75&gt;=Personnel!$E$2,Personnel!$G$2="Yes"),Personnel!$D$2,0)+IF(AND(75&gt;=Personnel!$E$3,Personnel!$G$3="Yes"),Personnel!$D$3,0)+IF(AND(75&gt;=Personnel!$E$4,Personnel!$G$4="Yes"),Personnel!$D$4,0)+IF(AND(75&gt;=Personnel!$E$5,Personnel!$G$5="Yes"),Personnel!$D$5,0)+IF(AND(75&gt;=Personnel!$E$6,Personnel!$G$6="Yes"),Personnel!$D$6,0))</f>
        <v>-17833.333333333336</v>
      </c>
      <c r="BZ17" s="8">
        <f>-(IF(AND(76&gt;=Personnel!$E$2,Personnel!$G$2="Yes"),Personnel!$D$2,0)+IF(AND(76&gt;=Personnel!$E$3,Personnel!$G$3="Yes"),Personnel!$D$3,0)+IF(AND(76&gt;=Personnel!$E$4,Personnel!$G$4="Yes"),Personnel!$D$4,0)+IF(AND(76&gt;=Personnel!$E$5,Personnel!$G$5="Yes"),Personnel!$D$5,0)+IF(AND(76&gt;=Personnel!$E$6,Personnel!$G$6="Yes"),Personnel!$D$6,0))</f>
        <v>-17833.333333333336</v>
      </c>
      <c r="CA17" s="8">
        <f>-(IF(AND(77&gt;=Personnel!$E$2,Personnel!$G$2="Yes"),Personnel!$D$2,0)+IF(AND(77&gt;=Personnel!$E$3,Personnel!$G$3="Yes"),Personnel!$D$3,0)+IF(AND(77&gt;=Personnel!$E$4,Personnel!$G$4="Yes"),Personnel!$D$4,0)+IF(AND(77&gt;=Personnel!$E$5,Personnel!$G$5="Yes"),Personnel!$D$5,0)+IF(AND(77&gt;=Personnel!$E$6,Personnel!$G$6="Yes"),Personnel!$D$6,0))</f>
        <v>-17833.333333333336</v>
      </c>
      <c r="CB17" s="8">
        <f>-(IF(AND(78&gt;=Personnel!$E$2,Personnel!$G$2="Yes"),Personnel!$D$2,0)+IF(AND(78&gt;=Personnel!$E$3,Personnel!$G$3="Yes"),Personnel!$D$3,0)+IF(AND(78&gt;=Personnel!$E$4,Personnel!$G$4="Yes"),Personnel!$D$4,0)+IF(AND(78&gt;=Personnel!$E$5,Personnel!$G$5="Yes"),Personnel!$D$5,0)+IF(AND(78&gt;=Personnel!$E$6,Personnel!$G$6="Yes"),Personnel!$D$6,0))</f>
        <v>-17833.333333333336</v>
      </c>
      <c r="CC17" s="8">
        <f>-(IF(AND(79&gt;=Personnel!$E$2,Personnel!$G$2="Yes"),Personnel!$D$2,0)+IF(AND(79&gt;=Personnel!$E$3,Personnel!$G$3="Yes"),Personnel!$D$3,0)+IF(AND(79&gt;=Personnel!$E$4,Personnel!$G$4="Yes"),Personnel!$D$4,0)+IF(AND(79&gt;=Personnel!$E$5,Personnel!$G$5="Yes"),Personnel!$D$5,0)+IF(AND(79&gt;=Personnel!$E$6,Personnel!$G$6="Yes"),Personnel!$D$6,0))</f>
        <v>-17833.333333333336</v>
      </c>
      <c r="CD17" s="8">
        <f>-(IF(AND(80&gt;=Personnel!$E$2,Personnel!$G$2="Yes"),Personnel!$D$2,0)+IF(AND(80&gt;=Personnel!$E$3,Personnel!$G$3="Yes"),Personnel!$D$3,0)+IF(AND(80&gt;=Personnel!$E$4,Personnel!$G$4="Yes"),Personnel!$D$4,0)+IF(AND(80&gt;=Personnel!$E$5,Personnel!$G$5="Yes"),Personnel!$D$5,0)+IF(AND(80&gt;=Personnel!$E$6,Personnel!$G$6="Yes"),Personnel!$D$6,0))</f>
        <v>-17833.333333333336</v>
      </c>
      <c r="CE17" s="8">
        <f>-(IF(AND(81&gt;=Personnel!$E$2,Personnel!$G$2="Yes"),Personnel!$D$2,0)+IF(AND(81&gt;=Personnel!$E$3,Personnel!$G$3="Yes"),Personnel!$D$3,0)+IF(AND(81&gt;=Personnel!$E$4,Personnel!$G$4="Yes"),Personnel!$D$4,0)+IF(AND(81&gt;=Personnel!$E$5,Personnel!$G$5="Yes"),Personnel!$D$5,0)+IF(AND(81&gt;=Personnel!$E$6,Personnel!$G$6="Yes"),Personnel!$D$6,0))</f>
        <v>-17833.333333333336</v>
      </c>
      <c r="CF17" s="8">
        <f>-(IF(AND(82&gt;=Personnel!$E$2,Personnel!$G$2="Yes"),Personnel!$D$2,0)+IF(AND(82&gt;=Personnel!$E$3,Personnel!$G$3="Yes"),Personnel!$D$3,0)+IF(AND(82&gt;=Personnel!$E$4,Personnel!$G$4="Yes"),Personnel!$D$4,0)+IF(AND(82&gt;=Personnel!$E$5,Personnel!$G$5="Yes"),Personnel!$D$5,0)+IF(AND(82&gt;=Personnel!$E$6,Personnel!$G$6="Yes"),Personnel!$D$6,0))</f>
        <v>-17833.333333333336</v>
      </c>
      <c r="CG17" s="8">
        <f>-(IF(AND(83&gt;=Personnel!$E$2,Personnel!$G$2="Yes"),Personnel!$D$2,0)+IF(AND(83&gt;=Personnel!$E$3,Personnel!$G$3="Yes"),Personnel!$D$3,0)+IF(AND(83&gt;=Personnel!$E$4,Personnel!$G$4="Yes"),Personnel!$D$4,0)+IF(AND(83&gt;=Personnel!$E$5,Personnel!$G$5="Yes"),Personnel!$D$5,0)+IF(AND(83&gt;=Personnel!$E$6,Personnel!$G$6="Yes"),Personnel!$D$6,0))</f>
        <v>-17833.333333333336</v>
      </c>
      <c r="CH17" s="8">
        <f>-(IF(AND(84&gt;=Personnel!$E$2,Personnel!$G$2="Yes"),Personnel!$D$2,0)+IF(AND(84&gt;=Personnel!$E$3,Personnel!$G$3="Yes"),Personnel!$D$3,0)+IF(AND(84&gt;=Personnel!$E$4,Personnel!$G$4="Yes"),Personnel!$D$4,0)+IF(AND(84&gt;=Personnel!$E$5,Personnel!$G$5="Yes"),Personnel!$D$5,0)+IF(AND(84&gt;=Personnel!$E$6,Personnel!$G$6="Yes"),Personnel!$D$6,0))</f>
        <v>-17833.333333333336</v>
      </c>
      <c r="CI17" s="23"/>
    </row>
    <row r="18" spans="1:87" ht="15" customHeight="1" x14ac:dyDescent="0.25">
      <c r="A18" s="7" t="s">
        <v>131</v>
      </c>
      <c r="B18" s="22"/>
      <c r="C18" s="8">
        <f>-(IF(AND(1&gt;=Personnel!$E$32,Personnel!$G$32="Yes"),Personnel!$D$32*Personnel!$I$32,0)+IF(AND(1&gt;=Personnel!$E$33,Personnel!$G$33="Yes"),Personnel!$D$33*Personnel!$I$33,0)+IF(AND(1&gt;=Personnel!$E$34,Personnel!$G$34="Yes"),Personnel!$D$34*Personnel!$I$34,0)+IF(AND(1&gt;=Personnel!$E$35,Personnel!$G$35="Yes"),Personnel!$D$35*Personnel!$I$35,0)+IF(AND(1&gt;=Personnel!$E$36,Personnel!$G$36="Yes"),Personnel!$D$36*Personnel!$I$36,0)+IF(AND(1&gt;=Personnel!$E$37,Personnel!$G$37="Yes"),Personnel!$D$37*Personnel!$I$37,0)+IF(AND(1&gt;=Personnel!$E$38,Personnel!$G$38="Yes"),Personnel!$D$38*Personnel!$I$38,0))</f>
        <v>-61750</v>
      </c>
      <c r="D18" s="8">
        <f>-(IF(AND(2&gt;=Personnel!$E$32,Personnel!$G$32="Yes"),Personnel!$D$32*Personnel!$I$32,0)+IF(AND(2&gt;=Personnel!$E$33,Personnel!$G$33="Yes"),Personnel!$D$33*Personnel!$I$33,0)+IF(AND(2&gt;=Personnel!$E$34,Personnel!$G$34="Yes"),Personnel!$D$34*Personnel!$I$34,0)+IF(AND(2&gt;=Personnel!$E$35,Personnel!$G$35="Yes"),Personnel!$D$35*Personnel!$I$35,0)+IF(AND(2&gt;=Personnel!$E$36,Personnel!$G$36="Yes"),Personnel!$D$36*Personnel!$I$36,0)+IF(AND(2&gt;=Personnel!$E$37,Personnel!$G$37="Yes"),Personnel!$D$37*Personnel!$I$37,0)+IF(AND(2&gt;=Personnel!$E$38,Personnel!$G$38="Yes"),Personnel!$D$38*Personnel!$I$38,0))</f>
        <v>-61750</v>
      </c>
      <c r="E18" s="8">
        <f>-(IF(AND(3&gt;=Personnel!$E$32,Personnel!$G$32="Yes"),Personnel!$D$32*Personnel!$I$32,0)+IF(AND(3&gt;=Personnel!$E$33,Personnel!$G$33="Yes"),Personnel!$D$33*Personnel!$I$33,0)+IF(AND(3&gt;=Personnel!$E$34,Personnel!$G$34="Yes"),Personnel!$D$34*Personnel!$I$34,0)+IF(AND(3&gt;=Personnel!$E$35,Personnel!$G$35="Yes"),Personnel!$D$35*Personnel!$I$35,0)+IF(AND(3&gt;=Personnel!$E$36,Personnel!$G$36="Yes"),Personnel!$D$36*Personnel!$I$36,0)+IF(AND(3&gt;=Personnel!$E$37,Personnel!$G$37="Yes"),Personnel!$D$37*Personnel!$I$37,0)+IF(AND(3&gt;=Personnel!$E$38,Personnel!$G$38="Yes"),Personnel!$D$38*Personnel!$I$38,0))</f>
        <v>-61750</v>
      </c>
      <c r="F18" s="8">
        <f>-(IF(AND(4&gt;=Personnel!$E$32,Personnel!$G$32="Yes"),Personnel!$D$32*Personnel!$I$32,0)+IF(AND(4&gt;=Personnel!$E$33,Personnel!$G$33="Yes"),Personnel!$D$33*Personnel!$I$33,0)+IF(AND(4&gt;=Personnel!$E$34,Personnel!$G$34="Yes"),Personnel!$D$34*Personnel!$I$34,0)+IF(AND(4&gt;=Personnel!$E$35,Personnel!$G$35="Yes"),Personnel!$D$35*Personnel!$I$35,0)+IF(AND(4&gt;=Personnel!$E$36,Personnel!$G$36="Yes"),Personnel!$D$36*Personnel!$I$36,0)+IF(AND(4&gt;=Personnel!$E$37,Personnel!$G$37="Yes"),Personnel!$D$37*Personnel!$I$37,0)+IF(AND(4&gt;=Personnel!$E$38,Personnel!$G$38="Yes"),Personnel!$D$38*Personnel!$I$38,0))</f>
        <v>-61750</v>
      </c>
      <c r="G18" s="8">
        <f>-(IF(AND(5&gt;=Personnel!$E$32,Personnel!$G$32="Yes"),Personnel!$D$32*Personnel!$I$32,0)+IF(AND(5&gt;=Personnel!$E$33,Personnel!$G$33="Yes"),Personnel!$D$33*Personnel!$I$33,0)+IF(AND(5&gt;=Personnel!$E$34,Personnel!$G$34="Yes"),Personnel!$D$34*Personnel!$I$34,0)+IF(AND(5&gt;=Personnel!$E$35,Personnel!$G$35="Yes"),Personnel!$D$35*Personnel!$I$35,0)+IF(AND(5&gt;=Personnel!$E$36,Personnel!$G$36="Yes"),Personnel!$D$36*Personnel!$I$36,0)+IF(AND(5&gt;=Personnel!$E$37,Personnel!$G$37="Yes"),Personnel!$D$37*Personnel!$I$37,0)+IF(AND(5&gt;=Personnel!$E$38,Personnel!$G$38="Yes"),Personnel!$D$38*Personnel!$I$38,0))</f>
        <v>-61750</v>
      </c>
      <c r="H18" s="8">
        <f>-(IF(AND(6&gt;=Personnel!$E$32,Personnel!$G$32="Yes"),Personnel!$D$32*Personnel!$I$32,0)+IF(AND(6&gt;=Personnel!$E$33,Personnel!$G$33="Yes"),Personnel!$D$33*Personnel!$I$33,0)+IF(AND(6&gt;=Personnel!$E$34,Personnel!$G$34="Yes"),Personnel!$D$34*Personnel!$I$34,0)+IF(AND(6&gt;=Personnel!$E$35,Personnel!$G$35="Yes"),Personnel!$D$35*Personnel!$I$35,0)+IF(AND(6&gt;=Personnel!$E$36,Personnel!$G$36="Yes"),Personnel!$D$36*Personnel!$I$36,0)+IF(AND(6&gt;=Personnel!$E$37,Personnel!$G$37="Yes"),Personnel!$D$37*Personnel!$I$37,0)+IF(AND(6&gt;=Personnel!$E$38,Personnel!$G$38="Yes"),Personnel!$D$38*Personnel!$I$38,0))</f>
        <v>-61750</v>
      </c>
      <c r="I18" s="8">
        <f>-(IF(AND(7&gt;=Personnel!$E$32,Personnel!$G$32="Yes"),Personnel!$D$32*Personnel!$I$32,0)+IF(AND(7&gt;=Personnel!$E$33,Personnel!$G$33="Yes"),Personnel!$D$33*Personnel!$I$33,0)+IF(AND(7&gt;=Personnel!$E$34,Personnel!$G$34="Yes"),Personnel!$D$34*Personnel!$I$34,0)+IF(AND(7&gt;=Personnel!$E$35,Personnel!$G$35="Yes"),Personnel!$D$35*Personnel!$I$35,0)+IF(AND(7&gt;=Personnel!$E$36,Personnel!$G$36="Yes"),Personnel!$D$36*Personnel!$I$36,0)+IF(AND(7&gt;=Personnel!$E$37,Personnel!$G$37="Yes"),Personnel!$D$37*Personnel!$I$37,0)+IF(AND(7&gt;=Personnel!$E$38,Personnel!$G$38="Yes"),Personnel!$D$38*Personnel!$I$38,0))</f>
        <v>-61750</v>
      </c>
      <c r="J18" s="8">
        <f>-(IF(AND(8&gt;=Personnel!$E$32,Personnel!$G$32="Yes"),Personnel!$D$32*Personnel!$I$32,0)+IF(AND(8&gt;=Personnel!$E$33,Personnel!$G$33="Yes"),Personnel!$D$33*Personnel!$I$33,0)+IF(AND(8&gt;=Personnel!$E$34,Personnel!$G$34="Yes"),Personnel!$D$34*Personnel!$I$34,0)+IF(AND(8&gt;=Personnel!$E$35,Personnel!$G$35="Yes"),Personnel!$D$35*Personnel!$I$35,0)+IF(AND(8&gt;=Personnel!$E$36,Personnel!$G$36="Yes"),Personnel!$D$36*Personnel!$I$36,0)+IF(AND(8&gt;=Personnel!$E$37,Personnel!$G$37="Yes"),Personnel!$D$37*Personnel!$I$37,0)+IF(AND(8&gt;=Personnel!$E$38,Personnel!$G$38="Yes"),Personnel!$D$38*Personnel!$I$38,0))</f>
        <v>-61750</v>
      </c>
      <c r="K18" s="8">
        <f>-(IF(AND(9&gt;=Personnel!$E$32,Personnel!$G$32="Yes"),Personnel!$D$32*Personnel!$I$32,0)+IF(AND(9&gt;=Personnel!$E$33,Personnel!$G$33="Yes"),Personnel!$D$33*Personnel!$I$33,0)+IF(AND(9&gt;=Personnel!$E$34,Personnel!$G$34="Yes"),Personnel!$D$34*Personnel!$I$34,0)+IF(AND(9&gt;=Personnel!$E$35,Personnel!$G$35="Yes"),Personnel!$D$35*Personnel!$I$35,0)+IF(AND(9&gt;=Personnel!$E$36,Personnel!$G$36="Yes"),Personnel!$D$36*Personnel!$I$36,0)+IF(AND(9&gt;=Personnel!$E$37,Personnel!$G$37="Yes"),Personnel!$D$37*Personnel!$I$37,0)+IF(AND(9&gt;=Personnel!$E$38,Personnel!$G$38="Yes"),Personnel!$D$38*Personnel!$I$38,0))</f>
        <v>-61750</v>
      </c>
      <c r="L18" s="8">
        <f>-(IF(AND(10&gt;=Personnel!$E$32,Personnel!$G$32="Yes"),Personnel!$D$32*Personnel!$I$32,0)+IF(AND(10&gt;=Personnel!$E$33,Personnel!$G$33="Yes"),Personnel!$D$33*Personnel!$I$33,0)+IF(AND(10&gt;=Personnel!$E$34,Personnel!$G$34="Yes"),Personnel!$D$34*Personnel!$I$34,0)+IF(AND(10&gt;=Personnel!$E$35,Personnel!$G$35="Yes"),Personnel!$D$35*Personnel!$I$35,0)+IF(AND(10&gt;=Personnel!$E$36,Personnel!$G$36="Yes"),Personnel!$D$36*Personnel!$I$36,0)+IF(AND(10&gt;=Personnel!$E$37,Personnel!$G$37="Yes"),Personnel!$D$37*Personnel!$I$37,0)+IF(AND(10&gt;=Personnel!$E$38,Personnel!$G$38="Yes"),Personnel!$D$38*Personnel!$I$38,0))</f>
        <v>-61750</v>
      </c>
      <c r="M18" s="8">
        <f>-(IF(AND(11&gt;=Personnel!$E$32,Personnel!$G$32="Yes"),Personnel!$D$32*Personnel!$I$32,0)+IF(AND(11&gt;=Personnel!$E$33,Personnel!$G$33="Yes"),Personnel!$D$33*Personnel!$I$33,0)+IF(AND(11&gt;=Personnel!$E$34,Personnel!$G$34="Yes"),Personnel!$D$34*Personnel!$I$34,0)+IF(AND(11&gt;=Personnel!$E$35,Personnel!$G$35="Yes"),Personnel!$D$35*Personnel!$I$35,0)+IF(AND(11&gt;=Personnel!$E$36,Personnel!$G$36="Yes"),Personnel!$D$36*Personnel!$I$36,0)+IF(AND(11&gt;=Personnel!$E$37,Personnel!$G$37="Yes"),Personnel!$D$37*Personnel!$I$37,0)+IF(AND(11&gt;=Personnel!$E$38,Personnel!$G$38="Yes"),Personnel!$D$38*Personnel!$I$38,0))</f>
        <v>-61750</v>
      </c>
      <c r="N18" s="8">
        <f>-(IF(AND(12&gt;=Personnel!$E$32,Personnel!$G$32="Yes"),Personnel!$D$32*Personnel!$I$32,0)+IF(AND(12&gt;=Personnel!$E$33,Personnel!$G$33="Yes"),Personnel!$D$33*Personnel!$I$33,0)+IF(AND(12&gt;=Personnel!$E$34,Personnel!$G$34="Yes"),Personnel!$D$34*Personnel!$I$34,0)+IF(AND(12&gt;=Personnel!$E$35,Personnel!$G$35="Yes"),Personnel!$D$35*Personnel!$I$35,0)+IF(AND(12&gt;=Personnel!$E$36,Personnel!$G$36="Yes"),Personnel!$D$36*Personnel!$I$36,0)+IF(AND(12&gt;=Personnel!$E$37,Personnel!$G$37="Yes"),Personnel!$D$37*Personnel!$I$37,0)+IF(AND(12&gt;=Personnel!$E$38,Personnel!$G$38="Yes"),Personnel!$D$38*Personnel!$I$38,0))</f>
        <v>-61750</v>
      </c>
      <c r="O18" s="8">
        <f>-(IF(AND(13&gt;=Personnel!$E$32,Personnel!$G$32="Yes"),Personnel!$D$32*Personnel!$I$32,0)+IF(AND(13&gt;=Personnel!$E$33,Personnel!$G$33="Yes"),Personnel!$D$33*Personnel!$I$33,0)+IF(AND(13&gt;=Personnel!$E$34,Personnel!$G$34="Yes"),Personnel!$D$34*Personnel!$I$34,0)+IF(AND(13&gt;=Personnel!$E$35,Personnel!$G$35="Yes"),Personnel!$D$35*Personnel!$I$35,0)+IF(AND(13&gt;=Personnel!$E$36,Personnel!$G$36="Yes"),Personnel!$D$36*Personnel!$I$36,0)+IF(AND(13&gt;=Personnel!$E$37,Personnel!$G$37="Yes"),Personnel!$D$37*Personnel!$I$37,0)+IF(AND(13&gt;=Personnel!$E$38,Personnel!$G$38="Yes"),Personnel!$D$38*Personnel!$I$38,0))</f>
        <v>-61750</v>
      </c>
      <c r="P18" s="8">
        <f>-(IF(AND(14&gt;=Personnel!$E$32,Personnel!$G$32="Yes"),Personnel!$D$32*Personnel!$I$32,0)+IF(AND(14&gt;=Personnel!$E$33,Personnel!$G$33="Yes"),Personnel!$D$33*Personnel!$I$33,0)+IF(AND(14&gt;=Personnel!$E$34,Personnel!$G$34="Yes"),Personnel!$D$34*Personnel!$I$34,0)+IF(AND(14&gt;=Personnel!$E$35,Personnel!$G$35="Yes"),Personnel!$D$35*Personnel!$I$35,0)+IF(AND(14&gt;=Personnel!$E$36,Personnel!$G$36="Yes"),Personnel!$D$36*Personnel!$I$36,0)+IF(AND(14&gt;=Personnel!$E$37,Personnel!$G$37="Yes"),Personnel!$D$37*Personnel!$I$37,0)+IF(AND(14&gt;=Personnel!$E$38,Personnel!$G$38="Yes"),Personnel!$D$38*Personnel!$I$38,0))</f>
        <v>-61750</v>
      </c>
      <c r="Q18" s="8">
        <f>-(IF(AND(15&gt;=Personnel!$E$32,Personnel!$G$32="Yes"),Personnel!$D$32*Personnel!$I$32,0)+IF(AND(15&gt;=Personnel!$E$33,Personnel!$G$33="Yes"),Personnel!$D$33*Personnel!$I$33,0)+IF(AND(15&gt;=Personnel!$E$34,Personnel!$G$34="Yes"),Personnel!$D$34*Personnel!$I$34,0)+IF(AND(15&gt;=Personnel!$E$35,Personnel!$G$35="Yes"),Personnel!$D$35*Personnel!$I$35,0)+IF(AND(15&gt;=Personnel!$E$36,Personnel!$G$36="Yes"),Personnel!$D$36*Personnel!$I$36,0)+IF(AND(15&gt;=Personnel!$E$37,Personnel!$G$37="Yes"),Personnel!$D$37*Personnel!$I$37,0)+IF(AND(15&gt;=Personnel!$E$38,Personnel!$G$38="Yes"),Personnel!$D$38*Personnel!$I$38,0))</f>
        <v>-61750</v>
      </c>
      <c r="R18" s="8">
        <f>-(IF(AND(16&gt;=Personnel!$E$32,Personnel!$G$32="Yes"),Personnel!$D$32*Personnel!$I$32,0)+IF(AND(16&gt;=Personnel!$E$33,Personnel!$G$33="Yes"),Personnel!$D$33*Personnel!$I$33,0)+IF(AND(16&gt;=Personnel!$E$34,Personnel!$G$34="Yes"),Personnel!$D$34*Personnel!$I$34,0)+IF(AND(16&gt;=Personnel!$E$35,Personnel!$G$35="Yes"),Personnel!$D$35*Personnel!$I$35,0)+IF(AND(16&gt;=Personnel!$E$36,Personnel!$G$36="Yes"),Personnel!$D$36*Personnel!$I$36,0)+IF(AND(16&gt;=Personnel!$E$37,Personnel!$G$37="Yes"),Personnel!$D$37*Personnel!$I$37,0)+IF(AND(16&gt;=Personnel!$E$38,Personnel!$G$38="Yes"),Personnel!$D$38*Personnel!$I$38,0))</f>
        <v>-61750</v>
      </c>
      <c r="S18" s="8">
        <f>-(IF(AND(17&gt;=Personnel!$E$32,Personnel!$G$32="Yes"),Personnel!$D$32*Personnel!$I$32,0)+IF(AND(17&gt;=Personnel!$E$33,Personnel!$G$33="Yes"),Personnel!$D$33*Personnel!$I$33,0)+IF(AND(17&gt;=Personnel!$E$34,Personnel!$G$34="Yes"),Personnel!$D$34*Personnel!$I$34,0)+IF(AND(17&gt;=Personnel!$E$35,Personnel!$G$35="Yes"),Personnel!$D$35*Personnel!$I$35,0)+IF(AND(17&gt;=Personnel!$E$36,Personnel!$G$36="Yes"),Personnel!$D$36*Personnel!$I$36,0)+IF(AND(17&gt;=Personnel!$E$37,Personnel!$G$37="Yes"),Personnel!$D$37*Personnel!$I$37,0)+IF(AND(17&gt;=Personnel!$E$38,Personnel!$G$38="Yes"),Personnel!$D$38*Personnel!$I$38,0))</f>
        <v>-61750</v>
      </c>
      <c r="T18" s="8">
        <f>-(IF(AND(18&gt;=Personnel!$E$32,Personnel!$G$32="Yes"),Personnel!$D$32*Personnel!$I$32,0)+IF(AND(18&gt;=Personnel!$E$33,Personnel!$G$33="Yes"),Personnel!$D$33*Personnel!$I$33,0)+IF(AND(18&gt;=Personnel!$E$34,Personnel!$G$34="Yes"),Personnel!$D$34*Personnel!$I$34,0)+IF(AND(18&gt;=Personnel!$E$35,Personnel!$G$35="Yes"),Personnel!$D$35*Personnel!$I$35,0)+IF(AND(18&gt;=Personnel!$E$36,Personnel!$G$36="Yes"),Personnel!$D$36*Personnel!$I$36,0)+IF(AND(18&gt;=Personnel!$E$37,Personnel!$G$37="Yes"),Personnel!$D$37*Personnel!$I$37,0)+IF(AND(18&gt;=Personnel!$E$38,Personnel!$G$38="Yes"),Personnel!$D$38*Personnel!$I$38,0))</f>
        <v>-61750</v>
      </c>
      <c r="U18" s="8">
        <f>-(IF(AND(19&gt;=Personnel!$E$32,Personnel!$G$32="Yes"),Personnel!$D$32*Personnel!$I$32,0)+IF(AND(19&gt;=Personnel!$E$33,Personnel!$G$33="Yes"),Personnel!$D$33*Personnel!$I$33,0)+IF(AND(19&gt;=Personnel!$E$34,Personnel!$G$34="Yes"),Personnel!$D$34*Personnel!$I$34,0)+IF(AND(19&gt;=Personnel!$E$35,Personnel!$G$35="Yes"),Personnel!$D$35*Personnel!$I$35,0)+IF(AND(19&gt;=Personnel!$E$36,Personnel!$G$36="Yes"),Personnel!$D$36*Personnel!$I$36,0)+IF(AND(19&gt;=Personnel!$E$37,Personnel!$G$37="Yes"),Personnel!$D$37*Personnel!$I$37,0)+IF(AND(19&gt;=Personnel!$E$38,Personnel!$G$38="Yes"),Personnel!$D$38*Personnel!$I$38,0))</f>
        <v>-61750</v>
      </c>
      <c r="V18" s="8">
        <f>-(IF(AND(20&gt;=Personnel!$E$32,Personnel!$G$32="Yes"),Personnel!$D$32*Personnel!$I$32,0)+IF(AND(20&gt;=Personnel!$E$33,Personnel!$G$33="Yes"),Personnel!$D$33*Personnel!$I$33,0)+IF(AND(20&gt;=Personnel!$E$34,Personnel!$G$34="Yes"),Personnel!$D$34*Personnel!$I$34,0)+IF(AND(20&gt;=Personnel!$E$35,Personnel!$G$35="Yes"),Personnel!$D$35*Personnel!$I$35,0)+IF(AND(20&gt;=Personnel!$E$36,Personnel!$G$36="Yes"),Personnel!$D$36*Personnel!$I$36,0)+IF(AND(20&gt;=Personnel!$E$37,Personnel!$G$37="Yes"),Personnel!$D$37*Personnel!$I$37,0)+IF(AND(20&gt;=Personnel!$E$38,Personnel!$G$38="Yes"),Personnel!$D$38*Personnel!$I$38,0))</f>
        <v>-61750</v>
      </c>
      <c r="W18" s="8">
        <f>-(IF(AND(21&gt;=Personnel!$E$32,Personnel!$G$32="Yes"),Personnel!$D$32*Personnel!$I$32,0)+IF(AND(21&gt;=Personnel!$E$33,Personnel!$G$33="Yes"),Personnel!$D$33*Personnel!$I$33,0)+IF(AND(21&gt;=Personnel!$E$34,Personnel!$G$34="Yes"),Personnel!$D$34*Personnel!$I$34,0)+IF(AND(21&gt;=Personnel!$E$35,Personnel!$G$35="Yes"),Personnel!$D$35*Personnel!$I$35,0)+IF(AND(21&gt;=Personnel!$E$36,Personnel!$G$36="Yes"),Personnel!$D$36*Personnel!$I$36,0)+IF(AND(21&gt;=Personnel!$E$37,Personnel!$G$37="Yes"),Personnel!$D$37*Personnel!$I$37,0)+IF(AND(21&gt;=Personnel!$E$38,Personnel!$G$38="Yes"),Personnel!$D$38*Personnel!$I$38,0))</f>
        <v>-61750</v>
      </c>
      <c r="X18" s="8">
        <f>-(IF(AND(22&gt;=Personnel!$E$32,Personnel!$G$32="Yes"),Personnel!$D$32*Personnel!$I$32,0)+IF(AND(22&gt;=Personnel!$E$33,Personnel!$G$33="Yes"),Personnel!$D$33*Personnel!$I$33,0)+IF(AND(22&gt;=Personnel!$E$34,Personnel!$G$34="Yes"),Personnel!$D$34*Personnel!$I$34,0)+IF(AND(22&gt;=Personnel!$E$35,Personnel!$G$35="Yes"),Personnel!$D$35*Personnel!$I$35,0)+IF(AND(22&gt;=Personnel!$E$36,Personnel!$G$36="Yes"),Personnel!$D$36*Personnel!$I$36,0)+IF(AND(22&gt;=Personnel!$E$37,Personnel!$G$37="Yes"),Personnel!$D$37*Personnel!$I$37,0)+IF(AND(22&gt;=Personnel!$E$38,Personnel!$G$38="Yes"),Personnel!$D$38*Personnel!$I$38,0))</f>
        <v>-61750</v>
      </c>
      <c r="Y18" s="8">
        <f>-(IF(AND(23&gt;=Personnel!$E$32,Personnel!$G$32="Yes"),Personnel!$D$32*Personnel!$I$32,0)+IF(AND(23&gt;=Personnel!$E$33,Personnel!$G$33="Yes"),Personnel!$D$33*Personnel!$I$33,0)+IF(AND(23&gt;=Personnel!$E$34,Personnel!$G$34="Yes"),Personnel!$D$34*Personnel!$I$34,0)+IF(AND(23&gt;=Personnel!$E$35,Personnel!$G$35="Yes"),Personnel!$D$35*Personnel!$I$35,0)+IF(AND(23&gt;=Personnel!$E$36,Personnel!$G$36="Yes"),Personnel!$D$36*Personnel!$I$36,0)+IF(AND(23&gt;=Personnel!$E$37,Personnel!$G$37="Yes"),Personnel!$D$37*Personnel!$I$37,0)+IF(AND(23&gt;=Personnel!$E$38,Personnel!$G$38="Yes"),Personnel!$D$38*Personnel!$I$38,0))</f>
        <v>-61750</v>
      </c>
      <c r="Z18" s="8">
        <f>-(IF(AND(24&gt;=Personnel!$E$32,Personnel!$G$32="Yes"),Personnel!$D$32*Personnel!$I$32,0)+IF(AND(24&gt;=Personnel!$E$33,Personnel!$G$33="Yes"),Personnel!$D$33*Personnel!$I$33,0)+IF(AND(24&gt;=Personnel!$E$34,Personnel!$G$34="Yes"),Personnel!$D$34*Personnel!$I$34,0)+IF(AND(24&gt;=Personnel!$E$35,Personnel!$G$35="Yes"),Personnel!$D$35*Personnel!$I$35,0)+IF(AND(24&gt;=Personnel!$E$36,Personnel!$G$36="Yes"),Personnel!$D$36*Personnel!$I$36,0)+IF(AND(24&gt;=Personnel!$E$37,Personnel!$G$37="Yes"),Personnel!$D$37*Personnel!$I$37,0)+IF(AND(24&gt;=Personnel!$E$38,Personnel!$G$38="Yes"),Personnel!$D$38*Personnel!$I$38,0))</f>
        <v>-61750</v>
      </c>
      <c r="AA18" s="8">
        <f>-(IF(AND(25&gt;=Personnel!$E$32,Personnel!$G$32="Yes"),Personnel!$D$32*Personnel!$I$32,0)+IF(AND(25&gt;=Personnel!$E$33,Personnel!$G$33="Yes"),Personnel!$D$33*Personnel!$I$33,0)+IF(AND(25&gt;=Personnel!$E$34,Personnel!$G$34="Yes"),Personnel!$D$34*Personnel!$I$34,0)+IF(AND(25&gt;=Personnel!$E$35,Personnel!$G$35="Yes"),Personnel!$D$35*Personnel!$I$35,0)+IF(AND(25&gt;=Personnel!$E$36,Personnel!$G$36="Yes"),Personnel!$D$36*Personnel!$I$36,0)+IF(AND(25&gt;=Personnel!$E$37,Personnel!$G$37="Yes"),Personnel!$D$37*Personnel!$I$37,0)+IF(AND(25&gt;=Personnel!$E$38,Personnel!$G$38="Yes"),Personnel!$D$38*Personnel!$I$38,0))</f>
        <v>-61750</v>
      </c>
      <c r="AB18" s="8">
        <f>-(IF(AND(26&gt;=Personnel!$E$32,Personnel!$G$32="Yes"),Personnel!$D$32*Personnel!$I$32,0)+IF(AND(26&gt;=Personnel!$E$33,Personnel!$G$33="Yes"),Personnel!$D$33*Personnel!$I$33,0)+IF(AND(26&gt;=Personnel!$E$34,Personnel!$G$34="Yes"),Personnel!$D$34*Personnel!$I$34,0)+IF(AND(26&gt;=Personnel!$E$35,Personnel!$G$35="Yes"),Personnel!$D$35*Personnel!$I$35,0)+IF(AND(26&gt;=Personnel!$E$36,Personnel!$G$36="Yes"),Personnel!$D$36*Personnel!$I$36,0)+IF(AND(26&gt;=Personnel!$E$37,Personnel!$G$37="Yes"),Personnel!$D$37*Personnel!$I$37,0)+IF(AND(26&gt;=Personnel!$E$38,Personnel!$G$38="Yes"),Personnel!$D$38*Personnel!$I$38,0))</f>
        <v>-61750</v>
      </c>
      <c r="AC18" s="8">
        <f>-(IF(AND(27&gt;=Personnel!$E$32,Personnel!$G$32="Yes"),Personnel!$D$32*Personnel!$I$32,0)+IF(AND(27&gt;=Personnel!$E$33,Personnel!$G$33="Yes"),Personnel!$D$33*Personnel!$I$33,0)+IF(AND(27&gt;=Personnel!$E$34,Personnel!$G$34="Yes"),Personnel!$D$34*Personnel!$I$34,0)+IF(AND(27&gt;=Personnel!$E$35,Personnel!$G$35="Yes"),Personnel!$D$35*Personnel!$I$35,0)+IF(AND(27&gt;=Personnel!$E$36,Personnel!$G$36="Yes"),Personnel!$D$36*Personnel!$I$36,0)+IF(AND(27&gt;=Personnel!$E$37,Personnel!$G$37="Yes"),Personnel!$D$37*Personnel!$I$37,0)+IF(AND(27&gt;=Personnel!$E$38,Personnel!$G$38="Yes"),Personnel!$D$38*Personnel!$I$38,0))</f>
        <v>-61750</v>
      </c>
      <c r="AD18" s="8">
        <f>-(IF(AND(28&gt;=Personnel!$E$32,Personnel!$G$32="Yes"),Personnel!$D$32*Personnel!$I$32,0)+IF(AND(28&gt;=Personnel!$E$33,Personnel!$G$33="Yes"),Personnel!$D$33*Personnel!$I$33,0)+IF(AND(28&gt;=Personnel!$E$34,Personnel!$G$34="Yes"),Personnel!$D$34*Personnel!$I$34,0)+IF(AND(28&gt;=Personnel!$E$35,Personnel!$G$35="Yes"),Personnel!$D$35*Personnel!$I$35,0)+IF(AND(28&gt;=Personnel!$E$36,Personnel!$G$36="Yes"),Personnel!$D$36*Personnel!$I$36,0)+IF(AND(28&gt;=Personnel!$E$37,Personnel!$G$37="Yes"),Personnel!$D$37*Personnel!$I$37,0)+IF(AND(28&gt;=Personnel!$E$38,Personnel!$G$38="Yes"),Personnel!$D$38*Personnel!$I$38,0))</f>
        <v>-61750</v>
      </c>
      <c r="AE18" s="8">
        <f>-(IF(AND(29&gt;=Personnel!$E$32,Personnel!$G$32="Yes"),Personnel!$D$32*Personnel!$I$32,0)+IF(AND(29&gt;=Personnel!$E$33,Personnel!$G$33="Yes"),Personnel!$D$33*Personnel!$I$33,0)+IF(AND(29&gt;=Personnel!$E$34,Personnel!$G$34="Yes"),Personnel!$D$34*Personnel!$I$34,0)+IF(AND(29&gt;=Personnel!$E$35,Personnel!$G$35="Yes"),Personnel!$D$35*Personnel!$I$35,0)+IF(AND(29&gt;=Personnel!$E$36,Personnel!$G$36="Yes"),Personnel!$D$36*Personnel!$I$36,0)+IF(AND(29&gt;=Personnel!$E$37,Personnel!$G$37="Yes"),Personnel!$D$37*Personnel!$I$37,0)+IF(AND(29&gt;=Personnel!$E$38,Personnel!$G$38="Yes"),Personnel!$D$38*Personnel!$I$38,0))</f>
        <v>-61750</v>
      </c>
      <c r="AF18" s="8">
        <f>-(IF(AND(30&gt;=Personnel!$E$32,Personnel!$G$32="Yes"),Personnel!$D$32*Personnel!$I$32,0)+IF(AND(30&gt;=Personnel!$E$33,Personnel!$G$33="Yes"),Personnel!$D$33*Personnel!$I$33,0)+IF(AND(30&gt;=Personnel!$E$34,Personnel!$G$34="Yes"),Personnel!$D$34*Personnel!$I$34,0)+IF(AND(30&gt;=Personnel!$E$35,Personnel!$G$35="Yes"),Personnel!$D$35*Personnel!$I$35,0)+IF(AND(30&gt;=Personnel!$E$36,Personnel!$G$36="Yes"),Personnel!$D$36*Personnel!$I$36,0)+IF(AND(30&gt;=Personnel!$E$37,Personnel!$G$37="Yes"),Personnel!$D$37*Personnel!$I$37,0)+IF(AND(30&gt;=Personnel!$E$38,Personnel!$G$38="Yes"),Personnel!$D$38*Personnel!$I$38,0))</f>
        <v>-61750</v>
      </c>
      <c r="AG18" s="8">
        <f>-(IF(AND(31&gt;=Personnel!$E$32,Personnel!$G$32="Yes"),Personnel!$D$32*Personnel!$I$32,0)+IF(AND(31&gt;=Personnel!$E$33,Personnel!$G$33="Yes"),Personnel!$D$33*Personnel!$I$33,0)+IF(AND(31&gt;=Personnel!$E$34,Personnel!$G$34="Yes"),Personnel!$D$34*Personnel!$I$34,0)+IF(AND(31&gt;=Personnel!$E$35,Personnel!$G$35="Yes"),Personnel!$D$35*Personnel!$I$35,0)+IF(AND(31&gt;=Personnel!$E$36,Personnel!$G$36="Yes"),Personnel!$D$36*Personnel!$I$36,0)+IF(AND(31&gt;=Personnel!$E$37,Personnel!$G$37="Yes"),Personnel!$D$37*Personnel!$I$37,0)+IF(AND(31&gt;=Personnel!$E$38,Personnel!$G$38="Yes"),Personnel!$D$38*Personnel!$I$38,0))</f>
        <v>-61750</v>
      </c>
      <c r="AH18" s="8">
        <f>-(IF(AND(32&gt;=Personnel!$E$32,Personnel!$G$32="Yes"),Personnel!$D$32*Personnel!$I$32,0)+IF(AND(32&gt;=Personnel!$E$33,Personnel!$G$33="Yes"),Personnel!$D$33*Personnel!$I$33,0)+IF(AND(32&gt;=Personnel!$E$34,Personnel!$G$34="Yes"),Personnel!$D$34*Personnel!$I$34,0)+IF(AND(32&gt;=Personnel!$E$35,Personnel!$G$35="Yes"),Personnel!$D$35*Personnel!$I$35,0)+IF(AND(32&gt;=Personnel!$E$36,Personnel!$G$36="Yes"),Personnel!$D$36*Personnel!$I$36,0)+IF(AND(32&gt;=Personnel!$E$37,Personnel!$G$37="Yes"),Personnel!$D$37*Personnel!$I$37,0)+IF(AND(32&gt;=Personnel!$E$38,Personnel!$G$38="Yes"),Personnel!$D$38*Personnel!$I$38,0))</f>
        <v>-61750</v>
      </c>
      <c r="AI18" s="8">
        <f>-(IF(AND(33&gt;=Personnel!$E$32,Personnel!$G$32="Yes"),Personnel!$D$32*Personnel!$I$32,0)+IF(AND(33&gt;=Personnel!$E$33,Personnel!$G$33="Yes"),Personnel!$D$33*Personnel!$I$33,0)+IF(AND(33&gt;=Personnel!$E$34,Personnel!$G$34="Yes"),Personnel!$D$34*Personnel!$I$34,0)+IF(AND(33&gt;=Personnel!$E$35,Personnel!$G$35="Yes"),Personnel!$D$35*Personnel!$I$35,0)+IF(AND(33&gt;=Personnel!$E$36,Personnel!$G$36="Yes"),Personnel!$D$36*Personnel!$I$36,0)+IF(AND(33&gt;=Personnel!$E$37,Personnel!$G$37="Yes"),Personnel!$D$37*Personnel!$I$37,0)+IF(AND(33&gt;=Personnel!$E$38,Personnel!$G$38="Yes"),Personnel!$D$38*Personnel!$I$38,0))</f>
        <v>-61750</v>
      </c>
      <c r="AJ18" s="8">
        <f>-(IF(AND(34&gt;=Personnel!$E$32,Personnel!$G$32="Yes"),Personnel!$D$32*Personnel!$I$32,0)+IF(AND(34&gt;=Personnel!$E$33,Personnel!$G$33="Yes"),Personnel!$D$33*Personnel!$I$33,0)+IF(AND(34&gt;=Personnel!$E$34,Personnel!$G$34="Yes"),Personnel!$D$34*Personnel!$I$34,0)+IF(AND(34&gt;=Personnel!$E$35,Personnel!$G$35="Yes"),Personnel!$D$35*Personnel!$I$35,0)+IF(AND(34&gt;=Personnel!$E$36,Personnel!$G$36="Yes"),Personnel!$D$36*Personnel!$I$36,0)+IF(AND(34&gt;=Personnel!$E$37,Personnel!$G$37="Yes"),Personnel!$D$37*Personnel!$I$37,0)+IF(AND(34&gt;=Personnel!$E$38,Personnel!$G$38="Yes"),Personnel!$D$38*Personnel!$I$38,0))</f>
        <v>-61750</v>
      </c>
      <c r="AK18" s="8">
        <f>-(IF(AND(35&gt;=Personnel!$E$32,Personnel!$G$32="Yes"),Personnel!$D$32*Personnel!$I$32,0)+IF(AND(35&gt;=Personnel!$E$33,Personnel!$G$33="Yes"),Personnel!$D$33*Personnel!$I$33,0)+IF(AND(35&gt;=Personnel!$E$34,Personnel!$G$34="Yes"),Personnel!$D$34*Personnel!$I$34,0)+IF(AND(35&gt;=Personnel!$E$35,Personnel!$G$35="Yes"),Personnel!$D$35*Personnel!$I$35,0)+IF(AND(35&gt;=Personnel!$E$36,Personnel!$G$36="Yes"),Personnel!$D$36*Personnel!$I$36,0)+IF(AND(35&gt;=Personnel!$E$37,Personnel!$G$37="Yes"),Personnel!$D$37*Personnel!$I$37,0)+IF(AND(35&gt;=Personnel!$E$38,Personnel!$G$38="Yes"),Personnel!$D$38*Personnel!$I$38,0))</f>
        <v>-61750</v>
      </c>
      <c r="AL18" s="8">
        <f>-(IF(AND(36&gt;=Personnel!$E$32,Personnel!$G$32="Yes"),Personnel!$D$32*Personnel!$I$32,0)+IF(AND(36&gt;=Personnel!$E$33,Personnel!$G$33="Yes"),Personnel!$D$33*Personnel!$I$33,0)+IF(AND(36&gt;=Personnel!$E$34,Personnel!$G$34="Yes"),Personnel!$D$34*Personnel!$I$34,0)+IF(AND(36&gt;=Personnel!$E$35,Personnel!$G$35="Yes"),Personnel!$D$35*Personnel!$I$35,0)+IF(AND(36&gt;=Personnel!$E$36,Personnel!$G$36="Yes"),Personnel!$D$36*Personnel!$I$36,0)+IF(AND(36&gt;=Personnel!$E$37,Personnel!$G$37="Yes"),Personnel!$D$37*Personnel!$I$37,0)+IF(AND(36&gt;=Personnel!$E$38,Personnel!$G$38="Yes"),Personnel!$D$38*Personnel!$I$38,0))</f>
        <v>-61750</v>
      </c>
      <c r="AM18" s="8">
        <f>-(IF(AND(37&gt;=Personnel!$E$32,Personnel!$G$32="Yes"),Personnel!$D$32*Personnel!$I$32,0)+IF(AND(37&gt;=Personnel!$E$33,Personnel!$G$33="Yes"),Personnel!$D$33*Personnel!$I$33,0)+IF(AND(37&gt;=Personnel!$E$34,Personnel!$G$34="Yes"),Personnel!$D$34*Personnel!$I$34,0)+IF(AND(37&gt;=Personnel!$E$35,Personnel!$G$35="Yes"),Personnel!$D$35*Personnel!$I$35,0)+IF(AND(37&gt;=Personnel!$E$36,Personnel!$G$36="Yes"),Personnel!$D$36*Personnel!$I$36,0)+IF(AND(37&gt;=Personnel!$E$37,Personnel!$G$37="Yes"),Personnel!$D$37*Personnel!$I$37,0)+IF(AND(37&gt;=Personnel!$E$38,Personnel!$G$38="Yes"),Personnel!$D$38*Personnel!$I$38,0))</f>
        <v>-61750</v>
      </c>
      <c r="AN18" s="8">
        <f>-(IF(AND(38&gt;=Personnel!$E$32,Personnel!$G$32="Yes"),Personnel!$D$32*Personnel!$I$32,0)+IF(AND(38&gt;=Personnel!$E$33,Personnel!$G$33="Yes"),Personnel!$D$33*Personnel!$I$33,0)+IF(AND(38&gt;=Personnel!$E$34,Personnel!$G$34="Yes"),Personnel!$D$34*Personnel!$I$34,0)+IF(AND(38&gt;=Personnel!$E$35,Personnel!$G$35="Yes"),Personnel!$D$35*Personnel!$I$35,0)+IF(AND(38&gt;=Personnel!$E$36,Personnel!$G$36="Yes"),Personnel!$D$36*Personnel!$I$36,0)+IF(AND(38&gt;=Personnel!$E$37,Personnel!$G$37="Yes"),Personnel!$D$37*Personnel!$I$37,0)+IF(AND(38&gt;=Personnel!$E$38,Personnel!$G$38="Yes"),Personnel!$D$38*Personnel!$I$38,0))</f>
        <v>-61750</v>
      </c>
      <c r="AO18" s="8">
        <f>-(IF(AND(39&gt;=Personnel!$E$32,Personnel!$G$32="Yes"),Personnel!$D$32*Personnel!$I$32,0)+IF(AND(39&gt;=Personnel!$E$33,Personnel!$G$33="Yes"),Personnel!$D$33*Personnel!$I$33,0)+IF(AND(39&gt;=Personnel!$E$34,Personnel!$G$34="Yes"),Personnel!$D$34*Personnel!$I$34,0)+IF(AND(39&gt;=Personnel!$E$35,Personnel!$G$35="Yes"),Personnel!$D$35*Personnel!$I$35,0)+IF(AND(39&gt;=Personnel!$E$36,Personnel!$G$36="Yes"),Personnel!$D$36*Personnel!$I$36,0)+IF(AND(39&gt;=Personnel!$E$37,Personnel!$G$37="Yes"),Personnel!$D$37*Personnel!$I$37,0)+IF(AND(39&gt;=Personnel!$E$38,Personnel!$G$38="Yes"),Personnel!$D$38*Personnel!$I$38,0))</f>
        <v>-61750</v>
      </c>
      <c r="AP18" s="8">
        <f>-(IF(AND(40&gt;=Personnel!$E$32,Personnel!$G$32="Yes"),Personnel!$D$32*Personnel!$I$32,0)+IF(AND(40&gt;=Personnel!$E$33,Personnel!$G$33="Yes"),Personnel!$D$33*Personnel!$I$33,0)+IF(AND(40&gt;=Personnel!$E$34,Personnel!$G$34="Yes"),Personnel!$D$34*Personnel!$I$34,0)+IF(AND(40&gt;=Personnel!$E$35,Personnel!$G$35="Yes"),Personnel!$D$35*Personnel!$I$35,0)+IF(AND(40&gt;=Personnel!$E$36,Personnel!$G$36="Yes"),Personnel!$D$36*Personnel!$I$36,0)+IF(AND(40&gt;=Personnel!$E$37,Personnel!$G$37="Yes"),Personnel!$D$37*Personnel!$I$37,0)+IF(AND(40&gt;=Personnel!$E$38,Personnel!$G$38="Yes"),Personnel!$D$38*Personnel!$I$38,0))</f>
        <v>-61750</v>
      </c>
      <c r="AQ18" s="8">
        <f>-(IF(AND(41&gt;=Personnel!$E$32,Personnel!$G$32="Yes"),Personnel!$D$32*Personnel!$I$32,0)+IF(AND(41&gt;=Personnel!$E$33,Personnel!$G$33="Yes"),Personnel!$D$33*Personnel!$I$33,0)+IF(AND(41&gt;=Personnel!$E$34,Personnel!$G$34="Yes"),Personnel!$D$34*Personnel!$I$34,0)+IF(AND(41&gt;=Personnel!$E$35,Personnel!$G$35="Yes"),Personnel!$D$35*Personnel!$I$35,0)+IF(AND(41&gt;=Personnel!$E$36,Personnel!$G$36="Yes"),Personnel!$D$36*Personnel!$I$36,0)+IF(AND(41&gt;=Personnel!$E$37,Personnel!$G$37="Yes"),Personnel!$D$37*Personnel!$I$37,0)+IF(AND(41&gt;=Personnel!$E$38,Personnel!$G$38="Yes"),Personnel!$D$38*Personnel!$I$38,0))</f>
        <v>-61750</v>
      </c>
      <c r="AR18" s="8">
        <f>-(IF(AND(42&gt;=Personnel!$E$32,Personnel!$G$32="Yes"),Personnel!$D$32*Personnel!$I$32,0)+IF(AND(42&gt;=Personnel!$E$33,Personnel!$G$33="Yes"),Personnel!$D$33*Personnel!$I$33,0)+IF(AND(42&gt;=Personnel!$E$34,Personnel!$G$34="Yes"),Personnel!$D$34*Personnel!$I$34,0)+IF(AND(42&gt;=Personnel!$E$35,Personnel!$G$35="Yes"),Personnel!$D$35*Personnel!$I$35,0)+IF(AND(42&gt;=Personnel!$E$36,Personnel!$G$36="Yes"),Personnel!$D$36*Personnel!$I$36,0)+IF(AND(42&gt;=Personnel!$E$37,Personnel!$G$37="Yes"),Personnel!$D$37*Personnel!$I$37,0)+IF(AND(42&gt;=Personnel!$E$38,Personnel!$G$38="Yes"),Personnel!$D$38*Personnel!$I$38,0))</f>
        <v>-61750</v>
      </c>
      <c r="AS18" s="8">
        <f>-(IF(AND(43&gt;=Personnel!$E$32,Personnel!$G$32="Yes"),Personnel!$D$32*Personnel!$I$32,0)+IF(AND(43&gt;=Personnel!$E$33,Personnel!$G$33="Yes"),Personnel!$D$33*Personnel!$I$33,0)+IF(AND(43&gt;=Personnel!$E$34,Personnel!$G$34="Yes"),Personnel!$D$34*Personnel!$I$34,0)+IF(AND(43&gt;=Personnel!$E$35,Personnel!$G$35="Yes"),Personnel!$D$35*Personnel!$I$35,0)+IF(AND(43&gt;=Personnel!$E$36,Personnel!$G$36="Yes"),Personnel!$D$36*Personnel!$I$36,0)+IF(AND(43&gt;=Personnel!$E$37,Personnel!$G$37="Yes"),Personnel!$D$37*Personnel!$I$37,0)+IF(AND(43&gt;=Personnel!$E$38,Personnel!$G$38="Yes"),Personnel!$D$38*Personnel!$I$38,0))</f>
        <v>-61750</v>
      </c>
      <c r="AT18" s="8">
        <f>-(IF(AND(44&gt;=Personnel!$E$32,Personnel!$G$32="Yes"),Personnel!$D$32*Personnel!$I$32,0)+IF(AND(44&gt;=Personnel!$E$33,Personnel!$G$33="Yes"),Personnel!$D$33*Personnel!$I$33,0)+IF(AND(44&gt;=Personnel!$E$34,Personnel!$G$34="Yes"),Personnel!$D$34*Personnel!$I$34,0)+IF(AND(44&gt;=Personnel!$E$35,Personnel!$G$35="Yes"),Personnel!$D$35*Personnel!$I$35,0)+IF(AND(44&gt;=Personnel!$E$36,Personnel!$G$36="Yes"),Personnel!$D$36*Personnel!$I$36,0)+IF(AND(44&gt;=Personnel!$E$37,Personnel!$G$37="Yes"),Personnel!$D$37*Personnel!$I$37,0)+IF(AND(44&gt;=Personnel!$E$38,Personnel!$G$38="Yes"),Personnel!$D$38*Personnel!$I$38,0))</f>
        <v>-61750</v>
      </c>
      <c r="AU18" s="8">
        <f>-(IF(AND(45&gt;=Personnel!$E$32,Personnel!$G$32="Yes"),Personnel!$D$32*Personnel!$I$32,0)+IF(AND(45&gt;=Personnel!$E$33,Personnel!$G$33="Yes"),Personnel!$D$33*Personnel!$I$33,0)+IF(AND(45&gt;=Personnel!$E$34,Personnel!$G$34="Yes"),Personnel!$D$34*Personnel!$I$34,0)+IF(AND(45&gt;=Personnel!$E$35,Personnel!$G$35="Yes"),Personnel!$D$35*Personnel!$I$35,0)+IF(AND(45&gt;=Personnel!$E$36,Personnel!$G$36="Yes"),Personnel!$D$36*Personnel!$I$36,0)+IF(AND(45&gt;=Personnel!$E$37,Personnel!$G$37="Yes"),Personnel!$D$37*Personnel!$I$37,0)+IF(AND(45&gt;=Personnel!$E$38,Personnel!$G$38="Yes"),Personnel!$D$38*Personnel!$I$38,0))</f>
        <v>-61750</v>
      </c>
      <c r="AV18" s="8">
        <f>-(IF(AND(46&gt;=Personnel!$E$32,Personnel!$G$32="Yes"),Personnel!$D$32*Personnel!$I$32,0)+IF(AND(46&gt;=Personnel!$E$33,Personnel!$G$33="Yes"),Personnel!$D$33*Personnel!$I$33,0)+IF(AND(46&gt;=Personnel!$E$34,Personnel!$G$34="Yes"),Personnel!$D$34*Personnel!$I$34,0)+IF(AND(46&gt;=Personnel!$E$35,Personnel!$G$35="Yes"),Personnel!$D$35*Personnel!$I$35,0)+IF(AND(46&gt;=Personnel!$E$36,Personnel!$G$36="Yes"),Personnel!$D$36*Personnel!$I$36,0)+IF(AND(46&gt;=Personnel!$E$37,Personnel!$G$37="Yes"),Personnel!$D$37*Personnel!$I$37,0)+IF(AND(46&gt;=Personnel!$E$38,Personnel!$G$38="Yes"),Personnel!$D$38*Personnel!$I$38,0))</f>
        <v>-61750</v>
      </c>
      <c r="AW18" s="8">
        <f>-(IF(AND(47&gt;=Personnel!$E$32,Personnel!$G$32="Yes"),Personnel!$D$32*Personnel!$I$32,0)+IF(AND(47&gt;=Personnel!$E$33,Personnel!$G$33="Yes"),Personnel!$D$33*Personnel!$I$33,0)+IF(AND(47&gt;=Personnel!$E$34,Personnel!$G$34="Yes"),Personnel!$D$34*Personnel!$I$34,0)+IF(AND(47&gt;=Personnel!$E$35,Personnel!$G$35="Yes"),Personnel!$D$35*Personnel!$I$35,0)+IF(AND(47&gt;=Personnel!$E$36,Personnel!$G$36="Yes"),Personnel!$D$36*Personnel!$I$36,0)+IF(AND(47&gt;=Personnel!$E$37,Personnel!$G$37="Yes"),Personnel!$D$37*Personnel!$I$37,0)+IF(AND(47&gt;=Personnel!$E$38,Personnel!$G$38="Yes"),Personnel!$D$38*Personnel!$I$38,0))</f>
        <v>-61750</v>
      </c>
      <c r="AX18" s="8">
        <f>-(IF(AND(48&gt;=Personnel!$E$32,Personnel!$G$32="Yes"),Personnel!$D$32*Personnel!$I$32,0)+IF(AND(48&gt;=Personnel!$E$33,Personnel!$G$33="Yes"),Personnel!$D$33*Personnel!$I$33,0)+IF(AND(48&gt;=Personnel!$E$34,Personnel!$G$34="Yes"),Personnel!$D$34*Personnel!$I$34,0)+IF(AND(48&gt;=Personnel!$E$35,Personnel!$G$35="Yes"),Personnel!$D$35*Personnel!$I$35,0)+IF(AND(48&gt;=Personnel!$E$36,Personnel!$G$36="Yes"),Personnel!$D$36*Personnel!$I$36,0)+IF(AND(48&gt;=Personnel!$E$37,Personnel!$G$37="Yes"),Personnel!$D$37*Personnel!$I$37,0)+IF(AND(48&gt;=Personnel!$E$38,Personnel!$G$38="Yes"),Personnel!$D$38*Personnel!$I$38,0))</f>
        <v>-61750</v>
      </c>
      <c r="AY18" s="8">
        <f>-(IF(AND(49&gt;=Personnel!$E$32,Personnel!$G$32="Yes"),Personnel!$D$32*Personnel!$I$32,0)+IF(AND(49&gt;=Personnel!$E$33,Personnel!$G$33="Yes"),Personnel!$D$33*Personnel!$I$33,0)+IF(AND(49&gt;=Personnel!$E$34,Personnel!$G$34="Yes"),Personnel!$D$34*Personnel!$I$34,0)+IF(AND(49&gt;=Personnel!$E$35,Personnel!$G$35="Yes"),Personnel!$D$35*Personnel!$I$35,0)+IF(AND(49&gt;=Personnel!$E$36,Personnel!$G$36="Yes"),Personnel!$D$36*Personnel!$I$36,0)+IF(AND(49&gt;=Personnel!$E$37,Personnel!$G$37="Yes"),Personnel!$D$37*Personnel!$I$37,0)+IF(AND(49&gt;=Personnel!$E$38,Personnel!$G$38="Yes"),Personnel!$D$38*Personnel!$I$38,0))</f>
        <v>-61750</v>
      </c>
      <c r="AZ18" s="8">
        <f>-(IF(AND(50&gt;=Personnel!$E$32,Personnel!$G$32="Yes"),Personnel!$D$32*Personnel!$I$32,0)+IF(AND(50&gt;=Personnel!$E$33,Personnel!$G$33="Yes"),Personnel!$D$33*Personnel!$I$33,0)+IF(AND(50&gt;=Personnel!$E$34,Personnel!$G$34="Yes"),Personnel!$D$34*Personnel!$I$34,0)+IF(AND(50&gt;=Personnel!$E$35,Personnel!$G$35="Yes"),Personnel!$D$35*Personnel!$I$35,0)+IF(AND(50&gt;=Personnel!$E$36,Personnel!$G$36="Yes"),Personnel!$D$36*Personnel!$I$36,0)+IF(AND(50&gt;=Personnel!$E$37,Personnel!$G$37="Yes"),Personnel!$D$37*Personnel!$I$37,0)+IF(AND(50&gt;=Personnel!$E$38,Personnel!$G$38="Yes"),Personnel!$D$38*Personnel!$I$38,0))</f>
        <v>-61750</v>
      </c>
      <c r="BA18" s="8">
        <f>-(IF(AND(51&gt;=Personnel!$E$32,Personnel!$G$32="Yes"),Personnel!$D$32*Personnel!$I$32,0)+IF(AND(51&gt;=Personnel!$E$33,Personnel!$G$33="Yes"),Personnel!$D$33*Personnel!$I$33,0)+IF(AND(51&gt;=Personnel!$E$34,Personnel!$G$34="Yes"),Personnel!$D$34*Personnel!$I$34,0)+IF(AND(51&gt;=Personnel!$E$35,Personnel!$G$35="Yes"),Personnel!$D$35*Personnel!$I$35,0)+IF(AND(51&gt;=Personnel!$E$36,Personnel!$G$36="Yes"),Personnel!$D$36*Personnel!$I$36,0)+IF(AND(51&gt;=Personnel!$E$37,Personnel!$G$37="Yes"),Personnel!$D$37*Personnel!$I$37,0)+IF(AND(51&gt;=Personnel!$E$38,Personnel!$G$38="Yes"),Personnel!$D$38*Personnel!$I$38,0))</f>
        <v>-61750</v>
      </c>
      <c r="BB18" s="8">
        <f>-(IF(AND(52&gt;=Personnel!$E$32,Personnel!$G$32="Yes"),Personnel!$D$32*Personnel!$I$32,0)+IF(AND(52&gt;=Personnel!$E$33,Personnel!$G$33="Yes"),Personnel!$D$33*Personnel!$I$33,0)+IF(AND(52&gt;=Personnel!$E$34,Personnel!$G$34="Yes"),Personnel!$D$34*Personnel!$I$34,0)+IF(AND(52&gt;=Personnel!$E$35,Personnel!$G$35="Yes"),Personnel!$D$35*Personnel!$I$35,0)+IF(AND(52&gt;=Personnel!$E$36,Personnel!$G$36="Yes"),Personnel!$D$36*Personnel!$I$36,0)+IF(AND(52&gt;=Personnel!$E$37,Personnel!$G$37="Yes"),Personnel!$D$37*Personnel!$I$37,0)+IF(AND(52&gt;=Personnel!$E$38,Personnel!$G$38="Yes"),Personnel!$D$38*Personnel!$I$38,0))</f>
        <v>-61750</v>
      </c>
      <c r="BC18" s="8">
        <f>-(IF(AND(53&gt;=Personnel!$E$32,Personnel!$G$32="Yes"),Personnel!$D$32*Personnel!$I$32,0)+IF(AND(53&gt;=Personnel!$E$33,Personnel!$G$33="Yes"),Personnel!$D$33*Personnel!$I$33,0)+IF(AND(53&gt;=Personnel!$E$34,Personnel!$G$34="Yes"),Personnel!$D$34*Personnel!$I$34,0)+IF(AND(53&gt;=Personnel!$E$35,Personnel!$G$35="Yes"),Personnel!$D$35*Personnel!$I$35,0)+IF(AND(53&gt;=Personnel!$E$36,Personnel!$G$36="Yes"),Personnel!$D$36*Personnel!$I$36,0)+IF(AND(53&gt;=Personnel!$E$37,Personnel!$G$37="Yes"),Personnel!$D$37*Personnel!$I$37,0)+IF(AND(53&gt;=Personnel!$E$38,Personnel!$G$38="Yes"),Personnel!$D$38*Personnel!$I$38,0))</f>
        <v>-61750</v>
      </c>
      <c r="BD18" s="8">
        <f>-(IF(AND(54&gt;=Personnel!$E$32,Personnel!$G$32="Yes"),Personnel!$D$32*Personnel!$I$32,0)+IF(AND(54&gt;=Personnel!$E$33,Personnel!$G$33="Yes"),Personnel!$D$33*Personnel!$I$33,0)+IF(AND(54&gt;=Personnel!$E$34,Personnel!$G$34="Yes"),Personnel!$D$34*Personnel!$I$34,0)+IF(AND(54&gt;=Personnel!$E$35,Personnel!$G$35="Yes"),Personnel!$D$35*Personnel!$I$35,0)+IF(AND(54&gt;=Personnel!$E$36,Personnel!$G$36="Yes"),Personnel!$D$36*Personnel!$I$36,0)+IF(AND(54&gt;=Personnel!$E$37,Personnel!$G$37="Yes"),Personnel!$D$37*Personnel!$I$37,0)+IF(AND(54&gt;=Personnel!$E$38,Personnel!$G$38="Yes"),Personnel!$D$38*Personnel!$I$38,0))</f>
        <v>-61750</v>
      </c>
      <c r="BE18" s="8">
        <f>-(IF(AND(55&gt;=Personnel!$E$32,Personnel!$G$32="Yes"),Personnel!$D$32*Personnel!$I$32,0)+IF(AND(55&gt;=Personnel!$E$33,Personnel!$G$33="Yes"),Personnel!$D$33*Personnel!$I$33,0)+IF(AND(55&gt;=Personnel!$E$34,Personnel!$G$34="Yes"),Personnel!$D$34*Personnel!$I$34,0)+IF(AND(55&gt;=Personnel!$E$35,Personnel!$G$35="Yes"),Personnel!$D$35*Personnel!$I$35,0)+IF(AND(55&gt;=Personnel!$E$36,Personnel!$G$36="Yes"),Personnel!$D$36*Personnel!$I$36,0)+IF(AND(55&gt;=Personnel!$E$37,Personnel!$G$37="Yes"),Personnel!$D$37*Personnel!$I$37,0)+IF(AND(55&gt;=Personnel!$E$38,Personnel!$G$38="Yes"),Personnel!$D$38*Personnel!$I$38,0))</f>
        <v>-61750</v>
      </c>
      <c r="BF18" s="8">
        <f>-(IF(AND(56&gt;=Personnel!$E$32,Personnel!$G$32="Yes"),Personnel!$D$32*Personnel!$I$32,0)+IF(AND(56&gt;=Personnel!$E$33,Personnel!$G$33="Yes"),Personnel!$D$33*Personnel!$I$33,0)+IF(AND(56&gt;=Personnel!$E$34,Personnel!$G$34="Yes"),Personnel!$D$34*Personnel!$I$34,0)+IF(AND(56&gt;=Personnel!$E$35,Personnel!$G$35="Yes"),Personnel!$D$35*Personnel!$I$35,0)+IF(AND(56&gt;=Personnel!$E$36,Personnel!$G$36="Yes"),Personnel!$D$36*Personnel!$I$36,0)+IF(AND(56&gt;=Personnel!$E$37,Personnel!$G$37="Yes"),Personnel!$D$37*Personnel!$I$37,0)+IF(AND(56&gt;=Personnel!$E$38,Personnel!$G$38="Yes"),Personnel!$D$38*Personnel!$I$38,0))</f>
        <v>-61750</v>
      </c>
      <c r="BG18" s="8">
        <f>-(IF(AND(57&gt;=Personnel!$E$32,Personnel!$G$32="Yes"),Personnel!$D$32*Personnel!$I$32,0)+IF(AND(57&gt;=Personnel!$E$33,Personnel!$G$33="Yes"),Personnel!$D$33*Personnel!$I$33,0)+IF(AND(57&gt;=Personnel!$E$34,Personnel!$G$34="Yes"),Personnel!$D$34*Personnel!$I$34,0)+IF(AND(57&gt;=Personnel!$E$35,Personnel!$G$35="Yes"),Personnel!$D$35*Personnel!$I$35,0)+IF(AND(57&gt;=Personnel!$E$36,Personnel!$G$36="Yes"),Personnel!$D$36*Personnel!$I$36,0)+IF(AND(57&gt;=Personnel!$E$37,Personnel!$G$37="Yes"),Personnel!$D$37*Personnel!$I$37,0)+IF(AND(57&gt;=Personnel!$E$38,Personnel!$G$38="Yes"),Personnel!$D$38*Personnel!$I$38,0))</f>
        <v>-61750</v>
      </c>
      <c r="BH18" s="8">
        <f>-(IF(AND(58&gt;=Personnel!$E$32,Personnel!$G$32="Yes"),Personnel!$D$32*Personnel!$I$32,0)+IF(AND(58&gt;=Personnel!$E$33,Personnel!$G$33="Yes"),Personnel!$D$33*Personnel!$I$33,0)+IF(AND(58&gt;=Personnel!$E$34,Personnel!$G$34="Yes"),Personnel!$D$34*Personnel!$I$34,0)+IF(AND(58&gt;=Personnel!$E$35,Personnel!$G$35="Yes"),Personnel!$D$35*Personnel!$I$35,0)+IF(AND(58&gt;=Personnel!$E$36,Personnel!$G$36="Yes"),Personnel!$D$36*Personnel!$I$36,0)+IF(AND(58&gt;=Personnel!$E$37,Personnel!$G$37="Yes"),Personnel!$D$37*Personnel!$I$37,0)+IF(AND(58&gt;=Personnel!$E$38,Personnel!$G$38="Yes"),Personnel!$D$38*Personnel!$I$38,0))</f>
        <v>-61750</v>
      </c>
      <c r="BI18" s="8">
        <f>-(IF(AND(59&gt;=Personnel!$E$32,Personnel!$G$32="Yes"),Personnel!$D$32*Personnel!$I$32,0)+IF(AND(59&gt;=Personnel!$E$33,Personnel!$G$33="Yes"),Personnel!$D$33*Personnel!$I$33,0)+IF(AND(59&gt;=Personnel!$E$34,Personnel!$G$34="Yes"),Personnel!$D$34*Personnel!$I$34,0)+IF(AND(59&gt;=Personnel!$E$35,Personnel!$G$35="Yes"),Personnel!$D$35*Personnel!$I$35,0)+IF(AND(59&gt;=Personnel!$E$36,Personnel!$G$36="Yes"),Personnel!$D$36*Personnel!$I$36,0)+IF(AND(59&gt;=Personnel!$E$37,Personnel!$G$37="Yes"),Personnel!$D$37*Personnel!$I$37,0)+IF(AND(59&gt;=Personnel!$E$38,Personnel!$G$38="Yes"),Personnel!$D$38*Personnel!$I$38,0))</f>
        <v>-61750</v>
      </c>
      <c r="BJ18" s="8">
        <f>-(IF(AND(60&gt;=Personnel!$E$32,Personnel!$G$32="Yes"),Personnel!$D$32*Personnel!$I$32,0)+IF(AND(60&gt;=Personnel!$E$33,Personnel!$G$33="Yes"),Personnel!$D$33*Personnel!$I$33,0)+IF(AND(60&gt;=Personnel!$E$34,Personnel!$G$34="Yes"),Personnel!$D$34*Personnel!$I$34,0)+IF(AND(60&gt;=Personnel!$E$35,Personnel!$G$35="Yes"),Personnel!$D$35*Personnel!$I$35,0)+IF(AND(60&gt;=Personnel!$E$36,Personnel!$G$36="Yes"),Personnel!$D$36*Personnel!$I$36,0)+IF(AND(60&gt;=Personnel!$E$37,Personnel!$G$37="Yes"),Personnel!$D$37*Personnel!$I$37,0)+IF(AND(60&gt;=Personnel!$E$38,Personnel!$G$38="Yes"),Personnel!$D$38*Personnel!$I$38,0))</f>
        <v>-61750</v>
      </c>
      <c r="BK18" s="8">
        <f>-(IF(AND(61&gt;=Personnel!$E$32,Personnel!$G$32="Yes"),Personnel!$D$32*Personnel!$I$32,0)+IF(AND(61&gt;=Personnel!$E$33,Personnel!$G$33="Yes"),Personnel!$D$33*Personnel!$I$33,0)+IF(AND(61&gt;=Personnel!$E$34,Personnel!$G$34="Yes"),Personnel!$D$34*Personnel!$I$34,0)+IF(AND(61&gt;=Personnel!$E$35,Personnel!$G$35="Yes"),Personnel!$D$35*Personnel!$I$35,0)+IF(AND(61&gt;=Personnel!$E$36,Personnel!$G$36="Yes"),Personnel!$D$36*Personnel!$I$36,0)+IF(AND(61&gt;=Personnel!$E$37,Personnel!$G$37="Yes"),Personnel!$D$37*Personnel!$I$37,0)+IF(AND(61&gt;=Personnel!$E$38,Personnel!$G$38="Yes"),Personnel!$D$38*Personnel!$I$38,0))</f>
        <v>-61750</v>
      </c>
      <c r="BL18" s="8">
        <f>-(IF(AND(62&gt;=Personnel!$E$32,Personnel!$G$32="Yes"),Personnel!$D$32*Personnel!$I$32,0)+IF(AND(62&gt;=Personnel!$E$33,Personnel!$G$33="Yes"),Personnel!$D$33*Personnel!$I$33,0)+IF(AND(62&gt;=Personnel!$E$34,Personnel!$G$34="Yes"),Personnel!$D$34*Personnel!$I$34,0)+IF(AND(62&gt;=Personnel!$E$35,Personnel!$G$35="Yes"),Personnel!$D$35*Personnel!$I$35,0)+IF(AND(62&gt;=Personnel!$E$36,Personnel!$G$36="Yes"),Personnel!$D$36*Personnel!$I$36,0)+IF(AND(62&gt;=Personnel!$E$37,Personnel!$G$37="Yes"),Personnel!$D$37*Personnel!$I$37,0)+IF(AND(62&gt;=Personnel!$E$38,Personnel!$G$38="Yes"),Personnel!$D$38*Personnel!$I$38,0))</f>
        <v>-61750</v>
      </c>
      <c r="BM18" s="8">
        <f>-(IF(AND(63&gt;=Personnel!$E$32,Personnel!$G$32="Yes"),Personnel!$D$32*Personnel!$I$32,0)+IF(AND(63&gt;=Personnel!$E$33,Personnel!$G$33="Yes"),Personnel!$D$33*Personnel!$I$33,0)+IF(AND(63&gt;=Personnel!$E$34,Personnel!$G$34="Yes"),Personnel!$D$34*Personnel!$I$34,0)+IF(AND(63&gt;=Personnel!$E$35,Personnel!$G$35="Yes"),Personnel!$D$35*Personnel!$I$35,0)+IF(AND(63&gt;=Personnel!$E$36,Personnel!$G$36="Yes"),Personnel!$D$36*Personnel!$I$36,0)+IF(AND(63&gt;=Personnel!$E$37,Personnel!$G$37="Yes"),Personnel!$D$37*Personnel!$I$37,0)+IF(AND(63&gt;=Personnel!$E$38,Personnel!$G$38="Yes"),Personnel!$D$38*Personnel!$I$38,0))</f>
        <v>-61750</v>
      </c>
      <c r="BN18" s="8">
        <f>-(IF(AND(64&gt;=Personnel!$E$32,Personnel!$G$32="Yes"),Personnel!$D$32*Personnel!$I$32,0)+IF(AND(64&gt;=Personnel!$E$33,Personnel!$G$33="Yes"),Personnel!$D$33*Personnel!$I$33,0)+IF(AND(64&gt;=Personnel!$E$34,Personnel!$G$34="Yes"),Personnel!$D$34*Personnel!$I$34,0)+IF(AND(64&gt;=Personnel!$E$35,Personnel!$G$35="Yes"),Personnel!$D$35*Personnel!$I$35,0)+IF(AND(64&gt;=Personnel!$E$36,Personnel!$G$36="Yes"),Personnel!$D$36*Personnel!$I$36,0)+IF(AND(64&gt;=Personnel!$E$37,Personnel!$G$37="Yes"),Personnel!$D$37*Personnel!$I$37,0)+IF(AND(64&gt;=Personnel!$E$38,Personnel!$G$38="Yes"),Personnel!$D$38*Personnel!$I$38,0))</f>
        <v>-61750</v>
      </c>
      <c r="BO18" s="8">
        <f>-(IF(AND(65&gt;=Personnel!$E$32,Personnel!$G$32="Yes"),Personnel!$D$32*Personnel!$I$32,0)+IF(AND(65&gt;=Personnel!$E$33,Personnel!$G$33="Yes"),Personnel!$D$33*Personnel!$I$33,0)+IF(AND(65&gt;=Personnel!$E$34,Personnel!$G$34="Yes"),Personnel!$D$34*Personnel!$I$34,0)+IF(AND(65&gt;=Personnel!$E$35,Personnel!$G$35="Yes"),Personnel!$D$35*Personnel!$I$35,0)+IF(AND(65&gt;=Personnel!$E$36,Personnel!$G$36="Yes"),Personnel!$D$36*Personnel!$I$36,0)+IF(AND(65&gt;=Personnel!$E$37,Personnel!$G$37="Yes"),Personnel!$D$37*Personnel!$I$37,0)+IF(AND(65&gt;=Personnel!$E$38,Personnel!$G$38="Yes"),Personnel!$D$38*Personnel!$I$38,0))</f>
        <v>-61750</v>
      </c>
      <c r="BP18" s="8">
        <f>-(IF(AND(66&gt;=Personnel!$E$32,Personnel!$G$32="Yes"),Personnel!$D$32*Personnel!$I$32,0)+IF(AND(66&gt;=Personnel!$E$33,Personnel!$G$33="Yes"),Personnel!$D$33*Personnel!$I$33,0)+IF(AND(66&gt;=Personnel!$E$34,Personnel!$G$34="Yes"),Personnel!$D$34*Personnel!$I$34,0)+IF(AND(66&gt;=Personnel!$E$35,Personnel!$G$35="Yes"),Personnel!$D$35*Personnel!$I$35,0)+IF(AND(66&gt;=Personnel!$E$36,Personnel!$G$36="Yes"),Personnel!$D$36*Personnel!$I$36,0)+IF(AND(66&gt;=Personnel!$E$37,Personnel!$G$37="Yes"),Personnel!$D$37*Personnel!$I$37,0)+IF(AND(66&gt;=Personnel!$E$38,Personnel!$G$38="Yes"),Personnel!$D$38*Personnel!$I$38,0))</f>
        <v>-61750</v>
      </c>
      <c r="BQ18" s="8">
        <f>-(IF(AND(67&gt;=Personnel!$E$32,Personnel!$G$32="Yes"),Personnel!$D$32*Personnel!$I$32,0)+IF(AND(67&gt;=Personnel!$E$33,Personnel!$G$33="Yes"),Personnel!$D$33*Personnel!$I$33,0)+IF(AND(67&gt;=Personnel!$E$34,Personnel!$G$34="Yes"),Personnel!$D$34*Personnel!$I$34,0)+IF(AND(67&gt;=Personnel!$E$35,Personnel!$G$35="Yes"),Personnel!$D$35*Personnel!$I$35,0)+IF(AND(67&gt;=Personnel!$E$36,Personnel!$G$36="Yes"),Personnel!$D$36*Personnel!$I$36,0)+IF(AND(67&gt;=Personnel!$E$37,Personnel!$G$37="Yes"),Personnel!$D$37*Personnel!$I$37,0)+IF(AND(67&gt;=Personnel!$E$38,Personnel!$G$38="Yes"),Personnel!$D$38*Personnel!$I$38,0))</f>
        <v>-61750</v>
      </c>
      <c r="BR18" s="8">
        <f>-(IF(AND(68&gt;=Personnel!$E$32,Personnel!$G$32="Yes"),Personnel!$D$32*Personnel!$I$32,0)+IF(AND(68&gt;=Personnel!$E$33,Personnel!$G$33="Yes"),Personnel!$D$33*Personnel!$I$33,0)+IF(AND(68&gt;=Personnel!$E$34,Personnel!$G$34="Yes"),Personnel!$D$34*Personnel!$I$34,0)+IF(AND(68&gt;=Personnel!$E$35,Personnel!$G$35="Yes"),Personnel!$D$35*Personnel!$I$35,0)+IF(AND(68&gt;=Personnel!$E$36,Personnel!$G$36="Yes"),Personnel!$D$36*Personnel!$I$36,0)+IF(AND(68&gt;=Personnel!$E$37,Personnel!$G$37="Yes"),Personnel!$D$37*Personnel!$I$37,0)+IF(AND(68&gt;=Personnel!$E$38,Personnel!$G$38="Yes"),Personnel!$D$38*Personnel!$I$38,0))</f>
        <v>-61750</v>
      </c>
      <c r="BS18" s="8">
        <f>-(IF(AND(69&gt;=Personnel!$E$32,Personnel!$G$32="Yes"),Personnel!$D$32*Personnel!$I$32,0)+IF(AND(69&gt;=Personnel!$E$33,Personnel!$G$33="Yes"),Personnel!$D$33*Personnel!$I$33,0)+IF(AND(69&gt;=Personnel!$E$34,Personnel!$G$34="Yes"),Personnel!$D$34*Personnel!$I$34,0)+IF(AND(69&gt;=Personnel!$E$35,Personnel!$G$35="Yes"),Personnel!$D$35*Personnel!$I$35,0)+IF(AND(69&gt;=Personnel!$E$36,Personnel!$G$36="Yes"),Personnel!$D$36*Personnel!$I$36,0)+IF(AND(69&gt;=Personnel!$E$37,Personnel!$G$37="Yes"),Personnel!$D$37*Personnel!$I$37,0)+IF(AND(69&gt;=Personnel!$E$38,Personnel!$G$38="Yes"),Personnel!$D$38*Personnel!$I$38,0))</f>
        <v>-61750</v>
      </c>
      <c r="BT18" s="8">
        <f>-(IF(AND(70&gt;=Personnel!$E$32,Personnel!$G$32="Yes"),Personnel!$D$32*Personnel!$I$32,0)+IF(AND(70&gt;=Personnel!$E$33,Personnel!$G$33="Yes"),Personnel!$D$33*Personnel!$I$33,0)+IF(AND(70&gt;=Personnel!$E$34,Personnel!$G$34="Yes"),Personnel!$D$34*Personnel!$I$34,0)+IF(AND(70&gt;=Personnel!$E$35,Personnel!$G$35="Yes"),Personnel!$D$35*Personnel!$I$35,0)+IF(AND(70&gt;=Personnel!$E$36,Personnel!$G$36="Yes"),Personnel!$D$36*Personnel!$I$36,0)+IF(AND(70&gt;=Personnel!$E$37,Personnel!$G$37="Yes"),Personnel!$D$37*Personnel!$I$37,0)+IF(AND(70&gt;=Personnel!$E$38,Personnel!$G$38="Yes"),Personnel!$D$38*Personnel!$I$38,0))</f>
        <v>-61750</v>
      </c>
      <c r="BU18" s="8">
        <f>-(IF(AND(71&gt;=Personnel!$E$32,Personnel!$G$32="Yes"),Personnel!$D$32*Personnel!$I$32,0)+IF(AND(71&gt;=Personnel!$E$33,Personnel!$G$33="Yes"),Personnel!$D$33*Personnel!$I$33,0)+IF(AND(71&gt;=Personnel!$E$34,Personnel!$G$34="Yes"),Personnel!$D$34*Personnel!$I$34,0)+IF(AND(71&gt;=Personnel!$E$35,Personnel!$G$35="Yes"),Personnel!$D$35*Personnel!$I$35,0)+IF(AND(71&gt;=Personnel!$E$36,Personnel!$G$36="Yes"),Personnel!$D$36*Personnel!$I$36,0)+IF(AND(71&gt;=Personnel!$E$37,Personnel!$G$37="Yes"),Personnel!$D$37*Personnel!$I$37,0)+IF(AND(71&gt;=Personnel!$E$38,Personnel!$G$38="Yes"),Personnel!$D$38*Personnel!$I$38,0))</f>
        <v>-61750</v>
      </c>
      <c r="BV18" s="8">
        <f>-(IF(AND(72&gt;=Personnel!$E$32,Personnel!$G$32="Yes"),Personnel!$D$32*Personnel!$I$32,0)+IF(AND(72&gt;=Personnel!$E$33,Personnel!$G$33="Yes"),Personnel!$D$33*Personnel!$I$33,0)+IF(AND(72&gt;=Personnel!$E$34,Personnel!$G$34="Yes"),Personnel!$D$34*Personnel!$I$34,0)+IF(AND(72&gt;=Personnel!$E$35,Personnel!$G$35="Yes"),Personnel!$D$35*Personnel!$I$35,0)+IF(AND(72&gt;=Personnel!$E$36,Personnel!$G$36="Yes"),Personnel!$D$36*Personnel!$I$36,0)+IF(AND(72&gt;=Personnel!$E$37,Personnel!$G$37="Yes"),Personnel!$D$37*Personnel!$I$37,0)+IF(AND(72&gt;=Personnel!$E$38,Personnel!$G$38="Yes"),Personnel!$D$38*Personnel!$I$38,0))</f>
        <v>-61750</v>
      </c>
      <c r="BW18" s="8">
        <f>-(IF(AND(73&gt;=Personnel!$E$32,Personnel!$G$32="Yes"),Personnel!$D$32*Personnel!$I$32,0)+IF(AND(73&gt;=Personnel!$E$33,Personnel!$G$33="Yes"),Personnel!$D$33*Personnel!$I$33,0)+IF(AND(73&gt;=Personnel!$E$34,Personnel!$G$34="Yes"),Personnel!$D$34*Personnel!$I$34,0)+IF(AND(73&gt;=Personnel!$E$35,Personnel!$G$35="Yes"),Personnel!$D$35*Personnel!$I$35,0)+IF(AND(73&gt;=Personnel!$E$36,Personnel!$G$36="Yes"),Personnel!$D$36*Personnel!$I$36,0)+IF(AND(73&gt;=Personnel!$E$37,Personnel!$G$37="Yes"),Personnel!$D$37*Personnel!$I$37,0)+IF(AND(73&gt;=Personnel!$E$38,Personnel!$G$38="Yes"),Personnel!$D$38*Personnel!$I$38,0))</f>
        <v>-61750</v>
      </c>
      <c r="BX18" s="8">
        <f>-(IF(AND(74&gt;=Personnel!$E$32,Personnel!$G$32="Yes"),Personnel!$D$32*Personnel!$I$32,0)+IF(AND(74&gt;=Personnel!$E$33,Personnel!$G$33="Yes"),Personnel!$D$33*Personnel!$I$33,0)+IF(AND(74&gt;=Personnel!$E$34,Personnel!$G$34="Yes"),Personnel!$D$34*Personnel!$I$34,0)+IF(AND(74&gt;=Personnel!$E$35,Personnel!$G$35="Yes"),Personnel!$D$35*Personnel!$I$35,0)+IF(AND(74&gt;=Personnel!$E$36,Personnel!$G$36="Yes"),Personnel!$D$36*Personnel!$I$36,0)+IF(AND(74&gt;=Personnel!$E$37,Personnel!$G$37="Yes"),Personnel!$D$37*Personnel!$I$37,0)+IF(AND(74&gt;=Personnel!$E$38,Personnel!$G$38="Yes"),Personnel!$D$38*Personnel!$I$38,0))</f>
        <v>-61750</v>
      </c>
      <c r="BY18" s="8">
        <f>-(IF(AND(75&gt;=Personnel!$E$32,Personnel!$G$32="Yes"),Personnel!$D$32*Personnel!$I$32,0)+IF(AND(75&gt;=Personnel!$E$33,Personnel!$G$33="Yes"),Personnel!$D$33*Personnel!$I$33,0)+IF(AND(75&gt;=Personnel!$E$34,Personnel!$G$34="Yes"),Personnel!$D$34*Personnel!$I$34,0)+IF(AND(75&gt;=Personnel!$E$35,Personnel!$G$35="Yes"),Personnel!$D$35*Personnel!$I$35,0)+IF(AND(75&gt;=Personnel!$E$36,Personnel!$G$36="Yes"),Personnel!$D$36*Personnel!$I$36,0)+IF(AND(75&gt;=Personnel!$E$37,Personnel!$G$37="Yes"),Personnel!$D$37*Personnel!$I$37,0)+IF(AND(75&gt;=Personnel!$E$38,Personnel!$G$38="Yes"),Personnel!$D$38*Personnel!$I$38,0))</f>
        <v>-61750</v>
      </c>
      <c r="BZ18" s="8">
        <f>-(IF(AND(76&gt;=Personnel!$E$32,Personnel!$G$32="Yes"),Personnel!$D$32*Personnel!$I$32,0)+IF(AND(76&gt;=Personnel!$E$33,Personnel!$G$33="Yes"),Personnel!$D$33*Personnel!$I$33,0)+IF(AND(76&gt;=Personnel!$E$34,Personnel!$G$34="Yes"),Personnel!$D$34*Personnel!$I$34,0)+IF(AND(76&gt;=Personnel!$E$35,Personnel!$G$35="Yes"),Personnel!$D$35*Personnel!$I$35,0)+IF(AND(76&gt;=Personnel!$E$36,Personnel!$G$36="Yes"),Personnel!$D$36*Personnel!$I$36,0)+IF(AND(76&gt;=Personnel!$E$37,Personnel!$G$37="Yes"),Personnel!$D$37*Personnel!$I$37,0)+IF(AND(76&gt;=Personnel!$E$38,Personnel!$G$38="Yes"),Personnel!$D$38*Personnel!$I$38,0))</f>
        <v>-61750</v>
      </c>
      <c r="CA18" s="8">
        <f>-(IF(AND(77&gt;=Personnel!$E$32,Personnel!$G$32="Yes"),Personnel!$D$32*Personnel!$I$32,0)+IF(AND(77&gt;=Personnel!$E$33,Personnel!$G$33="Yes"),Personnel!$D$33*Personnel!$I$33,0)+IF(AND(77&gt;=Personnel!$E$34,Personnel!$G$34="Yes"),Personnel!$D$34*Personnel!$I$34,0)+IF(AND(77&gt;=Personnel!$E$35,Personnel!$G$35="Yes"),Personnel!$D$35*Personnel!$I$35,0)+IF(AND(77&gt;=Personnel!$E$36,Personnel!$G$36="Yes"),Personnel!$D$36*Personnel!$I$36,0)+IF(AND(77&gt;=Personnel!$E$37,Personnel!$G$37="Yes"),Personnel!$D$37*Personnel!$I$37,0)+IF(AND(77&gt;=Personnel!$E$38,Personnel!$G$38="Yes"),Personnel!$D$38*Personnel!$I$38,0))</f>
        <v>-61750</v>
      </c>
      <c r="CB18" s="8">
        <f>-(IF(AND(78&gt;=Personnel!$E$32,Personnel!$G$32="Yes"),Personnel!$D$32*Personnel!$I$32,0)+IF(AND(78&gt;=Personnel!$E$33,Personnel!$G$33="Yes"),Personnel!$D$33*Personnel!$I$33,0)+IF(AND(78&gt;=Personnel!$E$34,Personnel!$G$34="Yes"),Personnel!$D$34*Personnel!$I$34,0)+IF(AND(78&gt;=Personnel!$E$35,Personnel!$G$35="Yes"),Personnel!$D$35*Personnel!$I$35,0)+IF(AND(78&gt;=Personnel!$E$36,Personnel!$G$36="Yes"),Personnel!$D$36*Personnel!$I$36,0)+IF(AND(78&gt;=Personnel!$E$37,Personnel!$G$37="Yes"),Personnel!$D$37*Personnel!$I$37,0)+IF(AND(78&gt;=Personnel!$E$38,Personnel!$G$38="Yes"),Personnel!$D$38*Personnel!$I$38,0))</f>
        <v>-61750</v>
      </c>
      <c r="CC18" s="8">
        <f>-(IF(AND(79&gt;=Personnel!$E$32,Personnel!$G$32="Yes"),Personnel!$D$32*Personnel!$I$32,0)+IF(AND(79&gt;=Personnel!$E$33,Personnel!$G$33="Yes"),Personnel!$D$33*Personnel!$I$33,0)+IF(AND(79&gt;=Personnel!$E$34,Personnel!$G$34="Yes"),Personnel!$D$34*Personnel!$I$34,0)+IF(AND(79&gt;=Personnel!$E$35,Personnel!$G$35="Yes"),Personnel!$D$35*Personnel!$I$35,0)+IF(AND(79&gt;=Personnel!$E$36,Personnel!$G$36="Yes"),Personnel!$D$36*Personnel!$I$36,0)+IF(AND(79&gt;=Personnel!$E$37,Personnel!$G$37="Yes"),Personnel!$D$37*Personnel!$I$37,0)+IF(AND(79&gt;=Personnel!$E$38,Personnel!$G$38="Yes"),Personnel!$D$38*Personnel!$I$38,0))</f>
        <v>-61750</v>
      </c>
      <c r="CD18" s="8">
        <f>-(IF(AND(80&gt;=Personnel!$E$32,Personnel!$G$32="Yes"),Personnel!$D$32*Personnel!$I$32,0)+IF(AND(80&gt;=Personnel!$E$33,Personnel!$G$33="Yes"),Personnel!$D$33*Personnel!$I$33,0)+IF(AND(80&gt;=Personnel!$E$34,Personnel!$G$34="Yes"),Personnel!$D$34*Personnel!$I$34,0)+IF(AND(80&gt;=Personnel!$E$35,Personnel!$G$35="Yes"),Personnel!$D$35*Personnel!$I$35,0)+IF(AND(80&gt;=Personnel!$E$36,Personnel!$G$36="Yes"),Personnel!$D$36*Personnel!$I$36,0)+IF(AND(80&gt;=Personnel!$E$37,Personnel!$G$37="Yes"),Personnel!$D$37*Personnel!$I$37,0)+IF(AND(80&gt;=Personnel!$E$38,Personnel!$G$38="Yes"),Personnel!$D$38*Personnel!$I$38,0))</f>
        <v>-61750</v>
      </c>
      <c r="CE18" s="8">
        <f>-(IF(AND(81&gt;=Personnel!$E$32,Personnel!$G$32="Yes"),Personnel!$D$32*Personnel!$I$32,0)+IF(AND(81&gt;=Personnel!$E$33,Personnel!$G$33="Yes"),Personnel!$D$33*Personnel!$I$33,0)+IF(AND(81&gt;=Personnel!$E$34,Personnel!$G$34="Yes"),Personnel!$D$34*Personnel!$I$34,0)+IF(AND(81&gt;=Personnel!$E$35,Personnel!$G$35="Yes"),Personnel!$D$35*Personnel!$I$35,0)+IF(AND(81&gt;=Personnel!$E$36,Personnel!$G$36="Yes"),Personnel!$D$36*Personnel!$I$36,0)+IF(AND(81&gt;=Personnel!$E$37,Personnel!$G$37="Yes"),Personnel!$D$37*Personnel!$I$37,0)+IF(AND(81&gt;=Personnel!$E$38,Personnel!$G$38="Yes"),Personnel!$D$38*Personnel!$I$38,0))</f>
        <v>-61750</v>
      </c>
      <c r="CF18" s="8">
        <f>-(IF(AND(82&gt;=Personnel!$E$32,Personnel!$G$32="Yes"),Personnel!$D$32*Personnel!$I$32,0)+IF(AND(82&gt;=Personnel!$E$33,Personnel!$G$33="Yes"),Personnel!$D$33*Personnel!$I$33,0)+IF(AND(82&gt;=Personnel!$E$34,Personnel!$G$34="Yes"),Personnel!$D$34*Personnel!$I$34,0)+IF(AND(82&gt;=Personnel!$E$35,Personnel!$G$35="Yes"),Personnel!$D$35*Personnel!$I$35,0)+IF(AND(82&gt;=Personnel!$E$36,Personnel!$G$36="Yes"),Personnel!$D$36*Personnel!$I$36,0)+IF(AND(82&gt;=Personnel!$E$37,Personnel!$G$37="Yes"),Personnel!$D$37*Personnel!$I$37,0)+IF(AND(82&gt;=Personnel!$E$38,Personnel!$G$38="Yes"),Personnel!$D$38*Personnel!$I$38,0))</f>
        <v>-61750</v>
      </c>
      <c r="CG18" s="8">
        <f>-(IF(AND(83&gt;=Personnel!$E$32,Personnel!$G$32="Yes"),Personnel!$D$32*Personnel!$I$32,0)+IF(AND(83&gt;=Personnel!$E$33,Personnel!$G$33="Yes"),Personnel!$D$33*Personnel!$I$33,0)+IF(AND(83&gt;=Personnel!$E$34,Personnel!$G$34="Yes"),Personnel!$D$34*Personnel!$I$34,0)+IF(AND(83&gt;=Personnel!$E$35,Personnel!$G$35="Yes"),Personnel!$D$35*Personnel!$I$35,0)+IF(AND(83&gt;=Personnel!$E$36,Personnel!$G$36="Yes"),Personnel!$D$36*Personnel!$I$36,0)+IF(AND(83&gt;=Personnel!$E$37,Personnel!$G$37="Yes"),Personnel!$D$37*Personnel!$I$37,0)+IF(AND(83&gt;=Personnel!$E$38,Personnel!$G$38="Yes"),Personnel!$D$38*Personnel!$I$38,0))</f>
        <v>-61750</v>
      </c>
      <c r="CH18" s="8">
        <f>-(IF(AND(84&gt;=Personnel!$E$32,Personnel!$G$32="Yes"),Personnel!$D$32*Personnel!$I$32,0)+IF(AND(84&gt;=Personnel!$E$33,Personnel!$G$33="Yes"),Personnel!$D$33*Personnel!$I$33,0)+IF(AND(84&gt;=Personnel!$E$34,Personnel!$G$34="Yes"),Personnel!$D$34*Personnel!$I$34,0)+IF(AND(84&gt;=Personnel!$E$35,Personnel!$G$35="Yes"),Personnel!$D$35*Personnel!$I$35,0)+IF(AND(84&gt;=Personnel!$E$36,Personnel!$G$36="Yes"),Personnel!$D$36*Personnel!$I$36,0)+IF(AND(84&gt;=Personnel!$E$37,Personnel!$G$37="Yes"),Personnel!$D$37*Personnel!$I$37,0)+IF(AND(84&gt;=Personnel!$E$38,Personnel!$G$38="Yes"),Personnel!$D$38*Personnel!$I$38,0))</f>
        <v>-61750</v>
      </c>
      <c r="CI18" s="23"/>
    </row>
    <row r="19" spans="1:87" ht="15" customHeight="1" x14ac:dyDescent="0.25">
      <c r="A19" s="7" t="s">
        <v>132</v>
      </c>
      <c r="B19" s="22"/>
      <c r="C19" s="8">
        <f>-Helpers!C4*Assumptions!$B$20</f>
        <v>-15265.203333333338</v>
      </c>
      <c r="D19" s="8">
        <f>-Helpers!D4*Assumptions!$B$20</f>
        <v>-17802.703333333335</v>
      </c>
      <c r="E19" s="8">
        <f>-Helpers!E4*Assumptions!$B$20</f>
        <v>-19902.703333333335</v>
      </c>
      <c r="F19" s="8">
        <f>-Helpers!F4*Assumptions!$B$20</f>
        <v>-19902.703333333335</v>
      </c>
      <c r="G19" s="8">
        <f>-Helpers!G4*Assumptions!$B$20</f>
        <v>-19902.703333333335</v>
      </c>
      <c r="H19" s="8">
        <f>-Helpers!H4*Assumptions!$B$20</f>
        <v>-19902.703333333335</v>
      </c>
      <c r="I19" s="8">
        <f>-Helpers!I4*Assumptions!$B$20</f>
        <v>-19902.703333333335</v>
      </c>
      <c r="J19" s="8">
        <f>-Helpers!J4*Assumptions!$B$20</f>
        <v>-19902.703333333335</v>
      </c>
      <c r="K19" s="8">
        <f>-Helpers!K4*Assumptions!$B$20</f>
        <v>-19902.703333333335</v>
      </c>
      <c r="L19" s="8">
        <f>-Helpers!L4*Assumptions!$B$20</f>
        <v>-19902.703333333335</v>
      </c>
      <c r="M19" s="8">
        <f>-Helpers!M4*Assumptions!$B$20</f>
        <v>-19902.703333333335</v>
      </c>
      <c r="N19" s="8">
        <f>-Helpers!N4*Assumptions!$B$20</f>
        <v>-19902.703333333335</v>
      </c>
      <c r="O19" s="8">
        <f>-Helpers!O4*Assumptions!$B$20</f>
        <v>-19902.703333333335</v>
      </c>
      <c r="P19" s="8">
        <f>-Helpers!P4*Assumptions!$B$20</f>
        <v>-19902.703333333335</v>
      </c>
      <c r="Q19" s="8">
        <f>-Helpers!Q4*Assumptions!$B$20</f>
        <v>-19902.703333333335</v>
      </c>
      <c r="R19" s="8">
        <f>-Helpers!R4*Assumptions!$B$20</f>
        <v>-19902.703333333335</v>
      </c>
      <c r="S19" s="8">
        <f>-Helpers!S4*Assumptions!$B$20</f>
        <v>-19902.703333333335</v>
      </c>
      <c r="T19" s="8">
        <f>-Helpers!T4*Assumptions!$B$20</f>
        <v>-19902.703333333335</v>
      </c>
      <c r="U19" s="8">
        <f>-Helpers!U4*Assumptions!$B$20</f>
        <v>-19902.703333333335</v>
      </c>
      <c r="V19" s="8">
        <f>-Helpers!V4*Assumptions!$B$20</f>
        <v>-19902.703333333335</v>
      </c>
      <c r="W19" s="8">
        <f>-Helpers!W4*Assumptions!$B$20</f>
        <v>-19902.703333333335</v>
      </c>
      <c r="X19" s="8">
        <f>-Helpers!X4*Assumptions!$B$20</f>
        <v>-19902.703333333335</v>
      </c>
      <c r="Y19" s="8">
        <f>-Helpers!Y4*Assumptions!$B$20</f>
        <v>-19902.703333333335</v>
      </c>
      <c r="Z19" s="8">
        <f>-Helpers!Z4*Assumptions!$B$20</f>
        <v>-19902.703333333335</v>
      </c>
      <c r="AA19" s="8">
        <f>-Helpers!AA4*Assumptions!$B$20</f>
        <v>-19902.703333333335</v>
      </c>
      <c r="AB19" s="8">
        <f>-Helpers!AB4*Assumptions!$B$20</f>
        <v>-19902.703333333335</v>
      </c>
      <c r="AC19" s="8">
        <f>-Helpers!AC4*Assumptions!$B$20</f>
        <v>-19902.703333333335</v>
      </c>
      <c r="AD19" s="8">
        <f>-Helpers!AD4*Assumptions!$B$20</f>
        <v>-19902.703333333335</v>
      </c>
      <c r="AE19" s="8">
        <f>-Helpers!AE4*Assumptions!$B$20</f>
        <v>-19902.703333333335</v>
      </c>
      <c r="AF19" s="8">
        <f>-Helpers!AF4*Assumptions!$B$20</f>
        <v>-19902.703333333335</v>
      </c>
      <c r="AG19" s="8">
        <f>-Helpers!AG4*Assumptions!$B$20</f>
        <v>-19902.703333333335</v>
      </c>
      <c r="AH19" s="8">
        <f>-Helpers!AH4*Assumptions!$B$20</f>
        <v>-19902.703333333335</v>
      </c>
      <c r="AI19" s="8">
        <f>-Helpers!AI4*Assumptions!$B$20</f>
        <v>-19902.703333333335</v>
      </c>
      <c r="AJ19" s="8">
        <f>-Helpers!AJ4*Assumptions!$B$20</f>
        <v>-19902.703333333335</v>
      </c>
      <c r="AK19" s="8">
        <f>-Helpers!AK4*Assumptions!$B$20</f>
        <v>-19902.703333333335</v>
      </c>
      <c r="AL19" s="8">
        <f>-Helpers!AL4*Assumptions!$B$20</f>
        <v>-19902.703333333335</v>
      </c>
      <c r="AM19" s="8">
        <f>-Helpers!AM4*Assumptions!$B$20</f>
        <v>-19902.703333333335</v>
      </c>
      <c r="AN19" s="8">
        <f>-Helpers!AN4*Assumptions!$B$20</f>
        <v>-19902.703333333335</v>
      </c>
      <c r="AO19" s="8">
        <f>-Helpers!AO4*Assumptions!$B$20</f>
        <v>-19902.703333333335</v>
      </c>
      <c r="AP19" s="8">
        <f>-Helpers!AP4*Assumptions!$B$20</f>
        <v>-19902.703333333335</v>
      </c>
      <c r="AQ19" s="8">
        <f>-Helpers!AQ4*Assumptions!$B$20</f>
        <v>-19902.703333333335</v>
      </c>
      <c r="AR19" s="8">
        <f>-Helpers!AR4*Assumptions!$B$20</f>
        <v>-19902.703333333335</v>
      </c>
      <c r="AS19" s="8">
        <f>-Helpers!AS4*Assumptions!$B$20</f>
        <v>-19902.703333333335</v>
      </c>
      <c r="AT19" s="8">
        <f>-Helpers!AT4*Assumptions!$B$20</f>
        <v>-19902.703333333335</v>
      </c>
      <c r="AU19" s="8">
        <f>-Helpers!AU4*Assumptions!$B$20</f>
        <v>-19902.703333333335</v>
      </c>
      <c r="AV19" s="8">
        <f>-Helpers!AV4*Assumptions!$B$20</f>
        <v>-19902.703333333335</v>
      </c>
      <c r="AW19" s="8">
        <f>-Helpers!AW4*Assumptions!$B$20</f>
        <v>-19902.703333333335</v>
      </c>
      <c r="AX19" s="8">
        <f>-Helpers!AX4*Assumptions!$B$20</f>
        <v>-19902.703333333335</v>
      </c>
      <c r="AY19" s="8">
        <f>-Helpers!AY4*Assumptions!$B$20</f>
        <v>-19902.703333333335</v>
      </c>
      <c r="AZ19" s="8">
        <f>-Helpers!AZ4*Assumptions!$B$20</f>
        <v>-19902.703333333335</v>
      </c>
      <c r="BA19" s="8">
        <f>-Helpers!BA4*Assumptions!$B$20</f>
        <v>-19902.703333333335</v>
      </c>
      <c r="BB19" s="8">
        <f>-Helpers!BB4*Assumptions!$B$20</f>
        <v>-19902.703333333335</v>
      </c>
      <c r="BC19" s="8">
        <f>-Helpers!BC4*Assumptions!$B$20</f>
        <v>-19902.703333333335</v>
      </c>
      <c r="BD19" s="8">
        <f>-Helpers!BD4*Assumptions!$B$20</f>
        <v>-19902.703333333335</v>
      </c>
      <c r="BE19" s="8">
        <f>-Helpers!BE4*Assumptions!$B$20</f>
        <v>-19902.703333333335</v>
      </c>
      <c r="BF19" s="8">
        <f>-Helpers!BF4*Assumptions!$B$20</f>
        <v>-19902.703333333335</v>
      </c>
      <c r="BG19" s="8">
        <f>-Helpers!BG4*Assumptions!$B$20</f>
        <v>-19902.703333333335</v>
      </c>
      <c r="BH19" s="8">
        <f>-Helpers!BH4*Assumptions!$B$20</f>
        <v>-19902.703333333335</v>
      </c>
      <c r="BI19" s="8">
        <f>-Helpers!BI4*Assumptions!$B$20</f>
        <v>-19902.703333333335</v>
      </c>
      <c r="BJ19" s="8">
        <f>-Helpers!BJ4*Assumptions!$B$20</f>
        <v>-19902.703333333335</v>
      </c>
      <c r="BK19" s="8">
        <f>-Helpers!BK4*Assumptions!$B$20</f>
        <v>-19902.703333333335</v>
      </c>
      <c r="BL19" s="8">
        <f>-Helpers!BL4*Assumptions!$B$20</f>
        <v>-19902.703333333335</v>
      </c>
      <c r="BM19" s="8">
        <f>-Helpers!BM4*Assumptions!$B$20</f>
        <v>-19902.703333333335</v>
      </c>
      <c r="BN19" s="8">
        <f>-Helpers!BN4*Assumptions!$B$20</f>
        <v>-19902.703333333335</v>
      </c>
      <c r="BO19" s="8">
        <f>-Helpers!BO4*Assumptions!$B$20</f>
        <v>-19902.703333333335</v>
      </c>
      <c r="BP19" s="8">
        <f>-Helpers!BP4*Assumptions!$B$20</f>
        <v>-19902.703333333335</v>
      </c>
      <c r="BQ19" s="8">
        <f>-Helpers!BQ4*Assumptions!$B$20</f>
        <v>-19902.703333333335</v>
      </c>
      <c r="BR19" s="8">
        <f>-Helpers!BR4*Assumptions!$B$20</f>
        <v>-19902.703333333335</v>
      </c>
      <c r="BS19" s="8">
        <f>-Helpers!BS4*Assumptions!$B$20</f>
        <v>-19902.703333333335</v>
      </c>
      <c r="BT19" s="8">
        <f>-Helpers!BT4*Assumptions!$B$20</f>
        <v>-19902.703333333335</v>
      </c>
      <c r="BU19" s="8">
        <f>-Helpers!BU4*Assumptions!$B$20</f>
        <v>-19902.703333333335</v>
      </c>
      <c r="BV19" s="8">
        <f>-Helpers!BV4*Assumptions!$B$20</f>
        <v>-19902.703333333335</v>
      </c>
      <c r="BW19" s="8">
        <f>-Helpers!BW4*Assumptions!$B$20</f>
        <v>-19902.703333333335</v>
      </c>
      <c r="BX19" s="8">
        <f>-Helpers!BX4*Assumptions!$B$20</f>
        <v>-19902.703333333335</v>
      </c>
      <c r="BY19" s="8">
        <f>-Helpers!BY4*Assumptions!$B$20</f>
        <v>-19902.703333333335</v>
      </c>
      <c r="BZ19" s="8">
        <f>-Helpers!BZ4*Assumptions!$B$20</f>
        <v>-19902.703333333335</v>
      </c>
      <c r="CA19" s="8">
        <f>-Helpers!CA4*Assumptions!$B$20</f>
        <v>-19902.703333333335</v>
      </c>
      <c r="CB19" s="8">
        <f>-Helpers!CB4*Assumptions!$B$20</f>
        <v>-19902.703333333335</v>
      </c>
      <c r="CC19" s="8">
        <f>-Helpers!CC4*Assumptions!$B$20</f>
        <v>-19902.703333333335</v>
      </c>
      <c r="CD19" s="8">
        <f>-Helpers!CD4*Assumptions!$B$20</f>
        <v>-19902.703333333335</v>
      </c>
      <c r="CE19" s="8">
        <f>-Helpers!CE4*Assumptions!$B$20</f>
        <v>-19902.703333333335</v>
      </c>
      <c r="CF19" s="8">
        <f>-Helpers!CF4*Assumptions!$B$20</f>
        <v>-19902.703333333335</v>
      </c>
      <c r="CG19" s="8">
        <f>-Helpers!CG4*Assumptions!$B$20</f>
        <v>-19902.703333333335</v>
      </c>
      <c r="CH19" s="8">
        <f>-Helpers!CH4*Assumptions!$B$20</f>
        <v>-19902.703333333335</v>
      </c>
      <c r="CI19" s="23"/>
    </row>
    <row r="20" spans="1:87" ht="15" customHeight="1" x14ac:dyDescent="0.25">
      <c r="A20" s="7" t="s">
        <v>133</v>
      </c>
      <c r="B20" s="22"/>
      <c r="C20" s="8">
        <f>-Helpers!C4*Assumptions!$B$21</f>
        <v>-1090.3716666666669</v>
      </c>
      <c r="D20" s="8">
        <f>-Helpers!D4*Assumptions!$B$21</f>
        <v>-1271.6216666666667</v>
      </c>
      <c r="E20" s="8">
        <f>-Helpers!E4*Assumptions!$B$21</f>
        <v>-1421.6216666666667</v>
      </c>
      <c r="F20" s="8">
        <f>-Helpers!F4*Assumptions!$B$21</f>
        <v>-1421.6216666666667</v>
      </c>
      <c r="G20" s="8">
        <f>-Helpers!G4*Assumptions!$B$21</f>
        <v>-1421.6216666666667</v>
      </c>
      <c r="H20" s="8">
        <f>-Helpers!H4*Assumptions!$B$21</f>
        <v>-1421.6216666666667</v>
      </c>
      <c r="I20" s="8">
        <f>-Helpers!I4*Assumptions!$B$21</f>
        <v>-1421.6216666666667</v>
      </c>
      <c r="J20" s="8">
        <f>-Helpers!J4*Assumptions!$B$21</f>
        <v>-1421.6216666666667</v>
      </c>
      <c r="K20" s="8">
        <f>-Helpers!K4*Assumptions!$B$21</f>
        <v>-1421.6216666666667</v>
      </c>
      <c r="L20" s="8">
        <f>-Helpers!L4*Assumptions!$B$21</f>
        <v>-1421.6216666666667</v>
      </c>
      <c r="M20" s="8">
        <f>-Helpers!M4*Assumptions!$B$21</f>
        <v>-1421.6216666666667</v>
      </c>
      <c r="N20" s="8">
        <f>-Helpers!N4*Assumptions!$B$21</f>
        <v>-1421.6216666666667</v>
      </c>
      <c r="O20" s="8">
        <f>-Helpers!O4*Assumptions!$B$21</f>
        <v>-1421.6216666666667</v>
      </c>
      <c r="P20" s="8">
        <f>-Helpers!P4*Assumptions!$B$21</f>
        <v>-1421.6216666666667</v>
      </c>
      <c r="Q20" s="8">
        <f>-Helpers!Q4*Assumptions!$B$21</f>
        <v>-1421.6216666666667</v>
      </c>
      <c r="R20" s="8">
        <f>-Helpers!R4*Assumptions!$B$21</f>
        <v>-1421.6216666666667</v>
      </c>
      <c r="S20" s="8">
        <f>-Helpers!S4*Assumptions!$B$21</f>
        <v>-1421.6216666666667</v>
      </c>
      <c r="T20" s="8">
        <f>-Helpers!T4*Assumptions!$B$21</f>
        <v>-1421.6216666666667</v>
      </c>
      <c r="U20" s="8">
        <f>-Helpers!U4*Assumptions!$B$21</f>
        <v>-1421.6216666666667</v>
      </c>
      <c r="V20" s="8">
        <f>-Helpers!V4*Assumptions!$B$21</f>
        <v>-1421.6216666666667</v>
      </c>
      <c r="W20" s="8">
        <f>-Helpers!W4*Assumptions!$B$21</f>
        <v>-1421.6216666666667</v>
      </c>
      <c r="X20" s="8">
        <f>-Helpers!X4*Assumptions!$B$21</f>
        <v>-1421.6216666666667</v>
      </c>
      <c r="Y20" s="8">
        <f>-Helpers!Y4*Assumptions!$B$21</f>
        <v>-1421.6216666666667</v>
      </c>
      <c r="Z20" s="8">
        <f>-Helpers!Z4*Assumptions!$B$21</f>
        <v>-1421.6216666666667</v>
      </c>
      <c r="AA20" s="8">
        <f>-Helpers!AA4*Assumptions!$B$21</f>
        <v>-1421.6216666666667</v>
      </c>
      <c r="AB20" s="8">
        <f>-Helpers!AB4*Assumptions!$B$21</f>
        <v>-1421.6216666666667</v>
      </c>
      <c r="AC20" s="8">
        <f>-Helpers!AC4*Assumptions!$B$21</f>
        <v>-1421.6216666666667</v>
      </c>
      <c r="AD20" s="8">
        <f>-Helpers!AD4*Assumptions!$B$21</f>
        <v>-1421.6216666666667</v>
      </c>
      <c r="AE20" s="8">
        <f>-Helpers!AE4*Assumptions!$B$21</f>
        <v>-1421.6216666666667</v>
      </c>
      <c r="AF20" s="8">
        <f>-Helpers!AF4*Assumptions!$B$21</f>
        <v>-1421.6216666666667</v>
      </c>
      <c r="AG20" s="8">
        <f>-Helpers!AG4*Assumptions!$B$21</f>
        <v>-1421.6216666666667</v>
      </c>
      <c r="AH20" s="8">
        <f>-Helpers!AH4*Assumptions!$B$21</f>
        <v>-1421.6216666666667</v>
      </c>
      <c r="AI20" s="8">
        <f>-Helpers!AI4*Assumptions!$B$21</f>
        <v>-1421.6216666666667</v>
      </c>
      <c r="AJ20" s="8">
        <f>-Helpers!AJ4*Assumptions!$B$21</f>
        <v>-1421.6216666666667</v>
      </c>
      <c r="AK20" s="8">
        <f>-Helpers!AK4*Assumptions!$B$21</f>
        <v>-1421.6216666666667</v>
      </c>
      <c r="AL20" s="8">
        <f>-Helpers!AL4*Assumptions!$B$21</f>
        <v>-1421.6216666666667</v>
      </c>
      <c r="AM20" s="8">
        <f>-Helpers!AM4*Assumptions!$B$21</f>
        <v>-1421.6216666666667</v>
      </c>
      <c r="AN20" s="8">
        <f>-Helpers!AN4*Assumptions!$B$21</f>
        <v>-1421.6216666666667</v>
      </c>
      <c r="AO20" s="8">
        <f>-Helpers!AO4*Assumptions!$B$21</f>
        <v>-1421.6216666666667</v>
      </c>
      <c r="AP20" s="8">
        <f>-Helpers!AP4*Assumptions!$B$21</f>
        <v>-1421.6216666666667</v>
      </c>
      <c r="AQ20" s="8">
        <f>-Helpers!AQ4*Assumptions!$B$21</f>
        <v>-1421.6216666666667</v>
      </c>
      <c r="AR20" s="8">
        <f>-Helpers!AR4*Assumptions!$B$21</f>
        <v>-1421.6216666666667</v>
      </c>
      <c r="AS20" s="8">
        <f>-Helpers!AS4*Assumptions!$B$21</f>
        <v>-1421.6216666666667</v>
      </c>
      <c r="AT20" s="8">
        <f>-Helpers!AT4*Assumptions!$B$21</f>
        <v>-1421.6216666666667</v>
      </c>
      <c r="AU20" s="8">
        <f>-Helpers!AU4*Assumptions!$B$21</f>
        <v>-1421.6216666666667</v>
      </c>
      <c r="AV20" s="8">
        <f>-Helpers!AV4*Assumptions!$B$21</f>
        <v>-1421.6216666666667</v>
      </c>
      <c r="AW20" s="8">
        <f>-Helpers!AW4*Assumptions!$B$21</f>
        <v>-1421.6216666666667</v>
      </c>
      <c r="AX20" s="8">
        <f>-Helpers!AX4*Assumptions!$B$21</f>
        <v>-1421.6216666666667</v>
      </c>
      <c r="AY20" s="8">
        <f>-Helpers!AY4*Assumptions!$B$21</f>
        <v>-1421.6216666666667</v>
      </c>
      <c r="AZ20" s="8">
        <f>-Helpers!AZ4*Assumptions!$B$21</f>
        <v>-1421.6216666666667</v>
      </c>
      <c r="BA20" s="8">
        <f>-Helpers!BA4*Assumptions!$B$21</f>
        <v>-1421.6216666666667</v>
      </c>
      <c r="BB20" s="8">
        <f>-Helpers!BB4*Assumptions!$B$21</f>
        <v>-1421.6216666666667</v>
      </c>
      <c r="BC20" s="8">
        <f>-Helpers!BC4*Assumptions!$B$21</f>
        <v>-1421.6216666666667</v>
      </c>
      <c r="BD20" s="8">
        <f>-Helpers!BD4*Assumptions!$B$21</f>
        <v>-1421.6216666666667</v>
      </c>
      <c r="BE20" s="8">
        <f>-Helpers!BE4*Assumptions!$B$21</f>
        <v>-1421.6216666666667</v>
      </c>
      <c r="BF20" s="8">
        <f>-Helpers!BF4*Assumptions!$B$21</f>
        <v>-1421.6216666666667</v>
      </c>
      <c r="BG20" s="8">
        <f>-Helpers!BG4*Assumptions!$B$21</f>
        <v>-1421.6216666666667</v>
      </c>
      <c r="BH20" s="8">
        <f>-Helpers!BH4*Assumptions!$B$21</f>
        <v>-1421.6216666666667</v>
      </c>
      <c r="BI20" s="8">
        <f>-Helpers!BI4*Assumptions!$B$21</f>
        <v>-1421.6216666666667</v>
      </c>
      <c r="BJ20" s="8">
        <f>-Helpers!BJ4*Assumptions!$B$21</f>
        <v>-1421.6216666666667</v>
      </c>
      <c r="BK20" s="8">
        <f>-Helpers!BK4*Assumptions!$B$21</f>
        <v>-1421.6216666666667</v>
      </c>
      <c r="BL20" s="8">
        <f>-Helpers!BL4*Assumptions!$B$21</f>
        <v>-1421.6216666666667</v>
      </c>
      <c r="BM20" s="8">
        <f>-Helpers!BM4*Assumptions!$B$21</f>
        <v>-1421.6216666666667</v>
      </c>
      <c r="BN20" s="8">
        <f>-Helpers!BN4*Assumptions!$B$21</f>
        <v>-1421.6216666666667</v>
      </c>
      <c r="BO20" s="8">
        <f>-Helpers!BO4*Assumptions!$B$21</f>
        <v>-1421.6216666666667</v>
      </c>
      <c r="BP20" s="8">
        <f>-Helpers!BP4*Assumptions!$B$21</f>
        <v>-1421.6216666666667</v>
      </c>
      <c r="BQ20" s="8">
        <f>-Helpers!BQ4*Assumptions!$B$21</f>
        <v>-1421.6216666666667</v>
      </c>
      <c r="BR20" s="8">
        <f>-Helpers!BR4*Assumptions!$B$21</f>
        <v>-1421.6216666666667</v>
      </c>
      <c r="BS20" s="8">
        <f>-Helpers!BS4*Assumptions!$B$21</f>
        <v>-1421.6216666666667</v>
      </c>
      <c r="BT20" s="8">
        <f>-Helpers!BT4*Assumptions!$B$21</f>
        <v>-1421.6216666666667</v>
      </c>
      <c r="BU20" s="8">
        <f>-Helpers!BU4*Assumptions!$B$21</f>
        <v>-1421.6216666666667</v>
      </c>
      <c r="BV20" s="8">
        <f>-Helpers!BV4*Assumptions!$B$21</f>
        <v>-1421.6216666666667</v>
      </c>
      <c r="BW20" s="8">
        <f>-Helpers!BW4*Assumptions!$B$21</f>
        <v>-1421.6216666666667</v>
      </c>
      <c r="BX20" s="8">
        <f>-Helpers!BX4*Assumptions!$B$21</f>
        <v>-1421.6216666666667</v>
      </c>
      <c r="BY20" s="8">
        <f>-Helpers!BY4*Assumptions!$B$21</f>
        <v>-1421.6216666666667</v>
      </c>
      <c r="BZ20" s="8">
        <f>-Helpers!BZ4*Assumptions!$B$21</f>
        <v>-1421.6216666666667</v>
      </c>
      <c r="CA20" s="8">
        <f>-Helpers!CA4*Assumptions!$B$21</f>
        <v>-1421.6216666666667</v>
      </c>
      <c r="CB20" s="8">
        <f>-Helpers!CB4*Assumptions!$B$21</f>
        <v>-1421.6216666666667</v>
      </c>
      <c r="CC20" s="8">
        <f>-Helpers!CC4*Assumptions!$B$21</f>
        <v>-1421.6216666666667</v>
      </c>
      <c r="CD20" s="8">
        <f>-Helpers!CD4*Assumptions!$B$21</f>
        <v>-1421.6216666666667</v>
      </c>
      <c r="CE20" s="8">
        <f>-Helpers!CE4*Assumptions!$B$21</f>
        <v>-1421.6216666666667</v>
      </c>
      <c r="CF20" s="8">
        <f>-Helpers!CF4*Assumptions!$B$21</f>
        <v>-1421.6216666666667</v>
      </c>
      <c r="CG20" s="8">
        <f>-Helpers!CG4*Assumptions!$B$21</f>
        <v>-1421.6216666666667</v>
      </c>
      <c r="CH20" s="8">
        <f>-Helpers!CH4*Assumptions!$B$21</f>
        <v>-1421.6216666666667</v>
      </c>
      <c r="CI20" s="23"/>
    </row>
    <row r="21" spans="1:87" ht="15" customHeight="1" x14ac:dyDescent="0.25">
      <c r="A21" s="7" t="s">
        <v>134</v>
      </c>
      <c r="B21" s="22"/>
      <c r="C21" s="8">
        <f>-Helpers!C4*Assumptions!$B$22</f>
        <v>-15265.203333333338</v>
      </c>
      <c r="D21" s="8">
        <f>-Helpers!D4*Assumptions!$B$22</f>
        <v>-17802.703333333335</v>
      </c>
      <c r="E21" s="8">
        <f>-Helpers!E4*Assumptions!$B$22</f>
        <v>-19902.703333333335</v>
      </c>
      <c r="F21" s="8">
        <f>-Helpers!F4*Assumptions!$B$22</f>
        <v>-19902.703333333335</v>
      </c>
      <c r="G21" s="8">
        <f>-Helpers!G4*Assumptions!$B$22</f>
        <v>-19902.703333333335</v>
      </c>
      <c r="H21" s="8">
        <f>-Helpers!H4*Assumptions!$B$22</f>
        <v>-19902.703333333335</v>
      </c>
      <c r="I21" s="8">
        <f>-Helpers!I4*Assumptions!$B$22</f>
        <v>-19902.703333333335</v>
      </c>
      <c r="J21" s="8">
        <f>-Helpers!J4*Assumptions!$B$22</f>
        <v>-19902.703333333335</v>
      </c>
      <c r="K21" s="8">
        <f>-Helpers!K4*Assumptions!$B$22</f>
        <v>-19902.703333333335</v>
      </c>
      <c r="L21" s="8">
        <f>-Helpers!L4*Assumptions!$B$22</f>
        <v>-19902.703333333335</v>
      </c>
      <c r="M21" s="8">
        <f>-Helpers!M4*Assumptions!$B$22</f>
        <v>-19902.703333333335</v>
      </c>
      <c r="N21" s="8">
        <f>-Helpers!N4*Assumptions!$B$22</f>
        <v>-19902.703333333335</v>
      </c>
      <c r="O21" s="8">
        <f>-Helpers!O4*Assumptions!$B$22</f>
        <v>-19902.703333333335</v>
      </c>
      <c r="P21" s="8">
        <f>-Helpers!P4*Assumptions!$B$22</f>
        <v>-19902.703333333335</v>
      </c>
      <c r="Q21" s="8">
        <f>-Helpers!Q4*Assumptions!$B$22</f>
        <v>-19902.703333333335</v>
      </c>
      <c r="R21" s="8">
        <f>-Helpers!R4*Assumptions!$B$22</f>
        <v>-19902.703333333335</v>
      </c>
      <c r="S21" s="8">
        <f>-Helpers!S4*Assumptions!$B$22</f>
        <v>-19902.703333333335</v>
      </c>
      <c r="T21" s="8">
        <f>-Helpers!T4*Assumptions!$B$22</f>
        <v>-19902.703333333335</v>
      </c>
      <c r="U21" s="8">
        <f>-Helpers!U4*Assumptions!$B$22</f>
        <v>-19902.703333333335</v>
      </c>
      <c r="V21" s="8">
        <f>-Helpers!V4*Assumptions!$B$22</f>
        <v>-19902.703333333335</v>
      </c>
      <c r="W21" s="8">
        <f>-Helpers!W4*Assumptions!$B$22</f>
        <v>-19902.703333333335</v>
      </c>
      <c r="X21" s="8">
        <f>-Helpers!X4*Assumptions!$B$22</f>
        <v>-19902.703333333335</v>
      </c>
      <c r="Y21" s="8">
        <f>-Helpers!Y4*Assumptions!$B$22</f>
        <v>-19902.703333333335</v>
      </c>
      <c r="Z21" s="8">
        <f>-Helpers!Z4*Assumptions!$B$22</f>
        <v>-19902.703333333335</v>
      </c>
      <c r="AA21" s="8">
        <f>-Helpers!AA4*Assumptions!$B$22</f>
        <v>-19902.703333333335</v>
      </c>
      <c r="AB21" s="8">
        <f>-Helpers!AB4*Assumptions!$B$22</f>
        <v>-19902.703333333335</v>
      </c>
      <c r="AC21" s="8">
        <f>-Helpers!AC4*Assumptions!$B$22</f>
        <v>-19902.703333333335</v>
      </c>
      <c r="AD21" s="8">
        <f>-Helpers!AD4*Assumptions!$B$22</f>
        <v>-19902.703333333335</v>
      </c>
      <c r="AE21" s="8">
        <f>-Helpers!AE4*Assumptions!$B$22</f>
        <v>-19902.703333333335</v>
      </c>
      <c r="AF21" s="8">
        <f>-Helpers!AF4*Assumptions!$B$22</f>
        <v>-19902.703333333335</v>
      </c>
      <c r="AG21" s="8">
        <f>-Helpers!AG4*Assumptions!$B$22</f>
        <v>-19902.703333333335</v>
      </c>
      <c r="AH21" s="8">
        <f>-Helpers!AH4*Assumptions!$B$22</f>
        <v>-19902.703333333335</v>
      </c>
      <c r="AI21" s="8">
        <f>-Helpers!AI4*Assumptions!$B$22</f>
        <v>-19902.703333333335</v>
      </c>
      <c r="AJ21" s="8">
        <f>-Helpers!AJ4*Assumptions!$B$22</f>
        <v>-19902.703333333335</v>
      </c>
      <c r="AK21" s="8">
        <f>-Helpers!AK4*Assumptions!$B$22</f>
        <v>-19902.703333333335</v>
      </c>
      <c r="AL21" s="8">
        <f>-Helpers!AL4*Assumptions!$B$22</f>
        <v>-19902.703333333335</v>
      </c>
      <c r="AM21" s="8">
        <f>-Helpers!AM4*Assumptions!$B$22</f>
        <v>-19902.703333333335</v>
      </c>
      <c r="AN21" s="8">
        <f>-Helpers!AN4*Assumptions!$B$22</f>
        <v>-19902.703333333335</v>
      </c>
      <c r="AO21" s="8">
        <f>-Helpers!AO4*Assumptions!$B$22</f>
        <v>-19902.703333333335</v>
      </c>
      <c r="AP21" s="8">
        <f>-Helpers!AP4*Assumptions!$B$22</f>
        <v>-19902.703333333335</v>
      </c>
      <c r="AQ21" s="8">
        <f>-Helpers!AQ4*Assumptions!$B$22</f>
        <v>-19902.703333333335</v>
      </c>
      <c r="AR21" s="8">
        <f>-Helpers!AR4*Assumptions!$B$22</f>
        <v>-19902.703333333335</v>
      </c>
      <c r="AS21" s="8">
        <f>-Helpers!AS4*Assumptions!$B$22</f>
        <v>-19902.703333333335</v>
      </c>
      <c r="AT21" s="8">
        <f>-Helpers!AT4*Assumptions!$B$22</f>
        <v>-19902.703333333335</v>
      </c>
      <c r="AU21" s="8">
        <f>-Helpers!AU4*Assumptions!$B$22</f>
        <v>-19902.703333333335</v>
      </c>
      <c r="AV21" s="8">
        <f>-Helpers!AV4*Assumptions!$B$22</f>
        <v>-19902.703333333335</v>
      </c>
      <c r="AW21" s="8">
        <f>-Helpers!AW4*Assumptions!$B$22</f>
        <v>-19902.703333333335</v>
      </c>
      <c r="AX21" s="8">
        <f>-Helpers!AX4*Assumptions!$B$22</f>
        <v>-19902.703333333335</v>
      </c>
      <c r="AY21" s="8">
        <f>-Helpers!AY4*Assumptions!$B$22</f>
        <v>-19902.703333333335</v>
      </c>
      <c r="AZ21" s="8">
        <f>-Helpers!AZ4*Assumptions!$B$22</f>
        <v>-19902.703333333335</v>
      </c>
      <c r="BA21" s="8">
        <f>-Helpers!BA4*Assumptions!$B$22</f>
        <v>-19902.703333333335</v>
      </c>
      <c r="BB21" s="8">
        <f>-Helpers!BB4*Assumptions!$B$22</f>
        <v>-19902.703333333335</v>
      </c>
      <c r="BC21" s="8">
        <f>-Helpers!BC4*Assumptions!$B$22</f>
        <v>-19902.703333333335</v>
      </c>
      <c r="BD21" s="8">
        <f>-Helpers!BD4*Assumptions!$B$22</f>
        <v>-19902.703333333335</v>
      </c>
      <c r="BE21" s="8">
        <f>-Helpers!BE4*Assumptions!$B$22</f>
        <v>-19902.703333333335</v>
      </c>
      <c r="BF21" s="8">
        <f>-Helpers!BF4*Assumptions!$B$22</f>
        <v>-19902.703333333335</v>
      </c>
      <c r="BG21" s="8">
        <f>-Helpers!BG4*Assumptions!$B$22</f>
        <v>-19902.703333333335</v>
      </c>
      <c r="BH21" s="8">
        <f>-Helpers!BH4*Assumptions!$B$22</f>
        <v>-19902.703333333335</v>
      </c>
      <c r="BI21" s="8">
        <f>-Helpers!BI4*Assumptions!$B$22</f>
        <v>-19902.703333333335</v>
      </c>
      <c r="BJ21" s="8">
        <f>-Helpers!BJ4*Assumptions!$B$22</f>
        <v>-19902.703333333335</v>
      </c>
      <c r="BK21" s="8">
        <f>-Helpers!BK4*Assumptions!$B$22</f>
        <v>-19902.703333333335</v>
      </c>
      <c r="BL21" s="8">
        <f>-Helpers!BL4*Assumptions!$B$22</f>
        <v>-19902.703333333335</v>
      </c>
      <c r="BM21" s="8">
        <f>-Helpers!BM4*Assumptions!$B$22</f>
        <v>-19902.703333333335</v>
      </c>
      <c r="BN21" s="8">
        <f>-Helpers!BN4*Assumptions!$B$22</f>
        <v>-19902.703333333335</v>
      </c>
      <c r="BO21" s="8">
        <f>-Helpers!BO4*Assumptions!$B$22</f>
        <v>-19902.703333333335</v>
      </c>
      <c r="BP21" s="8">
        <f>-Helpers!BP4*Assumptions!$B$22</f>
        <v>-19902.703333333335</v>
      </c>
      <c r="BQ21" s="8">
        <f>-Helpers!BQ4*Assumptions!$B$22</f>
        <v>-19902.703333333335</v>
      </c>
      <c r="BR21" s="8">
        <f>-Helpers!BR4*Assumptions!$B$22</f>
        <v>-19902.703333333335</v>
      </c>
      <c r="BS21" s="8">
        <f>-Helpers!BS4*Assumptions!$B$22</f>
        <v>-19902.703333333335</v>
      </c>
      <c r="BT21" s="8">
        <f>-Helpers!BT4*Assumptions!$B$22</f>
        <v>-19902.703333333335</v>
      </c>
      <c r="BU21" s="8">
        <f>-Helpers!BU4*Assumptions!$B$22</f>
        <v>-19902.703333333335</v>
      </c>
      <c r="BV21" s="8">
        <f>-Helpers!BV4*Assumptions!$B$22</f>
        <v>-19902.703333333335</v>
      </c>
      <c r="BW21" s="8">
        <f>-Helpers!BW4*Assumptions!$B$22</f>
        <v>-19902.703333333335</v>
      </c>
      <c r="BX21" s="8">
        <f>-Helpers!BX4*Assumptions!$B$22</f>
        <v>-19902.703333333335</v>
      </c>
      <c r="BY21" s="8">
        <f>-Helpers!BY4*Assumptions!$B$22</f>
        <v>-19902.703333333335</v>
      </c>
      <c r="BZ21" s="8">
        <f>-Helpers!BZ4*Assumptions!$B$22</f>
        <v>-19902.703333333335</v>
      </c>
      <c r="CA21" s="8">
        <f>-Helpers!CA4*Assumptions!$B$22</f>
        <v>-19902.703333333335</v>
      </c>
      <c r="CB21" s="8">
        <f>-Helpers!CB4*Assumptions!$B$22</f>
        <v>-19902.703333333335</v>
      </c>
      <c r="CC21" s="8">
        <f>-Helpers!CC4*Assumptions!$B$22</f>
        <v>-19902.703333333335</v>
      </c>
      <c r="CD21" s="8">
        <f>-Helpers!CD4*Assumptions!$B$22</f>
        <v>-19902.703333333335</v>
      </c>
      <c r="CE21" s="8">
        <f>-Helpers!CE4*Assumptions!$B$22</f>
        <v>-19902.703333333335</v>
      </c>
      <c r="CF21" s="8">
        <f>-Helpers!CF4*Assumptions!$B$22</f>
        <v>-19902.703333333335</v>
      </c>
      <c r="CG21" s="8">
        <f>-Helpers!CG4*Assumptions!$B$22</f>
        <v>-19902.703333333335</v>
      </c>
      <c r="CH21" s="8">
        <f>-Helpers!CH4*Assumptions!$B$22</f>
        <v>-19902.703333333335</v>
      </c>
      <c r="CI21" s="23"/>
    </row>
    <row r="22" spans="1:87" ht="15" customHeight="1" x14ac:dyDescent="0.25">
      <c r="A22" s="7" t="s">
        <v>135</v>
      </c>
      <c r="B22" s="22"/>
      <c r="C22" s="8">
        <f>-Helpers!C4*Assumptions!$B$23</f>
        <v>-4361.4866666666676</v>
      </c>
      <c r="D22" s="8">
        <f>-Helpers!D4*Assumptions!$B$23</f>
        <v>-5086.4866666666667</v>
      </c>
      <c r="E22" s="8">
        <f>-Helpers!E4*Assumptions!$B$23</f>
        <v>-5686.4866666666667</v>
      </c>
      <c r="F22" s="8">
        <f>-Helpers!F4*Assumptions!$B$23</f>
        <v>-5686.4866666666667</v>
      </c>
      <c r="G22" s="8">
        <f>-Helpers!G4*Assumptions!$B$23</f>
        <v>-5686.4866666666667</v>
      </c>
      <c r="H22" s="8">
        <f>-Helpers!H4*Assumptions!$B$23</f>
        <v>-5686.4866666666667</v>
      </c>
      <c r="I22" s="8">
        <f>-Helpers!I4*Assumptions!$B$23</f>
        <v>-5686.4866666666667</v>
      </c>
      <c r="J22" s="8">
        <f>-Helpers!J4*Assumptions!$B$23</f>
        <v>-5686.4866666666667</v>
      </c>
      <c r="K22" s="8">
        <f>-Helpers!K4*Assumptions!$B$23</f>
        <v>-5686.4866666666667</v>
      </c>
      <c r="L22" s="8">
        <f>-Helpers!L4*Assumptions!$B$23</f>
        <v>-5686.4866666666667</v>
      </c>
      <c r="M22" s="8">
        <f>-Helpers!M4*Assumptions!$B$23</f>
        <v>-5686.4866666666667</v>
      </c>
      <c r="N22" s="8">
        <f>-Helpers!N4*Assumptions!$B$23</f>
        <v>-5686.4866666666667</v>
      </c>
      <c r="O22" s="8">
        <f>-Helpers!O4*Assumptions!$B$23</f>
        <v>-5686.4866666666667</v>
      </c>
      <c r="P22" s="8">
        <f>-Helpers!P4*Assumptions!$B$23</f>
        <v>-5686.4866666666667</v>
      </c>
      <c r="Q22" s="8">
        <f>-Helpers!Q4*Assumptions!$B$23</f>
        <v>-5686.4866666666667</v>
      </c>
      <c r="R22" s="8">
        <f>-Helpers!R4*Assumptions!$B$23</f>
        <v>-5686.4866666666667</v>
      </c>
      <c r="S22" s="8">
        <f>-Helpers!S4*Assumptions!$B$23</f>
        <v>-5686.4866666666667</v>
      </c>
      <c r="T22" s="8">
        <f>-Helpers!T4*Assumptions!$B$23</f>
        <v>-5686.4866666666667</v>
      </c>
      <c r="U22" s="8">
        <f>-Helpers!U4*Assumptions!$B$23</f>
        <v>-5686.4866666666667</v>
      </c>
      <c r="V22" s="8">
        <f>-Helpers!V4*Assumptions!$B$23</f>
        <v>-5686.4866666666667</v>
      </c>
      <c r="W22" s="8">
        <f>-Helpers!W4*Assumptions!$B$23</f>
        <v>-5686.4866666666667</v>
      </c>
      <c r="X22" s="8">
        <f>-Helpers!X4*Assumptions!$B$23</f>
        <v>-5686.4866666666667</v>
      </c>
      <c r="Y22" s="8">
        <f>-Helpers!Y4*Assumptions!$B$23</f>
        <v>-5686.4866666666667</v>
      </c>
      <c r="Z22" s="8">
        <f>-Helpers!Z4*Assumptions!$B$23</f>
        <v>-5686.4866666666667</v>
      </c>
      <c r="AA22" s="8">
        <f>-Helpers!AA4*Assumptions!$B$23</f>
        <v>-5686.4866666666667</v>
      </c>
      <c r="AB22" s="8">
        <f>-Helpers!AB4*Assumptions!$B$23</f>
        <v>-5686.4866666666667</v>
      </c>
      <c r="AC22" s="8">
        <f>-Helpers!AC4*Assumptions!$B$23</f>
        <v>-5686.4866666666667</v>
      </c>
      <c r="AD22" s="8">
        <f>-Helpers!AD4*Assumptions!$B$23</f>
        <v>-5686.4866666666667</v>
      </c>
      <c r="AE22" s="8">
        <f>-Helpers!AE4*Assumptions!$B$23</f>
        <v>-5686.4866666666667</v>
      </c>
      <c r="AF22" s="8">
        <f>-Helpers!AF4*Assumptions!$B$23</f>
        <v>-5686.4866666666667</v>
      </c>
      <c r="AG22" s="8">
        <f>-Helpers!AG4*Assumptions!$B$23</f>
        <v>-5686.4866666666667</v>
      </c>
      <c r="AH22" s="8">
        <f>-Helpers!AH4*Assumptions!$B$23</f>
        <v>-5686.4866666666667</v>
      </c>
      <c r="AI22" s="8">
        <f>-Helpers!AI4*Assumptions!$B$23</f>
        <v>-5686.4866666666667</v>
      </c>
      <c r="AJ22" s="8">
        <f>-Helpers!AJ4*Assumptions!$B$23</f>
        <v>-5686.4866666666667</v>
      </c>
      <c r="AK22" s="8">
        <f>-Helpers!AK4*Assumptions!$B$23</f>
        <v>-5686.4866666666667</v>
      </c>
      <c r="AL22" s="8">
        <f>-Helpers!AL4*Assumptions!$B$23</f>
        <v>-5686.4866666666667</v>
      </c>
      <c r="AM22" s="8">
        <f>-Helpers!AM4*Assumptions!$B$23</f>
        <v>-5686.4866666666667</v>
      </c>
      <c r="AN22" s="8">
        <f>-Helpers!AN4*Assumptions!$B$23</f>
        <v>-5686.4866666666667</v>
      </c>
      <c r="AO22" s="8">
        <f>-Helpers!AO4*Assumptions!$B$23</f>
        <v>-5686.4866666666667</v>
      </c>
      <c r="AP22" s="8">
        <f>-Helpers!AP4*Assumptions!$B$23</f>
        <v>-5686.4866666666667</v>
      </c>
      <c r="AQ22" s="8">
        <f>-Helpers!AQ4*Assumptions!$B$23</f>
        <v>-5686.4866666666667</v>
      </c>
      <c r="AR22" s="8">
        <f>-Helpers!AR4*Assumptions!$B$23</f>
        <v>-5686.4866666666667</v>
      </c>
      <c r="AS22" s="8">
        <f>-Helpers!AS4*Assumptions!$B$23</f>
        <v>-5686.4866666666667</v>
      </c>
      <c r="AT22" s="8">
        <f>-Helpers!AT4*Assumptions!$B$23</f>
        <v>-5686.4866666666667</v>
      </c>
      <c r="AU22" s="8">
        <f>-Helpers!AU4*Assumptions!$B$23</f>
        <v>-5686.4866666666667</v>
      </c>
      <c r="AV22" s="8">
        <f>-Helpers!AV4*Assumptions!$B$23</f>
        <v>-5686.4866666666667</v>
      </c>
      <c r="AW22" s="8">
        <f>-Helpers!AW4*Assumptions!$B$23</f>
        <v>-5686.4866666666667</v>
      </c>
      <c r="AX22" s="8">
        <f>-Helpers!AX4*Assumptions!$B$23</f>
        <v>-5686.4866666666667</v>
      </c>
      <c r="AY22" s="8">
        <f>-Helpers!AY4*Assumptions!$B$23</f>
        <v>-5686.4866666666667</v>
      </c>
      <c r="AZ22" s="8">
        <f>-Helpers!AZ4*Assumptions!$B$23</f>
        <v>-5686.4866666666667</v>
      </c>
      <c r="BA22" s="8">
        <f>-Helpers!BA4*Assumptions!$B$23</f>
        <v>-5686.4866666666667</v>
      </c>
      <c r="BB22" s="8">
        <f>-Helpers!BB4*Assumptions!$B$23</f>
        <v>-5686.4866666666667</v>
      </c>
      <c r="BC22" s="8">
        <f>-Helpers!BC4*Assumptions!$B$23</f>
        <v>-5686.4866666666667</v>
      </c>
      <c r="BD22" s="8">
        <f>-Helpers!BD4*Assumptions!$B$23</f>
        <v>-5686.4866666666667</v>
      </c>
      <c r="BE22" s="8">
        <f>-Helpers!BE4*Assumptions!$B$23</f>
        <v>-5686.4866666666667</v>
      </c>
      <c r="BF22" s="8">
        <f>-Helpers!BF4*Assumptions!$B$23</f>
        <v>-5686.4866666666667</v>
      </c>
      <c r="BG22" s="8">
        <f>-Helpers!BG4*Assumptions!$B$23</f>
        <v>-5686.4866666666667</v>
      </c>
      <c r="BH22" s="8">
        <f>-Helpers!BH4*Assumptions!$B$23</f>
        <v>-5686.4866666666667</v>
      </c>
      <c r="BI22" s="8">
        <f>-Helpers!BI4*Assumptions!$B$23</f>
        <v>-5686.4866666666667</v>
      </c>
      <c r="BJ22" s="8">
        <f>-Helpers!BJ4*Assumptions!$B$23</f>
        <v>-5686.4866666666667</v>
      </c>
      <c r="BK22" s="8">
        <f>-Helpers!BK4*Assumptions!$B$23</f>
        <v>-5686.4866666666667</v>
      </c>
      <c r="BL22" s="8">
        <f>-Helpers!BL4*Assumptions!$B$23</f>
        <v>-5686.4866666666667</v>
      </c>
      <c r="BM22" s="8">
        <f>-Helpers!BM4*Assumptions!$B$23</f>
        <v>-5686.4866666666667</v>
      </c>
      <c r="BN22" s="8">
        <f>-Helpers!BN4*Assumptions!$B$23</f>
        <v>-5686.4866666666667</v>
      </c>
      <c r="BO22" s="8">
        <f>-Helpers!BO4*Assumptions!$B$23</f>
        <v>-5686.4866666666667</v>
      </c>
      <c r="BP22" s="8">
        <f>-Helpers!BP4*Assumptions!$B$23</f>
        <v>-5686.4866666666667</v>
      </c>
      <c r="BQ22" s="8">
        <f>-Helpers!BQ4*Assumptions!$B$23</f>
        <v>-5686.4866666666667</v>
      </c>
      <c r="BR22" s="8">
        <f>-Helpers!BR4*Assumptions!$B$23</f>
        <v>-5686.4866666666667</v>
      </c>
      <c r="BS22" s="8">
        <f>-Helpers!BS4*Assumptions!$B$23</f>
        <v>-5686.4866666666667</v>
      </c>
      <c r="BT22" s="8">
        <f>-Helpers!BT4*Assumptions!$B$23</f>
        <v>-5686.4866666666667</v>
      </c>
      <c r="BU22" s="8">
        <f>-Helpers!BU4*Assumptions!$B$23</f>
        <v>-5686.4866666666667</v>
      </c>
      <c r="BV22" s="8">
        <f>-Helpers!BV4*Assumptions!$B$23</f>
        <v>-5686.4866666666667</v>
      </c>
      <c r="BW22" s="8">
        <f>-Helpers!BW4*Assumptions!$B$23</f>
        <v>-5686.4866666666667</v>
      </c>
      <c r="BX22" s="8">
        <f>-Helpers!BX4*Assumptions!$B$23</f>
        <v>-5686.4866666666667</v>
      </c>
      <c r="BY22" s="8">
        <f>-Helpers!BY4*Assumptions!$B$23</f>
        <v>-5686.4866666666667</v>
      </c>
      <c r="BZ22" s="8">
        <f>-Helpers!BZ4*Assumptions!$B$23</f>
        <v>-5686.4866666666667</v>
      </c>
      <c r="CA22" s="8">
        <f>-Helpers!CA4*Assumptions!$B$23</f>
        <v>-5686.4866666666667</v>
      </c>
      <c r="CB22" s="8">
        <f>-Helpers!CB4*Assumptions!$B$23</f>
        <v>-5686.4866666666667</v>
      </c>
      <c r="CC22" s="8">
        <f>-Helpers!CC4*Assumptions!$B$23</f>
        <v>-5686.4866666666667</v>
      </c>
      <c r="CD22" s="8">
        <f>-Helpers!CD4*Assumptions!$B$23</f>
        <v>-5686.4866666666667</v>
      </c>
      <c r="CE22" s="8">
        <f>-Helpers!CE4*Assumptions!$B$23</f>
        <v>-5686.4866666666667</v>
      </c>
      <c r="CF22" s="8">
        <f>-Helpers!CF4*Assumptions!$B$23</f>
        <v>-5686.4866666666667</v>
      </c>
      <c r="CG22" s="8">
        <f>-Helpers!CG4*Assumptions!$B$23</f>
        <v>-5686.4866666666667</v>
      </c>
      <c r="CH22" s="8">
        <f>-Helpers!CH4*Assumptions!$B$23</f>
        <v>-5686.4866666666667</v>
      </c>
      <c r="CI22" s="23"/>
    </row>
    <row r="23" spans="1:87" ht="15" customHeight="1" x14ac:dyDescent="0.25">
      <c r="A23" s="7" t="s">
        <v>136</v>
      </c>
      <c r="B23" s="22"/>
      <c r="C23" s="8">
        <f>-10000*Escalation!$B$2</f>
        <v>-10000</v>
      </c>
      <c r="D23" s="8">
        <f>-10000*Escalation!$B$3</f>
        <v>-10000</v>
      </c>
      <c r="E23" s="8">
        <f>-10000*Escalation!$B$4</f>
        <v>-10000</v>
      </c>
      <c r="F23" s="8">
        <f>-10000*Escalation!$B$5</f>
        <v>-10000</v>
      </c>
      <c r="G23" s="8">
        <f>-10000*Escalation!$B$6</f>
        <v>-10000</v>
      </c>
      <c r="H23" s="8">
        <f>-10000*Escalation!$B$7</f>
        <v>-10000</v>
      </c>
      <c r="I23" s="8">
        <f>-10000*Escalation!$B$8</f>
        <v>-10000</v>
      </c>
      <c r="J23" s="8">
        <f>-10000*Escalation!$B$9</f>
        <v>-10000</v>
      </c>
      <c r="K23" s="8">
        <f>-10000*Escalation!$B$10</f>
        <v>-10000</v>
      </c>
      <c r="L23" s="8">
        <f>-10000*Escalation!$B$11</f>
        <v>-10000</v>
      </c>
      <c r="M23" s="8">
        <f>-10000*Escalation!$B$12</f>
        <v>-10000</v>
      </c>
      <c r="N23" s="8">
        <f>-10000*Escalation!$B$13</f>
        <v>-10000</v>
      </c>
      <c r="O23" s="8">
        <f>-10000*Escalation!$B$14</f>
        <v>-10200</v>
      </c>
      <c r="P23" s="8">
        <f>-10000*Escalation!$B$15</f>
        <v>-10200</v>
      </c>
      <c r="Q23" s="8">
        <f>-10000*Escalation!$B$16</f>
        <v>-10200</v>
      </c>
      <c r="R23" s="8">
        <f>-10000*Escalation!$B$17</f>
        <v>-10200</v>
      </c>
      <c r="S23" s="8">
        <f>-10000*Escalation!$B$18</f>
        <v>-10200</v>
      </c>
      <c r="T23" s="8">
        <f>-10000*Escalation!$B$19</f>
        <v>-10200</v>
      </c>
      <c r="U23" s="8">
        <f>-10000*Escalation!$B$20</f>
        <v>-10200</v>
      </c>
      <c r="V23" s="8">
        <f>-10000*Escalation!$B$21</f>
        <v>-10200</v>
      </c>
      <c r="W23" s="8">
        <f>-10000*Escalation!$B$22</f>
        <v>-10200</v>
      </c>
      <c r="X23" s="8">
        <f>-10000*Escalation!$B$23</f>
        <v>-10200</v>
      </c>
      <c r="Y23" s="8">
        <f>-10000*Escalation!$B$24</f>
        <v>-10200</v>
      </c>
      <c r="Z23" s="8">
        <f>-10000*Escalation!$B$25</f>
        <v>-10200</v>
      </c>
      <c r="AA23" s="8">
        <f>-10000*Escalation!$B$26</f>
        <v>-10404</v>
      </c>
      <c r="AB23" s="8">
        <f>-10000*Escalation!$B$27</f>
        <v>-10404</v>
      </c>
      <c r="AC23" s="8">
        <f>-10000*Escalation!$B$28</f>
        <v>-10404</v>
      </c>
      <c r="AD23" s="8">
        <f>-10000*Escalation!$B$29</f>
        <v>-10404</v>
      </c>
      <c r="AE23" s="8">
        <f>-10000*Escalation!$B$30</f>
        <v>-10404</v>
      </c>
      <c r="AF23" s="8">
        <f>-10000*Escalation!$B$31</f>
        <v>-10404</v>
      </c>
      <c r="AG23" s="8">
        <f>-10000*Escalation!$B$32</f>
        <v>-10404</v>
      </c>
      <c r="AH23" s="8">
        <f>-10000*Escalation!$B$33</f>
        <v>-10404</v>
      </c>
      <c r="AI23" s="8">
        <f>-10000*Escalation!$B$34</f>
        <v>-10404</v>
      </c>
      <c r="AJ23" s="8">
        <f>-10000*Escalation!$B$35</f>
        <v>-10404</v>
      </c>
      <c r="AK23" s="8">
        <f>-10000*Escalation!$B$36</f>
        <v>-10404</v>
      </c>
      <c r="AL23" s="8">
        <f>-10000*Escalation!$B$37</f>
        <v>-10404</v>
      </c>
      <c r="AM23" s="8">
        <f>-10000*Escalation!$B$38</f>
        <v>-10612.08</v>
      </c>
      <c r="AN23" s="8">
        <f>-10000*Escalation!$B$39</f>
        <v>-10612.08</v>
      </c>
      <c r="AO23" s="8">
        <f>-10000*Escalation!$B$40</f>
        <v>-10612.08</v>
      </c>
      <c r="AP23" s="8">
        <f>-10000*Escalation!$B$41</f>
        <v>-10612.08</v>
      </c>
      <c r="AQ23" s="8">
        <f>-10000*Escalation!$B$42</f>
        <v>-10612.08</v>
      </c>
      <c r="AR23" s="8">
        <f>-10000*Escalation!$B$43</f>
        <v>-10612.08</v>
      </c>
      <c r="AS23" s="8">
        <f>-10000*Escalation!$B$44</f>
        <v>-10612.08</v>
      </c>
      <c r="AT23" s="8">
        <f>-10000*Escalation!$B$45</f>
        <v>-10612.08</v>
      </c>
      <c r="AU23" s="8">
        <f>-10000*Escalation!$B$46</f>
        <v>-10612.08</v>
      </c>
      <c r="AV23" s="8">
        <f>-10000*Escalation!$B$47</f>
        <v>-10612.08</v>
      </c>
      <c r="AW23" s="8">
        <f>-10000*Escalation!$B$48</f>
        <v>-10612.08</v>
      </c>
      <c r="AX23" s="8">
        <f>-10000*Escalation!$B$49</f>
        <v>-10612.08</v>
      </c>
      <c r="AY23" s="8">
        <f>-10000*Escalation!$B$50</f>
        <v>-10824.321599999999</v>
      </c>
      <c r="AZ23" s="8">
        <f>-10000*Escalation!$B$51</f>
        <v>-10824.321599999999</v>
      </c>
      <c r="BA23" s="8">
        <f>-10000*Escalation!$B$52</f>
        <v>-10824.321599999999</v>
      </c>
      <c r="BB23" s="8">
        <f>-10000*Escalation!$B$53</f>
        <v>-10824.321599999999</v>
      </c>
      <c r="BC23" s="8">
        <f>-10000*Escalation!$B$54</f>
        <v>-10824.321599999999</v>
      </c>
      <c r="BD23" s="8">
        <f>-10000*Escalation!$B$55</f>
        <v>-10824.321599999999</v>
      </c>
      <c r="BE23" s="8">
        <f>-10000*Escalation!$B$56</f>
        <v>-10824.321599999999</v>
      </c>
      <c r="BF23" s="8">
        <f>-10000*Escalation!$B$57</f>
        <v>-10824.321599999999</v>
      </c>
      <c r="BG23" s="8">
        <f>-10000*Escalation!$B$58</f>
        <v>-10824.321599999999</v>
      </c>
      <c r="BH23" s="8">
        <f>-10000*Escalation!$B$59</f>
        <v>-10824.321599999999</v>
      </c>
      <c r="BI23" s="8">
        <f>-10000*Escalation!$B$60</f>
        <v>-10824.321599999999</v>
      </c>
      <c r="BJ23" s="8">
        <f>-10000*Escalation!$B$61</f>
        <v>-10824.321599999999</v>
      </c>
      <c r="BK23" s="8">
        <f>-10000*Escalation!$B$62</f>
        <v>-11040.808032000001</v>
      </c>
      <c r="BL23" s="8">
        <f>-10000*Escalation!$B$63</f>
        <v>-11040.808032000001</v>
      </c>
      <c r="BM23" s="8">
        <f>-10000*Escalation!$B$64</f>
        <v>-11040.808032000001</v>
      </c>
      <c r="BN23" s="8">
        <f>-10000*Escalation!$B$65</f>
        <v>-11040.808032000001</v>
      </c>
      <c r="BO23" s="8">
        <f>-10000*Escalation!$B$66</f>
        <v>-11040.808032000001</v>
      </c>
      <c r="BP23" s="8">
        <f>-10000*Escalation!$B$67</f>
        <v>-11040.808032000001</v>
      </c>
      <c r="BQ23" s="8">
        <f>-10000*Escalation!$B$68</f>
        <v>-11040.808032000001</v>
      </c>
      <c r="BR23" s="8">
        <f>-10000*Escalation!$B$69</f>
        <v>-11040.808032000001</v>
      </c>
      <c r="BS23" s="8">
        <f>-10000*Escalation!$B$70</f>
        <v>-11040.808032000001</v>
      </c>
      <c r="BT23" s="8">
        <f>-10000*Escalation!$B$71</f>
        <v>-11040.808032000001</v>
      </c>
      <c r="BU23" s="8">
        <f>-10000*Escalation!$B$72</f>
        <v>-11040.808032000001</v>
      </c>
      <c r="BV23" s="8">
        <f>-10000*Escalation!$B$73</f>
        <v>-11040.808032000001</v>
      </c>
      <c r="BW23" s="8">
        <f>-10000*Escalation!$B$74</f>
        <v>-11261.62419264</v>
      </c>
      <c r="BX23" s="8">
        <f>-10000*Escalation!$B$75</f>
        <v>-11261.62419264</v>
      </c>
      <c r="BY23" s="8">
        <f>-10000*Escalation!$B$76</f>
        <v>-11261.62419264</v>
      </c>
      <c r="BZ23" s="8">
        <f>-10000*Escalation!$B$77</f>
        <v>-11261.62419264</v>
      </c>
      <c r="CA23" s="8">
        <f>-10000*Escalation!$B$78</f>
        <v>-11261.62419264</v>
      </c>
      <c r="CB23" s="8">
        <f>-10000*Escalation!$B$79</f>
        <v>-11261.62419264</v>
      </c>
      <c r="CC23" s="8">
        <f>-10000*Escalation!$B$80</f>
        <v>-11261.62419264</v>
      </c>
      <c r="CD23" s="8">
        <f>-10000*Escalation!$B$81</f>
        <v>-11261.62419264</v>
      </c>
      <c r="CE23" s="8">
        <f>-10000*Escalation!$B$82</f>
        <v>-11261.62419264</v>
      </c>
      <c r="CF23" s="8">
        <f>-10000*Escalation!$B$83</f>
        <v>-11261.62419264</v>
      </c>
      <c r="CG23" s="8">
        <f>-10000*Escalation!$B$84</f>
        <v>-11261.62419264</v>
      </c>
      <c r="CH23" s="8">
        <f>-10000*Escalation!$B$85</f>
        <v>-11261.62419264</v>
      </c>
      <c r="CI23" s="23"/>
    </row>
    <row r="24" spans="1:87" ht="15" customHeight="1" x14ac:dyDescent="0.25">
      <c r="A24" s="7" t="s">
        <v>137</v>
      </c>
      <c r="B24" s="22"/>
      <c r="C24" s="8">
        <f>-2500*Escalation!$B$2</f>
        <v>-2500</v>
      </c>
      <c r="D24" s="8">
        <f>-2500*Escalation!$B$3</f>
        <v>-2500</v>
      </c>
      <c r="E24" s="8">
        <f>-2500*Escalation!$B$4</f>
        <v>-2500</v>
      </c>
      <c r="F24" s="8">
        <f>-2500*Escalation!$B$5</f>
        <v>-2500</v>
      </c>
      <c r="G24" s="8">
        <f>-2500*Escalation!$B$6</f>
        <v>-2500</v>
      </c>
      <c r="H24" s="8">
        <f>-2500*Escalation!$B$7</f>
        <v>-2500</v>
      </c>
      <c r="I24" s="8">
        <f>-2500*Escalation!$B$8</f>
        <v>-2500</v>
      </c>
      <c r="J24" s="8">
        <f>-2500*Escalation!$B$9</f>
        <v>-2500</v>
      </c>
      <c r="K24" s="8">
        <f>-2500*Escalation!$B$10</f>
        <v>-2500</v>
      </c>
      <c r="L24" s="8">
        <f>-2500*Escalation!$B$11</f>
        <v>-2500</v>
      </c>
      <c r="M24" s="8">
        <f>-2500*Escalation!$B$12</f>
        <v>-2500</v>
      </c>
      <c r="N24" s="8">
        <f>-2500*Escalation!$B$13</f>
        <v>-2500</v>
      </c>
      <c r="O24" s="8">
        <f>-2500*Escalation!$B$14</f>
        <v>-2550</v>
      </c>
      <c r="P24" s="8">
        <f>-2500*Escalation!$B$15</f>
        <v>-2550</v>
      </c>
      <c r="Q24" s="8">
        <f>-2500*Escalation!$B$16</f>
        <v>-2550</v>
      </c>
      <c r="R24" s="8">
        <f>-2500*Escalation!$B$17</f>
        <v>-2550</v>
      </c>
      <c r="S24" s="8">
        <f>-2500*Escalation!$B$18</f>
        <v>-2550</v>
      </c>
      <c r="T24" s="8">
        <f>-2500*Escalation!$B$19</f>
        <v>-2550</v>
      </c>
      <c r="U24" s="8">
        <f>-2500*Escalation!$B$20</f>
        <v>-2550</v>
      </c>
      <c r="V24" s="8">
        <f>-2500*Escalation!$B$21</f>
        <v>-2550</v>
      </c>
      <c r="W24" s="8">
        <f>-2500*Escalation!$B$22</f>
        <v>-2550</v>
      </c>
      <c r="X24" s="8">
        <f>-2500*Escalation!$B$23</f>
        <v>-2550</v>
      </c>
      <c r="Y24" s="8">
        <f>-2500*Escalation!$B$24</f>
        <v>-2550</v>
      </c>
      <c r="Z24" s="8">
        <f>-2500*Escalation!$B$25</f>
        <v>-2550</v>
      </c>
      <c r="AA24" s="8">
        <f>-2500*Escalation!$B$26</f>
        <v>-2601</v>
      </c>
      <c r="AB24" s="8">
        <f>-2500*Escalation!$B$27</f>
        <v>-2601</v>
      </c>
      <c r="AC24" s="8">
        <f>-2500*Escalation!$B$28</f>
        <v>-2601</v>
      </c>
      <c r="AD24" s="8">
        <f>-2500*Escalation!$B$29</f>
        <v>-2601</v>
      </c>
      <c r="AE24" s="8">
        <f>-2500*Escalation!$B$30</f>
        <v>-2601</v>
      </c>
      <c r="AF24" s="8">
        <f>-2500*Escalation!$B$31</f>
        <v>-2601</v>
      </c>
      <c r="AG24" s="8">
        <f>-2500*Escalation!$B$32</f>
        <v>-2601</v>
      </c>
      <c r="AH24" s="8">
        <f>-2500*Escalation!$B$33</f>
        <v>-2601</v>
      </c>
      <c r="AI24" s="8">
        <f>-2500*Escalation!$B$34</f>
        <v>-2601</v>
      </c>
      <c r="AJ24" s="8">
        <f>-2500*Escalation!$B$35</f>
        <v>-2601</v>
      </c>
      <c r="AK24" s="8">
        <f>-2500*Escalation!$B$36</f>
        <v>-2601</v>
      </c>
      <c r="AL24" s="8">
        <f>-2500*Escalation!$B$37</f>
        <v>-2601</v>
      </c>
      <c r="AM24" s="8">
        <f>-2500*Escalation!$B$38</f>
        <v>-2653.02</v>
      </c>
      <c r="AN24" s="8">
        <f>-2500*Escalation!$B$39</f>
        <v>-2653.02</v>
      </c>
      <c r="AO24" s="8">
        <f>-2500*Escalation!$B$40</f>
        <v>-2653.02</v>
      </c>
      <c r="AP24" s="8">
        <f>-2500*Escalation!$B$41</f>
        <v>-2653.02</v>
      </c>
      <c r="AQ24" s="8">
        <f>-2500*Escalation!$B$42</f>
        <v>-2653.02</v>
      </c>
      <c r="AR24" s="8">
        <f>-2500*Escalation!$B$43</f>
        <v>-2653.02</v>
      </c>
      <c r="AS24" s="8">
        <f>-2500*Escalation!$B$44</f>
        <v>-2653.02</v>
      </c>
      <c r="AT24" s="8">
        <f>-2500*Escalation!$B$45</f>
        <v>-2653.02</v>
      </c>
      <c r="AU24" s="8">
        <f>-2500*Escalation!$B$46</f>
        <v>-2653.02</v>
      </c>
      <c r="AV24" s="8">
        <f>-2500*Escalation!$B$47</f>
        <v>-2653.02</v>
      </c>
      <c r="AW24" s="8">
        <f>-2500*Escalation!$B$48</f>
        <v>-2653.02</v>
      </c>
      <c r="AX24" s="8">
        <f>-2500*Escalation!$B$49</f>
        <v>-2653.02</v>
      </c>
      <c r="AY24" s="8">
        <f>-2500*Escalation!$B$50</f>
        <v>-2706.0803999999998</v>
      </c>
      <c r="AZ24" s="8">
        <f>-2500*Escalation!$B$51</f>
        <v>-2706.0803999999998</v>
      </c>
      <c r="BA24" s="8">
        <f>-2500*Escalation!$B$52</f>
        <v>-2706.0803999999998</v>
      </c>
      <c r="BB24" s="8">
        <f>-2500*Escalation!$B$53</f>
        <v>-2706.0803999999998</v>
      </c>
      <c r="BC24" s="8">
        <f>-2500*Escalation!$B$54</f>
        <v>-2706.0803999999998</v>
      </c>
      <c r="BD24" s="8">
        <f>-2500*Escalation!$B$55</f>
        <v>-2706.0803999999998</v>
      </c>
      <c r="BE24" s="8">
        <f>-2500*Escalation!$B$56</f>
        <v>-2706.0803999999998</v>
      </c>
      <c r="BF24" s="8">
        <f>-2500*Escalation!$B$57</f>
        <v>-2706.0803999999998</v>
      </c>
      <c r="BG24" s="8">
        <f>-2500*Escalation!$B$58</f>
        <v>-2706.0803999999998</v>
      </c>
      <c r="BH24" s="8">
        <f>-2500*Escalation!$B$59</f>
        <v>-2706.0803999999998</v>
      </c>
      <c r="BI24" s="8">
        <f>-2500*Escalation!$B$60</f>
        <v>-2706.0803999999998</v>
      </c>
      <c r="BJ24" s="8">
        <f>-2500*Escalation!$B$61</f>
        <v>-2706.0803999999998</v>
      </c>
      <c r="BK24" s="8">
        <f>-2500*Escalation!$B$62</f>
        <v>-2760.2020080000002</v>
      </c>
      <c r="BL24" s="8">
        <f>-2500*Escalation!$B$63</f>
        <v>-2760.2020080000002</v>
      </c>
      <c r="BM24" s="8">
        <f>-2500*Escalation!$B$64</f>
        <v>-2760.2020080000002</v>
      </c>
      <c r="BN24" s="8">
        <f>-2500*Escalation!$B$65</f>
        <v>-2760.2020080000002</v>
      </c>
      <c r="BO24" s="8">
        <f>-2500*Escalation!$B$66</f>
        <v>-2760.2020080000002</v>
      </c>
      <c r="BP24" s="8">
        <f>-2500*Escalation!$B$67</f>
        <v>-2760.2020080000002</v>
      </c>
      <c r="BQ24" s="8">
        <f>-2500*Escalation!$B$68</f>
        <v>-2760.2020080000002</v>
      </c>
      <c r="BR24" s="8">
        <f>-2500*Escalation!$B$69</f>
        <v>-2760.2020080000002</v>
      </c>
      <c r="BS24" s="8">
        <f>-2500*Escalation!$B$70</f>
        <v>-2760.2020080000002</v>
      </c>
      <c r="BT24" s="8">
        <f>-2500*Escalation!$B$71</f>
        <v>-2760.2020080000002</v>
      </c>
      <c r="BU24" s="8">
        <f>-2500*Escalation!$B$72</f>
        <v>-2760.2020080000002</v>
      </c>
      <c r="BV24" s="8">
        <f>-2500*Escalation!$B$73</f>
        <v>-2760.2020080000002</v>
      </c>
      <c r="BW24" s="8">
        <f>-2500*Escalation!$B$74</f>
        <v>-2815.40604816</v>
      </c>
      <c r="BX24" s="8">
        <f>-2500*Escalation!$B$75</f>
        <v>-2815.40604816</v>
      </c>
      <c r="BY24" s="8">
        <f>-2500*Escalation!$B$76</f>
        <v>-2815.40604816</v>
      </c>
      <c r="BZ24" s="8">
        <f>-2500*Escalation!$B$77</f>
        <v>-2815.40604816</v>
      </c>
      <c r="CA24" s="8">
        <f>-2500*Escalation!$B$78</f>
        <v>-2815.40604816</v>
      </c>
      <c r="CB24" s="8">
        <f>-2500*Escalation!$B$79</f>
        <v>-2815.40604816</v>
      </c>
      <c r="CC24" s="8">
        <f>-2500*Escalation!$B$80</f>
        <v>-2815.40604816</v>
      </c>
      <c r="CD24" s="8">
        <f>-2500*Escalation!$B$81</f>
        <v>-2815.40604816</v>
      </c>
      <c r="CE24" s="8">
        <f>-2500*Escalation!$B$82</f>
        <v>-2815.40604816</v>
      </c>
      <c r="CF24" s="8">
        <f>-2500*Escalation!$B$83</f>
        <v>-2815.40604816</v>
      </c>
      <c r="CG24" s="8">
        <f>-2500*Escalation!$B$84</f>
        <v>-2815.40604816</v>
      </c>
      <c r="CH24" s="8">
        <f>-2500*Escalation!$B$85</f>
        <v>-2815.40604816</v>
      </c>
      <c r="CI24" s="23"/>
    </row>
    <row r="25" spans="1:87" ht="15" customHeight="1" x14ac:dyDescent="0.25">
      <c r="A25" s="7" t="s">
        <v>138</v>
      </c>
      <c r="B25" s="22"/>
      <c r="C25" s="8">
        <f>-300*Escalation!$B$2</f>
        <v>-300</v>
      </c>
      <c r="D25" s="8">
        <f>-300*Escalation!$B$3</f>
        <v>-300</v>
      </c>
      <c r="E25" s="8">
        <f>-300*Escalation!$B$4</f>
        <v>-300</v>
      </c>
      <c r="F25" s="8">
        <f>-300*Escalation!$B$5</f>
        <v>-300</v>
      </c>
      <c r="G25" s="8">
        <f>-300*Escalation!$B$6</f>
        <v>-300</v>
      </c>
      <c r="H25" s="8">
        <f>-300*Escalation!$B$7</f>
        <v>-300</v>
      </c>
      <c r="I25" s="8">
        <f>-300*Escalation!$B$8</f>
        <v>-300</v>
      </c>
      <c r="J25" s="8">
        <f>-300*Escalation!$B$9</f>
        <v>-300</v>
      </c>
      <c r="K25" s="8">
        <f>-300*Escalation!$B$10</f>
        <v>-300</v>
      </c>
      <c r="L25" s="8">
        <f>-300*Escalation!$B$11</f>
        <v>-300</v>
      </c>
      <c r="M25" s="8">
        <f>-300*Escalation!$B$12</f>
        <v>-300</v>
      </c>
      <c r="N25" s="8">
        <f>-300*Escalation!$B$13</f>
        <v>-300</v>
      </c>
      <c r="O25" s="8">
        <f>-300*Escalation!$B$14</f>
        <v>-306</v>
      </c>
      <c r="P25" s="8">
        <f>-300*Escalation!$B$15</f>
        <v>-306</v>
      </c>
      <c r="Q25" s="8">
        <f>-300*Escalation!$B$16</f>
        <v>-306</v>
      </c>
      <c r="R25" s="8">
        <f>-300*Escalation!$B$17</f>
        <v>-306</v>
      </c>
      <c r="S25" s="8">
        <f>-300*Escalation!$B$18</f>
        <v>-306</v>
      </c>
      <c r="T25" s="8">
        <f>-300*Escalation!$B$19</f>
        <v>-306</v>
      </c>
      <c r="U25" s="8">
        <f>-300*Escalation!$B$20</f>
        <v>-306</v>
      </c>
      <c r="V25" s="8">
        <f>-300*Escalation!$B$21</f>
        <v>-306</v>
      </c>
      <c r="W25" s="8">
        <f>-300*Escalation!$B$22</f>
        <v>-306</v>
      </c>
      <c r="X25" s="8">
        <f>-300*Escalation!$B$23</f>
        <v>-306</v>
      </c>
      <c r="Y25" s="8">
        <f>-300*Escalation!$B$24</f>
        <v>-306</v>
      </c>
      <c r="Z25" s="8">
        <f>-300*Escalation!$B$25</f>
        <v>-306</v>
      </c>
      <c r="AA25" s="8">
        <f>-300*Escalation!$B$26</f>
        <v>-312.12</v>
      </c>
      <c r="AB25" s="8">
        <f>-300*Escalation!$B$27</f>
        <v>-312.12</v>
      </c>
      <c r="AC25" s="8">
        <f>-300*Escalation!$B$28</f>
        <v>-312.12</v>
      </c>
      <c r="AD25" s="8">
        <f>-300*Escalation!$B$29</f>
        <v>-312.12</v>
      </c>
      <c r="AE25" s="8">
        <f>-300*Escalation!$B$30</f>
        <v>-312.12</v>
      </c>
      <c r="AF25" s="8">
        <f>-300*Escalation!$B$31</f>
        <v>-312.12</v>
      </c>
      <c r="AG25" s="8">
        <f>-300*Escalation!$B$32</f>
        <v>-312.12</v>
      </c>
      <c r="AH25" s="8">
        <f>-300*Escalation!$B$33</f>
        <v>-312.12</v>
      </c>
      <c r="AI25" s="8">
        <f>-300*Escalation!$B$34</f>
        <v>-312.12</v>
      </c>
      <c r="AJ25" s="8">
        <f>-300*Escalation!$B$35</f>
        <v>-312.12</v>
      </c>
      <c r="AK25" s="8">
        <f>-300*Escalation!$B$36</f>
        <v>-312.12</v>
      </c>
      <c r="AL25" s="8">
        <f>-300*Escalation!$B$37</f>
        <v>-312.12</v>
      </c>
      <c r="AM25" s="8">
        <f>-300*Escalation!$B$38</f>
        <v>-318.36239999999998</v>
      </c>
      <c r="AN25" s="8">
        <f>-300*Escalation!$B$39</f>
        <v>-318.36239999999998</v>
      </c>
      <c r="AO25" s="8">
        <f>-300*Escalation!$B$40</f>
        <v>-318.36239999999998</v>
      </c>
      <c r="AP25" s="8">
        <f>-300*Escalation!$B$41</f>
        <v>-318.36239999999998</v>
      </c>
      <c r="AQ25" s="8">
        <f>-300*Escalation!$B$42</f>
        <v>-318.36239999999998</v>
      </c>
      <c r="AR25" s="8">
        <f>-300*Escalation!$B$43</f>
        <v>-318.36239999999998</v>
      </c>
      <c r="AS25" s="8">
        <f>-300*Escalation!$B$44</f>
        <v>-318.36239999999998</v>
      </c>
      <c r="AT25" s="8">
        <f>-300*Escalation!$B$45</f>
        <v>-318.36239999999998</v>
      </c>
      <c r="AU25" s="8">
        <f>-300*Escalation!$B$46</f>
        <v>-318.36239999999998</v>
      </c>
      <c r="AV25" s="8">
        <f>-300*Escalation!$B$47</f>
        <v>-318.36239999999998</v>
      </c>
      <c r="AW25" s="8">
        <f>-300*Escalation!$B$48</f>
        <v>-318.36239999999998</v>
      </c>
      <c r="AX25" s="8">
        <f>-300*Escalation!$B$49</f>
        <v>-318.36239999999998</v>
      </c>
      <c r="AY25" s="8">
        <f>-300*Escalation!$B$50</f>
        <v>-324.729648</v>
      </c>
      <c r="AZ25" s="8">
        <f>-300*Escalation!$B$51</f>
        <v>-324.729648</v>
      </c>
      <c r="BA25" s="8">
        <f>-300*Escalation!$B$52</f>
        <v>-324.729648</v>
      </c>
      <c r="BB25" s="8">
        <f>-300*Escalation!$B$53</f>
        <v>-324.729648</v>
      </c>
      <c r="BC25" s="8">
        <f>-300*Escalation!$B$54</f>
        <v>-324.729648</v>
      </c>
      <c r="BD25" s="8">
        <f>-300*Escalation!$B$55</f>
        <v>-324.729648</v>
      </c>
      <c r="BE25" s="8">
        <f>-300*Escalation!$B$56</f>
        <v>-324.729648</v>
      </c>
      <c r="BF25" s="8">
        <f>-300*Escalation!$B$57</f>
        <v>-324.729648</v>
      </c>
      <c r="BG25" s="8">
        <f>-300*Escalation!$B$58</f>
        <v>-324.729648</v>
      </c>
      <c r="BH25" s="8">
        <f>-300*Escalation!$B$59</f>
        <v>-324.729648</v>
      </c>
      <c r="BI25" s="8">
        <f>-300*Escalation!$B$60</f>
        <v>-324.729648</v>
      </c>
      <c r="BJ25" s="8">
        <f>-300*Escalation!$B$61</f>
        <v>-324.729648</v>
      </c>
      <c r="BK25" s="8">
        <f>-300*Escalation!$B$62</f>
        <v>-331.22424096000003</v>
      </c>
      <c r="BL25" s="8">
        <f>-300*Escalation!$B$63</f>
        <v>-331.22424096000003</v>
      </c>
      <c r="BM25" s="8">
        <f>-300*Escalation!$B$64</f>
        <v>-331.22424096000003</v>
      </c>
      <c r="BN25" s="8">
        <f>-300*Escalation!$B$65</f>
        <v>-331.22424096000003</v>
      </c>
      <c r="BO25" s="8">
        <f>-300*Escalation!$B$66</f>
        <v>-331.22424096000003</v>
      </c>
      <c r="BP25" s="8">
        <f>-300*Escalation!$B$67</f>
        <v>-331.22424096000003</v>
      </c>
      <c r="BQ25" s="8">
        <f>-300*Escalation!$B$68</f>
        <v>-331.22424096000003</v>
      </c>
      <c r="BR25" s="8">
        <f>-300*Escalation!$B$69</f>
        <v>-331.22424096000003</v>
      </c>
      <c r="BS25" s="8">
        <f>-300*Escalation!$B$70</f>
        <v>-331.22424096000003</v>
      </c>
      <c r="BT25" s="8">
        <f>-300*Escalation!$B$71</f>
        <v>-331.22424096000003</v>
      </c>
      <c r="BU25" s="8">
        <f>-300*Escalation!$B$72</f>
        <v>-331.22424096000003</v>
      </c>
      <c r="BV25" s="8">
        <f>-300*Escalation!$B$73</f>
        <v>-331.22424096000003</v>
      </c>
      <c r="BW25" s="8">
        <f>-300*Escalation!$B$74</f>
        <v>-337.84872577920004</v>
      </c>
      <c r="BX25" s="8">
        <f>-300*Escalation!$B$75</f>
        <v>-337.84872577920004</v>
      </c>
      <c r="BY25" s="8">
        <f>-300*Escalation!$B$76</f>
        <v>-337.84872577920004</v>
      </c>
      <c r="BZ25" s="8">
        <f>-300*Escalation!$B$77</f>
        <v>-337.84872577920004</v>
      </c>
      <c r="CA25" s="8">
        <f>-300*Escalation!$B$78</f>
        <v>-337.84872577920004</v>
      </c>
      <c r="CB25" s="8">
        <f>-300*Escalation!$B$79</f>
        <v>-337.84872577920004</v>
      </c>
      <c r="CC25" s="8">
        <f>-300*Escalation!$B$80</f>
        <v>-337.84872577920004</v>
      </c>
      <c r="CD25" s="8">
        <f>-300*Escalation!$B$81</f>
        <v>-337.84872577920004</v>
      </c>
      <c r="CE25" s="8">
        <f>-300*Escalation!$B$82</f>
        <v>-337.84872577920004</v>
      </c>
      <c r="CF25" s="8">
        <f>-300*Escalation!$B$83</f>
        <v>-337.84872577920004</v>
      </c>
      <c r="CG25" s="8">
        <f>-300*Escalation!$B$84</f>
        <v>-337.84872577920004</v>
      </c>
      <c r="CH25" s="8">
        <f>-300*Escalation!$B$85</f>
        <v>-337.84872577920004</v>
      </c>
      <c r="CI25" s="23"/>
    </row>
    <row r="26" spans="1:87" ht="15" customHeight="1" x14ac:dyDescent="0.25">
      <c r="A26" s="7" t="s">
        <v>139</v>
      </c>
      <c r="B26" s="22"/>
      <c r="C26" s="8">
        <f>-3000*Escalation!$B$2</f>
        <v>-3000</v>
      </c>
      <c r="D26" s="8">
        <f>-3000*Escalation!$B$3</f>
        <v>-3000</v>
      </c>
      <c r="E26" s="8">
        <f>-3000*Escalation!$B$4</f>
        <v>-3000</v>
      </c>
      <c r="F26" s="8">
        <f>-3000*Escalation!$B$5</f>
        <v>-3000</v>
      </c>
      <c r="G26" s="8">
        <f>-3000*Escalation!$B$6</f>
        <v>-3000</v>
      </c>
      <c r="H26" s="8">
        <f>-3000*Escalation!$B$7</f>
        <v>-3000</v>
      </c>
      <c r="I26" s="8">
        <f>-3000*Escalation!$B$8</f>
        <v>-3000</v>
      </c>
      <c r="J26" s="8">
        <f>-3000*Escalation!$B$9</f>
        <v>-3000</v>
      </c>
      <c r="K26" s="8">
        <f>-3000*Escalation!$B$10</f>
        <v>-3000</v>
      </c>
      <c r="L26" s="8">
        <f>-3000*Escalation!$B$11</f>
        <v>-3000</v>
      </c>
      <c r="M26" s="8">
        <f>-3000*Escalation!$B$12</f>
        <v>-3000</v>
      </c>
      <c r="N26" s="8">
        <f>-3000*Escalation!$B$13</f>
        <v>-3000</v>
      </c>
      <c r="O26" s="8">
        <f>-3000*Escalation!$B$14</f>
        <v>-3060</v>
      </c>
      <c r="P26" s="8">
        <f>-3000*Escalation!$B$15</f>
        <v>-3060</v>
      </c>
      <c r="Q26" s="8">
        <f>-3000*Escalation!$B$16</f>
        <v>-3060</v>
      </c>
      <c r="R26" s="8">
        <f>-3000*Escalation!$B$17</f>
        <v>-3060</v>
      </c>
      <c r="S26" s="8">
        <f>-3000*Escalation!$B$18</f>
        <v>-3060</v>
      </c>
      <c r="T26" s="8">
        <f>-3000*Escalation!$B$19</f>
        <v>-3060</v>
      </c>
      <c r="U26" s="8">
        <f>-3000*Escalation!$B$20</f>
        <v>-3060</v>
      </c>
      <c r="V26" s="8">
        <f>-3000*Escalation!$B$21</f>
        <v>-3060</v>
      </c>
      <c r="W26" s="8">
        <f>-3000*Escalation!$B$22</f>
        <v>-3060</v>
      </c>
      <c r="X26" s="8">
        <f>-3000*Escalation!$B$23</f>
        <v>-3060</v>
      </c>
      <c r="Y26" s="8">
        <f>-3000*Escalation!$B$24</f>
        <v>-3060</v>
      </c>
      <c r="Z26" s="8">
        <f>-3000*Escalation!$B$25</f>
        <v>-3060</v>
      </c>
      <c r="AA26" s="8">
        <f>-3000*Escalation!$B$26</f>
        <v>-3121.2</v>
      </c>
      <c r="AB26" s="8">
        <f>-3000*Escalation!$B$27</f>
        <v>-3121.2</v>
      </c>
      <c r="AC26" s="8">
        <f>-3000*Escalation!$B$28</f>
        <v>-3121.2</v>
      </c>
      <c r="AD26" s="8">
        <f>-3000*Escalation!$B$29</f>
        <v>-3121.2</v>
      </c>
      <c r="AE26" s="8">
        <f>-3000*Escalation!$B$30</f>
        <v>-3121.2</v>
      </c>
      <c r="AF26" s="8">
        <f>-3000*Escalation!$B$31</f>
        <v>-3121.2</v>
      </c>
      <c r="AG26" s="8">
        <f>-3000*Escalation!$B$32</f>
        <v>-3121.2</v>
      </c>
      <c r="AH26" s="8">
        <f>-3000*Escalation!$B$33</f>
        <v>-3121.2</v>
      </c>
      <c r="AI26" s="8">
        <f>-3000*Escalation!$B$34</f>
        <v>-3121.2</v>
      </c>
      <c r="AJ26" s="8">
        <f>-3000*Escalation!$B$35</f>
        <v>-3121.2</v>
      </c>
      <c r="AK26" s="8">
        <f>-3000*Escalation!$B$36</f>
        <v>-3121.2</v>
      </c>
      <c r="AL26" s="8">
        <f>-3000*Escalation!$B$37</f>
        <v>-3121.2</v>
      </c>
      <c r="AM26" s="8">
        <f>-3000*Escalation!$B$38</f>
        <v>-3183.6239999999998</v>
      </c>
      <c r="AN26" s="8">
        <f>-3000*Escalation!$B$39</f>
        <v>-3183.6239999999998</v>
      </c>
      <c r="AO26" s="8">
        <f>-3000*Escalation!$B$40</f>
        <v>-3183.6239999999998</v>
      </c>
      <c r="AP26" s="8">
        <f>-3000*Escalation!$B$41</f>
        <v>-3183.6239999999998</v>
      </c>
      <c r="AQ26" s="8">
        <f>-3000*Escalation!$B$42</f>
        <v>-3183.6239999999998</v>
      </c>
      <c r="AR26" s="8">
        <f>-3000*Escalation!$B$43</f>
        <v>-3183.6239999999998</v>
      </c>
      <c r="AS26" s="8">
        <f>-3000*Escalation!$B$44</f>
        <v>-3183.6239999999998</v>
      </c>
      <c r="AT26" s="8">
        <f>-3000*Escalation!$B$45</f>
        <v>-3183.6239999999998</v>
      </c>
      <c r="AU26" s="8">
        <f>-3000*Escalation!$B$46</f>
        <v>-3183.6239999999998</v>
      </c>
      <c r="AV26" s="8">
        <f>-3000*Escalation!$B$47</f>
        <v>-3183.6239999999998</v>
      </c>
      <c r="AW26" s="8">
        <f>-3000*Escalation!$B$48</f>
        <v>-3183.6239999999998</v>
      </c>
      <c r="AX26" s="8">
        <f>-3000*Escalation!$B$49</f>
        <v>-3183.6239999999998</v>
      </c>
      <c r="AY26" s="8">
        <f>-3000*Escalation!$B$50</f>
        <v>-3247.29648</v>
      </c>
      <c r="AZ26" s="8">
        <f>-3000*Escalation!$B$51</f>
        <v>-3247.29648</v>
      </c>
      <c r="BA26" s="8">
        <f>-3000*Escalation!$B$52</f>
        <v>-3247.29648</v>
      </c>
      <c r="BB26" s="8">
        <f>-3000*Escalation!$B$53</f>
        <v>-3247.29648</v>
      </c>
      <c r="BC26" s="8">
        <f>-3000*Escalation!$B$54</f>
        <v>-3247.29648</v>
      </c>
      <c r="BD26" s="8">
        <f>-3000*Escalation!$B$55</f>
        <v>-3247.29648</v>
      </c>
      <c r="BE26" s="8">
        <f>-3000*Escalation!$B$56</f>
        <v>-3247.29648</v>
      </c>
      <c r="BF26" s="8">
        <f>-3000*Escalation!$B$57</f>
        <v>-3247.29648</v>
      </c>
      <c r="BG26" s="8">
        <f>-3000*Escalation!$B$58</f>
        <v>-3247.29648</v>
      </c>
      <c r="BH26" s="8">
        <f>-3000*Escalation!$B$59</f>
        <v>-3247.29648</v>
      </c>
      <c r="BI26" s="8">
        <f>-3000*Escalation!$B$60</f>
        <v>-3247.29648</v>
      </c>
      <c r="BJ26" s="8">
        <f>-3000*Escalation!$B$61</f>
        <v>-3247.29648</v>
      </c>
      <c r="BK26" s="8">
        <f>-3000*Escalation!$B$62</f>
        <v>-3312.2424096</v>
      </c>
      <c r="BL26" s="8">
        <f>-3000*Escalation!$B$63</f>
        <v>-3312.2424096</v>
      </c>
      <c r="BM26" s="8">
        <f>-3000*Escalation!$B$64</f>
        <v>-3312.2424096</v>
      </c>
      <c r="BN26" s="8">
        <f>-3000*Escalation!$B$65</f>
        <v>-3312.2424096</v>
      </c>
      <c r="BO26" s="8">
        <f>-3000*Escalation!$B$66</f>
        <v>-3312.2424096</v>
      </c>
      <c r="BP26" s="8">
        <f>-3000*Escalation!$B$67</f>
        <v>-3312.2424096</v>
      </c>
      <c r="BQ26" s="8">
        <f>-3000*Escalation!$B$68</f>
        <v>-3312.2424096</v>
      </c>
      <c r="BR26" s="8">
        <f>-3000*Escalation!$B$69</f>
        <v>-3312.2424096</v>
      </c>
      <c r="BS26" s="8">
        <f>-3000*Escalation!$B$70</f>
        <v>-3312.2424096</v>
      </c>
      <c r="BT26" s="8">
        <f>-3000*Escalation!$B$71</f>
        <v>-3312.2424096</v>
      </c>
      <c r="BU26" s="8">
        <f>-3000*Escalation!$B$72</f>
        <v>-3312.2424096</v>
      </c>
      <c r="BV26" s="8">
        <f>-3000*Escalation!$B$73</f>
        <v>-3312.2424096</v>
      </c>
      <c r="BW26" s="8">
        <f>-3000*Escalation!$B$74</f>
        <v>-3378.487257792</v>
      </c>
      <c r="BX26" s="8">
        <f>-3000*Escalation!$B$75</f>
        <v>-3378.487257792</v>
      </c>
      <c r="BY26" s="8">
        <f>-3000*Escalation!$B$76</f>
        <v>-3378.487257792</v>
      </c>
      <c r="BZ26" s="8">
        <f>-3000*Escalation!$B$77</f>
        <v>-3378.487257792</v>
      </c>
      <c r="CA26" s="8">
        <f>-3000*Escalation!$B$78</f>
        <v>-3378.487257792</v>
      </c>
      <c r="CB26" s="8">
        <f>-3000*Escalation!$B$79</f>
        <v>-3378.487257792</v>
      </c>
      <c r="CC26" s="8">
        <f>-3000*Escalation!$B$80</f>
        <v>-3378.487257792</v>
      </c>
      <c r="CD26" s="8">
        <f>-3000*Escalation!$B$81</f>
        <v>-3378.487257792</v>
      </c>
      <c r="CE26" s="8">
        <f>-3000*Escalation!$B$82</f>
        <v>-3378.487257792</v>
      </c>
      <c r="CF26" s="8">
        <f>-3000*Escalation!$B$83</f>
        <v>-3378.487257792</v>
      </c>
      <c r="CG26" s="8">
        <f>-3000*Escalation!$B$84</f>
        <v>-3378.487257792</v>
      </c>
      <c r="CH26" s="8">
        <f>-3000*Escalation!$B$85</f>
        <v>-3378.487257792</v>
      </c>
      <c r="CI26" s="23"/>
    </row>
    <row r="27" spans="1:87" ht="15" customHeight="1" x14ac:dyDescent="0.25">
      <c r="A27" s="7" t="s">
        <v>140</v>
      </c>
      <c r="B27" s="22"/>
      <c r="C27" s="8">
        <f>-300*Escalation!$B$2</f>
        <v>-300</v>
      </c>
      <c r="D27" s="8">
        <f>-300*Escalation!$B$3</f>
        <v>-300</v>
      </c>
      <c r="E27" s="8">
        <f>-300*Escalation!$B$4</f>
        <v>-300</v>
      </c>
      <c r="F27" s="8">
        <f>-300*Escalation!$B$5</f>
        <v>-300</v>
      </c>
      <c r="G27" s="8">
        <f>-300*Escalation!$B$6</f>
        <v>-300</v>
      </c>
      <c r="H27" s="8">
        <f>-300*Escalation!$B$7</f>
        <v>-300</v>
      </c>
      <c r="I27" s="8">
        <f>-300*Escalation!$B$8</f>
        <v>-300</v>
      </c>
      <c r="J27" s="8">
        <f>-300*Escalation!$B$9</f>
        <v>-300</v>
      </c>
      <c r="K27" s="8">
        <f>-300*Escalation!$B$10</f>
        <v>-300</v>
      </c>
      <c r="L27" s="8">
        <f>-300*Escalation!$B$11</f>
        <v>-300</v>
      </c>
      <c r="M27" s="8">
        <f>-300*Escalation!$B$12</f>
        <v>-300</v>
      </c>
      <c r="N27" s="8">
        <f>-300*Escalation!$B$13</f>
        <v>-300</v>
      </c>
      <c r="O27" s="8">
        <f>-300*Escalation!$B$14</f>
        <v>-306</v>
      </c>
      <c r="P27" s="8">
        <f>-300*Escalation!$B$15</f>
        <v>-306</v>
      </c>
      <c r="Q27" s="8">
        <f>-300*Escalation!$B$16</f>
        <v>-306</v>
      </c>
      <c r="R27" s="8">
        <f>-300*Escalation!$B$17</f>
        <v>-306</v>
      </c>
      <c r="S27" s="8">
        <f>-300*Escalation!$B$18</f>
        <v>-306</v>
      </c>
      <c r="T27" s="8">
        <f>-300*Escalation!$B$19</f>
        <v>-306</v>
      </c>
      <c r="U27" s="8">
        <f>-300*Escalation!$B$20</f>
        <v>-306</v>
      </c>
      <c r="V27" s="8">
        <f>-300*Escalation!$B$21</f>
        <v>-306</v>
      </c>
      <c r="W27" s="8">
        <f>-300*Escalation!$B$22</f>
        <v>-306</v>
      </c>
      <c r="X27" s="8">
        <f>-300*Escalation!$B$23</f>
        <v>-306</v>
      </c>
      <c r="Y27" s="8">
        <f>-300*Escalation!$B$24</f>
        <v>-306</v>
      </c>
      <c r="Z27" s="8">
        <f>-300*Escalation!$B$25</f>
        <v>-306</v>
      </c>
      <c r="AA27" s="8">
        <f>-300*Escalation!$B$26</f>
        <v>-312.12</v>
      </c>
      <c r="AB27" s="8">
        <f>-300*Escalation!$B$27</f>
        <v>-312.12</v>
      </c>
      <c r="AC27" s="8">
        <f>-300*Escalation!$B$28</f>
        <v>-312.12</v>
      </c>
      <c r="AD27" s="8">
        <f>-300*Escalation!$B$29</f>
        <v>-312.12</v>
      </c>
      <c r="AE27" s="8">
        <f>-300*Escalation!$B$30</f>
        <v>-312.12</v>
      </c>
      <c r="AF27" s="8">
        <f>-300*Escalation!$B$31</f>
        <v>-312.12</v>
      </c>
      <c r="AG27" s="8">
        <f>-300*Escalation!$B$32</f>
        <v>-312.12</v>
      </c>
      <c r="AH27" s="8">
        <f>-300*Escalation!$B$33</f>
        <v>-312.12</v>
      </c>
      <c r="AI27" s="8">
        <f>-300*Escalation!$B$34</f>
        <v>-312.12</v>
      </c>
      <c r="AJ27" s="8">
        <f>-300*Escalation!$B$35</f>
        <v>-312.12</v>
      </c>
      <c r="AK27" s="8">
        <f>-300*Escalation!$B$36</f>
        <v>-312.12</v>
      </c>
      <c r="AL27" s="8">
        <f>-300*Escalation!$B$37</f>
        <v>-312.12</v>
      </c>
      <c r="AM27" s="8">
        <f>-300*Escalation!$B$38</f>
        <v>-318.36239999999998</v>
      </c>
      <c r="AN27" s="8">
        <f>-300*Escalation!$B$39</f>
        <v>-318.36239999999998</v>
      </c>
      <c r="AO27" s="8">
        <f>-300*Escalation!$B$40</f>
        <v>-318.36239999999998</v>
      </c>
      <c r="AP27" s="8">
        <f>-300*Escalation!$B$41</f>
        <v>-318.36239999999998</v>
      </c>
      <c r="AQ27" s="8">
        <f>-300*Escalation!$B$42</f>
        <v>-318.36239999999998</v>
      </c>
      <c r="AR27" s="8">
        <f>-300*Escalation!$B$43</f>
        <v>-318.36239999999998</v>
      </c>
      <c r="AS27" s="8">
        <f>-300*Escalation!$B$44</f>
        <v>-318.36239999999998</v>
      </c>
      <c r="AT27" s="8">
        <f>-300*Escalation!$B$45</f>
        <v>-318.36239999999998</v>
      </c>
      <c r="AU27" s="8">
        <f>-300*Escalation!$B$46</f>
        <v>-318.36239999999998</v>
      </c>
      <c r="AV27" s="8">
        <f>-300*Escalation!$B$47</f>
        <v>-318.36239999999998</v>
      </c>
      <c r="AW27" s="8">
        <f>-300*Escalation!$B$48</f>
        <v>-318.36239999999998</v>
      </c>
      <c r="AX27" s="8">
        <f>-300*Escalation!$B$49</f>
        <v>-318.36239999999998</v>
      </c>
      <c r="AY27" s="8">
        <f>-300*Escalation!$B$50</f>
        <v>-324.729648</v>
      </c>
      <c r="AZ27" s="8">
        <f>-300*Escalation!$B$51</f>
        <v>-324.729648</v>
      </c>
      <c r="BA27" s="8">
        <f>-300*Escalation!$B$52</f>
        <v>-324.729648</v>
      </c>
      <c r="BB27" s="8">
        <f>-300*Escalation!$B$53</f>
        <v>-324.729648</v>
      </c>
      <c r="BC27" s="8">
        <f>-300*Escalation!$B$54</f>
        <v>-324.729648</v>
      </c>
      <c r="BD27" s="8">
        <f>-300*Escalation!$B$55</f>
        <v>-324.729648</v>
      </c>
      <c r="BE27" s="8">
        <f>-300*Escalation!$B$56</f>
        <v>-324.729648</v>
      </c>
      <c r="BF27" s="8">
        <f>-300*Escalation!$B$57</f>
        <v>-324.729648</v>
      </c>
      <c r="BG27" s="8">
        <f>-300*Escalation!$B$58</f>
        <v>-324.729648</v>
      </c>
      <c r="BH27" s="8">
        <f>-300*Escalation!$B$59</f>
        <v>-324.729648</v>
      </c>
      <c r="BI27" s="8">
        <f>-300*Escalation!$B$60</f>
        <v>-324.729648</v>
      </c>
      <c r="BJ27" s="8">
        <f>-300*Escalation!$B$61</f>
        <v>-324.729648</v>
      </c>
      <c r="BK27" s="8">
        <f>-300*Escalation!$B$62</f>
        <v>-331.22424096000003</v>
      </c>
      <c r="BL27" s="8">
        <f>-300*Escalation!$B$63</f>
        <v>-331.22424096000003</v>
      </c>
      <c r="BM27" s="8">
        <f>-300*Escalation!$B$64</f>
        <v>-331.22424096000003</v>
      </c>
      <c r="BN27" s="8">
        <f>-300*Escalation!$B$65</f>
        <v>-331.22424096000003</v>
      </c>
      <c r="BO27" s="8">
        <f>-300*Escalation!$B$66</f>
        <v>-331.22424096000003</v>
      </c>
      <c r="BP27" s="8">
        <f>-300*Escalation!$B$67</f>
        <v>-331.22424096000003</v>
      </c>
      <c r="BQ27" s="8">
        <f>-300*Escalation!$B$68</f>
        <v>-331.22424096000003</v>
      </c>
      <c r="BR27" s="8">
        <f>-300*Escalation!$B$69</f>
        <v>-331.22424096000003</v>
      </c>
      <c r="BS27" s="8">
        <f>-300*Escalation!$B$70</f>
        <v>-331.22424096000003</v>
      </c>
      <c r="BT27" s="8">
        <f>-300*Escalation!$B$71</f>
        <v>-331.22424096000003</v>
      </c>
      <c r="BU27" s="8">
        <f>-300*Escalation!$B$72</f>
        <v>-331.22424096000003</v>
      </c>
      <c r="BV27" s="8">
        <f>-300*Escalation!$B$73</f>
        <v>-331.22424096000003</v>
      </c>
      <c r="BW27" s="8">
        <f>-300*Escalation!$B$74</f>
        <v>-337.84872577920004</v>
      </c>
      <c r="BX27" s="8">
        <f>-300*Escalation!$B$75</f>
        <v>-337.84872577920004</v>
      </c>
      <c r="BY27" s="8">
        <f>-300*Escalation!$B$76</f>
        <v>-337.84872577920004</v>
      </c>
      <c r="BZ27" s="8">
        <f>-300*Escalation!$B$77</f>
        <v>-337.84872577920004</v>
      </c>
      <c r="CA27" s="8">
        <f>-300*Escalation!$B$78</f>
        <v>-337.84872577920004</v>
      </c>
      <c r="CB27" s="8">
        <f>-300*Escalation!$B$79</f>
        <v>-337.84872577920004</v>
      </c>
      <c r="CC27" s="8">
        <f>-300*Escalation!$B$80</f>
        <v>-337.84872577920004</v>
      </c>
      <c r="CD27" s="8">
        <f>-300*Escalation!$B$81</f>
        <v>-337.84872577920004</v>
      </c>
      <c r="CE27" s="8">
        <f>-300*Escalation!$B$82</f>
        <v>-337.84872577920004</v>
      </c>
      <c r="CF27" s="8">
        <f>-300*Escalation!$B$83</f>
        <v>-337.84872577920004</v>
      </c>
      <c r="CG27" s="8">
        <f>-300*Escalation!$B$84</f>
        <v>-337.84872577920004</v>
      </c>
      <c r="CH27" s="8">
        <f>-300*Escalation!$B$85</f>
        <v>-337.84872577920004</v>
      </c>
      <c r="CI27" s="23"/>
    </row>
    <row r="28" spans="1:87" ht="15" customHeight="1" x14ac:dyDescent="0.25">
      <c r="A28" s="7" t="s">
        <v>141</v>
      </c>
      <c r="B28" s="22"/>
      <c r="C28" s="8">
        <f>-300*Escalation!$B$2</f>
        <v>-300</v>
      </c>
      <c r="D28" s="8">
        <f>-300*Escalation!$B$3</f>
        <v>-300</v>
      </c>
      <c r="E28" s="8">
        <f>-300*Escalation!$B$4</f>
        <v>-300</v>
      </c>
      <c r="F28" s="8">
        <f>-300*Escalation!$B$5</f>
        <v>-300</v>
      </c>
      <c r="G28" s="8">
        <f>-300*Escalation!$B$6</f>
        <v>-300</v>
      </c>
      <c r="H28" s="8">
        <f>-300*Escalation!$B$7</f>
        <v>-300</v>
      </c>
      <c r="I28" s="8">
        <f>-300*Escalation!$B$8</f>
        <v>-300</v>
      </c>
      <c r="J28" s="8">
        <f>-300*Escalation!$B$9</f>
        <v>-300</v>
      </c>
      <c r="K28" s="8">
        <f>-300*Escalation!$B$10</f>
        <v>-300</v>
      </c>
      <c r="L28" s="8">
        <f>-300*Escalation!$B$11</f>
        <v>-300</v>
      </c>
      <c r="M28" s="8">
        <f>-300*Escalation!$B$12</f>
        <v>-300</v>
      </c>
      <c r="N28" s="8">
        <f>-300*Escalation!$B$13</f>
        <v>-300</v>
      </c>
      <c r="O28" s="8">
        <f>-300*Escalation!$B$14</f>
        <v>-306</v>
      </c>
      <c r="P28" s="8">
        <f>-300*Escalation!$B$15</f>
        <v>-306</v>
      </c>
      <c r="Q28" s="8">
        <f>-300*Escalation!$B$16</f>
        <v>-306</v>
      </c>
      <c r="R28" s="8">
        <f>-300*Escalation!$B$17</f>
        <v>-306</v>
      </c>
      <c r="S28" s="8">
        <f>-300*Escalation!$B$18</f>
        <v>-306</v>
      </c>
      <c r="T28" s="8">
        <f>-300*Escalation!$B$19</f>
        <v>-306</v>
      </c>
      <c r="U28" s="8">
        <f>-300*Escalation!$B$20</f>
        <v>-306</v>
      </c>
      <c r="V28" s="8">
        <f>-300*Escalation!$B$21</f>
        <v>-306</v>
      </c>
      <c r="W28" s="8">
        <f>-300*Escalation!$B$22</f>
        <v>-306</v>
      </c>
      <c r="X28" s="8">
        <f>-300*Escalation!$B$23</f>
        <v>-306</v>
      </c>
      <c r="Y28" s="8">
        <f>-300*Escalation!$B$24</f>
        <v>-306</v>
      </c>
      <c r="Z28" s="8">
        <f>-300*Escalation!$B$25</f>
        <v>-306</v>
      </c>
      <c r="AA28" s="8">
        <f>-300*Escalation!$B$26</f>
        <v>-312.12</v>
      </c>
      <c r="AB28" s="8">
        <f>-300*Escalation!$B$27</f>
        <v>-312.12</v>
      </c>
      <c r="AC28" s="8">
        <f>-300*Escalation!$B$28</f>
        <v>-312.12</v>
      </c>
      <c r="AD28" s="8">
        <f>-300*Escalation!$B$29</f>
        <v>-312.12</v>
      </c>
      <c r="AE28" s="8">
        <f>-300*Escalation!$B$30</f>
        <v>-312.12</v>
      </c>
      <c r="AF28" s="8">
        <f>-300*Escalation!$B$31</f>
        <v>-312.12</v>
      </c>
      <c r="AG28" s="8">
        <f>-300*Escalation!$B$32</f>
        <v>-312.12</v>
      </c>
      <c r="AH28" s="8">
        <f>-300*Escalation!$B$33</f>
        <v>-312.12</v>
      </c>
      <c r="AI28" s="8">
        <f>-300*Escalation!$B$34</f>
        <v>-312.12</v>
      </c>
      <c r="AJ28" s="8">
        <f>-300*Escalation!$B$35</f>
        <v>-312.12</v>
      </c>
      <c r="AK28" s="8">
        <f>-300*Escalation!$B$36</f>
        <v>-312.12</v>
      </c>
      <c r="AL28" s="8">
        <f>-300*Escalation!$B$37</f>
        <v>-312.12</v>
      </c>
      <c r="AM28" s="8">
        <f>-300*Escalation!$B$38</f>
        <v>-318.36239999999998</v>
      </c>
      <c r="AN28" s="8">
        <f>-300*Escalation!$B$39</f>
        <v>-318.36239999999998</v>
      </c>
      <c r="AO28" s="8">
        <f>-300*Escalation!$B$40</f>
        <v>-318.36239999999998</v>
      </c>
      <c r="AP28" s="8">
        <f>-300*Escalation!$B$41</f>
        <v>-318.36239999999998</v>
      </c>
      <c r="AQ28" s="8">
        <f>-300*Escalation!$B$42</f>
        <v>-318.36239999999998</v>
      </c>
      <c r="AR28" s="8">
        <f>-300*Escalation!$B$43</f>
        <v>-318.36239999999998</v>
      </c>
      <c r="AS28" s="8">
        <f>-300*Escalation!$B$44</f>
        <v>-318.36239999999998</v>
      </c>
      <c r="AT28" s="8">
        <f>-300*Escalation!$B$45</f>
        <v>-318.36239999999998</v>
      </c>
      <c r="AU28" s="8">
        <f>-300*Escalation!$B$46</f>
        <v>-318.36239999999998</v>
      </c>
      <c r="AV28" s="8">
        <f>-300*Escalation!$B$47</f>
        <v>-318.36239999999998</v>
      </c>
      <c r="AW28" s="8">
        <f>-300*Escalation!$B$48</f>
        <v>-318.36239999999998</v>
      </c>
      <c r="AX28" s="8">
        <f>-300*Escalation!$B$49</f>
        <v>-318.36239999999998</v>
      </c>
      <c r="AY28" s="8">
        <f>-300*Escalation!$B$50</f>
        <v>-324.729648</v>
      </c>
      <c r="AZ28" s="8">
        <f>-300*Escalation!$B$51</f>
        <v>-324.729648</v>
      </c>
      <c r="BA28" s="8">
        <f>-300*Escalation!$B$52</f>
        <v>-324.729648</v>
      </c>
      <c r="BB28" s="8">
        <f>-300*Escalation!$B$53</f>
        <v>-324.729648</v>
      </c>
      <c r="BC28" s="8">
        <f>-300*Escalation!$B$54</f>
        <v>-324.729648</v>
      </c>
      <c r="BD28" s="8">
        <f>-300*Escalation!$B$55</f>
        <v>-324.729648</v>
      </c>
      <c r="BE28" s="8">
        <f>-300*Escalation!$B$56</f>
        <v>-324.729648</v>
      </c>
      <c r="BF28" s="8">
        <f>-300*Escalation!$B$57</f>
        <v>-324.729648</v>
      </c>
      <c r="BG28" s="8">
        <f>-300*Escalation!$B$58</f>
        <v>-324.729648</v>
      </c>
      <c r="BH28" s="8">
        <f>-300*Escalation!$B$59</f>
        <v>-324.729648</v>
      </c>
      <c r="BI28" s="8">
        <f>-300*Escalation!$B$60</f>
        <v>-324.729648</v>
      </c>
      <c r="BJ28" s="8">
        <f>-300*Escalation!$B$61</f>
        <v>-324.729648</v>
      </c>
      <c r="BK28" s="8">
        <f>-300*Escalation!$B$62</f>
        <v>-331.22424096000003</v>
      </c>
      <c r="BL28" s="8">
        <f>-300*Escalation!$B$63</f>
        <v>-331.22424096000003</v>
      </c>
      <c r="BM28" s="8">
        <f>-300*Escalation!$B$64</f>
        <v>-331.22424096000003</v>
      </c>
      <c r="BN28" s="8">
        <f>-300*Escalation!$B$65</f>
        <v>-331.22424096000003</v>
      </c>
      <c r="BO28" s="8">
        <f>-300*Escalation!$B$66</f>
        <v>-331.22424096000003</v>
      </c>
      <c r="BP28" s="8">
        <f>-300*Escalation!$B$67</f>
        <v>-331.22424096000003</v>
      </c>
      <c r="BQ28" s="8">
        <f>-300*Escalation!$B$68</f>
        <v>-331.22424096000003</v>
      </c>
      <c r="BR28" s="8">
        <f>-300*Escalation!$B$69</f>
        <v>-331.22424096000003</v>
      </c>
      <c r="BS28" s="8">
        <f>-300*Escalation!$B$70</f>
        <v>-331.22424096000003</v>
      </c>
      <c r="BT28" s="8">
        <f>-300*Escalation!$B$71</f>
        <v>-331.22424096000003</v>
      </c>
      <c r="BU28" s="8">
        <f>-300*Escalation!$B$72</f>
        <v>-331.22424096000003</v>
      </c>
      <c r="BV28" s="8">
        <f>-300*Escalation!$B$73</f>
        <v>-331.22424096000003</v>
      </c>
      <c r="BW28" s="8">
        <f>-300*Escalation!$B$74</f>
        <v>-337.84872577920004</v>
      </c>
      <c r="BX28" s="8">
        <f>-300*Escalation!$B$75</f>
        <v>-337.84872577920004</v>
      </c>
      <c r="BY28" s="8">
        <f>-300*Escalation!$B$76</f>
        <v>-337.84872577920004</v>
      </c>
      <c r="BZ28" s="8">
        <f>-300*Escalation!$B$77</f>
        <v>-337.84872577920004</v>
      </c>
      <c r="CA28" s="8">
        <f>-300*Escalation!$B$78</f>
        <v>-337.84872577920004</v>
      </c>
      <c r="CB28" s="8">
        <f>-300*Escalation!$B$79</f>
        <v>-337.84872577920004</v>
      </c>
      <c r="CC28" s="8">
        <f>-300*Escalation!$B$80</f>
        <v>-337.84872577920004</v>
      </c>
      <c r="CD28" s="8">
        <f>-300*Escalation!$B$81</f>
        <v>-337.84872577920004</v>
      </c>
      <c r="CE28" s="8">
        <f>-300*Escalation!$B$82</f>
        <v>-337.84872577920004</v>
      </c>
      <c r="CF28" s="8">
        <f>-300*Escalation!$B$83</f>
        <v>-337.84872577920004</v>
      </c>
      <c r="CG28" s="8">
        <f>-300*Escalation!$B$84</f>
        <v>-337.84872577920004</v>
      </c>
      <c r="CH28" s="8">
        <f>-300*Escalation!$B$85</f>
        <v>-337.84872577920004</v>
      </c>
      <c r="CI28" s="23"/>
    </row>
    <row r="29" spans="1:87" ht="15" customHeight="1" x14ac:dyDescent="0.25">
      <c r="A29" s="7" t="s">
        <v>142</v>
      </c>
      <c r="B29" s="22"/>
      <c r="C29" s="8">
        <f>-1500*Escalation!$B$2</f>
        <v>-1500</v>
      </c>
      <c r="D29" s="8">
        <f>-1500*Escalation!$B$3</f>
        <v>-1500</v>
      </c>
      <c r="E29" s="8">
        <f>-1500*Escalation!$B$4</f>
        <v>-1500</v>
      </c>
      <c r="F29" s="8">
        <f>-1500*Escalation!$B$5</f>
        <v>-1500</v>
      </c>
      <c r="G29" s="8">
        <f>-1500*Escalation!$B$6</f>
        <v>-1500</v>
      </c>
      <c r="H29" s="8">
        <f>-1500*Escalation!$B$7</f>
        <v>-1500</v>
      </c>
      <c r="I29" s="8">
        <f>-1500*Escalation!$B$8</f>
        <v>-1500</v>
      </c>
      <c r="J29" s="8">
        <f>-1500*Escalation!$B$9</f>
        <v>-1500</v>
      </c>
      <c r="K29" s="8">
        <f>-1500*Escalation!$B$10</f>
        <v>-1500</v>
      </c>
      <c r="L29" s="8">
        <f>-1500*Escalation!$B$11</f>
        <v>-1500</v>
      </c>
      <c r="M29" s="8">
        <f>-1500*Escalation!$B$12</f>
        <v>-1500</v>
      </c>
      <c r="N29" s="8">
        <f>-1500*Escalation!$B$13</f>
        <v>-1500</v>
      </c>
      <c r="O29" s="8">
        <f>-1500*Escalation!$B$14</f>
        <v>-1530</v>
      </c>
      <c r="P29" s="8">
        <f>-1500*Escalation!$B$15</f>
        <v>-1530</v>
      </c>
      <c r="Q29" s="8">
        <f>-1500*Escalation!$B$16</f>
        <v>-1530</v>
      </c>
      <c r="R29" s="8">
        <f>-1500*Escalation!$B$17</f>
        <v>-1530</v>
      </c>
      <c r="S29" s="8">
        <f>-1500*Escalation!$B$18</f>
        <v>-1530</v>
      </c>
      <c r="T29" s="8">
        <f>-1500*Escalation!$B$19</f>
        <v>-1530</v>
      </c>
      <c r="U29" s="8">
        <f>-1500*Escalation!$B$20</f>
        <v>-1530</v>
      </c>
      <c r="V29" s="8">
        <f>-1500*Escalation!$B$21</f>
        <v>-1530</v>
      </c>
      <c r="W29" s="8">
        <f>-1500*Escalation!$B$22</f>
        <v>-1530</v>
      </c>
      <c r="X29" s="8">
        <f>-1500*Escalation!$B$23</f>
        <v>-1530</v>
      </c>
      <c r="Y29" s="8">
        <f>-1500*Escalation!$B$24</f>
        <v>-1530</v>
      </c>
      <c r="Z29" s="8">
        <f>-1500*Escalation!$B$25</f>
        <v>-1530</v>
      </c>
      <c r="AA29" s="8">
        <f>-1500*Escalation!$B$26</f>
        <v>-1560.6</v>
      </c>
      <c r="AB29" s="8">
        <f>-1500*Escalation!$B$27</f>
        <v>-1560.6</v>
      </c>
      <c r="AC29" s="8">
        <f>-1500*Escalation!$B$28</f>
        <v>-1560.6</v>
      </c>
      <c r="AD29" s="8">
        <f>-1500*Escalation!$B$29</f>
        <v>-1560.6</v>
      </c>
      <c r="AE29" s="8">
        <f>-1500*Escalation!$B$30</f>
        <v>-1560.6</v>
      </c>
      <c r="AF29" s="8">
        <f>-1500*Escalation!$B$31</f>
        <v>-1560.6</v>
      </c>
      <c r="AG29" s="8">
        <f>-1500*Escalation!$B$32</f>
        <v>-1560.6</v>
      </c>
      <c r="AH29" s="8">
        <f>-1500*Escalation!$B$33</f>
        <v>-1560.6</v>
      </c>
      <c r="AI29" s="8">
        <f>-1500*Escalation!$B$34</f>
        <v>-1560.6</v>
      </c>
      <c r="AJ29" s="8">
        <f>-1500*Escalation!$B$35</f>
        <v>-1560.6</v>
      </c>
      <c r="AK29" s="8">
        <f>-1500*Escalation!$B$36</f>
        <v>-1560.6</v>
      </c>
      <c r="AL29" s="8">
        <f>-1500*Escalation!$B$37</f>
        <v>-1560.6</v>
      </c>
      <c r="AM29" s="8">
        <f>-1500*Escalation!$B$38</f>
        <v>-1591.8119999999999</v>
      </c>
      <c r="AN29" s="8">
        <f>-1500*Escalation!$B$39</f>
        <v>-1591.8119999999999</v>
      </c>
      <c r="AO29" s="8">
        <f>-1500*Escalation!$B$40</f>
        <v>-1591.8119999999999</v>
      </c>
      <c r="AP29" s="8">
        <f>-1500*Escalation!$B$41</f>
        <v>-1591.8119999999999</v>
      </c>
      <c r="AQ29" s="8">
        <f>-1500*Escalation!$B$42</f>
        <v>-1591.8119999999999</v>
      </c>
      <c r="AR29" s="8">
        <f>-1500*Escalation!$B$43</f>
        <v>-1591.8119999999999</v>
      </c>
      <c r="AS29" s="8">
        <f>-1500*Escalation!$B$44</f>
        <v>-1591.8119999999999</v>
      </c>
      <c r="AT29" s="8">
        <f>-1500*Escalation!$B$45</f>
        <v>-1591.8119999999999</v>
      </c>
      <c r="AU29" s="8">
        <f>-1500*Escalation!$B$46</f>
        <v>-1591.8119999999999</v>
      </c>
      <c r="AV29" s="8">
        <f>-1500*Escalation!$B$47</f>
        <v>-1591.8119999999999</v>
      </c>
      <c r="AW29" s="8">
        <f>-1500*Escalation!$B$48</f>
        <v>-1591.8119999999999</v>
      </c>
      <c r="AX29" s="8">
        <f>-1500*Escalation!$B$49</f>
        <v>-1591.8119999999999</v>
      </c>
      <c r="AY29" s="8">
        <f>-1500*Escalation!$B$50</f>
        <v>-1623.64824</v>
      </c>
      <c r="AZ29" s="8">
        <f>-1500*Escalation!$B$51</f>
        <v>-1623.64824</v>
      </c>
      <c r="BA29" s="8">
        <f>-1500*Escalation!$B$52</f>
        <v>-1623.64824</v>
      </c>
      <c r="BB29" s="8">
        <f>-1500*Escalation!$B$53</f>
        <v>-1623.64824</v>
      </c>
      <c r="BC29" s="8">
        <f>-1500*Escalation!$B$54</f>
        <v>-1623.64824</v>
      </c>
      <c r="BD29" s="8">
        <f>-1500*Escalation!$B$55</f>
        <v>-1623.64824</v>
      </c>
      <c r="BE29" s="8">
        <f>-1500*Escalation!$B$56</f>
        <v>-1623.64824</v>
      </c>
      <c r="BF29" s="8">
        <f>-1500*Escalation!$B$57</f>
        <v>-1623.64824</v>
      </c>
      <c r="BG29" s="8">
        <f>-1500*Escalation!$B$58</f>
        <v>-1623.64824</v>
      </c>
      <c r="BH29" s="8">
        <f>-1500*Escalation!$B$59</f>
        <v>-1623.64824</v>
      </c>
      <c r="BI29" s="8">
        <f>-1500*Escalation!$B$60</f>
        <v>-1623.64824</v>
      </c>
      <c r="BJ29" s="8">
        <f>-1500*Escalation!$B$61</f>
        <v>-1623.64824</v>
      </c>
      <c r="BK29" s="8">
        <f>-1500*Escalation!$B$62</f>
        <v>-1656.1212048</v>
      </c>
      <c r="BL29" s="8">
        <f>-1500*Escalation!$B$63</f>
        <v>-1656.1212048</v>
      </c>
      <c r="BM29" s="8">
        <f>-1500*Escalation!$B$64</f>
        <v>-1656.1212048</v>
      </c>
      <c r="BN29" s="8">
        <f>-1500*Escalation!$B$65</f>
        <v>-1656.1212048</v>
      </c>
      <c r="BO29" s="8">
        <f>-1500*Escalation!$B$66</f>
        <v>-1656.1212048</v>
      </c>
      <c r="BP29" s="8">
        <f>-1500*Escalation!$B$67</f>
        <v>-1656.1212048</v>
      </c>
      <c r="BQ29" s="8">
        <f>-1500*Escalation!$B$68</f>
        <v>-1656.1212048</v>
      </c>
      <c r="BR29" s="8">
        <f>-1500*Escalation!$B$69</f>
        <v>-1656.1212048</v>
      </c>
      <c r="BS29" s="8">
        <f>-1500*Escalation!$B$70</f>
        <v>-1656.1212048</v>
      </c>
      <c r="BT29" s="8">
        <f>-1500*Escalation!$B$71</f>
        <v>-1656.1212048</v>
      </c>
      <c r="BU29" s="8">
        <f>-1500*Escalation!$B$72</f>
        <v>-1656.1212048</v>
      </c>
      <c r="BV29" s="8">
        <f>-1500*Escalation!$B$73</f>
        <v>-1656.1212048</v>
      </c>
      <c r="BW29" s="8">
        <f>-1500*Escalation!$B$74</f>
        <v>-1689.243628896</v>
      </c>
      <c r="BX29" s="8">
        <f>-1500*Escalation!$B$75</f>
        <v>-1689.243628896</v>
      </c>
      <c r="BY29" s="8">
        <f>-1500*Escalation!$B$76</f>
        <v>-1689.243628896</v>
      </c>
      <c r="BZ29" s="8">
        <f>-1500*Escalation!$B$77</f>
        <v>-1689.243628896</v>
      </c>
      <c r="CA29" s="8">
        <f>-1500*Escalation!$B$78</f>
        <v>-1689.243628896</v>
      </c>
      <c r="CB29" s="8">
        <f>-1500*Escalation!$B$79</f>
        <v>-1689.243628896</v>
      </c>
      <c r="CC29" s="8">
        <f>-1500*Escalation!$B$80</f>
        <v>-1689.243628896</v>
      </c>
      <c r="CD29" s="8">
        <f>-1500*Escalation!$B$81</f>
        <v>-1689.243628896</v>
      </c>
      <c r="CE29" s="8">
        <f>-1500*Escalation!$B$82</f>
        <v>-1689.243628896</v>
      </c>
      <c r="CF29" s="8">
        <f>-1500*Escalation!$B$83</f>
        <v>-1689.243628896</v>
      </c>
      <c r="CG29" s="8">
        <f>-1500*Escalation!$B$84</f>
        <v>-1689.243628896</v>
      </c>
      <c r="CH29" s="8">
        <f>-1500*Escalation!$B$85</f>
        <v>-1689.243628896</v>
      </c>
      <c r="CI29" s="23"/>
    </row>
    <row r="30" spans="1:87" ht="15" customHeight="1" x14ac:dyDescent="0.25">
      <c r="A30" s="7" t="s">
        <v>143</v>
      </c>
      <c r="B30" s="22"/>
      <c r="C30" s="8">
        <f>-1000*Escalation!$B$2</f>
        <v>-1000</v>
      </c>
      <c r="D30" s="8">
        <f>-1000*Escalation!$B$3</f>
        <v>-1000</v>
      </c>
      <c r="E30" s="8">
        <f>-1000*Escalation!$B$4</f>
        <v>-1000</v>
      </c>
      <c r="F30" s="8">
        <f>-1000*Escalation!$B$5</f>
        <v>-1000</v>
      </c>
      <c r="G30" s="8">
        <f>-1000*Escalation!$B$6</f>
        <v>-1000</v>
      </c>
      <c r="H30" s="8">
        <f>-1000*Escalation!$B$7</f>
        <v>-1000</v>
      </c>
      <c r="I30" s="8">
        <f>-1000*Escalation!$B$8</f>
        <v>-1000</v>
      </c>
      <c r="J30" s="8">
        <f>-1000*Escalation!$B$9</f>
        <v>-1000</v>
      </c>
      <c r="K30" s="8">
        <f>-1000*Escalation!$B$10</f>
        <v>-1000</v>
      </c>
      <c r="L30" s="8">
        <f>-1000*Escalation!$B$11</f>
        <v>-1000</v>
      </c>
      <c r="M30" s="8">
        <f>-1000*Escalation!$B$12</f>
        <v>-1000</v>
      </c>
      <c r="N30" s="8">
        <f>-1000*Escalation!$B$13</f>
        <v>-1000</v>
      </c>
      <c r="O30" s="8">
        <f>-1000*Escalation!$B$14</f>
        <v>-1020</v>
      </c>
      <c r="P30" s="8">
        <f>-1000*Escalation!$B$15</f>
        <v>-1020</v>
      </c>
      <c r="Q30" s="8">
        <f>-1000*Escalation!$B$16</f>
        <v>-1020</v>
      </c>
      <c r="R30" s="8">
        <f>-1000*Escalation!$B$17</f>
        <v>-1020</v>
      </c>
      <c r="S30" s="8">
        <f>-1000*Escalation!$B$18</f>
        <v>-1020</v>
      </c>
      <c r="T30" s="8">
        <f>-1000*Escalation!$B$19</f>
        <v>-1020</v>
      </c>
      <c r="U30" s="8">
        <f>-1000*Escalation!$B$20</f>
        <v>-1020</v>
      </c>
      <c r="V30" s="8">
        <f>-1000*Escalation!$B$21</f>
        <v>-1020</v>
      </c>
      <c r="W30" s="8">
        <f>-1000*Escalation!$B$22</f>
        <v>-1020</v>
      </c>
      <c r="X30" s="8">
        <f>-1000*Escalation!$B$23</f>
        <v>-1020</v>
      </c>
      <c r="Y30" s="8">
        <f>-1000*Escalation!$B$24</f>
        <v>-1020</v>
      </c>
      <c r="Z30" s="8">
        <f>-1000*Escalation!$B$25</f>
        <v>-1020</v>
      </c>
      <c r="AA30" s="8">
        <f>-1000*Escalation!$B$26</f>
        <v>-1040.4000000000001</v>
      </c>
      <c r="AB30" s="8">
        <f>-1000*Escalation!$B$27</f>
        <v>-1040.4000000000001</v>
      </c>
      <c r="AC30" s="8">
        <f>-1000*Escalation!$B$28</f>
        <v>-1040.4000000000001</v>
      </c>
      <c r="AD30" s="8">
        <f>-1000*Escalation!$B$29</f>
        <v>-1040.4000000000001</v>
      </c>
      <c r="AE30" s="8">
        <f>-1000*Escalation!$B$30</f>
        <v>-1040.4000000000001</v>
      </c>
      <c r="AF30" s="8">
        <f>-1000*Escalation!$B$31</f>
        <v>-1040.4000000000001</v>
      </c>
      <c r="AG30" s="8">
        <f>-1000*Escalation!$B$32</f>
        <v>-1040.4000000000001</v>
      </c>
      <c r="AH30" s="8">
        <f>-1000*Escalation!$B$33</f>
        <v>-1040.4000000000001</v>
      </c>
      <c r="AI30" s="8">
        <f>-1000*Escalation!$B$34</f>
        <v>-1040.4000000000001</v>
      </c>
      <c r="AJ30" s="8">
        <f>-1000*Escalation!$B$35</f>
        <v>-1040.4000000000001</v>
      </c>
      <c r="AK30" s="8">
        <f>-1000*Escalation!$B$36</f>
        <v>-1040.4000000000001</v>
      </c>
      <c r="AL30" s="8">
        <f>-1000*Escalation!$B$37</f>
        <v>-1040.4000000000001</v>
      </c>
      <c r="AM30" s="8">
        <f>-1000*Escalation!$B$38</f>
        <v>-1061.2079999999999</v>
      </c>
      <c r="AN30" s="8">
        <f>-1000*Escalation!$B$39</f>
        <v>-1061.2079999999999</v>
      </c>
      <c r="AO30" s="8">
        <f>-1000*Escalation!$B$40</f>
        <v>-1061.2079999999999</v>
      </c>
      <c r="AP30" s="8">
        <f>-1000*Escalation!$B$41</f>
        <v>-1061.2079999999999</v>
      </c>
      <c r="AQ30" s="8">
        <f>-1000*Escalation!$B$42</f>
        <v>-1061.2079999999999</v>
      </c>
      <c r="AR30" s="8">
        <f>-1000*Escalation!$B$43</f>
        <v>-1061.2079999999999</v>
      </c>
      <c r="AS30" s="8">
        <f>-1000*Escalation!$B$44</f>
        <v>-1061.2079999999999</v>
      </c>
      <c r="AT30" s="8">
        <f>-1000*Escalation!$B$45</f>
        <v>-1061.2079999999999</v>
      </c>
      <c r="AU30" s="8">
        <f>-1000*Escalation!$B$46</f>
        <v>-1061.2079999999999</v>
      </c>
      <c r="AV30" s="8">
        <f>-1000*Escalation!$B$47</f>
        <v>-1061.2079999999999</v>
      </c>
      <c r="AW30" s="8">
        <f>-1000*Escalation!$B$48</f>
        <v>-1061.2079999999999</v>
      </c>
      <c r="AX30" s="8">
        <f>-1000*Escalation!$B$49</f>
        <v>-1061.2079999999999</v>
      </c>
      <c r="AY30" s="8">
        <f>-1000*Escalation!$B$50</f>
        <v>-1082.4321600000001</v>
      </c>
      <c r="AZ30" s="8">
        <f>-1000*Escalation!$B$51</f>
        <v>-1082.4321600000001</v>
      </c>
      <c r="BA30" s="8">
        <f>-1000*Escalation!$B$52</f>
        <v>-1082.4321600000001</v>
      </c>
      <c r="BB30" s="8">
        <f>-1000*Escalation!$B$53</f>
        <v>-1082.4321600000001</v>
      </c>
      <c r="BC30" s="8">
        <f>-1000*Escalation!$B$54</f>
        <v>-1082.4321600000001</v>
      </c>
      <c r="BD30" s="8">
        <f>-1000*Escalation!$B$55</f>
        <v>-1082.4321600000001</v>
      </c>
      <c r="BE30" s="8">
        <f>-1000*Escalation!$B$56</f>
        <v>-1082.4321600000001</v>
      </c>
      <c r="BF30" s="8">
        <f>-1000*Escalation!$B$57</f>
        <v>-1082.4321600000001</v>
      </c>
      <c r="BG30" s="8">
        <f>-1000*Escalation!$B$58</f>
        <v>-1082.4321600000001</v>
      </c>
      <c r="BH30" s="8">
        <f>-1000*Escalation!$B$59</f>
        <v>-1082.4321600000001</v>
      </c>
      <c r="BI30" s="8">
        <f>-1000*Escalation!$B$60</f>
        <v>-1082.4321600000001</v>
      </c>
      <c r="BJ30" s="8">
        <f>-1000*Escalation!$B$61</f>
        <v>-1082.4321600000001</v>
      </c>
      <c r="BK30" s="8">
        <f>-1000*Escalation!$B$62</f>
        <v>-1104.0808032</v>
      </c>
      <c r="BL30" s="8">
        <f>-1000*Escalation!$B$63</f>
        <v>-1104.0808032</v>
      </c>
      <c r="BM30" s="8">
        <f>-1000*Escalation!$B$64</f>
        <v>-1104.0808032</v>
      </c>
      <c r="BN30" s="8">
        <f>-1000*Escalation!$B$65</f>
        <v>-1104.0808032</v>
      </c>
      <c r="BO30" s="8">
        <f>-1000*Escalation!$B$66</f>
        <v>-1104.0808032</v>
      </c>
      <c r="BP30" s="8">
        <f>-1000*Escalation!$B$67</f>
        <v>-1104.0808032</v>
      </c>
      <c r="BQ30" s="8">
        <f>-1000*Escalation!$B$68</f>
        <v>-1104.0808032</v>
      </c>
      <c r="BR30" s="8">
        <f>-1000*Escalation!$B$69</f>
        <v>-1104.0808032</v>
      </c>
      <c r="BS30" s="8">
        <f>-1000*Escalation!$B$70</f>
        <v>-1104.0808032</v>
      </c>
      <c r="BT30" s="8">
        <f>-1000*Escalation!$B$71</f>
        <v>-1104.0808032</v>
      </c>
      <c r="BU30" s="8">
        <f>-1000*Escalation!$B$72</f>
        <v>-1104.0808032</v>
      </c>
      <c r="BV30" s="8">
        <f>-1000*Escalation!$B$73</f>
        <v>-1104.0808032</v>
      </c>
      <c r="BW30" s="8">
        <f>-1000*Escalation!$B$74</f>
        <v>-1126.1624192640002</v>
      </c>
      <c r="BX30" s="8">
        <f>-1000*Escalation!$B$75</f>
        <v>-1126.1624192640002</v>
      </c>
      <c r="BY30" s="8">
        <f>-1000*Escalation!$B$76</f>
        <v>-1126.1624192640002</v>
      </c>
      <c r="BZ30" s="8">
        <f>-1000*Escalation!$B$77</f>
        <v>-1126.1624192640002</v>
      </c>
      <c r="CA30" s="8">
        <f>-1000*Escalation!$B$78</f>
        <v>-1126.1624192640002</v>
      </c>
      <c r="CB30" s="8">
        <f>-1000*Escalation!$B$79</f>
        <v>-1126.1624192640002</v>
      </c>
      <c r="CC30" s="8">
        <f>-1000*Escalation!$B$80</f>
        <v>-1126.1624192640002</v>
      </c>
      <c r="CD30" s="8">
        <f>-1000*Escalation!$B$81</f>
        <v>-1126.1624192640002</v>
      </c>
      <c r="CE30" s="8">
        <f>-1000*Escalation!$B$82</f>
        <v>-1126.1624192640002</v>
      </c>
      <c r="CF30" s="8">
        <f>-1000*Escalation!$B$83</f>
        <v>-1126.1624192640002</v>
      </c>
      <c r="CG30" s="8">
        <f>-1000*Escalation!$B$84</f>
        <v>-1126.1624192640002</v>
      </c>
      <c r="CH30" s="8">
        <f>-1000*Escalation!$B$85</f>
        <v>-1126.1624192640002</v>
      </c>
      <c r="CI30" s="23"/>
    </row>
    <row r="31" spans="1:87" ht="15" customHeight="1" x14ac:dyDescent="0.25">
      <c r="A31" s="7" t="s">
        <v>144</v>
      </c>
      <c r="B31" s="22"/>
      <c r="C31" s="8">
        <f>-1000*Escalation!$B$2</f>
        <v>-1000</v>
      </c>
      <c r="D31" s="8">
        <f>-1000*Escalation!$B$3</f>
        <v>-1000</v>
      </c>
      <c r="E31" s="8">
        <f>-1000*Escalation!$B$4</f>
        <v>-1000</v>
      </c>
      <c r="F31" s="8">
        <f>-1000*Escalation!$B$5</f>
        <v>-1000</v>
      </c>
      <c r="G31" s="8">
        <f>-1000*Escalation!$B$6</f>
        <v>-1000</v>
      </c>
      <c r="H31" s="8">
        <f>-1000*Escalation!$B$7</f>
        <v>-1000</v>
      </c>
      <c r="I31" s="8">
        <f>-1000*Escalation!$B$8</f>
        <v>-1000</v>
      </c>
      <c r="J31" s="8">
        <f>-1000*Escalation!$B$9</f>
        <v>-1000</v>
      </c>
      <c r="K31" s="8">
        <f>-1000*Escalation!$B$10</f>
        <v>-1000</v>
      </c>
      <c r="L31" s="8">
        <f>-1000*Escalation!$B$11</f>
        <v>-1000</v>
      </c>
      <c r="M31" s="8">
        <f>-1000*Escalation!$B$12</f>
        <v>-1000</v>
      </c>
      <c r="N31" s="8">
        <f>-1000*Escalation!$B$13</f>
        <v>-1000</v>
      </c>
      <c r="O31" s="8">
        <f>-1000*Escalation!$B$14</f>
        <v>-1020</v>
      </c>
      <c r="P31" s="8">
        <f>-1000*Escalation!$B$15</f>
        <v>-1020</v>
      </c>
      <c r="Q31" s="8">
        <f>-1000*Escalation!$B$16</f>
        <v>-1020</v>
      </c>
      <c r="R31" s="8">
        <f>-1000*Escalation!$B$17</f>
        <v>-1020</v>
      </c>
      <c r="S31" s="8">
        <f>-1000*Escalation!$B$18</f>
        <v>-1020</v>
      </c>
      <c r="T31" s="8">
        <f>-1000*Escalation!$B$19</f>
        <v>-1020</v>
      </c>
      <c r="U31" s="8">
        <f>-1000*Escalation!$B$20</f>
        <v>-1020</v>
      </c>
      <c r="V31" s="8">
        <f>-1000*Escalation!$B$21</f>
        <v>-1020</v>
      </c>
      <c r="W31" s="8">
        <f>-1000*Escalation!$B$22</f>
        <v>-1020</v>
      </c>
      <c r="X31" s="8">
        <f>-1000*Escalation!$B$23</f>
        <v>-1020</v>
      </c>
      <c r="Y31" s="8">
        <f>-1000*Escalation!$B$24</f>
        <v>-1020</v>
      </c>
      <c r="Z31" s="8">
        <f>-1000*Escalation!$B$25</f>
        <v>-1020</v>
      </c>
      <c r="AA31" s="8">
        <f>-1000*Escalation!$B$26</f>
        <v>-1040.4000000000001</v>
      </c>
      <c r="AB31" s="8">
        <f>-1000*Escalation!$B$27</f>
        <v>-1040.4000000000001</v>
      </c>
      <c r="AC31" s="8">
        <f>-1000*Escalation!$B$28</f>
        <v>-1040.4000000000001</v>
      </c>
      <c r="AD31" s="8">
        <f>-1000*Escalation!$B$29</f>
        <v>-1040.4000000000001</v>
      </c>
      <c r="AE31" s="8">
        <f>-1000*Escalation!$B$30</f>
        <v>-1040.4000000000001</v>
      </c>
      <c r="AF31" s="8">
        <f>-1000*Escalation!$B$31</f>
        <v>-1040.4000000000001</v>
      </c>
      <c r="AG31" s="8">
        <f>-1000*Escalation!$B$32</f>
        <v>-1040.4000000000001</v>
      </c>
      <c r="AH31" s="8">
        <f>-1000*Escalation!$B$33</f>
        <v>-1040.4000000000001</v>
      </c>
      <c r="AI31" s="8">
        <f>-1000*Escalation!$B$34</f>
        <v>-1040.4000000000001</v>
      </c>
      <c r="AJ31" s="8">
        <f>-1000*Escalation!$B$35</f>
        <v>-1040.4000000000001</v>
      </c>
      <c r="AK31" s="8">
        <f>-1000*Escalation!$B$36</f>
        <v>-1040.4000000000001</v>
      </c>
      <c r="AL31" s="8">
        <f>-1000*Escalation!$B$37</f>
        <v>-1040.4000000000001</v>
      </c>
      <c r="AM31" s="8">
        <f>-1000*Escalation!$B$38</f>
        <v>-1061.2079999999999</v>
      </c>
      <c r="AN31" s="8">
        <f>-1000*Escalation!$B$39</f>
        <v>-1061.2079999999999</v>
      </c>
      <c r="AO31" s="8">
        <f>-1000*Escalation!$B$40</f>
        <v>-1061.2079999999999</v>
      </c>
      <c r="AP31" s="8">
        <f>-1000*Escalation!$B$41</f>
        <v>-1061.2079999999999</v>
      </c>
      <c r="AQ31" s="8">
        <f>-1000*Escalation!$B$42</f>
        <v>-1061.2079999999999</v>
      </c>
      <c r="AR31" s="8">
        <f>-1000*Escalation!$B$43</f>
        <v>-1061.2079999999999</v>
      </c>
      <c r="AS31" s="8">
        <f>-1000*Escalation!$B$44</f>
        <v>-1061.2079999999999</v>
      </c>
      <c r="AT31" s="8">
        <f>-1000*Escalation!$B$45</f>
        <v>-1061.2079999999999</v>
      </c>
      <c r="AU31" s="8">
        <f>-1000*Escalation!$B$46</f>
        <v>-1061.2079999999999</v>
      </c>
      <c r="AV31" s="8">
        <f>-1000*Escalation!$B$47</f>
        <v>-1061.2079999999999</v>
      </c>
      <c r="AW31" s="8">
        <f>-1000*Escalation!$B$48</f>
        <v>-1061.2079999999999</v>
      </c>
      <c r="AX31" s="8">
        <f>-1000*Escalation!$B$49</f>
        <v>-1061.2079999999999</v>
      </c>
      <c r="AY31" s="8">
        <f>-1000*Escalation!$B$50</f>
        <v>-1082.4321600000001</v>
      </c>
      <c r="AZ31" s="8">
        <f>-1000*Escalation!$B$51</f>
        <v>-1082.4321600000001</v>
      </c>
      <c r="BA31" s="8">
        <f>-1000*Escalation!$B$52</f>
        <v>-1082.4321600000001</v>
      </c>
      <c r="BB31" s="8">
        <f>-1000*Escalation!$B$53</f>
        <v>-1082.4321600000001</v>
      </c>
      <c r="BC31" s="8">
        <f>-1000*Escalation!$B$54</f>
        <v>-1082.4321600000001</v>
      </c>
      <c r="BD31" s="8">
        <f>-1000*Escalation!$B$55</f>
        <v>-1082.4321600000001</v>
      </c>
      <c r="BE31" s="8">
        <f>-1000*Escalation!$B$56</f>
        <v>-1082.4321600000001</v>
      </c>
      <c r="BF31" s="8">
        <f>-1000*Escalation!$B$57</f>
        <v>-1082.4321600000001</v>
      </c>
      <c r="BG31" s="8">
        <f>-1000*Escalation!$B$58</f>
        <v>-1082.4321600000001</v>
      </c>
      <c r="BH31" s="8">
        <f>-1000*Escalation!$B$59</f>
        <v>-1082.4321600000001</v>
      </c>
      <c r="BI31" s="8">
        <f>-1000*Escalation!$B$60</f>
        <v>-1082.4321600000001</v>
      </c>
      <c r="BJ31" s="8">
        <f>-1000*Escalation!$B$61</f>
        <v>-1082.4321600000001</v>
      </c>
      <c r="BK31" s="8">
        <f>-1000*Escalation!$B$62</f>
        <v>-1104.0808032</v>
      </c>
      <c r="BL31" s="8">
        <f>-1000*Escalation!$B$63</f>
        <v>-1104.0808032</v>
      </c>
      <c r="BM31" s="8">
        <f>-1000*Escalation!$B$64</f>
        <v>-1104.0808032</v>
      </c>
      <c r="BN31" s="8">
        <f>-1000*Escalation!$B$65</f>
        <v>-1104.0808032</v>
      </c>
      <c r="BO31" s="8">
        <f>-1000*Escalation!$B$66</f>
        <v>-1104.0808032</v>
      </c>
      <c r="BP31" s="8">
        <f>-1000*Escalation!$B$67</f>
        <v>-1104.0808032</v>
      </c>
      <c r="BQ31" s="8">
        <f>-1000*Escalation!$B$68</f>
        <v>-1104.0808032</v>
      </c>
      <c r="BR31" s="8">
        <f>-1000*Escalation!$B$69</f>
        <v>-1104.0808032</v>
      </c>
      <c r="BS31" s="8">
        <f>-1000*Escalation!$B$70</f>
        <v>-1104.0808032</v>
      </c>
      <c r="BT31" s="8">
        <f>-1000*Escalation!$B$71</f>
        <v>-1104.0808032</v>
      </c>
      <c r="BU31" s="8">
        <f>-1000*Escalation!$B$72</f>
        <v>-1104.0808032</v>
      </c>
      <c r="BV31" s="8">
        <f>-1000*Escalation!$B$73</f>
        <v>-1104.0808032</v>
      </c>
      <c r="BW31" s="8">
        <f>-1000*Escalation!$B$74</f>
        <v>-1126.1624192640002</v>
      </c>
      <c r="BX31" s="8">
        <f>-1000*Escalation!$B$75</f>
        <v>-1126.1624192640002</v>
      </c>
      <c r="BY31" s="8">
        <f>-1000*Escalation!$B$76</f>
        <v>-1126.1624192640002</v>
      </c>
      <c r="BZ31" s="8">
        <f>-1000*Escalation!$B$77</f>
        <v>-1126.1624192640002</v>
      </c>
      <c r="CA31" s="8">
        <f>-1000*Escalation!$B$78</f>
        <v>-1126.1624192640002</v>
      </c>
      <c r="CB31" s="8">
        <f>-1000*Escalation!$B$79</f>
        <v>-1126.1624192640002</v>
      </c>
      <c r="CC31" s="8">
        <f>-1000*Escalation!$B$80</f>
        <v>-1126.1624192640002</v>
      </c>
      <c r="CD31" s="8">
        <f>-1000*Escalation!$B$81</f>
        <v>-1126.1624192640002</v>
      </c>
      <c r="CE31" s="8">
        <f>-1000*Escalation!$B$82</f>
        <v>-1126.1624192640002</v>
      </c>
      <c r="CF31" s="8">
        <f>-1000*Escalation!$B$83</f>
        <v>-1126.1624192640002</v>
      </c>
      <c r="CG31" s="8">
        <f>-1000*Escalation!$B$84</f>
        <v>-1126.1624192640002</v>
      </c>
      <c r="CH31" s="8">
        <f>-1000*Escalation!$B$85</f>
        <v>-1126.1624192640002</v>
      </c>
      <c r="CI31" s="23"/>
    </row>
    <row r="32" spans="1:87" ht="15" customHeight="1" x14ac:dyDescent="0.25">
      <c r="A32" s="7" t="s">
        <v>145</v>
      </c>
      <c r="B32" s="22"/>
      <c r="C32" s="8">
        <f>-416.67*Escalation!$B$2</f>
        <v>-416.67</v>
      </c>
      <c r="D32" s="8">
        <f>-416.67*Escalation!$B$3</f>
        <v>-416.67</v>
      </c>
      <c r="E32" s="8">
        <f>-416.67*Escalation!$B$4</f>
        <v>-416.67</v>
      </c>
      <c r="F32" s="8">
        <f>-416.67*Escalation!$B$5</f>
        <v>-416.67</v>
      </c>
      <c r="G32" s="8">
        <f>-416.67*Escalation!$B$6</f>
        <v>-416.67</v>
      </c>
      <c r="H32" s="8">
        <f>-416.67*Escalation!$B$7</f>
        <v>-416.67</v>
      </c>
      <c r="I32" s="8">
        <f>-416.67*Escalation!$B$8</f>
        <v>-416.67</v>
      </c>
      <c r="J32" s="8">
        <f>-416.67*Escalation!$B$9</f>
        <v>-416.67</v>
      </c>
      <c r="K32" s="8">
        <f>-416.67*Escalation!$B$10</f>
        <v>-416.67</v>
      </c>
      <c r="L32" s="8">
        <f>-416.67*Escalation!$B$11</f>
        <v>-416.67</v>
      </c>
      <c r="M32" s="8">
        <f>-416.67*Escalation!$B$12</f>
        <v>-416.67</v>
      </c>
      <c r="N32" s="8">
        <f>-416.67*Escalation!$B$13</f>
        <v>-416.67</v>
      </c>
      <c r="O32" s="8">
        <f>-416.67*Escalation!$B$14</f>
        <v>-425.0034</v>
      </c>
      <c r="P32" s="8">
        <f>-416.67*Escalation!$B$15</f>
        <v>-425.0034</v>
      </c>
      <c r="Q32" s="8">
        <f>-416.67*Escalation!$B$16</f>
        <v>-425.0034</v>
      </c>
      <c r="R32" s="8">
        <f>-416.67*Escalation!$B$17</f>
        <v>-425.0034</v>
      </c>
      <c r="S32" s="8">
        <f>-416.67*Escalation!$B$18</f>
        <v>-425.0034</v>
      </c>
      <c r="T32" s="8">
        <f>-416.67*Escalation!$B$19</f>
        <v>-425.0034</v>
      </c>
      <c r="U32" s="8">
        <f>-416.67*Escalation!$B$20</f>
        <v>-425.0034</v>
      </c>
      <c r="V32" s="8">
        <f>-416.67*Escalation!$B$21</f>
        <v>-425.0034</v>
      </c>
      <c r="W32" s="8">
        <f>-416.67*Escalation!$B$22</f>
        <v>-425.0034</v>
      </c>
      <c r="X32" s="8">
        <f>-416.67*Escalation!$B$23</f>
        <v>-425.0034</v>
      </c>
      <c r="Y32" s="8">
        <f>-416.67*Escalation!$B$24</f>
        <v>-425.0034</v>
      </c>
      <c r="Z32" s="8">
        <f>-416.67*Escalation!$B$25</f>
        <v>-425.0034</v>
      </c>
      <c r="AA32" s="8">
        <f>-416.67*Escalation!$B$26</f>
        <v>-433.503468</v>
      </c>
      <c r="AB32" s="8">
        <f>-416.67*Escalation!$B$27</f>
        <v>-433.503468</v>
      </c>
      <c r="AC32" s="8">
        <f>-416.67*Escalation!$B$28</f>
        <v>-433.503468</v>
      </c>
      <c r="AD32" s="8">
        <f>-416.67*Escalation!$B$29</f>
        <v>-433.503468</v>
      </c>
      <c r="AE32" s="8">
        <f>-416.67*Escalation!$B$30</f>
        <v>-433.503468</v>
      </c>
      <c r="AF32" s="8">
        <f>-416.67*Escalation!$B$31</f>
        <v>-433.503468</v>
      </c>
      <c r="AG32" s="8">
        <f>-416.67*Escalation!$B$32</f>
        <v>-433.503468</v>
      </c>
      <c r="AH32" s="8">
        <f>-416.67*Escalation!$B$33</f>
        <v>-433.503468</v>
      </c>
      <c r="AI32" s="8">
        <f>-416.67*Escalation!$B$34</f>
        <v>-433.503468</v>
      </c>
      <c r="AJ32" s="8">
        <f>-416.67*Escalation!$B$35</f>
        <v>-433.503468</v>
      </c>
      <c r="AK32" s="8">
        <f>-416.67*Escalation!$B$36</f>
        <v>-433.503468</v>
      </c>
      <c r="AL32" s="8">
        <f>-416.67*Escalation!$B$37</f>
        <v>-433.503468</v>
      </c>
      <c r="AM32" s="8">
        <f>-416.67*Escalation!$B$38</f>
        <v>-442.17353736000001</v>
      </c>
      <c r="AN32" s="8">
        <f>-416.67*Escalation!$B$39</f>
        <v>-442.17353736000001</v>
      </c>
      <c r="AO32" s="8">
        <f>-416.67*Escalation!$B$40</f>
        <v>-442.17353736000001</v>
      </c>
      <c r="AP32" s="8">
        <f>-416.67*Escalation!$B$41</f>
        <v>-442.17353736000001</v>
      </c>
      <c r="AQ32" s="8">
        <f>-416.67*Escalation!$B$42</f>
        <v>-442.17353736000001</v>
      </c>
      <c r="AR32" s="8">
        <f>-416.67*Escalation!$B$43</f>
        <v>-442.17353736000001</v>
      </c>
      <c r="AS32" s="8">
        <f>-416.67*Escalation!$B$44</f>
        <v>-442.17353736000001</v>
      </c>
      <c r="AT32" s="8">
        <f>-416.67*Escalation!$B$45</f>
        <v>-442.17353736000001</v>
      </c>
      <c r="AU32" s="8">
        <f>-416.67*Escalation!$B$46</f>
        <v>-442.17353736000001</v>
      </c>
      <c r="AV32" s="8">
        <f>-416.67*Escalation!$B$47</f>
        <v>-442.17353736000001</v>
      </c>
      <c r="AW32" s="8">
        <f>-416.67*Escalation!$B$48</f>
        <v>-442.17353736000001</v>
      </c>
      <c r="AX32" s="8">
        <f>-416.67*Escalation!$B$49</f>
        <v>-442.17353736000001</v>
      </c>
      <c r="AY32" s="8">
        <f>-416.67*Escalation!$B$50</f>
        <v>-451.01700810720001</v>
      </c>
      <c r="AZ32" s="8">
        <f>-416.67*Escalation!$B$51</f>
        <v>-451.01700810720001</v>
      </c>
      <c r="BA32" s="8">
        <f>-416.67*Escalation!$B$52</f>
        <v>-451.01700810720001</v>
      </c>
      <c r="BB32" s="8">
        <f>-416.67*Escalation!$B$53</f>
        <v>-451.01700810720001</v>
      </c>
      <c r="BC32" s="8">
        <f>-416.67*Escalation!$B$54</f>
        <v>-451.01700810720001</v>
      </c>
      <c r="BD32" s="8">
        <f>-416.67*Escalation!$B$55</f>
        <v>-451.01700810720001</v>
      </c>
      <c r="BE32" s="8">
        <f>-416.67*Escalation!$B$56</f>
        <v>-451.01700810720001</v>
      </c>
      <c r="BF32" s="8">
        <f>-416.67*Escalation!$B$57</f>
        <v>-451.01700810720001</v>
      </c>
      <c r="BG32" s="8">
        <f>-416.67*Escalation!$B$58</f>
        <v>-451.01700810720001</v>
      </c>
      <c r="BH32" s="8">
        <f>-416.67*Escalation!$B$59</f>
        <v>-451.01700810720001</v>
      </c>
      <c r="BI32" s="8">
        <f>-416.67*Escalation!$B$60</f>
        <v>-451.01700810720001</v>
      </c>
      <c r="BJ32" s="8">
        <f>-416.67*Escalation!$B$61</f>
        <v>-451.01700810720001</v>
      </c>
      <c r="BK32" s="8">
        <f>-416.67*Escalation!$B$62</f>
        <v>-460.03734826934402</v>
      </c>
      <c r="BL32" s="8">
        <f>-416.67*Escalation!$B$63</f>
        <v>-460.03734826934402</v>
      </c>
      <c r="BM32" s="8">
        <f>-416.67*Escalation!$B$64</f>
        <v>-460.03734826934402</v>
      </c>
      <c r="BN32" s="8">
        <f>-416.67*Escalation!$B$65</f>
        <v>-460.03734826934402</v>
      </c>
      <c r="BO32" s="8">
        <f>-416.67*Escalation!$B$66</f>
        <v>-460.03734826934402</v>
      </c>
      <c r="BP32" s="8">
        <f>-416.67*Escalation!$B$67</f>
        <v>-460.03734826934402</v>
      </c>
      <c r="BQ32" s="8">
        <f>-416.67*Escalation!$B$68</f>
        <v>-460.03734826934402</v>
      </c>
      <c r="BR32" s="8">
        <f>-416.67*Escalation!$B$69</f>
        <v>-460.03734826934402</v>
      </c>
      <c r="BS32" s="8">
        <f>-416.67*Escalation!$B$70</f>
        <v>-460.03734826934402</v>
      </c>
      <c r="BT32" s="8">
        <f>-416.67*Escalation!$B$71</f>
        <v>-460.03734826934402</v>
      </c>
      <c r="BU32" s="8">
        <f>-416.67*Escalation!$B$72</f>
        <v>-460.03734826934402</v>
      </c>
      <c r="BV32" s="8">
        <f>-416.67*Escalation!$B$73</f>
        <v>-460.03734826934402</v>
      </c>
      <c r="BW32" s="8">
        <f>-416.67*Escalation!$B$74</f>
        <v>-469.23809523473091</v>
      </c>
      <c r="BX32" s="8">
        <f>-416.67*Escalation!$B$75</f>
        <v>-469.23809523473091</v>
      </c>
      <c r="BY32" s="8">
        <f>-416.67*Escalation!$B$76</f>
        <v>-469.23809523473091</v>
      </c>
      <c r="BZ32" s="8">
        <f>-416.67*Escalation!$B$77</f>
        <v>-469.23809523473091</v>
      </c>
      <c r="CA32" s="8">
        <f>-416.67*Escalation!$B$78</f>
        <v>-469.23809523473091</v>
      </c>
      <c r="CB32" s="8">
        <f>-416.67*Escalation!$B$79</f>
        <v>-469.23809523473091</v>
      </c>
      <c r="CC32" s="8">
        <f>-416.67*Escalation!$B$80</f>
        <v>-469.23809523473091</v>
      </c>
      <c r="CD32" s="8">
        <f>-416.67*Escalation!$B$81</f>
        <v>-469.23809523473091</v>
      </c>
      <c r="CE32" s="8">
        <f>-416.67*Escalation!$B$82</f>
        <v>-469.23809523473091</v>
      </c>
      <c r="CF32" s="8">
        <f>-416.67*Escalation!$B$83</f>
        <v>-469.23809523473091</v>
      </c>
      <c r="CG32" s="8">
        <f>-416.67*Escalation!$B$84</f>
        <v>-469.23809523473091</v>
      </c>
      <c r="CH32" s="8">
        <f>-416.67*Escalation!$B$85</f>
        <v>-469.23809523473091</v>
      </c>
      <c r="CI32" s="23"/>
    </row>
    <row r="33" spans="1:87" ht="15" customHeight="1" x14ac:dyDescent="0.25">
      <c r="A33" s="7" t="s">
        <v>146</v>
      </c>
      <c r="B33" s="22"/>
      <c r="C33" s="8">
        <f>-1666.67*Escalation!$B$2</f>
        <v>-1666.67</v>
      </c>
      <c r="D33" s="8">
        <f>-1666.67*Escalation!$B$3</f>
        <v>-1666.67</v>
      </c>
      <c r="E33" s="8">
        <f>-1666.67*Escalation!$B$4</f>
        <v>-1666.67</v>
      </c>
      <c r="F33" s="8">
        <f>-1666.67*Escalation!$B$5</f>
        <v>-1666.67</v>
      </c>
      <c r="G33" s="8">
        <f>-1666.67*Escalation!$B$6</f>
        <v>-1666.67</v>
      </c>
      <c r="H33" s="8">
        <f>-1666.67*Escalation!$B$7</f>
        <v>-1666.67</v>
      </c>
      <c r="I33" s="8">
        <f>-1666.67*Escalation!$B$8</f>
        <v>-1666.67</v>
      </c>
      <c r="J33" s="8">
        <f>-1666.67*Escalation!$B$9</f>
        <v>-1666.67</v>
      </c>
      <c r="K33" s="8">
        <f>-1666.67*Escalation!$B$10</f>
        <v>-1666.67</v>
      </c>
      <c r="L33" s="8">
        <f>-1666.67*Escalation!$B$11</f>
        <v>-1666.67</v>
      </c>
      <c r="M33" s="8">
        <f>-1666.67*Escalation!$B$12</f>
        <v>-1666.67</v>
      </c>
      <c r="N33" s="8">
        <f>-1666.67*Escalation!$B$13</f>
        <v>-1666.67</v>
      </c>
      <c r="O33" s="8">
        <f>-1666.67*Escalation!$B$14</f>
        <v>-1700.0034000000001</v>
      </c>
      <c r="P33" s="8">
        <f>-1666.67*Escalation!$B$15</f>
        <v>-1700.0034000000001</v>
      </c>
      <c r="Q33" s="8">
        <f>-1666.67*Escalation!$B$16</f>
        <v>-1700.0034000000001</v>
      </c>
      <c r="R33" s="8">
        <f>-1666.67*Escalation!$B$17</f>
        <v>-1700.0034000000001</v>
      </c>
      <c r="S33" s="8">
        <f>-1666.67*Escalation!$B$18</f>
        <v>-1700.0034000000001</v>
      </c>
      <c r="T33" s="8">
        <f>-1666.67*Escalation!$B$19</f>
        <v>-1700.0034000000001</v>
      </c>
      <c r="U33" s="8">
        <f>-1666.67*Escalation!$B$20</f>
        <v>-1700.0034000000001</v>
      </c>
      <c r="V33" s="8">
        <f>-1666.67*Escalation!$B$21</f>
        <v>-1700.0034000000001</v>
      </c>
      <c r="W33" s="8">
        <f>-1666.67*Escalation!$B$22</f>
        <v>-1700.0034000000001</v>
      </c>
      <c r="X33" s="8">
        <f>-1666.67*Escalation!$B$23</f>
        <v>-1700.0034000000001</v>
      </c>
      <c r="Y33" s="8">
        <f>-1666.67*Escalation!$B$24</f>
        <v>-1700.0034000000001</v>
      </c>
      <c r="Z33" s="8">
        <f>-1666.67*Escalation!$B$25</f>
        <v>-1700.0034000000001</v>
      </c>
      <c r="AA33" s="8">
        <f>-1666.67*Escalation!$B$26</f>
        <v>-1734.0034680000001</v>
      </c>
      <c r="AB33" s="8">
        <f>-1666.67*Escalation!$B$27</f>
        <v>-1734.0034680000001</v>
      </c>
      <c r="AC33" s="8">
        <f>-1666.67*Escalation!$B$28</f>
        <v>-1734.0034680000001</v>
      </c>
      <c r="AD33" s="8">
        <f>-1666.67*Escalation!$B$29</f>
        <v>-1734.0034680000001</v>
      </c>
      <c r="AE33" s="8">
        <f>-1666.67*Escalation!$B$30</f>
        <v>-1734.0034680000001</v>
      </c>
      <c r="AF33" s="8">
        <f>-1666.67*Escalation!$B$31</f>
        <v>-1734.0034680000001</v>
      </c>
      <c r="AG33" s="8">
        <f>-1666.67*Escalation!$B$32</f>
        <v>-1734.0034680000001</v>
      </c>
      <c r="AH33" s="8">
        <f>-1666.67*Escalation!$B$33</f>
        <v>-1734.0034680000001</v>
      </c>
      <c r="AI33" s="8">
        <f>-1666.67*Escalation!$B$34</f>
        <v>-1734.0034680000001</v>
      </c>
      <c r="AJ33" s="8">
        <f>-1666.67*Escalation!$B$35</f>
        <v>-1734.0034680000001</v>
      </c>
      <c r="AK33" s="8">
        <f>-1666.67*Escalation!$B$36</f>
        <v>-1734.0034680000001</v>
      </c>
      <c r="AL33" s="8">
        <f>-1666.67*Escalation!$B$37</f>
        <v>-1734.0034680000001</v>
      </c>
      <c r="AM33" s="8">
        <f>-1666.67*Escalation!$B$38</f>
        <v>-1768.6835373599999</v>
      </c>
      <c r="AN33" s="8">
        <f>-1666.67*Escalation!$B$39</f>
        <v>-1768.6835373599999</v>
      </c>
      <c r="AO33" s="8">
        <f>-1666.67*Escalation!$B$40</f>
        <v>-1768.6835373599999</v>
      </c>
      <c r="AP33" s="8">
        <f>-1666.67*Escalation!$B$41</f>
        <v>-1768.6835373599999</v>
      </c>
      <c r="AQ33" s="8">
        <f>-1666.67*Escalation!$B$42</f>
        <v>-1768.6835373599999</v>
      </c>
      <c r="AR33" s="8">
        <f>-1666.67*Escalation!$B$43</f>
        <v>-1768.6835373599999</v>
      </c>
      <c r="AS33" s="8">
        <f>-1666.67*Escalation!$B$44</f>
        <v>-1768.6835373599999</v>
      </c>
      <c r="AT33" s="8">
        <f>-1666.67*Escalation!$B$45</f>
        <v>-1768.6835373599999</v>
      </c>
      <c r="AU33" s="8">
        <f>-1666.67*Escalation!$B$46</f>
        <v>-1768.6835373599999</v>
      </c>
      <c r="AV33" s="8">
        <f>-1666.67*Escalation!$B$47</f>
        <v>-1768.6835373599999</v>
      </c>
      <c r="AW33" s="8">
        <f>-1666.67*Escalation!$B$48</f>
        <v>-1768.6835373599999</v>
      </c>
      <c r="AX33" s="8">
        <f>-1666.67*Escalation!$B$49</f>
        <v>-1768.6835373599999</v>
      </c>
      <c r="AY33" s="8">
        <f>-1666.67*Escalation!$B$50</f>
        <v>-1804.0572081072</v>
      </c>
      <c r="AZ33" s="8">
        <f>-1666.67*Escalation!$B$51</f>
        <v>-1804.0572081072</v>
      </c>
      <c r="BA33" s="8">
        <f>-1666.67*Escalation!$B$52</f>
        <v>-1804.0572081072</v>
      </c>
      <c r="BB33" s="8">
        <f>-1666.67*Escalation!$B$53</f>
        <v>-1804.0572081072</v>
      </c>
      <c r="BC33" s="8">
        <f>-1666.67*Escalation!$B$54</f>
        <v>-1804.0572081072</v>
      </c>
      <c r="BD33" s="8">
        <f>-1666.67*Escalation!$B$55</f>
        <v>-1804.0572081072</v>
      </c>
      <c r="BE33" s="8">
        <f>-1666.67*Escalation!$B$56</f>
        <v>-1804.0572081072</v>
      </c>
      <c r="BF33" s="8">
        <f>-1666.67*Escalation!$B$57</f>
        <v>-1804.0572081072</v>
      </c>
      <c r="BG33" s="8">
        <f>-1666.67*Escalation!$B$58</f>
        <v>-1804.0572081072</v>
      </c>
      <c r="BH33" s="8">
        <f>-1666.67*Escalation!$B$59</f>
        <v>-1804.0572081072</v>
      </c>
      <c r="BI33" s="8">
        <f>-1666.67*Escalation!$B$60</f>
        <v>-1804.0572081072</v>
      </c>
      <c r="BJ33" s="8">
        <f>-1666.67*Escalation!$B$61</f>
        <v>-1804.0572081072</v>
      </c>
      <c r="BK33" s="8">
        <f>-1666.67*Escalation!$B$62</f>
        <v>-1840.1383522693441</v>
      </c>
      <c r="BL33" s="8">
        <f>-1666.67*Escalation!$B$63</f>
        <v>-1840.1383522693441</v>
      </c>
      <c r="BM33" s="8">
        <f>-1666.67*Escalation!$B$64</f>
        <v>-1840.1383522693441</v>
      </c>
      <c r="BN33" s="8">
        <f>-1666.67*Escalation!$B$65</f>
        <v>-1840.1383522693441</v>
      </c>
      <c r="BO33" s="8">
        <f>-1666.67*Escalation!$B$66</f>
        <v>-1840.1383522693441</v>
      </c>
      <c r="BP33" s="8">
        <f>-1666.67*Escalation!$B$67</f>
        <v>-1840.1383522693441</v>
      </c>
      <c r="BQ33" s="8">
        <f>-1666.67*Escalation!$B$68</f>
        <v>-1840.1383522693441</v>
      </c>
      <c r="BR33" s="8">
        <f>-1666.67*Escalation!$B$69</f>
        <v>-1840.1383522693441</v>
      </c>
      <c r="BS33" s="8">
        <f>-1666.67*Escalation!$B$70</f>
        <v>-1840.1383522693441</v>
      </c>
      <c r="BT33" s="8">
        <f>-1666.67*Escalation!$B$71</f>
        <v>-1840.1383522693441</v>
      </c>
      <c r="BU33" s="8">
        <f>-1666.67*Escalation!$B$72</f>
        <v>-1840.1383522693441</v>
      </c>
      <c r="BV33" s="8">
        <f>-1666.67*Escalation!$B$73</f>
        <v>-1840.1383522693441</v>
      </c>
      <c r="BW33" s="8">
        <f>-1666.67*Escalation!$B$74</f>
        <v>-1876.9411193147312</v>
      </c>
      <c r="BX33" s="8">
        <f>-1666.67*Escalation!$B$75</f>
        <v>-1876.9411193147312</v>
      </c>
      <c r="BY33" s="8">
        <f>-1666.67*Escalation!$B$76</f>
        <v>-1876.9411193147312</v>
      </c>
      <c r="BZ33" s="8">
        <f>-1666.67*Escalation!$B$77</f>
        <v>-1876.9411193147312</v>
      </c>
      <c r="CA33" s="8">
        <f>-1666.67*Escalation!$B$78</f>
        <v>-1876.9411193147312</v>
      </c>
      <c r="CB33" s="8">
        <f>-1666.67*Escalation!$B$79</f>
        <v>-1876.9411193147312</v>
      </c>
      <c r="CC33" s="8">
        <f>-1666.67*Escalation!$B$80</f>
        <v>-1876.9411193147312</v>
      </c>
      <c r="CD33" s="8">
        <f>-1666.67*Escalation!$B$81</f>
        <v>-1876.9411193147312</v>
      </c>
      <c r="CE33" s="8">
        <f>-1666.67*Escalation!$B$82</f>
        <v>-1876.9411193147312</v>
      </c>
      <c r="CF33" s="8">
        <f>-1666.67*Escalation!$B$83</f>
        <v>-1876.9411193147312</v>
      </c>
      <c r="CG33" s="8">
        <f>-1666.67*Escalation!$B$84</f>
        <v>-1876.9411193147312</v>
      </c>
      <c r="CH33" s="8">
        <f>-1666.67*Escalation!$B$85</f>
        <v>-1876.9411193147312</v>
      </c>
      <c r="CI33" s="23"/>
    </row>
    <row r="34" spans="1:87" ht="15" customHeight="1" x14ac:dyDescent="0.25">
      <c r="A34" s="7" t="s">
        <v>147</v>
      </c>
      <c r="B34" s="22"/>
      <c r="C34" s="8">
        <f>-1000*Escalation!$B$2</f>
        <v>-1000</v>
      </c>
      <c r="D34" s="8">
        <f>-1000*Escalation!$B$3</f>
        <v>-1000</v>
      </c>
      <c r="E34" s="8">
        <f>-1000*Escalation!$B$4</f>
        <v>-1000</v>
      </c>
      <c r="F34" s="8">
        <f>-1000*Escalation!$B$5</f>
        <v>-1000</v>
      </c>
      <c r="G34" s="8">
        <f>-1000*Escalation!$B$6</f>
        <v>-1000</v>
      </c>
      <c r="H34" s="8">
        <f>-1000*Escalation!$B$7</f>
        <v>-1000</v>
      </c>
      <c r="I34" s="8">
        <f>-1000*Escalation!$B$8</f>
        <v>-1000</v>
      </c>
      <c r="J34" s="8">
        <f>-1000*Escalation!$B$9</f>
        <v>-1000</v>
      </c>
      <c r="K34" s="8">
        <f>-1000*Escalation!$B$10</f>
        <v>-1000</v>
      </c>
      <c r="L34" s="8">
        <f>-1000*Escalation!$B$11</f>
        <v>-1000</v>
      </c>
      <c r="M34" s="8">
        <f>-1000*Escalation!$B$12</f>
        <v>-1000</v>
      </c>
      <c r="N34" s="8">
        <f>-1000*Escalation!$B$13</f>
        <v>-1000</v>
      </c>
      <c r="O34" s="8">
        <f>-1000*Escalation!$B$14</f>
        <v>-1020</v>
      </c>
      <c r="P34" s="8">
        <f>-1000*Escalation!$B$15</f>
        <v>-1020</v>
      </c>
      <c r="Q34" s="8">
        <f>-1000*Escalation!$B$16</f>
        <v>-1020</v>
      </c>
      <c r="R34" s="8">
        <f>-1000*Escalation!$B$17</f>
        <v>-1020</v>
      </c>
      <c r="S34" s="8">
        <f>-1000*Escalation!$B$18</f>
        <v>-1020</v>
      </c>
      <c r="T34" s="8">
        <f>-1000*Escalation!$B$19</f>
        <v>-1020</v>
      </c>
      <c r="U34" s="8">
        <f>-1000*Escalation!$B$20</f>
        <v>-1020</v>
      </c>
      <c r="V34" s="8">
        <f>-1000*Escalation!$B$21</f>
        <v>-1020</v>
      </c>
      <c r="W34" s="8">
        <f>-1000*Escalation!$B$22</f>
        <v>-1020</v>
      </c>
      <c r="X34" s="8">
        <f>-1000*Escalation!$B$23</f>
        <v>-1020</v>
      </c>
      <c r="Y34" s="8">
        <f>-1000*Escalation!$B$24</f>
        <v>-1020</v>
      </c>
      <c r="Z34" s="8">
        <f>-1000*Escalation!$B$25</f>
        <v>-1020</v>
      </c>
      <c r="AA34" s="8">
        <f>-1000*Escalation!$B$26</f>
        <v>-1040.4000000000001</v>
      </c>
      <c r="AB34" s="8">
        <f>-1000*Escalation!$B$27</f>
        <v>-1040.4000000000001</v>
      </c>
      <c r="AC34" s="8">
        <f>-1000*Escalation!$B$28</f>
        <v>-1040.4000000000001</v>
      </c>
      <c r="AD34" s="8">
        <f>-1000*Escalation!$B$29</f>
        <v>-1040.4000000000001</v>
      </c>
      <c r="AE34" s="8">
        <f>-1000*Escalation!$B$30</f>
        <v>-1040.4000000000001</v>
      </c>
      <c r="AF34" s="8">
        <f>-1000*Escalation!$B$31</f>
        <v>-1040.4000000000001</v>
      </c>
      <c r="AG34" s="8">
        <f>-1000*Escalation!$B$32</f>
        <v>-1040.4000000000001</v>
      </c>
      <c r="AH34" s="8">
        <f>-1000*Escalation!$B$33</f>
        <v>-1040.4000000000001</v>
      </c>
      <c r="AI34" s="8">
        <f>-1000*Escalation!$B$34</f>
        <v>-1040.4000000000001</v>
      </c>
      <c r="AJ34" s="8">
        <f>-1000*Escalation!$B$35</f>
        <v>-1040.4000000000001</v>
      </c>
      <c r="AK34" s="8">
        <f>-1000*Escalation!$B$36</f>
        <v>-1040.4000000000001</v>
      </c>
      <c r="AL34" s="8">
        <f>-1000*Escalation!$B$37</f>
        <v>-1040.4000000000001</v>
      </c>
      <c r="AM34" s="8">
        <f>-1000*Escalation!$B$38</f>
        <v>-1061.2079999999999</v>
      </c>
      <c r="AN34" s="8">
        <f>-1000*Escalation!$B$39</f>
        <v>-1061.2079999999999</v>
      </c>
      <c r="AO34" s="8">
        <f>-1000*Escalation!$B$40</f>
        <v>-1061.2079999999999</v>
      </c>
      <c r="AP34" s="8">
        <f>-1000*Escalation!$B$41</f>
        <v>-1061.2079999999999</v>
      </c>
      <c r="AQ34" s="8">
        <f>-1000*Escalation!$B$42</f>
        <v>-1061.2079999999999</v>
      </c>
      <c r="AR34" s="8">
        <f>-1000*Escalation!$B$43</f>
        <v>-1061.2079999999999</v>
      </c>
      <c r="AS34" s="8">
        <f>-1000*Escalation!$B$44</f>
        <v>-1061.2079999999999</v>
      </c>
      <c r="AT34" s="8">
        <f>-1000*Escalation!$B$45</f>
        <v>-1061.2079999999999</v>
      </c>
      <c r="AU34" s="8">
        <f>-1000*Escalation!$B$46</f>
        <v>-1061.2079999999999</v>
      </c>
      <c r="AV34" s="8">
        <f>-1000*Escalation!$B$47</f>
        <v>-1061.2079999999999</v>
      </c>
      <c r="AW34" s="8">
        <f>-1000*Escalation!$B$48</f>
        <v>-1061.2079999999999</v>
      </c>
      <c r="AX34" s="8">
        <f>-1000*Escalation!$B$49</f>
        <v>-1061.2079999999999</v>
      </c>
      <c r="AY34" s="8">
        <f>-1000*Escalation!$B$50</f>
        <v>-1082.4321600000001</v>
      </c>
      <c r="AZ34" s="8">
        <f>-1000*Escalation!$B$51</f>
        <v>-1082.4321600000001</v>
      </c>
      <c r="BA34" s="8">
        <f>-1000*Escalation!$B$52</f>
        <v>-1082.4321600000001</v>
      </c>
      <c r="BB34" s="8">
        <f>-1000*Escalation!$B$53</f>
        <v>-1082.4321600000001</v>
      </c>
      <c r="BC34" s="8">
        <f>-1000*Escalation!$B$54</f>
        <v>-1082.4321600000001</v>
      </c>
      <c r="BD34" s="8">
        <f>-1000*Escalation!$B$55</f>
        <v>-1082.4321600000001</v>
      </c>
      <c r="BE34" s="8">
        <f>-1000*Escalation!$B$56</f>
        <v>-1082.4321600000001</v>
      </c>
      <c r="BF34" s="8">
        <f>-1000*Escalation!$B$57</f>
        <v>-1082.4321600000001</v>
      </c>
      <c r="BG34" s="8">
        <f>-1000*Escalation!$B$58</f>
        <v>-1082.4321600000001</v>
      </c>
      <c r="BH34" s="8">
        <f>-1000*Escalation!$B$59</f>
        <v>-1082.4321600000001</v>
      </c>
      <c r="BI34" s="8">
        <f>-1000*Escalation!$B$60</f>
        <v>-1082.4321600000001</v>
      </c>
      <c r="BJ34" s="8">
        <f>-1000*Escalation!$B$61</f>
        <v>-1082.4321600000001</v>
      </c>
      <c r="BK34" s="8">
        <f>-1000*Escalation!$B$62</f>
        <v>-1104.0808032</v>
      </c>
      <c r="BL34" s="8">
        <f>-1000*Escalation!$B$63</f>
        <v>-1104.0808032</v>
      </c>
      <c r="BM34" s="8">
        <f>-1000*Escalation!$B$64</f>
        <v>-1104.0808032</v>
      </c>
      <c r="BN34" s="8">
        <f>-1000*Escalation!$B$65</f>
        <v>-1104.0808032</v>
      </c>
      <c r="BO34" s="8">
        <f>-1000*Escalation!$B$66</f>
        <v>-1104.0808032</v>
      </c>
      <c r="BP34" s="8">
        <f>-1000*Escalation!$B$67</f>
        <v>-1104.0808032</v>
      </c>
      <c r="BQ34" s="8">
        <f>-1000*Escalation!$B$68</f>
        <v>-1104.0808032</v>
      </c>
      <c r="BR34" s="8">
        <f>-1000*Escalation!$B$69</f>
        <v>-1104.0808032</v>
      </c>
      <c r="BS34" s="8">
        <f>-1000*Escalation!$B$70</f>
        <v>-1104.0808032</v>
      </c>
      <c r="BT34" s="8">
        <f>-1000*Escalation!$B$71</f>
        <v>-1104.0808032</v>
      </c>
      <c r="BU34" s="8">
        <f>-1000*Escalation!$B$72</f>
        <v>-1104.0808032</v>
      </c>
      <c r="BV34" s="8">
        <f>-1000*Escalation!$B$73</f>
        <v>-1104.0808032</v>
      </c>
      <c r="BW34" s="8">
        <f>-1000*Escalation!$B$74</f>
        <v>-1126.1624192640002</v>
      </c>
      <c r="BX34" s="8">
        <f>-1000*Escalation!$B$75</f>
        <v>-1126.1624192640002</v>
      </c>
      <c r="BY34" s="8">
        <f>-1000*Escalation!$B$76</f>
        <v>-1126.1624192640002</v>
      </c>
      <c r="BZ34" s="8">
        <f>-1000*Escalation!$B$77</f>
        <v>-1126.1624192640002</v>
      </c>
      <c r="CA34" s="8">
        <f>-1000*Escalation!$B$78</f>
        <v>-1126.1624192640002</v>
      </c>
      <c r="CB34" s="8">
        <f>-1000*Escalation!$B$79</f>
        <v>-1126.1624192640002</v>
      </c>
      <c r="CC34" s="8">
        <f>-1000*Escalation!$B$80</f>
        <v>-1126.1624192640002</v>
      </c>
      <c r="CD34" s="8">
        <f>-1000*Escalation!$B$81</f>
        <v>-1126.1624192640002</v>
      </c>
      <c r="CE34" s="8">
        <f>-1000*Escalation!$B$82</f>
        <v>-1126.1624192640002</v>
      </c>
      <c r="CF34" s="8">
        <f>-1000*Escalation!$B$83</f>
        <v>-1126.1624192640002</v>
      </c>
      <c r="CG34" s="8">
        <f>-1000*Escalation!$B$84</f>
        <v>-1126.1624192640002</v>
      </c>
      <c r="CH34" s="8">
        <f>-1000*Escalation!$B$85</f>
        <v>-1126.1624192640002</v>
      </c>
      <c r="CI34" s="23"/>
    </row>
    <row r="35" spans="1:87" ht="15" customHeight="1" x14ac:dyDescent="0.25">
      <c r="A35" s="7" t="s">
        <v>148</v>
      </c>
      <c r="B35" s="22"/>
      <c r="C35" s="8">
        <f>-4166.67*Escalation!$B$2</f>
        <v>-4166.67</v>
      </c>
      <c r="D35" s="8">
        <f>-4166.67*Escalation!$B$3</f>
        <v>-4166.67</v>
      </c>
      <c r="E35" s="8">
        <f>-4166.67*Escalation!$B$4</f>
        <v>-4166.67</v>
      </c>
      <c r="F35" s="8">
        <f>-4166.67*Escalation!$B$5</f>
        <v>-4166.67</v>
      </c>
      <c r="G35" s="8">
        <f>-4166.67*Escalation!$B$6</f>
        <v>-4166.67</v>
      </c>
      <c r="H35" s="8">
        <f>-4166.67*Escalation!$B$7</f>
        <v>-4166.67</v>
      </c>
      <c r="I35" s="8">
        <f>-4166.67*Escalation!$B$8</f>
        <v>-4166.67</v>
      </c>
      <c r="J35" s="8">
        <f>-4166.67*Escalation!$B$9</f>
        <v>-4166.67</v>
      </c>
      <c r="K35" s="8">
        <f>-4166.67*Escalation!$B$10</f>
        <v>-4166.67</v>
      </c>
      <c r="L35" s="8">
        <f>-4166.67*Escalation!$B$11</f>
        <v>-4166.67</v>
      </c>
      <c r="M35" s="8">
        <f>-4166.67*Escalation!$B$12</f>
        <v>-4166.67</v>
      </c>
      <c r="N35" s="8">
        <f>-4166.67*Escalation!$B$13</f>
        <v>-4166.67</v>
      </c>
      <c r="O35" s="8">
        <f>-4166.67*Escalation!$B$14</f>
        <v>-4250.0034000000005</v>
      </c>
      <c r="P35" s="8">
        <f>-4166.67*Escalation!$B$15</f>
        <v>-4250.0034000000005</v>
      </c>
      <c r="Q35" s="8">
        <f>-4166.67*Escalation!$B$16</f>
        <v>-4250.0034000000005</v>
      </c>
      <c r="R35" s="8">
        <f>-4166.67*Escalation!$B$17</f>
        <v>-4250.0034000000005</v>
      </c>
      <c r="S35" s="8">
        <f>-4166.67*Escalation!$B$18</f>
        <v>-4250.0034000000005</v>
      </c>
      <c r="T35" s="8">
        <f>-4166.67*Escalation!$B$19</f>
        <v>-4250.0034000000005</v>
      </c>
      <c r="U35" s="8">
        <f>-4166.67*Escalation!$B$20</f>
        <v>-4250.0034000000005</v>
      </c>
      <c r="V35" s="8">
        <f>-4166.67*Escalation!$B$21</f>
        <v>-4250.0034000000005</v>
      </c>
      <c r="W35" s="8">
        <f>-4166.67*Escalation!$B$22</f>
        <v>-4250.0034000000005</v>
      </c>
      <c r="X35" s="8">
        <f>-4166.67*Escalation!$B$23</f>
        <v>-4250.0034000000005</v>
      </c>
      <c r="Y35" s="8">
        <f>-4166.67*Escalation!$B$24</f>
        <v>-4250.0034000000005</v>
      </c>
      <c r="Z35" s="8">
        <f>-4166.67*Escalation!$B$25</f>
        <v>-4250.0034000000005</v>
      </c>
      <c r="AA35" s="8">
        <f>-4166.67*Escalation!$B$26</f>
        <v>-4335.0034679999999</v>
      </c>
      <c r="AB35" s="8">
        <f>-4166.67*Escalation!$B$27</f>
        <v>-4335.0034679999999</v>
      </c>
      <c r="AC35" s="8">
        <f>-4166.67*Escalation!$B$28</f>
        <v>-4335.0034679999999</v>
      </c>
      <c r="AD35" s="8">
        <f>-4166.67*Escalation!$B$29</f>
        <v>-4335.0034679999999</v>
      </c>
      <c r="AE35" s="8">
        <f>-4166.67*Escalation!$B$30</f>
        <v>-4335.0034679999999</v>
      </c>
      <c r="AF35" s="8">
        <f>-4166.67*Escalation!$B$31</f>
        <v>-4335.0034679999999</v>
      </c>
      <c r="AG35" s="8">
        <f>-4166.67*Escalation!$B$32</f>
        <v>-4335.0034679999999</v>
      </c>
      <c r="AH35" s="8">
        <f>-4166.67*Escalation!$B$33</f>
        <v>-4335.0034679999999</v>
      </c>
      <c r="AI35" s="8">
        <f>-4166.67*Escalation!$B$34</f>
        <v>-4335.0034679999999</v>
      </c>
      <c r="AJ35" s="8">
        <f>-4166.67*Escalation!$B$35</f>
        <v>-4335.0034679999999</v>
      </c>
      <c r="AK35" s="8">
        <f>-4166.67*Escalation!$B$36</f>
        <v>-4335.0034679999999</v>
      </c>
      <c r="AL35" s="8">
        <f>-4166.67*Escalation!$B$37</f>
        <v>-4335.0034679999999</v>
      </c>
      <c r="AM35" s="8">
        <f>-4166.67*Escalation!$B$38</f>
        <v>-4421.7035373600002</v>
      </c>
      <c r="AN35" s="8">
        <f>-4166.67*Escalation!$B$39</f>
        <v>-4421.7035373600002</v>
      </c>
      <c r="AO35" s="8">
        <f>-4166.67*Escalation!$B$40</f>
        <v>-4421.7035373600002</v>
      </c>
      <c r="AP35" s="8">
        <f>-4166.67*Escalation!$B$41</f>
        <v>-4421.7035373600002</v>
      </c>
      <c r="AQ35" s="8">
        <f>-4166.67*Escalation!$B$42</f>
        <v>-4421.7035373600002</v>
      </c>
      <c r="AR35" s="8">
        <f>-4166.67*Escalation!$B$43</f>
        <v>-4421.7035373600002</v>
      </c>
      <c r="AS35" s="8">
        <f>-4166.67*Escalation!$B$44</f>
        <v>-4421.7035373600002</v>
      </c>
      <c r="AT35" s="8">
        <f>-4166.67*Escalation!$B$45</f>
        <v>-4421.7035373600002</v>
      </c>
      <c r="AU35" s="8">
        <f>-4166.67*Escalation!$B$46</f>
        <v>-4421.7035373600002</v>
      </c>
      <c r="AV35" s="8">
        <f>-4166.67*Escalation!$B$47</f>
        <v>-4421.7035373600002</v>
      </c>
      <c r="AW35" s="8">
        <f>-4166.67*Escalation!$B$48</f>
        <v>-4421.7035373600002</v>
      </c>
      <c r="AX35" s="8">
        <f>-4166.67*Escalation!$B$49</f>
        <v>-4421.7035373600002</v>
      </c>
      <c r="AY35" s="8">
        <f>-4166.67*Escalation!$B$50</f>
        <v>-4510.1376081072003</v>
      </c>
      <c r="AZ35" s="8">
        <f>-4166.67*Escalation!$B$51</f>
        <v>-4510.1376081072003</v>
      </c>
      <c r="BA35" s="8">
        <f>-4166.67*Escalation!$B$52</f>
        <v>-4510.1376081072003</v>
      </c>
      <c r="BB35" s="8">
        <f>-4166.67*Escalation!$B$53</f>
        <v>-4510.1376081072003</v>
      </c>
      <c r="BC35" s="8">
        <f>-4166.67*Escalation!$B$54</f>
        <v>-4510.1376081072003</v>
      </c>
      <c r="BD35" s="8">
        <f>-4166.67*Escalation!$B$55</f>
        <v>-4510.1376081072003</v>
      </c>
      <c r="BE35" s="8">
        <f>-4166.67*Escalation!$B$56</f>
        <v>-4510.1376081072003</v>
      </c>
      <c r="BF35" s="8">
        <f>-4166.67*Escalation!$B$57</f>
        <v>-4510.1376081072003</v>
      </c>
      <c r="BG35" s="8">
        <f>-4166.67*Escalation!$B$58</f>
        <v>-4510.1376081072003</v>
      </c>
      <c r="BH35" s="8">
        <f>-4166.67*Escalation!$B$59</f>
        <v>-4510.1376081072003</v>
      </c>
      <c r="BI35" s="8">
        <f>-4166.67*Escalation!$B$60</f>
        <v>-4510.1376081072003</v>
      </c>
      <c r="BJ35" s="8">
        <f>-4166.67*Escalation!$B$61</f>
        <v>-4510.1376081072003</v>
      </c>
      <c r="BK35" s="8">
        <f>-4166.67*Escalation!$B$62</f>
        <v>-4600.3403602693443</v>
      </c>
      <c r="BL35" s="8">
        <f>-4166.67*Escalation!$B$63</f>
        <v>-4600.3403602693443</v>
      </c>
      <c r="BM35" s="8">
        <f>-4166.67*Escalation!$B$64</f>
        <v>-4600.3403602693443</v>
      </c>
      <c r="BN35" s="8">
        <f>-4166.67*Escalation!$B$65</f>
        <v>-4600.3403602693443</v>
      </c>
      <c r="BO35" s="8">
        <f>-4166.67*Escalation!$B$66</f>
        <v>-4600.3403602693443</v>
      </c>
      <c r="BP35" s="8">
        <f>-4166.67*Escalation!$B$67</f>
        <v>-4600.3403602693443</v>
      </c>
      <c r="BQ35" s="8">
        <f>-4166.67*Escalation!$B$68</f>
        <v>-4600.3403602693443</v>
      </c>
      <c r="BR35" s="8">
        <f>-4166.67*Escalation!$B$69</f>
        <v>-4600.3403602693443</v>
      </c>
      <c r="BS35" s="8">
        <f>-4166.67*Escalation!$B$70</f>
        <v>-4600.3403602693443</v>
      </c>
      <c r="BT35" s="8">
        <f>-4166.67*Escalation!$B$71</f>
        <v>-4600.3403602693443</v>
      </c>
      <c r="BU35" s="8">
        <f>-4166.67*Escalation!$B$72</f>
        <v>-4600.3403602693443</v>
      </c>
      <c r="BV35" s="8">
        <f>-4166.67*Escalation!$B$73</f>
        <v>-4600.3403602693443</v>
      </c>
      <c r="BW35" s="8">
        <f>-4166.67*Escalation!$B$74</f>
        <v>-4692.3471674747316</v>
      </c>
      <c r="BX35" s="8">
        <f>-4166.67*Escalation!$B$75</f>
        <v>-4692.3471674747316</v>
      </c>
      <c r="BY35" s="8">
        <f>-4166.67*Escalation!$B$76</f>
        <v>-4692.3471674747316</v>
      </c>
      <c r="BZ35" s="8">
        <f>-4166.67*Escalation!$B$77</f>
        <v>-4692.3471674747316</v>
      </c>
      <c r="CA35" s="8">
        <f>-4166.67*Escalation!$B$78</f>
        <v>-4692.3471674747316</v>
      </c>
      <c r="CB35" s="8">
        <f>-4166.67*Escalation!$B$79</f>
        <v>-4692.3471674747316</v>
      </c>
      <c r="CC35" s="8">
        <f>-4166.67*Escalation!$B$80</f>
        <v>-4692.3471674747316</v>
      </c>
      <c r="CD35" s="8">
        <f>-4166.67*Escalation!$B$81</f>
        <v>-4692.3471674747316</v>
      </c>
      <c r="CE35" s="8">
        <f>-4166.67*Escalation!$B$82</f>
        <v>-4692.3471674747316</v>
      </c>
      <c r="CF35" s="8">
        <f>-4166.67*Escalation!$B$83</f>
        <v>-4692.3471674747316</v>
      </c>
      <c r="CG35" s="8">
        <f>-4166.67*Escalation!$B$84</f>
        <v>-4692.3471674747316</v>
      </c>
      <c r="CH35" s="8">
        <f>-4166.67*Escalation!$B$85</f>
        <v>-4692.3471674747316</v>
      </c>
      <c r="CI35" s="23"/>
    </row>
    <row r="36" spans="1:87" ht="15" customHeight="1" x14ac:dyDescent="0.25">
      <c r="A36" s="7" t="s">
        <v>149</v>
      </c>
      <c r="B36" s="22"/>
      <c r="C36" s="8">
        <f>-1000*Escalation!$B$2</f>
        <v>-1000</v>
      </c>
      <c r="D36" s="8">
        <f>-1000*Escalation!$B$3</f>
        <v>-1000</v>
      </c>
      <c r="E36" s="8">
        <f>-1000*Escalation!$B$4</f>
        <v>-1000</v>
      </c>
      <c r="F36" s="8">
        <f>-1000*Escalation!$B$5</f>
        <v>-1000</v>
      </c>
      <c r="G36" s="8">
        <f>-1000*Escalation!$B$6</f>
        <v>-1000</v>
      </c>
      <c r="H36" s="8">
        <f>-1000*Escalation!$B$7</f>
        <v>-1000</v>
      </c>
      <c r="I36" s="8">
        <f>-1000*Escalation!$B$8</f>
        <v>-1000</v>
      </c>
      <c r="J36" s="8">
        <f>-1000*Escalation!$B$9</f>
        <v>-1000</v>
      </c>
      <c r="K36" s="8">
        <f>-1000*Escalation!$B$10</f>
        <v>-1000</v>
      </c>
      <c r="L36" s="8">
        <f>-1000*Escalation!$B$11</f>
        <v>-1000</v>
      </c>
      <c r="M36" s="8">
        <f>-1000*Escalation!$B$12</f>
        <v>-1000</v>
      </c>
      <c r="N36" s="8">
        <f>-1000*Escalation!$B$13</f>
        <v>-1000</v>
      </c>
      <c r="O36" s="8">
        <f>-1000*Escalation!$B$14</f>
        <v>-1020</v>
      </c>
      <c r="P36" s="8">
        <f>-1000*Escalation!$B$15</f>
        <v>-1020</v>
      </c>
      <c r="Q36" s="8">
        <f>-1000*Escalation!$B$16</f>
        <v>-1020</v>
      </c>
      <c r="R36" s="8">
        <f>-1000*Escalation!$B$17</f>
        <v>-1020</v>
      </c>
      <c r="S36" s="8">
        <f>-1000*Escalation!$B$18</f>
        <v>-1020</v>
      </c>
      <c r="T36" s="8">
        <f>-1000*Escalation!$B$19</f>
        <v>-1020</v>
      </c>
      <c r="U36" s="8">
        <f>-1000*Escalation!$B$20</f>
        <v>-1020</v>
      </c>
      <c r="V36" s="8">
        <f>-1000*Escalation!$B$21</f>
        <v>-1020</v>
      </c>
      <c r="W36" s="8">
        <f>-1000*Escalation!$B$22</f>
        <v>-1020</v>
      </c>
      <c r="X36" s="8">
        <f>-1000*Escalation!$B$23</f>
        <v>-1020</v>
      </c>
      <c r="Y36" s="8">
        <f>-1000*Escalation!$B$24</f>
        <v>-1020</v>
      </c>
      <c r="Z36" s="8">
        <f>-1000*Escalation!$B$25</f>
        <v>-1020</v>
      </c>
      <c r="AA36" s="8">
        <f>-1000*Escalation!$B$26</f>
        <v>-1040.4000000000001</v>
      </c>
      <c r="AB36" s="8">
        <f>-1000*Escalation!$B$27</f>
        <v>-1040.4000000000001</v>
      </c>
      <c r="AC36" s="8">
        <f>-1000*Escalation!$B$28</f>
        <v>-1040.4000000000001</v>
      </c>
      <c r="AD36" s="8">
        <f>-1000*Escalation!$B$29</f>
        <v>-1040.4000000000001</v>
      </c>
      <c r="AE36" s="8">
        <f>-1000*Escalation!$B$30</f>
        <v>-1040.4000000000001</v>
      </c>
      <c r="AF36" s="8">
        <f>-1000*Escalation!$B$31</f>
        <v>-1040.4000000000001</v>
      </c>
      <c r="AG36" s="8">
        <f>-1000*Escalation!$B$32</f>
        <v>-1040.4000000000001</v>
      </c>
      <c r="AH36" s="8">
        <f>-1000*Escalation!$B$33</f>
        <v>-1040.4000000000001</v>
      </c>
      <c r="AI36" s="8">
        <f>-1000*Escalation!$B$34</f>
        <v>-1040.4000000000001</v>
      </c>
      <c r="AJ36" s="8">
        <f>-1000*Escalation!$B$35</f>
        <v>-1040.4000000000001</v>
      </c>
      <c r="AK36" s="8">
        <f>-1000*Escalation!$B$36</f>
        <v>-1040.4000000000001</v>
      </c>
      <c r="AL36" s="8">
        <f>-1000*Escalation!$B$37</f>
        <v>-1040.4000000000001</v>
      </c>
      <c r="AM36" s="8">
        <f>-1000*Escalation!$B$38</f>
        <v>-1061.2079999999999</v>
      </c>
      <c r="AN36" s="8">
        <f>-1000*Escalation!$B$39</f>
        <v>-1061.2079999999999</v>
      </c>
      <c r="AO36" s="8">
        <f>-1000*Escalation!$B$40</f>
        <v>-1061.2079999999999</v>
      </c>
      <c r="AP36" s="8">
        <f>-1000*Escalation!$B$41</f>
        <v>-1061.2079999999999</v>
      </c>
      <c r="AQ36" s="8">
        <f>-1000*Escalation!$B$42</f>
        <v>-1061.2079999999999</v>
      </c>
      <c r="AR36" s="8">
        <f>-1000*Escalation!$B$43</f>
        <v>-1061.2079999999999</v>
      </c>
      <c r="AS36" s="8">
        <f>-1000*Escalation!$B$44</f>
        <v>-1061.2079999999999</v>
      </c>
      <c r="AT36" s="8">
        <f>-1000*Escalation!$B$45</f>
        <v>-1061.2079999999999</v>
      </c>
      <c r="AU36" s="8">
        <f>-1000*Escalation!$B$46</f>
        <v>-1061.2079999999999</v>
      </c>
      <c r="AV36" s="8">
        <f>-1000*Escalation!$B$47</f>
        <v>-1061.2079999999999</v>
      </c>
      <c r="AW36" s="8">
        <f>-1000*Escalation!$B$48</f>
        <v>-1061.2079999999999</v>
      </c>
      <c r="AX36" s="8">
        <f>-1000*Escalation!$B$49</f>
        <v>-1061.2079999999999</v>
      </c>
      <c r="AY36" s="8">
        <f>-1000*Escalation!$B$50</f>
        <v>-1082.4321600000001</v>
      </c>
      <c r="AZ36" s="8">
        <f>-1000*Escalation!$B$51</f>
        <v>-1082.4321600000001</v>
      </c>
      <c r="BA36" s="8">
        <f>-1000*Escalation!$B$52</f>
        <v>-1082.4321600000001</v>
      </c>
      <c r="BB36" s="8">
        <f>-1000*Escalation!$B$53</f>
        <v>-1082.4321600000001</v>
      </c>
      <c r="BC36" s="8">
        <f>-1000*Escalation!$B$54</f>
        <v>-1082.4321600000001</v>
      </c>
      <c r="BD36" s="8">
        <f>-1000*Escalation!$B$55</f>
        <v>-1082.4321600000001</v>
      </c>
      <c r="BE36" s="8">
        <f>-1000*Escalation!$B$56</f>
        <v>-1082.4321600000001</v>
      </c>
      <c r="BF36" s="8">
        <f>-1000*Escalation!$B$57</f>
        <v>-1082.4321600000001</v>
      </c>
      <c r="BG36" s="8">
        <f>-1000*Escalation!$B$58</f>
        <v>-1082.4321600000001</v>
      </c>
      <c r="BH36" s="8">
        <f>-1000*Escalation!$B$59</f>
        <v>-1082.4321600000001</v>
      </c>
      <c r="BI36" s="8">
        <f>-1000*Escalation!$B$60</f>
        <v>-1082.4321600000001</v>
      </c>
      <c r="BJ36" s="8">
        <f>-1000*Escalation!$B$61</f>
        <v>-1082.4321600000001</v>
      </c>
      <c r="BK36" s="8">
        <f>-1000*Escalation!$B$62</f>
        <v>-1104.0808032</v>
      </c>
      <c r="BL36" s="8">
        <f>-1000*Escalation!$B$63</f>
        <v>-1104.0808032</v>
      </c>
      <c r="BM36" s="8">
        <f>-1000*Escalation!$B$64</f>
        <v>-1104.0808032</v>
      </c>
      <c r="BN36" s="8">
        <f>-1000*Escalation!$B$65</f>
        <v>-1104.0808032</v>
      </c>
      <c r="BO36" s="8">
        <f>-1000*Escalation!$B$66</f>
        <v>-1104.0808032</v>
      </c>
      <c r="BP36" s="8">
        <f>-1000*Escalation!$B$67</f>
        <v>-1104.0808032</v>
      </c>
      <c r="BQ36" s="8">
        <f>-1000*Escalation!$B$68</f>
        <v>-1104.0808032</v>
      </c>
      <c r="BR36" s="8">
        <f>-1000*Escalation!$B$69</f>
        <v>-1104.0808032</v>
      </c>
      <c r="BS36" s="8">
        <f>-1000*Escalation!$B$70</f>
        <v>-1104.0808032</v>
      </c>
      <c r="BT36" s="8">
        <f>-1000*Escalation!$B$71</f>
        <v>-1104.0808032</v>
      </c>
      <c r="BU36" s="8">
        <f>-1000*Escalation!$B$72</f>
        <v>-1104.0808032</v>
      </c>
      <c r="BV36" s="8">
        <f>-1000*Escalation!$B$73</f>
        <v>-1104.0808032</v>
      </c>
      <c r="BW36" s="8">
        <f>-1000*Escalation!$B$74</f>
        <v>-1126.1624192640002</v>
      </c>
      <c r="BX36" s="8">
        <f>-1000*Escalation!$B$75</f>
        <v>-1126.1624192640002</v>
      </c>
      <c r="BY36" s="8">
        <f>-1000*Escalation!$B$76</f>
        <v>-1126.1624192640002</v>
      </c>
      <c r="BZ36" s="8">
        <f>-1000*Escalation!$B$77</f>
        <v>-1126.1624192640002</v>
      </c>
      <c r="CA36" s="8">
        <f>-1000*Escalation!$B$78</f>
        <v>-1126.1624192640002</v>
      </c>
      <c r="CB36" s="8">
        <f>-1000*Escalation!$B$79</f>
        <v>-1126.1624192640002</v>
      </c>
      <c r="CC36" s="8">
        <f>-1000*Escalation!$B$80</f>
        <v>-1126.1624192640002</v>
      </c>
      <c r="CD36" s="8">
        <f>-1000*Escalation!$B$81</f>
        <v>-1126.1624192640002</v>
      </c>
      <c r="CE36" s="8">
        <f>-1000*Escalation!$B$82</f>
        <v>-1126.1624192640002</v>
      </c>
      <c r="CF36" s="8">
        <f>-1000*Escalation!$B$83</f>
        <v>-1126.1624192640002</v>
      </c>
      <c r="CG36" s="8">
        <f>-1000*Escalation!$B$84</f>
        <v>-1126.1624192640002</v>
      </c>
      <c r="CH36" s="8">
        <f>-1000*Escalation!$B$85</f>
        <v>-1126.1624192640002</v>
      </c>
      <c r="CI36" s="23"/>
    </row>
    <row r="37" spans="1:87" ht="15" customHeight="1" x14ac:dyDescent="0.25">
      <c r="A37" s="7" t="s">
        <v>150</v>
      </c>
      <c r="B37" s="22"/>
      <c r="C37" s="8">
        <f>-166.67*Escalation!$B$2</f>
        <v>-166.67</v>
      </c>
      <c r="D37" s="8">
        <f>-166.67*Escalation!$B$3</f>
        <v>-166.67</v>
      </c>
      <c r="E37" s="8">
        <f>-166.67*Escalation!$B$4</f>
        <v>-166.67</v>
      </c>
      <c r="F37" s="8">
        <f>-166.67*Escalation!$B$5</f>
        <v>-166.67</v>
      </c>
      <c r="G37" s="8">
        <f>-166.67*Escalation!$B$6</f>
        <v>-166.67</v>
      </c>
      <c r="H37" s="8">
        <f>-166.67*Escalation!$B$7</f>
        <v>-166.67</v>
      </c>
      <c r="I37" s="8">
        <f>-166.67*Escalation!$B$8</f>
        <v>-166.67</v>
      </c>
      <c r="J37" s="8">
        <f>-166.67*Escalation!$B$9</f>
        <v>-166.67</v>
      </c>
      <c r="K37" s="8">
        <f>-166.67*Escalation!$B$10</f>
        <v>-166.67</v>
      </c>
      <c r="L37" s="8">
        <f>-166.67*Escalation!$B$11</f>
        <v>-166.67</v>
      </c>
      <c r="M37" s="8">
        <f>-166.67*Escalation!$B$12</f>
        <v>-166.67</v>
      </c>
      <c r="N37" s="8">
        <f>-166.67*Escalation!$B$13</f>
        <v>-166.67</v>
      </c>
      <c r="O37" s="8">
        <f>-166.67*Escalation!$B$14</f>
        <v>-170.0034</v>
      </c>
      <c r="P37" s="8">
        <f>-166.67*Escalation!$B$15</f>
        <v>-170.0034</v>
      </c>
      <c r="Q37" s="8">
        <f>-166.67*Escalation!$B$16</f>
        <v>-170.0034</v>
      </c>
      <c r="R37" s="8">
        <f>-166.67*Escalation!$B$17</f>
        <v>-170.0034</v>
      </c>
      <c r="S37" s="8">
        <f>-166.67*Escalation!$B$18</f>
        <v>-170.0034</v>
      </c>
      <c r="T37" s="8">
        <f>-166.67*Escalation!$B$19</f>
        <v>-170.0034</v>
      </c>
      <c r="U37" s="8">
        <f>-166.67*Escalation!$B$20</f>
        <v>-170.0034</v>
      </c>
      <c r="V37" s="8">
        <f>-166.67*Escalation!$B$21</f>
        <v>-170.0034</v>
      </c>
      <c r="W37" s="8">
        <f>-166.67*Escalation!$B$22</f>
        <v>-170.0034</v>
      </c>
      <c r="X37" s="8">
        <f>-166.67*Escalation!$B$23</f>
        <v>-170.0034</v>
      </c>
      <c r="Y37" s="8">
        <f>-166.67*Escalation!$B$24</f>
        <v>-170.0034</v>
      </c>
      <c r="Z37" s="8">
        <f>-166.67*Escalation!$B$25</f>
        <v>-170.0034</v>
      </c>
      <c r="AA37" s="8">
        <f>-166.67*Escalation!$B$26</f>
        <v>-173.40346799999998</v>
      </c>
      <c r="AB37" s="8">
        <f>-166.67*Escalation!$B$27</f>
        <v>-173.40346799999998</v>
      </c>
      <c r="AC37" s="8">
        <f>-166.67*Escalation!$B$28</f>
        <v>-173.40346799999998</v>
      </c>
      <c r="AD37" s="8">
        <f>-166.67*Escalation!$B$29</f>
        <v>-173.40346799999998</v>
      </c>
      <c r="AE37" s="8">
        <f>-166.67*Escalation!$B$30</f>
        <v>-173.40346799999998</v>
      </c>
      <c r="AF37" s="8">
        <f>-166.67*Escalation!$B$31</f>
        <v>-173.40346799999998</v>
      </c>
      <c r="AG37" s="8">
        <f>-166.67*Escalation!$B$32</f>
        <v>-173.40346799999998</v>
      </c>
      <c r="AH37" s="8">
        <f>-166.67*Escalation!$B$33</f>
        <v>-173.40346799999998</v>
      </c>
      <c r="AI37" s="8">
        <f>-166.67*Escalation!$B$34</f>
        <v>-173.40346799999998</v>
      </c>
      <c r="AJ37" s="8">
        <f>-166.67*Escalation!$B$35</f>
        <v>-173.40346799999998</v>
      </c>
      <c r="AK37" s="8">
        <f>-166.67*Escalation!$B$36</f>
        <v>-173.40346799999998</v>
      </c>
      <c r="AL37" s="8">
        <f>-166.67*Escalation!$B$37</f>
        <v>-173.40346799999998</v>
      </c>
      <c r="AM37" s="8">
        <f>-166.67*Escalation!$B$38</f>
        <v>-176.87153735999996</v>
      </c>
      <c r="AN37" s="8">
        <f>-166.67*Escalation!$B$39</f>
        <v>-176.87153735999996</v>
      </c>
      <c r="AO37" s="8">
        <f>-166.67*Escalation!$B$40</f>
        <v>-176.87153735999996</v>
      </c>
      <c r="AP37" s="8">
        <f>-166.67*Escalation!$B$41</f>
        <v>-176.87153735999996</v>
      </c>
      <c r="AQ37" s="8">
        <f>-166.67*Escalation!$B$42</f>
        <v>-176.87153735999996</v>
      </c>
      <c r="AR37" s="8">
        <f>-166.67*Escalation!$B$43</f>
        <v>-176.87153735999996</v>
      </c>
      <c r="AS37" s="8">
        <f>-166.67*Escalation!$B$44</f>
        <v>-176.87153735999996</v>
      </c>
      <c r="AT37" s="8">
        <f>-166.67*Escalation!$B$45</f>
        <v>-176.87153735999996</v>
      </c>
      <c r="AU37" s="8">
        <f>-166.67*Escalation!$B$46</f>
        <v>-176.87153735999996</v>
      </c>
      <c r="AV37" s="8">
        <f>-166.67*Escalation!$B$47</f>
        <v>-176.87153735999996</v>
      </c>
      <c r="AW37" s="8">
        <f>-166.67*Escalation!$B$48</f>
        <v>-176.87153735999996</v>
      </c>
      <c r="AX37" s="8">
        <f>-166.67*Escalation!$B$49</f>
        <v>-176.87153735999996</v>
      </c>
      <c r="AY37" s="8">
        <f>-166.67*Escalation!$B$50</f>
        <v>-180.4089681072</v>
      </c>
      <c r="AZ37" s="8">
        <f>-166.67*Escalation!$B$51</f>
        <v>-180.4089681072</v>
      </c>
      <c r="BA37" s="8">
        <f>-166.67*Escalation!$B$52</f>
        <v>-180.4089681072</v>
      </c>
      <c r="BB37" s="8">
        <f>-166.67*Escalation!$B$53</f>
        <v>-180.4089681072</v>
      </c>
      <c r="BC37" s="8">
        <f>-166.67*Escalation!$B$54</f>
        <v>-180.4089681072</v>
      </c>
      <c r="BD37" s="8">
        <f>-166.67*Escalation!$B$55</f>
        <v>-180.4089681072</v>
      </c>
      <c r="BE37" s="8">
        <f>-166.67*Escalation!$B$56</f>
        <v>-180.4089681072</v>
      </c>
      <c r="BF37" s="8">
        <f>-166.67*Escalation!$B$57</f>
        <v>-180.4089681072</v>
      </c>
      <c r="BG37" s="8">
        <f>-166.67*Escalation!$B$58</f>
        <v>-180.4089681072</v>
      </c>
      <c r="BH37" s="8">
        <f>-166.67*Escalation!$B$59</f>
        <v>-180.4089681072</v>
      </c>
      <c r="BI37" s="8">
        <f>-166.67*Escalation!$B$60</f>
        <v>-180.4089681072</v>
      </c>
      <c r="BJ37" s="8">
        <f>-166.67*Escalation!$B$61</f>
        <v>-180.4089681072</v>
      </c>
      <c r="BK37" s="8">
        <f>-166.67*Escalation!$B$62</f>
        <v>-184.017147469344</v>
      </c>
      <c r="BL37" s="8">
        <f>-166.67*Escalation!$B$63</f>
        <v>-184.017147469344</v>
      </c>
      <c r="BM37" s="8">
        <f>-166.67*Escalation!$B$64</f>
        <v>-184.017147469344</v>
      </c>
      <c r="BN37" s="8">
        <f>-166.67*Escalation!$B$65</f>
        <v>-184.017147469344</v>
      </c>
      <c r="BO37" s="8">
        <f>-166.67*Escalation!$B$66</f>
        <v>-184.017147469344</v>
      </c>
      <c r="BP37" s="8">
        <f>-166.67*Escalation!$B$67</f>
        <v>-184.017147469344</v>
      </c>
      <c r="BQ37" s="8">
        <f>-166.67*Escalation!$B$68</f>
        <v>-184.017147469344</v>
      </c>
      <c r="BR37" s="8">
        <f>-166.67*Escalation!$B$69</f>
        <v>-184.017147469344</v>
      </c>
      <c r="BS37" s="8">
        <f>-166.67*Escalation!$B$70</f>
        <v>-184.017147469344</v>
      </c>
      <c r="BT37" s="8">
        <f>-166.67*Escalation!$B$71</f>
        <v>-184.017147469344</v>
      </c>
      <c r="BU37" s="8">
        <f>-166.67*Escalation!$B$72</f>
        <v>-184.017147469344</v>
      </c>
      <c r="BV37" s="8">
        <f>-166.67*Escalation!$B$73</f>
        <v>-184.017147469344</v>
      </c>
      <c r="BW37" s="8">
        <f>-166.67*Escalation!$B$74</f>
        <v>-187.69749041873087</v>
      </c>
      <c r="BX37" s="8">
        <f>-166.67*Escalation!$B$75</f>
        <v>-187.69749041873087</v>
      </c>
      <c r="BY37" s="8">
        <f>-166.67*Escalation!$B$76</f>
        <v>-187.69749041873087</v>
      </c>
      <c r="BZ37" s="8">
        <f>-166.67*Escalation!$B$77</f>
        <v>-187.69749041873087</v>
      </c>
      <c r="CA37" s="8">
        <f>-166.67*Escalation!$B$78</f>
        <v>-187.69749041873087</v>
      </c>
      <c r="CB37" s="8">
        <f>-166.67*Escalation!$B$79</f>
        <v>-187.69749041873087</v>
      </c>
      <c r="CC37" s="8">
        <f>-166.67*Escalation!$B$80</f>
        <v>-187.69749041873087</v>
      </c>
      <c r="CD37" s="8">
        <f>-166.67*Escalation!$B$81</f>
        <v>-187.69749041873087</v>
      </c>
      <c r="CE37" s="8">
        <f>-166.67*Escalation!$B$82</f>
        <v>-187.69749041873087</v>
      </c>
      <c r="CF37" s="8">
        <f>-166.67*Escalation!$B$83</f>
        <v>-187.69749041873087</v>
      </c>
      <c r="CG37" s="8">
        <f>-166.67*Escalation!$B$84</f>
        <v>-187.69749041873087</v>
      </c>
      <c r="CH37" s="8">
        <f>-166.67*Escalation!$B$85</f>
        <v>-187.69749041873087</v>
      </c>
      <c r="CI37" s="23"/>
    </row>
    <row r="38" spans="1:87" ht="15" customHeight="1" x14ac:dyDescent="0.25">
      <c r="A38" s="7" t="s">
        <v>151</v>
      </c>
      <c r="B38" s="22"/>
      <c r="C38" s="8">
        <f>-4166.67*Escalation!$B$2</f>
        <v>-4166.67</v>
      </c>
      <c r="D38" s="8">
        <f>-4166.67*Escalation!$B$3</f>
        <v>-4166.67</v>
      </c>
      <c r="E38" s="8">
        <f>-4166.67*Escalation!$B$4</f>
        <v>-4166.67</v>
      </c>
      <c r="F38" s="8">
        <f>-4166.67*Escalation!$B$5</f>
        <v>-4166.67</v>
      </c>
      <c r="G38" s="8">
        <f>-4166.67*Escalation!$B$6</f>
        <v>-4166.67</v>
      </c>
      <c r="H38" s="8">
        <f>-4166.67*Escalation!$B$7</f>
        <v>-4166.67</v>
      </c>
      <c r="I38" s="8">
        <f>-4166.67*Escalation!$B$8</f>
        <v>-4166.67</v>
      </c>
      <c r="J38" s="8">
        <f>-4166.67*Escalation!$B$9</f>
        <v>-4166.67</v>
      </c>
      <c r="K38" s="8">
        <f>-4166.67*Escalation!$B$10</f>
        <v>-4166.67</v>
      </c>
      <c r="L38" s="8">
        <f>-4166.67*Escalation!$B$11</f>
        <v>-4166.67</v>
      </c>
      <c r="M38" s="8">
        <f>-4166.67*Escalation!$B$12</f>
        <v>-4166.67</v>
      </c>
      <c r="N38" s="8">
        <f>-4166.67*Escalation!$B$13</f>
        <v>-4166.67</v>
      </c>
      <c r="O38" s="8">
        <f>-4166.67*Escalation!$B$14</f>
        <v>-4250.0034000000005</v>
      </c>
      <c r="P38" s="8">
        <f>-4166.67*Escalation!$B$15</f>
        <v>-4250.0034000000005</v>
      </c>
      <c r="Q38" s="8">
        <f>-4166.67*Escalation!$B$16</f>
        <v>-4250.0034000000005</v>
      </c>
      <c r="R38" s="8">
        <f>-4166.67*Escalation!$B$17</f>
        <v>-4250.0034000000005</v>
      </c>
      <c r="S38" s="8">
        <f>-4166.67*Escalation!$B$18</f>
        <v>-4250.0034000000005</v>
      </c>
      <c r="T38" s="8">
        <f>-4166.67*Escalation!$B$19</f>
        <v>-4250.0034000000005</v>
      </c>
      <c r="U38" s="8">
        <f>-4166.67*Escalation!$B$20</f>
        <v>-4250.0034000000005</v>
      </c>
      <c r="V38" s="8">
        <f>-4166.67*Escalation!$B$21</f>
        <v>-4250.0034000000005</v>
      </c>
      <c r="W38" s="8">
        <f>-4166.67*Escalation!$B$22</f>
        <v>-4250.0034000000005</v>
      </c>
      <c r="X38" s="8">
        <f>-4166.67*Escalation!$B$23</f>
        <v>-4250.0034000000005</v>
      </c>
      <c r="Y38" s="8">
        <f>-4166.67*Escalation!$B$24</f>
        <v>-4250.0034000000005</v>
      </c>
      <c r="Z38" s="8">
        <f>-4166.67*Escalation!$B$25</f>
        <v>-4250.0034000000005</v>
      </c>
      <c r="AA38" s="8">
        <f>-4166.67*Escalation!$B$26</f>
        <v>-4335.0034679999999</v>
      </c>
      <c r="AB38" s="8">
        <f>-4166.67*Escalation!$B$27</f>
        <v>-4335.0034679999999</v>
      </c>
      <c r="AC38" s="8">
        <f>-4166.67*Escalation!$B$28</f>
        <v>-4335.0034679999999</v>
      </c>
      <c r="AD38" s="8">
        <f>-4166.67*Escalation!$B$29</f>
        <v>-4335.0034679999999</v>
      </c>
      <c r="AE38" s="8">
        <f>-4166.67*Escalation!$B$30</f>
        <v>-4335.0034679999999</v>
      </c>
      <c r="AF38" s="8">
        <f>-4166.67*Escalation!$B$31</f>
        <v>-4335.0034679999999</v>
      </c>
      <c r="AG38" s="8">
        <f>-4166.67*Escalation!$B$32</f>
        <v>-4335.0034679999999</v>
      </c>
      <c r="AH38" s="8">
        <f>-4166.67*Escalation!$B$33</f>
        <v>-4335.0034679999999</v>
      </c>
      <c r="AI38" s="8">
        <f>-4166.67*Escalation!$B$34</f>
        <v>-4335.0034679999999</v>
      </c>
      <c r="AJ38" s="8">
        <f>-4166.67*Escalation!$B$35</f>
        <v>-4335.0034679999999</v>
      </c>
      <c r="AK38" s="8">
        <f>-4166.67*Escalation!$B$36</f>
        <v>-4335.0034679999999</v>
      </c>
      <c r="AL38" s="8">
        <f>-4166.67*Escalation!$B$37</f>
        <v>-4335.0034679999999</v>
      </c>
      <c r="AM38" s="8">
        <f>-4166.67*Escalation!$B$38</f>
        <v>-4421.7035373600002</v>
      </c>
      <c r="AN38" s="8">
        <f>-4166.67*Escalation!$B$39</f>
        <v>-4421.7035373600002</v>
      </c>
      <c r="AO38" s="8">
        <f>-4166.67*Escalation!$B$40</f>
        <v>-4421.7035373600002</v>
      </c>
      <c r="AP38" s="8">
        <f>-4166.67*Escalation!$B$41</f>
        <v>-4421.7035373600002</v>
      </c>
      <c r="AQ38" s="8">
        <f>-4166.67*Escalation!$B$42</f>
        <v>-4421.7035373600002</v>
      </c>
      <c r="AR38" s="8">
        <f>-4166.67*Escalation!$B$43</f>
        <v>-4421.7035373600002</v>
      </c>
      <c r="AS38" s="8">
        <f>-4166.67*Escalation!$B$44</f>
        <v>-4421.7035373600002</v>
      </c>
      <c r="AT38" s="8">
        <f>-4166.67*Escalation!$B$45</f>
        <v>-4421.7035373600002</v>
      </c>
      <c r="AU38" s="8">
        <f>-4166.67*Escalation!$B$46</f>
        <v>-4421.7035373600002</v>
      </c>
      <c r="AV38" s="8">
        <f>-4166.67*Escalation!$B$47</f>
        <v>-4421.7035373600002</v>
      </c>
      <c r="AW38" s="8">
        <f>-4166.67*Escalation!$B$48</f>
        <v>-4421.7035373600002</v>
      </c>
      <c r="AX38" s="8">
        <f>-4166.67*Escalation!$B$49</f>
        <v>-4421.7035373600002</v>
      </c>
      <c r="AY38" s="8">
        <f>-4166.67*Escalation!$B$50</f>
        <v>-4510.1376081072003</v>
      </c>
      <c r="AZ38" s="8">
        <f>-4166.67*Escalation!$B$51</f>
        <v>-4510.1376081072003</v>
      </c>
      <c r="BA38" s="8">
        <f>-4166.67*Escalation!$B$52</f>
        <v>-4510.1376081072003</v>
      </c>
      <c r="BB38" s="8">
        <f>-4166.67*Escalation!$B$53</f>
        <v>-4510.1376081072003</v>
      </c>
      <c r="BC38" s="8">
        <f>-4166.67*Escalation!$B$54</f>
        <v>-4510.1376081072003</v>
      </c>
      <c r="BD38" s="8">
        <f>-4166.67*Escalation!$B$55</f>
        <v>-4510.1376081072003</v>
      </c>
      <c r="BE38" s="8">
        <f>-4166.67*Escalation!$B$56</f>
        <v>-4510.1376081072003</v>
      </c>
      <c r="BF38" s="8">
        <f>-4166.67*Escalation!$B$57</f>
        <v>-4510.1376081072003</v>
      </c>
      <c r="BG38" s="8">
        <f>-4166.67*Escalation!$B$58</f>
        <v>-4510.1376081072003</v>
      </c>
      <c r="BH38" s="8">
        <f>-4166.67*Escalation!$B$59</f>
        <v>-4510.1376081072003</v>
      </c>
      <c r="BI38" s="8">
        <f>-4166.67*Escalation!$B$60</f>
        <v>-4510.1376081072003</v>
      </c>
      <c r="BJ38" s="8">
        <f>-4166.67*Escalation!$B$61</f>
        <v>-4510.1376081072003</v>
      </c>
      <c r="BK38" s="8">
        <f>-4166.67*Escalation!$B$62</f>
        <v>-4600.3403602693443</v>
      </c>
      <c r="BL38" s="8">
        <f>-4166.67*Escalation!$B$63</f>
        <v>-4600.3403602693443</v>
      </c>
      <c r="BM38" s="8">
        <f>-4166.67*Escalation!$B$64</f>
        <v>-4600.3403602693443</v>
      </c>
      <c r="BN38" s="8">
        <f>-4166.67*Escalation!$B$65</f>
        <v>-4600.3403602693443</v>
      </c>
      <c r="BO38" s="8">
        <f>-4166.67*Escalation!$B$66</f>
        <v>-4600.3403602693443</v>
      </c>
      <c r="BP38" s="8">
        <f>-4166.67*Escalation!$B$67</f>
        <v>-4600.3403602693443</v>
      </c>
      <c r="BQ38" s="8">
        <f>-4166.67*Escalation!$B$68</f>
        <v>-4600.3403602693443</v>
      </c>
      <c r="BR38" s="8">
        <f>-4166.67*Escalation!$B$69</f>
        <v>-4600.3403602693443</v>
      </c>
      <c r="BS38" s="8">
        <f>-4166.67*Escalation!$B$70</f>
        <v>-4600.3403602693443</v>
      </c>
      <c r="BT38" s="8">
        <f>-4166.67*Escalation!$B$71</f>
        <v>-4600.3403602693443</v>
      </c>
      <c r="BU38" s="8">
        <f>-4166.67*Escalation!$B$72</f>
        <v>-4600.3403602693443</v>
      </c>
      <c r="BV38" s="8">
        <f>-4166.67*Escalation!$B$73</f>
        <v>-4600.3403602693443</v>
      </c>
      <c r="BW38" s="8">
        <f>-4166.67*Escalation!$B$74</f>
        <v>-4692.3471674747316</v>
      </c>
      <c r="BX38" s="8">
        <f>-4166.67*Escalation!$B$75</f>
        <v>-4692.3471674747316</v>
      </c>
      <c r="BY38" s="8">
        <f>-4166.67*Escalation!$B$76</f>
        <v>-4692.3471674747316</v>
      </c>
      <c r="BZ38" s="8">
        <f>-4166.67*Escalation!$B$77</f>
        <v>-4692.3471674747316</v>
      </c>
      <c r="CA38" s="8">
        <f>-4166.67*Escalation!$B$78</f>
        <v>-4692.3471674747316</v>
      </c>
      <c r="CB38" s="8">
        <f>-4166.67*Escalation!$B$79</f>
        <v>-4692.3471674747316</v>
      </c>
      <c r="CC38" s="8">
        <f>-4166.67*Escalation!$B$80</f>
        <v>-4692.3471674747316</v>
      </c>
      <c r="CD38" s="8">
        <f>-4166.67*Escalation!$B$81</f>
        <v>-4692.3471674747316</v>
      </c>
      <c r="CE38" s="8">
        <f>-4166.67*Escalation!$B$82</f>
        <v>-4692.3471674747316</v>
      </c>
      <c r="CF38" s="8">
        <f>-4166.67*Escalation!$B$83</f>
        <v>-4692.3471674747316</v>
      </c>
      <c r="CG38" s="8">
        <f>-4166.67*Escalation!$B$84</f>
        <v>-4692.3471674747316</v>
      </c>
      <c r="CH38" s="8">
        <f>-4166.67*Escalation!$B$85</f>
        <v>-4692.3471674747316</v>
      </c>
      <c r="CI38" s="23"/>
    </row>
    <row r="39" spans="1:87" ht="15" customHeight="1" x14ac:dyDescent="0.25">
      <c r="A39" s="9" t="s">
        <v>86</v>
      </c>
      <c r="B39" s="28"/>
      <c r="C39" s="10">
        <f t="shared" ref="C39:AH39" si="3">C15+C16+C17+C18+C19+C20+C21+C22+C23+SUM(C24:C38)</f>
        <v>-321206.61499999999</v>
      </c>
      <c r="D39" s="10">
        <f t="shared" si="3"/>
        <v>-363437.86499999993</v>
      </c>
      <c r="E39" s="10">
        <f t="shared" si="3"/>
        <v>-398387.86499999993</v>
      </c>
      <c r="F39" s="10">
        <f t="shared" si="3"/>
        <v>-716354.38020000013</v>
      </c>
      <c r="G39" s="10">
        <f t="shared" si="3"/>
        <v>-398387.86499999993</v>
      </c>
      <c r="H39" s="10">
        <f t="shared" si="3"/>
        <v>-398387.86499999993</v>
      </c>
      <c r="I39" s="10">
        <f t="shared" si="3"/>
        <v>-616470.71200000017</v>
      </c>
      <c r="J39" s="10">
        <f t="shared" si="3"/>
        <v>-555737.06199999992</v>
      </c>
      <c r="K39" s="10">
        <f t="shared" si="3"/>
        <v>-398387.86499999993</v>
      </c>
      <c r="L39" s="10">
        <f t="shared" si="3"/>
        <v>-398387.86499999993</v>
      </c>
      <c r="M39" s="10">
        <f t="shared" si="3"/>
        <v>-398387.86499999993</v>
      </c>
      <c r="N39" s="10">
        <f t="shared" si="3"/>
        <v>-398387.86499999993</v>
      </c>
      <c r="O39" s="10">
        <f t="shared" si="3"/>
        <v>-1870207.557</v>
      </c>
      <c r="P39" s="10">
        <f t="shared" si="3"/>
        <v>-399037.53199999995</v>
      </c>
      <c r="Q39" s="10">
        <f t="shared" si="3"/>
        <v>-399037.53199999995</v>
      </c>
      <c r="R39" s="10">
        <f t="shared" si="3"/>
        <v>-399037.53199999995</v>
      </c>
      <c r="S39" s="10">
        <f t="shared" si="3"/>
        <v>-399037.53199999995</v>
      </c>
      <c r="T39" s="10">
        <f t="shared" si="3"/>
        <v>-399037.53199999995</v>
      </c>
      <c r="U39" s="10">
        <f t="shared" si="3"/>
        <v>-399037.53199999995</v>
      </c>
      <c r="V39" s="10">
        <f t="shared" si="3"/>
        <v>-399037.53199999995</v>
      </c>
      <c r="W39" s="10">
        <f t="shared" si="3"/>
        <v>-399037.53199999995</v>
      </c>
      <c r="X39" s="10">
        <f t="shared" si="3"/>
        <v>-399037.53199999995</v>
      </c>
      <c r="Y39" s="10">
        <f t="shared" si="3"/>
        <v>-399037.53199999995</v>
      </c>
      <c r="Z39" s="10">
        <f t="shared" si="3"/>
        <v>-399037.53199999995</v>
      </c>
      <c r="AA39" s="10">
        <f t="shared" si="3"/>
        <v>-399700.19233999995</v>
      </c>
      <c r="AB39" s="10">
        <f t="shared" si="3"/>
        <v>-399700.19233999995</v>
      </c>
      <c r="AC39" s="10">
        <f t="shared" si="3"/>
        <v>-1743725.7323399999</v>
      </c>
      <c r="AD39" s="10">
        <f t="shared" si="3"/>
        <v>-399700.19233999995</v>
      </c>
      <c r="AE39" s="10">
        <f t="shared" si="3"/>
        <v>-399700.19233999995</v>
      </c>
      <c r="AF39" s="10">
        <f t="shared" si="3"/>
        <v>-399700.19233999995</v>
      </c>
      <c r="AG39" s="10">
        <f t="shared" si="3"/>
        <v>-399700.19233999995</v>
      </c>
      <c r="AH39" s="10">
        <f t="shared" si="3"/>
        <v>-399700.19233999995</v>
      </c>
      <c r="AI39" s="10">
        <f t="shared" ref="AI39:BN39" si="4">AI15+AI16+AI17+AI18+AI19+AI20+AI21+AI22+AI23+SUM(AI24:AI38)</f>
        <v>-399700.19233999995</v>
      </c>
      <c r="AJ39" s="10">
        <f t="shared" si="4"/>
        <v>-399700.19233999995</v>
      </c>
      <c r="AK39" s="10">
        <f t="shared" si="4"/>
        <v>-399700.19233999995</v>
      </c>
      <c r="AL39" s="10">
        <f t="shared" si="4"/>
        <v>-399700.19233999995</v>
      </c>
      <c r="AM39" s="10">
        <f t="shared" si="4"/>
        <v>-400376.10588679998</v>
      </c>
      <c r="AN39" s="10">
        <f t="shared" si="4"/>
        <v>-400376.10588679998</v>
      </c>
      <c r="AO39" s="10">
        <f t="shared" si="4"/>
        <v>-400376.10588679998</v>
      </c>
      <c r="AP39" s="10">
        <f t="shared" si="4"/>
        <v>-400376.10588679998</v>
      </c>
      <c r="AQ39" s="10">
        <f t="shared" si="4"/>
        <v>-400376.10588679998</v>
      </c>
      <c r="AR39" s="10">
        <f t="shared" si="4"/>
        <v>-400376.10588679998</v>
      </c>
      <c r="AS39" s="10">
        <f t="shared" si="4"/>
        <v>-400376.10588679998</v>
      </c>
      <c r="AT39" s="10">
        <f t="shared" si="4"/>
        <v>-400376.10588679998</v>
      </c>
      <c r="AU39" s="10">
        <f t="shared" si="4"/>
        <v>-400376.10588679998</v>
      </c>
      <c r="AV39" s="10">
        <f t="shared" si="4"/>
        <v>-400376.10588679998</v>
      </c>
      <c r="AW39" s="10">
        <f t="shared" si="4"/>
        <v>-400376.10588679998</v>
      </c>
      <c r="AX39" s="10">
        <f t="shared" si="4"/>
        <v>-400376.10588679998</v>
      </c>
      <c r="AY39" s="10">
        <f t="shared" si="4"/>
        <v>-401065.53770453599</v>
      </c>
      <c r="AZ39" s="10">
        <f t="shared" si="4"/>
        <v>-401065.53770453599</v>
      </c>
      <c r="BA39" s="10">
        <f t="shared" si="4"/>
        <v>-401065.53770453599</v>
      </c>
      <c r="BB39" s="10">
        <f t="shared" si="4"/>
        <v>-401065.53770453599</v>
      </c>
      <c r="BC39" s="10">
        <f t="shared" si="4"/>
        <v>-401065.53770453599</v>
      </c>
      <c r="BD39" s="10">
        <f t="shared" si="4"/>
        <v>-401065.53770453599</v>
      </c>
      <c r="BE39" s="10">
        <f t="shared" si="4"/>
        <v>-401065.53770453599</v>
      </c>
      <c r="BF39" s="10">
        <f t="shared" si="4"/>
        <v>-401065.53770453599</v>
      </c>
      <c r="BG39" s="10">
        <f t="shared" si="4"/>
        <v>-401065.53770453599</v>
      </c>
      <c r="BH39" s="10">
        <f t="shared" si="4"/>
        <v>-401065.53770453599</v>
      </c>
      <c r="BI39" s="10">
        <f t="shared" si="4"/>
        <v>-401065.53770453599</v>
      </c>
      <c r="BJ39" s="10">
        <f t="shared" si="4"/>
        <v>-401065.53770453599</v>
      </c>
      <c r="BK39" s="10">
        <f t="shared" si="4"/>
        <v>-401768.75815862673</v>
      </c>
      <c r="BL39" s="10">
        <f t="shared" si="4"/>
        <v>-401768.75815862673</v>
      </c>
      <c r="BM39" s="10">
        <f t="shared" si="4"/>
        <v>-401768.75815862673</v>
      </c>
      <c r="BN39" s="10">
        <f t="shared" si="4"/>
        <v>-401768.75815862673</v>
      </c>
      <c r="BO39" s="10">
        <f t="shared" ref="BO39:CT39" si="5">BO15+BO16+BO17+BO18+BO19+BO20+BO21+BO22+BO23+SUM(BO24:BO38)</f>
        <v>-401768.75815862673</v>
      </c>
      <c r="BP39" s="10">
        <f t="shared" si="5"/>
        <v>-401768.75815862673</v>
      </c>
      <c r="BQ39" s="10">
        <f t="shared" si="5"/>
        <v>-401768.75815862673</v>
      </c>
      <c r="BR39" s="10">
        <f t="shared" si="5"/>
        <v>-401768.75815862673</v>
      </c>
      <c r="BS39" s="10">
        <f t="shared" si="5"/>
        <v>-401768.75815862673</v>
      </c>
      <c r="BT39" s="10">
        <f t="shared" si="5"/>
        <v>-401768.75815862673</v>
      </c>
      <c r="BU39" s="10">
        <f t="shared" si="5"/>
        <v>-401768.75815862673</v>
      </c>
      <c r="BV39" s="10">
        <f t="shared" si="5"/>
        <v>-401768.75815862673</v>
      </c>
      <c r="BW39" s="10">
        <f t="shared" si="5"/>
        <v>-402486.04302179924</v>
      </c>
      <c r="BX39" s="10">
        <f t="shared" si="5"/>
        <v>-402486.04302179924</v>
      </c>
      <c r="BY39" s="10">
        <f t="shared" si="5"/>
        <v>-402486.04302179924</v>
      </c>
      <c r="BZ39" s="10">
        <f t="shared" si="5"/>
        <v>-402486.04302179924</v>
      </c>
      <c r="CA39" s="10">
        <f t="shared" si="5"/>
        <v>-402486.04302179924</v>
      </c>
      <c r="CB39" s="10">
        <f t="shared" si="5"/>
        <v>-402486.04302179924</v>
      </c>
      <c r="CC39" s="10">
        <f t="shared" si="5"/>
        <v>-402486.04302179924</v>
      </c>
      <c r="CD39" s="10">
        <f t="shared" si="5"/>
        <v>-402486.04302179924</v>
      </c>
      <c r="CE39" s="10">
        <f t="shared" si="5"/>
        <v>-402486.04302179924</v>
      </c>
      <c r="CF39" s="10">
        <f t="shared" si="5"/>
        <v>-402486.04302179924</v>
      </c>
      <c r="CG39" s="10">
        <f t="shared" si="5"/>
        <v>-402486.04302179924</v>
      </c>
      <c r="CH39" s="10">
        <f t="shared" si="5"/>
        <v>-402486.04302179924</v>
      </c>
      <c r="CI39" s="23"/>
    </row>
    <row r="40" spans="1:87" ht="15" customHeight="1" x14ac:dyDescent="0.25">
      <c r="A40" s="22"/>
      <c r="B40" s="22"/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2"/>
      <c r="AS40" s="22"/>
      <c r="AT40" s="22"/>
      <c r="AU40" s="22"/>
      <c r="AV40" s="22"/>
      <c r="AW40" s="22"/>
      <c r="AX40" s="22"/>
      <c r="AY40" s="22"/>
      <c r="AZ40" s="22"/>
      <c r="BA40" s="22"/>
      <c r="BB40" s="22"/>
      <c r="BC40" s="22"/>
      <c r="BD40" s="22"/>
      <c r="BE40" s="22"/>
      <c r="BF40" s="22"/>
      <c r="BG40" s="22"/>
      <c r="BH40" s="22"/>
      <c r="BI40" s="22"/>
      <c r="BJ40" s="22"/>
      <c r="BK40" s="22"/>
      <c r="BL40" s="22"/>
      <c r="BM40" s="22"/>
      <c r="BN40" s="22"/>
      <c r="BO40" s="22"/>
      <c r="BP40" s="22"/>
      <c r="BQ40" s="22"/>
      <c r="BR40" s="22"/>
      <c r="BS40" s="22"/>
      <c r="BT40" s="22"/>
      <c r="BU40" s="22"/>
      <c r="BV40" s="22"/>
      <c r="BW40" s="22"/>
      <c r="BX40" s="22"/>
      <c r="BY40" s="22"/>
      <c r="BZ40" s="22"/>
      <c r="CA40" s="22"/>
      <c r="CB40" s="22"/>
      <c r="CC40" s="22"/>
      <c r="CD40" s="22"/>
      <c r="CE40" s="22"/>
      <c r="CF40" s="22"/>
      <c r="CG40" s="22"/>
      <c r="CH40" s="22"/>
      <c r="CI40" s="23"/>
    </row>
    <row r="41" spans="1:87" ht="15" customHeight="1" x14ac:dyDescent="0.25">
      <c r="A41" s="13" t="s">
        <v>87</v>
      </c>
      <c r="B41" s="29"/>
      <c r="C41" s="14">
        <f t="shared" ref="C41:AH41" si="6">C12+C39</f>
        <v>97393.108849917888</v>
      </c>
      <c r="D41" s="14">
        <f t="shared" si="6"/>
        <v>64089.361274119176</v>
      </c>
      <c r="E41" s="14">
        <f t="shared" si="6"/>
        <v>35442.305012481462</v>
      </c>
      <c r="F41" s="14">
        <f t="shared" si="6"/>
        <v>494303.87483696348</v>
      </c>
      <c r="G41" s="14">
        <f t="shared" si="6"/>
        <v>175122.89614662452</v>
      </c>
      <c r="H41" s="14">
        <f t="shared" si="6"/>
        <v>179409.00291584927</v>
      </c>
      <c r="I41" s="14">
        <f t="shared" si="6"/>
        <v>509777.73628677416</v>
      </c>
      <c r="J41" s="14">
        <f t="shared" si="6"/>
        <v>561088.65413471451</v>
      </c>
      <c r="K41" s="14">
        <f t="shared" si="6"/>
        <v>328374.99543040124</v>
      </c>
      <c r="L41" s="14">
        <f t="shared" si="6"/>
        <v>337049.28512346692</v>
      </c>
      <c r="M41" s="14">
        <f t="shared" si="6"/>
        <v>343109.69651734101</v>
      </c>
      <c r="N41" s="14">
        <f t="shared" si="6"/>
        <v>346420.70050294109</v>
      </c>
      <c r="O41" s="14">
        <f t="shared" si="6"/>
        <v>-319197.16981457383</v>
      </c>
      <c r="P41" s="14">
        <f t="shared" si="6"/>
        <v>475347.70751928788</v>
      </c>
      <c r="Q41" s="14">
        <f t="shared" si="6"/>
        <v>624572.3286531039</v>
      </c>
      <c r="R41" s="14">
        <f t="shared" si="6"/>
        <v>435305.48548249545</v>
      </c>
      <c r="S41" s="14">
        <f t="shared" si="6"/>
        <v>247844.39430444833</v>
      </c>
      <c r="T41" s="14">
        <f t="shared" si="6"/>
        <v>247806.71443598805</v>
      </c>
      <c r="U41" s="14">
        <f t="shared" si="6"/>
        <v>264385.07583743281</v>
      </c>
      <c r="V41" s="14">
        <f t="shared" si="6"/>
        <v>219065.62431027059</v>
      </c>
      <c r="W41" s="14">
        <f t="shared" si="6"/>
        <v>208043.04886320065</v>
      </c>
      <c r="X41" s="14">
        <f t="shared" si="6"/>
        <v>194302.71598612767</v>
      </c>
      <c r="Y41" s="14">
        <f t="shared" si="6"/>
        <v>178637.95798768365</v>
      </c>
      <c r="Z41" s="14">
        <f t="shared" si="6"/>
        <v>161823.84404444828</v>
      </c>
      <c r="AA41" s="14">
        <f t="shared" si="6"/>
        <v>221297.71793095884</v>
      </c>
      <c r="AB41" s="14">
        <f t="shared" si="6"/>
        <v>69252.604079004319</v>
      </c>
      <c r="AC41" s="14">
        <f t="shared" si="6"/>
        <v>-572858.03327497188</v>
      </c>
      <c r="AD41" s="14">
        <f t="shared" si="6"/>
        <v>113036.44293957599</v>
      </c>
      <c r="AE41" s="14">
        <f t="shared" si="6"/>
        <v>115149.49425191287</v>
      </c>
      <c r="AF41" s="14">
        <f t="shared" si="6"/>
        <v>116446.4575828333</v>
      </c>
      <c r="AG41" s="14">
        <f t="shared" si="6"/>
        <v>237762.96321273502</v>
      </c>
      <c r="AH41" s="14">
        <f t="shared" si="6"/>
        <v>62032.384681331459</v>
      </c>
      <c r="AI41" s="14">
        <f t="shared" ref="AI41:BN41" si="7">AI12+AI39</f>
        <v>305180.18406685418</v>
      </c>
      <c r="AJ41" s="14">
        <f t="shared" si="7"/>
        <v>-28997.473074100388</v>
      </c>
      <c r="AK41" s="14">
        <f t="shared" si="7"/>
        <v>-31336.340183727792</v>
      </c>
      <c r="AL41" s="14">
        <f t="shared" si="7"/>
        <v>55734.083099506795</v>
      </c>
      <c r="AM41" s="14">
        <f t="shared" si="7"/>
        <v>-81254.345689143636</v>
      </c>
      <c r="AN41" s="14">
        <f t="shared" si="7"/>
        <v>-83848.322179903393</v>
      </c>
      <c r="AO41" s="14">
        <f t="shared" si="7"/>
        <v>-87111.08239463385</v>
      </c>
      <c r="AP41" s="14">
        <f t="shared" si="7"/>
        <v>-91014.443108059233</v>
      </c>
      <c r="AQ41" s="14">
        <f t="shared" si="7"/>
        <v>-95520.370155495882</v>
      </c>
      <c r="AR41" s="14">
        <f t="shared" si="7"/>
        <v>156615.20806193107</v>
      </c>
      <c r="AS41" s="14">
        <f t="shared" si="7"/>
        <v>-228258.4519844905</v>
      </c>
      <c r="AT41" s="14">
        <f t="shared" si="7"/>
        <v>-229980.44274877617</v>
      </c>
      <c r="AU41" s="14">
        <f t="shared" si="7"/>
        <v>-232502.20255691907</v>
      </c>
      <c r="AV41" s="14">
        <f t="shared" si="7"/>
        <v>-235747.19848606188</v>
      </c>
      <c r="AW41" s="14">
        <f t="shared" si="7"/>
        <v>-239625.50435184763</v>
      </c>
      <c r="AX41" s="14">
        <f t="shared" si="7"/>
        <v>-244031.88738534763</v>
      </c>
      <c r="AY41" s="14">
        <f t="shared" si="7"/>
        <v>-249537.15337386937</v>
      </c>
      <c r="AZ41" s="14">
        <f t="shared" si="7"/>
        <v>-254645.72597458362</v>
      </c>
      <c r="BA41" s="14">
        <f t="shared" si="7"/>
        <v>-259924.58432865504</v>
      </c>
      <c r="BB41" s="14">
        <f t="shared" si="7"/>
        <v>-265258.9290517979</v>
      </c>
      <c r="BC41" s="14">
        <f t="shared" si="7"/>
        <v>-270543.52737508365</v>
      </c>
      <c r="BD41" s="14">
        <f t="shared" si="7"/>
        <v>-275682.71314494079</v>
      </c>
      <c r="BE41" s="14">
        <f t="shared" si="7"/>
        <v>-280598.04011544073</v>
      </c>
      <c r="BF41" s="14">
        <f t="shared" si="7"/>
        <v>-50253.041979083617</v>
      </c>
      <c r="BG41" s="14">
        <f t="shared" si="7"/>
        <v>-401065.53770453599</v>
      </c>
      <c r="BH41" s="14">
        <f t="shared" si="7"/>
        <v>-401065.53770453599</v>
      </c>
      <c r="BI41" s="14">
        <f t="shared" si="7"/>
        <v>-401065.53770453599</v>
      </c>
      <c r="BJ41" s="14">
        <f t="shared" si="7"/>
        <v>-401065.53770453599</v>
      </c>
      <c r="BK41" s="14">
        <f t="shared" si="7"/>
        <v>-401768.75815862673</v>
      </c>
      <c r="BL41" s="14">
        <f t="shared" si="7"/>
        <v>-401768.75815862673</v>
      </c>
      <c r="BM41" s="14">
        <f t="shared" si="7"/>
        <v>-401768.75815862673</v>
      </c>
      <c r="BN41" s="14">
        <f t="shared" si="7"/>
        <v>-401768.75815862673</v>
      </c>
      <c r="BO41" s="14">
        <f t="shared" ref="BO41:CH41" si="8">BO12+BO39</f>
        <v>-401768.75815862673</v>
      </c>
      <c r="BP41" s="14">
        <f t="shared" si="8"/>
        <v>-401768.75815862673</v>
      </c>
      <c r="BQ41" s="14">
        <f t="shared" si="8"/>
        <v>-401768.75815862673</v>
      </c>
      <c r="BR41" s="14">
        <f t="shared" si="8"/>
        <v>-401768.75815862673</v>
      </c>
      <c r="BS41" s="14">
        <f t="shared" si="8"/>
        <v>-401768.75815862673</v>
      </c>
      <c r="BT41" s="14">
        <f t="shared" si="8"/>
        <v>-401768.75815862673</v>
      </c>
      <c r="BU41" s="14">
        <f t="shared" si="8"/>
        <v>-401768.75815862673</v>
      </c>
      <c r="BV41" s="14">
        <f t="shared" si="8"/>
        <v>-401768.75815862673</v>
      </c>
      <c r="BW41" s="14">
        <f t="shared" si="8"/>
        <v>-402486.04302179924</v>
      </c>
      <c r="BX41" s="14">
        <f t="shared" si="8"/>
        <v>-402486.04302179924</v>
      </c>
      <c r="BY41" s="14">
        <f t="shared" si="8"/>
        <v>-402486.04302179924</v>
      </c>
      <c r="BZ41" s="14">
        <f t="shared" si="8"/>
        <v>-402486.04302179924</v>
      </c>
      <c r="CA41" s="14">
        <f t="shared" si="8"/>
        <v>-402486.04302179924</v>
      </c>
      <c r="CB41" s="14">
        <f t="shared" si="8"/>
        <v>-402486.04302179924</v>
      </c>
      <c r="CC41" s="14">
        <f t="shared" si="8"/>
        <v>-402486.04302179924</v>
      </c>
      <c r="CD41" s="14">
        <f t="shared" si="8"/>
        <v>-402486.04302179924</v>
      </c>
      <c r="CE41" s="14">
        <f t="shared" si="8"/>
        <v>-402486.04302179924</v>
      </c>
      <c r="CF41" s="14">
        <f t="shared" si="8"/>
        <v>-402486.04302179924</v>
      </c>
      <c r="CG41" s="14">
        <f t="shared" si="8"/>
        <v>-402486.04302179924</v>
      </c>
      <c r="CH41" s="14">
        <f t="shared" si="8"/>
        <v>-402486.04302179924</v>
      </c>
      <c r="CI41" s="23"/>
    </row>
    <row r="42" spans="1:87" ht="15" customHeight="1" x14ac:dyDescent="0.25">
      <c r="A42" s="7" t="s">
        <v>88</v>
      </c>
      <c r="B42" s="22"/>
      <c r="C42" s="30">
        <f t="shared" ref="C42:AH42" si="9">IF(C12&lt;&gt;0,C41/C12,0)</f>
        <v>0.23266405422865641</v>
      </c>
      <c r="D42" s="30">
        <f t="shared" si="9"/>
        <v>0.14990708739804745</v>
      </c>
      <c r="E42" s="30">
        <f t="shared" si="9"/>
        <v>8.169626610215186E-2</v>
      </c>
      <c r="F42" s="30">
        <f t="shared" si="9"/>
        <v>0.40829348231047374</v>
      </c>
      <c r="G42" s="30">
        <f t="shared" si="9"/>
        <v>0.305352415352242</v>
      </c>
      <c r="H42" s="30">
        <f t="shared" si="9"/>
        <v>0.31050532268025127</v>
      </c>
      <c r="I42" s="30">
        <f t="shared" si="9"/>
        <v>0.45263346383494463</v>
      </c>
      <c r="J42" s="30">
        <f t="shared" si="9"/>
        <v>0.50239589403136065</v>
      </c>
      <c r="K42" s="30">
        <f t="shared" si="9"/>
        <v>0.4518323834488901</v>
      </c>
      <c r="L42" s="30">
        <f t="shared" si="9"/>
        <v>0.45829787775458763</v>
      </c>
      <c r="M42" s="30">
        <f t="shared" si="9"/>
        <v>0.46272532011464601</v>
      </c>
      <c r="N42" s="30">
        <f t="shared" si="9"/>
        <v>0.46511374405182399</v>
      </c>
      <c r="O42" s="30">
        <f t="shared" si="9"/>
        <v>-0.2057995049238914</v>
      </c>
      <c r="P42" s="30">
        <f t="shared" si="9"/>
        <v>0.54363647284419003</v>
      </c>
      <c r="Q42" s="30">
        <f t="shared" si="9"/>
        <v>0.61016638532047929</v>
      </c>
      <c r="R42" s="30">
        <f t="shared" si="9"/>
        <v>0.52173443818822185</v>
      </c>
      <c r="S42" s="30">
        <f t="shared" si="9"/>
        <v>0.3831369902701578</v>
      </c>
      <c r="T42" s="30">
        <f t="shared" si="9"/>
        <v>0.38310105686394341</v>
      </c>
      <c r="U42" s="30">
        <f t="shared" si="9"/>
        <v>0.39851683182647674</v>
      </c>
      <c r="V42" s="30">
        <f t="shared" si="9"/>
        <v>0.3544159612741174</v>
      </c>
      <c r="W42" s="30">
        <f t="shared" si="9"/>
        <v>0.34269429038133081</v>
      </c>
      <c r="X42" s="30">
        <f t="shared" si="9"/>
        <v>0.32747267128029128</v>
      </c>
      <c r="Y42" s="30">
        <f t="shared" si="9"/>
        <v>0.30923582717953346</v>
      </c>
      <c r="Z42" s="30">
        <f t="shared" si="9"/>
        <v>0.28852734553720411</v>
      </c>
      <c r="AA42" s="30">
        <f t="shared" si="9"/>
        <v>0.35635823288745117</v>
      </c>
      <c r="AB42" s="30">
        <f t="shared" si="9"/>
        <v>0.1476749997181547</v>
      </c>
      <c r="AC42" s="30">
        <f t="shared" si="9"/>
        <v>-0.4892594045701455</v>
      </c>
      <c r="AD42" s="30">
        <f t="shared" si="9"/>
        <v>0.22045712196465439</v>
      </c>
      <c r="AE42" s="30">
        <f t="shared" si="9"/>
        <v>0.22365652976144129</v>
      </c>
      <c r="AF42" s="30">
        <f t="shared" si="9"/>
        <v>0.22560731063592621</v>
      </c>
      <c r="AG42" s="30">
        <f t="shared" si="9"/>
        <v>0.37298306755717392</v>
      </c>
      <c r="AH42" s="30">
        <f t="shared" si="9"/>
        <v>0.13434699600688052</v>
      </c>
      <c r="AI42" s="30">
        <f t="shared" ref="AI42:BN42" si="10">IF(AI12&lt;&gt;0,AI41/AI12,0)</f>
        <v>0.43295315670797652</v>
      </c>
      <c r="AJ42" s="30">
        <f t="shared" si="10"/>
        <v>-7.8222984529285125E-2</v>
      </c>
      <c r="AK42" s="30">
        <f t="shared" si="10"/>
        <v>-8.5068988176488822E-2</v>
      </c>
      <c r="AL42" s="30">
        <f t="shared" si="10"/>
        <v>0.12237568866709</v>
      </c>
      <c r="AM42" s="30">
        <f t="shared" si="10"/>
        <v>-0.25461863095395515</v>
      </c>
      <c r="AN42" s="30">
        <f t="shared" si="10"/>
        <v>-0.26490035471118895</v>
      </c>
      <c r="AO42" s="30">
        <f t="shared" si="10"/>
        <v>-0.27807471585416954</v>
      </c>
      <c r="AP42" s="30">
        <f t="shared" si="10"/>
        <v>-0.29420078199267335</v>
      </c>
      <c r="AQ42" s="30">
        <f t="shared" si="10"/>
        <v>-0.31332974571187433</v>
      </c>
      <c r="AR42" s="30">
        <f t="shared" si="10"/>
        <v>0.28118070091905761</v>
      </c>
      <c r="AS42" s="30">
        <f t="shared" si="10"/>
        <v>-1.3261768726759744</v>
      </c>
      <c r="AT42" s="30">
        <f t="shared" si="10"/>
        <v>-1.3496848365353498</v>
      </c>
      <c r="AU42" s="30">
        <f t="shared" si="10"/>
        <v>-1.3849812147397336</v>
      </c>
      <c r="AV42" s="30">
        <f t="shared" si="10"/>
        <v>-1.4319915147842677</v>
      </c>
      <c r="AW42" s="30">
        <f t="shared" si="10"/>
        <v>-1.4906662996203179</v>
      </c>
      <c r="AX42" s="30">
        <f t="shared" si="10"/>
        <v>-1.5608628814315939</v>
      </c>
      <c r="AY42" s="30">
        <f t="shared" si="10"/>
        <v>-1.6468013862625706</v>
      </c>
      <c r="AZ42" s="30">
        <f t="shared" si="10"/>
        <v>-1.7391480221558844</v>
      </c>
      <c r="BA42" s="30">
        <f t="shared" si="10"/>
        <v>-1.8415957814627641</v>
      </c>
      <c r="BB42" s="30">
        <f t="shared" si="10"/>
        <v>-1.9532107581750575</v>
      </c>
      <c r="BC42" s="30">
        <f t="shared" si="10"/>
        <v>-2.0727808795788625</v>
      </c>
      <c r="BD42" s="30">
        <f t="shared" si="10"/>
        <v>-2.1987278888737039</v>
      </c>
      <c r="BE42" s="30">
        <f t="shared" si="10"/>
        <v>-2.3292427063815806</v>
      </c>
      <c r="BF42" s="30">
        <f t="shared" si="10"/>
        <v>-0.14324758265854903</v>
      </c>
      <c r="BG42" s="30">
        <f t="shared" si="10"/>
        <v>0</v>
      </c>
      <c r="BH42" s="30">
        <f t="shared" si="10"/>
        <v>0</v>
      </c>
      <c r="BI42" s="30">
        <f t="shared" si="10"/>
        <v>0</v>
      </c>
      <c r="BJ42" s="30">
        <f t="shared" si="10"/>
        <v>0</v>
      </c>
      <c r="BK42" s="30">
        <f t="shared" si="10"/>
        <v>0</v>
      </c>
      <c r="BL42" s="30">
        <f t="shared" si="10"/>
        <v>0</v>
      </c>
      <c r="BM42" s="30">
        <f t="shared" si="10"/>
        <v>0</v>
      </c>
      <c r="BN42" s="30">
        <f t="shared" si="10"/>
        <v>0</v>
      </c>
      <c r="BO42" s="30">
        <f t="shared" ref="BO42:CT42" si="11">IF(BO12&lt;&gt;0,BO41/BO12,0)</f>
        <v>0</v>
      </c>
      <c r="BP42" s="30">
        <f t="shared" si="11"/>
        <v>0</v>
      </c>
      <c r="BQ42" s="30">
        <f t="shared" si="11"/>
        <v>0</v>
      </c>
      <c r="BR42" s="30">
        <f t="shared" si="11"/>
        <v>0</v>
      </c>
      <c r="BS42" s="30">
        <f t="shared" si="11"/>
        <v>0</v>
      </c>
      <c r="BT42" s="30">
        <f t="shared" si="11"/>
        <v>0</v>
      </c>
      <c r="BU42" s="30">
        <f t="shared" si="11"/>
        <v>0</v>
      </c>
      <c r="BV42" s="30">
        <f t="shared" si="11"/>
        <v>0</v>
      </c>
      <c r="BW42" s="30">
        <f t="shared" si="11"/>
        <v>0</v>
      </c>
      <c r="BX42" s="30">
        <f t="shared" si="11"/>
        <v>0</v>
      </c>
      <c r="BY42" s="30">
        <f t="shared" si="11"/>
        <v>0</v>
      </c>
      <c r="BZ42" s="30">
        <f t="shared" si="11"/>
        <v>0</v>
      </c>
      <c r="CA42" s="30">
        <f t="shared" si="11"/>
        <v>0</v>
      </c>
      <c r="CB42" s="30">
        <f t="shared" si="11"/>
        <v>0</v>
      </c>
      <c r="CC42" s="30">
        <f t="shared" si="11"/>
        <v>0</v>
      </c>
      <c r="CD42" s="30">
        <f t="shared" si="11"/>
        <v>0</v>
      </c>
      <c r="CE42" s="30">
        <f t="shared" si="11"/>
        <v>0</v>
      </c>
      <c r="CF42" s="30">
        <f t="shared" si="11"/>
        <v>0</v>
      </c>
      <c r="CG42" s="30">
        <f t="shared" si="11"/>
        <v>0</v>
      </c>
      <c r="CH42" s="30">
        <f t="shared" si="11"/>
        <v>0</v>
      </c>
      <c r="CI42" s="23"/>
    </row>
    <row r="43" spans="1:87" ht="15" customHeight="1" x14ac:dyDescent="0.25">
      <c r="A43" s="22"/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22"/>
      <c r="AO43" s="22"/>
      <c r="AP43" s="22"/>
      <c r="AQ43" s="22"/>
      <c r="AR43" s="22"/>
      <c r="AS43" s="22"/>
      <c r="AT43" s="22"/>
      <c r="AU43" s="22"/>
      <c r="AV43" s="22"/>
      <c r="AW43" s="22"/>
      <c r="AX43" s="22"/>
      <c r="AY43" s="22"/>
      <c r="AZ43" s="22"/>
      <c r="BA43" s="22"/>
      <c r="BB43" s="22"/>
      <c r="BC43" s="22"/>
      <c r="BD43" s="22"/>
      <c r="BE43" s="22"/>
      <c r="BF43" s="22"/>
      <c r="BG43" s="22"/>
      <c r="BH43" s="22"/>
      <c r="BI43" s="22"/>
      <c r="BJ43" s="22"/>
      <c r="BK43" s="22"/>
      <c r="BL43" s="22"/>
      <c r="BM43" s="22"/>
      <c r="BN43" s="22"/>
      <c r="BO43" s="22"/>
      <c r="BP43" s="22"/>
      <c r="BQ43" s="22"/>
      <c r="BR43" s="22"/>
      <c r="BS43" s="22"/>
      <c r="BT43" s="22"/>
      <c r="BU43" s="22"/>
      <c r="BV43" s="22"/>
      <c r="BW43" s="22"/>
      <c r="BX43" s="22"/>
      <c r="BY43" s="22"/>
      <c r="BZ43" s="22"/>
      <c r="CA43" s="22"/>
      <c r="CB43" s="22"/>
      <c r="CC43" s="22"/>
      <c r="CD43" s="22"/>
      <c r="CE43" s="22"/>
      <c r="CF43" s="22"/>
      <c r="CG43" s="22"/>
      <c r="CH43" s="22"/>
      <c r="CI43" s="23"/>
    </row>
    <row r="44" spans="1:87" ht="15" customHeight="1" x14ac:dyDescent="0.25">
      <c r="A44" s="22"/>
      <c r="B44" s="22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22"/>
      <c r="AM44" s="22"/>
      <c r="AN44" s="22"/>
      <c r="AO44" s="22"/>
      <c r="AP44" s="22"/>
      <c r="AQ44" s="22"/>
      <c r="AR44" s="22"/>
      <c r="AS44" s="22"/>
      <c r="AT44" s="22"/>
      <c r="AU44" s="22"/>
      <c r="AV44" s="22"/>
      <c r="AW44" s="22"/>
      <c r="AX44" s="22"/>
      <c r="AY44" s="22"/>
      <c r="AZ44" s="22"/>
      <c r="BA44" s="22"/>
      <c r="BB44" s="22"/>
      <c r="BC44" s="22"/>
      <c r="BD44" s="22"/>
      <c r="BE44" s="22"/>
      <c r="BF44" s="22"/>
      <c r="BG44" s="22"/>
      <c r="BH44" s="22"/>
      <c r="BI44" s="22"/>
      <c r="BJ44" s="22"/>
      <c r="BK44" s="22"/>
      <c r="BL44" s="22"/>
      <c r="BM44" s="22"/>
      <c r="BN44" s="22"/>
      <c r="BO44" s="22"/>
      <c r="BP44" s="22"/>
      <c r="BQ44" s="22"/>
      <c r="BR44" s="22"/>
      <c r="BS44" s="22"/>
      <c r="BT44" s="22"/>
      <c r="BU44" s="22"/>
      <c r="BV44" s="22"/>
      <c r="BW44" s="22"/>
      <c r="BX44" s="22"/>
      <c r="BY44" s="22"/>
      <c r="BZ44" s="22"/>
      <c r="CA44" s="22"/>
      <c r="CB44" s="22"/>
      <c r="CC44" s="22"/>
      <c r="CD44" s="22"/>
      <c r="CE44" s="22"/>
      <c r="CF44" s="22"/>
      <c r="CG44" s="22"/>
      <c r="CH44" s="22"/>
      <c r="CI44" s="23"/>
    </row>
    <row r="45" spans="1:87" ht="15" customHeight="1" x14ac:dyDescent="0.25">
      <c r="A45" s="26" t="s">
        <v>152</v>
      </c>
      <c r="B45" s="26"/>
      <c r="C45" s="26"/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  <c r="AM45" s="26"/>
      <c r="AN45" s="26"/>
      <c r="AO45" s="26"/>
      <c r="AP45" s="26"/>
      <c r="AQ45" s="26"/>
      <c r="AR45" s="26"/>
      <c r="AS45" s="26"/>
      <c r="AT45" s="26"/>
      <c r="AU45" s="26"/>
      <c r="AV45" s="26"/>
      <c r="AW45" s="26"/>
      <c r="AX45" s="26"/>
      <c r="AY45" s="26"/>
      <c r="AZ45" s="26"/>
      <c r="BA45" s="26"/>
      <c r="BB45" s="26"/>
      <c r="BC45" s="26"/>
      <c r="BD45" s="26"/>
      <c r="BE45" s="26"/>
      <c r="BF45" s="26"/>
      <c r="BG45" s="26"/>
      <c r="BH45" s="26"/>
      <c r="BI45" s="26"/>
      <c r="BJ45" s="26"/>
      <c r="BK45" s="26"/>
      <c r="BL45" s="26"/>
      <c r="BM45" s="26"/>
      <c r="BN45" s="26"/>
      <c r="BO45" s="26"/>
      <c r="BP45" s="26"/>
      <c r="BQ45" s="26"/>
      <c r="BR45" s="26"/>
      <c r="BS45" s="26"/>
      <c r="BT45" s="26"/>
      <c r="BU45" s="26"/>
      <c r="BV45" s="26"/>
      <c r="BW45" s="26"/>
      <c r="BX45" s="26"/>
      <c r="BY45" s="26"/>
      <c r="BZ45" s="26"/>
      <c r="CA45" s="26"/>
      <c r="CB45" s="26"/>
      <c r="CC45" s="26"/>
      <c r="CD45" s="26"/>
      <c r="CE45" s="26"/>
      <c r="CF45" s="26"/>
      <c r="CG45" s="26"/>
      <c r="CH45" s="26"/>
      <c r="CI45" s="23"/>
    </row>
    <row r="46" spans="1:87" ht="15" customHeight="1" x14ac:dyDescent="0.25">
      <c r="A46" s="6" t="s">
        <v>89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23"/>
    </row>
    <row r="47" spans="1:87" ht="15" customHeight="1" x14ac:dyDescent="0.25">
      <c r="A47" s="7" t="s">
        <v>153</v>
      </c>
      <c r="B47" s="22"/>
      <c r="C47" s="8">
        <f>IF(1&lt;=Assumptions!$B$68,Assumptions!$B$67,0)</f>
        <v>833.33</v>
      </c>
      <c r="D47" s="8">
        <f>IF(2&lt;=Assumptions!$B$68,Assumptions!$B$67,0)</f>
        <v>833.33</v>
      </c>
      <c r="E47" s="8">
        <f>IF(3&lt;=Assumptions!$B$68,Assumptions!$B$67,0)</f>
        <v>833.33</v>
      </c>
      <c r="F47" s="8">
        <f>IF(4&lt;=Assumptions!$B$68,Assumptions!$B$67,0)</f>
        <v>833.33</v>
      </c>
      <c r="G47" s="8">
        <f>IF(5&lt;=Assumptions!$B$68,Assumptions!$B$67,0)</f>
        <v>833.33</v>
      </c>
      <c r="H47" s="8">
        <f>IF(6&lt;=Assumptions!$B$68,Assumptions!$B$67,0)</f>
        <v>0</v>
      </c>
      <c r="I47" s="8">
        <f>IF(7&lt;=Assumptions!$B$68,Assumptions!$B$67,0)</f>
        <v>0</v>
      </c>
      <c r="J47" s="8">
        <f>IF(8&lt;=Assumptions!$B$68,Assumptions!$B$67,0)</f>
        <v>0</v>
      </c>
      <c r="K47" s="8">
        <f>IF(9&lt;=Assumptions!$B$68,Assumptions!$B$67,0)</f>
        <v>0</v>
      </c>
      <c r="L47" s="8">
        <f>IF(10&lt;=Assumptions!$B$68,Assumptions!$B$67,0)</f>
        <v>0</v>
      </c>
      <c r="M47" s="8">
        <f>IF(11&lt;=Assumptions!$B$68,Assumptions!$B$67,0)</f>
        <v>0</v>
      </c>
      <c r="N47" s="8">
        <f>IF(12&lt;=Assumptions!$B$68,Assumptions!$B$67,0)</f>
        <v>0</v>
      </c>
      <c r="O47" s="8">
        <f>IF(13&lt;=Assumptions!$B$68,Assumptions!$B$67,0)</f>
        <v>0</v>
      </c>
      <c r="P47" s="8">
        <f>IF(14&lt;=Assumptions!$B$68,Assumptions!$B$67,0)</f>
        <v>0</v>
      </c>
      <c r="Q47" s="8">
        <f>IF(15&lt;=Assumptions!$B$68,Assumptions!$B$67,0)</f>
        <v>0</v>
      </c>
      <c r="R47" s="8">
        <f>IF(16&lt;=Assumptions!$B$68,Assumptions!$B$67,0)</f>
        <v>0</v>
      </c>
      <c r="S47" s="8">
        <f>IF(17&lt;=Assumptions!$B$68,Assumptions!$B$67,0)</f>
        <v>0</v>
      </c>
      <c r="T47" s="8">
        <f>IF(18&lt;=Assumptions!$B$68,Assumptions!$B$67,0)</f>
        <v>0</v>
      </c>
      <c r="U47" s="8">
        <f>IF(19&lt;=Assumptions!$B$68,Assumptions!$B$67,0)</f>
        <v>0</v>
      </c>
      <c r="V47" s="8">
        <f>IF(20&lt;=Assumptions!$B$68,Assumptions!$B$67,0)</f>
        <v>0</v>
      </c>
      <c r="W47" s="8">
        <f>IF(21&lt;=Assumptions!$B$68,Assumptions!$B$67,0)</f>
        <v>0</v>
      </c>
      <c r="X47" s="8">
        <f>IF(22&lt;=Assumptions!$B$68,Assumptions!$B$67,0)</f>
        <v>0</v>
      </c>
      <c r="Y47" s="8">
        <f>IF(23&lt;=Assumptions!$B$68,Assumptions!$B$67,0)</f>
        <v>0</v>
      </c>
      <c r="Z47" s="8">
        <f>IF(24&lt;=Assumptions!$B$68,Assumptions!$B$67,0)</f>
        <v>0</v>
      </c>
      <c r="AA47" s="8">
        <f>IF(25&lt;=Assumptions!$B$68,Assumptions!$B$67,0)</f>
        <v>0</v>
      </c>
      <c r="AB47" s="8">
        <f>IF(26&lt;=Assumptions!$B$68,Assumptions!$B$67,0)</f>
        <v>0</v>
      </c>
      <c r="AC47" s="8">
        <f>IF(27&lt;=Assumptions!$B$68,Assumptions!$B$67,0)</f>
        <v>0</v>
      </c>
      <c r="AD47" s="8">
        <f>IF(28&lt;=Assumptions!$B$68,Assumptions!$B$67,0)</f>
        <v>0</v>
      </c>
      <c r="AE47" s="8">
        <f>IF(29&lt;=Assumptions!$B$68,Assumptions!$B$67,0)</f>
        <v>0</v>
      </c>
      <c r="AF47" s="8">
        <f>IF(30&lt;=Assumptions!$B$68,Assumptions!$B$67,0)</f>
        <v>0</v>
      </c>
      <c r="AG47" s="8">
        <f>IF(31&lt;=Assumptions!$B$68,Assumptions!$B$67,0)</f>
        <v>0</v>
      </c>
      <c r="AH47" s="8">
        <f>IF(32&lt;=Assumptions!$B$68,Assumptions!$B$67,0)</f>
        <v>0</v>
      </c>
      <c r="AI47" s="8">
        <f>IF(33&lt;=Assumptions!$B$68,Assumptions!$B$67,0)</f>
        <v>0</v>
      </c>
      <c r="AJ47" s="8">
        <f>IF(34&lt;=Assumptions!$B$68,Assumptions!$B$67,0)</f>
        <v>0</v>
      </c>
      <c r="AK47" s="8">
        <f>IF(35&lt;=Assumptions!$B$68,Assumptions!$B$67,0)</f>
        <v>0</v>
      </c>
      <c r="AL47" s="8">
        <f>IF(36&lt;=Assumptions!$B$68,Assumptions!$B$67,0)</f>
        <v>0</v>
      </c>
      <c r="AM47" s="8">
        <f>IF(37&lt;=Assumptions!$B$68,Assumptions!$B$67,0)</f>
        <v>0</v>
      </c>
      <c r="AN47" s="8">
        <f>IF(38&lt;=Assumptions!$B$68,Assumptions!$B$67,0)</f>
        <v>0</v>
      </c>
      <c r="AO47" s="8">
        <f>IF(39&lt;=Assumptions!$B$68,Assumptions!$B$67,0)</f>
        <v>0</v>
      </c>
      <c r="AP47" s="8">
        <f>IF(40&lt;=Assumptions!$B$68,Assumptions!$B$67,0)</f>
        <v>0</v>
      </c>
      <c r="AQ47" s="8">
        <f>IF(41&lt;=Assumptions!$B$68,Assumptions!$B$67,0)</f>
        <v>0</v>
      </c>
      <c r="AR47" s="8">
        <f>IF(42&lt;=Assumptions!$B$68,Assumptions!$B$67,0)</f>
        <v>0</v>
      </c>
      <c r="AS47" s="8">
        <f>IF(43&lt;=Assumptions!$B$68,Assumptions!$B$67,0)</f>
        <v>0</v>
      </c>
      <c r="AT47" s="8">
        <f>IF(44&lt;=Assumptions!$B$68,Assumptions!$B$67,0)</f>
        <v>0</v>
      </c>
      <c r="AU47" s="8">
        <f>IF(45&lt;=Assumptions!$B$68,Assumptions!$B$67,0)</f>
        <v>0</v>
      </c>
      <c r="AV47" s="8">
        <f>IF(46&lt;=Assumptions!$B$68,Assumptions!$B$67,0)</f>
        <v>0</v>
      </c>
      <c r="AW47" s="8">
        <f>IF(47&lt;=Assumptions!$B$68,Assumptions!$B$67,0)</f>
        <v>0</v>
      </c>
      <c r="AX47" s="8">
        <f>IF(48&lt;=Assumptions!$B$68,Assumptions!$B$67,0)</f>
        <v>0</v>
      </c>
      <c r="AY47" s="8">
        <f>IF(49&lt;=Assumptions!$B$68,Assumptions!$B$67,0)</f>
        <v>0</v>
      </c>
      <c r="AZ47" s="8">
        <f>IF(50&lt;=Assumptions!$B$68,Assumptions!$B$67,0)</f>
        <v>0</v>
      </c>
      <c r="BA47" s="8">
        <f>IF(51&lt;=Assumptions!$B$68,Assumptions!$B$67,0)</f>
        <v>0</v>
      </c>
      <c r="BB47" s="8">
        <f>IF(52&lt;=Assumptions!$B$68,Assumptions!$B$67,0)</f>
        <v>0</v>
      </c>
      <c r="BC47" s="8">
        <f>IF(53&lt;=Assumptions!$B$68,Assumptions!$B$67,0)</f>
        <v>0</v>
      </c>
      <c r="BD47" s="8">
        <f>IF(54&lt;=Assumptions!$B$68,Assumptions!$B$67,0)</f>
        <v>0</v>
      </c>
      <c r="BE47" s="8">
        <f>IF(55&lt;=Assumptions!$B$68,Assumptions!$B$67,0)</f>
        <v>0</v>
      </c>
      <c r="BF47" s="8">
        <f>IF(56&lt;=Assumptions!$B$68,Assumptions!$B$67,0)</f>
        <v>0</v>
      </c>
      <c r="BG47" s="8">
        <f>IF(57&lt;=Assumptions!$B$68,Assumptions!$B$67,0)</f>
        <v>0</v>
      </c>
      <c r="BH47" s="8">
        <f>IF(58&lt;=Assumptions!$B$68,Assumptions!$B$67,0)</f>
        <v>0</v>
      </c>
      <c r="BI47" s="8">
        <f>IF(59&lt;=Assumptions!$B$68,Assumptions!$B$67,0)</f>
        <v>0</v>
      </c>
      <c r="BJ47" s="8">
        <f>IF(60&lt;=Assumptions!$B$68,Assumptions!$B$67,0)</f>
        <v>0</v>
      </c>
      <c r="BK47" s="8">
        <f>IF(61&lt;=Assumptions!$B$68,Assumptions!$B$67,0)</f>
        <v>0</v>
      </c>
      <c r="BL47" s="8">
        <f>IF(62&lt;=Assumptions!$B$68,Assumptions!$B$67,0)</f>
        <v>0</v>
      </c>
      <c r="BM47" s="8">
        <f>IF(63&lt;=Assumptions!$B$68,Assumptions!$B$67,0)</f>
        <v>0</v>
      </c>
      <c r="BN47" s="8">
        <f>IF(64&lt;=Assumptions!$B$68,Assumptions!$B$67,0)</f>
        <v>0</v>
      </c>
      <c r="BO47" s="8">
        <f>IF(65&lt;=Assumptions!$B$68,Assumptions!$B$67,0)</f>
        <v>0</v>
      </c>
      <c r="BP47" s="8">
        <f>IF(66&lt;=Assumptions!$B$68,Assumptions!$B$67,0)</f>
        <v>0</v>
      </c>
      <c r="BQ47" s="8">
        <f>IF(67&lt;=Assumptions!$B$68,Assumptions!$B$67,0)</f>
        <v>0</v>
      </c>
      <c r="BR47" s="8">
        <f>IF(68&lt;=Assumptions!$B$68,Assumptions!$B$67,0)</f>
        <v>0</v>
      </c>
      <c r="BS47" s="8">
        <f>IF(69&lt;=Assumptions!$B$68,Assumptions!$B$67,0)</f>
        <v>0</v>
      </c>
      <c r="BT47" s="8">
        <f>IF(70&lt;=Assumptions!$B$68,Assumptions!$B$67,0)</f>
        <v>0</v>
      </c>
      <c r="BU47" s="8">
        <f>IF(71&lt;=Assumptions!$B$68,Assumptions!$B$67,0)</f>
        <v>0</v>
      </c>
      <c r="BV47" s="8">
        <f>IF(72&lt;=Assumptions!$B$68,Assumptions!$B$67,0)</f>
        <v>0</v>
      </c>
      <c r="BW47" s="8">
        <f>IF(73&lt;=Assumptions!$B$68,Assumptions!$B$67,0)</f>
        <v>0</v>
      </c>
      <c r="BX47" s="8">
        <f>IF(74&lt;=Assumptions!$B$68,Assumptions!$B$67,0)</f>
        <v>0</v>
      </c>
      <c r="BY47" s="8">
        <f>IF(75&lt;=Assumptions!$B$68,Assumptions!$B$67,0)</f>
        <v>0</v>
      </c>
      <c r="BZ47" s="8">
        <f>IF(76&lt;=Assumptions!$B$68,Assumptions!$B$67,0)</f>
        <v>0</v>
      </c>
      <c r="CA47" s="8">
        <f>IF(77&lt;=Assumptions!$B$68,Assumptions!$B$67,0)</f>
        <v>0</v>
      </c>
      <c r="CB47" s="8">
        <f>IF(78&lt;=Assumptions!$B$68,Assumptions!$B$67,0)</f>
        <v>0</v>
      </c>
      <c r="CC47" s="8">
        <f>IF(79&lt;=Assumptions!$B$68,Assumptions!$B$67,0)</f>
        <v>0</v>
      </c>
      <c r="CD47" s="8">
        <f>IF(80&lt;=Assumptions!$B$68,Assumptions!$B$67,0)</f>
        <v>0</v>
      </c>
      <c r="CE47" s="8">
        <f>IF(81&lt;=Assumptions!$B$68,Assumptions!$B$67,0)</f>
        <v>0</v>
      </c>
      <c r="CF47" s="8">
        <f>IF(82&lt;=Assumptions!$B$68,Assumptions!$B$67,0)</f>
        <v>0</v>
      </c>
      <c r="CG47" s="8">
        <f>IF(83&lt;=Assumptions!$B$68,Assumptions!$B$67,0)</f>
        <v>0</v>
      </c>
      <c r="CH47" s="8">
        <f>IF(84&lt;=Assumptions!$B$68,Assumptions!$B$67,0)</f>
        <v>0</v>
      </c>
      <c r="CI47" s="23"/>
    </row>
    <row r="48" spans="1:87" ht="15" customHeight="1" x14ac:dyDescent="0.25">
      <c r="A48" s="7" t="s">
        <v>154</v>
      </c>
      <c r="B48" s="22"/>
      <c r="C48" s="8">
        <f>IF(Projects!$G$3="Yes",23906.25,0)</f>
        <v>23906.25</v>
      </c>
      <c r="D48" s="8">
        <f>IF(Projects!$G$3="Yes",23906.25,0)</f>
        <v>23906.25</v>
      </c>
      <c r="E48" s="8">
        <f>IF(Projects!$G$3="Yes",23906.25,0)</f>
        <v>23906.25</v>
      </c>
      <c r="F48" s="8">
        <f>IF(Projects!$G$3="Yes",23906.25,0)</f>
        <v>23906.25</v>
      </c>
      <c r="G48" s="8">
        <f>IF(Projects!$G$3="Yes",23906.25,0)</f>
        <v>23906.25</v>
      </c>
      <c r="H48" s="8">
        <f>IF(Projects!$G$3="Yes",23906.25,0)</f>
        <v>23906.25</v>
      </c>
      <c r="I48" s="8">
        <f>IF(Projects!$G$3="Yes",23906.25,0)</f>
        <v>23906.25</v>
      </c>
      <c r="J48" s="8">
        <f>IF(Projects!$G$3="Yes",23906.25,0)</f>
        <v>23906.25</v>
      </c>
      <c r="K48" s="8">
        <f>IF(Projects!$G$3="Yes",23906.25,0)</f>
        <v>23906.25</v>
      </c>
      <c r="L48" s="8">
        <f>IF(Projects!$G$3="Yes",23906.25,0)</f>
        <v>23906.25</v>
      </c>
      <c r="M48" s="8">
        <f>IF(Projects!$G$3="Yes",23906.25,0)</f>
        <v>23906.25</v>
      </c>
      <c r="N48" s="8">
        <f>IF(Projects!$G$3="Yes",23906.25,0)</f>
        <v>23906.25</v>
      </c>
      <c r="O48" s="8">
        <f>IF(Projects!$G$3="Yes",23906.25,0)</f>
        <v>23906.25</v>
      </c>
      <c r="P48" s="8">
        <f>IF(Projects!$G$3="Yes",23906.25,0)</f>
        <v>23906.25</v>
      </c>
      <c r="Q48" s="8">
        <f>IF(Projects!$G$3="Yes",23906.25,0)</f>
        <v>23906.25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  <c r="AA48" s="8">
        <v>0</v>
      </c>
      <c r="AB48" s="8">
        <v>0</v>
      </c>
      <c r="AC48" s="8">
        <v>0</v>
      </c>
      <c r="AD48" s="8">
        <v>0</v>
      </c>
      <c r="AE48" s="8">
        <v>0</v>
      </c>
      <c r="AF48" s="8">
        <v>0</v>
      </c>
      <c r="AG48" s="8">
        <v>0</v>
      </c>
      <c r="AH48" s="8">
        <v>0</v>
      </c>
      <c r="AI48" s="8">
        <v>0</v>
      </c>
      <c r="AJ48" s="8">
        <v>0</v>
      </c>
      <c r="AK48" s="8">
        <v>0</v>
      </c>
      <c r="AL48" s="8">
        <v>0</v>
      </c>
      <c r="AM48" s="8">
        <v>0</v>
      </c>
      <c r="AN48" s="8">
        <v>0</v>
      </c>
      <c r="AO48" s="8">
        <v>0</v>
      </c>
      <c r="AP48" s="8">
        <v>0</v>
      </c>
      <c r="AQ48" s="8">
        <v>0</v>
      </c>
      <c r="AR48" s="8">
        <v>0</v>
      </c>
      <c r="AS48" s="8">
        <v>0</v>
      </c>
      <c r="AT48" s="8">
        <v>0</v>
      </c>
      <c r="AU48" s="8">
        <v>0</v>
      </c>
      <c r="AV48" s="8">
        <v>0</v>
      </c>
      <c r="AW48" s="8">
        <v>0</v>
      </c>
      <c r="AX48" s="8">
        <v>0</v>
      </c>
      <c r="AY48" s="8">
        <v>0</v>
      </c>
      <c r="AZ48" s="8">
        <v>0</v>
      </c>
      <c r="BA48" s="8">
        <v>0</v>
      </c>
      <c r="BB48" s="8">
        <v>0</v>
      </c>
      <c r="BC48" s="8">
        <v>0</v>
      </c>
      <c r="BD48" s="8">
        <v>0</v>
      </c>
      <c r="BE48" s="8">
        <v>0</v>
      </c>
      <c r="BF48" s="8">
        <v>0</v>
      </c>
      <c r="BG48" s="8">
        <v>0</v>
      </c>
      <c r="BH48" s="8">
        <v>0</v>
      </c>
      <c r="BI48" s="8">
        <v>0</v>
      </c>
      <c r="BJ48" s="8">
        <v>0</v>
      </c>
      <c r="BK48" s="8">
        <v>0</v>
      </c>
      <c r="BL48" s="8">
        <v>0</v>
      </c>
      <c r="BM48" s="8">
        <v>0</v>
      </c>
      <c r="BN48" s="8">
        <v>0</v>
      </c>
      <c r="BO48" s="8">
        <v>0</v>
      </c>
      <c r="BP48" s="8">
        <v>0</v>
      </c>
      <c r="BQ48" s="8">
        <v>0</v>
      </c>
      <c r="BR48" s="8">
        <v>0</v>
      </c>
      <c r="BS48" s="8">
        <v>0</v>
      </c>
      <c r="BT48" s="8">
        <v>0</v>
      </c>
      <c r="BU48" s="8">
        <v>0</v>
      </c>
      <c r="BV48" s="8">
        <v>0</v>
      </c>
      <c r="BW48" s="8">
        <v>0</v>
      </c>
      <c r="BX48" s="8">
        <v>0</v>
      </c>
      <c r="BY48" s="8">
        <v>0</v>
      </c>
      <c r="BZ48" s="8">
        <v>0</v>
      </c>
      <c r="CA48" s="8">
        <v>0</v>
      </c>
      <c r="CB48" s="8">
        <v>0</v>
      </c>
      <c r="CC48" s="8">
        <v>0</v>
      </c>
      <c r="CD48" s="8">
        <v>0</v>
      </c>
      <c r="CE48" s="8">
        <v>0</v>
      </c>
      <c r="CF48" s="8">
        <v>0</v>
      </c>
      <c r="CG48" s="8">
        <v>0</v>
      </c>
      <c r="CH48" s="8">
        <v>0</v>
      </c>
      <c r="CI48" s="23"/>
    </row>
    <row r="49" spans="1:87" ht="15" customHeight="1" x14ac:dyDescent="0.25">
      <c r="A49" s="7" t="s">
        <v>155</v>
      </c>
      <c r="B49" s="22"/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f>IF(Projects!$G$3="Yes",57375,0)</f>
        <v>57375</v>
      </c>
      <c r="X49" s="8">
        <v>0</v>
      </c>
      <c r="Y49" s="8">
        <v>0</v>
      </c>
      <c r="Z49" s="8">
        <v>0</v>
      </c>
      <c r="AA49" s="8">
        <v>0</v>
      </c>
      <c r="AB49" s="8">
        <v>0</v>
      </c>
      <c r="AC49" s="8">
        <v>0</v>
      </c>
      <c r="AD49" s="8">
        <v>0</v>
      </c>
      <c r="AE49" s="8">
        <v>0</v>
      </c>
      <c r="AF49" s="8">
        <v>0</v>
      </c>
      <c r="AG49" s="8">
        <v>0</v>
      </c>
      <c r="AH49" s="8">
        <v>0</v>
      </c>
      <c r="AI49" s="8">
        <v>0</v>
      </c>
      <c r="AJ49" s="8">
        <v>0</v>
      </c>
      <c r="AK49" s="8">
        <v>0</v>
      </c>
      <c r="AL49" s="8">
        <v>0</v>
      </c>
      <c r="AM49" s="8">
        <v>0</v>
      </c>
      <c r="AN49" s="8">
        <v>0</v>
      </c>
      <c r="AO49" s="8">
        <v>0</v>
      </c>
      <c r="AP49" s="8">
        <v>0</v>
      </c>
      <c r="AQ49" s="8">
        <v>0</v>
      </c>
      <c r="AR49" s="8">
        <v>0</v>
      </c>
      <c r="AS49" s="8">
        <v>0</v>
      </c>
      <c r="AT49" s="8">
        <v>0</v>
      </c>
      <c r="AU49" s="8">
        <v>0</v>
      </c>
      <c r="AV49" s="8">
        <v>0</v>
      </c>
      <c r="AW49" s="8">
        <v>0</v>
      </c>
      <c r="AX49" s="8">
        <v>0</v>
      </c>
      <c r="AY49" s="8">
        <v>0</v>
      </c>
      <c r="AZ49" s="8">
        <v>0</v>
      </c>
      <c r="BA49" s="8">
        <v>0</v>
      </c>
      <c r="BB49" s="8">
        <v>0</v>
      </c>
      <c r="BC49" s="8">
        <v>0</v>
      </c>
      <c r="BD49" s="8">
        <v>0</v>
      </c>
      <c r="BE49" s="8">
        <v>0</v>
      </c>
      <c r="BF49" s="8">
        <v>0</v>
      </c>
      <c r="BG49" s="8">
        <v>0</v>
      </c>
      <c r="BH49" s="8">
        <v>0</v>
      </c>
      <c r="BI49" s="8">
        <v>0</v>
      </c>
      <c r="BJ49" s="8">
        <v>0</v>
      </c>
      <c r="BK49" s="8">
        <v>0</v>
      </c>
      <c r="BL49" s="8">
        <v>0</v>
      </c>
      <c r="BM49" s="8">
        <v>0</v>
      </c>
      <c r="BN49" s="8">
        <v>0</v>
      </c>
      <c r="BO49" s="8">
        <v>0</v>
      </c>
      <c r="BP49" s="8">
        <v>0</v>
      </c>
      <c r="BQ49" s="8">
        <v>0</v>
      </c>
      <c r="BR49" s="8">
        <v>0</v>
      </c>
      <c r="BS49" s="8">
        <v>0</v>
      </c>
      <c r="BT49" s="8">
        <v>0</v>
      </c>
      <c r="BU49" s="8">
        <v>0</v>
      </c>
      <c r="BV49" s="8">
        <v>0</v>
      </c>
      <c r="BW49" s="8">
        <v>0</v>
      </c>
      <c r="BX49" s="8">
        <v>0</v>
      </c>
      <c r="BY49" s="8">
        <v>0</v>
      </c>
      <c r="BZ49" s="8">
        <v>0</v>
      </c>
      <c r="CA49" s="8">
        <v>0</v>
      </c>
      <c r="CB49" s="8">
        <v>0</v>
      </c>
      <c r="CC49" s="8">
        <v>0</v>
      </c>
      <c r="CD49" s="8">
        <v>0</v>
      </c>
      <c r="CE49" s="8">
        <v>0</v>
      </c>
      <c r="CF49" s="8">
        <v>0</v>
      </c>
      <c r="CG49" s="8">
        <v>0</v>
      </c>
      <c r="CH49" s="8">
        <v>0</v>
      </c>
      <c r="CI49" s="23"/>
    </row>
    <row r="50" spans="1:87" ht="15" customHeight="1" x14ac:dyDescent="0.25">
      <c r="A50" s="7" t="s">
        <v>156</v>
      </c>
      <c r="B50" s="22"/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f>IF(Projects!$G$3="Yes",57375,0)</f>
        <v>57375</v>
      </c>
      <c r="AA50" s="8">
        <v>0</v>
      </c>
      <c r="AB50" s="8">
        <v>0</v>
      </c>
      <c r="AC50" s="8">
        <v>0</v>
      </c>
      <c r="AD50" s="8">
        <v>0</v>
      </c>
      <c r="AE50" s="8">
        <v>0</v>
      </c>
      <c r="AF50" s="8">
        <v>0</v>
      </c>
      <c r="AG50" s="8">
        <v>0</v>
      </c>
      <c r="AH50" s="8">
        <v>0</v>
      </c>
      <c r="AI50" s="8">
        <v>0</v>
      </c>
      <c r="AJ50" s="8">
        <v>0</v>
      </c>
      <c r="AK50" s="8">
        <v>0</v>
      </c>
      <c r="AL50" s="8">
        <v>0</v>
      </c>
      <c r="AM50" s="8">
        <v>0</v>
      </c>
      <c r="AN50" s="8">
        <v>0</v>
      </c>
      <c r="AO50" s="8">
        <v>0</v>
      </c>
      <c r="AP50" s="8">
        <v>0</v>
      </c>
      <c r="AQ50" s="8">
        <v>0</v>
      </c>
      <c r="AR50" s="8">
        <v>0</v>
      </c>
      <c r="AS50" s="8">
        <v>0</v>
      </c>
      <c r="AT50" s="8">
        <v>0</v>
      </c>
      <c r="AU50" s="8">
        <v>0</v>
      </c>
      <c r="AV50" s="8">
        <v>0</v>
      </c>
      <c r="AW50" s="8">
        <v>0</v>
      </c>
      <c r="AX50" s="8">
        <v>0</v>
      </c>
      <c r="AY50" s="8">
        <v>0</v>
      </c>
      <c r="AZ50" s="8">
        <v>0</v>
      </c>
      <c r="BA50" s="8">
        <v>0</v>
      </c>
      <c r="BB50" s="8">
        <v>0</v>
      </c>
      <c r="BC50" s="8">
        <v>0</v>
      </c>
      <c r="BD50" s="8">
        <v>0</v>
      </c>
      <c r="BE50" s="8">
        <v>0</v>
      </c>
      <c r="BF50" s="8">
        <v>0</v>
      </c>
      <c r="BG50" s="8">
        <v>0</v>
      </c>
      <c r="BH50" s="8">
        <v>0</v>
      </c>
      <c r="BI50" s="8">
        <v>0</v>
      </c>
      <c r="BJ50" s="8">
        <v>0</v>
      </c>
      <c r="BK50" s="8">
        <v>0</v>
      </c>
      <c r="BL50" s="8">
        <v>0</v>
      </c>
      <c r="BM50" s="8">
        <v>0</v>
      </c>
      <c r="BN50" s="8">
        <v>0</v>
      </c>
      <c r="BO50" s="8">
        <v>0</v>
      </c>
      <c r="BP50" s="8">
        <v>0</v>
      </c>
      <c r="BQ50" s="8">
        <v>0</v>
      </c>
      <c r="BR50" s="8">
        <v>0</v>
      </c>
      <c r="BS50" s="8">
        <v>0</v>
      </c>
      <c r="BT50" s="8">
        <v>0</v>
      </c>
      <c r="BU50" s="8">
        <v>0</v>
      </c>
      <c r="BV50" s="8">
        <v>0</v>
      </c>
      <c r="BW50" s="8">
        <v>0</v>
      </c>
      <c r="BX50" s="8">
        <v>0</v>
      </c>
      <c r="BY50" s="8">
        <v>0</v>
      </c>
      <c r="BZ50" s="8">
        <v>0</v>
      </c>
      <c r="CA50" s="8">
        <v>0</v>
      </c>
      <c r="CB50" s="8">
        <v>0</v>
      </c>
      <c r="CC50" s="8">
        <v>0</v>
      </c>
      <c r="CD50" s="8">
        <v>0</v>
      </c>
      <c r="CE50" s="8">
        <v>0</v>
      </c>
      <c r="CF50" s="8">
        <v>0</v>
      </c>
      <c r="CG50" s="8">
        <v>0</v>
      </c>
      <c r="CH50" s="8">
        <v>0</v>
      </c>
      <c r="CI50" s="23"/>
    </row>
    <row r="51" spans="1:87" ht="15" customHeight="1" x14ac:dyDescent="0.25">
      <c r="A51" s="7" t="s">
        <v>157</v>
      </c>
      <c r="B51" s="22"/>
      <c r="C51" s="8">
        <v>0</v>
      </c>
      <c r="D51" s="8">
        <v>0</v>
      </c>
      <c r="E51" s="8">
        <v>0</v>
      </c>
      <c r="F51" s="8">
        <v>0</v>
      </c>
      <c r="G51" s="8">
        <v>0</v>
      </c>
      <c r="H51" s="8">
        <v>0</v>
      </c>
      <c r="I51" s="8">
        <v>0</v>
      </c>
      <c r="J51" s="8">
        <v>0</v>
      </c>
      <c r="K51" s="8">
        <v>0</v>
      </c>
      <c r="L51" s="8">
        <v>0</v>
      </c>
      <c r="M51" s="8">
        <v>0</v>
      </c>
      <c r="N51" s="8">
        <v>0</v>
      </c>
      <c r="O51" s="8">
        <v>0</v>
      </c>
      <c r="P51" s="8">
        <v>0</v>
      </c>
      <c r="Q51" s="8">
        <v>0</v>
      </c>
      <c r="R51" s="8">
        <v>0</v>
      </c>
      <c r="S51" s="8">
        <v>0</v>
      </c>
      <c r="T51" s="8">
        <v>0</v>
      </c>
      <c r="U51" s="8">
        <v>0</v>
      </c>
      <c r="V51" s="8">
        <v>0</v>
      </c>
      <c r="W51" s="8">
        <v>0</v>
      </c>
      <c r="X51" s="8">
        <v>0</v>
      </c>
      <c r="Y51" s="8">
        <v>0</v>
      </c>
      <c r="Z51" s="8">
        <v>0</v>
      </c>
      <c r="AA51" s="8">
        <v>0</v>
      </c>
      <c r="AB51" s="8">
        <v>0</v>
      </c>
      <c r="AC51" s="8">
        <f>IF(Projects!$G$3="Yes",57375,0)</f>
        <v>57375</v>
      </c>
      <c r="AD51" s="8">
        <v>0</v>
      </c>
      <c r="AE51" s="8">
        <v>0</v>
      </c>
      <c r="AF51" s="8">
        <v>0</v>
      </c>
      <c r="AG51" s="8">
        <v>0</v>
      </c>
      <c r="AH51" s="8">
        <v>0</v>
      </c>
      <c r="AI51" s="8">
        <v>0</v>
      </c>
      <c r="AJ51" s="8">
        <v>0</v>
      </c>
      <c r="AK51" s="8">
        <v>0</v>
      </c>
      <c r="AL51" s="8">
        <v>0</v>
      </c>
      <c r="AM51" s="8">
        <v>0</v>
      </c>
      <c r="AN51" s="8">
        <v>0</v>
      </c>
      <c r="AO51" s="8">
        <v>0</v>
      </c>
      <c r="AP51" s="8">
        <v>0</v>
      </c>
      <c r="AQ51" s="8">
        <v>0</v>
      </c>
      <c r="AR51" s="8">
        <v>0</v>
      </c>
      <c r="AS51" s="8">
        <v>0</v>
      </c>
      <c r="AT51" s="8">
        <v>0</v>
      </c>
      <c r="AU51" s="8">
        <v>0</v>
      </c>
      <c r="AV51" s="8">
        <v>0</v>
      </c>
      <c r="AW51" s="8">
        <v>0</v>
      </c>
      <c r="AX51" s="8">
        <v>0</v>
      </c>
      <c r="AY51" s="8">
        <v>0</v>
      </c>
      <c r="AZ51" s="8">
        <v>0</v>
      </c>
      <c r="BA51" s="8">
        <v>0</v>
      </c>
      <c r="BB51" s="8">
        <v>0</v>
      </c>
      <c r="BC51" s="8">
        <v>0</v>
      </c>
      <c r="BD51" s="8">
        <v>0</v>
      </c>
      <c r="BE51" s="8">
        <v>0</v>
      </c>
      <c r="BF51" s="8">
        <v>0</v>
      </c>
      <c r="BG51" s="8">
        <v>0</v>
      </c>
      <c r="BH51" s="8">
        <v>0</v>
      </c>
      <c r="BI51" s="8">
        <v>0</v>
      </c>
      <c r="BJ51" s="8">
        <v>0</v>
      </c>
      <c r="BK51" s="8">
        <v>0</v>
      </c>
      <c r="BL51" s="8">
        <v>0</v>
      </c>
      <c r="BM51" s="8">
        <v>0</v>
      </c>
      <c r="BN51" s="8">
        <v>0</v>
      </c>
      <c r="BO51" s="8">
        <v>0</v>
      </c>
      <c r="BP51" s="8">
        <v>0</v>
      </c>
      <c r="BQ51" s="8">
        <v>0</v>
      </c>
      <c r="BR51" s="8">
        <v>0</v>
      </c>
      <c r="BS51" s="8">
        <v>0</v>
      </c>
      <c r="BT51" s="8">
        <v>0</v>
      </c>
      <c r="BU51" s="8">
        <v>0</v>
      </c>
      <c r="BV51" s="8">
        <v>0</v>
      </c>
      <c r="BW51" s="8">
        <v>0</v>
      </c>
      <c r="BX51" s="8">
        <v>0</v>
      </c>
      <c r="BY51" s="8">
        <v>0</v>
      </c>
      <c r="BZ51" s="8">
        <v>0</v>
      </c>
      <c r="CA51" s="8">
        <v>0</v>
      </c>
      <c r="CB51" s="8">
        <v>0</v>
      </c>
      <c r="CC51" s="8">
        <v>0</v>
      </c>
      <c r="CD51" s="8">
        <v>0</v>
      </c>
      <c r="CE51" s="8">
        <v>0</v>
      </c>
      <c r="CF51" s="8">
        <v>0</v>
      </c>
      <c r="CG51" s="8">
        <v>0</v>
      </c>
      <c r="CH51" s="8">
        <v>0</v>
      </c>
      <c r="CI51" s="23"/>
    </row>
    <row r="52" spans="1:87" ht="15" customHeight="1" x14ac:dyDescent="0.25">
      <c r="A52" s="7" t="s">
        <v>158</v>
      </c>
      <c r="B52" s="22"/>
      <c r="C52" s="8">
        <f>IF(Projects!$G$2="Yes",9375,0)</f>
        <v>9375</v>
      </c>
      <c r="D52" s="8">
        <f>IF(Projects!$G$2="Yes",9375,0)</f>
        <v>9375</v>
      </c>
      <c r="E52" s="8">
        <f>IF(Projects!$G$2="Yes",9375,0)</f>
        <v>9375</v>
      </c>
      <c r="F52" s="8">
        <f>IF(Projects!$G$2="Yes",9375,0)</f>
        <v>9375</v>
      </c>
      <c r="G52" s="8">
        <f>IF(Projects!$G$2="Yes",9375,0)</f>
        <v>9375</v>
      </c>
      <c r="H52" s="8">
        <f>IF(Projects!$G$2="Yes",9375,0)</f>
        <v>9375</v>
      </c>
      <c r="I52" s="8">
        <f>IF(Projects!$G$2="Yes",9375,0)</f>
        <v>9375</v>
      </c>
      <c r="J52" s="8">
        <v>0</v>
      </c>
      <c r="K52" s="8">
        <v>0</v>
      </c>
      <c r="L52" s="8">
        <v>0</v>
      </c>
      <c r="M52" s="8">
        <v>0</v>
      </c>
      <c r="N52" s="8">
        <v>0</v>
      </c>
      <c r="O52" s="8">
        <v>0</v>
      </c>
      <c r="P52" s="8">
        <v>0</v>
      </c>
      <c r="Q52" s="8">
        <v>0</v>
      </c>
      <c r="R52" s="8">
        <v>0</v>
      </c>
      <c r="S52" s="8">
        <v>0</v>
      </c>
      <c r="T52" s="8">
        <v>0</v>
      </c>
      <c r="U52" s="8">
        <v>0</v>
      </c>
      <c r="V52" s="8">
        <v>0</v>
      </c>
      <c r="W52" s="8">
        <v>0</v>
      </c>
      <c r="X52" s="8">
        <v>0</v>
      </c>
      <c r="Y52" s="8">
        <v>0</v>
      </c>
      <c r="Z52" s="8">
        <v>0</v>
      </c>
      <c r="AA52" s="8">
        <v>0</v>
      </c>
      <c r="AB52" s="8">
        <v>0</v>
      </c>
      <c r="AC52" s="8">
        <v>0</v>
      </c>
      <c r="AD52" s="8">
        <v>0</v>
      </c>
      <c r="AE52" s="8">
        <v>0</v>
      </c>
      <c r="AF52" s="8">
        <v>0</v>
      </c>
      <c r="AG52" s="8">
        <v>0</v>
      </c>
      <c r="AH52" s="8">
        <v>0</v>
      </c>
      <c r="AI52" s="8">
        <v>0</v>
      </c>
      <c r="AJ52" s="8">
        <v>0</v>
      </c>
      <c r="AK52" s="8">
        <v>0</v>
      </c>
      <c r="AL52" s="8">
        <v>0</v>
      </c>
      <c r="AM52" s="8">
        <v>0</v>
      </c>
      <c r="AN52" s="8">
        <v>0</v>
      </c>
      <c r="AO52" s="8">
        <v>0</v>
      </c>
      <c r="AP52" s="8">
        <v>0</v>
      </c>
      <c r="AQ52" s="8">
        <v>0</v>
      </c>
      <c r="AR52" s="8">
        <v>0</v>
      </c>
      <c r="AS52" s="8">
        <v>0</v>
      </c>
      <c r="AT52" s="8">
        <v>0</v>
      </c>
      <c r="AU52" s="8">
        <v>0</v>
      </c>
      <c r="AV52" s="8">
        <v>0</v>
      </c>
      <c r="AW52" s="8">
        <v>0</v>
      </c>
      <c r="AX52" s="8">
        <v>0</v>
      </c>
      <c r="AY52" s="8">
        <v>0</v>
      </c>
      <c r="AZ52" s="8">
        <v>0</v>
      </c>
      <c r="BA52" s="8">
        <v>0</v>
      </c>
      <c r="BB52" s="8">
        <v>0</v>
      </c>
      <c r="BC52" s="8">
        <v>0</v>
      </c>
      <c r="BD52" s="8">
        <v>0</v>
      </c>
      <c r="BE52" s="8">
        <v>0</v>
      </c>
      <c r="BF52" s="8">
        <v>0</v>
      </c>
      <c r="BG52" s="8">
        <v>0</v>
      </c>
      <c r="BH52" s="8">
        <v>0</v>
      </c>
      <c r="BI52" s="8">
        <v>0</v>
      </c>
      <c r="BJ52" s="8">
        <v>0</v>
      </c>
      <c r="BK52" s="8">
        <v>0</v>
      </c>
      <c r="BL52" s="8">
        <v>0</v>
      </c>
      <c r="BM52" s="8">
        <v>0</v>
      </c>
      <c r="BN52" s="8">
        <v>0</v>
      </c>
      <c r="BO52" s="8">
        <v>0</v>
      </c>
      <c r="BP52" s="8">
        <v>0</v>
      </c>
      <c r="BQ52" s="8">
        <v>0</v>
      </c>
      <c r="BR52" s="8">
        <v>0</v>
      </c>
      <c r="BS52" s="8">
        <v>0</v>
      </c>
      <c r="BT52" s="8">
        <v>0</v>
      </c>
      <c r="BU52" s="8">
        <v>0</v>
      </c>
      <c r="BV52" s="8">
        <v>0</v>
      </c>
      <c r="BW52" s="8">
        <v>0</v>
      </c>
      <c r="BX52" s="8">
        <v>0</v>
      </c>
      <c r="BY52" s="8">
        <v>0</v>
      </c>
      <c r="BZ52" s="8">
        <v>0</v>
      </c>
      <c r="CA52" s="8">
        <v>0</v>
      </c>
      <c r="CB52" s="8">
        <v>0</v>
      </c>
      <c r="CC52" s="8">
        <v>0</v>
      </c>
      <c r="CD52" s="8">
        <v>0</v>
      </c>
      <c r="CE52" s="8">
        <v>0</v>
      </c>
      <c r="CF52" s="8">
        <v>0</v>
      </c>
      <c r="CG52" s="8">
        <v>0</v>
      </c>
      <c r="CH52" s="8">
        <v>0</v>
      </c>
      <c r="CI52" s="23"/>
    </row>
    <row r="53" spans="1:87" ht="15" customHeight="1" x14ac:dyDescent="0.25">
      <c r="A53" s="7" t="s">
        <v>159</v>
      </c>
      <c r="B53" s="22"/>
      <c r="C53" s="8">
        <v>9500</v>
      </c>
      <c r="D53" s="8">
        <v>9500</v>
      </c>
      <c r="E53" s="8">
        <v>9500</v>
      </c>
      <c r="F53" s="8">
        <v>9500</v>
      </c>
      <c r="G53" s="8">
        <v>9500</v>
      </c>
      <c r="H53" s="8">
        <v>9500</v>
      </c>
      <c r="I53" s="8">
        <v>9500</v>
      </c>
      <c r="J53" s="8">
        <v>9500</v>
      </c>
      <c r="K53" s="8">
        <v>9500</v>
      </c>
      <c r="L53" s="8">
        <v>9500</v>
      </c>
      <c r="M53" s="8">
        <v>9500</v>
      </c>
      <c r="N53" s="8">
        <v>9500</v>
      </c>
      <c r="O53" s="8">
        <v>9500</v>
      </c>
      <c r="P53" s="8">
        <v>9500</v>
      </c>
      <c r="Q53" s="8">
        <v>9500</v>
      </c>
      <c r="R53" s="8">
        <v>9500</v>
      </c>
      <c r="S53" s="8">
        <v>9500</v>
      </c>
      <c r="T53" s="8">
        <v>9500</v>
      </c>
      <c r="U53" s="8">
        <v>9500</v>
      </c>
      <c r="V53" s="8">
        <v>9500</v>
      </c>
      <c r="W53" s="8">
        <v>9500</v>
      </c>
      <c r="X53" s="8">
        <v>9500</v>
      </c>
      <c r="Y53" s="8">
        <v>9500</v>
      </c>
      <c r="Z53" s="8">
        <v>9500</v>
      </c>
      <c r="AA53" s="8">
        <v>9500</v>
      </c>
      <c r="AB53" s="8">
        <v>9500</v>
      </c>
      <c r="AC53" s="8">
        <v>9500</v>
      </c>
      <c r="AD53" s="8">
        <v>9500</v>
      </c>
      <c r="AE53" s="8">
        <v>9500</v>
      </c>
      <c r="AF53" s="8">
        <v>9500</v>
      </c>
      <c r="AG53" s="8">
        <v>0</v>
      </c>
      <c r="AH53" s="8">
        <v>0</v>
      </c>
      <c r="AI53" s="8">
        <v>0</v>
      </c>
      <c r="AJ53" s="8">
        <v>0</v>
      </c>
      <c r="AK53" s="8">
        <v>0</v>
      </c>
      <c r="AL53" s="8">
        <v>0</v>
      </c>
      <c r="AM53" s="8">
        <v>0</v>
      </c>
      <c r="AN53" s="8">
        <v>0</v>
      </c>
      <c r="AO53" s="8">
        <v>0</v>
      </c>
      <c r="AP53" s="8">
        <v>0</v>
      </c>
      <c r="AQ53" s="8">
        <v>0</v>
      </c>
      <c r="AR53" s="8">
        <v>0</v>
      </c>
      <c r="AS53" s="8">
        <v>0</v>
      </c>
      <c r="AT53" s="8">
        <v>0</v>
      </c>
      <c r="AU53" s="8">
        <v>0</v>
      </c>
      <c r="AV53" s="8">
        <v>0</v>
      </c>
      <c r="AW53" s="8">
        <v>0</v>
      </c>
      <c r="AX53" s="8">
        <v>0</v>
      </c>
      <c r="AY53" s="8">
        <v>0</v>
      </c>
      <c r="AZ53" s="8">
        <v>0</v>
      </c>
      <c r="BA53" s="8">
        <v>0</v>
      </c>
      <c r="BB53" s="8">
        <v>0</v>
      </c>
      <c r="BC53" s="8">
        <v>0</v>
      </c>
      <c r="BD53" s="8">
        <v>0</v>
      </c>
      <c r="BE53" s="8">
        <v>0</v>
      </c>
      <c r="BF53" s="8">
        <v>0</v>
      </c>
      <c r="BG53" s="8">
        <v>0</v>
      </c>
      <c r="BH53" s="8">
        <v>0</v>
      </c>
      <c r="BI53" s="8">
        <v>0</v>
      </c>
      <c r="BJ53" s="8">
        <v>0</v>
      </c>
      <c r="BK53" s="8">
        <v>0</v>
      </c>
      <c r="BL53" s="8">
        <v>0</v>
      </c>
      <c r="BM53" s="8">
        <v>0</v>
      </c>
      <c r="BN53" s="8">
        <v>0</v>
      </c>
      <c r="BO53" s="8">
        <v>0</v>
      </c>
      <c r="BP53" s="8">
        <v>0</v>
      </c>
      <c r="BQ53" s="8">
        <v>0</v>
      </c>
      <c r="BR53" s="8">
        <v>0</v>
      </c>
      <c r="BS53" s="8">
        <v>0</v>
      </c>
      <c r="BT53" s="8">
        <v>0</v>
      </c>
      <c r="BU53" s="8">
        <v>0</v>
      </c>
      <c r="BV53" s="8">
        <v>0</v>
      </c>
      <c r="BW53" s="8">
        <v>0</v>
      </c>
      <c r="BX53" s="8">
        <v>0</v>
      </c>
      <c r="BY53" s="8">
        <v>0</v>
      </c>
      <c r="BZ53" s="8">
        <v>0</v>
      </c>
      <c r="CA53" s="8">
        <v>0</v>
      </c>
      <c r="CB53" s="8">
        <v>0</v>
      </c>
      <c r="CC53" s="8">
        <v>0</v>
      </c>
      <c r="CD53" s="8">
        <v>0</v>
      </c>
      <c r="CE53" s="8">
        <v>0</v>
      </c>
      <c r="CF53" s="8">
        <v>0</v>
      </c>
      <c r="CG53" s="8">
        <v>0</v>
      </c>
      <c r="CH53" s="8">
        <v>0</v>
      </c>
      <c r="CI53" s="23"/>
    </row>
    <row r="54" spans="1:87" ht="15" customHeight="1" x14ac:dyDescent="0.25">
      <c r="A54" s="7" t="s">
        <v>160</v>
      </c>
      <c r="B54" s="22"/>
      <c r="C54" s="8">
        <v>0</v>
      </c>
      <c r="D54" s="8">
        <v>0</v>
      </c>
      <c r="E54" s="8">
        <v>0</v>
      </c>
      <c r="F54" s="8">
        <v>0</v>
      </c>
      <c r="G54" s="8">
        <f>IF(Projects!$G$11="Yes",6315.79,0)</f>
        <v>0</v>
      </c>
      <c r="H54" s="8">
        <f>IF(Projects!$G$11="Yes",6315.79,0)</f>
        <v>0</v>
      </c>
      <c r="I54" s="8">
        <f>IF(Projects!$G$11="Yes",6315.79,0)</f>
        <v>0</v>
      </c>
      <c r="J54" s="8">
        <f>IF(Projects!$G$11="Yes",6315.79,0)</f>
        <v>0</v>
      </c>
      <c r="K54" s="8">
        <f>IF(Projects!$G$11="Yes",6315.79,0)</f>
        <v>0</v>
      </c>
      <c r="L54" s="8">
        <f>IF(Projects!$G$11="Yes",6315.79,0)</f>
        <v>0</v>
      </c>
      <c r="M54" s="8">
        <f>IF(Projects!$G$11="Yes",6315.79,0)</f>
        <v>0</v>
      </c>
      <c r="N54" s="8">
        <f>IF(Projects!$G$11="Yes",6315.79,0)</f>
        <v>0</v>
      </c>
      <c r="O54" s="8">
        <f>IF(Projects!$G$11="Yes",6315.79,0)</f>
        <v>0</v>
      </c>
      <c r="P54" s="8">
        <f>IF(Projects!$G$11="Yes",6315.79,0)</f>
        <v>0</v>
      </c>
      <c r="Q54" s="8">
        <f>IF(Projects!$G$11="Yes",6315.79,0)</f>
        <v>0</v>
      </c>
      <c r="R54" s="8">
        <f>IF(Projects!$G$11="Yes",6315.79,0)</f>
        <v>0</v>
      </c>
      <c r="S54" s="8">
        <f>IF(Projects!$G$11="Yes",6315.79,0)</f>
        <v>0</v>
      </c>
      <c r="T54" s="8">
        <f>IF(Projects!$G$11="Yes",6315.79,0)</f>
        <v>0</v>
      </c>
      <c r="U54" s="8">
        <f>IF(Projects!$G$11="Yes",6315.79,0)</f>
        <v>0</v>
      </c>
      <c r="V54" s="8">
        <f>IF(Projects!$G$11="Yes",6315.79,0)</f>
        <v>0</v>
      </c>
      <c r="W54" s="8">
        <f>IF(Projects!$G$11="Yes",6315.79,0)</f>
        <v>0</v>
      </c>
      <c r="X54" s="8">
        <f>IF(Projects!$G$11="Yes",6315.79,0)</f>
        <v>0</v>
      </c>
      <c r="Y54" s="8">
        <f>IF(Projects!$G$11="Yes",6315.79,0)</f>
        <v>0</v>
      </c>
      <c r="Z54" s="8">
        <v>0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8">
        <v>0</v>
      </c>
      <c r="AH54" s="8">
        <v>0</v>
      </c>
      <c r="AI54" s="8">
        <v>0</v>
      </c>
      <c r="AJ54" s="8">
        <v>0</v>
      </c>
      <c r="AK54" s="8">
        <v>0</v>
      </c>
      <c r="AL54" s="8">
        <v>0</v>
      </c>
      <c r="AM54" s="8">
        <v>0</v>
      </c>
      <c r="AN54" s="8">
        <v>0</v>
      </c>
      <c r="AO54" s="8">
        <v>0</v>
      </c>
      <c r="AP54" s="8">
        <v>0</v>
      </c>
      <c r="AQ54" s="8">
        <v>0</v>
      </c>
      <c r="AR54" s="8">
        <v>0</v>
      </c>
      <c r="AS54" s="8">
        <v>0</v>
      </c>
      <c r="AT54" s="8">
        <v>0</v>
      </c>
      <c r="AU54" s="8">
        <v>0</v>
      </c>
      <c r="AV54" s="8">
        <v>0</v>
      </c>
      <c r="AW54" s="8">
        <v>0</v>
      </c>
      <c r="AX54" s="8">
        <v>0</v>
      </c>
      <c r="AY54" s="8">
        <v>0</v>
      </c>
      <c r="AZ54" s="8">
        <v>0</v>
      </c>
      <c r="BA54" s="8">
        <v>0</v>
      </c>
      <c r="BB54" s="8">
        <v>0</v>
      </c>
      <c r="BC54" s="8">
        <v>0</v>
      </c>
      <c r="BD54" s="8">
        <v>0</v>
      </c>
      <c r="BE54" s="8">
        <v>0</v>
      </c>
      <c r="BF54" s="8">
        <v>0</v>
      </c>
      <c r="BG54" s="8">
        <v>0</v>
      </c>
      <c r="BH54" s="8">
        <v>0</v>
      </c>
      <c r="BI54" s="8">
        <v>0</v>
      </c>
      <c r="BJ54" s="8">
        <v>0</v>
      </c>
      <c r="BK54" s="8">
        <v>0</v>
      </c>
      <c r="BL54" s="8">
        <v>0</v>
      </c>
      <c r="BM54" s="8">
        <v>0</v>
      </c>
      <c r="BN54" s="8">
        <v>0</v>
      </c>
      <c r="BO54" s="8">
        <v>0</v>
      </c>
      <c r="BP54" s="8">
        <v>0</v>
      </c>
      <c r="BQ54" s="8">
        <v>0</v>
      </c>
      <c r="BR54" s="8">
        <v>0</v>
      </c>
      <c r="BS54" s="8">
        <v>0</v>
      </c>
      <c r="BT54" s="8">
        <v>0</v>
      </c>
      <c r="BU54" s="8">
        <v>0</v>
      </c>
      <c r="BV54" s="8">
        <v>0</v>
      </c>
      <c r="BW54" s="8">
        <v>0</v>
      </c>
      <c r="BX54" s="8">
        <v>0</v>
      </c>
      <c r="BY54" s="8">
        <v>0</v>
      </c>
      <c r="BZ54" s="8">
        <v>0</v>
      </c>
      <c r="CA54" s="8">
        <v>0</v>
      </c>
      <c r="CB54" s="8">
        <v>0</v>
      </c>
      <c r="CC54" s="8">
        <v>0</v>
      </c>
      <c r="CD54" s="8">
        <v>0</v>
      </c>
      <c r="CE54" s="8">
        <v>0</v>
      </c>
      <c r="CF54" s="8">
        <v>0</v>
      </c>
      <c r="CG54" s="8">
        <v>0</v>
      </c>
      <c r="CH54" s="8">
        <v>0</v>
      </c>
      <c r="CI54" s="23"/>
    </row>
    <row r="55" spans="1:87" ht="15" customHeight="1" x14ac:dyDescent="0.25">
      <c r="A55" s="7" t="s">
        <v>161</v>
      </c>
      <c r="B55" s="22"/>
      <c r="C55" s="8">
        <v>0</v>
      </c>
      <c r="D55" s="8">
        <v>0</v>
      </c>
      <c r="E55" s="8">
        <v>0</v>
      </c>
      <c r="F55" s="8">
        <v>0</v>
      </c>
      <c r="G55" s="8">
        <f>IF(Projects!$G$11="Yes",6315.79,0)</f>
        <v>0</v>
      </c>
      <c r="H55" s="8">
        <f>IF(Projects!$G$11="Yes",6315.79,0)</f>
        <v>0</v>
      </c>
      <c r="I55" s="8">
        <f>IF(Projects!$G$11="Yes",6315.79,0)</f>
        <v>0</v>
      </c>
      <c r="J55" s="8">
        <f>IF(Projects!$G$11="Yes",6315.79,0)</f>
        <v>0</v>
      </c>
      <c r="K55" s="8">
        <f>IF(Projects!$G$11="Yes",6315.79,0)</f>
        <v>0</v>
      </c>
      <c r="L55" s="8">
        <f>IF(Projects!$G$11="Yes",6315.79,0)</f>
        <v>0</v>
      </c>
      <c r="M55" s="8">
        <f>IF(Projects!$G$11="Yes",6315.79,0)</f>
        <v>0</v>
      </c>
      <c r="N55" s="8">
        <f>IF(Projects!$G$11="Yes",6315.79,0)</f>
        <v>0</v>
      </c>
      <c r="O55" s="8">
        <f>IF(Projects!$G$11="Yes",6315.79,0)</f>
        <v>0</v>
      </c>
      <c r="P55" s="8">
        <f>IF(Projects!$G$11="Yes",6315.79,0)</f>
        <v>0</v>
      </c>
      <c r="Q55" s="8">
        <f>IF(Projects!$G$11="Yes",6315.79,0)</f>
        <v>0</v>
      </c>
      <c r="R55" s="8">
        <f>IF(Projects!$G$11="Yes",6315.79,0)</f>
        <v>0</v>
      </c>
      <c r="S55" s="8">
        <f>IF(Projects!$G$11="Yes",6315.79,0)</f>
        <v>0</v>
      </c>
      <c r="T55" s="8">
        <f>IF(Projects!$G$11="Yes",6315.79,0)</f>
        <v>0</v>
      </c>
      <c r="U55" s="8">
        <f>IF(Projects!$G$11="Yes",6315.79,0)</f>
        <v>0</v>
      </c>
      <c r="V55" s="8">
        <f>IF(Projects!$G$11="Yes",6315.79,0)</f>
        <v>0</v>
      </c>
      <c r="W55" s="8">
        <f>IF(Projects!$G$11="Yes",6315.79,0)</f>
        <v>0</v>
      </c>
      <c r="X55" s="8">
        <f>IF(Projects!$G$11="Yes",6315.79,0)</f>
        <v>0</v>
      </c>
      <c r="Y55" s="8">
        <f>IF(Projects!$G$11="Yes",6315.79,0)</f>
        <v>0</v>
      </c>
      <c r="Z55" s="8">
        <v>0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 s="8">
        <v>0</v>
      </c>
      <c r="AG55" s="8">
        <v>0</v>
      </c>
      <c r="AH55" s="8">
        <v>0</v>
      </c>
      <c r="AI55" s="8">
        <v>0</v>
      </c>
      <c r="AJ55" s="8">
        <v>0</v>
      </c>
      <c r="AK55" s="8">
        <v>0</v>
      </c>
      <c r="AL55" s="8">
        <v>0</v>
      </c>
      <c r="AM55" s="8">
        <v>0</v>
      </c>
      <c r="AN55" s="8">
        <v>0</v>
      </c>
      <c r="AO55" s="8">
        <v>0</v>
      </c>
      <c r="AP55" s="8">
        <v>0</v>
      </c>
      <c r="AQ55" s="8">
        <v>0</v>
      </c>
      <c r="AR55" s="8">
        <v>0</v>
      </c>
      <c r="AS55" s="8">
        <v>0</v>
      </c>
      <c r="AT55" s="8">
        <v>0</v>
      </c>
      <c r="AU55" s="8">
        <v>0</v>
      </c>
      <c r="AV55" s="8">
        <v>0</v>
      </c>
      <c r="AW55" s="8">
        <v>0</v>
      </c>
      <c r="AX55" s="8">
        <v>0</v>
      </c>
      <c r="AY55" s="8">
        <v>0</v>
      </c>
      <c r="AZ55" s="8">
        <v>0</v>
      </c>
      <c r="BA55" s="8">
        <v>0</v>
      </c>
      <c r="BB55" s="8">
        <v>0</v>
      </c>
      <c r="BC55" s="8">
        <v>0</v>
      </c>
      <c r="BD55" s="8">
        <v>0</v>
      </c>
      <c r="BE55" s="8">
        <v>0</v>
      </c>
      <c r="BF55" s="8">
        <v>0</v>
      </c>
      <c r="BG55" s="8">
        <v>0</v>
      </c>
      <c r="BH55" s="8">
        <v>0</v>
      </c>
      <c r="BI55" s="8">
        <v>0</v>
      </c>
      <c r="BJ55" s="8">
        <v>0</v>
      </c>
      <c r="BK55" s="8">
        <v>0</v>
      </c>
      <c r="BL55" s="8">
        <v>0</v>
      </c>
      <c r="BM55" s="8">
        <v>0</v>
      </c>
      <c r="BN55" s="8">
        <v>0</v>
      </c>
      <c r="BO55" s="8">
        <v>0</v>
      </c>
      <c r="BP55" s="8">
        <v>0</v>
      </c>
      <c r="BQ55" s="8">
        <v>0</v>
      </c>
      <c r="BR55" s="8">
        <v>0</v>
      </c>
      <c r="BS55" s="8">
        <v>0</v>
      </c>
      <c r="BT55" s="8">
        <v>0</v>
      </c>
      <c r="BU55" s="8">
        <v>0</v>
      </c>
      <c r="BV55" s="8">
        <v>0</v>
      </c>
      <c r="BW55" s="8">
        <v>0</v>
      </c>
      <c r="BX55" s="8">
        <v>0</v>
      </c>
      <c r="BY55" s="8">
        <v>0</v>
      </c>
      <c r="BZ55" s="8">
        <v>0</v>
      </c>
      <c r="CA55" s="8">
        <v>0</v>
      </c>
      <c r="CB55" s="8">
        <v>0</v>
      </c>
      <c r="CC55" s="8">
        <v>0</v>
      </c>
      <c r="CD55" s="8">
        <v>0</v>
      </c>
      <c r="CE55" s="8">
        <v>0</v>
      </c>
      <c r="CF55" s="8">
        <v>0</v>
      </c>
      <c r="CG55" s="8">
        <v>0</v>
      </c>
      <c r="CH55" s="8">
        <v>0</v>
      </c>
      <c r="CI55" s="23"/>
    </row>
    <row r="56" spans="1:87" ht="15" customHeight="1" x14ac:dyDescent="0.25">
      <c r="A56" s="7" t="s">
        <v>162</v>
      </c>
      <c r="B56" s="22"/>
      <c r="C56" s="8">
        <v>0</v>
      </c>
      <c r="D56" s="8">
        <v>0</v>
      </c>
      <c r="E56" s="8">
        <v>0</v>
      </c>
      <c r="F56" s="8">
        <v>0</v>
      </c>
      <c r="G56" s="8">
        <f>IF(Projects!$G$11="Yes",253980,0)</f>
        <v>0</v>
      </c>
      <c r="H56" s="8">
        <v>0</v>
      </c>
      <c r="I56" s="8">
        <v>0</v>
      </c>
      <c r="J56" s="8">
        <v>0</v>
      </c>
      <c r="K56" s="8">
        <v>0</v>
      </c>
      <c r="L56" s="8">
        <v>0</v>
      </c>
      <c r="M56" s="8">
        <v>0</v>
      </c>
      <c r="N56" s="8">
        <v>0</v>
      </c>
      <c r="O56" s="8">
        <v>0</v>
      </c>
      <c r="P56" s="8">
        <v>0</v>
      </c>
      <c r="Q56" s="8">
        <v>0</v>
      </c>
      <c r="R56" s="8">
        <v>0</v>
      </c>
      <c r="S56" s="8">
        <v>0</v>
      </c>
      <c r="T56" s="8">
        <v>0</v>
      </c>
      <c r="U56" s="8">
        <v>0</v>
      </c>
      <c r="V56" s="8">
        <v>0</v>
      </c>
      <c r="W56" s="8">
        <v>0</v>
      </c>
      <c r="X56" s="8">
        <v>0</v>
      </c>
      <c r="Y56" s="8">
        <v>0</v>
      </c>
      <c r="Z56" s="8">
        <v>0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8">
        <v>0</v>
      </c>
      <c r="AH56" s="8">
        <v>0</v>
      </c>
      <c r="AI56" s="8">
        <v>0</v>
      </c>
      <c r="AJ56" s="8">
        <v>0</v>
      </c>
      <c r="AK56" s="8">
        <v>0</v>
      </c>
      <c r="AL56" s="8">
        <v>0</v>
      </c>
      <c r="AM56" s="8">
        <v>0</v>
      </c>
      <c r="AN56" s="8">
        <v>0</v>
      </c>
      <c r="AO56" s="8">
        <v>0</v>
      </c>
      <c r="AP56" s="8">
        <v>0</v>
      </c>
      <c r="AQ56" s="8">
        <v>0</v>
      </c>
      <c r="AR56" s="8">
        <v>0</v>
      </c>
      <c r="AS56" s="8">
        <v>0</v>
      </c>
      <c r="AT56" s="8">
        <v>0</v>
      </c>
      <c r="AU56" s="8">
        <v>0</v>
      </c>
      <c r="AV56" s="8">
        <v>0</v>
      </c>
      <c r="AW56" s="8">
        <v>0</v>
      </c>
      <c r="AX56" s="8">
        <v>0</v>
      </c>
      <c r="AY56" s="8">
        <v>0</v>
      </c>
      <c r="AZ56" s="8">
        <v>0</v>
      </c>
      <c r="BA56" s="8">
        <v>0</v>
      </c>
      <c r="BB56" s="8">
        <v>0</v>
      </c>
      <c r="BC56" s="8">
        <v>0</v>
      </c>
      <c r="BD56" s="8">
        <v>0</v>
      </c>
      <c r="BE56" s="8">
        <v>0</v>
      </c>
      <c r="BF56" s="8">
        <v>0</v>
      </c>
      <c r="BG56" s="8">
        <v>0</v>
      </c>
      <c r="BH56" s="8">
        <v>0</v>
      </c>
      <c r="BI56" s="8">
        <v>0</v>
      </c>
      <c r="BJ56" s="8">
        <v>0</v>
      </c>
      <c r="BK56" s="8">
        <v>0</v>
      </c>
      <c r="BL56" s="8">
        <v>0</v>
      </c>
      <c r="BM56" s="8">
        <v>0</v>
      </c>
      <c r="BN56" s="8">
        <v>0</v>
      </c>
      <c r="BO56" s="8">
        <v>0</v>
      </c>
      <c r="BP56" s="8">
        <v>0</v>
      </c>
      <c r="BQ56" s="8">
        <v>0</v>
      </c>
      <c r="BR56" s="8">
        <v>0</v>
      </c>
      <c r="BS56" s="8">
        <v>0</v>
      </c>
      <c r="BT56" s="8">
        <v>0</v>
      </c>
      <c r="BU56" s="8">
        <v>0</v>
      </c>
      <c r="BV56" s="8">
        <v>0</v>
      </c>
      <c r="BW56" s="8">
        <v>0</v>
      </c>
      <c r="BX56" s="8">
        <v>0</v>
      </c>
      <c r="BY56" s="8">
        <v>0</v>
      </c>
      <c r="BZ56" s="8">
        <v>0</v>
      </c>
      <c r="CA56" s="8">
        <v>0</v>
      </c>
      <c r="CB56" s="8">
        <v>0</v>
      </c>
      <c r="CC56" s="8">
        <v>0</v>
      </c>
      <c r="CD56" s="8">
        <v>0</v>
      </c>
      <c r="CE56" s="8">
        <v>0</v>
      </c>
      <c r="CF56" s="8">
        <v>0</v>
      </c>
      <c r="CG56" s="8">
        <v>0</v>
      </c>
      <c r="CH56" s="8">
        <v>0</v>
      </c>
      <c r="CI56" s="23"/>
    </row>
    <row r="57" spans="1:87" ht="15" customHeight="1" x14ac:dyDescent="0.25">
      <c r="A57" s="7" t="s">
        <v>163</v>
      </c>
      <c r="B57" s="22"/>
      <c r="C57" s="8">
        <v>0</v>
      </c>
      <c r="D57" s="8">
        <v>0</v>
      </c>
      <c r="E57" s="8">
        <v>0</v>
      </c>
      <c r="F57" s="8">
        <v>0</v>
      </c>
      <c r="G57" s="8">
        <v>0</v>
      </c>
      <c r="H57" s="8">
        <f>IF(Projects!$G$12="Yes",6315.79,0)</f>
        <v>0</v>
      </c>
      <c r="I57" s="8">
        <f>IF(Projects!$G$12="Yes",6315.79,0)</f>
        <v>0</v>
      </c>
      <c r="J57" s="8">
        <f>IF(Projects!$G$12="Yes",6315.79,0)</f>
        <v>0</v>
      </c>
      <c r="K57" s="8">
        <f>IF(Projects!$G$12="Yes",6315.79,0)</f>
        <v>0</v>
      </c>
      <c r="L57" s="8">
        <f>IF(Projects!$G$12="Yes",6315.79,0)</f>
        <v>0</v>
      </c>
      <c r="M57" s="8">
        <f>IF(Projects!$G$12="Yes",6315.79,0)</f>
        <v>0</v>
      </c>
      <c r="N57" s="8">
        <f>IF(Projects!$G$12="Yes",6315.79,0)</f>
        <v>0</v>
      </c>
      <c r="O57" s="8">
        <f>IF(Projects!$G$12="Yes",6315.79,0)</f>
        <v>0</v>
      </c>
      <c r="P57" s="8">
        <f>IF(Projects!$G$12="Yes",6315.79,0)</f>
        <v>0</v>
      </c>
      <c r="Q57" s="8">
        <f>IF(Projects!$G$12="Yes",6315.79,0)</f>
        <v>0</v>
      </c>
      <c r="R57" s="8">
        <f>IF(Projects!$G$12="Yes",6315.79,0)</f>
        <v>0</v>
      </c>
      <c r="S57" s="8">
        <f>IF(Projects!$G$12="Yes",6315.79,0)</f>
        <v>0</v>
      </c>
      <c r="T57" s="8">
        <f>IF(Projects!$G$12="Yes",6315.79,0)</f>
        <v>0</v>
      </c>
      <c r="U57" s="8">
        <f>IF(Projects!$G$12="Yes",6315.79,0)</f>
        <v>0</v>
      </c>
      <c r="V57" s="8">
        <f>IF(Projects!$G$12="Yes",6315.79,0)</f>
        <v>0</v>
      </c>
      <c r="W57" s="8">
        <f>IF(Projects!$G$12="Yes",6315.79,0)</f>
        <v>0</v>
      </c>
      <c r="X57" s="8">
        <f>IF(Projects!$G$12="Yes",6315.79,0)</f>
        <v>0</v>
      </c>
      <c r="Y57" s="8">
        <f>IF(Projects!$G$12="Yes",6315.79,0)</f>
        <v>0</v>
      </c>
      <c r="Z57" s="8">
        <f>IF(Projects!$G$12="Yes",6315.79,0)</f>
        <v>0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>
        <v>0</v>
      </c>
      <c r="AG57" s="8">
        <v>0</v>
      </c>
      <c r="AH57" s="8">
        <v>0</v>
      </c>
      <c r="AI57" s="8">
        <v>0</v>
      </c>
      <c r="AJ57" s="8">
        <v>0</v>
      </c>
      <c r="AK57" s="8">
        <v>0</v>
      </c>
      <c r="AL57" s="8">
        <v>0</v>
      </c>
      <c r="AM57" s="8">
        <v>0</v>
      </c>
      <c r="AN57" s="8">
        <v>0</v>
      </c>
      <c r="AO57" s="8">
        <v>0</v>
      </c>
      <c r="AP57" s="8">
        <v>0</v>
      </c>
      <c r="AQ57" s="8">
        <v>0</v>
      </c>
      <c r="AR57" s="8">
        <v>0</v>
      </c>
      <c r="AS57" s="8">
        <v>0</v>
      </c>
      <c r="AT57" s="8">
        <v>0</v>
      </c>
      <c r="AU57" s="8">
        <v>0</v>
      </c>
      <c r="AV57" s="8">
        <v>0</v>
      </c>
      <c r="AW57" s="8">
        <v>0</v>
      </c>
      <c r="AX57" s="8">
        <v>0</v>
      </c>
      <c r="AY57" s="8">
        <v>0</v>
      </c>
      <c r="AZ57" s="8">
        <v>0</v>
      </c>
      <c r="BA57" s="8">
        <v>0</v>
      </c>
      <c r="BB57" s="8">
        <v>0</v>
      </c>
      <c r="BC57" s="8">
        <v>0</v>
      </c>
      <c r="BD57" s="8">
        <v>0</v>
      </c>
      <c r="BE57" s="8">
        <v>0</v>
      </c>
      <c r="BF57" s="8">
        <v>0</v>
      </c>
      <c r="BG57" s="8">
        <v>0</v>
      </c>
      <c r="BH57" s="8">
        <v>0</v>
      </c>
      <c r="BI57" s="8">
        <v>0</v>
      </c>
      <c r="BJ57" s="8">
        <v>0</v>
      </c>
      <c r="BK57" s="8">
        <v>0</v>
      </c>
      <c r="BL57" s="8">
        <v>0</v>
      </c>
      <c r="BM57" s="8">
        <v>0</v>
      </c>
      <c r="BN57" s="8">
        <v>0</v>
      </c>
      <c r="BO57" s="8">
        <v>0</v>
      </c>
      <c r="BP57" s="8">
        <v>0</v>
      </c>
      <c r="BQ57" s="8">
        <v>0</v>
      </c>
      <c r="BR57" s="8">
        <v>0</v>
      </c>
      <c r="BS57" s="8">
        <v>0</v>
      </c>
      <c r="BT57" s="8">
        <v>0</v>
      </c>
      <c r="BU57" s="8">
        <v>0</v>
      </c>
      <c r="BV57" s="8">
        <v>0</v>
      </c>
      <c r="BW57" s="8">
        <v>0</v>
      </c>
      <c r="BX57" s="8">
        <v>0</v>
      </c>
      <c r="BY57" s="8">
        <v>0</v>
      </c>
      <c r="BZ57" s="8">
        <v>0</v>
      </c>
      <c r="CA57" s="8">
        <v>0</v>
      </c>
      <c r="CB57" s="8">
        <v>0</v>
      </c>
      <c r="CC57" s="8">
        <v>0</v>
      </c>
      <c r="CD57" s="8">
        <v>0</v>
      </c>
      <c r="CE57" s="8">
        <v>0</v>
      </c>
      <c r="CF57" s="8">
        <v>0</v>
      </c>
      <c r="CG57" s="8">
        <v>0</v>
      </c>
      <c r="CH57" s="8">
        <v>0</v>
      </c>
      <c r="CI57" s="23"/>
    </row>
    <row r="58" spans="1:87" ht="15" customHeight="1" x14ac:dyDescent="0.25">
      <c r="A58" s="7" t="s">
        <v>164</v>
      </c>
      <c r="B58" s="22"/>
      <c r="C58" s="8">
        <v>0</v>
      </c>
      <c r="D58" s="8">
        <v>0</v>
      </c>
      <c r="E58" s="8">
        <v>0</v>
      </c>
      <c r="F58" s="8">
        <v>0</v>
      </c>
      <c r="G58" s="8">
        <v>0</v>
      </c>
      <c r="H58" s="8">
        <f>IF(Projects!$G$12="Yes",4736.84,0)</f>
        <v>0</v>
      </c>
      <c r="I58" s="8">
        <f>IF(Projects!$G$12="Yes",4736.84,0)</f>
        <v>0</v>
      </c>
      <c r="J58" s="8">
        <f>IF(Projects!$G$12="Yes",4736.84,0)</f>
        <v>0</v>
      </c>
      <c r="K58" s="8">
        <f>IF(Projects!$G$12="Yes",4736.84,0)</f>
        <v>0</v>
      </c>
      <c r="L58" s="8">
        <f>IF(Projects!$G$12="Yes",4736.84,0)</f>
        <v>0</v>
      </c>
      <c r="M58" s="8">
        <f>IF(Projects!$G$12="Yes",4736.84,0)</f>
        <v>0</v>
      </c>
      <c r="N58" s="8">
        <f>IF(Projects!$G$12="Yes",4736.84,0)</f>
        <v>0</v>
      </c>
      <c r="O58" s="8">
        <f>IF(Projects!$G$12="Yes",4736.84,0)</f>
        <v>0</v>
      </c>
      <c r="P58" s="8">
        <f>IF(Projects!$G$12="Yes",4736.84,0)</f>
        <v>0</v>
      </c>
      <c r="Q58" s="8">
        <f>IF(Projects!$G$12="Yes",4736.84,0)</f>
        <v>0</v>
      </c>
      <c r="R58" s="8">
        <f>IF(Projects!$G$12="Yes",4736.84,0)</f>
        <v>0</v>
      </c>
      <c r="S58" s="8">
        <f>IF(Projects!$G$12="Yes",4736.84,0)</f>
        <v>0</v>
      </c>
      <c r="T58" s="8">
        <f>IF(Projects!$G$12="Yes",4736.84,0)</f>
        <v>0</v>
      </c>
      <c r="U58" s="8">
        <f>IF(Projects!$G$12="Yes",4736.84,0)</f>
        <v>0</v>
      </c>
      <c r="V58" s="8">
        <f>IF(Projects!$G$12="Yes",4736.84,0)</f>
        <v>0</v>
      </c>
      <c r="W58" s="8">
        <f>IF(Projects!$G$12="Yes",4736.84,0)</f>
        <v>0</v>
      </c>
      <c r="X58" s="8">
        <f>IF(Projects!$G$12="Yes",4736.84,0)</f>
        <v>0</v>
      </c>
      <c r="Y58" s="8">
        <f>IF(Projects!$G$12="Yes",4736.84,0)</f>
        <v>0</v>
      </c>
      <c r="Z58" s="8">
        <f>IF(Projects!$G$12="Yes",4736.84,0)</f>
        <v>0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8">
        <v>0</v>
      </c>
      <c r="AH58" s="8">
        <v>0</v>
      </c>
      <c r="AI58" s="8">
        <v>0</v>
      </c>
      <c r="AJ58" s="8">
        <v>0</v>
      </c>
      <c r="AK58" s="8">
        <v>0</v>
      </c>
      <c r="AL58" s="8">
        <v>0</v>
      </c>
      <c r="AM58" s="8">
        <v>0</v>
      </c>
      <c r="AN58" s="8">
        <v>0</v>
      </c>
      <c r="AO58" s="8">
        <v>0</v>
      </c>
      <c r="AP58" s="8">
        <v>0</v>
      </c>
      <c r="AQ58" s="8">
        <v>0</v>
      </c>
      <c r="AR58" s="8">
        <v>0</v>
      </c>
      <c r="AS58" s="8">
        <v>0</v>
      </c>
      <c r="AT58" s="8">
        <v>0</v>
      </c>
      <c r="AU58" s="8">
        <v>0</v>
      </c>
      <c r="AV58" s="8">
        <v>0</v>
      </c>
      <c r="AW58" s="8">
        <v>0</v>
      </c>
      <c r="AX58" s="8">
        <v>0</v>
      </c>
      <c r="AY58" s="8">
        <v>0</v>
      </c>
      <c r="AZ58" s="8">
        <v>0</v>
      </c>
      <c r="BA58" s="8">
        <v>0</v>
      </c>
      <c r="BB58" s="8">
        <v>0</v>
      </c>
      <c r="BC58" s="8">
        <v>0</v>
      </c>
      <c r="BD58" s="8">
        <v>0</v>
      </c>
      <c r="BE58" s="8">
        <v>0</v>
      </c>
      <c r="BF58" s="8">
        <v>0</v>
      </c>
      <c r="BG58" s="8">
        <v>0</v>
      </c>
      <c r="BH58" s="8">
        <v>0</v>
      </c>
      <c r="BI58" s="8">
        <v>0</v>
      </c>
      <c r="BJ58" s="8">
        <v>0</v>
      </c>
      <c r="BK58" s="8">
        <v>0</v>
      </c>
      <c r="BL58" s="8">
        <v>0</v>
      </c>
      <c r="BM58" s="8">
        <v>0</v>
      </c>
      <c r="BN58" s="8">
        <v>0</v>
      </c>
      <c r="BO58" s="8">
        <v>0</v>
      </c>
      <c r="BP58" s="8">
        <v>0</v>
      </c>
      <c r="BQ58" s="8">
        <v>0</v>
      </c>
      <c r="BR58" s="8">
        <v>0</v>
      </c>
      <c r="BS58" s="8">
        <v>0</v>
      </c>
      <c r="BT58" s="8">
        <v>0</v>
      </c>
      <c r="BU58" s="8">
        <v>0</v>
      </c>
      <c r="BV58" s="8">
        <v>0</v>
      </c>
      <c r="BW58" s="8">
        <v>0</v>
      </c>
      <c r="BX58" s="8">
        <v>0</v>
      </c>
      <c r="BY58" s="8">
        <v>0</v>
      </c>
      <c r="BZ58" s="8">
        <v>0</v>
      </c>
      <c r="CA58" s="8">
        <v>0</v>
      </c>
      <c r="CB58" s="8">
        <v>0</v>
      </c>
      <c r="CC58" s="8">
        <v>0</v>
      </c>
      <c r="CD58" s="8">
        <v>0</v>
      </c>
      <c r="CE58" s="8">
        <v>0</v>
      </c>
      <c r="CF58" s="8">
        <v>0</v>
      </c>
      <c r="CG58" s="8">
        <v>0</v>
      </c>
      <c r="CH58" s="8">
        <v>0</v>
      </c>
      <c r="CI58" s="23"/>
    </row>
    <row r="59" spans="1:87" ht="15" customHeight="1" x14ac:dyDescent="0.25">
      <c r="A59" s="7" t="s">
        <v>165</v>
      </c>
      <c r="B59" s="22"/>
      <c r="C59" s="8">
        <v>0</v>
      </c>
      <c r="D59" s="8">
        <v>0</v>
      </c>
      <c r="E59" s="8">
        <v>0</v>
      </c>
      <c r="F59" s="8">
        <v>0</v>
      </c>
      <c r="G59" s="8">
        <v>0</v>
      </c>
      <c r="H59" s="8">
        <f>IF(Projects!$G$12="Yes",181745,0)</f>
        <v>0</v>
      </c>
      <c r="I59" s="8">
        <v>0</v>
      </c>
      <c r="J59" s="8">
        <v>0</v>
      </c>
      <c r="K59" s="8">
        <v>0</v>
      </c>
      <c r="L59" s="8">
        <v>0</v>
      </c>
      <c r="M59" s="8">
        <v>0</v>
      </c>
      <c r="N59" s="8">
        <v>0</v>
      </c>
      <c r="O59" s="8">
        <v>0</v>
      </c>
      <c r="P59" s="8">
        <v>0</v>
      </c>
      <c r="Q59" s="8">
        <v>0</v>
      </c>
      <c r="R59" s="8">
        <v>0</v>
      </c>
      <c r="S59" s="8">
        <v>0</v>
      </c>
      <c r="T59" s="8">
        <v>0</v>
      </c>
      <c r="U59" s="8">
        <v>0</v>
      </c>
      <c r="V59" s="8">
        <v>0</v>
      </c>
      <c r="W59" s="8">
        <v>0</v>
      </c>
      <c r="X59" s="8">
        <v>0</v>
      </c>
      <c r="Y59" s="8">
        <v>0</v>
      </c>
      <c r="Z59" s="8">
        <v>0</v>
      </c>
      <c r="AA59" s="8">
        <v>0</v>
      </c>
      <c r="AB59" s="8">
        <v>0</v>
      </c>
      <c r="AC59" s="8">
        <v>0</v>
      </c>
      <c r="AD59" s="8">
        <v>0</v>
      </c>
      <c r="AE59" s="8">
        <v>0</v>
      </c>
      <c r="AF59" s="8">
        <v>0</v>
      </c>
      <c r="AG59" s="8">
        <v>0</v>
      </c>
      <c r="AH59" s="8">
        <v>0</v>
      </c>
      <c r="AI59" s="8">
        <v>0</v>
      </c>
      <c r="AJ59" s="8">
        <v>0</v>
      </c>
      <c r="AK59" s="8">
        <v>0</v>
      </c>
      <c r="AL59" s="8">
        <v>0</v>
      </c>
      <c r="AM59" s="8">
        <v>0</v>
      </c>
      <c r="AN59" s="8">
        <v>0</v>
      </c>
      <c r="AO59" s="8">
        <v>0</v>
      </c>
      <c r="AP59" s="8">
        <v>0</v>
      </c>
      <c r="AQ59" s="8">
        <v>0</v>
      </c>
      <c r="AR59" s="8">
        <v>0</v>
      </c>
      <c r="AS59" s="8">
        <v>0</v>
      </c>
      <c r="AT59" s="8">
        <v>0</v>
      </c>
      <c r="AU59" s="8">
        <v>0</v>
      </c>
      <c r="AV59" s="8">
        <v>0</v>
      </c>
      <c r="AW59" s="8">
        <v>0</v>
      </c>
      <c r="AX59" s="8">
        <v>0</v>
      </c>
      <c r="AY59" s="8">
        <v>0</v>
      </c>
      <c r="AZ59" s="8">
        <v>0</v>
      </c>
      <c r="BA59" s="8">
        <v>0</v>
      </c>
      <c r="BB59" s="8">
        <v>0</v>
      </c>
      <c r="BC59" s="8">
        <v>0</v>
      </c>
      <c r="BD59" s="8">
        <v>0</v>
      </c>
      <c r="BE59" s="8">
        <v>0</v>
      </c>
      <c r="BF59" s="8">
        <v>0</v>
      </c>
      <c r="BG59" s="8">
        <v>0</v>
      </c>
      <c r="BH59" s="8">
        <v>0</v>
      </c>
      <c r="BI59" s="8">
        <v>0</v>
      </c>
      <c r="BJ59" s="8">
        <v>0</v>
      </c>
      <c r="BK59" s="8">
        <v>0</v>
      </c>
      <c r="BL59" s="8">
        <v>0</v>
      </c>
      <c r="BM59" s="8">
        <v>0</v>
      </c>
      <c r="BN59" s="8">
        <v>0</v>
      </c>
      <c r="BO59" s="8">
        <v>0</v>
      </c>
      <c r="BP59" s="8">
        <v>0</v>
      </c>
      <c r="BQ59" s="8">
        <v>0</v>
      </c>
      <c r="BR59" s="8">
        <v>0</v>
      </c>
      <c r="BS59" s="8">
        <v>0</v>
      </c>
      <c r="BT59" s="8">
        <v>0</v>
      </c>
      <c r="BU59" s="8">
        <v>0</v>
      </c>
      <c r="BV59" s="8">
        <v>0</v>
      </c>
      <c r="BW59" s="8">
        <v>0</v>
      </c>
      <c r="BX59" s="8">
        <v>0</v>
      </c>
      <c r="BY59" s="8">
        <v>0</v>
      </c>
      <c r="BZ59" s="8">
        <v>0</v>
      </c>
      <c r="CA59" s="8">
        <v>0</v>
      </c>
      <c r="CB59" s="8">
        <v>0</v>
      </c>
      <c r="CC59" s="8">
        <v>0</v>
      </c>
      <c r="CD59" s="8">
        <v>0</v>
      </c>
      <c r="CE59" s="8">
        <v>0</v>
      </c>
      <c r="CF59" s="8">
        <v>0</v>
      </c>
      <c r="CG59" s="8">
        <v>0</v>
      </c>
      <c r="CH59" s="8">
        <v>0</v>
      </c>
      <c r="CI59" s="23"/>
    </row>
    <row r="60" spans="1:87" ht="15" customHeight="1" x14ac:dyDescent="0.25">
      <c r="A60" s="7" t="s">
        <v>166</v>
      </c>
      <c r="B60" s="22"/>
      <c r="C60" s="8">
        <v>0</v>
      </c>
      <c r="D60" s="8">
        <v>0</v>
      </c>
      <c r="E60" s="8">
        <v>0</v>
      </c>
      <c r="F60" s="8">
        <v>0</v>
      </c>
      <c r="G60" s="8">
        <v>0</v>
      </c>
      <c r="H60" s="8">
        <v>0</v>
      </c>
      <c r="I60" s="8">
        <v>0</v>
      </c>
      <c r="J60" s="8">
        <v>0</v>
      </c>
      <c r="K60" s="8">
        <v>0</v>
      </c>
      <c r="L60" s="8">
        <v>0</v>
      </c>
      <c r="M60" s="8">
        <v>0</v>
      </c>
      <c r="N60" s="8">
        <v>0</v>
      </c>
      <c r="O60" s="8">
        <v>0</v>
      </c>
      <c r="P60" s="8">
        <v>0</v>
      </c>
      <c r="Q60" s="8">
        <v>0</v>
      </c>
      <c r="R60" s="8">
        <v>0</v>
      </c>
      <c r="S60" s="8">
        <v>0</v>
      </c>
      <c r="T60" s="8">
        <v>0</v>
      </c>
      <c r="U60" s="8">
        <v>0</v>
      </c>
      <c r="V60" s="8">
        <v>0</v>
      </c>
      <c r="W60" s="8">
        <v>0</v>
      </c>
      <c r="X60" s="8">
        <v>0</v>
      </c>
      <c r="Y60" s="8">
        <v>0</v>
      </c>
      <c r="Z60" s="8">
        <v>0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>
        <v>0</v>
      </c>
      <c r="AG60" s="8">
        <v>0</v>
      </c>
      <c r="AH60" s="8">
        <v>0</v>
      </c>
      <c r="AI60" s="8">
        <v>0</v>
      </c>
      <c r="AJ60" s="8">
        <v>0</v>
      </c>
      <c r="AK60" s="8">
        <v>0</v>
      </c>
      <c r="AL60" s="8">
        <v>0</v>
      </c>
      <c r="AM60" s="8">
        <v>0</v>
      </c>
      <c r="AN60" s="8">
        <v>0</v>
      </c>
      <c r="AO60" s="8">
        <v>0</v>
      </c>
      <c r="AP60" s="8">
        <v>0</v>
      </c>
      <c r="AQ60" s="8">
        <v>0</v>
      </c>
      <c r="AR60" s="8">
        <f>IF(Projects!$G$7="Yes",81683,0)</f>
        <v>81683</v>
      </c>
      <c r="AS60" s="8">
        <v>0</v>
      </c>
      <c r="AT60" s="8">
        <v>0</v>
      </c>
      <c r="AU60" s="8">
        <f>IF(Projects!$G$7="Yes",81682,0)</f>
        <v>81682</v>
      </c>
      <c r="AV60" s="8">
        <v>0</v>
      </c>
      <c r="AW60" s="8">
        <v>0</v>
      </c>
      <c r="AX60" s="8">
        <f>IF(Projects!$G$7="Yes",81682,0)</f>
        <v>81682</v>
      </c>
      <c r="AY60" s="8">
        <v>0</v>
      </c>
      <c r="AZ60" s="8">
        <v>0</v>
      </c>
      <c r="BA60" s="8">
        <f>IF(Projects!$G$7="Yes",81682,0)</f>
        <v>81682</v>
      </c>
      <c r="BB60" s="8">
        <v>0</v>
      </c>
      <c r="BC60" s="8">
        <v>0</v>
      </c>
      <c r="BD60" s="8">
        <f>IF(Projects!$G$7="Yes",59178,0)</f>
        <v>59178</v>
      </c>
      <c r="BE60" s="8">
        <v>0</v>
      </c>
      <c r="BF60" s="8">
        <v>0</v>
      </c>
      <c r="BG60" s="8">
        <f>IF(Projects!$G$7="Yes",59176,0)</f>
        <v>59176</v>
      </c>
      <c r="BH60" s="8">
        <v>0</v>
      </c>
      <c r="BI60" s="8">
        <v>0</v>
      </c>
      <c r="BJ60" s="8">
        <f>IF(Projects!$G$7="Yes",59176,0)</f>
        <v>59176</v>
      </c>
      <c r="BK60" s="8">
        <v>0</v>
      </c>
      <c r="BL60" s="8">
        <v>0</v>
      </c>
      <c r="BM60" s="8">
        <f>IF(Projects!$G$7="Yes",59176,0)</f>
        <v>59176</v>
      </c>
      <c r="BN60" s="8">
        <v>0</v>
      </c>
      <c r="BO60" s="8">
        <v>0</v>
      </c>
      <c r="BP60" s="8">
        <f>IF(Projects!$G$7="Yes",67763,0)</f>
        <v>67763</v>
      </c>
      <c r="BQ60" s="8">
        <v>0</v>
      </c>
      <c r="BR60" s="8">
        <v>0</v>
      </c>
      <c r="BS60" s="8">
        <f>IF(Projects!$G$7="Yes",67762,0)</f>
        <v>67762</v>
      </c>
      <c r="BT60" s="8">
        <v>0</v>
      </c>
      <c r="BU60" s="8">
        <v>0</v>
      </c>
      <c r="BV60" s="8">
        <f>IF(Projects!$G$7="Yes",67762,0)</f>
        <v>67762</v>
      </c>
      <c r="BW60" s="8">
        <v>0</v>
      </c>
      <c r="BX60" s="8">
        <v>0</v>
      </c>
      <c r="BY60" s="8">
        <f>IF(Projects!$G$7="Yes",67762,0)</f>
        <v>67762</v>
      </c>
      <c r="BZ60" s="8">
        <v>0</v>
      </c>
      <c r="CA60" s="8">
        <v>0</v>
      </c>
      <c r="CB60" s="8">
        <f>IF(Projects!$G$7="Yes",76499,0)</f>
        <v>76499</v>
      </c>
      <c r="CC60" s="8">
        <v>0</v>
      </c>
      <c r="CD60" s="8">
        <v>0</v>
      </c>
      <c r="CE60" s="8">
        <f>IF(Projects!$G$7="Yes",76499,0)</f>
        <v>76499</v>
      </c>
      <c r="CF60" s="8">
        <v>0</v>
      </c>
      <c r="CG60" s="8">
        <v>0</v>
      </c>
      <c r="CH60" s="8">
        <f>IF(Projects!$G$7="Yes",76499,0)</f>
        <v>76499</v>
      </c>
      <c r="CI60" s="23"/>
    </row>
    <row r="61" spans="1:87" ht="15" customHeight="1" x14ac:dyDescent="0.25">
      <c r="A61" s="7" t="s">
        <v>167</v>
      </c>
      <c r="B61" s="22"/>
      <c r="C61" s="8">
        <v>0</v>
      </c>
      <c r="D61" s="8">
        <v>0</v>
      </c>
      <c r="E61" s="8">
        <v>0</v>
      </c>
      <c r="F61" s="8">
        <v>0</v>
      </c>
      <c r="G61" s="8">
        <v>0</v>
      </c>
      <c r="H61" s="8">
        <v>0</v>
      </c>
      <c r="I61" s="8">
        <v>0</v>
      </c>
      <c r="J61" s="8">
        <v>0</v>
      </c>
      <c r="K61" s="8">
        <v>0</v>
      </c>
      <c r="L61" s="8">
        <v>0</v>
      </c>
      <c r="M61" s="8">
        <v>0</v>
      </c>
      <c r="N61" s="8">
        <v>0</v>
      </c>
      <c r="O61" s="8">
        <v>0</v>
      </c>
      <c r="P61" s="8">
        <v>0</v>
      </c>
      <c r="Q61" s="8">
        <v>0</v>
      </c>
      <c r="R61" s="8">
        <v>0</v>
      </c>
      <c r="S61" s="8">
        <v>0</v>
      </c>
      <c r="T61" s="8">
        <v>0</v>
      </c>
      <c r="U61" s="8">
        <v>0</v>
      </c>
      <c r="V61" s="8">
        <v>0</v>
      </c>
      <c r="W61" s="8">
        <v>0</v>
      </c>
      <c r="X61" s="8">
        <v>0</v>
      </c>
      <c r="Y61" s="8">
        <v>0</v>
      </c>
      <c r="Z61" s="8">
        <v>0</v>
      </c>
      <c r="AA61" s="8">
        <v>0</v>
      </c>
      <c r="AB61" s="8">
        <v>0</v>
      </c>
      <c r="AC61" s="8">
        <v>0</v>
      </c>
      <c r="AD61" s="8">
        <v>0</v>
      </c>
      <c r="AE61" s="8">
        <v>0</v>
      </c>
      <c r="AF61" s="8">
        <v>0</v>
      </c>
      <c r="AG61" s="8">
        <v>0</v>
      </c>
      <c r="AH61" s="8">
        <v>0</v>
      </c>
      <c r="AI61" s="8">
        <v>0</v>
      </c>
      <c r="AJ61" s="8">
        <v>0</v>
      </c>
      <c r="AK61" s="8">
        <v>0</v>
      </c>
      <c r="AL61" s="8">
        <v>0</v>
      </c>
      <c r="AM61" s="8">
        <v>0</v>
      </c>
      <c r="AN61" s="8">
        <v>0</v>
      </c>
      <c r="AO61" s="8">
        <v>0</v>
      </c>
      <c r="AP61" s="8">
        <v>0</v>
      </c>
      <c r="AQ61" s="8">
        <v>0</v>
      </c>
      <c r="AR61" s="8">
        <v>0</v>
      </c>
      <c r="AS61" s="8">
        <v>0</v>
      </c>
      <c r="AT61" s="8">
        <v>0</v>
      </c>
      <c r="AU61" s="8">
        <v>0</v>
      </c>
      <c r="AV61" s="8">
        <v>0</v>
      </c>
      <c r="AW61" s="8">
        <v>0</v>
      </c>
      <c r="AX61" s="8">
        <v>0</v>
      </c>
      <c r="AY61" s="8">
        <v>0</v>
      </c>
      <c r="AZ61" s="8">
        <v>0</v>
      </c>
      <c r="BA61" s="8">
        <f>IF(Projects!$G$13="Yes",851839,0)</f>
        <v>851839</v>
      </c>
      <c r="BB61" s="8">
        <v>0</v>
      </c>
      <c r="BC61" s="8">
        <v>0</v>
      </c>
      <c r="BD61" s="8">
        <f>IF(Projects!$G$13="Yes",71700,0)</f>
        <v>71700</v>
      </c>
      <c r="BE61" s="8">
        <v>0</v>
      </c>
      <c r="BF61" s="8">
        <v>0</v>
      </c>
      <c r="BG61" s="8">
        <f>IF(Projects!$G$13="Yes",71700,0)</f>
        <v>71700</v>
      </c>
      <c r="BH61" s="8">
        <v>0</v>
      </c>
      <c r="BI61" s="8">
        <v>0</v>
      </c>
      <c r="BJ61" s="8">
        <f>IF(Projects!$G$13="Yes",71700,0)</f>
        <v>71700</v>
      </c>
      <c r="BK61" s="8">
        <v>0</v>
      </c>
      <c r="BL61" s="8">
        <v>0</v>
      </c>
      <c r="BM61" s="8">
        <f>IF(Projects!$G$13="Yes",71700,0)</f>
        <v>71700</v>
      </c>
      <c r="BN61" s="8">
        <v>0</v>
      </c>
      <c r="BO61" s="8">
        <v>0</v>
      </c>
      <c r="BP61" s="8">
        <f>IF(Projects!$G$13="Yes",74643,0)</f>
        <v>74643</v>
      </c>
      <c r="BQ61" s="8">
        <v>0</v>
      </c>
      <c r="BR61" s="8">
        <v>0</v>
      </c>
      <c r="BS61" s="8">
        <f>IF(Projects!$G$13="Yes",74640,0)</f>
        <v>74640</v>
      </c>
      <c r="BT61" s="8">
        <v>0</v>
      </c>
      <c r="BU61" s="8">
        <v>0</v>
      </c>
      <c r="BV61" s="8">
        <f>IF(Projects!$G$13="Yes",74640,0)</f>
        <v>74640</v>
      </c>
      <c r="BW61" s="8">
        <v>0</v>
      </c>
      <c r="BX61" s="8">
        <v>0</v>
      </c>
      <c r="BY61" s="8">
        <f>IF(Projects!$G$13="Yes",74640,0)</f>
        <v>74640</v>
      </c>
      <c r="BZ61" s="8">
        <v>0</v>
      </c>
      <c r="CA61" s="8">
        <v>0</v>
      </c>
      <c r="CB61" s="8">
        <f>IF(Projects!$G$13="Yes",81363,0)</f>
        <v>81363</v>
      </c>
      <c r="CC61" s="8">
        <v>0</v>
      </c>
      <c r="CD61" s="8">
        <v>0</v>
      </c>
      <c r="CE61" s="8">
        <f>IF(Projects!$G$13="Yes",81362,0)</f>
        <v>81362</v>
      </c>
      <c r="CF61" s="8">
        <v>0</v>
      </c>
      <c r="CG61" s="8">
        <v>0</v>
      </c>
      <c r="CH61" s="8">
        <f>IF(Projects!$G$13="Yes",81362,0)</f>
        <v>81362</v>
      </c>
      <c r="CI61" s="23"/>
    </row>
    <row r="62" spans="1:87" ht="15" customHeight="1" x14ac:dyDescent="0.25">
      <c r="A62" s="7" t="s">
        <v>168</v>
      </c>
      <c r="B62" s="7"/>
      <c r="C62" s="8">
        <v>0</v>
      </c>
      <c r="D62" s="8">
        <v>0</v>
      </c>
      <c r="E62" s="8">
        <v>0</v>
      </c>
      <c r="F62" s="8">
        <v>0</v>
      </c>
      <c r="G62" s="8">
        <v>0</v>
      </c>
      <c r="H62" s="8">
        <v>0</v>
      </c>
      <c r="I62" s="8">
        <v>0</v>
      </c>
      <c r="J62" s="8">
        <v>0</v>
      </c>
      <c r="K62" s="8">
        <v>0</v>
      </c>
      <c r="L62" s="8">
        <v>0</v>
      </c>
      <c r="M62" s="8">
        <v>0</v>
      </c>
      <c r="N62" s="8">
        <v>0</v>
      </c>
      <c r="O62" s="8">
        <v>0</v>
      </c>
      <c r="P62" s="8">
        <v>0</v>
      </c>
      <c r="Q62" s="8">
        <v>0</v>
      </c>
      <c r="R62" s="8">
        <v>0</v>
      </c>
      <c r="S62" s="8">
        <v>0</v>
      </c>
      <c r="T62" s="8">
        <v>0</v>
      </c>
      <c r="U62" s="8">
        <v>0</v>
      </c>
      <c r="V62" s="8">
        <v>0</v>
      </c>
      <c r="W62" s="8">
        <v>0</v>
      </c>
      <c r="X62" s="8">
        <v>0</v>
      </c>
      <c r="Y62" s="8">
        <v>0</v>
      </c>
      <c r="Z62" s="8">
        <v>0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  <c r="AG62" s="8">
        <v>0</v>
      </c>
      <c r="AH62" s="8">
        <v>0</v>
      </c>
      <c r="AI62" s="8">
        <v>0</v>
      </c>
      <c r="AJ62" s="8">
        <v>0</v>
      </c>
      <c r="AK62" s="8">
        <v>0</v>
      </c>
      <c r="AL62" s="8">
        <v>0</v>
      </c>
      <c r="AM62" s="8">
        <v>0</v>
      </c>
      <c r="AN62" s="8">
        <v>0</v>
      </c>
      <c r="AO62" s="8">
        <v>0</v>
      </c>
      <c r="AP62" s="8">
        <v>0</v>
      </c>
      <c r="AQ62" s="8">
        <v>0</v>
      </c>
      <c r="AR62" s="8">
        <v>0</v>
      </c>
      <c r="AS62" s="8">
        <v>0</v>
      </c>
      <c r="AT62" s="8">
        <v>0</v>
      </c>
      <c r="AU62" s="8">
        <v>0</v>
      </c>
      <c r="AV62" s="8">
        <v>0</v>
      </c>
      <c r="AW62" s="8">
        <v>0</v>
      </c>
      <c r="AX62" s="8">
        <v>0</v>
      </c>
      <c r="AY62" s="8">
        <v>0</v>
      </c>
      <c r="AZ62" s="8">
        <v>0</v>
      </c>
      <c r="BA62" s="8">
        <v>0</v>
      </c>
      <c r="BB62" s="8">
        <v>0</v>
      </c>
      <c r="BC62" s="8">
        <v>0</v>
      </c>
      <c r="BD62" s="8">
        <v>0</v>
      </c>
      <c r="BE62" s="8">
        <v>0</v>
      </c>
      <c r="BF62" s="8">
        <v>0</v>
      </c>
      <c r="BG62" s="8">
        <v>0</v>
      </c>
      <c r="BH62" s="8">
        <v>0</v>
      </c>
      <c r="BI62" s="8">
        <v>0</v>
      </c>
      <c r="BJ62" s="8">
        <v>0</v>
      </c>
      <c r="BK62" s="8">
        <v>0</v>
      </c>
      <c r="BL62" s="8">
        <v>0</v>
      </c>
      <c r="BM62" s="8">
        <v>0</v>
      </c>
      <c r="BN62" s="8">
        <v>0</v>
      </c>
      <c r="BO62" s="8">
        <v>0</v>
      </c>
      <c r="BP62" s="8">
        <v>0</v>
      </c>
      <c r="BQ62" s="8">
        <v>0</v>
      </c>
      <c r="BR62" s="8">
        <v>0</v>
      </c>
      <c r="BS62" s="8">
        <v>0</v>
      </c>
      <c r="BT62" s="8">
        <v>0</v>
      </c>
      <c r="BU62" s="8">
        <v>0</v>
      </c>
      <c r="BV62" s="8">
        <v>0</v>
      </c>
      <c r="BW62" s="8">
        <v>0</v>
      </c>
      <c r="BX62" s="8">
        <v>0</v>
      </c>
      <c r="BY62" s="8">
        <f>IF(Projects!$G$14="Yes",73156,0)</f>
        <v>73156</v>
      </c>
      <c r="BZ62" s="8">
        <v>0</v>
      </c>
      <c r="CA62" s="8">
        <v>0</v>
      </c>
      <c r="CB62" s="8">
        <f>IF(Projects!$G$14="Yes",73155,0)</f>
        <v>73155</v>
      </c>
      <c r="CC62" s="8">
        <v>0</v>
      </c>
      <c r="CD62" s="8">
        <v>0</v>
      </c>
      <c r="CE62" s="8">
        <f>IF(Projects!$G$14="Yes",73155,0)</f>
        <v>73155</v>
      </c>
      <c r="CF62" s="8">
        <v>0</v>
      </c>
      <c r="CG62" s="8">
        <v>0</v>
      </c>
      <c r="CH62" s="8">
        <f>IF(Projects!$G$14="Yes",73155,0)</f>
        <v>73155</v>
      </c>
      <c r="CI62" s="23"/>
    </row>
    <row r="63" spans="1:87" ht="15" customHeight="1" x14ac:dyDescent="0.25">
      <c r="A63" s="7" t="s">
        <v>169</v>
      </c>
      <c r="B63" s="31"/>
      <c r="C63" s="8">
        <f>IF(Uplifters!$B$2="Yes",Uplifters!C107,0)</f>
        <v>0</v>
      </c>
      <c r="D63" s="8">
        <f>IF(Uplifters!$B$2="Yes",Uplifters!D107,0)</f>
        <v>0</v>
      </c>
      <c r="E63" s="8">
        <f>IF(Uplifters!$B$2="Yes",Uplifters!E107,0)</f>
        <v>0</v>
      </c>
      <c r="F63" s="8">
        <f>IF(Uplifters!$B$2="Yes",Uplifters!F107,0)</f>
        <v>0</v>
      </c>
      <c r="G63" s="8">
        <f>IF(Uplifters!$B$2="Yes",Uplifters!G107,0)</f>
        <v>0</v>
      </c>
      <c r="H63" s="8">
        <f>IF(Uplifters!$B$2="Yes",Uplifters!H107,0)</f>
        <v>0</v>
      </c>
      <c r="I63" s="8">
        <f>IF(Uplifters!$B$2="Yes",Uplifters!I107,0)</f>
        <v>0</v>
      </c>
      <c r="J63" s="8">
        <f>IF(Uplifters!$B$2="Yes",Uplifters!J107,0)</f>
        <v>0</v>
      </c>
      <c r="K63" s="8">
        <f>IF(Uplifters!$B$2="Yes",Uplifters!K107,0)</f>
        <v>0</v>
      </c>
      <c r="L63" s="8">
        <f>IF(Uplifters!$B$2="Yes",Uplifters!L107,0)</f>
        <v>0</v>
      </c>
      <c r="M63" s="8">
        <f>IF(Uplifters!$B$2="Yes",Uplifters!M107,0)</f>
        <v>0</v>
      </c>
      <c r="N63" s="8">
        <f>IF(Uplifters!$B$2="Yes",Uplifters!N107,0)</f>
        <v>0</v>
      </c>
      <c r="O63" s="8">
        <f>IF(Uplifters!$B$2="Yes",Uplifters!O107,0)</f>
        <v>0</v>
      </c>
      <c r="P63" s="8">
        <f>IF(Uplifters!$B$2="Yes",Uplifters!P107,0)</f>
        <v>0</v>
      </c>
      <c r="Q63" s="8">
        <f>IF(Uplifters!$B$2="Yes",Uplifters!Q107,0)</f>
        <v>0</v>
      </c>
      <c r="R63" s="8">
        <f>IF(Uplifters!$B$2="Yes",Uplifters!R107,0)</f>
        <v>0</v>
      </c>
      <c r="S63" s="8">
        <f>IF(Uplifters!$B$2="Yes",Uplifters!S107,0)</f>
        <v>0</v>
      </c>
      <c r="T63" s="8">
        <f>IF(Uplifters!$B$2="Yes",Uplifters!T107,0)</f>
        <v>0</v>
      </c>
      <c r="U63" s="8">
        <f>IF(Uplifters!$B$2="Yes",Uplifters!U107,0)</f>
        <v>0</v>
      </c>
      <c r="V63" s="8">
        <f>IF(Uplifters!$B$2="Yes",Uplifters!V107,0)</f>
        <v>0</v>
      </c>
      <c r="W63" s="8">
        <f>IF(Uplifters!$B$2="Yes",Uplifters!W107,0)</f>
        <v>0</v>
      </c>
      <c r="X63" s="8">
        <f>IF(Uplifters!$B$2="Yes",Uplifters!X107,0)</f>
        <v>0</v>
      </c>
      <c r="Y63" s="8">
        <f>IF(Uplifters!$B$2="Yes",Uplifters!Y107,0)</f>
        <v>0</v>
      </c>
      <c r="Z63" s="8">
        <f>IF(Uplifters!$B$2="Yes",Uplifters!Z107,0)</f>
        <v>0</v>
      </c>
      <c r="AA63" s="8">
        <f>IF(Uplifters!$B$2="Yes",Uplifters!AA107,0)</f>
        <v>0</v>
      </c>
      <c r="AB63" s="8">
        <f>IF(Uplifters!$B$2="Yes",Uplifters!AB107,0)</f>
        <v>0</v>
      </c>
      <c r="AC63" s="8">
        <f>IF(Uplifters!$B$2="Yes",Uplifters!AC107,0)</f>
        <v>0</v>
      </c>
      <c r="AD63" s="8">
        <f>IF(Uplifters!$B$2="Yes",Uplifters!AD107,0)</f>
        <v>0</v>
      </c>
      <c r="AE63" s="8">
        <f>IF(Uplifters!$B$2="Yes",Uplifters!AE107,0)</f>
        <v>0</v>
      </c>
      <c r="AF63" s="8">
        <f>IF(Uplifters!$B$2="Yes",Uplifters!AF107,0)</f>
        <v>0</v>
      </c>
      <c r="AG63" s="8">
        <f>IF(Uplifters!$B$2="Yes",Uplifters!AG107,0)</f>
        <v>0</v>
      </c>
      <c r="AH63" s="8">
        <f>IF(Uplifters!$B$2="Yes",Uplifters!AH107,0)</f>
        <v>0</v>
      </c>
      <c r="AI63" s="8">
        <f>IF(Uplifters!$B$2="Yes",Uplifters!AI107,0)</f>
        <v>0</v>
      </c>
      <c r="AJ63" s="8">
        <f>IF(Uplifters!$B$2="Yes",Uplifters!AJ107,0)</f>
        <v>0</v>
      </c>
      <c r="AK63" s="8">
        <f>IF(Uplifters!$B$2="Yes",Uplifters!AK107,0)</f>
        <v>0</v>
      </c>
      <c r="AL63" s="8">
        <f>IF(Uplifters!$B$2="Yes",Uplifters!AL107,0)</f>
        <v>0</v>
      </c>
      <c r="AM63" s="8">
        <f>IF(Uplifters!$B$2="Yes",Uplifters!AM107,0)</f>
        <v>0</v>
      </c>
      <c r="AN63" s="8">
        <f>IF(Uplifters!$B$2="Yes",Uplifters!AN107,0)</f>
        <v>0</v>
      </c>
      <c r="AO63" s="8">
        <f>IF(Uplifters!$B$2="Yes",Uplifters!AO107,0)</f>
        <v>0</v>
      </c>
      <c r="AP63" s="8">
        <f>IF(Uplifters!$B$2="Yes",Uplifters!AP107,0)</f>
        <v>0</v>
      </c>
      <c r="AQ63" s="8">
        <f>IF(Uplifters!$B$2="Yes",Uplifters!AQ107,0)</f>
        <v>0</v>
      </c>
      <c r="AR63" s="8">
        <f>IF(Uplifters!$B$2="Yes",Uplifters!AR107,0)</f>
        <v>0</v>
      </c>
      <c r="AS63" s="8">
        <f>IF(Uplifters!$B$2="Yes",Uplifters!AS107,0)</f>
        <v>0</v>
      </c>
      <c r="AT63" s="8">
        <f>IF(Uplifters!$B$2="Yes",Uplifters!AT107,0)</f>
        <v>0</v>
      </c>
      <c r="AU63" s="8">
        <f>IF(Uplifters!$B$2="Yes",Uplifters!AU107,0)</f>
        <v>0</v>
      </c>
      <c r="AV63" s="8">
        <f>IF(Uplifters!$B$2="Yes",Uplifters!AV107,0)</f>
        <v>0</v>
      </c>
      <c r="AW63" s="8">
        <f>IF(Uplifters!$B$2="Yes",Uplifters!AW107,0)</f>
        <v>0</v>
      </c>
      <c r="AX63" s="8">
        <f>IF(Uplifters!$B$2="Yes",Uplifters!AX107,0)</f>
        <v>0</v>
      </c>
      <c r="AY63" s="8">
        <f>IF(Uplifters!$B$2="Yes",Uplifters!AY107,0)</f>
        <v>0</v>
      </c>
      <c r="AZ63" s="8">
        <f>IF(Uplifters!$B$2="Yes",Uplifters!AZ107,0)</f>
        <v>0</v>
      </c>
      <c r="BA63" s="8">
        <f>IF(Uplifters!$B$2="Yes",Uplifters!BA107,0)</f>
        <v>0</v>
      </c>
      <c r="BB63" s="8">
        <f>IF(Uplifters!$B$2="Yes",Uplifters!BB107,0)</f>
        <v>0</v>
      </c>
      <c r="BC63" s="8">
        <f>IF(Uplifters!$B$2="Yes",Uplifters!BC107,0)</f>
        <v>0</v>
      </c>
      <c r="BD63" s="8">
        <f>IF(Uplifters!$B$2="Yes",Uplifters!BD107,0)</f>
        <v>0</v>
      </c>
      <c r="BE63" s="8">
        <f>IF(Uplifters!$B$2="Yes",Uplifters!BE107,0)</f>
        <v>0</v>
      </c>
      <c r="BF63" s="8">
        <f>IF(Uplifters!$B$2="Yes",Uplifters!BF107,0)</f>
        <v>0</v>
      </c>
      <c r="BG63" s="8">
        <f>IF(Uplifters!$B$2="Yes",Uplifters!BG107,0)</f>
        <v>0</v>
      </c>
      <c r="BH63" s="8">
        <f>IF(Uplifters!$B$2="Yes",Uplifters!BH107,0)</f>
        <v>0</v>
      </c>
      <c r="BI63" s="8">
        <f>IF(Uplifters!$B$2="Yes",Uplifters!BI107,0)</f>
        <v>0</v>
      </c>
      <c r="BJ63" s="8">
        <f>IF(Uplifters!$B$2="Yes",Uplifters!BJ107,0)</f>
        <v>0</v>
      </c>
      <c r="BK63" s="8">
        <f>IF(Uplifters!$B$2="Yes",Uplifters!BK107,0)</f>
        <v>0</v>
      </c>
      <c r="BL63" s="8">
        <f>IF(Uplifters!$B$2="Yes",Uplifters!BL107,0)</f>
        <v>0</v>
      </c>
      <c r="BM63" s="8">
        <f>IF(Uplifters!$B$2="Yes",Uplifters!BM107,0)</f>
        <v>0</v>
      </c>
      <c r="BN63" s="8">
        <f>IF(Uplifters!$B$2="Yes",Uplifters!BN107,0)</f>
        <v>0</v>
      </c>
      <c r="BO63" s="8">
        <f>IF(Uplifters!$B$2="Yes",Uplifters!BO107,0)</f>
        <v>0</v>
      </c>
      <c r="BP63" s="8">
        <f>IF(Uplifters!$B$2="Yes",Uplifters!BP107,0)</f>
        <v>0</v>
      </c>
      <c r="BQ63" s="8">
        <f>IF(Uplifters!$B$2="Yes",Uplifters!BQ107,0)</f>
        <v>0</v>
      </c>
      <c r="BR63" s="8">
        <f>IF(Uplifters!$B$2="Yes",Uplifters!BR107,0)</f>
        <v>0</v>
      </c>
      <c r="BS63" s="8">
        <f>IF(Uplifters!$B$2="Yes",Uplifters!BS107,0)</f>
        <v>0</v>
      </c>
      <c r="BT63" s="8">
        <f>IF(Uplifters!$B$2="Yes",Uplifters!BT107,0)</f>
        <v>0</v>
      </c>
      <c r="BU63" s="8">
        <f>IF(Uplifters!$B$2="Yes",Uplifters!BU107,0)</f>
        <v>0</v>
      </c>
      <c r="BV63" s="8">
        <f>IF(Uplifters!$B$2="Yes",Uplifters!BV107,0)</f>
        <v>0</v>
      </c>
      <c r="BW63" s="8">
        <f>IF(Uplifters!$B$2="Yes",Uplifters!BW107,0)</f>
        <v>0</v>
      </c>
      <c r="BX63" s="8">
        <f>IF(Uplifters!$B$2="Yes",Uplifters!BX107,0)</f>
        <v>0</v>
      </c>
      <c r="BY63" s="8">
        <f>IF(Uplifters!$B$2="Yes",Uplifters!BY107,0)</f>
        <v>0</v>
      </c>
      <c r="BZ63" s="8">
        <f>IF(Uplifters!$B$2="Yes",Uplifters!BZ107,0)</f>
        <v>0</v>
      </c>
      <c r="CA63" s="8">
        <f>IF(Uplifters!$B$2="Yes",Uplifters!CA107,0)</f>
        <v>0</v>
      </c>
      <c r="CB63" s="8">
        <f>IF(Uplifters!$B$2="Yes",Uplifters!CB107,0)</f>
        <v>0</v>
      </c>
      <c r="CC63" s="8">
        <f>IF(Uplifters!$B$2="Yes",Uplifters!CC107,0)</f>
        <v>0</v>
      </c>
      <c r="CD63" s="8">
        <f>IF(Uplifters!$B$2="Yes",Uplifters!CD107,0)</f>
        <v>0</v>
      </c>
      <c r="CE63" s="8">
        <f>IF(Uplifters!$B$2="Yes",Uplifters!CE107,0)</f>
        <v>0</v>
      </c>
      <c r="CF63" s="8">
        <f>IF(Uplifters!$B$2="Yes",Uplifters!CF107,0)</f>
        <v>0</v>
      </c>
      <c r="CG63" s="8">
        <f>IF(Uplifters!$B$2="Yes",Uplifters!CG107,0)</f>
        <v>0</v>
      </c>
      <c r="CH63" s="8">
        <f>IF(Uplifters!$B$2="Yes",Uplifters!CH107,0)</f>
        <v>0</v>
      </c>
      <c r="CI63" s="23"/>
    </row>
    <row r="64" spans="1:87" ht="15" customHeight="1" x14ac:dyDescent="0.25">
      <c r="A64" s="9" t="s">
        <v>170</v>
      </c>
      <c r="B64" s="28"/>
      <c r="C64" s="32">
        <f t="shared" ref="C64:AH64" si="12">SUM(C47:C63)</f>
        <v>43614.58</v>
      </c>
      <c r="D64" s="32">
        <f t="shared" si="12"/>
        <v>43614.58</v>
      </c>
      <c r="E64" s="32">
        <f t="shared" si="12"/>
        <v>43614.58</v>
      </c>
      <c r="F64" s="32">
        <f t="shared" si="12"/>
        <v>43614.58</v>
      </c>
      <c r="G64" s="32">
        <f t="shared" si="12"/>
        <v>43614.58</v>
      </c>
      <c r="H64" s="32">
        <f t="shared" si="12"/>
        <v>42781.25</v>
      </c>
      <c r="I64" s="32">
        <f t="shared" si="12"/>
        <v>42781.25</v>
      </c>
      <c r="J64" s="32">
        <f t="shared" si="12"/>
        <v>33406.25</v>
      </c>
      <c r="K64" s="32">
        <f t="shared" si="12"/>
        <v>33406.25</v>
      </c>
      <c r="L64" s="32">
        <f t="shared" si="12"/>
        <v>33406.25</v>
      </c>
      <c r="M64" s="32">
        <f t="shared" si="12"/>
        <v>33406.25</v>
      </c>
      <c r="N64" s="32">
        <f t="shared" si="12"/>
        <v>33406.25</v>
      </c>
      <c r="O64" s="32">
        <f t="shared" si="12"/>
        <v>33406.25</v>
      </c>
      <c r="P64" s="32">
        <f t="shared" si="12"/>
        <v>33406.25</v>
      </c>
      <c r="Q64" s="32">
        <f t="shared" si="12"/>
        <v>33406.25</v>
      </c>
      <c r="R64" s="32">
        <f t="shared" si="12"/>
        <v>9500</v>
      </c>
      <c r="S64" s="32">
        <f t="shared" si="12"/>
        <v>9500</v>
      </c>
      <c r="T64" s="32">
        <f t="shared" si="12"/>
        <v>9500</v>
      </c>
      <c r="U64" s="32">
        <f t="shared" si="12"/>
        <v>9500</v>
      </c>
      <c r="V64" s="32">
        <f t="shared" si="12"/>
        <v>9500</v>
      </c>
      <c r="W64" s="32">
        <f t="shared" si="12"/>
        <v>66875</v>
      </c>
      <c r="X64" s="32">
        <f t="shared" si="12"/>
        <v>9500</v>
      </c>
      <c r="Y64" s="32">
        <f t="shared" si="12"/>
        <v>9500</v>
      </c>
      <c r="Z64" s="32">
        <f t="shared" si="12"/>
        <v>66875</v>
      </c>
      <c r="AA64" s="32">
        <f t="shared" si="12"/>
        <v>9500</v>
      </c>
      <c r="AB64" s="32">
        <f t="shared" si="12"/>
        <v>9500</v>
      </c>
      <c r="AC64" s="32">
        <f t="shared" si="12"/>
        <v>66875</v>
      </c>
      <c r="AD64" s="32">
        <f t="shared" si="12"/>
        <v>9500</v>
      </c>
      <c r="AE64" s="32">
        <f t="shared" si="12"/>
        <v>9500</v>
      </c>
      <c r="AF64" s="32">
        <f t="shared" si="12"/>
        <v>9500</v>
      </c>
      <c r="AG64" s="32">
        <f t="shared" si="12"/>
        <v>0</v>
      </c>
      <c r="AH64" s="32">
        <f t="shared" si="12"/>
        <v>0</v>
      </c>
      <c r="AI64" s="32">
        <f t="shared" ref="AI64:BN64" si="13">SUM(AI47:AI63)</f>
        <v>0</v>
      </c>
      <c r="AJ64" s="32">
        <f t="shared" si="13"/>
        <v>0</v>
      </c>
      <c r="AK64" s="32">
        <f t="shared" si="13"/>
        <v>0</v>
      </c>
      <c r="AL64" s="32">
        <f t="shared" si="13"/>
        <v>0</v>
      </c>
      <c r="AM64" s="32">
        <f t="shared" si="13"/>
        <v>0</v>
      </c>
      <c r="AN64" s="32">
        <f t="shared" si="13"/>
        <v>0</v>
      </c>
      <c r="AO64" s="32">
        <f t="shared" si="13"/>
        <v>0</v>
      </c>
      <c r="AP64" s="32">
        <f t="shared" si="13"/>
        <v>0</v>
      </c>
      <c r="AQ64" s="32">
        <f t="shared" si="13"/>
        <v>0</v>
      </c>
      <c r="AR64" s="32">
        <f t="shared" si="13"/>
        <v>81683</v>
      </c>
      <c r="AS64" s="32">
        <f t="shared" si="13"/>
        <v>0</v>
      </c>
      <c r="AT64" s="32">
        <f t="shared" si="13"/>
        <v>0</v>
      </c>
      <c r="AU64" s="32">
        <f t="shared" si="13"/>
        <v>81682</v>
      </c>
      <c r="AV64" s="32">
        <f t="shared" si="13"/>
        <v>0</v>
      </c>
      <c r="AW64" s="32">
        <f t="shared" si="13"/>
        <v>0</v>
      </c>
      <c r="AX64" s="32">
        <f t="shared" si="13"/>
        <v>81682</v>
      </c>
      <c r="AY64" s="32">
        <f t="shared" si="13"/>
        <v>0</v>
      </c>
      <c r="AZ64" s="32">
        <f t="shared" si="13"/>
        <v>0</v>
      </c>
      <c r="BA64" s="32">
        <f t="shared" si="13"/>
        <v>933521</v>
      </c>
      <c r="BB64" s="32">
        <f t="shared" si="13"/>
        <v>0</v>
      </c>
      <c r="BC64" s="32">
        <f t="shared" si="13"/>
        <v>0</v>
      </c>
      <c r="BD64" s="32">
        <f t="shared" si="13"/>
        <v>130878</v>
      </c>
      <c r="BE64" s="32">
        <f t="shared" si="13"/>
        <v>0</v>
      </c>
      <c r="BF64" s="32">
        <f t="shared" si="13"/>
        <v>0</v>
      </c>
      <c r="BG64" s="32">
        <f t="shared" si="13"/>
        <v>130876</v>
      </c>
      <c r="BH64" s="32">
        <f t="shared" si="13"/>
        <v>0</v>
      </c>
      <c r="BI64" s="32">
        <f t="shared" si="13"/>
        <v>0</v>
      </c>
      <c r="BJ64" s="32">
        <f t="shared" si="13"/>
        <v>130876</v>
      </c>
      <c r="BK64" s="32">
        <f t="shared" si="13"/>
        <v>0</v>
      </c>
      <c r="BL64" s="32">
        <f t="shared" si="13"/>
        <v>0</v>
      </c>
      <c r="BM64" s="32">
        <f t="shared" si="13"/>
        <v>130876</v>
      </c>
      <c r="BN64" s="32">
        <f t="shared" si="13"/>
        <v>0</v>
      </c>
      <c r="BO64" s="32">
        <f t="shared" ref="BO64:CT64" si="14">SUM(BO47:BO63)</f>
        <v>0</v>
      </c>
      <c r="BP64" s="32">
        <f t="shared" si="14"/>
        <v>142406</v>
      </c>
      <c r="BQ64" s="32">
        <f t="shared" si="14"/>
        <v>0</v>
      </c>
      <c r="BR64" s="32">
        <f t="shared" si="14"/>
        <v>0</v>
      </c>
      <c r="BS64" s="32">
        <f t="shared" si="14"/>
        <v>142402</v>
      </c>
      <c r="BT64" s="32">
        <f t="shared" si="14"/>
        <v>0</v>
      </c>
      <c r="BU64" s="32">
        <f t="shared" si="14"/>
        <v>0</v>
      </c>
      <c r="BV64" s="32">
        <f t="shared" si="14"/>
        <v>142402</v>
      </c>
      <c r="BW64" s="32">
        <f t="shared" si="14"/>
        <v>0</v>
      </c>
      <c r="BX64" s="32">
        <f t="shared" si="14"/>
        <v>0</v>
      </c>
      <c r="BY64" s="32">
        <f t="shared" si="14"/>
        <v>215558</v>
      </c>
      <c r="BZ64" s="32">
        <f t="shared" si="14"/>
        <v>0</v>
      </c>
      <c r="CA64" s="32">
        <f t="shared" si="14"/>
        <v>0</v>
      </c>
      <c r="CB64" s="32">
        <f t="shared" si="14"/>
        <v>231017</v>
      </c>
      <c r="CC64" s="32">
        <f t="shared" si="14"/>
        <v>0</v>
      </c>
      <c r="CD64" s="32">
        <f t="shared" si="14"/>
        <v>0</v>
      </c>
      <c r="CE64" s="32">
        <f t="shared" si="14"/>
        <v>231016</v>
      </c>
      <c r="CF64" s="32">
        <f t="shared" si="14"/>
        <v>0</v>
      </c>
      <c r="CG64" s="32">
        <f t="shared" si="14"/>
        <v>0</v>
      </c>
      <c r="CH64" s="32">
        <f t="shared" si="14"/>
        <v>231016</v>
      </c>
      <c r="CI64" s="23"/>
    </row>
    <row r="65" spans="1:87" ht="15" customHeight="1" x14ac:dyDescent="0.25">
      <c r="A65" s="6" t="s">
        <v>90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23"/>
    </row>
    <row r="66" spans="1:87" ht="15" customHeight="1" x14ac:dyDescent="0.25">
      <c r="A66" s="7" t="s">
        <v>171</v>
      </c>
      <c r="B66" s="22"/>
      <c r="C66" s="8">
        <f>-(IF(AND(1&gt;=Personnel!$E$32,Personnel!$G$32="Yes"),Personnel!$D$32*(1-Personnel!$I$32),0)+IF(AND(1&gt;=Personnel!$E$33,Personnel!$G$33="Yes"),Personnel!$D$33*(1-Personnel!$I$33),0)+IF(AND(1&gt;=Personnel!$E$34,Personnel!$G$34="Yes"),Personnel!$D$34*(1-Personnel!$I$34),0)+IF(AND(1&gt;=Personnel!$E$35,Personnel!$G$35="Yes"),Personnel!$D$35*(1-Personnel!$I$35),0)+IF(AND(1&gt;=Personnel!$E$36,Personnel!$G$36="Yes"),Personnel!$D$36*(1-Personnel!$I$36),0)+IF(AND(1&gt;=Personnel!$E$37,Personnel!$G$37="Yes"),Personnel!$D$37*(1-Personnel!$I$37),0)+IF(AND(1&gt;=Personnel!$E$38,Personnel!$G$38="Yes"),Personnel!$D$38*(1-Personnel!$I$38),0))</f>
        <v>-87166.666666666672</v>
      </c>
      <c r="D66" s="8">
        <f>-(IF(AND(2&gt;=Personnel!$E$32,Personnel!$G$32="Yes"),Personnel!$D$32*(1-Personnel!$I$32),0)+IF(AND(2&gt;=Personnel!$E$33,Personnel!$G$33="Yes"),Personnel!$D$33*(1-Personnel!$I$33),0)+IF(AND(2&gt;=Personnel!$E$34,Personnel!$G$34="Yes"),Personnel!$D$34*(1-Personnel!$I$34),0)+IF(AND(2&gt;=Personnel!$E$35,Personnel!$G$35="Yes"),Personnel!$D$35*(1-Personnel!$I$35),0)+IF(AND(2&gt;=Personnel!$E$36,Personnel!$G$36="Yes"),Personnel!$D$36*(1-Personnel!$I$36),0)+IF(AND(2&gt;=Personnel!$E$37,Personnel!$G$37="Yes"),Personnel!$D$37*(1-Personnel!$I$37),0)+IF(AND(2&gt;=Personnel!$E$38,Personnel!$G$38="Yes"),Personnel!$D$38*(1-Personnel!$I$38),0))</f>
        <v>-87166.666666666672</v>
      </c>
      <c r="E66" s="8">
        <f>-(IF(AND(3&gt;=Personnel!$E$32,Personnel!$G$32="Yes"),Personnel!$D$32*(1-Personnel!$I$32),0)+IF(AND(3&gt;=Personnel!$E$33,Personnel!$G$33="Yes"),Personnel!$D$33*(1-Personnel!$I$33),0)+IF(AND(3&gt;=Personnel!$E$34,Personnel!$G$34="Yes"),Personnel!$D$34*(1-Personnel!$I$34),0)+IF(AND(3&gt;=Personnel!$E$35,Personnel!$G$35="Yes"),Personnel!$D$35*(1-Personnel!$I$35),0)+IF(AND(3&gt;=Personnel!$E$36,Personnel!$G$36="Yes"),Personnel!$D$36*(1-Personnel!$I$36),0)+IF(AND(3&gt;=Personnel!$E$37,Personnel!$G$37="Yes"),Personnel!$D$37*(1-Personnel!$I$37),0)+IF(AND(3&gt;=Personnel!$E$38,Personnel!$G$38="Yes"),Personnel!$D$38*(1-Personnel!$I$38),0))</f>
        <v>-87166.666666666672</v>
      </c>
      <c r="F66" s="8">
        <f>-(IF(AND(4&gt;=Personnel!$E$32,Personnel!$G$32="Yes"),Personnel!$D$32*(1-Personnel!$I$32),0)+IF(AND(4&gt;=Personnel!$E$33,Personnel!$G$33="Yes"),Personnel!$D$33*(1-Personnel!$I$33),0)+IF(AND(4&gt;=Personnel!$E$34,Personnel!$G$34="Yes"),Personnel!$D$34*(1-Personnel!$I$34),0)+IF(AND(4&gt;=Personnel!$E$35,Personnel!$G$35="Yes"),Personnel!$D$35*(1-Personnel!$I$35),0)+IF(AND(4&gt;=Personnel!$E$36,Personnel!$G$36="Yes"),Personnel!$D$36*(1-Personnel!$I$36),0)+IF(AND(4&gt;=Personnel!$E$37,Personnel!$G$37="Yes"),Personnel!$D$37*(1-Personnel!$I$37),0)+IF(AND(4&gt;=Personnel!$E$38,Personnel!$G$38="Yes"),Personnel!$D$38*(1-Personnel!$I$38),0))</f>
        <v>-87166.666666666672</v>
      </c>
      <c r="G66" s="8">
        <f>-(IF(AND(5&gt;=Personnel!$E$32,Personnel!$G$32="Yes"),Personnel!$D$32*(1-Personnel!$I$32),0)+IF(AND(5&gt;=Personnel!$E$33,Personnel!$G$33="Yes"),Personnel!$D$33*(1-Personnel!$I$33),0)+IF(AND(5&gt;=Personnel!$E$34,Personnel!$G$34="Yes"),Personnel!$D$34*(1-Personnel!$I$34),0)+IF(AND(5&gt;=Personnel!$E$35,Personnel!$G$35="Yes"),Personnel!$D$35*(1-Personnel!$I$35),0)+IF(AND(5&gt;=Personnel!$E$36,Personnel!$G$36="Yes"),Personnel!$D$36*(1-Personnel!$I$36),0)+IF(AND(5&gt;=Personnel!$E$37,Personnel!$G$37="Yes"),Personnel!$D$37*(1-Personnel!$I$37),0)+IF(AND(5&gt;=Personnel!$E$38,Personnel!$G$38="Yes"),Personnel!$D$38*(1-Personnel!$I$38),0))</f>
        <v>-87166.666666666672</v>
      </c>
      <c r="H66" s="8">
        <f>-(IF(AND(6&gt;=Personnel!$E$32,Personnel!$G$32="Yes"),Personnel!$D$32*(1-Personnel!$I$32),0)+IF(AND(6&gt;=Personnel!$E$33,Personnel!$G$33="Yes"),Personnel!$D$33*(1-Personnel!$I$33),0)+IF(AND(6&gt;=Personnel!$E$34,Personnel!$G$34="Yes"),Personnel!$D$34*(1-Personnel!$I$34),0)+IF(AND(6&gt;=Personnel!$E$35,Personnel!$G$35="Yes"),Personnel!$D$35*(1-Personnel!$I$35),0)+IF(AND(6&gt;=Personnel!$E$36,Personnel!$G$36="Yes"),Personnel!$D$36*(1-Personnel!$I$36),0)+IF(AND(6&gt;=Personnel!$E$37,Personnel!$G$37="Yes"),Personnel!$D$37*(1-Personnel!$I$37),0)+IF(AND(6&gt;=Personnel!$E$38,Personnel!$G$38="Yes"),Personnel!$D$38*(1-Personnel!$I$38),0))</f>
        <v>-87166.666666666672</v>
      </c>
      <c r="I66" s="8">
        <f>-(IF(AND(7&gt;=Personnel!$E$32,Personnel!$G$32="Yes"),Personnel!$D$32*(1-Personnel!$I$32),0)+IF(AND(7&gt;=Personnel!$E$33,Personnel!$G$33="Yes"),Personnel!$D$33*(1-Personnel!$I$33),0)+IF(AND(7&gt;=Personnel!$E$34,Personnel!$G$34="Yes"),Personnel!$D$34*(1-Personnel!$I$34),0)+IF(AND(7&gt;=Personnel!$E$35,Personnel!$G$35="Yes"),Personnel!$D$35*(1-Personnel!$I$35),0)+IF(AND(7&gt;=Personnel!$E$36,Personnel!$G$36="Yes"),Personnel!$D$36*(1-Personnel!$I$36),0)+IF(AND(7&gt;=Personnel!$E$37,Personnel!$G$37="Yes"),Personnel!$D$37*(1-Personnel!$I$37),0)+IF(AND(7&gt;=Personnel!$E$38,Personnel!$G$38="Yes"),Personnel!$D$38*(1-Personnel!$I$38),0))</f>
        <v>-87166.666666666672</v>
      </c>
      <c r="J66" s="8">
        <f>-(IF(AND(8&gt;=Personnel!$E$32,Personnel!$G$32="Yes"),Personnel!$D$32*(1-Personnel!$I$32),0)+IF(AND(8&gt;=Personnel!$E$33,Personnel!$G$33="Yes"),Personnel!$D$33*(1-Personnel!$I$33),0)+IF(AND(8&gt;=Personnel!$E$34,Personnel!$G$34="Yes"),Personnel!$D$34*(1-Personnel!$I$34),0)+IF(AND(8&gt;=Personnel!$E$35,Personnel!$G$35="Yes"),Personnel!$D$35*(1-Personnel!$I$35),0)+IF(AND(8&gt;=Personnel!$E$36,Personnel!$G$36="Yes"),Personnel!$D$36*(1-Personnel!$I$36),0)+IF(AND(8&gt;=Personnel!$E$37,Personnel!$G$37="Yes"),Personnel!$D$37*(1-Personnel!$I$37),0)+IF(AND(8&gt;=Personnel!$E$38,Personnel!$G$38="Yes"),Personnel!$D$38*(1-Personnel!$I$38),0))</f>
        <v>-87166.666666666672</v>
      </c>
      <c r="K66" s="8">
        <f>-(IF(AND(9&gt;=Personnel!$E$32,Personnel!$G$32="Yes"),Personnel!$D$32*(1-Personnel!$I$32),0)+IF(AND(9&gt;=Personnel!$E$33,Personnel!$G$33="Yes"),Personnel!$D$33*(1-Personnel!$I$33),0)+IF(AND(9&gt;=Personnel!$E$34,Personnel!$G$34="Yes"),Personnel!$D$34*(1-Personnel!$I$34),0)+IF(AND(9&gt;=Personnel!$E$35,Personnel!$G$35="Yes"),Personnel!$D$35*(1-Personnel!$I$35),0)+IF(AND(9&gt;=Personnel!$E$36,Personnel!$G$36="Yes"),Personnel!$D$36*(1-Personnel!$I$36),0)+IF(AND(9&gt;=Personnel!$E$37,Personnel!$G$37="Yes"),Personnel!$D$37*(1-Personnel!$I$37),0)+IF(AND(9&gt;=Personnel!$E$38,Personnel!$G$38="Yes"),Personnel!$D$38*(1-Personnel!$I$38),0))</f>
        <v>-87166.666666666672</v>
      </c>
      <c r="L66" s="8">
        <f>-(IF(AND(10&gt;=Personnel!$E$32,Personnel!$G$32="Yes"),Personnel!$D$32*(1-Personnel!$I$32),0)+IF(AND(10&gt;=Personnel!$E$33,Personnel!$G$33="Yes"),Personnel!$D$33*(1-Personnel!$I$33),0)+IF(AND(10&gt;=Personnel!$E$34,Personnel!$G$34="Yes"),Personnel!$D$34*(1-Personnel!$I$34),0)+IF(AND(10&gt;=Personnel!$E$35,Personnel!$G$35="Yes"),Personnel!$D$35*(1-Personnel!$I$35),0)+IF(AND(10&gt;=Personnel!$E$36,Personnel!$G$36="Yes"),Personnel!$D$36*(1-Personnel!$I$36),0)+IF(AND(10&gt;=Personnel!$E$37,Personnel!$G$37="Yes"),Personnel!$D$37*(1-Personnel!$I$37),0)+IF(AND(10&gt;=Personnel!$E$38,Personnel!$G$38="Yes"),Personnel!$D$38*(1-Personnel!$I$38),0))</f>
        <v>-87166.666666666672</v>
      </c>
      <c r="M66" s="8">
        <f>-(IF(AND(11&gt;=Personnel!$E$32,Personnel!$G$32="Yes"),Personnel!$D$32*(1-Personnel!$I$32),0)+IF(AND(11&gt;=Personnel!$E$33,Personnel!$G$33="Yes"),Personnel!$D$33*(1-Personnel!$I$33),0)+IF(AND(11&gt;=Personnel!$E$34,Personnel!$G$34="Yes"),Personnel!$D$34*(1-Personnel!$I$34),0)+IF(AND(11&gt;=Personnel!$E$35,Personnel!$G$35="Yes"),Personnel!$D$35*(1-Personnel!$I$35),0)+IF(AND(11&gt;=Personnel!$E$36,Personnel!$G$36="Yes"),Personnel!$D$36*(1-Personnel!$I$36),0)+IF(AND(11&gt;=Personnel!$E$37,Personnel!$G$37="Yes"),Personnel!$D$37*(1-Personnel!$I$37),0)+IF(AND(11&gt;=Personnel!$E$38,Personnel!$G$38="Yes"),Personnel!$D$38*(1-Personnel!$I$38),0))</f>
        <v>-87166.666666666672</v>
      </c>
      <c r="N66" s="8">
        <f>-(IF(AND(12&gt;=Personnel!$E$32,Personnel!$G$32="Yes"),Personnel!$D$32*(1-Personnel!$I$32),0)+IF(AND(12&gt;=Personnel!$E$33,Personnel!$G$33="Yes"),Personnel!$D$33*(1-Personnel!$I$33),0)+IF(AND(12&gt;=Personnel!$E$34,Personnel!$G$34="Yes"),Personnel!$D$34*(1-Personnel!$I$34),0)+IF(AND(12&gt;=Personnel!$E$35,Personnel!$G$35="Yes"),Personnel!$D$35*(1-Personnel!$I$35),0)+IF(AND(12&gt;=Personnel!$E$36,Personnel!$G$36="Yes"),Personnel!$D$36*(1-Personnel!$I$36),0)+IF(AND(12&gt;=Personnel!$E$37,Personnel!$G$37="Yes"),Personnel!$D$37*(1-Personnel!$I$37),0)+IF(AND(12&gt;=Personnel!$E$38,Personnel!$G$38="Yes"),Personnel!$D$38*(1-Personnel!$I$38),0))</f>
        <v>-87166.666666666672</v>
      </c>
      <c r="O66" s="8">
        <f>-(IF(AND(13&gt;=Personnel!$E$32,Personnel!$G$32="Yes"),Personnel!$D$32*(1-Personnel!$I$32),0)+IF(AND(13&gt;=Personnel!$E$33,Personnel!$G$33="Yes"),Personnel!$D$33*(1-Personnel!$I$33),0)+IF(AND(13&gt;=Personnel!$E$34,Personnel!$G$34="Yes"),Personnel!$D$34*(1-Personnel!$I$34),0)+IF(AND(13&gt;=Personnel!$E$35,Personnel!$G$35="Yes"),Personnel!$D$35*(1-Personnel!$I$35),0)+IF(AND(13&gt;=Personnel!$E$36,Personnel!$G$36="Yes"),Personnel!$D$36*(1-Personnel!$I$36),0)+IF(AND(13&gt;=Personnel!$E$37,Personnel!$G$37="Yes"),Personnel!$D$37*(1-Personnel!$I$37),0)+IF(AND(13&gt;=Personnel!$E$38,Personnel!$G$38="Yes"),Personnel!$D$38*(1-Personnel!$I$38),0))</f>
        <v>-87166.666666666672</v>
      </c>
      <c r="P66" s="8">
        <f>-(IF(AND(14&gt;=Personnel!$E$32,Personnel!$G$32="Yes"),Personnel!$D$32*(1-Personnel!$I$32),0)+IF(AND(14&gt;=Personnel!$E$33,Personnel!$G$33="Yes"),Personnel!$D$33*(1-Personnel!$I$33),0)+IF(AND(14&gt;=Personnel!$E$34,Personnel!$G$34="Yes"),Personnel!$D$34*(1-Personnel!$I$34),0)+IF(AND(14&gt;=Personnel!$E$35,Personnel!$G$35="Yes"),Personnel!$D$35*(1-Personnel!$I$35),0)+IF(AND(14&gt;=Personnel!$E$36,Personnel!$G$36="Yes"),Personnel!$D$36*(1-Personnel!$I$36),0)+IF(AND(14&gt;=Personnel!$E$37,Personnel!$G$37="Yes"),Personnel!$D$37*(1-Personnel!$I$37),0)+IF(AND(14&gt;=Personnel!$E$38,Personnel!$G$38="Yes"),Personnel!$D$38*(1-Personnel!$I$38),0))</f>
        <v>-87166.666666666672</v>
      </c>
      <c r="Q66" s="8">
        <f>-(IF(AND(15&gt;=Personnel!$E$32,Personnel!$G$32="Yes"),Personnel!$D$32*(1-Personnel!$I$32),0)+IF(AND(15&gt;=Personnel!$E$33,Personnel!$G$33="Yes"),Personnel!$D$33*(1-Personnel!$I$33),0)+IF(AND(15&gt;=Personnel!$E$34,Personnel!$G$34="Yes"),Personnel!$D$34*(1-Personnel!$I$34),0)+IF(AND(15&gt;=Personnel!$E$35,Personnel!$G$35="Yes"),Personnel!$D$35*(1-Personnel!$I$35),0)+IF(AND(15&gt;=Personnel!$E$36,Personnel!$G$36="Yes"),Personnel!$D$36*(1-Personnel!$I$36),0)+IF(AND(15&gt;=Personnel!$E$37,Personnel!$G$37="Yes"),Personnel!$D$37*(1-Personnel!$I$37),0)+IF(AND(15&gt;=Personnel!$E$38,Personnel!$G$38="Yes"),Personnel!$D$38*(1-Personnel!$I$38),0))</f>
        <v>-87166.666666666672</v>
      </c>
      <c r="R66" s="8">
        <f>-(IF(AND(16&gt;=Personnel!$E$32,Personnel!$G$32="Yes"),Personnel!$D$32*(1-Personnel!$I$32),0)+IF(AND(16&gt;=Personnel!$E$33,Personnel!$G$33="Yes"),Personnel!$D$33*(1-Personnel!$I$33),0)+IF(AND(16&gt;=Personnel!$E$34,Personnel!$G$34="Yes"),Personnel!$D$34*(1-Personnel!$I$34),0)+IF(AND(16&gt;=Personnel!$E$35,Personnel!$G$35="Yes"),Personnel!$D$35*(1-Personnel!$I$35),0)+IF(AND(16&gt;=Personnel!$E$36,Personnel!$G$36="Yes"),Personnel!$D$36*(1-Personnel!$I$36),0)+IF(AND(16&gt;=Personnel!$E$37,Personnel!$G$37="Yes"),Personnel!$D$37*(1-Personnel!$I$37),0)+IF(AND(16&gt;=Personnel!$E$38,Personnel!$G$38="Yes"),Personnel!$D$38*(1-Personnel!$I$38),0))</f>
        <v>-87166.666666666672</v>
      </c>
      <c r="S66" s="8">
        <f>-(IF(AND(17&gt;=Personnel!$E$32,Personnel!$G$32="Yes"),Personnel!$D$32*(1-Personnel!$I$32),0)+IF(AND(17&gt;=Personnel!$E$33,Personnel!$G$33="Yes"),Personnel!$D$33*(1-Personnel!$I$33),0)+IF(AND(17&gt;=Personnel!$E$34,Personnel!$G$34="Yes"),Personnel!$D$34*(1-Personnel!$I$34),0)+IF(AND(17&gt;=Personnel!$E$35,Personnel!$G$35="Yes"),Personnel!$D$35*(1-Personnel!$I$35),0)+IF(AND(17&gt;=Personnel!$E$36,Personnel!$G$36="Yes"),Personnel!$D$36*(1-Personnel!$I$36),0)+IF(AND(17&gt;=Personnel!$E$37,Personnel!$G$37="Yes"),Personnel!$D$37*(1-Personnel!$I$37),0)+IF(AND(17&gt;=Personnel!$E$38,Personnel!$G$38="Yes"),Personnel!$D$38*(1-Personnel!$I$38),0))</f>
        <v>-87166.666666666672</v>
      </c>
      <c r="T66" s="8">
        <f>-(IF(AND(18&gt;=Personnel!$E$32,Personnel!$G$32="Yes"),Personnel!$D$32*(1-Personnel!$I$32),0)+IF(AND(18&gt;=Personnel!$E$33,Personnel!$G$33="Yes"),Personnel!$D$33*(1-Personnel!$I$33),0)+IF(AND(18&gt;=Personnel!$E$34,Personnel!$G$34="Yes"),Personnel!$D$34*(1-Personnel!$I$34),0)+IF(AND(18&gt;=Personnel!$E$35,Personnel!$G$35="Yes"),Personnel!$D$35*(1-Personnel!$I$35),0)+IF(AND(18&gt;=Personnel!$E$36,Personnel!$G$36="Yes"),Personnel!$D$36*(1-Personnel!$I$36),0)+IF(AND(18&gt;=Personnel!$E$37,Personnel!$G$37="Yes"),Personnel!$D$37*(1-Personnel!$I$37),0)+IF(AND(18&gt;=Personnel!$E$38,Personnel!$G$38="Yes"),Personnel!$D$38*(1-Personnel!$I$38),0))</f>
        <v>-87166.666666666672</v>
      </c>
      <c r="U66" s="8">
        <f>-(IF(AND(19&gt;=Personnel!$E$32,Personnel!$G$32="Yes"),Personnel!$D$32*(1-Personnel!$I$32),0)+IF(AND(19&gt;=Personnel!$E$33,Personnel!$G$33="Yes"),Personnel!$D$33*(1-Personnel!$I$33),0)+IF(AND(19&gt;=Personnel!$E$34,Personnel!$G$34="Yes"),Personnel!$D$34*(1-Personnel!$I$34),0)+IF(AND(19&gt;=Personnel!$E$35,Personnel!$G$35="Yes"),Personnel!$D$35*(1-Personnel!$I$35),0)+IF(AND(19&gt;=Personnel!$E$36,Personnel!$G$36="Yes"),Personnel!$D$36*(1-Personnel!$I$36),0)+IF(AND(19&gt;=Personnel!$E$37,Personnel!$G$37="Yes"),Personnel!$D$37*(1-Personnel!$I$37),0)+IF(AND(19&gt;=Personnel!$E$38,Personnel!$G$38="Yes"),Personnel!$D$38*(1-Personnel!$I$38),0))</f>
        <v>-87166.666666666672</v>
      </c>
      <c r="V66" s="8">
        <f>-(IF(AND(20&gt;=Personnel!$E$32,Personnel!$G$32="Yes"),Personnel!$D$32*(1-Personnel!$I$32),0)+IF(AND(20&gt;=Personnel!$E$33,Personnel!$G$33="Yes"),Personnel!$D$33*(1-Personnel!$I$33),0)+IF(AND(20&gt;=Personnel!$E$34,Personnel!$G$34="Yes"),Personnel!$D$34*(1-Personnel!$I$34),0)+IF(AND(20&gt;=Personnel!$E$35,Personnel!$G$35="Yes"),Personnel!$D$35*(1-Personnel!$I$35),0)+IF(AND(20&gt;=Personnel!$E$36,Personnel!$G$36="Yes"),Personnel!$D$36*(1-Personnel!$I$36),0)+IF(AND(20&gt;=Personnel!$E$37,Personnel!$G$37="Yes"),Personnel!$D$37*(1-Personnel!$I$37),0)+IF(AND(20&gt;=Personnel!$E$38,Personnel!$G$38="Yes"),Personnel!$D$38*(1-Personnel!$I$38),0))</f>
        <v>-87166.666666666672</v>
      </c>
      <c r="W66" s="8">
        <f>-(IF(AND(21&gt;=Personnel!$E$32,Personnel!$G$32="Yes"),Personnel!$D$32*(1-Personnel!$I$32),0)+IF(AND(21&gt;=Personnel!$E$33,Personnel!$G$33="Yes"),Personnel!$D$33*(1-Personnel!$I$33),0)+IF(AND(21&gt;=Personnel!$E$34,Personnel!$G$34="Yes"),Personnel!$D$34*(1-Personnel!$I$34),0)+IF(AND(21&gt;=Personnel!$E$35,Personnel!$G$35="Yes"),Personnel!$D$35*(1-Personnel!$I$35),0)+IF(AND(21&gt;=Personnel!$E$36,Personnel!$G$36="Yes"),Personnel!$D$36*(1-Personnel!$I$36),0)+IF(AND(21&gt;=Personnel!$E$37,Personnel!$G$37="Yes"),Personnel!$D$37*(1-Personnel!$I$37),0)+IF(AND(21&gt;=Personnel!$E$38,Personnel!$G$38="Yes"),Personnel!$D$38*(1-Personnel!$I$38),0))</f>
        <v>-87166.666666666672</v>
      </c>
      <c r="X66" s="8">
        <f>-(IF(AND(22&gt;=Personnel!$E$32,Personnel!$G$32="Yes"),Personnel!$D$32*(1-Personnel!$I$32),0)+IF(AND(22&gt;=Personnel!$E$33,Personnel!$G$33="Yes"),Personnel!$D$33*(1-Personnel!$I$33),0)+IF(AND(22&gt;=Personnel!$E$34,Personnel!$G$34="Yes"),Personnel!$D$34*(1-Personnel!$I$34),0)+IF(AND(22&gt;=Personnel!$E$35,Personnel!$G$35="Yes"),Personnel!$D$35*(1-Personnel!$I$35),0)+IF(AND(22&gt;=Personnel!$E$36,Personnel!$G$36="Yes"),Personnel!$D$36*(1-Personnel!$I$36),0)+IF(AND(22&gt;=Personnel!$E$37,Personnel!$G$37="Yes"),Personnel!$D$37*(1-Personnel!$I$37),0)+IF(AND(22&gt;=Personnel!$E$38,Personnel!$G$38="Yes"),Personnel!$D$38*(1-Personnel!$I$38),0))</f>
        <v>-87166.666666666672</v>
      </c>
      <c r="Y66" s="8">
        <f>-(IF(AND(23&gt;=Personnel!$E$32,Personnel!$G$32="Yes"),Personnel!$D$32*(1-Personnel!$I$32),0)+IF(AND(23&gt;=Personnel!$E$33,Personnel!$G$33="Yes"),Personnel!$D$33*(1-Personnel!$I$33),0)+IF(AND(23&gt;=Personnel!$E$34,Personnel!$G$34="Yes"),Personnel!$D$34*(1-Personnel!$I$34),0)+IF(AND(23&gt;=Personnel!$E$35,Personnel!$G$35="Yes"),Personnel!$D$35*(1-Personnel!$I$35),0)+IF(AND(23&gt;=Personnel!$E$36,Personnel!$G$36="Yes"),Personnel!$D$36*(1-Personnel!$I$36),0)+IF(AND(23&gt;=Personnel!$E$37,Personnel!$G$37="Yes"),Personnel!$D$37*(1-Personnel!$I$37),0)+IF(AND(23&gt;=Personnel!$E$38,Personnel!$G$38="Yes"),Personnel!$D$38*(1-Personnel!$I$38),0))</f>
        <v>-87166.666666666672</v>
      </c>
      <c r="Z66" s="8">
        <f>-(IF(AND(24&gt;=Personnel!$E$32,Personnel!$G$32="Yes"),Personnel!$D$32*(1-Personnel!$I$32),0)+IF(AND(24&gt;=Personnel!$E$33,Personnel!$G$33="Yes"),Personnel!$D$33*(1-Personnel!$I$33),0)+IF(AND(24&gt;=Personnel!$E$34,Personnel!$G$34="Yes"),Personnel!$D$34*(1-Personnel!$I$34),0)+IF(AND(24&gt;=Personnel!$E$35,Personnel!$G$35="Yes"),Personnel!$D$35*(1-Personnel!$I$35),0)+IF(AND(24&gt;=Personnel!$E$36,Personnel!$G$36="Yes"),Personnel!$D$36*(1-Personnel!$I$36),0)+IF(AND(24&gt;=Personnel!$E$37,Personnel!$G$37="Yes"),Personnel!$D$37*(1-Personnel!$I$37),0)+IF(AND(24&gt;=Personnel!$E$38,Personnel!$G$38="Yes"),Personnel!$D$38*(1-Personnel!$I$38),0))</f>
        <v>-87166.666666666672</v>
      </c>
      <c r="AA66" s="8">
        <f>-(IF(AND(25&gt;=Personnel!$E$32,Personnel!$G$32="Yes"),Personnel!$D$32*(1-Personnel!$I$32),0)+IF(AND(25&gt;=Personnel!$E$33,Personnel!$G$33="Yes"),Personnel!$D$33*(1-Personnel!$I$33),0)+IF(AND(25&gt;=Personnel!$E$34,Personnel!$G$34="Yes"),Personnel!$D$34*(1-Personnel!$I$34),0)+IF(AND(25&gt;=Personnel!$E$35,Personnel!$G$35="Yes"),Personnel!$D$35*(1-Personnel!$I$35),0)+IF(AND(25&gt;=Personnel!$E$36,Personnel!$G$36="Yes"),Personnel!$D$36*(1-Personnel!$I$36),0)+IF(AND(25&gt;=Personnel!$E$37,Personnel!$G$37="Yes"),Personnel!$D$37*(1-Personnel!$I$37),0)+IF(AND(25&gt;=Personnel!$E$38,Personnel!$G$38="Yes"),Personnel!$D$38*(1-Personnel!$I$38),0))</f>
        <v>-87166.666666666672</v>
      </c>
      <c r="AB66" s="8">
        <f>-(IF(AND(26&gt;=Personnel!$E$32,Personnel!$G$32="Yes"),Personnel!$D$32*(1-Personnel!$I$32),0)+IF(AND(26&gt;=Personnel!$E$33,Personnel!$G$33="Yes"),Personnel!$D$33*(1-Personnel!$I$33),0)+IF(AND(26&gt;=Personnel!$E$34,Personnel!$G$34="Yes"),Personnel!$D$34*(1-Personnel!$I$34),0)+IF(AND(26&gt;=Personnel!$E$35,Personnel!$G$35="Yes"),Personnel!$D$35*(1-Personnel!$I$35),0)+IF(AND(26&gt;=Personnel!$E$36,Personnel!$G$36="Yes"),Personnel!$D$36*(1-Personnel!$I$36),0)+IF(AND(26&gt;=Personnel!$E$37,Personnel!$G$37="Yes"),Personnel!$D$37*(1-Personnel!$I$37),0)+IF(AND(26&gt;=Personnel!$E$38,Personnel!$G$38="Yes"),Personnel!$D$38*(1-Personnel!$I$38),0))</f>
        <v>-87166.666666666672</v>
      </c>
      <c r="AC66" s="8">
        <f>-(IF(AND(27&gt;=Personnel!$E$32,Personnel!$G$32="Yes"),Personnel!$D$32*(1-Personnel!$I$32),0)+IF(AND(27&gt;=Personnel!$E$33,Personnel!$G$33="Yes"),Personnel!$D$33*(1-Personnel!$I$33),0)+IF(AND(27&gt;=Personnel!$E$34,Personnel!$G$34="Yes"),Personnel!$D$34*(1-Personnel!$I$34),0)+IF(AND(27&gt;=Personnel!$E$35,Personnel!$G$35="Yes"),Personnel!$D$35*(1-Personnel!$I$35),0)+IF(AND(27&gt;=Personnel!$E$36,Personnel!$G$36="Yes"),Personnel!$D$36*(1-Personnel!$I$36),0)+IF(AND(27&gt;=Personnel!$E$37,Personnel!$G$37="Yes"),Personnel!$D$37*(1-Personnel!$I$37),0)+IF(AND(27&gt;=Personnel!$E$38,Personnel!$G$38="Yes"),Personnel!$D$38*(1-Personnel!$I$38),0))</f>
        <v>-87166.666666666672</v>
      </c>
      <c r="AD66" s="8">
        <f>-(IF(AND(28&gt;=Personnel!$E$32,Personnel!$G$32="Yes"),Personnel!$D$32*(1-Personnel!$I$32),0)+IF(AND(28&gt;=Personnel!$E$33,Personnel!$G$33="Yes"),Personnel!$D$33*(1-Personnel!$I$33),0)+IF(AND(28&gt;=Personnel!$E$34,Personnel!$G$34="Yes"),Personnel!$D$34*(1-Personnel!$I$34),0)+IF(AND(28&gt;=Personnel!$E$35,Personnel!$G$35="Yes"),Personnel!$D$35*(1-Personnel!$I$35),0)+IF(AND(28&gt;=Personnel!$E$36,Personnel!$G$36="Yes"),Personnel!$D$36*(1-Personnel!$I$36),0)+IF(AND(28&gt;=Personnel!$E$37,Personnel!$G$37="Yes"),Personnel!$D$37*(1-Personnel!$I$37),0)+IF(AND(28&gt;=Personnel!$E$38,Personnel!$G$38="Yes"),Personnel!$D$38*(1-Personnel!$I$38),0))</f>
        <v>-87166.666666666672</v>
      </c>
      <c r="AE66" s="8">
        <f>-(IF(AND(29&gt;=Personnel!$E$32,Personnel!$G$32="Yes"),Personnel!$D$32*(1-Personnel!$I$32),0)+IF(AND(29&gt;=Personnel!$E$33,Personnel!$G$33="Yes"),Personnel!$D$33*(1-Personnel!$I$33),0)+IF(AND(29&gt;=Personnel!$E$34,Personnel!$G$34="Yes"),Personnel!$D$34*(1-Personnel!$I$34),0)+IF(AND(29&gt;=Personnel!$E$35,Personnel!$G$35="Yes"),Personnel!$D$35*(1-Personnel!$I$35),0)+IF(AND(29&gt;=Personnel!$E$36,Personnel!$G$36="Yes"),Personnel!$D$36*(1-Personnel!$I$36),0)+IF(AND(29&gt;=Personnel!$E$37,Personnel!$G$37="Yes"),Personnel!$D$37*(1-Personnel!$I$37),0)+IF(AND(29&gt;=Personnel!$E$38,Personnel!$G$38="Yes"),Personnel!$D$38*(1-Personnel!$I$38),0))</f>
        <v>-87166.666666666672</v>
      </c>
      <c r="AF66" s="8">
        <f>-(IF(AND(30&gt;=Personnel!$E$32,Personnel!$G$32="Yes"),Personnel!$D$32*(1-Personnel!$I$32),0)+IF(AND(30&gt;=Personnel!$E$33,Personnel!$G$33="Yes"),Personnel!$D$33*(1-Personnel!$I$33),0)+IF(AND(30&gt;=Personnel!$E$34,Personnel!$G$34="Yes"),Personnel!$D$34*(1-Personnel!$I$34),0)+IF(AND(30&gt;=Personnel!$E$35,Personnel!$G$35="Yes"),Personnel!$D$35*(1-Personnel!$I$35),0)+IF(AND(30&gt;=Personnel!$E$36,Personnel!$G$36="Yes"),Personnel!$D$36*(1-Personnel!$I$36),0)+IF(AND(30&gt;=Personnel!$E$37,Personnel!$G$37="Yes"),Personnel!$D$37*(1-Personnel!$I$37),0)+IF(AND(30&gt;=Personnel!$E$38,Personnel!$G$38="Yes"),Personnel!$D$38*(1-Personnel!$I$38),0))</f>
        <v>-87166.666666666672</v>
      </c>
      <c r="AG66" s="8">
        <f>-(IF(AND(31&gt;=Personnel!$E$32,Personnel!$G$32="Yes"),Personnel!$D$32*(1-Personnel!$I$32),0)+IF(AND(31&gt;=Personnel!$E$33,Personnel!$G$33="Yes"),Personnel!$D$33*(1-Personnel!$I$33),0)+IF(AND(31&gt;=Personnel!$E$34,Personnel!$G$34="Yes"),Personnel!$D$34*(1-Personnel!$I$34),0)+IF(AND(31&gt;=Personnel!$E$35,Personnel!$G$35="Yes"),Personnel!$D$35*(1-Personnel!$I$35),0)+IF(AND(31&gt;=Personnel!$E$36,Personnel!$G$36="Yes"),Personnel!$D$36*(1-Personnel!$I$36),0)+IF(AND(31&gt;=Personnel!$E$37,Personnel!$G$37="Yes"),Personnel!$D$37*(1-Personnel!$I$37),0)+IF(AND(31&gt;=Personnel!$E$38,Personnel!$G$38="Yes"),Personnel!$D$38*(1-Personnel!$I$38),0))</f>
        <v>-87166.666666666672</v>
      </c>
      <c r="AH66" s="8">
        <f>-(IF(AND(32&gt;=Personnel!$E$32,Personnel!$G$32="Yes"),Personnel!$D$32*(1-Personnel!$I$32),0)+IF(AND(32&gt;=Personnel!$E$33,Personnel!$G$33="Yes"),Personnel!$D$33*(1-Personnel!$I$33),0)+IF(AND(32&gt;=Personnel!$E$34,Personnel!$G$34="Yes"),Personnel!$D$34*(1-Personnel!$I$34),0)+IF(AND(32&gt;=Personnel!$E$35,Personnel!$G$35="Yes"),Personnel!$D$35*(1-Personnel!$I$35),0)+IF(AND(32&gt;=Personnel!$E$36,Personnel!$G$36="Yes"),Personnel!$D$36*(1-Personnel!$I$36),0)+IF(AND(32&gt;=Personnel!$E$37,Personnel!$G$37="Yes"),Personnel!$D$37*(1-Personnel!$I$37),0)+IF(AND(32&gt;=Personnel!$E$38,Personnel!$G$38="Yes"),Personnel!$D$38*(1-Personnel!$I$38),0))</f>
        <v>-87166.666666666672</v>
      </c>
      <c r="AI66" s="8">
        <f>-(IF(AND(33&gt;=Personnel!$E$32,Personnel!$G$32="Yes"),Personnel!$D$32*(1-Personnel!$I$32),0)+IF(AND(33&gt;=Personnel!$E$33,Personnel!$G$33="Yes"),Personnel!$D$33*(1-Personnel!$I$33),0)+IF(AND(33&gt;=Personnel!$E$34,Personnel!$G$34="Yes"),Personnel!$D$34*(1-Personnel!$I$34),0)+IF(AND(33&gt;=Personnel!$E$35,Personnel!$G$35="Yes"),Personnel!$D$35*(1-Personnel!$I$35),0)+IF(AND(33&gt;=Personnel!$E$36,Personnel!$G$36="Yes"),Personnel!$D$36*(1-Personnel!$I$36),0)+IF(AND(33&gt;=Personnel!$E$37,Personnel!$G$37="Yes"),Personnel!$D$37*(1-Personnel!$I$37),0)+IF(AND(33&gt;=Personnel!$E$38,Personnel!$G$38="Yes"),Personnel!$D$38*(1-Personnel!$I$38),0))</f>
        <v>-87166.666666666672</v>
      </c>
      <c r="AJ66" s="8">
        <f>-(IF(AND(34&gt;=Personnel!$E$32,Personnel!$G$32="Yes"),Personnel!$D$32*(1-Personnel!$I$32),0)+IF(AND(34&gt;=Personnel!$E$33,Personnel!$G$33="Yes"),Personnel!$D$33*(1-Personnel!$I$33),0)+IF(AND(34&gt;=Personnel!$E$34,Personnel!$G$34="Yes"),Personnel!$D$34*(1-Personnel!$I$34),0)+IF(AND(34&gt;=Personnel!$E$35,Personnel!$G$35="Yes"),Personnel!$D$35*(1-Personnel!$I$35),0)+IF(AND(34&gt;=Personnel!$E$36,Personnel!$G$36="Yes"),Personnel!$D$36*(1-Personnel!$I$36),0)+IF(AND(34&gt;=Personnel!$E$37,Personnel!$G$37="Yes"),Personnel!$D$37*(1-Personnel!$I$37),0)+IF(AND(34&gt;=Personnel!$E$38,Personnel!$G$38="Yes"),Personnel!$D$38*(1-Personnel!$I$38),0))</f>
        <v>-87166.666666666672</v>
      </c>
      <c r="AK66" s="8">
        <f>-(IF(AND(35&gt;=Personnel!$E$32,Personnel!$G$32="Yes"),Personnel!$D$32*(1-Personnel!$I$32),0)+IF(AND(35&gt;=Personnel!$E$33,Personnel!$G$33="Yes"),Personnel!$D$33*(1-Personnel!$I$33),0)+IF(AND(35&gt;=Personnel!$E$34,Personnel!$G$34="Yes"),Personnel!$D$34*(1-Personnel!$I$34),0)+IF(AND(35&gt;=Personnel!$E$35,Personnel!$G$35="Yes"),Personnel!$D$35*(1-Personnel!$I$35),0)+IF(AND(35&gt;=Personnel!$E$36,Personnel!$G$36="Yes"),Personnel!$D$36*(1-Personnel!$I$36),0)+IF(AND(35&gt;=Personnel!$E$37,Personnel!$G$37="Yes"),Personnel!$D$37*(1-Personnel!$I$37),0)+IF(AND(35&gt;=Personnel!$E$38,Personnel!$G$38="Yes"),Personnel!$D$38*(1-Personnel!$I$38),0))</f>
        <v>-87166.666666666672</v>
      </c>
      <c r="AL66" s="8">
        <f>-(IF(AND(36&gt;=Personnel!$E$32,Personnel!$G$32="Yes"),Personnel!$D$32*(1-Personnel!$I$32),0)+IF(AND(36&gt;=Personnel!$E$33,Personnel!$G$33="Yes"),Personnel!$D$33*(1-Personnel!$I$33),0)+IF(AND(36&gt;=Personnel!$E$34,Personnel!$G$34="Yes"),Personnel!$D$34*(1-Personnel!$I$34),0)+IF(AND(36&gt;=Personnel!$E$35,Personnel!$G$35="Yes"),Personnel!$D$35*(1-Personnel!$I$35),0)+IF(AND(36&gt;=Personnel!$E$36,Personnel!$G$36="Yes"),Personnel!$D$36*(1-Personnel!$I$36),0)+IF(AND(36&gt;=Personnel!$E$37,Personnel!$G$37="Yes"),Personnel!$D$37*(1-Personnel!$I$37),0)+IF(AND(36&gt;=Personnel!$E$38,Personnel!$G$38="Yes"),Personnel!$D$38*(1-Personnel!$I$38),0))</f>
        <v>-87166.666666666672</v>
      </c>
      <c r="AM66" s="8">
        <f>-(IF(AND(37&gt;=Personnel!$E$32,Personnel!$G$32="Yes"),Personnel!$D$32*(1-Personnel!$I$32),0)+IF(AND(37&gt;=Personnel!$E$33,Personnel!$G$33="Yes"),Personnel!$D$33*(1-Personnel!$I$33),0)+IF(AND(37&gt;=Personnel!$E$34,Personnel!$G$34="Yes"),Personnel!$D$34*(1-Personnel!$I$34),0)+IF(AND(37&gt;=Personnel!$E$35,Personnel!$G$35="Yes"),Personnel!$D$35*(1-Personnel!$I$35),0)+IF(AND(37&gt;=Personnel!$E$36,Personnel!$G$36="Yes"),Personnel!$D$36*(1-Personnel!$I$36),0)+IF(AND(37&gt;=Personnel!$E$37,Personnel!$G$37="Yes"),Personnel!$D$37*(1-Personnel!$I$37),0)+IF(AND(37&gt;=Personnel!$E$38,Personnel!$G$38="Yes"),Personnel!$D$38*(1-Personnel!$I$38),0))</f>
        <v>-87166.666666666672</v>
      </c>
      <c r="AN66" s="8">
        <f>-(IF(AND(38&gt;=Personnel!$E$32,Personnel!$G$32="Yes"),Personnel!$D$32*(1-Personnel!$I$32),0)+IF(AND(38&gt;=Personnel!$E$33,Personnel!$G$33="Yes"),Personnel!$D$33*(1-Personnel!$I$33),0)+IF(AND(38&gt;=Personnel!$E$34,Personnel!$G$34="Yes"),Personnel!$D$34*(1-Personnel!$I$34),0)+IF(AND(38&gt;=Personnel!$E$35,Personnel!$G$35="Yes"),Personnel!$D$35*(1-Personnel!$I$35),0)+IF(AND(38&gt;=Personnel!$E$36,Personnel!$G$36="Yes"),Personnel!$D$36*(1-Personnel!$I$36),0)+IF(AND(38&gt;=Personnel!$E$37,Personnel!$G$37="Yes"),Personnel!$D$37*(1-Personnel!$I$37),0)+IF(AND(38&gt;=Personnel!$E$38,Personnel!$G$38="Yes"),Personnel!$D$38*(1-Personnel!$I$38),0))</f>
        <v>-87166.666666666672</v>
      </c>
      <c r="AO66" s="8">
        <f>-(IF(AND(39&gt;=Personnel!$E$32,Personnel!$G$32="Yes"),Personnel!$D$32*(1-Personnel!$I$32),0)+IF(AND(39&gt;=Personnel!$E$33,Personnel!$G$33="Yes"),Personnel!$D$33*(1-Personnel!$I$33),0)+IF(AND(39&gt;=Personnel!$E$34,Personnel!$G$34="Yes"),Personnel!$D$34*(1-Personnel!$I$34),0)+IF(AND(39&gt;=Personnel!$E$35,Personnel!$G$35="Yes"),Personnel!$D$35*(1-Personnel!$I$35),0)+IF(AND(39&gt;=Personnel!$E$36,Personnel!$G$36="Yes"),Personnel!$D$36*(1-Personnel!$I$36),0)+IF(AND(39&gt;=Personnel!$E$37,Personnel!$G$37="Yes"),Personnel!$D$37*(1-Personnel!$I$37),0)+IF(AND(39&gt;=Personnel!$E$38,Personnel!$G$38="Yes"),Personnel!$D$38*(1-Personnel!$I$38),0))</f>
        <v>-87166.666666666672</v>
      </c>
      <c r="AP66" s="8">
        <f>-(IF(AND(40&gt;=Personnel!$E$32,Personnel!$G$32="Yes"),Personnel!$D$32*(1-Personnel!$I$32),0)+IF(AND(40&gt;=Personnel!$E$33,Personnel!$G$33="Yes"),Personnel!$D$33*(1-Personnel!$I$33),0)+IF(AND(40&gt;=Personnel!$E$34,Personnel!$G$34="Yes"),Personnel!$D$34*(1-Personnel!$I$34),0)+IF(AND(40&gt;=Personnel!$E$35,Personnel!$G$35="Yes"),Personnel!$D$35*(1-Personnel!$I$35),0)+IF(AND(40&gt;=Personnel!$E$36,Personnel!$G$36="Yes"),Personnel!$D$36*(1-Personnel!$I$36),0)+IF(AND(40&gt;=Personnel!$E$37,Personnel!$G$37="Yes"),Personnel!$D$37*(1-Personnel!$I$37),0)+IF(AND(40&gt;=Personnel!$E$38,Personnel!$G$38="Yes"),Personnel!$D$38*(1-Personnel!$I$38),0))</f>
        <v>-87166.666666666672</v>
      </c>
      <c r="AQ66" s="8">
        <f>-(IF(AND(41&gt;=Personnel!$E$32,Personnel!$G$32="Yes"),Personnel!$D$32*(1-Personnel!$I$32),0)+IF(AND(41&gt;=Personnel!$E$33,Personnel!$G$33="Yes"),Personnel!$D$33*(1-Personnel!$I$33),0)+IF(AND(41&gt;=Personnel!$E$34,Personnel!$G$34="Yes"),Personnel!$D$34*(1-Personnel!$I$34),0)+IF(AND(41&gt;=Personnel!$E$35,Personnel!$G$35="Yes"),Personnel!$D$35*(1-Personnel!$I$35),0)+IF(AND(41&gt;=Personnel!$E$36,Personnel!$G$36="Yes"),Personnel!$D$36*(1-Personnel!$I$36),0)+IF(AND(41&gt;=Personnel!$E$37,Personnel!$G$37="Yes"),Personnel!$D$37*(1-Personnel!$I$37),0)+IF(AND(41&gt;=Personnel!$E$38,Personnel!$G$38="Yes"),Personnel!$D$38*(1-Personnel!$I$38),0))</f>
        <v>-87166.666666666672</v>
      </c>
      <c r="AR66" s="8">
        <f>-(IF(AND(42&gt;=Personnel!$E$32,Personnel!$G$32="Yes"),Personnel!$D$32*(1-Personnel!$I$32),0)+IF(AND(42&gt;=Personnel!$E$33,Personnel!$G$33="Yes"),Personnel!$D$33*(1-Personnel!$I$33),0)+IF(AND(42&gt;=Personnel!$E$34,Personnel!$G$34="Yes"),Personnel!$D$34*(1-Personnel!$I$34),0)+IF(AND(42&gt;=Personnel!$E$35,Personnel!$G$35="Yes"),Personnel!$D$35*(1-Personnel!$I$35),0)+IF(AND(42&gt;=Personnel!$E$36,Personnel!$G$36="Yes"),Personnel!$D$36*(1-Personnel!$I$36),0)+IF(AND(42&gt;=Personnel!$E$37,Personnel!$G$37="Yes"),Personnel!$D$37*(1-Personnel!$I$37),0)+IF(AND(42&gt;=Personnel!$E$38,Personnel!$G$38="Yes"),Personnel!$D$38*(1-Personnel!$I$38),0))</f>
        <v>-87166.666666666672</v>
      </c>
      <c r="AS66" s="8">
        <f>-(IF(AND(43&gt;=Personnel!$E$32,Personnel!$G$32="Yes"),Personnel!$D$32*(1-Personnel!$I$32),0)+IF(AND(43&gt;=Personnel!$E$33,Personnel!$G$33="Yes"),Personnel!$D$33*(1-Personnel!$I$33),0)+IF(AND(43&gt;=Personnel!$E$34,Personnel!$G$34="Yes"),Personnel!$D$34*(1-Personnel!$I$34),0)+IF(AND(43&gt;=Personnel!$E$35,Personnel!$G$35="Yes"),Personnel!$D$35*(1-Personnel!$I$35),0)+IF(AND(43&gt;=Personnel!$E$36,Personnel!$G$36="Yes"),Personnel!$D$36*(1-Personnel!$I$36),0)+IF(AND(43&gt;=Personnel!$E$37,Personnel!$G$37="Yes"),Personnel!$D$37*(1-Personnel!$I$37),0)+IF(AND(43&gt;=Personnel!$E$38,Personnel!$G$38="Yes"),Personnel!$D$38*(1-Personnel!$I$38),0))</f>
        <v>-87166.666666666672</v>
      </c>
      <c r="AT66" s="8">
        <f>-(IF(AND(44&gt;=Personnel!$E$32,Personnel!$G$32="Yes"),Personnel!$D$32*(1-Personnel!$I$32),0)+IF(AND(44&gt;=Personnel!$E$33,Personnel!$G$33="Yes"),Personnel!$D$33*(1-Personnel!$I$33),0)+IF(AND(44&gt;=Personnel!$E$34,Personnel!$G$34="Yes"),Personnel!$D$34*(1-Personnel!$I$34),0)+IF(AND(44&gt;=Personnel!$E$35,Personnel!$G$35="Yes"),Personnel!$D$35*(1-Personnel!$I$35),0)+IF(AND(44&gt;=Personnel!$E$36,Personnel!$G$36="Yes"),Personnel!$D$36*(1-Personnel!$I$36),0)+IF(AND(44&gt;=Personnel!$E$37,Personnel!$G$37="Yes"),Personnel!$D$37*(1-Personnel!$I$37),0)+IF(AND(44&gt;=Personnel!$E$38,Personnel!$G$38="Yes"),Personnel!$D$38*(1-Personnel!$I$38),0))</f>
        <v>-87166.666666666672</v>
      </c>
      <c r="AU66" s="8">
        <f>-(IF(AND(45&gt;=Personnel!$E$32,Personnel!$G$32="Yes"),Personnel!$D$32*(1-Personnel!$I$32),0)+IF(AND(45&gt;=Personnel!$E$33,Personnel!$G$33="Yes"),Personnel!$D$33*(1-Personnel!$I$33),0)+IF(AND(45&gt;=Personnel!$E$34,Personnel!$G$34="Yes"),Personnel!$D$34*(1-Personnel!$I$34),0)+IF(AND(45&gt;=Personnel!$E$35,Personnel!$G$35="Yes"),Personnel!$D$35*(1-Personnel!$I$35),0)+IF(AND(45&gt;=Personnel!$E$36,Personnel!$G$36="Yes"),Personnel!$D$36*(1-Personnel!$I$36),0)+IF(AND(45&gt;=Personnel!$E$37,Personnel!$G$37="Yes"),Personnel!$D$37*(1-Personnel!$I$37),0)+IF(AND(45&gt;=Personnel!$E$38,Personnel!$G$38="Yes"),Personnel!$D$38*(1-Personnel!$I$38),0))</f>
        <v>-87166.666666666672</v>
      </c>
      <c r="AV66" s="8">
        <f>-(IF(AND(46&gt;=Personnel!$E$32,Personnel!$G$32="Yes"),Personnel!$D$32*(1-Personnel!$I$32),0)+IF(AND(46&gt;=Personnel!$E$33,Personnel!$G$33="Yes"),Personnel!$D$33*(1-Personnel!$I$33),0)+IF(AND(46&gt;=Personnel!$E$34,Personnel!$G$34="Yes"),Personnel!$D$34*(1-Personnel!$I$34),0)+IF(AND(46&gt;=Personnel!$E$35,Personnel!$G$35="Yes"),Personnel!$D$35*(1-Personnel!$I$35),0)+IF(AND(46&gt;=Personnel!$E$36,Personnel!$G$36="Yes"),Personnel!$D$36*(1-Personnel!$I$36),0)+IF(AND(46&gt;=Personnel!$E$37,Personnel!$G$37="Yes"),Personnel!$D$37*(1-Personnel!$I$37),0)+IF(AND(46&gt;=Personnel!$E$38,Personnel!$G$38="Yes"),Personnel!$D$38*(1-Personnel!$I$38),0))</f>
        <v>-87166.666666666672</v>
      </c>
      <c r="AW66" s="8">
        <f>-(IF(AND(47&gt;=Personnel!$E$32,Personnel!$G$32="Yes"),Personnel!$D$32*(1-Personnel!$I$32),0)+IF(AND(47&gt;=Personnel!$E$33,Personnel!$G$33="Yes"),Personnel!$D$33*(1-Personnel!$I$33),0)+IF(AND(47&gt;=Personnel!$E$34,Personnel!$G$34="Yes"),Personnel!$D$34*(1-Personnel!$I$34),0)+IF(AND(47&gt;=Personnel!$E$35,Personnel!$G$35="Yes"),Personnel!$D$35*(1-Personnel!$I$35),0)+IF(AND(47&gt;=Personnel!$E$36,Personnel!$G$36="Yes"),Personnel!$D$36*(1-Personnel!$I$36),0)+IF(AND(47&gt;=Personnel!$E$37,Personnel!$G$37="Yes"),Personnel!$D$37*(1-Personnel!$I$37),0)+IF(AND(47&gt;=Personnel!$E$38,Personnel!$G$38="Yes"),Personnel!$D$38*(1-Personnel!$I$38),0))</f>
        <v>-87166.666666666672</v>
      </c>
      <c r="AX66" s="8">
        <f>-(IF(AND(48&gt;=Personnel!$E$32,Personnel!$G$32="Yes"),Personnel!$D$32*(1-Personnel!$I$32),0)+IF(AND(48&gt;=Personnel!$E$33,Personnel!$G$33="Yes"),Personnel!$D$33*(1-Personnel!$I$33),0)+IF(AND(48&gt;=Personnel!$E$34,Personnel!$G$34="Yes"),Personnel!$D$34*(1-Personnel!$I$34),0)+IF(AND(48&gt;=Personnel!$E$35,Personnel!$G$35="Yes"),Personnel!$D$35*(1-Personnel!$I$35),0)+IF(AND(48&gt;=Personnel!$E$36,Personnel!$G$36="Yes"),Personnel!$D$36*(1-Personnel!$I$36),0)+IF(AND(48&gt;=Personnel!$E$37,Personnel!$G$37="Yes"),Personnel!$D$37*(1-Personnel!$I$37),0)+IF(AND(48&gt;=Personnel!$E$38,Personnel!$G$38="Yes"),Personnel!$D$38*(1-Personnel!$I$38),0))</f>
        <v>-87166.666666666672</v>
      </c>
      <c r="AY66" s="8">
        <f>-(IF(AND(49&gt;=Personnel!$E$32,Personnel!$G$32="Yes"),Personnel!$D$32*(1-Personnel!$I$32),0)+IF(AND(49&gt;=Personnel!$E$33,Personnel!$G$33="Yes"),Personnel!$D$33*(1-Personnel!$I$33),0)+IF(AND(49&gt;=Personnel!$E$34,Personnel!$G$34="Yes"),Personnel!$D$34*(1-Personnel!$I$34),0)+IF(AND(49&gt;=Personnel!$E$35,Personnel!$G$35="Yes"),Personnel!$D$35*(1-Personnel!$I$35),0)+IF(AND(49&gt;=Personnel!$E$36,Personnel!$G$36="Yes"),Personnel!$D$36*(1-Personnel!$I$36),0)+IF(AND(49&gt;=Personnel!$E$37,Personnel!$G$37="Yes"),Personnel!$D$37*(1-Personnel!$I$37),0)+IF(AND(49&gt;=Personnel!$E$38,Personnel!$G$38="Yes"),Personnel!$D$38*(1-Personnel!$I$38),0))</f>
        <v>-87166.666666666672</v>
      </c>
      <c r="AZ66" s="8">
        <f>-(IF(AND(50&gt;=Personnel!$E$32,Personnel!$G$32="Yes"),Personnel!$D$32*(1-Personnel!$I$32),0)+IF(AND(50&gt;=Personnel!$E$33,Personnel!$G$33="Yes"),Personnel!$D$33*(1-Personnel!$I$33),0)+IF(AND(50&gt;=Personnel!$E$34,Personnel!$G$34="Yes"),Personnel!$D$34*(1-Personnel!$I$34),0)+IF(AND(50&gt;=Personnel!$E$35,Personnel!$G$35="Yes"),Personnel!$D$35*(1-Personnel!$I$35),0)+IF(AND(50&gt;=Personnel!$E$36,Personnel!$G$36="Yes"),Personnel!$D$36*(1-Personnel!$I$36),0)+IF(AND(50&gt;=Personnel!$E$37,Personnel!$G$37="Yes"),Personnel!$D$37*(1-Personnel!$I$37),0)+IF(AND(50&gt;=Personnel!$E$38,Personnel!$G$38="Yes"),Personnel!$D$38*(1-Personnel!$I$38),0))</f>
        <v>-87166.666666666672</v>
      </c>
      <c r="BA66" s="8">
        <f>-(IF(AND(51&gt;=Personnel!$E$32,Personnel!$G$32="Yes"),Personnel!$D$32*(1-Personnel!$I$32),0)+IF(AND(51&gt;=Personnel!$E$33,Personnel!$G$33="Yes"),Personnel!$D$33*(1-Personnel!$I$33),0)+IF(AND(51&gt;=Personnel!$E$34,Personnel!$G$34="Yes"),Personnel!$D$34*(1-Personnel!$I$34),0)+IF(AND(51&gt;=Personnel!$E$35,Personnel!$G$35="Yes"),Personnel!$D$35*(1-Personnel!$I$35),0)+IF(AND(51&gt;=Personnel!$E$36,Personnel!$G$36="Yes"),Personnel!$D$36*(1-Personnel!$I$36),0)+IF(AND(51&gt;=Personnel!$E$37,Personnel!$G$37="Yes"),Personnel!$D$37*(1-Personnel!$I$37),0)+IF(AND(51&gt;=Personnel!$E$38,Personnel!$G$38="Yes"),Personnel!$D$38*(1-Personnel!$I$38),0))</f>
        <v>-87166.666666666672</v>
      </c>
      <c r="BB66" s="8">
        <f>-(IF(AND(52&gt;=Personnel!$E$32,Personnel!$G$32="Yes"),Personnel!$D$32*(1-Personnel!$I$32),0)+IF(AND(52&gt;=Personnel!$E$33,Personnel!$G$33="Yes"),Personnel!$D$33*(1-Personnel!$I$33),0)+IF(AND(52&gt;=Personnel!$E$34,Personnel!$G$34="Yes"),Personnel!$D$34*(1-Personnel!$I$34),0)+IF(AND(52&gt;=Personnel!$E$35,Personnel!$G$35="Yes"),Personnel!$D$35*(1-Personnel!$I$35),0)+IF(AND(52&gt;=Personnel!$E$36,Personnel!$G$36="Yes"),Personnel!$D$36*(1-Personnel!$I$36),0)+IF(AND(52&gt;=Personnel!$E$37,Personnel!$G$37="Yes"),Personnel!$D$37*(1-Personnel!$I$37),0)+IF(AND(52&gt;=Personnel!$E$38,Personnel!$G$38="Yes"),Personnel!$D$38*(1-Personnel!$I$38),0))</f>
        <v>-87166.666666666672</v>
      </c>
      <c r="BC66" s="8">
        <f>-(IF(AND(53&gt;=Personnel!$E$32,Personnel!$G$32="Yes"),Personnel!$D$32*(1-Personnel!$I$32),0)+IF(AND(53&gt;=Personnel!$E$33,Personnel!$G$33="Yes"),Personnel!$D$33*(1-Personnel!$I$33),0)+IF(AND(53&gt;=Personnel!$E$34,Personnel!$G$34="Yes"),Personnel!$D$34*(1-Personnel!$I$34),0)+IF(AND(53&gt;=Personnel!$E$35,Personnel!$G$35="Yes"),Personnel!$D$35*(1-Personnel!$I$35),0)+IF(AND(53&gt;=Personnel!$E$36,Personnel!$G$36="Yes"),Personnel!$D$36*(1-Personnel!$I$36),0)+IF(AND(53&gt;=Personnel!$E$37,Personnel!$G$37="Yes"),Personnel!$D$37*(1-Personnel!$I$37),0)+IF(AND(53&gt;=Personnel!$E$38,Personnel!$G$38="Yes"),Personnel!$D$38*(1-Personnel!$I$38),0))</f>
        <v>-87166.666666666672</v>
      </c>
      <c r="BD66" s="8">
        <f>-(IF(AND(54&gt;=Personnel!$E$32,Personnel!$G$32="Yes"),Personnel!$D$32*(1-Personnel!$I$32),0)+IF(AND(54&gt;=Personnel!$E$33,Personnel!$G$33="Yes"),Personnel!$D$33*(1-Personnel!$I$33),0)+IF(AND(54&gt;=Personnel!$E$34,Personnel!$G$34="Yes"),Personnel!$D$34*(1-Personnel!$I$34),0)+IF(AND(54&gt;=Personnel!$E$35,Personnel!$G$35="Yes"),Personnel!$D$35*(1-Personnel!$I$35),0)+IF(AND(54&gt;=Personnel!$E$36,Personnel!$G$36="Yes"),Personnel!$D$36*(1-Personnel!$I$36),0)+IF(AND(54&gt;=Personnel!$E$37,Personnel!$G$37="Yes"),Personnel!$D$37*(1-Personnel!$I$37),0)+IF(AND(54&gt;=Personnel!$E$38,Personnel!$G$38="Yes"),Personnel!$D$38*(1-Personnel!$I$38),0))</f>
        <v>-87166.666666666672</v>
      </c>
      <c r="BE66" s="8">
        <f>-(IF(AND(55&gt;=Personnel!$E$32,Personnel!$G$32="Yes"),Personnel!$D$32*(1-Personnel!$I$32),0)+IF(AND(55&gt;=Personnel!$E$33,Personnel!$G$33="Yes"),Personnel!$D$33*(1-Personnel!$I$33),0)+IF(AND(55&gt;=Personnel!$E$34,Personnel!$G$34="Yes"),Personnel!$D$34*(1-Personnel!$I$34),0)+IF(AND(55&gt;=Personnel!$E$35,Personnel!$G$35="Yes"),Personnel!$D$35*(1-Personnel!$I$35),0)+IF(AND(55&gt;=Personnel!$E$36,Personnel!$G$36="Yes"),Personnel!$D$36*(1-Personnel!$I$36),0)+IF(AND(55&gt;=Personnel!$E$37,Personnel!$G$37="Yes"),Personnel!$D$37*(1-Personnel!$I$37),0)+IF(AND(55&gt;=Personnel!$E$38,Personnel!$G$38="Yes"),Personnel!$D$38*(1-Personnel!$I$38),0))</f>
        <v>-87166.666666666672</v>
      </c>
      <c r="BF66" s="8">
        <f>-(IF(AND(56&gt;=Personnel!$E$32,Personnel!$G$32="Yes"),Personnel!$D$32*(1-Personnel!$I$32),0)+IF(AND(56&gt;=Personnel!$E$33,Personnel!$G$33="Yes"),Personnel!$D$33*(1-Personnel!$I$33),0)+IF(AND(56&gt;=Personnel!$E$34,Personnel!$G$34="Yes"),Personnel!$D$34*(1-Personnel!$I$34),0)+IF(AND(56&gt;=Personnel!$E$35,Personnel!$G$35="Yes"),Personnel!$D$35*(1-Personnel!$I$35),0)+IF(AND(56&gt;=Personnel!$E$36,Personnel!$G$36="Yes"),Personnel!$D$36*(1-Personnel!$I$36),0)+IF(AND(56&gt;=Personnel!$E$37,Personnel!$G$37="Yes"),Personnel!$D$37*(1-Personnel!$I$37),0)+IF(AND(56&gt;=Personnel!$E$38,Personnel!$G$38="Yes"),Personnel!$D$38*(1-Personnel!$I$38),0))</f>
        <v>-87166.666666666672</v>
      </c>
      <c r="BG66" s="8">
        <f>-(IF(AND(57&gt;=Personnel!$E$32,Personnel!$G$32="Yes"),Personnel!$D$32*(1-Personnel!$I$32),0)+IF(AND(57&gt;=Personnel!$E$33,Personnel!$G$33="Yes"),Personnel!$D$33*(1-Personnel!$I$33),0)+IF(AND(57&gt;=Personnel!$E$34,Personnel!$G$34="Yes"),Personnel!$D$34*(1-Personnel!$I$34),0)+IF(AND(57&gt;=Personnel!$E$35,Personnel!$G$35="Yes"),Personnel!$D$35*(1-Personnel!$I$35),0)+IF(AND(57&gt;=Personnel!$E$36,Personnel!$G$36="Yes"),Personnel!$D$36*(1-Personnel!$I$36),0)+IF(AND(57&gt;=Personnel!$E$37,Personnel!$G$37="Yes"),Personnel!$D$37*(1-Personnel!$I$37),0)+IF(AND(57&gt;=Personnel!$E$38,Personnel!$G$38="Yes"),Personnel!$D$38*(1-Personnel!$I$38),0))</f>
        <v>-87166.666666666672</v>
      </c>
      <c r="BH66" s="8">
        <f>-(IF(AND(58&gt;=Personnel!$E$32,Personnel!$G$32="Yes"),Personnel!$D$32*(1-Personnel!$I$32),0)+IF(AND(58&gt;=Personnel!$E$33,Personnel!$G$33="Yes"),Personnel!$D$33*(1-Personnel!$I$33),0)+IF(AND(58&gt;=Personnel!$E$34,Personnel!$G$34="Yes"),Personnel!$D$34*(1-Personnel!$I$34),0)+IF(AND(58&gt;=Personnel!$E$35,Personnel!$G$35="Yes"),Personnel!$D$35*(1-Personnel!$I$35),0)+IF(AND(58&gt;=Personnel!$E$36,Personnel!$G$36="Yes"),Personnel!$D$36*(1-Personnel!$I$36),0)+IF(AND(58&gt;=Personnel!$E$37,Personnel!$G$37="Yes"),Personnel!$D$37*(1-Personnel!$I$37),0)+IF(AND(58&gt;=Personnel!$E$38,Personnel!$G$38="Yes"),Personnel!$D$38*(1-Personnel!$I$38),0))</f>
        <v>-87166.666666666672</v>
      </c>
      <c r="BI66" s="8">
        <f>-(IF(AND(59&gt;=Personnel!$E$32,Personnel!$G$32="Yes"),Personnel!$D$32*(1-Personnel!$I$32),0)+IF(AND(59&gt;=Personnel!$E$33,Personnel!$G$33="Yes"),Personnel!$D$33*(1-Personnel!$I$33),0)+IF(AND(59&gt;=Personnel!$E$34,Personnel!$G$34="Yes"),Personnel!$D$34*(1-Personnel!$I$34),0)+IF(AND(59&gt;=Personnel!$E$35,Personnel!$G$35="Yes"),Personnel!$D$35*(1-Personnel!$I$35),0)+IF(AND(59&gt;=Personnel!$E$36,Personnel!$G$36="Yes"),Personnel!$D$36*(1-Personnel!$I$36),0)+IF(AND(59&gt;=Personnel!$E$37,Personnel!$G$37="Yes"),Personnel!$D$37*(1-Personnel!$I$37),0)+IF(AND(59&gt;=Personnel!$E$38,Personnel!$G$38="Yes"),Personnel!$D$38*(1-Personnel!$I$38),0))</f>
        <v>-87166.666666666672</v>
      </c>
      <c r="BJ66" s="8">
        <f>-(IF(AND(60&gt;=Personnel!$E$32,Personnel!$G$32="Yes"),Personnel!$D$32*(1-Personnel!$I$32),0)+IF(AND(60&gt;=Personnel!$E$33,Personnel!$G$33="Yes"),Personnel!$D$33*(1-Personnel!$I$33),0)+IF(AND(60&gt;=Personnel!$E$34,Personnel!$G$34="Yes"),Personnel!$D$34*(1-Personnel!$I$34),0)+IF(AND(60&gt;=Personnel!$E$35,Personnel!$G$35="Yes"),Personnel!$D$35*(1-Personnel!$I$35),0)+IF(AND(60&gt;=Personnel!$E$36,Personnel!$G$36="Yes"),Personnel!$D$36*(1-Personnel!$I$36),0)+IF(AND(60&gt;=Personnel!$E$37,Personnel!$G$37="Yes"),Personnel!$D$37*(1-Personnel!$I$37),0)+IF(AND(60&gt;=Personnel!$E$38,Personnel!$G$38="Yes"),Personnel!$D$38*(1-Personnel!$I$38),0))</f>
        <v>-87166.666666666672</v>
      </c>
      <c r="BK66" s="8">
        <f>-(IF(AND(61&gt;=Personnel!$E$32,Personnel!$G$32="Yes"),Personnel!$D$32*(1-Personnel!$I$32),0)+IF(AND(61&gt;=Personnel!$E$33,Personnel!$G$33="Yes"),Personnel!$D$33*(1-Personnel!$I$33),0)+IF(AND(61&gt;=Personnel!$E$34,Personnel!$G$34="Yes"),Personnel!$D$34*(1-Personnel!$I$34),0)+IF(AND(61&gt;=Personnel!$E$35,Personnel!$G$35="Yes"),Personnel!$D$35*(1-Personnel!$I$35),0)+IF(AND(61&gt;=Personnel!$E$36,Personnel!$G$36="Yes"),Personnel!$D$36*(1-Personnel!$I$36),0)+IF(AND(61&gt;=Personnel!$E$37,Personnel!$G$37="Yes"),Personnel!$D$37*(1-Personnel!$I$37),0)+IF(AND(61&gt;=Personnel!$E$38,Personnel!$G$38="Yes"),Personnel!$D$38*(1-Personnel!$I$38),0))</f>
        <v>-87166.666666666672</v>
      </c>
      <c r="BL66" s="8">
        <f>-(IF(AND(62&gt;=Personnel!$E$32,Personnel!$G$32="Yes"),Personnel!$D$32*(1-Personnel!$I$32),0)+IF(AND(62&gt;=Personnel!$E$33,Personnel!$G$33="Yes"),Personnel!$D$33*(1-Personnel!$I$33),0)+IF(AND(62&gt;=Personnel!$E$34,Personnel!$G$34="Yes"),Personnel!$D$34*(1-Personnel!$I$34),0)+IF(AND(62&gt;=Personnel!$E$35,Personnel!$G$35="Yes"),Personnel!$D$35*(1-Personnel!$I$35),0)+IF(AND(62&gt;=Personnel!$E$36,Personnel!$G$36="Yes"),Personnel!$D$36*(1-Personnel!$I$36),0)+IF(AND(62&gt;=Personnel!$E$37,Personnel!$G$37="Yes"),Personnel!$D$37*(1-Personnel!$I$37),0)+IF(AND(62&gt;=Personnel!$E$38,Personnel!$G$38="Yes"),Personnel!$D$38*(1-Personnel!$I$38),0))</f>
        <v>-87166.666666666672</v>
      </c>
      <c r="BM66" s="8">
        <f>-(IF(AND(63&gt;=Personnel!$E$32,Personnel!$G$32="Yes"),Personnel!$D$32*(1-Personnel!$I$32),0)+IF(AND(63&gt;=Personnel!$E$33,Personnel!$G$33="Yes"),Personnel!$D$33*(1-Personnel!$I$33),0)+IF(AND(63&gt;=Personnel!$E$34,Personnel!$G$34="Yes"),Personnel!$D$34*(1-Personnel!$I$34),0)+IF(AND(63&gt;=Personnel!$E$35,Personnel!$G$35="Yes"),Personnel!$D$35*(1-Personnel!$I$35),0)+IF(AND(63&gt;=Personnel!$E$36,Personnel!$G$36="Yes"),Personnel!$D$36*(1-Personnel!$I$36),0)+IF(AND(63&gt;=Personnel!$E$37,Personnel!$G$37="Yes"),Personnel!$D$37*(1-Personnel!$I$37),0)+IF(AND(63&gt;=Personnel!$E$38,Personnel!$G$38="Yes"),Personnel!$D$38*(1-Personnel!$I$38),0))</f>
        <v>-87166.666666666672</v>
      </c>
      <c r="BN66" s="8">
        <f>-(IF(AND(64&gt;=Personnel!$E$32,Personnel!$G$32="Yes"),Personnel!$D$32*(1-Personnel!$I$32),0)+IF(AND(64&gt;=Personnel!$E$33,Personnel!$G$33="Yes"),Personnel!$D$33*(1-Personnel!$I$33),0)+IF(AND(64&gt;=Personnel!$E$34,Personnel!$G$34="Yes"),Personnel!$D$34*(1-Personnel!$I$34),0)+IF(AND(64&gt;=Personnel!$E$35,Personnel!$G$35="Yes"),Personnel!$D$35*(1-Personnel!$I$35),0)+IF(AND(64&gt;=Personnel!$E$36,Personnel!$G$36="Yes"),Personnel!$D$36*(1-Personnel!$I$36),0)+IF(AND(64&gt;=Personnel!$E$37,Personnel!$G$37="Yes"),Personnel!$D$37*(1-Personnel!$I$37),0)+IF(AND(64&gt;=Personnel!$E$38,Personnel!$G$38="Yes"),Personnel!$D$38*(1-Personnel!$I$38),0))</f>
        <v>-87166.666666666672</v>
      </c>
      <c r="BO66" s="8">
        <f>-(IF(AND(65&gt;=Personnel!$E$32,Personnel!$G$32="Yes"),Personnel!$D$32*(1-Personnel!$I$32),0)+IF(AND(65&gt;=Personnel!$E$33,Personnel!$G$33="Yes"),Personnel!$D$33*(1-Personnel!$I$33),0)+IF(AND(65&gt;=Personnel!$E$34,Personnel!$G$34="Yes"),Personnel!$D$34*(1-Personnel!$I$34),0)+IF(AND(65&gt;=Personnel!$E$35,Personnel!$G$35="Yes"),Personnel!$D$35*(1-Personnel!$I$35),0)+IF(AND(65&gt;=Personnel!$E$36,Personnel!$G$36="Yes"),Personnel!$D$36*(1-Personnel!$I$36),0)+IF(AND(65&gt;=Personnel!$E$37,Personnel!$G$37="Yes"),Personnel!$D$37*(1-Personnel!$I$37),0)+IF(AND(65&gt;=Personnel!$E$38,Personnel!$G$38="Yes"),Personnel!$D$38*(1-Personnel!$I$38),0))</f>
        <v>-87166.666666666672</v>
      </c>
      <c r="BP66" s="8">
        <f>-(IF(AND(66&gt;=Personnel!$E$32,Personnel!$G$32="Yes"),Personnel!$D$32*(1-Personnel!$I$32),0)+IF(AND(66&gt;=Personnel!$E$33,Personnel!$G$33="Yes"),Personnel!$D$33*(1-Personnel!$I$33),0)+IF(AND(66&gt;=Personnel!$E$34,Personnel!$G$34="Yes"),Personnel!$D$34*(1-Personnel!$I$34),0)+IF(AND(66&gt;=Personnel!$E$35,Personnel!$G$35="Yes"),Personnel!$D$35*(1-Personnel!$I$35),0)+IF(AND(66&gt;=Personnel!$E$36,Personnel!$G$36="Yes"),Personnel!$D$36*(1-Personnel!$I$36),0)+IF(AND(66&gt;=Personnel!$E$37,Personnel!$G$37="Yes"),Personnel!$D$37*(1-Personnel!$I$37),0)+IF(AND(66&gt;=Personnel!$E$38,Personnel!$G$38="Yes"),Personnel!$D$38*(1-Personnel!$I$38),0))</f>
        <v>-87166.666666666672</v>
      </c>
      <c r="BQ66" s="8">
        <f>-(IF(AND(67&gt;=Personnel!$E$32,Personnel!$G$32="Yes"),Personnel!$D$32*(1-Personnel!$I$32),0)+IF(AND(67&gt;=Personnel!$E$33,Personnel!$G$33="Yes"),Personnel!$D$33*(1-Personnel!$I$33),0)+IF(AND(67&gt;=Personnel!$E$34,Personnel!$G$34="Yes"),Personnel!$D$34*(1-Personnel!$I$34),0)+IF(AND(67&gt;=Personnel!$E$35,Personnel!$G$35="Yes"),Personnel!$D$35*(1-Personnel!$I$35),0)+IF(AND(67&gt;=Personnel!$E$36,Personnel!$G$36="Yes"),Personnel!$D$36*(1-Personnel!$I$36),0)+IF(AND(67&gt;=Personnel!$E$37,Personnel!$G$37="Yes"),Personnel!$D$37*(1-Personnel!$I$37),0)+IF(AND(67&gt;=Personnel!$E$38,Personnel!$G$38="Yes"),Personnel!$D$38*(1-Personnel!$I$38),0))</f>
        <v>-87166.666666666672</v>
      </c>
      <c r="BR66" s="8">
        <f>-(IF(AND(68&gt;=Personnel!$E$32,Personnel!$G$32="Yes"),Personnel!$D$32*(1-Personnel!$I$32),0)+IF(AND(68&gt;=Personnel!$E$33,Personnel!$G$33="Yes"),Personnel!$D$33*(1-Personnel!$I$33),0)+IF(AND(68&gt;=Personnel!$E$34,Personnel!$G$34="Yes"),Personnel!$D$34*(1-Personnel!$I$34),0)+IF(AND(68&gt;=Personnel!$E$35,Personnel!$G$35="Yes"),Personnel!$D$35*(1-Personnel!$I$35),0)+IF(AND(68&gt;=Personnel!$E$36,Personnel!$G$36="Yes"),Personnel!$D$36*(1-Personnel!$I$36),0)+IF(AND(68&gt;=Personnel!$E$37,Personnel!$G$37="Yes"),Personnel!$D$37*(1-Personnel!$I$37),0)+IF(AND(68&gt;=Personnel!$E$38,Personnel!$G$38="Yes"),Personnel!$D$38*(1-Personnel!$I$38),0))</f>
        <v>-87166.666666666672</v>
      </c>
      <c r="BS66" s="8">
        <f>-(IF(AND(69&gt;=Personnel!$E$32,Personnel!$G$32="Yes"),Personnel!$D$32*(1-Personnel!$I$32),0)+IF(AND(69&gt;=Personnel!$E$33,Personnel!$G$33="Yes"),Personnel!$D$33*(1-Personnel!$I$33),0)+IF(AND(69&gt;=Personnel!$E$34,Personnel!$G$34="Yes"),Personnel!$D$34*(1-Personnel!$I$34),0)+IF(AND(69&gt;=Personnel!$E$35,Personnel!$G$35="Yes"),Personnel!$D$35*(1-Personnel!$I$35),0)+IF(AND(69&gt;=Personnel!$E$36,Personnel!$G$36="Yes"),Personnel!$D$36*(1-Personnel!$I$36),0)+IF(AND(69&gt;=Personnel!$E$37,Personnel!$G$37="Yes"),Personnel!$D$37*(1-Personnel!$I$37),0)+IF(AND(69&gt;=Personnel!$E$38,Personnel!$G$38="Yes"),Personnel!$D$38*(1-Personnel!$I$38),0))</f>
        <v>-87166.666666666672</v>
      </c>
      <c r="BT66" s="8">
        <f>-(IF(AND(70&gt;=Personnel!$E$32,Personnel!$G$32="Yes"),Personnel!$D$32*(1-Personnel!$I$32),0)+IF(AND(70&gt;=Personnel!$E$33,Personnel!$G$33="Yes"),Personnel!$D$33*(1-Personnel!$I$33),0)+IF(AND(70&gt;=Personnel!$E$34,Personnel!$G$34="Yes"),Personnel!$D$34*(1-Personnel!$I$34),0)+IF(AND(70&gt;=Personnel!$E$35,Personnel!$G$35="Yes"),Personnel!$D$35*(1-Personnel!$I$35),0)+IF(AND(70&gt;=Personnel!$E$36,Personnel!$G$36="Yes"),Personnel!$D$36*(1-Personnel!$I$36),0)+IF(AND(70&gt;=Personnel!$E$37,Personnel!$G$37="Yes"),Personnel!$D$37*(1-Personnel!$I$37),0)+IF(AND(70&gt;=Personnel!$E$38,Personnel!$G$38="Yes"),Personnel!$D$38*(1-Personnel!$I$38),0))</f>
        <v>-87166.666666666672</v>
      </c>
      <c r="BU66" s="8">
        <f>-(IF(AND(71&gt;=Personnel!$E$32,Personnel!$G$32="Yes"),Personnel!$D$32*(1-Personnel!$I$32),0)+IF(AND(71&gt;=Personnel!$E$33,Personnel!$G$33="Yes"),Personnel!$D$33*(1-Personnel!$I$33),0)+IF(AND(71&gt;=Personnel!$E$34,Personnel!$G$34="Yes"),Personnel!$D$34*(1-Personnel!$I$34),0)+IF(AND(71&gt;=Personnel!$E$35,Personnel!$G$35="Yes"),Personnel!$D$35*(1-Personnel!$I$35),0)+IF(AND(71&gt;=Personnel!$E$36,Personnel!$G$36="Yes"),Personnel!$D$36*(1-Personnel!$I$36),0)+IF(AND(71&gt;=Personnel!$E$37,Personnel!$G$37="Yes"),Personnel!$D$37*(1-Personnel!$I$37),0)+IF(AND(71&gt;=Personnel!$E$38,Personnel!$G$38="Yes"),Personnel!$D$38*(1-Personnel!$I$38),0))</f>
        <v>-87166.666666666672</v>
      </c>
      <c r="BV66" s="8">
        <f>-(IF(AND(72&gt;=Personnel!$E$32,Personnel!$G$32="Yes"),Personnel!$D$32*(1-Personnel!$I$32),0)+IF(AND(72&gt;=Personnel!$E$33,Personnel!$G$33="Yes"),Personnel!$D$33*(1-Personnel!$I$33),0)+IF(AND(72&gt;=Personnel!$E$34,Personnel!$G$34="Yes"),Personnel!$D$34*(1-Personnel!$I$34),0)+IF(AND(72&gt;=Personnel!$E$35,Personnel!$G$35="Yes"),Personnel!$D$35*(1-Personnel!$I$35),0)+IF(AND(72&gt;=Personnel!$E$36,Personnel!$G$36="Yes"),Personnel!$D$36*(1-Personnel!$I$36),0)+IF(AND(72&gt;=Personnel!$E$37,Personnel!$G$37="Yes"),Personnel!$D$37*(1-Personnel!$I$37),0)+IF(AND(72&gt;=Personnel!$E$38,Personnel!$G$38="Yes"),Personnel!$D$38*(1-Personnel!$I$38),0))</f>
        <v>-87166.666666666672</v>
      </c>
      <c r="BW66" s="8">
        <f>-(IF(AND(73&gt;=Personnel!$E$32,Personnel!$G$32="Yes"),Personnel!$D$32*(1-Personnel!$I$32),0)+IF(AND(73&gt;=Personnel!$E$33,Personnel!$G$33="Yes"),Personnel!$D$33*(1-Personnel!$I$33),0)+IF(AND(73&gt;=Personnel!$E$34,Personnel!$G$34="Yes"),Personnel!$D$34*(1-Personnel!$I$34),0)+IF(AND(73&gt;=Personnel!$E$35,Personnel!$G$35="Yes"),Personnel!$D$35*(1-Personnel!$I$35),0)+IF(AND(73&gt;=Personnel!$E$36,Personnel!$G$36="Yes"),Personnel!$D$36*(1-Personnel!$I$36),0)+IF(AND(73&gt;=Personnel!$E$37,Personnel!$G$37="Yes"),Personnel!$D$37*(1-Personnel!$I$37),0)+IF(AND(73&gt;=Personnel!$E$38,Personnel!$G$38="Yes"),Personnel!$D$38*(1-Personnel!$I$38),0))</f>
        <v>-87166.666666666672</v>
      </c>
      <c r="BX66" s="8">
        <f>-(IF(AND(74&gt;=Personnel!$E$32,Personnel!$G$32="Yes"),Personnel!$D$32*(1-Personnel!$I$32),0)+IF(AND(74&gt;=Personnel!$E$33,Personnel!$G$33="Yes"),Personnel!$D$33*(1-Personnel!$I$33),0)+IF(AND(74&gt;=Personnel!$E$34,Personnel!$G$34="Yes"),Personnel!$D$34*(1-Personnel!$I$34),0)+IF(AND(74&gt;=Personnel!$E$35,Personnel!$G$35="Yes"),Personnel!$D$35*(1-Personnel!$I$35),0)+IF(AND(74&gt;=Personnel!$E$36,Personnel!$G$36="Yes"),Personnel!$D$36*(1-Personnel!$I$36),0)+IF(AND(74&gt;=Personnel!$E$37,Personnel!$G$37="Yes"),Personnel!$D$37*(1-Personnel!$I$37),0)+IF(AND(74&gt;=Personnel!$E$38,Personnel!$G$38="Yes"),Personnel!$D$38*(1-Personnel!$I$38),0))</f>
        <v>-87166.666666666672</v>
      </c>
      <c r="BY66" s="8">
        <f>-(IF(AND(75&gt;=Personnel!$E$32,Personnel!$G$32="Yes"),Personnel!$D$32*(1-Personnel!$I$32),0)+IF(AND(75&gt;=Personnel!$E$33,Personnel!$G$33="Yes"),Personnel!$D$33*(1-Personnel!$I$33),0)+IF(AND(75&gt;=Personnel!$E$34,Personnel!$G$34="Yes"),Personnel!$D$34*(1-Personnel!$I$34),0)+IF(AND(75&gt;=Personnel!$E$35,Personnel!$G$35="Yes"),Personnel!$D$35*(1-Personnel!$I$35),0)+IF(AND(75&gt;=Personnel!$E$36,Personnel!$G$36="Yes"),Personnel!$D$36*(1-Personnel!$I$36),0)+IF(AND(75&gt;=Personnel!$E$37,Personnel!$G$37="Yes"),Personnel!$D$37*(1-Personnel!$I$37),0)+IF(AND(75&gt;=Personnel!$E$38,Personnel!$G$38="Yes"),Personnel!$D$38*(1-Personnel!$I$38),0))</f>
        <v>-87166.666666666672</v>
      </c>
      <c r="BZ66" s="8">
        <f>-(IF(AND(76&gt;=Personnel!$E$32,Personnel!$G$32="Yes"),Personnel!$D$32*(1-Personnel!$I$32),0)+IF(AND(76&gt;=Personnel!$E$33,Personnel!$G$33="Yes"),Personnel!$D$33*(1-Personnel!$I$33),0)+IF(AND(76&gt;=Personnel!$E$34,Personnel!$G$34="Yes"),Personnel!$D$34*(1-Personnel!$I$34),0)+IF(AND(76&gt;=Personnel!$E$35,Personnel!$G$35="Yes"),Personnel!$D$35*(1-Personnel!$I$35),0)+IF(AND(76&gt;=Personnel!$E$36,Personnel!$G$36="Yes"),Personnel!$D$36*(1-Personnel!$I$36),0)+IF(AND(76&gt;=Personnel!$E$37,Personnel!$G$37="Yes"),Personnel!$D$37*(1-Personnel!$I$37),0)+IF(AND(76&gt;=Personnel!$E$38,Personnel!$G$38="Yes"),Personnel!$D$38*(1-Personnel!$I$38),0))</f>
        <v>-87166.666666666672</v>
      </c>
      <c r="CA66" s="8">
        <f>-(IF(AND(77&gt;=Personnel!$E$32,Personnel!$G$32="Yes"),Personnel!$D$32*(1-Personnel!$I$32),0)+IF(AND(77&gt;=Personnel!$E$33,Personnel!$G$33="Yes"),Personnel!$D$33*(1-Personnel!$I$33),0)+IF(AND(77&gt;=Personnel!$E$34,Personnel!$G$34="Yes"),Personnel!$D$34*(1-Personnel!$I$34),0)+IF(AND(77&gt;=Personnel!$E$35,Personnel!$G$35="Yes"),Personnel!$D$35*(1-Personnel!$I$35),0)+IF(AND(77&gt;=Personnel!$E$36,Personnel!$G$36="Yes"),Personnel!$D$36*(1-Personnel!$I$36),0)+IF(AND(77&gt;=Personnel!$E$37,Personnel!$G$37="Yes"),Personnel!$D$37*(1-Personnel!$I$37),0)+IF(AND(77&gt;=Personnel!$E$38,Personnel!$G$38="Yes"),Personnel!$D$38*(1-Personnel!$I$38),0))</f>
        <v>-87166.666666666672</v>
      </c>
      <c r="CB66" s="8">
        <f>-(IF(AND(78&gt;=Personnel!$E$32,Personnel!$G$32="Yes"),Personnel!$D$32*(1-Personnel!$I$32),0)+IF(AND(78&gt;=Personnel!$E$33,Personnel!$G$33="Yes"),Personnel!$D$33*(1-Personnel!$I$33),0)+IF(AND(78&gt;=Personnel!$E$34,Personnel!$G$34="Yes"),Personnel!$D$34*(1-Personnel!$I$34),0)+IF(AND(78&gt;=Personnel!$E$35,Personnel!$G$35="Yes"),Personnel!$D$35*(1-Personnel!$I$35),0)+IF(AND(78&gt;=Personnel!$E$36,Personnel!$G$36="Yes"),Personnel!$D$36*(1-Personnel!$I$36),0)+IF(AND(78&gt;=Personnel!$E$37,Personnel!$G$37="Yes"),Personnel!$D$37*(1-Personnel!$I$37),0)+IF(AND(78&gt;=Personnel!$E$38,Personnel!$G$38="Yes"),Personnel!$D$38*(1-Personnel!$I$38),0))</f>
        <v>-87166.666666666672</v>
      </c>
      <c r="CC66" s="8">
        <f>-(IF(AND(79&gt;=Personnel!$E$32,Personnel!$G$32="Yes"),Personnel!$D$32*(1-Personnel!$I$32),0)+IF(AND(79&gt;=Personnel!$E$33,Personnel!$G$33="Yes"),Personnel!$D$33*(1-Personnel!$I$33),0)+IF(AND(79&gt;=Personnel!$E$34,Personnel!$G$34="Yes"),Personnel!$D$34*(1-Personnel!$I$34),0)+IF(AND(79&gt;=Personnel!$E$35,Personnel!$G$35="Yes"),Personnel!$D$35*(1-Personnel!$I$35),0)+IF(AND(79&gt;=Personnel!$E$36,Personnel!$G$36="Yes"),Personnel!$D$36*(1-Personnel!$I$36),0)+IF(AND(79&gt;=Personnel!$E$37,Personnel!$G$37="Yes"),Personnel!$D$37*(1-Personnel!$I$37),0)+IF(AND(79&gt;=Personnel!$E$38,Personnel!$G$38="Yes"),Personnel!$D$38*(1-Personnel!$I$38),0))</f>
        <v>-87166.666666666672</v>
      </c>
      <c r="CD66" s="8">
        <f>-(IF(AND(80&gt;=Personnel!$E$32,Personnel!$G$32="Yes"),Personnel!$D$32*(1-Personnel!$I$32),0)+IF(AND(80&gt;=Personnel!$E$33,Personnel!$G$33="Yes"),Personnel!$D$33*(1-Personnel!$I$33),0)+IF(AND(80&gt;=Personnel!$E$34,Personnel!$G$34="Yes"),Personnel!$D$34*(1-Personnel!$I$34),0)+IF(AND(80&gt;=Personnel!$E$35,Personnel!$G$35="Yes"),Personnel!$D$35*(1-Personnel!$I$35),0)+IF(AND(80&gt;=Personnel!$E$36,Personnel!$G$36="Yes"),Personnel!$D$36*(1-Personnel!$I$36),0)+IF(AND(80&gt;=Personnel!$E$37,Personnel!$G$37="Yes"),Personnel!$D$37*(1-Personnel!$I$37),0)+IF(AND(80&gt;=Personnel!$E$38,Personnel!$G$38="Yes"),Personnel!$D$38*(1-Personnel!$I$38),0))</f>
        <v>-87166.666666666672</v>
      </c>
      <c r="CE66" s="8">
        <f>-(IF(AND(81&gt;=Personnel!$E$32,Personnel!$G$32="Yes"),Personnel!$D$32*(1-Personnel!$I$32),0)+IF(AND(81&gt;=Personnel!$E$33,Personnel!$G$33="Yes"),Personnel!$D$33*(1-Personnel!$I$33),0)+IF(AND(81&gt;=Personnel!$E$34,Personnel!$G$34="Yes"),Personnel!$D$34*(1-Personnel!$I$34),0)+IF(AND(81&gt;=Personnel!$E$35,Personnel!$G$35="Yes"),Personnel!$D$35*(1-Personnel!$I$35),0)+IF(AND(81&gt;=Personnel!$E$36,Personnel!$G$36="Yes"),Personnel!$D$36*(1-Personnel!$I$36),0)+IF(AND(81&gt;=Personnel!$E$37,Personnel!$G$37="Yes"),Personnel!$D$37*(1-Personnel!$I$37),0)+IF(AND(81&gt;=Personnel!$E$38,Personnel!$G$38="Yes"),Personnel!$D$38*(1-Personnel!$I$38),0))</f>
        <v>-87166.666666666672</v>
      </c>
      <c r="CF66" s="8">
        <f>-(IF(AND(82&gt;=Personnel!$E$32,Personnel!$G$32="Yes"),Personnel!$D$32*(1-Personnel!$I$32),0)+IF(AND(82&gt;=Personnel!$E$33,Personnel!$G$33="Yes"),Personnel!$D$33*(1-Personnel!$I$33),0)+IF(AND(82&gt;=Personnel!$E$34,Personnel!$G$34="Yes"),Personnel!$D$34*(1-Personnel!$I$34),0)+IF(AND(82&gt;=Personnel!$E$35,Personnel!$G$35="Yes"),Personnel!$D$35*(1-Personnel!$I$35),0)+IF(AND(82&gt;=Personnel!$E$36,Personnel!$G$36="Yes"),Personnel!$D$36*(1-Personnel!$I$36),0)+IF(AND(82&gt;=Personnel!$E$37,Personnel!$G$37="Yes"),Personnel!$D$37*(1-Personnel!$I$37),0)+IF(AND(82&gt;=Personnel!$E$38,Personnel!$G$38="Yes"),Personnel!$D$38*(1-Personnel!$I$38),0))</f>
        <v>-87166.666666666672</v>
      </c>
      <c r="CG66" s="8">
        <f>-(IF(AND(83&gt;=Personnel!$E$32,Personnel!$G$32="Yes"),Personnel!$D$32*(1-Personnel!$I$32),0)+IF(AND(83&gt;=Personnel!$E$33,Personnel!$G$33="Yes"),Personnel!$D$33*(1-Personnel!$I$33),0)+IF(AND(83&gt;=Personnel!$E$34,Personnel!$G$34="Yes"),Personnel!$D$34*(1-Personnel!$I$34),0)+IF(AND(83&gt;=Personnel!$E$35,Personnel!$G$35="Yes"),Personnel!$D$35*(1-Personnel!$I$35),0)+IF(AND(83&gt;=Personnel!$E$36,Personnel!$G$36="Yes"),Personnel!$D$36*(1-Personnel!$I$36),0)+IF(AND(83&gt;=Personnel!$E$37,Personnel!$G$37="Yes"),Personnel!$D$37*(1-Personnel!$I$37),0)+IF(AND(83&gt;=Personnel!$E$38,Personnel!$G$38="Yes"),Personnel!$D$38*(1-Personnel!$I$38),0))</f>
        <v>-87166.666666666672</v>
      </c>
      <c r="CH66" s="8">
        <f>-(IF(AND(84&gt;=Personnel!$E$32,Personnel!$G$32="Yes"),Personnel!$D$32*(1-Personnel!$I$32),0)+IF(AND(84&gt;=Personnel!$E$33,Personnel!$G$33="Yes"),Personnel!$D$33*(1-Personnel!$I$33),0)+IF(AND(84&gt;=Personnel!$E$34,Personnel!$G$34="Yes"),Personnel!$D$34*(1-Personnel!$I$34),0)+IF(AND(84&gt;=Personnel!$E$35,Personnel!$G$35="Yes"),Personnel!$D$35*(1-Personnel!$I$35),0)+IF(AND(84&gt;=Personnel!$E$36,Personnel!$G$36="Yes"),Personnel!$D$36*(1-Personnel!$I$36),0)+IF(AND(84&gt;=Personnel!$E$37,Personnel!$G$37="Yes"),Personnel!$D$37*(1-Personnel!$I$37),0)+IF(AND(84&gt;=Personnel!$E$38,Personnel!$G$38="Yes"),Personnel!$D$38*(1-Personnel!$I$38),0))</f>
        <v>-87166.666666666672</v>
      </c>
      <c r="CI66" s="23"/>
    </row>
    <row r="67" spans="1:87" ht="15" customHeight="1" x14ac:dyDescent="0.25">
      <c r="A67" s="7" t="s">
        <v>172</v>
      </c>
      <c r="B67" s="22"/>
      <c r="C67" s="8">
        <f>-Helpers!C5*Assumptions!$B$20</f>
        <v>-1750.0000000000002</v>
      </c>
      <c r="D67" s="8">
        <f>-Helpers!D5*Assumptions!$B$20</f>
        <v>-1750.0000000000002</v>
      </c>
      <c r="E67" s="8">
        <f>-Helpers!E5*Assumptions!$B$20</f>
        <v>-1750.0000000000002</v>
      </c>
      <c r="F67" s="8">
        <f>-Helpers!F5*Assumptions!$B$20</f>
        <v>-1750.0000000000002</v>
      </c>
      <c r="G67" s="8">
        <f>-Helpers!G5*Assumptions!$B$20</f>
        <v>-1750.0000000000002</v>
      </c>
      <c r="H67" s="8">
        <f>-Helpers!H5*Assumptions!$B$20</f>
        <v>-1750.0000000000002</v>
      </c>
      <c r="I67" s="8">
        <f>-Helpers!I5*Assumptions!$B$20</f>
        <v>-1750.0000000000002</v>
      </c>
      <c r="J67" s="8">
        <f>-Helpers!J5*Assumptions!$B$20</f>
        <v>-1750.0000000000002</v>
      </c>
      <c r="K67" s="8">
        <f>-Helpers!K5*Assumptions!$B$20</f>
        <v>-1750.0000000000002</v>
      </c>
      <c r="L67" s="8">
        <f>-Helpers!L5*Assumptions!$B$20</f>
        <v>-1750.0000000000002</v>
      </c>
      <c r="M67" s="8">
        <f>-Helpers!M5*Assumptions!$B$20</f>
        <v>-1750.0000000000002</v>
      </c>
      <c r="N67" s="8">
        <f>-Helpers!N5*Assumptions!$B$20</f>
        <v>-1750.0000000000002</v>
      </c>
      <c r="O67" s="8">
        <f>-Helpers!O5*Assumptions!$B$20</f>
        <v>-1750.0000000000002</v>
      </c>
      <c r="P67" s="8">
        <f>-Helpers!P5*Assumptions!$B$20</f>
        <v>-1750.0000000000002</v>
      </c>
      <c r="Q67" s="8">
        <f>-Helpers!Q5*Assumptions!$B$20</f>
        <v>-1750.0000000000002</v>
      </c>
      <c r="R67" s="8">
        <f>-Helpers!R5*Assumptions!$B$20</f>
        <v>-1750.0000000000002</v>
      </c>
      <c r="S67" s="8">
        <f>-Helpers!S5*Assumptions!$B$20</f>
        <v>-1750.0000000000002</v>
      </c>
      <c r="T67" s="8">
        <f>-Helpers!T5*Assumptions!$B$20</f>
        <v>-1750.0000000000002</v>
      </c>
      <c r="U67" s="8">
        <f>-Helpers!U5*Assumptions!$B$20</f>
        <v>-1750.0000000000002</v>
      </c>
      <c r="V67" s="8">
        <f>-Helpers!V5*Assumptions!$B$20</f>
        <v>-1750.0000000000002</v>
      </c>
      <c r="W67" s="8">
        <f>-Helpers!W5*Assumptions!$B$20</f>
        <v>-1750.0000000000002</v>
      </c>
      <c r="X67" s="8">
        <f>-Helpers!X5*Assumptions!$B$20</f>
        <v>-1750.0000000000002</v>
      </c>
      <c r="Y67" s="8">
        <f>-Helpers!Y5*Assumptions!$B$20</f>
        <v>-1750.0000000000002</v>
      </c>
      <c r="Z67" s="8">
        <f>-Helpers!Z5*Assumptions!$B$20</f>
        <v>-1750.0000000000002</v>
      </c>
      <c r="AA67" s="8">
        <f>-Helpers!AA5*Assumptions!$B$20</f>
        <v>-1750.0000000000002</v>
      </c>
      <c r="AB67" s="8">
        <f>-Helpers!AB5*Assumptions!$B$20</f>
        <v>-1750.0000000000002</v>
      </c>
      <c r="AC67" s="8">
        <f>-Helpers!AC5*Assumptions!$B$20</f>
        <v>-1750.0000000000002</v>
      </c>
      <c r="AD67" s="8">
        <f>-Helpers!AD5*Assumptions!$B$20</f>
        <v>-1750.0000000000002</v>
      </c>
      <c r="AE67" s="8">
        <f>-Helpers!AE5*Assumptions!$B$20</f>
        <v>-1750.0000000000002</v>
      </c>
      <c r="AF67" s="8">
        <f>-Helpers!AF5*Assumptions!$B$20</f>
        <v>-1750.0000000000002</v>
      </c>
      <c r="AG67" s="8">
        <f>-Helpers!AG5*Assumptions!$B$20</f>
        <v>-1750.0000000000002</v>
      </c>
      <c r="AH67" s="8">
        <f>-Helpers!AH5*Assumptions!$B$20</f>
        <v>-1750.0000000000002</v>
      </c>
      <c r="AI67" s="8">
        <f>-Helpers!AI5*Assumptions!$B$20</f>
        <v>-1750.0000000000002</v>
      </c>
      <c r="AJ67" s="8">
        <f>-Helpers!AJ5*Assumptions!$B$20</f>
        <v>-1750.0000000000002</v>
      </c>
      <c r="AK67" s="8">
        <f>-Helpers!AK5*Assumptions!$B$20</f>
        <v>-1750.0000000000002</v>
      </c>
      <c r="AL67" s="8">
        <f>-Helpers!AL5*Assumptions!$B$20</f>
        <v>-1750.0000000000002</v>
      </c>
      <c r="AM67" s="8">
        <f>-Helpers!AM5*Assumptions!$B$20</f>
        <v>-1750.0000000000002</v>
      </c>
      <c r="AN67" s="8">
        <f>-Helpers!AN5*Assumptions!$B$20</f>
        <v>-1750.0000000000002</v>
      </c>
      <c r="AO67" s="8">
        <f>-Helpers!AO5*Assumptions!$B$20</f>
        <v>-1750.0000000000002</v>
      </c>
      <c r="AP67" s="8">
        <f>-Helpers!AP5*Assumptions!$B$20</f>
        <v>-1750.0000000000002</v>
      </c>
      <c r="AQ67" s="8">
        <f>-Helpers!AQ5*Assumptions!$B$20</f>
        <v>-1750.0000000000002</v>
      </c>
      <c r="AR67" s="8">
        <f>-Helpers!AR5*Assumptions!$B$20</f>
        <v>-1750.0000000000002</v>
      </c>
      <c r="AS67" s="8">
        <f>-Helpers!AS5*Assumptions!$B$20</f>
        <v>-1750.0000000000002</v>
      </c>
      <c r="AT67" s="8">
        <f>-Helpers!AT5*Assumptions!$B$20</f>
        <v>-1750.0000000000002</v>
      </c>
      <c r="AU67" s="8">
        <f>-Helpers!AU5*Assumptions!$B$20</f>
        <v>-1750.0000000000002</v>
      </c>
      <c r="AV67" s="8">
        <f>-Helpers!AV5*Assumptions!$B$20</f>
        <v>-1750.0000000000002</v>
      </c>
      <c r="AW67" s="8">
        <f>-Helpers!AW5*Assumptions!$B$20</f>
        <v>-1750.0000000000002</v>
      </c>
      <c r="AX67" s="8">
        <f>-Helpers!AX5*Assumptions!$B$20</f>
        <v>-1750.0000000000002</v>
      </c>
      <c r="AY67" s="8">
        <f>-Helpers!AY5*Assumptions!$B$20</f>
        <v>-1750.0000000000002</v>
      </c>
      <c r="AZ67" s="8">
        <f>-Helpers!AZ5*Assumptions!$B$20</f>
        <v>-1750.0000000000002</v>
      </c>
      <c r="BA67" s="8">
        <f>-Helpers!BA5*Assumptions!$B$20</f>
        <v>-1750.0000000000002</v>
      </c>
      <c r="BB67" s="8">
        <f>-Helpers!BB5*Assumptions!$B$20</f>
        <v>-1750.0000000000002</v>
      </c>
      <c r="BC67" s="8">
        <f>-Helpers!BC5*Assumptions!$B$20</f>
        <v>-1750.0000000000002</v>
      </c>
      <c r="BD67" s="8">
        <f>-Helpers!BD5*Assumptions!$B$20</f>
        <v>-1750.0000000000002</v>
      </c>
      <c r="BE67" s="8">
        <f>-Helpers!BE5*Assumptions!$B$20</f>
        <v>-1750.0000000000002</v>
      </c>
      <c r="BF67" s="8">
        <f>-Helpers!BF5*Assumptions!$B$20</f>
        <v>-1750.0000000000002</v>
      </c>
      <c r="BG67" s="8">
        <f>-Helpers!BG5*Assumptions!$B$20</f>
        <v>-1750.0000000000002</v>
      </c>
      <c r="BH67" s="8">
        <f>-Helpers!BH5*Assumptions!$B$20</f>
        <v>-1750.0000000000002</v>
      </c>
      <c r="BI67" s="8">
        <f>-Helpers!BI5*Assumptions!$B$20</f>
        <v>-1750.0000000000002</v>
      </c>
      <c r="BJ67" s="8">
        <f>-Helpers!BJ5*Assumptions!$B$20</f>
        <v>-1750.0000000000002</v>
      </c>
      <c r="BK67" s="8">
        <f>-Helpers!BK5*Assumptions!$B$20</f>
        <v>-1750.0000000000002</v>
      </c>
      <c r="BL67" s="8">
        <f>-Helpers!BL5*Assumptions!$B$20</f>
        <v>-1750.0000000000002</v>
      </c>
      <c r="BM67" s="8">
        <f>-Helpers!BM5*Assumptions!$B$20</f>
        <v>-1750.0000000000002</v>
      </c>
      <c r="BN67" s="8">
        <f>-Helpers!BN5*Assumptions!$B$20</f>
        <v>-1750.0000000000002</v>
      </c>
      <c r="BO67" s="8">
        <f>-Helpers!BO5*Assumptions!$B$20</f>
        <v>-1750.0000000000002</v>
      </c>
      <c r="BP67" s="8">
        <f>-Helpers!BP5*Assumptions!$B$20</f>
        <v>-1750.0000000000002</v>
      </c>
      <c r="BQ67" s="8">
        <f>-Helpers!BQ5*Assumptions!$B$20</f>
        <v>-1750.0000000000002</v>
      </c>
      <c r="BR67" s="8">
        <f>-Helpers!BR5*Assumptions!$B$20</f>
        <v>-1750.0000000000002</v>
      </c>
      <c r="BS67" s="8">
        <f>-Helpers!BS5*Assumptions!$B$20</f>
        <v>-1750.0000000000002</v>
      </c>
      <c r="BT67" s="8">
        <f>-Helpers!BT5*Assumptions!$B$20</f>
        <v>-1750.0000000000002</v>
      </c>
      <c r="BU67" s="8">
        <f>-Helpers!BU5*Assumptions!$B$20</f>
        <v>-1750.0000000000002</v>
      </c>
      <c r="BV67" s="8">
        <f>-Helpers!BV5*Assumptions!$B$20</f>
        <v>-1750.0000000000002</v>
      </c>
      <c r="BW67" s="8">
        <f>-Helpers!BW5*Assumptions!$B$20</f>
        <v>-1750.0000000000002</v>
      </c>
      <c r="BX67" s="8">
        <f>-Helpers!BX5*Assumptions!$B$20</f>
        <v>-1750.0000000000002</v>
      </c>
      <c r="BY67" s="8">
        <f>-Helpers!BY5*Assumptions!$B$20</f>
        <v>-1750.0000000000002</v>
      </c>
      <c r="BZ67" s="8">
        <f>-Helpers!BZ5*Assumptions!$B$20</f>
        <v>-1750.0000000000002</v>
      </c>
      <c r="CA67" s="8">
        <f>-Helpers!CA5*Assumptions!$B$20</f>
        <v>-1750.0000000000002</v>
      </c>
      <c r="CB67" s="8">
        <f>-Helpers!CB5*Assumptions!$B$20</f>
        <v>-1750.0000000000002</v>
      </c>
      <c r="CC67" s="8">
        <f>-Helpers!CC5*Assumptions!$B$20</f>
        <v>-1750.0000000000002</v>
      </c>
      <c r="CD67" s="8">
        <f>-Helpers!CD5*Assumptions!$B$20</f>
        <v>-1750.0000000000002</v>
      </c>
      <c r="CE67" s="8">
        <f>-Helpers!CE5*Assumptions!$B$20</f>
        <v>-1750.0000000000002</v>
      </c>
      <c r="CF67" s="8">
        <f>-Helpers!CF5*Assumptions!$B$20</f>
        <v>-1750.0000000000002</v>
      </c>
      <c r="CG67" s="8">
        <f>-Helpers!CG5*Assumptions!$B$20</f>
        <v>-1750.0000000000002</v>
      </c>
      <c r="CH67" s="8">
        <f>-Helpers!CH5*Assumptions!$B$20</f>
        <v>-1750.0000000000002</v>
      </c>
      <c r="CI67" s="23"/>
    </row>
    <row r="68" spans="1:87" ht="15" customHeight="1" x14ac:dyDescent="0.25">
      <c r="A68" s="7" t="s">
        <v>173</v>
      </c>
      <c r="B68" s="22"/>
      <c r="C68" s="8">
        <f>-Helpers!C5*Assumptions!$B$21</f>
        <v>-125</v>
      </c>
      <c r="D68" s="8">
        <f>-Helpers!D5*Assumptions!$B$21</f>
        <v>-125</v>
      </c>
      <c r="E68" s="8">
        <f>-Helpers!E5*Assumptions!$B$21</f>
        <v>-125</v>
      </c>
      <c r="F68" s="8">
        <f>-Helpers!F5*Assumptions!$B$21</f>
        <v>-125</v>
      </c>
      <c r="G68" s="8">
        <f>-Helpers!G5*Assumptions!$B$21</f>
        <v>-125</v>
      </c>
      <c r="H68" s="8">
        <f>-Helpers!H5*Assumptions!$B$21</f>
        <v>-125</v>
      </c>
      <c r="I68" s="8">
        <f>-Helpers!I5*Assumptions!$B$21</f>
        <v>-125</v>
      </c>
      <c r="J68" s="8">
        <f>-Helpers!J5*Assumptions!$B$21</f>
        <v>-125</v>
      </c>
      <c r="K68" s="8">
        <f>-Helpers!K5*Assumptions!$B$21</f>
        <v>-125</v>
      </c>
      <c r="L68" s="8">
        <f>-Helpers!L5*Assumptions!$B$21</f>
        <v>-125</v>
      </c>
      <c r="M68" s="8">
        <f>-Helpers!M5*Assumptions!$B$21</f>
        <v>-125</v>
      </c>
      <c r="N68" s="8">
        <f>-Helpers!N5*Assumptions!$B$21</f>
        <v>-125</v>
      </c>
      <c r="O68" s="8">
        <f>-Helpers!O5*Assumptions!$B$21</f>
        <v>-125</v>
      </c>
      <c r="P68" s="8">
        <f>-Helpers!P5*Assumptions!$B$21</f>
        <v>-125</v>
      </c>
      <c r="Q68" s="8">
        <f>-Helpers!Q5*Assumptions!$B$21</f>
        <v>-125</v>
      </c>
      <c r="R68" s="8">
        <f>-Helpers!R5*Assumptions!$B$21</f>
        <v>-125</v>
      </c>
      <c r="S68" s="8">
        <f>-Helpers!S5*Assumptions!$B$21</f>
        <v>-125</v>
      </c>
      <c r="T68" s="8">
        <f>-Helpers!T5*Assumptions!$B$21</f>
        <v>-125</v>
      </c>
      <c r="U68" s="8">
        <f>-Helpers!U5*Assumptions!$B$21</f>
        <v>-125</v>
      </c>
      <c r="V68" s="8">
        <f>-Helpers!V5*Assumptions!$B$21</f>
        <v>-125</v>
      </c>
      <c r="W68" s="8">
        <f>-Helpers!W5*Assumptions!$B$21</f>
        <v>-125</v>
      </c>
      <c r="X68" s="8">
        <f>-Helpers!X5*Assumptions!$B$21</f>
        <v>-125</v>
      </c>
      <c r="Y68" s="8">
        <f>-Helpers!Y5*Assumptions!$B$21</f>
        <v>-125</v>
      </c>
      <c r="Z68" s="8">
        <f>-Helpers!Z5*Assumptions!$B$21</f>
        <v>-125</v>
      </c>
      <c r="AA68" s="8">
        <f>-Helpers!AA5*Assumptions!$B$21</f>
        <v>-125</v>
      </c>
      <c r="AB68" s="8">
        <f>-Helpers!AB5*Assumptions!$B$21</f>
        <v>-125</v>
      </c>
      <c r="AC68" s="8">
        <f>-Helpers!AC5*Assumptions!$B$21</f>
        <v>-125</v>
      </c>
      <c r="AD68" s="8">
        <f>-Helpers!AD5*Assumptions!$B$21</f>
        <v>-125</v>
      </c>
      <c r="AE68" s="8">
        <f>-Helpers!AE5*Assumptions!$B$21</f>
        <v>-125</v>
      </c>
      <c r="AF68" s="8">
        <f>-Helpers!AF5*Assumptions!$B$21</f>
        <v>-125</v>
      </c>
      <c r="AG68" s="8">
        <f>-Helpers!AG5*Assumptions!$B$21</f>
        <v>-125</v>
      </c>
      <c r="AH68" s="8">
        <f>-Helpers!AH5*Assumptions!$B$21</f>
        <v>-125</v>
      </c>
      <c r="AI68" s="8">
        <f>-Helpers!AI5*Assumptions!$B$21</f>
        <v>-125</v>
      </c>
      <c r="AJ68" s="8">
        <f>-Helpers!AJ5*Assumptions!$B$21</f>
        <v>-125</v>
      </c>
      <c r="AK68" s="8">
        <f>-Helpers!AK5*Assumptions!$B$21</f>
        <v>-125</v>
      </c>
      <c r="AL68" s="8">
        <f>-Helpers!AL5*Assumptions!$B$21</f>
        <v>-125</v>
      </c>
      <c r="AM68" s="8">
        <f>-Helpers!AM5*Assumptions!$B$21</f>
        <v>-125</v>
      </c>
      <c r="AN68" s="8">
        <f>-Helpers!AN5*Assumptions!$B$21</f>
        <v>-125</v>
      </c>
      <c r="AO68" s="8">
        <f>-Helpers!AO5*Assumptions!$B$21</f>
        <v>-125</v>
      </c>
      <c r="AP68" s="8">
        <f>-Helpers!AP5*Assumptions!$B$21</f>
        <v>-125</v>
      </c>
      <c r="AQ68" s="8">
        <f>-Helpers!AQ5*Assumptions!$B$21</f>
        <v>-125</v>
      </c>
      <c r="AR68" s="8">
        <f>-Helpers!AR5*Assumptions!$B$21</f>
        <v>-125</v>
      </c>
      <c r="AS68" s="8">
        <f>-Helpers!AS5*Assumptions!$B$21</f>
        <v>-125</v>
      </c>
      <c r="AT68" s="8">
        <f>-Helpers!AT5*Assumptions!$B$21</f>
        <v>-125</v>
      </c>
      <c r="AU68" s="8">
        <f>-Helpers!AU5*Assumptions!$B$21</f>
        <v>-125</v>
      </c>
      <c r="AV68" s="8">
        <f>-Helpers!AV5*Assumptions!$B$21</f>
        <v>-125</v>
      </c>
      <c r="AW68" s="8">
        <f>-Helpers!AW5*Assumptions!$B$21</f>
        <v>-125</v>
      </c>
      <c r="AX68" s="8">
        <f>-Helpers!AX5*Assumptions!$B$21</f>
        <v>-125</v>
      </c>
      <c r="AY68" s="8">
        <f>-Helpers!AY5*Assumptions!$B$21</f>
        <v>-125</v>
      </c>
      <c r="AZ68" s="8">
        <f>-Helpers!AZ5*Assumptions!$B$21</f>
        <v>-125</v>
      </c>
      <c r="BA68" s="8">
        <f>-Helpers!BA5*Assumptions!$B$21</f>
        <v>-125</v>
      </c>
      <c r="BB68" s="8">
        <f>-Helpers!BB5*Assumptions!$B$21</f>
        <v>-125</v>
      </c>
      <c r="BC68" s="8">
        <f>-Helpers!BC5*Assumptions!$B$21</f>
        <v>-125</v>
      </c>
      <c r="BD68" s="8">
        <f>-Helpers!BD5*Assumptions!$B$21</f>
        <v>-125</v>
      </c>
      <c r="BE68" s="8">
        <f>-Helpers!BE5*Assumptions!$B$21</f>
        <v>-125</v>
      </c>
      <c r="BF68" s="8">
        <f>-Helpers!BF5*Assumptions!$B$21</f>
        <v>-125</v>
      </c>
      <c r="BG68" s="8">
        <f>-Helpers!BG5*Assumptions!$B$21</f>
        <v>-125</v>
      </c>
      <c r="BH68" s="8">
        <f>-Helpers!BH5*Assumptions!$B$21</f>
        <v>-125</v>
      </c>
      <c r="BI68" s="8">
        <f>-Helpers!BI5*Assumptions!$B$21</f>
        <v>-125</v>
      </c>
      <c r="BJ68" s="8">
        <f>-Helpers!BJ5*Assumptions!$B$21</f>
        <v>-125</v>
      </c>
      <c r="BK68" s="8">
        <f>-Helpers!BK5*Assumptions!$B$21</f>
        <v>-125</v>
      </c>
      <c r="BL68" s="8">
        <f>-Helpers!BL5*Assumptions!$B$21</f>
        <v>-125</v>
      </c>
      <c r="BM68" s="8">
        <f>-Helpers!BM5*Assumptions!$B$21</f>
        <v>-125</v>
      </c>
      <c r="BN68" s="8">
        <f>-Helpers!BN5*Assumptions!$B$21</f>
        <v>-125</v>
      </c>
      <c r="BO68" s="8">
        <f>-Helpers!BO5*Assumptions!$B$21</f>
        <v>-125</v>
      </c>
      <c r="BP68" s="8">
        <f>-Helpers!BP5*Assumptions!$B$21</f>
        <v>-125</v>
      </c>
      <c r="BQ68" s="8">
        <f>-Helpers!BQ5*Assumptions!$B$21</f>
        <v>-125</v>
      </c>
      <c r="BR68" s="8">
        <f>-Helpers!BR5*Assumptions!$B$21</f>
        <v>-125</v>
      </c>
      <c r="BS68" s="8">
        <f>-Helpers!BS5*Assumptions!$B$21</f>
        <v>-125</v>
      </c>
      <c r="BT68" s="8">
        <f>-Helpers!BT5*Assumptions!$B$21</f>
        <v>-125</v>
      </c>
      <c r="BU68" s="8">
        <f>-Helpers!BU5*Assumptions!$B$21</f>
        <v>-125</v>
      </c>
      <c r="BV68" s="8">
        <f>-Helpers!BV5*Assumptions!$B$21</f>
        <v>-125</v>
      </c>
      <c r="BW68" s="8">
        <f>-Helpers!BW5*Assumptions!$B$21</f>
        <v>-125</v>
      </c>
      <c r="BX68" s="8">
        <f>-Helpers!BX5*Assumptions!$B$21</f>
        <v>-125</v>
      </c>
      <c r="BY68" s="8">
        <f>-Helpers!BY5*Assumptions!$B$21</f>
        <v>-125</v>
      </c>
      <c r="BZ68" s="8">
        <f>-Helpers!BZ5*Assumptions!$B$21</f>
        <v>-125</v>
      </c>
      <c r="CA68" s="8">
        <f>-Helpers!CA5*Assumptions!$B$21</f>
        <v>-125</v>
      </c>
      <c r="CB68" s="8">
        <f>-Helpers!CB5*Assumptions!$B$21</f>
        <v>-125</v>
      </c>
      <c r="CC68" s="8">
        <f>-Helpers!CC5*Assumptions!$B$21</f>
        <v>-125</v>
      </c>
      <c r="CD68" s="8">
        <f>-Helpers!CD5*Assumptions!$B$21</f>
        <v>-125</v>
      </c>
      <c r="CE68" s="8">
        <f>-Helpers!CE5*Assumptions!$B$21</f>
        <v>-125</v>
      </c>
      <c r="CF68" s="8">
        <f>-Helpers!CF5*Assumptions!$B$21</f>
        <v>-125</v>
      </c>
      <c r="CG68" s="8">
        <f>-Helpers!CG5*Assumptions!$B$21</f>
        <v>-125</v>
      </c>
      <c r="CH68" s="8">
        <f>-Helpers!CH5*Assumptions!$B$21</f>
        <v>-125</v>
      </c>
      <c r="CI68" s="23"/>
    </row>
    <row r="69" spans="1:87" ht="15" customHeight="1" x14ac:dyDescent="0.25">
      <c r="A69" s="7" t="s">
        <v>174</v>
      </c>
      <c r="B69" s="22"/>
      <c r="C69" s="8">
        <f>-Helpers!C5*Assumptions!$B$22</f>
        <v>-1750.0000000000002</v>
      </c>
      <c r="D69" s="8">
        <f>-Helpers!D5*Assumptions!$B$22</f>
        <v>-1750.0000000000002</v>
      </c>
      <c r="E69" s="8">
        <f>-Helpers!E5*Assumptions!$B$22</f>
        <v>-1750.0000000000002</v>
      </c>
      <c r="F69" s="8">
        <f>-Helpers!F5*Assumptions!$B$22</f>
        <v>-1750.0000000000002</v>
      </c>
      <c r="G69" s="8">
        <f>-Helpers!G5*Assumptions!$B$22</f>
        <v>-1750.0000000000002</v>
      </c>
      <c r="H69" s="8">
        <f>-Helpers!H5*Assumptions!$B$22</f>
        <v>-1750.0000000000002</v>
      </c>
      <c r="I69" s="8">
        <f>-Helpers!I5*Assumptions!$B$22</f>
        <v>-1750.0000000000002</v>
      </c>
      <c r="J69" s="8">
        <f>-Helpers!J5*Assumptions!$B$22</f>
        <v>-1750.0000000000002</v>
      </c>
      <c r="K69" s="8">
        <f>-Helpers!K5*Assumptions!$B$22</f>
        <v>-1750.0000000000002</v>
      </c>
      <c r="L69" s="8">
        <f>-Helpers!L5*Assumptions!$B$22</f>
        <v>-1750.0000000000002</v>
      </c>
      <c r="M69" s="8">
        <f>-Helpers!M5*Assumptions!$B$22</f>
        <v>-1750.0000000000002</v>
      </c>
      <c r="N69" s="8">
        <f>-Helpers!N5*Assumptions!$B$22</f>
        <v>-1750.0000000000002</v>
      </c>
      <c r="O69" s="8">
        <f>-Helpers!O5*Assumptions!$B$22</f>
        <v>-1750.0000000000002</v>
      </c>
      <c r="P69" s="8">
        <f>-Helpers!P5*Assumptions!$B$22</f>
        <v>-1750.0000000000002</v>
      </c>
      <c r="Q69" s="8">
        <f>-Helpers!Q5*Assumptions!$B$22</f>
        <v>-1750.0000000000002</v>
      </c>
      <c r="R69" s="8">
        <f>-Helpers!R5*Assumptions!$B$22</f>
        <v>-1750.0000000000002</v>
      </c>
      <c r="S69" s="8">
        <f>-Helpers!S5*Assumptions!$B$22</f>
        <v>-1750.0000000000002</v>
      </c>
      <c r="T69" s="8">
        <f>-Helpers!T5*Assumptions!$B$22</f>
        <v>-1750.0000000000002</v>
      </c>
      <c r="U69" s="8">
        <f>-Helpers!U5*Assumptions!$B$22</f>
        <v>-1750.0000000000002</v>
      </c>
      <c r="V69" s="8">
        <f>-Helpers!V5*Assumptions!$B$22</f>
        <v>-1750.0000000000002</v>
      </c>
      <c r="W69" s="8">
        <f>-Helpers!W5*Assumptions!$B$22</f>
        <v>-1750.0000000000002</v>
      </c>
      <c r="X69" s="8">
        <f>-Helpers!X5*Assumptions!$B$22</f>
        <v>-1750.0000000000002</v>
      </c>
      <c r="Y69" s="8">
        <f>-Helpers!Y5*Assumptions!$B$22</f>
        <v>-1750.0000000000002</v>
      </c>
      <c r="Z69" s="8">
        <f>-Helpers!Z5*Assumptions!$B$22</f>
        <v>-1750.0000000000002</v>
      </c>
      <c r="AA69" s="8">
        <f>-Helpers!AA5*Assumptions!$B$22</f>
        <v>-1750.0000000000002</v>
      </c>
      <c r="AB69" s="8">
        <f>-Helpers!AB5*Assumptions!$B$22</f>
        <v>-1750.0000000000002</v>
      </c>
      <c r="AC69" s="8">
        <f>-Helpers!AC5*Assumptions!$B$22</f>
        <v>-1750.0000000000002</v>
      </c>
      <c r="AD69" s="8">
        <f>-Helpers!AD5*Assumptions!$B$22</f>
        <v>-1750.0000000000002</v>
      </c>
      <c r="AE69" s="8">
        <f>-Helpers!AE5*Assumptions!$B$22</f>
        <v>-1750.0000000000002</v>
      </c>
      <c r="AF69" s="8">
        <f>-Helpers!AF5*Assumptions!$B$22</f>
        <v>-1750.0000000000002</v>
      </c>
      <c r="AG69" s="8">
        <f>-Helpers!AG5*Assumptions!$B$22</f>
        <v>-1750.0000000000002</v>
      </c>
      <c r="AH69" s="8">
        <f>-Helpers!AH5*Assumptions!$B$22</f>
        <v>-1750.0000000000002</v>
      </c>
      <c r="AI69" s="8">
        <f>-Helpers!AI5*Assumptions!$B$22</f>
        <v>-1750.0000000000002</v>
      </c>
      <c r="AJ69" s="8">
        <f>-Helpers!AJ5*Assumptions!$B$22</f>
        <v>-1750.0000000000002</v>
      </c>
      <c r="AK69" s="8">
        <f>-Helpers!AK5*Assumptions!$B$22</f>
        <v>-1750.0000000000002</v>
      </c>
      <c r="AL69" s="8">
        <f>-Helpers!AL5*Assumptions!$B$22</f>
        <v>-1750.0000000000002</v>
      </c>
      <c r="AM69" s="8">
        <f>-Helpers!AM5*Assumptions!$B$22</f>
        <v>-1750.0000000000002</v>
      </c>
      <c r="AN69" s="8">
        <f>-Helpers!AN5*Assumptions!$B$22</f>
        <v>-1750.0000000000002</v>
      </c>
      <c r="AO69" s="8">
        <f>-Helpers!AO5*Assumptions!$B$22</f>
        <v>-1750.0000000000002</v>
      </c>
      <c r="AP69" s="8">
        <f>-Helpers!AP5*Assumptions!$B$22</f>
        <v>-1750.0000000000002</v>
      </c>
      <c r="AQ69" s="8">
        <f>-Helpers!AQ5*Assumptions!$B$22</f>
        <v>-1750.0000000000002</v>
      </c>
      <c r="AR69" s="8">
        <f>-Helpers!AR5*Assumptions!$B$22</f>
        <v>-1750.0000000000002</v>
      </c>
      <c r="AS69" s="8">
        <f>-Helpers!AS5*Assumptions!$B$22</f>
        <v>-1750.0000000000002</v>
      </c>
      <c r="AT69" s="8">
        <f>-Helpers!AT5*Assumptions!$B$22</f>
        <v>-1750.0000000000002</v>
      </c>
      <c r="AU69" s="8">
        <f>-Helpers!AU5*Assumptions!$B$22</f>
        <v>-1750.0000000000002</v>
      </c>
      <c r="AV69" s="8">
        <f>-Helpers!AV5*Assumptions!$B$22</f>
        <v>-1750.0000000000002</v>
      </c>
      <c r="AW69" s="8">
        <f>-Helpers!AW5*Assumptions!$B$22</f>
        <v>-1750.0000000000002</v>
      </c>
      <c r="AX69" s="8">
        <f>-Helpers!AX5*Assumptions!$B$22</f>
        <v>-1750.0000000000002</v>
      </c>
      <c r="AY69" s="8">
        <f>-Helpers!AY5*Assumptions!$B$22</f>
        <v>-1750.0000000000002</v>
      </c>
      <c r="AZ69" s="8">
        <f>-Helpers!AZ5*Assumptions!$B$22</f>
        <v>-1750.0000000000002</v>
      </c>
      <c r="BA69" s="8">
        <f>-Helpers!BA5*Assumptions!$B$22</f>
        <v>-1750.0000000000002</v>
      </c>
      <c r="BB69" s="8">
        <f>-Helpers!BB5*Assumptions!$B$22</f>
        <v>-1750.0000000000002</v>
      </c>
      <c r="BC69" s="8">
        <f>-Helpers!BC5*Assumptions!$B$22</f>
        <v>-1750.0000000000002</v>
      </c>
      <c r="BD69" s="8">
        <f>-Helpers!BD5*Assumptions!$B$22</f>
        <v>-1750.0000000000002</v>
      </c>
      <c r="BE69" s="8">
        <f>-Helpers!BE5*Assumptions!$B$22</f>
        <v>-1750.0000000000002</v>
      </c>
      <c r="BF69" s="8">
        <f>-Helpers!BF5*Assumptions!$B$22</f>
        <v>-1750.0000000000002</v>
      </c>
      <c r="BG69" s="8">
        <f>-Helpers!BG5*Assumptions!$B$22</f>
        <v>-1750.0000000000002</v>
      </c>
      <c r="BH69" s="8">
        <f>-Helpers!BH5*Assumptions!$B$22</f>
        <v>-1750.0000000000002</v>
      </c>
      <c r="BI69" s="8">
        <f>-Helpers!BI5*Assumptions!$B$22</f>
        <v>-1750.0000000000002</v>
      </c>
      <c r="BJ69" s="8">
        <f>-Helpers!BJ5*Assumptions!$B$22</f>
        <v>-1750.0000000000002</v>
      </c>
      <c r="BK69" s="8">
        <f>-Helpers!BK5*Assumptions!$B$22</f>
        <v>-1750.0000000000002</v>
      </c>
      <c r="BL69" s="8">
        <f>-Helpers!BL5*Assumptions!$B$22</f>
        <v>-1750.0000000000002</v>
      </c>
      <c r="BM69" s="8">
        <f>-Helpers!BM5*Assumptions!$B$22</f>
        <v>-1750.0000000000002</v>
      </c>
      <c r="BN69" s="8">
        <f>-Helpers!BN5*Assumptions!$B$22</f>
        <v>-1750.0000000000002</v>
      </c>
      <c r="BO69" s="8">
        <f>-Helpers!BO5*Assumptions!$B$22</f>
        <v>-1750.0000000000002</v>
      </c>
      <c r="BP69" s="8">
        <f>-Helpers!BP5*Assumptions!$B$22</f>
        <v>-1750.0000000000002</v>
      </c>
      <c r="BQ69" s="8">
        <f>-Helpers!BQ5*Assumptions!$B$22</f>
        <v>-1750.0000000000002</v>
      </c>
      <c r="BR69" s="8">
        <f>-Helpers!BR5*Assumptions!$B$22</f>
        <v>-1750.0000000000002</v>
      </c>
      <c r="BS69" s="8">
        <f>-Helpers!BS5*Assumptions!$B$22</f>
        <v>-1750.0000000000002</v>
      </c>
      <c r="BT69" s="8">
        <f>-Helpers!BT5*Assumptions!$B$22</f>
        <v>-1750.0000000000002</v>
      </c>
      <c r="BU69" s="8">
        <f>-Helpers!BU5*Assumptions!$B$22</f>
        <v>-1750.0000000000002</v>
      </c>
      <c r="BV69" s="8">
        <f>-Helpers!BV5*Assumptions!$B$22</f>
        <v>-1750.0000000000002</v>
      </c>
      <c r="BW69" s="8">
        <f>-Helpers!BW5*Assumptions!$B$22</f>
        <v>-1750.0000000000002</v>
      </c>
      <c r="BX69" s="8">
        <f>-Helpers!BX5*Assumptions!$B$22</f>
        <v>-1750.0000000000002</v>
      </c>
      <c r="BY69" s="8">
        <f>-Helpers!BY5*Assumptions!$B$22</f>
        <v>-1750.0000000000002</v>
      </c>
      <c r="BZ69" s="8">
        <f>-Helpers!BZ5*Assumptions!$B$22</f>
        <v>-1750.0000000000002</v>
      </c>
      <c r="CA69" s="8">
        <f>-Helpers!CA5*Assumptions!$B$22</f>
        <v>-1750.0000000000002</v>
      </c>
      <c r="CB69" s="8">
        <f>-Helpers!CB5*Assumptions!$B$22</f>
        <v>-1750.0000000000002</v>
      </c>
      <c r="CC69" s="8">
        <f>-Helpers!CC5*Assumptions!$B$22</f>
        <v>-1750.0000000000002</v>
      </c>
      <c r="CD69" s="8">
        <f>-Helpers!CD5*Assumptions!$B$22</f>
        <v>-1750.0000000000002</v>
      </c>
      <c r="CE69" s="8">
        <f>-Helpers!CE5*Assumptions!$B$22</f>
        <v>-1750.0000000000002</v>
      </c>
      <c r="CF69" s="8">
        <f>-Helpers!CF5*Assumptions!$B$22</f>
        <v>-1750.0000000000002</v>
      </c>
      <c r="CG69" s="8">
        <f>-Helpers!CG5*Assumptions!$B$22</f>
        <v>-1750.0000000000002</v>
      </c>
      <c r="CH69" s="8">
        <f>-Helpers!CH5*Assumptions!$B$22</f>
        <v>-1750.0000000000002</v>
      </c>
      <c r="CI69" s="23"/>
    </row>
    <row r="70" spans="1:87" ht="15" customHeight="1" x14ac:dyDescent="0.25">
      <c r="A70" s="7" t="s">
        <v>175</v>
      </c>
      <c r="B70" s="22"/>
      <c r="C70" s="8">
        <f>-Helpers!C5*Assumptions!$B$23</f>
        <v>-500</v>
      </c>
      <c r="D70" s="8">
        <f>-Helpers!D5*Assumptions!$B$23</f>
        <v>-500</v>
      </c>
      <c r="E70" s="8">
        <f>-Helpers!E5*Assumptions!$B$23</f>
        <v>-500</v>
      </c>
      <c r="F70" s="8">
        <f>-Helpers!F5*Assumptions!$B$23</f>
        <v>-500</v>
      </c>
      <c r="G70" s="8">
        <f>-Helpers!G5*Assumptions!$B$23</f>
        <v>-500</v>
      </c>
      <c r="H70" s="8">
        <f>-Helpers!H5*Assumptions!$B$23</f>
        <v>-500</v>
      </c>
      <c r="I70" s="8">
        <f>-Helpers!I5*Assumptions!$B$23</f>
        <v>-500</v>
      </c>
      <c r="J70" s="8">
        <f>-Helpers!J5*Assumptions!$B$23</f>
        <v>-500</v>
      </c>
      <c r="K70" s="8">
        <f>-Helpers!K5*Assumptions!$B$23</f>
        <v>-500</v>
      </c>
      <c r="L70" s="8">
        <f>-Helpers!L5*Assumptions!$B$23</f>
        <v>-500</v>
      </c>
      <c r="M70" s="8">
        <f>-Helpers!M5*Assumptions!$B$23</f>
        <v>-500</v>
      </c>
      <c r="N70" s="8">
        <f>-Helpers!N5*Assumptions!$B$23</f>
        <v>-500</v>
      </c>
      <c r="O70" s="8">
        <f>-Helpers!O5*Assumptions!$B$23</f>
        <v>-500</v>
      </c>
      <c r="P70" s="8">
        <f>-Helpers!P5*Assumptions!$B$23</f>
        <v>-500</v>
      </c>
      <c r="Q70" s="8">
        <f>-Helpers!Q5*Assumptions!$B$23</f>
        <v>-500</v>
      </c>
      <c r="R70" s="8">
        <f>-Helpers!R5*Assumptions!$B$23</f>
        <v>-500</v>
      </c>
      <c r="S70" s="8">
        <f>-Helpers!S5*Assumptions!$B$23</f>
        <v>-500</v>
      </c>
      <c r="T70" s="8">
        <f>-Helpers!T5*Assumptions!$B$23</f>
        <v>-500</v>
      </c>
      <c r="U70" s="8">
        <f>-Helpers!U5*Assumptions!$B$23</f>
        <v>-500</v>
      </c>
      <c r="V70" s="8">
        <f>-Helpers!V5*Assumptions!$B$23</f>
        <v>-500</v>
      </c>
      <c r="W70" s="8">
        <f>-Helpers!W5*Assumptions!$B$23</f>
        <v>-500</v>
      </c>
      <c r="X70" s="8">
        <f>-Helpers!X5*Assumptions!$B$23</f>
        <v>-500</v>
      </c>
      <c r="Y70" s="8">
        <f>-Helpers!Y5*Assumptions!$B$23</f>
        <v>-500</v>
      </c>
      <c r="Z70" s="8">
        <f>-Helpers!Z5*Assumptions!$B$23</f>
        <v>-500</v>
      </c>
      <c r="AA70" s="8">
        <f>-Helpers!AA5*Assumptions!$B$23</f>
        <v>-500</v>
      </c>
      <c r="AB70" s="8">
        <f>-Helpers!AB5*Assumptions!$B$23</f>
        <v>-500</v>
      </c>
      <c r="AC70" s="8">
        <f>-Helpers!AC5*Assumptions!$B$23</f>
        <v>-500</v>
      </c>
      <c r="AD70" s="8">
        <f>-Helpers!AD5*Assumptions!$B$23</f>
        <v>-500</v>
      </c>
      <c r="AE70" s="8">
        <f>-Helpers!AE5*Assumptions!$B$23</f>
        <v>-500</v>
      </c>
      <c r="AF70" s="8">
        <f>-Helpers!AF5*Assumptions!$B$23</f>
        <v>-500</v>
      </c>
      <c r="AG70" s="8">
        <f>-Helpers!AG5*Assumptions!$B$23</f>
        <v>-500</v>
      </c>
      <c r="AH70" s="8">
        <f>-Helpers!AH5*Assumptions!$B$23</f>
        <v>-500</v>
      </c>
      <c r="AI70" s="8">
        <f>-Helpers!AI5*Assumptions!$B$23</f>
        <v>-500</v>
      </c>
      <c r="AJ70" s="8">
        <f>-Helpers!AJ5*Assumptions!$B$23</f>
        <v>-500</v>
      </c>
      <c r="AK70" s="8">
        <f>-Helpers!AK5*Assumptions!$B$23</f>
        <v>-500</v>
      </c>
      <c r="AL70" s="8">
        <f>-Helpers!AL5*Assumptions!$B$23</f>
        <v>-500</v>
      </c>
      <c r="AM70" s="8">
        <f>-Helpers!AM5*Assumptions!$B$23</f>
        <v>-500</v>
      </c>
      <c r="AN70" s="8">
        <f>-Helpers!AN5*Assumptions!$B$23</f>
        <v>-500</v>
      </c>
      <c r="AO70" s="8">
        <f>-Helpers!AO5*Assumptions!$B$23</f>
        <v>-500</v>
      </c>
      <c r="AP70" s="8">
        <f>-Helpers!AP5*Assumptions!$B$23</f>
        <v>-500</v>
      </c>
      <c r="AQ70" s="8">
        <f>-Helpers!AQ5*Assumptions!$B$23</f>
        <v>-500</v>
      </c>
      <c r="AR70" s="8">
        <f>-Helpers!AR5*Assumptions!$B$23</f>
        <v>-500</v>
      </c>
      <c r="AS70" s="8">
        <f>-Helpers!AS5*Assumptions!$B$23</f>
        <v>-500</v>
      </c>
      <c r="AT70" s="8">
        <f>-Helpers!AT5*Assumptions!$B$23</f>
        <v>-500</v>
      </c>
      <c r="AU70" s="8">
        <f>-Helpers!AU5*Assumptions!$B$23</f>
        <v>-500</v>
      </c>
      <c r="AV70" s="8">
        <f>-Helpers!AV5*Assumptions!$B$23</f>
        <v>-500</v>
      </c>
      <c r="AW70" s="8">
        <f>-Helpers!AW5*Assumptions!$B$23</f>
        <v>-500</v>
      </c>
      <c r="AX70" s="8">
        <f>-Helpers!AX5*Assumptions!$B$23</f>
        <v>-500</v>
      </c>
      <c r="AY70" s="8">
        <f>-Helpers!AY5*Assumptions!$B$23</f>
        <v>-500</v>
      </c>
      <c r="AZ70" s="8">
        <f>-Helpers!AZ5*Assumptions!$B$23</f>
        <v>-500</v>
      </c>
      <c r="BA70" s="8">
        <f>-Helpers!BA5*Assumptions!$B$23</f>
        <v>-500</v>
      </c>
      <c r="BB70" s="8">
        <f>-Helpers!BB5*Assumptions!$B$23</f>
        <v>-500</v>
      </c>
      <c r="BC70" s="8">
        <f>-Helpers!BC5*Assumptions!$B$23</f>
        <v>-500</v>
      </c>
      <c r="BD70" s="8">
        <f>-Helpers!BD5*Assumptions!$B$23</f>
        <v>-500</v>
      </c>
      <c r="BE70" s="8">
        <f>-Helpers!BE5*Assumptions!$B$23</f>
        <v>-500</v>
      </c>
      <c r="BF70" s="8">
        <f>-Helpers!BF5*Assumptions!$B$23</f>
        <v>-500</v>
      </c>
      <c r="BG70" s="8">
        <f>-Helpers!BG5*Assumptions!$B$23</f>
        <v>-500</v>
      </c>
      <c r="BH70" s="8">
        <f>-Helpers!BH5*Assumptions!$B$23</f>
        <v>-500</v>
      </c>
      <c r="BI70" s="8">
        <f>-Helpers!BI5*Assumptions!$B$23</f>
        <v>-500</v>
      </c>
      <c r="BJ70" s="8">
        <f>-Helpers!BJ5*Assumptions!$B$23</f>
        <v>-500</v>
      </c>
      <c r="BK70" s="8">
        <f>-Helpers!BK5*Assumptions!$B$23</f>
        <v>-500</v>
      </c>
      <c r="BL70" s="8">
        <f>-Helpers!BL5*Assumptions!$B$23</f>
        <v>-500</v>
      </c>
      <c r="BM70" s="8">
        <f>-Helpers!BM5*Assumptions!$B$23</f>
        <v>-500</v>
      </c>
      <c r="BN70" s="8">
        <f>-Helpers!BN5*Assumptions!$B$23</f>
        <v>-500</v>
      </c>
      <c r="BO70" s="8">
        <f>-Helpers!BO5*Assumptions!$B$23</f>
        <v>-500</v>
      </c>
      <c r="BP70" s="8">
        <f>-Helpers!BP5*Assumptions!$B$23</f>
        <v>-500</v>
      </c>
      <c r="BQ70" s="8">
        <f>-Helpers!BQ5*Assumptions!$B$23</f>
        <v>-500</v>
      </c>
      <c r="BR70" s="8">
        <f>-Helpers!BR5*Assumptions!$B$23</f>
        <v>-500</v>
      </c>
      <c r="BS70" s="8">
        <f>-Helpers!BS5*Assumptions!$B$23</f>
        <v>-500</v>
      </c>
      <c r="BT70" s="8">
        <f>-Helpers!BT5*Assumptions!$B$23</f>
        <v>-500</v>
      </c>
      <c r="BU70" s="8">
        <f>-Helpers!BU5*Assumptions!$B$23</f>
        <v>-500</v>
      </c>
      <c r="BV70" s="8">
        <f>-Helpers!BV5*Assumptions!$B$23</f>
        <v>-500</v>
      </c>
      <c r="BW70" s="8">
        <f>-Helpers!BW5*Assumptions!$B$23</f>
        <v>-500</v>
      </c>
      <c r="BX70" s="8">
        <f>-Helpers!BX5*Assumptions!$B$23</f>
        <v>-500</v>
      </c>
      <c r="BY70" s="8">
        <f>-Helpers!BY5*Assumptions!$B$23</f>
        <v>-500</v>
      </c>
      <c r="BZ70" s="8">
        <f>-Helpers!BZ5*Assumptions!$B$23</f>
        <v>-500</v>
      </c>
      <c r="CA70" s="8">
        <f>-Helpers!CA5*Assumptions!$B$23</f>
        <v>-500</v>
      </c>
      <c r="CB70" s="8">
        <f>-Helpers!CB5*Assumptions!$B$23</f>
        <v>-500</v>
      </c>
      <c r="CC70" s="8">
        <f>-Helpers!CC5*Assumptions!$B$23</f>
        <v>-500</v>
      </c>
      <c r="CD70" s="8">
        <f>-Helpers!CD5*Assumptions!$B$23</f>
        <v>-500</v>
      </c>
      <c r="CE70" s="8">
        <f>-Helpers!CE5*Assumptions!$B$23</f>
        <v>-500</v>
      </c>
      <c r="CF70" s="8">
        <f>-Helpers!CF5*Assumptions!$B$23</f>
        <v>-500</v>
      </c>
      <c r="CG70" s="8">
        <f>-Helpers!CG5*Assumptions!$B$23</f>
        <v>-500</v>
      </c>
      <c r="CH70" s="8">
        <f>-Helpers!CH5*Assumptions!$B$23</f>
        <v>-500</v>
      </c>
      <c r="CI70" s="23"/>
    </row>
    <row r="71" spans="1:87" ht="15" customHeight="1" x14ac:dyDescent="0.25">
      <c r="A71" s="7" t="s">
        <v>176</v>
      </c>
      <c r="B71" s="22"/>
      <c r="C71" s="8">
        <f>-3500*Escalation!$B$2</f>
        <v>-3500</v>
      </c>
      <c r="D71" s="8">
        <f>-3500*Escalation!$B$3</f>
        <v>-3500</v>
      </c>
      <c r="E71" s="8">
        <f>-3500*Escalation!$B$4</f>
        <v>-3500</v>
      </c>
      <c r="F71" s="8">
        <f>-3500*Escalation!$B$5</f>
        <v>-3500</v>
      </c>
      <c r="G71" s="8">
        <f>-3500*Escalation!$B$6</f>
        <v>-3500</v>
      </c>
      <c r="H71" s="8">
        <f>-3500*Escalation!$B$7</f>
        <v>-3500</v>
      </c>
      <c r="I71" s="8">
        <f>-3500*Escalation!$B$8</f>
        <v>-3500</v>
      </c>
      <c r="J71" s="8">
        <f>-3500*Escalation!$B$9</f>
        <v>-3500</v>
      </c>
      <c r="K71" s="8">
        <f>-3500*Escalation!$B$10</f>
        <v>-3500</v>
      </c>
      <c r="L71" s="8">
        <f>-3500*Escalation!$B$11</f>
        <v>-3500</v>
      </c>
      <c r="M71" s="8">
        <f>-3500*Escalation!$B$12</f>
        <v>-3500</v>
      </c>
      <c r="N71" s="8">
        <f>-3500*Escalation!$B$13</f>
        <v>-3500</v>
      </c>
      <c r="O71" s="8">
        <f>-3500*Escalation!$B$14</f>
        <v>-3570</v>
      </c>
      <c r="P71" s="8">
        <f>-3500*Escalation!$B$15</f>
        <v>-3570</v>
      </c>
      <c r="Q71" s="8">
        <f>-3500*Escalation!$B$16</f>
        <v>-3570</v>
      </c>
      <c r="R71" s="8">
        <f>-3500*Escalation!$B$17</f>
        <v>-3570</v>
      </c>
      <c r="S71" s="8">
        <f>-3500*Escalation!$B$18</f>
        <v>-3570</v>
      </c>
      <c r="T71" s="8">
        <f>-3500*Escalation!$B$19</f>
        <v>-3570</v>
      </c>
      <c r="U71" s="8">
        <f>-3500*Escalation!$B$20</f>
        <v>-3570</v>
      </c>
      <c r="V71" s="8">
        <f>-3500*Escalation!$B$21</f>
        <v>-3570</v>
      </c>
      <c r="W71" s="8">
        <f>-3500*Escalation!$B$22</f>
        <v>-3570</v>
      </c>
      <c r="X71" s="8">
        <f>-3500*Escalation!$B$23</f>
        <v>-3570</v>
      </c>
      <c r="Y71" s="8">
        <f>-3500*Escalation!$B$24</f>
        <v>-3570</v>
      </c>
      <c r="Z71" s="8">
        <f>-3500*Escalation!$B$25</f>
        <v>-3570</v>
      </c>
      <c r="AA71" s="8">
        <f>-3500*Escalation!$B$26</f>
        <v>-3641.4</v>
      </c>
      <c r="AB71" s="8">
        <f>-3500*Escalation!$B$27</f>
        <v>-3641.4</v>
      </c>
      <c r="AC71" s="8">
        <f>-3500*Escalation!$B$28</f>
        <v>-3641.4</v>
      </c>
      <c r="AD71" s="8">
        <f>-3500*Escalation!$B$29</f>
        <v>-3641.4</v>
      </c>
      <c r="AE71" s="8">
        <f>-3500*Escalation!$B$30</f>
        <v>-3641.4</v>
      </c>
      <c r="AF71" s="8">
        <f>-3500*Escalation!$B$31</f>
        <v>-3641.4</v>
      </c>
      <c r="AG71" s="8">
        <f>-3500*Escalation!$B$32</f>
        <v>-3641.4</v>
      </c>
      <c r="AH71" s="8">
        <f>-3500*Escalation!$B$33</f>
        <v>-3641.4</v>
      </c>
      <c r="AI71" s="8">
        <f>-3500*Escalation!$B$34</f>
        <v>-3641.4</v>
      </c>
      <c r="AJ71" s="8">
        <f>-3500*Escalation!$B$35</f>
        <v>-3641.4</v>
      </c>
      <c r="AK71" s="8">
        <f>-3500*Escalation!$B$36</f>
        <v>-3641.4</v>
      </c>
      <c r="AL71" s="8">
        <f>-3500*Escalation!$B$37</f>
        <v>-3641.4</v>
      </c>
      <c r="AM71" s="8">
        <f>-3500*Escalation!$B$38</f>
        <v>-3714.2279999999996</v>
      </c>
      <c r="AN71" s="8">
        <f>-3500*Escalation!$B$39</f>
        <v>-3714.2279999999996</v>
      </c>
      <c r="AO71" s="8">
        <f>-3500*Escalation!$B$40</f>
        <v>-3714.2279999999996</v>
      </c>
      <c r="AP71" s="8">
        <f>-3500*Escalation!$B$41</f>
        <v>-3714.2279999999996</v>
      </c>
      <c r="AQ71" s="8">
        <f>-3500*Escalation!$B$42</f>
        <v>-3714.2279999999996</v>
      </c>
      <c r="AR71" s="8">
        <f>-3500*Escalation!$B$43</f>
        <v>-3714.2279999999996</v>
      </c>
      <c r="AS71" s="8">
        <f>-3500*Escalation!$B$44</f>
        <v>-3714.2279999999996</v>
      </c>
      <c r="AT71" s="8">
        <f>-3500*Escalation!$B$45</f>
        <v>-3714.2279999999996</v>
      </c>
      <c r="AU71" s="8">
        <f>-3500*Escalation!$B$46</f>
        <v>-3714.2279999999996</v>
      </c>
      <c r="AV71" s="8">
        <f>-3500*Escalation!$B$47</f>
        <v>-3714.2279999999996</v>
      </c>
      <c r="AW71" s="8">
        <f>-3500*Escalation!$B$48</f>
        <v>-3714.2279999999996</v>
      </c>
      <c r="AX71" s="8">
        <f>-3500*Escalation!$B$49</f>
        <v>-3714.2279999999996</v>
      </c>
      <c r="AY71" s="8">
        <f>-3500*Escalation!$B$50</f>
        <v>-3788.5125600000001</v>
      </c>
      <c r="AZ71" s="8">
        <f>-3500*Escalation!$B$51</f>
        <v>-3788.5125600000001</v>
      </c>
      <c r="BA71" s="8">
        <f>-3500*Escalation!$B$52</f>
        <v>-3788.5125600000001</v>
      </c>
      <c r="BB71" s="8">
        <f>-3500*Escalation!$B$53</f>
        <v>-3788.5125600000001</v>
      </c>
      <c r="BC71" s="8">
        <f>-3500*Escalation!$B$54</f>
        <v>-3788.5125600000001</v>
      </c>
      <c r="BD71" s="8">
        <f>-3500*Escalation!$B$55</f>
        <v>-3788.5125600000001</v>
      </c>
      <c r="BE71" s="8">
        <f>-3500*Escalation!$B$56</f>
        <v>-3788.5125600000001</v>
      </c>
      <c r="BF71" s="8">
        <f>-3500*Escalation!$B$57</f>
        <v>-3788.5125600000001</v>
      </c>
      <c r="BG71" s="8">
        <f>-3500*Escalation!$B$58</f>
        <v>-3788.5125600000001</v>
      </c>
      <c r="BH71" s="8">
        <f>-3500*Escalation!$B$59</f>
        <v>-3788.5125600000001</v>
      </c>
      <c r="BI71" s="8">
        <f>-3500*Escalation!$B$60</f>
        <v>-3788.5125600000001</v>
      </c>
      <c r="BJ71" s="8">
        <f>-3500*Escalation!$B$61</f>
        <v>-3788.5125600000001</v>
      </c>
      <c r="BK71" s="8">
        <f>-3500*Escalation!$B$62</f>
        <v>-3864.2828112000002</v>
      </c>
      <c r="BL71" s="8">
        <f>-3500*Escalation!$B$63</f>
        <v>-3864.2828112000002</v>
      </c>
      <c r="BM71" s="8">
        <f>-3500*Escalation!$B$64</f>
        <v>-3864.2828112000002</v>
      </c>
      <c r="BN71" s="8">
        <f>-3500*Escalation!$B$65</f>
        <v>-3864.2828112000002</v>
      </c>
      <c r="BO71" s="8">
        <f>-3500*Escalation!$B$66</f>
        <v>-3864.2828112000002</v>
      </c>
      <c r="BP71" s="8">
        <f>-3500*Escalation!$B$67</f>
        <v>-3864.2828112000002</v>
      </c>
      <c r="BQ71" s="8">
        <f>-3500*Escalation!$B$68</f>
        <v>-3864.2828112000002</v>
      </c>
      <c r="BR71" s="8">
        <f>-3500*Escalation!$B$69</f>
        <v>-3864.2828112000002</v>
      </c>
      <c r="BS71" s="8">
        <f>-3500*Escalation!$B$70</f>
        <v>-3864.2828112000002</v>
      </c>
      <c r="BT71" s="8">
        <f>-3500*Escalation!$B$71</f>
        <v>-3864.2828112000002</v>
      </c>
      <c r="BU71" s="8">
        <f>-3500*Escalation!$B$72</f>
        <v>-3864.2828112000002</v>
      </c>
      <c r="BV71" s="8">
        <f>-3500*Escalation!$B$73</f>
        <v>-3864.2828112000002</v>
      </c>
      <c r="BW71" s="8">
        <f>-3500*Escalation!$B$74</f>
        <v>-3941.5684674240001</v>
      </c>
      <c r="BX71" s="8">
        <f>-3500*Escalation!$B$75</f>
        <v>-3941.5684674240001</v>
      </c>
      <c r="BY71" s="8">
        <f>-3500*Escalation!$B$76</f>
        <v>-3941.5684674240001</v>
      </c>
      <c r="BZ71" s="8">
        <f>-3500*Escalation!$B$77</f>
        <v>-3941.5684674240001</v>
      </c>
      <c r="CA71" s="8">
        <f>-3500*Escalation!$B$78</f>
        <v>-3941.5684674240001</v>
      </c>
      <c r="CB71" s="8">
        <f>-3500*Escalation!$B$79</f>
        <v>-3941.5684674240001</v>
      </c>
      <c r="CC71" s="8">
        <f>-3500*Escalation!$B$80</f>
        <v>-3941.5684674240001</v>
      </c>
      <c r="CD71" s="8">
        <f>-3500*Escalation!$B$81</f>
        <v>-3941.5684674240001</v>
      </c>
      <c r="CE71" s="8">
        <f>-3500*Escalation!$B$82</f>
        <v>-3941.5684674240001</v>
      </c>
      <c r="CF71" s="8">
        <f>-3500*Escalation!$B$83</f>
        <v>-3941.5684674240001</v>
      </c>
      <c r="CG71" s="8">
        <f>-3500*Escalation!$B$84</f>
        <v>-3941.5684674240001</v>
      </c>
      <c r="CH71" s="8">
        <f>-3500*Escalation!$B$85</f>
        <v>-3941.5684674240001</v>
      </c>
      <c r="CI71" s="23"/>
    </row>
    <row r="72" spans="1:87" ht="15" customHeight="1" x14ac:dyDescent="0.25">
      <c r="A72" s="7" t="s">
        <v>177</v>
      </c>
      <c r="B72" s="22"/>
      <c r="C72" s="8">
        <f>-5000*Escalation!$B$2</f>
        <v>-5000</v>
      </c>
      <c r="D72" s="8">
        <f>-5000*Escalation!$B$3</f>
        <v>-5000</v>
      </c>
      <c r="E72" s="8">
        <f>-5000*Escalation!$B$4</f>
        <v>-5000</v>
      </c>
      <c r="F72" s="8">
        <f>-5000*Escalation!$B$5</f>
        <v>-5000</v>
      </c>
      <c r="G72" s="8">
        <f>-5000*Escalation!$B$6</f>
        <v>-5000</v>
      </c>
      <c r="H72" s="8">
        <f>-5000*Escalation!$B$7</f>
        <v>-5000</v>
      </c>
      <c r="I72" s="8">
        <f>-5000*Escalation!$B$8</f>
        <v>-5000</v>
      </c>
      <c r="J72" s="8">
        <f>-5000*Escalation!$B$9</f>
        <v>-5000</v>
      </c>
      <c r="K72" s="8">
        <f>-5000*Escalation!$B$10</f>
        <v>-5000</v>
      </c>
      <c r="L72" s="8">
        <f>-5000*Escalation!$B$11</f>
        <v>-5000</v>
      </c>
      <c r="M72" s="8">
        <f>-5000*Escalation!$B$12</f>
        <v>-5000</v>
      </c>
      <c r="N72" s="8">
        <f>-5000*Escalation!$B$13</f>
        <v>-5000</v>
      </c>
      <c r="O72" s="8">
        <f>-5000*Escalation!$B$14</f>
        <v>-5100</v>
      </c>
      <c r="P72" s="8">
        <f>-5000*Escalation!$B$15</f>
        <v>-5100</v>
      </c>
      <c r="Q72" s="8">
        <f>-5000*Escalation!$B$16</f>
        <v>-5100</v>
      </c>
      <c r="R72" s="8">
        <f>-5000*Escalation!$B$17</f>
        <v>-5100</v>
      </c>
      <c r="S72" s="8">
        <f>-5000*Escalation!$B$18</f>
        <v>-5100</v>
      </c>
      <c r="T72" s="8">
        <f>-5000*Escalation!$B$19</f>
        <v>-5100</v>
      </c>
      <c r="U72" s="8">
        <f>-5000*Escalation!$B$20</f>
        <v>-5100</v>
      </c>
      <c r="V72" s="8">
        <f>-5000*Escalation!$B$21</f>
        <v>-5100</v>
      </c>
      <c r="W72" s="8">
        <f>-5000*Escalation!$B$22</f>
        <v>-5100</v>
      </c>
      <c r="X72" s="8">
        <f>-5000*Escalation!$B$23</f>
        <v>-5100</v>
      </c>
      <c r="Y72" s="8">
        <f>-5000*Escalation!$B$24</f>
        <v>-5100</v>
      </c>
      <c r="Z72" s="8">
        <f>-5000*Escalation!$B$25</f>
        <v>-5100</v>
      </c>
      <c r="AA72" s="8">
        <f>-5000*Escalation!$B$26</f>
        <v>-5202</v>
      </c>
      <c r="AB72" s="8">
        <f>-5000*Escalation!$B$27</f>
        <v>-5202</v>
      </c>
      <c r="AC72" s="8">
        <f>-5000*Escalation!$B$28</f>
        <v>-5202</v>
      </c>
      <c r="AD72" s="8">
        <f>-5000*Escalation!$B$29</f>
        <v>-5202</v>
      </c>
      <c r="AE72" s="8">
        <f>-5000*Escalation!$B$30</f>
        <v>-5202</v>
      </c>
      <c r="AF72" s="8">
        <f>-5000*Escalation!$B$31</f>
        <v>-5202</v>
      </c>
      <c r="AG72" s="8">
        <f>-5000*Escalation!$B$32</f>
        <v>-5202</v>
      </c>
      <c r="AH72" s="8">
        <f>-5000*Escalation!$B$33</f>
        <v>-5202</v>
      </c>
      <c r="AI72" s="8">
        <f>-5000*Escalation!$B$34</f>
        <v>-5202</v>
      </c>
      <c r="AJ72" s="8">
        <f>-5000*Escalation!$B$35</f>
        <v>-5202</v>
      </c>
      <c r="AK72" s="8">
        <f>-5000*Escalation!$B$36</f>
        <v>-5202</v>
      </c>
      <c r="AL72" s="8">
        <f>-5000*Escalation!$B$37</f>
        <v>-5202</v>
      </c>
      <c r="AM72" s="8">
        <f>-5000*Escalation!$B$38</f>
        <v>-5306.04</v>
      </c>
      <c r="AN72" s="8">
        <f>-5000*Escalation!$B$39</f>
        <v>-5306.04</v>
      </c>
      <c r="AO72" s="8">
        <f>-5000*Escalation!$B$40</f>
        <v>-5306.04</v>
      </c>
      <c r="AP72" s="8">
        <f>-5000*Escalation!$B$41</f>
        <v>-5306.04</v>
      </c>
      <c r="AQ72" s="8">
        <f>-5000*Escalation!$B$42</f>
        <v>-5306.04</v>
      </c>
      <c r="AR72" s="8">
        <f>-5000*Escalation!$B$43</f>
        <v>-5306.04</v>
      </c>
      <c r="AS72" s="8">
        <f>-5000*Escalation!$B$44</f>
        <v>-5306.04</v>
      </c>
      <c r="AT72" s="8">
        <f>-5000*Escalation!$B$45</f>
        <v>-5306.04</v>
      </c>
      <c r="AU72" s="8">
        <f>-5000*Escalation!$B$46</f>
        <v>-5306.04</v>
      </c>
      <c r="AV72" s="8">
        <f>-5000*Escalation!$B$47</f>
        <v>-5306.04</v>
      </c>
      <c r="AW72" s="8">
        <f>-5000*Escalation!$B$48</f>
        <v>-5306.04</v>
      </c>
      <c r="AX72" s="8">
        <f>-5000*Escalation!$B$49</f>
        <v>-5306.04</v>
      </c>
      <c r="AY72" s="8">
        <f>-5000*Escalation!$B$50</f>
        <v>-5412.1607999999997</v>
      </c>
      <c r="AZ72" s="8">
        <f>-5000*Escalation!$B$51</f>
        <v>-5412.1607999999997</v>
      </c>
      <c r="BA72" s="8">
        <f>-5000*Escalation!$B$52</f>
        <v>-5412.1607999999997</v>
      </c>
      <c r="BB72" s="8">
        <f>-5000*Escalation!$B$53</f>
        <v>-5412.1607999999997</v>
      </c>
      <c r="BC72" s="8">
        <f>-5000*Escalation!$B$54</f>
        <v>-5412.1607999999997</v>
      </c>
      <c r="BD72" s="8">
        <f>-5000*Escalation!$B$55</f>
        <v>-5412.1607999999997</v>
      </c>
      <c r="BE72" s="8">
        <f>-5000*Escalation!$B$56</f>
        <v>-5412.1607999999997</v>
      </c>
      <c r="BF72" s="8">
        <f>-5000*Escalation!$B$57</f>
        <v>-5412.1607999999997</v>
      </c>
      <c r="BG72" s="8">
        <f>-5000*Escalation!$B$58</f>
        <v>-5412.1607999999997</v>
      </c>
      <c r="BH72" s="8">
        <f>-5000*Escalation!$B$59</f>
        <v>-5412.1607999999997</v>
      </c>
      <c r="BI72" s="8">
        <f>-5000*Escalation!$B$60</f>
        <v>-5412.1607999999997</v>
      </c>
      <c r="BJ72" s="8">
        <f>-5000*Escalation!$B$61</f>
        <v>-5412.1607999999997</v>
      </c>
      <c r="BK72" s="8">
        <f>-5000*Escalation!$B$62</f>
        <v>-5520.4040160000004</v>
      </c>
      <c r="BL72" s="8">
        <f>-5000*Escalation!$B$63</f>
        <v>-5520.4040160000004</v>
      </c>
      <c r="BM72" s="8">
        <f>-5000*Escalation!$B$64</f>
        <v>-5520.4040160000004</v>
      </c>
      <c r="BN72" s="8">
        <f>-5000*Escalation!$B$65</f>
        <v>-5520.4040160000004</v>
      </c>
      <c r="BO72" s="8">
        <f>-5000*Escalation!$B$66</f>
        <v>-5520.4040160000004</v>
      </c>
      <c r="BP72" s="8">
        <f>-5000*Escalation!$B$67</f>
        <v>-5520.4040160000004</v>
      </c>
      <c r="BQ72" s="8">
        <f>-5000*Escalation!$B$68</f>
        <v>-5520.4040160000004</v>
      </c>
      <c r="BR72" s="8">
        <f>-5000*Escalation!$B$69</f>
        <v>-5520.4040160000004</v>
      </c>
      <c r="BS72" s="8">
        <f>-5000*Escalation!$B$70</f>
        <v>-5520.4040160000004</v>
      </c>
      <c r="BT72" s="8">
        <f>-5000*Escalation!$B$71</f>
        <v>-5520.4040160000004</v>
      </c>
      <c r="BU72" s="8">
        <f>-5000*Escalation!$B$72</f>
        <v>-5520.4040160000004</v>
      </c>
      <c r="BV72" s="8">
        <f>-5000*Escalation!$B$73</f>
        <v>-5520.4040160000004</v>
      </c>
      <c r="BW72" s="8">
        <f>-5000*Escalation!$B$74</f>
        <v>-5630.8120963199999</v>
      </c>
      <c r="BX72" s="8">
        <f>-5000*Escalation!$B$75</f>
        <v>-5630.8120963199999</v>
      </c>
      <c r="BY72" s="8">
        <f>-5000*Escalation!$B$76</f>
        <v>-5630.8120963199999</v>
      </c>
      <c r="BZ72" s="8">
        <f>-5000*Escalation!$B$77</f>
        <v>-5630.8120963199999</v>
      </c>
      <c r="CA72" s="8">
        <f>-5000*Escalation!$B$78</f>
        <v>-5630.8120963199999</v>
      </c>
      <c r="CB72" s="8">
        <f>-5000*Escalation!$B$79</f>
        <v>-5630.8120963199999</v>
      </c>
      <c r="CC72" s="8">
        <f>-5000*Escalation!$B$80</f>
        <v>-5630.8120963199999</v>
      </c>
      <c r="CD72" s="8">
        <f>-5000*Escalation!$B$81</f>
        <v>-5630.8120963199999</v>
      </c>
      <c r="CE72" s="8">
        <f>-5000*Escalation!$B$82</f>
        <v>-5630.8120963199999</v>
      </c>
      <c r="CF72" s="8">
        <f>-5000*Escalation!$B$83</f>
        <v>-5630.8120963199999</v>
      </c>
      <c r="CG72" s="8">
        <f>-5000*Escalation!$B$84</f>
        <v>-5630.8120963199999</v>
      </c>
      <c r="CH72" s="8">
        <f>-5000*Escalation!$B$85</f>
        <v>-5630.8120963199999</v>
      </c>
      <c r="CI72" s="23"/>
    </row>
    <row r="73" spans="1:87" ht="15" customHeight="1" x14ac:dyDescent="0.25">
      <c r="A73" s="7" t="s">
        <v>178</v>
      </c>
      <c r="B73" s="22"/>
      <c r="C73" s="8">
        <f>-100*Escalation!$B$2</f>
        <v>-100</v>
      </c>
      <c r="D73" s="8">
        <f>-100*Escalation!$B$3</f>
        <v>-100</v>
      </c>
      <c r="E73" s="8">
        <f>-100*Escalation!$B$4</f>
        <v>-100</v>
      </c>
      <c r="F73" s="8">
        <f>-100*Escalation!$B$5</f>
        <v>-100</v>
      </c>
      <c r="G73" s="8">
        <f>-100*Escalation!$B$6</f>
        <v>-100</v>
      </c>
      <c r="H73" s="8">
        <f>-100*Escalation!$B$7</f>
        <v>-100</v>
      </c>
      <c r="I73" s="8">
        <f>-100*Escalation!$B$8</f>
        <v>-100</v>
      </c>
      <c r="J73" s="8">
        <f>-100*Escalation!$B$9</f>
        <v>-100</v>
      </c>
      <c r="K73" s="8">
        <f>-100*Escalation!$B$10</f>
        <v>-100</v>
      </c>
      <c r="L73" s="8">
        <f>-100*Escalation!$B$11</f>
        <v>-100</v>
      </c>
      <c r="M73" s="8">
        <f>-100*Escalation!$B$12</f>
        <v>-100</v>
      </c>
      <c r="N73" s="8">
        <f>-100*Escalation!$B$13</f>
        <v>-100</v>
      </c>
      <c r="O73" s="8">
        <f>-100*Escalation!$B$14</f>
        <v>-102</v>
      </c>
      <c r="P73" s="8">
        <f>-100*Escalation!$B$15</f>
        <v>-102</v>
      </c>
      <c r="Q73" s="8">
        <f>-100*Escalation!$B$16</f>
        <v>-102</v>
      </c>
      <c r="R73" s="8">
        <f>-100*Escalation!$B$17</f>
        <v>-102</v>
      </c>
      <c r="S73" s="8">
        <f>-100*Escalation!$B$18</f>
        <v>-102</v>
      </c>
      <c r="T73" s="8">
        <f>-100*Escalation!$B$19</f>
        <v>-102</v>
      </c>
      <c r="U73" s="8">
        <f>-100*Escalation!$B$20</f>
        <v>-102</v>
      </c>
      <c r="V73" s="8">
        <f>-100*Escalation!$B$21</f>
        <v>-102</v>
      </c>
      <c r="W73" s="8">
        <f>-100*Escalation!$B$22</f>
        <v>-102</v>
      </c>
      <c r="X73" s="8">
        <f>-100*Escalation!$B$23</f>
        <v>-102</v>
      </c>
      <c r="Y73" s="8">
        <f>-100*Escalation!$B$24</f>
        <v>-102</v>
      </c>
      <c r="Z73" s="8">
        <f>-100*Escalation!$B$25</f>
        <v>-102</v>
      </c>
      <c r="AA73" s="8">
        <f>-100*Escalation!$B$26</f>
        <v>-104.03999999999999</v>
      </c>
      <c r="AB73" s="8">
        <f>-100*Escalation!$B$27</f>
        <v>-104.03999999999999</v>
      </c>
      <c r="AC73" s="8">
        <f>-100*Escalation!$B$28</f>
        <v>-104.03999999999999</v>
      </c>
      <c r="AD73" s="8">
        <f>-100*Escalation!$B$29</f>
        <v>-104.03999999999999</v>
      </c>
      <c r="AE73" s="8">
        <f>-100*Escalation!$B$30</f>
        <v>-104.03999999999999</v>
      </c>
      <c r="AF73" s="8">
        <f>-100*Escalation!$B$31</f>
        <v>-104.03999999999999</v>
      </c>
      <c r="AG73" s="8">
        <f>-100*Escalation!$B$32</f>
        <v>-104.03999999999999</v>
      </c>
      <c r="AH73" s="8">
        <f>-100*Escalation!$B$33</f>
        <v>-104.03999999999999</v>
      </c>
      <c r="AI73" s="8">
        <f>-100*Escalation!$B$34</f>
        <v>-104.03999999999999</v>
      </c>
      <c r="AJ73" s="8">
        <f>-100*Escalation!$B$35</f>
        <v>-104.03999999999999</v>
      </c>
      <c r="AK73" s="8">
        <f>-100*Escalation!$B$36</f>
        <v>-104.03999999999999</v>
      </c>
      <c r="AL73" s="8">
        <f>-100*Escalation!$B$37</f>
        <v>-104.03999999999999</v>
      </c>
      <c r="AM73" s="8">
        <f>-100*Escalation!$B$38</f>
        <v>-106.12079999999999</v>
      </c>
      <c r="AN73" s="8">
        <f>-100*Escalation!$B$39</f>
        <v>-106.12079999999999</v>
      </c>
      <c r="AO73" s="8">
        <f>-100*Escalation!$B$40</f>
        <v>-106.12079999999999</v>
      </c>
      <c r="AP73" s="8">
        <f>-100*Escalation!$B$41</f>
        <v>-106.12079999999999</v>
      </c>
      <c r="AQ73" s="8">
        <f>-100*Escalation!$B$42</f>
        <v>-106.12079999999999</v>
      </c>
      <c r="AR73" s="8">
        <f>-100*Escalation!$B$43</f>
        <v>-106.12079999999999</v>
      </c>
      <c r="AS73" s="8">
        <f>-100*Escalation!$B$44</f>
        <v>-106.12079999999999</v>
      </c>
      <c r="AT73" s="8">
        <f>-100*Escalation!$B$45</f>
        <v>-106.12079999999999</v>
      </c>
      <c r="AU73" s="8">
        <f>-100*Escalation!$B$46</f>
        <v>-106.12079999999999</v>
      </c>
      <c r="AV73" s="8">
        <f>-100*Escalation!$B$47</f>
        <v>-106.12079999999999</v>
      </c>
      <c r="AW73" s="8">
        <f>-100*Escalation!$B$48</f>
        <v>-106.12079999999999</v>
      </c>
      <c r="AX73" s="8">
        <f>-100*Escalation!$B$49</f>
        <v>-106.12079999999999</v>
      </c>
      <c r="AY73" s="8">
        <f>-100*Escalation!$B$50</f>
        <v>-108.243216</v>
      </c>
      <c r="AZ73" s="8">
        <f>-100*Escalation!$B$51</f>
        <v>-108.243216</v>
      </c>
      <c r="BA73" s="8">
        <f>-100*Escalation!$B$52</f>
        <v>-108.243216</v>
      </c>
      <c r="BB73" s="8">
        <f>-100*Escalation!$B$53</f>
        <v>-108.243216</v>
      </c>
      <c r="BC73" s="8">
        <f>-100*Escalation!$B$54</f>
        <v>-108.243216</v>
      </c>
      <c r="BD73" s="8">
        <f>-100*Escalation!$B$55</f>
        <v>-108.243216</v>
      </c>
      <c r="BE73" s="8">
        <f>-100*Escalation!$B$56</f>
        <v>-108.243216</v>
      </c>
      <c r="BF73" s="8">
        <f>-100*Escalation!$B$57</f>
        <v>-108.243216</v>
      </c>
      <c r="BG73" s="8">
        <f>-100*Escalation!$B$58</f>
        <v>-108.243216</v>
      </c>
      <c r="BH73" s="8">
        <f>-100*Escalation!$B$59</f>
        <v>-108.243216</v>
      </c>
      <c r="BI73" s="8">
        <f>-100*Escalation!$B$60</f>
        <v>-108.243216</v>
      </c>
      <c r="BJ73" s="8">
        <f>-100*Escalation!$B$61</f>
        <v>-108.243216</v>
      </c>
      <c r="BK73" s="8">
        <f>-100*Escalation!$B$62</f>
        <v>-110.40808032</v>
      </c>
      <c r="BL73" s="8">
        <f>-100*Escalation!$B$63</f>
        <v>-110.40808032</v>
      </c>
      <c r="BM73" s="8">
        <f>-100*Escalation!$B$64</f>
        <v>-110.40808032</v>
      </c>
      <c r="BN73" s="8">
        <f>-100*Escalation!$B$65</f>
        <v>-110.40808032</v>
      </c>
      <c r="BO73" s="8">
        <f>-100*Escalation!$B$66</f>
        <v>-110.40808032</v>
      </c>
      <c r="BP73" s="8">
        <f>-100*Escalation!$B$67</f>
        <v>-110.40808032</v>
      </c>
      <c r="BQ73" s="8">
        <f>-100*Escalation!$B$68</f>
        <v>-110.40808032</v>
      </c>
      <c r="BR73" s="8">
        <f>-100*Escalation!$B$69</f>
        <v>-110.40808032</v>
      </c>
      <c r="BS73" s="8">
        <f>-100*Escalation!$B$70</f>
        <v>-110.40808032</v>
      </c>
      <c r="BT73" s="8">
        <f>-100*Escalation!$B$71</f>
        <v>-110.40808032</v>
      </c>
      <c r="BU73" s="8">
        <f>-100*Escalation!$B$72</f>
        <v>-110.40808032</v>
      </c>
      <c r="BV73" s="8">
        <f>-100*Escalation!$B$73</f>
        <v>-110.40808032</v>
      </c>
      <c r="BW73" s="8">
        <f>-100*Escalation!$B$74</f>
        <v>-112.61624192640001</v>
      </c>
      <c r="BX73" s="8">
        <f>-100*Escalation!$B$75</f>
        <v>-112.61624192640001</v>
      </c>
      <c r="BY73" s="8">
        <f>-100*Escalation!$B$76</f>
        <v>-112.61624192640001</v>
      </c>
      <c r="BZ73" s="8">
        <f>-100*Escalation!$B$77</f>
        <v>-112.61624192640001</v>
      </c>
      <c r="CA73" s="8">
        <f>-100*Escalation!$B$78</f>
        <v>-112.61624192640001</v>
      </c>
      <c r="CB73" s="8">
        <f>-100*Escalation!$B$79</f>
        <v>-112.61624192640001</v>
      </c>
      <c r="CC73" s="8">
        <f>-100*Escalation!$B$80</f>
        <v>-112.61624192640001</v>
      </c>
      <c r="CD73" s="8">
        <f>-100*Escalation!$B$81</f>
        <v>-112.61624192640001</v>
      </c>
      <c r="CE73" s="8">
        <f>-100*Escalation!$B$82</f>
        <v>-112.61624192640001</v>
      </c>
      <c r="CF73" s="8">
        <f>-100*Escalation!$B$83</f>
        <v>-112.61624192640001</v>
      </c>
      <c r="CG73" s="8">
        <f>-100*Escalation!$B$84</f>
        <v>-112.61624192640001</v>
      </c>
      <c r="CH73" s="8">
        <f>-100*Escalation!$B$85</f>
        <v>-112.61624192640001</v>
      </c>
      <c r="CI73" s="23"/>
    </row>
    <row r="74" spans="1:87" ht="15" customHeight="1" x14ac:dyDescent="0.25">
      <c r="A74" s="7" t="s">
        <v>179</v>
      </c>
      <c r="B74" s="22"/>
      <c r="C74" s="8">
        <f>-3000*Escalation!$B$2</f>
        <v>-3000</v>
      </c>
      <c r="D74" s="8">
        <f>-3000*Escalation!$B$3</f>
        <v>-3000</v>
      </c>
      <c r="E74" s="8">
        <f>-3000*Escalation!$B$4</f>
        <v>-3000</v>
      </c>
      <c r="F74" s="8">
        <f>-3000*Escalation!$B$5</f>
        <v>-3000</v>
      </c>
      <c r="G74" s="8">
        <f>-3000*Escalation!$B$6</f>
        <v>-3000</v>
      </c>
      <c r="H74" s="8">
        <f>-3000*Escalation!$B$7</f>
        <v>-3000</v>
      </c>
      <c r="I74" s="8">
        <f>-3000*Escalation!$B$8</f>
        <v>-3000</v>
      </c>
      <c r="J74" s="8">
        <f>-3000*Escalation!$B$9</f>
        <v>-3000</v>
      </c>
      <c r="K74" s="8">
        <f>-3000*Escalation!$B$10</f>
        <v>-3000</v>
      </c>
      <c r="L74" s="8">
        <f>-3000*Escalation!$B$11</f>
        <v>-3000</v>
      </c>
      <c r="M74" s="8">
        <f>-3000*Escalation!$B$12</f>
        <v>-3000</v>
      </c>
      <c r="N74" s="8">
        <f>-3000*Escalation!$B$13</f>
        <v>-3000</v>
      </c>
      <c r="O74" s="8">
        <f>-3000*Escalation!$B$14</f>
        <v>-3060</v>
      </c>
      <c r="P74" s="8">
        <f>-3000*Escalation!$B$15</f>
        <v>-3060</v>
      </c>
      <c r="Q74" s="8">
        <f>-3000*Escalation!$B$16</f>
        <v>-3060</v>
      </c>
      <c r="R74" s="8">
        <f>-3000*Escalation!$B$17</f>
        <v>-3060</v>
      </c>
      <c r="S74" s="8">
        <f>-3000*Escalation!$B$18</f>
        <v>-3060</v>
      </c>
      <c r="T74" s="8">
        <f>-3000*Escalation!$B$19</f>
        <v>-3060</v>
      </c>
      <c r="U74" s="8">
        <f>-3000*Escalation!$B$20</f>
        <v>-3060</v>
      </c>
      <c r="V74" s="8">
        <f>-3000*Escalation!$B$21</f>
        <v>-3060</v>
      </c>
      <c r="W74" s="8">
        <f>-3000*Escalation!$B$22</f>
        <v>-3060</v>
      </c>
      <c r="X74" s="8">
        <f>-3000*Escalation!$B$23</f>
        <v>-3060</v>
      </c>
      <c r="Y74" s="8">
        <f>-3000*Escalation!$B$24</f>
        <v>-3060</v>
      </c>
      <c r="Z74" s="8">
        <f>-3000*Escalation!$B$25</f>
        <v>-3060</v>
      </c>
      <c r="AA74" s="8">
        <f>-3000*Escalation!$B$26</f>
        <v>-3121.2</v>
      </c>
      <c r="AB74" s="8">
        <f>-3000*Escalation!$B$27</f>
        <v>-3121.2</v>
      </c>
      <c r="AC74" s="8">
        <f>-3000*Escalation!$B$28</f>
        <v>-3121.2</v>
      </c>
      <c r="AD74" s="8">
        <f>-3000*Escalation!$B$29</f>
        <v>-3121.2</v>
      </c>
      <c r="AE74" s="8">
        <f>-3000*Escalation!$B$30</f>
        <v>-3121.2</v>
      </c>
      <c r="AF74" s="8">
        <f>-3000*Escalation!$B$31</f>
        <v>-3121.2</v>
      </c>
      <c r="AG74" s="8">
        <f>-3000*Escalation!$B$32</f>
        <v>-3121.2</v>
      </c>
      <c r="AH74" s="8">
        <f>-3000*Escalation!$B$33</f>
        <v>-3121.2</v>
      </c>
      <c r="AI74" s="8">
        <f>-3000*Escalation!$B$34</f>
        <v>-3121.2</v>
      </c>
      <c r="AJ74" s="8">
        <f>-3000*Escalation!$B$35</f>
        <v>-3121.2</v>
      </c>
      <c r="AK74" s="8">
        <f>-3000*Escalation!$B$36</f>
        <v>-3121.2</v>
      </c>
      <c r="AL74" s="8">
        <f>-3000*Escalation!$B$37</f>
        <v>-3121.2</v>
      </c>
      <c r="AM74" s="8">
        <f>-3000*Escalation!$B$38</f>
        <v>-3183.6239999999998</v>
      </c>
      <c r="AN74" s="8">
        <f>-3000*Escalation!$B$39</f>
        <v>-3183.6239999999998</v>
      </c>
      <c r="AO74" s="8">
        <f>-3000*Escalation!$B$40</f>
        <v>-3183.6239999999998</v>
      </c>
      <c r="AP74" s="8">
        <f>-3000*Escalation!$B$41</f>
        <v>-3183.6239999999998</v>
      </c>
      <c r="AQ74" s="8">
        <f>-3000*Escalation!$B$42</f>
        <v>-3183.6239999999998</v>
      </c>
      <c r="AR74" s="8">
        <f>-3000*Escalation!$B$43</f>
        <v>-3183.6239999999998</v>
      </c>
      <c r="AS74" s="8">
        <f>-3000*Escalation!$B$44</f>
        <v>-3183.6239999999998</v>
      </c>
      <c r="AT74" s="8">
        <f>-3000*Escalation!$B$45</f>
        <v>-3183.6239999999998</v>
      </c>
      <c r="AU74" s="8">
        <f>-3000*Escalation!$B$46</f>
        <v>-3183.6239999999998</v>
      </c>
      <c r="AV74" s="8">
        <f>-3000*Escalation!$B$47</f>
        <v>-3183.6239999999998</v>
      </c>
      <c r="AW74" s="8">
        <f>-3000*Escalation!$B$48</f>
        <v>-3183.6239999999998</v>
      </c>
      <c r="AX74" s="8">
        <f>-3000*Escalation!$B$49</f>
        <v>-3183.6239999999998</v>
      </c>
      <c r="AY74" s="8">
        <f>-3000*Escalation!$B$50</f>
        <v>-3247.29648</v>
      </c>
      <c r="AZ74" s="8">
        <f>-3000*Escalation!$B$51</f>
        <v>-3247.29648</v>
      </c>
      <c r="BA74" s="8">
        <f>-3000*Escalation!$B$52</f>
        <v>-3247.29648</v>
      </c>
      <c r="BB74" s="8">
        <f>-3000*Escalation!$B$53</f>
        <v>-3247.29648</v>
      </c>
      <c r="BC74" s="8">
        <f>-3000*Escalation!$B$54</f>
        <v>-3247.29648</v>
      </c>
      <c r="BD74" s="8">
        <f>-3000*Escalation!$B$55</f>
        <v>-3247.29648</v>
      </c>
      <c r="BE74" s="8">
        <f>-3000*Escalation!$B$56</f>
        <v>-3247.29648</v>
      </c>
      <c r="BF74" s="8">
        <f>-3000*Escalation!$B$57</f>
        <v>-3247.29648</v>
      </c>
      <c r="BG74" s="8">
        <f>-3000*Escalation!$B$58</f>
        <v>-3247.29648</v>
      </c>
      <c r="BH74" s="8">
        <f>-3000*Escalation!$B$59</f>
        <v>-3247.29648</v>
      </c>
      <c r="BI74" s="8">
        <f>-3000*Escalation!$B$60</f>
        <v>-3247.29648</v>
      </c>
      <c r="BJ74" s="8">
        <f>-3000*Escalation!$B$61</f>
        <v>-3247.29648</v>
      </c>
      <c r="BK74" s="8">
        <f>-3000*Escalation!$B$62</f>
        <v>-3312.2424096</v>
      </c>
      <c r="BL74" s="8">
        <f>-3000*Escalation!$B$63</f>
        <v>-3312.2424096</v>
      </c>
      <c r="BM74" s="8">
        <f>-3000*Escalation!$B$64</f>
        <v>-3312.2424096</v>
      </c>
      <c r="BN74" s="8">
        <f>-3000*Escalation!$B$65</f>
        <v>-3312.2424096</v>
      </c>
      <c r="BO74" s="8">
        <f>-3000*Escalation!$B$66</f>
        <v>-3312.2424096</v>
      </c>
      <c r="BP74" s="8">
        <f>-3000*Escalation!$B$67</f>
        <v>-3312.2424096</v>
      </c>
      <c r="BQ74" s="8">
        <f>-3000*Escalation!$B$68</f>
        <v>-3312.2424096</v>
      </c>
      <c r="BR74" s="8">
        <f>-3000*Escalation!$B$69</f>
        <v>-3312.2424096</v>
      </c>
      <c r="BS74" s="8">
        <f>-3000*Escalation!$B$70</f>
        <v>-3312.2424096</v>
      </c>
      <c r="BT74" s="8">
        <f>-3000*Escalation!$B$71</f>
        <v>-3312.2424096</v>
      </c>
      <c r="BU74" s="8">
        <f>-3000*Escalation!$B$72</f>
        <v>-3312.2424096</v>
      </c>
      <c r="BV74" s="8">
        <f>-3000*Escalation!$B$73</f>
        <v>-3312.2424096</v>
      </c>
      <c r="BW74" s="8">
        <f>-3000*Escalation!$B$74</f>
        <v>-3378.487257792</v>
      </c>
      <c r="BX74" s="8">
        <f>-3000*Escalation!$B$75</f>
        <v>-3378.487257792</v>
      </c>
      <c r="BY74" s="8">
        <f>-3000*Escalation!$B$76</f>
        <v>-3378.487257792</v>
      </c>
      <c r="BZ74" s="8">
        <f>-3000*Escalation!$B$77</f>
        <v>-3378.487257792</v>
      </c>
      <c r="CA74" s="8">
        <f>-3000*Escalation!$B$78</f>
        <v>-3378.487257792</v>
      </c>
      <c r="CB74" s="8">
        <f>-3000*Escalation!$B$79</f>
        <v>-3378.487257792</v>
      </c>
      <c r="CC74" s="8">
        <f>-3000*Escalation!$B$80</f>
        <v>-3378.487257792</v>
      </c>
      <c r="CD74" s="8">
        <f>-3000*Escalation!$B$81</f>
        <v>-3378.487257792</v>
      </c>
      <c r="CE74" s="8">
        <f>-3000*Escalation!$B$82</f>
        <v>-3378.487257792</v>
      </c>
      <c r="CF74" s="8">
        <f>-3000*Escalation!$B$83</f>
        <v>-3378.487257792</v>
      </c>
      <c r="CG74" s="8">
        <f>-3000*Escalation!$B$84</f>
        <v>-3378.487257792</v>
      </c>
      <c r="CH74" s="8">
        <f>-3000*Escalation!$B$85</f>
        <v>-3378.487257792</v>
      </c>
      <c r="CI74" s="23"/>
    </row>
    <row r="75" spans="1:87" ht="15" customHeight="1" x14ac:dyDescent="0.25">
      <c r="A75" s="7" t="s">
        <v>180</v>
      </c>
      <c r="B75" s="22"/>
      <c r="C75" s="8">
        <f>-2500*Escalation!$B$2</f>
        <v>-2500</v>
      </c>
      <c r="D75" s="8">
        <f>-2500*Escalation!$B$3</f>
        <v>-2500</v>
      </c>
      <c r="E75" s="8">
        <f>-2500*Escalation!$B$4</f>
        <v>-2500</v>
      </c>
      <c r="F75" s="8">
        <f>-2500*Escalation!$B$5</f>
        <v>-2500</v>
      </c>
      <c r="G75" s="8">
        <f>-2500*Escalation!$B$6</f>
        <v>-2500</v>
      </c>
      <c r="H75" s="8">
        <f>-2500*Escalation!$B$7</f>
        <v>-2500</v>
      </c>
      <c r="I75" s="8">
        <f>-2500*Escalation!$B$8</f>
        <v>-2500</v>
      </c>
      <c r="J75" s="8">
        <f>-2500*Escalation!$B$9</f>
        <v>-2500</v>
      </c>
      <c r="K75" s="8">
        <f>-2500*Escalation!$B$10</f>
        <v>-2500</v>
      </c>
      <c r="L75" s="8">
        <f>-2500*Escalation!$B$11</f>
        <v>-2500</v>
      </c>
      <c r="M75" s="8">
        <f>-2500*Escalation!$B$12</f>
        <v>-2500</v>
      </c>
      <c r="N75" s="8">
        <f>-2500*Escalation!$B$13</f>
        <v>-2500</v>
      </c>
      <c r="O75" s="8">
        <f>-2500*Escalation!$B$14</f>
        <v>-2550</v>
      </c>
      <c r="P75" s="8">
        <f>-2500*Escalation!$B$15</f>
        <v>-2550</v>
      </c>
      <c r="Q75" s="8">
        <f>-2500*Escalation!$B$16</f>
        <v>-2550</v>
      </c>
      <c r="R75" s="8">
        <f>-2500*Escalation!$B$17</f>
        <v>-2550</v>
      </c>
      <c r="S75" s="8">
        <f>-2500*Escalation!$B$18</f>
        <v>-2550</v>
      </c>
      <c r="T75" s="8">
        <f>-2500*Escalation!$B$19</f>
        <v>-2550</v>
      </c>
      <c r="U75" s="8">
        <f>-2500*Escalation!$B$20</f>
        <v>-2550</v>
      </c>
      <c r="V75" s="8">
        <f>-2500*Escalation!$B$21</f>
        <v>-2550</v>
      </c>
      <c r="W75" s="8">
        <f>-2500*Escalation!$B$22</f>
        <v>-2550</v>
      </c>
      <c r="X75" s="8">
        <f>-2500*Escalation!$B$23</f>
        <v>-2550</v>
      </c>
      <c r="Y75" s="8">
        <f>-2500*Escalation!$B$24</f>
        <v>-2550</v>
      </c>
      <c r="Z75" s="8">
        <f>-2500*Escalation!$B$25</f>
        <v>-2550</v>
      </c>
      <c r="AA75" s="8">
        <f>-2500*Escalation!$B$26</f>
        <v>-2601</v>
      </c>
      <c r="AB75" s="8">
        <f>-2500*Escalation!$B$27</f>
        <v>-2601</v>
      </c>
      <c r="AC75" s="8">
        <f>-2500*Escalation!$B$28</f>
        <v>-2601</v>
      </c>
      <c r="AD75" s="8">
        <f>-2500*Escalation!$B$29</f>
        <v>-2601</v>
      </c>
      <c r="AE75" s="8">
        <f>-2500*Escalation!$B$30</f>
        <v>-2601</v>
      </c>
      <c r="AF75" s="8">
        <f>-2500*Escalation!$B$31</f>
        <v>-2601</v>
      </c>
      <c r="AG75" s="8">
        <f>-2500*Escalation!$B$32</f>
        <v>-2601</v>
      </c>
      <c r="AH75" s="8">
        <f>-2500*Escalation!$B$33</f>
        <v>-2601</v>
      </c>
      <c r="AI75" s="8">
        <f>-2500*Escalation!$B$34</f>
        <v>-2601</v>
      </c>
      <c r="AJ75" s="8">
        <f>-2500*Escalation!$B$35</f>
        <v>-2601</v>
      </c>
      <c r="AK75" s="8">
        <f>-2500*Escalation!$B$36</f>
        <v>-2601</v>
      </c>
      <c r="AL75" s="8">
        <f>-2500*Escalation!$B$37</f>
        <v>-2601</v>
      </c>
      <c r="AM75" s="8">
        <f>-2500*Escalation!$B$38</f>
        <v>-2653.02</v>
      </c>
      <c r="AN75" s="8">
        <f>-2500*Escalation!$B$39</f>
        <v>-2653.02</v>
      </c>
      <c r="AO75" s="8">
        <f>-2500*Escalation!$B$40</f>
        <v>-2653.02</v>
      </c>
      <c r="AP75" s="8">
        <f>-2500*Escalation!$B$41</f>
        <v>-2653.02</v>
      </c>
      <c r="AQ75" s="8">
        <f>-2500*Escalation!$B$42</f>
        <v>-2653.02</v>
      </c>
      <c r="AR75" s="8">
        <f>-2500*Escalation!$B$43</f>
        <v>-2653.02</v>
      </c>
      <c r="AS75" s="8">
        <f>-2500*Escalation!$B$44</f>
        <v>-2653.02</v>
      </c>
      <c r="AT75" s="8">
        <f>-2500*Escalation!$B$45</f>
        <v>-2653.02</v>
      </c>
      <c r="AU75" s="8">
        <f>-2500*Escalation!$B$46</f>
        <v>-2653.02</v>
      </c>
      <c r="AV75" s="8">
        <f>-2500*Escalation!$B$47</f>
        <v>-2653.02</v>
      </c>
      <c r="AW75" s="8">
        <f>-2500*Escalation!$B$48</f>
        <v>-2653.02</v>
      </c>
      <c r="AX75" s="8">
        <f>-2500*Escalation!$B$49</f>
        <v>-2653.02</v>
      </c>
      <c r="AY75" s="8">
        <f>-2500*Escalation!$B$50</f>
        <v>-2706.0803999999998</v>
      </c>
      <c r="AZ75" s="8">
        <f>-2500*Escalation!$B$51</f>
        <v>-2706.0803999999998</v>
      </c>
      <c r="BA75" s="8">
        <f>-2500*Escalation!$B$52</f>
        <v>-2706.0803999999998</v>
      </c>
      <c r="BB75" s="8">
        <f>-2500*Escalation!$B$53</f>
        <v>-2706.0803999999998</v>
      </c>
      <c r="BC75" s="8">
        <f>-2500*Escalation!$B$54</f>
        <v>-2706.0803999999998</v>
      </c>
      <c r="BD75" s="8">
        <f>-2500*Escalation!$B$55</f>
        <v>-2706.0803999999998</v>
      </c>
      <c r="BE75" s="8">
        <f>-2500*Escalation!$B$56</f>
        <v>-2706.0803999999998</v>
      </c>
      <c r="BF75" s="8">
        <f>-2500*Escalation!$B$57</f>
        <v>-2706.0803999999998</v>
      </c>
      <c r="BG75" s="8">
        <f>-2500*Escalation!$B$58</f>
        <v>-2706.0803999999998</v>
      </c>
      <c r="BH75" s="8">
        <f>-2500*Escalation!$B$59</f>
        <v>-2706.0803999999998</v>
      </c>
      <c r="BI75" s="8">
        <f>-2500*Escalation!$B$60</f>
        <v>-2706.0803999999998</v>
      </c>
      <c r="BJ75" s="8">
        <f>-2500*Escalation!$B$61</f>
        <v>-2706.0803999999998</v>
      </c>
      <c r="BK75" s="8">
        <f>-2500*Escalation!$B$62</f>
        <v>-2760.2020080000002</v>
      </c>
      <c r="BL75" s="8">
        <f>-2500*Escalation!$B$63</f>
        <v>-2760.2020080000002</v>
      </c>
      <c r="BM75" s="8">
        <f>-2500*Escalation!$B$64</f>
        <v>-2760.2020080000002</v>
      </c>
      <c r="BN75" s="8">
        <f>-2500*Escalation!$B$65</f>
        <v>-2760.2020080000002</v>
      </c>
      <c r="BO75" s="8">
        <f>-2500*Escalation!$B$66</f>
        <v>-2760.2020080000002</v>
      </c>
      <c r="BP75" s="8">
        <f>-2500*Escalation!$B$67</f>
        <v>-2760.2020080000002</v>
      </c>
      <c r="BQ75" s="8">
        <f>-2500*Escalation!$B$68</f>
        <v>-2760.2020080000002</v>
      </c>
      <c r="BR75" s="8">
        <f>-2500*Escalation!$B$69</f>
        <v>-2760.2020080000002</v>
      </c>
      <c r="BS75" s="8">
        <f>-2500*Escalation!$B$70</f>
        <v>-2760.2020080000002</v>
      </c>
      <c r="BT75" s="8">
        <f>-2500*Escalation!$B$71</f>
        <v>-2760.2020080000002</v>
      </c>
      <c r="BU75" s="8">
        <f>-2500*Escalation!$B$72</f>
        <v>-2760.2020080000002</v>
      </c>
      <c r="BV75" s="8">
        <f>-2500*Escalation!$B$73</f>
        <v>-2760.2020080000002</v>
      </c>
      <c r="BW75" s="8">
        <f>-2500*Escalation!$B$74</f>
        <v>-2815.40604816</v>
      </c>
      <c r="BX75" s="8">
        <f>-2500*Escalation!$B$75</f>
        <v>-2815.40604816</v>
      </c>
      <c r="BY75" s="8">
        <f>-2500*Escalation!$B$76</f>
        <v>-2815.40604816</v>
      </c>
      <c r="BZ75" s="8">
        <f>-2500*Escalation!$B$77</f>
        <v>-2815.40604816</v>
      </c>
      <c r="CA75" s="8">
        <f>-2500*Escalation!$B$78</f>
        <v>-2815.40604816</v>
      </c>
      <c r="CB75" s="8">
        <f>-2500*Escalation!$B$79</f>
        <v>-2815.40604816</v>
      </c>
      <c r="CC75" s="8">
        <f>-2500*Escalation!$B$80</f>
        <v>-2815.40604816</v>
      </c>
      <c r="CD75" s="8">
        <f>-2500*Escalation!$B$81</f>
        <v>-2815.40604816</v>
      </c>
      <c r="CE75" s="8">
        <f>-2500*Escalation!$B$82</f>
        <v>-2815.40604816</v>
      </c>
      <c r="CF75" s="8">
        <f>-2500*Escalation!$B$83</f>
        <v>-2815.40604816</v>
      </c>
      <c r="CG75" s="8">
        <f>-2500*Escalation!$B$84</f>
        <v>-2815.40604816</v>
      </c>
      <c r="CH75" s="8">
        <f>-2500*Escalation!$B$85</f>
        <v>-2815.40604816</v>
      </c>
      <c r="CI75" s="23"/>
    </row>
    <row r="76" spans="1:87" ht="15" customHeight="1" x14ac:dyDescent="0.25">
      <c r="A76" s="7" t="s">
        <v>181</v>
      </c>
      <c r="B76" s="22"/>
      <c r="C76" s="8">
        <f>-2100*Escalation!$B$2</f>
        <v>-2100</v>
      </c>
      <c r="D76" s="8">
        <f>-2100*Escalation!$B$3</f>
        <v>-2100</v>
      </c>
      <c r="E76" s="8">
        <f>-2100*Escalation!$B$4</f>
        <v>-2100</v>
      </c>
      <c r="F76" s="8">
        <f>-2100*Escalation!$B$5</f>
        <v>-2100</v>
      </c>
      <c r="G76" s="8">
        <f>-2100*Escalation!$B$6</f>
        <v>-2100</v>
      </c>
      <c r="H76" s="8">
        <f>-2100*Escalation!$B$7</f>
        <v>-2100</v>
      </c>
      <c r="I76" s="8">
        <f>-2100*Escalation!$B$8</f>
        <v>-2100</v>
      </c>
      <c r="J76" s="8">
        <f>-2100*Escalation!$B$9</f>
        <v>-2100</v>
      </c>
      <c r="K76" s="8">
        <f>-2100*Escalation!$B$10</f>
        <v>-2100</v>
      </c>
      <c r="L76" s="8">
        <f>-2100*Escalation!$B$11</f>
        <v>-2100</v>
      </c>
      <c r="M76" s="8">
        <f>-2100*Escalation!$B$12</f>
        <v>-2100</v>
      </c>
      <c r="N76" s="8">
        <f>-2100*Escalation!$B$13</f>
        <v>-2100</v>
      </c>
      <c r="O76" s="8">
        <f>-2100*Escalation!$B$14</f>
        <v>-2142</v>
      </c>
      <c r="P76" s="8">
        <f>-2100*Escalation!$B$15</f>
        <v>-2142</v>
      </c>
      <c r="Q76" s="8">
        <f>-2100*Escalation!$B$16</f>
        <v>-2142</v>
      </c>
      <c r="R76" s="8">
        <f>-2100*Escalation!$B$17</f>
        <v>-2142</v>
      </c>
      <c r="S76" s="8">
        <f>-2100*Escalation!$B$18</f>
        <v>-2142</v>
      </c>
      <c r="T76" s="8">
        <f>-2100*Escalation!$B$19</f>
        <v>-2142</v>
      </c>
      <c r="U76" s="8">
        <f>-2100*Escalation!$B$20</f>
        <v>-2142</v>
      </c>
      <c r="V76" s="8">
        <f>-2100*Escalation!$B$21</f>
        <v>-2142</v>
      </c>
      <c r="W76" s="8">
        <f>-2100*Escalation!$B$22</f>
        <v>-2142</v>
      </c>
      <c r="X76" s="8">
        <f>-2100*Escalation!$B$23</f>
        <v>-2142</v>
      </c>
      <c r="Y76" s="8">
        <f>-2100*Escalation!$B$24</f>
        <v>-2142</v>
      </c>
      <c r="Z76" s="8">
        <f>-2100*Escalation!$B$25</f>
        <v>-2142</v>
      </c>
      <c r="AA76" s="8">
        <f>-2100*Escalation!$B$26</f>
        <v>-2184.84</v>
      </c>
      <c r="AB76" s="8">
        <f>-2100*Escalation!$B$27</f>
        <v>-2184.84</v>
      </c>
      <c r="AC76" s="8">
        <f>-2100*Escalation!$B$28</f>
        <v>-2184.84</v>
      </c>
      <c r="AD76" s="8">
        <f>-2100*Escalation!$B$29</f>
        <v>-2184.84</v>
      </c>
      <c r="AE76" s="8">
        <f>-2100*Escalation!$B$30</f>
        <v>-2184.84</v>
      </c>
      <c r="AF76" s="8">
        <f>-2100*Escalation!$B$31</f>
        <v>-2184.84</v>
      </c>
      <c r="AG76" s="8">
        <f>-2100*Escalation!$B$32</f>
        <v>-2184.84</v>
      </c>
      <c r="AH76" s="8">
        <f>-2100*Escalation!$B$33</f>
        <v>-2184.84</v>
      </c>
      <c r="AI76" s="8">
        <f>-2100*Escalation!$B$34</f>
        <v>-2184.84</v>
      </c>
      <c r="AJ76" s="8">
        <f>-2100*Escalation!$B$35</f>
        <v>-2184.84</v>
      </c>
      <c r="AK76" s="8">
        <f>-2100*Escalation!$B$36</f>
        <v>-2184.84</v>
      </c>
      <c r="AL76" s="8">
        <f>-2100*Escalation!$B$37</f>
        <v>-2184.84</v>
      </c>
      <c r="AM76" s="8">
        <f>-2100*Escalation!$B$38</f>
        <v>-2228.5367999999999</v>
      </c>
      <c r="AN76" s="8">
        <f>-2100*Escalation!$B$39</f>
        <v>-2228.5367999999999</v>
      </c>
      <c r="AO76" s="8">
        <f>-2100*Escalation!$B$40</f>
        <v>-2228.5367999999999</v>
      </c>
      <c r="AP76" s="8">
        <f>-2100*Escalation!$B$41</f>
        <v>-2228.5367999999999</v>
      </c>
      <c r="AQ76" s="8">
        <f>-2100*Escalation!$B$42</f>
        <v>-2228.5367999999999</v>
      </c>
      <c r="AR76" s="8">
        <f>-2100*Escalation!$B$43</f>
        <v>-2228.5367999999999</v>
      </c>
      <c r="AS76" s="8">
        <f>-2100*Escalation!$B$44</f>
        <v>-2228.5367999999999</v>
      </c>
      <c r="AT76" s="8">
        <f>-2100*Escalation!$B$45</f>
        <v>-2228.5367999999999</v>
      </c>
      <c r="AU76" s="8">
        <f>-2100*Escalation!$B$46</f>
        <v>-2228.5367999999999</v>
      </c>
      <c r="AV76" s="8">
        <f>-2100*Escalation!$B$47</f>
        <v>-2228.5367999999999</v>
      </c>
      <c r="AW76" s="8">
        <f>-2100*Escalation!$B$48</f>
        <v>-2228.5367999999999</v>
      </c>
      <c r="AX76" s="8">
        <f>-2100*Escalation!$B$49</f>
        <v>-2228.5367999999999</v>
      </c>
      <c r="AY76" s="8">
        <f>-2100*Escalation!$B$50</f>
        <v>-2273.107536</v>
      </c>
      <c r="AZ76" s="8">
        <f>-2100*Escalation!$B$51</f>
        <v>-2273.107536</v>
      </c>
      <c r="BA76" s="8">
        <f>-2100*Escalation!$B$52</f>
        <v>-2273.107536</v>
      </c>
      <c r="BB76" s="8">
        <f>-2100*Escalation!$B$53</f>
        <v>-2273.107536</v>
      </c>
      <c r="BC76" s="8">
        <f>-2100*Escalation!$B$54</f>
        <v>-2273.107536</v>
      </c>
      <c r="BD76" s="8">
        <f>-2100*Escalation!$B$55</f>
        <v>-2273.107536</v>
      </c>
      <c r="BE76" s="8">
        <f>-2100*Escalation!$B$56</f>
        <v>-2273.107536</v>
      </c>
      <c r="BF76" s="8">
        <f>-2100*Escalation!$B$57</f>
        <v>-2273.107536</v>
      </c>
      <c r="BG76" s="8">
        <f>-2100*Escalation!$B$58</f>
        <v>-2273.107536</v>
      </c>
      <c r="BH76" s="8">
        <f>-2100*Escalation!$B$59</f>
        <v>-2273.107536</v>
      </c>
      <c r="BI76" s="8">
        <f>-2100*Escalation!$B$60</f>
        <v>-2273.107536</v>
      </c>
      <c r="BJ76" s="8">
        <f>-2100*Escalation!$B$61</f>
        <v>-2273.107536</v>
      </c>
      <c r="BK76" s="8">
        <f>-2100*Escalation!$B$62</f>
        <v>-2318.5696867199999</v>
      </c>
      <c r="BL76" s="8">
        <f>-2100*Escalation!$B$63</f>
        <v>-2318.5696867199999</v>
      </c>
      <c r="BM76" s="8">
        <f>-2100*Escalation!$B$64</f>
        <v>-2318.5696867199999</v>
      </c>
      <c r="BN76" s="8">
        <f>-2100*Escalation!$B$65</f>
        <v>-2318.5696867199999</v>
      </c>
      <c r="BO76" s="8">
        <f>-2100*Escalation!$B$66</f>
        <v>-2318.5696867199999</v>
      </c>
      <c r="BP76" s="8">
        <f>-2100*Escalation!$B$67</f>
        <v>-2318.5696867199999</v>
      </c>
      <c r="BQ76" s="8">
        <f>-2100*Escalation!$B$68</f>
        <v>-2318.5696867199999</v>
      </c>
      <c r="BR76" s="8">
        <f>-2100*Escalation!$B$69</f>
        <v>-2318.5696867199999</v>
      </c>
      <c r="BS76" s="8">
        <f>-2100*Escalation!$B$70</f>
        <v>-2318.5696867199999</v>
      </c>
      <c r="BT76" s="8">
        <f>-2100*Escalation!$B$71</f>
        <v>-2318.5696867199999</v>
      </c>
      <c r="BU76" s="8">
        <f>-2100*Escalation!$B$72</f>
        <v>-2318.5696867199999</v>
      </c>
      <c r="BV76" s="8">
        <f>-2100*Escalation!$B$73</f>
        <v>-2318.5696867199999</v>
      </c>
      <c r="BW76" s="8">
        <f>-2100*Escalation!$B$74</f>
        <v>-2364.9410804544</v>
      </c>
      <c r="BX76" s="8">
        <f>-2100*Escalation!$B$75</f>
        <v>-2364.9410804544</v>
      </c>
      <c r="BY76" s="8">
        <f>-2100*Escalation!$B$76</f>
        <v>-2364.9410804544</v>
      </c>
      <c r="BZ76" s="8">
        <f>-2100*Escalation!$B$77</f>
        <v>-2364.9410804544</v>
      </c>
      <c r="CA76" s="8">
        <f>-2100*Escalation!$B$78</f>
        <v>-2364.9410804544</v>
      </c>
      <c r="CB76" s="8">
        <f>-2100*Escalation!$B$79</f>
        <v>-2364.9410804544</v>
      </c>
      <c r="CC76" s="8">
        <f>-2100*Escalation!$B$80</f>
        <v>-2364.9410804544</v>
      </c>
      <c r="CD76" s="8">
        <f>-2100*Escalation!$B$81</f>
        <v>-2364.9410804544</v>
      </c>
      <c r="CE76" s="8">
        <f>-2100*Escalation!$B$82</f>
        <v>-2364.9410804544</v>
      </c>
      <c r="CF76" s="8">
        <f>-2100*Escalation!$B$83</f>
        <v>-2364.9410804544</v>
      </c>
      <c r="CG76" s="8">
        <f>-2100*Escalation!$B$84</f>
        <v>-2364.9410804544</v>
      </c>
      <c r="CH76" s="8">
        <f>-2100*Escalation!$B$85</f>
        <v>-2364.9410804544</v>
      </c>
      <c r="CI76" s="23"/>
    </row>
    <row r="77" spans="1:87" ht="15" customHeight="1" x14ac:dyDescent="0.25">
      <c r="A77" s="7" t="s">
        <v>182</v>
      </c>
      <c r="B77" s="22"/>
      <c r="C77" s="8">
        <f>-2500*Escalation!$B$2</f>
        <v>-2500</v>
      </c>
      <c r="D77" s="8">
        <f>-2500*Escalation!$B$3</f>
        <v>-2500</v>
      </c>
      <c r="E77" s="8">
        <f>-2500*Escalation!$B$4</f>
        <v>-2500</v>
      </c>
      <c r="F77" s="8">
        <f>-2500*Escalation!$B$5</f>
        <v>-2500</v>
      </c>
      <c r="G77" s="8">
        <f>-2500*Escalation!$B$6</f>
        <v>-2500</v>
      </c>
      <c r="H77" s="8">
        <f>-2500*Escalation!$B$7</f>
        <v>-2500</v>
      </c>
      <c r="I77" s="8">
        <f>-2500*Escalation!$B$8</f>
        <v>-2500</v>
      </c>
      <c r="J77" s="8">
        <f>-2500*Escalation!$B$9</f>
        <v>-2500</v>
      </c>
      <c r="K77" s="8">
        <f>-2500*Escalation!$B$10</f>
        <v>-2500</v>
      </c>
      <c r="L77" s="8">
        <f>-2500*Escalation!$B$11</f>
        <v>-2500</v>
      </c>
      <c r="M77" s="8">
        <f>-2500*Escalation!$B$12</f>
        <v>-2500</v>
      </c>
      <c r="N77" s="8">
        <f>-2500*Escalation!$B$13</f>
        <v>-2500</v>
      </c>
      <c r="O77" s="8">
        <f>-2500*Escalation!$B$14</f>
        <v>-2550</v>
      </c>
      <c r="P77" s="8">
        <f>-2500*Escalation!$B$15</f>
        <v>-2550</v>
      </c>
      <c r="Q77" s="8">
        <f>-2500*Escalation!$B$16</f>
        <v>-2550</v>
      </c>
      <c r="R77" s="8">
        <f>-2500*Escalation!$B$17</f>
        <v>-2550</v>
      </c>
      <c r="S77" s="8">
        <f>-2500*Escalation!$B$18</f>
        <v>-2550</v>
      </c>
      <c r="T77" s="8">
        <f>-2500*Escalation!$B$19</f>
        <v>-2550</v>
      </c>
      <c r="U77" s="8">
        <f>-2500*Escalation!$B$20</f>
        <v>-2550</v>
      </c>
      <c r="V77" s="8">
        <f>-2500*Escalation!$B$21</f>
        <v>-2550</v>
      </c>
      <c r="W77" s="8">
        <f>-2500*Escalation!$B$22</f>
        <v>-2550</v>
      </c>
      <c r="X77" s="8">
        <f>-2500*Escalation!$B$23</f>
        <v>-2550</v>
      </c>
      <c r="Y77" s="8">
        <f>-2500*Escalation!$B$24</f>
        <v>-2550</v>
      </c>
      <c r="Z77" s="8">
        <f>-2500*Escalation!$B$25</f>
        <v>-2550</v>
      </c>
      <c r="AA77" s="8">
        <f>-2500*Escalation!$B$26</f>
        <v>-2601</v>
      </c>
      <c r="AB77" s="8">
        <f>-2500*Escalation!$B$27</f>
        <v>-2601</v>
      </c>
      <c r="AC77" s="8">
        <f>-2500*Escalation!$B$28</f>
        <v>-2601</v>
      </c>
      <c r="AD77" s="8">
        <f>-2500*Escalation!$B$29</f>
        <v>-2601</v>
      </c>
      <c r="AE77" s="8">
        <f>-2500*Escalation!$B$30</f>
        <v>-2601</v>
      </c>
      <c r="AF77" s="8">
        <f>-2500*Escalation!$B$31</f>
        <v>-2601</v>
      </c>
      <c r="AG77" s="8">
        <f>-2500*Escalation!$B$32</f>
        <v>-2601</v>
      </c>
      <c r="AH77" s="8">
        <f>-2500*Escalation!$B$33</f>
        <v>-2601</v>
      </c>
      <c r="AI77" s="8">
        <f>-2500*Escalation!$B$34</f>
        <v>-2601</v>
      </c>
      <c r="AJ77" s="8">
        <f>-2500*Escalation!$B$35</f>
        <v>-2601</v>
      </c>
      <c r="AK77" s="8">
        <f>-2500*Escalation!$B$36</f>
        <v>-2601</v>
      </c>
      <c r="AL77" s="8">
        <f>-2500*Escalation!$B$37</f>
        <v>-2601</v>
      </c>
      <c r="AM77" s="8">
        <f>-2500*Escalation!$B$38</f>
        <v>-2653.02</v>
      </c>
      <c r="AN77" s="8">
        <f>-2500*Escalation!$B$39</f>
        <v>-2653.02</v>
      </c>
      <c r="AO77" s="8">
        <f>-2500*Escalation!$B$40</f>
        <v>-2653.02</v>
      </c>
      <c r="AP77" s="8">
        <f>-2500*Escalation!$B$41</f>
        <v>-2653.02</v>
      </c>
      <c r="AQ77" s="8">
        <f>-2500*Escalation!$B$42</f>
        <v>-2653.02</v>
      </c>
      <c r="AR77" s="8">
        <f>-2500*Escalation!$B$43</f>
        <v>-2653.02</v>
      </c>
      <c r="AS77" s="8">
        <f>-2500*Escalation!$B$44</f>
        <v>-2653.02</v>
      </c>
      <c r="AT77" s="8">
        <f>-2500*Escalation!$B$45</f>
        <v>-2653.02</v>
      </c>
      <c r="AU77" s="8">
        <f>-2500*Escalation!$B$46</f>
        <v>-2653.02</v>
      </c>
      <c r="AV77" s="8">
        <f>-2500*Escalation!$B$47</f>
        <v>-2653.02</v>
      </c>
      <c r="AW77" s="8">
        <f>-2500*Escalation!$B$48</f>
        <v>-2653.02</v>
      </c>
      <c r="AX77" s="8">
        <f>-2500*Escalation!$B$49</f>
        <v>-2653.02</v>
      </c>
      <c r="AY77" s="8">
        <f>-2500*Escalation!$B$50</f>
        <v>-2706.0803999999998</v>
      </c>
      <c r="AZ77" s="8">
        <f>-2500*Escalation!$B$51</f>
        <v>-2706.0803999999998</v>
      </c>
      <c r="BA77" s="8">
        <f>-2500*Escalation!$B$52</f>
        <v>-2706.0803999999998</v>
      </c>
      <c r="BB77" s="8">
        <f>-2500*Escalation!$B$53</f>
        <v>-2706.0803999999998</v>
      </c>
      <c r="BC77" s="8">
        <f>-2500*Escalation!$B$54</f>
        <v>-2706.0803999999998</v>
      </c>
      <c r="BD77" s="8">
        <f>-2500*Escalation!$B$55</f>
        <v>-2706.0803999999998</v>
      </c>
      <c r="BE77" s="8">
        <f>-2500*Escalation!$B$56</f>
        <v>-2706.0803999999998</v>
      </c>
      <c r="BF77" s="8">
        <f>-2500*Escalation!$B$57</f>
        <v>-2706.0803999999998</v>
      </c>
      <c r="BG77" s="8">
        <f>-2500*Escalation!$B$58</f>
        <v>-2706.0803999999998</v>
      </c>
      <c r="BH77" s="8">
        <f>-2500*Escalation!$B$59</f>
        <v>-2706.0803999999998</v>
      </c>
      <c r="BI77" s="8">
        <f>-2500*Escalation!$B$60</f>
        <v>-2706.0803999999998</v>
      </c>
      <c r="BJ77" s="8">
        <f>-2500*Escalation!$B$61</f>
        <v>-2706.0803999999998</v>
      </c>
      <c r="BK77" s="8">
        <f>-2500*Escalation!$B$62</f>
        <v>-2760.2020080000002</v>
      </c>
      <c r="BL77" s="8">
        <f>-2500*Escalation!$B$63</f>
        <v>-2760.2020080000002</v>
      </c>
      <c r="BM77" s="8">
        <f>-2500*Escalation!$B$64</f>
        <v>-2760.2020080000002</v>
      </c>
      <c r="BN77" s="8">
        <f>-2500*Escalation!$B$65</f>
        <v>-2760.2020080000002</v>
      </c>
      <c r="BO77" s="8">
        <f>-2500*Escalation!$B$66</f>
        <v>-2760.2020080000002</v>
      </c>
      <c r="BP77" s="8">
        <f>-2500*Escalation!$B$67</f>
        <v>-2760.2020080000002</v>
      </c>
      <c r="BQ77" s="8">
        <f>-2500*Escalation!$B$68</f>
        <v>-2760.2020080000002</v>
      </c>
      <c r="BR77" s="8">
        <f>-2500*Escalation!$B$69</f>
        <v>-2760.2020080000002</v>
      </c>
      <c r="BS77" s="8">
        <f>-2500*Escalation!$B$70</f>
        <v>-2760.2020080000002</v>
      </c>
      <c r="BT77" s="8">
        <f>-2500*Escalation!$B$71</f>
        <v>-2760.2020080000002</v>
      </c>
      <c r="BU77" s="8">
        <f>-2500*Escalation!$B$72</f>
        <v>-2760.2020080000002</v>
      </c>
      <c r="BV77" s="8">
        <f>-2500*Escalation!$B$73</f>
        <v>-2760.2020080000002</v>
      </c>
      <c r="BW77" s="8">
        <f>-2500*Escalation!$B$74</f>
        <v>-2815.40604816</v>
      </c>
      <c r="BX77" s="8">
        <f>-2500*Escalation!$B$75</f>
        <v>-2815.40604816</v>
      </c>
      <c r="BY77" s="8">
        <f>-2500*Escalation!$B$76</f>
        <v>-2815.40604816</v>
      </c>
      <c r="BZ77" s="8">
        <f>-2500*Escalation!$B$77</f>
        <v>-2815.40604816</v>
      </c>
      <c r="CA77" s="8">
        <f>-2500*Escalation!$B$78</f>
        <v>-2815.40604816</v>
      </c>
      <c r="CB77" s="8">
        <f>-2500*Escalation!$B$79</f>
        <v>-2815.40604816</v>
      </c>
      <c r="CC77" s="8">
        <f>-2500*Escalation!$B$80</f>
        <v>-2815.40604816</v>
      </c>
      <c r="CD77" s="8">
        <f>-2500*Escalation!$B$81</f>
        <v>-2815.40604816</v>
      </c>
      <c r="CE77" s="8">
        <f>-2500*Escalation!$B$82</f>
        <v>-2815.40604816</v>
      </c>
      <c r="CF77" s="8">
        <f>-2500*Escalation!$B$83</f>
        <v>-2815.40604816</v>
      </c>
      <c r="CG77" s="8">
        <f>-2500*Escalation!$B$84</f>
        <v>-2815.40604816</v>
      </c>
      <c r="CH77" s="8">
        <f>-2500*Escalation!$B$85</f>
        <v>-2815.40604816</v>
      </c>
      <c r="CI77" s="23"/>
    </row>
    <row r="78" spans="1:87" ht="15" customHeight="1" x14ac:dyDescent="0.25">
      <c r="A78" s="7" t="s">
        <v>183</v>
      </c>
      <c r="B78" s="22"/>
      <c r="C78" s="8">
        <v>0</v>
      </c>
      <c r="D78" s="8">
        <v>0</v>
      </c>
      <c r="E78" s="8">
        <v>0</v>
      </c>
      <c r="F78" s="8">
        <v>0</v>
      </c>
      <c r="G78" s="8">
        <v>0</v>
      </c>
      <c r="H78" s="8">
        <v>0</v>
      </c>
      <c r="I78" s="8">
        <v>0</v>
      </c>
      <c r="J78" s="8">
        <v>0</v>
      </c>
      <c r="K78" s="8">
        <f>-21000*Escalation!$B$10</f>
        <v>-21000</v>
      </c>
      <c r="L78" s="8">
        <v>0</v>
      </c>
      <c r="M78" s="8">
        <v>0</v>
      </c>
      <c r="N78" s="8">
        <v>0</v>
      </c>
      <c r="O78" s="8">
        <v>0</v>
      </c>
      <c r="P78" s="8">
        <v>0</v>
      </c>
      <c r="Q78" s="8">
        <v>0</v>
      </c>
      <c r="R78" s="8">
        <v>0</v>
      </c>
      <c r="S78" s="8">
        <v>0</v>
      </c>
      <c r="T78" s="8">
        <v>0</v>
      </c>
      <c r="U78" s="8">
        <v>0</v>
      </c>
      <c r="V78" s="8">
        <v>0</v>
      </c>
      <c r="W78" s="8">
        <f>-21000*Escalation!$B$22</f>
        <v>-21420</v>
      </c>
      <c r="X78" s="8">
        <v>0</v>
      </c>
      <c r="Y78" s="8">
        <v>0</v>
      </c>
      <c r="Z78" s="8">
        <v>0</v>
      </c>
      <c r="AA78" s="8">
        <v>0</v>
      </c>
      <c r="AB78" s="8">
        <v>0</v>
      </c>
      <c r="AC78" s="8">
        <v>0</v>
      </c>
      <c r="AD78" s="8">
        <v>0</v>
      </c>
      <c r="AE78" s="8">
        <v>0</v>
      </c>
      <c r="AF78" s="8">
        <v>0</v>
      </c>
      <c r="AG78" s="8">
        <v>0</v>
      </c>
      <c r="AH78" s="8">
        <v>0</v>
      </c>
      <c r="AI78" s="8">
        <f>-21000*Escalation!$B$34</f>
        <v>-21848.400000000001</v>
      </c>
      <c r="AJ78" s="8">
        <v>0</v>
      </c>
      <c r="AK78" s="8">
        <v>0</v>
      </c>
      <c r="AL78" s="8">
        <v>0</v>
      </c>
      <c r="AM78" s="8">
        <v>0</v>
      </c>
      <c r="AN78" s="8">
        <v>0</v>
      </c>
      <c r="AO78" s="8">
        <v>0</v>
      </c>
      <c r="AP78" s="8">
        <v>0</v>
      </c>
      <c r="AQ78" s="8">
        <v>0</v>
      </c>
      <c r="AR78" s="8">
        <v>0</v>
      </c>
      <c r="AS78" s="8">
        <v>0</v>
      </c>
      <c r="AT78" s="8">
        <v>0</v>
      </c>
      <c r="AU78" s="8">
        <f>-21000*Escalation!$B$46</f>
        <v>-22285.367999999999</v>
      </c>
      <c r="AV78" s="8">
        <v>0</v>
      </c>
      <c r="AW78" s="8">
        <v>0</v>
      </c>
      <c r="AX78" s="8">
        <v>0</v>
      </c>
      <c r="AY78" s="8">
        <v>0</v>
      </c>
      <c r="AZ78" s="8">
        <v>0</v>
      </c>
      <c r="BA78" s="8">
        <v>0</v>
      </c>
      <c r="BB78" s="8">
        <v>0</v>
      </c>
      <c r="BC78" s="8">
        <v>0</v>
      </c>
      <c r="BD78" s="8">
        <v>0</v>
      </c>
      <c r="BE78" s="8">
        <v>0</v>
      </c>
      <c r="BF78" s="8">
        <v>0</v>
      </c>
      <c r="BG78" s="8">
        <f>-21000*Escalation!$B$58</f>
        <v>-22731.075359999999</v>
      </c>
      <c r="BH78" s="8">
        <v>0</v>
      </c>
      <c r="BI78" s="8">
        <v>0</v>
      </c>
      <c r="BJ78" s="8">
        <v>0</v>
      </c>
      <c r="BK78" s="8">
        <v>0</v>
      </c>
      <c r="BL78" s="8">
        <v>0</v>
      </c>
      <c r="BM78" s="8">
        <v>0</v>
      </c>
      <c r="BN78" s="8">
        <v>0</v>
      </c>
      <c r="BO78" s="8">
        <v>0</v>
      </c>
      <c r="BP78" s="8">
        <v>0</v>
      </c>
      <c r="BQ78" s="8">
        <v>0</v>
      </c>
      <c r="BR78" s="8">
        <v>0</v>
      </c>
      <c r="BS78" s="8">
        <f>-21000*Escalation!$B$70</f>
        <v>-23185.6968672</v>
      </c>
      <c r="BT78" s="8">
        <v>0</v>
      </c>
      <c r="BU78" s="8">
        <v>0</v>
      </c>
      <c r="BV78" s="8">
        <v>0</v>
      </c>
      <c r="BW78" s="8">
        <v>0</v>
      </c>
      <c r="BX78" s="8">
        <v>0</v>
      </c>
      <c r="BY78" s="8">
        <v>0</v>
      </c>
      <c r="BZ78" s="8">
        <v>0</v>
      </c>
      <c r="CA78" s="8">
        <v>0</v>
      </c>
      <c r="CB78" s="8">
        <v>0</v>
      </c>
      <c r="CC78" s="8">
        <v>0</v>
      </c>
      <c r="CD78" s="8">
        <v>0</v>
      </c>
      <c r="CE78" s="8">
        <f>-21000*Escalation!$B$82</f>
        <v>-23649.410804544001</v>
      </c>
      <c r="CF78" s="8">
        <v>0</v>
      </c>
      <c r="CG78" s="8">
        <v>0</v>
      </c>
      <c r="CH78" s="8">
        <v>0</v>
      </c>
      <c r="CI78" s="23"/>
    </row>
    <row r="79" spans="1:87" ht="15" customHeight="1" x14ac:dyDescent="0.25">
      <c r="A79" s="7" t="s">
        <v>184</v>
      </c>
      <c r="B79" s="22"/>
      <c r="C79" s="8">
        <v>0</v>
      </c>
      <c r="D79" s="8">
        <v>0</v>
      </c>
      <c r="E79" s="8">
        <v>0</v>
      </c>
      <c r="F79" s="8">
        <f>-23000*Escalation!$B$5</f>
        <v>-23000</v>
      </c>
      <c r="G79" s="8">
        <v>0</v>
      </c>
      <c r="H79" s="8">
        <v>0</v>
      </c>
      <c r="I79" s="8">
        <v>0</v>
      </c>
      <c r="J79" s="8">
        <v>0</v>
      </c>
      <c r="K79" s="8">
        <v>0</v>
      </c>
      <c r="L79" s="8">
        <v>0</v>
      </c>
      <c r="M79" s="8">
        <v>0</v>
      </c>
      <c r="N79" s="8">
        <v>0</v>
      </c>
      <c r="O79" s="8">
        <v>0</v>
      </c>
      <c r="P79" s="8">
        <v>0</v>
      </c>
      <c r="Q79" s="8">
        <v>0</v>
      </c>
      <c r="R79" s="8">
        <f>-23000*Escalation!$B$17</f>
        <v>-23460</v>
      </c>
      <c r="S79" s="8">
        <v>0</v>
      </c>
      <c r="T79" s="8">
        <v>0</v>
      </c>
      <c r="U79" s="8">
        <v>0</v>
      </c>
      <c r="V79" s="8">
        <v>0</v>
      </c>
      <c r="W79" s="8">
        <v>0</v>
      </c>
      <c r="X79" s="8">
        <v>0</v>
      </c>
      <c r="Y79" s="8">
        <v>0</v>
      </c>
      <c r="Z79" s="8">
        <v>0</v>
      </c>
      <c r="AA79" s="8">
        <v>0</v>
      </c>
      <c r="AB79" s="8">
        <v>0</v>
      </c>
      <c r="AC79" s="8">
        <v>0</v>
      </c>
      <c r="AD79" s="8">
        <f>-23000*Escalation!$B$29</f>
        <v>-23929.200000000001</v>
      </c>
      <c r="AE79" s="8">
        <v>0</v>
      </c>
      <c r="AF79" s="8">
        <v>0</v>
      </c>
      <c r="AG79" s="8">
        <v>0</v>
      </c>
      <c r="AH79" s="8">
        <v>0</v>
      </c>
      <c r="AI79" s="8">
        <v>0</v>
      </c>
      <c r="AJ79" s="8">
        <v>0</v>
      </c>
      <c r="AK79" s="8">
        <v>0</v>
      </c>
      <c r="AL79" s="8">
        <v>0</v>
      </c>
      <c r="AM79" s="8">
        <v>0</v>
      </c>
      <c r="AN79" s="8">
        <v>0</v>
      </c>
      <c r="AO79" s="8">
        <v>0</v>
      </c>
      <c r="AP79" s="8">
        <f>-23000*Escalation!$B$41</f>
        <v>-24407.784</v>
      </c>
      <c r="AQ79" s="8">
        <v>0</v>
      </c>
      <c r="AR79" s="8">
        <v>0</v>
      </c>
      <c r="AS79" s="8">
        <v>0</v>
      </c>
      <c r="AT79" s="8">
        <v>0</v>
      </c>
      <c r="AU79" s="8">
        <v>0</v>
      </c>
      <c r="AV79" s="8">
        <v>0</v>
      </c>
      <c r="AW79" s="8">
        <v>0</v>
      </c>
      <c r="AX79" s="8">
        <v>0</v>
      </c>
      <c r="AY79" s="8">
        <v>0</v>
      </c>
      <c r="AZ79" s="8">
        <v>0</v>
      </c>
      <c r="BA79" s="8">
        <v>0</v>
      </c>
      <c r="BB79" s="8">
        <f>-23000*Escalation!$B$53</f>
        <v>-24895.939679999999</v>
      </c>
      <c r="BC79" s="8">
        <v>0</v>
      </c>
      <c r="BD79" s="8">
        <v>0</v>
      </c>
      <c r="BE79" s="8">
        <v>0</v>
      </c>
      <c r="BF79" s="8">
        <v>0</v>
      </c>
      <c r="BG79" s="8">
        <v>0</v>
      </c>
      <c r="BH79" s="8">
        <v>0</v>
      </c>
      <c r="BI79" s="8">
        <v>0</v>
      </c>
      <c r="BJ79" s="8">
        <v>0</v>
      </c>
      <c r="BK79" s="8">
        <v>0</v>
      </c>
      <c r="BL79" s="8">
        <v>0</v>
      </c>
      <c r="BM79" s="8">
        <v>0</v>
      </c>
      <c r="BN79" s="8">
        <f>-23000*Escalation!$B$65</f>
        <v>-25393.858473600001</v>
      </c>
      <c r="BO79" s="8">
        <v>0</v>
      </c>
      <c r="BP79" s="8">
        <v>0</v>
      </c>
      <c r="BQ79" s="8">
        <v>0</v>
      </c>
      <c r="BR79" s="8">
        <v>0</v>
      </c>
      <c r="BS79" s="8">
        <v>0</v>
      </c>
      <c r="BT79" s="8">
        <v>0</v>
      </c>
      <c r="BU79" s="8">
        <v>0</v>
      </c>
      <c r="BV79" s="8">
        <v>0</v>
      </c>
      <c r="BW79" s="8">
        <v>0</v>
      </c>
      <c r="BX79" s="8">
        <v>0</v>
      </c>
      <c r="BY79" s="8">
        <v>0</v>
      </c>
      <c r="BZ79" s="8">
        <f>-23000*Escalation!$B$77</f>
        <v>-25901.735643072003</v>
      </c>
      <c r="CA79" s="8">
        <v>0</v>
      </c>
      <c r="CB79" s="8">
        <v>0</v>
      </c>
      <c r="CC79" s="8">
        <v>0</v>
      </c>
      <c r="CD79" s="8">
        <v>0</v>
      </c>
      <c r="CE79" s="8">
        <v>0</v>
      </c>
      <c r="CF79" s="8">
        <v>0</v>
      </c>
      <c r="CG79" s="8">
        <v>0</v>
      </c>
      <c r="CH79" s="8">
        <v>0</v>
      </c>
      <c r="CI79" s="23"/>
    </row>
    <row r="80" spans="1:87" ht="15" customHeight="1" x14ac:dyDescent="0.25">
      <c r="A80" s="7" t="s">
        <v>185</v>
      </c>
      <c r="B80" s="22"/>
      <c r="C80" s="8">
        <f>-(IF(AND(Projects!$G$2="Yes",Projects!$J$2="Yes",Projects!$K$2="No",1=Projects!$C$2),Projects!$B$2*Assumptions!$B$47,0)+IF(AND(Projects!$G$3="Yes",Projects!$J$3="Yes",Projects!$K$3="No",1=Projects!$C$3),Projects!$B$3*Assumptions!$B$47,0)+IF(AND(Projects!$G$4="Yes",Projects!$J$4="Yes",Projects!$K$4="No",1=Projects!$C$4),Projects!$B$4*Assumptions!$B$47,0)+IF(AND(Projects!$G$5="Yes",Projects!$J$5="Yes",Projects!$K$5="No",1=Projects!$C$5),Projects!$B$5*Assumptions!$B$47,0)+IF(AND(Projects!$G$6="Yes",Projects!$J$6="Yes",Projects!$K$6="No",1=Projects!$C$6),Projects!$B$6*Assumptions!$B$47,0)+IF(AND(Projects!$G$7="Yes",Projects!$J$7="Yes",Projects!$K$7="No",1=Projects!$C$7),Projects!$B$7*Assumptions!$B$47,0)+IF(AND(Projects!$G$8="Yes",Projects!$J$8="Yes",Projects!$K$8="No",1=Projects!$C$8),Projects!$B$8*Assumptions!$B$47,0)+IF(AND(Projects!$G$9="Yes",Projects!$J$9="Yes",Projects!$K$9="No",1=Projects!$C$9),Projects!$B$9*Assumptions!$B$47,0)+IF(AND(Projects!$G$10="Yes",Projects!$J$10="Yes",Projects!$K$10="No",1=Projects!$C$10),Projects!$B$10*Assumptions!$B$47,0)+IF(AND(Projects!$G$11="Yes",Projects!$J$11="Yes",Projects!$K$11="No",1=Projects!$C$11),Projects!$B$11*Assumptions!$B$47,0)+IF(AND(Projects!$G$12="Yes",Projects!$J$12="Yes",Projects!$K$12="No",1=Projects!$C$12),Projects!$B$12*Assumptions!$B$47,0)+IF(AND(Projects!$G$13="Yes",Projects!$J$13="Yes",Projects!$K$13="No",1=Projects!$C$13),Projects!$B$13*Assumptions!$B$47,0)+IF(AND(Projects!$G$14="Yes",Projects!$J$14="Yes",Projects!$K$14="No",1=Projects!$C$14),Projects!$B$14*Assumptions!$B$47,0))</f>
        <v>0</v>
      </c>
      <c r="D80" s="8">
        <f>-(IF(AND(Projects!$G$2="Yes",Projects!$J$2="Yes",Projects!$K$2="No",2=Projects!$C$2),Projects!$B$2*Assumptions!$B$47,0)+IF(AND(Projects!$G$3="Yes",Projects!$J$3="Yes",Projects!$K$3="No",2=Projects!$C$3),Projects!$B$3*Assumptions!$B$47,0)+IF(AND(Projects!$G$4="Yes",Projects!$J$4="Yes",Projects!$K$4="No",2=Projects!$C$4),Projects!$B$4*Assumptions!$B$47,0)+IF(AND(Projects!$G$5="Yes",Projects!$J$5="Yes",Projects!$K$5="No",2=Projects!$C$5),Projects!$B$5*Assumptions!$B$47,0)+IF(AND(Projects!$G$6="Yes",Projects!$J$6="Yes",Projects!$K$6="No",2=Projects!$C$6),Projects!$B$6*Assumptions!$B$47,0)+IF(AND(Projects!$G$7="Yes",Projects!$J$7="Yes",Projects!$K$7="No",2=Projects!$C$7),Projects!$B$7*Assumptions!$B$47,0)+IF(AND(Projects!$G$8="Yes",Projects!$J$8="Yes",Projects!$K$8="No",2=Projects!$C$8),Projects!$B$8*Assumptions!$B$47,0)+IF(AND(Projects!$G$9="Yes",Projects!$J$9="Yes",Projects!$K$9="No",2=Projects!$C$9),Projects!$B$9*Assumptions!$B$47,0)+IF(AND(Projects!$G$10="Yes",Projects!$J$10="Yes",Projects!$K$10="No",2=Projects!$C$10),Projects!$B$10*Assumptions!$B$47,0)+IF(AND(Projects!$G$11="Yes",Projects!$J$11="Yes",Projects!$K$11="No",2=Projects!$C$11),Projects!$B$11*Assumptions!$B$47,0)+IF(AND(Projects!$G$12="Yes",Projects!$J$12="Yes",Projects!$K$12="No",2=Projects!$C$12),Projects!$B$12*Assumptions!$B$47,0)+IF(AND(Projects!$G$13="Yes",Projects!$J$13="Yes",Projects!$K$13="No",2=Projects!$C$13),Projects!$B$13*Assumptions!$B$47,0)+IF(AND(Projects!$G$14="Yes",Projects!$J$14="Yes",Projects!$K$14="No",2=Projects!$C$14),Projects!$B$14*Assumptions!$B$47,0))</f>
        <v>0</v>
      </c>
      <c r="E80" s="8">
        <f>-(IF(AND(Projects!$G$2="Yes",Projects!$J$2="Yes",Projects!$K$2="No",3=Projects!$C$2),Projects!$B$2*Assumptions!$B$47,0)+IF(AND(Projects!$G$3="Yes",Projects!$J$3="Yes",Projects!$K$3="No",3=Projects!$C$3),Projects!$B$3*Assumptions!$B$47,0)+IF(AND(Projects!$G$4="Yes",Projects!$J$4="Yes",Projects!$K$4="No",3=Projects!$C$4),Projects!$B$4*Assumptions!$B$47,0)+IF(AND(Projects!$G$5="Yes",Projects!$J$5="Yes",Projects!$K$5="No",3=Projects!$C$5),Projects!$B$5*Assumptions!$B$47,0)+IF(AND(Projects!$G$6="Yes",Projects!$J$6="Yes",Projects!$K$6="No",3=Projects!$C$6),Projects!$B$6*Assumptions!$B$47,0)+IF(AND(Projects!$G$7="Yes",Projects!$J$7="Yes",Projects!$K$7="No",3=Projects!$C$7),Projects!$B$7*Assumptions!$B$47,0)+IF(AND(Projects!$G$8="Yes",Projects!$J$8="Yes",Projects!$K$8="No",3=Projects!$C$8),Projects!$B$8*Assumptions!$B$47,0)+IF(AND(Projects!$G$9="Yes",Projects!$J$9="Yes",Projects!$K$9="No",3=Projects!$C$9),Projects!$B$9*Assumptions!$B$47,0)+IF(AND(Projects!$G$10="Yes",Projects!$J$10="Yes",Projects!$K$10="No",3=Projects!$C$10),Projects!$B$10*Assumptions!$B$47,0)+IF(AND(Projects!$G$11="Yes",Projects!$J$11="Yes",Projects!$K$11="No",3=Projects!$C$11),Projects!$B$11*Assumptions!$B$47,0)+IF(AND(Projects!$G$12="Yes",Projects!$J$12="Yes",Projects!$K$12="No",3=Projects!$C$12),Projects!$B$12*Assumptions!$B$47,0)+IF(AND(Projects!$G$13="Yes",Projects!$J$13="Yes",Projects!$K$13="No",3=Projects!$C$13),Projects!$B$13*Assumptions!$B$47,0)+IF(AND(Projects!$G$14="Yes",Projects!$J$14="Yes",Projects!$K$14="No",3=Projects!$C$14),Projects!$B$14*Assumptions!$B$47,0))</f>
        <v>0</v>
      </c>
      <c r="F80" s="8">
        <f>-(IF(AND(Projects!$G$2="Yes",Projects!$J$2="Yes",Projects!$K$2="No",4=Projects!$C$2),Projects!$B$2*Assumptions!$B$47,0)+IF(AND(Projects!$G$3="Yes",Projects!$J$3="Yes",Projects!$K$3="No",4=Projects!$C$3),Projects!$B$3*Assumptions!$B$47,0)+IF(AND(Projects!$G$4="Yes",Projects!$J$4="Yes",Projects!$K$4="No",4=Projects!$C$4),Projects!$B$4*Assumptions!$B$47,0)+IF(AND(Projects!$G$5="Yes",Projects!$J$5="Yes",Projects!$K$5="No",4=Projects!$C$5),Projects!$B$5*Assumptions!$B$47,0)+IF(AND(Projects!$G$6="Yes",Projects!$J$6="Yes",Projects!$K$6="No",4=Projects!$C$6),Projects!$B$6*Assumptions!$B$47,0)+IF(AND(Projects!$G$7="Yes",Projects!$J$7="Yes",Projects!$K$7="No",4=Projects!$C$7),Projects!$B$7*Assumptions!$B$47,0)+IF(AND(Projects!$G$8="Yes",Projects!$J$8="Yes",Projects!$K$8="No",4=Projects!$C$8),Projects!$B$8*Assumptions!$B$47,0)+IF(AND(Projects!$G$9="Yes",Projects!$J$9="Yes",Projects!$K$9="No",4=Projects!$C$9),Projects!$B$9*Assumptions!$B$47,0)+IF(AND(Projects!$G$10="Yes",Projects!$J$10="Yes",Projects!$K$10="No",4=Projects!$C$10),Projects!$B$10*Assumptions!$B$47,0)+IF(AND(Projects!$G$11="Yes",Projects!$J$11="Yes",Projects!$K$11="No",4=Projects!$C$11),Projects!$B$11*Assumptions!$B$47,0)+IF(AND(Projects!$G$12="Yes",Projects!$J$12="Yes",Projects!$K$12="No",4=Projects!$C$12),Projects!$B$12*Assumptions!$B$47,0)+IF(AND(Projects!$G$13="Yes",Projects!$J$13="Yes",Projects!$K$13="No",4=Projects!$C$13),Projects!$B$13*Assumptions!$B$47,0)+IF(AND(Projects!$G$14="Yes",Projects!$J$14="Yes",Projects!$K$14="No",4=Projects!$C$14),Projects!$B$14*Assumptions!$B$47,0))</f>
        <v>0</v>
      </c>
      <c r="G80" s="8">
        <f>-(IF(AND(Projects!$G$2="Yes",Projects!$J$2="Yes",Projects!$K$2="No",5=Projects!$C$2),Projects!$B$2*Assumptions!$B$47,0)+IF(AND(Projects!$G$3="Yes",Projects!$J$3="Yes",Projects!$K$3="No",5=Projects!$C$3),Projects!$B$3*Assumptions!$B$47,0)+IF(AND(Projects!$G$4="Yes",Projects!$J$4="Yes",Projects!$K$4="No",5=Projects!$C$4),Projects!$B$4*Assumptions!$B$47,0)+IF(AND(Projects!$G$5="Yes",Projects!$J$5="Yes",Projects!$K$5="No",5=Projects!$C$5),Projects!$B$5*Assumptions!$B$47,0)+IF(AND(Projects!$G$6="Yes",Projects!$J$6="Yes",Projects!$K$6="No",5=Projects!$C$6),Projects!$B$6*Assumptions!$B$47,0)+IF(AND(Projects!$G$7="Yes",Projects!$J$7="Yes",Projects!$K$7="No",5=Projects!$C$7),Projects!$B$7*Assumptions!$B$47,0)+IF(AND(Projects!$G$8="Yes",Projects!$J$8="Yes",Projects!$K$8="No",5=Projects!$C$8),Projects!$B$8*Assumptions!$B$47,0)+IF(AND(Projects!$G$9="Yes",Projects!$J$9="Yes",Projects!$K$9="No",5=Projects!$C$9),Projects!$B$9*Assumptions!$B$47,0)+IF(AND(Projects!$G$10="Yes",Projects!$J$10="Yes",Projects!$K$10="No",5=Projects!$C$10),Projects!$B$10*Assumptions!$B$47,0)+IF(AND(Projects!$G$11="Yes",Projects!$J$11="Yes",Projects!$K$11="No",5=Projects!$C$11),Projects!$B$11*Assumptions!$B$47,0)+IF(AND(Projects!$G$12="Yes",Projects!$J$12="Yes",Projects!$K$12="No",5=Projects!$C$12),Projects!$B$12*Assumptions!$B$47,0)+IF(AND(Projects!$G$13="Yes",Projects!$J$13="Yes",Projects!$K$13="No",5=Projects!$C$13),Projects!$B$13*Assumptions!$B$47,0)+IF(AND(Projects!$G$14="Yes",Projects!$J$14="Yes",Projects!$K$14="No",5=Projects!$C$14),Projects!$B$14*Assumptions!$B$47,0))</f>
        <v>0</v>
      </c>
      <c r="H80" s="8">
        <f>-(IF(AND(Projects!$G$2="Yes",Projects!$J$2="Yes",Projects!$K$2="No",6=Projects!$C$2),Projects!$B$2*Assumptions!$B$47,0)+IF(AND(Projects!$G$3="Yes",Projects!$J$3="Yes",Projects!$K$3="No",6=Projects!$C$3),Projects!$B$3*Assumptions!$B$47,0)+IF(AND(Projects!$G$4="Yes",Projects!$J$4="Yes",Projects!$K$4="No",6=Projects!$C$4),Projects!$B$4*Assumptions!$B$47,0)+IF(AND(Projects!$G$5="Yes",Projects!$J$5="Yes",Projects!$K$5="No",6=Projects!$C$5),Projects!$B$5*Assumptions!$B$47,0)+IF(AND(Projects!$G$6="Yes",Projects!$J$6="Yes",Projects!$K$6="No",6=Projects!$C$6),Projects!$B$6*Assumptions!$B$47,0)+IF(AND(Projects!$G$7="Yes",Projects!$J$7="Yes",Projects!$K$7="No",6=Projects!$C$7),Projects!$B$7*Assumptions!$B$47,0)+IF(AND(Projects!$G$8="Yes",Projects!$J$8="Yes",Projects!$K$8="No",6=Projects!$C$8),Projects!$B$8*Assumptions!$B$47,0)+IF(AND(Projects!$G$9="Yes",Projects!$J$9="Yes",Projects!$K$9="No",6=Projects!$C$9),Projects!$B$9*Assumptions!$B$47,0)+IF(AND(Projects!$G$10="Yes",Projects!$J$10="Yes",Projects!$K$10="No",6=Projects!$C$10),Projects!$B$10*Assumptions!$B$47,0)+IF(AND(Projects!$G$11="Yes",Projects!$J$11="Yes",Projects!$K$11="No",6=Projects!$C$11),Projects!$B$11*Assumptions!$B$47,0)+IF(AND(Projects!$G$12="Yes",Projects!$J$12="Yes",Projects!$K$12="No",6=Projects!$C$12),Projects!$B$12*Assumptions!$B$47,0)+IF(AND(Projects!$G$13="Yes",Projects!$J$13="Yes",Projects!$K$13="No",6=Projects!$C$13),Projects!$B$13*Assumptions!$B$47,0)+IF(AND(Projects!$G$14="Yes",Projects!$J$14="Yes",Projects!$K$14="No",6=Projects!$C$14),Projects!$B$14*Assumptions!$B$47,0))</f>
        <v>0</v>
      </c>
      <c r="I80" s="8">
        <f>-(IF(AND(Projects!$G$2="Yes",Projects!$J$2="Yes",Projects!$K$2="No",7=Projects!$C$2),Projects!$B$2*Assumptions!$B$47,0)+IF(AND(Projects!$G$3="Yes",Projects!$J$3="Yes",Projects!$K$3="No",7=Projects!$C$3),Projects!$B$3*Assumptions!$B$47,0)+IF(AND(Projects!$G$4="Yes",Projects!$J$4="Yes",Projects!$K$4="No",7=Projects!$C$4),Projects!$B$4*Assumptions!$B$47,0)+IF(AND(Projects!$G$5="Yes",Projects!$J$5="Yes",Projects!$K$5="No",7=Projects!$C$5),Projects!$B$5*Assumptions!$B$47,0)+IF(AND(Projects!$G$6="Yes",Projects!$J$6="Yes",Projects!$K$6="No",7=Projects!$C$6),Projects!$B$6*Assumptions!$B$47,0)+IF(AND(Projects!$G$7="Yes",Projects!$J$7="Yes",Projects!$K$7="No",7=Projects!$C$7),Projects!$B$7*Assumptions!$B$47,0)+IF(AND(Projects!$G$8="Yes",Projects!$J$8="Yes",Projects!$K$8="No",7=Projects!$C$8),Projects!$B$8*Assumptions!$B$47,0)+IF(AND(Projects!$G$9="Yes",Projects!$J$9="Yes",Projects!$K$9="No",7=Projects!$C$9),Projects!$B$9*Assumptions!$B$47,0)+IF(AND(Projects!$G$10="Yes",Projects!$J$10="Yes",Projects!$K$10="No",7=Projects!$C$10),Projects!$B$10*Assumptions!$B$47,0)+IF(AND(Projects!$G$11="Yes",Projects!$J$11="Yes",Projects!$K$11="No",7=Projects!$C$11),Projects!$B$11*Assumptions!$B$47,0)+IF(AND(Projects!$G$12="Yes",Projects!$J$12="Yes",Projects!$K$12="No",7=Projects!$C$12),Projects!$B$12*Assumptions!$B$47,0)+IF(AND(Projects!$G$13="Yes",Projects!$J$13="Yes",Projects!$K$13="No",7=Projects!$C$13),Projects!$B$13*Assumptions!$B$47,0)+IF(AND(Projects!$G$14="Yes",Projects!$J$14="Yes",Projects!$K$14="No",7=Projects!$C$14),Projects!$B$14*Assumptions!$B$47,0))</f>
        <v>0</v>
      </c>
      <c r="J80" s="8">
        <f>-(IF(AND(Projects!$G$2="Yes",Projects!$J$2="Yes",Projects!$K$2="No",8=Projects!$C$2),Projects!$B$2*Assumptions!$B$47,0)+IF(AND(Projects!$G$3="Yes",Projects!$J$3="Yes",Projects!$K$3="No",8=Projects!$C$3),Projects!$B$3*Assumptions!$B$47,0)+IF(AND(Projects!$G$4="Yes",Projects!$J$4="Yes",Projects!$K$4="No",8=Projects!$C$4),Projects!$B$4*Assumptions!$B$47,0)+IF(AND(Projects!$G$5="Yes",Projects!$J$5="Yes",Projects!$K$5="No",8=Projects!$C$5),Projects!$B$5*Assumptions!$B$47,0)+IF(AND(Projects!$G$6="Yes",Projects!$J$6="Yes",Projects!$K$6="No",8=Projects!$C$6),Projects!$B$6*Assumptions!$B$47,0)+IF(AND(Projects!$G$7="Yes",Projects!$J$7="Yes",Projects!$K$7="No",8=Projects!$C$7),Projects!$B$7*Assumptions!$B$47,0)+IF(AND(Projects!$G$8="Yes",Projects!$J$8="Yes",Projects!$K$8="No",8=Projects!$C$8),Projects!$B$8*Assumptions!$B$47,0)+IF(AND(Projects!$G$9="Yes",Projects!$J$9="Yes",Projects!$K$9="No",8=Projects!$C$9),Projects!$B$9*Assumptions!$B$47,0)+IF(AND(Projects!$G$10="Yes",Projects!$J$10="Yes",Projects!$K$10="No",8=Projects!$C$10),Projects!$B$10*Assumptions!$B$47,0)+IF(AND(Projects!$G$11="Yes",Projects!$J$11="Yes",Projects!$K$11="No",8=Projects!$C$11),Projects!$B$11*Assumptions!$B$47,0)+IF(AND(Projects!$G$12="Yes",Projects!$J$12="Yes",Projects!$K$12="No",8=Projects!$C$12),Projects!$B$12*Assumptions!$B$47,0)+IF(AND(Projects!$G$13="Yes",Projects!$J$13="Yes",Projects!$K$13="No",8=Projects!$C$13),Projects!$B$13*Assumptions!$B$47,0)+IF(AND(Projects!$G$14="Yes",Projects!$J$14="Yes",Projects!$K$14="No",8=Projects!$C$14),Projects!$B$14*Assumptions!$B$47,0))</f>
        <v>0</v>
      </c>
      <c r="K80" s="8">
        <f>-(IF(AND(Projects!$G$2="Yes",Projects!$J$2="Yes",Projects!$K$2="No",9=Projects!$C$2),Projects!$B$2*Assumptions!$B$47,0)+IF(AND(Projects!$G$3="Yes",Projects!$J$3="Yes",Projects!$K$3="No",9=Projects!$C$3),Projects!$B$3*Assumptions!$B$47,0)+IF(AND(Projects!$G$4="Yes",Projects!$J$4="Yes",Projects!$K$4="No",9=Projects!$C$4),Projects!$B$4*Assumptions!$B$47,0)+IF(AND(Projects!$G$5="Yes",Projects!$J$5="Yes",Projects!$K$5="No",9=Projects!$C$5),Projects!$B$5*Assumptions!$B$47,0)+IF(AND(Projects!$G$6="Yes",Projects!$J$6="Yes",Projects!$K$6="No",9=Projects!$C$6),Projects!$B$6*Assumptions!$B$47,0)+IF(AND(Projects!$G$7="Yes",Projects!$J$7="Yes",Projects!$K$7="No",9=Projects!$C$7),Projects!$B$7*Assumptions!$B$47,0)+IF(AND(Projects!$G$8="Yes",Projects!$J$8="Yes",Projects!$K$8="No",9=Projects!$C$8),Projects!$B$8*Assumptions!$B$47,0)+IF(AND(Projects!$G$9="Yes",Projects!$J$9="Yes",Projects!$K$9="No",9=Projects!$C$9),Projects!$B$9*Assumptions!$B$47,0)+IF(AND(Projects!$G$10="Yes",Projects!$J$10="Yes",Projects!$K$10="No",9=Projects!$C$10),Projects!$B$10*Assumptions!$B$47,0)+IF(AND(Projects!$G$11="Yes",Projects!$J$11="Yes",Projects!$K$11="No",9=Projects!$C$11),Projects!$B$11*Assumptions!$B$47,0)+IF(AND(Projects!$G$12="Yes",Projects!$J$12="Yes",Projects!$K$12="No",9=Projects!$C$12),Projects!$B$12*Assumptions!$B$47,0)+IF(AND(Projects!$G$13="Yes",Projects!$J$13="Yes",Projects!$K$13="No",9=Projects!$C$13),Projects!$B$13*Assumptions!$B$47,0)+IF(AND(Projects!$G$14="Yes",Projects!$J$14="Yes",Projects!$K$14="No",9=Projects!$C$14),Projects!$B$14*Assumptions!$B$47,0))</f>
        <v>0</v>
      </c>
      <c r="L80" s="8">
        <f>-(IF(AND(Projects!$G$2="Yes",Projects!$J$2="Yes",Projects!$K$2="No",10=Projects!$C$2),Projects!$B$2*Assumptions!$B$47,0)+IF(AND(Projects!$G$3="Yes",Projects!$J$3="Yes",Projects!$K$3="No",10=Projects!$C$3),Projects!$B$3*Assumptions!$B$47,0)+IF(AND(Projects!$G$4="Yes",Projects!$J$4="Yes",Projects!$K$4="No",10=Projects!$C$4),Projects!$B$4*Assumptions!$B$47,0)+IF(AND(Projects!$G$5="Yes",Projects!$J$5="Yes",Projects!$K$5="No",10=Projects!$C$5),Projects!$B$5*Assumptions!$B$47,0)+IF(AND(Projects!$G$6="Yes",Projects!$J$6="Yes",Projects!$K$6="No",10=Projects!$C$6),Projects!$B$6*Assumptions!$B$47,0)+IF(AND(Projects!$G$7="Yes",Projects!$J$7="Yes",Projects!$K$7="No",10=Projects!$C$7),Projects!$B$7*Assumptions!$B$47,0)+IF(AND(Projects!$G$8="Yes",Projects!$J$8="Yes",Projects!$K$8="No",10=Projects!$C$8),Projects!$B$8*Assumptions!$B$47,0)+IF(AND(Projects!$G$9="Yes",Projects!$J$9="Yes",Projects!$K$9="No",10=Projects!$C$9),Projects!$B$9*Assumptions!$B$47,0)+IF(AND(Projects!$G$10="Yes",Projects!$J$10="Yes",Projects!$K$10="No",10=Projects!$C$10),Projects!$B$10*Assumptions!$B$47,0)+IF(AND(Projects!$G$11="Yes",Projects!$J$11="Yes",Projects!$K$11="No",10=Projects!$C$11),Projects!$B$11*Assumptions!$B$47,0)+IF(AND(Projects!$G$12="Yes",Projects!$J$12="Yes",Projects!$K$12="No",10=Projects!$C$12),Projects!$B$12*Assumptions!$B$47,0)+IF(AND(Projects!$G$13="Yes",Projects!$J$13="Yes",Projects!$K$13="No",10=Projects!$C$13),Projects!$B$13*Assumptions!$B$47,0)+IF(AND(Projects!$G$14="Yes",Projects!$J$14="Yes",Projects!$K$14="No",10=Projects!$C$14),Projects!$B$14*Assumptions!$B$47,0))</f>
        <v>0</v>
      </c>
      <c r="M80" s="8">
        <f>-(IF(AND(Projects!$G$2="Yes",Projects!$J$2="Yes",Projects!$K$2="No",11=Projects!$C$2),Projects!$B$2*Assumptions!$B$47,0)+IF(AND(Projects!$G$3="Yes",Projects!$J$3="Yes",Projects!$K$3="No",11=Projects!$C$3),Projects!$B$3*Assumptions!$B$47,0)+IF(AND(Projects!$G$4="Yes",Projects!$J$4="Yes",Projects!$K$4="No",11=Projects!$C$4),Projects!$B$4*Assumptions!$B$47,0)+IF(AND(Projects!$G$5="Yes",Projects!$J$5="Yes",Projects!$K$5="No",11=Projects!$C$5),Projects!$B$5*Assumptions!$B$47,0)+IF(AND(Projects!$G$6="Yes",Projects!$J$6="Yes",Projects!$K$6="No",11=Projects!$C$6),Projects!$B$6*Assumptions!$B$47,0)+IF(AND(Projects!$G$7="Yes",Projects!$J$7="Yes",Projects!$K$7="No",11=Projects!$C$7),Projects!$B$7*Assumptions!$B$47,0)+IF(AND(Projects!$G$8="Yes",Projects!$J$8="Yes",Projects!$K$8="No",11=Projects!$C$8),Projects!$B$8*Assumptions!$B$47,0)+IF(AND(Projects!$G$9="Yes",Projects!$J$9="Yes",Projects!$K$9="No",11=Projects!$C$9),Projects!$B$9*Assumptions!$B$47,0)+IF(AND(Projects!$G$10="Yes",Projects!$J$10="Yes",Projects!$K$10="No",11=Projects!$C$10),Projects!$B$10*Assumptions!$B$47,0)+IF(AND(Projects!$G$11="Yes",Projects!$J$11="Yes",Projects!$K$11="No",11=Projects!$C$11),Projects!$B$11*Assumptions!$B$47,0)+IF(AND(Projects!$G$12="Yes",Projects!$J$12="Yes",Projects!$K$12="No",11=Projects!$C$12),Projects!$B$12*Assumptions!$B$47,0)+IF(AND(Projects!$G$13="Yes",Projects!$J$13="Yes",Projects!$K$13="No",11=Projects!$C$13),Projects!$B$13*Assumptions!$B$47,0)+IF(AND(Projects!$G$14="Yes",Projects!$J$14="Yes",Projects!$K$14="No",11=Projects!$C$14),Projects!$B$14*Assumptions!$B$47,0))</f>
        <v>0</v>
      </c>
      <c r="N80" s="8">
        <f>-(IF(AND(Projects!$G$2="Yes",Projects!$J$2="Yes",Projects!$K$2="No",12=Projects!$C$2),Projects!$B$2*Assumptions!$B$47,0)+IF(AND(Projects!$G$3="Yes",Projects!$J$3="Yes",Projects!$K$3="No",12=Projects!$C$3),Projects!$B$3*Assumptions!$B$47,0)+IF(AND(Projects!$G$4="Yes",Projects!$J$4="Yes",Projects!$K$4="No",12=Projects!$C$4),Projects!$B$4*Assumptions!$B$47,0)+IF(AND(Projects!$G$5="Yes",Projects!$J$5="Yes",Projects!$K$5="No",12=Projects!$C$5),Projects!$B$5*Assumptions!$B$47,0)+IF(AND(Projects!$G$6="Yes",Projects!$J$6="Yes",Projects!$K$6="No",12=Projects!$C$6),Projects!$B$6*Assumptions!$B$47,0)+IF(AND(Projects!$G$7="Yes",Projects!$J$7="Yes",Projects!$K$7="No",12=Projects!$C$7),Projects!$B$7*Assumptions!$B$47,0)+IF(AND(Projects!$G$8="Yes",Projects!$J$8="Yes",Projects!$K$8="No",12=Projects!$C$8),Projects!$B$8*Assumptions!$B$47,0)+IF(AND(Projects!$G$9="Yes",Projects!$J$9="Yes",Projects!$K$9="No",12=Projects!$C$9),Projects!$B$9*Assumptions!$B$47,0)+IF(AND(Projects!$G$10="Yes",Projects!$J$10="Yes",Projects!$K$10="No",12=Projects!$C$10),Projects!$B$10*Assumptions!$B$47,0)+IF(AND(Projects!$G$11="Yes",Projects!$J$11="Yes",Projects!$K$11="No",12=Projects!$C$11),Projects!$B$11*Assumptions!$B$47,0)+IF(AND(Projects!$G$12="Yes",Projects!$J$12="Yes",Projects!$K$12="No",12=Projects!$C$12),Projects!$B$12*Assumptions!$B$47,0)+IF(AND(Projects!$G$13="Yes",Projects!$J$13="Yes",Projects!$K$13="No",12=Projects!$C$13),Projects!$B$13*Assumptions!$B$47,0)+IF(AND(Projects!$G$14="Yes",Projects!$J$14="Yes",Projects!$K$14="No",12=Projects!$C$14),Projects!$B$14*Assumptions!$B$47,0))</f>
        <v>0</v>
      </c>
      <c r="O80" s="8">
        <f>-(IF(AND(Projects!$G$2="Yes",Projects!$J$2="Yes",Projects!$K$2="No",13=Projects!$C$2),Projects!$B$2*Assumptions!$B$47,0)+IF(AND(Projects!$G$3="Yes",Projects!$J$3="Yes",Projects!$K$3="No",13=Projects!$C$3),Projects!$B$3*Assumptions!$B$47,0)+IF(AND(Projects!$G$4="Yes",Projects!$J$4="Yes",Projects!$K$4="No",13=Projects!$C$4),Projects!$B$4*Assumptions!$B$47,0)+IF(AND(Projects!$G$5="Yes",Projects!$J$5="Yes",Projects!$K$5="No",13=Projects!$C$5),Projects!$B$5*Assumptions!$B$47,0)+IF(AND(Projects!$G$6="Yes",Projects!$J$6="Yes",Projects!$K$6="No",13=Projects!$C$6),Projects!$B$6*Assumptions!$B$47,0)+IF(AND(Projects!$G$7="Yes",Projects!$J$7="Yes",Projects!$K$7="No",13=Projects!$C$7),Projects!$B$7*Assumptions!$B$47,0)+IF(AND(Projects!$G$8="Yes",Projects!$J$8="Yes",Projects!$K$8="No",13=Projects!$C$8),Projects!$B$8*Assumptions!$B$47,0)+IF(AND(Projects!$G$9="Yes",Projects!$J$9="Yes",Projects!$K$9="No",13=Projects!$C$9),Projects!$B$9*Assumptions!$B$47,0)+IF(AND(Projects!$G$10="Yes",Projects!$J$10="Yes",Projects!$K$10="No",13=Projects!$C$10),Projects!$B$10*Assumptions!$B$47,0)+IF(AND(Projects!$G$11="Yes",Projects!$J$11="Yes",Projects!$K$11="No",13=Projects!$C$11),Projects!$B$11*Assumptions!$B$47,0)+IF(AND(Projects!$G$12="Yes",Projects!$J$12="Yes",Projects!$K$12="No",13=Projects!$C$12),Projects!$B$12*Assumptions!$B$47,0)+IF(AND(Projects!$G$13="Yes",Projects!$J$13="Yes",Projects!$K$13="No",13=Projects!$C$13),Projects!$B$13*Assumptions!$B$47,0)+IF(AND(Projects!$G$14="Yes",Projects!$J$14="Yes",Projects!$K$14="No",13=Projects!$C$14),Projects!$B$14*Assumptions!$B$47,0))</f>
        <v>0</v>
      </c>
      <c r="P80" s="8">
        <f>-(IF(AND(Projects!$G$2="Yes",Projects!$J$2="Yes",Projects!$K$2="No",14=Projects!$C$2),Projects!$B$2*Assumptions!$B$47,0)+IF(AND(Projects!$G$3="Yes",Projects!$J$3="Yes",Projects!$K$3="No",14=Projects!$C$3),Projects!$B$3*Assumptions!$B$47,0)+IF(AND(Projects!$G$4="Yes",Projects!$J$4="Yes",Projects!$K$4="No",14=Projects!$C$4),Projects!$B$4*Assumptions!$B$47,0)+IF(AND(Projects!$G$5="Yes",Projects!$J$5="Yes",Projects!$K$5="No",14=Projects!$C$5),Projects!$B$5*Assumptions!$B$47,0)+IF(AND(Projects!$G$6="Yes",Projects!$J$6="Yes",Projects!$K$6="No",14=Projects!$C$6),Projects!$B$6*Assumptions!$B$47,0)+IF(AND(Projects!$G$7="Yes",Projects!$J$7="Yes",Projects!$K$7="No",14=Projects!$C$7),Projects!$B$7*Assumptions!$B$47,0)+IF(AND(Projects!$G$8="Yes",Projects!$J$8="Yes",Projects!$K$8="No",14=Projects!$C$8),Projects!$B$8*Assumptions!$B$47,0)+IF(AND(Projects!$G$9="Yes",Projects!$J$9="Yes",Projects!$K$9="No",14=Projects!$C$9),Projects!$B$9*Assumptions!$B$47,0)+IF(AND(Projects!$G$10="Yes",Projects!$J$10="Yes",Projects!$K$10="No",14=Projects!$C$10),Projects!$B$10*Assumptions!$B$47,0)+IF(AND(Projects!$G$11="Yes",Projects!$J$11="Yes",Projects!$K$11="No",14=Projects!$C$11),Projects!$B$11*Assumptions!$B$47,0)+IF(AND(Projects!$G$12="Yes",Projects!$J$12="Yes",Projects!$K$12="No",14=Projects!$C$12),Projects!$B$12*Assumptions!$B$47,0)+IF(AND(Projects!$G$13="Yes",Projects!$J$13="Yes",Projects!$K$13="No",14=Projects!$C$13),Projects!$B$13*Assumptions!$B$47,0)+IF(AND(Projects!$G$14="Yes",Projects!$J$14="Yes",Projects!$K$14="No",14=Projects!$C$14),Projects!$B$14*Assumptions!$B$47,0))</f>
        <v>0</v>
      </c>
      <c r="Q80" s="8">
        <f>-(IF(AND(Projects!$G$2="Yes",Projects!$J$2="Yes",Projects!$K$2="No",15=Projects!$C$2),Projects!$B$2*Assumptions!$B$47,0)+IF(AND(Projects!$G$3="Yes",Projects!$J$3="Yes",Projects!$K$3="No",15=Projects!$C$3),Projects!$B$3*Assumptions!$B$47,0)+IF(AND(Projects!$G$4="Yes",Projects!$J$4="Yes",Projects!$K$4="No",15=Projects!$C$4),Projects!$B$4*Assumptions!$B$47,0)+IF(AND(Projects!$G$5="Yes",Projects!$J$5="Yes",Projects!$K$5="No",15=Projects!$C$5),Projects!$B$5*Assumptions!$B$47,0)+IF(AND(Projects!$G$6="Yes",Projects!$J$6="Yes",Projects!$K$6="No",15=Projects!$C$6),Projects!$B$6*Assumptions!$B$47,0)+IF(AND(Projects!$G$7="Yes",Projects!$J$7="Yes",Projects!$K$7="No",15=Projects!$C$7),Projects!$B$7*Assumptions!$B$47,0)+IF(AND(Projects!$G$8="Yes",Projects!$J$8="Yes",Projects!$K$8="No",15=Projects!$C$8),Projects!$B$8*Assumptions!$B$47,0)+IF(AND(Projects!$G$9="Yes",Projects!$J$9="Yes",Projects!$K$9="No",15=Projects!$C$9),Projects!$B$9*Assumptions!$B$47,0)+IF(AND(Projects!$G$10="Yes",Projects!$J$10="Yes",Projects!$K$10="No",15=Projects!$C$10),Projects!$B$10*Assumptions!$B$47,0)+IF(AND(Projects!$G$11="Yes",Projects!$J$11="Yes",Projects!$K$11="No",15=Projects!$C$11),Projects!$B$11*Assumptions!$B$47,0)+IF(AND(Projects!$G$12="Yes",Projects!$J$12="Yes",Projects!$K$12="No",15=Projects!$C$12),Projects!$B$12*Assumptions!$B$47,0)+IF(AND(Projects!$G$13="Yes",Projects!$J$13="Yes",Projects!$K$13="No",15=Projects!$C$13),Projects!$B$13*Assumptions!$B$47,0)+IF(AND(Projects!$G$14="Yes",Projects!$J$14="Yes",Projects!$K$14="No",15=Projects!$C$14),Projects!$B$14*Assumptions!$B$47,0))</f>
        <v>0</v>
      </c>
      <c r="R80" s="8">
        <f>-(IF(AND(Projects!$G$2="Yes",Projects!$J$2="Yes",Projects!$K$2="No",16=Projects!$C$2),Projects!$B$2*Assumptions!$B$47,0)+IF(AND(Projects!$G$3="Yes",Projects!$J$3="Yes",Projects!$K$3="No",16=Projects!$C$3),Projects!$B$3*Assumptions!$B$47,0)+IF(AND(Projects!$G$4="Yes",Projects!$J$4="Yes",Projects!$K$4="No",16=Projects!$C$4),Projects!$B$4*Assumptions!$B$47,0)+IF(AND(Projects!$G$5="Yes",Projects!$J$5="Yes",Projects!$K$5="No",16=Projects!$C$5),Projects!$B$5*Assumptions!$B$47,0)+IF(AND(Projects!$G$6="Yes",Projects!$J$6="Yes",Projects!$K$6="No",16=Projects!$C$6),Projects!$B$6*Assumptions!$B$47,0)+IF(AND(Projects!$G$7="Yes",Projects!$J$7="Yes",Projects!$K$7="No",16=Projects!$C$7),Projects!$B$7*Assumptions!$B$47,0)+IF(AND(Projects!$G$8="Yes",Projects!$J$8="Yes",Projects!$K$8="No",16=Projects!$C$8),Projects!$B$8*Assumptions!$B$47,0)+IF(AND(Projects!$G$9="Yes",Projects!$J$9="Yes",Projects!$K$9="No",16=Projects!$C$9),Projects!$B$9*Assumptions!$B$47,0)+IF(AND(Projects!$G$10="Yes",Projects!$J$10="Yes",Projects!$K$10="No",16=Projects!$C$10),Projects!$B$10*Assumptions!$B$47,0)+IF(AND(Projects!$G$11="Yes",Projects!$J$11="Yes",Projects!$K$11="No",16=Projects!$C$11),Projects!$B$11*Assumptions!$B$47,0)+IF(AND(Projects!$G$12="Yes",Projects!$J$12="Yes",Projects!$K$12="No",16=Projects!$C$12),Projects!$B$12*Assumptions!$B$47,0)+IF(AND(Projects!$G$13="Yes",Projects!$J$13="Yes",Projects!$K$13="No",16=Projects!$C$13),Projects!$B$13*Assumptions!$B$47,0)+IF(AND(Projects!$G$14="Yes",Projects!$J$14="Yes",Projects!$K$14="No",16=Projects!$C$14),Projects!$B$14*Assumptions!$B$47,0))</f>
        <v>0</v>
      </c>
      <c r="S80" s="8">
        <f>-(IF(AND(Projects!$G$2="Yes",Projects!$J$2="Yes",Projects!$K$2="No",17=Projects!$C$2),Projects!$B$2*Assumptions!$B$47,0)+IF(AND(Projects!$G$3="Yes",Projects!$J$3="Yes",Projects!$K$3="No",17=Projects!$C$3),Projects!$B$3*Assumptions!$B$47,0)+IF(AND(Projects!$G$4="Yes",Projects!$J$4="Yes",Projects!$K$4="No",17=Projects!$C$4),Projects!$B$4*Assumptions!$B$47,0)+IF(AND(Projects!$G$5="Yes",Projects!$J$5="Yes",Projects!$K$5="No",17=Projects!$C$5),Projects!$B$5*Assumptions!$B$47,0)+IF(AND(Projects!$G$6="Yes",Projects!$J$6="Yes",Projects!$K$6="No",17=Projects!$C$6),Projects!$B$6*Assumptions!$B$47,0)+IF(AND(Projects!$G$7="Yes",Projects!$J$7="Yes",Projects!$K$7="No",17=Projects!$C$7),Projects!$B$7*Assumptions!$B$47,0)+IF(AND(Projects!$G$8="Yes",Projects!$J$8="Yes",Projects!$K$8="No",17=Projects!$C$8),Projects!$B$8*Assumptions!$B$47,0)+IF(AND(Projects!$G$9="Yes",Projects!$J$9="Yes",Projects!$K$9="No",17=Projects!$C$9),Projects!$B$9*Assumptions!$B$47,0)+IF(AND(Projects!$G$10="Yes",Projects!$J$10="Yes",Projects!$K$10="No",17=Projects!$C$10),Projects!$B$10*Assumptions!$B$47,0)+IF(AND(Projects!$G$11="Yes",Projects!$J$11="Yes",Projects!$K$11="No",17=Projects!$C$11),Projects!$B$11*Assumptions!$B$47,0)+IF(AND(Projects!$G$12="Yes",Projects!$J$12="Yes",Projects!$K$12="No",17=Projects!$C$12),Projects!$B$12*Assumptions!$B$47,0)+IF(AND(Projects!$G$13="Yes",Projects!$J$13="Yes",Projects!$K$13="No",17=Projects!$C$13),Projects!$B$13*Assumptions!$B$47,0)+IF(AND(Projects!$G$14="Yes",Projects!$J$14="Yes",Projects!$K$14="No",17=Projects!$C$14),Projects!$B$14*Assumptions!$B$47,0))</f>
        <v>0</v>
      </c>
      <c r="T80" s="8">
        <f>-(IF(AND(Projects!$G$2="Yes",Projects!$J$2="Yes",Projects!$K$2="No",18=Projects!$C$2),Projects!$B$2*Assumptions!$B$47,0)+IF(AND(Projects!$G$3="Yes",Projects!$J$3="Yes",Projects!$K$3="No",18=Projects!$C$3),Projects!$B$3*Assumptions!$B$47,0)+IF(AND(Projects!$G$4="Yes",Projects!$J$4="Yes",Projects!$K$4="No",18=Projects!$C$4),Projects!$B$4*Assumptions!$B$47,0)+IF(AND(Projects!$G$5="Yes",Projects!$J$5="Yes",Projects!$K$5="No",18=Projects!$C$5),Projects!$B$5*Assumptions!$B$47,0)+IF(AND(Projects!$G$6="Yes",Projects!$J$6="Yes",Projects!$K$6="No",18=Projects!$C$6),Projects!$B$6*Assumptions!$B$47,0)+IF(AND(Projects!$G$7="Yes",Projects!$J$7="Yes",Projects!$K$7="No",18=Projects!$C$7),Projects!$B$7*Assumptions!$B$47,0)+IF(AND(Projects!$G$8="Yes",Projects!$J$8="Yes",Projects!$K$8="No",18=Projects!$C$8),Projects!$B$8*Assumptions!$B$47,0)+IF(AND(Projects!$G$9="Yes",Projects!$J$9="Yes",Projects!$K$9="No",18=Projects!$C$9),Projects!$B$9*Assumptions!$B$47,0)+IF(AND(Projects!$G$10="Yes",Projects!$J$10="Yes",Projects!$K$10="No",18=Projects!$C$10),Projects!$B$10*Assumptions!$B$47,0)+IF(AND(Projects!$G$11="Yes",Projects!$J$11="Yes",Projects!$K$11="No",18=Projects!$C$11),Projects!$B$11*Assumptions!$B$47,0)+IF(AND(Projects!$G$12="Yes",Projects!$J$12="Yes",Projects!$K$12="No",18=Projects!$C$12),Projects!$B$12*Assumptions!$B$47,0)+IF(AND(Projects!$G$13="Yes",Projects!$J$13="Yes",Projects!$K$13="No",18=Projects!$C$13),Projects!$B$13*Assumptions!$B$47,0)+IF(AND(Projects!$G$14="Yes",Projects!$J$14="Yes",Projects!$K$14="No",18=Projects!$C$14),Projects!$B$14*Assumptions!$B$47,0))</f>
        <v>0</v>
      </c>
      <c r="U80" s="8">
        <f>-(IF(AND(Projects!$G$2="Yes",Projects!$J$2="Yes",Projects!$K$2="No",19=Projects!$C$2),Projects!$B$2*Assumptions!$B$47,0)+IF(AND(Projects!$G$3="Yes",Projects!$J$3="Yes",Projects!$K$3="No",19=Projects!$C$3),Projects!$B$3*Assumptions!$B$47,0)+IF(AND(Projects!$G$4="Yes",Projects!$J$4="Yes",Projects!$K$4="No",19=Projects!$C$4),Projects!$B$4*Assumptions!$B$47,0)+IF(AND(Projects!$G$5="Yes",Projects!$J$5="Yes",Projects!$K$5="No",19=Projects!$C$5),Projects!$B$5*Assumptions!$B$47,0)+IF(AND(Projects!$G$6="Yes",Projects!$J$6="Yes",Projects!$K$6="No",19=Projects!$C$6),Projects!$B$6*Assumptions!$B$47,0)+IF(AND(Projects!$G$7="Yes",Projects!$J$7="Yes",Projects!$K$7="No",19=Projects!$C$7),Projects!$B$7*Assumptions!$B$47,0)+IF(AND(Projects!$G$8="Yes",Projects!$J$8="Yes",Projects!$K$8="No",19=Projects!$C$8),Projects!$B$8*Assumptions!$B$47,0)+IF(AND(Projects!$G$9="Yes",Projects!$J$9="Yes",Projects!$K$9="No",19=Projects!$C$9),Projects!$B$9*Assumptions!$B$47,0)+IF(AND(Projects!$G$10="Yes",Projects!$J$10="Yes",Projects!$K$10="No",19=Projects!$C$10),Projects!$B$10*Assumptions!$B$47,0)+IF(AND(Projects!$G$11="Yes",Projects!$J$11="Yes",Projects!$K$11="No",19=Projects!$C$11),Projects!$B$11*Assumptions!$B$47,0)+IF(AND(Projects!$G$12="Yes",Projects!$J$12="Yes",Projects!$K$12="No",19=Projects!$C$12),Projects!$B$12*Assumptions!$B$47,0)+IF(AND(Projects!$G$13="Yes",Projects!$J$13="Yes",Projects!$K$13="No",19=Projects!$C$13),Projects!$B$13*Assumptions!$B$47,0)+IF(AND(Projects!$G$14="Yes",Projects!$J$14="Yes",Projects!$K$14="No",19=Projects!$C$14),Projects!$B$14*Assumptions!$B$47,0))</f>
        <v>0</v>
      </c>
      <c r="V80" s="8">
        <f>-(IF(AND(Projects!$G$2="Yes",Projects!$J$2="Yes",Projects!$K$2="No",20=Projects!$C$2),Projects!$B$2*Assumptions!$B$47,0)+IF(AND(Projects!$G$3="Yes",Projects!$J$3="Yes",Projects!$K$3="No",20=Projects!$C$3),Projects!$B$3*Assumptions!$B$47,0)+IF(AND(Projects!$G$4="Yes",Projects!$J$4="Yes",Projects!$K$4="No",20=Projects!$C$4),Projects!$B$4*Assumptions!$B$47,0)+IF(AND(Projects!$G$5="Yes",Projects!$J$5="Yes",Projects!$K$5="No",20=Projects!$C$5),Projects!$B$5*Assumptions!$B$47,0)+IF(AND(Projects!$G$6="Yes",Projects!$J$6="Yes",Projects!$K$6="No",20=Projects!$C$6),Projects!$B$6*Assumptions!$B$47,0)+IF(AND(Projects!$G$7="Yes",Projects!$J$7="Yes",Projects!$K$7="No",20=Projects!$C$7),Projects!$B$7*Assumptions!$B$47,0)+IF(AND(Projects!$G$8="Yes",Projects!$J$8="Yes",Projects!$K$8="No",20=Projects!$C$8),Projects!$B$8*Assumptions!$B$47,0)+IF(AND(Projects!$G$9="Yes",Projects!$J$9="Yes",Projects!$K$9="No",20=Projects!$C$9),Projects!$B$9*Assumptions!$B$47,0)+IF(AND(Projects!$G$10="Yes",Projects!$J$10="Yes",Projects!$K$10="No",20=Projects!$C$10),Projects!$B$10*Assumptions!$B$47,0)+IF(AND(Projects!$G$11="Yes",Projects!$J$11="Yes",Projects!$K$11="No",20=Projects!$C$11),Projects!$B$11*Assumptions!$B$47,0)+IF(AND(Projects!$G$12="Yes",Projects!$J$12="Yes",Projects!$K$12="No",20=Projects!$C$12),Projects!$B$12*Assumptions!$B$47,0)+IF(AND(Projects!$G$13="Yes",Projects!$J$13="Yes",Projects!$K$13="No",20=Projects!$C$13),Projects!$B$13*Assumptions!$B$47,0)+IF(AND(Projects!$G$14="Yes",Projects!$J$14="Yes",Projects!$K$14="No",20=Projects!$C$14),Projects!$B$14*Assumptions!$B$47,0))</f>
        <v>0</v>
      </c>
      <c r="W80" s="8">
        <f>-(IF(AND(Projects!$G$2="Yes",Projects!$J$2="Yes",Projects!$K$2="No",21=Projects!$C$2),Projects!$B$2*Assumptions!$B$47,0)+IF(AND(Projects!$G$3="Yes",Projects!$J$3="Yes",Projects!$K$3="No",21=Projects!$C$3),Projects!$B$3*Assumptions!$B$47,0)+IF(AND(Projects!$G$4="Yes",Projects!$J$4="Yes",Projects!$K$4="No",21=Projects!$C$4),Projects!$B$4*Assumptions!$B$47,0)+IF(AND(Projects!$G$5="Yes",Projects!$J$5="Yes",Projects!$K$5="No",21=Projects!$C$5),Projects!$B$5*Assumptions!$B$47,0)+IF(AND(Projects!$G$6="Yes",Projects!$J$6="Yes",Projects!$K$6="No",21=Projects!$C$6),Projects!$B$6*Assumptions!$B$47,0)+IF(AND(Projects!$G$7="Yes",Projects!$J$7="Yes",Projects!$K$7="No",21=Projects!$C$7),Projects!$B$7*Assumptions!$B$47,0)+IF(AND(Projects!$G$8="Yes",Projects!$J$8="Yes",Projects!$K$8="No",21=Projects!$C$8),Projects!$B$8*Assumptions!$B$47,0)+IF(AND(Projects!$G$9="Yes",Projects!$J$9="Yes",Projects!$K$9="No",21=Projects!$C$9),Projects!$B$9*Assumptions!$B$47,0)+IF(AND(Projects!$G$10="Yes",Projects!$J$10="Yes",Projects!$K$10="No",21=Projects!$C$10),Projects!$B$10*Assumptions!$B$47,0)+IF(AND(Projects!$G$11="Yes",Projects!$J$11="Yes",Projects!$K$11="No",21=Projects!$C$11),Projects!$B$11*Assumptions!$B$47,0)+IF(AND(Projects!$G$12="Yes",Projects!$J$12="Yes",Projects!$K$12="No",21=Projects!$C$12),Projects!$B$12*Assumptions!$B$47,0)+IF(AND(Projects!$G$13="Yes",Projects!$J$13="Yes",Projects!$K$13="No",21=Projects!$C$13),Projects!$B$13*Assumptions!$B$47,0)+IF(AND(Projects!$G$14="Yes",Projects!$J$14="Yes",Projects!$K$14="No",21=Projects!$C$14),Projects!$B$14*Assumptions!$B$47,0))</f>
        <v>0</v>
      </c>
      <c r="X80" s="8">
        <f>-(IF(AND(Projects!$G$2="Yes",Projects!$J$2="Yes",Projects!$K$2="No",22=Projects!$C$2),Projects!$B$2*Assumptions!$B$47,0)+IF(AND(Projects!$G$3="Yes",Projects!$J$3="Yes",Projects!$K$3="No",22=Projects!$C$3),Projects!$B$3*Assumptions!$B$47,0)+IF(AND(Projects!$G$4="Yes",Projects!$J$4="Yes",Projects!$K$4="No",22=Projects!$C$4),Projects!$B$4*Assumptions!$B$47,0)+IF(AND(Projects!$G$5="Yes",Projects!$J$5="Yes",Projects!$K$5="No",22=Projects!$C$5),Projects!$B$5*Assumptions!$B$47,0)+IF(AND(Projects!$G$6="Yes",Projects!$J$6="Yes",Projects!$K$6="No",22=Projects!$C$6),Projects!$B$6*Assumptions!$B$47,0)+IF(AND(Projects!$G$7="Yes",Projects!$J$7="Yes",Projects!$K$7="No",22=Projects!$C$7),Projects!$B$7*Assumptions!$B$47,0)+IF(AND(Projects!$G$8="Yes",Projects!$J$8="Yes",Projects!$K$8="No",22=Projects!$C$8),Projects!$B$8*Assumptions!$B$47,0)+IF(AND(Projects!$G$9="Yes",Projects!$J$9="Yes",Projects!$K$9="No",22=Projects!$C$9),Projects!$B$9*Assumptions!$B$47,0)+IF(AND(Projects!$G$10="Yes",Projects!$J$10="Yes",Projects!$K$10="No",22=Projects!$C$10),Projects!$B$10*Assumptions!$B$47,0)+IF(AND(Projects!$G$11="Yes",Projects!$J$11="Yes",Projects!$K$11="No",22=Projects!$C$11),Projects!$B$11*Assumptions!$B$47,0)+IF(AND(Projects!$G$12="Yes",Projects!$J$12="Yes",Projects!$K$12="No",22=Projects!$C$12),Projects!$B$12*Assumptions!$B$47,0)+IF(AND(Projects!$G$13="Yes",Projects!$J$13="Yes",Projects!$K$13="No",22=Projects!$C$13),Projects!$B$13*Assumptions!$B$47,0)+IF(AND(Projects!$G$14="Yes",Projects!$J$14="Yes",Projects!$K$14="No",22=Projects!$C$14),Projects!$B$14*Assumptions!$B$47,0))</f>
        <v>0</v>
      </c>
      <c r="Y80" s="8">
        <f>-(IF(AND(Projects!$G$2="Yes",Projects!$J$2="Yes",Projects!$K$2="No",23=Projects!$C$2),Projects!$B$2*Assumptions!$B$47,0)+IF(AND(Projects!$G$3="Yes",Projects!$J$3="Yes",Projects!$K$3="No",23=Projects!$C$3),Projects!$B$3*Assumptions!$B$47,0)+IF(AND(Projects!$G$4="Yes",Projects!$J$4="Yes",Projects!$K$4="No",23=Projects!$C$4),Projects!$B$4*Assumptions!$B$47,0)+IF(AND(Projects!$G$5="Yes",Projects!$J$5="Yes",Projects!$K$5="No",23=Projects!$C$5),Projects!$B$5*Assumptions!$B$47,0)+IF(AND(Projects!$G$6="Yes",Projects!$J$6="Yes",Projects!$K$6="No",23=Projects!$C$6),Projects!$B$6*Assumptions!$B$47,0)+IF(AND(Projects!$G$7="Yes",Projects!$J$7="Yes",Projects!$K$7="No",23=Projects!$C$7),Projects!$B$7*Assumptions!$B$47,0)+IF(AND(Projects!$G$8="Yes",Projects!$J$8="Yes",Projects!$K$8="No",23=Projects!$C$8),Projects!$B$8*Assumptions!$B$47,0)+IF(AND(Projects!$G$9="Yes",Projects!$J$9="Yes",Projects!$K$9="No",23=Projects!$C$9),Projects!$B$9*Assumptions!$B$47,0)+IF(AND(Projects!$G$10="Yes",Projects!$J$10="Yes",Projects!$K$10="No",23=Projects!$C$10),Projects!$B$10*Assumptions!$B$47,0)+IF(AND(Projects!$G$11="Yes",Projects!$J$11="Yes",Projects!$K$11="No",23=Projects!$C$11),Projects!$B$11*Assumptions!$B$47,0)+IF(AND(Projects!$G$12="Yes",Projects!$J$12="Yes",Projects!$K$12="No",23=Projects!$C$12),Projects!$B$12*Assumptions!$B$47,0)+IF(AND(Projects!$G$13="Yes",Projects!$J$13="Yes",Projects!$K$13="No",23=Projects!$C$13),Projects!$B$13*Assumptions!$B$47,0)+IF(AND(Projects!$G$14="Yes",Projects!$J$14="Yes",Projects!$K$14="No",23=Projects!$C$14),Projects!$B$14*Assumptions!$B$47,0))</f>
        <v>0</v>
      </c>
      <c r="Z80" s="8">
        <f>-(IF(AND(Projects!$G$2="Yes",Projects!$J$2="Yes",Projects!$K$2="No",24=Projects!$C$2),Projects!$B$2*Assumptions!$B$47,0)+IF(AND(Projects!$G$3="Yes",Projects!$J$3="Yes",Projects!$K$3="No",24=Projects!$C$3),Projects!$B$3*Assumptions!$B$47,0)+IF(AND(Projects!$G$4="Yes",Projects!$J$4="Yes",Projects!$K$4="No",24=Projects!$C$4),Projects!$B$4*Assumptions!$B$47,0)+IF(AND(Projects!$G$5="Yes",Projects!$J$5="Yes",Projects!$K$5="No",24=Projects!$C$5),Projects!$B$5*Assumptions!$B$47,0)+IF(AND(Projects!$G$6="Yes",Projects!$J$6="Yes",Projects!$K$6="No",24=Projects!$C$6),Projects!$B$6*Assumptions!$B$47,0)+IF(AND(Projects!$G$7="Yes",Projects!$J$7="Yes",Projects!$K$7="No",24=Projects!$C$7),Projects!$B$7*Assumptions!$B$47,0)+IF(AND(Projects!$G$8="Yes",Projects!$J$8="Yes",Projects!$K$8="No",24=Projects!$C$8),Projects!$B$8*Assumptions!$B$47,0)+IF(AND(Projects!$G$9="Yes",Projects!$J$9="Yes",Projects!$K$9="No",24=Projects!$C$9),Projects!$B$9*Assumptions!$B$47,0)+IF(AND(Projects!$G$10="Yes",Projects!$J$10="Yes",Projects!$K$10="No",24=Projects!$C$10),Projects!$B$10*Assumptions!$B$47,0)+IF(AND(Projects!$G$11="Yes",Projects!$J$11="Yes",Projects!$K$11="No",24=Projects!$C$11),Projects!$B$11*Assumptions!$B$47,0)+IF(AND(Projects!$G$12="Yes",Projects!$J$12="Yes",Projects!$K$12="No",24=Projects!$C$12),Projects!$B$12*Assumptions!$B$47,0)+IF(AND(Projects!$G$13="Yes",Projects!$J$13="Yes",Projects!$K$13="No",24=Projects!$C$13),Projects!$B$13*Assumptions!$B$47,0)+IF(AND(Projects!$G$14="Yes",Projects!$J$14="Yes",Projects!$K$14="No",24=Projects!$C$14),Projects!$B$14*Assumptions!$B$47,0))</f>
        <v>0</v>
      </c>
      <c r="AA80" s="8">
        <f>-(IF(AND(Projects!$G$2="Yes",Projects!$J$2="Yes",Projects!$K$2="No",25=Projects!$C$2),Projects!$B$2*Assumptions!$B$47,0)+IF(AND(Projects!$G$3="Yes",Projects!$J$3="Yes",Projects!$K$3="No",25=Projects!$C$3),Projects!$B$3*Assumptions!$B$47,0)+IF(AND(Projects!$G$4="Yes",Projects!$J$4="Yes",Projects!$K$4="No",25=Projects!$C$4),Projects!$B$4*Assumptions!$B$47,0)+IF(AND(Projects!$G$5="Yes",Projects!$J$5="Yes",Projects!$K$5="No",25=Projects!$C$5),Projects!$B$5*Assumptions!$B$47,0)+IF(AND(Projects!$G$6="Yes",Projects!$J$6="Yes",Projects!$K$6="No",25=Projects!$C$6),Projects!$B$6*Assumptions!$B$47,0)+IF(AND(Projects!$G$7="Yes",Projects!$J$7="Yes",Projects!$K$7="No",25=Projects!$C$7),Projects!$B$7*Assumptions!$B$47,0)+IF(AND(Projects!$G$8="Yes",Projects!$J$8="Yes",Projects!$K$8="No",25=Projects!$C$8),Projects!$B$8*Assumptions!$B$47,0)+IF(AND(Projects!$G$9="Yes",Projects!$J$9="Yes",Projects!$K$9="No",25=Projects!$C$9),Projects!$B$9*Assumptions!$B$47,0)+IF(AND(Projects!$G$10="Yes",Projects!$J$10="Yes",Projects!$K$10="No",25=Projects!$C$10),Projects!$B$10*Assumptions!$B$47,0)+IF(AND(Projects!$G$11="Yes",Projects!$J$11="Yes",Projects!$K$11="No",25=Projects!$C$11),Projects!$B$11*Assumptions!$B$47,0)+IF(AND(Projects!$G$12="Yes",Projects!$J$12="Yes",Projects!$K$12="No",25=Projects!$C$12),Projects!$B$12*Assumptions!$B$47,0)+IF(AND(Projects!$G$13="Yes",Projects!$J$13="Yes",Projects!$K$13="No",25=Projects!$C$13),Projects!$B$13*Assumptions!$B$47,0)+IF(AND(Projects!$G$14="Yes",Projects!$J$14="Yes",Projects!$K$14="No",25=Projects!$C$14),Projects!$B$14*Assumptions!$B$47,0))</f>
        <v>0</v>
      </c>
      <c r="AB80" s="8">
        <f>-(IF(AND(Projects!$G$2="Yes",Projects!$J$2="Yes",Projects!$K$2="No",26=Projects!$C$2),Projects!$B$2*Assumptions!$B$47,0)+IF(AND(Projects!$G$3="Yes",Projects!$J$3="Yes",Projects!$K$3="No",26=Projects!$C$3),Projects!$B$3*Assumptions!$B$47,0)+IF(AND(Projects!$G$4="Yes",Projects!$J$4="Yes",Projects!$K$4="No",26=Projects!$C$4),Projects!$B$4*Assumptions!$B$47,0)+IF(AND(Projects!$G$5="Yes",Projects!$J$5="Yes",Projects!$K$5="No",26=Projects!$C$5),Projects!$B$5*Assumptions!$B$47,0)+IF(AND(Projects!$G$6="Yes",Projects!$J$6="Yes",Projects!$K$6="No",26=Projects!$C$6),Projects!$B$6*Assumptions!$B$47,0)+IF(AND(Projects!$G$7="Yes",Projects!$J$7="Yes",Projects!$K$7="No",26=Projects!$C$7),Projects!$B$7*Assumptions!$B$47,0)+IF(AND(Projects!$G$8="Yes",Projects!$J$8="Yes",Projects!$K$8="No",26=Projects!$C$8),Projects!$B$8*Assumptions!$B$47,0)+IF(AND(Projects!$G$9="Yes",Projects!$J$9="Yes",Projects!$K$9="No",26=Projects!$C$9),Projects!$B$9*Assumptions!$B$47,0)+IF(AND(Projects!$G$10="Yes",Projects!$J$10="Yes",Projects!$K$10="No",26=Projects!$C$10),Projects!$B$10*Assumptions!$B$47,0)+IF(AND(Projects!$G$11="Yes",Projects!$J$11="Yes",Projects!$K$11="No",26=Projects!$C$11),Projects!$B$11*Assumptions!$B$47,0)+IF(AND(Projects!$G$12="Yes",Projects!$J$12="Yes",Projects!$K$12="No",26=Projects!$C$12),Projects!$B$12*Assumptions!$B$47,0)+IF(AND(Projects!$G$13="Yes",Projects!$J$13="Yes",Projects!$K$13="No",26=Projects!$C$13),Projects!$B$13*Assumptions!$B$47,0)+IF(AND(Projects!$G$14="Yes",Projects!$J$14="Yes",Projects!$K$14="No",26=Projects!$C$14),Projects!$B$14*Assumptions!$B$47,0))</f>
        <v>0</v>
      </c>
      <c r="AC80" s="8">
        <f>-(IF(AND(Projects!$G$2="Yes",Projects!$J$2="Yes",Projects!$K$2="No",27=Projects!$C$2),Projects!$B$2*Assumptions!$B$47,0)+IF(AND(Projects!$G$3="Yes",Projects!$J$3="Yes",Projects!$K$3="No",27=Projects!$C$3),Projects!$B$3*Assumptions!$B$47,0)+IF(AND(Projects!$G$4="Yes",Projects!$J$4="Yes",Projects!$K$4="No",27=Projects!$C$4),Projects!$B$4*Assumptions!$B$47,0)+IF(AND(Projects!$G$5="Yes",Projects!$J$5="Yes",Projects!$K$5="No",27=Projects!$C$5),Projects!$B$5*Assumptions!$B$47,0)+IF(AND(Projects!$G$6="Yes",Projects!$J$6="Yes",Projects!$K$6="No",27=Projects!$C$6),Projects!$B$6*Assumptions!$B$47,0)+IF(AND(Projects!$G$7="Yes",Projects!$J$7="Yes",Projects!$K$7="No",27=Projects!$C$7),Projects!$B$7*Assumptions!$B$47,0)+IF(AND(Projects!$G$8="Yes",Projects!$J$8="Yes",Projects!$K$8="No",27=Projects!$C$8),Projects!$B$8*Assumptions!$B$47,0)+IF(AND(Projects!$G$9="Yes",Projects!$J$9="Yes",Projects!$K$9="No",27=Projects!$C$9),Projects!$B$9*Assumptions!$B$47,0)+IF(AND(Projects!$G$10="Yes",Projects!$J$10="Yes",Projects!$K$10="No",27=Projects!$C$10),Projects!$B$10*Assumptions!$B$47,0)+IF(AND(Projects!$G$11="Yes",Projects!$J$11="Yes",Projects!$K$11="No",27=Projects!$C$11),Projects!$B$11*Assumptions!$B$47,0)+IF(AND(Projects!$G$12="Yes",Projects!$J$12="Yes",Projects!$K$12="No",27=Projects!$C$12),Projects!$B$12*Assumptions!$B$47,0)+IF(AND(Projects!$G$13="Yes",Projects!$J$13="Yes",Projects!$K$13="No",27=Projects!$C$13),Projects!$B$13*Assumptions!$B$47,0)+IF(AND(Projects!$G$14="Yes",Projects!$J$14="Yes",Projects!$K$14="No",27=Projects!$C$14),Projects!$B$14*Assumptions!$B$47,0))</f>
        <v>0</v>
      </c>
      <c r="AD80" s="8">
        <f>-(IF(AND(Projects!$G$2="Yes",Projects!$J$2="Yes",Projects!$K$2="No",28=Projects!$C$2),Projects!$B$2*Assumptions!$B$47,0)+IF(AND(Projects!$G$3="Yes",Projects!$J$3="Yes",Projects!$K$3="No",28=Projects!$C$3),Projects!$B$3*Assumptions!$B$47,0)+IF(AND(Projects!$G$4="Yes",Projects!$J$4="Yes",Projects!$K$4="No",28=Projects!$C$4),Projects!$B$4*Assumptions!$B$47,0)+IF(AND(Projects!$G$5="Yes",Projects!$J$5="Yes",Projects!$K$5="No",28=Projects!$C$5),Projects!$B$5*Assumptions!$B$47,0)+IF(AND(Projects!$G$6="Yes",Projects!$J$6="Yes",Projects!$K$6="No",28=Projects!$C$6),Projects!$B$6*Assumptions!$B$47,0)+IF(AND(Projects!$G$7="Yes",Projects!$J$7="Yes",Projects!$K$7="No",28=Projects!$C$7),Projects!$B$7*Assumptions!$B$47,0)+IF(AND(Projects!$G$8="Yes",Projects!$J$8="Yes",Projects!$K$8="No",28=Projects!$C$8),Projects!$B$8*Assumptions!$B$47,0)+IF(AND(Projects!$G$9="Yes",Projects!$J$9="Yes",Projects!$K$9="No",28=Projects!$C$9),Projects!$B$9*Assumptions!$B$47,0)+IF(AND(Projects!$G$10="Yes",Projects!$J$10="Yes",Projects!$K$10="No",28=Projects!$C$10),Projects!$B$10*Assumptions!$B$47,0)+IF(AND(Projects!$G$11="Yes",Projects!$J$11="Yes",Projects!$K$11="No",28=Projects!$C$11),Projects!$B$11*Assumptions!$B$47,0)+IF(AND(Projects!$G$12="Yes",Projects!$J$12="Yes",Projects!$K$12="No",28=Projects!$C$12),Projects!$B$12*Assumptions!$B$47,0)+IF(AND(Projects!$G$13="Yes",Projects!$J$13="Yes",Projects!$K$13="No",28=Projects!$C$13),Projects!$B$13*Assumptions!$B$47,0)+IF(AND(Projects!$G$14="Yes",Projects!$J$14="Yes",Projects!$K$14="No",28=Projects!$C$14),Projects!$B$14*Assumptions!$B$47,0))</f>
        <v>0</v>
      </c>
      <c r="AE80" s="8">
        <f>-(IF(AND(Projects!$G$2="Yes",Projects!$J$2="Yes",Projects!$K$2="No",29=Projects!$C$2),Projects!$B$2*Assumptions!$B$47,0)+IF(AND(Projects!$G$3="Yes",Projects!$J$3="Yes",Projects!$K$3="No",29=Projects!$C$3),Projects!$B$3*Assumptions!$B$47,0)+IF(AND(Projects!$G$4="Yes",Projects!$J$4="Yes",Projects!$K$4="No",29=Projects!$C$4),Projects!$B$4*Assumptions!$B$47,0)+IF(AND(Projects!$G$5="Yes",Projects!$J$5="Yes",Projects!$K$5="No",29=Projects!$C$5),Projects!$B$5*Assumptions!$B$47,0)+IF(AND(Projects!$G$6="Yes",Projects!$J$6="Yes",Projects!$K$6="No",29=Projects!$C$6),Projects!$B$6*Assumptions!$B$47,0)+IF(AND(Projects!$G$7="Yes",Projects!$J$7="Yes",Projects!$K$7="No",29=Projects!$C$7),Projects!$B$7*Assumptions!$B$47,0)+IF(AND(Projects!$G$8="Yes",Projects!$J$8="Yes",Projects!$K$8="No",29=Projects!$C$8),Projects!$B$8*Assumptions!$B$47,0)+IF(AND(Projects!$G$9="Yes",Projects!$J$9="Yes",Projects!$K$9="No",29=Projects!$C$9),Projects!$B$9*Assumptions!$B$47,0)+IF(AND(Projects!$G$10="Yes",Projects!$J$10="Yes",Projects!$K$10="No",29=Projects!$C$10),Projects!$B$10*Assumptions!$B$47,0)+IF(AND(Projects!$G$11="Yes",Projects!$J$11="Yes",Projects!$K$11="No",29=Projects!$C$11),Projects!$B$11*Assumptions!$B$47,0)+IF(AND(Projects!$G$12="Yes",Projects!$J$12="Yes",Projects!$K$12="No",29=Projects!$C$12),Projects!$B$12*Assumptions!$B$47,0)+IF(AND(Projects!$G$13="Yes",Projects!$J$13="Yes",Projects!$K$13="No",29=Projects!$C$13),Projects!$B$13*Assumptions!$B$47,0)+IF(AND(Projects!$G$14="Yes",Projects!$J$14="Yes",Projects!$K$14="No",29=Projects!$C$14),Projects!$B$14*Assumptions!$B$47,0))</f>
        <v>0</v>
      </c>
      <c r="AF80" s="8">
        <f>-(IF(AND(Projects!$G$2="Yes",Projects!$J$2="Yes",Projects!$K$2="No",30=Projects!$C$2),Projects!$B$2*Assumptions!$B$47,0)+IF(AND(Projects!$G$3="Yes",Projects!$J$3="Yes",Projects!$K$3="No",30=Projects!$C$3),Projects!$B$3*Assumptions!$B$47,0)+IF(AND(Projects!$G$4="Yes",Projects!$J$4="Yes",Projects!$K$4="No",30=Projects!$C$4),Projects!$B$4*Assumptions!$B$47,0)+IF(AND(Projects!$G$5="Yes",Projects!$J$5="Yes",Projects!$K$5="No",30=Projects!$C$5),Projects!$B$5*Assumptions!$B$47,0)+IF(AND(Projects!$G$6="Yes",Projects!$J$6="Yes",Projects!$K$6="No",30=Projects!$C$6),Projects!$B$6*Assumptions!$B$47,0)+IF(AND(Projects!$G$7="Yes",Projects!$J$7="Yes",Projects!$K$7="No",30=Projects!$C$7),Projects!$B$7*Assumptions!$B$47,0)+IF(AND(Projects!$G$8="Yes",Projects!$J$8="Yes",Projects!$K$8="No",30=Projects!$C$8),Projects!$B$8*Assumptions!$B$47,0)+IF(AND(Projects!$G$9="Yes",Projects!$J$9="Yes",Projects!$K$9="No",30=Projects!$C$9),Projects!$B$9*Assumptions!$B$47,0)+IF(AND(Projects!$G$10="Yes",Projects!$J$10="Yes",Projects!$K$10="No",30=Projects!$C$10),Projects!$B$10*Assumptions!$B$47,0)+IF(AND(Projects!$G$11="Yes",Projects!$J$11="Yes",Projects!$K$11="No",30=Projects!$C$11),Projects!$B$11*Assumptions!$B$47,0)+IF(AND(Projects!$G$12="Yes",Projects!$J$12="Yes",Projects!$K$12="No",30=Projects!$C$12),Projects!$B$12*Assumptions!$B$47,0)+IF(AND(Projects!$G$13="Yes",Projects!$J$13="Yes",Projects!$K$13="No",30=Projects!$C$13),Projects!$B$13*Assumptions!$B$47,0)+IF(AND(Projects!$G$14="Yes",Projects!$J$14="Yes",Projects!$K$14="No",30=Projects!$C$14),Projects!$B$14*Assumptions!$B$47,0))</f>
        <v>0</v>
      </c>
      <c r="AG80" s="8">
        <f>-(IF(AND(Projects!$G$2="Yes",Projects!$J$2="Yes",Projects!$K$2="No",31=Projects!$C$2),Projects!$B$2*Assumptions!$B$47,0)+IF(AND(Projects!$G$3="Yes",Projects!$J$3="Yes",Projects!$K$3="No",31=Projects!$C$3),Projects!$B$3*Assumptions!$B$47,0)+IF(AND(Projects!$G$4="Yes",Projects!$J$4="Yes",Projects!$K$4="No",31=Projects!$C$4),Projects!$B$4*Assumptions!$B$47,0)+IF(AND(Projects!$G$5="Yes",Projects!$J$5="Yes",Projects!$K$5="No",31=Projects!$C$5),Projects!$B$5*Assumptions!$B$47,0)+IF(AND(Projects!$G$6="Yes",Projects!$J$6="Yes",Projects!$K$6="No",31=Projects!$C$6),Projects!$B$6*Assumptions!$B$47,0)+IF(AND(Projects!$G$7="Yes",Projects!$J$7="Yes",Projects!$K$7="No",31=Projects!$C$7),Projects!$B$7*Assumptions!$B$47,0)+IF(AND(Projects!$G$8="Yes",Projects!$J$8="Yes",Projects!$K$8="No",31=Projects!$C$8),Projects!$B$8*Assumptions!$B$47,0)+IF(AND(Projects!$G$9="Yes",Projects!$J$9="Yes",Projects!$K$9="No",31=Projects!$C$9),Projects!$B$9*Assumptions!$B$47,0)+IF(AND(Projects!$G$10="Yes",Projects!$J$10="Yes",Projects!$K$10="No",31=Projects!$C$10),Projects!$B$10*Assumptions!$B$47,0)+IF(AND(Projects!$G$11="Yes",Projects!$J$11="Yes",Projects!$K$11="No",31=Projects!$C$11),Projects!$B$11*Assumptions!$B$47,0)+IF(AND(Projects!$G$12="Yes",Projects!$J$12="Yes",Projects!$K$12="No",31=Projects!$C$12),Projects!$B$12*Assumptions!$B$47,0)+IF(AND(Projects!$G$13="Yes",Projects!$J$13="Yes",Projects!$K$13="No",31=Projects!$C$13),Projects!$B$13*Assumptions!$B$47,0)+IF(AND(Projects!$G$14="Yes",Projects!$J$14="Yes",Projects!$K$14="No",31=Projects!$C$14),Projects!$B$14*Assumptions!$B$47,0))</f>
        <v>0</v>
      </c>
      <c r="AH80" s="8">
        <f>-(IF(AND(Projects!$G$2="Yes",Projects!$J$2="Yes",Projects!$K$2="No",32=Projects!$C$2),Projects!$B$2*Assumptions!$B$47,0)+IF(AND(Projects!$G$3="Yes",Projects!$J$3="Yes",Projects!$K$3="No",32=Projects!$C$3),Projects!$B$3*Assumptions!$B$47,0)+IF(AND(Projects!$G$4="Yes",Projects!$J$4="Yes",Projects!$K$4="No",32=Projects!$C$4),Projects!$B$4*Assumptions!$B$47,0)+IF(AND(Projects!$G$5="Yes",Projects!$J$5="Yes",Projects!$K$5="No",32=Projects!$C$5),Projects!$B$5*Assumptions!$B$47,0)+IF(AND(Projects!$G$6="Yes",Projects!$J$6="Yes",Projects!$K$6="No",32=Projects!$C$6),Projects!$B$6*Assumptions!$B$47,0)+IF(AND(Projects!$G$7="Yes",Projects!$J$7="Yes",Projects!$K$7="No",32=Projects!$C$7),Projects!$B$7*Assumptions!$B$47,0)+IF(AND(Projects!$G$8="Yes",Projects!$J$8="Yes",Projects!$K$8="No",32=Projects!$C$8),Projects!$B$8*Assumptions!$B$47,0)+IF(AND(Projects!$G$9="Yes",Projects!$J$9="Yes",Projects!$K$9="No",32=Projects!$C$9),Projects!$B$9*Assumptions!$B$47,0)+IF(AND(Projects!$G$10="Yes",Projects!$J$10="Yes",Projects!$K$10="No",32=Projects!$C$10),Projects!$B$10*Assumptions!$B$47,0)+IF(AND(Projects!$G$11="Yes",Projects!$J$11="Yes",Projects!$K$11="No",32=Projects!$C$11),Projects!$B$11*Assumptions!$B$47,0)+IF(AND(Projects!$G$12="Yes",Projects!$J$12="Yes",Projects!$K$12="No",32=Projects!$C$12),Projects!$B$12*Assumptions!$B$47,0)+IF(AND(Projects!$G$13="Yes",Projects!$J$13="Yes",Projects!$K$13="No",32=Projects!$C$13),Projects!$B$13*Assumptions!$B$47,0)+IF(AND(Projects!$G$14="Yes",Projects!$J$14="Yes",Projects!$K$14="No",32=Projects!$C$14),Projects!$B$14*Assumptions!$B$47,0))</f>
        <v>0</v>
      </c>
      <c r="AI80" s="8">
        <f>-(IF(AND(Projects!$G$2="Yes",Projects!$J$2="Yes",Projects!$K$2="No",33=Projects!$C$2),Projects!$B$2*Assumptions!$B$47,0)+IF(AND(Projects!$G$3="Yes",Projects!$J$3="Yes",Projects!$K$3="No",33=Projects!$C$3),Projects!$B$3*Assumptions!$B$47,0)+IF(AND(Projects!$G$4="Yes",Projects!$J$4="Yes",Projects!$K$4="No",33=Projects!$C$4),Projects!$B$4*Assumptions!$B$47,0)+IF(AND(Projects!$G$5="Yes",Projects!$J$5="Yes",Projects!$K$5="No",33=Projects!$C$5),Projects!$B$5*Assumptions!$B$47,0)+IF(AND(Projects!$G$6="Yes",Projects!$J$6="Yes",Projects!$K$6="No",33=Projects!$C$6),Projects!$B$6*Assumptions!$B$47,0)+IF(AND(Projects!$G$7="Yes",Projects!$J$7="Yes",Projects!$K$7="No",33=Projects!$C$7),Projects!$B$7*Assumptions!$B$47,0)+IF(AND(Projects!$G$8="Yes",Projects!$J$8="Yes",Projects!$K$8="No",33=Projects!$C$8),Projects!$B$8*Assumptions!$B$47,0)+IF(AND(Projects!$G$9="Yes",Projects!$J$9="Yes",Projects!$K$9="No",33=Projects!$C$9),Projects!$B$9*Assumptions!$B$47,0)+IF(AND(Projects!$G$10="Yes",Projects!$J$10="Yes",Projects!$K$10="No",33=Projects!$C$10),Projects!$B$10*Assumptions!$B$47,0)+IF(AND(Projects!$G$11="Yes",Projects!$J$11="Yes",Projects!$K$11="No",33=Projects!$C$11),Projects!$B$11*Assumptions!$B$47,0)+IF(AND(Projects!$G$12="Yes",Projects!$J$12="Yes",Projects!$K$12="No",33=Projects!$C$12),Projects!$B$12*Assumptions!$B$47,0)+IF(AND(Projects!$G$13="Yes",Projects!$J$13="Yes",Projects!$K$13="No",33=Projects!$C$13),Projects!$B$13*Assumptions!$B$47,0)+IF(AND(Projects!$G$14="Yes",Projects!$J$14="Yes",Projects!$K$14="No",33=Projects!$C$14),Projects!$B$14*Assumptions!$B$47,0))</f>
        <v>0</v>
      </c>
      <c r="AJ80" s="8">
        <f>-(IF(AND(Projects!$G$2="Yes",Projects!$J$2="Yes",Projects!$K$2="No",34=Projects!$C$2),Projects!$B$2*Assumptions!$B$47,0)+IF(AND(Projects!$G$3="Yes",Projects!$J$3="Yes",Projects!$K$3="No",34=Projects!$C$3),Projects!$B$3*Assumptions!$B$47,0)+IF(AND(Projects!$G$4="Yes",Projects!$J$4="Yes",Projects!$K$4="No",34=Projects!$C$4),Projects!$B$4*Assumptions!$B$47,0)+IF(AND(Projects!$G$5="Yes",Projects!$J$5="Yes",Projects!$K$5="No",34=Projects!$C$5),Projects!$B$5*Assumptions!$B$47,0)+IF(AND(Projects!$G$6="Yes",Projects!$J$6="Yes",Projects!$K$6="No",34=Projects!$C$6),Projects!$B$6*Assumptions!$B$47,0)+IF(AND(Projects!$G$7="Yes",Projects!$J$7="Yes",Projects!$K$7="No",34=Projects!$C$7),Projects!$B$7*Assumptions!$B$47,0)+IF(AND(Projects!$G$8="Yes",Projects!$J$8="Yes",Projects!$K$8="No",34=Projects!$C$8),Projects!$B$8*Assumptions!$B$47,0)+IF(AND(Projects!$G$9="Yes",Projects!$J$9="Yes",Projects!$K$9="No",34=Projects!$C$9),Projects!$B$9*Assumptions!$B$47,0)+IF(AND(Projects!$G$10="Yes",Projects!$J$10="Yes",Projects!$K$10="No",34=Projects!$C$10),Projects!$B$10*Assumptions!$B$47,0)+IF(AND(Projects!$G$11="Yes",Projects!$J$11="Yes",Projects!$K$11="No",34=Projects!$C$11),Projects!$B$11*Assumptions!$B$47,0)+IF(AND(Projects!$G$12="Yes",Projects!$J$12="Yes",Projects!$K$12="No",34=Projects!$C$12),Projects!$B$12*Assumptions!$B$47,0)+IF(AND(Projects!$G$13="Yes",Projects!$J$13="Yes",Projects!$K$13="No",34=Projects!$C$13),Projects!$B$13*Assumptions!$B$47,0)+IF(AND(Projects!$G$14="Yes",Projects!$J$14="Yes",Projects!$K$14="No",34=Projects!$C$14),Projects!$B$14*Assumptions!$B$47,0))</f>
        <v>0</v>
      </c>
      <c r="AK80" s="8">
        <f>-(IF(AND(Projects!$G$2="Yes",Projects!$J$2="Yes",Projects!$K$2="No",35=Projects!$C$2),Projects!$B$2*Assumptions!$B$47,0)+IF(AND(Projects!$G$3="Yes",Projects!$J$3="Yes",Projects!$K$3="No",35=Projects!$C$3),Projects!$B$3*Assumptions!$B$47,0)+IF(AND(Projects!$G$4="Yes",Projects!$J$4="Yes",Projects!$K$4="No",35=Projects!$C$4),Projects!$B$4*Assumptions!$B$47,0)+IF(AND(Projects!$G$5="Yes",Projects!$J$5="Yes",Projects!$K$5="No",35=Projects!$C$5),Projects!$B$5*Assumptions!$B$47,0)+IF(AND(Projects!$G$6="Yes",Projects!$J$6="Yes",Projects!$K$6="No",35=Projects!$C$6),Projects!$B$6*Assumptions!$B$47,0)+IF(AND(Projects!$G$7="Yes",Projects!$J$7="Yes",Projects!$K$7="No",35=Projects!$C$7),Projects!$B$7*Assumptions!$B$47,0)+IF(AND(Projects!$G$8="Yes",Projects!$J$8="Yes",Projects!$K$8="No",35=Projects!$C$8),Projects!$B$8*Assumptions!$B$47,0)+IF(AND(Projects!$G$9="Yes",Projects!$J$9="Yes",Projects!$K$9="No",35=Projects!$C$9),Projects!$B$9*Assumptions!$B$47,0)+IF(AND(Projects!$G$10="Yes",Projects!$J$10="Yes",Projects!$K$10="No",35=Projects!$C$10),Projects!$B$10*Assumptions!$B$47,0)+IF(AND(Projects!$G$11="Yes",Projects!$J$11="Yes",Projects!$K$11="No",35=Projects!$C$11),Projects!$B$11*Assumptions!$B$47,0)+IF(AND(Projects!$G$12="Yes",Projects!$J$12="Yes",Projects!$K$12="No",35=Projects!$C$12),Projects!$B$12*Assumptions!$B$47,0)+IF(AND(Projects!$G$13="Yes",Projects!$J$13="Yes",Projects!$K$13="No",35=Projects!$C$13),Projects!$B$13*Assumptions!$B$47,0)+IF(AND(Projects!$G$14="Yes",Projects!$J$14="Yes",Projects!$K$14="No",35=Projects!$C$14),Projects!$B$14*Assumptions!$B$47,0))</f>
        <v>0</v>
      </c>
      <c r="AL80" s="8">
        <f>-(IF(AND(Projects!$G$2="Yes",Projects!$J$2="Yes",Projects!$K$2="No",36=Projects!$C$2),Projects!$B$2*Assumptions!$B$47,0)+IF(AND(Projects!$G$3="Yes",Projects!$J$3="Yes",Projects!$K$3="No",36=Projects!$C$3),Projects!$B$3*Assumptions!$B$47,0)+IF(AND(Projects!$G$4="Yes",Projects!$J$4="Yes",Projects!$K$4="No",36=Projects!$C$4),Projects!$B$4*Assumptions!$B$47,0)+IF(AND(Projects!$G$5="Yes",Projects!$J$5="Yes",Projects!$K$5="No",36=Projects!$C$5),Projects!$B$5*Assumptions!$B$47,0)+IF(AND(Projects!$G$6="Yes",Projects!$J$6="Yes",Projects!$K$6="No",36=Projects!$C$6),Projects!$B$6*Assumptions!$B$47,0)+IF(AND(Projects!$G$7="Yes",Projects!$J$7="Yes",Projects!$K$7="No",36=Projects!$C$7),Projects!$B$7*Assumptions!$B$47,0)+IF(AND(Projects!$G$8="Yes",Projects!$J$8="Yes",Projects!$K$8="No",36=Projects!$C$8),Projects!$B$8*Assumptions!$B$47,0)+IF(AND(Projects!$G$9="Yes",Projects!$J$9="Yes",Projects!$K$9="No",36=Projects!$C$9),Projects!$B$9*Assumptions!$B$47,0)+IF(AND(Projects!$G$10="Yes",Projects!$J$10="Yes",Projects!$K$10="No",36=Projects!$C$10),Projects!$B$10*Assumptions!$B$47,0)+IF(AND(Projects!$G$11="Yes",Projects!$J$11="Yes",Projects!$K$11="No",36=Projects!$C$11),Projects!$B$11*Assumptions!$B$47,0)+IF(AND(Projects!$G$12="Yes",Projects!$J$12="Yes",Projects!$K$12="No",36=Projects!$C$12),Projects!$B$12*Assumptions!$B$47,0)+IF(AND(Projects!$G$13="Yes",Projects!$J$13="Yes",Projects!$K$13="No",36=Projects!$C$13),Projects!$B$13*Assumptions!$B$47,0)+IF(AND(Projects!$G$14="Yes",Projects!$J$14="Yes",Projects!$K$14="No",36=Projects!$C$14),Projects!$B$14*Assumptions!$B$47,0))</f>
        <v>0</v>
      </c>
      <c r="AM80" s="8">
        <f>-(IF(AND(Projects!$G$2="Yes",Projects!$J$2="Yes",Projects!$K$2="No",37=Projects!$C$2),Projects!$B$2*Assumptions!$B$47,0)+IF(AND(Projects!$G$3="Yes",Projects!$J$3="Yes",Projects!$K$3="No",37=Projects!$C$3),Projects!$B$3*Assumptions!$B$47,0)+IF(AND(Projects!$G$4="Yes",Projects!$J$4="Yes",Projects!$K$4="No",37=Projects!$C$4),Projects!$B$4*Assumptions!$B$47,0)+IF(AND(Projects!$G$5="Yes",Projects!$J$5="Yes",Projects!$K$5="No",37=Projects!$C$5),Projects!$B$5*Assumptions!$B$47,0)+IF(AND(Projects!$G$6="Yes",Projects!$J$6="Yes",Projects!$K$6="No",37=Projects!$C$6),Projects!$B$6*Assumptions!$B$47,0)+IF(AND(Projects!$G$7="Yes",Projects!$J$7="Yes",Projects!$K$7="No",37=Projects!$C$7),Projects!$B$7*Assumptions!$B$47,0)+IF(AND(Projects!$G$8="Yes",Projects!$J$8="Yes",Projects!$K$8="No",37=Projects!$C$8),Projects!$B$8*Assumptions!$B$47,0)+IF(AND(Projects!$G$9="Yes",Projects!$J$9="Yes",Projects!$K$9="No",37=Projects!$C$9),Projects!$B$9*Assumptions!$B$47,0)+IF(AND(Projects!$G$10="Yes",Projects!$J$10="Yes",Projects!$K$10="No",37=Projects!$C$10),Projects!$B$10*Assumptions!$B$47,0)+IF(AND(Projects!$G$11="Yes",Projects!$J$11="Yes",Projects!$K$11="No",37=Projects!$C$11),Projects!$B$11*Assumptions!$B$47,0)+IF(AND(Projects!$G$12="Yes",Projects!$J$12="Yes",Projects!$K$12="No",37=Projects!$C$12),Projects!$B$12*Assumptions!$B$47,0)+IF(AND(Projects!$G$13="Yes",Projects!$J$13="Yes",Projects!$K$13="No",37=Projects!$C$13),Projects!$B$13*Assumptions!$B$47,0)+IF(AND(Projects!$G$14="Yes",Projects!$J$14="Yes",Projects!$K$14="No",37=Projects!$C$14),Projects!$B$14*Assumptions!$B$47,0))</f>
        <v>0</v>
      </c>
      <c r="AN80" s="8">
        <f>-(IF(AND(Projects!$G$2="Yes",Projects!$J$2="Yes",Projects!$K$2="No",38=Projects!$C$2),Projects!$B$2*Assumptions!$B$47,0)+IF(AND(Projects!$G$3="Yes",Projects!$J$3="Yes",Projects!$K$3="No",38=Projects!$C$3),Projects!$B$3*Assumptions!$B$47,0)+IF(AND(Projects!$G$4="Yes",Projects!$J$4="Yes",Projects!$K$4="No",38=Projects!$C$4),Projects!$B$4*Assumptions!$B$47,0)+IF(AND(Projects!$G$5="Yes",Projects!$J$5="Yes",Projects!$K$5="No",38=Projects!$C$5),Projects!$B$5*Assumptions!$B$47,0)+IF(AND(Projects!$G$6="Yes",Projects!$J$6="Yes",Projects!$K$6="No",38=Projects!$C$6),Projects!$B$6*Assumptions!$B$47,0)+IF(AND(Projects!$G$7="Yes",Projects!$J$7="Yes",Projects!$K$7="No",38=Projects!$C$7),Projects!$B$7*Assumptions!$B$47,0)+IF(AND(Projects!$G$8="Yes",Projects!$J$8="Yes",Projects!$K$8="No",38=Projects!$C$8),Projects!$B$8*Assumptions!$B$47,0)+IF(AND(Projects!$G$9="Yes",Projects!$J$9="Yes",Projects!$K$9="No",38=Projects!$C$9),Projects!$B$9*Assumptions!$B$47,0)+IF(AND(Projects!$G$10="Yes",Projects!$J$10="Yes",Projects!$K$10="No",38=Projects!$C$10),Projects!$B$10*Assumptions!$B$47,0)+IF(AND(Projects!$G$11="Yes",Projects!$J$11="Yes",Projects!$K$11="No",38=Projects!$C$11),Projects!$B$11*Assumptions!$B$47,0)+IF(AND(Projects!$G$12="Yes",Projects!$J$12="Yes",Projects!$K$12="No",38=Projects!$C$12),Projects!$B$12*Assumptions!$B$47,0)+IF(AND(Projects!$G$13="Yes",Projects!$J$13="Yes",Projects!$K$13="No",38=Projects!$C$13),Projects!$B$13*Assumptions!$B$47,0)+IF(AND(Projects!$G$14="Yes",Projects!$J$14="Yes",Projects!$K$14="No",38=Projects!$C$14),Projects!$B$14*Assumptions!$B$47,0))</f>
        <v>0</v>
      </c>
      <c r="AO80" s="8">
        <f>-(IF(AND(Projects!$G$2="Yes",Projects!$J$2="Yes",Projects!$K$2="No",39=Projects!$C$2),Projects!$B$2*Assumptions!$B$47,0)+IF(AND(Projects!$G$3="Yes",Projects!$J$3="Yes",Projects!$K$3="No",39=Projects!$C$3),Projects!$B$3*Assumptions!$B$47,0)+IF(AND(Projects!$G$4="Yes",Projects!$J$4="Yes",Projects!$K$4="No",39=Projects!$C$4),Projects!$B$4*Assumptions!$B$47,0)+IF(AND(Projects!$G$5="Yes",Projects!$J$5="Yes",Projects!$K$5="No",39=Projects!$C$5),Projects!$B$5*Assumptions!$B$47,0)+IF(AND(Projects!$G$6="Yes",Projects!$J$6="Yes",Projects!$K$6="No",39=Projects!$C$6),Projects!$B$6*Assumptions!$B$47,0)+IF(AND(Projects!$G$7="Yes",Projects!$J$7="Yes",Projects!$K$7="No",39=Projects!$C$7),Projects!$B$7*Assumptions!$B$47,0)+IF(AND(Projects!$G$8="Yes",Projects!$J$8="Yes",Projects!$K$8="No",39=Projects!$C$8),Projects!$B$8*Assumptions!$B$47,0)+IF(AND(Projects!$G$9="Yes",Projects!$J$9="Yes",Projects!$K$9="No",39=Projects!$C$9),Projects!$B$9*Assumptions!$B$47,0)+IF(AND(Projects!$G$10="Yes",Projects!$J$10="Yes",Projects!$K$10="No",39=Projects!$C$10),Projects!$B$10*Assumptions!$B$47,0)+IF(AND(Projects!$G$11="Yes",Projects!$J$11="Yes",Projects!$K$11="No",39=Projects!$C$11),Projects!$B$11*Assumptions!$B$47,0)+IF(AND(Projects!$G$12="Yes",Projects!$J$12="Yes",Projects!$K$12="No",39=Projects!$C$12),Projects!$B$12*Assumptions!$B$47,0)+IF(AND(Projects!$G$13="Yes",Projects!$J$13="Yes",Projects!$K$13="No",39=Projects!$C$13),Projects!$B$13*Assumptions!$B$47,0)+IF(AND(Projects!$G$14="Yes",Projects!$J$14="Yes",Projects!$K$14="No",39=Projects!$C$14),Projects!$B$14*Assumptions!$B$47,0))</f>
        <v>0</v>
      </c>
      <c r="AP80" s="8">
        <f>-(IF(AND(Projects!$G$2="Yes",Projects!$J$2="Yes",Projects!$K$2="No",40=Projects!$C$2),Projects!$B$2*Assumptions!$B$47,0)+IF(AND(Projects!$G$3="Yes",Projects!$J$3="Yes",Projects!$K$3="No",40=Projects!$C$3),Projects!$B$3*Assumptions!$B$47,0)+IF(AND(Projects!$G$4="Yes",Projects!$J$4="Yes",Projects!$K$4="No",40=Projects!$C$4),Projects!$B$4*Assumptions!$B$47,0)+IF(AND(Projects!$G$5="Yes",Projects!$J$5="Yes",Projects!$K$5="No",40=Projects!$C$5),Projects!$B$5*Assumptions!$B$47,0)+IF(AND(Projects!$G$6="Yes",Projects!$J$6="Yes",Projects!$K$6="No",40=Projects!$C$6),Projects!$B$6*Assumptions!$B$47,0)+IF(AND(Projects!$G$7="Yes",Projects!$J$7="Yes",Projects!$K$7="No",40=Projects!$C$7),Projects!$B$7*Assumptions!$B$47,0)+IF(AND(Projects!$G$8="Yes",Projects!$J$8="Yes",Projects!$K$8="No",40=Projects!$C$8),Projects!$B$8*Assumptions!$B$47,0)+IF(AND(Projects!$G$9="Yes",Projects!$J$9="Yes",Projects!$K$9="No",40=Projects!$C$9),Projects!$B$9*Assumptions!$B$47,0)+IF(AND(Projects!$G$10="Yes",Projects!$J$10="Yes",Projects!$K$10="No",40=Projects!$C$10),Projects!$B$10*Assumptions!$B$47,0)+IF(AND(Projects!$G$11="Yes",Projects!$J$11="Yes",Projects!$K$11="No",40=Projects!$C$11),Projects!$B$11*Assumptions!$B$47,0)+IF(AND(Projects!$G$12="Yes",Projects!$J$12="Yes",Projects!$K$12="No",40=Projects!$C$12),Projects!$B$12*Assumptions!$B$47,0)+IF(AND(Projects!$G$13="Yes",Projects!$J$13="Yes",Projects!$K$13="No",40=Projects!$C$13),Projects!$B$13*Assumptions!$B$47,0)+IF(AND(Projects!$G$14="Yes",Projects!$J$14="Yes",Projects!$K$14="No",40=Projects!$C$14),Projects!$B$14*Assumptions!$B$47,0))</f>
        <v>0</v>
      </c>
      <c r="AQ80" s="8">
        <f>-(IF(AND(Projects!$G$2="Yes",Projects!$J$2="Yes",Projects!$K$2="No",41=Projects!$C$2),Projects!$B$2*Assumptions!$B$47,0)+IF(AND(Projects!$G$3="Yes",Projects!$J$3="Yes",Projects!$K$3="No",41=Projects!$C$3),Projects!$B$3*Assumptions!$B$47,0)+IF(AND(Projects!$G$4="Yes",Projects!$J$4="Yes",Projects!$K$4="No",41=Projects!$C$4),Projects!$B$4*Assumptions!$B$47,0)+IF(AND(Projects!$G$5="Yes",Projects!$J$5="Yes",Projects!$K$5="No",41=Projects!$C$5),Projects!$B$5*Assumptions!$B$47,0)+IF(AND(Projects!$G$6="Yes",Projects!$J$6="Yes",Projects!$K$6="No",41=Projects!$C$6),Projects!$B$6*Assumptions!$B$47,0)+IF(AND(Projects!$G$7="Yes",Projects!$J$7="Yes",Projects!$K$7="No",41=Projects!$C$7),Projects!$B$7*Assumptions!$B$47,0)+IF(AND(Projects!$G$8="Yes",Projects!$J$8="Yes",Projects!$K$8="No",41=Projects!$C$8),Projects!$B$8*Assumptions!$B$47,0)+IF(AND(Projects!$G$9="Yes",Projects!$J$9="Yes",Projects!$K$9="No",41=Projects!$C$9),Projects!$B$9*Assumptions!$B$47,0)+IF(AND(Projects!$G$10="Yes",Projects!$J$10="Yes",Projects!$K$10="No",41=Projects!$C$10),Projects!$B$10*Assumptions!$B$47,0)+IF(AND(Projects!$G$11="Yes",Projects!$J$11="Yes",Projects!$K$11="No",41=Projects!$C$11),Projects!$B$11*Assumptions!$B$47,0)+IF(AND(Projects!$G$12="Yes",Projects!$J$12="Yes",Projects!$K$12="No",41=Projects!$C$12),Projects!$B$12*Assumptions!$B$47,0)+IF(AND(Projects!$G$13="Yes",Projects!$J$13="Yes",Projects!$K$13="No",41=Projects!$C$13),Projects!$B$13*Assumptions!$B$47,0)+IF(AND(Projects!$G$14="Yes",Projects!$J$14="Yes",Projects!$K$14="No",41=Projects!$C$14),Projects!$B$14*Assumptions!$B$47,0))</f>
        <v>0</v>
      </c>
      <c r="AR80" s="8">
        <f>-(IF(AND(Projects!$G$2="Yes",Projects!$J$2="Yes",Projects!$K$2="No",42=Projects!$C$2),Projects!$B$2*Assumptions!$B$47,0)+IF(AND(Projects!$G$3="Yes",Projects!$J$3="Yes",Projects!$K$3="No",42=Projects!$C$3),Projects!$B$3*Assumptions!$B$47,0)+IF(AND(Projects!$G$4="Yes",Projects!$J$4="Yes",Projects!$K$4="No",42=Projects!$C$4),Projects!$B$4*Assumptions!$B$47,0)+IF(AND(Projects!$G$5="Yes",Projects!$J$5="Yes",Projects!$K$5="No",42=Projects!$C$5),Projects!$B$5*Assumptions!$B$47,0)+IF(AND(Projects!$G$6="Yes",Projects!$J$6="Yes",Projects!$K$6="No",42=Projects!$C$6),Projects!$B$6*Assumptions!$B$47,0)+IF(AND(Projects!$G$7="Yes",Projects!$J$7="Yes",Projects!$K$7="No",42=Projects!$C$7),Projects!$B$7*Assumptions!$B$47,0)+IF(AND(Projects!$G$8="Yes",Projects!$J$8="Yes",Projects!$K$8="No",42=Projects!$C$8),Projects!$B$8*Assumptions!$B$47,0)+IF(AND(Projects!$G$9="Yes",Projects!$J$9="Yes",Projects!$K$9="No",42=Projects!$C$9),Projects!$B$9*Assumptions!$B$47,0)+IF(AND(Projects!$G$10="Yes",Projects!$J$10="Yes",Projects!$K$10="No",42=Projects!$C$10),Projects!$B$10*Assumptions!$B$47,0)+IF(AND(Projects!$G$11="Yes",Projects!$J$11="Yes",Projects!$K$11="No",42=Projects!$C$11),Projects!$B$11*Assumptions!$B$47,0)+IF(AND(Projects!$G$12="Yes",Projects!$J$12="Yes",Projects!$K$12="No",42=Projects!$C$12),Projects!$B$12*Assumptions!$B$47,0)+IF(AND(Projects!$G$13="Yes",Projects!$J$13="Yes",Projects!$K$13="No",42=Projects!$C$13),Projects!$B$13*Assumptions!$B$47,0)+IF(AND(Projects!$G$14="Yes",Projects!$J$14="Yes",Projects!$K$14="No",42=Projects!$C$14),Projects!$B$14*Assumptions!$B$47,0))</f>
        <v>0</v>
      </c>
      <c r="AS80" s="8">
        <f>-(IF(AND(Projects!$G$2="Yes",Projects!$J$2="Yes",Projects!$K$2="No",43=Projects!$C$2),Projects!$B$2*Assumptions!$B$47,0)+IF(AND(Projects!$G$3="Yes",Projects!$J$3="Yes",Projects!$K$3="No",43=Projects!$C$3),Projects!$B$3*Assumptions!$B$47,0)+IF(AND(Projects!$G$4="Yes",Projects!$J$4="Yes",Projects!$K$4="No",43=Projects!$C$4),Projects!$B$4*Assumptions!$B$47,0)+IF(AND(Projects!$G$5="Yes",Projects!$J$5="Yes",Projects!$K$5="No",43=Projects!$C$5),Projects!$B$5*Assumptions!$B$47,0)+IF(AND(Projects!$G$6="Yes",Projects!$J$6="Yes",Projects!$K$6="No",43=Projects!$C$6),Projects!$B$6*Assumptions!$B$47,0)+IF(AND(Projects!$G$7="Yes",Projects!$J$7="Yes",Projects!$K$7="No",43=Projects!$C$7),Projects!$B$7*Assumptions!$B$47,0)+IF(AND(Projects!$G$8="Yes",Projects!$J$8="Yes",Projects!$K$8="No",43=Projects!$C$8),Projects!$B$8*Assumptions!$B$47,0)+IF(AND(Projects!$G$9="Yes",Projects!$J$9="Yes",Projects!$K$9="No",43=Projects!$C$9),Projects!$B$9*Assumptions!$B$47,0)+IF(AND(Projects!$G$10="Yes",Projects!$J$10="Yes",Projects!$K$10="No",43=Projects!$C$10),Projects!$B$10*Assumptions!$B$47,0)+IF(AND(Projects!$G$11="Yes",Projects!$J$11="Yes",Projects!$K$11="No",43=Projects!$C$11),Projects!$B$11*Assumptions!$B$47,0)+IF(AND(Projects!$G$12="Yes",Projects!$J$12="Yes",Projects!$K$12="No",43=Projects!$C$12),Projects!$B$12*Assumptions!$B$47,0)+IF(AND(Projects!$G$13="Yes",Projects!$J$13="Yes",Projects!$K$13="No",43=Projects!$C$13),Projects!$B$13*Assumptions!$B$47,0)+IF(AND(Projects!$G$14="Yes",Projects!$J$14="Yes",Projects!$K$14="No",43=Projects!$C$14),Projects!$B$14*Assumptions!$B$47,0))</f>
        <v>0</v>
      </c>
      <c r="AT80" s="8">
        <f>-(IF(AND(Projects!$G$2="Yes",Projects!$J$2="Yes",Projects!$K$2="No",44=Projects!$C$2),Projects!$B$2*Assumptions!$B$47,0)+IF(AND(Projects!$G$3="Yes",Projects!$J$3="Yes",Projects!$K$3="No",44=Projects!$C$3),Projects!$B$3*Assumptions!$B$47,0)+IF(AND(Projects!$G$4="Yes",Projects!$J$4="Yes",Projects!$K$4="No",44=Projects!$C$4),Projects!$B$4*Assumptions!$B$47,0)+IF(AND(Projects!$G$5="Yes",Projects!$J$5="Yes",Projects!$K$5="No",44=Projects!$C$5),Projects!$B$5*Assumptions!$B$47,0)+IF(AND(Projects!$G$6="Yes",Projects!$J$6="Yes",Projects!$K$6="No",44=Projects!$C$6),Projects!$B$6*Assumptions!$B$47,0)+IF(AND(Projects!$G$7="Yes",Projects!$J$7="Yes",Projects!$K$7="No",44=Projects!$C$7),Projects!$B$7*Assumptions!$B$47,0)+IF(AND(Projects!$G$8="Yes",Projects!$J$8="Yes",Projects!$K$8="No",44=Projects!$C$8),Projects!$B$8*Assumptions!$B$47,0)+IF(AND(Projects!$G$9="Yes",Projects!$J$9="Yes",Projects!$K$9="No",44=Projects!$C$9),Projects!$B$9*Assumptions!$B$47,0)+IF(AND(Projects!$G$10="Yes",Projects!$J$10="Yes",Projects!$K$10="No",44=Projects!$C$10),Projects!$B$10*Assumptions!$B$47,0)+IF(AND(Projects!$G$11="Yes",Projects!$J$11="Yes",Projects!$K$11="No",44=Projects!$C$11),Projects!$B$11*Assumptions!$B$47,0)+IF(AND(Projects!$G$12="Yes",Projects!$J$12="Yes",Projects!$K$12="No",44=Projects!$C$12),Projects!$B$12*Assumptions!$B$47,0)+IF(AND(Projects!$G$13="Yes",Projects!$J$13="Yes",Projects!$K$13="No",44=Projects!$C$13),Projects!$B$13*Assumptions!$B$47,0)+IF(AND(Projects!$G$14="Yes",Projects!$J$14="Yes",Projects!$K$14="No",44=Projects!$C$14),Projects!$B$14*Assumptions!$B$47,0))</f>
        <v>0</v>
      </c>
      <c r="AU80" s="8">
        <f>-(IF(AND(Projects!$G$2="Yes",Projects!$J$2="Yes",Projects!$K$2="No",45=Projects!$C$2),Projects!$B$2*Assumptions!$B$47,0)+IF(AND(Projects!$G$3="Yes",Projects!$J$3="Yes",Projects!$K$3="No",45=Projects!$C$3),Projects!$B$3*Assumptions!$B$47,0)+IF(AND(Projects!$G$4="Yes",Projects!$J$4="Yes",Projects!$K$4="No",45=Projects!$C$4),Projects!$B$4*Assumptions!$B$47,0)+IF(AND(Projects!$G$5="Yes",Projects!$J$5="Yes",Projects!$K$5="No",45=Projects!$C$5),Projects!$B$5*Assumptions!$B$47,0)+IF(AND(Projects!$G$6="Yes",Projects!$J$6="Yes",Projects!$K$6="No",45=Projects!$C$6),Projects!$B$6*Assumptions!$B$47,0)+IF(AND(Projects!$G$7="Yes",Projects!$J$7="Yes",Projects!$K$7="No",45=Projects!$C$7),Projects!$B$7*Assumptions!$B$47,0)+IF(AND(Projects!$G$8="Yes",Projects!$J$8="Yes",Projects!$K$8="No",45=Projects!$C$8),Projects!$B$8*Assumptions!$B$47,0)+IF(AND(Projects!$G$9="Yes",Projects!$J$9="Yes",Projects!$K$9="No",45=Projects!$C$9),Projects!$B$9*Assumptions!$B$47,0)+IF(AND(Projects!$G$10="Yes",Projects!$J$10="Yes",Projects!$K$10="No",45=Projects!$C$10),Projects!$B$10*Assumptions!$B$47,0)+IF(AND(Projects!$G$11="Yes",Projects!$J$11="Yes",Projects!$K$11="No",45=Projects!$C$11),Projects!$B$11*Assumptions!$B$47,0)+IF(AND(Projects!$G$12="Yes",Projects!$J$12="Yes",Projects!$K$12="No",45=Projects!$C$12),Projects!$B$12*Assumptions!$B$47,0)+IF(AND(Projects!$G$13="Yes",Projects!$J$13="Yes",Projects!$K$13="No",45=Projects!$C$13),Projects!$B$13*Assumptions!$B$47,0)+IF(AND(Projects!$G$14="Yes",Projects!$J$14="Yes",Projects!$K$14="No",45=Projects!$C$14),Projects!$B$14*Assumptions!$B$47,0))</f>
        <v>0</v>
      </c>
      <c r="AV80" s="8">
        <f>-(IF(AND(Projects!$G$2="Yes",Projects!$J$2="Yes",Projects!$K$2="No",46=Projects!$C$2),Projects!$B$2*Assumptions!$B$47,0)+IF(AND(Projects!$G$3="Yes",Projects!$J$3="Yes",Projects!$K$3="No",46=Projects!$C$3),Projects!$B$3*Assumptions!$B$47,0)+IF(AND(Projects!$G$4="Yes",Projects!$J$4="Yes",Projects!$K$4="No",46=Projects!$C$4),Projects!$B$4*Assumptions!$B$47,0)+IF(AND(Projects!$G$5="Yes",Projects!$J$5="Yes",Projects!$K$5="No",46=Projects!$C$5),Projects!$B$5*Assumptions!$B$47,0)+IF(AND(Projects!$G$6="Yes",Projects!$J$6="Yes",Projects!$K$6="No",46=Projects!$C$6),Projects!$B$6*Assumptions!$B$47,0)+IF(AND(Projects!$G$7="Yes",Projects!$J$7="Yes",Projects!$K$7="No",46=Projects!$C$7),Projects!$B$7*Assumptions!$B$47,0)+IF(AND(Projects!$G$8="Yes",Projects!$J$8="Yes",Projects!$K$8="No",46=Projects!$C$8),Projects!$B$8*Assumptions!$B$47,0)+IF(AND(Projects!$G$9="Yes",Projects!$J$9="Yes",Projects!$K$9="No",46=Projects!$C$9),Projects!$B$9*Assumptions!$B$47,0)+IF(AND(Projects!$G$10="Yes",Projects!$J$10="Yes",Projects!$K$10="No",46=Projects!$C$10),Projects!$B$10*Assumptions!$B$47,0)+IF(AND(Projects!$G$11="Yes",Projects!$J$11="Yes",Projects!$K$11="No",46=Projects!$C$11),Projects!$B$11*Assumptions!$B$47,0)+IF(AND(Projects!$G$12="Yes",Projects!$J$12="Yes",Projects!$K$12="No",46=Projects!$C$12),Projects!$B$12*Assumptions!$B$47,0)+IF(AND(Projects!$G$13="Yes",Projects!$J$13="Yes",Projects!$K$13="No",46=Projects!$C$13),Projects!$B$13*Assumptions!$B$47,0)+IF(AND(Projects!$G$14="Yes",Projects!$J$14="Yes",Projects!$K$14="No",46=Projects!$C$14),Projects!$B$14*Assumptions!$B$47,0))</f>
        <v>0</v>
      </c>
      <c r="AW80" s="8">
        <f>-(IF(AND(Projects!$G$2="Yes",Projects!$J$2="Yes",Projects!$K$2="No",47=Projects!$C$2),Projects!$B$2*Assumptions!$B$47,0)+IF(AND(Projects!$G$3="Yes",Projects!$J$3="Yes",Projects!$K$3="No",47=Projects!$C$3),Projects!$B$3*Assumptions!$B$47,0)+IF(AND(Projects!$G$4="Yes",Projects!$J$4="Yes",Projects!$K$4="No",47=Projects!$C$4),Projects!$B$4*Assumptions!$B$47,0)+IF(AND(Projects!$G$5="Yes",Projects!$J$5="Yes",Projects!$K$5="No",47=Projects!$C$5),Projects!$B$5*Assumptions!$B$47,0)+IF(AND(Projects!$G$6="Yes",Projects!$J$6="Yes",Projects!$K$6="No",47=Projects!$C$6),Projects!$B$6*Assumptions!$B$47,0)+IF(AND(Projects!$G$7="Yes",Projects!$J$7="Yes",Projects!$K$7="No",47=Projects!$C$7),Projects!$B$7*Assumptions!$B$47,0)+IF(AND(Projects!$G$8="Yes",Projects!$J$8="Yes",Projects!$K$8="No",47=Projects!$C$8),Projects!$B$8*Assumptions!$B$47,0)+IF(AND(Projects!$G$9="Yes",Projects!$J$9="Yes",Projects!$K$9="No",47=Projects!$C$9),Projects!$B$9*Assumptions!$B$47,0)+IF(AND(Projects!$G$10="Yes",Projects!$J$10="Yes",Projects!$K$10="No",47=Projects!$C$10),Projects!$B$10*Assumptions!$B$47,0)+IF(AND(Projects!$G$11="Yes",Projects!$J$11="Yes",Projects!$K$11="No",47=Projects!$C$11),Projects!$B$11*Assumptions!$B$47,0)+IF(AND(Projects!$G$12="Yes",Projects!$J$12="Yes",Projects!$K$12="No",47=Projects!$C$12),Projects!$B$12*Assumptions!$B$47,0)+IF(AND(Projects!$G$13="Yes",Projects!$J$13="Yes",Projects!$K$13="No",47=Projects!$C$13),Projects!$B$13*Assumptions!$B$47,0)+IF(AND(Projects!$G$14="Yes",Projects!$J$14="Yes",Projects!$K$14="No",47=Projects!$C$14),Projects!$B$14*Assumptions!$B$47,0))</f>
        <v>0</v>
      </c>
      <c r="AX80" s="8">
        <f>-(IF(AND(Projects!$G$2="Yes",Projects!$J$2="Yes",Projects!$K$2="No",48=Projects!$C$2),Projects!$B$2*Assumptions!$B$47,0)+IF(AND(Projects!$G$3="Yes",Projects!$J$3="Yes",Projects!$K$3="No",48=Projects!$C$3),Projects!$B$3*Assumptions!$B$47,0)+IF(AND(Projects!$G$4="Yes",Projects!$J$4="Yes",Projects!$K$4="No",48=Projects!$C$4),Projects!$B$4*Assumptions!$B$47,0)+IF(AND(Projects!$G$5="Yes",Projects!$J$5="Yes",Projects!$K$5="No",48=Projects!$C$5),Projects!$B$5*Assumptions!$B$47,0)+IF(AND(Projects!$G$6="Yes",Projects!$J$6="Yes",Projects!$K$6="No",48=Projects!$C$6),Projects!$B$6*Assumptions!$B$47,0)+IF(AND(Projects!$G$7="Yes",Projects!$J$7="Yes",Projects!$K$7="No",48=Projects!$C$7),Projects!$B$7*Assumptions!$B$47,0)+IF(AND(Projects!$G$8="Yes",Projects!$J$8="Yes",Projects!$K$8="No",48=Projects!$C$8),Projects!$B$8*Assumptions!$B$47,0)+IF(AND(Projects!$G$9="Yes",Projects!$J$9="Yes",Projects!$K$9="No",48=Projects!$C$9),Projects!$B$9*Assumptions!$B$47,0)+IF(AND(Projects!$G$10="Yes",Projects!$J$10="Yes",Projects!$K$10="No",48=Projects!$C$10),Projects!$B$10*Assumptions!$B$47,0)+IF(AND(Projects!$G$11="Yes",Projects!$J$11="Yes",Projects!$K$11="No",48=Projects!$C$11),Projects!$B$11*Assumptions!$B$47,0)+IF(AND(Projects!$G$12="Yes",Projects!$J$12="Yes",Projects!$K$12="No",48=Projects!$C$12),Projects!$B$12*Assumptions!$B$47,0)+IF(AND(Projects!$G$13="Yes",Projects!$J$13="Yes",Projects!$K$13="No",48=Projects!$C$13),Projects!$B$13*Assumptions!$B$47,0)+IF(AND(Projects!$G$14="Yes",Projects!$J$14="Yes",Projects!$K$14="No",48=Projects!$C$14),Projects!$B$14*Assumptions!$B$47,0))</f>
        <v>0</v>
      </c>
      <c r="AY80" s="8">
        <f>-(IF(AND(Projects!$G$2="Yes",Projects!$J$2="Yes",Projects!$K$2="No",49=Projects!$C$2),Projects!$B$2*Assumptions!$B$47,0)+IF(AND(Projects!$G$3="Yes",Projects!$J$3="Yes",Projects!$K$3="No",49=Projects!$C$3),Projects!$B$3*Assumptions!$B$47,0)+IF(AND(Projects!$G$4="Yes",Projects!$J$4="Yes",Projects!$K$4="No",49=Projects!$C$4),Projects!$B$4*Assumptions!$B$47,0)+IF(AND(Projects!$G$5="Yes",Projects!$J$5="Yes",Projects!$K$5="No",49=Projects!$C$5),Projects!$B$5*Assumptions!$B$47,0)+IF(AND(Projects!$G$6="Yes",Projects!$J$6="Yes",Projects!$K$6="No",49=Projects!$C$6),Projects!$B$6*Assumptions!$B$47,0)+IF(AND(Projects!$G$7="Yes",Projects!$J$7="Yes",Projects!$K$7="No",49=Projects!$C$7),Projects!$B$7*Assumptions!$B$47,0)+IF(AND(Projects!$G$8="Yes",Projects!$J$8="Yes",Projects!$K$8="No",49=Projects!$C$8),Projects!$B$8*Assumptions!$B$47,0)+IF(AND(Projects!$G$9="Yes",Projects!$J$9="Yes",Projects!$K$9="No",49=Projects!$C$9),Projects!$B$9*Assumptions!$B$47,0)+IF(AND(Projects!$G$10="Yes",Projects!$J$10="Yes",Projects!$K$10="No",49=Projects!$C$10),Projects!$B$10*Assumptions!$B$47,0)+IF(AND(Projects!$G$11="Yes",Projects!$J$11="Yes",Projects!$K$11="No",49=Projects!$C$11),Projects!$B$11*Assumptions!$B$47,0)+IF(AND(Projects!$G$12="Yes",Projects!$J$12="Yes",Projects!$K$12="No",49=Projects!$C$12),Projects!$B$12*Assumptions!$B$47,0)+IF(AND(Projects!$G$13="Yes",Projects!$J$13="Yes",Projects!$K$13="No",49=Projects!$C$13),Projects!$B$13*Assumptions!$B$47,0)+IF(AND(Projects!$G$14="Yes",Projects!$J$14="Yes",Projects!$K$14="No",49=Projects!$C$14),Projects!$B$14*Assumptions!$B$47,0))</f>
        <v>0</v>
      </c>
      <c r="AZ80" s="8">
        <f>-(IF(AND(Projects!$G$2="Yes",Projects!$J$2="Yes",Projects!$K$2="No",50=Projects!$C$2),Projects!$B$2*Assumptions!$B$47,0)+IF(AND(Projects!$G$3="Yes",Projects!$J$3="Yes",Projects!$K$3="No",50=Projects!$C$3),Projects!$B$3*Assumptions!$B$47,0)+IF(AND(Projects!$G$4="Yes",Projects!$J$4="Yes",Projects!$K$4="No",50=Projects!$C$4),Projects!$B$4*Assumptions!$B$47,0)+IF(AND(Projects!$G$5="Yes",Projects!$J$5="Yes",Projects!$K$5="No",50=Projects!$C$5),Projects!$B$5*Assumptions!$B$47,0)+IF(AND(Projects!$G$6="Yes",Projects!$J$6="Yes",Projects!$K$6="No",50=Projects!$C$6),Projects!$B$6*Assumptions!$B$47,0)+IF(AND(Projects!$G$7="Yes",Projects!$J$7="Yes",Projects!$K$7="No",50=Projects!$C$7),Projects!$B$7*Assumptions!$B$47,0)+IF(AND(Projects!$G$8="Yes",Projects!$J$8="Yes",Projects!$K$8="No",50=Projects!$C$8),Projects!$B$8*Assumptions!$B$47,0)+IF(AND(Projects!$G$9="Yes",Projects!$J$9="Yes",Projects!$K$9="No",50=Projects!$C$9),Projects!$B$9*Assumptions!$B$47,0)+IF(AND(Projects!$G$10="Yes",Projects!$J$10="Yes",Projects!$K$10="No",50=Projects!$C$10),Projects!$B$10*Assumptions!$B$47,0)+IF(AND(Projects!$G$11="Yes",Projects!$J$11="Yes",Projects!$K$11="No",50=Projects!$C$11),Projects!$B$11*Assumptions!$B$47,0)+IF(AND(Projects!$G$12="Yes",Projects!$J$12="Yes",Projects!$K$12="No",50=Projects!$C$12),Projects!$B$12*Assumptions!$B$47,0)+IF(AND(Projects!$G$13="Yes",Projects!$J$13="Yes",Projects!$K$13="No",50=Projects!$C$13),Projects!$B$13*Assumptions!$B$47,0)+IF(AND(Projects!$G$14="Yes",Projects!$J$14="Yes",Projects!$K$14="No",50=Projects!$C$14),Projects!$B$14*Assumptions!$B$47,0))</f>
        <v>0</v>
      </c>
      <c r="BA80" s="8">
        <f>-(IF(AND(Projects!$G$2="Yes",Projects!$J$2="Yes",Projects!$K$2="No",51=Projects!$C$2),Projects!$B$2*Assumptions!$B$47,0)+IF(AND(Projects!$G$3="Yes",Projects!$J$3="Yes",Projects!$K$3="No",51=Projects!$C$3),Projects!$B$3*Assumptions!$B$47,0)+IF(AND(Projects!$G$4="Yes",Projects!$J$4="Yes",Projects!$K$4="No",51=Projects!$C$4),Projects!$B$4*Assumptions!$B$47,0)+IF(AND(Projects!$G$5="Yes",Projects!$J$5="Yes",Projects!$K$5="No",51=Projects!$C$5),Projects!$B$5*Assumptions!$B$47,0)+IF(AND(Projects!$G$6="Yes",Projects!$J$6="Yes",Projects!$K$6="No",51=Projects!$C$6),Projects!$B$6*Assumptions!$B$47,0)+IF(AND(Projects!$G$7="Yes",Projects!$J$7="Yes",Projects!$K$7="No",51=Projects!$C$7),Projects!$B$7*Assumptions!$B$47,0)+IF(AND(Projects!$G$8="Yes",Projects!$J$8="Yes",Projects!$K$8="No",51=Projects!$C$8),Projects!$B$8*Assumptions!$B$47,0)+IF(AND(Projects!$G$9="Yes",Projects!$J$9="Yes",Projects!$K$9="No",51=Projects!$C$9),Projects!$B$9*Assumptions!$B$47,0)+IF(AND(Projects!$G$10="Yes",Projects!$J$10="Yes",Projects!$K$10="No",51=Projects!$C$10),Projects!$B$10*Assumptions!$B$47,0)+IF(AND(Projects!$G$11="Yes",Projects!$J$11="Yes",Projects!$K$11="No",51=Projects!$C$11),Projects!$B$11*Assumptions!$B$47,0)+IF(AND(Projects!$G$12="Yes",Projects!$J$12="Yes",Projects!$K$12="No",51=Projects!$C$12),Projects!$B$12*Assumptions!$B$47,0)+IF(AND(Projects!$G$13="Yes",Projects!$J$13="Yes",Projects!$K$13="No",51=Projects!$C$13),Projects!$B$13*Assumptions!$B$47,0)+IF(AND(Projects!$G$14="Yes",Projects!$J$14="Yes",Projects!$K$14="No",51=Projects!$C$14),Projects!$B$14*Assumptions!$B$47,0))</f>
        <v>0</v>
      </c>
      <c r="BB80" s="8">
        <f>-(IF(AND(Projects!$G$2="Yes",Projects!$J$2="Yes",Projects!$K$2="No",52=Projects!$C$2),Projects!$B$2*Assumptions!$B$47,0)+IF(AND(Projects!$G$3="Yes",Projects!$J$3="Yes",Projects!$K$3="No",52=Projects!$C$3),Projects!$B$3*Assumptions!$B$47,0)+IF(AND(Projects!$G$4="Yes",Projects!$J$4="Yes",Projects!$K$4="No",52=Projects!$C$4),Projects!$B$4*Assumptions!$B$47,0)+IF(AND(Projects!$G$5="Yes",Projects!$J$5="Yes",Projects!$K$5="No",52=Projects!$C$5),Projects!$B$5*Assumptions!$B$47,0)+IF(AND(Projects!$G$6="Yes",Projects!$J$6="Yes",Projects!$K$6="No",52=Projects!$C$6),Projects!$B$6*Assumptions!$B$47,0)+IF(AND(Projects!$G$7="Yes",Projects!$J$7="Yes",Projects!$K$7="No",52=Projects!$C$7),Projects!$B$7*Assumptions!$B$47,0)+IF(AND(Projects!$G$8="Yes",Projects!$J$8="Yes",Projects!$K$8="No",52=Projects!$C$8),Projects!$B$8*Assumptions!$B$47,0)+IF(AND(Projects!$G$9="Yes",Projects!$J$9="Yes",Projects!$K$9="No",52=Projects!$C$9),Projects!$B$9*Assumptions!$B$47,0)+IF(AND(Projects!$G$10="Yes",Projects!$J$10="Yes",Projects!$K$10="No",52=Projects!$C$10),Projects!$B$10*Assumptions!$B$47,0)+IF(AND(Projects!$G$11="Yes",Projects!$J$11="Yes",Projects!$K$11="No",52=Projects!$C$11),Projects!$B$11*Assumptions!$B$47,0)+IF(AND(Projects!$G$12="Yes",Projects!$J$12="Yes",Projects!$K$12="No",52=Projects!$C$12),Projects!$B$12*Assumptions!$B$47,0)+IF(AND(Projects!$G$13="Yes",Projects!$J$13="Yes",Projects!$K$13="No",52=Projects!$C$13),Projects!$B$13*Assumptions!$B$47,0)+IF(AND(Projects!$G$14="Yes",Projects!$J$14="Yes",Projects!$K$14="No",52=Projects!$C$14),Projects!$B$14*Assumptions!$B$47,0))</f>
        <v>0</v>
      </c>
      <c r="BC80" s="8">
        <f>-(IF(AND(Projects!$G$2="Yes",Projects!$J$2="Yes",Projects!$K$2="No",53=Projects!$C$2),Projects!$B$2*Assumptions!$B$47,0)+IF(AND(Projects!$G$3="Yes",Projects!$J$3="Yes",Projects!$K$3="No",53=Projects!$C$3),Projects!$B$3*Assumptions!$B$47,0)+IF(AND(Projects!$G$4="Yes",Projects!$J$4="Yes",Projects!$K$4="No",53=Projects!$C$4),Projects!$B$4*Assumptions!$B$47,0)+IF(AND(Projects!$G$5="Yes",Projects!$J$5="Yes",Projects!$K$5="No",53=Projects!$C$5),Projects!$B$5*Assumptions!$B$47,0)+IF(AND(Projects!$G$6="Yes",Projects!$J$6="Yes",Projects!$K$6="No",53=Projects!$C$6),Projects!$B$6*Assumptions!$B$47,0)+IF(AND(Projects!$G$7="Yes",Projects!$J$7="Yes",Projects!$K$7="No",53=Projects!$C$7),Projects!$B$7*Assumptions!$B$47,0)+IF(AND(Projects!$G$8="Yes",Projects!$J$8="Yes",Projects!$K$8="No",53=Projects!$C$8),Projects!$B$8*Assumptions!$B$47,0)+IF(AND(Projects!$G$9="Yes",Projects!$J$9="Yes",Projects!$K$9="No",53=Projects!$C$9),Projects!$B$9*Assumptions!$B$47,0)+IF(AND(Projects!$G$10="Yes",Projects!$J$10="Yes",Projects!$K$10="No",53=Projects!$C$10),Projects!$B$10*Assumptions!$B$47,0)+IF(AND(Projects!$G$11="Yes",Projects!$J$11="Yes",Projects!$K$11="No",53=Projects!$C$11),Projects!$B$11*Assumptions!$B$47,0)+IF(AND(Projects!$G$12="Yes",Projects!$J$12="Yes",Projects!$K$12="No",53=Projects!$C$12),Projects!$B$12*Assumptions!$B$47,0)+IF(AND(Projects!$G$13="Yes",Projects!$J$13="Yes",Projects!$K$13="No",53=Projects!$C$13),Projects!$B$13*Assumptions!$B$47,0)+IF(AND(Projects!$G$14="Yes",Projects!$J$14="Yes",Projects!$K$14="No",53=Projects!$C$14),Projects!$B$14*Assumptions!$B$47,0))</f>
        <v>0</v>
      </c>
      <c r="BD80" s="8">
        <f>-(IF(AND(Projects!$G$2="Yes",Projects!$J$2="Yes",Projects!$K$2="No",54=Projects!$C$2),Projects!$B$2*Assumptions!$B$47,0)+IF(AND(Projects!$G$3="Yes",Projects!$J$3="Yes",Projects!$K$3="No",54=Projects!$C$3),Projects!$B$3*Assumptions!$B$47,0)+IF(AND(Projects!$G$4="Yes",Projects!$J$4="Yes",Projects!$K$4="No",54=Projects!$C$4),Projects!$B$4*Assumptions!$B$47,0)+IF(AND(Projects!$G$5="Yes",Projects!$J$5="Yes",Projects!$K$5="No",54=Projects!$C$5),Projects!$B$5*Assumptions!$B$47,0)+IF(AND(Projects!$G$6="Yes",Projects!$J$6="Yes",Projects!$K$6="No",54=Projects!$C$6),Projects!$B$6*Assumptions!$B$47,0)+IF(AND(Projects!$G$7="Yes",Projects!$J$7="Yes",Projects!$K$7="No",54=Projects!$C$7),Projects!$B$7*Assumptions!$B$47,0)+IF(AND(Projects!$G$8="Yes",Projects!$J$8="Yes",Projects!$K$8="No",54=Projects!$C$8),Projects!$B$8*Assumptions!$B$47,0)+IF(AND(Projects!$G$9="Yes",Projects!$J$9="Yes",Projects!$K$9="No",54=Projects!$C$9),Projects!$B$9*Assumptions!$B$47,0)+IF(AND(Projects!$G$10="Yes",Projects!$J$10="Yes",Projects!$K$10="No",54=Projects!$C$10),Projects!$B$10*Assumptions!$B$47,0)+IF(AND(Projects!$G$11="Yes",Projects!$J$11="Yes",Projects!$K$11="No",54=Projects!$C$11),Projects!$B$11*Assumptions!$B$47,0)+IF(AND(Projects!$G$12="Yes",Projects!$J$12="Yes",Projects!$K$12="No",54=Projects!$C$12),Projects!$B$12*Assumptions!$B$47,0)+IF(AND(Projects!$G$13="Yes",Projects!$J$13="Yes",Projects!$K$13="No",54=Projects!$C$13),Projects!$B$13*Assumptions!$B$47,0)+IF(AND(Projects!$G$14="Yes",Projects!$J$14="Yes",Projects!$K$14="No",54=Projects!$C$14),Projects!$B$14*Assumptions!$B$47,0))</f>
        <v>0</v>
      </c>
      <c r="BE80" s="8">
        <f>-(IF(AND(Projects!$G$2="Yes",Projects!$J$2="Yes",Projects!$K$2="No",55=Projects!$C$2),Projects!$B$2*Assumptions!$B$47,0)+IF(AND(Projects!$G$3="Yes",Projects!$J$3="Yes",Projects!$K$3="No",55=Projects!$C$3),Projects!$B$3*Assumptions!$B$47,0)+IF(AND(Projects!$G$4="Yes",Projects!$J$4="Yes",Projects!$K$4="No",55=Projects!$C$4),Projects!$B$4*Assumptions!$B$47,0)+IF(AND(Projects!$G$5="Yes",Projects!$J$5="Yes",Projects!$K$5="No",55=Projects!$C$5),Projects!$B$5*Assumptions!$B$47,0)+IF(AND(Projects!$G$6="Yes",Projects!$J$6="Yes",Projects!$K$6="No",55=Projects!$C$6),Projects!$B$6*Assumptions!$B$47,0)+IF(AND(Projects!$G$7="Yes",Projects!$J$7="Yes",Projects!$K$7="No",55=Projects!$C$7),Projects!$B$7*Assumptions!$B$47,0)+IF(AND(Projects!$G$8="Yes",Projects!$J$8="Yes",Projects!$K$8="No",55=Projects!$C$8),Projects!$B$8*Assumptions!$B$47,0)+IF(AND(Projects!$G$9="Yes",Projects!$J$9="Yes",Projects!$K$9="No",55=Projects!$C$9),Projects!$B$9*Assumptions!$B$47,0)+IF(AND(Projects!$G$10="Yes",Projects!$J$10="Yes",Projects!$K$10="No",55=Projects!$C$10),Projects!$B$10*Assumptions!$B$47,0)+IF(AND(Projects!$G$11="Yes",Projects!$J$11="Yes",Projects!$K$11="No",55=Projects!$C$11),Projects!$B$11*Assumptions!$B$47,0)+IF(AND(Projects!$G$12="Yes",Projects!$J$12="Yes",Projects!$K$12="No",55=Projects!$C$12),Projects!$B$12*Assumptions!$B$47,0)+IF(AND(Projects!$G$13="Yes",Projects!$J$13="Yes",Projects!$K$13="No",55=Projects!$C$13),Projects!$B$13*Assumptions!$B$47,0)+IF(AND(Projects!$G$14="Yes",Projects!$J$14="Yes",Projects!$K$14="No",55=Projects!$C$14),Projects!$B$14*Assumptions!$B$47,0))</f>
        <v>0</v>
      </c>
      <c r="BF80" s="8">
        <f>-(IF(AND(Projects!$G$2="Yes",Projects!$J$2="Yes",Projects!$K$2="No",56=Projects!$C$2),Projects!$B$2*Assumptions!$B$47,0)+IF(AND(Projects!$G$3="Yes",Projects!$J$3="Yes",Projects!$K$3="No",56=Projects!$C$3),Projects!$B$3*Assumptions!$B$47,0)+IF(AND(Projects!$G$4="Yes",Projects!$J$4="Yes",Projects!$K$4="No",56=Projects!$C$4),Projects!$B$4*Assumptions!$B$47,0)+IF(AND(Projects!$G$5="Yes",Projects!$J$5="Yes",Projects!$K$5="No",56=Projects!$C$5),Projects!$B$5*Assumptions!$B$47,0)+IF(AND(Projects!$G$6="Yes",Projects!$J$6="Yes",Projects!$K$6="No",56=Projects!$C$6),Projects!$B$6*Assumptions!$B$47,0)+IF(AND(Projects!$G$7="Yes",Projects!$J$7="Yes",Projects!$K$7="No",56=Projects!$C$7),Projects!$B$7*Assumptions!$B$47,0)+IF(AND(Projects!$G$8="Yes",Projects!$J$8="Yes",Projects!$K$8="No",56=Projects!$C$8),Projects!$B$8*Assumptions!$B$47,0)+IF(AND(Projects!$G$9="Yes",Projects!$J$9="Yes",Projects!$K$9="No",56=Projects!$C$9),Projects!$B$9*Assumptions!$B$47,0)+IF(AND(Projects!$G$10="Yes",Projects!$J$10="Yes",Projects!$K$10="No",56=Projects!$C$10),Projects!$B$10*Assumptions!$B$47,0)+IF(AND(Projects!$G$11="Yes",Projects!$J$11="Yes",Projects!$K$11="No",56=Projects!$C$11),Projects!$B$11*Assumptions!$B$47,0)+IF(AND(Projects!$G$12="Yes",Projects!$J$12="Yes",Projects!$K$12="No",56=Projects!$C$12),Projects!$B$12*Assumptions!$B$47,0)+IF(AND(Projects!$G$13="Yes",Projects!$J$13="Yes",Projects!$K$13="No",56=Projects!$C$13),Projects!$B$13*Assumptions!$B$47,0)+IF(AND(Projects!$G$14="Yes",Projects!$J$14="Yes",Projects!$K$14="No",56=Projects!$C$14),Projects!$B$14*Assumptions!$B$47,0))</f>
        <v>0</v>
      </c>
      <c r="BG80" s="8">
        <f>-(IF(AND(Projects!$G$2="Yes",Projects!$J$2="Yes",Projects!$K$2="No",57=Projects!$C$2),Projects!$B$2*Assumptions!$B$47,0)+IF(AND(Projects!$G$3="Yes",Projects!$J$3="Yes",Projects!$K$3="No",57=Projects!$C$3),Projects!$B$3*Assumptions!$B$47,0)+IF(AND(Projects!$G$4="Yes",Projects!$J$4="Yes",Projects!$K$4="No",57=Projects!$C$4),Projects!$B$4*Assumptions!$B$47,0)+IF(AND(Projects!$G$5="Yes",Projects!$J$5="Yes",Projects!$K$5="No",57=Projects!$C$5),Projects!$B$5*Assumptions!$B$47,0)+IF(AND(Projects!$G$6="Yes",Projects!$J$6="Yes",Projects!$K$6="No",57=Projects!$C$6),Projects!$B$6*Assumptions!$B$47,0)+IF(AND(Projects!$G$7="Yes",Projects!$J$7="Yes",Projects!$K$7="No",57=Projects!$C$7),Projects!$B$7*Assumptions!$B$47,0)+IF(AND(Projects!$G$8="Yes",Projects!$J$8="Yes",Projects!$K$8="No",57=Projects!$C$8),Projects!$B$8*Assumptions!$B$47,0)+IF(AND(Projects!$G$9="Yes",Projects!$J$9="Yes",Projects!$K$9="No",57=Projects!$C$9),Projects!$B$9*Assumptions!$B$47,0)+IF(AND(Projects!$G$10="Yes",Projects!$J$10="Yes",Projects!$K$10="No",57=Projects!$C$10),Projects!$B$10*Assumptions!$B$47,0)+IF(AND(Projects!$G$11="Yes",Projects!$J$11="Yes",Projects!$K$11="No",57=Projects!$C$11),Projects!$B$11*Assumptions!$B$47,0)+IF(AND(Projects!$G$12="Yes",Projects!$J$12="Yes",Projects!$K$12="No",57=Projects!$C$12),Projects!$B$12*Assumptions!$B$47,0)+IF(AND(Projects!$G$13="Yes",Projects!$J$13="Yes",Projects!$K$13="No",57=Projects!$C$13),Projects!$B$13*Assumptions!$B$47,0)+IF(AND(Projects!$G$14="Yes",Projects!$J$14="Yes",Projects!$K$14="No",57=Projects!$C$14),Projects!$B$14*Assumptions!$B$47,0))</f>
        <v>0</v>
      </c>
      <c r="BH80" s="8">
        <f>-(IF(AND(Projects!$G$2="Yes",Projects!$J$2="Yes",Projects!$K$2="No",58=Projects!$C$2),Projects!$B$2*Assumptions!$B$47,0)+IF(AND(Projects!$G$3="Yes",Projects!$J$3="Yes",Projects!$K$3="No",58=Projects!$C$3),Projects!$B$3*Assumptions!$B$47,0)+IF(AND(Projects!$G$4="Yes",Projects!$J$4="Yes",Projects!$K$4="No",58=Projects!$C$4),Projects!$B$4*Assumptions!$B$47,0)+IF(AND(Projects!$G$5="Yes",Projects!$J$5="Yes",Projects!$K$5="No",58=Projects!$C$5),Projects!$B$5*Assumptions!$B$47,0)+IF(AND(Projects!$G$6="Yes",Projects!$J$6="Yes",Projects!$K$6="No",58=Projects!$C$6),Projects!$B$6*Assumptions!$B$47,0)+IF(AND(Projects!$G$7="Yes",Projects!$J$7="Yes",Projects!$K$7="No",58=Projects!$C$7),Projects!$B$7*Assumptions!$B$47,0)+IF(AND(Projects!$G$8="Yes",Projects!$J$8="Yes",Projects!$K$8="No",58=Projects!$C$8),Projects!$B$8*Assumptions!$B$47,0)+IF(AND(Projects!$G$9="Yes",Projects!$J$9="Yes",Projects!$K$9="No",58=Projects!$C$9),Projects!$B$9*Assumptions!$B$47,0)+IF(AND(Projects!$G$10="Yes",Projects!$J$10="Yes",Projects!$K$10="No",58=Projects!$C$10),Projects!$B$10*Assumptions!$B$47,0)+IF(AND(Projects!$G$11="Yes",Projects!$J$11="Yes",Projects!$K$11="No",58=Projects!$C$11),Projects!$B$11*Assumptions!$B$47,0)+IF(AND(Projects!$G$12="Yes",Projects!$J$12="Yes",Projects!$K$12="No",58=Projects!$C$12),Projects!$B$12*Assumptions!$B$47,0)+IF(AND(Projects!$G$13="Yes",Projects!$J$13="Yes",Projects!$K$13="No",58=Projects!$C$13),Projects!$B$13*Assumptions!$B$47,0)+IF(AND(Projects!$G$14="Yes",Projects!$J$14="Yes",Projects!$K$14="No",58=Projects!$C$14),Projects!$B$14*Assumptions!$B$47,0))</f>
        <v>0</v>
      </c>
      <c r="BI80" s="8">
        <f>-(IF(AND(Projects!$G$2="Yes",Projects!$J$2="Yes",Projects!$K$2="No",59=Projects!$C$2),Projects!$B$2*Assumptions!$B$47,0)+IF(AND(Projects!$G$3="Yes",Projects!$J$3="Yes",Projects!$K$3="No",59=Projects!$C$3),Projects!$B$3*Assumptions!$B$47,0)+IF(AND(Projects!$G$4="Yes",Projects!$J$4="Yes",Projects!$K$4="No",59=Projects!$C$4),Projects!$B$4*Assumptions!$B$47,0)+IF(AND(Projects!$G$5="Yes",Projects!$J$5="Yes",Projects!$K$5="No",59=Projects!$C$5),Projects!$B$5*Assumptions!$B$47,0)+IF(AND(Projects!$G$6="Yes",Projects!$J$6="Yes",Projects!$K$6="No",59=Projects!$C$6),Projects!$B$6*Assumptions!$B$47,0)+IF(AND(Projects!$G$7="Yes",Projects!$J$7="Yes",Projects!$K$7="No",59=Projects!$C$7),Projects!$B$7*Assumptions!$B$47,0)+IF(AND(Projects!$G$8="Yes",Projects!$J$8="Yes",Projects!$K$8="No",59=Projects!$C$8),Projects!$B$8*Assumptions!$B$47,0)+IF(AND(Projects!$G$9="Yes",Projects!$J$9="Yes",Projects!$K$9="No",59=Projects!$C$9),Projects!$B$9*Assumptions!$B$47,0)+IF(AND(Projects!$G$10="Yes",Projects!$J$10="Yes",Projects!$K$10="No",59=Projects!$C$10),Projects!$B$10*Assumptions!$B$47,0)+IF(AND(Projects!$G$11="Yes",Projects!$J$11="Yes",Projects!$K$11="No",59=Projects!$C$11),Projects!$B$11*Assumptions!$B$47,0)+IF(AND(Projects!$G$12="Yes",Projects!$J$12="Yes",Projects!$K$12="No",59=Projects!$C$12),Projects!$B$12*Assumptions!$B$47,0)+IF(AND(Projects!$G$13="Yes",Projects!$J$13="Yes",Projects!$K$13="No",59=Projects!$C$13),Projects!$B$13*Assumptions!$B$47,0)+IF(AND(Projects!$G$14="Yes",Projects!$J$14="Yes",Projects!$K$14="No",59=Projects!$C$14),Projects!$B$14*Assumptions!$B$47,0))</f>
        <v>0</v>
      </c>
      <c r="BJ80" s="8">
        <f>-(IF(AND(Projects!$G$2="Yes",Projects!$J$2="Yes",Projects!$K$2="No",60=Projects!$C$2),Projects!$B$2*Assumptions!$B$47,0)+IF(AND(Projects!$G$3="Yes",Projects!$J$3="Yes",Projects!$K$3="No",60=Projects!$C$3),Projects!$B$3*Assumptions!$B$47,0)+IF(AND(Projects!$G$4="Yes",Projects!$J$4="Yes",Projects!$K$4="No",60=Projects!$C$4),Projects!$B$4*Assumptions!$B$47,0)+IF(AND(Projects!$G$5="Yes",Projects!$J$5="Yes",Projects!$K$5="No",60=Projects!$C$5),Projects!$B$5*Assumptions!$B$47,0)+IF(AND(Projects!$G$6="Yes",Projects!$J$6="Yes",Projects!$K$6="No",60=Projects!$C$6),Projects!$B$6*Assumptions!$B$47,0)+IF(AND(Projects!$G$7="Yes",Projects!$J$7="Yes",Projects!$K$7="No",60=Projects!$C$7),Projects!$B$7*Assumptions!$B$47,0)+IF(AND(Projects!$G$8="Yes",Projects!$J$8="Yes",Projects!$K$8="No",60=Projects!$C$8),Projects!$B$8*Assumptions!$B$47,0)+IF(AND(Projects!$G$9="Yes",Projects!$J$9="Yes",Projects!$K$9="No",60=Projects!$C$9),Projects!$B$9*Assumptions!$B$47,0)+IF(AND(Projects!$G$10="Yes",Projects!$J$10="Yes",Projects!$K$10="No",60=Projects!$C$10),Projects!$B$10*Assumptions!$B$47,0)+IF(AND(Projects!$G$11="Yes",Projects!$J$11="Yes",Projects!$K$11="No",60=Projects!$C$11),Projects!$B$11*Assumptions!$B$47,0)+IF(AND(Projects!$G$12="Yes",Projects!$J$12="Yes",Projects!$K$12="No",60=Projects!$C$12),Projects!$B$12*Assumptions!$B$47,0)+IF(AND(Projects!$G$13="Yes",Projects!$J$13="Yes",Projects!$K$13="No",60=Projects!$C$13),Projects!$B$13*Assumptions!$B$47,0)+IF(AND(Projects!$G$14="Yes",Projects!$J$14="Yes",Projects!$K$14="No",60=Projects!$C$14),Projects!$B$14*Assumptions!$B$47,0))</f>
        <v>0</v>
      </c>
      <c r="BK80" s="8">
        <f>-(IF(AND(Projects!$G$2="Yes",Projects!$J$2="Yes",Projects!$K$2="No",61=Projects!$C$2),Projects!$B$2*Assumptions!$B$47,0)+IF(AND(Projects!$G$3="Yes",Projects!$J$3="Yes",Projects!$K$3="No",61=Projects!$C$3),Projects!$B$3*Assumptions!$B$47,0)+IF(AND(Projects!$G$4="Yes",Projects!$J$4="Yes",Projects!$K$4="No",61=Projects!$C$4),Projects!$B$4*Assumptions!$B$47,0)+IF(AND(Projects!$G$5="Yes",Projects!$J$5="Yes",Projects!$K$5="No",61=Projects!$C$5),Projects!$B$5*Assumptions!$B$47,0)+IF(AND(Projects!$G$6="Yes",Projects!$J$6="Yes",Projects!$K$6="No",61=Projects!$C$6),Projects!$B$6*Assumptions!$B$47,0)+IF(AND(Projects!$G$7="Yes",Projects!$J$7="Yes",Projects!$K$7="No",61=Projects!$C$7),Projects!$B$7*Assumptions!$B$47,0)+IF(AND(Projects!$G$8="Yes",Projects!$J$8="Yes",Projects!$K$8="No",61=Projects!$C$8),Projects!$B$8*Assumptions!$B$47,0)+IF(AND(Projects!$G$9="Yes",Projects!$J$9="Yes",Projects!$K$9="No",61=Projects!$C$9),Projects!$B$9*Assumptions!$B$47,0)+IF(AND(Projects!$G$10="Yes",Projects!$J$10="Yes",Projects!$K$10="No",61=Projects!$C$10),Projects!$B$10*Assumptions!$B$47,0)+IF(AND(Projects!$G$11="Yes",Projects!$J$11="Yes",Projects!$K$11="No",61=Projects!$C$11),Projects!$B$11*Assumptions!$B$47,0)+IF(AND(Projects!$G$12="Yes",Projects!$J$12="Yes",Projects!$K$12="No",61=Projects!$C$12),Projects!$B$12*Assumptions!$B$47,0)+IF(AND(Projects!$G$13="Yes",Projects!$J$13="Yes",Projects!$K$13="No",61=Projects!$C$13),Projects!$B$13*Assumptions!$B$47,0)+IF(AND(Projects!$G$14="Yes",Projects!$J$14="Yes",Projects!$K$14="No",61=Projects!$C$14),Projects!$B$14*Assumptions!$B$47,0))</f>
        <v>0</v>
      </c>
      <c r="BL80" s="8">
        <f>-(IF(AND(Projects!$G$2="Yes",Projects!$J$2="Yes",Projects!$K$2="No",62=Projects!$C$2),Projects!$B$2*Assumptions!$B$47,0)+IF(AND(Projects!$G$3="Yes",Projects!$J$3="Yes",Projects!$K$3="No",62=Projects!$C$3),Projects!$B$3*Assumptions!$B$47,0)+IF(AND(Projects!$G$4="Yes",Projects!$J$4="Yes",Projects!$K$4="No",62=Projects!$C$4),Projects!$B$4*Assumptions!$B$47,0)+IF(AND(Projects!$G$5="Yes",Projects!$J$5="Yes",Projects!$K$5="No",62=Projects!$C$5),Projects!$B$5*Assumptions!$B$47,0)+IF(AND(Projects!$G$6="Yes",Projects!$J$6="Yes",Projects!$K$6="No",62=Projects!$C$6),Projects!$B$6*Assumptions!$B$47,0)+IF(AND(Projects!$G$7="Yes",Projects!$J$7="Yes",Projects!$K$7="No",62=Projects!$C$7),Projects!$B$7*Assumptions!$B$47,0)+IF(AND(Projects!$G$8="Yes",Projects!$J$8="Yes",Projects!$K$8="No",62=Projects!$C$8),Projects!$B$8*Assumptions!$B$47,0)+IF(AND(Projects!$G$9="Yes",Projects!$J$9="Yes",Projects!$K$9="No",62=Projects!$C$9),Projects!$B$9*Assumptions!$B$47,0)+IF(AND(Projects!$G$10="Yes",Projects!$J$10="Yes",Projects!$K$10="No",62=Projects!$C$10),Projects!$B$10*Assumptions!$B$47,0)+IF(AND(Projects!$G$11="Yes",Projects!$J$11="Yes",Projects!$K$11="No",62=Projects!$C$11),Projects!$B$11*Assumptions!$B$47,0)+IF(AND(Projects!$G$12="Yes",Projects!$J$12="Yes",Projects!$K$12="No",62=Projects!$C$12),Projects!$B$12*Assumptions!$B$47,0)+IF(AND(Projects!$G$13="Yes",Projects!$J$13="Yes",Projects!$K$13="No",62=Projects!$C$13),Projects!$B$13*Assumptions!$B$47,0)+IF(AND(Projects!$G$14="Yes",Projects!$J$14="Yes",Projects!$K$14="No",62=Projects!$C$14),Projects!$B$14*Assumptions!$B$47,0))</f>
        <v>0</v>
      </c>
      <c r="BM80" s="8">
        <f>-(IF(AND(Projects!$G$2="Yes",Projects!$J$2="Yes",Projects!$K$2="No",63=Projects!$C$2),Projects!$B$2*Assumptions!$B$47,0)+IF(AND(Projects!$G$3="Yes",Projects!$J$3="Yes",Projects!$K$3="No",63=Projects!$C$3),Projects!$B$3*Assumptions!$B$47,0)+IF(AND(Projects!$G$4="Yes",Projects!$J$4="Yes",Projects!$K$4="No",63=Projects!$C$4),Projects!$B$4*Assumptions!$B$47,0)+IF(AND(Projects!$G$5="Yes",Projects!$J$5="Yes",Projects!$K$5="No",63=Projects!$C$5),Projects!$B$5*Assumptions!$B$47,0)+IF(AND(Projects!$G$6="Yes",Projects!$J$6="Yes",Projects!$K$6="No",63=Projects!$C$6),Projects!$B$6*Assumptions!$B$47,0)+IF(AND(Projects!$G$7="Yes",Projects!$J$7="Yes",Projects!$K$7="No",63=Projects!$C$7),Projects!$B$7*Assumptions!$B$47,0)+IF(AND(Projects!$G$8="Yes",Projects!$J$8="Yes",Projects!$K$8="No",63=Projects!$C$8),Projects!$B$8*Assumptions!$B$47,0)+IF(AND(Projects!$G$9="Yes",Projects!$J$9="Yes",Projects!$K$9="No",63=Projects!$C$9),Projects!$B$9*Assumptions!$B$47,0)+IF(AND(Projects!$G$10="Yes",Projects!$J$10="Yes",Projects!$K$10="No",63=Projects!$C$10),Projects!$B$10*Assumptions!$B$47,0)+IF(AND(Projects!$G$11="Yes",Projects!$J$11="Yes",Projects!$K$11="No",63=Projects!$C$11),Projects!$B$11*Assumptions!$B$47,0)+IF(AND(Projects!$G$12="Yes",Projects!$J$12="Yes",Projects!$K$12="No",63=Projects!$C$12),Projects!$B$12*Assumptions!$B$47,0)+IF(AND(Projects!$G$13="Yes",Projects!$J$13="Yes",Projects!$K$13="No",63=Projects!$C$13),Projects!$B$13*Assumptions!$B$47,0)+IF(AND(Projects!$G$14="Yes",Projects!$J$14="Yes",Projects!$K$14="No",63=Projects!$C$14),Projects!$B$14*Assumptions!$B$47,0))</f>
        <v>0</v>
      </c>
      <c r="BN80" s="8">
        <f>-(IF(AND(Projects!$G$2="Yes",Projects!$J$2="Yes",Projects!$K$2="No",64=Projects!$C$2),Projects!$B$2*Assumptions!$B$47,0)+IF(AND(Projects!$G$3="Yes",Projects!$J$3="Yes",Projects!$K$3="No",64=Projects!$C$3),Projects!$B$3*Assumptions!$B$47,0)+IF(AND(Projects!$G$4="Yes",Projects!$J$4="Yes",Projects!$K$4="No",64=Projects!$C$4),Projects!$B$4*Assumptions!$B$47,0)+IF(AND(Projects!$G$5="Yes",Projects!$J$5="Yes",Projects!$K$5="No",64=Projects!$C$5),Projects!$B$5*Assumptions!$B$47,0)+IF(AND(Projects!$G$6="Yes",Projects!$J$6="Yes",Projects!$K$6="No",64=Projects!$C$6),Projects!$B$6*Assumptions!$B$47,0)+IF(AND(Projects!$G$7="Yes",Projects!$J$7="Yes",Projects!$K$7="No",64=Projects!$C$7),Projects!$B$7*Assumptions!$B$47,0)+IF(AND(Projects!$G$8="Yes",Projects!$J$8="Yes",Projects!$K$8="No",64=Projects!$C$8),Projects!$B$8*Assumptions!$B$47,0)+IF(AND(Projects!$G$9="Yes",Projects!$J$9="Yes",Projects!$K$9="No",64=Projects!$C$9),Projects!$B$9*Assumptions!$B$47,0)+IF(AND(Projects!$G$10="Yes",Projects!$J$10="Yes",Projects!$K$10="No",64=Projects!$C$10),Projects!$B$10*Assumptions!$B$47,0)+IF(AND(Projects!$G$11="Yes",Projects!$J$11="Yes",Projects!$K$11="No",64=Projects!$C$11),Projects!$B$11*Assumptions!$B$47,0)+IF(AND(Projects!$G$12="Yes",Projects!$J$12="Yes",Projects!$K$12="No",64=Projects!$C$12),Projects!$B$12*Assumptions!$B$47,0)+IF(AND(Projects!$G$13="Yes",Projects!$J$13="Yes",Projects!$K$13="No",64=Projects!$C$13),Projects!$B$13*Assumptions!$B$47,0)+IF(AND(Projects!$G$14="Yes",Projects!$J$14="Yes",Projects!$K$14="No",64=Projects!$C$14),Projects!$B$14*Assumptions!$B$47,0))</f>
        <v>0</v>
      </c>
      <c r="BO80" s="8">
        <f>-(IF(AND(Projects!$G$2="Yes",Projects!$J$2="Yes",Projects!$K$2="No",65=Projects!$C$2),Projects!$B$2*Assumptions!$B$47,0)+IF(AND(Projects!$G$3="Yes",Projects!$J$3="Yes",Projects!$K$3="No",65=Projects!$C$3),Projects!$B$3*Assumptions!$B$47,0)+IF(AND(Projects!$G$4="Yes",Projects!$J$4="Yes",Projects!$K$4="No",65=Projects!$C$4),Projects!$B$4*Assumptions!$B$47,0)+IF(AND(Projects!$G$5="Yes",Projects!$J$5="Yes",Projects!$K$5="No",65=Projects!$C$5),Projects!$B$5*Assumptions!$B$47,0)+IF(AND(Projects!$G$6="Yes",Projects!$J$6="Yes",Projects!$K$6="No",65=Projects!$C$6),Projects!$B$6*Assumptions!$B$47,0)+IF(AND(Projects!$G$7="Yes",Projects!$J$7="Yes",Projects!$K$7="No",65=Projects!$C$7),Projects!$B$7*Assumptions!$B$47,0)+IF(AND(Projects!$G$8="Yes",Projects!$J$8="Yes",Projects!$K$8="No",65=Projects!$C$8),Projects!$B$8*Assumptions!$B$47,0)+IF(AND(Projects!$G$9="Yes",Projects!$J$9="Yes",Projects!$K$9="No",65=Projects!$C$9),Projects!$B$9*Assumptions!$B$47,0)+IF(AND(Projects!$G$10="Yes",Projects!$J$10="Yes",Projects!$K$10="No",65=Projects!$C$10),Projects!$B$10*Assumptions!$B$47,0)+IF(AND(Projects!$G$11="Yes",Projects!$J$11="Yes",Projects!$K$11="No",65=Projects!$C$11),Projects!$B$11*Assumptions!$B$47,0)+IF(AND(Projects!$G$12="Yes",Projects!$J$12="Yes",Projects!$K$12="No",65=Projects!$C$12),Projects!$B$12*Assumptions!$B$47,0)+IF(AND(Projects!$G$13="Yes",Projects!$J$13="Yes",Projects!$K$13="No",65=Projects!$C$13),Projects!$B$13*Assumptions!$B$47,0)+IF(AND(Projects!$G$14="Yes",Projects!$J$14="Yes",Projects!$K$14="No",65=Projects!$C$14),Projects!$B$14*Assumptions!$B$47,0))</f>
        <v>0</v>
      </c>
      <c r="BP80" s="8">
        <f>-(IF(AND(Projects!$G$2="Yes",Projects!$J$2="Yes",Projects!$K$2="No",66=Projects!$C$2),Projects!$B$2*Assumptions!$B$47,0)+IF(AND(Projects!$G$3="Yes",Projects!$J$3="Yes",Projects!$K$3="No",66=Projects!$C$3),Projects!$B$3*Assumptions!$B$47,0)+IF(AND(Projects!$G$4="Yes",Projects!$J$4="Yes",Projects!$K$4="No",66=Projects!$C$4),Projects!$B$4*Assumptions!$B$47,0)+IF(AND(Projects!$G$5="Yes",Projects!$J$5="Yes",Projects!$K$5="No",66=Projects!$C$5),Projects!$B$5*Assumptions!$B$47,0)+IF(AND(Projects!$G$6="Yes",Projects!$J$6="Yes",Projects!$K$6="No",66=Projects!$C$6),Projects!$B$6*Assumptions!$B$47,0)+IF(AND(Projects!$G$7="Yes",Projects!$J$7="Yes",Projects!$K$7="No",66=Projects!$C$7),Projects!$B$7*Assumptions!$B$47,0)+IF(AND(Projects!$G$8="Yes",Projects!$J$8="Yes",Projects!$K$8="No",66=Projects!$C$8),Projects!$B$8*Assumptions!$B$47,0)+IF(AND(Projects!$G$9="Yes",Projects!$J$9="Yes",Projects!$K$9="No",66=Projects!$C$9),Projects!$B$9*Assumptions!$B$47,0)+IF(AND(Projects!$G$10="Yes",Projects!$J$10="Yes",Projects!$K$10="No",66=Projects!$C$10),Projects!$B$10*Assumptions!$B$47,0)+IF(AND(Projects!$G$11="Yes",Projects!$J$11="Yes",Projects!$K$11="No",66=Projects!$C$11),Projects!$B$11*Assumptions!$B$47,0)+IF(AND(Projects!$G$12="Yes",Projects!$J$12="Yes",Projects!$K$12="No",66=Projects!$C$12),Projects!$B$12*Assumptions!$B$47,0)+IF(AND(Projects!$G$13="Yes",Projects!$J$13="Yes",Projects!$K$13="No",66=Projects!$C$13),Projects!$B$13*Assumptions!$B$47,0)+IF(AND(Projects!$G$14="Yes",Projects!$J$14="Yes",Projects!$K$14="No",66=Projects!$C$14),Projects!$B$14*Assumptions!$B$47,0))</f>
        <v>0</v>
      </c>
      <c r="BQ80" s="8">
        <f>-(IF(AND(Projects!$G$2="Yes",Projects!$J$2="Yes",Projects!$K$2="No",67=Projects!$C$2),Projects!$B$2*Assumptions!$B$47,0)+IF(AND(Projects!$G$3="Yes",Projects!$J$3="Yes",Projects!$K$3="No",67=Projects!$C$3),Projects!$B$3*Assumptions!$B$47,0)+IF(AND(Projects!$G$4="Yes",Projects!$J$4="Yes",Projects!$K$4="No",67=Projects!$C$4),Projects!$B$4*Assumptions!$B$47,0)+IF(AND(Projects!$G$5="Yes",Projects!$J$5="Yes",Projects!$K$5="No",67=Projects!$C$5),Projects!$B$5*Assumptions!$B$47,0)+IF(AND(Projects!$G$6="Yes",Projects!$J$6="Yes",Projects!$K$6="No",67=Projects!$C$6),Projects!$B$6*Assumptions!$B$47,0)+IF(AND(Projects!$G$7="Yes",Projects!$J$7="Yes",Projects!$K$7="No",67=Projects!$C$7),Projects!$B$7*Assumptions!$B$47,0)+IF(AND(Projects!$G$8="Yes",Projects!$J$8="Yes",Projects!$K$8="No",67=Projects!$C$8),Projects!$B$8*Assumptions!$B$47,0)+IF(AND(Projects!$G$9="Yes",Projects!$J$9="Yes",Projects!$K$9="No",67=Projects!$C$9),Projects!$B$9*Assumptions!$B$47,0)+IF(AND(Projects!$G$10="Yes",Projects!$J$10="Yes",Projects!$K$10="No",67=Projects!$C$10),Projects!$B$10*Assumptions!$B$47,0)+IF(AND(Projects!$G$11="Yes",Projects!$J$11="Yes",Projects!$K$11="No",67=Projects!$C$11),Projects!$B$11*Assumptions!$B$47,0)+IF(AND(Projects!$G$12="Yes",Projects!$J$12="Yes",Projects!$K$12="No",67=Projects!$C$12),Projects!$B$12*Assumptions!$B$47,0)+IF(AND(Projects!$G$13="Yes",Projects!$J$13="Yes",Projects!$K$13="No",67=Projects!$C$13),Projects!$B$13*Assumptions!$B$47,0)+IF(AND(Projects!$G$14="Yes",Projects!$J$14="Yes",Projects!$K$14="No",67=Projects!$C$14),Projects!$B$14*Assumptions!$B$47,0))</f>
        <v>0</v>
      </c>
      <c r="BR80" s="8">
        <f>-(IF(AND(Projects!$G$2="Yes",Projects!$J$2="Yes",Projects!$K$2="No",68=Projects!$C$2),Projects!$B$2*Assumptions!$B$47,0)+IF(AND(Projects!$G$3="Yes",Projects!$J$3="Yes",Projects!$K$3="No",68=Projects!$C$3),Projects!$B$3*Assumptions!$B$47,0)+IF(AND(Projects!$G$4="Yes",Projects!$J$4="Yes",Projects!$K$4="No",68=Projects!$C$4),Projects!$B$4*Assumptions!$B$47,0)+IF(AND(Projects!$G$5="Yes",Projects!$J$5="Yes",Projects!$K$5="No",68=Projects!$C$5),Projects!$B$5*Assumptions!$B$47,0)+IF(AND(Projects!$G$6="Yes",Projects!$J$6="Yes",Projects!$K$6="No",68=Projects!$C$6),Projects!$B$6*Assumptions!$B$47,0)+IF(AND(Projects!$G$7="Yes",Projects!$J$7="Yes",Projects!$K$7="No",68=Projects!$C$7),Projects!$B$7*Assumptions!$B$47,0)+IF(AND(Projects!$G$8="Yes",Projects!$J$8="Yes",Projects!$K$8="No",68=Projects!$C$8),Projects!$B$8*Assumptions!$B$47,0)+IF(AND(Projects!$G$9="Yes",Projects!$J$9="Yes",Projects!$K$9="No",68=Projects!$C$9),Projects!$B$9*Assumptions!$B$47,0)+IF(AND(Projects!$G$10="Yes",Projects!$J$10="Yes",Projects!$K$10="No",68=Projects!$C$10),Projects!$B$10*Assumptions!$B$47,0)+IF(AND(Projects!$G$11="Yes",Projects!$J$11="Yes",Projects!$K$11="No",68=Projects!$C$11),Projects!$B$11*Assumptions!$B$47,0)+IF(AND(Projects!$G$12="Yes",Projects!$J$12="Yes",Projects!$K$12="No",68=Projects!$C$12),Projects!$B$12*Assumptions!$B$47,0)+IF(AND(Projects!$G$13="Yes",Projects!$J$13="Yes",Projects!$K$13="No",68=Projects!$C$13),Projects!$B$13*Assumptions!$B$47,0)+IF(AND(Projects!$G$14="Yes",Projects!$J$14="Yes",Projects!$K$14="No",68=Projects!$C$14),Projects!$B$14*Assumptions!$B$47,0))</f>
        <v>0</v>
      </c>
      <c r="BS80" s="8">
        <f>-(IF(AND(Projects!$G$2="Yes",Projects!$J$2="Yes",Projects!$K$2="No",69=Projects!$C$2),Projects!$B$2*Assumptions!$B$47,0)+IF(AND(Projects!$G$3="Yes",Projects!$J$3="Yes",Projects!$K$3="No",69=Projects!$C$3),Projects!$B$3*Assumptions!$B$47,0)+IF(AND(Projects!$G$4="Yes",Projects!$J$4="Yes",Projects!$K$4="No",69=Projects!$C$4),Projects!$B$4*Assumptions!$B$47,0)+IF(AND(Projects!$G$5="Yes",Projects!$J$5="Yes",Projects!$K$5="No",69=Projects!$C$5),Projects!$B$5*Assumptions!$B$47,0)+IF(AND(Projects!$G$6="Yes",Projects!$J$6="Yes",Projects!$K$6="No",69=Projects!$C$6),Projects!$B$6*Assumptions!$B$47,0)+IF(AND(Projects!$G$7="Yes",Projects!$J$7="Yes",Projects!$K$7="No",69=Projects!$C$7),Projects!$B$7*Assumptions!$B$47,0)+IF(AND(Projects!$G$8="Yes",Projects!$J$8="Yes",Projects!$K$8="No",69=Projects!$C$8),Projects!$B$8*Assumptions!$B$47,0)+IF(AND(Projects!$G$9="Yes",Projects!$J$9="Yes",Projects!$K$9="No",69=Projects!$C$9),Projects!$B$9*Assumptions!$B$47,0)+IF(AND(Projects!$G$10="Yes",Projects!$J$10="Yes",Projects!$K$10="No",69=Projects!$C$10),Projects!$B$10*Assumptions!$B$47,0)+IF(AND(Projects!$G$11="Yes",Projects!$J$11="Yes",Projects!$K$11="No",69=Projects!$C$11),Projects!$B$11*Assumptions!$B$47,0)+IF(AND(Projects!$G$12="Yes",Projects!$J$12="Yes",Projects!$K$12="No",69=Projects!$C$12),Projects!$B$12*Assumptions!$B$47,0)+IF(AND(Projects!$G$13="Yes",Projects!$J$13="Yes",Projects!$K$13="No",69=Projects!$C$13),Projects!$B$13*Assumptions!$B$47,0)+IF(AND(Projects!$G$14="Yes",Projects!$J$14="Yes",Projects!$K$14="No",69=Projects!$C$14),Projects!$B$14*Assumptions!$B$47,0))</f>
        <v>0</v>
      </c>
      <c r="BT80" s="8">
        <f>-(IF(AND(Projects!$G$2="Yes",Projects!$J$2="Yes",Projects!$K$2="No",70=Projects!$C$2),Projects!$B$2*Assumptions!$B$47,0)+IF(AND(Projects!$G$3="Yes",Projects!$J$3="Yes",Projects!$K$3="No",70=Projects!$C$3),Projects!$B$3*Assumptions!$B$47,0)+IF(AND(Projects!$G$4="Yes",Projects!$J$4="Yes",Projects!$K$4="No",70=Projects!$C$4),Projects!$B$4*Assumptions!$B$47,0)+IF(AND(Projects!$G$5="Yes",Projects!$J$5="Yes",Projects!$K$5="No",70=Projects!$C$5),Projects!$B$5*Assumptions!$B$47,0)+IF(AND(Projects!$G$6="Yes",Projects!$J$6="Yes",Projects!$K$6="No",70=Projects!$C$6),Projects!$B$6*Assumptions!$B$47,0)+IF(AND(Projects!$G$7="Yes",Projects!$J$7="Yes",Projects!$K$7="No",70=Projects!$C$7),Projects!$B$7*Assumptions!$B$47,0)+IF(AND(Projects!$G$8="Yes",Projects!$J$8="Yes",Projects!$K$8="No",70=Projects!$C$8),Projects!$B$8*Assumptions!$B$47,0)+IF(AND(Projects!$G$9="Yes",Projects!$J$9="Yes",Projects!$K$9="No",70=Projects!$C$9),Projects!$B$9*Assumptions!$B$47,0)+IF(AND(Projects!$G$10="Yes",Projects!$J$10="Yes",Projects!$K$10="No",70=Projects!$C$10),Projects!$B$10*Assumptions!$B$47,0)+IF(AND(Projects!$G$11="Yes",Projects!$J$11="Yes",Projects!$K$11="No",70=Projects!$C$11),Projects!$B$11*Assumptions!$B$47,0)+IF(AND(Projects!$G$12="Yes",Projects!$J$12="Yes",Projects!$K$12="No",70=Projects!$C$12),Projects!$B$12*Assumptions!$B$47,0)+IF(AND(Projects!$G$13="Yes",Projects!$J$13="Yes",Projects!$K$13="No",70=Projects!$C$13),Projects!$B$13*Assumptions!$B$47,0)+IF(AND(Projects!$G$14="Yes",Projects!$J$14="Yes",Projects!$K$14="No",70=Projects!$C$14),Projects!$B$14*Assumptions!$B$47,0))</f>
        <v>0</v>
      </c>
      <c r="BU80" s="8">
        <f>-(IF(AND(Projects!$G$2="Yes",Projects!$J$2="Yes",Projects!$K$2="No",71=Projects!$C$2),Projects!$B$2*Assumptions!$B$47,0)+IF(AND(Projects!$G$3="Yes",Projects!$J$3="Yes",Projects!$K$3="No",71=Projects!$C$3),Projects!$B$3*Assumptions!$B$47,0)+IF(AND(Projects!$G$4="Yes",Projects!$J$4="Yes",Projects!$K$4="No",71=Projects!$C$4),Projects!$B$4*Assumptions!$B$47,0)+IF(AND(Projects!$G$5="Yes",Projects!$J$5="Yes",Projects!$K$5="No",71=Projects!$C$5),Projects!$B$5*Assumptions!$B$47,0)+IF(AND(Projects!$G$6="Yes",Projects!$J$6="Yes",Projects!$K$6="No",71=Projects!$C$6),Projects!$B$6*Assumptions!$B$47,0)+IF(AND(Projects!$G$7="Yes",Projects!$J$7="Yes",Projects!$K$7="No",71=Projects!$C$7),Projects!$B$7*Assumptions!$B$47,0)+IF(AND(Projects!$G$8="Yes",Projects!$J$8="Yes",Projects!$K$8="No",71=Projects!$C$8),Projects!$B$8*Assumptions!$B$47,0)+IF(AND(Projects!$G$9="Yes",Projects!$J$9="Yes",Projects!$K$9="No",71=Projects!$C$9),Projects!$B$9*Assumptions!$B$47,0)+IF(AND(Projects!$G$10="Yes",Projects!$J$10="Yes",Projects!$K$10="No",71=Projects!$C$10),Projects!$B$10*Assumptions!$B$47,0)+IF(AND(Projects!$G$11="Yes",Projects!$J$11="Yes",Projects!$K$11="No",71=Projects!$C$11),Projects!$B$11*Assumptions!$B$47,0)+IF(AND(Projects!$G$12="Yes",Projects!$J$12="Yes",Projects!$K$12="No",71=Projects!$C$12),Projects!$B$12*Assumptions!$B$47,0)+IF(AND(Projects!$G$13="Yes",Projects!$J$13="Yes",Projects!$K$13="No",71=Projects!$C$13),Projects!$B$13*Assumptions!$B$47,0)+IF(AND(Projects!$G$14="Yes",Projects!$J$14="Yes",Projects!$K$14="No",71=Projects!$C$14),Projects!$B$14*Assumptions!$B$47,0))</f>
        <v>0</v>
      </c>
      <c r="BV80" s="8">
        <f>-(IF(AND(Projects!$G$2="Yes",Projects!$J$2="Yes",Projects!$K$2="No",72=Projects!$C$2),Projects!$B$2*Assumptions!$B$47,0)+IF(AND(Projects!$G$3="Yes",Projects!$J$3="Yes",Projects!$K$3="No",72=Projects!$C$3),Projects!$B$3*Assumptions!$B$47,0)+IF(AND(Projects!$G$4="Yes",Projects!$J$4="Yes",Projects!$K$4="No",72=Projects!$C$4),Projects!$B$4*Assumptions!$B$47,0)+IF(AND(Projects!$G$5="Yes",Projects!$J$5="Yes",Projects!$K$5="No",72=Projects!$C$5),Projects!$B$5*Assumptions!$B$47,0)+IF(AND(Projects!$G$6="Yes",Projects!$J$6="Yes",Projects!$K$6="No",72=Projects!$C$6),Projects!$B$6*Assumptions!$B$47,0)+IF(AND(Projects!$G$7="Yes",Projects!$J$7="Yes",Projects!$K$7="No",72=Projects!$C$7),Projects!$B$7*Assumptions!$B$47,0)+IF(AND(Projects!$G$8="Yes",Projects!$J$8="Yes",Projects!$K$8="No",72=Projects!$C$8),Projects!$B$8*Assumptions!$B$47,0)+IF(AND(Projects!$G$9="Yes",Projects!$J$9="Yes",Projects!$K$9="No",72=Projects!$C$9),Projects!$B$9*Assumptions!$B$47,0)+IF(AND(Projects!$G$10="Yes",Projects!$J$10="Yes",Projects!$K$10="No",72=Projects!$C$10),Projects!$B$10*Assumptions!$B$47,0)+IF(AND(Projects!$G$11="Yes",Projects!$J$11="Yes",Projects!$K$11="No",72=Projects!$C$11),Projects!$B$11*Assumptions!$B$47,0)+IF(AND(Projects!$G$12="Yes",Projects!$J$12="Yes",Projects!$K$12="No",72=Projects!$C$12),Projects!$B$12*Assumptions!$B$47,0)+IF(AND(Projects!$G$13="Yes",Projects!$J$13="Yes",Projects!$K$13="No",72=Projects!$C$13),Projects!$B$13*Assumptions!$B$47,0)+IF(AND(Projects!$G$14="Yes",Projects!$J$14="Yes",Projects!$K$14="No",72=Projects!$C$14),Projects!$B$14*Assumptions!$B$47,0))</f>
        <v>0</v>
      </c>
      <c r="BW80" s="8">
        <f>-(IF(AND(Projects!$G$2="Yes",Projects!$J$2="Yes",Projects!$K$2="No",73=Projects!$C$2),Projects!$B$2*Assumptions!$B$47,0)+IF(AND(Projects!$G$3="Yes",Projects!$J$3="Yes",Projects!$K$3="No",73=Projects!$C$3),Projects!$B$3*Assumptions!$B$47,0)+IF(AND(Projects!$G$4="Yes",Projects!$J$4="Yes",Projects!$K$4="No",73=Projects!$C$4),Projects!$B$4*Assumptions!$B$47,0)+IF(AND(Projects!$G$5="Yes",Projects!$J$5="Yes",Projects!$K$5="No",73=Projects!$C$5),Projects!$B$5*Assumptions!$B$47,0)+IF(AND(Projects!$G$6="Yes",Projects!$J$6="Yes",Projects!$K$6="No",73=Projects!$C$6),Projects!$B$6*Assumptions!$B$47,0)+IF(AND(Projects!$G$7="Yes",Projects!$J$7="Yes",Projects!$K$7="No",73=Projects!$C$7),Projects!$B$7*Assumptions!$B$47,0)+IF(AND(Projects!$G$8="Yes",Projects!$J$8="Yes",Projects!$K$8="No",73=Projects!$C$8),Projects!$B$8*Assumptions!$B$47,0)+IF(AND(Projects!$G$9="Yes",Projects!$J$9="Yes",Projects!$K$9="No",73=Projects!$C$9),Projects!$B$9*Assumptions!$B$47,0)+IF(AND(Projects!$G$10="Yes",Projects!$J$10="Yes",Projects!$K$10="No",73=Projects!$C$10),Projects!$B$10*Assumptions!$B$47,0)+IF(AND(Projects!$G$11="Yes",Projects!$J$11="Yes",Projects!$K$11="No",73=Projects!$C$11),Projects!$B$11*Assumptions!$B$47,0)+IF(AND(Projects!$G$12="Yes",Projects!$J$12="Yes",Projects!$K$12="No",73=Projects!$C$12),Projects!$B$12*Assumptions!$B$47,0)+IF(AND(Projects!$G$13="Yes",Projects!$J$13="Yes",Projects!$K$13="No",73=Projects!$C$13),Projects!$B$13*Assumptions!$B$47,0)+IF(AND(Projects!$G$14="Yes",Projects!$J$14="Yes",Projects!$K$14="No",73=Projects!$C$14),Projects!$B$14*Assumptions!$B$47,0))</f>
        <v>0</v>
      </c>
      <c r="BX80" s="8">
        <f>-(IF(AND(Projects!$G$2="Yes",Projects!$J$2="Yes",Projects!$K$2="No",74=Projects!$C$2),Projects!$B$2*Assumptions!$B$47,0)+IF(AND(Projects!$G$3="Yes",Projects!$J$3="Yes",Projects!$K$3="No",74=Projects!$C$3),Projects!$B$3*Assumptions!$B$47,0)+IF(AND(Projects!$G$4="Yes",Projects!$J$4="Yes",Projects!$K$4="No",74=Projects!$C$4),Projects!$B$4*Assumptions!$B$47,0)+IF(AND(Projects!$G$5="Yes",Projects!$J$5="Yes",Projects!$K$5="No",74=Projects!$C$5),Projects!$B$5*Assumptions!$B$47,0)+IF(AND(Projects!$G$6="Yes",Projects!$J$6="Yes",Projects!$K$6="No",74=Projects!$C$6),Projects!$B$6*Assumptions!$B$47,0)+IF(AND(Projects!$G$7="Yes",Projects!$J$7="Yes",Projects!$K$7="No",74=Projects!$C$7),Projects!$B$7*Assumptions!$B$47,0)+IF(AND(Projects!$G$8="Yes",Projects!$J$8="Yes",Projects!$K$8="No",74=Projects!$C$8),Projects!$B$8*Assumptions!$B$47,0)+IF(AND(Projects!$G$9="Yes",Projects!$J$9="Yes",Projects!$K$9="No",74=Projects!$C$9),Projects!$B$9*Assumptions!$B$47,0)+IF(AND(Projects!$G$10="Yes",Projects!$J$10="Yes",Projects!$K$10="No",74=Projects!$C$10),Projects!$B$10*Assumptions!$B$47,0)+IF(AND(Projects!$G$11="Yes",Projects!$J$11="Yes",Projects!$K$11="No",74=Projects!$C$11),Projects!$B$11*Assumptions!$B$47,0)+IF(AND(Projects!$G$12="Yes",Projects!$J$12="Yes",Projects!$K$12="No",74=Projects!$C$12),Projects!$B$12*Assumptions!$B$47,0)+IF(AND(Projects!$G$13="Yes",Projects!$J$13="Yes",Projects!$K$13="No",74=Projects!$C$13),Projects!$B$13*Assumptions!$B$47,0)+IF(AND(Projects!$G$14="Yes",Projects!$J$14="Yes",Projects!$K$14="No",74=Projects!$C$14),Projects!$B$14*Assumptions!$B$47,0))</f>
        <v>0</v>
      </c>
      <c r="BY80" s="8">
        <f>-(IF(AND(Projects!$G$2="Yes",Projects!$J$2="Yes",Projects!$K$2="No",75=Projects!$C$2),Projects!$B$2*Assumptions!$B$47,0)+IF(AND(Projects!$G$3="Yes",Projects!$J$3="Yes",Projects!$K$3="No",75=Projects!$C$3),Projects!$B$3*Assumptions!$B$47,0)+IF(AND(Projects!$G$4="Yes",Projects!$J$4="Yes",Projects!$K$4="No",75=Projects!$C$4),Projects!$B$4*Assumptions!$B$47,0)+IF(AND(Projects!$G$5="Yes",Projects!$J$5="Yes",Projects!$K$5="No",75=Projects!$C$5),Projects!$B$5*Assumptions!$B$47,0)+IF(AND(Projects!$G$6="Yes",Projects!$J$6="Yes",Projects!$K$6="No",75=Projects!$C$6),Projects!$B$6*Assumptions!$B$47,0)+IF(AND(Projects!$G$7="Yes",Projects!$J$7="Yes",Projects!$K$7="No",75=Projects!$C$7),Projects!$B$7*Assumptions!$B$47,0)+IF(AND(Projects!$G$8="Yes",Projects!$J$8="Yes",Projects!$K$8="No",75=Projects!$C$8),Projects!$B$8*Assumptions!$B$47,0)+IF(AND(Projects!$G$9="Yes",Projects!$J$9="Yes",Projects!$K$9="No",75=Projects!$C$9),Projects!$B$9*Assumptions!$B$47,0)+IF(AND(Projects!$G$10="Yes",Projects!$J$10="Yes",Projects!$K$10="No",75=Projects!$C$10),Projects!$B$10*Assumptions!$B$47,0)+IF(AND(Projects!$G$11="Yes",Projects!$J$11="Yes",Projects!$K$11="No",75=Projects!$C$11),Projects!$B$11*Assumptions!$B$47,0)+IF(AND(Projects!$G$12="Yes",Projects!$J$12="Yes",Projects!$K$12="No",75=Projects!$C$12),Projects!$B$12*Assumptions!$B$47,0)+IF(AND(Projects!$G$13="Yes",Projects!$J$13="Yes",Projects!$K$13="No",75=Projects!$C$13),Projects!$B$13*Assumptions!$B$47,0)+IF(AND(Projects!$G$14="Yes",Projects!$J$14="Yes",Projects!$K$14="No",75=Projects!$C$14),Projects!$B$14*Assumptions!$B$47,0))</f>
        <v>0</v>
      </c>
      <c r="BZ80" s="8">
        <f>-(IF(AND(Projects!$G$2="Yes",Projects!$J$2="Yes",Projects!$K$2="No",76=Projects!$C$2),Projects!$B$2*Assumptions!$B$47,0)+IF(AND(Projects!$G$3="Yes",Projects!$J$3="Yes",Projects!$K$3="No",76=Projects!$C$3),Projects!$B$3*Assumptions!$B$47,0)+IF(AND(Projects!$G$4="Yes",Projects!$J$4="Yes",Projects!$K$4="No",76=Projects!$C$4),Projects!$B$4*Assumptions!$B$47,0)+IF(AND(Projects!$G$5="Yes",Projects!$J$5="Yes",Projects!$K$5="No",76=Projects!$C$5),Projects!$B$5*Assumptions!$B$47,0)+IF(AND(Projects!$G$6="Yes",Projects!$J$6="Yes",Projects!$K$6="No",76=Projects!$C$6),Projects!$B$6*Assumptions!$B$47,0)+IF(AND(Projects!$G$7="Yes",Projects!$J$7="Yes",Projects!$K$7="No",76=Projects!$C$7),Projects!$B$7*Assumptions!$B$47,0)+IF(AND(Projects!$G$8="Yes",Projects!$J$8="Yes",Projects!$K$8="No",76=Projects!$C$8),Projects!$B$8*Assumptions!$B$47,0)+IF(AND(Projects!$G$9="Yes",Projects!$J$9="Yes",Projects!$K$9="No",76=Projects!$C$9),Projects!$B$9*Assumptions!$B$47,0)+IF(AND(Projects!$G$10="Yes",Projects!$J$10="Yes",Projects!$K$10="No",76=Projects!$C$10),Projects!$B$10*Assumptions!$B$47,0)+IF(AND(Projects!$G$11="Yes",Projects!$J$11="Yes",Projects!$K$11="No",76=Projects!$C$11),Projects!$B$11*Assumptions!$B$47,0)+IF(AND(Projects!$G$12="Yes",Projects!$J$12="Yes",Projects!$K$12="No",76=Projects!$C$12),Projects!$B$12*Assumptions!$B$47,0)+IF(AND(Projects!$G$13="Yes",Projects!$J$13="Yes",Projects!$K$13="No",76=Projects!$C$13),Projects!$B$13*Assumptions!$B$47,0)+IF(AND(Projects!$G$14="Yes",Projects!$J$14="Yes",Projects!$K$14="No",76=Projects!$C$14),Projects!$B$14*Assumptions!$B$47,0))</f>
        <v>0</v>
      </c>
      <c r="CA80" s="8">
        <f>-(IF(AND(Projects!$G$2="Yes",Projects!$J$2="Yes",Projects!$K$2="No",77=Projects!$C$2),Projects!$B$2*Assumptions!$B$47,0)+IF(AND(Projects!$G$3="Yes",Projects!$J$3="Yes",Projects!$K$3="No",77=Projects!$C$3),Projects!$B$3*Assumptions!$B$47,0)+IF(AND(Projects!$G$4="Yes",Projects!$J$4="Yes",Projects!$K$4="No",77=Projects!$C$4),Projects!$B$4*Assumptions!$B$47,0)+IF(AND(Projects!$G$5="Yes",Projects!$J$5="Yes",Projects!$K$5="No",77=Projects!$C$5),Projects!$B$5*Assumptions!$B$47,0)+IF(AND(Projects!$G$6="Yes",Projects!$J$6="Yes",Projects!$K$6="No",77=Projects!$C$6),Projects!$B$6*Assumptions!$B$47,0)+IF(AND(Projects!$G$7="Yes",Projects!$J$7="Yes",Projects!$K$7="No",77=Projects!$C$7),Projects!$B$7*Assumptions!$B$47,0)+IF(AND(Projects!$G$8="Yes",Projects!$J$8="Yes",Projects!$K$8="No",77=Projects!$C$8),Projects!$B$8*Assumptions!$B$47,0)+IF(AND(Projects!$G$9="Yes",Projects!$J$9="Yes",Projects!$K$9="No",77=Projects!$C$9),Projects!$B$9*Assumptions!$B$47,0)+IF(AND(Projects!$G$10="Yes",Projects!$J$10="Yes",Projects!$K$10="No",77=Projects!$C$10),Projects!$B$10*Assumptions!$B$47,0)+IF(AND(Projects!$G$11="Yes",Projects!$J$11="Yes",Projects!$K$11="No",77=Projects!$C$11),Projects!$B$11*Assumptions!$B$47,0)+IF(AND(Projects!$G$12="Yes",Projects!$J$12="Yes",Projects!$K$12="No",77=Projects!$C$12),Projects!$B$12*Assumptions!$B$47,0)+IF(AND(Projects!$G$13="Yes",Projects!$J$13="Yes",Projects!$K$13="No",77=Projects!$C$13),Projects!$B$13*Assumptions!$B$47,0)+IF(AND(Projects!$G$14="Yes",Projects!$J$14="Yes",Projects!$K$14="No",77=Projects!$C$14),Projects!$B$14*Assumptions!$B$47,0))</f>
        <v>0</v>
      </c>
      <c r="CB80" s="8">
        <f>-(IF(AND(Projects!$G$2="Yes",Projects!$J$2="Yes",Projects!$K$2="No",78=Projects!$C$2),Projects!$B$2*Assumptions!$B$47,0)+IF(AND(Projects!$G$3="Yes",Projects!$J$3="Yes",Projects!$K$3="No",78=Projects!$C$3),Projects!$B$3*Assumptions!$B$47,0)+IF(AND(Projects!$G$4="Yes",Projects!$J$4="Yes",Projects!$K$4="No",78=Projects!$C$4),Projects!$B$4*Assumptions!$B$47,0)+IF(AND(Projects!$G$5="Yes",Projects!$J$5="Yes",Projects!$K$5="No",78=Projects!$C$5),Projects!$B$5*Assumptions!$B$47,0)+IF(AND(Projects!$G$6="Yes",Projects!$J$6="Yes",Projects!$K$6="No",78=Projects!$C$6),Projects!$B$6*Assumptions!$B$47,0)+IF(AND(Projects!$G$7="Yes",Projects!$J$7="Yes",Projects!$K$7="No",78=Projects!$C$7),Projects!$B$7*Assumptions!$B$47,0)+IF(AND(Projects!$G$8="Yes",Projects!$J$8="Yes",Projects!$K$8="No",78=Projects!$C$8),Projects!$B$8*Assumptions!$B$47,0)+IF(AND(Projects!$G$9="Yes",Projects!$J$9="Yes",Projects!$K$9="No",78=Projects!$C$9),Projects!$B$9*Assumptions!$B$47,0)+IF(AND(Projects!$G$10="Yes",Projects!$J$10="Yes",Projects!$K$10="No",78=Projects!$C$10),Projects!$B$10*Assumptions!$B$47,0)+IF(AND(Projects!$G$11="Yes",Projects!$J$11="Yes",Projects!$K$11="No",78=Projects!$C$11),Projects!$B$11*Assumptions!$B$47,0)+IF(AND(Projects!$G$12="Yes",Projects!$J$12="Yes",Projects!$K$12="No",78=Projects!$C$12),Projects!$B$12*Assumptions!$B$47,0)+IF(AND(Projects!$G$13="Yes",Projects!$J$13="Yes",Projects!$K$13="No",78=Projects!$C$13),Projects!$B$13*Assumptions!$B$47,0)+IF(AND(Projects!$G$14="Yes",Projects!$J$14="Yes",Projects!$K$14="No",78=Projects!$C$14),Projects!$B$14*Assumptions!$B$47,0))</f>
        <v>0</v>
      </c>
      <c r="CC80" s="8">
        <f>-(IF(AND(Projects!$G$2="Yes",Projects!$J$2="Yes",Projects!$K$2="No",79=Projects!$C$2),Projects!$B$2*Assumptions!$B$47,0)+IF(AND(Projects!$G$3="Yes",Projects!$J$3="Yes",Projects!$K$3="No",79=Projects!$C$3),Projects!$B$3*Assumptions!$B$47,0)+IF(AND(Projects!$G$4="Yes",Projects!$J$4="Yes",Projects!$K$4="No",79=Projects!$C$4),Projects!$B$4*Assumptions!$B$47,0)+IF(AND(Projects!$G$5="Yes",Projects!$J$5="Yes",Projects!$K$5="No",79=Projects!$C$5),Projects!$B$5*Assumptions!$B$47,0)+IF(AND(Projects!$G$6="Yes",Projects!$J$6="Yes",Projects!$K$6="No",79=Projects!$C$6),Projects!$B$6*Assumptions!$B$47,0)+IF(AND(Projects!$G$7="Yes",Projects!$J$7="Yes",Projects!$K$7="No",79=Projects!$C$7),Projects!$B$7*Assumptions!$B$47,0)+IF(AND(Projects!$G$8="Yes",Projects!$J$8="Yes",Projects!$K$8="No",79=Projects!$C$8),Projects!$B$8*Assumptions!$B$47,0)+IF(AND(Projects!$G$9="Yes",Projects!$J$9="Yes",Projects!$K$9="No",79=Projects!$C$9),Projects!$B$9*Assumptions!$B$47,0)+IF(AND(Projects!$G$10="Yes",Projects!$J$10="Yes",Projects!$K$10="No",79=Projects!$C$10),Projects!$B$10*Assumptions!$B$47,0)+IF(AND(Projects!$G$11="Yes",Projects!$J$11="Yes",Projects!$K$11="No",79=Projects!$C$11),Projects!$B$11*Assumptions!$B$47,0)+IF(AND(Projects!$G$12="Yes",Projects!$J$12="Yes",Projects!$K$12="No",79=Projects!$C$12),Projects!$B$12*Assumptions!$B$47,0)+IF(AND(Projects!$G$13="Yes",Projects!$J$13="Yes",Projects!$K$13="No",79=Projects!$C$13),Projects!$B$13*Assumptions!$B$47,0)+IF(AND(Projects!$G$14="Yes",Projects!$J$14="Yes",Projects!$K$14="No",79=Projects!$C$14),Projects!$B$14*Assumptions!$B$47,0))</f>
        <v>0</v>
      </c>
      <c r="CD80" s="8">
        <f>-(IF(AND(Projects!$G$2="Yes",Projects!$J$2="Yes",Projects!$K$2="No",80=Projects!$C$2),Projects!$B$2*Assumptions!$B$47,0)+IF(AND(Projects!$G$3="Yes",Projects!$J$3="Yes",Projects!$K$3="No",80=Projects!$C$3),Projects!$B$3*Assumptions!$B$47,0)+IF(AND(Projects!$G$4="Yes",Projects!$J$4="Yes",Projects!$K$4="No",80=Projects!$C$4),Projects!$B$4*Assumptions!$B$47,0)+IF(AND(Projects!$G$5="Yes",Projects!$J$5="Yes",Projects!$K$5="No",80=Projects!$C$5),Projects!$B$5*Assumptions!$B$47,0)+IF(AND(Projects!$G$6="Yes",Projects!$J$6="Yes",Projects!$K$6="No",80=Projects!$C$6),Projects!$B$6*Assumptions!$B$47,0)+IF(AND(Projects!$G$7="Yes",Projects!$J$7="Yes",Projects!$K$7="No",80=Projects!$C$7),Projects!$B$7*Assumptions!$B$47,0)+IF(AND(Projects!$G$8="Yes",Projects!$J$8="Yes",Projects!$K$8="No",80=Projects!$C$8),Projects!$B$8*Assumptions!$B$47,0)+IF(AND(Projects!$G$9="Yes",Projects!$J$9="Yes",Projects!$K$9="No",80=Projects!$C$9),Projects!$B$9*Assumptions!$B$47,0)+IF(AND(Projects!$G$10="Yes",Projects!$J$10="Yes",Projects!$K$10="No",80=Projects!$C$10),Projects!$B$10*Assumptions!$B$47,0)+IF(AND(Projects!$G$11="Yes",Projects!$J$11="Yes",Projects!$K$11="No",80=Projects!$C$11),Projects!$B$11*Assumptions!$B$47,0)+IF(AND(Projects!$G$12="Yes",Projects!$J$12="Yes",Projects!$K$12="No",80=Projects!$C$12),Projects!$B$12*Assumptions!$B$47,0)+IF(AND(Projects!$G$13="Yes",Projects!$J$13="Yes",Projects!$K$13="No",80=Projects!$C$13),Projects!$B$13*Assumptions!$B$47,0)+IF(AND(Projects!$G$14="Yes",Projects!$J$14="Yes",Projects!$K$14="No",80=Projects!$C$14),Projects!$B$14*Assumptions!$B$47,0))</f>
        <v>0</v>
      </c>
      <c r="CE80" s="8">
        <f>-(IF(AND(Projects!$G$2="Yes",Projects!$J$2="Yes",Projects!$K$2="No",81=Projects!$C$2),Projects!$B$2*Assumptions!$B$47,0)+IF(AND(Projects!$G$3="Yes",Projects!$J$3="Yes",Projects!$K$3="No",81=Projects!$C$3),Projects!$B$3*Assumptions!$B$47,0)+IF(AND(Projects!$G$4="Yes",Projects!$J$4="Yes",Projects!$K$4="No",81=Projects!$C$4),Projects!$B$4*Assumptions!$B$47,0)+IF(AND(Projects!$G$5="Yes",Projects!$J$5="Yes",Projects!$K$5="No",81=Projects!$C$5),Projects!$B$5*Assumptions!$B$47,0)+IF(AND(Projects!$G$6="Yes",Projects!$J$6="Yes",Projects!$K$6="No",81=Projects!$C$6),Projects!$B$6*Assumptions!$B$47,0)+IF(AND(Projects!$G$7="Yes",Projects!$J$7="Yes",Projects!$K$7="No",81=Projects!$C$7),Projects!$B$7*Assumptions!$B$47,0)+IF(AND(Projects!$G$8="Yes",Projects!$J$8="Yes",Projects!$K$8="No",81=Projects!$C$8),Projects!$B$8*Assumptions!$B$47,0)+IF(AND(Projects!$G$9="Yes",Projects!$J$9="Yes",Projects!$K$9="No",81=Projects!$C$9),Projects!$B$9*Assumptions!$B$47,0)+IF(AND(Projects!$G$10="Yes",Projects!$J$10="Yes",Projects!$K$10="No",81=Projects!$C$10),Projects!$B$10*Assumptions!$B$47,0)+IF(AND(Projects!$G$11="Yes",Projects!$J$11="Yes",Projects!$K$11="No",81=Projects!$C$11),Projects!$B$11*Assumptions!$B$47,0)+IF(AND(Projects!$G$12="Yes",Projects!$J$12="Yes",Projects!$K$12="No",81=Projects!$C$12),Projects!$B$12*Assumptions!$B$47,0)+IF(AND(Projects!$G$13="Yes",Projects!$J$13="Yes",Projects!$K$13="No",81=Projects!$C$13),Projects!$B$13*Assumptions!$B$47,0)+IF(AND(Projects!$G$14="Yes",Projects!$J$14="Yes",Projects!$K$14="No",81=Projects!$C$14),Projects!$B$14*Assumptions!$B$47,0))</f>
        <v>0</v>
      </c>
      <c r="CF80" s="8">
        <f>-(IF(AND(Projects!$G$2="Yes",Projects!$J$2="Yes",Projects!$K$2="No",82=Projects!$C$2),Projects!$B$2*Assumptions!$B$47,0)+IF(AND(Projects!$G$3="Yes",Projects!$J$3="Yes",Projects!$K$3="No",82=Projects!$C$3),Projects!$B$3*Assumptions!$B$47,0)+IF(AND(Projects!$G$4="Yes",Projects!$J$4="Yes",Projects!$K$4="No",82=Projects!$C$4),Projects!$B$4*Assumptions!$B$47,0)+IF(AND(Projects!$G$5="Yes",Projects!$J$5="Yes",Projects!$K$5="No",82=Projects!$C$5),Projects!$B$5*Assumptions!$B$47,0)+IF(AND(Projects!$G$6="Yes",Projects!$J$6="Yes",Projects!$K$6="No",82=Projects!$C$6),Projects!$B$6*Assumptions!$B$47,0)+IF(AND(Projects!$G$7="Yes",Projects!$J$7="Yes",Projects!$K$7="No",82=Projects!$C$7),Projects!$B$7*Assumptions!$B$47,0)+IF(AND(Projects!$G$8="Yes",Projects!$J$8="Yes",Projects!$K$8="No",82=Projects!$C$8),Projects!$B$8*Assumptions!$B$47,0)+IF(AND(Projects!$G$9="Yes",Projects!$J$9="Yes",Projects!$K$9="No",82=Projects!$C$9),Projects!$B$9*Assumptions!$B$47,0)+IF(AND(Projects!$G$10="Yes",Projects!$J$10="Yes",Projects!$K$10="No",82=Projects!$C$10),Projects!$B$10*Assumptions!$B$47,0)+IF(AND(Projects!$G$11="Yes",Projects!$J$11="Yes",Projects!$K$11="No",82=Projects!$C$11),Projects!$B$11*Assumptions!$B$47,0)+IF(AND(Projects!$G$12="Yes",Projects!$J$12="Yes",Projects!$K$12="No",82=Projects!$C$12),Projects!$B$12*Assumptions!$B$47,0)+IF(AND(Projects!$G$13="Yes",Projects!$J$13="Yes",Projects!$K$13="No",82=Projects!$C$13),Projects!$B$13*Assumptions!$B$47,0)+IF(AND(Projects!$G$14="Yes",Projects!$J$14="Yes",Projects!$K$14="No",82=Projects!$C$14),Projects!$B$14*Assumptions!$B$47,0))</f>
        <v>0</v>
      </c>
      <c r="CG80" s="8">
        <f>-(IF(AND(Projects!$G$2="Yes",Projects!$J$2="Yes",Projects!$K$2="No",83=Projects!$C$2),Projects!$B$2*Assumptions!$B$47,0)+IF(AND(Projects!$G$3="Yes",Projects!$J$3="Yes",Projects!$K$3="No",83=Projects!$C$3),Projects!$B$3*Assumptions!$B$47,0)+IF(AND(Projects!$G$4="Yes",Projects!$J$4="Yes",Projects!$K$4="No",83=Projects!$C$4),Projects!$B$4*Assumptions!$B$47,0)+IF(AND(Projects!$G$5="Yes",Projects!$J$5="Yes",Projects!$K$5="No",83=Projects!$C$5),Projects!$B$5*Assumptions!$B$47,0)+IF(AND(Projects!$G$6="Yes",Projects!$J$6="Yes",Projects!$K$6="No",83=Projects!$C$6),Projects!$B$6*Assumptions!$B$47,0)+IF(AND(Projects!$G$7="Yes",Projects!$J$7="Yes",Projects!$K$7="No",83=Projects!$C$7),Projects!$B$7*Assumptions!$B$47,0)+IF(AND(Projects!$G$8="Yes",Projects!$J$8="Yes",Projects!$K$8="No",83=Projects!$C$8),Projects!$B$8*Assumptions!$B$47,0)+IF(AND(Projects!$G$9="Yes",Projects!$J$9="Yes",Projects!$K$9="No",83=Projects!$C$9),Projects!$B$9*Assumptions!$B$47,0)+IF(AND(Projects!$G$10="Yes",Projects!$J$10="Yes",Projects!$K$10="No",83=Projects!$C$10),Projects!$B$10*Assumptions!$B$47,0)+IF(AND(Projects!$G$11="Yes",Projects!$J$11="Yes",Projects!$K$11="No",83=Projects!$C$11),Projects!$B$11*Assumptions!$B$47,0)+IF(AND(Projects!$G$12="Yes",Projects!$J$12="Yes",Projects!$K$12="No",83=Projects!$C$12),Projects!$B$12*Assumptions!$B$47,0)+IF(AND(Projects!$G$13="Yes",Projects!$J$13="Yes",Projects!$K$13="No",83=Projects!$C$13),Projects!$B$13*Assumptions!$B$47,0)+IF(AND(Projects!$G$14="Yes",Projects!$J$14="Yes",Projects!$K$14="No",83=Projects!$C$14),Projects!$B$14*Assumptions!$B$47,0))</f>
        <v>0</v>
      </c>
      <c r="CH80" s="8">
        <f>-(IF(AND(Projects!$G$2="Yes",Projects!$J$2="Yes",Projects!$K$2="No",84=Projects!$C$2),Projects!$B$2*Assumptions!$B$47,0)+IF(AND(Projects!$G$3="Yes",Projects!$J$3="Yes",Projects!$K$3="No",84=Projects!$C$3),Projects!$B$3*Assumptions!$B$47,0)+IF(AND(Projects!$G$4="Yes",Projects!$J$4="Yes",Projects!$K$4="No",84=Projects!$C$4),Projects!$B$4*Assumptions!$B$47,0)+IF(AND(Projects!$G$5="Yes",Projects!$J$5="Yes",Projects!$K$5="No",84=Projects!$C$5),Projects!$B$5*Assumptions!$B$47,0)+IF(AND(Projects!$G$6="Yes",Projects!$J$6="Yes",Projects!$K$6="No",84=Projects!$C$6),Projects!$B$6*Assumptions!$B$47,0)+IF(AND(Projects!$G$7="Yes",Projects!$J$7="Yes",Projects!$K$7="No",84=Projects!$C$7),Projects!$B$7*Assumptions!$B$47,0)+IF(AND(Projects!$G$8="Yes",Projects!$J$8="Yes",Projects!$K$8="No",84=Projects!$C$8),Projects!$B$8*Assumptions!$B$47,0)+IF(AND(Projects!$G$9="Yes",Projects!$J$9="Yes",Projects!$K$9="No",84=Projects!$C$9),Projects!$B$9*Assumptions!$B$47,0)+IF(AND(Projects!$G$10="Yes",Projects!$J$10="Yes",Projects!$K$10="No",84=Projects!$C$10),Projects!$B$10*Assumptions!$B$47,0)+IF(AND(Projects!$G$11="Yes",Projects!$J$11="Yes",Projects!$K$11="No",84=Projects!$C$11),Projects!$B$11*Assumptions!$B$47,0)+IF(AND(Projects!$G$12="Yes",Projects!$J$12="Yes",Projects!$K$12="No",84=Projects!$C$12),Projects!$B$12*Assumptions!$B$47,0)+IF(AND(Projects!$G$13="Yes",Projects!$J$13="Yes",Projects!$K$13="No",84=Projects!$C$13),Projects!$B$13*Assumptions!$B$47,0)+IF(AND(Projects!$G$14="Yes",Projects!$J$14="Yes",Projects!$K$14="No",84=Projects!$C$14),Projects!$B$14*Assumptions!$B$47,0))</f>
        <v>0</v>
      </c>
      <c r="CI80" s="23"/>
    </row>
    <row r="81" spans="1:87" ht="15" customHeight="1" x14ac:dyDescent="0.25">
      <c r="A81" s="7" t="s">
        <v>186</v>
      </c>
      <c r="B81" s="22"/>
      <c r="C81" s="8">
        <f>-(IF(AND(Projects!$G$7="Yes",Projects!$K$7="No",1=Projects!$C$7,Assumptions!$B$53&gt;0),Assumptions!$B$53*Assumptions!$B$48,0)+IF(AND(Projects!$G$11="Yes",Projects!$K$11="No",1=Projects!$C$11,Assumptions!$B$51&gt;0),Assumptions!$B$51*Assumptions!$B$48,0)+IF(AND(Projects!$G$12="Yes",Projects!$K$12="No",1=Projects!$C$12,Assumptions!$B$52&gt;0),Assumptions!$B$52*Assumptions!$B$48,0)+IF(AND(Projects!$G$13="Yes",Projects!$K$13="No",1=Projects!$C$13,Assumptions!$B$54&gt;0),Assumptions!$B$54*Assumptions!$B$48,0)+IF(AND(Projects!$G$14="Yes",Projects!$K$14="No",1=Projects!$C$14,Assumptions!$B$55&gt;0),Assumptions!$B$55*Assumptions!$B$48,0))</f>
        <v>0</v>
      </c>
      <c r="D81" s="8">
        <f>-(IF(AND(Projects!$G$7="Yes",Projects!$K$7="No",2=Projects!$C$7,Assumptions!$B$53&gt;0),Assumptions!$B$53*Assumptions!$B$48,0)+IF(AND(Projects!$G$11="Yes",Projects!$K$11="No",2=Projects!$C$11,Assumptions!$B$51&gt;0),Assumptions!$B$51*Assumptions!$B$48,0)+IF(AND(Projects!$G$12="Yes",Projects!$K$12="No",2=Projects!$C$12,Assumptions!$B$52&gt;0),Assumptions!$B$52*Assumptions!$B$48,0)+IF(AND(Projects!$G$13="Yes",Projects!$K$13="No",2=Projects!$C$13,Assumptions!$B$54&gt;0),Assumptions!$B$54*Assumptions!$B$48,0)+IF(AND(Projects!$G$14="Yes",Projects!$K$14="No",2=Projects!$C$14,Assumptions!$B$55&gt;0),Assumptions!$B$55*Assumptions!$B$48,0))</f>
        <v>0</v>
      </c>
      <c r="E81" s="8">
        <f>-(IF(AND(Projects!$G$7="Yes",Projects!$K$7="No",3=Projects!$C$7,Assumptions!$B$53&gt;0),Assumptions!$B$53*Assumptions!$B$48,0)+IF(AND(Projects!$G$11="Yes",Projects!$K$11="No",3=Projects!$C$11,Assumptions!$B$51&gt;0),Assumptions!$B$51*Assumptions!$B$48,0)+IF(AND(Projects!$G$12="Yes",Projects!$K$12="No",3=Projects!$C$12,Assumptions!$B$52&gt;0),Assumptions!$B$52*Assumptions!$B$48,0)+IF(AND(Projects!$G$13="Yes",Projects!$K$13="No",3=Projects!$C$13,Assumptions!$B$54&gt;0),Assumptions!$B$54*Assumptions!$B$48,0)+IF(AND(Projects!$G$14="Yes",Projects!$K$14="No",3=Projects!$C$14,Assumptions!$B$55&gt;0),Assumptions!$B$55*Assumptions!$B$48,0))</f>
        <v>0</v>
      </c>
      <c r="F81" s="8">
        <f>-(IF(AND(Projects!$G$7="Yes",Projects!$K$7="No",4=Projects!$C$7,Assumptions!$B$53&gt;0),Assumptions!$B$53*Assumptions!$B$48,0)+IF(AND(Projects!$G$11="Yes",Projects!$K$11="No",4=Projects!$C$11,Assumptions!$B$51&gt;0),Assumptions!$B$51*Assumptions!$B$48,0)+IF(AND(Projects!$G$12="Yes",Projects!$K$12="No",4=Projects!$C$12,Assumptions!$B$52&gt;0),Assumptions!$B$52*Assumptions!$B$48,0)+IF(AND(Projects!$G$13="Yes",Projects!$K$13="No",4=Projects!$C$13,Assumptions!$B$54&gt;0),Assumptions!$B$54*Assumptions!$B$48,0)+IF(AND(Projects!$G$14="Yes",Projects!$K$14="No",4=Projects!$C$14,Assumptions!$B$55&gt;0),Assumptions!$B$55*Assumptions!$B$48,0))</f>
        <v>0</v>
      </c>
      <c r="G81" s="8">
        <f>-(IF(AND(Projects!$G$7="Yes",Projects!$K$7="No",5=Projects!$C$7,Assumptions!$B$53&gt;0),Assumptions!$B$53*Assumptions!$B$48,0)+IF(AND(Projects!$G$11="Yes",Projects!$K$11="No",5=Projects!$C$11,Assumptions!$B$51&gt;0),Assumptions!$B$51*Assumptions!$B$48,0)+IF(AND(Projects!$G$12="Yes",Projects!$K$12="No",5=Projects!$C$12,Assumptions!$B$52&gt;0),Assumptions!$B$52*Assumptions!$B$48,0)+IF(AND(Projects!$G$13="Yes",Projects!$K$13="No",5=Projects!$C$13,Assumptions!$B$54&gt;0),Assumptions!$B$54*Assumptions!$B$48,0)+IF(AND(Projects!$G$14="Yes",Projects!$K$14="No",5=Projects!$C$14,Assumptions!$B$55&gt;0),Assumptions!$B$55*Assumptions!$B$48,0))</f>
        <v>0</v>
      </c>
      <c r="H81" s="8">
        <f>-(IF(AND(Projects!$G$7="Yes",Projects!$K$7="No",6=Projects!$C$7,Assumptions!$B$53&gt;0),Assumptions!$B$53*Assumptions!$B$48,0)+IF(AND(Projects!$G$11="Yes",Projects!$K$11="No",6=Projects!$C$11,Assumptions!$B$51&gt;0),Assumptions!$B$51*Assumptions!$B$48,0)+IF(AND(Projects!$G$12="Yes",Projects!$K$12="No",6=Projects!$C$12,Assumptions!$B$52&gt;0),Assumptions!$B$52*Assumptions!$B$48,0)+IF(AND(Projects!$G$13="Yes",Projects!$K$13="No",6=Projects!$C$13,Assumptions!$B$54&gt;0),Assumptions!$B$54*Assumptions!$B$48,0)+IF(AND(Projects!$G$14="Yes",Projects!$K$14="No",6=Projects!$C$14,Assumptions!$B$55&gt;0),Assumptions!$B$55*Assumptions!$B$48,0))</f>
        <v>0</v>
      </c>
      <c r="I81" s="8">
        <f>-(IF(AND(Projects!$G$7="Yes",Projects!$K$7="No",7=Projects!$C$7,Assumptions!$B$53&gt;0),Assumptions!$B$53*Assumptions!$B$48,0)+IF(AND(Projects!$G$11="Yes",Projects!$K$11="No",7=Projects!$C$11,Assumptions!$B$51&gt;0),Assumptions!$B$51*Assumptions!$B$48,0)+IF(AND(Projects!$G$12="Yes",Projects!$K$12="No",7=Projects!$C$12,Assumptions!$B$52&gt;0),Assumptions!$B$52*Assumptions!$B$48,0)+IF(AND(Projects!$G$13="Yes",Projects!$K$13="No",7=Projects!$C$13,Assumptions!$B$54&gt;0),Assumptions!$B$54*Assumptions!$B$48,0)+IF(AND(Projects!$G$14="Yes",Projects!$K$14="No",7=Projects!$C$14,Assumptions!$B$55&gt;0),Assumptions!$B$55*Assumptions!$B$48,0))</f>
        <v>0</v>
      </c>
      <c r="J81" s="8">
        <f>-(IF(AND(Projects!$G$7="Yes",Projects!$K$7="No",8=Projects!$C$7,Assumptions!$B$53&gt;0),Assumptions!$B$53*Assumptions!$B$48,0)+IF(AND(Projects!$G$11="Yes",Projects!$K$11="No",8=Projects!$C$11,Assumptions!$B$51&gt;0),Assumptions!$B$51*Assumptions!$B$48,0)+IF(AND(Projects!$G$12="Yes",Projects!$K$12="No",8=Projects!$C$12,Assumptions!$B$52&gt;0),Assumptions!$B$52*Assumptions!$B$48,0)+IF(AND(Projects!$G$13="Yes",Projects!$K$13="No",8=Projects!$C$13,Assumptions!$B$54&gt;0),Assumptions!$B$54*Assumptions!$B$48,0)+IF(AND(Projects!$G$14="Yes",Projects!$K$14="No",8=Projects!$C$14,Assumptions!$B$55&gt;0),Assumptions!$B$55*Assumptions!$B$48,0))</f>
        <v>0</v>
      </c>
      <c r="K81" s="8">
        <f>-(IF(AND(Projects!$G$7="Yes",Projects!$K$7="No",9=Projects!$C$7,Assumptions!$B$53&gt;0),Assumptions!$B$53*Assumptions!$B$48,0)+IF(AND(Projects!$G$11="Yes",Projects!$K$11="No",9=Projects!$C$11,Assumptions!$B$51&gt;0),Assumptions!$B$51*Assumptions!$B$48,0)+IF(AND(Projects!$G$12="Yes",Projects!$K$12="No",9=Projects!$C$12,Assumptions!$B$52&gt;0),Assumptions!$B$52*Assumptions!$B$48,0)+IF(AND(Projects!$G$13="Yes",Projects!$K$13="No",9=Projects!$C$13,Assumptions!$B$54&gt;0),Assumptions!$B$54*Assumptions!$B$48,0)+IF(AND(Projects!$G$14="Yes",Projects!$K$14="No",9=Projects!$C$14,Assumptions!$B$55&gt;0),Assumptions!$B$55*Assumptions!$B$48,0))</f>
        <v>0</v>
      </c>
      <c r="L81" s="8">
        <f>-(IF(AND(Projects!$G$7="Yes",Projects!$K$7="No",10=Projects!$C$7,Assumptions!$B$53&gt;0),Assumptions!$B$53*Assumptions!$B$48,0)+IF(AND(Projects!$G$11="Yes",Projects!$K$11="No",10=Projects!$C$11,Assumptions!$B$51&gt;0),Assumptions!$B$51*Assumptions!$B$48,0)+IF(AND(Projects!$G$12="Yes",Projects!$K$12="No",10=Projects!$C$12,Assumptions!$B$52&gt;0),Assumptions!$B$52*Assumptions!$B$48,0)+IF(AND(Projects!$G$13="Yes",Projects!$K$13="No",10=Projects!$C$13,Assumptions!$B$54&gt;0),Assumptions!$B$54*Assumptions!$B$48,0)+IF(AND(Projects!$G$14="Yes",Projects!$K$14="No",10=Projects!$C$14,Assumptions!$B$55&gt;0),Assumptions!$B$55*Assumptions!$B$48,0))</f>
        <v>0</v>
      </c>
      <c r="M81" s="8">
        <f>-(IF(AND(Projects!$G$7="Yes",Projects!$K$7="No",11=Projects!$C$7,Assumptions!$B$53&gt;0),Assumptions!$B$53*Assumptions!$B$48,0)+IF(AND(Projects!$G$11="Yes",Projects!$K$11="No",11=Projects!$C$11,Assumptions!$B$51&gt;0),Assumptions!$B$51*Assumptions!$B$48,0)+IF(AND(Projects!$G$12="Yes",Projects!$K$12="No",11=Projects!$C$12,Assumptions!$B$52&gt;0),Assumptions!$B$52*Assumptions!$B$48,0)+IF(AND(Projects!$G$13="Yes",Projects!$K$13="No",11=Projects!$C$13,Assumptions!$B$54&gt;0),Assumptions!$B$54*Assumptions!$B$48,0)+IF(AND(Projects!$G$14="Yes",Projects!$K$14="No",11=Projects!$C$14,Assumptions!$B$55&gt;0),Assumptions!$B$55*Assumptions!$B$48,0))</f>
        <v>0</v>
      </c>
      <c r="N81" s="8">
        <f>-(IF(AND(Projects!$G$7="Yes",Projects!$K$7="No",12=Projects!$C$7,Assumptions!$B$53&gt;0),Assumptions!$B$53*Assumptions!$B$48,0)+IF(AND(Projects!$G$11="Yes",Projects!$K$11="No",12=Projects!$C$11,Assumptions!$B$51&gt;0),Assumptions!$B$51*Assumptions!$B$48,0)+IF(AND(Projects!$G$12="Yes",Projects!$K$12="No",12=Projects!$C$12,Assumptions!$B$52&gt;0),Assumptions!$B$52*Assumptions!$B$48,0)+IF(AND(Projects!$G$13="Yes",Projects!$K$13="No",12=Projects!$C$13,Assumptions!$B$54&gt;0),Assumptions!$B$54*Assumptions!$B$48,0)+IF(AND(Projects!$G$14="Yes",Projects!$K$14="No",12=Projects!$C$14,Assumptions!$B$55&gt;0),Assumptions!$B$55*Assumptions!$B$48,0))</f>
        <v>0</v>
      </c>
      <c r="O81" s="8">
        <f>-(IF(AND(Projects!$G$7="Yes",Projects!$K$7="No",13=Projects!$C$7,Assumptions!$B$53&gt;0),Assumptions!$B$53*Assumptions!$B$48,0)+IF(AND(Projects!$G$11="Yes",Projects!$K$11="No",13=Projects!$C$11,Assumptions!$B$51&gt;0),Assumptions!$B$51*Assumptions!$B$48,0)+IF(AND(Projects!$G$12="Yes",Projects!$K$12="No",13=Projects!$C$12,Assumptions!$B$52&gt;0),Assumptions!$B$52*Assumptions!$B$48,0)+IF(AND(Projects!$G$13="Yes",Projects!$K$13="No",13=Projects!$C$13,Assumptions!$B$54&gt;0),Assumptions!$B$54*Assumptions!$B$48,0)+IF(AND(Projects!$G$14="Yes",Projects!$K$14="No",13=Projects!$C$14,Assumptions!$B$55&gt;0),Assumptions!$B$55*Assumptions!$B$48,0))</f>
        <v>0</v>
      </c>
      <c r="P81" s="8">
        <f>-(IF(AND(Projects!$G$7="Yes",Projects!$K$7="No",14=Projects!$C$7,Assumptions!$B$53&gt;0),Assumptions!$B$53*Assumptions!$B$48,0)+IF(AND(Projects!$G$11="Yes",Projects!$K$11="No",14=Projects!$C$11,Assumptions!$B$51&gt;0),Assumptions!$B$51*Assumptions!$B$48,0)+IF(AND(Projects!$G$12="Yes",Projects!$K$12="No",14=Projects!$C$12,Assumptions!$B$52&gt;0),Assumptions!$B$52*Assumptions!$B$48,0)+IF(AND(Projects!$G$13="Yes",Projects!$K$13="No",14=Projects!$C$13,Assumptions!$B$54&gt;0),Assumptions!$B$54*Assumptions!$B$48,0)+IF(AND(Projects!$G$14="Yes",Projects!$K$14="No",14=Projects!$C$14,Assumptions!$B$55&gt;0),Assumptions!$B$55*Assumptions!$B$48,0))</f>
        <v>0</v>
      </c>
      <c r="Q81" s="8">
        <f>-(IF(AND(Projects!$G$7="Yes",Projects!$K$7="No",15=Projects!$C$7,Assumptions!$B$53&gt;0),Assumptions!$B$53*Assumptions!$B$48,0)+IF(AND(Projects!$G$11="Yes",Projects!$K$11="No",15=Projects!$C$11,Assumptions!$B$51&gt;0),Assumptions!$B$51*Assumptions!$B$48,0)+IF(AND(Projects!$G$12="Yes",Projects!$K$12="No",15=Projects!$C$12,Assumptions!$B$52&gt;0),Assumptions!$B$52*Assumptions!$B$48,0)+IF(AND(Projects!$G$13="Yes",Projects!$K$13="No",15=Projects!$C$13,Assumptions!$B$54&gt;0),Assumptions!$B$54*Assumptions!$B$48,0)+IF(AND(Projects!$G$14="Yes",Projects!$K$14="No",15=Projects!$C$14,Assumptions!$B$55&gt;0),Assumptions!$B$55*Assumptions!$B$48,0))</f>
        <v>0</v>
      </c>
      <c r="R81" s="8">
        <f>-(IF(AND(Projects!$G$7="Yes",Projects!$K$7="No",16=Projects!$C$7,Assumptions!$B$53&gt;0),Assumptions!$B$53*Assumptions!$B$48,0)+IF(AND(Projects!$G$11="Yes",Projects!$K$11="No",16=Projects!$C$11,Assumptions!$B$51&gt;0),Assumptions!$B$51*Assumptions!$B$48,0)+IF(AND(Projects!$G$12="Yes",Projects!$K$12="No",16=Projects!$C$12,Assumptions!$B$52&gt;0),Assumptions!$B$52*Assumptions!$B$48,0)+IF(AND(Projects!$G$13="Yes",Projects!$K$13="No",16=Projects!$C$13,Assumptions!$B$54&gt;0),Assumptions!$B$54*Assumptions!$B$48,0)+IF(AND(Projects!$G$14="Yes",Projects!$K$14="No",16=Projects!$C$14,Assumptions!$B$55&gt;0),Assumptions!$B$55*Assumptions!$B$48,0))</f>
        <v>0</v>
      </c>
      <c r="S81" s="8">
        <f>-(IF(AND(Projects!$G$7="Yes",Projects!$K$7="No",17=Projects!$C$7,Assumptions!$B$53&gt;0),Assumptions!$B$53*Assumptions!$B$48,0)+IF(AND(Projects!$G$11="Yes",Projects!$K$11="No",17=Projects!$C$11,Assumptions!$B$51&gt;0),Assumptions!$B$51*Assumptions!$B$48,0)+IF(AND(Projects!$G$12="Yes",Projects!$K$12="No",17=Projects!$C$12,Assumptions!$B$52&gt;0),Assumptions!$B$52*Assumptions!$B$48,0)+IF(AND(Projects!$G$13="Yes",Projects!$K$13="No",17=Projects!$C$13,Assumptions!$B$54&gt;0),Assumptions!$B$54*Assumptions!$B$48,0)+IF(AND(Projects!$G$14="Yes",Projects!$K$14="No",17=Projects!$C$14,Assumptions!$B$55&gt;0),Assumptions!$B$55*Assumptions!$B$48,0))</f>
        <v>0</v>
      </c>
      <c r="T81" s="8">
        <f>-(IF(AND(Projects!$G$7="Yes",Projects!$K$7="No",18=Projects!$C$7,Assumptions!$B$53&gt;0),Assumptions!$B$53*Assumptions!$B$48,0)+IF(AND(Projects!$G$11="Yes",Projects!$K$11="No",18=Projects!$C$11,Assumptions!$B$51&gt;0),Assumptions!$B$51*Assumptions!$B$48,0)+IF(AND(Projects!$G$12="Yes",Projects!$K$12="No",18=Projects!$C$12,Assumptions!$B$52&gt;0),Assumptions!$B$52*Assumptions!$B$48,0)+IF(AND(Projects!$G$13="Yes",Projects!$K$13="No",18=Projects!$C$13,Assumptions!$B$54&gt;0),Assumptions!$B$54*Assumptions!$B$48,0)+IF(AND(Projects!$G$14="Yes",Projects!$K$14="No",18=Projects!$C$14,Assumptions!$B$55&gt;0),Assumptions!$B$55*Assumptions!$B$48,0))</f>
        <v>0</v>
      </c>
      <c r="U81" s="8">
        <f>-(IF(AND(Projects!$G$7="Yes",Projects!$K$7="No",19=Projects!$C$7,Assumptions!$B$53&gt;0),Assumptions!$B$53*Assumptions!$B$48,0)+IF(AND(Projects!$G$11="Yes",Projects!$K$11="No",19=Projects!$C$11,Assumptions!$B$51&gt;0),Assumptions!$B$51*Assumptions!$B$48,0)+IF(AND(Projects!$G$12="Yes",Projects!$K$12="No",19=Projects!$C$12,Assumptions!$B$52&gt;0),Assumptions!$B$52*Assumptions!$B$48,0)+IF(AND(Projects!$G$13="Yes",Projects!$K$13="No",19=Projects!$C$13,Assumptions!$B$54&gt;0),Assumptions!$B$54*Assumptions!$B$48,0)+IF(AND(Projects!$G$14="Yes",Projects!$K$14="No",19=Projects!$C$14,Assumptions!$B$55&gt;0),Assumptions!$B$55*Assumptions!$B$48,0))</f>
        <v>0</v>
      </c>
      <c r="V81" s="8">
        <f>-(IF(AND(Projects!$G$7="Yes",Projects!$K$7="No",20=Projects!$C$7,Assumptions!$B$53&gt;0),Assumptions!$B$53*Assumptions!$B$48,0)+IF(AND(Projects!$G$11="Yes",Projects!$K$11="No",20=Projects!$C$11,Assumptions!$B$51&gt;0),Assumptions!$B$51*Assumptions!$B$48,0)+IF(AND(Projects!$G$12="Yes",Projects!$K$12="No",20=Projects!$C$12,Assumptions!$B$52&gt;0),Assumptions!$B$52*Assumptions!$B$48,0)+IF(AND(Projects!$G$13="Yes",Projects!$K$13="No",20=Projects!$C$13,Assumptions!$B$54&gt;0),Assumptions!$B$54*Assumptions!$B$48,0)+IF(AND(Projects!$G$14="Yes",Projects!$K$14="No",20=Projects!$C$14,Assumptions!$B$55&gt;0),Assumptions!$B$55*Assumptions!$B$48,0))</f>
        <v>0</v>
      </c>
      <c r="W81" s="8">
        <f>-(IF(AND(Projects!$G$7="Yes",Projects!$K$7="No",21=Projects!$C$7,Assumptions!$B$53&gt;0),Assumptions!$B$53*Assumptions!$B$48,0)+IF(AND(Projects!$G$11="Yes",Projects!$K$11="No",21=Projects!$C$11,Assumptions!$B$51&gt;0),Assumptions!$B$51*Assumptions!$B$48,0)+IF(AND(Projects!$G$12="Yes",Projects!$K$12="No",21=Projects!$C$12,Assumptions!$B$52&gt;0),Assumptions!$B$52*Assumptions!$B$48,0)+IF(AND(Projects!$G$13="Yes",Projects!$K$13="No",21=Projects!$C$13,Assumptions!$B$54&gt;0),Assumptions!$B$54*Assumptions!$B$48,0)+IF(AND(Projects!$G$14="Yes",Projects!$K$14="No",21=Projects!$C$14,Assumptions!$B$55&gt;0),Assumptions!$B$55*Assumptions!$B$48,0))</f>
        <v>0</v>
      </c>
      <c r="X81" s="8">
        <f>-(IF(AND(Projects!$G$7="Yes",Projects!$K$7="No",22=Projects!$C$7,Assumptions!$B$53&gt;0),Assumptions!$B$53*Assumptions!$B$48,0)+IF(AND(Projects!$G$11="Yes",Projects!$K$11="No",22=Projects!$C$11,Assumptions!$B$51&gt;0),Assumptions!$B$51*Assumptions!$B$48,0)+IF(AND(Projects!$G$12="Yes",Projects!$K$12="No",22=Projects!$C$12,Assumptions!$B$52&gt;0),Assumptions!$B$52*Assumptions!$B$48,0)+IF(AND(Projects!$G$13="Yes",Projects!$K$13="No",22=Projects!$C$13,Assumptions!$B$54&gt;0),Assumptions!$B$54*Assumptions!$B$48,0)+IF(AND(Projects!$G$14="Yes",Projects!$K$14="No",22=Projects!$C$14,Assumptions!$B$55&gt;0),Assumptions!$B$55*Assumptions!$B$48,0))</f>
        <v>0</v>
      </c>
      <c r="Y81" s="8">
        <f>-(IF(AND(Projects!$G$7="Yes",Projects!$K$7="No",23=Projects!$C$7,Assumptions!$B$53&gt;0),Assumptions!$B$53*Assumptions!$B$48,0)+IF(AND(Projects!$G$11="Yes",Projects!$K$11="No",23=Projects!$C$11,Assumptions!$B$51&gt;0),Assumptions!$B$51*Assumptions!$B$48,0)+IF(AND(Projects!$G$12="Yes",Projects!$K$12="No",23=Projects!$C$12,Assumptions!$B$52&gt;0),Assumptions!$B$52*Assumptions!$B$48,0)+IF(AND(Projects!$G$13="Yes",Projects!$K$13="No",23=Projects!$C$13,Assumptions!$B$54&gt;0),Assumptions!$B$54*Assumptions!$B$48,0)+IF(AND(Projects!$G$14="Yes",Projects!$K$14="No",23=Projects!$C$14,Assumptions!$B$55&gt;0),Assumptions!$B$55*Assumptions!$B$48,0))</f>
        <v>0</v>
      </c>
      <c r="Z81" s="8">
        <f>-(IF(AND(Projects!$G$7="Yes",Projects!$K$7="No",24=Projects!$C$7,Assumptions!$B$53&gt;0),Assumptions!$B$53*Assumptions!$B$48,0)+IF(AND(Projects!$G$11="Yes",Projects!$K$11="No",24=Projects!$C$11,Assumptions!$B$51&gt;0),Assumptions!$B$51*Assumptions!$B$48,0)+IF(AND(Projects!$G$12="Yes",Projects!$K$12="No",24=Projects!$C$12,Assumptions!$B$52&gt;0),Assumptions!$B$52*Assumptions!$B$48,0)+IF(AND(Projects!$G$13="Yes",Projects!$K$13="No",24=Projects!$C$13,Assumptions!$B$54&gt;0),Assumptions!$B$54*Assumptions!$B$48,0)+IF(AND(Projects!$G$14="Yes",Projects!$K$14="No",24=Projects!$C$14,Assumptions!$B$55&gt;0),Assumptions!$B$55*Assumptions!$B$48,0))</f>
        <v>0</v>
      </c>
      <c r="AA81" s="8">
        <f>-(IF(AND(Projects!$G$7="Yes",Projects!$K$7="No",25=Projects!$C$7,Assumptions!$B$53&gt;0),Assumptions!$B$53*Assumptions!$B$48,0)+IF(AND(Projects!$G$11="Yes",Projects!$K$11="No",25=Projects!$C$11,Assumptions!$B$51&gt;0),Assumptions!$B$51*Assumptions!$B$48,0)+IF(AND(Projects!$G$12="Yes",Projects!$K$12="No",25=Projects!$C$12,Assumptions!$B$52&gt;0),Assumptions!$B$52*Assumptions!$B$48,0)+IF(AND(Projects!$G$13="Yes",Projects!$K$13="No",25=Projects!$C$13,Assumptions!$B$54&gt;0),Assumptions!$B$54*Assumptions!$B$48,0)+IF(AND(Projects!$G$14="Yes",Projects!$K$14="No",25=Projects!$C$14,Assumptions!$B$55&gt;0),Assumptions!$B$55*Assumptions!$B$48,0))</f>
        <v>0</v>
      </c>
      <c r="AB81" s="8">
        <f>-(IF(AND(Projects!$G$7="Yes",Projects!$K$7="No",26=Projects!$C$7,Assumptions!$B$53&gt;0),Assumptions!$B$53*Assumptions!$B$48,0)+IF(AND(Projects!$G$11="Yes",Projects!$K$11="No",26=Projects!$C$11,Assumptions!$B$51&gt;0),Assumptions!$B$51*Assumptions!$B$48,0)+IF(AND(Projects!$G$12="Yes",Projects!$K$12="No",26=Projects!$C$12,Assumptions!$B$52&gt;0),Assumptions!$B$52*Assumptions!$B$48,0)+IF(AND(Projects!$G$13="Yes",Projects!$K$13="No",26=Projects!$C$13,Assumptions!$B$54&gt;0),Assumptions!$B$54*Assumptions!$B$48,0)+IF(AND(Projects!$G$14="Yes",Projects!$K$14="No",26=Projects!$C$14,Assumptions!$B$55&gt;0),Assumptions!$B$55*Assumptions!$B$48,0))</f>
        <v>0</v>
      </c>
      <c r="AC81" s="8">
        <f>-(IF(AND(Projects!$G$7="Yes",Projects!$K$7="No",27=Projects!$C$7,Assumptions!$B$53&gt;0),Assumptions!$B$53*Assumptions!$B$48,0)+IF(AND(Projects!$G$11="Yes",Projects!$K$11="No",27=Projects!$C$11,Assumptions!$B$51&gt;0),Assumptions!$B$51*Assumptions!$B$48,0)+IF(AND(Projects!$G$12="Yes",Projects!$K$12="No",27=Projects!$C$12,Assumptions!$B$52&gt;0),Assumptions!$B$52*Assumptions!$B$48,0)+IF(AND(Projects!$G$13="Yes",Projects!$K$13="No",27=Projects!$C$13,Assumptions!$B$54&gt;0),Assumptions!$B$54*Assumptions!$B$48,0)+IF(AND(Projects!$G$14="Yes",Projects!$K$14="No",27=Projects!$C$14,Assumptions!$B$55&gt;0),Assumptions!$B$55*Assumptions!$B$48,0))</f>
        <v>0</v>
      </c>
      <c r="AD81" s="8">
        <f>-(IF(AND(Projects!$G$7="Yes",Projects!$K$7="No",28=Projects!$C$7,Assumptions!$B$53&gt;0),Assumptions!$B$53*Assumptions!$B$48,0)+IF(AND(Projects!$G$11="Yes",Projects!$K$11="No",28=Projects!$C$11,Assumptions!$B$51&gt;0),Assumptions!$B$51*Assumptions!$B$48,0)+IF(AND(Projects!$G$12="Yes",Projects!$K$12="No",28=Projects!$C$12,Assumptions!$B$52&gt;0),Assumptions!$B$52*Assumptions!$B$48,0)+IF(AND(Projects!$G$13="Yes",Projects!$K$13="No",28=Projects!$C$13,Assumptions!$B$54&gt;0),Assumptions!$B$54*Assumptions!$B$48,0)+IF(AND(Projects!$G$14="Yes",Projects!$K$14="No",28=Projects!$C$14,Assumptions!$B$55&gt;0),Assumptions!$B$55*Assumptions!$B$48,0))</f>
        <v>0</v>
      </c>
      <c r="AE81" s="8">
        <f>-(IF(AND(Projects!$G$7="Yes",Projects!$K$7="No",29=Projects!$C$7,Assumptions!$B$53&gt;0),Assumptions!$B$53*Assumptions!$B$48,0)+IF(AND(Projects!$G$11="Yes",Projects!$K$11="No",29=Projects!$C$11,Assumptions!$B$51&gt;0),Assumptions!$B$51*Assumptions!$B$48,0)+IF(AND(Projects!$G$12="Yes",Projects!$K$12="No",29=Projects!$C$12,Assumptions!$B$52&gt;0),Assumptions!$B$52*Assumptions!$B$48,0)+IF(AND(Projects!$G$13="Yes",Projects!$K$13="No",29=Projects!$C$13,Assumptions!$B$54&gt;0),Assumptions!$B$54*Assumptions!$B$48,0)+IF(AND(Projects!$G$14="Yes",Projects!$K$14="No",29=Projects!$C$14,Assumptions!$B$55&gt;0),Assumptions!$B$55*Assumptions!$B$48,0))</f>
        <v>0</v>
      </c>
      <c r="AF81" s="8">
        <f>-(IF(AND(Projects!$G$7="Yes",Projects!$K$7="No",30=Projects!$C$7,Assumptions!$B$53&gt;0),Assumptions!$B$53*Assumptions!$B$48,0)+IF(AND(Projects!$G$11="Yes",Projects!$K$11="No",30=Projects!$C$11,Assumptions!$B$51&gt;0),Assumptions!$B$51*Assumptions!$B$48,0)+IF(AND(Projects!$G$12="Yes",Projects!$K$12="No",30=Projects!$C$12,Assumptions!$B$52&gt;0),Assumptions!$B$52*Assumptions!$B$48,0)+IF(AND(Projects!$G$13="Yes",Projects!$K$13="No",30=Projects!$C$13,Assumptions!$B$54&gt;0),Assumptions!$B$54*Assumptions!$B$48,0)+IF(AND(Projects!$G$14="Yes",Projects!$K$14="No",30=Projects!$C$14,Assumptions!$B$55&gt;0),Assumptions!$B$55*Assumptions!$B$48,0))</f>
        <v>0</v>
      </c>
      <c r="AG81" s="8">
        <f>-(IF(AND(Projects!$G$7="Yes",Projects!$K$7="No",31=Projects!$C$7,Assumptions!$B$53&gt;0),Assumptions!$B$53*Assumptions!$B$48,0)+IF(AND(Projects!$G$11="Yes",Projects!$K$11="No",31=Projects!$C$11,Assumptions!$B$51&gt;0),Assumptions!$B$51*Assumptions!$B$48,0)+IF(AND(Projects!$G$12="Yes",Projects!$K$12="No",31=Projects!$C$12,Assumptions!$B$52&gt;0),Assumptions!$B$52*Assumptions!$B$48,0)+IF(AND(Projects!$G$13="Yes",Projects!$K$13="No",31=Projects!$C$13,Assumptions!$B$54&gt;0),Assumptions!$B$54*Assumptions!$B$48,0)+IF(AND(Projects!$G$14="Yes",Projects!$K$14="No",31=Projects!$C$14,Assumptions!$B$55&gt;0),Assumptions!$B$55*Assumptions!$B$48,0))</f>
        <v>0</v>
      </c>
      <c r="AH81" s="8">
        <f>-(IF(AND(Projects!$G$7="Yes",Projects!$K$7="No",32=Projects!$C$7,Assumptions!$B$53&gt;0),Assumptions!$B$53*Assumptions!$B$48,0)+IF(AND(Projects!$G$11="Yes",Projects!$K$11="No",32=Projects!$C$11,Assumptions!$B$51&gt;0),Assumptions!$B$51*Assumptions!$B$48,0)+IF(AND(Projects!$G$12="Yes",Projects!$K$12="No",32=Projects!$C$12,Assumptions!$B$52&gt;0),Assumptions!$B$52*Assumptions!$B$48,0)+IF(AND(Projects!$G$13="Yes",Projects!$K$13="No",32=Projects!$C$13,Assumptions!$B$54&gt;0),Assumptions!$B$54*Assumptions!$B$48,0)+IF(AND(Projects!$G$14="Yes",Projects!$K$14="No",32=Projects!$C$14,Assumptions!$B$55&gt;0),Assumptions!$B$55*Assumptions!$B$48,0))</f>
        <v>0</v>
      </c>
      <c r="AI81" s="8">
        <f>-(IF(AND(Projects!$G$7="Yes",Projects!$K$7="No",33=Projects!$C$7,Assumptions!$B$53&gt;0),Assumptions!$B$53*Assumptions!$B$48,0)+IF(AND(Projects!$G$11="Yes",Projects!$K$11="No",33=Projects!$C$11,Assumptions!$B$51&gt;0),Assumptions!$B$51*Assumptions!$B$48,0)+IF(AND(Projects!$G$12="Yes",Projects!$K$12="No",33=Projects!$C$12,Assumptions!$B$52&gt;0),Assumptions!$B$52*Assumptions!$B$48,0)+IF(AND(Projects!$G$13="Yes",Projects!$K$13="No",33=Projects!$C$13,Assumptions!$B$54&gt;0),Assumptions!$B$54*Assumptions!$B$48,0)+IF(AND(Projects!$G$14="Yes",Projects!$K$14="No",33=Projects!$C$14,Assumptions!$B$55&gt;0),Assumptions!$B$55*Assumptions!$B$48,0))</f>
        <v>0</v>
      </c>
      <c r="AJ81" s="8">
        <f>-(IF(AND(Projects!$G$7="Yes",Projects!$K$7="No",34=Projects!$C$7,Assumptions!$B$53&gt;0),Assumptions!$B$53*Assumptions!$B$48,0)+IF(AND(Projects!$G$11="Yes",Projects!$K$11="No",34=Projects!$C$11,Assumptions!$B$51&gt;0),Assumptions!$B$51*Assumptions!$B$48,0)+IF(AND(Projects!$G$12="Yes",Projects!$K$12="No",34=Projects!$C$12,Assumptions!$B$52&gt;0),Assumptions!$B$52*Assumptions!$B$48,0)+IF(AND(Projects!$G$13="Yes",Projects!$K$13="No",34=Projects!$C$13,Assumptions!$B$54&gt;0),Assumptions!$B$54*Assumptions!$B$48,0)+IF(AND(Projects!$G$14="Yes",Projects!$K$14="No",34=Projects!$C$14,Assumptions!$B$55&gt;0),Assumptions!$B$55*Assumptions!$B$48,0))</f>
        <v>0</v>
      </c>
      <c r="AK81" s="8">
        <f>-(IF(AND(Projects!$G$7="Yes",Projects!$K$7="No",35=Projects!$C$7,Assumptions!$B$53&gt;0),Assumptions!$B$53*Assumptions!$B$48,0)+IF(AND(Projects!$G$11="Yes",Projects!$K$11="No",35=Projects!$C$11,Assumptions!$B$51&gt;0),Assumptions!$B$51*Assumptions!$B$48,0)+IF(AND(Projects!$G$12="Yes",Projects!$K$12="No",35=Projects!$C$12,Assumptions!$B$52&gt;0),Assumptions!$B$52*Assumptions!$B$48,0)+IF(AND(Projects!$G$13="Yes",Projects!$K$13="No",35=Projects!$C$13,Assumptions!$B$54&gt;0),Assumptions!$B$54*Assumptions!$B$48,0)+IF(AND(Projects!$G$14="Yes",Projects!$K$14="No",35=Projects!$C$14,Assumptions!$B$55&gt;0),Assumptions!$B$55*Assumptions!$B$48,0))</f>
        <v>0</v>
      </c>
      <c r="AL81" s="8">
        <f>-(IF(AND(Projects!$G$7="Yes",Projects!$K$7="No",36=Projects!$C$7,Assumptions!$B$53&gt;0),Assumptions!$B$53*Assumptions!$B$48,0)+IF(AND(Projects!$G$11="Yes",Projects!$K$11="No",36=Projects!$C$11,Assumptions!$B$51&gt;0),Assumptions!$B$51*Assumptions!$B$48,0)+IF(AND(Projects!$G$12="Yes",Projects!$K$12="No",36=Projects!$C$12,Assumptions!$B$52&gt;0),Assumptions!$B$52*Assumptions!$B$48,0)+IF(AND(Projects!$G$13="Yes",Projects!$K$13="No",36=Projects!$C$13,Assumptions!$B$54&gt;0),Assumptions!$B$54*Assumptions!$B$48,0)+IF(AND(Projects!$G$14="Yes",Projects!$K$14="No",36=Projects!$C$14,Assumptions!$B$55&gt;0),Assumptions!$B$55*Assumptions!$B$48,0))</f>
        <v>0</v>
      </c>
      <c r="AM81" s="8">
        <f>-(IF(AND(Projects!$G$7="Yes",Projects!$K$7="No",37=Projects!$C$7,Assumptions!$B$53&gt;0),Assumptions!$B$53*Assumptions!$B$48,0)+IF(AND(Projects!$G$11="Yes",Projects!$K$11="No",37=Projects!$C$11,Assumptions!$B$51&gt;0),Assumptions!$B$51*Assumptions!$B$48,0)+IF(AND(Projects!$G$12="Yes",Projects!$K$12="No",37=Projects!$C$12,Assumptions!$B$52&gt;0),Assumptions!$B$52*Assumptions!$B$48,0)+IF(AND(Projects!$G$13="Yes",Projects!$K$13="No",37=Projects!$C$13,Assumptions!$B$54&gt;0),Assumptions!$B$54*Assumptions!$B$48,0)+IF(AND(Projects!$G$14="Yes",Projects!$K$14="No",37=Projects!$C$14,Assumptions!$B$55&gt;0),Assumptions!$B$55*Assumptions!$B$48,0))</f>
        <v>0</v>
      </c>
      <c r="AN81" s="8">
        <f>-(IF(AND(Projects!$G$7="Yes",Projects!$K$7="No",38=Projects!$C$7,Assumptions!$B$53&gt;0),Assumptions!$B$53*Assumptions!$B$48,0)+IF(AND(Projects!$G$11="Yes",Projects!$K$11="No",38=Projects!$C$11,Assumptions!$B$51&gt;0),Assumptions!$B$51*Assumptions!$B$48,0)+IF(AND(Projects!$G$12="Yes",Projects!$K$12="No",38=Projects!$C$12,Assumptions!$B$52&gt;0),Assumptions!$B$52*Assumptions!$B$48,0)+IF(AND(Projects!$G$13="Yes",Projects!$K$13="No",38=Projects!$C$13,Assumptions!$B$54&gt;0),Assumptions!$B$54*Assumptions!$B$48,0)+IF(AND(Projects!$G$14="Yes",Projects!$K$14="No",38=Projects!$C$14,Assumptions!$B$55&gt;0),Assumptions!$B$55*Assumptions!$B$48,0))</f>
        <v>0</v>
      </c>
      <c r="AO81" s="8">
        <f>-(IF(AND(Projects!$G$7="Yes",Projects!$K$7="No",39=Projects!$C$7,Assumptions!$B$53&gt;0),Assumptions!$B$53*Assumptions!$B$48,0)+IF(AND(Projects!$G$11="Yes",Projects!$K$11="No",39=Projects!$C$11,Assumptions!$B$51&gt;0),Assumptions!$B$51*Assumptions!$B$48,0)+IF(AND(Projects!$G$12="Yes",Projects!$K$12="No",39=Projects!$C$12,Assumptions!$B$52&gt;0),Assumptions!$B$52*Assumptions!$B$48,0)+IF(AND(Projects!$G$13="Yes",Projects!$K$13="No",39=Projects!$C$13,Assumptions!$B$54&gt;0),Assumptions!$B$54*Assumptions!$B$48,0)+IF(AND(Projects!$G$14="Yes",Projects!$K$14="No",39=Projects!$C$14,Assumptions!$B$55&gt;0),Assumptions!$B$55*Assumptions!$B$48,0))</f>
        <v>0</v>
      </c>
      <c r="AP81" s="8">
        <f>-(IF(AND(Projects!$G$7="Yes",Projects!$K$7="No",40=Projects!$C$7,Assumptions!$B$53&gt;0),Assumptions!$B$53*Assumptions!$B$48,0)+IF(AND(Projects!$G$11="Yes",Projects!$K$11="No",40=Projects!$C$11,Assumptions!$B$51&gt;0),Assumptions!$B$51*Assumptions!$B$48,0)+IF(AND(Projects!$G$12="Yes",Projects!$K$12="No",40=Projects!$C$12,Assumptions!$B$52&gt;0),Assumptions!$B$52*Assumptions!$B$48,0)+IF(AND(Projects!$G$13="Yes",Projects!$K$13="No",40=Projects!$C$13,Assumptions!$B$54&gt;0),Assumptions!$B$54*Assumptions!$B$48,0)+IF(AND(Projects!$G$14="Yes",Projects!$K$14="No",40=Projects!$C$14,Assumptions!$B$55&gt;0),Assumptions!$B$55*Assumptions!$B$48,0))</f>
        <v>0</v>
      </c>
      <c r="AQ81" s="8">
        <f>-(IF(AND(Projects!$G$7="Yes",Projects!$K$7="No",41=Projects!$C$7,Assumptions!$B$53&gt;0),Assumptions!$B$53*Assumptions!$B$48,0)+IF(AND(Projects!$G$11="Yes",Projects!$K$11="No",41=Projects!$C$11,Assumptions!$B$51&gt;0),Assumptions!$B$51*Assumptions!$B$48,0)+IF(AND(Projects!$G$12="Yes",Projects!$K$12="No",41=Projects!$C$12,Assumptions!$B$52&gt;0),Assumptions!$B$52*Assumptions!$B$48,0)+IF(AND(Projects!$G$13="Yes",Projects!$K$13="No",41=Projects!$C$13,Assumptions!$B$54&gt;0),Assumptions!$B$54*Assumptions!$B$48,0)+IF(AND(Projects!$G$14="Yes",Projects!$K$14="No",41=Projects!$C$14,Assumptions!$B$55&gt;0),Assumptions!$B$55*Assumptions!$B$48,0))</f>
        <v>0</v>
      </c>
      <c r="AR81" s="8">
        <f>-(IF(AND(Projects!$G$7="Yes",Projects!$K$7="No",42=Projects!$C$7,Assumptions!$B$53&gt;0),Assumptions!$B$53*Assumptions!$B$48,0)+IF(AND(Projects!$G$11="Yes",Projects!$K$11="No",42=Projects!$C$11,Assumptions!$B$51&gt;0),Assumptions!$B$51*Assumptions!$B$48,0)+IF(AND(Projects!$G$12="Yes",Projects!$K$12="No",42=Projects!$C$12,Assumptions!$B$52&gt;0),Assumptions!$B$52*Assumptions!$B$48,0)+IF(AND(Projects!$G$13="Yes",Projects!$K$13="No",42=Projects!$C$13,Assumptions!$B$54&gt;0),Assumptions!$B$54*Assumptions!$B$48,0)+IF(AND(Projects!$G$14="Yes",Projects!$K$14="No",42=Projects!$C$14,Assumptions!$B$55&gt;0),Assumptions!$B$55*Assumptions!$B$48,0))</f>
        <v>0</v>
      </c>
      <c r="AS81" s="8">
        <f>-(IF(AND(Projects!$G$7="Yes",Projects!$K$7="No",43=Projects!$C$7,Assumptions!$B$53&gt;0),Assumptions!$B$53*Assumptions!$B$48,0)+IF(AND(Projects!$G$11="Yes",Projects!$K$11="No",43=Projects!$C$11,Assumptions!$B$51&gt;0),Assumptions!$B$51*Assumptions!$B$48,0)+IF(AND(Projects!$G$12="Yes",Projects!$K$12="No",43=Projects!$C$12,Assumptions!$B$52&gt;0),Assumptions!$B$52*Assumptions!$B$48,0)+IF(AND(Projects!$G$13="Yes",Projects!$K$13="No",43=Projects!$C$13,Assumptions!$B$54&gt;0),Assumptions!$B$54*Assumptions!$B$48,0)+IF(AND(Projects!$G$14="Yes",Projects!$K$14="No",43=Projects!$C$14,Assumptions!$B$55&gt;0),Assumptions!$B$55*Assumptions!$B$48,0))</f>
        <v>0</v>
      </c>
      <c r="AT81" s="8">
        <f>-(IF(AND(Projects!$G$7="Yes",Projects!$K$7="No",44=Projects!$C$7,Assumptions!$B$53&gt;0),Assumptions!$B$53*Assumptions!$B$48,0)+IF(AND(Projects!$G$11="Yes",Projects!$K$11="No",44=Projects!$C$11,Assumptions!$B$51&gt;0),Assumptions!$B$51*Assumptions!$B$48,0)+IF(AND(Projects!$G$12="Yes",Projects!$K$12="No",44=Projects!$C$12,Assumptions!$B$52&gt;0),Assumptions!$B$52*Assumptions!$B$48,0)+IF(AND(Projects!$G$13="Yes",Projects!$K$13="No",44=Projects!$C$13,Assumptions!$B$54&gt;0),Assumptions!$B$54*Assumptions!$B$48,0)+IF(AND(Projects!$G$14="Yes",Projects!$K$14="No",44=Projects!$C$14,Assumptions!$B$55&gt;0),Assumptions!$B$55*Assumptions!$B$48,0))</f>
        <v>0</v>
      </c>
      <c r="AU81" s="8">
        <f>-(IF(AND(Projects!$G$7="Yes",Projects!$K$7="No",45=Projects!$C$7,Assumptions!$B$53&gt;0),Assumptions!$B$53*Assumptions!$B$48,0)+IF(AND(Projects!$G$11="Yes",Projects!$K$11="No",45=Projects!$C$11,Assumptions!$B$51&gt;0),Assumptions!$B$51*Assumptions!$B$48,0)+IF(AND(Projects!$G$12="Yes",Projects!$K$12="No",45=Projects!$C$12,Assumptions!$B$52&gt;0),Assumptions!$B$52*Assumptions!$B$48,0)+IF(AND(Projects!$G$13="Yes",Projects!$K$13="No",45=Projects!$C$13,Assumptions!$B$54&gt;0),Assumptions!$B$54*Assumptions!$B$48,0)+IF(AND(Projects!$G$14="Yes",Projects!$K$14="No",45=Projects!$C$14,Assumptions!$B$55&gt;0),Assumptions!$B$55*Assumptions!$B$48,0))</f>
        <v>0</v>
      </c>
      <c r="AV81" s="8">
        <f>-(IF(AND(Projects!$G$7="Yes",Projects!$K$7="No",46=Projects!$C$7,Assumptions!$B$53&gt;0),Assumptions!$B$53*Assumptions!$B$48,0)+IF(AND(Projects!$G$11="Yes",Projects!$K$11="No",46=Projects!$C$11,Assumptions!$B$51&gt;0),Assumptions!$B$51*Assumptions!$B$48,0)+IF(AND(Projects!$G$12="Yes",Projects!$K$12="No",46=Projects!$C$12,Assumptions!$B$52&gt;0),Assumptions!$B$52*Assumptions!$B$48,0)+IF(AND(Projects!$G$13="Yes",Projects!$K$13="No",46=Projects!$C$13,Assumptions!$B$54&gt;0),Assumptions!$B$54*Assumptions!$B$48,0)+IF(AND(Projects!$G$14="Yes",Projects!$K$14="No",46=Projects!$C$14,Assumptions!$B$55&gt;0),Assumptions!$B$55*Assumptions!$B$48,0))</f>
        <v>0</v>
      </c>
      <c r="AW81" s="8">
        <f>-(IF(AND(Projects!$G$7="Yes",Projects!$K$7="No",47=Projects!$C$7,Assumptions!$B$53&gt;0),Assumptions!$B$53*Assumptions!$B$48,0)+IF(AND(Projects!$G$11="Yes",Projects!$K$11="No",47=Projects!$C$11,Assumptions!$B$51&gt;0),Assumptions!$B$51*Assumptions!$B$48,0)+IF(AND(Projects!$G$12="Yes",Projects!$K$12="No",47=Projects!$C$12,Assumptions!$B$52&gt;0),Assumptions!$B$52*Assumptions!$B$48,0)+IF(AND(Projects!$G$13="Yes",Projects!$K$13="No",47=Projects!$C$13,Assumptions!$B$54&gt;0),Assumptions!$B$54*Assumptions!$B$48,0)+IF(AND(Projects!$G$14="Yes",Projects!$K$14="No",47=Projects!$C$14,Assumptions!$B$55&gt;0),Assumptions!$B$55*Assumptions!$B$48,0))</f>
        <v>0</v>
      </c>
      <c r="AX81" s="8">
        <f>-(IF(AND(Projects!$G$7="Yes",Projects!$K$7="No",48=Projects!$C$7,Assumptions!$B$53&gt;0),Assumptions!$B$53*Assumptions!$B$48,0)+IF(AND(Projects!$G$11="Yes",Projects!$K$11="No",48=Projects!$C$11,Assumptions!$B$51&gt;0),Assumptions!$B$51*Assumptions!$B$48,0)+IF(AND(Projects!$G$12="Yes",Projects!$K$12="No",48=Projects!$C$12,Assumptions!$B$52&gt;0),Assumptions!$B$52*Assumptions!$B$48,0)+IF(AND(Projects!$G$13="Yes",Projects!$K$13="No",48=Projects!$C$13,Assumptions!$B$54&gt;0),Assumptions!$B$54*Assumptions!$B$48,0)+IF(AND(Projects!$G$14="Yes",Projects!$K$14="No",48=Projects!$C$14,Assumptions!$B$55&gt;0),Assumptions!$B$55*Assumptions!$B$48,0))</f>
        <v>0</v>
      </c>
      <c r="AY81" s="8">
        <f>-(IF(AND(Projects!$G$7="Yes",Projects!$K$7="No",49=Projects!$C$7,Assumptions!$B$53&gt;0),Assumptions!$B$53*Assumptions!$B$48,0)+IF(AND(Projects!$G$11="Yes",Projects!$K$11="No",49=Projects!$C$11,Assumptions!$B$51&gt;0),Assumptions!$B$51*Assumptions!$B$48,0)+IF(AND(Projects!$G$12="Yes",Projects!$K$12="No",49=Projects!$C$12,Assumptions!$B$52&gt;0),Assumptions!$B$52*Assumptions!$B$48,0)+IF(AND(Projects!$G$13="Yes",Projects!$K$13="No",49=Projects!$C$13,Assumptions!$B$54&gt;0),Assumptions!$B$54*Assumptions!$B$48,0)+IF(AND(Projects!$G$14="Yes",Projects!$K$14="No",49=Projects!$C$14,Assumptions!$B$55&gt;0),Assumptions!$B$55*Assumptions!$B$48,0))</f>
        <v>0</v>
      </c>
      <c r="AZ81" s="8">
        <f>-(IF(AND(Projects!$G$7="Yes",Projects!$K$7="No",50=Projects!$C$7,Assumptions!$B$53&gt;0),Assumptions!$B$53*Assumptions!$B$48,0)+IF(AND(Projects!$G$11="Yes",Projects!$K$11="No",50=Projects!$C$11,Assumptions!$B$51&gt;0),Assumptions!$B$51*Assumptions!$B$48,0)+IF(AND(Projects!$G$12="Yes",Projects!$K$12="No",50=Projects!$C$12,Assumptions!$B$52&gt;0),Assumptions!$B$52*Assumptions!$B$48,0)+IF(AND(Projects!$G$13="Yes",Projects!$K$13="No",50=Projects!$C$13,Assumptions!$B$54&gt;0),Assumptions!$B$54*Assumptions!$B$48,0)+IF(AND(Projects!$G$14="Yes",Projects!$K$14="No",50=Projects!$C$14,Assumptions!$B$55&gt;0),Assumptions!$B$55*Assumptions!$B$48,0))</f>
        <v>0</v>
      </c>
      <c r="BA81" s="8">
        <f>-(IF(AND(Projects!$G$7="Yes",Projects!$K$7="No",51=Projects!$C$7,Assumptions!$B$53&gt;0),Assumptions!$B$53*Assumptions!$B$48,0)+IF(AND(Projects!$G$11="Yes",Projects!$K$11="No",51=Projects!$C$11,Assumptions!$B$51&gt;0),Assumptions!$B$51*Assumptions!$B$48,0)+IF(AND(Projects!$G$12="Yes",Projects!$K$12="No",51=Projects!$C$12,Assumptions!$B$52&gt;0),Assumptions!$B$52*Assumptions!$B$48,0)+IF(AND(Projects!$G$13="Yes",Projects!$K$13="No",51=Projects!$C$13,Assumptions!$B$54&gt;0),Assumptions!$B$54*Assumptions!$B$48,0)+IF(AND(Projects!$G$14="Yes",Projects!$K$14="No",51=Projects!$C$14,Assumptions!$B$55&gt;0),Assumptions!$B$55*Assumptions!$B$48,0))</f>
        <v>0</v>
      </c>
      <c r="BB81" s="8">
        <f>-(IF(AND(Projects!$G$7="Yes",Projects!$K$7="No",52=Projects!$C$7,Assumptions!$B$53&gt;0),Assumptions!$B$53*Assumptions!$B$48,0)+IF(AND(Projects!$G$11="Yes",Projects!$K$11="No",52=Projects!$C$11,Assumptions!$B$51&gt;0),Assumptions!$B$51*Assumptions!$B$48,0)+IF(AND(Projects!$G$12="Yes",Projects!$K$12="No",52=Projects!$C$12,Assumptions!$B$52&gt;0),Assumptions!$B$52*Assumptions!$B$48,0)+IF(AND(Projects!$G$13="Yes",Projects!$K$13="No",52=Projects!$C$13,Assumptions!$B$54&gt;0),Assumptions!$B$54*Assumptions!$B$48,0)+IF(AND(Projects!$G$14="Yes",Projects!$K$14="No",52=Projects!$C$14,Assumptions!$B$55&gt;0),Assumptions!$B$55*Assumptions!$B$48,0))</f>
        <v>0</v>
      </c>
      <c r="BC81" s="8">
        <f>-(IF(AND(Projects!$G$7="Yes",Projects!$K$7="No",53=Projects!$C$7,Assumptions!$B$53&gt;0),Assumptions!$B$53*Assumptions!$B$48,0)+IF(AND(Projects!$G$11="Yes",Projects!$K$11="No",53=Projects!$C$11,Assumptions!$B$51&gt;0),Assumptions!$B$51*Assumptions!$B$48,0)+IF(AND(Projects!$G$12="Yes",Projects!$K$12="No",53=Projects!$C$12,Assumptions!$B$52&gt;0),Assumptions!$B$52*Assumptions!$B$48,0)+IF(AND(Projects!$G$13="Yes",Projects!$K$13="No",53=Projects!$C$13,Assumptions!$B$54&gt;0),Assumptions!$B$54*Assumptions!$B$48,0)+IF(AND(Projects!$G$14="Yes",Projects!$K$14="No",53=Projects!$C$14,Assumptions!$B$55&gt;0),Assumptions!$B$55*Assumptions!$B$48,0))</f>
        <v>0</v>
      </c>
      <c r="BD81" s="8">
        <f>-(IF(AND(Projects!$G$7="Yes",Projects!$K$7="No",54=Projects!$C$7,Assumptions!$B$53&gt;0),Assumptions!$B$53*Assumptions!$B$48,0)+IF(AND(Projects!$G$11="Yes",Projects!$K$11="No",54=Projects!$C$11,Assumptions!$B$51&gt;0),Assumptions!$B$51*Assumptions!$B$48,0)+IF(AND(Projects!$G$12="Yes",Projects!$K$12="No",54=Projects!$C$12,Assumptions!$B$52&gt;0),Assumptions!$B$52*Assumptions!$B$48,0)+IF(AND(Projects!$G$13="Yes",Projects!$K$13="No",54=Projects!$C$13,Assumptions!$B$54&gt;0),Assumptions!$B$54*Assumptions!$B$48,0)+IF(AND(Projects!$G$14="Yes",Projects!$K$14="No",54=Projects!$C$14,Assumptions!$B$55&gt;0),Assumptions!$B$55*Assumptions!$B$48,0))</f>
        <v>0</v>
      </c>
      <c r="BE81" s="8">
        <f>-(IF(AND(Projects!$G$7="Yes",Projects!$K$7="No",55=Projects!$C$7,Assumptions!$B$53&gt;0),Assumptions!$B$53*Assumptions!$B$48,0)+IF(AND(Projects!$G$11="Yes",Projects!$K$11="No",55=Projects!$C$11,Assumptions!$B$51&gt;0),Assumptions!$B$51*Assumptions!$B$48,0)+IF(AND(Projects!$G$12="Yes",Projects!$K$12="No",55=Projects!$C$12,Assumptions!$B$52&gt;0),Assumptions!$B$52*Assumptions!$B$48,0)+IF(AND(Projects!$G$13="Yes",Projects!$K$13="No",55=Projects!$C$13,Assumptions!$B$54&gt;0),Assumptions!$B$54*Assumptions!$B$48,0)+IF(AND(Projects!$G$14="Yes",Projects!$K$14="No",55=Projects!$C$14,Assumptions!$B$55&gt;0),Assumptions!$B$55*Assumptions!$B$48,0))</f>
        <v>0</v>
      </c>
      <c r="BF81" s="8">
        <f>-(IF(AND(Projects!$G$7="Yes",Projects!$K$7="No",56=Projects!$C$7,Assumptions!$B$53&gt;0),Assumptions!$B$53*Assumptions!$B$48,0)+IF(AND(Projects!$G$11="Yes",Projects!$K$11="No",56=Projects!$C$11,Assumptions!$B$51&gt;0),Assumptions!$B$51*Assumptions!$B$48,0)+IF(AND(Projects!$G$12="Yes",Projects!$K$12="No",56=Projects!$C$12,Assumptions!$B$52&gt;0),Assumptions!$B$52*Assumptions!$B$48,0)+IF(AND(Projects!$G$13="Yes",Projects!$K$13="No",56=Projects!$C$13,Assumptions!$B$54&gt;0),Assumptions!$B$54*Assumptions!$B$48,0)+IF(AND(Projects!$G$14="Yes",Projects!$K$14="No",56=Projects!$C$14,Assumptions!$B$55&gt;0),Assumptions!$B$55*Assumptions!$B$48,0))</f>
        <v>0</v>
      </c>
      <c r="BG81" s="8">
        <f>-(IF(AND(Projects!$G$7="Yes",Projects!$K$7="No",57=Projects!$C$7,Assumptions!$B$53&gt;0),Assumptions!$B$53*Assumptions!$B$48,0)+IF(AND(Projects!$G$11="Yes",Projects!$K$11="No",57=Projects!$C$11,Assumptions!$B$51&gt;0),Assumptions!$B$51*Assumptions!$B$48,0)+IF(AND(Projects!$G$12="Yes",Projects!$K$12="No",57=Projects!$C$12,Assumptions!$B$52&gt;0),Assumptions!$B$52*Assumptions!$B$48,0)+IF(AND(Projects!$G$13="Yes",Projects!$K$13="No",57=Projects!$C$13,Assumptions!$B$54&gt;0),Assumptions!$B$54*Assumptions!$B$48,0)+IF(AND(Projects!$G$14="Yes",Projects!$K$14="No",57=Projects!$C$14,Assumptions!$B$55&gt;0),Assumptions!$B$55*Assumptions!$B$48,0))</f>
        <v>0</v>
      </c>
      <c r="BH81" s="8">
        <f>-(IF(AND(Projects!$G$7="Yes",Projects!$K$7="No",58=Projects!$C$7,Assumptions!$B$53&gt;0),Assumptions!$B$53*Assumptions!$B$48,0)+IF(AND(Projects!$G$11="Yes",Projects!$K$11="No",58=Projects!$C$11,Assumptions!$B$51&gt;0),Assumptions!$B$51*Assumptions!$B$48,0)+IF(AND(Projects!$G$12="Yes",Projects!$K$12="No",58=Projects!$C$12,Assumptions!$B$52&gt;0),Assumptions!$B$52*Assumptions!$B$48,0)+IF(AND(Projects!$G$13="Yes",Projects!$K$13="No",58=Projects!$C$13,Assumptions!$B$54&gt;0),Assumptions!$B$54*Assumptions!$B$48,0)+IF(AND(Projects!$G$14="Yes",Projects!$K$14="No",58=Projects!$C$14,Assumptions!$B$55&gt;0),Assumptions!$B$55*Assumptions!$B$48,0))</f>
        <v>0</v>
      </c>
      <c r="BI81" s="8">
        <f>-(IF(AND(Projects!$G$7="Yes",Projects!$K$7="No",59=Projects!$C$7,Assumptions!$B$53&gt;0),Assumptions!$B$53*Assumptions!$B$48,0)+IF(AND(Projects!$G$11="Yes",Projects!$K$11="No",59=Projects!$C$11,Assumptions!$B$51&gt;0),Assumptions!$B$51*Assumptions!$B$48,0)+IF(AND(Projects!$G$12="Yes",Projects!$K$12="No",59=Projects!$C$12,Assumptions!$B$52&gt;0),Assumptions!$B$52*Assumptions!$B$48,0)+IF(AND(Projects!$G$13="Yes",Projects!$K$13="No",59=Projects!$C$13,Assumptions!$B$54&gt;0),Assumptions!$B$54*Assumptions!$B$48,0)+IF(AND(Projects!$G$14="Yes",Projects!$K$14="No",59=Projects!$C$14,Assumptions!$B$55&gt;0),Assumptions!$B$55*Assumptions!$B$48,0))</f>
        <v>0</v>
      </c>
      <c r="BJ81" s="8">
        <f>-(IF(AND(Projects!$G$7="Yes",Projects!$K$7="No",60=Projects!$C$7,Assumptions!$B$53&gt;0),Assumptions!$B$53*Assumptions!$B$48,0)+IF(AND(Projects!$G$11="Yes",Projects!$K$11="No",60=Projects!$C$11,Assumptions!$B$51&gt;0),Assumptions!$B$51*Assumptions!$B$48,0)+IF(AND(Projects!$G$12="Yes",Projects!$K$12="No",60=Projects!$C$12,Assumptions!$B$52&gt;0),Assumptions!$B$52*Assumptions!$B$48,0)+IF(AND(Projects!$G$13="Yes",Projects!$K$13="No",60=Projects!$C$13,Assumptions!$B$54&gt;0),Assumptions!$B$54*Assumptions!$B$48,0)+IF(AND(Projects!$G$14="Yes",Projects!$K$14="No",60=Projects!$C$14,Assumptions!$B$55&gt;0),Assumptions!$B$55*Assumptions!$B$48,0))</f>
        <v>0</v>
      </c>
      <c r="BK81" s="8">
        <f>-(IF(AND(Projects!$G$7="Yes",Projects!$K$7="No",61=Projects!$C$7,Assumptions!$B$53&gt;0),Assumptions!$B$53*Assumptions!$B$48,0)+IF(AND(Projects!$G$11="Yes",Projects!$K$11="No",61=Projects!$C$11,Assumptions!$B$51&gt;0),Assumptions!$B$51*Assumptions!$B$48,0)+IF(AND(Projects!$G$12="Yes",Projects!$K$12="No",61=Projects!$C$12,Assumptions!$B$52&gt;0),Assumptions!$B$52*Assumptions!$B$48,0)+IF(AND(Projects!$G$13="Yes",Projects!$K$13="No",61=Projects!$C$13,Assumptions!$B$54&gt;0),Assumptions!$B$54*Assumptions!$B$48,0)+IF(AND(Projects!$G$14="Yes",Projects!$K$14="No",61=Projects!$C$14,Assumptions!$B$55&gt;0),Assumptions!$B$55*Assumptions!$B$48,0))</f>
        <v>0</v>
      </c>
      <c r="BL81" s="8">
        <f>-(IF(AND(Projects!$G$7="Yes",Projects!$K$7="No",62=Projects!$C$7,Assumptions!$B$53&gt;0),Assumptions!$B$53*Assumptions!$B$48,0)+IF(AND(Projects!$G$11="Yes",Projects!$K$11="No",62=Projects!$C$11,Assumptions!$B$51&gt;0),Assumptions!$B$51*Assumptions!$B$48,0)+IF(AND(Projects!$G$12="Yes",Projects!$K$12="No",62=Projects!$C$12,Assumptions!$B$52&gt;0),Assumptions!$B$52*Assumptions!$B$48,0)+IF(AND(Projects!$G$13="Yes",Projects!$K$13="No",62=Projects!$C$13,Assumptions!$B$54&gt;0),Assumptions!$B$54*Assumptions!$B$48,0)+IF(AND(Projects!$G$14="Yes",Projects!$K$14="No",62=Projects!$C$14,Assumptions!$B$55&gt;0),Assumptions!$B$55*Assumptions!$B$48,0))</f>
        <v>0</v>
      </c>
      <c r="BM81" s="8">
        <f>-(IF(AND(Projects!$G$7="Yes",Projects!$K$7="No",63=Projects!$C$7,Assumptions!$B$53&gt;0),Assumptions!$B$53*Assumptions!$B$48,0)+IF(AND(Projects!$G$11="Yes",Projects!$K$11="No",63=Projects!$C$11,Assumptions!$B$51&gt;0),Assumptions!$B$51*Assumptions!$B$48,0)+IF(AND(Projects!$G$12="Yes",Projects!$K$12="No",63=Projects!$C$12,Assumptions!$B$52&gt;0),Assumptions!$B$52*Assumptions!$B$48,0)+IF(AND(Projects!$G$13="Yes",Projects!$K$13="No",63=Projects!$C$13,Assumptions!$B$54&gt;0),Assumptions!$B$54*Assumptions!$B$48,0)+IF(AND(Projects!$G$14="Yes",Projects!$K$14="No",63=Projects!$C$14,Assumptions!$B$55&gt;0),Assumptions!$B$55*Assumptions!$B$48,0))</f>
        <v>0</v>
      </c>
      <c r="BN81" s="8">
        <f>-(IF(AND(Projects!$G$7="Yes",Projects!$K$7="No",64=Projects!$C$7,Assumptions!$B$53&gt;0),Assumptions!$B$53*Assumptions!$B$48,0)+IF(AND(Projects!$G$11="Yes",Projects!$K$11="No",64=Projects!$C$11,Assumptions!$B$51&gt;0),Assumptions!$B$51*Assumptions!$B$48,0)+IF(AND(Projects!$G$12="Yes",Projects!$K$12="No",64=Projects!$C$12,Assumptions!$B$52&gt;0),Assumptions!$B$52*Assumptions!$B$48,0)+IF(AND(Projects!$G$13="Yes",Projects!$K$13="No",64=Projects!$C$13,Assumptions!$B$54&gt;0),Assumptions!$B$54*Assumptions!$B$48,0)+IF(AND(Projects!$G$14="Yes",Projects!$K$14="No",64=Projects!$C$14,Assumptions!$B$55&gt;0),Assumptions!$B$55*Assumptions!$B$48,0))</f>
        <v>0</v>
      </c>
      <c r="BO81" s="8">
        <f>-(IF(AND(Projects!$G$7="Yes",Projects!$K$7="No",65=Projects!$C$7,Assumptions!$B$53&gt;0),Assumptions!$B$53*Assumptions!$B$48,0)+IF(AND(Projects!$G$11="Yes",Projects!$K$11="No",65=Projects!$C$11,Assumptions!$B$51&gt;0),Assumptions!$B$51*Assumptions!$B$48,0)+IF(AND(Projects!$G$12="Yes",Projects!$K$12="No",65=Projects!$C$12,Assumptions!$B$52&gt;0),Assumptions!$B$52*Assumptions!$B$48,0)+IF(AND(Projects!$G$13="Yes",Projects!$K$13="No",65=Projects!$C$13,Assumptions!$B$54&gt;0),Assumptions!$B$54*Assumptions!$B$48,0)+IF(AND(Projects!$G$14="Yes",Projects!$K$14="No",65=Projects!$C$14,Assumptions!$B$55&gt;0),Assumptions!$B$55*Assumptions!$B$48,0))</f>
        <v>0</v>
      </c>
      <c r="BP81" s="8">
        <f>-(IF(AND(Projects!$G$7="Yes",Projects!$K$7="No",66=Projects!$C$7,Assumptions!$B$53&gt;0),Assumptions!$B$53*Assumptions!$B$48,0)+IF(AND(Projects!$G$11="Yes",Projects!$K$11="No",66=Projects!$C$11,Assumptions!$B$51&gt;0),Assumptions!$B$51*Assumptions!$B$48,0)+IF(AND(Projects!$G$12="Yes",Projects!$K$12="No",66=Projects!$C$12,Assumptions!$B$52&gt;0),Assumptions!$B$52*Assumptions!$B$48,0)+IF(AND(Projects!$G$13="Yes",Projects!$K$13="No",66=Projects!$C$13,Assumptions!$B$54&gt;0),Assumptions!$B$54*Assumptions!$B$48,0)+IF(AND(Projects!$G$14="Yes",Projects!$K$14="No",66=Projects!$C$14,Assumptions!$B$55&gt;0),Assumptions!$B$55*Assumptions!$B$48,0))</f>
        <v>0</v>
      </c>
      <c r="BQ81" s="8">
        <f>-(IF(AND(Projects!$G$7="Yes",Projects!$K$7="No",67=Projects!$C$7,Assumptions!$B$53&gt;0),Assumptions!$B$53*Assumptions!$B$48,0)+IF(AND(Projects!$G$11="Yes",Projects!$K$11="No",67=Projects!$C$11,Assumptions!$B$51&gt;0),Assumptions!$B$51*Assumptions!$B$48,0)+IF(AND(Projects!$G$12="Yes",Projects!$K$12="No",67=Projects!$C$12,Assumptions!$B$52&gt;0),Assumptions!$B$52*Assumptions!$B$48,0)+IF(AND(Projects!$G$13="Yes",Projects!$K$13="No",67=Projects!$C$13,Assumptions!$B$54&gt;0),Assumptions!$B$54*Assumptions!$B$48,0)+IF(AND(Projects!$G$14="Yes",Projects!$K$14="No",67=Projects!$C$14,Assumptions!$B$55&gt;0),Assumptions!$B$55*Assumptions!$B$48,0))</f>
        <v>0</v>
      </c>
      <c r="BR81" s="8">
        <f>-(IF(AND(Projects!$G$7="Yes",Projects!$K$7="No",68=Projects!$C$7,Assumptions!$B$53&gt;0),Assumptions!$B$53*Assumptions!$B$48,0)+IF(AND(Projects!$G$11="Yes",Projects!$K$11="No",68=Projects!$C$11,Assumptions!$B$51&gt;0),Assumptions!$B$51*Assumptions!$B$48,0)+IF(AND(Projects!$G$12="Yes",Projects!$K$12="No",68=Projects!$C$12,Assumptions!$B$52&gt;0),Assumptions!$B$52*Assumptions!$B$48,0)+IF(AND(Projects!$G$13="Yes",Projects!$K$13="No",68=Projects!$C$13,Assumptions!$B$54&gt;0),Assumptions!$B$54*Assumptions!$B$48,0)+IF(AND(Projects!$G$14="Yes",Projects!$K$14="No",68=Projects!$C$14,Assumptions!$B$55&gt;0),Assumptions!$B$55*Assumptions!$B$48,0))</f>
        <v>0</v>
      </c>
      <c r="BS81" s="8">
        <f>-(IF(AND(Projects!$G$7="Yes",Projects!$K$7="No",69=Projects!$C$7,Assumptions!$B$53&gt;0),Assumptions!$B$53*Assumptions!$B$48,0)+IF(AND(Projects!$G$11="Yes",Projects!$K$11="No",69=Projects!$C$11,Assumptions!$B$51&gt;0),Assumptions!$B$51*Assumptions!$B$48,0)+IF(AND(Projects!$G$12="Yes",Projects!$K$12="No",69=Projects!$C$12,Assumptions!$B$52&gt;0),Assumptions!$B$52*Assumptions!$B$48,0)+IF(AND(Projects!$G$13="Yes",Projects!$K$13="No",69=Projects!$C$13,Assumptions!$B$54&gt;0),Assumptions!$B$54*Assumptions!$B$48,0)+IF(AND(Projects!$G$14="Yes",Projects!$K$14="No",69=Projects!$C$14,Assumptions!$B$55&gt;0),Assumptions!$B$55*Assumptions!$B$48,0))</f>
        <v>0</v>
      </c>
      <c r="BT81" s="8">
        <f>-(IF(AND(Projects!$G$7="Yes",Projects!$K$7="No",70=Projects!$C$7,Assumptions!$B$53&gt;0),Assumptions!$B$53*Assumptions!$B$48,0)+IF(AND(Projects!$G$11="Yes",Projects!$K$11="No",70=Projects!$C$11,Assumptions!$B$51&gt;0),Assumptions!$B$51*Assumptions!$B$48,0)+IF(AND(Projects!$G$12="Yes",Projects!$K$12="No",70=Projects!$C$12,Assumptions!$B$52&gt;0),Assumptions!$B$52*Assumptions!$B$48,0)+IF(AND(Projects!$G$13="Yes",Projects!$K$13="No",70=Projects!$C$13,Assumptions!$B$54&gt;0),Assumptions!$B$54*Assumptions!$B$48,0)+IF(AND(Projects!$G$14="Yes",Projects!$K$14="No",70=Projects!$C$14,Assumptions!$B$55&gt;0),Assumptions!$B$55*Assumptions!$B$48,0))</f>
        <v>0</v>
      </c>
      <c r="BU81" s="8">
        <f>-(IF(AND(Projects!$G$7="Yes",Projects!$K$7="No",71=Projects!$C$7,Assumptions!$B$53&gt;0),Assumptions!$B$53*Assumptions!$B$48,0)+IF(AND(Projects!$G$11="Yes",Projects!$K$11="No",71=Projects!$C$11,Assumptions!$B$51&gt;0),Assumptions!$B$51*Assumptions!$B$48,0)+IF(AND(Projects!$G$12="Yes",Projects!$K$12="No",71=Projects!$C$12,Assumptions!$B$52&gt;0),Assumptions!$B$52*Assumptions!$B$48,0)+IF(AND(Projects!$G$13="Yes",Projects!$K$13="No",71=Projects!$C$13,Assumptions!$B$54&gt;0),Assumptions!$B$54*Assumptions!$B$48,0)+IF(AND(Projects!$G$14="Yes",Projects!$K$14="No",71=Projects!$C$14,Assumptions!$B$55&gt;0),Assumptions!$B$55*Assumptions!$B$48,0))</f>
        <v>0</v>
      </c>
      <c r="BV81" s="8">
        <f>-(IF(AND(Projects!$G$7="Yes",Projects!$K$7="No",72=Projects!$C$7,Assumptions!$B$53&gt;0),Assumptions!$B$53*Assumptions!$B$48,0)+IF(AND(Projects!$G$11="Yes",Projects!$K$11="No",72=Projects!$C$11,Assumptions!$B$51&gt;0),Assumptions!$B$51*Assumptions!$B$48,0)+IF(AND(Projects!$G$12="Yes",Projects!$K$12="No",72=Projects!$C$12,Assumptions!$B$52&gt;0),Assumptions!$B$52*Assumptions!$B$48,0)+IF(AND(Projects!$G$13="Yes",Projects!$K$13="No",72=Projects!$C$13,Assumptions!$B$54&gt;0),Assumptions!$B$54*Assumptions!$B$48,0)+IF(AND(Projects!$G$14="Yes",Projects!$K$14="No",72=Projects!$C$14,Assumptions!$B$55&gt;0),Assumptions!$B$55*Assumptions!$B$48,0))</f>
        <v>0</v>
      </c>
      <c r="BW81" s="8">
        <f>-(IF(AND(Projects!$G$7="Yes",Projects!$K$7="No",73=Projects!$C$7,Assumptions!$B$53&gt;0),Assumptions!$B$53*Assumptions!$B$48,0)+IF(AND(Projects!$G$11="Yes",Projects!$K$11="No",73=Projects!$C$11,Assumptions!$B$51&gt;0),Assumptions!$B$51*Assumptions!$B$48,0)+IF(AND(Projects!$G$12="Yes",Projects!$K$12="No",73=Projects!$C$12,Assumptions!$B$52&gt;0),Assumptions!$B$52*Assumptions!$B$48,0)+IF(AND(Projects!$G$13="Yes",Projects!$K$13="No",73=Projects!$C$13,Assumptions!$B$54&gt;0),Assumptions!$B$54*Assumptions!$B$48,0)+IF(AND(Projects!$G$14="Yes",Projects!$K$14="No",73=Projects!$C$14,Assumptions!$B$55&gt;0),Assumptions!$B$55*Assumptions!$B$48,0))</f>
        <v>0</v>
      </c>
      <c r="BX81" s="8">
        <f>-(IF(AND(Projects!$G$7="Yes",Projects!$K$7="No",74=Projects!$C$7,Assumptions!$B$53&gt;0),Assumptions!$B$53*Assumptions!$B$48,0)+IF(AND(Projects!$G$11="Yes",Projects!$K$11="No",74=Projects!$C$11,Assumptions!$B$51&gt;0),Assumptions!$B$51*Assumptions!$B$48,0)+IF(AND(Projects!$G$12="Yes",Projects!$K$12="No",74=Projects!$C$12,Assumptions!$B$52&gt;0),Assumptions!$B$52*Assumptions!$B$48,0)+IF(AND(Projects!$G$13="Yes",Projects!$K$13="No",74=Projects!$C$13,Assumptions!$B$54&gt;0),Assumptions!$B$54*Assumptions!$B$48,0)+IF(AND(Projects!$G$14="Yes",Projects!$K$14="No",74=Projects!$C$14,Assumptions!$B$55&gt;0),Assumptions!$B$55*Assumptions!$B$48,0))</f>
        <v>0</v>
      </c>
      <c r="BY81" s="8">
        <f>-(IF(AND(Projects!$G$7="Yes",Projects!$K$7="No",75=Projects!$C$7,Assumptions!$B$53&gt;0),Assumptions!$B$53*Assumptions!$B$48,0)+IF(AND(Projects!$G$11="Yes",Projects!$K$11="No",75=Projects!$C$11,Assumptions!$B$51&gt;0),Assumptions!$B$51*Assumptions!$B$48,0)+IF(AND(Projects!$G$12="Yes",Projects!$K$12="No",75=Projects!$C$12,Assumptions!$B$52&gt;0),Assumptions!$B$52*Assumptions!$B$48,0)+IF(AND(Projects!$G$13="Yes",Projects!$K$13="No",75=Projects!$C$13,Assumptions!$B$54&gt;0),Assumptions!$B$54*Assumptions!$B$48,0)+IF(AND(Projects!$G$14="Yes",Projects!$K$14="No",75=Projects!$C$14,Assumptions!$B$55&gt;0),Assumptions!$B$55*Assumptions!$B$48,0))</f>
        <v>0</v>
      </c>
      <c r="BZ81" s="8">
        <f>-(IF(AND(Projects!$G$7="Yes",Projects!$K$7="No",76=Projects!$C$7,Assumptions!$B$53&gt;0),Assumptions!$B$53*Assumptions!$B$48,0)+IF(AND(Projects!$G$11="Yes",Projects!$K$11="No",76=Projects!$C$11,Assumptions!$B$51&gt;0),Assumptions!$B$51*Assumptions!$B$48,0)+IF(AND(Projects!$G$12="Yes",Projects!$K$12="No",76=Projects!$C$12,Assumptions!$B$52&gt;0),Assumptions!$B$52*Assumptions!$B$48,0)+IF(AND(Projects!$G$13="Yes",Projects!$K$13="No",76=Projects!$C$13,Assumptions!$B$54&gt;0),Assumptions!$B$54*Assumptions!$B$48,0)+IF(AND(Projects!$G$14="Yes",Projects!$K$14="No",76=Projects!$C$14,Assumptions!$B$55&gt;0),Assumptions!$B$55*Assumptions!$B$48,0))</f>
        <v>0</v>
      </c>
      <c r="CA81" s="8">
        <f>-(IF(AND(Projects!$G$7="Yes",Projects!$K$7="No",77=Projects!$C$7,Assumptions!$B$53&gt;0),Assumptions!$B$53*Assumptions!$B$48,0)+IF(AND(Projects!$G$11="Yes",Projects!$K$11="No",77=Projects!$C$11,Assumptions!$B$51&gt;0),Assumptions!$B$51*Assumptions!$B$48,0)+IF(AND(Projects!$G$12="Yes",Projects!$K$12="No",77=Projects!$C$12,Assumptions!$B$52&gt;0),Assumptions!$B$52*Assumptions!$B$48,0)+IF(AND(Projects!$G$13="Yes",Projects!$K$13="No",77=Projects!$C$13,Assumptions!$B$54&gt;0),Assumptions!$B$54*Assumptions!$B$48,0)+IF(AND(Projects!$G$14="Yes",Projects!$K$14="No",77=Projects!$C$14,Assumptions!$B$55&gt;0),Assumptions!$B$55*Assumptions!$B$48,0))</f>
        <v>0</v>
      </c>
      <c r="CB81" s="8">
        <f>-(IF(AND(Projects!$G$7="Yes",Projects!$K$7="No",78=Projects!$C$7,Assumptions!$B$53&gt;0),Assumptions!$B$53*Assumptions!$B$48,0)+IF(AND(Projects!$G$11="Yes",Projects!$K$11="No",78=Projects!$C$11,Assumptions!$B$51&gt;0),Assumptions!$B$51*Assumptions!$B$48,0)+IF(AND(Projects!$G$12="Yes",Projects!$K$12="No",78=Projects!$C$12,Assumptions!$B$52&gt;0),Assumptions!$B$52*Assumptions!$B$48,0)+IF(AND(Projects!$G$13="Yes",Projects!$K$13="No",78=Projects!$C$13,Assumptions!$B$54&gt;0),Assumptions!$B$54*Assumptions!$B$48,0)+IF(AND(Projects!$G$14="Yes",Projects!$K$14="No",78=Projects!$C$14,Assumptions!$B$55&gt;0),Assumptions!$B$55*Assumptions!$B$48,0))</f>
        <v>0</v>
      </c>
      <c r="CC81" s="8">
        <f>-(IF(AND(Projects!$G$7="Yes",Projects!$K$7="No",79=Projects!$C$7,Assumptions!$B$53&gt;0),Assumptions!$B$53*Assumptions!$B$48,0)+IF(AND(Projects!$G$11="Yes",Projects!$K$11="No",79=Projects!$C$11,Assumptions!$B$51&gt;0),Assumptions!$B$51*Assumptions!$B$48,0)+IF(AND(Projects!$G$12="Yes",Projects!$K$12="No",79=Projects!$C$12,Assumptions!$B$52&gt;0),Assumptions!$B$52*Assumptions!$B$48,0)+IF(AND(Projects!$G$13="Yes",Projects!$K$13="No",79=Projects!$C$13,Assumptions!$B$54&gt;0),Assumptions!$B$54*Assumptions!$B$48,0)+IF(AND(Projects!$G$14="Yes",Projects!$K$14="No",79=Projects!$C$14,Assumptions!$B$55&gt;0),Assumptions!$B$55*Assumptions!$B$48,0))</f>
        <v>0</v>
      </c>
      <c r="CD81" s="8">
        <f>-(IF(AND(Projects!$G$7="Yes",Projects!$K$7="No",80=Projects!$C$7,Assumptions!$B$53&gt;0),Assumptions!$B$53*Assumptions!$B$48,0)+IF(AND(Projects!$G$11="Yes",Projects!$K$11="No",80=Projects!$C$11,Assumptions!$B$51&gt;0),Assumptions!$B$51*Assumptions!$B$48,0)+IF(AND(Projects!$G$12="Yes",Projects!$K$12="No",80=Projects!$C$12,Assumptions!$B$52&gt;0),Assumptions!$B$52*Assumptions!$B$48,0)+IF(AND(Projects!$G$13="Yes",Projects!$K$13="No",80=Projects!$C$13,Assumptions!$B$54&gt;0),Assumptions!$B$54*Assumptions!$B$48,0)+IF(AND(Projects!$G$14="Yes",Projects!$K$14="No",80=Projects!$C$14,Assumptions!$B$55&gt;0),Assumptions!$B$55*Assumptions!$B$48,0))</f>
        <v>0</v>
      </c>
      <c r="CE81" s="8">
        <f>-(IF(AND(Projects!$G$7="Yes",Projects!$K$7="No",81=Projects!$C$7,Assumptions!$B$53&gt;0),Assumptions!$B$53*Assumptions!$B$48,0)+IF(AND(Projects!$G$11="Yes",Projects!$K$11="No",81=Projects!$C$11,Assumptions!$B$51&gt;0),Assumptions!$B$51*Assumptions!$B$48,0)+IF(AND(Projects!$G$12="Yes",Projects!$K$12="No",81=Projects!$C$12,Assumptions!$B$52&gt;0),Assumptions!$B$52*Assumptions!$B$48,0)+IF(AND(Projects!$G$13="Yes",Projects!$K$13="No",81=Projects!$C$13,Assumptions!$B$54&gt;0),Assumptions!$B$54*Assumptions!$B$48,0)+IF(AND(Projects!$G$14="Yes",Projects!$K$14="No",81=Projects!$C$14,Assumptions!$B$55&gt;0),Assumptions!$B$55*Assumptions!$B$48,0))</f>
        <v>0</v>
      </c>
      <c r="CF81" s="8">
        <f>-(IF(AND(Projects!$G$7="Yes",Projects!$K$7="No",82=Projects!$C$7,Assumptions!$B$53&gt;0),Assumptions!$B$53*Assumptions!$B$48,0)+IF(AND(Projects!$G$11="Yes",Projects!$K$11="No",82=Projects!$C$11,Assumptions!$B$51&gt;0),Assumptions!$B$51*Assumptions!$B$48,0)+IF(AND(Projects!$G$12="Yes",Projects!$K$12="No",82=Projects!$C$12,Assumptions!$B$52&gt;0),Assumptions!$B$52*Assumptions!$B$48,0)+IF(AND(Projects!$G$13="Yes",Projects!$K$13="No",82=Projects!$C$13,Assumptions!$B$54&gt;0),Assumptions!$B$54*Assumptions!$B$48,0)+IF(AND(Projects!$G$14="Yes",Projects!$K$14="No",82=Projects!$C$14,Assumptions!$B$55&gt;0),Assumptions!$B$55*Assumptions!$B$48,0))</f>
        <v>0</v>
      </c>
      <c r="CG81" s="8">
        <f>-(IF(AND(Projects!$G$7="Yes",Projects!$K$7="No",83=Projects!$C$7,Assumptions!$B$53&gt;0),Assumptions!$B$53*Assumptions!$B$48,0)+IF(AND(Projects!$G$11="Yes",Projects!$K$11="No",83=Projects!$C$11,Assumptions!$B$51&gt;0),Assumptions!$B$51*Assumptions!$B$48,0)+IF(AND(Projects!$G$12="Yes",Projects!$K$12="No",83=Projects!$C$12,Assumptions!$B$52&gt;0),Assumptions!$B$52*Assumptions!$B$48,0)+IF(AND(Projects!$G$13="Yes",Projects!$K$13="No",83=Projects!$C$13,Assumptions!$B$54&gt;0),Assumptions!$B$54*Assumptions!$B$48,0)+IF(AND(Projects!$G$14="Yes",Projects!$K$14="No",83=Projects!$C$14,Assumptions!$B$55&gt;0),Assumptions!$B$55*Assumptions!$B$48,0))</f>
        <v>0</v>
      </c>
      <c r="CH81" s="8">
        <f>-(IF(AND(Projects!$G$7="Yes",Projects!$K$7="No",84=Projects!$C$7,Assumptions!$B$53&gt;0),Assumptions!$B$53*Assumptions!$B$48,0)+IF(AND(Projects!$G$11="Yes",Projects!$K$11="No",84=Projects!$C$11,Assumptions!$B$51&gt;0),Assumptions!$B$51*Assumptions!$B$48,0)+IF(AND(Projects!$G$12="Yes",Projects!$K$12="No",84=Projects!$C$12,Assumptions!$B$52&gt;0),Assumptions!$B$52*Assumptions!$B$48,0)+IF(AND(Projects!$G$13="Yes",Projects!$K$13="No",84=Projects!$C$13,Assumptions!$B$54&gt;0),Assumptions!$B$54*Assumptions!$B$48,0)+IF(AND(Projects!$G$14="Yes",Projects!$K$14="No",84=Projects!$C$14,Assumptions!$B$55&gt;0),Assumptions!$B$55*Assumptions!$B$48,0))</f>
        <v>0</v>
      </c>
      <c r="CI81" s="23"/>
    </row>
    <row r="82" spans="1:87" ht="15" customHeight="1" x14ac:dyDescent="0.25">
      <c r="A82" s="7" t="s">
        <v>187</v>
      </c>
      <c r="B82" s="22"/>
      <c r="C82" s="8">
        <f>-Helpers!C20</f>
        <v>0</v>
      </c>
      <c r="D82" s="8">
        <f>-Helpers!D20</f>
        <v>0</v>
      </c>
      <c r="E82" s="8">
        <f>-Helpers!E20</f>
        <v>0</v>
      </c>
      <c r="F82" s="8">
        <f>-Helpers!F20</f>
        <v>0</v>
      </c>
      <c r="G82" s="8">
        <f>-Helpers!G20</f>
        <v>0</v>
      </c>
      <c r="H82" s="8">
        <f>-Helpers!H20</f>
        <v>0</v>
      </c>
      <c r="I82" s="8">
        <f>-Helpers!I20</f>
        <v>0</v>
      </c>
      <c r="J82" s="8">
        <f>-Helpers!J20</f>
        <v>0</v>
      </c>
      <c r="K82" s="8">
        <f>-Helpers!K20</f>
        <v>0</v>
      </c>
      <c r="L82" s="8">
        <f>-Helpers!L20</f>
        <v>0</v>
      </c>
      <c r="M82" s="8">
        <f>-Helpers!M20</f>
        <v>0</v>
      </c>
      <c r="N82" s="8">
        <f>-Helpers!N20</f>
        <v>0</v>
      </c>
      <c r="O82" s="8">
        <f>-Helpers!O20</f>
        <v>0</v>
      </c>
      <c r="P82" s="8">
        <f>-Helpers!P20</f>
        <v>0</v>
      </c>
      <c r="Q82" s="8">
        <f>-Helpers!Q20</f>
        <v>0</v>
      </c>
      <c r="R82" s="8">
        <f>-Helpers!R20</f>
        <v>0</v>
      </c>
      <c r="S82" s="8">
        <f>-Helpers!S20</f>
        <v>0</v>
      </c>
      <c r="T82" s="8">
        <f>-Helpers!T20</f>
        <v>0</v>
      </c>
      <c r="U82" s="8">
        <f>-Helpers!U20</f>
        <v>0</v>
      </c>
      <c r="V82" s="8">
        <f>-Helpers!V20</f>
        <v>0</v>
      </c>
      <c r="W82" s="8">
        <f>-Helpers!W20</f>
        <v>0</v>
      </c>
      <c r="X82" s="8">
        <f>-Helpers!X20</f>
        <v>0</v>
      </c>
      <c r="Y82" s="8">
        <f>-Helpers!Y20</f>
        <v>0</v>
      </c>
      <c r="Z82" s="8">
        <f>-Helpers!Z20</f>
        <v>0</v>
      </c>
      <c r="AA82" s="8">
        <f>-Helpers!AA20</f>
        <v>0</v>
      </c>
      <c r="AB82" s="8">
        <f>-Helpers!AB20</f>
        <v>0</v>
      </c>
      <c r="AC82" s="8">
        <f>-Helpers!AC20</f>
        <v>0</v>
      </c>
      <c r="AD82" s="8">
        <f>-Helpers!AD20</f>
        <v>0</v>
      </c>
      <c r="AE82" s="8">
        <f>-Helpers!AE20</f>
        <v>0</v>
      </c>
      <c r="AF82" s="8">
        <f>-Helpers!AF20</f>
        <v>0</v>
      </c>
      <c r="AG82" s="8">
        <f>-Helpers!AG20</f>
        <v>0</v>
      </c>
      <c r="AH82" s="8">
        <f>-Helpers!AH20</f>
        <v>0</v>
      </c>
      <c r="AI82" s="8">
        <f>-Helpers!AI20</f>
        <v>0</v>
      </c>
      <c r="AJ82" s="8">
        <f>-Helpers!AJ20</f>
        <v>0</v>
      </c>
      <c r="AK82" s="8">
        <f>-Helpers!AK20</f>
        <v>0</v>
      </c>
      <c r="AL82" s="8">
        <f>-Helpers!AL20</f>
        <v>0</v>
      </c>
      <c r="AM82" s="8">
        <f>-Helpers!AM20</f>
        <v>0</v>
      </c>
      <c r="AN82" s="8">
        <f>-Helpers!AN20</f>
        <v>0</v>
      </c>
      <c r="AO82" s="8">
        <f>-Helpers!AO20</f>
        <v>0</v>
      </c>
      <c r="AP82" s="8">
        <f>-Helpers!AP20</f>
        <v>0</v>
      </c>
      <c r="AQ82" s="8">
        <f>-Helpers!AQ20</f>
        <v>0</v>
      </c>
      <c r="AR82" s="8">
        <f>-Helpers!AR20</f>
        <v>-81683</v>
      </c>
      <c r="AS82" s="8">
        <f>-Helpers!AS20</f>
        <v>0</v>
      </c>
      <c r="AT82" s="8">
        <f>-Helpers!AT20</f>
        <v>0</v>
      </c>
      <c r="AU82" s="8">
        <f>-Helpers!AU20</f>
        <v>-81682</v>
      </c>
      <c r="AV82" s="8">
        <f>-Helpers!AV20</f>
        <v>0</v>
      </c>
      <c r="AW82" s="8">
        <f>-Helpers!AW20</f>
        <v>0</v>
      </c>
      <c r="AX82" s="8">
        <f>-Helpers!AX20</f>
        <v>-81682</v>
      </c>
      <c r="AY82" s="8">
        <f>-Helpers!AY20</f>
        <v>0</v>
      </c>
      <c r="AZ82" s="8">
        <f>-Helpers!AZ20</f>
        <v>0</v>
      </c>
      <c r="BA82" s="8">
        <f>-Helpers!BA20</f>
        <v>-81682</v>
      </c>
      <c r="BB82" s="8">
        <f>-Helpers!BB20</f>
        <v>0</v>
      </c>
      <c r="BC82" s="8">
        <f>-Helpers!BC20</f>
        <v>0</v>
      </c>
      <c r="BD82" s="8">
        <f>-Helpers!BD20</f>
        <v>-59178</v>
      </c>
      <c r="BE82" s="8">
        <f>-Helpers!BE20</f>
        <v>0</v>
      </c>
      <c r="BF82" s="8">
        <f>-Helpers!BF20</f>
        <v>0</v>
      </c>
      <c r="BG82" s="8">
        <f>-Helpers!BG20</f>
        <v>-59176</v>
      </c>
      <c r="BH82" s="8">
        <f>-Helpers!BH20</f>
        <v>0</v>
      </c>
      <c r="BI82" s="8">
        <f>-Helpers!BI20</f>
        <v>0</v>
      </c>
      <c r="BJ82" s="8">
        <f>-Helpers!BJ20</f>
        <v>-59176</v>
      </c>
      <c r="BK82" s="8">
        <f>-Helpers!BK20</f>
        <v>0</v>
      </c>
      <c r="BL82" s="8">
        <f>-Helpers!BL20</f>
        <v>0</v>
      </c>
      <c r="BM82" s="8">
        <f>-Helpers!BM20</f>
        <v>-59176</v>
      </c>
      <c r="BN82" s="8">
        <f>-Helpers!BN20</f>
        <v>0</v>
      </c>
      <c r="BO82" s="8">
        <f>-Helpers!BO20</f>
        <v>0</v>
      </c>
      <c r="BP82" s="8">
        <f>-Helpers!BP20</f>
        <v>-16249.479999999981</v>
      </c>
      <c r="BQ82" s="8">
        <f>-Helpers!BQ20</f>
        <v>0</v>
      </c>
      <c r="BR82" s="8">
        <f>-Helpers!BR20</f>
        <v>0</v>
      </c>
      <c r="BS82" s="8">
        <f>-Helpers!BS20</f>
        <v>0</v>
      </c>
      <c r="BT82" s="8">
        <f>-Helpers!BT20</f>
        <v>0</v>
      </c>
      <c r="BU82" s="8">
        <f>-Helpers!BU20</f>
        <v>0</v>
      </c>
      <c r="BV82" s="8">
        <f>-Helpers!BV20</f>
        <v>0</v>
      </c>
      <c r="BW82" s="8">
        <f>-Helpers!BW20</f>
        <v>0</v>
      </c>
      <c r="BX82" s="8">
        <f>-Helpers!BX20</f>
        <v>0</v>
      </c>
      <c r="BY82" s="8">
        <f>-Helpers!BY20</f>
        <v>0</v>
      </c>
      <c r="BZ82" s="8">
        <f>-Helpers!BZ20</f>
        <v>0</v>
      </c>
      <c r="CA82" s="8">
        <f>-Helpers!CA20</f>
        <v>0</v>
      </c>
      <c r="CB82" s="8">
        <f>-Helpers!CB20</f>
        <v>0</v>
      </c>
      <c r="CC82" s="8">
        <f>-Helpers!CC20</f>
        <v>0</v>
      </c>
      <c r="CD82" s="8">
        <f>-Helpers!CD20</f>
        <v>0</v>
      </c>
      <c r="CE82" s="8">
        <f>-Helpers!CE20</f>
        <v>0</v>
      </c>
      <c r="CF82" s="8">
        <f>-Helpers!CF20</f>
        <v>0</v>
      </c>
      <c r="CG82" s="8">
        <f>-Helpers!CG20</f>
        <v>0</v>
      </c>
      <c r="CH82" s="8">
        <f>-Helpers!CH20</f>
        <v>0</v>
      </c>
      <c r="CI82" s="23"/>
    </row>
    <row r="83" spans="1:87" ht="15" customHeight="1" x14ac:dyDescent="0.25">
      <c r="A83" s="7" t="s">
        <v>188</v>
      </c>
      <c r="B83" s="22"/>
      <c r="C83" s="8">
        <f>-Helpers!C23+C129</f>
        <v>0</v>
      </c>
      <c r="D83" s="8">
        <f>-Helpers!D23+D129</f>
        <v>0</v>
      </c>
      <c r="E83" s="8">
        <f>-Helpers!E23+E129</f>
        <v>0</v>
      </c>
      <c r="F83" s="8">
        <f>-Helpers!F23+F129</f>
        <v>0</v>
      </c>
      <c r="G83" s="8">
        <f>-Helpers!G23+G129</f>
        <v>0</v>
      </c>
      <c r="H83" s="8">
        <f>-Helpers!H23+H129</f>
        <v>0</v>
      </c>
      <c r="I83" s="8">
        <f>-Helpers!I23+I129</f>
        <v>0</v>
      </c>
      <c r="J83" s="8">
        <f>-Helpers!J23+J129</f>
        <v>0</v>
      </c>
      <c r="K83" s="8">
        <f>-Helpers!K23+K129</f>
        <v>0</v>
      </c>
      <c r="L83" s="8">
        <f>-Helpers!L23+L129</f>
        <v>0</v>
      </c>
      <c r="M83" s="8">
        <f>-Helpers!M23+M129</f>
        <v>0</v>
      </c>
      <c r="N83" s="8">
        <f>-Helpers!N23+N129</f>
        <v>0</v>
      </c>
      <c r="O83" s="8">
        <f>-Helpers!O23+O129</f>
        <v>0</v>
      </c>
      <c r="P83" s="8">
        <f>-Helpers!P23+P129</f>
        <v>0</v>
      </c>
      <c r="Q83" s="8">
        <f>-Helpers!Q23+Q129</f>
        <v>0</v>
      </c>
      <c r="R83" s="8">
        <f>-Helpers!R23+R129</f>
        <v>0</v>
      </c>
      <c r="S83" s="8">
        <f>-Helpers!S23+S129</f>
        <v>0</v>
      </c>
      <c r="T83" s="8">
        <f>-Helpers!T23+T129</f>
        <v>0</v>
      </c>
      <c r="U83" s="8">
        <f>-Helpers!U23+U129</f>
        <v>0</v>
      </c>
      <c r="V83" s="8">
        <f>-Helpers!V23+V129</f>
        <v>0</v>
      </c>
      <c r="W83" s="8">
        <f>-Helpers!W23+W129</f>
        <v>0</v>
      </c>
      <c r="X83" s="8">
        <f>-Helpers!X23+X129</f>
        <v>0</v>
      </c>
      <c r="Y83" s="8">
        <f>-Helpers!Y23+Y129</f>
        <v>0</v>
      </c>
      <c r="Z83" s="8">
        <f>-Helpers!Z23+Z129</f>
        <v>0</v>
      </c>
      <c r="AA83" s="8">
        <f>-Helpers!AA23+AA129</f>
        <v>0</v>
      </c>
      <c r="AB83" s="8">
        <f>-Helpers!AB23+AB129</f>
        <v>0</v>
      </c>
      <c r="AC83" s="8">
        <f>-Helpers!AC23+AC129</f>
        <v>0</v>
      </c>
      <c r="AD83" s="8">
        <f>-Helpers!AD23+AD129</f>
        <v>0</v>
      </c>
      <c r="AE83" s="8">
        <f>-Helpers!AE23+AE129</f>
        <v>0</v>
      </c>
      <c r="AF83" s="8">
        <f>-Helpers!AF23+AF129</f>
        <v>0</v>
      </c>
      <c r="AG83" s="8">
        <f>-Helpers!AG23+AG129</f>
        <v>0</v>
      </c>
      <c r="AH83" s="8">
        <f>-Helpers!AH23+AH129</f>
        <v>0</v>
      </c>
      <c r="AI83" s="8">
        <f>-Helpers!AI23+AI129</f>
        <v>0</v>
      </c>
      <c r="AJ83" s="8">
        <f>-Helpers!AJ23+AJ129</f>
        <v>0</v>
      </c>
      <c r="AK83" s="8">
        <f>-Helpers!AK23+AK129</f>
        <v>0</v>
      </c>
      <c r="AL83" s="8">
        <f>-Helpers!AL23+AL129</f>
        <v>0</v>
      </c>
      <c r="AM83" s="8">
        <f>-Helpers!AM23+AM129</f>
        <v>0</v>
      </c>
      <c r="AN83" s="8">
        <f>-Helpers!AN23+AN129</f>
        <v>0</v>
      </c>
      <c r="AO83" s="8">
        <f>-Helpers!AO23+AO129</f>
        <v>0</v>
      </c>
      <c r="AP83" s="8">
        <f>-Helpers!AP23+AP129</f>
        <v>0</v>
      </c>
      <c r="AQ83" s="8">
        <f>-Helpers!AQ23+AQ129</f>
        <v>0</v>
      </c>
      <c r="AR83" s="8">
        <f>-Helpers!AR23+AR129</f>
        <v>0</v>
      </c>
      <c r="AS83" s="8">
        <f>-Helpers!AS23+AS129</f>
        <v>0</v>
      </c>
      <c r="AT83" s="8">
        <f>-Helpers!AT23+AT129</f>
        <v>0</v>
      </c>
      <c r="AU83" s="8">
        <f>-Helpers!AU23+AU129</f>
        <v>0</v>
      </c>
      <c r="AV83" s="8">
        <f>-Helpers!AV23+AV129</f>
        <v>0</v>
      </c>
      <c r="AW83" s="8">
        <f>-Helpers!AW23+AW129</f>
        <v>0</v>
      </c>
      <c r="AX83" s="8">
        <f>-Helpers!AX23+AX129</f>
        <v>0</v>
      </c>
      <c r="AY83" s="8">
        <f>-Helpers!AY23+AY129</f>
        <v>0</v>
      </c>
      <c r="AZ83" s="8">
        <f>-Helpers!AZ23+AZ129</f>
        <v>0</v>
      </c>
      <c r="BA83" s="8">
        <f>-Helpers!BA23+BA129</f>
        <v>-851839</v>
      </c>
      <c r="BB83" s="8">
        <f>-Helpers!BB23+BB129</f>
        <v>0</v>
      </c>
      <c r="BC83" s="8">
        <f>-Helpers!BC23+BC129</f>
        <v>0</v>
      </c>
      <c r="BD83" s="8">
        <f>-Helpers!BD23+BD129</f>
        <v>-71700</v>
      </c>
      <c r="BE83" s="8">
        <f>-Helpers!BE23+BE129</f>
        <v>0</v>
      </c>
      <c r="BF83" s="8">
        <f>-Helpers!BF23+BF129</f>
        <v>0</v>
      </c>
      <c r="BG83" s="8">
        <f>-Helpers!BG23+BG129</f>
        <v>-71700</v>
      </c>
      <c r="BH83" s="8">
        <f>-Helpers!BH23+BH129</f>
        <v>0</v>
      </c>
      <c r="BI83" s="8">
        <f>-Helpers!BI23+BI129</f>
        <v>0</v>
      </c>
      <c r="BJ83" s="8">
        <f>-Helpers!BJ23+BJ129</f>
        <v>-71700</v>
      </c>
      <c r="BK83" s="8">
        <f>-Helpers!BK23+BK129</f>
        <v>0</v>
      </c>
      <c r="BL83" s="8">
        <f>-Helpers!BL23+BL129</f>
        <v>0</v>
      </c>
      <c r="BM83" s="8">
        <f>-Helpers!BM23+BM129</f>
        <v>-71700</v>
      </c>
      <c r="BN83" s="8">
        <f>-Helpers!BN23+BN129</f>
        <v>0</v>
      </c>
      <c r="BO83" s="8">
        <f>-Helpers!BO23+BO129</f>
        <v>0</v>
      </c>
      <c r="BP83" s="8">
        <f>-Helpers!BP23+BP129</f>
        <v>-74643</v>
      </c>
      <c r="BQ83" s="8">
        <f>-Helpers!BQ23+BQ129</f>
        <v>0</v>
      </c>
      <c r="BR83" s="8">
        <f>-Helpers!BR23+BR129</f>
        <v>0</v>
      </c>
      <c r="BS83" s="8">
        <f>-Helpers!BS23+BS129</f>
        <v>-74640</v>
      </c>
      <c r="BT83" s="8">
        <f>-Helpers!BT23+BT129</f>
        <v>0</v>
      </c>
      <c r="BU83" s="8">
        <f>-Helpers!BU23+BU129</f>
        <v>0</v>
      </c>
      <c r="BV83" s="8">
        <f>-Helpers!BV23+BV129</f>
        <v>-74640</v>
      </c>
      <c r="BW83" s="8">
        <f>-Helpers!BW23+BW129</f>
        <v>0</v>
      </c>
      <c r="BX83" s="8">
        <f>-Helpers!BX23+BX129</f>
        <v>0</v>
      </c>
      <c r="BY83" s="8">
        <f>-Helpers!BY23+BY129</f>
        <v>-74640</v>
      </c>
      <c r="BZ83" s="8">
        <f>-Helpers!BZ23+BZ129</f>
        <v>0</v>
      </c>
      <c r="CA83" s="8">
        <f>-Helpers!CA23+CA129</f>
        <v>0</v>
      </c>
      <c r="CB83" s="8">
        <f>-Helpers!CB23+CB129</f>
        <v>-81363</v>
      </c>
      <c r="CC83" s="8">
        <f>-Helpers!CC23+CC129</f>
        <v>0</v>
      </c>
      <c r="CD83" s="8">
        <f>-Helpers!CD23+CD129</f>
        <v>0</v>
      </c>
      <c r="CE83" s="8">
        <f>-Helpers!CE23+CE129</f>
        <v>-81362</v>
      </c>
      <c r="CF83" s="8">
        <f>-Helpers!CF23+CF129</f>
        <v>0</v>
      </c>
      <c r="CG83" s="8">
        <f>-Helpers!CG23+CG129</f>
        <v>0</v>
      </c>
      <c r="CH83" s="8">
        <f>-Helpers!CH23+CH129</f>
        <v>-74753.973393520777</v>
      </c>
      <c r="CI83" s="23"/>
    </row>
    <row r="84" spans="1:87" ht="15" customHeight="1" x14ac:dyDescent="0.25">
      <c r="A84" s="7" t="s">
        <v>189</v>
      </c>
      <c r="B84" s="22"/>
      <c r="C84" s="8">
        <f>-Helpers!C26+C124</f>
        <v>0</v>
      </c>
      <c r="D84" s="8">
        <f>-Helpers!D26+D124</f>
        <v>0</v>
      </c>
      <c r="E84" s="8">
        <f>-Helpers!E26+E124</f>
        <v>0</v>
      </c>
      <c r="F84" s="8">
        <f>-Helpers!F26+F124</f>
        <v>0</v>
      </c>
      <c r="G84" s="8">
        <f>-Helpers!G26+G124</f>
        <v>0</v>
      </c>
      <c r="H84" s="8">
        <f>-Helpers!H26+H124</f>
        <v>0</v>
      </c>
      <c r="I84" s="8">
        <f>-Helpers!I26+I124</f>
        <v>0</v>
      </c>
      <c r="J84" s="8">
        <f>-Helpers!J26+J124</f>
        <v>0</v>
      </c>
      <c r="K84" s="8">
        <f>-Helpers!K26+K124</f>
        <v>0</v>
      </c>
      <c r="L84" s="8">
        <f>-Helpers!L26+L124</f>
        <v>0</v>
      </c>
      <c r="M84" s="8">
        <f>-Helpers!M26+M124</f>
        <v>0</v>
      </c>
      <c r="N84" s="8">
        <f>-Helpers!N26+N124</f>
        <v>0</v>
      </c>
      <c r="O84" s="8">
        <f>-Helpers!O26+O124</f>
        <v>0</v>
      </c>
      <c r="P84" s="8">
        <f>-Helpers!P26+P124</f>
        <v>0</v>
      </c>
      <c r="Q84" s="8">
        <f>-Helpers!Q26+Q124</f>
        <v>0</v>
      </c>
      <c r="R84" s="8">
        <f>-Helpers!R26+R124</f>
        <v>0</v>
      </c>
      <c r="S84" s="8">
        <f>-Helpers!S26+S124</f>
        <v>0</v>
      </c>
      <c r="T84" s="8">
        <f>-Helpers!T26+T124</f>
        <v>0</v>
      </c>
      <c r="U84" s="8">
        <f>-Helpers!U26+U124</f>
        <v>0</v>
      </c>
      <c r="V84" s="8">
        <f>-Helpers!V26+V124</f>
        <v>0</v>
      </c>
      <c r="W84" s="8">
        <f>-Helpers!W26+W124</f>
        <v>0</v>
      </c>
      <c r="X84" s="8">
        <f>-Helpers!X26+X124</f>
        <v>0</v>
      </c>
      <c r="Y84" s="8">
        <f>-Helpers!Y26+Y124</f>
        <v>0</v>
      </c>
      <c r="Z84" s="8">
        <f>-Helpers!Z26+Z124</f>
        <v>0</v>
      </c>
      <c r="AA84" s="8">
        <f>-Helpers!AA26+AA124</f>
        <v>0</v>
      </c>
      <c r="AB84" s="8">
        <f>-Helpers!AB26+AB124</f>
        <v>0</v>
      </c>
      <c r="AC84" s="8">
        <f>-Helpers!AC26+AC124</f>
        <v>0</v>
      </c>
      <c r="AD84" s="8">
        <f>-Helpers!AD26+AD124</f>
        <v>0</v>
      </c>
      <c r="AE84" s="8">
        <f>-Helpers!AE26+AE124</f>
        <v>0</v>
      </c>
      <c r="AF84" s="8">
        <f>-Helpers!AF26+AF124</f>
        <v>0</v>
      </c>
      <c r="AG84" s="8">
        <f>-Helpers!AG26+AG124</f>
        <v>0</v>
      </c>
      <c r="AH84" s="8">
        <f>-Helpers!AH26+AH124</f>
        <v>0</v>
      </c>
      <c r="AI84" s="8">
        <f>-Helpers!AI26+AI124</f>
        <v>0</v>
      </c>
      <c r="AJ84" s="8">
        <f>-Helpers!AJ26+AJ124</f>
        <v>0</v>
      </c>
      <c r="AK84" s="8">
        <f>-Helpers!AK26+AK124</f>
        <v>0</v>
      </c>
      <c r="AL84" s="8">
        <f>-Helpers!AL26+AL124</f>
        <v>0</v>
      </c>
      <c r="AM84" s="8">
        <f>-Helpers!AM26+AM124</f>
        <v>0</v>
      </c>
      <c r="AN84" s="8">
        <f>-Helpers!AN26+AN124</f>
        <v>0</v>
      </c>
      <c r="AO84" s="8">
        <f>-Helpers!AO26+AO124</f>
        <v>0</v>
      </c>
      <c r="AP84" s="8">
        <f>-Helpers!AP26+AP124</f>
        <v>0</v>
      </c>
      <c r="AQ84" s="8">
        <f>-Helpers!AQ26+AQ124</f>
        <v>0</v>
      </c>
      <c r="AR84" s="8">
        <f>-Helpers!AR26+AR124</f>
        <v>0</v>
      </c>
      <c r="AS84" s="8">
        <f>-Helpers!AS26+AS124</f>
        <v>0</v>
      </c>
      <c r="AT84" s="8">
        <f>-Helpers!AT26+AT124</f>
        <v>0</v>
      </c>
      <c r="AU84" s="8">
        <f>-Helpers!AU26+AU124</f>
        <v>0</v>
      </c>
      <c r="AV84" s="8">
        <f>-Helpers!AV26+AV124</f>
        <v>0</v>
      </c>
      <c r="AW84" s="8">
        <f>-Helpers!AW26+AW124</f>
        <v>0</v>
      </c>
      <c r="AX84" s="8">
        <f>-Helpers!AX26+AX124</f>
        <v>0</v>
      </c>
      <c r="AY84" s="8">
        <f>-Helpers!AY26+AY124</f>
        <v>0</v>
      </c>
      <c r="AZ84" s="8">
        <f>-Helpers!AZ26+AZ124</f>
        <v>0</v>
      </c>
      <c r="BA84" s="8">
        <f>-Helpers!BA26+BA124</f>
        <v>0</v>
      </c>
      <c r="BB84" s="8">
        <f>-Helpers!BB26+BB124</f>
        <v>0</v>
      </c>
      <c r="BC84" s="8">
        <f>-Helpers!BC26+BC124</f>
        <v>0</v>
      </c>
      <c r="BD84" s="8">
        <f>-Helpers!BD26+BD124</f>
        <v>0</v>
      </c>
      <c r="BE84" s="8">
        <f>-Helpers!BE26+BE124</f>
        <v>0</v>
      </c>
      <c r="BF84" s="8">
        <f>-Helpers!BF26+BF124</f>
        <v>0</v>
      </c>
      <c r="BG84" s="8">
        <f>-Helpers!BG26+BG124</f>
        <v>0</v>
      </c>
      <c r="BH84" s="8">
        <f>-Helpers!BH26+BH124</f>
        <v>0</v>
      </c>
      <c r="BI84" s="8">
        <f>-Helpers!BI26+BI124</f>
        <v>0</v>
      </c>
      <c r="BJ84" s="8">
        <f>-Helpers!BJ26+BJ124</f>
        <v>0</v>
      </c>
      <c r="BK84" s="8">
        <f>-Helpers!BK26+BK124</f>
        <v>0</v>
      </c>
      <c r="BL84" s="8">
        <f>-Helpers!BL26+BL124</f>
        <v>0</v>
      </c>
      <c r="BM84" s="8">
        <f>-Helpers!BM26+BM124</f>
        <v>0</v>
      </c>
      <c r="BN84" s="8">
        <f>-Helpers!BN26+BN124</f>
        <v>0</v>
      </c>
      <c r="BO84" s="8">
        <f>-Helpers!BO26+BO124</f>
        <v>0</v>
      </c>
      <c r="BP84" s="8">
        <f>-Helpers!BP26+BP124</f>
        <v>0</v>
      </c>
      <c r="BQ84" s="8">
        <f>-Helpers!BQ26+BQ124</f>
        <v>0</v>
      </c>
      <c r="BR84" s="8">
        <f>-Helpers!BR26+BR124</f>
        <v>0</v>
      </c>
      <c r="BS84" s="8">
        <f>-Helpers!BS26+BS124</f>
        <v>0</v>
      </c>
      <c r="BT84" s="8">
        <f>-Helpers!BT26+BT124</f>
        <v>0</v>
      </c>
      <c r="BU84" s="8">
        <f>-Helpers!BU26+BU124</f>
        <v>0</v>
      </c>
      <c r="BV84" s="8">
        <f>-Helpers!BV26+BV124</f>
        <v>0</v>
      </c>
      <c r="BW84" s="8">
        <f>-Helpers!BW26+BW124</f>
        <v>0</v>
      </c>
      <c r="BX84" s="8">
        <f>-Helpers!BX26+BX124</f>
        <v>0</v>
      </c>
      <c r="BY84" s="8">
        <f>-Helpers!BY26+BY124</f>
        <v>-73156</v>
      </c>
      <c r="BZ84" s="8">
        <f>-Helpers!BZ26+BZ124</f>
        <v>0</v>
      </c>
      <c r="CA84" s="8">
        <f>-Helpers!CA26+CA124</f>
        <v>0</v>
      </c>
      <c r="CB84" s="8">
        <f>-Helpers!CB26+CB124</f>
        <v>-73155</v>
      </c>
      <c r="CC84" s="8">
        <f>-Helpers!CC26+CC124</f>
        <v>0</v>
      </c>
      <c r="CD84" s="8">
        <f>-Helpers!CD26+CD124</f>
        <v>0</v>
      </c>
      <c r="CE84" s="8">
        <f>-Helpers!CE26+CE124</f>
        <v>-73155</v>
      </c>
      <c r="CF84" s="8">
        <f>-Helpers!CF26+CF124</f>
        <v>0</v>
      </c>
      <c r="CG84" s="8">
        <f>-Helpers!CG26+CG124</f>
        <v>0</v>
      </c>
      <c r="CH84" s="8">
        <f>-Helpers!CH26+CH124</f>
        <v>-73155</v>
      </c>
      <c r="CI84" s="23"/>
    </row>
    <row r="85" spans="1:87" ht="15" customHeight="1" x14ac:dyDescent="0.25">
      <c r="A85" s="9" t="s">
        <v>190</v>
      </c>
      <c r="B85" s="28"/>
      <c r="C85" s="10">
        <f t="shared" ref="C85:AH85" si="15">C66+C67+C68+C69+C70+SUM(C71:C84)</f>
        <v>-109991.66666666667</v>
      </c>
      <c r="D85" s="10">
        <f t="shared" si="15"/>
        <v>-109991.66666666667</v>
      </c>
      <c r="E85" s="10">
        <f t="shared" si="15"/>
        <v>-109991.66666666667</v>
      </c>
      <c r="F85" s="10">
        <f t="shared" si="15"/>
        <v>-132991.66666666669</v>
      </c>
      <c r="G85" s="10">
        <f t="shared" si="15"/>
        <v>-109991.66666666667</v>
      </c>
      <c r="H85" s="10">
        <f t="shared" si="15"/>
        <v>-109991.66666666667</v>
      </c>
      <c r="I85" s="10">
        <f t="shared" si="15"/>
        <v>-109991.66666666667</v>
      </c>
      <c r="J85" s="10">
        <f t="shared" si="15"/>
        <v>-109991.66666666667</v>
      </c>
      <c r="K85" s="10">
        <f t="shared" si="15"/>
        <v>-130991.66666666667</v>
      </c>
      <c r="L85" s="10">
        <f t="shared" si="15"/>
        <v>-109991.66666666667</v>
      </c>
      <c r="M85" s="10">
        <f t="shared" si="15"/>
        <v>-109991.66666666667</v>
      </c>
      <c r="N85" s="10">
        <f t="shared" si="15"/>
        <v>-109991.66666666667</v>
      </c>
      <c r="O85" s="10">
        <f t="shared" si="15"/>
        <v>-110365.66666666667</v>
      </c>
      <c r="P85" s="10">
        <f t="shared" si="15"/>
        <v>-110365.66666666667</v>
      </c>
      <c r="Q85" s="10">
        <f t="shared" si="15"/>
        <v>-110365.66666666667</v>
      </c>
      <c r="R85" s="10">
        <f t="shared" si="15"/>
        <v>-133825.66666666669</v>
      </c>
      <c r="S85" s="10">
        <f t="shared" si="15"/>
        <v>-110365.66666666667</v>
      </c>
      <c r="T85" s="10">
        <f t="shared" si="15"/>
        <v>-110365.66666666667</v>
      </c>
      <c r="U85" s="10">
        <f t="shared" si="15"/>
        <v>-110365.66666666667</v>
      </c>
      <c r="V85" s="10">
        <f t="shared" si="15"/>
        <v>-110365.66666666667</v>
      </c>
      <c r="W85" s="10">
        <f t="shared" si="15"/>
        <v>-131785.66666666669</v>
      </c>
      <c r="X85" s="10">
        <f t="shared" si="15"/>
        <v>-110365.66666666667</v>
      </c>
      <c r="Y85" s="10">
        <f t="shared" si="15"/>
        <v>-110365.66666666667</v>
      </c>
      <c r="Z85" s="10">
        <f t="shared" si="15"/>
        <v>-110365.66666666667</v>
      </c>
      <c r="AA85" s="10">
        <f t="shared" si="15"/>
        <v>-110747.14666666667</v>
      </c>
      <c r="AB85" s="10">
        <f t="shared" si="15"/>
        <v>-110747.14666666667</v>
      </c>
      <c r="AC85" s="10">
        <f t="shared" si="15"/>
        <v>-110747.14666666667</v>
      </c>
      <c r="AD85" s="10">
        <f t="shared" si="15"/>
        <v>-134676.34666666668</v>
      </c>
      <c r="AE85" s="10">
        <f t="shared" si="15"/>
        <v>-110747.14666666667</v>
      </c>
      <c r="AF85" s="10">
        <f t="shared" si="15"/>
        <v>-110747.14666666667</v>
      </c>
      <c r="AG85" s="10">
        <f t="shared" si="15"/>
        <v>-110747.14666666667</v>
      </c>
      <c r="AH85" s="10">
        <f t="shared" si="15"/>
        <v>-110747.14666666667</v>
      </c>
      <c r="AI85" s="10">
        <f t="shared" ref="AI85:BN85" si="16">AI66+AI67+AI68+AI69+AI70+SUM(AI71:AI84)</f>
        <v>-132595.54666666669</v>
      </c>
      <c r="AJ85" s="10">
        <f t="shared" si="16"/>
        <v>-110747.14666666667</v>
      </c>
      <c r="AK85" s="10">
        <f t="shared" si="16"/>
        <v>-110747.14666666667</v>
      </c>
      <c r="AL85" s="10">
        <f t="shared" si="16"/>
        <v>-110747.14666666667</v>
      </c>
      <c r="AM85" s="10">
        <f t="shared" si="16"/>
        <v>-111136.25626666668</v>
      </c>
      <c r="AN85" s="10">
        <f t="shared" si="16"/>
        <v>-111136.25626666668</v>
      </c>
      <c r="AO85" s="10">
        <f t="shared" si="16"/>
        <v>-111136.25626666668</v>
      </c>
      <c r="AP85" s="10">
        <f t="shared" si="16"/>
        <v>-135544.04026666668</v>
      </c>
      <c r="AQ85" s="10">
        <f t="shared" si="16"/>
        <v>-111136.25626666668</v>
      </c>
      <c r="AR85" s="10">
        <f t="shared" si="16"/>
        <v>-192819.25626666669</v>
      </c>
      <c r="AS85" s="10">
        <f t="shared" si="16"/>
        <v>-111136.25626666668</v>
      </c>
      <c r="AT85" s="10">
        <f t="shared" si="16"/>
        <v>-111136.25626666668</v>
      </c>
      <c r="AU85" s="10">
        <f t="shared" si="16"/>
        <v>-215103.62426666665</v>
      </c>
      <c r="AV85" s="10">
        <f t="shared" si="16"/>
        <v>-111136.25626666668</v>
      </c>
      <c r="AW85" s="10">
        <f t="shared" si="16"/>
        <v>-111136.25626666668</v>
      </c>
      <c r="AX85" s="10">
        <f t="shared" si="16"/>
        <v>-192818.25626666669</v>
      </c>
      <c r="AY85" s="10">
        <f t="shared" si="16"/>
        <v>-111533.14805866667</v>
      </c>
      <c r="AZ85" s="10">
        <f t="shared" si="16"/>
        <v>-111533.14805866667</v>
      </c>
      <c r="BA85" s="10">
        <f t="shared" si="16"/>
        <v>-1045054.1480586666</v>
      </c>
      <c r="BB85" s="10">
        <f t="shared" si="16"/>
        <v>-136429.08773866668</v>
      </c>
      <c r="BC85" s="10">
        <f t="shared" si="16"/>
        <v>-111533.14805866667</v>
      </c>
      <c r="BD85" s="10">
        <f t="shared" si="16"/>
        <v>-242411.14805866667</v>
      </c>
      <c r="BE85" s="10">
        <f t="shared" si="16"/>
        <v>-111533.14805866667</v>
      </c>
      <c r="BF85" s="10">
        <f t="shared" si="16"/>
        <v>-111533.14805866667</v>
      </c>
      <c r="BG85" s="10">
        <f t="shared" si="16"/>
        <v>-265140.22341866669</v>
      </c>
      <c r="BH85" s="10">
        <f t="shared" si="16"/>
        <v>-111533.14805866667</v>
      </c>
      <c r="BI85" s="10">
        <f t="shared" si="16"/>
        <v>-111533.14805866667</v>
      </c>
      <c r="BJ85" s="10">
        <f t="shared" si="16"/>
        <v>-242409.14805866667</v>
      </c>
      <c r="BK85" s="10">
        <f t="shared" si="16"/>
        <v>-111937.97768650667</v>
      </c>
      <c r="BL85" s="10">
        <f t="shared" si="16"/>
        <v>-111937.97768650667</v>
      </c>
      <c r="BM85" s="10">
        <f t="shared" si="16"/>
        <v>-242813.9776865067</v>
      </c>
      <c r="BN85" s="10">
        <f t="shared" si="16"/>
        <v>-137331.83616010667</v>
      </c>
      <c r="BO85" s="10">
        <f t="shared" ref="BO85:CT85" si="17">BO66+BO67+BO68+BO69+BO70+SUM(BO71:BO84)</f>
        <v>-111937.97768650667</v>
      </c>
      <c r="BP85" s="10">
        <f t="shared" si="17"/>
        <v>-202830.45768650665</v>
      </c>
      <c r="BQ85" s="10">
        <f t="shared" si="17"/>
        <v>-111937.97768650667</v>
      </c>
      <c r="BR85" s="10">
        <f t="shared" si="17"/>
        <v>-111937.97768650667</v>
      </c>
      <c r="BS85" s="10">
        <f t="shared" si="17"/>
        <v>-209763.67455370666</v>
      </c>
      <c r="BT85" s="10">
        <f t="shared" si="17"/>
        <v>-111937.97768650667</v>
      </c>
      <c r="BU85" s="10">
        <f t="shared" si="17"/>
        <v>-111937.97768650667</v>
      </c>
      <c r="BV85" s="10">
        <f t="shared" si="17"/>
        <v>-186577.97768650667</v>
      </c>
      <c r="BW85" s="10">
        <f t="shared" si="17"/>
        <v>-112350.90390690346</v>
      </c>
      <c r="BX85" s="10">
        <f t="shared" si="17"/>
        <v>-112350.90390690346</v>
      </c>
      <c r="BY85" s="10">
        <f t="shared" si="17"/>
        <v>-260146.90390690346</v>
      </c>
      <c r="BZ85" s="10">
        <f t="shared" si="17"/>
        <v>-138252.63954997546</v>
      </c>
      <c r="CA85" s="10">
        <f t="shared" si="17"/>
        <v>-112350.90390690346</v>
      </c>
      <c r="CB85" s="10">
        <f t="shared" si="17"/>
        <v>-266868.90390690346</v>
      </c>
      <c r="CC85" s="10">
        <f t="shared" si="17"/>
        <v>-112350.90390690346</v>
      </c>
      <c r="CD85" s="10">
        <f t="shared" si="17"/>
        <v>-112350.90390690346</v>
      </c>
      <c r="CE85" s="10">
        <f t="shared" si="17"/>
        <v>-290517.31471144746</v>
      </c>
      <c r="CF85" s="10">
        <f t="shared" si="17"/>
        <v>-112350.90390690346</v>
      </c>
      <c r="CG85" s="10">
        <f t="shared" si="17"/>
        <v>-112350.90390690346</v>
      </c>
      <c r="CH85" s="10">
        <f t="shared" si="17"/>
        <v>-260259.87730042427</v>
      </c>
      <c r="CI85" s="23"/>
    </row>
    <row r="86" spans="1:87" ht="15" customHeight="1" x14ac:dyDescent="0.25">
      <c r="A86" s="22"/>
      <c r="B86" s="22"/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  <c r="AF86" s="22"/>
      <c r="AG86" s="22"/>
      <c r="AH86" s="22"/>
      <c r="AI86" s="22"/>
      <c r="AJ86" s="22"/>
      <c r="AK86" s="22"/>
      <c r="AL86" s="22"/>
      <c r="AM86" s="22"/>
      <c r="AN86" s="22"/>
      <c r="AO86" s="22"/>
      <c r="AP86" s="22"/>
      <c r="AQ86" s="22"/>
      <c r="AR86" s="22"/>
      <c r="AS86" s="22"/>
      <c r="AT86" s="22"/>
      <c r="AU86" s="22"/>
      <c r="AV86" s="22"/>
      <c r="AW86" s="22"/>
      <c r="AX86" s="22"/>
      <c r="AY86" s="22"/>
      <c r="AZ86" s="22"/>
      <c r="BA86" s="22"/>
      <c r="BB86" s="22"/>
      <c r="BC86" s="22"/>
      <c r="BD86" s="22"/>
      <c r="BE86" s="22"/>
      <c r="BF86" s="22"/>
      <c r="BG86" s="22"/>
      <c r="BH86" s="22"/>
      <c r="BI86" s="22"/>
      <c r="BJ86" s="22"/>
      <c r="BK86" s="22"/>
      <c r="BL86" s="22"/>
      <c r="BM86" s="22"/>
      <c r="BN86" s="22"/>
      <c r="BO86" s="22"/>
      <c r="BP86" s="22"/>
      <c r="BQ86" s="22"/>
      <c r="BR86" s="22"/>
      <c r="BS86" s="22"/>
      <c r="BT86" s="22"/>
      <c r="BU86" s="22"/>
      <c r="BV86" s="22"/>
      <c r="BW86" s="22"/>
      <c r="BX86" s="22"/>
      <c r="BY86" s="22"/>
      <c r="BZ86" s="22"/>
      <c r="CA86" s="22"/>
      <c r="CB86" s="22"/>
      <c r="CC86" s="22"/>
      <c r="CD86" s="22"/>
      <c r="CE86" s="22"/>
      <c r="CF86" s="22"/>
      <c r="CG86" s="22"/>
      <c r="CH86" s="22"/>
      <c r="CI86" s="23"/>
    </row>
    <row r="87" spans="1:87" ht="15" customHeight="1" x14ac:dyDescent="0.25">
      <c r="A87" s="13" t="s">
        <v>91</v>
      </c>
      <c r="B87" s="29"/>
      <c r="C87" s="14">
        <f t="shared" ref="C87:AH87" si="18">C64+C85</f>
        <v>-66377.08666666667</v>
      </c>
      <c r="D87" s="14">
        <f t="shared" si="18"/>
        <v>-66377.08666666667</v>
      </c>
      <c r="E87" s="14">
        <f t="shared" si="18"/>
        <v>-66377.08666666667</v>
      </c>
      <c r="F87" s="14">
        <f t="shared" si="18"/>
        <v>-89377.086666666684</v>
      </c>
      <c r="G87" s="14">
        <f t="shared" si="18"/>
        <v>-66377.08666666667</v>
      </c>
      <c r="H87" s="14">
        <f t="shared" si="18"/>
        <v>-67210.416666666672</v>
      </c>
      <c r="I87" s="14">
        <f t="shared" si="18"/>
        <v>-67210.416666666672</v>
      </c>
      <c r="J87" s="14">
        <f t="shared" si="18"/>
        <v>-76585.416666666672</v>
      </c>
      <c r="K87" s="14">
        <f t="shared" si="18"/>
        <v>-97585.416666666672</v>
      </c>
      <c r="L87" s="14">
        <f t="shared" si="18"/>
        <v>-76585.416666666672</v>
      </c>
      <c r="M87" s="14">
        <f t="shared" si="18"/>
        <v>-76585.416666666672</v>
      </c>
      <c r="N87" s="14">
        <f t="shared" si="18"/>
        <v>-76585.416666666672</v>
      </c>
      <c r="O87" s="14">
        <f t="shared" si="18"/>
        <v>-76959.416666666672</v>
      </c>
      <c r="P87" s="14">
        <f t="shared" si="18"/>
        <v>-76959.416666666672</v>
      </c>
      <c r="Q87" s="14">
        <f t="shared" si="18"/>
        <v>-76959.416666666672</v>
      </c>
      <c r="R87" s="14">
        <f t="shared" si="18"/>
        <v>-124325.66666666669</v>
      </c>
      <c r="S87" s="14">
        <f t="shared" si="18"/>
        <v>-100865.66666666667</v>
      </c>
      <c r="T87" s="14">
        <f t="shared" si="18"/>
        <v>-100865.66666666667</v>
      </c>
      <c r="U87" s="14">
        <f t="shared" si="18"/>
        <v>-100865.66666666667</v>
      </c>
      <c r="V87" s="14">
        <f t="shared" si="18"/>
        <v>-100865.66666666667</v>
      </c>
      <c r="W87" s="14">
        <f t="shared" si="18"/>
        <v>-64910.666666666686</v>
      </c>
      <c r="X87" s="14">
        <f t="shared" si="18"/>
        <v>-100865.66666666667</v>
      </c>
      <c r="Y87" s="14">
        <f t="shared" si="18"/>
        <v>-100865.66666666667</v>
      </c>
      <c r="Z87" s="14">
        <f t="shared" si="18"/>
        <v>-43490.666666666672</v>
      </c>
      <c r="AA87" s="14">
        <f t="shared" si="18"/>
        <v>-101247.14666666667</v>
      </c>
      <c r="AB87" s="14">
        <f t="shared" si="18"/>
        <v>-101247.14666666667</v>
      </c>
      <c r="AC87" s="14">
        <f t="shared" si="18"/>
        <v>-43872.146666666667</v>
      </c>
      <c r="AD87" s="14">
        <f t="shared" si="18"/>
        <v>-125176.34666666668</v>
      </c>
      <c r="AE87" s="14">
        <f t="shared" si="18"/>
        <v>-101247.14666666667</v>
      </c>
      <c r="AF87" s="14">
        <f t="shared" si="18"/>
        <v>-101247.14666666667</v>
      </c>
      <c r="AG87" s="14">
        <f t="shared" si="18"/>
        <v>-110747.14666666667</v>
      </c>
      <c r="AH87" s="14">
        <f t="shared" si="18"/>
        <v>-110747.14666666667</v>
      </c>
      <c r="AI87" s="14">
        <f t="shared" ref="AI87:BN87" si="19">AI64+AI85</f>
        <v>-132595.54666666669</v>
      </c>
      <c r="AJ87" s="14">
        <f t="shared" si="19"/>
        <v>-110747.14666666667</v>
      </c>
      <c r="AK87" s="14">
        <f t="shared" si="19"/>
        <v>-110747.14666666667</v>
      </c>
      <c r="AL87" s="14">
        <f t="shared" si="19"/>
        <v>-110747.14666666667</v>
      </c>
      <c r="AM87" s="14">
        <f t="shared" si="19"/>
        <v>-111136.25626666668</v>
      </c>
      <c r="AN87" s="14">
        <f t="shared" si="19"/>
        <v>-111136.25626666668</v>
      </c>
      <c r="AO87" s="14">
        <f t="shared" si="19"/>
        <v>-111136.25626666668</v>
      </c>
      <c r="AP87" s="14">
        <f t="shared" si="19"/>
        <v>-135544.04026666668</v>
      </c>
      <c r="AQ87" s="14">
        <f t="shared" si="19"/>
        <v>-111136.25626666668</v>
      </c>
      <c r="AR87" s="14">
        <f t="shared" si="19"/>
        <v>-111136.25626666669</v>
      </c>
      <c r="AS87" s="14">
        <f t="shared" si="19"/>
        <v>-111136.25626666668</v>
      </c>
      <c r="AT87" s="14">
        <f t="shared" si="19"/>
        <v>-111136.25626666668</v>
      </c>
      <c r="AU87" s="14">
        <f t="shared" si="19"/>
        <v>-133421.62426666665</v>
      </c>
      <c r="AV87" s="14">
        <f t="shared" si="19"/>
        <v>-111136.25626666668</v>
      </c>
      <c r="AW87" s="14">
        <f t="shared" si="19"/>
        <v>-111136.25626666668</v>
      </c>
      <c r="AX87" s="14">
        <f t="shared" si="19"/>
        <v>-111136.25626666669</v>
      </c>
      <c r="AY87" s="14">
        <f t="shared" si="19"/>
        <v>-111533.14805866667</v>
      </c>
      <c r="AZ87" s="14">
        <f t="shared" si="19"/>
        <v>-111533.14805866667</v>
      </c>
      <c r="BA87" s="14">
        <f t="shared" si="19"/>
        <v>-111533.14805866661</v>
      </c>
      <c r="BB87" s="14">
        <f t="shared" si="19"/>
        <v>-136429.08773866668</v>
      </c>
      <c r="BC87" s="14">
        <f t="shared" si="19"/>
        <v>-111533.14805866667</v>
      </c>
      <c r="BD87" s="14">
        <f t="shared" si="19"/>
        <v>-111533.14805866667</v>
      </c>
      <c r="BE87" s="14">
        <f t="shared" si="19"/>
        <v>-111533.14805866667</v>
      </c>
      <c r="BF87" s="14">
        <f t="shared" si="19"/>
        <v>-111533.14805866667</v>
      </c>
      <c r="BG87" s="14">
        <f t="shared" si="19"/>
        <v>-134264.22341866669</v>
      </c>
      <c r="BH87" s="14">
        <f t="shared" si="19"/>
        <v>-111533.14805866667</v>
      </c>
      <c r="BI87" s="14">
        <f t="shared" si="19"/>
        <v>-111533.14805866667</v>
      </c>
      <c r="BJ87" s="14">
        <f t="shared" si="19"/>
        <v>-111533.14805866667</v>
      </c>
      <c r="BK87" s="14">
        <f t="shared" si="19"/>
        <v>-111937.97768650667</v>
      </c>
      <c r="BL87" s="14">
        <f t="shared" si="19"/>
        <v>-111937.97768650667</v>
      </c>
      <c r="BM87" s="14">
        <f t="shared" si="19"/>
        <v>-111937.9776865067</v>
      </c>
      <c r="BN87" s="14">
        <f t="shared" si="19"/>
        <v>-137331.83616010667</v>
      </c>
      <c r="BO87" s="14">
        <f t="shared" ref="BO87:CH87" si="20">BO64+BO85</f>
        <v>-111937.97768650667</v>
      </c>
      <c r="BP87" s="14">
        <f t="shared" si="20"/>
        <v>-60424.457686506648</v>
      </c>
      <c r="BQ87" s="14">
        <f t="shared" si="20"/>
        <v>-111937.97768650667</v>
      </c>
      <c r="BR87" s="14">
        <f t="shared" si="20"/>
        <v>-111937.97768650667</v>
      </c>
      <c r="BS87" s="14">
        <f t="shared" si="20"/>
        <v>-67361.67455370666</v>
      </c>
      <c r="BT87" s="14">
        <f t="shared" si="20"/>
        <v>-111937.97768650667</v>
      </c>
      <c r="BU87" s="14">
        <f t="shared" si="20"/>
        <v>-111937.97768650667</v>
      </c>
      <c r="BV87" s="14">
        <f t="shared" si="20"/>
        <v>-44175.977686506667</v>
      </c>
      <c r="BW87" s="14">
        <f t="shared" si="20"/>
        <v>-112350.90390690346</v>
      </c>
      <c r="BX87" s="14">
        <f t="shared" si="20"/>
        <v>-112350.90390690346</v>
      </c>
      <c r="BY87" s="14">
        <f t="shared" si="20"/>
        <v>-44588.903906903462</v>
      </c>
      <c r="BZ87" s="14">
        <f t="shared" si="20"/>
        <v>-138252.63954997546</v>
      </c>
      <c r="CA87" s="14">
        <f t="shared" si="20"/>
        <v>-112350.90390690346</v>
      </c>
      <c r="CB87" s="14">
        <f t="shared" si="20"/>
        <v>-35851.903906903462</v>
      </c>
      <c r="CC87" s="14">
        <f t="shared" si="20"/>
        <v>-112350.90390690346</v>
      </c>
      <c r="CD87" s="14">
        <f t="shared" si="20"/>
        <v>-112350.90390690346</v>
      </c>
      <c r="CE87" s="14">
        <f t="shared" si="20"/>
        <v>-59501.314711447456</v>
      </c>
      <c r="CF87" s="14">
        <f t="shared" si="20"/>
        <v>-112350.90390690346</v>
      </c>
      <c r="CG87" s="14">
        <f t="shared" si="20"/>
        <v>-112350.90390690346</v>
      </c>
      <c r="CH87" s="14">
        <f t="shared" si="20"/>
        <v>-29243.877300424268</v>
      </c>
      <c r="CI87" s="23"/>
    </row>
    <row r="88" spans="1:87" ht="15" customHeight="1" x14ac:dyDescent="0.25">
      <c r="A88" s="22"/>
      <c r="B88" s="22"/>
      <c r="C88" s="22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  <c r="AE88" s="22"/>
      <c r="AF88" s="22"/>
      <c r="AG88" s="22"/>
      <c r="AH88" s="22"/>
      <c r="AI88" s="22"/>
      <c r="AJ88" s="22"/>
      <c r="AK88" s="22"/>
      <c r="AL88" s="22"/>
      <c r="AM88" s="22"/>
      <c r="AN88" s="22"/>
      <c r="AO88" s="22"/>
      <c r="AP88" s="22"/>
      <c r="AQ88" s="22"/>
      <c r="AR88" s="22"/>
      <c r="AS88" s="22"/>
      <c r="AT88" s="22"/>
      <c r="AU88" s="22"/>
      <c r="AV88" s="22"/>
      <c r="AW88" s="22"/>
      <c r="AX88" s="22"/>
      <c r="AY88" s="22"/>
      <c r="AZ88" s="22"/>
      <c r="BA88" s="22"/>
      <c r="BB88" s="22"/>
      <c r="BC88" s="22"/>
      <c r="BD88" s="22"/>
      <c r="BE88" s="22"/>
      <c r="BF88" s="22"/>
      <c r="BG88" s="22"/>
      <c r="BH88" s="22"/>
      <c r="BI88" s="22"/>
      <c r="BJ88" s="22"/>
      <c r="BK88" s="22"/>
      <c r="BL88" s="22"/>
      <c r="BM88" s="22"/>
      <c r="BN88" s="22"/>
      <c r="BO88" s="22"/>
      <c r="BP88" s="22"/>
      <c r="BQ88" s="22"/>
      <c r="BR88" s="22"/>
      <c r="BS88" s="22"/>
      <c r="BT88" s="22"/>
      <c r="BU88" s="22"/>
      <c r="BV88" s="22"/>
      <c r="BW88" s="22"/>
      <c r="BX88" s="22"/>
      <c r="BY88" s="22"/>
      <c r="BZ88" s="22"/>
      <c r="CA88" s="22"/>
      <c r="CB88" s="22"/>
      <c r="CC88" s="22"/>
      <c r="CD88" s="22"/>
      <c r="CE88" s="22"/>
      <c r="CF88" s="22"/>
      <c r="CG88" s="22"/>
      <c r="CH88" s="22"/>
      <c r="CI88" s="23"/>
    </row>
    <row r="89" spans="1:87" ht="15" customHeight="1" x14ac:dyDescent="0.25">
      <c r="A89" s="26" t="s">
        <v>191</v>
      </c>
      <c r="B89" s="26"/>
      <c r="C89" s="26"/>
      <c r="D89" s="26"/>
      <c r="E89" s="26"/>
      <c r="F89" s="26"/>
      <c r="G89" s="26"/>
      <c r="H89" s="26"/>
      <c r="I89" s="26"/>
      <c r="J89" s="26"/>
      <c r="K89" s="26"/>
      <c r="L89" s="26"/>
      <c r="M89" s="26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Z89" s="26"/>
      <c r="AA89" s="26"/>
      <c r="AB89" s="26"/>
      <c r="AC89" s="26"/>
      <c r="AD89" s="26"/>
      <c r="AE89" s="26"/>
      <c r="AF89" s="26"/>
      <c r="AG89" s="26"/>
      <c r="AH89" s="26"/>
      <c r="AI89" s="26"/>
      <c r="AJ89" s="26"/>
      <c r="AK89" s="26"/>
      <c r="AL89" s="26"/>
      <c r="AM89" s="26"/>
      <c r="AN89" s="26"/>
      <c r="AO89" s="26"/>
      <c r="AP89" s="26"/>
      <c r="AQ89" s="26"/>
      <c r="AR89" s="26"/>
      <c r="AS89" s="26"/>
      <c r="AT89" s="26"/>
      <c r="AU89" s="26"/>
      <c r="AV89" s="26"/>
      <c r="AW89" s="26"/>
      <c r="AX89" s="26"/>
      <c r="AY89" s="26"/>
      <c r="AZ89" s="26"/>
      <c r="BA89" s="26"/>
      <c r="BB89" s="26"/>
      <c r="BC89" s="26"/>
      <c r="BD89" s="26"/>
      <c r="BE89" s="26"/>
      <c r="BF89" s="26"/>
      <c r="BG89" s="26"/>
      <c r="BH89" s="26"/>
      <c r="BI89" s="26"/>
      <c r="BJ89" s="26"/>
      <c r="BK89" s="26"/>
      <c r="BL89" s="26"/>
      <c r="BM89" s="26"/>
      <c r="BN89" s="26"/>
      <c r="BO89" s="26"/>
      <c r="BP89" s="26"/>
      <c r="BQ89" s="26"/>
      <c r="BR89" s="26"/>
      <c r="BS89" s="26"/>
      <c r="BT89" s="26"/>
      <c r="BU89" s="26"/>
      <c r="BV89" s="26"/>
      <c r="BW89" s="26"/>
      <c r="BX89" s="26"/>
      <c r="BY89" s="26"/>
      <c r="BZ89" s="26"/>
      <c r="CA89" s="26"/>
      <c r="CB89" s="26"/>
      <c r="CC89" s="26"/>
      <c r="CD89" s="26"/>
      <c r="CE89" s="26"/>
      <c r="CF89" s="26"/>
      <c r="CG89" s="26"/>
      <c r="CH89" s="26"/>
      <c r="CI89" s="23"/>
    </row>
    <row r="90" spans="1:87" ht="15" customHeight="1" x14ac:dyDescent="0.25">
      <c r="A90" s="16" t="s">
        <v>76</v>
      </c>
      <c r="B90" s="22"/>
      <c r="C90" s="8">
        <f t="shared" ref="C90:AH90" si="21">C12</f>
        <v>418599.72384991788</v>
      </c>
      <c r="D90" s="8">
        <f t="shared" si="21"/>
        <v>427527.22627411911</v>
      </c>
      <c r="E90" s="8">
        <f t="shared" si="21"/>
        <v>433830.17001248139</v>
      </c>
      <c r="F90" s="8">
        <f t="shared" si="21"/>
        <v>1210658.2550369636</v>
      </c>
      <c r="G90" s="8">
        <f t="shared" si="21"/>
        <v>573510.76114662446</v>
      </c>
      <c r="H90" s="8">
        <f t="shared" si="21"/>
        <v>577796.8679158492</v>
      </c>
      <c r="I90" s="8">
        <f t="shared" si="21"/>
        <v>1126248.4482867743</v>
      </c>
      <c r="J90" s="8">
        <f t="shared" si="21"/>
        <v>1116825.7161347144</v>
      </c>
      <c r="K90" s="8">
        <f t="shared" si="21"/>
        <v>726762.86043040117</v>
      </c>
      <c r="L90" s="8">
        <f t="shared" si="21"/>
        <v>735437.15012346685</v>
      </c>
      <c r="M90" s="8">
        <f t="shared" si="21"/>
        <v>741497.56151734095</v>
      </c>
      <c r="N90" s="8">
        <f t="shared" si="21"/>
        <v>744808.56550294103</v>
      </c>
      <c r="O90" s="8">
        <f t="shared" si="21"/>
        <v>1551010.3871854262</v>
      </c>
      <c r="P90" s="8">
        <f t="shared" si="21"/>
        <v>874385.23951928783</v>
      </c>
      <c r="Q90" s="8">
        <f t="shared" si="21"/>
        <v>1023609.8606531039</v>
      </c>
      <c r="R90" s="8">
        <f t="shared" si="21"/>
        <v>834343.0174824954</v>
      </c>
      <c r="S90" s="8">
        <f t="shared" si="21"/>
        <v>646881.92630444828</v>
      </c>
      <c r="T90" s="8">
        <f t="shared" si="21"/>
        <v>646844.246435988</v>
      </c>
      <c r="U90" s="8">
        <f t="shared" si="21"/>
        <v>663422.60783743276</v>
      </c>
      <c r="V90" s="8">
        <f t="shared" si="21"/>
        <v>618103.15631027054</v>
      </c>
      <c r="W90" s="8">
        <f t="shared" si="21"/>
        <v>607080.58086320059</v>
      </c>
      <c r="X90" s="8">
        <f t="shared" si="21"/>
        <v>593340.24798612762</v>
      </c>
      <c r="Y90" s="8">
        <f t="shared" si="21"/>
        <v>577675.4899876836</v>
      </c>
      <c r="Z90" s="8">
        <f t="shared" si="21"/>
        <v>560861.37604444823</v>
      </c>
      <c r="AA90" s="8">
        <f t="shared" si="21"/>
        <v>620997.91027095879</v>
      </c>
      <c r="AB90" s="8">
        <f t="shared" si="21"/>
        <v>468952.79641900427</v>
      </c>
      <c r="AC90" s="8">
        <f t="shared" si="21"/>
        <v>1170867.699065028</v>
      </c>
      <c r="AD90" s="8">
        <f t="shared" si="21"/>
        <v>512736.63527957594</v>
      </c>
      <c r="AE90" s="8">
        <f t="shared" si="21"/>
        <v>514849.68659191282</v>
      </c>
      <c r="AF90" s="8">
        <f t="shared" si="21"/>
        <v>516146.64992283325</v>
      </c>
      <c r="AG90" s="8">
        <f t="shared" si="21"/>
        <v>637463.15555273497</v>
      </c>
      <c r="AH90" s="8">
        <f t="shared" si="21"/>
        <v>461732.57702133141</v>
      </c>
      <c r="AI90" s="8">
        <f t="shared" ref="AI90:BN90" si="22">AI12</f>
        <v>704880.37640685413</v>
      </c>
      <c r="AJ90" s="8">
        <f t="shared" si="22"/>
        <v>370702.71926589956</v>
      </c>
      <c r="AK90" s="8">
        <f t="shared" si="22"/>
        <v>368363.85215627216</v>
      </c>
      <c r="AL90" s="8">
        <f t="shared" si="22"/>
        <v>455434.27543950675</v>
      </c>
      <c r="AM90" s="8">
        <f t="shared" si="22"/>
        <v>319121.76019765635</v>
      </c>
      <c r="AN90" s="8">
        <f t="shared" si="22"/>
        <v>316527.78370689659</v>
      </c>
      <c r="AO90" s="8">
        <f t="shared" si="22"/>
        <v>313265.02349216613</v>
      </c>
      <c r="AP90" s="8">
        <f t="shared" si="22"/>
        <v>309361.66277874075</v>
      </c>
      <c r="AQ90" s="8">
        <f t="shared" si="22"/>
        <v>304855.7357313041</v>
      </c>
      <c r="AR90" s="8">
        <f t="shared" si="22"/>
        <v>556991.31394873105</v>
      </c>
      <c r="AS90" s="8">
        <f t="shared" si="22"/>
        <v>172117.65390230948</v>
      </c>
      <c r="AT90" s="8">
        <f t="shared" si="22"/>
        <v>170395.66313802381</v>
      </c>
      <c r="AU90" s="8">
        <f t="shared" si="22"/>
        <v>167873.90332988091</v>
      </c>
      <c r="AV90" s="8">
        <f t="shared" si="22"/>
        <v>164628.9074007381</v>
      </c>
      <c r="AW90" s="8">
        <f t="shared" si="22"/>
        <v>160750.60153495235</v>
      </c>
      <c r="AX90" s="8">
        <f t="shared" si="22"/>
        <v>156344.21850145236</v>
      </c>
      <c r="AY90" s="8">
        <f t="shared" si="22"/>
        <v>151528.38433066662</v>
      </c>
      <c r="AZ90" s="8">
        <f t="shared" si="22"/>
        <v>146419.81172995237</v>
      </c>
      <c r="BA90" s="8">
        <f t="shared" si="22"/>
        <v>141140.95337588096</v>
      </c>
      <c r="BB90" s="8">
        <f t="shared" si="22"/>
        <v>135806.6086527381</v>
      </c>
      <c r="BC90" s="8">
        <f t="shared" si="22"/>
        <v>130522.01032945237</v>
      </c>
      <c r="BD90" s="8">
        <f t="shared" si="22"/>
        <v>125382.82455959523</v>
      </c>
      <c r="BE90" s="8">
        <f t="shared" si="22"/>
        <v>120467.49758909523</v>
      </c>
      <c r="BF90" s="8">
        <f t="shared" si="22"/>
        <v>350812.49572545238</v>
      </c>
      <c r="BG90" s="8">
        <f t="shared" si="22"/>
        <v>0</v>
      </c>
      <c r="BH90" s="8">
        <f t="shared" si="22"/>
        <v>0</v>
      </c>
      <c r="BI90" s="8">
        <f t="shared" si="22"/>
        <v>0</v>
      </c>
      <c r="BJ90" s="8">
        <f t="shared" si="22"/>
        <v>0</v>
      </c>
      <c r="BK90" s="8">
        <f t="shared" si="22"/>
        <v>0</v>
      </c>
      <c r="BL90" s="8">
        <f t="shared" si="22"/>
        <v>0</v>
      </c>
      <c r="BM90" s="8">
        <f t="shared" si="22"/>
        <v>0</v>
      </c>
      <c r="BN90" s="8">
        <f t="shared" si="22"/>
        <v>0</v>
      </c>
      <c r="BO90" s="8">
        <f t="shared" ref="BO90:CH90" si="23">BO12</f>
        <v>0</v>
      </c>
      <c r="BP90" s="8">
        <f t="shared" si="23"/>
        <v>0</v>
      </c>
      <c r="BQ90" s="8">
        <f t="shared" si="23"/>
        <v>0</v>
      </c>
      <c r="BR90" s="8">
        <f t="shared" si="23"/>
        <v>0</v>
      </c>
      <c r="BS90" s="8">
        <f t="shared" si="23"/>
        <v>0</v>
      </c>
      <c r="BT90" s="8">
        <f t="shared" si="23"/>
        <v>0</v>
      </c>
      <c r="BU90" s="8">
        <f t="shared" si="23"/>
        <v>0</v>
      </c>
      <c r="BV90" s="8">
        <f t="shared" si="23"/>
        <v>0</v>
      </c>
      <c r="BW90" s="8">
        <f t="shared" si="23"/>
        <v>0</v>
      </c>
      <c r="BX90" s="8">
        <f t="shared" si="23"/>
        <v>0</v>
      </c>
      <c r="BY90" s="8">
        <f t="shared" si="23"/>
        <v>0</v>
      </c>
      <c r="BZ90" s="8">
        <f t="shared" si="23"/>
        <v>0</v>
      </c>
      <c r="CA90" s="8">
        <f t="shared" si="23"/>
        <v>0</v>
      </c>
      <c r="CB90" s="8">
        <f t="shared" si="23"/>
        <v>0</v>
      </c>
      <c r="CC90" s="8">
        <f t="shared" si="23"/>
        <v>0</v>
      </c>
      <c r="CD90" s="8">
        <f t="shared" si="23"/>
        <v>0</v>
      </c>
      <c r="CE90" s="8">
        <f t="shared" si="23"/>
        <v>0</v>
      </c>
      <c r="CF90" s="8">
        <f t="shared" si="23"/>
        <v>0</v>
      </c>
      <c r="CG90" s="8">
        <f t="shared" si="23"/>
        <v>0</v>
      </c>
      <c r="CH90" s="8">
        <f t="shared" si="23"/>
        <v>0</v>
      </c>
      <c r="CI90" s="23"/>
    </row>
    <row r="91" spans="1:87" ht="15" customHeight="1" x14ac:dyDescent="0.25">
      <c r="A91" s="16" t="s">
        <v>89</v>
      </c>
      <c r="B91" s="22"/>
      <c r="C91" s="8">
        <f t="shared" ref="C91:AH91" si="24">C64</f>
        <v>43614.58</v>
      </c>
      <c r="D91" s="8">
        <f t="shared" si="24"/>
        <v>43614.58</v>
      </c>
      <c r="E91" s="8">
        <f t="shared" si="24"/>
        <v>43614.58</v>
      </c>
      <c r="F91" s="8">
        <f t="shared" si="24"/>
        <v>43614.58</v>
      </c>
      <c r="G91" s="8">
        <f t="shared" si="24"/>
        <v>43614.58</v>
      </c>
      <c r="H91" s="8">
        <f t="shared" si="24"/>
        <v>42781.25</v>
      </c>
      <c r="I91" s="8">
        <f t="shared" si="24"/>
        <v>42781.25</v>
      </c>
      <c r="J91" s="8">
        <f t="shared" si="24"/>
        <v>33406.25</v>
      </c>
      <c r="K91" s="8">
        <f t="shared" si="24"/>
        <v>33406.25</v>
      </c>
      <c r="L91" s="8">
        <f t="shared" si="24"/>
        <v>33406.25</v>
      </c>
      <c r="M91" s="8">
        <f t="shared" si="24"/>
        <v>33406.25</v>
      </c>
      <c r="N91" s="8">
        <f t="shared" si="24"/>
        <v>33406.25</v>
      </c>
      <c r="O91" s="8">
        <f t="shared" si="24"/>
        <v>33406.25</v>
      </c>
      <c r="P91" s="8">
        <f t="shared" si="24"/>
        <v>33406.25</v>
      </c>
      <c r="Q91" s="8">
        <f t="shared" si="24"/>
        <v>33406.25</v>
      </c>
      <c r="R91" s="8">
        <f t="shared" si="24"/>
        <v>9500</v>
      </c>
      <c r="S91" s="8">
        <f t="shared" si="24"/>
        <v>9500</v>
      </c>
      <c r="T91" s="8">
        <f t="shared" si="24"/>
        <v>9500</v>
      </c>
      <c r="U91" s="8">
        <f t="shared" si="24"/>
        <v>9500</v>
      </c>
      <c r="V91" s="8">
        <f t="shared" si="24"/>
        <v>9500</v>
      </c>
      <c r="W91" s="8">
        <f t="shared" si="24"/>
        <v>66875</v>
      </c>
      <c r="X91" s="8">
        <f t="shared" si="24"/>
        <v>9500</v>
      </c>
      <c r="Y91" s="8">
        <f t="shared" si="24"/>
        <v>9500</v>
      </c>
      <c r="Z91" s="8">
        <f t="shared" si="24"/>
        <v>66875</v>
      </c>
      <c r="AA91" s="8">
        <f t="shared" si="24"/>
        <v>9500</v>
      </c>
      <c r="AB91" s="8">
        <f t="shared" si="24"/>
        <v>9500</v>
      </c>
      <c r="AC91" s="8">
        <f t="shared" si="24"/>
        <v>66875</v>
      </c>
      <c r="AD91" s="8">
        <f t="shared" si="24"/>
        <v>9500</v>
      </c>
      <c r="AE91" s="8">
        <f t="shared" si="24"/>
        <v>9500</v>
      </c>
      <c r="AF91" s="8">
        <f t="shared" si="24"/>
        <v>9500</v>
      </c>
      <c r="AG91" s="8">
        <f t="shared" si="24"/>
        <v>0</v>
      </c>
      <c r="AH91" s="8">
        <f t="shared" si="24"/>
        <v>0</v>
      </c>
      <c r="AI91" s="8">
        <f t="shared" ref="AI91:BN91" si="25">AI64</f>
        <v>0</v>
      </c>
      <c r="AJ91" s="8">
        <f t="shared" si="25"/>
        <v>0</v>
      </c>
      <c r="AK91" s="8">
        <f t="shared" si="25"/>
        <v>0</v>
      </c>
      <c r="AL91" s="8">
        <f t="shared" si="25"/>
        <v>0</v>
      </c>
      <c r="AM91" s="8">
        <f t="shared" si="25"/>
        <v>0</v>
      </c>
      <c r="AN91" s="8">
        <f t="shared" si="25"/>
        <v>0</v>
      </c>
      <c r="AO91" s="8">
        <f t="shared" si="25"/>
        <v>0</v>
      </c>
      <c r="AP91" s="8">
        <f t="shared" si="25"/>
        <v>0</v>
      </c>
      <c r="AQ91" s="8">
        <f t="shared" si="25"/>
        <v>0</v>
      </c>
      <c r="AR91" s="8">
        <f t="shared" si="25"/>
        <v>81683</v>
      </c>
      <c r="AS91" s="8">
        <f t="shared" si="25"/>
        <v>0</v>
      </c>
      <c r="AT91" s="8">
        <f t="shared" si="25"/>
        <v>0</v>
      </c>
      <c r="AU91" s="8">
        <f t="shared" si="25"/>
        <v>81682</v>
      </c>
      <c r="AV91" s="8">
        <f t="shared" si="25"/>
        <v>0</v>
      </c>
      <c r="AW91" s="8">
        <f t="shared" si="25"/>
        <v>0</v>
      </c>
      <c r="AX91" s="8">
        <f t="shared" si="25"/>
        <v>81682</v>
      </c>
      <c r="AY91" s="8">
        <f t="shared" si="25"/>
        <v>0</v>
      </c>
      <c r="AZ91" s="8">
        <f t="shared" si="25"/>
        <v>0</v>
      </c>
      <c r="BA91" s="8">
        <f t="shared" si="25"/>
        <v>933521</v>
      </c>
      <c r="BB91" s="8">
        <f t="shared" si="25"/>
        <v>0</v>
      </c>
      <c r="BC91" s="8">
        <f t="shared" si="25"/>
        <v>0</v>
      </c>
      <c r="BD91" s="8">
        <f t="shared" si="25"/>
        <v>130878</v>
      </c>
      <c r="BE91" s="8">
        <f t="shared" si="25"/>
        <v>0</v>
      </c>
      <c r="BF91" s="8">
        <f t="shared" si="25"/>
        <v>0</v>
      </c>
      <c r="BG91" s="8">
        <f t="shared" si="25"/>
        <v>130876</v>
      </c>
      <c r="BH91" s="8">
        <f t="shared" si="25"/>
        <v>0</v>
      </c>
      <c r="BI91" s="8">
        <f t="shared" si="25"/>
        <v>0</v>
      </c>
      <c r="BJ91" s="8">
        <f t="shared" si="25"/>
        <v>130876</v>
      </c>
      <c r="BK91" s="8">
        <f t="shared" si="25"/>
        <v>0</v>
      </c>
      <c r="BL91" s="8">
        <f t="shared" si="25"/>
        <v>0</v>
      </c>
      <c r="BM91" s="8">
        <f t="shared" si="25"/>
        <v>130876</v>
      </c>
      <c r="BN91" s="8">
        <f t="shared" si="25"/>
        <v>0</v>
      </c>
      <c r="BO91" s="8">
        <f t="shared" ref="BO91:CH91" si="26">BO64</f>
        <v>0</v>
      </c>
      <c r="BP91" s="8">
        <f t="shared" si="26"/>
        <v>142406</v>
      </c>
      <c r="BQ91" s="8">
        <f t="shared" si="26"/>
        <v>0</v>
      </c>
      <c r="BR91" s="8">
        <f t="shared" si="26"/>
        <v>0</v>
      </c>
      <c r="BS91" s="8">
        <f t="shared" si="26"/>
        <v>142402</v>
      </c>
      <c r="BT91" s="8">
        <f t="shared" si="26"/>
        <v>0</v>
      </c>
      <c r="BU91" s="8">
        <f t="shared" si="26"/>
        <v>0</v>
      </c>
      <c r="BV91" s="8">
        <f t="shared" si="26"/>
        <v>142402</v>
      </c>
      <c r="BW91" s="8">
        <f t="shared" si="26"/>
        <v>0</v>
      </c>
      <c r="BX91" s="8">
        <f t="shared" si="26"/>
        <v>0</v>
      </c>
      <c r="BY91" s="8">
        <f t="shared" si="26"/>
        <v>215558</v>
      </c>
      <c r="BZ91" s="8">
        <f t="shared" si="26"/>
        <v>0</v>
      </c>
      <c r="CA91" s="8">
        <f t="shared" si="26"/>
        <v>0</v>
      </c>
      <c r="CB91" s="8">
        <f t="shared" si="26"/>
        <v>231017</v>
      </c>
      <c r="CC91" s="8">
        <f t="shared" si="26"/>
        <v>0</v>
      </c>
      <c r="CD91" s="8">
        <f t="shared" si="26"/>
        <v>0</v>
      </c>
      <c r="CE91" s="8">
        <f t="shared" si="26"/>
        <v>231016</v>
      </c>
      <c r="CF91" s="8">
        <f t="shared" si="26"/>
        <v>0</v>
      </c>
      <c r="CG91" s="8">
        <f t="shared" si="26"/>
        <v>0</v>
      </c>
      <c r="CH91" s="8">
        <f t="shared" si="26"/>
        <v>231016</v>
      </c>
      <c r="CI91" s="23"/>
    </row>
    <row r="92" spans="1:87" ht="15" customHeight="1" x14ac:dyDescent="0.25">
      <c r="A92" s="9" t="s">
        <v>192</v>
      </c>
      <c r="B92" s="28"/>
      <c r="C92" s="10">
        <f t="shared" ref="C92:AH92" si="27">C90+C91</f>
        <v>462214.30384991789</v>
      </c>
      <c r="D92" s="10">
        <f t="shared" si="27"/>
        <v>471141.80627411912</v>
      </c>
      <c r="E92" s="10">
        <f t="shared" si="27"/>
        <v>477444.75001248141</v>
      </c>
      <c r="F92" s="10">
        <f t="shared" si="27"/>
        <v>1254272.8350369637</v>
      </c>
      <c r="G92" s="10">
        <f t="shared" si="27"/>
        <v>617125.34114662441</v>
      </c>
      <c r="H92" s="10">
        <f t="shared" si="27"/>
        <v>620578.1179158492</v>
      </c>
      <c r="I92" s="10">
        <f t="shared" si="27"/>
        <v>1169029.6982867743</v>
      </c>
      <c r="J92" s="10">
        <f t="shared" si="27"/>
        <v>1150231.9661347144</v>
      </c>
      <c r="K92" s="10">
        <f t="shared" si="27"/>
        <v>760169.11043040117</v>
      </c>
      <c r="L92" s="10">
        <f t="shared" si="27"/>
        <v>768843.40012346685</v>
      </c>
      <c r="M92" s="10">
        <f t="shared" si="27"/>
        <v>774903.81151734095</v>
      </c>
      <c r="N92" s="10">
        <f t="shared" si="27"/>
        <v>778214.81550294103</v>
      </c>
      <c r="O92" s="10">
        <f t="shared" si="27"/>
        <v>1584416.6371854262</v>
      </c>
      <c r="P92" s="10">
        <f t="shared" si="27"/>
        <v>907791.48951928783</v>
      </c>
      <c r="Q92" s="10">
        <f t="shared" si="27"/>
        <v>1057016.1106531038</v>
      </c>
      <c r="R92" s="10">
        <f t="shared" si="27"/>
        <v>843843.0174824954</v>
      </c>
      <c r="S92" s="10">
        <f t="shared" si="27"/>
        <v>656381.92630444828</v>
      </c>
      <c r="T92" s="10">
        <f t="shared" si="27"/>
        <v>656344.246435988</v>
      </c>
      <c r="U92" s="10">
        <f t="shared" si="27"/>
        <v>672922.60783743276</v>
      </c>
      <c r="V92" s="10">
        <f t="shared" si="27"/>
        <v>627603.15631027054</v>
      </c>
      <c r="W92" s="10">
        <f t="shared" si="27"/>
        <v>673955.58086320059</v>
      </c>
      <c r="X92" s="10">
        <f t="shared" si="27"/>
        <v>602840.24798612762</v>
      </c>
      <c r="Y92" s="10">
        <f t="shared" si="27"/>
        <v>587175.4899876836</v>
      </c>
      <c r="Z92" s="10">
        <f t="shared" si="27"/>
        <v>627736.37604444823</v>
      </c>
      <c r="AA92" s="10">
        <f t="shared" si="27"/>
        <v>630497.91027095879</v>
      </c>
      <c r="AB92" s="10">
        <f t="shared" si="27"/>
        <v>478452.79641900427</v>
      </c>
      <c r="AC92" s="10">
        <f t="shared" si="27"/>
        <v>1237742.699065028</v>
      </c>
      <c r="AD92" s="10">
        <f t="shared" si="27"/>
        <v>522236.63527957594</v>
      </c>
      <c r="AE92" s="10">
        <f t="shared" si="27"/>
        <v>524349.68659191276</v>
      </c>
      <c r="AF92" s="10">
        <f t="shared" si="27"/>
        <v>525646.64992283331</v>
      </c>
      <c r="AG92" s="10">
        <f t="shared" si="27"/>
        <v>637463.15555273497</v>
      </c>
      <c r="AH92" s="10">
        <f t="shared" si="27"/>
        <v>461732.57702133141</v>
      </c>
      <c r="AI92" s="10">
        <f t="shared" ref="AI92:BN92" si="28">AI90+AI91</f>
        <v>704880.37640685413</v>
      </c>
      <c r="AJ92" s="10">
        <f t="shared" si="28"/>
        <v>370702.71926589956</v>
      </c>
      <c r="AK92" s="10">
        <f t="shared" si="28"/>
        <v>368363.85215627216</v>
      </c>
      <c r="AL92" s="10">
        <f t="shared" si="28"/>
        <v>455434.27543950675</v>
      </c>
      <c r="AM92" s="10">
        <f t="shared" si="28"/>
        <v>319121.76019765635</v>
      </c>
      <c r="AN92" s="10">
        <f t="shared" si="28"/>
        <v>316527.78370689659</v>
      </c>
      <c r="AO92" s="10">
        <f t="shared" si="28"/>
        <v>313265.02349216613</v>
      </c>
      <c r="AP92" s="10">
        <f t="shared" si="28"/>
        <v>309361.66277874075</v>
      </c>
      <c r="AQ92" s="10">
        <f t="shared" si="28"/>
        <v>304855.7357313041</v>
      </c>
      <c r="AR92" s="10">
        <f t="shared" si="28"/>
        <v>638674.31394873105</v>
      </c>
      <c r="AS92" s="10">
        <f t="shared" si="28"/>
        <v>172117.65390230948</v>
      </c>
      <c r="AT92" s="10">
        <f t="shared" si="28"/>
        <v>170395.66313802381</v>
      </c>
      <c r="AU92" s="10">
        <f t="shared" si="28"/>
        <v>249555.90332988091</v>
      </c>
      <c r="AV92" s="10">
        <f t="shared" si="28"/>
        <v>164628.9074007381</v>
      </c>
      <c r="AW92" s="10">
        <f t="shared" si="28"/>
        <v>160750.60153495235</v>
      </c>
      <c r="AX92" s="10">
        <f t="shared" si="28"/>
        <v>238026.21850145236</v>
      </c>
      <c r="AY92" s="10">
        <f t="shared" si="28"/>
        <v>151528.38433066662</v>
      </c>
      <c r="AZ92" s="10">
        <f t="shared" si="28"/>
        <v>146419.81172995237</v>
      </c>
      <c r="BA92" s="10">
        <f t="shared" si="28"/>
        <v>1074661.9533758811</v>
      </c>
      <c r="BB92" s="10">
        <f t="shared" si="28"/>
        <v>135806.6086527381</v>
      </c>
      <c r="BC92" s="10">
        <f t="shared" si="28"/>
        <v>130522.01032945237</v>
      </c>
      <c r="BD92" s="10">
        <f t="shared" si="28"/>
        <v>256260.82455959523</v>
      </c>
      <c r="BE92" s="10">
        <f t="shared" si="28"/>
        <v>120467.49758909523</v>
      </c>
      <c r="BF92" s="10">
        <f t="shared" si="28"/>
        <v>350812.49572545238</v>
      </c>
      <c r="BG92" s="10">
        <f t="shared" si="28"/>
        <v>130876</v>
      </c>
      <c r="BH92" s="10">
        <f t="shared" si="28"/>
        <v>0</v>
      </c>
      <c r="BI92" s="10">
        <f t="shared" si="28"/>
        <v>0</v>
      </c>
      <c r="BJ92" s="10">
        <f t="shared" si="28"/>
        <v>130876</v>
      </c>
      <c r="BK92" s="10">
        <f t="shared" si="28"/>
        <v>0</v>
      </c>
      <c r="BL92" s="10">
        <f t="shared" si="28"/>
        <v>0</v>
      </c>
      <c r="BM92" s="10">
        <f t="shared" si="28"/>
        <v>130876</v>
      </c>
      <c r="BN92" s="10">
        <f t="shared" si="28"/>
        <v>0</v>
      </c>
      <c r="BO92" s="10">
        <f t="shared" ref="BO92:CT92" si="29">BO90+BO91</f>
        <v>0</v>
      </c>
      <c r="BP92" s="10">
        <f t="shared" si="29"/>
        <v>142406</v>
      </c>
      <c r="BQ92" s="10">
        <f t="shared" si="29"/>
        <v>0</v>
      </c>
      <c r="BR92" s="10">
        <f t="shared" si="29"/>
        <v>0</v>
      </c>
      <c r="BS92" s="10">
        <f t="shared" si="29"/>
        <v>142402</v>
      </c>
      <c r="BT92" s="10">
        <f t="shared" si="29"/>
        <v>0</v>
      </c>
      <c r="BU92" s="10">
        <f t="shared" si="29"/>
        <v>0</v>
      </c>
      <c r="BV92" s="10">
        <f t="shared" si="29"/>
        <v>142402</v>
      </c>
      <c r="BW92" s="10">
        <f t="shared" si="29"/>
        <v>0</v>
      </c>
      <c r="BX92" s="10">
        <f t="shared" si="29"/>
        <v>0</v>
      </c>
      <c r="BY92" s="10">
        <f t="shared" si="29"/>
        <v>215558</v>
      </c>
      <c r="BZ92" s="10">
        <f t="shared" si="29"/>
        <v>0</v>
      </c>
      <c r="CA92" s="10">
        <f t="shared" si="29"/>
        <v>0</v>
      </c>
      <c r="CB92" s="10">
        <f t="shared" si="29"/>
        <v>231017</v>
      </c>
      <c r="CC92" s="10">
        <f t="shared" si="29"/>
        <v>0</v>
      </c>
      <c r="CD92" s="10">
        <f t="shared" si="29"/>
        <v>0</v>
      </c>
      <c r="CE92" s="10">
        <f t="shared" si="29"/>
        <v>231016</v>
      </c>
      <c r="CF92" s="10">
        <f t="shared" si="29"/>
        <v>0</v>
      </c>
      <c r="CG92" s="10">
        <f t="shared" si="29"/>
        <v>0</v>
      </c>
      <c r="CH92" s="10">
        <f t="shared" si="29"/>
        <v>231016</v>
      </c>
      <c r="CI92" s="23"/>
    </row>
    <row r="93" spans="1:87" ht="15" customHeight="1" x14ac:dyDescent="0.25">
      <c r="A93" s="16" t="s">
        <v>82</v>
      </c>
      <c r="B93" s="22"/>
      <c r="C93" s="8">
        <f t="shared" ref="C93:AH93" si="30">C39</f>
        <v>-321206.61499999999</v>
      </c>
      <c r="D93" s="8">
        <f t="shared" si="30"/>
        <v>-363437.86499999993</v>
      </c>
      <c r="E93" s="8">
        <f t="shared" si="30"/>
        <v>-398387.86499999993</v>
      </c>
      <c r="F93" s="8">
        <f t="shared" si="30"/>
        <v>-716354.38020000013</v>
      </c>
      <c r="G93" s="8">
        <f t="shared" si="30"/>
        <v>-398387.86499999993</v>
      </c>
      <c r="H93" s="8">
        <f t="shared" si="30"/>
        <v>-398387.86499999993</v>
      </c>
      <c r="I93" s="8">
        <f t="shared" si="30"/>
        <v>-616470.71200000017</v>
      </c>
      <c r="J93" s="8">
        <f t="shared" si="30"/>
        <v>-555737.06199999992</v>
      </c>
      <c r="K93" s="8">
        <f t="shared" si="30"/>
        <v>-398387.86499999993</v>
      </c>
      <c r="L93" s="8">
        <f t="shared" si="30"/>
        <v>-398387.86499999993</v>
      </c>
      <c r="M93" s="8">
        <f t="shared" si="30"/>
        <v>-398387.86499999993</v>
      </c>
      <c r="N93" s="8">
        <f t="shared" si="30"/>
        <v>-398387.86499999993</v>
      </c>
      <c r="O93" s="8">
        <f t="shared" si="30"/>
        <v>-1870207.557</v>
      </c>
      <c r="P93" s="8">
        <f t="shared" si="30"/>
        <v>-399037.53199999995</v>
      </c>
      <c r="Q93" s="8">
        <f t="shared" si="30"/>
        <v>-399037.53199999995</v>
      </c>
      <c r="R93" s="8">
        <f t="shared" si="30"/>
        <v>-399037.53199999995</v>
      </c>
      <c r="S93" s="8">
        <f t="shared" si="30"/>
        <v>-399037.53199999995</v>
      </c>
      <c r="T93" s="8">
        <f t="shared" si="30"/>
        <v>-399037.53199999995</v>
      </c>
      <c r="U93" s="8">
        <f t="shared" si="30"/>
        <v>-399037.53199999995</v>
      </c>
      <c r="V93" s="8">
        <f t="shared" si="30"/>
        <v>-399037.53199999995</v>
      </c>
      <c r="W93" s="8">
        <f t="shared" si="30"/>
        <v>-399037.53199999995</v>
      </c>
      <c r="X93" s="8">
        <f t="shared" si="30"/>
        <v>-399037.53199999995</v>
      </c>
      <c r="Y93" s="8">
        <f t="shared" si="30"/>
        <v>-399037.53199999995</v>
      </c>
      <c r="Z93" s="8">
        <f t="shared" si="30"/>
        <v>-399037.53199999995</v>
      </c>
      <c r="AA93" s="8">
        <f t="shared" si="30"/>
        <v>-399700.19233999995</v>
      </c>
      <c r="AB93" s="8">
        <f t="shared" si="30"/>
        <v>-399700.19233999995</v>
      </c>
      <c r="AC93" s="8">
        <f t="shared" si="30"/>
        <v>-1743725.7323399999</v>
      </c>
      <c r="AD93" s="8">
        <f t="shared" si="30"/>
        <v>-399700.19233999995</v>
      </c>
      <c r="AE93" s="8">
        <f t="shared" si="30"/>
        <v>-399700.19233999995</v>
      </c>
      <c r="AF93" s="8">
        <f t="shared" si="30"/>
        <v>-399700.19233999995</v>
      </c>
      <c r="AG93" s="8">
        <f t="shared" si="30"/>
        <v>-399700.19233999995</v>
      </c>
      <c r="AH93" s="8">
        <f t="shared" si="30"/>
        <v>-399700.19233999995</v>
      </c>
      <c r="AI93" s="8">
        <f t="shared" ref="AI93:BN93" si="31">AI39</f>
        <v>-399700.19233999995</v>
      </c>
      <c r="AJ93" s="8">
        <f t="shared" si="31"/>
        <v>-399700.19233999995</v>
      </c>
      <c r="AK93" s="8">
        <f t="shared" si="31"/>
        <v>-399700.19233999995</v>
      </c>
      <c r="AL93" s="8">
        <f t="shared" si="31"/>
        <v>-399700.19233999995</v>
      </c>
      <c r="AM93" s="8">
        <f t="shared" si="31"/>
        <v>-400376.10588679998</v>
      </c>
      <c r="AN93" s="8">
        <f t="shared" si="31"/>
        <v>-400376.10588679998</v>
      </c>
      <c r="AO93" s="8">
        <f t="shared" si="31"/>
        <v>-400376.10588679998</v>
      </c>
      <c r="AP93" s="8">
        <f t="shared" si="31"/>
        <v>-400376.10588679998</v>
      </c>
      <c r="AQ93" s="8">
        <f t="shared" si="31"/>
        <v>-400376.10588679998</v>
      </c>
      <c r="AR93" s="8">
        <f t="shared" si="31"/>
        <v>-400376.10588679998</v>
      </c>
      <c r="AS93" s="8">
        <f t="shared" si="31"/>
        <v>-400376.10588679998</v>
      </c>
      <c r="AT93" s="8">
        <f t="shared" si="31"/>
        <v>-400376.10588679998</v>
      </c>
      <c r="AU93" s="8">
        <f t="shared" si="31"/>
        <v>-400376.10588679998</v>
      </c>
      <c r="AV93" s="8">
        <f t="shared" si="31"/>
        <v>-400376.10588679998</v>
      </c>
      <c r="AW93" s="8">
        <f t="shared" si="31"/>
        <v>-400376.10588679998</v>
      </c>
      <c r="AX93" s="8">
        <f t="shared" si="31"/>
        <v>-400376.10588679998</v>
      </c>
      <c r="AY93" s="8">
        <f t="shared" si="31"/>
        <v>-401065.53770453599</v>
      </c>
      <c r="AZ93" s="8">
        <f t="shared" si="31"/>
        <v>-401065.53770453599</v>
      </c>
      <c r="BA93" s="8">
        <f t="shared" si="31"/>
        <v>-401065.53770453599</v>
      </c>
      <c r="BB93" s="8">
        <f t="shared" si="31"/>
        <v>-401065.53770453599</v>
      </c>
      <c r="BC93" s="8">
        <f t="shared" si="31"/>
        <v>-401065.53770453599</v>
      </c>
      <c r="BD93" s="8">
        <f t="shared" si="31"/>
        <v>-401065.53770453599</v>
      </c>
      <c r="BE93" s="8">
        <f t="shared" si="31"/>
        <v>-401065.53770453599</v>
      </c>
      <c r="BF93" s="8">
        <f t="shared" si="31"/>
        <v>-401065.53770453599</v>
      </c>
      <c r="BG93" s="8">
        <f t="shared" si="31"/>
        <v>-401065.53770453599</v>
      </c>
      <c r="BH93" s="8">
        <f t="shared" si="31"/>
        <v>-401065.53770453599</v>
      </c>
      <c r="BI93" s="8">
        <f t="shared" si="31"/>
        <v>-401065.53770453599</v>
      </c>
      <c r="BJ93" s="8">
        <f t="shared" si="31"/>
        <v>-401065.53770453599</v>
      </c>
      <c r="BK93" s="8">
        <f t="shared" si="31"/>
        <v>-401768.75815862673</v>
      </c>
      <c r="BL93" s="8">
        <f t="shared" si="31"/>
        <v>-401768.75815862673</v>
      </c>
      <c r="BM93" s="8">
        <f t="shared" si="31"/>
        <v>-401768.75815862673</v>
      </c>
      <c r="BN93" s="8">
        <f t="shared" si="31"/>
        <v>-401768.75815862673</v>
      </c>
      <c r="BO93" s="8">
        <f t="shared" ref="BO93:CH93" si="32">BO39</f>
        <v>-401768.75815862673</v>
      </c>
      <c r="BP93" s="8">
        <f t="shared" si="32"/>
        <v>-401768.75815862673</v>
      </c>
      <c r="BQ93" s="8">
        <f t="shared" si="32"/>
        <v>-401768.75815862673</v>
      </c>
      <c r="BR93" s="8">
        <f t="shared" si="32"/>
        <v>-401768.75815862673</v>
      </c>
      <c r="BS93" s="8">
        <f t="shared" si="32"/>
        <v>-401768.75815862673</v>
      </c>
      <c r="BT93" s="8">
        <f t="shared" si="32"/>
        <v>-401768.75815862673</v>
      </c>
      <c r="BU93" s="8">
        <f t="shared" si="32"/>
        <v>-401768.75815862673</v>
      </c>
      <c r="BV93" s="8">
        <f t="shared" si="32"/>
        <v>-401768.75815862673</v>
      </c>
      <c r="BW93" s="8">
        <f t="shared" si="32"/>
        <v>-402486.04302179924</v>
      </c>
      <c r="BX93" s="8">
        <f t="shared" si="32"/>
        <v>-402486.04302179924</v>
      </c>
      <c r="BY93" s="8">
        <f t="shared" si="32"/>
        <v>-402486.04302179924</v>
      </c>
      <c r="BZ93" s="8">
        <f t="shared" si="32"/>
        <v>-402486.04302179924</v>
      </c>
      <c r="CA93" s="8">
        <f t="shared" si="32"/>
        <v>-402486.04302179924</v>
      </c>
      <c r="CB93" s="8">
        <f t="shared" si="32"/>
        <v>-402486.04302179924</v>
      </c>
      <c r="CC93" s="8">
        <f t="shared" si="32"/>
        <v>-402486.04302179924</v>
      </c>
      <c r="CD93" s="8">
        <f t="shared" si="32"/>
        <v>-402486.04302179924</v>
      </c>
      <c r="CE93" s="8">
        <f t="shared" si="32"/>
        <v>-402486.04302179924</v>
      </c>
      <c r="CF93" s="8">
        <f t="shared" si="32"/>
        <v>-402486.04302179924</v>
      </c>
      <c r="CG93" s="8">
        <f t="shared" si="32"/>
        <v>-402486.04302179924</v>
      </c>
      <c r="CH93" s="8">
        <f t="shared" si="32"/>
        <v>-402486.04302179924</v>
      </c>
      <c r="CI93" s="23"/>
    </row>
    <row r="94" spans="1:87" ht="15" customHeight="1" x14ac:dyDescent="0.25">
      <c r="A94" s="16" t="s">
        <v>90</v>
      </c>
      <c r="B94" s="22"/>
      <c r="C94" s="8">
        <f t="shared" ref="C94:AH94" si="33">C85</f>
        <v>-109991.66666666667</v>
      </c>
      <c r="D94" s="8">
        <f t="shared" si="33"/>
        <v>-109991.66666666667</v>
      </c>
      <c r="E94" s="8">
        <f t="shared" si="33"/>
        <v>-109991.66666666667</v>
      </c>
      <c r="F94" s="8">
        <f t="shared" si="33"/>
        <v>-132991.66666666669</v>
      </c>
      <c r="G94" s="8">
        <f t="shared" si="33"/>
        <v>-109991.66666666667</v>
      </c>
      <c r="H94" s="8">
        <f t="shared" si="33"/>
        <v>-109991.66666666667</v>
      </c>
      <c r="I94" s="8">
        <f t="shared" si="33"/>
        <v>-109991.66666666667</v>
      </c>
      <c r="J94" s="8">
        <f t="shared" si="33"/>
        <v>-109991.66666666667</v>
      </c>
      <c r="K94" s="8">
        <f t="shared" si="33"/>
        <v>-130991.66666666667</v>
      </c>
      <c r="L94" s="8">
        <f t="shared" si="33"/>
        <v>-109991.66666666667</v>
      </c>
      <c r="M94" s="8">
        <f t="shared" si="33"/>
        <v>-109991.66666666667</v>
      </c>
      <c r="N94" s="8">
        <f t="shared" si="33"/>
        <v>-109991.66666666667</v>
      </c>
      <c r="O94" s="8">
        <f t="shared" si="33"/>
        <v>-110365.66666666667</v>
      </c>
      <c r="P94" s="8">
        <f t="shared" si="33"/>
        <v>-110365.66666666667</v>
      </c>
      <c r="Q94" s="8">
        <f t="shared" si="33"/>
        <v>-110365.66666666667</v>
      </c>
      <c r="R94" s="8">
        <f t="shared" si="33"/>
        <v>-133825.66666666669</v>
      </c>
      <c r="S94" s="8">
        <f t="shared" si="33"/>
        <v>-110365.66666666667</v>
      </c>
      <c r="T94" s="8">
        <f t="shared" si="33"/>
        <v>-110365.66666666667</v>
      </c>
      <c r="U94" s="8">
        <f t="shared" si="33"/>
        <v>-110365.66666666667</v>
      </c>
      <c r="V94" s="8">
        <f t="shared" si="33"/>
        <v>-110365.66666666667</v>
      </c>
      <c r="W94" s="8">
        <f t="shared" si="33"/>
        <v>-131785.66666666669</v>
      </c>
      <c r="X94" s="8">
        <f t="shared" si="33"/>
        <v>-110365.66666666667</v>
      </c>
      <c r="Y94" s="8">
        <f t="shared" si="33"/>
        <v>-110365.66666666667</v>
      </c>
      <c r="Z94" s="8">
        <f t="shared" si="33"/>
        <v>-110365.66666666667</v>
      </c>
      <c r="AA94" s="8">
        <f t="shared" si="33"/>
        <v>-110747.14666666667</v>
      </c>
      <c r="AB94" s="8">
        <f t="shared" si="33"/>
        <v>-110747.14666666667</v>
      </c>
      <c r="AC94" s="8">
        <f t="shared" si="33"/>
        <v>-110747.14666666667</v>
      </c>
      <c r="AD94" s="8">
        <f t="shared" si="33"/>
        <v>-134676.34666666668</v>
      </c>
      <c r="AE94" s="8">
        <f t="shared" si="33"/>
        <v>-110747.14666666667</v>
      </c>
      <c r="AF94" s="8">
        <f t="shared" si="33"/>
        <v>-110747.14666666667</v>
      </c>
      <c r="AG94" s="8">
        <f t="shared" si="33"/>
        <v>-110747.14666666667</v>
      </c>
      <c r="AH94" s="8">
        <f t="shared" si="33"/>
        <v>-110747.14666666667</v>
      </c>
      <c r="AI94" s="8">
        <f t="shared" ref="AI94:BN94" si="34">AI85</f>
        <v>-132595.54666666669</v>
      </c>
      <c r="AJ94" s="8">
        <f t="shared" si="34"/>
        <v>-110747.14666666667</v>
      </c>
      <c r="AK94" s="8">
        <f t="shared" si="34"/>
        <v>-110747.14666666667</v>
      </c>
      <c r="AL94" s="8">
        <f t="shared" si="34"/>
        <v>-110747.14666666667</v>
      </c>
      <c r="AM94" s="8">
        <f t="shared" si="34"/>
        <v>-111136.25626666668</v>
      </c>
      <c r="AN94" s="8">
        <f t="shared" si="34"/>
        <v>-111136.25626666668</v>
      </c>
      <c r="AO94" s="8">
        <f t="shared" si="34"/>
        <v>-111136.25626666668</v>
      </c>
      <c r="AP94" s="8">
        <f t="shared" si="34"/>
        <v>-135544.04026666668</v>
      </c>
      <c r="AQ94" s="8">
        <f t="shared" si="34"/>
        <v>-111136.25626666668</v>
      </c>
      <c r="AR94" s="8">
        <f t="shared" si="34"/>
        <v>-192819.25626666669</v>
      </c>
      <c r="AS94" s="8">
        <f t="shared" si="34"/>
        <v>-111136.25626666668</v>
      </c>
      <c r="AT94" s="8">
        <f t="shared" si="34"/>
        <v>-111136.25626666668</v>
      </c>
      <c r="AU94" s="8">
        <f t="shared" si="34"/>
        <v>-215103.62426666665</v>
      </c>
      <c r="AV94" s="8">
        <f t="shared" si="34"/>
        <v>-111136.25626666668</v>
      </c>
      <c r="AW94" s="8">
        <f t="shared" si="34"/>
        <v>-111136.25626666668</v>
      </c>
      <c r="AX94" s="8">
        <f t="shared" si="34"/>
        <v>-192818.25626666669</v>
      </c>
      <c r="AY94" s="8">
        <f t="shared" si="34"/>
        <v>-111533.14805866667</v>
      </c>
      <c r="AZ94" s="8">
        <f t="shared" si="34"/>
        <v>-111533.14805866667</v>
      </c>
      <c r="BA94" s="8">
        <f t="shared" si="34"/>
        <v>-1045054.1480586666</v>
      </c>
      <c r="BB94" s="8">
        <f t="shared" si="34"/>
        <v>-136429.08773866668</v>
      </c>
      <c r="BC94" s="8">
        <f t="shared" si="34"/>
        <v>-111533.14805866667</v>
      </c>
      <c r="BD94" s="8">
        <f t="shared" si="34"/>
        <v>-242411.14805866667</v>
      </c>
      <c r="BE94" s="8">
        <f t="shared" si="34"/>
        <v>-111533.14805866667</v>
      </c>
      <c r="BF94" s="8">
        <f t="shared" si="34"/>
        <v>-111533.14805866667</v>
      </c>
      <c r="BG94" s="8">
        <f t="shared" si="34"/>
        <v>-265140.22341866669</v>
      </c>
      <c r="BH94" s="8">
        <f t="shared" si="34"/>
        <v>-111533.14805866667</v>
      </c>
      <c r="BI94" s="8">
        <f t="shared" si="34"/>
        <v>-111533.14805866667</v>
      </c>
      <c r="BJ94" s="8">
        <f t="shared" si="34"/>
        <v>-242409.14805866667</v>
      </c>
      <c r="BK94" s="8">
        <f t="shared" si="34"/>
        <v>-111937.97768650667</v>
      </c>
      <c r="BL94" s="8">
        <f t="shared" si="34"/>
        <v>-111937.97768650667</v>
      </c>
      <c r="BM94" s="8">
        <f t="shared" si="34"/>
        <v>-242813.9776865067</v>
      </c>
      <c r="BN94" s="8">
        <f t="shared" si="34"/>
        <v>-137331.83616010667</v>
      </c>
      <c r="BO94" s="8">
        <f t="shared" ref="BO94:CH94" si="35">BO85</f>
        <v>-111937.97768650667</v>
      </c>
      <c r="BP94" s="8">
        <f t="shared" si="35"/>
        <v>-202830.45768650665</v>
      </c>
      <c r="BQ94" s="8">
        <f t="shared" si="35"/>
        <v>-111937.97768650667</v>
      </c>
      <c r="BR94" s="8">
        <f t="shared" si="35"/>
        <v>-111937.97768650667</v>
      </c>
      <c r="BS94" s="8">
        <f t="shared" si="35"/>
        <v>-209763.67455370666</v>
      </c>
      <c r="BT94" s="8">
        <f t="shared" si="35"/>
        <v>-111937.97768650667</v>
      </c>
      <c r="BU94" s="8">
        <f t="shared" si="35"/>
        <v>-111937.97768650667</v>
      </c>
      <c r="BV94" s="8">
        <f t="shared" si="35"/>
        <v>-186577.97768650667</v>
      </c>
      <c r="BW94" s="8">
        <f t="shared" si="35"/>
        <v>-112350.90390690346</v>
      </c>
      <c r="BX94" s="8">
        <f t="shared" si="35"/>
        <v>-112350.90390690346</v>
      </c>
      <c r="BY94" s="8">
        <f t="shared" si="35"/>
        <v>-260146.90390690346</v>
      </c>
      <c r="BZ94" s="8">
        <f t="shared" si="35"/>
        <v>-138252.63954997546</v>
      </c>
      <c r="CA94" s="8">
        <f t="shared" si="35"/>
        <v>-112350.90390690346</v>
      </c>
      <c r="CB94" s="8">
        <f t="shared" si="35"/>
        <v>-266868.90390690346</v>
      </c>
      <c r="CC94" s="8">
        <f t="shared" si="35"/>
        <v>-112350.90390690346</v>
      </c>
      <c r="CD94" s="8">
        <f t="shared" si="35"/>
        <v>-112350.90390690346</v>
      </c>
      <c r="CE94" s="8">
        <f t="shared" si="35"/>
        <v>-290517.31471144746</v>
      </c>
      <c r="CF94" s="8">
        <f t="shared" si="35"/>
        <v>-112350.90390690346</v>
      </c>
      <c r="CG94" s="8">
        <f t="shared" si="35"/>
        <v>-112350.90390690346</v>
      </c>
      <c r="CH94" s="8">
        <f t="shared" si="35"/>
        <v>-260259.87730042427</v>
      </c>
      <c r="CI94" s="23"/>
    </row>
    <row r="95" spans="1:87" ht="15" customHeight="1" x14ac:dyDescent="0.25">
      <c r="A95" s="9" t="s">
        <v>193</v>
      </c>
      <c r="B95" s="28"/>
      <c r="C95" s="10">
        <f t="shared" ref="C95:AH95" si="36">C93+C94</f>
        <v>-431198.28166666668</v>
      </c>
      <c r="D95" s="10">
        <f t="shared" si="36"/>
        <v>-473429.53166666662</v>
      </c>
      <c r="E95" s="10">
        <f t="shared" si="36"/>
        <v>-508379.53166666662</v>
      </c>
      <c r="F95" s="10">
        <f t="shared" si="36"/>
        <v>-849346.04686666676</v>
      </c>
      <c r="G95" s="10">
        <f t="shared" si="36"/>
        <v>-508379.53166666662</v>
      </c>
      <c r="H95" s="10">
        <f t="shared" si="36"/>
        <v>-508379.53166666662</v>
      </c>
      <c r="I95" s="10">
        <f t="shared" si="36"/>
        <v>-726462.3786666668</v>
      </c>
      <c r="J95" s="10">
        <f t="shared" si="36"/>
        <v>-665728.72866666655</v>
      </c>
      <c r="K95" s="10">
        <f t="shared" si="36"/>
        <v>-529379.53166666662</v>
      </c>
      <c r="L95" s="10">
        <f t="shared" si="36"/>
        <v>-508379.53166666662</v>
      </c>
      <c r="M95" s="10">
        <f t="shared" si="36"/>
        <v>-508379.53166666662</v>
      </c>
      <c r="N95" s="10">
        <f t="shared" si="36"/>
        <v>-508379.53166666662</v>
      </c>
      <c r="O95" s="10">
        <f t="shared" si="36"/>
        <v>-1980573.2236666668</v>
      </c>
      <c r="P95" s="10">
        <f t="shared" si="36"/>
        <v>-509403.19866666663</v>
      </c>
      <c r="Q95" s="10">
        <f t="shared" si="36"/>
        <v>-509403.19866666663</v>
      </c>
      <c r="R95" s="10">
        <f t="shared" si="36"/>
        <v>-532863.19866666663</v>
      </c>
      <c r="S95" s="10">
        <f t="shared" si="36"/>
        <v>-509403.19866666663</v>
      </c>
      <c r="T95" s="10">
        <f t="shared" si="36"/>
        <v>-509403.19866666663</v>
      </c>
      <c r="U95" s="10">
        <f t="shared" si="36"/>
        <v>-509403.19866666663</v>
      </c>
      <c r="V95" s="10">
        <f t="shared" si="36"/>
        <v>-509403.19866666663</v>
      </c>
      <c r="W95" s="10">
        <f t="shared" si="36"/>
        <v>-530823.19866666663</v>
      </c>
      <c r="X95" s="10">
        <f t="shared" si="36"/>
        <v>-509403.19866666663</v>
      </c>
      <c r="Y95" s="10">
        <f t="shared" si="36"/>
        <v>-509403.19866666663</v>
      </c>
      <c r="Z95" s="10">
        <f t="shared" si="36"/>
        <v>-509403.19866666663</v>
      </c>
      <c r="AA95" s="10">
        <f t="shared" si="36"/>
        <v>-510447.33900666662</v>
      </c>
      <c r="AB95" s="10">
        <f t="shared" si="36"/>
        <v>-510447.33900666662</v>
      </c>
      <c r="AC95" s="10">
        <f t="shared" si="36"/>
        <v>-1854472.8790066666</v>
      </c>
      <c r="AD95" s="10">
        <f t="shared" si="36"/>
        <v>-534376.53900666663</v>
      </c>
      <c r="AE95" s="10">
        <f t="shared" si="36"/>
        <v>-510447.33900666662</v>
      </c>
      <c r="AF95" s="10">
        <f t="shared" si="36"/>
        <v>-510447.33900666662</v>
      </c>
      <c r="AG95" s="10">
        <f t="shared" si="36"/>
        <v>-510447.33900666662</v>
      </c>
      <c r="AH95" s="10">
        <f t="shared" si="36"/>
        <v>-510447.33900666662</v>
      </c>
      <c r="AI95" s="10">
        <f t="shared" ref="AI95:BN95" si="37">AI93+AI94</f>
        <v>-532295.7390066667</v>
      </c>
      <c r="AJ95" s="10">
        <f t="shared" si="37"/>
        <v>-510447.33900666662</v>
      </c>
      <c r="AK95" s="10">
        <f t="shared" si="37"/>
        <v>-510447.33900666662</v>
      </c>
      <c r="AL95" s="10">
        <f t="shared" si="37"/>
        <v>-510447.33900666662</v>
      </c>
      <c r="AM95" s="10">
        <f t="shared" si="37"/>
        <v>-511512.36215346667</v>
      </c>
      <c r="AN95" s="10">
        <f t="shared" si="37"/>
        <v>-511512.36215346667</v>
      </c>
      <c r="AO95" s="10">
        <f t="shared" si="37"/>
        <v>-511512.36215346667</v>
      </c>
      <c r="AP95" s="10">
        <f t="shared" si="37"/>
        <v>-535920.14615346666</v>
      </c>
      <c r="AQ95" s="10">
        <f t="shared" si="37"/>
        <v>-511512.36215346667</v>
      </c>
      <c r="AR95" s="10">
        <f t="shared" si="37"/>
        <v>-593195.36215346667</v>
      </c>
      <c r="AS95" s="10">
        <f t="shared" si="37"/>
        <v>-511512.36215346667</v>
      </c>
      <c r="AT95" s="10">
        <f t="shared" si="37"/>
        <v>-511512.36215346667</v>
      </c>
      <c r="AU95" s="10">
        <f t="shared" si="37"/>
        <v>-615479.73015346657</v>
      </c>
      <c r="AV95" s="10">
        <f t="shared" si="37"/>
        <v>-511512.36215346667</v>
      </c>
      <c r="AW95" s="10">
        <f t="shared" si="37"/>
        <v>-511512.36215346667</v>
      </c>
      <c r="AX95" s="10">
        <f t="shared" si="37"/>
        <v>-593194.36215346667</v>
      </c>
      <c r="AY95" s="10">
        <f t="shared" si="37"/>
        <v>-512598.68576320267</v>
      </c>
      <c r="AZ95" s="10">
        <f t="shared" si="37"/>
        <v>-512598.68576320267</v>
      </c>
      <c r="BA95" s="10">
        <f t="shared" si="37"/>
        <v>-1446119.6857632026</v>
      </c>
      <c r="BB95" s="10">
        <f t="shared" si="37"/>
        <v>-537494.62544320268</v>
      </c>
      <c r="BC95" s="10">
        <f t="shared" si="37"/>
        <v>-512598.68576320267</v>
      </c>
      <c r="BD95" s="10">
        <f t="shared" si="37"/>
        <v>-643476.68576320261</v>
      </c>
      <c r="BE95" s="10">
        <f t="shared" si="37"/>
        <v>-512598.68576320267</v>
      </c>
      <c r="BF95" s="10">
        <f t="shared" si="37"/>
        <v>-512598.68576320267</v>
      </c>
      <c r="BG95" s="10">
        <f t="shared" si="37"/>
        <v>-666205.76112320274</v>
      </c>
      <c r="BH95" s="10">
        <f t="shared" si="37"/>
        <v>-512598.68576320267</v>
      </c>
      <c r="BI95" s="10">
        <f t="shared" si="37"/>
        <v>-512598.68576320267</v>
      </c>
      <c r="BJ95" s="10">
        <f t="shared" si="37"/>
        <v>-643474.68576320261</v>
      </c>
      <c r="BK95" s="10">
        <f t="shared" si="37"/>
        <v>-513706.73584513343</v>
      </c>
      <c r="BL95" s="10">
        <f t="shared" si="37"/>
        <v>-513706.73584513343</v>
      </c>
      <c r="BM95" s="10">
        <f t="shared" si="37"/>
        <v>-644582.73584513343</v>
      </c>
      <c r="BN95" s="10">
        <f t="shared" si="37"/>
        <v>-539100.59431873343</v>
      </c>
      <c r="BO95" s="10">
        <f t="shared" ref="BO95:CT95" si="38">BO93+BO94</f>
        <v>-513706.73584513343</v>
      </c>
      <c r="BP95" s="10">
        <f t="shared" si="38"/>
        <v>-604599.21584513341</v>
      </c>
      <c r="BQ95" s="10">
        <f t="shared" si="38"/>
        <v>-513706.73584513343</v>
      </c>
      <c r="BR95" s="10">
        <f t="shared" si="38"/>
        <v>-513706.73584513343</v>
      </c>
      <c r="BS95" s="10">
        <f t="shared" si="38"/>
        <v>-611532.43271233339</v>
      </c>
      <c r="BT95" s="10">
        <f t="shared" si="38"/>
        <v>-513706.73584513343</v>
      </c>
      <c r="BU95" s="10">
        <f t="shared" si="38"/>
        <v>-513706.73584513343</v>
      </c>
      <c r="BV95" s="10">
        <f t="shared" si="38"/>
        <v>-588346.73584513343</v>
      </c>
      <c r="BW95" s="10">
        <f t="shared" si="38"/>
        <v>-514836.9469287027</v>
      </c>
      <c r="BX95" s="10">
        <f t="shared" si="38"/>
        <v>-514836.9469287027</v>
      </c>
      <c r="BY95" s="10">
        <f t="shared" si="38"/>
        <v>-662632.94692870276</v>
      </c>
      <c r="BZ95" s="10">
        <f t="shared" si="38"/>
        <v>-540738.6825717747</v>
      </c>
      <c r="CA95" s="10">
        <f t="shared" si="38"/>
        <v>-514836.9469287027</v>
      </c>
      <c r="CB95" s="10">
        <f t="shared" si="38"/>
        <v>-669354.94692870276</v>
      </c>
      <c r="CC95" s="10">
        <f t="shared" si="38"/>
        <v>-514836.9469287027</v>
      </c>
      <c r="CD95" s="10">
        <f t="shared" si="38"/>
        <v>-514836.9469287027</v>
      </c>
      <c r="CE95" s="10">
        <f t="shared" si="38"/>
        <v>-693003.35773324664</v>
      </c>
      <c r="CF95" s="10">
        <f t="shared" si="38"/>
        <v>-514836.9469287027</v>
      </c>
      <c r="CG95" s="10">
        <f t="shared" si="38"/>
        <v>-514836.9469287027</v>
      </c>
      <c r="CH95" s="10">
        <f t="shared" si="38"/>
        <v>-662745.92032222357</v>
      </c>
      <c r="CI95" s="23"/>
    </row>
    <row r="96" spans="1:87" ht="15" customHeight="1" x14ac:dyDescent="0.25">
      <c r="A96" s="13" t="s">
        <v>92</v>
      </c>
      <c r="B96" s="29"/>
      <c r="C96" s="14">
        <f t="shared" ref="C96:AH96" si="39">C92+C95</f>
        <v>31016.022183251218</v>
      </c>
      <c r="D96" s="14">
        <f t="shared" si="39"/>
        <v>-2287.7253925474943</v>
      </c>
      <c r="E96" s="14">
        <f t="shared" si="39"/>
        <v>-30934.781654185208</v>
      </c>
      <c r="F96" s="14">
        <f t="shared" si="39"/>
        <v>404926.78817029693</v>
      </c>
      <c r="G96" s="14">
        <f t="shared" si="39"/>
        <v>108745.8094799578</v>
      </c>
      <c r="H96" s="14">
        <f t="shared" si="39"/>
        <v>112198.58624918258</v>
      </c>
      <c r="I96" s="14">
        <f t="shared" si="39"/>
        <v>442567.31962010753</v>
      </c>
      <c r="J96" s="14">
        <f t="shared" si="39"/>
        <v>484503.23746804788</v>
      </c>
      <c r="K96" s="14">
        <f t="shared" si="39"/>
        <v>230789.57876373455</v>
      </c>
      <c r="L96" s="14">
        <f t="shared" si="39"/>
        <v>260463.86845680024</v>
      </c>
      <c r="M96" s="14">
        <f t="shared" si="39"/>
        <v>266524.27985067433</v>
      </c>
      <c r="N96" s="14">
        <f t="shared" si="39"/>
        <v>269835.28383627441</v>
      </c>
      <c r="O96" s="14">
        <f t="shared" si="39"/>
        <v>-396156.58648124058</v>
      </c>
      <c r="P96" s="14">
        <f t="shared" si="39"/>
        <v>398388.2908526212</v>
      </c>
      <c r="Q96" s="14">
        <f t="shared" si="39"/>
        <v>547612.91198643716</v>
      </c>
      <c r="R96" s="14">
        <f t="shared" si="39"/>
        <v>310979.81881582877</v>
      </c>
      <c r="S96" s="14">
        <f t="shared" si="39"/>
        <v>146978.72763778165</v>
      </c>
      <c r="T96" s="14">
        <f t="shared" si="39"/>
        <v>146941.04776932136</v>
      </c>
      <c r="U96" s="14">
        <f t="shared" si="39"/>
        <v>163519.40917076613</v>
      </c>
      <c r="V96" s="14">
        <f t="shared" si="39"/>
        <v>118199.95764360391</v>
      </c>
      <c r="W96" s="14">
        <f t="shared" si="39"/>
        <v>143132.38219653396</v>
      </c>
      <c r="X96" s="14">
        <f t="shared" si="39"/>
        <v>93437.049319460988</v>
      </c>
      <c r="Y96" s="14">
        <f t="shared" si="39"/>
        <v>77772.291321016965</v>
      </c>
      <c r="Z96" s="14">
        <f t="shared" si="39"/>
        <v>118333.1773777816</v>
      </c>
      <c r="AA96" s="14">
        <f t="shared" si="39"/>
        <v>120050.57126429217</v>
      </c>
      <c r="AB96" s="14">
        <f t="shared" si="39"/>
        <v>-31994.542587662349</v>
      </c>
      <c r="AC96" s="14">
        <f t="shared" si="39"/>
        <v>-616730.17994163861</v>
      </c>
      <c r="AD96" s="14">
        <f t="shared" si="39"/>
        <v>-12139.903727090685</v>
      </c>
      <c r="AE96" s="14">
        <f t="shared" si="39"/>
        <v>13902.347585246142</v>
      </c>
      <c r="AF96" s="14">
        <f t="shared" si="39"/>
        <v>15199.310916166694</v>
      </c>
      <c r="AG96" s="14">
        <f t="shared" si="39"/>
        <v>127015.81654606835</v>
      </c>
      <c r="AH96" s="14">
        <f t="shared" si="39"/>
        <v>-48714.761985335208</v>
      </c>
      <c r="AI96" s="14">
        <f t="shared" ref="AI96:BN96" si="40">AI92+AI95</f>
        <v>172584.63740018744</v>
      </c>
      <c r="AJ96" s="14">
        <f t="shared" si="40"/>
        <v>-139744.61974076706</v>
      </c>
      <c r="AK96" s="14">
        <f t="shared" si="40"/>
        <v>-142083.48685039446</v>
      </c>
      <c r="AL96" s="14">
        <f t="shared" si="40"/>
        <v>-55013.063567159872</v>
      </c>
      <c r="AM96" s="14">
        <f t="shared" si="40"/>
        <v>-192390.60195581033</v>
      </c>
      <c r="AN96" s="14">
        <f t="shared" si="40"/>
        <v>-194984.57844657009</v>
      </c>
      <c r="AO96" s="14">
        <f t="shared" si="40"/>
        <v>-198247.33866130054</v>
      </c>
      <c r="AP96" s="14">
        <f t="shared" si="40"/>
        <v>-226558.48337472591</v>
      </c>
      <c r="AQ96" s="14">
        <f t="shared" si="40"/>
        <v>-206656.62642216258</v>
      </c>
      <c r="AR96" s="14">
        <f t="shared" si="40"/>
        <v>45478.95179526438</v>
      </c>
      <c r="AS96" s="14">
        <f t="shared" si="40"/>
        <v>-339394.70825115719</v>
      </c>
      <c r="AT96" s="14">
        <f t="shared" si="40"/>
        <v>-341116.69901544286</v>
      </c>
      <c r="AU96" s="14">
        <f t="shared" si="40"/>
        <v>-365923.82682358567</v>
      </c>
      <c r="AV96" s="14">
        <f t="shared" si="40"/>
        <v>-346883.45475272858</v>
      </c>
      <c r="AW96" s="14">
        <f t="shared" si="40"/>
        <v>-350761.76061851432</v>
      </c>
      <c r="AX96" s="14">
        <f t="shared" si="40"/>
        <v>-355168.14365201432</v>
      </c>
      <c r="AY96" s="14">
        <f t="shared" si="40"/>
        <v>-361070.30143253604</v>
      </c>
      <c r="AZ96" s="14">
        <f t="shared" si="40"/>
        <v>-366178.87403325026</v>
      </c>
      <c r="BA96" s="14">
        <f t="shared" si="40"/>
        <v>-371457.73238732154</v>
      </c>
      <c r="BB96" s="14">
        <f t="shared" si="40"/>
        <v>-401688.01679046458</v>
      </c>
      <c r="BC96" s="14">
        <f t="shared" si="40"/>
        <v>-382076.67543375026</v>
      </c>
      <c r="BD96" s="14">
        <f t="shared" si="40"/>
        <v>-387215.8612036074</v>
      </c>
      <c r="BE96" s="14">
        <f t="shared" si="40"/>
        <v>-392131.18817410746</v>
      </c>
      <c r="BF96" s="14">
        <f t="shared" si="40"/>
        <v>-161786.19003775029</v>
      </c>
      <c r="BG96" s="14">
        <f t="shared" si="40"/>
        <v>-535329.76112320274</v>
      </c>
      <c r="BH96" s="14">
        <f t="shared" si="40"/>
        <v>-512598.68576320267</v>
      </c>
      <c r="BI96" s="14">
        <f t="shared" si="40"/>
        <v>-512598.68576320267</v>
      </c>
      <c r="BJ96" s="14">
        <f t="shared" si="40"/>
        <v>-512598.68576320261</v>
      </c>
      <c r="BK96" s="14">
        <f t="shared" si="40"/>
        <v>-513706.73584513343</v>
      </c>
      <c r="BL96" s="14">
        <f t="shared" si="40"/>
        <v>-513706.73584513343</v>
      </c>
      <c r="BM96" s="14">
        <f t="shared" si="40"/>
        <v>-513706.73584513343</v>
      </c>
      <c r="BN96" s="14">
        <f t="shared" si="40"/>
        <v>-539100.59431873343</v>
      </c>
      <c r="BO96" s="14">
        <f t="shared" ref="BO96:CT96" si="41">BO92+BO95</f>
        <v>-513706.73584513343</v>
      </c>
      <c r="BP96" s="14">
        <f t="shared" si="41"/>
        <v>-462193.21584513341</v>
      </c>
      <c r="BQ96" s="14">
        <f t="shared" si="41"/>
        <v>-513706.73584513343</v>
      </c>
      <c r="BR96" s="14">
        <f t="shared" si="41"/>
        <v>-513706.73584513343</v>
      </c>
      <c r="BS96" s="14">
        <f t="shared" si="41"/>
        <v>-469130.43271233339</v>
      </c>
      <c r="BT96" s="14">
        <f t="shared" si="41"/>
        <v>-513706.73584513343</v>
      </c>
      <c r="BU96" s="14">
        <f t="shared" si="41"/>
        <v>-513706.73584513343</v>
      </c>
      <c r="BV96" s="14">
        <f t="shared" si="41"/>
        <v>-445944.73584513343</v>
      </c>
      <c r="BW96" s="14">
        <f t="shared" si="41"/>
        <v>-514836.9469287027</v>
      </c>
      <c r="BX96" s="14">
        <f t="shared" si="41"/>
        <v>-514836.9469287027</v>
      </c>
      <c r="BY96" s="14">
        <f t="shared" si="41"/>
        <v>-447074.94692870276</v>
      </c>
      <c r="BZ96" s="14">
        <f t="shared" si="41"/>
        <v>-540738.6825717747</v>
      </c>
      <c r="CA96" s="14">
        <f t="shared" si="41"/>
        <v>-514836.9469287027</v>
      </c>
      <c r="CB96" s="14">
        <f t="shared" si="41"/>
        <v>-438337.94692870276</v>
      </c>
      <c r="CC96" s="14">
        <f t="shared" si="41"/>
        <v>-514836.9469287027</v>
      </c>
      <c r="CD96" s="14">
        <f t="shared" si="41"/>
        <v>-514836.9469287027</v>
      </c>
      <c r="CE96" s="14">
        <f t="shared" si="41"/>
        <v>-461987.35773324664</v>
      </c>
      <c r="CF96" s="14">
        <f t="shared" si="41"/>
        <v>-514836.9469287027</v>
      </c>
      <c r="CG96" s="14">
        <f t="shared" si="41"/>
        <v>-514836.9469287027</v>
      </c>
      <c r="CH96" s="14">
        <f t="shared" si="41"/>
        <v>-431729.92032222357</v>
      </c>
      <c r="CI96" s="23"/>
    </row>
    <row r="97" spans="1:87" ht="15" customHeight="1" x14ac:dyDescent="0.25">
      <c r="A97" s="22"/>
      <c r="B97" s="22"/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  <c r="AE97" s="22"/>
      <c r="AF97" s="22"/>
      <c r="AG97" s="22"/>
      <c r="AH97" s="22"/>
      <c r="AI97" s="22"/>
      <c r="AJ97" s="22"/>
      <c r="AK97" s="22"/>
      <c r="AL97" s="22"/>
      <c r="AM97" s="22"/>
      <c r="AN97" s="22"/>
      <c r="AO97" s="22"/>
      <c r="AP97" s="22"/>
      <c r="AQ97" s="22"/>
      <c r="AR97" s="22"/>
      <c r="AS97" s="22"/>
      <c r="AT97" s="22"/>
      <c r="AU97" s="22"/>
      <c r="AV97" s="22"/>
      <c r="AW97" s="22"/>
      <c r="AX97" s="22"/>
      <c r="AY97" s="22"/>
      <c r="AZ97" s="22"/>
      <c r="BA97" s="22"/>
      <c r="BB97" s="22"/>
      <c r="BC97" s="22"/>
      <c r="BD97" s="22"/>
      <c r="BE97" s="22"/>
      <c r="BF97" s="22"/>
      <c r="BG97" s="22"/>
      <c r="BH97" s="22"/>
      <c r="BI97" s="22"/>
      <c r="BJ97" s="22"/>
      <c r="BK97" s="22"/>
      <c r="BL97" s="22"/>
      <c r="BM97" s="22"/>
      <c r="BN97" s="22"/>
      <c r="BO97" s="22"/>
      <c r="BP97" s="22"/>
      <c r="BQ97" s="22"/>
      <c r="BR97" s="22"/>
      <c r="BS97" s="22"/>
      <c r="BT97" s="22"/>
      <c r="BU97" s="22"/>
      <c r="BV97" s="22"/>
      <c r="BW97" s="22"/>
      <c r="BX97" s="22"/>
      <c r="BY97" s="22"/>
      <c r="BZ97" s="22"/>
      <c r="CA97" s="22"/>
      <c r="CB97" s="22"/>
      <c r="CC97" s="22"/>
      <c r="CD97" s="22"/>
      <c r="CE97" s="22"/>
      <c r="CF97" s="22"/>
      <c r="CG97" s="22"/>
      <c r="CH97" s="22"/>
      <c r="CI97" s="23"/>
    </row>
    <row r="98" spans="1:87" ht="15" customHeight="1" x14ac:dyDescent="0.25">
      <c r="A98" s="26" t="s">
        <v>194</v>
      </c>
      <c r="B98" s="26"/>
      <c r="C98" s="26"/>
      <c r="D98" s="26"/>
      <c r="E98" s="26"/>
      <c r="F98" s="26"/>
      <c r="G98" s="26"/>
      <c r="H98" s="26"/>
      <c r="I98" s="26"/>
      <c r="J98" s="26"/>
      <c r="K98" s="26"/>
      <c r="L98" s="26"/>
      <c r="M98" s="26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Z98" s="26"/>
      <c r="AA98" s="26"/>
      <c r="AB98" s="26"/>
      <c r="AC98" s="26"/>
      <c r="AD98" s="26"/>
      <c r="AE98" s="26"/>
      <c r="AF98" s="26"/>
      <c r="AG98" s="26"/>
      <c r="AH98" s="26"/>
      <c r="AI98" s="26"/>
      <c r="AJ98" s="26"/>
      <c r="AK98" s="26"/>
      <c r="AL98" s="26"/>
      <c r="AM98" s="26"/>
      <c r="AN98" s="26"/>
      <c r="AO98" s="26"/>
      <c r="AP98" s="26"/>
      <c r="AQ98" s="26"/>
      <c r="AR98" s="26"/>
      <c r="AS98" s="26"/>
      <c r="AT98" s="26"/>
      <c r="AU98" s="26"/>
      <c r="AV98" s="26"/>
      <c r="AW98" s="26"/>
      <c r="AX98" s="26"/>
      <c r="AY98" s="26"/>
      <c r="AZ98" s="26"/>
      <c r="BA98" s="26"/>
      <c r="BB98" s="26"/>
      <c r="BC98" s="26"/>
      <c r="BD98" s="26"/>
      <c r="BE98" s="26"/>
      <c r="BF98" s="26"/>
      <c r="BG98" s="26"/>
      <c r="BH98" s="26"/>
      <c r="BI98" s="26"/>
      <c r="BJ98" s="26"/>
      <c r="BK98" s="26"/>
      <c r="BL98" s="26"/>
      <c r="BM98" s="26"/>
      <c r="BN98" s="26"/>
      <c r="BO98" s="26"/>
      <c r="BP98" s="26"/>
      <c r="BQ98" s="26"/>
      <c r="BR98" s="26"/>
      <c r="BS98" s="26"/>
      <c r="BT98" s="26"/>
      <c r="BU98" s="26"/>
      <c r="BV98" s="26"/>
      <c r="BW98" s="26"/>
      <c r="BX98" s="26"/>
      <c r="BY98" s="26"/>
      <c r="BZ98" s="26"/>
      <c r="CA98" s="26"/>
      <c r="CB98" s="26"/>
      <c r="CC98" s="26"/>
      <c r="CD98" s="26"/>
      <c r="CE98" s="26"/>
      <c r="CF98" s="26"/>
      <c r="CG98" s="26"/>
      <c r="CH98" s="26"/>
      <c r="CI98" s="23"/>
    </row>
    <row r="99" spans="1:87" ht="15" customHeight="1" x14ac:dyDescent="0.25">
      <c r="A99" s="7" t="s">
        <v>195</v>
      </c>
      <c r="B99" s="22"/>
      <c r="C99" s="8">
        <f>Assumptions!$B$33</f>
        <v>1615485</v>
      </c>
      <c r="D99" s="8">
        <f t="shared" ref="D99:AI99" si="42">C102</f>
        <v>1615485</v>
      </c>
      <c r="E99" s="8">
        <f t="shared" si="42"/>
        <v>1615485</v>
      </c>
      <c r="F99" s="8">
        <f t="shared" si="42"/>
        <v>1676065.6875</v>
      </c>
      <c r="G99" s="8">
        <f t="shared" si="42"/>
        <v>1676065.6875</v>
      </c>
      <c r="H99" s="8">
        <f t="shared" si="42"/>
        <v>1676065.6875</v>
      </c>
      <c r="I99" s="8">
        <f t="shared" si="42"/>
        <v>1738918.1507812501</v>
      </c>
      <c r="J99" s="8">
        <f t="shared" si="42"/>
        <v>1608918.1507812501</v>
      </c>
      <c r="K99" s="8">
        <f t="shared" si="42"/>
        <v>1478918.1507812501</v>
      </c>
      <c r="L99" s="8">
        <f t="shared" si="42"/>
        <v>1404377.581435547</v>
      </c>
      <c r="M99" s="8">
        <f t="shared" si="42"/>
        <v>1274377.581435547</v>
      </c>
      <c r="N99" s="8">
        <f t="shared" si="42"/>
        <v>1144377.581435547</v>
      </c>
      <c r="O99" s="8">
        <f t="shared" si="42"/>
        <v>1057291.74073938</v>
      </c>
      <c r="P99" s="8">
        <f t="shared" si="42"/>
        <v>927291.74073938001</v>
      </c>
      <c r="Q99" s="8">
        <f t="shared" si="42"/>
        <v>797291.74073938001</v>
      </c>
      <c r="R99" s="8">
        <f t="shared" si="42"/>
        <v>697190.18101710675</v>
      </c>
      <c r="S99" s="8">
        <f t="shared" si="42"/>
        <v>567190.18101710675</v>
      </c>
      <c r="T99" s="8">
        <f t="shared" si="42"/>
        <v>437190.18101710675</v>
      </c>
      <c r="U99" s="8">
        <f t="shared" si="42"/>
        <v>323584.81280524825</v>
      </c>
      <c r="V99" s="8">
        <f t="shared" si="42"/>
        <v>193584.81280524825</v>
      </c>
      <c r="W99" s="8">
        <f t="shared" si="42"/>
        <v>63584.81280524825</v>
      </c>
      <c r="X99" s="8">
        <f t="shared" si="42"/>
        <v>0</v>
      </c>
      <c r="Y99" s="8">
        <f t="shared" si="42"/>
        <v>0</v>
      </c>
      <c r="Z99" s="8">
        <f t="shared" si="42"/>
        <v>0</v>
      </c>
      <c r="AA99" s="8">
        <f t="shared" si="42"/>
        <v>0</v>
      </c>
      <c r="AB99" s="8">
        <f t="shared" si="42"/>
        <v>0</v>
      </c>
      <c r="AC99" s="8">
        <f t="shared" si="42"/>
        <v>0</v>
      </c>
      <c r="AD99" s="8">
        <f t="shared" si="42"/>
        <v>0</v>
      </c>
      <c r="AE99" s="8">
        <f t="shared" si="42"/>
        <v>0</v>
      </c>
      <c r="AF99" s="8">
        <f t="shared" si="42"/>
        <v>0</v>
      </c>
      <c r="AG99" s="8">
        <f t="shared" si="42"/>
        <v>0</v>
      </c>
      <c r="AH99" s="8">
        <f t="shared" si="42"/>
        <v>0</v>
      </c>
      <c r="AI99" s="8">
        <f t="shared" si="42"/>
        <v>0</v>
      </c>
      <c r="AJ99" s="8">
        <f t="shared" ref="AJ99:BO99" si="43">AI102</f>
        <v>0</v>
      </c>
      <c r="AK99" s="8">
        <f t="shared" si="43"/>
        <v>0</v>
      </c>
      <c r="AL99" s="8">
        <f t="shared" si="43"/>
        <v>0</v>
      </c>
      <c r="AM99" s="8">
        <f t="shared" si="43"/>
        <v>0</v>
      </c>
      <c r="AN99" s="8">
        <f t="shared" si="43"/>
        <v>0</v>
      </c>
      <c r="AO99" s="8">
        <f t="shared" si="43"/>
        <v>0</v>
      </c>
      <c r="AP99" s="8">
        <f t="shared" si="43"/>
        <v>0</v>
      </c>
      <c r="AQ99" s="8">
        <f t="shared" si="43"/>
        <v>0</v>
      </c>
      <c r="AR99" s="8">
        <f t="shared" si="43"/>
        <v>0</v>
      </c>
      <c r="AS99" s="8">
        <f t="shared" si="43"/>
        <v>0</v>
      </c>
      <c r="AT99" s="8">
        <f t="shared" si="43"/>
        <v>0</v>
      </c>
      <c r="AU99" s="8">
        <f t="shared" si="43"/>
        <v>0</v>
      </c>
      <c r="AV99" s="8">
        <f t="shared" si="43"/>
        <v>0</v>
      </c>
      <c r="AW99" s="8">
        <f t="shared" si="43"/>
        <v>0</v>
      </c>
      <c r="AX99" s="8">
        <f t="shared" si="43"/>
        <v>0</v>
      </c>
      <c r="AY99" s="8">
        <f t="shared" si="43"/>
        <v>0</v>
      </c>
      <c r="AZ99" s="8">
        <f t="shared" si="43"/>
        <v>0</v>
      </c>
      <c r="BA99" s="8">
        <f t="shared" si="43"/>
        <v>0</v>
      </c>
      <c r="BB99" s="8">
        <f t="shared" si="43"/>
        <v>0</v>
      </c>
      <c r="BC99" s="8">
        <f t="shared" si="43"/>
        <v>0</v>
      </c>
      <c r="BD99" s="8">
        <f t="shared" si="43"/>
        <v>0</v>
      </c>
      <c r="BE99" s="8">
        <f t="shared" si="43"/>
        <v>0</v>
      </c>
      <c r="BF99" s="8">
        <f t="shared" si="43"/>
        <v>0</v>
      </c>
      <c r="BG99" s="8">
        <f t="shared" si="43"/>
        <v>0</v>
      </c>
      <c r="BH99" s="8">
        <f t="shared" si="43"/>
        <v>0</v>
      </c>
      <c r="BI99" s="8">
        <f t="shared" si="43"/>
        <v>0</v>
      </c>
      <c r="BJ99" s="8">
        <f t="shared" si="43"/>
        <v>0</v>
      </c>
      <c r="BK99" s="8">
        <f t="shared" si="43"/>
        <v>0</v>
      </c>
      <c r="BL99" s="8">
        <f t="shared" si="43"/>
        <v>0</v>
      </c>
      <c r="BM99" s="8">
        <f t="shared" si="43"/>
        <v>0</v>
      </c>
      <c r="BN99" s="8">
        <f t="shared" si="43"/>
        <v>0</v>
      </c>
      <c r="BO99" s="8">
        <f t="shared" si="43"/>
        <v>0</v>
      </c>
      <c r="BP99" s="8">
        <f t="shared" ref="BP99:CH99" si="44">BO102</f>
        <v>0</v>
      </c>
      <c r="BQ99" s="8">
        <f t="shared" si="44"/>
        <v>0</v>
      </c>
      <c r="BR99" s="8">
        <f t="shared" si="44"/>
        <v>0</v>
      </c>
      <c r="BS99" s="8">
        <f t="shared" si="44"/>
        <v>0</v>
      </c>
      <c r="BT99" s="8">
        <f t="shared" si="44"/>
        <v>0</v>
      </c>
      <c r="BU99" s="8">
        <f t="shared" si="44"/>
        <v>0</v>
      </c>
      <c r="BV99" s="8">
        <f t="shared" si="44"/>
        <v>0</v>
      </c>
      <c r="BW99" s="8">
        <f t="shared" si="44"/>
        <v>0</v>
      </c>
      <c r="BX99" s="8">
        <f t="shared" si="44"/>
        <v>0</v>
      </c>
      <c r="BY99" s="8">
        <f t="shared" si="44"/>
        <v>0</v>
      </c>
      <c r="BZ99" s="8">
        <f t="shared" si="44"/>
        <v>0</v>
      </c>
      <c r="CA99" s="8">
        <f t="shared" si="44"/>
        <v>0</v>
      </c>
      <c r="CB99" s="8">
        <f t="shared" si="44"/>
        <v>0</v>
      </c>
      <c r="CC99" s="8">
        <f t="shared" si="44"/>
        <v>0</v>
      </c>
      <c r="CD99" s="8">
        <f t="shared" si="44"/>
        <v>0</v>
      </c>
      <c r="CE99" s="8">
        <f t="shared" si="44"/>
        <v>0</v>
      </c>
      <c r="CF99" s="8">
        <f t="shared" si="44"/>
        <v>0</v>
      </c>
      <c r="CG99" s="8">
        <f t="shared" si="44"/>
        <v>0</v>
      </c>
      <c r="CH99" s="8">
        <f t="shared" si="44"/>
        <v>0</v>
      </c>
      <c r="CI99" s="23"/>
    </row>
    <row r="100" spans="1:87" ht="15" customHeight="1" x14ac:dyDescent="0.25">
      <c r="A100" s="7" t="s">
        <v>196</v>
      </c>
      <c r="B100" s="22"/>
      <c r="C100" s="8">
        <f>IF(AND(MOD(1,3)=0,C99&gt;0),C99*Assumptions!$B$35,0)</f>
        <v>0</v>
      </c>
      <c r="D100" s="8">
        <f>IF(AND(MOD(2,3)=0,D99&gt;0),D99*Assumptions!$B$35,0)</f>
        <v>0</v>
      </c>
      <c r="E100" s="8">
        <f>IF(AND(MOD(3,3)=0,E99&gt;0),E99*Assumptions!$B$35,0)</f>
        <v>60580.6875</v>
      </c>
      <c r="F100" s="8">
        <f>IF(AND(MOD(4,3)=0,F99&gt;0),F99*Assumptions!$B$35,0)</f>
        <v>0</v>
      </c>
      <c r="G100" s="8">
        <f>IF(AND(MOD(5,3)=0,G99&gt;0),G99*Assumptions!$B$35,0)</f>
        <v>0</v>
      </c>
      <c r="H100" s="8">
        <f>IF(AND(MOD(6,3)=0,H99&gt;0),H99*Assumptions!$B$35,0)</f>
        <v>62852.463281249999</v>
      </c>
      <c r="I100" s="8">
        <f>IF(AND(MOD(7,3)=0,I99&gt;0),I99*Assumptions!$B$35,0)</f>
        <v>0</v>
      </c>
      <c r="J100" s="8">
        <f>IF(AND(MOD(8,3)=0,J99&gt;0),J99*Assumptions!$B$35,0)</f>
        <v>0</v>
      </c>
      <c r="K100" s="8">
        <f>IF(AND(MOD(9,3)=0,K99&gt;0),K99*Assumptions!$B$35,0)</f>
        <v>55459.430654296877</v>
      </c>
      <c r="L100" s="8">
        <f>IF(AND(MOD(10,3)=0,L99&gt;0),L99*Assumptions!$B$35,0)</f>
        <v>0</v>
      </c>
      <c r="M100" s="8">
        <f>IF(AND(MOD(11,3)=0,M99&gt;0),M99*Assumptions!$B$35,0)</f>
        <v>0</v>
      </c>
      <c r="N100" s="8">
        <f>IF(AND(MOD(12,3)=0,N99&gt;0),N99*Assumptions!$B$35,0)</f>
        <v>42914.15930383301</v>
      </c>
      <c r="O100" s="8">
        <f>IF(AND(MOD(13,3)=0,O99&gt;0),O99*Assumptions!$B$35,0)</f>
        <v>0</v>
      </c>
      <c r="P100" s="8">
        <f>IF(AND(MOD(14,3)=0,P99&gt;0),P99*Assumptions!$B$35,0)</f>
        <v>0</v>
      </c>
      <c r="Q100" s="8">
        <f>IF(AND(MOD(15,3)=0,Q99&gt;0),Q99*Assumptions!$B$35,0)</f>
        <v>29898.44027772675</v>
      </c>
      <c r="R100" s="8">
        <f>IF(AND(MOD(16,3)=0,R99&gt;0),R99*Assumptions!$B$35,0)</f>
        <v>0</v>
      </c>
      <c r="S100" s="8">
        <f>IF(AND(MOD(17,3)=0,S99&gt;0),S99*Assumptions!$B$35,0)</f>
        <v>0</v>
      </c>
      <c r="T100" s="8">
        <f>IF(AND(MOD(18,3)=0,T99&gt;0),T99*Assumptions!$B$35,0)</f>
        <v>16394.631788141502</v>
      </c>
      <c r="U100" s="8">
        <f>IF(AND(MOD(19,3)=0,U99&gt;0),U99*Assumptions!$B$35,0)</f>
        <v>0</v>
      </c>
      <c r="V100" s="8">
        <f>IF(AND(MOD(20,3)=0,V99&gt;0),V99*Assumptions!$B$35,0)</f>
        <v>0</v>
      </c>
      <c r="W100" s="8">
        <f>IF(AND(MOD(21,3)=0,W99&gt;0),W99*Assumptions!$B$35,0)</f>
        <v>2384.4304801968092</v>
      </c>
      <c r="X100" s="8">
        <f>IF(AND(MOD(22,3)=0,X99&gt;0),X99*Assumptions!$B$35,0)</f>
        <v>0</v>
      </c>
      <c r="Y100" s="8">
        <f>IF(AND(MOD(23,3)=0,Y99&gt;0),Y99*Assumptions!$B$35,0)</f>
        <v>0</v>
      </c>
      <c r="Z100" s="8">
        <f>IF(AND(MOD(24,3)=0,Z99&gt;0),Z99*Assumptions!$B$35,0)</f>
        <v>0</v>
      </c>
      <c r="AA100" s="8">
        <f>IF(AND(MOD(25,3)=0,AA99&gt;0),AA99*Assumptions!$B$35,0)</f>
        <v>0</v>
      </c>
      <c r="AB100" s="8">
        <f>IF(AND(MOD(26,3)=0,AB99&gt;0),AB99*Assumptions!$B$35,0)</f>
        <v>0</v>
      </c>
      <c r="AC100" s="8">
        <f>IF(AND(MOD(27,3)=0,AC99&gt;0),AC99*Assumptions!$B$35,0)</f>
        <v>0</v>
      </c>
      <c r="AD100" s="8">
        <f>IF(AND(MOD(28,3)=0,AD99&gt;0),AD99*Assumptions!$B$35,0)</f>
        <v>0</v>
      </c>
      <c r="AE100" s="8">
        <f>IF(AND(MOD(29,3)=0,AE99&gt;0),AE99*Assumptions!$B$35,0)</f>
        <v>0</v>
      </c>
      <c r="AF100" s="8">
        <f>IF(AND(MOD(30,3)=0,AF99&gt;0),AF99*Assumptions!$B$35,0)</f>
        <v>0</v>
      </c>
      <c r="AG100" s="8">
        <f>IF(AND(MOD(31,3)=0,AG99&gt;0),AG99*Assumptions!$B$35,0)</f>
        <v>0</v>
      </c>
      <c r="AH100" s="8">
        <f>IF(AND(MOD(32,3)=0,AH99&gt;0),AH99*Assumptions!$B$35,0)</f>
        <v>0</v>
      </c>
      <c r="AI100" s="8">
        <f>IF(AND(MOD(33,3)=0,AI99&gt;0),AI99*Assumptions!$B$35,0)</f>
        <v>0</v>
      </c>
      <c r="AJ100" s="8">
        <f>IF(AND(MOD(34,3)=0,AJ99&gt;0),AJ99*Assumptions!$B$35,0)</f>
        <v>0</v>
      </c>
      <c r="AK100" s="8">
        <f>IF(AND(MOD(35,3)=0,AK99&gt;0),AK99*Assumptions!$B$35,0)</f>
        <v>0</v>
      </c>
      <c r="AL100" s="8">
        <f>IF(AND(MOD(36,3)=0,AL99&gt;0),AL99*Assumptions!$B$35,0)</f>
        <v>0</v>
      </c>
      <c r="AM100" s="8">
        <f>IF(AND(MOD(37,3)=0,AM99&gt;0),AM99*Assumptions!$B$35,0)</f>
        <v>0</v>
      </c>
      <c r="AN100" s="8">
        <f>IF(AND(MOD(38,3)=0,AN99&gt;0),AN99*Assumptions!$B$35,0)</f>
        <v>0</v>
      </c>
      <c r="AO100" s="8">
        <f>IF(AND(MOD(39,3)=0,AO99&gt;0),AO99*Assumptions!$B$35,0)</f>
        <v>0</v>
      </c>
      <c r="AP100" s="8">
        <f>IF(AND(MOD(40,3)=0,AP99&gt;0),AP99*Assumptions!$B$35,0)</f>
        <v>0</v>
      </c>
      <c r="AQ100" s="8">
        <f>IF(AND(MOD(41,3)=0,AQ99&gt;0),AQ99*Assumptions!$B$35,0)</f>
        <v>0</v>
      </c>
      <c r="AR100" s="8">
        <f>IF(AND(MOD(42,3)=0,AR99&gt;0),AR99*Assumptions!$B$35,0)</f>
        <v>0</v>
      </c>
      <c r="AS100" s="8">
        <f>IF(AND(MOD(43,3)=0,AS99&gt;0),AS99*Assumptions!$B$35,0)</f>
        <v>0</v>
      </c>
      <c r="AT100" s="8">
        <f>IF(AND(MOD(44,3)=0,AT99&gt;0),AT99*Assumptions!$B$35,0)</f>
        <v>0</v>
      </c>
      <c r="AU100" s="8">
        <f>IF(AND(MOD(45,3)=0,AU99&gt;0),AU99*Assumptions!$B$35,0)</f>
        <v>0</v>
      </c>
      <c r="AV100" s="8">
        <f>IF(AND(MOD(46,3)=0,AV99&gt;0),AV99*Assumptions!$B$35,0)</f>
        <v>0</v>
      </c>
      <c r="AW100" s="8">
        <f>IF(AND(MOD(47,3)=0,AW99&gt;0),AW99*Assumptions!$B$35,0)</f>
        <v>0</v>
      </c>
      <c r="AX100" s="8">
        <f>IF(AND(MOD(48,3)=0,AX99&gt;0),AX99*Assumptions!$B$35,0)</f>
        <v>0</v>
      </c>
      <c r="AY100" s="8">
        <f>IF(AND(MOD(49,3)=0,AY99&gt;0),AY99*Assumptions!$B$35,0)</f>
        <v>0</v>
      </c>
      <c r="AZ100" s="8">
        <f>IF(AND(MOD(50,3)=0,AZ99&gt;0),AZ99*Assumptions!$B$35,0)</f>
        <v>0</v>
      </c>
      <c r="BA100" s="8">
        <f>IF(AND(MOD(51,3)=0,BA99&gt;0),BA99*Assumptions!$B$35,0)</f>
        <v>0</v>
      </c>
      <c r="BB100" s="8">
        <f>IF(AND(MOD(52,3)=0,BB99&gt;0),BB99*Assumptions!$B$35,0)</f>
        <v>0</v>
      </c>
      <c r="BC100" s="8">
        <f>IF(AND(MOD(53,3)=0,BC99&gt;0),BC99*Assumptions!$B$35,0)</f>
        <v>0</v>
      </c>
      <c r="BD100" s="8">
        <f>IF(AND(MOD(54,3)=0,BD99&gt;0),BD99*Assumptions!$B$35,0)</f>
        <v>0</v>
      </c>
      <c r="BE100" s="8">
        <f>IF(AND(MOD(55,3)=0,BE99&gt;0),BE99*Assumptions!$B$35,0)</f>
        <v>0</v>
      </c>
      <c r="BF100" s="8">
        <f>IF(AND(MOD(56,3)=0,BF99&gt;0),BF99*Assumptions!$B$35,0)</f>
        <v>0</v>
      </c>
      <c r="BG100" s="8">
        <f>IF(AND(MOD(57,3)=0,BG99&gt;0),BG99*Assumptions!$B$35,0)</f>
        <v>0</v>
      </c>
      <c r="BH100" s="8">
        <f>IF(AND(MOD(58,3)=0,BH99&gt;0),BH99*Assumptions!$B$35,0)</f>
        <v>0</v>
      </c>
      <c r="BI100" s="8">
        <f>IF(AND(MOD(59,3)=0,BI99&gt;0),BI99*Assumptions!$B$35,0)</f>
        <v>0</v>
      </c>
      <c r="BJ100" s="8">
        <f>IF(AND(MOD(60,3)=0,BJ99&gt;0),BJ99*Assumptions!$B$35,0)</f>
        <v>0</v>
      </c>
      <c r="BK100" s="8">
        <f>IF(AND(MOD(61,3)=0,BK99&gt;0),BK99*Assumptions!$B$35,0)</f>
        <v>0</v>
      </c>
      <c r="BL100" s="8">
        <f>IF(AND(MOD(62,3)=0,BL99&gt;0),BL99*Assumptions!$B$35,0)</f>
        <v>0</v>
      </c>
      <c r="BM100" s="8">
        <f>IF(AND(MOD(63,3)=0,BM99&gt;0),BM99*Assumptions!$B$35,0)</f>
        <v>0</v>
      </c>
      <c r="BN100" s="8">
        <f>IF(AND(MOD(64,3)=0,BN99&gt;0),BN99*Assumptions!$B$35,0)</f>
        <v>0</v>
      </c>
      <c r="BO100" s="8">
        <f>IF(AND(MOD(65,3)=0,BO99&gt;0),BO99*Assumptions!$B$35,0)</f>
        <v>0</v>
      </c>
      <c r="BP100" s="8">
        <f>IF(AND(MOD(66,3)=0,BP99&gt;0),BP99*Assumptions!$B$35,0)</f>
        <v>0</v>
      </c>
      <c r="BQ100" s="8">
        <f>IF(AND(MOD(67,3)=0,BQ99&gt;0),BQ99*Assumptions!$B$35,0)</f>
        <v>0</v>
      </c>
      <c r="BR100" s="8">
        <f>IF(AND(MOD(68,3)=0,BR99&gt;0),BR99*Assumptions!$B$35,0)</f>
        <v>0</v>
      </c>
      <c r="BS100" s="8">
        <f>IF(AND(MOD(69,3)=0,BS99&gt;0),BS99*Assumptions!$B$35,0)</f>
        <v>0</v>
      </c>
      <c r="BT100" s="8">
        <f>IF(AND(MOD(70,3)=0,BT99&gt;0),BT99*Assumptions!$B$35,0)</f>
        <v>0</v>
      </c>
      <c r="BU100" s="8">
        <f>IF(AND(MOD(71,3)=0,BU99&gt;0),BU99*Assumptions!$B$35,0)</f>
        <v>0</v>
      </c>
      <c r="BV100" s="8">
        <f>IF(AND(MOD(72,3)=0,BV99&gt;0),BV99*Assumptions!$B$35,0)</f>
        <v>0</v>
      </c>
      <c r="BW100" s="8">
        <f>IF(AND(MOD(73,3)=0,BW99&gt;0),BW99*Assumptions!$B$35,0)</f>
        <v>0</v>
      </c>
      <c r="BX100" s="8">
        <f>IF(AND(MOD(74,3)=0,BX99&gt;0),BX99*Assumptions!$B$35,0)</f>
        <v>0</v>
      </c>
      <c r="BY100" s="8">
        <f>IF(AND(MOD(75,3)=0,BY99&gt;0),BY99*Assumptions!$B$35,0)</f>
        <v>0</v>
      </c>
      <c r="BZ100" s="8">
        <f>IF(AND(MOD(76,3)=0,BZ99&gt;0),BZ99*Assumptions!$B$35,0)</f>
        <v>0</v>
      </c>
      <c r="CA100" s="8">
        <f>IF(AND(MOD(77,3)=0,CA99&gt;0),CA99*Assumptions!$B$35,0)</f>
        <v>0</v>
      </c>
      <c r="CB100" s="8">
        <f>IF(AND(MOD(78,3)=0,CB99&gt;0),CB99*Assumptions!$B$35,0)</f>
        <v>0</v>
      </c>
      <c r="CC100" s="8">
        <f>IF(AND(MOD(79,3)=0,CC99&gt;0),CC99*Assumptions!$B$35,0)</f>
        <v>0</v>
      </c>
      <c r="CD100" s="8">
        <f>IF(AND(MOD(80,3)=0,CD99&gt;0),CD99*Assumptions!$B$35,0)</f>
        <v>0</v>
      </c>
      <c r="CE100" s="8">
        <f>IF(AND(MOD(81,3)=0,CE99&gt;0),CE99*Assumptions!$B$35,0)</f>
        <v>0</v>
      </c>
      <c r="CF100" s="8">
        <f>IF(AND(MOD(82,3)=0,CF99&gt;0),CF99*Assumptions!$B$35,0)</f>
        <v>0</v>
      </c>
      <c r="CG100" s="8">
        <f>IF(AND(MOD(83,3)=0,CG99&gt;0),CG99*Assumptions!$B$35,0)</f>
        <v>0</v>
      </c>
      <c r="CH100" s="8">
        <f>IF(AND(MOD(84,3)=0,CH99&gt;0),CH99*Assumptions!$B$35,0)</f>
        <v>0</v>
      </c>
      <c r="CI100" s="23"/>
    </row>
    <row r="101" spans="1:87" ht="15" customHeight="1" x14ac:dyDescent="0.25">
      <c r="A101" s="7" t="s">
        <v>197</v>
      </c>
      <c r="B101" s="22"/>
      <c r="C101" s="8">
        <f>IF(AND(1&gt;=Assumptions!$B$37,C99+C100&gt;0),-MIN(Assumptions!$B$36,C99+C100),0)</f>
        <v>0</v>
      </c>
      <c r="D101" s="8">
        <f>IF(AND(2&gt;=Assumptions!$B$37,D99+D100&gt;0),-MIN(Assumptions!$B$36,D99+D100),0)</f>
        <v>0</v>
      </c>
      <c r="E101" s="8">
        <f>IF(AND(3&gt;=Assumptions!$B$37,E99+E100&gt;0),-MIN(Assumptions!$B$36,E99+E100),0)</f>
        <v>0</v>
      </c>
      <c r="F101" s="8">
        <f>IF(AND(4&gt;=Assumptions!$B$37,F99+F100&gt;0),-MIN(Assumptions!$B$36,F99+F100),0)</f>
        <v>0</v>
      </c>
      <c r="G101" s="8">
        <f>IF(AND(5&gt;=Assumptions!$B$37,G99+G100&gt;0),-MIN(Assumptions!$B$36,G99+G100),0)</f>
        <v>0</v>
      </c>
      <c r="H101" s="8">
        <f>IF(AND(6&gt;=Assumptions!$B$37,H99+H100&gt;0),-MIN(Assumptions!$B$36,H99+H100),0)</f>
        <v>0</v>
      </c>
      <c r="I101" s="8">
        <f>IF(AND(7&gt;=Assumptions!$B$37,I99+I100&gt;0),-MIN(Assumptions!$B$36,I99+I100),0)</f>
        <v>-130000</v>
      </c>
      <c r="J101" s="8">
        <f>IF(AND(8&gt;=Assumptions!$B$37,J99+J100&gt;0),-MIN(Assumptions!$B$36,J99+J100),0)</f>
        <v>-130000</v>
      </c>
      <c r="K101" s="8">
        <f>IF(AND(9&gt;=Assumptions!$B$37,K99+K100&gt;0),-MIN(Assumptions!$B$36,K99+K100),0)</f>
        <v>-130000</v>
      </c>
      <c r="L101" s="8">
        <f>IF(AND(10&gt;=Assumptions!$B$37,L99+L100&gt;0),-MIN(Assumptions!$B$36,L99+L100),0)</f>
        <v>-130000</v>
      </c>
      <c r="M101" s="8">
        <f>IF(AND(11&gt;=Assumptions!$B$37,M99+M100&gt;0),-MIN(Assumptions!$B$36,M99+M100),0)</f>
        <v>-130000</v>
      </c>
      <c r="N101" s="8">
        <f>IF(AND(12&gt;=Assumptions!$B$37,N99+N100&gt;0),-MIN(Assumptions!$B$36,N99+N100),0)</f>
        <v>-130000</v>
      </c>
      <c r="O101" s="8">
        <f>IF(AND(13&gt;=Assumptions!$B$37,O99+O100&gt;0),-MIN(Assumptions!$B$36,O99+O100),0)</f>
        <v>-130000</v>
      </c>
      <c r="P101" s="8">
        <f>IF(AND(14&gt;=Assumptions!$B$37,P99+P100&gt;0),-MIN(Assumptions!$B$36,P99+P100),0)</f>
        <v>-130000</v>
      </c>
      <c r="Q101" s="8">
        <f>IF(AND(15&gt;=Assumptions!$B$37,Q99+Q100&gt;0),-MIN(Assumptions!$B$36,Q99+Q100),0)</f>
        <v>-130000</v>
      </c>
      <c r="R101" s="8">
        <f>IF(AND(16&gt;=Assumptions!$B$37,R99+R100&gt;0),-MIN(Assumptions!$B$36,R99+R100),0)</f>
        <v>-130000</v>
      </c>
      <c r="S101" s="8">
        <f>IF(AND(17&gt;=Assumptions!$B$37,S99+S100&gt;0),-MIN(Assumptions!$B$36,S99+S100),0)</f>
        <v>-130000</v>
      </c>
      <c r="T101" s="8">
        <f>IF(AND(18&gt;=Assumptions!$B$37,T99+T100&gt;0),-MIN(Assumptions!$B$36,T99+T100),0)</f>
        <v>-130000</v>
      </c>
      <c r="U101" s="8">
        <f>IF(AND(19&gt;=Assumptions!$B$37,U99+U100&gt;0),-MIN(Assumptions!$B$36,U99+U100),0)</f>
        <v>-130000</v>
      </c>
      <c r="V101" s="8">
        <f>IF(AND(20&gt;=Assumptions!$B$37,V99+V100&gt;0),-MIN(Assumptions!$B$36,V99+V100),0)</f>
        <v>-130000</v>
      </c>
      <c r="W101" s="8">
        <f>IF(AND(21&gt;=Assumptions!$B$37,W99+W100&gt;0),-MIN(Assumptions!$B$36,W99+W100),0)</f>
        <v>-65969.24328544506</v>
      </c>
      <c r="X101" s="8">
        <f>IF(AND(22&gt;=Assumptions!$B$37,X99+X100&gt;0),-MIN(Assumptions!$B$36,X99+X100),0)</f>
        <v>0</v>
      </c>
      <c r="Y101" s="8">
        <f>IF(AND(23&gt;=Assumptions!$B$37,Y99+Y100&gt;0),-MIN(Assumptions!$B$36,Y99+Y100),0)</f>
        <v>0</v>
      </c>
      <c r="Z101" s="8">
        <f>IF(AND(24&gt;=Assumptions!$B$37,Z99+Z100&gt;0),-MIN(Assumptions!$B$36,Z99+Z100),0)</f>
        <v>0</v>
      </c>
      <c r="AA101" s="8">
        <f>IF(AND(25&gt;=Assumptions!$B$37,AA99+AA100&gt;0),-MIN(Assumptions!$B$36,AA99+AA100),0)</f>
        <v>0</v>
      </c>
      <c r="AB101" s="8">
        <f>IF(AND(26&gt;=Assumptions!$B$37,AB99+AB100&gt;0),-MIN(Assumptions!$B$36,AB99+AB100),0)</f>
        <v>0</v>
      </c>
      <c r="AC101" s="8">
        <f>IF(AND(27&gt;=Assumptions!$B$37,AC99+AC100&gt;0),-MIN(Assumptions!$B$36,AC99+AC100),0)</f>
        <v>0</v>
      </c>
      <c r="AD101" s="8">
        <f>IF(AND(28&gt;=Assumptions!$B$37,AD99+AD100&gt;0),-MIN(Assumptions!$B$36,AD99+AD100),0)</f>
        <v>0</v>
      </c>
      <c r="AE101" s="8">
        <f>IF(AND(29&gt;=Assumptions!$B$37,AE99+AE100&gt;0),-MIN(Assumptions!$B$36,AE99+AE100),0)</f>
        <v>0</v>
      </c>
      <c r="AF101" s="8">
        <f>IF(AND(30&gt;=Assumptions!$B$37,AF99+AF100&gt;0),-MIN(Assumptions!$B$36,AF99+AF100),0)</f>
        <v>0</v>
      </c>
      <c r="AG101" s="8">
        <f>IF(AND(31&gt;=Assumptions!$B$37,AG99+AG100&gt;0),-MIN(Assumptions!$B$36,AG99+AG100),0)</f>
        <v>0</v>
      </c>
      <c r="AH101" s="8">
        <f>IF(AND(32&gt;=Assumptions!$B$37,AH99+AH100&gt;0),-MIN(Assumptions!$B$36,AH99+AH100),0)</f>
        <v>0</v>
      </c>
      <c r="AI101" s="8">
        <f>IF(AND(33&gt;=Assumptions!$B$37,AI99+AI100&gt;0),-MIN(Assumptions!$B$36,AI99+AI100),0)</f>
        <v>0</v>
      </c>
      <c r="AJ101" s="8">
        <f>IF(AND(34&gt;=Assumptions!$B$37,AJ99+AJ100&gt;0),-MIN(Assumptions!$B$36,AJ99+AJ100),0)</f>
        <v>0</v>
      </c>
      <c r="AK101" s="8">
        <f>IF(AND(35&gt;=Assumptions!$B$37,AK99+AK100&gt;0),-MIN(Assumptions!$B$36,AK99+AK100),0)</f>
        <v>0</v>
      </c>
      <c r="AL101" s="8">
        <f>IF(AND(36&gt;=Assumptions!$B$37,AL99+AL100&gt;0),-MIN(Assumptions!$B$36,AL99+AL100),0)</f>
        <v>0</v>
      </c>
      <c r="AM101" s="8">
        <f>IF(AND(37&gt;=Assumptions!$B$37,AM99+AM100&gt;0),-MIN(Assumptions!$B$36,AM99+AM100),0)</f>
        <v>0</v>
      </c>
      <c r="AN101" s="8">
        <f>IF(AND(38&gt;=Assumptions!$B$37,AN99+AN100&gt;0),-MIN(Assumptions!$B$36,AN99+AN100),0)</f>
        <v>0</v>
      </c>
      <c r="AO101" s="8">
        <f>IF(AND(39&gt;=Assumptions!$B$37,AO99+AO100&gt;0),-MIN(Assumptions!$B$36,AO99+AO100),0)</f>
        <v>0</v>
      </c>
      <c r="AP101" s="8">
        <f>IF(AND(40&gt;=Assumptions!$B$37,AP99+AP100&gt;0),-MIN(Assumptions!$B$36,AP99+AP100),0)</f>
        <v>0</v>
      </c>
      <c r="AQ101" s="8">
        <f>IF(AND(41&gt;=Assumptions!$B$37,AQ99+AQ100&gt;0),-MIN(Assumptions!$B$36,AQ99+AQ100),0)</f>
        <v>0</v>
      </c>
      <c r="AR101" s="8">
        <f>IF(AND(42&gt;=Assumptions!$B$37,AR99+AR100&gt;0),-MIN(Assumptions!$B$36,AR99+AR100),0)</f>
        <v>0</v>
      </c>
      <c r="AS101" s="8">
        <f>IF(AND(43&gt;=Assumptions!$B$37,AS99+AS100&gt;0),-MIN(Assumptions!$B$36,AS99+AS100),0)</f>
        <v>0</v>
      </c>
      <c r="AT101" s="8">
        <f>IF(AND(44&gt;=Assumptions!$B$37,AT99+AT100&gt;0),-MIN(Assumptions!$B$36,AT99+AT100),0)</f>
        <v>0</v>
      </c>
      <c r="AU101" s="8">
        <f>IF(AND(45&gt;=Assumptions!$B$37,AU99+AU100&gt;0),-MIN(Assumptions!$B$36,AU99+AU100),0)</f>
        <v>0</v>
      </c>
      <c r="AV101" s="8">
        <f>IF(AND(46&gt;=Assumptions!$B$37,AV99+AV100&gt;0),-MIN(Assumptions!$B$36,AV99+AV100),0)</f>
        <v>0</v>
      </c>
      <c r="AW101" s="8">
        <f>IF(AND(47&gt;=Assumptions!$B$37,AW99+AW100&gt;0),-MIN(Assumptions!$B$36,AW99+AW100),0)</f>
        <v>0</v>
      </c>
      <c r="AX101" s="8">
        <f>IF(AND(48&gt;=Assumptions!$B$37,AX99+AX100&gt;0),-MIN(Assumptions!$B$36,AX99+AX100),0)</f>
        <v>0</v>
      </c>
      <c r="AY101" s="8">
        <f>IF(AND(49&gt;=Assumptions!$B$37,AY99+AY100&gt;0),-MIN(Assumptions!$B$36,AY99+AY100),0)</f>
        <v>0</v>
      </c>
      <c r="AZ101" s="8">
        <f>IF(AND(50&gt;=Assumptions!$B$37,AZ99+AZ100&gt;0),-MIN(Assumptions!$B$36,AZ99+AZ100),0)</f>
        <v>0</v>
      </c>
      <c r="BA101" s="8">
        <f>IF(AND(51&gt;=Assumptions!$B$37,BA99+BA100&gt;0),-MIN(Assumptions!$B$36,BA99+BA100),0)</f>
        <v>0</v>
      </c>
      <c r="BB101" s="8">
        <f>IF(AND(52&gt;=Assumptions!$B$37,BB99+BB100&gt;0),-MIN(Assumptions!$B$36,BB99+BB100),0)</f>
        <v>0</v>
      </c>
      <c r="BC101" s="8">
        <f>IF(AND(53&gt;=Assumptions!$B$37,BC99+BC100&gt;0),-MIN(Assumptions!$B$36,BC99+BC100),0)</f>
        <v>0</v>
      </c>
      <c r="BD101" s="8">
        <f>IF(AND(54&gt;=Assumptions!$B$37,BD99+BD100&gt;0),-MIN(Assumptions!$B$36,BD99+BD100),0)</f>
        <v>0</v>
      </c>
      <c r="BE101" s="8">
        <f>IF(AND(55&gt;=Assumptions!$B$37,BE99+BE100&gt;0),-MIN(Assumptions!$B$36,BE99+BE100),0)</f>
        <v>0</v>
      </c>
      <c r="BF101" s="8">
        <f>IF(AND(56&gt;=Assumptions!$B$37,BF99+BF100&gt;0),-MIN(Assumptions!$B$36,BF99+BF100),0)</f>
        <v>0</v>
      </c>
      <c r="BG101" s="8">
        <f>IF(AND(57&gt;=Assumptions!$B$37,BG99+BG100&gt;0),-MIN(Assumptions!$B$36,BG99+BG100),0)</f>
        <v>0</v>
      </c>
      <c r="BH101" s="8">
        <f>IF(AND(58&gt;=Assumptions!$B$37,BH99+BH100&gt;0),-MIN(Assumptions!$B$36,BH99+BH100),0)</f>
        <v>0</v>
      </c>
      <c r="BI101" s="8">
        <f>IF(AND(59&gt;=Assumptions!$B$37,BI99+BI100&gt;0),-MIN(Assumptions!$B$36,BI99+BI100),0)</f>
        <v>0</v>
      </c>
      <c r="BJ101" s="8">
        <f>IF(AND(60&gt;=Assumptions!$B$37,BJ99+BJ100&gt;0),-MIN(Assumptions!$B$36,BJ99+BJ100),0)</f>
        <v>0</v>
      </c>
      <c r="BK101" s="8">
        <f>IF(AND(61&gt;=Assumptions!$B$37,BK99+BK100&gt;0),-MIN(Assumptions!$B$36,BK99+BK100),0)</f>
        <v>0</v>
      </c>
      <c r="BL101" s="8">
        <f>IF(AND(62&gt;=Assumptions!$B$37,BL99+BL100&gt;0),-MIN(Assumptions!$B$36,BL99+BL100),0)</f>
        <v>0</v>
      </c>
      <c r="BM101" s="8">
        <f>IF(AND(63&gt;=Assumptions!$B$37,BM99+BM100&gt;0),-MIN(Assumptions!$B$36,BM99+BM100),0)</f>
        <v>0</v>
      </c>
      <c r="BN101" s="8">
        <f>IF(AND(64&gt;=Assumptions!$B$37,BN99+BN100&gt;0),-MIN(Assumptions!$B$36,BN99+BN100),0)</f>
        <v>0</v>
      </c>
      <c r="BO101" s="8">
        <f>IF(AND(65&gt;=Assumptions!$B$37,BO99+BO100&gt;0),-MIN(Assumptions!$B$36,BO99+BO100),0)</f>
        <v>0</v>
      </c>
      <c r="BP101" s="8">
        <f>IF(AND(66&gt;=Assumptions!$B$37,BP99+BP100&gt;0),-MIN(Assumptions!$B$36,BP99+BP100),0)</f>
        <v>0</v>
      </c>
      <c r="BQ101" s="8">
        <f>IF(AND(67&gt;=Assumptions!$B$37,BQ99+BQ100&gt;0),-MIN(Assumptions!$B$36,BQ99+BQ100),0)</f>
        <v>0</v>
      </c>
      <c r="BR101" s="8">
        <f>IF(AND(68&gt;=Assumptions!$B$37,BR99+BR100&gt;0),-MIN(Assumptions!$B$36,BR99+BR100),0)</f>
        <v>0</v>
      </c>
      <c r="BS101" s="8">
        <f>IF(AND(69&gt;=Assumptions!$B$37,BS99+BS100&gt;0),-MIN(Assumptions!$B$36,BS99+BS100),0)</f>
        <v>0</v>
      </c>
      <c r="BT101" s="8">
        <f>IF(AND(70&gt;=Assumptions!$B$37,BT99+BT100&gt;0),-MIN(Assumptions!$B$36,BT99+BT100),0)</f>
        <v>0</v>
      </c>
      <c r="BU101" s="8">
        <f>IF(AND(71&gt;=Assumptions!$B$37,BU99+BU100&gt;0),-MIN(Assumptions!$B$36,BU99+BU100),0)</f>
        <v>0</v>
      </c>
      <c r="BV101" s="8">
        <f>IF(AND(72&gt;=Assumptions!$B$37,BV99+BV100&gt;0),-MIN(Assumptions!$B$36,BV99+BV100),0)</f>
        <v>0</v>
      </c>
      <c r="BW101" s="8">
        <f>IF(AND(73&gt;=Assumptions!$B$37,BW99+BW100&gt;0),-MIN(Assumptions!$B$36,BW99+BW100),0)</f>
        <v>0</v>
      </c>
      <c r="BX101" s="8">
        <f>IF(AND(74&gt;=Assumptions!$B$37,BX99+BX100&gt;0),-MIN(Assumptions!$B$36,BX99+BX100),0)</f>
        <v>0</v>
      </c>
      <c r="BY101" s="8">
        <f>IF(AND(75&gt;=Assumptions!$B$37,BY99+BY100&gt;0),-MIN(Assumptions!$B$36,BY99+BY100),0)</f>
        <v>0</v>
      </c>
      <c r="BZ101" s="8">
        <f>IF(AND(76&gt;=Assumptions!$B$37,BZ99+BZ100&gt;0),-MIN(Assumptions!$B$36,BZ99+BZ100),0)</f>
        <v>0</v>
      </c>
      <c r="CA101" s="8">
        <f>IF(AND(77&gt;=Assumptions!$B$37,CA99+CA100&gt;0),-MIN(Assumptions!$B$36,CA99+CA100),0)</f>
        <v>0</v>
      </c>
      <c r="CB101" s="8">
        <f>IF(AND(78&gt;=Assumptions!$B$37,CB99+CB100&gt;0),-MIN(Assumptions!$B$36,CB99+CB100),0)</f>
        <v>0</v>
      </c>
      <c r="CC101" s="8">
        <f>IF(AND(79&gt;=Assumptions!$B$37,CC99+CC100&gt;0),-MIN(Assumptions!$B$36,CC99+CC100),0)</f>
        <v>0</v>
      </c>
      <c r="CD101" s="8">
        <f>IF(AND(80&gt;=Assumptions!$B$37,CD99+CD100&gt;0),-MIN(Assumptions!$B$36,CD99+CD100),0)</f>
        <v>0</v>
      </c>
      <c r="CE101" s="8">
        <f>IF(AND(81&gt;=Assumptions!$B$37,CE99+CE100&gt;0),-MIN(Assumptions!$B$36,CE99+CE100),0)</f>
        <v>0</v>
      </c>
      <c r="CF101" s="8">
        <f>IF(AND(82&gt;=Assumptions!$B$37,CF99+CF100&gt;0),-MIN(Assumptions!$B$36,CF99+CF100),0)</f>
        <v>0</v>
      </c>
      <c r="CG101" s="8">
        <f>IF(AND(83&gt;=Assumptions!$B$37,CG99+CG100&gt;0),-MIN(Assumptions!$B$36,CG99+CG100),0)</f>
        <v>0</v>
      </c>
      <c r="CH101" s="8">
        <f>IF(AND(84&gt;=Assumptions!$B$37,CH99+CH100&gt;0),-MIN(Assumptions!$B$36,CH99+CH100),0)</f>
        <v>0</v>
      </c>
      <c r="CI101" s="23"/>
    </row>
    <row r="102" spans="1:87" ht="15" customHeight="1" x14ac:dyDescent="0.25">
      <c r="A102" s="33" t="s">
        <v>198</v>
      </c>
      <c r="B102" s="28"/>
      <c r="C102" s="32">
        <f t="shared" ref="C102:AH102" si="45">MAX(0,C99+C100+C101)</f>
        <v>1615485</v>
      </c>
      <c r="D102" s="32">
        <f t="shared" si="45"/>
        <v>1615485</v>
      </c>
      <c r="E102" s="32">
        <f t="shared" si="45"/>
        <v>1676065.6875</v>
      </c>
      <c r="F102" s="32">
        <f t="shared" si="45"/>
        <v>1676065.6875</v>
      </c>
      <c r="G102" s="32">
        <f t="shared" si="45"/>
        <v>1676065.6875</v>
      </c>
      <c r="H102" s="32">
        <f t="shared" si="45"/>
        <v>1738918.1507812501</v>
      </c>
      <c r="I102" s="32">
        <f t="shared" si="45"/>
        <v>1608918.1507812501</v>
      </c>
      <c r="J102" s="32">
        <f t="shared" si="45"/>
        <v>1478918.1507812501</v>
      </c>
      <c r="K102" s="32">
        <f t="shared" si="45"/>
        <v>1404377.581435547</v>
      </c>
      <c r="L102" s="32">
        <f t="shared" si="45"/>
        <v>1274377.581435547</v>
      </c>
      <c r="M102" s="32">
        <f t="shared" si="45"/>
        <v>1144377.581435547</v>
      </c>
      <c r="N102" s="32">
        <f t="shared" si="45"/>
        <v>1057291.74073938</v>
      </c>
      <c r="O102" s="32">
        <f t="shared" si="45"/>
        <v>927291.74073938001</v>
      </c>
      <c r="P102" s="32">
        <f t="shared" si="45"/>
        <v>797291.74073938001</v>
      </c>
      <c r="Q102" s="32">
        <f t="shared" si="45"/>
        <v>697190.18101710675</v>
      </c>
      <c r="R102" s="32">
        <f t="shared" si="45"/>
        <v>567190.18101710675</v>
      </c>
      <c r="S102" s="32">
        <f t="shared" si="45"/>
        <v>437190.18101710675</v>
      </c>
      <c r="T102" s="32">
        <f t="shared" si="45"/>
        <v>323584.81280524825</v>
      </c>
      <c r="U102" s="32">
        <f t="shared" si="45"/>
        <v>193584.81280524825</v>
      </c>
      <c r="V102" s="32">
        <f t="shared" si="45"/>
        <v>63584.81280524825</v>
      </c>
      <c r="W102" s="32">
        <f t="shared" si="45"/>
        <v>0</v>
      </c>
      <c r="X102" s="32">
        <f t="shared" si="45"/>
        <v>0</v>
      </c>
      <c r="Y102" s="32">
        <f t="shared" si="45"/>
        <v>0</v>
      </c>
      <c r="Z102" s="32">
        <f t="shared" si="45"/>
        <v>0</v>
      </c>
      <c r="AA102" s="32">
        <f t="shared" si="45"/>
        <v>0</v>
      </c>
      <c r="AB102" s="32">
        <f t="shared" si="45"/>
        <v>0</v>
      </c>
      <c r="AC102" s="32">
        <f t="shared" si="45"/>
        <v>0</v>
      </c>
      <c r="AD102" s="32">
        <f t="shared" si="45"/>
        <v>0</v>
      </c>
      <c r="AE102" s="32">
        <f t="shared" si="45"/>
        <v>0</v>
      </c>
      <c r="AF102" s="32">
        <f t="shared" si="45"/>
        <v>0</v>
      </c>
      <c r="AG102" s="32">
        <f t="shared" si="45"/>
        <v>0</v>
      </c>
      <c r="AH102" s="32">
        <f t="shared" si="45"/>
        <v>0</v>
      </c>
      <c r="AI102" s="32">
        <f t="shared" ref="AI102:BN102" si="46">MAX(0,AI99+AI100+AI101)</f>
        <v>0</v>
      </c>
      <c r="AJ102" s="32">
        <f t="shared" si="46"/>
        <v>0</v>
      </c>
      <c r="AK102" s="32">
        <f t="shared" si="46"/>
        <v>0</v>
      </c>
      <c r="AL102" s="32">
        <f t="shared" si="46"/>
        <v>0</v>
      </c>
      <c r="AM102" s="32">
        <f t="shared" si="46"/>
        <v>0</v>
      </c>
      <c r="AN102" s="32">
        <f t="shared" si="46"/>
        <v>0</v>
      </c>
      <c r="AO102" s="32">
        <f t="shared" si="46"/>
        <v>0</v>
      </c>
      <c r="AP102" s="32">
        <f t="shared" si="46"/>
        <v>0</v>
      </c>
      <c r="AQ102" s="32">
        <f t="shared" si="46"/>
        <v>0</v>
      </c>
      <c r="AR102" s="32">
        <f t="shared" si="46"/>
        <v>0</v>
      </c>
      <c r="AS102" s="32">
        <f t="shared" si="46"/>
        <v>0</v>
      </c>
      <c r="AT102" s="32">
        <f t="shared" si="46"/>
        <v>0</v>
      </c>
      <c r="AU102" s="32">
        <f t="shared" si="46"/>
        <v>0</v>
      </c>
      <c r="AV102" s="32">
        <f t="shared" si="46"/>
        <v>0</v>
      </c>
      <c r="AW102" s="32">
        <f t="shared" si="46"/>
        <v>0</v>
      </c>
      <c r="AX102" s="32">
        <f t="shared" si="46"/>
        <v>0</v>
      </c>
      <c r="AY102" s="32">
        <f t="shared" si="46"/>
        <v>0</v>
      </c>
      <c r="AZ102" s="32">
        <f t="shared" si="46"/>
        <v>0</v>
      </c>
      <c r="BA102" s="32">
        <f t="shared" si="46"/>
        <v>0</v>
      </c>
      <c r="BB102" s="32">
        <f t="shared" si="46"/>
        <v>0</v>
      </c>
      <c r="BC102" s="32">
        <f t="shared" si="46"/>
        <v>0</v>
      </c>
      <c r="BD102" s="32">
        <f t="shared" si="46"/>
        <v>0</v>
      </c>
      <c r="BE102" s="32">
        <f t="shared" si="46"/>
        <v>0</v>
      </c>
      <c r="BF102" s="32">
        <f t="shared" si="46"/>
        <v>0</v>
      </c>
      <c r="BG102" s="32">
        <f t="shared" si="46"/>
        <v>0</v>
      </c>
      <c r="BH102" s="32">
        <f t="shared" si="46"/>
        <v>0</v>
      </c>
      <c r="BI102" s="32">
        <f t="shared" si="46"/>
        <v>0</v>
      </c>
      <c r="BJ102" s="32">
        <f t="shared" si="46"/>
        <v>0</v>
      </c>
      <c r="BK102" s="32">
        <f t="shared" si="46"/>
        <v>0</v>
      </c>
      <c r="BL102" s="32">
        <f t="shared" si="46"/>
        <v>0</v>
      </c>
      <c r="BM102" s="32">
        <f t="shared" si="46"/>
        <v>0</v>
      </c>
      <c r="BN102" s="32">
        <f t="shared" si="46"/>
        <v>0</v>
      </c>
      <c r="BO102" s="32">
        <f t="shared" ref="BO102:CT102" si="47">MAX(0,BO99+BO100+BO101)</f>
        <v>0</v>
      </c>
      <c r="BP102" s="32">
        <f t="shared" si="47"/>
        <v>0</v>
      </c>
      <c r="BQ102" s="32">
        <f t="shared" si="47"/>
        <v>0</v>
      </c>
      <c r="BR102" s="32">
        <f t="shared" si="47"/>
        <v>0</v>
      </c>
      <c r="BS102" s="32">
        <f t="shared" si="47"/>
        <v>0</v>
      </c>
      <c r="BT102" s="32">
        <f t="shared" si="47"/>
        <v>0</v>
      </c>
      <c r="BU102" s="32">
        <f t="shared" si="47"/>
        <v>0</v>
      </c>
      <c r="BV102" s="32">
        <f t="shared" si="47"/>
        <v>0</v>
      </c>
      <c r="BW102" s="32">
        <f t="shared" si="47"/>
        <v>0</v>
      </c>
      <c r="BX102" s="32">
        <f t="shared" si="47"/>
        <v>0</v>
      </c>
      <c r="BY102" s="32">
        <f t="shared" si="47"/>
        <v>0</v>
      </c>
      <c r="BZ102" s="32">
        <f t="shared" si="47"/>
        <v>0</v>
      </c>
      <c r="CA102" s="32">
        <f t="shared" si="47"/>
        <v>0</v>
      </c>
      <c r="CB102" s="32">
        <f t="shared" si="47"/>
        <v>0</v>
      </c>
      <c r="CC102" s="32">
        <f t="shared" si="47"/>
        <v>0</v>
      </c>
      <c r="CD102" s="32">
        <f t="shared" si="47"/>
        <v>0</v>
      </c>
      <c r="CE102" s="32">
        <f t="shared" si="47"/>
        <v>0</v>
      </c>
      <c r="CF102" s="32">
        <f t="shared" si="47"/>
        <v>0</v>
      </c>
      <c r="CG102" s="32">
        <f t="shared" si="47"/>
        <v>0</v>
      </c>
      <c r="CH102" s="32">
        <f t="shared" si="47"/>
        <v>0</v>
      </c>
      <c r="CI102" s="23"/>
    </row>
    <row r="103" spans="1:87" ht="15" customHeight="1" x14ac:dyDescent="0.25">
      <c r="A103" s="22"/>
      <c r="B103" s="22"/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22"/>
      <c r="AE103" s="22"/>
      <c r="AF103" s="22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22"/>
      <c r="AX103" s="22"/>
      <c r="AY103" s="22"/>
      <c r="AZ103" s="22"/>
      <c r="BA103" s="22"/>
      <c r="BB103" s="22"/>
      <c r="BC103" s="22"/>
      <c r="BD103" s="22"/>
      <c r="BE103" s="22"/>
      <c r="BF103" s="22"/>
      <c r="BG103" s="22"/>
      <c r="BH103" s="22"/>
      <c r="BI103" s="22"/>
      <c r="BJ103" s="22"/>
      <c r="BK103" s="22"/>
      <c r="BL103" s="22"/>
      <c r="BM103" s="22"/>
      <c r="BN103" s="22"/>
      <c r="BO103" s="22"/>
      <c r="BP103" s="22"/>
      <c r="BQ103" s="22"/>
      <c r="BR103" s="22"/>
      <c r="BS103" s="22"/>
      <c r="BT103" s="22"/>
      <c r="BU103" s="22"/>
      <c r="BV103" s="22"/>
      <c r="BW103" s="22"/>
      <c r="BX103" s="22"/>
      <c r="BY103" s="22"/>
      <c r="BZ103" s="22"/>
      <c r="CA103" s="22"/>
      <c r="CB103" s="22"/>
      <c r="CC103" s="22"/>
      <c r="CD103" s="22"/>
      <c r="CE103" s="22"/>
      <c r="CF103" s="22"/>
      <c r="CG103" s="22"/>
      <c r="CH103" s="22"/>
      <c r="CI103" s="23"/>
    </row>
    <row r="104" spans="1:87" ht="7.5" customHeight="1" x14ac:dyDescent="0.25">
      <c r="A104" s="22"/>
      <c r="B104" s="22"/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2"/>
      <c r="AE104" s="22"/>
      <c r="AF104" s="22"/>
      <c r="AG104" s="22"/>
      <c r="AH104" s="22"/>
      <c r="AI104" s="22"/>
      <c r="AJ104" s="22"/>
      <c r="AK104" s="22"/>
      <c r="AL104" s="22"/>
      <c r="AM104" s="22"/>
      <c r="AN104" s="22"/>
      <c r="AO104" s="22"/>
      <c r="AP104" s="22"/>
      <c r="AQ104" s="22"/>
      <c r="AR104" s="22"/>
      <c r="AS104" s="22"/>
      <c r="AT104" s="22"/>
      <c r="AU104" s="22"/>
      <c r="AV104" s="22"/>
      <c r="AW104" s="22"/>
      <c r="AX104" s="22"/>
      <c r="AY104" s="22"/>
      <c r="AZ104" s="22"/>
      <c r="BA104" s="22"/>
      <c r="BB104" s="22"/>
      <c r="BC104" s="22"/>
      <c r="BD104" s="22"/>
      <c r="BE104" s="22"/>
      <c r="BF104" s="22"/>
      <c r="BG104" s="22"/>
      <c r="BH104" s="22"/>
      <c r="BI104" s="22"/>
      <c r="BJ104" s="22"/>
      <c r="BK104" s="22"/>
      <c r="BL104" s="22"/>
      <c r="BM104" s="22"/>
      <c r="BN104" s="22"/>
      <c r="BO104" s="22"/>
      <c r="BP104" s="22"/>
      <c r="BQ104" s="22"/>
      <c r="BR104" s="22"/>
      <c r="BS104" s="22"/>
      <c r="BT104" s="22"/>
      <c r="BU104" s="22"/>
      <c r="BV104" s="22"/>
      <c r="BW104" s="22"/>
      <c r="BX104" s="22"/>
      <c r="BY104" s="22"/>
      <c r="BZ104" s="22"/>
      <c r="CA104" s="22"/>
      <c r="CB104" s="22"/>
      <c r="CC104" s="22"/>
      <c r="CD104" s="22"/>
      <c r="CE104" s="22"/>
      <c r="CF104" s="22"/>
      <c r="CG104" s="22"/>
      <c r="CH104" s="22"/>
      <c r="CI104" s="23"/>
    </row>
    <row r="105" spans="1:87" ht="15" customHeight="1" x14ac:dyDescent="0.25">
      <c r="A105" s="26" t="s">
        <v>199</v>
      </c>
      <c r="B105" s="26"/>
      <c r="C105" s="26"/>
      <c r="D105" s="26"/>
      <c r="E105" s="26"/>
      <c r="F105" s="26"/>
      <c r="G105" s="26"/>
      <c r="H105" s="26"/>
      <c r="I105" s="26"/>
      <c r="J105" s="26"/>
      <c r="K105" s="26"/>
      <c r="L105" s="26"/>
      <c r="M105" s="26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Z105" s="26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  <c r="AK105" s="26"/>
      <c r="AL105" s="26"/>
      <c r="AM105" s="26"/>
      <c r="AN105" s="26"/>
      <c r="AO105" s="26"/>
      <c r="AP105" s="26"/>
      <c r="AQ105" s="26"/>
      <c r="AR105" s="26"/>
      <c r="AS105" s="26"/>
      <c r="AT105" s="26"/>
      <c r="AU105" s="26"/>
      <c r="AV105" s="26"/>
      <c r="AW105" s="26"/>
      <c r="AX105" s="26"/>
      <c r="AY105" s="26"/>
      <c r="AZ105" s="26"/>
      <c r="BA105" s="26"/>
      <c r="BB105" s="26"/>
      <c r="BC105" s="26"/>
      <c r="BD105" s="26"/>
      <c r="BE105" s="26"/>
      <c r="BF105" s="26"/>
      <c r="BG105" s="26"/>
      <c r="BH105" s="26"/>
      <c r="BI105" s="26"/>
      <c r="BJ105" s="26"/>
      <c r="BK105" s="26"/>
      <c r="BL105" s="26"/>
      <c r="BM105" s="26"/>
      <c r="BN105" s="26"/>
      <c r="BO105" s="26"/>
      <c r="BP105" s="26"/>
      <c r="BQ105" s="26"/>
      <c r="BR105" s="26"/>
      <c r="BS105" s="26"/>
      <c r="BT105" s="26"/>
      <c r="BU105" s="26"/>
      <c r="BV105" s="26"/>
      <c r="BW105" s="26"/>
      <c r="BX105" s="26"/>
      <c r="BY105" s="26"/>
      <c r="BZ105" s="26"/>
      <c r="CA105" s="26"/>
      <c r="CB105" s="26"/>
      <c r="CC105" s="26"/>
      <c r="CD105" s="26"/>
      <c r="CE105" s="26"/>
      <c r="CF105" s="26"/>
      <c r="CG105" s="26"/>
      <c r="CH105" s="26"/>
      <c r="CI105" s="23"/>
    </row>
    <row r="106" spans="1:87" ht="15" customHeight="1" x14ac:dyDescent="0.25">
      <c r="A106" s="7" t="s">
        <v>195</v>
      </c>
      <c r="B106" s="22"/>
      <c r="C106" s="8">
        <f>Assumptions!$B$41</f>
        <v>1000000</v>
      </c>
      <c r="D106" s="8">
        <f t="shared" ref="D106:AI106" si="48">C108</f>
        <v>1000000</v>
      </c>
      <c r="E106" s="8">
        <f t="shared" si="48"/>
        <v>1000000</v>
      </c>
      <c r="F106" s="8">
        <f t="shared" si="48"/>
        <v>1000000</v>
      </c>
      <c r="G106" s="8">
        <f t="shared" si="48"/>
        <v>1000000</v>
      </c>
      <c r="H106" s="8">
        <f t="shared" si="48"/>
        <v>1000000</v>
      </c>
      <c r="I106" s="8">
        <f t="shared" si="48"/>
        <v>1000000</v>
      </c>
      <c r="J106" s="8">
        <f t="shared" si="48"/>
        <v>1000000</v>
      </c>
      <c r="K106" s="8">
        <f t="shared" si="48"/>
        <v>1000000</v>
      </c>
      <c r="L106" s="8">
        <f t="shared" si="48"/>
        <v>1000000</v>
      </c>
      <c r="M106" s="8">
        <f t="shared" si="48"/>
        <v>1000000</v>
      </c>
      <c r="N106" s="8">
        <f t="shared" si="48"/>
        <v>750000</v>
      </c>
      <c r="O106" s="8">
        <f t="shared" si="48"/>
        <v>750000</v>
      </c>
      <c r="P106" s="8">
        <f t="shared" si="48"/>
        <v>750000</v>
      </c>
      <c r="Q106" s="8">
        <f t="shared" si="48"/>
        <v>750000</v>
      </c>
      <c r="R106" s="8">
        <f t="shared" si="48"/>
        <v>750000</v>
      </c>
      <c r="S106" s="8">
        <f t="shared" si="48"/>
        <v>750000</v>
      </c>
      <c r="T106" s="8">
        <f t="shared" si="48"/>
        <v>750000</v>
      </c>
      <c r="U106" s="8">
        <f t="shared" si="48"/>
        <v>750000</v>
      </c>
      <c r="V106" s="8">
        <f t="shared" si="48"/>
        <v>750000</v>
      </c>
      <c r="W106" s="8">
        <f t="shared" si="48"/>
        <v>750000</v>
      </c>
      <c r="X106" s="8">
        <f t="shared" si="48"/>
        <v>750000</v>
      </c>
      <c r="Y106" s="8">
        <f t="shared" si="48"/>
        <v>750000</v>
      </c>
      <c r="Z106" s="8">
        <f t="shared" si="48"/>
        <v>500000</v>
      </c>
      <c r="AA106" s="8">
        <f t="shared" si="48"/>
        <v>500000</v>
      </c>
      <c r="AB106" s="8">
        <f t="shared" si="48"/>
        <v>500000</v>
      </c>
      <c r="AC106" s="8">
        <f t="shared" si="48"/>
        <v>500000</v>
      </c>
      <c r="AD106" s="8">
        <f t="shared" si="48"/>
        <v>500000</v>
      </c>
      <c r="AE106" s="8">
        <f t="shared" si="48"/>
        <v>500000</v>
      </c>
      <c r="AF106" s="8">
        <f t="shared" si="48"/>
        <v>500000</v>
      </c>
      <c r="AG106" s="8">
        <f t="shared" si="48"/>
        <v>500000</v>
      </c>
      <c r="AH106" s="8">
        <f t="shared" si="48"/>
        <v>500000</v>
      </c>
      <c r="AI106" s="8">
        <f t="shared" si="48"/>
        <v>500000</v>
      </c>
      <c r="AJ106" s="8">
        <f t="shared" ref="AJ106:BO106" si="49">AI108</f>
        <v>500000</v>
      </c>
      <c r="AK106" s="8">
        <f t="shared" si="49"/>
        <v>500000</v>
      </c>
      <c r="AL106" s="8">
        <f t="shared" si="49"/>
        <v>500000</v>
      </c>
      <c r="AM106" s="8">
        <f t="shared" si="49"/>
        <v>500000</v>
      </c>
      <c r="AN106" s="8">
        <f t="shared" si="49"/>
        <v>500000</v>
      </c>
      <c r="AO106" s="8">
        <f t="shared" si="49"/>
        <v>500000</v>
      </c>
      <c r="AP106" s="8">
        <f t="shared" si="49"/>
        <v>500000</v>
      </c>
      <c r="AQ106" s="8">
        <f t="shared" si="49"/>
        <v>500000</v>
      </c>
      <c r="AR106" s="8">
        <f t="shared" si="49"/>
        <v>500000</v>
      </c>
      <c r="AS106" s="8">
        <f t="shared" si="49"/>
        <v>500000</v>
      </c>
      <c r="AT106" s="8">
        <f t="shared" si="49"/>
        <v>500000</v>
      </c>
      <c r="AU106" s="8">
        <f t="shared" si="49"/>
        <v>500000</v>
      </c>
      <c r="AV106" s="8">
        <f t="shared" si="49"/>
        <v>500000</v>
      </c>
      <c r="AW106" s="8">
        <f t="shared" si="49"/>
        <v>500000</v>
      </c>
      <c r="AX106" s="8">
        <f t="shared" si="49"/>
        <v>500000</v>
      </c>
      <c r="AY106" s="8">
        <f t="shared" si="49"/>
        <v>500000</v>
      </c>
      <c r="AZ106" s="8">
        <f t="shared" si="49"/>
        <v>500000</v>
      </c>
      <c r="BA106" s="8">
        <f t="shared" si="49"/>
        <v>500000</v>
      </c>
      <c r="BB106" s="8">
        <f t="shared" si="49"/>
        <v>500000</v>
      </c>
      <c r="BC106" s="8">
        <f t="shared" si="49"/>
        <v>500000</v>
      </c>
      <c r="BD106" s="8">
        <f t="shared" si="49"/>
        <v>500000</v>
      </c>
      <c r="BE106" s="8">
        <f t="shared" si="49"/>
        <v>500000</v>
      </c>
      <c r="BF106" s="8">
        <f t="shared" si="49"/>
        <v>500000</v>
      </c>
      <c r="BG106" s="8">
        <f t="shared" si="49"/>
        <v>500000</v>
      </c>
      <c r="BH106" s="8">
        <f t="shared" si="49"/>
        <v>500000</v>
      </c>
      <c r="BI106" s="8">
        <f t="shared" si="49"/>
        <v>500000</v>
      </c>
      <c r="BJ106" s="8">
        <f t="shared" si="49"/>
        <v>500000</v>
      </c>
      <c r="BK106" s="8">
        <f t="shared" si="49"/>
        <v>500000</v>
      </c>
      <c r="BL106" s="8">
        <f t="shared" si="49"/>
        <v>500000</v>
      </c>
      <c r="BM106" s="8">
        <f t="shared" si="49"/>
        <v>500000</v>
      </c>
      <c r="BN106" s="8">
        <f t="shared" si="49"/>
        <v>500000</v>
      </c>
      <c r="BO106" s="8">
        <f t="shared" si="49"/>
        <v>500000</v>
      </c>
      <c r="BP106" s="8">
        <f t="shared" ref="BP106:CH106" si="50">BO108</f>
        <v>500000</v>
      </c>
      <c r="BQ106" s="8">
        <f t="shared" si="50"/>
        <v>500000</v>
      </c>
      <c r="BR106" s="8">
        <f t="shared" si="50"/>
        <v>500000</v>
      </c>
      <c r="BS106" s="8">
        <f t="shared" si="50"/>
        <v>500000</v>
      </c>
      <c r="BT106" s="8">
        <f t="shared" si="50"/>
        <v>500000</v>
      </c>
      <c r="BU106" s="8">
        <f t="shared" si="50"/>
        <v>500000</v>
      </c>
      <c r="BV106" s="8">
        <f t="shared" si="50"/>
        <v>500000</v>
      </c>
      <c r="BW106" s="8">
        <f t="shared" si="50"/>
        <v>500000</v>
      </c>
      <c r="BX106" s="8">
        <f t="shared" si="50"/>
        <v>500000</v>
      </c>
      <c r="BY106" s="8">
        <f t="shared" si="50"/>
        <v>500000</v>
      </c>
      <c r="BZ106" s="8">
        <f t="shared" si="50"/>
        <v>500000</v>
      </c>
      <c r="CA106" s="8">
        <f t="shared" si="50"/>
        <v>500000</v>
      </c>
      <c r="CB106" s="8">
        <f t="shared" si="50"/>
        <v>500000</v>
      </c>
      <c r="CC106" s="8">
        <f t="shared" si="50"/>
        <v>500000</v>
      </c>
      <c r="CD106" s="8">
        <f t="shared" si="50"/>
        <v>500000</v>
      </c>
      <c r="CE106" s="8">
        <f t="shared" si="50"/>
        <v>500000</v>
      </c>
      <c r="CF106" s="8">
        <f t="shared" si="50"/>
        <v>500000</v>
      </c>
      <c r="CG106" s="8">
        <f t="shared" si="50"/>
        <v>500000</v>
      </c>
      <c r="CH106" s="8">
        <f t="shared" si="50"/>
        <v>500000</v>
      </c>
      <c r="CI106" s="23"/>
    </row>
    <row r="107" spans="1:87" ht="15" customHeight="1" x14ac:dyDescent="0.25">
      <c r="A107" s="7" t="s">
        <v>200</v>
      </c>
      <c r="B107" s="22"/>
      <c r="C107" s="8">
        <v>0</v>
      </c>
      <c r="D107" s="8">
        <v>0</v>
      </c>
      <c r="E107" s="8">
        <v>0</v>
      </c>
      <c r="F107" s="8">
        <v>0</v>
      </c>
      <c r="G107" s="8">
        <v>0</v>
      </c>
      <c r="H107" s="8">
        <v>0</v>
      </c>
      <c r="I107" s="8">
        <v>0</v>
      </c>
      <c r="J107" s="8">
        <v>0</v>
      </c>
      <c r="K107" s="8">
        <v>0</v>
      </c>
      <c r="L107" s="8">
        <v>0</v>
      </c>
      <c r="M107" s="8">
        <f>IF(AND(M106&gt;0,SUM(C96:K96)&gt;=Assumptions!$B$43),-MIN(Assumptions!$B$42,M106),0)</f>
        <v>-250000</v>
      </c>
      <c r="N107" s="8">
        <v>0</v>
      </c>
      <c r="O107" s="8">
        <v>0</v>
      </c>
      <c r="P107" s="8">
        <v>0</v>
      </c>
      <c r="Q107" s="8">
        <v>0</v>
      </c>
      <c r="R107" s="8">
        <v>0</v>
      </c>
      <c r="S107" s="8">
        <v>0</v>
      </c>
      <c r="T107" s="8">
        <v>0</v>
      </c>
      <c r="U107" s="8">
        <v>0</v>
      </c>
      <c r="V107" s="8">
        <v>0</v>
      </c>
      <c r="W107" s="8">
        <v>0</v>
      </c>
      <c r="X107" s="8">
        <v>0</v>
      </c>
      <c r="Y107" s="8">
        <f>IF(AND(Y106&gt;0,SUM(L96:W96)&gt;=Assumptions!$B$43),-MIN(Assumptions!$B$42,Y106),0)</f>
        <v>-250000</v>
      </c>
      <c r="Z107" s="8">
        <v>0</v>
      </c>
      <c r="AA107" s="8">
        <v>0</v>
      </c>
      <c r="AB107" s="8">
        <v>0</v>
      </c>
      <c r="AC107" s="8">
        <v>0</v>
      </c>
      <c r="AD107" s="8">
        <v>0</v>
      </c>
      <c r="AE107" s="8">
        <v>0</v>
      </c>
      <c r="AF107" s="8">
        <v>0</v>
      </c>
      <c r="AG107" s="8">
        <v>0</v>
      </c>
      <c r="AH107" s="8">
        <v>0</v>
      </c>
      <c r="AI107" s="8">
        <v>0</v>
      </c>
      <c r="AJ107" s="8">
        <v>0</v>
      </c>
      <c r="AK107" s="8">
        <f>IF(AND(AK106&gt;0,SUM(X96:AI96)&gt;=Assumptions!$B$43),-MIN(Assumptions!$B$42,AK106),0)</f>
        <v>0</v>
      </c>
      <c r="AL107" s="8">
        <v>0</v>
      </c>
      <c r="AM107" s="8">
        <v>0</v>
      </c>
      <c r="AN107" s="8">
        <v>0</v>
      </c>
      <c r="AO107" s="8">
        <v>0</v>
      </c>
      <c r="AP107" s="8">
        <v>0</v>
      </c>
      <c r="AQ107" s="8">
        <v>0</v>
      </c>
      <c r="AR107" s="8">
        <v>0</v>
      </c>
      <c r="AS107" s="8">
        <v>0</v>
      </c>
      <c r="AT107" s="8">
        <v>0</v>
      </c>
      <c r="AU107" s="8">
        <v>0</v>
      </c>
      <c r="AV107" s="8">
        <v>0</v>
      </c>
      <c r="AW107" s="8">
        <f>IF(AND(AW106&gt;0,SUM(AJ96:AU96)&gt;=Assumptions!$B$43),-MIN(Assumptions!$B$42,AW106),0)</f>
        <v>0</v>
      </c>
      <c r="AX107" s="8">
        <v>0</v>
      </c>
      <c r="AY107" s="8">
        <v>0</v>
      </c>
      <c r="AZ107" s="8">
        <v>0</v>
      </c>
      <c r="BA107" s="8">
        <v>0</v>
      </c>
      <c r="BB107" s="8">
        <v>0</v>
      </c>
      <c r="BC107" s="8">
        <v>0</v>
      </c>
      <c r="BD107" s="8">
        <v>0</v>
      </c>
      <c r="BE107" s="8">
        <v>0</v>
      </c>
      <c r="BF107" s="8">
        <v>0</v>
      </c>
      <c r="BG107" s="8">
        <v>0</v>
      </c>
      <c r="BH107" s="8">
        <v>0</v>
      </c>
      <c r="BI107" s="8">
        <f>IF(AND(BI106&gt;0,SUM(AV96:BG96)&gt;=Assumptions!$B$43),-MIN(Assumptions!$B$42,BI106),0)</f>
        <v>0</v>
      </c>
      <c r="BJ107" s="8">
        <v>0</v>
      </c>
      <c r="BK107" s="8">
        <v>0</v>
      </c>
      <c r="BL107" s="8">
        <v>0</v>
      </c>
      <c r="BM107" s="8">
        <v>0</v>
      </c>
      <c r="BN107" s="8">
        <v>0</v>
      </c>
      <c r="BO107" s="8">
        <v>0</v>
      </c>
      <c r="BP107" s="8">
        <v>0</v>
      </c>
      <c r="BQ107" s="8">
        <v>0</v>
      </c>
      <c r="BR107" s="8">
        <v>0</v>
      </c>
      <c r="BS107" s="8">
        <v>0</v>
      </c>
      <c r="BT107" s="8">
        <v>0</v>
      </c>
      <c r="BU107" s="8">
        <f>IF(AND(BU106&gt;0,SUM(BH96:BS96)&gt;=Assumptions!$B$43),-MIN(Assumptions!$B$42,BU106),0)</f>
        <v>0</v>
      </c>
      <c r="BV107" s="8">
        <v>0</v>
      </c>
      <c r="BW107" s="8">
        <v>0</v>
      </c>
      <c r="BX107" s="8">
        <v>0</v>
      </c>
      <c r="BY107" s="8">
        <v>0</v>
      </c>
      <c r="BZ107" s="8">
        <v>0</v>
      </c>
      <c r="CA107" s="8">
        <v>0</v>
      </c>
      <c r="CB107" s="8">
        <v>0</v>
      </c>
      <c r="CC107" s="8">
        <v>0</v>
      </c>
      <c r="CD107" s="8">
        <v>0</v>
      </c>
      <c r="CE107" s="8">
        <v>0</v>
      </c>
      <c r="CF107" s="8">
        <v>0</v>
      </c>
      <c r="CG107" s="8">
        <f>IF(AND(CG106&gt;0,SUM(BT96:CE96)&gt;=Assumptions!$B$43),-MIN(Assumptions!$B$42,CG106),0)</f>
        <v>0</v>
      </c>
      <c r="CH107" s="8">
        <v>0</v>
      </c>
      <c r="CI107" s="23"/>
    </row>
    <row r="108" spans="1:87" ht="15" customHeight="1" x14ac:dyDescent="0.25">
      <c r="A108" s="33" t="s">
        <v>198</v>
      </c>
      <c r="B108" s="28"/>
      <c r="C108" s="32">
        <f t="shared" ref="C108:AH108" si="51">MAX(0,C106+C107)</f>
        <v>1000000</v>
      </c>
      <c r="D108" s="32">
        <f t="shared" si="51"/>
        <v>1000000</v>
      </c>
      <c r="E108" s="32">
        <f t="shared" si="51"/>
        <v>1000000</v>
      </c>
      <c r="F108" s="32">
        <f t="shared" si="51"/>
        <v>1000000</v>
      </c>
      <c r="G108" s="32">
        <f t="shared" si="51"/>
        <v>1000000</v>
      </c>
      <c r="H108" s="32">
        <f t="shared" si="51"/>
        <v>1000000</v>
      </c>
      <c r="I108" s="32">
        <f t="shared" si="51"/>
        <v>1000000</v>
      </c>
      <c r="J108" s="32">
        <f t="shared" si="51"/>
        <v>1000000</v>
      </c>
      <c r="K108" s="32">
        <f t="shared" si="51"/>
        <v>1000000</v>
      </c>
      <c r="L108" s="32">
        <f t="shared" si="51"/>
        <v>1000000</v>
      </c>
      <c r="M108" s="32">
        <f t="shared" si="51"/>
        <v>750000</v>
      </c>
      <c r="N108" s="32">
        <f t="shared" si="51"/>
        <v>750000</v>
      </c>
      <c r="O108" s="32">
        <f t="shared" si="51"/>
        <v>750000</v>
      </c>
      <c r="P108" s="32">
        <f t="shared" si="51"/>
        <v>750000</v>
      </c>
      <c r="Q108" s="32">
        <f t="shared" si="51"/>
        <v>750000</v>
      </c>
      <c r="R108" s="32">
        <f t="shared" si="51"/>
        <v>750000</v>
      </c>
      <c r="S108" s="32">
        <f t="shared" si="51"/>
        <v>750000</v>
      </c>
      <c r="T108" s="32">
        <f t="shared" si="51"/>
        <v>750000</v>
      </c>
      <c r="U108" s="32">
        <f t="shared" si="51"/>
        <v>750000</v>
      </c>
      <c r="V108" s="32">
        <f t="shared" si="51"/>
        <v>750000</v>
      </c>
      <c r="W108" s="32">
        <f t="shared" si="51"/>
        <v>750000</v>
      </c>
      <c r="X108" s="32">
        <f t="shared" si="51"/>
        <v>750000</v>
      </c>
      <c r="Y108" s="32">
        <f t="shared" si="51"/>
        <v>500000</v>
      </c>
      <c r="Z108" s="32">
        <f t="shared" si="51"/>
        <v>500000</v>
      </c>
      <c r="AA108" s="32">
        <f t="shared" si="51"/>
        <v>500000</v>
      </c>
      <c r="AB108" s="32">
        <f t="shared" si="51"/>
        <v>500000</v>
      </c>
      <c r="AC108" s="32">
        <f t="shared" si="51"/>
        <v>500000</v>
      </c>
      <c r="AD108" s="32">
        <f t="shared" si="51"/>
        <v>500000</v>
      </c>
      <c r="AE108" s="32">
        <f t="shared" si="51"/>
        <v>500000</v>
      </c>
      <c r="AF108" s="32">
        <f t="shared" si="51"/>
        <v>500000</v>
      </c>
      <c r="AG108" s="32">
        <f t="shared" si="51"/>
        <v>500000</v>
      </c>
      <c r="AH108" s="32">
        <f t="shared" si="51"/>
        <v>500000</v>
      </c>
      <c r="AI108" s="32">
        <f t="shared" ref="AI108:BN108" si="52">MAX(0,AI106+AI107)</f>
        <v>500000</v>
      </c>
      <c r="AJ108" s="32">
        <f t="shared" si="52"/>
        <v>500000</v>
      </c>
      <c r="AK108" s="32">
        <f t="shared" si="52"/>
        <v>500000</v>
      </c>
      <c r="AL108" s="32">
        <f t="shared" si="52"/>
        <v>500000</v>
      </c>
      <c r="AM108" s="32">
        <f t="shared" si="52"/>
        <v>500000</v>
      </c>
      <c r="AN108" s="32">
        <f t="shared" si="52"/>
        <v>500000</v>
      </c>
      <c r="AO108" s="32">
        <f t="shared" si="52"/>
        <v>500000</v>
      </c>
      <c r="AP108" s="32">
        <f t="shared" si="52"/>
        <v>500000</v>
      </c>
      <c r="AQ108" s="32">
        <f t="shared" si="52"/>
        <v>500000</v>
      </c>
      <c r="AR108" s="32">
        <f t="shared" si="52"/>
        <v>500000</v>
      </c>
      <c r="AS108" s="32">
        <f t="shared" si="52"/>
        <v>500000</v>
      </c>
      <c r="AT108" s="32">
        <f t="shared" si="52"/>
        <v>500000</v>
      </c>
      <c r="AU108" s="32">
        <f t="shared" si="52"/>
        <v>500000</v>
      </c>
      <c r="AV108" s="32">
        <f t="shared" si="52"/>
        <v>500000</v>
      </c>
      <c r="AW108" s="32">
        <f t="shared" si="52"/>
        <v>500000</v>
      </c>
      <c r="AX108" s="32">
        <f t="shared" si="52"/>
        <v>500000</v>
      </c>
      <c r="AY108" s="32">
        <f t="shared" si="52"/>
        <v>500000</v>
      </c>
      <c r="AZ108" s="32">
        <f t="shared" si="52"/>
        <v>500000</v>
      </c>
      <c r="BA108" s="32">
        <f t="shared" si="52"/>
        <v>500000</v>
      </c>
      <c r="BB108" s="32">
        <f t="shared" si="52"/>
        <v>500000</v>
      </c>
      <c r="BC108" s="32">
        <f t="shared" si="52"/>
        <v>500000</v>
      </c>
      <c r="BD108" s="32">
        <f t="shared" si="52"/>
        <v>500000</v>
      </c>
      <c r="BE108" s="32">
        <f t="shared" si="52"/>
        <v>500000</v>
      </c>
      <c r="BF108" s="32">
        <f t="shared" si="52"/>
        <v>500000</v>
      </c>
      <c r="BG108" s="32">
        <f t="shared" si="52"/>
        <v>500000</v>
      </c>
      <c r="BH108" s="32">
        <f t="shared" si="52"/>
        <v>500000</v>
      </c>
      <c r="BI108" s="32">
        <f t="shared" si="52"/>
        <v>500000</v>
      </c>
      <c r="BJ108" s="32">
        <f t="shared" si="52"/>
        <v>500000</v>
      </c>
      <c r="BK108" s="32">
        <f t="shared" si="52"/>
        <v>500000</v>
      </c>
      <c r="BL108" s="32">
        <f t="shared" si="52"/>
        <v>500000</v>
      </c>
      <c r="BM108" s="32">
        <f t="shared" si="52"/>
        <v>500000</v>
      </c>
      <c r="BN108" s="32">
        <f t="shared" si="52"/>
        <v>500000</v>
      </c>
      <c r="BO108" s="32">
        <f t="shared" ref="BO108:CT108" si="53">MAX(0,BO106+BO107)</f>
        <v>500000</v>
      </c>
      <c r="BP108" s="32">
        <f t="shared" si="53"/>
        <v>500000</v>
      </c>
      <c r="BQ108" s="32">
        <f t="shared" si="53"/>
        <v>500000</v>
      </c>
      <c r="BR108" s="32">
        <f t="shared" si="53"/>
        <v>500000</v>
      </c>
      <c r="BS108" s="32">
        <f t="shared" si="53"/>
        <v>500000</v>
      </c>
      <c r="BT108" s="32">
        <f t="shared" si="53"/>
        <v>500000</v>
      </c>
      <c r="BU108" s="32">
        <f t="shared" si="53"/>
        <v>500000</v>
      </c>
      <c r="BV108" s="32">
        <f t="shared" si="53"/>
        <v>500000</v>
      </c>
      <c r="BW108" s="32">
        <f t="shared" si="53"/>
        <v>500000</v>
      </c>
      <c r="BX108" s="32">
        <f t="shared" si="53"/>
        <v>500000</v>
      </c>
      <c r="BY108" s="32">
        <f t="shared" si="53"/>
        <v>500000</v>
      </c>
      <c r="BZ108" s="32">
        <f t="shared" si="53"/>
        <v>500000</v>
      </c>
      <c r="CA108" s="32">
        <f t="shared" si="53"/>
        <v>500000</v>
      </c>
      <c r="CB108" s="32">
        <f t="shared" si="53"/>
        <v>500000</v>
      </c>
      <c r="CC108" s="32">
        <f t="shared" si="53"/>
        <v>500000</v>
      </c>
      <c r="CD108" s="32">
        <f t="shared" si="53"/>
        <v>500000</v>
      </c>
      <c r="CE108" s="32">
        <f t="shared" si="53"/>
        <v>500000</v>
      </c>
      <c r="CF108" s="32">
        <f t="shared" si="53"/>
        <v>500000</v>
      </c>
      <c r="CG108" s="32">
        <f t="shared" si="53"/>
        <v>500000</v>
      </c>
      <c r="CH108" s="32">
        <f t="shared" si="53"/>
        <v>500000</v>
      </c>
      <c r="CI108" s="23"/>
    </row>
    <row r="109" spans="1:87" ht="16.5" customHeight="1" x14ac:dyDescent="0.25">
      <c r="A109" s="34"/>
      <c r="B109" s="34"/>
      <c r="C109" s="34"/>
      <c r="D109" s="34"/>
      <c r="E109" s="34"/>
      <c r="F109" s="34"/>
      <c r="G109" s="34"/>
      <c r="H109" s="34"/>
      <c r="I109" s="34"/>
      <c r="J109" s="34"/>
      <c r="K109" s="34"/>
      <c r="L109" s="34"/>
      <c r="M109" s="34"/>
      <c r="N109" s="34"/>
      <c r="O109" s="34"/>
      <c r="P109" s="34"/>
      <c r="Q109" s="34"/>
      <c r="R109" s="34"/>
      <c r="S109" s="34"/>
      <c r="T109" s="34"/>
      <c r="U109" s="34"/>
      <c r="V109" s="34"/>
      <c r="W109" s="34"/>
      <c r="X109" s="34"/>
      <c r="Y109" s="34"/>
      <c r="Z109" s="34"/>
      <c r="AA109" s="34"/>
      <c r="AB109" s="34"/>
      <c r="AC109" s="34"/>
      <c r="AD109" s="34"/>
      <c r="AE109" s="34"/>
      <c r="AF109" s="34"/>
      <c r="AG109" s="34"/>
      <c r="AH109" s="34"/>
      <c r="AI109" s="34"/>
      <c r="AJ109" s="34"/>
      <c r="AK109" s="34"/>
      <c r="AL109" s="34"/>
      <c r="AM109" s="34"/>
      <c r="AN109" s="34"/>
      <c r="AO109" s="34"/>
      <c r="AP109" s="34"/>
      <c r="AQ109" s="34"/>
      <c r="AR109" s="34"/>
      <c r="AS109" s="34"/>
      <c r="AT109" s="34"/>
      <c r="AU109" s="34"/>
      <c r="AV109" s="34"/>
      <c r="AW109" s="34"/>
      <c r="AX109" s="34"/>
      <c r="AY109" s="34"/>
      <c r="AZ109" s="34"/>
      <c r="BA109" s="34"/>
      <c r="BB109" s="34"/>
      <c r="BC109" s="34"/>
      <c r="BD109" s="34"/>
      <c r="BE109" s="34"/>
      <c r="BF109" s="34"/>
      <c r="BG109" s="34"/>
      <c r="BH109" s="34"/>
      <c r="BI109" s="34"/>
      <c r="BJ109" s="34"/>
      <c r="BK109" s="34"/>
      <c r="BL109" s="34"/>
      <c r="BM109" s="34"/>
      <c r="BN109" s="34"/>
      <c r="BO109" s="34"/>
      <c r="BP109" s="34"/>
      <c r="BQ109" s="34"/>
      <c r="BR109" s="34"/>
      <c r="BS109" s="34"/>
      <c r="BT109" s="34"/>
      <c r="BU109" s="34"/>
      <c r="BV109" s="34"/>
      <c r="BW109" s="34"/>
      <c r="BX109" s="34"/>
      <c r="BY109" s="34"/>
      <c r="BZ109" s="34"/>
      <c r="CA109" s="34"/>
      <c r="CB109" s="34"/>
      <c r="CC109" s="34"/>
      <c r="CD109" s="34"/>
      <c r="CE109" s="34"/>
      <c r="CF109" s="34"/>
      <c r="CG109" s="34"/>
      <c r="CH109" s="34"/>
      <c r="CI109" s="35"/>
    </row>
    <row r="110" spans="1:87" ht="15" customHeight="1" x14ac:dyDescent="0.25">
      <c r="A110" s="2" t="s">
        <v>201</v>
      </c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3"/>
    </row>
    <row r="111" spans="1:87" ht="15" customHeight="1" x14ac:dyDescent="0.25">
      <c r="A111" s="7" t="s">
        <v>202</v>
      </c>
      <c r="B111" s="7"/>
      <c r="C111" s="36">
        <f>IF(AND(Projects!$G$11="Yes",Projects!$C$11&lt;=1),Assumptions!$B$60,0)</f>
        <v>0</v>
      </c>
      <c r="D111" s="36">
        <f>IF(AND(Projects!$G$11="Yes",2=Projects!$C$11),Assumptions!$B$60,C115)</f>
        <v>0</v>
      </c>
      <c r="E111" s="36">
        <f>IF(AND(Projects!$G$11="Yes",3=Projects!$C$11),Assumptions!$B$60,D115)</f>
        <v>0</v>
      </c>
      <c r="F111" s="36">
        <f>IF(AND(Projects!$G$11="Yes",4=Projects!$C$11),Assumptions!$B$60,E115)</f>
        <v>0</v>
      </c>
      <c r="G111" s="36">
        <f>IF(AND(Projects!$G$11="Yes",5=Projects!$C$11),Assumptions!$B$60,F115)</f>
        <v>0</v>
      </c>
      <c r="H111" s="36">
        <f>IF(AND(Projects!$G$11="Yes",6=Projects!$C$11),Assumptions!$B$60,G115)</f>
        <v>0</v>
      </c>
      <c r="I111" s="36">
        <f>IF(AND(Projects!$G$11="Yes",7=Projects!$C$11),Assumptions!$B$60,H115)</f>
        <v>0</v>
      </c>
      <c r="J111" s="36">
        <f>IF(AND(Projects!$G$11="Yes",8=Projects!$C$11),Assumptions!$B$60,I115)</f>
        <v>0</v>
      </c>
      <c r="K111" s="36">
        <f>IF(AND(Projects!$G$11="Yes",9=Projects!$C$11),Assumptions!$B$60,J115)</f>
        <v>0</v>
      </c>
      <c r="L111" s="36">
        <f>IF(AND(Projects!$G$11="Yes",10=Projects!$C$11),Assumptions!$B$60,K115)</f>
        <v>0</v>
      </c>
      <c r="M111" s="36">
        <f>IF(AND(Projects!$G$11="Yes",11=Projects!$C$11),Assumptions!$B$60,L115)</f>
        <v>0</v>
      </c>
      <c r="N111" s="36">
        <f>IF(AND(Projects!$G$11="Yes",12=Projects!$C$11),Assumptions!$B$60,M115)</f>
        <v>0</v>
      </c>
      <c r="O111" s="36">
        <f>IF(AND(Projects!$G$11="Yes",13=Projects!$C$11),Assumptions!$B$60,N115)</f>
        <v>0</v>
      </c>
      <c r="P111" s="36">
        <f>IF(AND(Projects!$G$11="Yes",14=Projects!$C$11),Assumptions!$B$60,O115)</f>
        <v>0</v>
      </c>
      <c r="Q111" s="36">
        <f>IF(AND(Projects!$G$11="Yes",15=Projects!$C$11),Assumptions!$B$60,P115)</f>
        <v>0</v>
      </c>
      <c r="R111" s="36">
        <f>IF(AND(Projects!$G$11="Yes",16=Projects!$C$11),Assumptions!$B$60,Q115)</f>
        <v>0</v>
      </c>
      <c r="S111" s="36">
        <f>IF(AND(Projects!$G$11="Yes",17=Projects!$C$11),Assumptions!$B$60,R115)</f>
        <v>0</v>
      </c>
      <c r="T111" s="36">
        <f>IF(AND(Projects!$G$11="Yes",18=Projects!$C$11),Assumptions!$B$60,S115)</f>
        <v>0</v>
      </c>
      <c r="U111" s="36">
        <f>IF(AND(Projects!$G$11="Yes",19=Projects!$C$11),Assumptions!$B$60,T115)</f>
        <v>0</v>
      </c>
      <c r="V111" s="36">
        <f>IF(AND(Projects!$G$11="Yes",20=Projects!$C$11),Assumptions!$B$60,U115)</f>
        <v>0</v>
      </c>
      <c r="W111" s="36">
        <f>IF(AND(Projects!$G$11="Yes",21=Projects!$C$11),Assumptions!$B$60,V115)</f>
        <v>0</v>
      </c>
      <c r="X111" s="36">
        <f>IF(AND(Projects!$G$11="Yes",22=Projects!$C$11),Assumptions!$B$60,W115)</f>
        <v>0</v>
      </c>
      <c r="Y111" s="36">
        <f>IF(AND(Projects!$G$11="Yes",23=Projects!$C$11),Assumptions!$B$60,X115)</f>
        <v>0</v>
      </c>
      <c r="Z111" s="36">
        <f>IF(AND(Projects!$G$11="Yes",24=Projects!$C$11),Assumptions!$B$60,Y115)</f>
        <v>0</v>
      </c>
      <c r="AA111" s="36">
        <f>IF(AND(Projects!$G$11="Yes",25=Projects!$C$11),Assumptions!$B$60,Z115)</f>
        <v>0</v>
      </c>
      <c r="AB111" s="36">
        <f>IF(AND(Projects!$G$11="Yes",26=Projects!$C$11),Assumptions!$B$60,AA115)</f>
        <v>0</v>
      </c>
      <c r="AC111" s="36">
        <f>IF(AND(Projects!$G$11="Yes",27=Projects!$C$11),Assumptions!$B$60,AB115)</f>
        <v>0</v>
      </c>
      <c r="AD111" s="36">
        <f>IF(AND(Projects!$G$11="Yes",28=Projects!$C$11),Assumptions!$B$60,AC115)</f>
        <v>0</v>
      </c>
      <c r="AE111" s="36">
        <f>IF(AND(Projects!$G$11="Yes",29=Projects!$C$11),Assumptions!$B$60,AD115)</f>
        <v>0</v>
      </c>
      <c r="AF111" s="36">
        <f>IF(AND(Projects!$G$11="Yes",30=Projects!$C$11),Assumptions!$B$60,AE115)</f>
        <v>0</v>
      </c>
      <c r="AG111" s="36">
        <f>IF(AND(Projects!$G$11="Yes",31=Projects!$C$11),Assumptions!$B$60,AF115)</f>
        <v>0</v>
      </c>
      <c r="AH111" s="36">
        <f>IF(AND(Projects!$G$11="Yes",32=Projects!$C$11),Assumptions!$B$60,AG115)</f>
        <v>0</v>
      </c>
      <c r="AI111" s="36">
        <f>IF(AND(Projects!$G$11="Yes",33=Projects!$C$11),Assumptions!$B$60,AH115)</f>
        <v>0</v>
      </c>
      <c r="AJ111" s="36">
        <f>IF(AND(Projects!$G$11="Yes",34=Projects!$C$11),Assumptions!$B$60,AI115)</f>
        <v>0</v>
      </c>
      <c r="AK111" s="36">
        <f>IF(AND(Projects!$G$11="Yes",35=Projects!$C$11),Assumptions!$B$60,AJ115)</f>
        <v>0</v>
      </c>
      <c r="AL111" s="36">
        <f>IF(AND(Projects!$G$11="Yes",36=Projects!$C$11),Assumptions!$B$60,AK115)</f>
        <v>0</v>
      </c>
      <c r="AM111" s="36">
        <f>IF(AND(Projects!$G$11="Yes",37=Projects!$C$11),Assumptions!$B$60,AL115)</f>
        <v>0</v>
      </c>
      <c r="AN111" s="36">
        <f>IF(AND(Projects!$G$11="Yes",38=Projects!$C$11),Assumptions!$B$60,AM115)</f>
        <v>0</v>
      </c>
      <c r="AO111" s="36">
        <f>IF(AND(Projects!$G$11="Yes",39=Projects!$C$11),Assumptions!$B$60,AN115)</f>
        <v>0</v>
      </c>
      <c r="AP111" s="36">
        <f>IF(AND(Projects!$G$11="Yes",40=Projects!$C$11),Assumptions!$B$60,AO115)</f>
        <v>0</v>
      </c>
      <c r="AQ111" s="36">
        <f>IF(AND(Projects!$G$11="Yes",41=Projects!$C$11),Assumptions!$B$60,AP115)</f>
        <v>0</v>
      </c>
      <c r="AR111" s="36">
        <f>IF(AND(Projects!$G$11="Yes",42=Projects!$C$11),Assumptions!$B$60,AQ115)</f>
        <v>0</v>
      </c>
      <c r="AS111" s="36">
        <f>IF(AND(Projects!$G$11="Yes",43=Projects!$C$11),Assumptions!$B$60,AR115)</f>
        <v>0</v>
      </c>
      <c r="AT111" s="36">
        <f>IF(AND(Projects!$G$11="Yes",44=Projects!$C$11),Assumptions!$B$60,AS115)</f>
        <v>0</v>
      </c>
      <c r="AU111" s="36">
        <f>IF(AND(Projects!$G$11="Yes",45=Projects!$C$11),Assumptions!$B$60,AT115)</f>
        <v>0</v>
      </c>
      <c r="AV111" s="36">
        <f>IF(AND(Projects!$G$11="Yes",46=Projects!$C$11),Assumptions!$B$60,AU115)</f>
        <v>0</v>
      </c>
      <c r="AW111" s="36">
        <f>IF(AND(Projects!$G$11="Yes",47=Projects!$C$11),Assumptions!$B$60,AV115)</f>
        <v>0</v>
      </c>
      <c r="AX111" s="36">
        <f>IF(AND(Projects!$G$11="Yes",48=Projects!$C$11),Assumptions!$B$60,AW115)</f>
        <v>0</v>
      </c>
      <c r="AY111" s="36">
        <f>IF(AND(Projects!$G$11="Yes",49=Projects!$C$11),Assumptions!$B$60,AX115)</f>
        <v>0</v>
      </c>
      <c r="AZ111" s="36">
        <f>IF(AND(Projects!$G$11="Yes",50=Projects!$C$11),Assumptions!$B$60,AY115)</f>
        <v>0</v>
      </c>
      <c r="BA111" s="36">
        <f>IF(AND(Projects!$G$11="Yes",51=Projects!$C$11),Assumptions!$B$60,AZ115)</f>
        <v>0</v>
      </c>
      <c r="BB111" s="36">
        <f>IF(AND(Projects!$G$11="Yes",52=Projects!$C$11),Assumptions!$B$60,BA115)</f>
        <v>0</v>
      </c>
      <c r="BC111" s="36">
        <f>IF(AND(Projects!$G$11="Yes",53=Projects!$C$11),Assumptions!$B$60,BB115)</f>
        <v>0</v>
      </c>
      <c r="BD111" s="36">
        <f>IF(AND(Projects!$G$11="Yes",54=Projects!$C$11),Assumptions!$B$60,BC115)</f>
        <v>0</v>
      </c>
      <c r="BE111" s="36">
        <f>IF(AND(Projects!$G$11="Yes",55=Projects!$C$11),Assumptions!$B$60,BD115)</f>
        <v>0</v>
      </c>
      <c r="BF111" s="36">
        <f>IF(AND(Projects!$G$11="Yes",56=Projects!$C$11),Assumptions!$B$60,BE115)</f>
        <v>0</v>
      </c>
      <c r="BG111" s="36">
        <f>IF(AND(Projects!$G$11="Yes",57=Projects!$C$11),Assumptions!$B$60,BF115)</f>
        <v>0</v>
      </c>
      <c r="BH111" s="36">
        <f>IF(AND(Projects!$G$11="Yes",58=Projects!$C$11),Assumptions!$B$60,BG115)</f>
        <v>0</v>
      </c>
      <c r="BI111" s="36">
        <f>IF(AND(Projects!$G$11="Yes",59=Projects!$C$11),Assumptions!$B$60,BH115)</f>
        <v>0</v>
      </c>
      <c r="BJ111" s="36">
        <f>IF(AND(Projects!$G$11="Yes",60=Projects!$C$11),Assumptions!$B$60,BI115)</f>
        <v>0</v>
      </c>
      <c r="BK111" s="36">
        <f>IF(AND(Projects!$G$11="Yes",61=Projects!$C$11),Assumptions!$B$60,BJ115)</f>
        <v>0</v>
      </c>
      <c r="BL111" s="36">
        <f>IF(AND(Projects!$G$11="Yes",62=Projects!$C$11),Assumptions!$B$60,BK115)</f>
        <v>0</v>
      </c>
      <c r="BM111" s="36">
        <f>IF(AND(Projects!$G$11="Yes",63=Projects!$C$11),Assumptions!$B$60,BL115)</f>
        <v>0</v>
      </c>
      <c r="BN111" s="36">
        <f>IF(AND(Projects!$G$11="Yes",64=Projects!$C$11),Assumptions!$B$60,BM115)</f>
        <v>0</v>
      </c>
      <c r="BO111" s="36">
        <f>IF(AND(Projects!$G$11="Yes",65=Projects!$C$11),Assumptions!$B$60,BN115)</f>
        <v>0</v>
      </c>
      <c r="BP111" s="36">
        <f>IF(AND(Projects!$G$11="Yes",66=Projects!$C$11),Assumptions!$B$60,BO115)</f>
        <v>0</v>
      </c>
      <c r="BQ111" s="36">
        <f>IF(AND(Projects!$G$11="Yes",67=Projects!$C$11),Assumptions!$B$60,BP115)</f>
        <v>0</v>
      </c>
      <c r="BR111" s="36">
        <f>IF(AND(Projects!$G$11="Yes",68=Projects!$C$11),Assumptions!$B$60,BQ115)</f>
        <v>0</v>
      </c>
      <c r="BS111" s="36">
        <f>IF(AND(Projects!$G$11="Yes",69=Projects!$C$11),Assumptions!$B$60,BR115)</f>
        <v>0</v>
      </c>
      <c r="BT111" s="36">
        <f>IF(AND(Projects!$G$11="Yes",70=Projects!$C$11),Assumptions!$B$60,BS115)</f>
        <v>0</v>
      </c>
      <c r="BU111" s="36">
        <f>IF(AND(Projects!$G$11="Yes",71=Projects!$C$11),Assumptions!$B$60,BT115)</f>
        <v>0</v>
      </c>
      <c r="BV111" s="36">
        <f>IF(AND(Projects!$G$11="Yes",72=Projects!$C$11),Assumptions!$B$60,BU115)</f>
        <v>0</v>
      </c>
      <c r="BW111" s="36">
        <f>IF(AND(Projects!$G$11="Yes",73=Projects!$C$11),Assumptions!$B$60,BV115)</f>
        <v>0</v>
      </c>
      <c r="BX111" s="36">
        <f>IF(AND(Projects!$G$11="Yes",74=Projects!$C$11),Assumptions!$B$60,BW115)</f>
        <v>0</v>
      </c>
      <c r="BY111" s="36">
        <f>IF(AND(Projects!$G$11="Yes",75=Projects!$C$11),Assumptions!$B$60,BX115)</f>
        <v>0</v>
      </c>
      <c r="BZ111" s="36">
        <f>IF(AND(Projects!$G$11="Yes",76=Projects!$C$11),Assumptions!$B$60,BY115)</f>
        <v>0</v>
      </c>
      <c r="CA111" s="36">
        <f>IF(AND(Projects!$G$11="Yes",77=Projects!$C$11),Assumptions!$B$60,BZ115)</f>
        <v>0</v>
      </c>
      <c r="CB111" s="36">
        <f>IF(AND(Projects!$G$11="Yes",78=Projects!$C$11),Assumptions!$B$60,CA115)</f>
        <v>0</v>
      </c>
      <c r="CC111" s="36">
        <f>IF(AND(Projects!$G$11="Yes",79=Projects!$C$11),Assumptions!$B$60,CB115)</f>
        <v>0</v>
      </c>
      <c r="CD111" s="36">
        <f>IF(AND(Projects!$G$11="Yes",80=Projects!$C$11),Assumptions!$B$60,CC115)</f>
        <v>0</v>
      </c>
      <c r="CE111" s="36">
        <f>IF(AND(Projects!$G$11="Yes",81=Projects!$C$11),Assumptions!$B$60,CD115)</f>
        <v>0</v>
      </c>
      <c r="CF111" s="36">
        <f>IF(AND(Projects!$G$11="Yes",82=Projects!$C$11),Assumptions!$B$60,CE115)</f>
        <v>0</v>
      </c>
      <c r="CG111" s="36">
        <f>IF(AND(Projects!$G$11="Yes",83=Projects!$C$11),Assumptions!$B$60,CF115)</f>
        <v>0</v>
      </c>
      <c r="CH111" s="36">
        <f>IF(AND(Projects!$G$11="Yes",84=Projects!$C$11),Assumptions!$B$60,CG115)</f>
        <v>0</v>
      </c>
      <c r="CI111" s="23"/>
    </row>
    <row r="112" spans="1:87" ht="15" customHeight="1" x14ac:dyDescent="0.25">
      <c r="A112" s="7" t="s">
        <v>203</v>
      </c>
      <c r="B112" s="7"/>
      <c r="C112" s="36">
        <f>IF(AND(MOD(1,3)=0,C111&gt;0),C111*Assumptions!$B$59,0)</f>
        <v>0</v>
      </c>
      <c r="D112" s="36">
        <f>IF(AND(MOD(2,3)=0,D111&gt;0),D111*Assumptions!$B$59,0)</f>
        <v>0</v>
      </c>
      <c r="E112" s="36">
        <f>IF(AND(MOD(3,3)=0,E111&gt;0),E111*Assumptions!$B$59,0)</f>
        <v>0</v>
      </c>
      <c r="F112" s="36">
        <f>IF(AND(MOD(4,3)=0,F111&gt;0),F111*Assumptions!$B$59,0)</f>
        <v>0</v>
      </c>
      <c r="G112" s="36">
        <f>IF(AND(MOD(5,3)=0,G111&gt;0),G111*Assumptions!$B$59,0)</f>
        <v>0</v>
      </c>
      <c r="H112" s="36">
        <f>IF(AND(MOD(6,3)=0,H111&gt;0),H111*Assumptions!$B$59,0)</f>
        <v>0</v>
      </c>
      <c r="I112" s="36">
        <f>IF(AND(MOD(7,3)=0,I111&gt;0),I111*Assumptions!$B$59,0)</f>
        <v>0</v>
      </c>
      <c r="J112" s="36">
        <f>IF(AND(MOD(8,3)=0,J111&gt;0),J111*Assumptions!$B$59,0)</f>
        <v>0</v>
      </c>
      <c r="K112" s="36">
        <f>IF(AND(MOD(9,3)=0,K111&gt;0),K111*Assumptions!$B$59,0)</f>
        <v>0</v>
      </c>
      <c r="L112" s="36">
        <f>IF(AND(MOD(10,3)=0,L111&gt;0),L111*Assumptions!$B$59,0)</f>
        <v>0</v>
      </c>
      <c r="M112" s="36">
        <f>IF(AND(MOD(11,3)=0,M111&gt;0),M111*Assumptions!$B$59,0)</f>
        <v>0</v>
      </c>
      <c r="N112" s="36">
        <f>IF(AND(MOD(12,3)=0,N111&gt;0),N111*Assumptions!$B$59,0)</f>
        <v>0</v>
      </c>
      <c r="O112" s="36">
        <f>IF(AND(MOD(13,3)=0,O111&gt;0),O111*Assumptions!$B$59,0)</f>
        <v>0</v>
      </c>
      <c r="P112" s="36">
        <f>IF(AND(MOD(14,3)=0,P111&gt;0),P111*Assumptions!$B$59,0)</f>
        <v>0</v>
      </c>
      <c r="Q112" s="36">
        <f>IF(AND(MOD(15,3)=0,Q111&gt;0),Q111*Assumptions!$B$59,0)</f>
        <v>0</v>
      </c>
      <c r="R112" s="36">
        <f>IF(AND(MOD(16,3)=0,R111&gt;0),R111*Assumptions!$B$59,0)</f>
        <v>0</v>
      </c>
      <c r="S112" s="36">
        <f>IF(AND(MOD(17,3)=0,S111&gt;0),S111*Assumptions!$B$59,0)</f>
        <v>0</v>
      </c>
      <c r="T112" s="36">
        <f>IF(AND(MOD(18,3)=0,T111&gt;0),T111*Assumptions!$B$59,0)</f>
        <v>0</v>
      </c>
      <c r="U112" s="36">
        <f>IF(AND(MOD(19,3)=0,U111&gt;0),U111*Assumptions!$B$59,0)</f>
        <v>0</v>
      </c>
      <c r="V112" s="36">
        <f>IF(AND(MOD(20,3)=0,V111&gt;0),V111*Assumptions!$B$59,0)</f>
        <v>0</v>
      </c>
      <c r="W112" s="36">
        <f>IF(AND(MOD(21,3)=0,W111&gt;0),W111*Assumptions!$B$59,0)</f>
        <v>0</v>
      </c>
      <c r="X112" s="36">
        <f>IF(AND(MOD(22,3)=0,X111&gt;0),X111*Assumptions!$B$59,0)</f>
        <v>0</v>
      </c>
      <c r="Y112" s="36">
        <f>IF(AND(MOD(23,3)=0,Y111&gt;0),Y111*Assumptions!$B$59,0)</f>
        <v>0</v>
      </c>
      <c r="Z112" s="36">
        <f>IF(AND(MOD(24,3)=0,Z111&gt;0),Z111*Assumptions!$B$59,0)</f>
        <v>0</v>
      </c>
      <c r="AA112" s="36">
        <f>IF(AND(MOD(25,3)=0,AA111&gt;0),AA111*Assumptions!$B$59,0)</f>
        <v>0</v>
      </c>
      <c r="AB112" s="36">
        <f>IF(AND(MOD(26,3)=0,AB111&gt;0),AB111*Assumptions!$B$59,0)</f>
        <v>0</v>
      </c>
      <c r="AC112" s="36">
        <f>IF(AND(MOD(27,3)=0,AC111&gt;0),AC111*Assumptions!$B$59,0)</f>
        <v>0</v>
      </c>
      <c r="AD112" s="36">
        <f>IF(AND(MOD(28,3)=0,AD111&gt;0),AD111*Assumptions!$B$59,0)</f>
        <v>0</v>
      </c>
      <c r="AE112" s="36">
        <f>IF(AND(MOD(29,3)=0,AE111&gt;0),AE111*Assumptions!$B$59,0)</f>
        <v>0</v>
      </c>
      <c r="AF112" s="36">
        <f>IF(AND(MOD(30,3)=0,AF111&gt;0),AF111*Assumptions!$B$59,0)</f>
        <v>0</v>
      </c>
      <c r="AG112" s="36">
        <f>IF(AND(MOD(31,3)=0,AG111&gt;0),AG111*Assumptions!$B$59,0)</f>
        <v>0</v>
      </c>
      <c r="AH112" s="36">
        <f>IF(AND(MOD(32,3)=0,AH111&gt;0),AH111*Assumptions!$B$59,0)</f>
        <v>0</v>
      </c>
      <c r="AI112" s="36">
        <f>IF(AND(MOD(33,3)=0,AI111&gt;0),AI111*Assumptions!$B$59,0)</f>
        <v>0</v>
      </c>
      <c r="AJ112" s="36">
        <f>IF(AND(MOD(34,3)=0,AJ111&gt;0),AJ111*Assumptions!$B$59,0)</f>
        <v>0</v>
      </c>
      <c r="AK112" s="36">
        <f>IF(AND(MOD(35,3)=0,AK111&gt;0),AK111*Assumptions!$B$59,0)</f>
        <v>0</v>
      </c>
      <c r="AL112" s="36">
        <f>IF(AND(MOD(36,3)=0,AL111&gt;0),AL111*Assumptions!$B$59,0)</f>
        <v>0</v>
      </c>
      <c r="AM112" s="36">
        <f>IF(AND(MOD(37,3)=0,AM111&gt;0),AM111*Assumptions!$B$59,0)</f>
        <v>0</v>
      </c>
      <c r="AN112" s="36">
        <f>IF(AND(MOD(38,3)=0,AN111&gt;0),AN111*Assumptions!$B$59,0)</f>
        <v>0</v>
      </c>
      <c r="AO112" s="36">
        <f>IF(AND(MOD(39,3)=0,AO111&gt;0),AO111*Assumptions!$B$59,0)</f>
        <v>0</v>
      </c>
      <c r="AP112" s="36">
        <f>IF(AND(MOD(40,3)=0,AP111&gt;0),AP111*Assumptions!$B$59,0)</f>
        <v>0</v>
      </c>
      <c r="AQ112" s="36">
        <f>IF(AND(MOD(41,3)=0,AQ111&gt;0),AQ111*Assumptions!$B$59,0)</f>
        <v>0</v>
      </c>
      <c r="AR112" s="36">
        <f>IF(AND(MOD(42,3)=0,AR111&gt;0),AR111*Assumptions!$B$59,0)</f>
        <v>0</v>
      </c>
      <c r="AS112" s="36">
        <f>IF(AND(MOD(43,3)=0,AS111&gt;0),AS111*Assumptions!$B$59,0)</f>
        <v>0</v>
      </c>
      <c r="AT112" s="36">
        <f>IF(AND(MOD(44,3)=0,AT111&gt;0),AT111*Assumptions!$B$59,0)</f>
        <v>0</v>
      </c>
      <c r="AU112" s="36">
        <f>IF(AND(MOD(45,3)=0,AU111&gt;0),AU111*Assumptions!$B$59,0)</f>
        <v>0</v>
      </c>
      <c r="AV112" s="36">
        <f>IF(AND(MOD(46,3)=0,AV111&gt;0),AV111*Assumptions!$B$59,0)</f>
        <v>0</v>
      </c>
      <c r="AW112" s="36">
        <f>IF(AND(MOD(47,3)=0,AW111&gt;0),AW111*Assumptions!$B$59,0)</f>
        <v>0</v>
      </c>
      <c r="AX112" s="36">
        <f>IF(AND(MOD(48,3)=0,AX111&gt;0),AX111*Assumptions!$B$59,0)</f>
        <v>0</v>
      </c>
      <c r="AY112" s="36">
        <f>IF(AND(MOD(49,3)=0,AY111&gt;0),AY111*Assumptions!$B$59,0)</f>
        <v>0</v>
      </c>
      <c r="AZ112" s="36">
        <f>IF(AND(MOD(50,3)=0,AZ111&gt;0),AZ111*Assumptions!$B$59,0)</f>
        <v>0</v>
      </c>
      <c r="BA112" s="36">
        <f>IF(AND(MOD(51,3)=0,BA111&gt;0),BA111*Assumptions!$B$59,0)</f>
        <v>0</v>
      </c>
      <c r="BB112" s="36">
        <f>IF(AND(MOD(52,3)=0,BB111&gt;0),BB111*Assumptions!$B$59,0)</f>
        <v>0</v>
      </c>
      <c r="BC112" s="36">
        <f>IF(AND(MOD(53,3)=0,BC111&gt;0),BC111*Assumptions!$B$59,0)</f>
        <v>0</v>
      </c>
      <c r="BD112" s="36">
        <f>IF(AND(MOD(54,3)=0,BD111&gt;0),BD111*Assumptions!$B$59,0)</f>
        <v>0</v>
      </c>
      <c r="BE112" s="36">
        <f>IF(AND(MOD(55,3)=0,BE111&gt;0),BE111*Assumptions!$B$59,0)</f>
        <v>0</v>
      </c>
      <c r="BF112" s="36">
        <f>IF(AND(MOD(56,3)=0,BF111&gt;0),BF111*Assumptions!$B$59,0)</f>
        <v>0</v>
      </c>
      <c r="BG112" s="36">
        <f>IF(AND(MOD(57,3)=0,BG111&gt;0),BG111*Assumptions!$B$59,0)</f>
        <v>0</v>
      </c>
      <c r="BH112" s="36">
        <f>IF(AND(MOD(58,3)=0,BH111&gt;0),BH111*Assumptions!$B$59,0)</f>
        <v>0</v>
      </c>
      <c r="BI112" s="36">
        <f>IF(AND(MOD(59,3)=0,BI111&gt;0),BI111*Assumptions!$B$59,0)</f>
        <v>0</v>
      </c>
      <c r="BJ112" s="36">
        <f>IF(AND(MOD(60,3)=0,BJ111&gt;0),BJ111*Assumptions!$B$59,0)</f>
        <v>0</v>
      </c>
      <c r="BK112" s="36">
        <f>IF(AND(MOD(61,3)=0,BK111&gt;0),BK111*Assumptions!$B$59,0)</f>
        <v>0</v>
      </c>
      <c r="BL112" s="36">
        <f>IF(AND(MOD(62,3)=0,BL111&gt;0),BL111*Assumptions!$B$59,0)</f>
        <v>0</v>
      </c>
      <c r="BM112" s="36">
        <f>IF(AND(MOD(63,3)=0,BM111&gt;0),BM111*Assumptions!$B$59,0)</f>
        <v>0</v>
      </c>
      <c r="BN112" s="36">
        <f>IF(AND(MOD(64,3)=0,BN111&gt;0),BN111*Assumptions!$B$59,0)</f>
        <v>0</v>
      </c>
      <c r="BO112" s="36">
        <f>IF(AND(MOD(65,3)=0,BO111&gt;0),BO111*Assumptions!$B$59,0)</f>
        <v>0</v>
      </c>
      <c r="BP112" s="36">
        <f>IF(AND(MOD(66,3)=0,BP111&gt;0),BP111*Assumptions!$B$59,0)</f>
        <v>0</v>
      </c>
      <c r="BQ112" s="36">
        <f>IF(AND(MOD(67,3)=0,BQ111&gt;0),BQ111*Assumptions!$B$59,0)</f>
        <v>0</v>
      </c>
      <c r="BR112" s="36">
        <f>IF(AND(MOD(68,3)=0,BR111&gt;0),BR111*Assumptions!$B$59,0)</f>
        <v>0</v>
      </c>
      <c r="BS112" s="36">
        <f>IF(AND(MOD(69,3)=0,BS111&gt;0),BS111*Assumptions!$B$59,0)</f>
        <v>0</v>
      </c>
      <c r="BT112" s="36">
        <f>IF(AND(MOD(70,3)=0,BT111&gt;0),BT111*Assumptions!$B$59,0)</f>
        <v>0</v>
      </c>
      <c r="BU112" s="36">
        <f>IF(AND(MOD(71,3)=0,BU111&gt;0),BU111*Assumptions!$B$59,0)</f>
        <v>0</v>
      </c>
      <c r="BV112" s="36">
        <f>IF(AND(MOD(72,3)=0,BV111&gt;0),BV111*Assumptions!$B$59,0)</f>
        <v>0</v>
      </c>
      <c r="BW112" s="36">
        <f>IF(AND(MOD(73,3)=0,BW111&gt;0),BW111*Assumptions!$B$59,0)</f>
        <v>0</v>
      </c>
      <c r="BX112" s="36">
        <f>IF(AND(MOD(74,3)=0,BX111&gt;0),BX111*Assumptions!$B$59,0)</f>
        <v>0</v>
      </c>
      <c r="BY112" s="36">
        <f>IF(AND(MOD(75,3)=0,BY111&gt;0),BY111*Assumptions!$B$59,0)</f>
        <v>0</v>
      </c>
      <c r="BZ112" s="36">
        <f>IF(AND(MOD(76,3)=0,BZ111&gt;0),BZ111*Assumptions!$B$59,0)</f>
        <v>0</v>
      </c>
      <c r="CA112" s="36">
        <f>IF(AND(MOD(77,3)=0,CA111&gt;0),CA111*Assumptions!$B$59,0)</f>
        <v>0</v>
      </c>
      <c r="CB112" s="36">
        <f>IF(AND(MOD(78,3)=0,CB111&gt;0),CB111*Assumptions!$B$59,0)</f>
        <v>0</v>
      </c>
      <c r="CC112" s="36">
        <f>IF(AND(MOD(79,3)=0,CC111&gt;0),CC111*Assumptions!$B$59,0)</f>
        <v>0</v>
      </c>
      <c r="CD112" s="36">
        <f>IF(AND(MOD(80,3)=0,CD111&gt;0),CD111*Assumptions!$B$59,0)</f>
        <v>0</v>
      </c>
      <c r="CE112" s="36">
        <f>IF(AND(MOD(81,3)=0,CE111&gt;0),CE111*Assumptions!$B$59,0)</f>
        <v>0</v>
      </c>
      <c r="CF112" s="36">
        <f>IF(AND(MOD(82,3)=0,CF111&gt;0),CF111*Assumptions!$B$59,0)</f>
        <v>0</v>
      </c>
      <c r="CG112" s="36">
        <f>IF(AND(MOD(83,3)=0,CG111&gt;0),CG111*Assumptions!$B$59,0)</f>
        <v>0</v>
      </c>
      <c r="CH112" s="36">
        <f>IF(AND(MOD(84,3)=0,CH111&gt;0),CH111*Assumptions!$B$59,0)</f>
        <v>0</v>
      </c>
      <c r="CI112" s="23"/>
    </row>
    <row r="113" spans="1:87" ht="15" customHeight="1" x14ac:dyDescent="0.25">
      <c r="A113" s="7" t="s">
        <v>204</v>
      </c>
      <c r="B113" s="7"/>
      <c r="C113" s="36">
        <v>0</v>
      </c>
      <c r="D113" s="36">
        <v>0</v>
      </c>
      <c r="E113" s="36">
        <v>0</v>
      </c>
      <c r="F113" s="36">
        <v>0</v>
      </c>
      <c r="G113" s="36">
        <v>0</v>
      </c>
      <c r="H113" s="36">
        <v>0</v>
      </c>
      <c r="I113" s="36">
        <v>0</v>
      </c>
      <c r="J113" s="36">
        <v>0</v>
      </c>
      <c r="K113" s="36">
        <v>0</v>
      </c>
      <c r="L113" s="36">
        <v>0</v>
      </c>
      <c r="M113" s="36">
        <v>0</v>
      </c>
      <c r="N113" s="36">
        <v>0</v>
      </c>
      <c r="O113" s="36">
        <v>0</v>
      </c>
      <c r="P113" s="36">
        <v>0</v>
      </c>
      <c r="Q113" s="36">
        <v>0</v>
      </c>
      <c r="R113" s="36">
        <v>0</v>
      </c>
      <c r="S113" s="36">
        <v>0</v>
      </c>
      <c r="T113" s="36">
        <v>0</v>
      </c>
      <c r="U113" s="36">
        <v>0</v>
      </c>
      <c r="V113" s="36">
        <v>0</v>
      </c>
      <c r="W113" s="36">
        <v>0</v>
      </c>
      <c r="X113" s="36">
        <v>0</v>
      </c>
      <c r="Y113" s="36">
        <v>0</v>
      </c>
      <c r="Z113" s="36">
        <v>0</v>
      </c>
      <c r="AA113" s="36">
        <v>0</v>
      </c>
      <c r="AB113" s="36">
        <v>0</v>
      </c>
      <c r="AC113" s="36">
        <v>0</v>
      </c>
      <c r="AD113" s="36">
        <v>0</v>
      </c>
      <c r="AE113" s="36">
        <v>0</v>
      </c>
      <c r="AF113" s="36">
        <v>0</v>
      </c>
      <c r="AG113" s="36">
        <v>0</v>
      </c>
      <c r="AH113" s="36">
        <v>0</v>
      </c>
      <c r="AI113" s="36">
        <v>0</v>
      </c>
      <c r="AJ113" s="36">
        <v>0</v>
      </c>
      <c r="AK113" s="36">
        <v>0</v>
      </c>
      <c r="AL113" s="36">
        <v>0</v>
      </c>
      <c r="AM113" s="36">
        <v>0</v>
      </c>
      <c r="AN113" s="36">
        <v>0</v>
      </c>
      <c r="AO113" s="36">
        <v>0</v>
      </c>
      <c r="AP113" s="36">
        <v>0</v>
      </c>
      <c r="AQ113" s="36">
        <v>0</v>
      </c>
      <c r="AR113" s="36">
        <v>0</v>
      </c>
      <c r="AS113" s="36">
        <v>0</v>
      </c>
      <c r="AT113" s="36">
        <v>0</v>
      </c>
      <c r="AU113" s="36">
        <v>0</v>
      </c>
      <c r="AV113" s="36">
        <v>0</v>
      </c>
      <c r="AW113" s="36">
        <v>0</v>
      </c>
      <c r="AX113" s="36">
        <v>0</v>
      </c>
      <c r="AY113" s="36">
        <v>0</v>
      </c>
      <c r="AZ113" s="36">
        <v>0</v>
      </c>
      <c r="BA113" s="36">
        <v>0</v>
      </c>
      <c r="BB113" s="36">
        <v>0</v>
      </c>
      <c r="BC113" s="36">
        <v>0</v>
      </c>
      <c r="BD113" s="36">
        <v>0</v>
      </c>
      <c r="BE113" s="36">
        <v>0</v>
      </c>
      <c r="BF113" s="36">
        <v>0</v>
      </c>
      <c r="BG113" s="36">
        <v>0</v>
      </c>
      <c r="BH113" s="36">
        <v>0</v>
      </c>
      <c r="BI113" s="36">
        <v>0</v>
      </c>
      <c r="BJ113" s="36">
        <v>0</v>
      </c>
      <c r="BK113" s="36">
        <v>0</v>
      </c>
      <c r="BL113" s="36">
        <v>0</v>
      </c>
      <c r="BM113" s="36">
        <v>0</v>
      </c>
      <c r="BN113" s="36">
        <v>0</v>
      </c>
      <c r="BO113" s="36">
        <v>0</v>
      </c>
      <c r="BP113" s="36">
        <v>0</v>
      </c>
      <c r="BQ113" s="36">
        <v>0</v>
      </c>
      <c r="BR113" s="36">
        <v>0</v>
      </c>
      <c r="BS113" s="36">
        <v>0</v>
      </c>
      <c r="BT113" s="36">
        <v>0</v>
      </c>
      <c r="BU113" s="36">
        <v>0</v>
      </c>
      <c r="BV113" s="36">
        <v>0</v>
      </c>
      <c r="BW113" s="36">
        <v>0</v>
      </c>
      <c r="BX113" s="36">
        <v>0</v>
      </c>
      <c r="BY113" s="36">
        <v>0</v>
      </c>
      <c r="BZ113" s="36">
        <v>0</v>
      </c>
      <c r="CA113" s="36">
        <v>0</v>
      </c>
      <c r="CB113" s="36">
        <v>0</v>
      </c>
      <c r="CC113" s="36">
        <v>0</v>
      </c>
      <c r="CD113" s="36">
        <v>0</v>
      </c>
      <c r="CE113" s="36">
        <v>0</v>
      </c>
      <c r="CF113" s="36">
        <v>0</v>
      </c>
      <c r="CG113" s="36">
        <v>0</v>
      </c>
      <c r="CH113" s="36">
        <v>0</v>
      </c>
      <c r="CI113" s="23"/>
    </row>
    <row r="114" spans="1:87" ht="15" customHeight="1" x14ac:dyDescent="0.25">
      <c r="A114" s="37" t="s">
        <v>205</v>
      </c>
      <c r="B114" s="37"/>
      <c r="C114" s="38">
        <v>0</v>
      </c>
      <c r="D114" s="38">
        <v>0</v>
      </c>
      <c r="E114" s="38">
        <v>0</v>
      </c>
      <c r="F114" s="38">
        <v>0</v>
      </c>
      <c r="G114" s="38">
        <v>0</v>
      </c>
      <c r="H114" s="38">
        <v>0</v>
      </c>
      <c r="I114" s="38">
        <v>0</v>
      </c>
      <c r="J114" s="38">
        <v>0</v>
      </c>
      <c r="K114" s="38">
        <v>0</v>
      </c>
      <c r="L114" s="38">
        <v>0</v>
      </c>
      <c r="M114" s="38">
        <v>0</v>
      </c>
      <c r="N114" s="38">
        <v>0</v>
      </c>
      <c r="O114" s="38">
        <v>0</v>
      </c>
      <c r="P114" s="38">
        <v>0</v>
      </c>
      <c r="Q114" s="38">
        <v>0</v>
      </c>
      <c r="R114" s="38">
        <v>0</v>
      </c>
      <c r="S114" s="38">
        <v>0</v>
      </c>
      <c r="T114" s="38">
        <v>0</v>
      </c>
      <c r="U114" s="38">
        <v>0</v>
      </c>
      <c r="V114" s="38">
        <v>0</v>
      </c>
      <c r="W114" s="38">
        <v>0</v>
      </c>
      <c r="X114" s="38">
        <v>0</v>
      </c>
      <c r="Y114" s="38">
        <v>0</v>
      </c>
      <c r="Z114" s="38">
        <v>0</v>
      </c>
      <c r="AA114" s="38">
        <v>0</v>
      </c>
      <c r="AB114" s="38">
        <v>0</v>
      </c>
      <c r="AC114" s="38">
        <v>0</v>
      </c>
      <c r="AD114" s="38">
        <v>0</v>
      </c>
      <c r="AE114" s="38">
        <v>0</v>
      </c>
      <c r="AF114" s="38">
        <v>0</v>
      </c>
      <c r="AG114" s="38">
        <v>0</v>
      </c>
      <c r="AH114" s="38">
        <v>0</v>
      </c>
      <c r="AI114" s="38">
        <v>0</v>
      </c>
      <c r="AJ114" s="38">
        <v>0</v>
      </c>
      <c r="AK114" s="38">
        <v>0</v>
      </c>
      <c r="AL114" s="38">
        <v>0</v>
      </c>
      <c r="AM114" s="38">
        <v>0</v>
      </c>
      <c r="AN114" s="38">
        <v>0</v>
      </c>
      <c r="AO114" s="38">
        <v>0</v>
      </c>
      <c r="AP114" s="38">
        <v>0</v>
      </c>
      <c r="AQ114" s="38">
        <v>0</v>
      </c>
      <c r="AR114" s="38">
        <v>0</v>
      </c>
      <c r="AS114" s="38">
        <v>0</v>
      </c>
      <c r="AT114" s="38">
        <v>0</v>
      </c>
      <c r="AU114" s="38">
        <v>0</v>
      </c>
      <c r="AV114" s="38">
        <v>0</v>
      </c>
      <c r="AW114" s="38">
        <v>0</v>
      </c>
      <c r="AX114" s="38">
        <v>0</v>
      </c>
      <c r="AY114" s="38">
        <v>0</v>
      </c>
      <c r="AZ114" s="38">
        <v>0</v>
      </c>
      <c r="BA114" s="38">
        <v>0</v>
      </c>
      <c r="BB114" s="38">
        <v>0</v>
      </c>
      <c r="BC114" s="38">
        <v>0</v>
      </c>
      <c r="BD114" s="38">
        <v>0</v>
      </c>
      <c r="BE114" s="38">
        <v>0</v>
      </c>
      <c r="BF114" s="38">
        <v>0</v>
      </c>
      <c r="BG114" s="38">
        <v>0</v>
      </c>
      <c r="BH114" s="38">
        <v>0</v>
      </c>
      <c r="BI114" s="38">
        <v>0</v>
      </c>
      <c r="BJ114" s="38">
        <v>0</v>
      </c>
      <c r="BK114" s="38">
        <v>0</v>
      </c>
      <c r="BL114" s="38">
        <v>0</v>
      </c>
      <c r="BM114" s="38">
        <v>0</v>
      </c>
      <c r="BN114" s="38">
        <v>0</v>
      </c>
      <c r="BO114" s="38">
        <v>0</v>
      </c>
      <c r="BP114" s="38">
        <v>0</v>
      </c>
      <c r="BQ114" s="38">
        <v>0</v>
      </c>
      <c r="BR114" s="38">
        <v>0</v>
      </c>
      <c r="BS114" s="38">
        <v>0</v>
      </c>
      <c r="BT114" s="38">
        <v>0</v>
      </c>
      <c r="BU114" s="38">
        <v>0</v>
      </c>
      <c r="BV114" s="38">
        <v>0</v>
      </c>
      <c r="BW114" s="38">
        <v>0</v>
      </c>
      <c r="BX114" s="38">
        <v>0</v>
      </c>
      <c r="BY114" s="38">
        <v>0</v>
      </c>
      <c r="BZ114" s="38">
        <v>0</v>
      </c>
      <c r="CA114" s="38">
        <v>0</v>
      </c>
      <c r="CB114" s="38">
        <v>0</v>
      </c>
      <c r="CC114" s="38">
        <v>0</v>
      </c>
      <c r="CD114" s="38">
        <v>0</v>
      </c>
      <c r="CE114" s="38">
        <v>0</v>
      </c>
      <c r="CF114" s="38">
        <v>0</v>
      </c>
      <c r="CG114" s="38">
        <v>0</v>
      </c>
      <c r="CH114" s="38">
        <v>0</v>
      </c>
      <c r="CI114" s="23"/>
    </row>
    <row r="115" spans="1:87" ht="15" customHeight="1" x14ac:dyDescent="0.25">
      <c r="A115" s="39" t="s">
        <v>206</v>
      </c>
      <c r="B115" s="40"/>
      <c r="C115" s="41">
        <f t="shared" ref="C115:AH115" si="54">MAX(0,C111+C112+C113+C114)</f>
        <v>0</v>
      </c>
      <c r="D115" s="41">
        <f t="shared" si="54"/>
        <v>0</v>
      </c>
      <c r="E115" s="41">
        <f t="shared" si="54"/>
        <v>0</v>
      </c>
      <c r="F115" s="41">
        <f t="shared" si="54"/>
        <v>0</v>
      </c>
      <c r="G115" s="41">
        <f t="shared" si="54"/>
        <v>0</v>
      </c>
      <c r="H115" s="41">
        <f t="shared" si="54"/>
        <v>0</v>
      </c>
      <c r="I115" s="41">
        <f t="shared" si="54"/>
        <v>0</v>
      </c>
      <c r="J115" s="41">
        <f t="shared" si="54"/>
        <v>0</v>
      </c>
      <c r="K115" s="41">
        <f t="shared" si="54"/>
        <v>0</v>
      </c>
      <c r="L115" s="41">
        <f t="shared" si="54"/>
        <v>0</v>
      </c>
      <c r="M115" s="41">
        <f t="shared" si="54"/>
        <v>0</v>
      </c>
      <c r="N115" s="41">
        <f t="shared" si="54"/>
        <v>0</v>
      </c>
      <c r="O115" s="41">
        <f t="shared" si="54"/>
        <v>0</v>
      </c>
      <c r="P115" s="41">
        <f t="shared" si="54"/>
        <v>0</v>
      </c>
      <c r="Q115" s="41">
        <f t="shared" si="54"/>
        <v>0</v>
      </c>
      <c r="R115" s="41">
        <f t="shared" si="54"/>
        <v>0</v>
      </c>
      <c r="S115" s="41">
        <f t="shared" si="54"/>
        <v>0</v>
      </c>
      <c r="T115" s="41">
        <f t="shared" si="54"/>
        <v>0</v>
      </c>
      <c r="U115" s="41">
        <f t="shared" si="54"/>
        <v>0</v>
      </c>
      <c r="V115" s="41">
        <f t="shared" si="54"/>
        <v>0</v>
      </c>
      <c r="W115" s="41">
        <f t="shared" si="54"/>
        <v>0</v>
      </c>
      <c r="X115" s="41">
        <f t="shared" si="54"/>
        <v>0</v>
      </c>
      <c r="Y115" s="41">
        <f t="shared" si="54"/>
        <v>0</v>
      </c>
      <c r="Z115" s="41">
        <f t="shared" si="54"/>
        <v>0</v>
      </c>
      <c r="AA115" s="41">
        <f t="shared" si="54"/>
        <v>0</v>
      </c>
      <c r="AB115" s="41">
        <f t="shared" si="54"/>
        <v>0</v>
      </c>
      <c r="AC115" s="41">
        <f t="shared" si="54"/>
        <v>0</v>
      </c>
      <c r="AD115" s="41">
        <f t="shared" si="54"/>
        <v>0</v>
      </c>
      <c r="AE115" s="41">
        <f t="shared" si="54"/>
        <v>0</v>
      </c>
      <c r="AF115" s="41">
        <f t="shared" si="54"/>
        <v>0</v>
      </c>
      <c r="AG115" s="41">
        <f t="shared" si="54"/>
        <v>0</v>
      </c>
      <c r="AH115" s="41">
        <f t="shared" si="54"/>
        <v>0</v>
      </c>
      <c r="AI115" s="41">
        <f t="shared" ref="AI115:BN115" si="55">MAX(0,AI111+AI112+AI113+AI114)</f>
        <v>0</v>
      </c>
      <c r="AJ115" s="41">
        <f t="shared" si="55"/>
        <v>0</v>
      </c>
      <c r="AK115" s="41">
        <f t="shared" si="55"/>
        <v>0</v>
      </c>
      <c r="AL115" s="41">
        <f t="shared" si="55"/>
        <v>0</v>
      </c>
      <c r="AM115" s="41">
        <f t="shared" si="55"/>
        <v>0</v>
      </c>
      <c r="AN115" s="41">
        <f t="shared" si="55"/>
        <v>0</v>
      </c>
      <c r="AO115" s="41">
        <f t="shared" si="55"/>
        <v>0</v>
      </c>
      <c r="AP115" s="41">
        <f t="shared" si="55"/>
        <v>0</v>
      </c>
      <c r="AQ115" s="41">
        <f t="shared" si="55"/>
        <v>0</v>
      </c>
      <c r="AR115" s="41">
        <f t="shared" si="55"/>
        <v>0</v>
      </c>
      <c r="AS115" s="41">
        <f t="shared" si="55"/>
        <v>0</v>
      </c>
      <c r="AT115" s="41">
        <f t="shared" si="55"/>
        <v>0</v>
      </c>
      <c r="AU115" s="41">
        <f t="shared" si="55"/>
        <v>0</v>
      </c>
      <c r="AV115" s="41">
        <f t="shared" si="55"/>
        <v>0</v>
      </c>
      <c r="AW115" s="41">
        <f t="shared" si="55"/>
        <v>0</v>
      </c>
      <c r="AX115" s="41">
        <f t="shared" si="55"/>
        <v>0</v>
      </c>
      <c r="AY115" s="41">
        <f t="shared" si="55"/>
        <v>0</v>
      </c>
      <c r="AZ115" s="41">
        <f t="shared" si="55"/>
        <v>0</v>
      </c>
      <c r="BA115" s="41">
        <f t="shared" si="55"/>
        <v>0</v>
      </c>
      <c r="BB115" s="41">
        <f t="shared" si="55"/>
        <v>0</v>
      </c>
      <c r="BC115" s="41">
        <f t="shared" si="55"/>
        <v>0</v>
      </c>
      <c r="BD115" s="41">
        <f t="shared" si="55"/>
        <v>0</v>
      </c>
      <c r="BE115" s="41">
        <f t="shared" si="55"/>
        <v>0</v>
      </c>
      <c r="BF115" s="41">
        <f t="shared" si="55"/>
        <v>0</v>
      </c>
      <c r="BG115" s="41">
        <f t="shared" si="55"/>
        <v>0</v>
      </c>
      <c r="BH115" s="41">
        <f t="shared" si="55"/>
        <v>0</v>
      </c>
      <c r="BI115" s="41">
        <f t="shared" si="55"/>
        <v>0</v>
      </c>
      <c r="BJ115" s="41">
        <f t="shared" si="55"/>
        <v>0</v>
      </c>
      <c r="BK115" s="41">
        <f t="shared" si="55"/>
        <v>0</v>
      </c>
      <c r="BL115" s="41">
        <f t="shared" si="55"/>
        <v>0</v>
      </c>
      <c r="BM115" s="41">
        <f t="shared" si="55"/>
        <v>0</v>
      </c>
      <c r="BN115" s="41">
        <f t="shared" si="55"/>
        <v>0</v>
      </c>
      <c r="BO115" s="41">
        <f t="shared" ref="BO115:CT115" si="56">MAX(0,BO111+BO112+BO113+BO114)</f>
        <v>0</v>
      </c>
      <c r="BP115" s="41">
        <f t="shared" si="56"/>
        <v>0</v>
      </c>
      <c r="BQ115" s="41">
        <f t="shared" si="56"/>
        <v>0</v>
      </c>
      <c r="BR115" s="41">
        <f t="shared" si="56"/>
        <v>0</v>
      </c>
      <c r="BS115" s="41">
        <f t="shared" si="56"/>
        <v>0</v>
      </c>
      <c r="BT115" s="41">
        <f t="shared" si="56"/>
        <v>0</v>
      </c>
      <c r="BU115" s="41">
        <f t="shared" si="56"/>
        <v>0</v>
      </c>
      <c r="BV115" s="41">
        <f t="shared" si="56"/>
        <v>0</v>
      </c>
      <c r="BW115" s="41">
        <f t="shared" si="56"/>
        <v>0</v>
      </c>
      <c r="BX115" s="41">
        <f t="shared" si="56"/>
        <v>0</v>
      </c>
      <c r="BY115" s="41">
        <f t="shared" si="56"/>
        <v>0</v>
      </c>
      <c r="BZ115" s="41">
        <f t="shared" si="56"/>
        <v>0</v>
      </c>
      <c r="CA115" s="41">
        <f t="shared" si="56"/>
        <v>0</v>
      </c>
      <c r="CB115" s="41">
        <f t="shared" si="56"/>
        <v>0</v>
      </c>
      <c r="CC115" s="41">
        <f t="shared" si="56"/>
        <v>0</v>
      </c>
      <c r="CD115" s="41">
        <f t="shared" si="56"/>
        <v>0</v>
      </c>
      <c r="CE115" s="41">
        <f t="shared" si="56"/>
        <v>0</v>
      </c>
      <c r="CF115" s="41">
        <f t="shared" si="56"/>
        <v>0</v>
      </c>
      <c r="CG115" s="41">
        <f t="shared" si="56"/>
        <v>0</v>
      </c>
      <c r="CH115" s="41">
        <f t="shared" si="56"/>
        <v>0</v>
      </c>
      <c r="CI115" s="23"/>
    </row>
    <row r="116" spans="1:87" ht="15" customHeight="1" x14ac:dyDescent="0.25">
      <c r="A116" s="7" t="s">
        <v>207</v>
      </c>
      <c r="B116" s="7"/>
      <c r="C116" s="36">
        <f>IF(AND(Projects!$G$12="Yes",Projects!$C$12&lt;=1),Assumptions!$B$61,0)</f>
        <v>0</v>
      </c>
      <c r="D116" s="36">
        <f>IF(AND(Projects!$G$12="Yes",2=Projects!$C$12),Assumptions!$B$61,C120)</f>
        <v>0</v>
      </c>
      <c r="E116" s="36">
        <f>IF(AND(Projects!$G$12="Yes",3=Projects!$C$12),Assumptions!$B$61,D120)</f>
        <v>0</v>
      </c>
      <c r="F116" s="36">
        <f>IF(AND(Projects!$G$12="Yes",4=Projects!$C$12),Assumptions!$B$61,E120)</f>
        <v>0</v>
      </c>
      <c r="G116" s="36">
        <f>IF(AND(Projects!$G$12="Yes",5=Projects!$C$12),Assumptions!$B$61,F120)</f>
        <v>0</v>
      </c>
      <c r="H116" s="36">
        <f>IF(AND(Projects!$G$12="Yes",6=Projects!$C$12),Assumptions!$B$61,G120)</f>
        <v>0</v>
      </c>
      <c r="I116" s="36">
        <f>IF(AND(Projects!$G$12="Yes",7=Projects!$C$12),Assumptions!$B$61,H120)</f>
        <v>0</v>
      </c>
      <c r="J116" s="36">
        <f>IF(AND(Projects!$G$12="Yes",8=Projects!$C$12),Assumptions!$B$61,I120)</f>
        <v>0</v>
      </c>
      <c r="K116" s="36">
        <f>IF(AND(Projects!$G$12="Yes",9=Projects!$C$12),Assumptions!$B$61,J120)</f>
        <v>0</v>
      </c>
      <c r="L116" s="36">
        <f>IF(AND(Projects!$G$12="Yes",10=Projects!$C$12),Assumptions!$B$61,K120)</f>
        <v>0</v>
      </c>
      <c r="M116" s="36">
        <f>IF(AND(Projects!$G$12="Yes",11=Projects!$C$12),Assumptions!$B$61,L120)</f>
        <v>0</v>
      </c>
      <c r="N116" s="36">
        <f>IF(AND(Projects!$G$12="Yes",12=Projects!$C$12),Assumptions!$B$61,M120)</f>
        <v>0</v>
      </c>
      <c r="O116" s="36">
        <f>IF(AND(Projects!$G$12="Yes",13=Projects!$C$12),Assumptions!$B$61,N120)</f>
        <v>0</v>
      </c>
      <c r="P116" s="36">
        <f>IF(AND(Projects!$G$12="Yes",14=Projects!$C$12),Assumptions!$B$61,O120)</f>
        <v>0</v>
      </c>
      <c r="Q116" s="36">
        <f>IF(AND(Projects!$G$12="Yes",15=Projects!$C$12),Assumptions!$B$61,P120)</f>
        <v>0</v>
      </c>
      <c r="R116" s="36">
        <f>IF(AND(Projects!$G$12="Yes",16=Projects!$C$12),Assumptions!$B$61,Q120)</f>
        <v>0</v>
      </c>
      <c r="S116" s="36">
        <f>IF(AND(Projects!$G$12="Yes",17=Projects!$C$12),Assumptions!$B$61,R120)</f>
        <v>0</v>
      </c>
      <c r="T116" s="36">
        <f>IF(AND(Projects!$G$12="Yes",18=Projects!$C$12),Assumptions!$B$61,S120)</f>
        <v>0</v>
      </c>
      <c r="U116" s="36">
        <f>IF(AND(Projects!$G$12="Yes",19=Projects!$C$12),Assumptions!$B$61,T120)</f>
        <v>0</v>
      </c>
      <c r="V116" s="36">
        <f>IF(AND(Projects!$G$12="Yes",20=Projects!$C$12),Assumptions!$B$61,U120)</f>
        <v>0</v>
      </c>
      <c r="W116" s="36">
        <f>IF(AND(Projects!$G$12="Yes",21=Projects!$C$12),Assumptions!$B$61,V120)</f>
        <v>0</v>
      </c>
      <c r="X116" s="36">
        <f>IF(AND(Projects!$G$12="Yes",22=Projects!$C$12),Assumptions!$B$61,W120)</f>
        <v>0</v>
      </c>
      <c r="Y116" s="36">
        <f>IF(AND(Projects!$G$12="Yes",23=Projects!$C$12),Assumptions!$B$61,X120)</f>
        <v>0</v>
      </c>
      <c r="Z116" s="36">
        <f>IF(AND(Projects!$G$12="Yes",24=Projects!$C$12),Assumptions!$B$61,Y120)</f>
        <v>0</v>
      </c>
      <c r="AA116" s="36">
        <f>IF(AND(Projects!$G$12="Yes",25=Projects!$C$12),Assumptions!$B$61,Z120)</f>
        <v>0</v>
      </c>
      <c r="AB116" s="36">
        <f>IF(AND(Projects!$G$12="Yes",26=Projects!$C$12),Assumptions!$B$61,AA120)</f>
        <v>0</v>
      </c>
      <c r="AC116" s="36">
        <f>IF(AND(Projects!$G$12="Yes",27=Projects!$C$12),Assumptions!$B$61,AB120)</f>
        <v>0</v>
      </c>
      <c r="AD116" s="36">
        <f>IF(AND(Projects!$G$12="Yes",28=Projects!$C$12),Assumptions!$B$61,AC120)</f>
        <v>0</v>
      </c>
      <c r="AE116" s="36">
        <f>IF(AND(Projects!$G$12="Yes",29=Projects!$C$12),Assumptions!$B$61,AD120)</f>
        <v>0</v>
      </c>
      <c r="AF116" s="36">
        <f>IF(AND(Projects!$G$12="Yes",30=Projects!$C$12),Assumptions!$B$61,AE120)</f>
        <v>0</v>
      </c>
      <c r="AG116" s="36">
        <f>IF(AND(Projects!$G$12="Yes",31=Projects!$C$12),Assumptions!$B$61,AF120)</f>
        <v>0</v>
      </c>
      <c r="AH116" s="36">
        <f>IF(AND(Projects!$G$12="Yes",32=Projects!$C$12),Assumptions!$B$61,AG120)</f>
        <v>0</v>
      </c>
      <c r="AI116" s="36">
        <f>IF(AND(Projects!$G$12="Yes",33=Projects!$C$12),Assumptions!$B$61,AH120)</f>
        <v>0</v>
      </c>
      <c r="AJ116" s="36">
        <f>IF(AND(Projects!$G$12="Yes",34=Projects!$C$12),Assumptions!$B$61,AI120)</f>
        <v>0</v>
      </c>
      <c r="AK116" s="36">
        <f>IF(AND(Projects!$G$12="Yes",35=Projects!$C$12),Assumptions!$B$61,AJ120)</f>
        <v>0</v>
      </c>
      <c r="AL116" s="36">
        <f>IF(AND(Projects!$G$12="Yes",36=Projects!$C$12),Assumptions!$B$61,AK120)</f>
        <v>0</v>
      </c>
      <c r="AM116" s="36">
        <f>IF(AND(Projects!$G$12="Yes",37=Projects!$C$12),Assumptions!$B$61,AL120)</f>
        <v>0</v>
      </c>
      <c r="AN116" s="36">
        <f>IF(AND(Projects!$G$12="Yes",38=Projects!$C$12),Assumptions!$B$61,AM120)</f>
        <v>0</v>
      </c>
      <c r="AO116" s="36">
        <f>IF(AND(Projects!$G$12="Yes",39=Projects!$C$12),Assumptions!$B$61,AN120)</f>
        <v>0</v>
      </c>
      <c r="AP116" s="36">
        <f>IF(AND(Projects!$G$12="Yes",40=Projects!$C$12),Assumptions!$B$61,AO120)</f>
        <v>0</v>
      </c>
      <c r="AQ116" s="36">
        <f>IF(AND(Projects!$G$12="Yes",41=Projects!$C$12),Assumptions!$B$61,AP120)</f>
        <v>0</v>
      </c>
      <c r="AR116" s="36">
        <f>IF(AND(Projects!$G$12="Yes",42=Projects!$C$12),Assumptions!$B$61,AQ120)</f>
        <v>0</v>
      </c>
      <c r="AS116" s="36">
        <f>IF(AND(Projects!$G$12="Yes",43=Projects!$C$12),Assumptions!$B$61,AR120)</f>
        <v>0</v>
      </c>
      <c r="AT116" s="36">
        <f>IF(AND(Projects!$G$12="Yes",44=Projects!$C$12),Assumptions!$B$61,AS120)</f>
        <v>0</v>
      </c>
      <c r="AU116" s="36">
        <f>IF(AND(Projects!$G$12="Yes",45=Projects!$C$12),Assumptions!$B$61,AT120)</f>
        <v>0</v>
      </c>
      <c r="AV116" s="36">
        <f>IF(AND(Projects!$G$12="Yes",46=Projects!$C$12),Assumptions!$B$61,AU120)</f>
        <v>0</v>
      </c>
      <c r="AW116" s="36">
        <f>IF(AND(Projects!$G$12="Yes",47=Projects!$C$12),Assumptions!$B$61,AV120)</f>
        <v>0</v>
      </c>
      <c r="AX116" s="36">
        <f>IF(AND(Projects!$G$12="Yes",48=Projects!$C$12),Assumptions!$B$61,AW120)</f>
        <v>0</v>
      </c>
      <c r="AY116" s="36">
        <f>IF(AND(Projects!$G$12="Yes",49=Projects!$C$12),Assumptions!$B$61,AX120)</f>
        <v>0</v>
      </c>
      <c r="AZ116" s="36">
        <f>IF(AND(Projects!$G$12="Yes",50=Projects!$C$12),Assumptions!$B$61,AY120)</f>
        <v>0</v>
      </c>
      <c r="BA116" s="36">
        <f>IF(AND(Projects!$G$12="Yes",51=Projects!$C$12),Assumptions!$B$61,AZ120)</f>
        <v>0</v>
      </c>
      <c r="BB116" s="36">
        <f>IF(AND(Projects!$G$12="Yes",52=Projects!$C$12),Assumptions!$B$61,BA120)</f>
        <v>0</v>
      </c>
      <c r="BC116" s="36">
        <f>IF(AND(Projects!$G$12="Yes",53=Projects!$C$12),Assumptions!$B$61,BB120)</f>
        <v>0</v>
      </c>
      <c r="BD116" s="36">
        <f>IF(AND(Projects!$G$12="Yes",54=Projects!$C$12),Assumptions!$B$61,BC120)</f>
        <v>0</v>
      </c>
      <c r="BE116" s="36">
        <f>IF(AND(Projects!$G$12="Yes",55=Projects!$C$12),Assumptions!$B$61,BD120)</f>
        <v>0</v>
      </c>
      <c r="BF116" s="36">
        <f>IF(AND(Projects!$G$12="Yes",56=Projects!$C$12),Assumptions!$B$61,BE120)</f>
        <v>0</v>
      </c>
      <c r="BG116" s="36">
        <f>IF(AND(Projects!$G$12="Yes",57=Projects!$C$12),Assumptions!$B$61,BF120)</f>
        <v>0</v>
      </c>
      <c r="BH116" s="36">
        <f>IF(AND(Projects!$G$12="Yes",58=Projects!$C$12),Assumptions!$B$61,BG120)</f>
        <v>0</v>
      </c>
      <c r="BI116" s="36">
        <f>IF(AND(Projects!$G$12="Yes",59=Projects!$C$12),Assumptions!$B$61,BH120)</f>
        <v>0</v>
      </c>
      <c r="BJ116" s="36">
        <f>IF(AND(Projects!$G$12="Yes",60=Projects!$C$12),Assumptions!$B$61,BI120)</f>
        <v>0</v>
      </c>
      <c r="BK116" s="36">
        <f>IF(AND(Projects!$G$12="Yes",61=Projects!$C$12),Assumptions!$B$61,BJ120)</f>
        <v>0</v>
      </c>
      <c r="BL116" s="36">
        <f>IF(AND(Projects!$G$12="Yes",62=Projects!$C$12),Assumptions!$B$61,BK120)</f>
        <v>0</v>
      </c>
      <c r="BM116" s="36">
        <f>IF(AND(Projects!$G$12="Yes",63=Projects!$C$12),Assumptions!$B$61,BL120)</f>
        <v>0</v>
      </c>
      <c r="BN116" s="36">
        <f>IF(AND(Projects!$G$12="Yes",64=Projects!$C$12),Assumptions!$B$61,BM120)</f>
        <v>0</v>
      </c>
      <c r="BO116" s="36">
        <f>IF(AND(Projects!$G$12="Yes",65=Projects!$C$12),Assumptions!$B$61,BN120)</f>
        <v>0</v>
      </c>
      <c r="BP116" s="36">
        <f>IF(AND(Projects!$G$12="Yes",66=Projects!$C$12),Assumptions!$B$61,BO120)</f>
        <v>0</v>
      </c>
      <c r="BQ116" s="36">
        <f>IF(AND(Projects!$G$12="Yes",67=Projects!$C$12),Assumptions!$B$61,BP120)</f>
        <v>0</v>
      </c>
      <c r="BR116" s="36">
        <f>IF(AND(Projects!$G$12="Yes",68=Projects!$C$12),Assumptions!$B$61,BQ120)</f>
        <v>0</v>
      </c>
      <c r="BS116" s="36">
        <f>IF(AND(Projects!$G$12="Yes",69=Projects!$C$12),Assumptions!$B$61,BR120)</f>
        <v>0</v>
      </c>
      <c r="BT116" s="36">
        <f>IF(AND(Projects!$G$12="Yes",70=Projects!$C$12),Assumptions!$B$61,BS120)</f>
        <v>0</v>
      </c>
      <c r="BU116" s="36">
        <f>IF(AND(Projects!$G$12="Yes",71=Projects!$C$12),Assumptions!$B$61,BT120)</f>
        <v>0</v>
      </c>
      <c r="BV116" s="36">
        <f>IF(AND(Projects!$G$12="Yes",72=Projects!$C$12),Assumptions!$B$61,BU120)</f>
        <v>0</v>
      </c>
      <c r="BW116" s="36">
        <f>IF(AND(Projects!$G$12="Yes",73=Projects!$C$12),Assumptions!$B$61,BV120)</f>
        <v>0</v>
      </c>
      <c r="BX116" s="36">
        <f>IF(AND(Projects!$G$12="Yes",74=Projects!$C$12),Assumptions!$B$61,BW120)</f>
        <v>0</v>
      </c>
      <c r="BY116" s="36">
        <f>IF(AND(Projects!$G$12="Yes",75=Projects!$C$12),Assumptions!$B$61,BX120)</f>
        <v>0</v>
      </c>
      <c r="BZ116" s="36">
        <f>IF(AND(Projects!$G$12="Yes",76=Projects!$C$12),Assumptions!$B$61,BY120)</f>
        <v>0</v>
      </c>
      <c r="CA116" s="36">
        <f>IF(AND(Projects!$G$12="Yes",77=Projects!$C$12),Assumptions!$B$61,BZ120)</f>
        <v>0</v>
      </c>
      <c r="CB116" s="36">
        <f>IF(AND(Projects!$G$12="Yes",78=Projects!$C$12),Assumptions!$B$61,CA120)</f>
        <v>0</v>
      </c>
      <c r="CC116" s="36">
        <f>IF(AND(Projects!$G$12="Yes",79=Projects!$C$12),Assumptions!$B$61,CB120)</f>
        <v>0</v>
      </c>
      <c r="CD116" s="36">
        <f>IF(AND(Projects!$G$12="Yes",80=Projects!$C$12),Assumptions!$B$61,CC120)</f>
        <v>0</v>
      </c>
      <c r="CE116" s="36">
        <f>IF(AND(Projects!$G$12="Yes",81=Projects!$C$12),Assumptions!$B$61,CD120)</f>
        <v>0</v>
      </c>
      <c r="CF116" s="36">
        <f>IF(AND(Projects!$G$12="Yes",82=Projects!$C$12),Assumptions!$B$61,CE120)</f>
        <v>0</v>
      </c>
      <c r="CG116" s="36">
        <f>IF(AND(Projects!$G$12="Yes",83=Projects!$C$12),Assumptions!$B$61,CF120)</f>
        <v>0</v>
      </c>
      <c r="CH116" s="36">
        <f>IF(AND(Projects!$G$12="Yes",84=Projects!$C$12),Assumptions!$B$61,CG120)</f>
        <v>0</v>
      </c>
      <c r="CI116" s="23"/>
    </row>
    <row r="117" spans="1:87" ht="15" customHeight="1" x14ac:dyDescent="0.25">
      <c r="A117" s="7" t="s">
        <v>208</v>
      </c>
      <c r="B117" s="7"/>
      <c r="C117" s="36">
        <f>IF(AND(MOD(1,3)=0,C116&gt;0),C116*Assumptions!$B$59,0)</f>
        <v>0</v>
      </c>
      <c r="D117" s="36">
        <f>IF(AND(MOD(2,3)=0,D116&gt;0),D116*Assumptions!$B$59,0)</f>
        <v>0</v>
      </c>
      <c r="E117" s="36">
        <f>IF(AND(MOD(3,3)=0,E116&gt;0),E116*Assumptions!$B$59,0)</f>
        <v>0</v>
      </c>
      <c r="F117" s="36">
        <f>IF(AND(MOD(4,3)=0,F116&gt;0),F116*Assumptions!$B$59,0)</f>
        <v>0</v>
      </c>
      <c r="G117" s="36">
        <f>IF(AND(MOD(5,3)=0,G116&gt;0),G116*Assumptions!$B$59,0)</f>
        <v>0</v>
      </c>
      <c r="H117" s="36">
        <f>IF(AND(MOD(6,3)=0,H116&gt;0),H116*Assumptions!$B$59,0)</f>
        <v>0</v>
      </c>
      <c r="I117" s="36">
        <f>IF(AND(MOD(7,3)=0,I116&gt;0),I116*Assumptions!$B$59,0)</f>
        <v>0</v>
      </c>
      <c r="J117" s="36">
        <f>IF(AND(MOD(8,3)=0,J116&gt;0),J116*Assumptions!$B$59,0)</f>
        <v>0</v>
      </c>
      <c r="K117" s="36">
        <f>IF(AND(MOD(9,3)=0,K116&gt;0),K116*Assumptions!$B$59,0)</f>
        <v>0</v>
      </c>
      <c r="L117" s="36">
        <f>IF(AND(MOD(10,3)=0,L116&gt;0),L116*Assumptions!$B$59,0)</f>
        <v>0</v>
      </c>
      <c r="M117" s="36">
        <f>IF(AND(MOD(11,3)=0,M116&gt;0),M116*Assumptions!$B$59,0)</f>
        <v>0</v>
      </c>
      <c r="N117" s="36">
        <f>IF(AND(MOD(12,3)=0,N116&gt;0),N116*Assumptions!$B$59,0)</f>
        <v>0</v>
      </c>
      <c r="O117" s="36">
        <f>IF(AND(MOD(13,3)=0,O116&gt;0),O116*Assumptions!$B$59,0)</f>
        <v>0</v>
      </c>
      <c r="P117" s="36">
        <f>IF(AND(MOD(14,3)=0,P116&gt;0),P116*Assumptions!$B$59,0)</f>
        <v>0</v>
      </c>
      <c r="Q117" s="36">
        <f>IF(AND(MOD(15,3)=0,Q116&gt;0),Q116*Assumptions!$B$59,0)</f>
        <v>0</v>
      </c>
      <c r="R117" s="36">
        <f>IF(AND(MOD(16,3)=0,R116&gt;0),R116*Assumptions!$B$59,0)</f>
        <v>0</v>
      </c>
      <c r="S117" s="36">
        <f>IF(AND(MOD(17,3)=0,S116&gt;0),S116*Assumptions!$B$59,0)</f>
        <v>0</v>
      </c>
      <c r="T117" s="36">
        <f>IF(AND(MOD(18,3)=0,T116&gt;0),T116*Assumptions!$B$59,0)</f>
        <v>0</v>
      </c>
      <c r="U117" s="36">
        <f>IF(AND(MOD(19,3)=0,U116&gt;0),U116*Assumptions!$B$59,0)</f>
        <v>0</v>
      </c>
      <c r="V117" s="36">
        <f>IF(AND(MOD(20,3)=0,V116&gt;0),V116*Assumptions!$B$59,0)</f>
        <v>0</v>
      </c>
      <c r="W117" s="36">
        <f>IF(AND(MOD(21,3)=0,W116&gt;0),W116*Assumptions!$B$59,0)</f>
        <v>0</v>
      </c>
      <c r="X117" s="36">
        <f>IF(AND(MOD(22,3)=0,X116&gt;0),X116*Assumptions!$B$59,0)</f>
        <v>0</v>
      </c>
      <c r="Y117" s="36">
        <f>IF(AND(MOD(23,3)=0,Y116&gt;0),Y116*Assumptions!$B$59,0)</f>
        <v>0</v>
      </c>
      <c r="Z117" s="36">
        <f>IF(AND(MOD(24,3)=0,Z116&gt;0),Z116*Assumptions!$B$59,0)</f>
        <v>0</v>
      </c>
      <c r="AA117" s="36">
        <f>IF(AND(MOD(25,3)=0,AA116&gt;0),AA116*Assumptions!$B$59,0)</f>
        <v>0</v>
      </c>
      <c r="AB117" s="36">
        <f>IF(AND(MOD(26,3)=0,AB116&gt;0),AB116*Assumptions!$B$59,0)</f>
        <v>0</v>
      </c>
      <c r="AC117" s="36">
        <f>IF(AND(MOD(27,3)=0,AC116&gt;0),AC116*Assumptions!$B$59,0)</f>
        <v>0</v>
      </c>
      <c r="AD117" s="36">
        <f>IF(AND(MOD(28,3)=0,AD116&gt;0),AD116*Assumptions!$B$59,0)</f>
        <v>0</v>
      </c>
      <c r="AE117" s="36">
        <f>IF(AND(MOD(29,3)=0,AE116&gt;0),AE116*Assumptions!$B$59,0)</f>
        <v>0</v>
      </c>
      <c r="AF117" s="36">
        <f>IF(AND(MOD(30,3)=0,AF116&gt;0),AF116*Assumptions!$B$59,0)</f>
        <v>0</v>
      </c>
      <c r="AG117" s="36">
        <f>IF(AND(MOD(31,3)=0,AG116&gt;0),AG116*Assumptions!$B$59,0)</f>
        <v>0</v>
      </c>
      <c r="AH117" s="36">
        <f>IF(AND(MOD(32,3)=0,AH116&gt;0),AH116*Assumptions!$B$59,0)</f>
        <v>0</v>
      </c>
      <c r="AI117" s="36">
        <f>IF(AND(MOD(33,3)=0,AI116&gt;0),AI116*Assumptions!$B$59,0)</f>
        <v>0</v>
      </c>
      <c r="AJ117" s="36">
        <f>IF(AND(MOD(34,3)=0,AJ116&gt;0),AJ116*Assumptions!$B$59,0)</f>
        <v>0</v>
      </c>
      <c r="AK117" s="36">
        <f>IF(AND(MOD(35,3)=0,AK116&gt;0),AK116*Assumptions!$B$59,0)</f>
        <v>0</v>
      </c>
      <c r="AL117" s="36">
        <f>IF(AND(MOD(36,3)=0,AL116&gt;0),AL116*Assumptions!$B$59,0)</f>
        <v>0</v>
      </c>
      <c r="AM117" s="36">
        <f>IF(AND(MOD(37,3)=0,AM116&gt;0),AM116*Assumptions!$B$59,0)</f>
        <v>0</v>
      </c>
      <c r="AN117" s="36">
        <f>IF(AND(MOD(38,3)=0,AN116&gt;0),AN116*Assumptions!$B$59,0)</f>
        <v>0</v>
      </c>
      <c r="AO117" s="36">
        <f>IF(AND(MOD(39,3)=0,AO116&gt;0),AO116*Assumptions!$B$59,0)</f>
        <v>0</v>
      </c>
      <c r="AP117" s="36">
        <f>IF(AND(MOD(40,3)=0,AP116&gt;0),AP116*Assumptions!$B$59,0)</f>
        <v>0</v>
      </c>
      <c r="AQ117" s="36">
        <f>IF(AND(MOD(41,3)=0,AQ116&gt;0),AQ116*Assumptions!$B$59,0)</f>
        <v>0</v>
      </c>
      <c r="AR117" s="36">
        <f>IF(AND(MOD(42,3)=0,AR116&gt;0),AR116*Assumptions!$B$59,0)</f>
        <v>0</v>
      </c>
      <c r="AS117" s="36">
        <f>IF(AND(MOD(43,3)=0,AS116&gt;0),AS116*Assumptions!$B$59,0)</f>
        <v>0</v>
      </c>
      <c r="AT117" s="36">
        <f>IF(AND(MOD(44,3)=0,AT116&gt;0),AT116*Assumptions!$B$59,0)</f>
        <v>0</v>
      </c>
      <c r="AU117" s="36">
        <f>IF(AND(MOD(45,3)=0,AU116&gt;0),AU116*Assumptions!$B$59,0)</f>
        <v>0</v>
      </c>
      <c r="AV117" s="36">
        <f>IF(AND(MOD(46,3)=0,AV116&gt;0),AV116*Assumptions!$B$59,0)</f>
        <v>0</v>
      </c>
      <c r="AW117" s="36">
        <f>IF(AND(MOD(47,3)=0,AW116&gt;0),AW116*Assumptions!$B$59,0)</f>
        <v>0</v>
      </c>
      <c r="AX117" s="36">
        <f>IF(AND(MOD(48,3)=0,AX116&gt;0),AX116*Assumptions!$B$59,0)</f>
        <v>0</v>
      </c>
      <c r="AY117" s="36">
        <f>IF(AND(MOD(49,3)=0,AY116&gt;0),AY116*Assumptions!$B$59,0)</f>
        <v>0</v>
      </c>
      <c r="AZ117" s="36">
        <f>IF(AND(MOD(50,3)=0,AZ116&gt;0),AZ116*Assumptions!$B$59,0)</f>
        <v>0</v>
      </c>
      <c r="BA117" s="36">
        <f>IF(AND(MOD(51,3)=0,BA116&gt;0),BA116*Assumptions!$B$59,0)</f>
        <v>0</v>
      </c>
      <c r="BB117" s="36">
        <f>IF(AND(MOD(52,3)=0,BB116&gt;0),BB116*Assumptions!$B$59,0)</f>
        <v>0</v>
      </c>
      <c r="BC117" s="36">
        <f>IF(AND(MOD(53,3)=0,BC116&gt;0),BC116*Assumptions!$B$59,0)</f>
        <v>0</v>
      </c>
      <c r="BD117" s="36">
        <f>IF(AND(MOD(54,3)=0,BD116&gt;0),BD116*Assumptions!$B$59,0)</f>
        <v>0</v>
      </c>
      <c r="BE117" s="36">
        <f>IF(AND(MOD(55,3)=0,BE116&gt;0),BE116*Assumptions!$B$59,0)</f>
        <v>0</v>
      </c>
      <c r="BF117" s="36">
        <f>IF(AND(MOD(56,3)=0,BF116&gt;0),BF116*Assumptions!$B$59,0)</f>
        <v>0</v>
      </c>
      <c r="BG117" s="36">
        <f>IF(AND(MOD(57,3)=0,BG116&gt;0),BG116*Assumptions!$B$59,0)</f>
        <v>0</v>
      </c>
      <c r="BH117" s="36">
        <f>IF(AND(MOD(58,3)=0,BH116&gt;0),BH116*Assumptions!$B$59,0)</f>
        <v>0</v>
      </c>
      <c r="BI117" s="36">
        <f>IF(AND(MOD(59,3)=0,BI116&gt;0),BI116*Assumptions!$B$59,0)</f>
        <v>0</v>
      </c>
      <c r="BJ117" s="36">
        <f>IF(AND(MOD(60,3)=0,BJ116&gt;0),BJ116*Assumptions!$B$59,0)</f>
        <v>0</v>
      </c>
      <c r="BK117" s="36">
        <f>IF(AND(MOD(61,3)=0,BK116&gt;0),BK116*Assumptions!$B$59,0)</f>
        <v>0</v>
      </c>
      <c r="BL117" s="36">
        <f>IF(AND(MOD(62,3)=0,BL116&gt;0),BL116*Assumptions!$B$59,0)</f>
        <v>0</v>
      </c>
      <c r="BM117" s="36">
        <f>IF(AND(MOD(63,3)=0,BM116&gt;0),BM116*Assumptions!$B$59,0)</f>
        <v>0</v>
      </c>
      <c r="BN117" s="36">
        <f>IF(AND(MOD(64,3)=0,BN116&gt;0),BN116*Assumptions!$B$59,0)</f>
        <v>0</v>
      </c>
      <c r="BO117" s="36">
        <f>IF(AND(MOD(65,3)=0,BO116&gt;0),BO116*Assumptions!$B$59,0)</f>
        <v>0</v>
      </c>
      <c r="BP117" s="36">
        <f>IF(AND(MOD(66,3)=0,BP116&gt;0),BP116*Assumptions!$B$59,0)</f>
        <v>0</v>
      </c>
      <c r="BQ117" s="36">
        <f>IF(AND(MOD(67,3)=0,BQ116&gt;0),BQ116*Assumptions!$B$59,0)</f>
        <v>0</v>
      </c>
      <c r="BR117" s="36">
        <f>IF(AND(MOD(68,3)=0,BR116&gt;0),BR116*Assumptions!$B$59,0)</f>
        <v>0</v>
      </c>
      <c r="BS117" s="36">
        <f>IF(AND(MOD(69,3)=0,BS116&gt;0),BS116*Assumptions!$B$59,0)</f>
        <v>0</v>
      </c>
      <c r="BT117" s="36">
        <f>IF(AND(MOD(70,3)=0,BT116&gt;0),BT116*Assumptions!$B$59,0)</f>
        <v>0</v>
      </c>
      <c r="BU117" s="36">
        <f>IF(AND(MOD(71,3)=0,BU116&gt;0),BU116*Assumptions!$B$59,0)</f>
        <v>0</v>
      </c>
      <c r="BV117" s="36">
        <f>IF(AND(MOD(72,3)=0,BV116&gt;0),BV116*Assumptions!$B$59,0)</f>
        <v>0</v>
      </c>
      <c r="BW117" s="36">
        <f>IF(AND(MOD(73,3)=0,BW116&gt;0),BW116*Assumptions!$B$59,0)</f>
        <v>0</v>
      </c>
      <c r="BX117" s="36">
        <f>IF(AND(MOD(74,3)=0,BX116&gt;0),BX116*Assumptions!$B$59,0)</f>
        <v>0</v>
      </c>
      <c r="BY117" s="36">
        <f>IF(AND(MOD(75,3)=0,BY116&gt;0),BY116*Assumptions!$B$59,0)</f>
        <v>0</v>
      </c>
      <c r="BZ117" s="36">
        <f>IF(AND(MOD(76,3)=0,BZ116&gt;0),BZ116*Assumptions!$B$59,0)</f>
        <v>0</v>
      </c>
      <c r="CA117" s="36">
        <f>IF(AND(MOD(77,3)=0,CA116&gt;0),CA116*Assumptions!$B$59,0)</f>
        <v>0</v>
      </c>
      <c r="CB117" s="36">
        <f>IF(AND(MOD(78,3)=0,CB116&gt;0),CB116*Assumptions!$B$59,0)</f>
        <v>0</v>
      </c>
      <c r="CC117" s="36">
        <f>IF(AND(MOD(79,3)=0,CC116&gt;0),CC116*Assumptions!$B$59,0)</f>
        <v>0</v>
      </c>
      <c r="CD117" s="36">
        <f>IF(AND(MOD(80,3)=0,CD116&gt;0),CD116*Assumptions!$B$59,0)</f>
        <v>0</v>
      </c>
      <c r="CE117" s="36">
        <f>IF(AND(MOD(81,3)=0,CE116&gt;0),CE116*Assumptions!$B$59,0)</f>
        <v>0</v>
      </c>
      <c r="CF117" s="36">
        <f>IF(AND(MOD(82,3)=0,CF116&gt;0),CF116*Assumptions!$B$59,0)</f>
        <v>0</v>
      </c>
      <c r="CG117" s="36">
        <f>IF(AND(MOD(83,3)=0,CG116&gt;0),CG116*Assumptions!$B$59,0)</f>
        <v>0</v>
      </c>
      <c r="CH117" s="36">
        <f>IF(AND(MOD(84,3)=0,CH116&gt;0),CH116*Assumptions!$B$59,0)</f>
        <v>0</v>
      </c>
      <c r="CI117" s="23"/>
    </row>
    <row r="118" spans="1:87" ht="15" customHeight="1" x14ac:dyDescent="0.25">
      <c r="A118" s="7" t="s">
        <v>209</v>
      </c>
      <c r="B118" s="7"/>
      <c r="C118" s="36">
        <v>0</v>
      </c>
      <c r="D118" s="36">
        <v>0</v>
      </c>
      <c r="E118" s="36">
        <v>0</v>
      </c>
      <c r="F118" s="36">
        <v>0</v>
      </c>
      <c r="G118" s="36">
        <v>0</v>
      </c>
      <c r="H118" s="36">
        <v>0</v>
      </c>
      <c r="I118" s="36">
        <v>0</v>
      </c>
      <c r="J118" s="36">
        <v>0</v>
      </c>
      <c r="K118" s="36">
        <v>0</v>
      </c>
      <c r="L118" s="36">
        <v>0</v>
      </c>
      <c r="M118" s="36">
        <v>0</v>
      </c>
      <c r="N118" s="36">
        <v>0</v>
      </c>
      <c r="O118" s="36">
        <v>0</v>
      </c>
      <c r="P118" s="36">
        <v>0</v>
      </c>
      <c r="Q118" s="36">
        <v>0</v>
      </c>
      <c r="R118" s="36">
        <v>0</v>
      </c>
      <c r="S118" s="36">
        <v>0</v>
      </c>
      <c r="T118" s="36">
        <v>0</v>
      </c>
      <c r="U118" s="36">
        <v>0</v>
      </c>
      <c r="V118" s="36">
        <v>0</v>
      </c>
      <c r="W118" s="36">
        <v>0</v>
      </c>
      <c r="X118" s="36">
        <v>0</v>
      </c>
      <c r="Y118" s="36">
        <v>0</v>
      </c>
      <c r="Z118" s="36">
        <v>0</v>
      </c>
      <c r="AA118" s="36">
        <v>0</v>
      </c>
      <c r="AB118" s="36">
        <v>0</v>
      </c>
      <c r="AC118" s="36">
        <v>0</v>
      </c>
      <c r="AD118" s="36">
        <v>0</v>
      </c>
      <c r="AE118" s="36">
        <v>0</v>
      </c>
      <c r="AF118" s="36">
        <v>0</v>
      </c>
      <c r="AG118" s="36">
        <v>0</v>
      </c>
      <c r="AH118" s="36">
        <v>0</v>
      </c>
      <c r="AI118" s="36">
        <v>0</v>
      </c>
      <c r="AJ118" s="36">
        <v>0</v>
      </c>
      <c r="AK118" s="36">
        <v>0</v>
      </c>
      <c r="AL118" s="36">
        <v>0</v>
      </c>
      <c r="AM118" s="36">
        <v>0</v>
      </c>
      <c r="AN118" s="36">
        <v>0</v>
      </c>
      <c r="AO118" s="36">
        <v>0</v>
      </c>
      <c r="AP118" s="36">
        <v>0</v>
      </c>
      <c r="AQ118" s="36">
        <v>0</v>
      </c>
      <c r="AR118" s="36">
        <v>0</v>
      </c>
      <c r="AS118" s="36">
        <v>0</v>
      </c>
      <c r="AT118" s="36">
        <v>0</v>
      </c>
      <c r="AU118" s="36">
        <v>0</v>
      </c>
      <c r="AV118" s="36">
        <v>0</v>
      </c>
      <c r="AW118" s="36">
        <v>0</v>
      </c>
      <c r="AX118" s="36">
        <v>0</v>
      </c>
      <c r="AY118" s="36">
        <v>0</v>
      </c>
      <c r="AZ118" s="36">
        <v>0</v>
      </c>
      <c r="BA118" s="36">
        <v>0</v>
      </c>
      <c r="BB118" s="36">
        <v>0</v>
      </c>
      <c r="BC118" s="36">
        <v>0</v>
      </c>
      <c r="BD118" s="36">
        <v>0</v>
      </c>
      <c r="BE118" s="36">
        <v>0</v>
      </c>
      <c r="BF118" s="36">
        <v>0</v>
      </c>
      <c r="BG118" s="36">
        <v>0</v>
      </c>
      <c r="BH118" s="36">
        <v>0</v>
      </c>
      <c r="BI118" s="36">
        <v>0</v>
      </c>
      <c r="BJ118" s="36">
        <v>0</v>
      </c>
      <c r="BK118" s="36">
        <v>0</v>
      </c>
      <c r="BL118" s="36">
        <v>0</v>
      </c>
      <c r="BM118" s="36">
        <v>0</v>
      </c>
      <c r="BN118" s="36">
        <v>0</v>
      </c>
      <c r="BO118" s="36">
        <v>0</v>
      </c>
      <c r="BP118" s="36">
        <v>0</v>
      </c>
      <c r="BQ118" s="36">
        <v>0</v>
      </c>
      <c r="BR118" s="36">
        <v>0</v>
      </c>
      <c r="BS118" s="36">
        <v>0</v>
      </c>
      <c r="BT118" s="36">
        <v>0</v>
      </c>
      <c r="BU118" s="36">
        <v>0</v>
      </c>
      <c r="BV118" s="36">
        <v>0</v>
      </c>
      <c r="BW118" s="36">
        <v>0</v>
      </c>
      <c r="BX118" s="36">
        <v>0</v>
      </c>
      <c r="BY118" s="36">
        <v>0</v>
      </c>
      <c r="BZ118" s="36">
        <v>0</v>
      </c>
      <c r="CA118" s="36">
        <v>0</v>
      </c>
      <c r="CB118" s="36">
        <v>0</v>
      </c>
      <c r="CC118" s="36">
        <v>0</v>
      </c>
      <c r="CD118" s="36">
        <v>0</v>
      </c>
      <c r="CE118" s="36">
        <v>0</v>
      </c>
      <c r="CF118" s="36">
        <v>0</v>
      </c>
      <c r="CG118" s="36">
        <v>0</v>
      </c>
      <c r="CH118" s="36">
        <v>0</v>
      </c>
      <c r="CI118" s="23"/>
    </row>
    <row r="119" spans="1:87" ht="15" customHeight="1" x14ac:dyDescent="0.25">
      <c r="A119" s="37" t="s">
        <v>210</v>
      </c>
      <c r="B119" s="37"/>
      <c r="C119" s="38">
        <v>0</v>
      </c>
      <c r="D119" s="38">
        <v>0</v>
      </c>
      <c r="E119" s="38">
        <v>0</v>
      </c>
      <c r="F119" s="38">
        <v>0</v>
      </c>
      <c r="G119" s="38">
        <v>0</v>
      </c>
      <c r="H119" s="38">
        <v>0</v>
      </c>
      <c r="I119" s="38">
        <v>0</v>
      </c>
      <c r="J119" s="38">
        <v>0</v>
      </c>
      <c r="K119" s="38">
        <v>0</v>
      </c>
      <c r="L119" s="38">
        <v>0</v>
      </c>
      <c r="M119" s="38">
        <v>0</v>
      </c>
      <c r="N119" s="38">
        <v>0</v>
      </c>
      <c r="O119" s="38">
        <v>0</v>
      </c>
      <c r="P119" s="38">
        <v>0</v>
      </c>
      <c r="Q119" s="38">
        <v>0</v>
      </c>
      <c r="R119" s="38">
        <v>0</v>
      </c>
      <c r="S119" s="38">
        <v>0</v>
      </c>
      <c r="T119" s="38">
        <v>0</v>
      </c>
      <c r="U119" s="38">
        <v>0</v>
      </c>
      <c r="V119" s="38">
        <v>0</v>
      </c>
      <c r="W119" s="38">
        <v>0</v>
      </c>
      <c r="X119" s="38">
        <v>0</v>
      </c>
      <c r="Y119" s="38">
        <v>0</v>
      </c>
      <c r="Z119" s="38">
        <v>0</v>
      </c>
      <c r="AA119" s="38">
        <v>0</v>
      </c>
      <c r="AB119" s="38">
        <v>0</v>
      </c>
      <c r="AC119" s="38">
        <v>0</v>
      </c>
      <c r="AD119" s="38">
        <v>0</v>
      </c>
      <c r="AE119" s="38">
        <v>0</v>
      </c>
      <c r="AF119" s="38">
        <v>0</v>
      </c>
      <c r="AG119" s="38">
        <v>0</v>
      </c>
      <c r="AH119" s="38">
        <v>0</v>
      </c>
      <c r="AI119" s="38">
        <v>0</v>
      </c>
      <c r="AJ119" s="38">
        <v>0</v>
      </c>
      <c r="AK119" s="38">
        <v>0</v>
      </c>
      <c r="AL119" s="38">
        <v>0</v>
      </c>
      <c r="AM119" s="38">
        <v>0</v>
      </c>
      <c r="AN119" s="38">
        <v>0</v>
      </c>
      <c r="AO119" s="38">
        <v>0</v>
      </c>
      <c r="AP119" s="38">
        <v>0</v>
      </c>
      <c r="AQ119" s="38">
        <v>0</v>
      </c>
      <c r="AR119" s="38">
        <v>0</v>
      </c>
      <c r="AS119" s="38">
        <v>0</v>
      </c>
      <c r="AT119" s="38">
        <v>0</v>
      </c>
      <c r="AU119" s="38">
        <v>0</v>
      </c>
      <c r="AV119" s="38">
        <v>0</v>
      </c>
      <c r="AW119" s="38">
        <v>0</v>
      </c>
      <c r="AX119" s="38">
        <v>0</v>
      </c>
      <c r="AY119" s="38">
        <v>0</v>
      </c>
      <c r="AZ119" s="38">
        <v>0</v>
      </c>
      <c r="BA119" s="38">
        <v>0</v>
      </c>
      <c r="BB119" s="38">
        <v>0</v>
      </c>
      <c r="BC119" s="38">
        <v>0</v>
      </c>
      <c r="BD119" s="38">
        <v>0</v>
      </c>
      <c r="BE119" s="38">
        <v>0</v>
      </c>
      <c r="BF119" s="38">
        <v>0</v>
      </c>
      <c r="BG119" s="38">
        <v>0</v>
      </c>
      <c r="BH119" s="38">
        <v>0</v>
      </c>
      <c r="BI119" s="38">
        <v>0</v>
      </c>
      <c r="BJ119" s="38">
        <v>0</v>
      </c>
      <c r="BK119" s="38">
        <v>0</v>
      </c>
      <c r="BL119" s="38">
        <v>0</v>
      </c>
      <c r="BM119" s="38">
        <v>0</v>
      </c>
      <c r="BN119" s="38">
        <v>0</v>
      </c>
      <c r="BO119" s="38">
        <v>0</v>
      </c>
      <c r="BP119" s="38">
        <v>0</v>
      </c>
      <c r="BQ119" s="38">
        <v>0</v>
      </c>
      <c r="BR119" s="38">
        <v>0</v>
      </c>
      <c r="BS119" s="38">
        <v>0</v>
      </c>
      <c r="BT119" s="38">
        <v>0</v>
      </c>
      <c r="BU119" s="38">
        <v>0</v>
      </c>
      <c r="BV119" s="38">
        <v>0</v>
      </c>
      <c r="BW119" s="38">
        <v>0</v>
      </c>
      <c r="BX119" s="38">
        <v>0</v>
      </c>
      <c r="BY119" s="38">
        <v>0</v>
      </c>
      <c r="BZ119" s="38">
        <v>0</v>
      </c>
      <c r="CA119" s="38">
        <v>0</v>
      </c>
      <c r="CB119" s="38">
        <v>0</v>
      </c>
      <c r="CC119" s="38">
        <v>0</v>
      </c>
      <c r="CD119" s="38">
        <v>0</v>
      </c>
      <c r="CE119" s="38">
        <v>0</v>
      </c>
      <c r="CF119" s="38">
        <v>0</v>
      </c>
      <c r="CG119" s="38">
        <v>0</v>
      </c>
      <c r="CH119" s="38">
        <v>0</v>
      </c>
      <c r="CI119" s="23"/>
    </row>
    <row r="120" spans="1:87" ht="15" customHeight="1" x14ac:dyDescent="0.25">
      <c r="A120" s="39" t="s">
        <v>211</v>
      </c>
      <c r="B120" s="40"/>
      <c r="C120" s="41">
        <f t="shared" ref="C120:AH120" si="57">MAX(0,C116+C117+C118+C119)</f>
        <v>0</v>
      </c>
      <c r="D120" s="41">
        <f t="shared" si="57"/>
        <v>0</v>
      </c>
      <c r="E120" s="41">
        <f t="shared" si="57"/>
        <v>0</v>
      </c>
      <c r="F120" s="41">
        <f t="shared" si="57"/>
        <v>0</v>
      </c>
      <c r="G120" s="41">
        <f t="shared" si="57"/>
        <v>0</v>
      </c>
      <c r="H120" s="41">
        <f t="shared" si="57"/>
        <v>0</v>
      </c>
      <c r="I120" s="41">
        <f t="shared" si="57"/>
        <v>0</v>
      </c>
      <c r="J120" s="41">
        <f t="shared" si="57"/>
        <v>0</v>
      </c>
      <c r="K120" s="41">
        <f t="shared" si="57"/>
        <v>0</v>
      </c>
      <c r="L120" s="41">
        <f t="shared" si="57"/>
        <v>0</v>
      </c>
      <c r="M120" s="41">
        <f t="shared" si="57"/>
        <v>0</v>
      </c>
      <c r="N120" s="41">
        <f t="shared" si="57"/>
        <v>0</v>
      </c>
      <c r="O120" s="41">
        <f t="shared" si="57"/>
        <v>0</v>
      </c>
      <c r="P120" s="41">
        <f t="shared" si="57"/>
        <v>0</v>
      </c>
      <c r="Q120" s="41">
        <f t="shared" si="57"/>
        <v>0</v>
      </c>
      <c r="R120" s="41">
        <f t="shared" si="57"/>
        <v>0</v>
      </c>
      <c r="S120" s="41">
        <f t="shared" si="57"/>
        <v>0</v>
      </c>
      <c r="T120" s="41">
        <f t="shared" si="57"/>
        <v>0</v>
      </c>
      <c r="U120" s="41">
        <f t="shared" si="57"/>
        <v>0</v>
      </c>
      <c r="V120" s="41">
        <f t="shared" si="57"/>
        <v>0</v>
      </c>
      <c r="W120" s="41">
        <f t="shared" si="57"/>
        <v>0</v>
      </c>
      <c r="X120" s="41">
        <f t="shared" si="57"/>
        <v>0</v>
      </c>
      <c r="Y120" s="41">
        <f t="shared" si="57"/>
        <v>0</v>
      </c>
      <c r="Z120" s="41">
        <f t="shared" si="57"/>
        <v>0</v>
      </c>
      <c r="AA120" s="41">
        <f t="shared" si="57"/>
        <v>0</v>
      </c>
      <c r="AB120" s="41">
        <f t="shared" si="57"/>
        <v>0</v>
      </c>
      <c r="AC120" s="41">
        <f t="shared" si="57"/>
        <v>0</v>
      </c>
      <c r="AD120" s="41">
        <f t="shared" si="57"/>
        <v>0</v>
      </c>
      <c r="AE120" s="41">
        <f t="shared" si="57"/>
        <v>0</v>
      </c>
      <c r="AF120" s="41">
        <f t="shared" si="57"/>
        <v>0</v>
      </c>
      <c r="AG120" s="41">
        <f t="shared" si="57"/>
        <v>0</v>
      </c>
      <c r="AH120" s="41">
        <f t="shared" si="57"/>
        <v>0</v>
      </c>
      <c r="AI120" s="41">
        <f t="shared" ref="AI120:BN120" si="58">MAX(0,AI116+AI117+AI118+AI119)</f>
        <v>0</v>
      </c>
      <c r="AJ120" s="41">
        <f t="shared" si="58"/>
        <v>0</v>
      </c>
      <c r="AK120" s="41">
        <f t="shared" si="58"/>
        <v>0</v>
      </c>
      <c r="AL120" s="41">
        <f t="shared" si="58"/>
        <v>0</v>
      </c>
      <c r="AM120" s="41">
        <f t="shared" si="58"/>
        <v>0</v>
      </c>
      <c r="AN120" s="41">
        <f t="shared" si="58"/>
        <v>0</v>
      </c>
      <c r="AO120" s="41">
        <f t="shared" si="58"/>
        <v>0</v>
      </c>
      <c r="AP120" s="41">
        <f t="shared" si="58"/>
        <v>0</v>
      </c>
      <c r="AQ120" s="41">
        <f t="shared" si="58"/>
        <v>0</v>
      </c>
      <c r="AR120" s="41">
        <f t="shared" si="58"/>
        <v>0</v>
      </c>
      <c r="AS120" s="41">
        <f t="shared" si="58"/>
        <v>0</v>
      </c>
      <c r="AT120" s="41">
        <f t="shared" si="58"/>
        <v>0</v>
      </c>
      <c r="AU120" s="41">
        <f t="shared" si="58"/>
        <v>0</v>
      </c>
      <c r="AV120" s="41">
        <f t="shared" si="58"/>
        <v>0</v>
      </c>
      <c r="AW120" s="41">
        <f t="shared" si="58"/>
        <v>0</v>
      </c>
      <c r="AX120" s="41">
        <f t="shared" si="58"/>
        <v>0</v>
      </c>
      <c r="AY120" s="41">
        <f t="shared" si="58"/>
        <v>0</v>
      </c>
      <c r="AZ120" s="41">
        <f t="shared" si="58"/>
        <v>0</v>
      </c>
      <c r="BA120" s="41">
        <f t="shared" si="58"/>
        <v>0</v>
      </c>
      <c r="BB120" s="41">
        <f t="shared" si="58"/>
        <v>0</v>
      </c>
      <c r="BC120" s="41">
        <f t="shared" si="58"/>
        <v>0</v>
      </c>
      <c r="BD120" s="41">
        <f t="shared" si="58"/>
        <v>0</v>
      </c>
      <c r="BE120" s="41">
        <f t="shared" si="58"/>
        <v>0</v>
      </c>
      <c r="BF120" s="41">
        <f t="shared" si="58"/>
        <v>0</v>
      </c>
      <c r="BG120" s="41">
        <f t="shared" si="58"/>
        <v>0</v>
      </c>
      <c r="BH120" s="41">
        <f t="shared" si="58"/>
        <v>0</v>
      </c>
      <c r="BI120" s="41">
        <f t="shared" si="58"/>
        <v>0</v>
      </c>
      <c r="BJ120" s="41">
        <f t="shared" si="58"/>
        <v>0</v>
      </c>
      <c r="BK120" s="41">
        <f t="shared" si="58"/>
        <v>0</v>
      </c>
      <c r="BL120" s="41">
        <f t="shared" si="58"/>
        <v>0</v>
      </c>
      <c r="BM120" s="41">
        <f t="shared" si="58"/>
        <v>0</v>
      </c>
      <c r="BN120" s="41">
        <f t="shared" si="58"/>
        <v>0</v>
      </c>
      <c r="BO120" s="41">
        <f t="shared" ref="BO120:CT120" si="59">MAX(0,BO116+BO117+BO118+BO119)</f>
        <v>0</v>
      </c>
      <c r="BP120" s="41">
        <f t="shared" si="59"/>
        <v>0</v>
      </c>
      <c r="BQ120" s="41">
        <f t="shared" si="59"/>
        <v>0</v>
      </c>
      <c r="BR120" s="41">
        <f t="shared" si="59"/>
        <v>0</v>
      </c>
      <c r="BS120" s="41">
        <f t="shared" si="59"/>
        <v>0</v>
      </c>
      <c r="BT120" s="41">
        <f t="shared" si="59"/>
        <v>0</v>
      </c>
      <c r="BU120" s="41">
        <f t="shared" si="59"/>
        <v>0</v>
      </c>
      <c r="BV120" s="41">
        <f t="shared" si="59"/>
        <v>0</v>
      </c>
      <c r="BW120" s="41">
        <f t="shared" si="59"/>
        <v>0</v>
      </c>
      <c r="BX120" s="41">
        <f t="shared" si="59"/>
        <v>0</v>
      </c>
      <c r="BY120" s="41">
        <f t="shared" si="59"/>
        <v>0</v>
      </c>
      <c r="BZ120" s="41">
        <f t="shared" si="59"/>
        <v>0</v>
      </c>
      <c r="CA120" s="41">
        <f t="shared" si="59"/>
        <v>0</v>
      </c>
      <c r="CB120" s="41">
        <f t="shared" si="59"/>
        <v>0</v>
      </c>
      <c r="CC120" s="41">
        <f t="shared" si="59"/>
        <v>0</v>
      </c>
      <c r="CD120" s="41">
        <f t="shared" si="59"/>
        <v>0</v>
      </c>
      <c r="CE120" s="41">
        <f t="shared" si="59"/>
        <v>0</v>
      </c>
      <c r="CF120" s="41">
        <f t="shared" si="59"/>
        <v>0</v>
      </c>
      <c r="CG120" s="41">
        <f t="shared" si="59"/>
        <v>0</v>
      </c>
      <c r="CH120" s="41">
        <f t="shared" si="59"/>
        <v>0</v>
      </c>
      <c r="CI120" s="23"/>
    </row>
    <row r="121" spans="1:87" ht="15" customHeight="1" x14ac:dyDescent="0.25">
      <c r="A121" s="42" t="s">
        <v>212</v>
      </c>
      <c r="B121" s="42"/>
      <c r="C121" s="43">
        <f>IF(Projects!$G$14="Yes",Assumptions!$B$75,0)</f>
        <v>264927.15000000002</v>
      </c>
      <c r="D121" s="43">
        <f>C125</f>
        <v>264927.15000000002</v>
      </c>
      <c r="E121" s="43">
        <f>IF(Projects!$G$14="Yes",D125+176618.1,D125)</f>
        <v>441545.25</v>
      </c>
      <c r="F121" s="43">
        <f>E125</f>
        <v>458103.19687500002</v>
      </c>
      <c r="G121" s="43">
        <f>F125</f>
        <v>458103.19687500002</v>
      </c>
      <c r="H121" s="43">
        <f>IF(Projects!$G$14="Yes",G125+176618.1,G125)</f>
        <v>634721.296875</v>
      </c>
      <c r="I121" s="43">
        <f>H125</f>
        <v>658523.34550781245</v>
      </c>
      <c r="J121" s="43">
        <f>I125</f>
        <v>658523.34550781245</v>
      </c>
      <c r="K121" s="43">
        <f>J125</f>
        <v>658523.34550781245</v>
      </c>
      <c r="L121" s="43">
        <f>IF(Projects!$G$14="Yes",K125+88309.05,K125)</f>
        <v>771527.02096435544</v>
      </c>
      <c r="M121" s="43">
        <f>L125</f>
        <v>771527.02096435544</v>
      </c>
      <c r="N121" s="43">
        <f>M125</f>
        <v>771527.02096435544</v>
      </c>
      <c r="O121" s="43">
        <f>N125</f>
        <v>800459.28425051877</v>
      </c>
      <c r="P121" s="43">
        <f>O125</f>
        <v>800459.28425051877</v>
      </c>
      <c r="Q121" s="43">
        <f>IF(Projects!$G$14="Yes",P125+88309.05,P125)</f>
        <v>888768.33425051882</v>
      </c>
      <c r="R121" s="43">
        <f>Q125</f>
        <v>922097.14678491326</v>
      </c>
      <c r="S121" s="43">
        <f>R125</f>
        <v>922097.14678491326</v>
      </c>
      <c r="T121" s="43">
        <f>S125</f>
        <v>922097.14678491326</v>
      </c>
      <c r="U121" s="43">
        <f>T125</f>
        <v>956675.78978934756</v>
      </c>
      <c r="V121" s="43">
        <f>U125</f>
        <v>956675.78978934756</v>
      </c>
      <c r="W121" s="43">
        <f>IF(Projects!$G$14="Yes",V125+88309.05,V125)</f>
        <v>1044984.8397893476</v>
      </c>
      <c r="X121" s="43">
        <f>W125</f>
        <v>1084171.7712814482</v>
      </c>
      <c r="Y121" s="43">
        <f>X125</f>
        <v>1084171.7712814482</v>
      </c>
      <c r="Z121" s="43">
        <f>Y125</f>
        <v>1084171.7712814482</v>
      </c>
      <c r="AA121" s="43">
        <f>Z125</f>
        <v>1124828.2127045025</v>
      </c>
      <c r="AB121" s="43">
        <f>AA125</f>
        <v>1124828.2127045025</v>
      </c>
      <c r="AC121" s="43">
        <f>IF(Projects!$G$14="Yes",AB125+Assumptions!$B$76,AB125)</f>
        <v>2007918.7127045025</v>
      </c>
      <c r="AD121" s="43">
        <f t="shared" ref="AD121:BI121" si="60">AC125</f>
        <v>283215.66443092143</v>
      </c>
      <c r="AE121" s="43">
        <f t="shared" si="60"/>
        <v>283215.66443092143</v>
      </c>
      <c r="AF121" s="43">
        <f t="shared" si="60"/>
        <v>283215.66443092143</v>
      </c>
      <c r="AG121" s="43">
        <f t="shared" si="60"/>
        <v>293836.251847081</v>
      </c>
      <c r="AH121" s="43">
        <f t="shared" si="60"/>
        <v>293836.251847081</v>
      </c>
      <c r="AI121" s="43">
        <f t="shared" si="60"/>
        <v>293836.251847081</v>
      </c>
      <c r="AJ121" s="43">
        <f t="shared" si="60"/>
        <v>304855.11129134655</v>
      </c>
      <c r="AK121" s="43">
        <f t="shared" si="60"/>
        <v>304855.11129134655</v>
      </c>
      <c r="AL121" s="43">
        <f t="shared" si="60"/>
        <v>304855.11129134655</v>
      </c>
      <c r="AM121" s="43">
        <f t="shared" si="60"/>
        <v>316287.17796477204</v>
      </c>
      <c r="AN121" s="43">
        <f t="shared" si="60"/>
        <v>316287.17796477204</v>
      </c>
      <c r="AO121" s="43">
        <f t="shared" si="60"/>
        <v>316287.17796477204</v>
      </c>
      <c r="AP121" s="43">
        <f t="shared" si="60"/>
        <v>328147.94713845098</v>
      </c>
      <c r="AQ121" s="43">
        <f t="shared" si="60"/>
        <v>328147.94713845098</v>
      </c>
      <c r="AR121" s="43">
        <f t="shared" si="60"/>
        <v>328147.94713845098</v>
      </c>
      <c r="AS121" s="43">
        <f t="shared" si="60"/>
        <v>340453.49515614292</v>
      </c>
      <c r="AT121" s="43">
        <f t="shared" si="60"/>
        <v>340453.49515614292</v>
      </c>
      <c r="AU121" s="43">
        <f t="shared" si="60"/>
        <v>340453.49515614292</v>
      </c>
      <c r="AV121" s="43">
        <f t="shared" si="60"/>
        <v>353220.50122449826</v>
      </c>
      <c r="AW121" s="43">
        <f t="shared" si="60"/>
        <v>353220.50122449826</v>
      </c>
      <c r="AX121" s="43">
        <f t="shared" si="60"/>
        <v>353220.50122449826</v>
      </c>
      <c r="AY121" s="43">
        <f t="shared" si="60"/>
        <v>366466.27002041694</v>
      </c>
      <c r="AZ121" s="43">
        <f t="shared" si="60"/>
        <v>366466.27002041694</v>
      </c>
      <c r="BA121" s="43">
        <f t="shared" si="60"/>
        <v>366466.27002041694</v>
      </c>
      <c r="BB121" s="43">
        <f t="shared" si="60"/>
        <v>380208.75514618255</v>
      </c>
      <c r="BC121" s="43">
        <f t="shared" si="60"/>
        <v>380208.75514618255</v>
      </c>
      <c r="BD121" s="43">
        <f t="shared" si="60"/>
        <v>380208.75514618255</v>
      </c>
      <c r="BE121" s="43">
        <f t="shared" si="60"/>
        <v>394466.5834641644</v>
      </c>
      <c r="BF121" s="43">
        <f t="shared" si="60"/>
        <v>394466.5834641644</v>
      </c>
      <c r="BG121" s="43">
        <f t="shared" si="60"/>
        <v>394466.5834641644</v>
      </c>
      <c r="BH121" s="43">
        <f t="shared" si="60"/>
        <v>409259.08034407056</v>
      </c>
      <c r="BI121" s="43">
        <f t="shared" si="60"/>
        <v>409259.08034407056</v>
      </c>
      <c r="BJ121" s="43">
        <f t="shared" ref="BJ121:CH121" si="61">BI125</f>
        <v>409259.08034407056</v>
      </c>
      <c r="BK121" s="43">
        <f t="shared" si="61"/>
        <v>424606.29585697321</v>
      </c>
      <c r="BL121" s="43">
        <f t="shared" si="61"/>
        <v>424606.29585697321</v>
      </c>
      <c r="BM121" s="43">
        <f t="shared" si="61"/>
        <v>424606.29585697321</v>
      </c>
      <c r="BN121" s="43">
        <f t="shared" si="61"/>
        <v>440529.03195160971</v>
      </c>
      <c r="BO121" s="43">
        <f t="shared" si="61"/>
        <v>440529.03195160971</v>
      </c>
      <c r="BP121" s="43">
        <f t="shared" si="61"/>
        <v>440529.03195160971</v>
      </c>
      <c r="BQ121" s="43">
        <f t="shared" si="61"/>
        <v>457048.87064979505</v>
      </c>
      <c r="BR121" s="43">
        <f t="shared" si="61"/>
        <v>457048.87064979505</v>
      </c>
      <c r="BS121" s="43">
        <f t="shared" si="61"/>
        <v>457048.87064979505</v>
      </c>
      <c r="BT121" s="43">
        <f t="shared" si="61"/>
        <v>474188.20329916239</v>
      </c>
      <c r="BU121" s="43">
        <f t="shared" si="61"/>
        <v>474188.20329916239</v>
      </c>
      <c r="BV121" s="43">
        <f t="shared" si="61"/>
        <v>474188.20329916239</v>
      </c>
      <c r="BW121" s="43">
        <f t="shared" si="61"/>
        <v>491970.26092288096</v>
      </c>
      <c r="BX121" s="43">
        <f t="shared" si="61"/>
        <v>491970.26092288096</v>
      </c>
      <c r="BY121" s="43">
        <f t="shared" si="61"/>
        <v>491970.26092288096</v>
      </c>
      <c r="BZ121" s="43">
        <f t="shared" si="61"/>
        <v>510419.14570748899</v>
      </c>
      <c r="CA121" s="43">
        <f t="shared" si="61"/>
        <v>510419.14570748899</v>
      </c>
      <c r="CB121" s="43">
        <f t="shared" si="61"/>
        <v>510419.14570748899</v>
      </c>
      <c r="CC121" s="43">
        <f t="shared" si="61"/>
        <v>529559.86367151979</v>
      </c>
      <c r="CD121" s="43">
        <f t="shared" si="61"/>
        <v>529559.86367151979</v>
      </c>
      <c r="CE121" s="43">
        <f t="shared" si="61"/>
        <v>529559.86367151979</v>
      </c>
      <c r="CF121" s="43">
        <f t="shared" si="61"/>
        <v>549418.35855920182</v>
      </c>
      <c r="CG121" s="43">
        <f t="shared" si="61"/>
        <v>549418.35855920182</v>
      </c>
      <c r="CH121" s="43">
        <f t="shared" si="61"/>
        <v>549418.35855920182</v>
      </c>
      <c r="CI121" s="23"/>
    </row>
    <row r="122" spans="1:87" ht="15" customHeight="1" x14ac:dyDescent="0.25">
      <c r="A122" s="42" t="s">
        <v>213</v>
      </c>
      <c r="B122" s="42"/>
      <c r="C122" s="43">
        <f>IF(AND(MOD(1,3)=0,C121&gt;0),C121*Assumptions!$B$59,0)</f>
        <v>0</v>
      </c>
      <c r="D122" s="43">
        <f>IF(AND(MOD(2,3)=0,D121&gt;0),D121*Assumptions!$B$59,0)</f>
        <v>0</v>
      </c>
      <c r="E122" s="43">
        <f>IF(AND(MOD(3,3)=0,E121&gt;0),E121*Assumptions!$B$59,0)</f>
        <v>16557.946874999998</v>
      </c>
      <c r="F122" s="43">
        <f>IF(AND(MOD(4,3)=0,F121&gt;0),F121*Assumptions!$B$59,0)</f>
        <v>0</v>
      </c>
      <c r="G122" s="43">
        <f>IF(AND(MOD(5,3)=0,G121&gt;0),G121*Assumptions!$B$59,0)</f>
        <v>0</v>
      </c>
      <c r="H122" s="43">
        <f>IF(AND(MOD(6,3)=0,H121&gt;0),H121*Assumptions!$B$59,0)</f>
        <v>23802.048632812501</v>
      </c>
      <c r="I122" s="43">
        <f>IF(AND(MOD(7,3)=0,I121&gt;0),I121*Assumptions!$B$59,0)</f>
        <v>0</v>
      </c>
      <c r="J122" s="43">
        <f>IF(AND(MOD(8,3)=0,J121&gt;0),J121*Assumptions!$B$59,0)</f>
        <v>0</v>
      </c>
      <c r="K122" s="43">
        <f>IF(AND(MOD(9,3)=0,K121&gt;0),K121*Assumptions!$B$59,0)</f>
        <v>24694.625456542966</v>
      </c>
      <c r="L122" s="43">
        <f>IF(AND(MOD(10,3)=0,L121&gt;0),L121*Assumptions!$B$59,0)</f>
        <v>0</v>
      </c>
      <c r="M122" s="43">
        <f>IF(AND(MOD(11,3)=0,M121&gt;0),M121*Assumptions!$B$59,0)</f>
        <v>0</v>
      </c>
      <c r="N122" s="43">
        <f>IF(AND(MOD(12,3)=0,N121&gt;0),N121*Assumptions!$B$59,0)</f>
        <v>28932.263286163328</v>
      </c>
      <c r="O122" s="43">
        <f>IF(AND(MOD(13,3)=0,O121&gt;0),O121*Assumptions!$B$59,0)</f>
        <v>0</v>
      </c>
      <c r="P122" s="43">
        <f>IF(AND(MOD(14,3)=0,P121&gt;0),P121*Assumptions!$B$59,0)</f>
        <v>0</v>
      </c>
      <c r="Q122" s="43">
        <f>IF(AND(MOD(15,3)=0,Q121&gt;0),Q121*Assumptions!$B$59,0)</f>
        <v>33328.812534394456</v>
      </c>
      <c r="R122" s="43">
        <f>IF(AND(MOD(16,3)=0,R121&gt;0),R121*Assumptions!$B$59,0)</f>
        <v>0</v>
      </c>
      <c r="S122" s="43">
        <f>IF(AND(MOD(17,3)=0,S121&gt;0),S121*Assumptions!$B$59,0)</f>
        <v>0</v>
      </c>
      <c r="T122" s="43">
        <f>IF(AND(MOD(18,3)=0,T121&gt;0),T121*Assumptions!$B$59,0)</f>
        <v>34578.643004434249</v>
      </c>
      <c r="U122" s="43">
        <f>IF(AND(MOD(19,3)=0,U121&gt;0),U121*Assumptions!$B$59,0)</f>
        <v>0</v>
      </c>
      <c r="V122" s="43">
        <f>IF(AND(MOD(20,3)=0,V121&gt;0),V121*Assumptions!$B$59,0)</f>
        <v>0</v>
      </c>
      <c r="W122" s="43">
        <f>IF(AND(MOD(21,3)=0,W121&gt;0),W121*Assumptions!$B$59,0)</f>
        <v>39186.931492100535</v>
      </c>
      <c r="X122" s="43">
        <f>IF(AND(MOD(22,3)=0,X121&gt;0),X121*Assumptions!$B$59,0)</f>
        <v>0</v>
      </c>
      <c r="Y122" s="43">
        <f>IF(AND(MOD(23,3)=0,Y121&gt;0),Y121*Assumptions!$B$59,0)</f>
        <v>0</v>
      </c>
      <c r="Z122" s="43">
        <f>IF(AND(MOD(24,3)=0,Z121&gt;0),Z121*Assumptions!$B$59,0)</f>
        <v>40656.441423054304</v>
      </c>
      <c r="AA122" s="43">
        <f>IF(AND(MOD(25,3)=0,AA121&gt;0),AA121*Assumptions!$B$59,0)</f>
        <v>0</v>
      </c>
      <c r="AB122" s="43">
        <f>IF(AND(MOD(26,3)=0,AB121&gt;0),AB121*Assumptions!$B$59,0)</f>
        <v>0</v>
      </c>
      <c r="AC122" s="43">
        <f>IF(AND(MOD(27,3)=0,AC121&gt;0),AC121*Assumptions!$B$59,0)</f>
        <v>75296.951726418847</v>
      </c>
      <c r="AD122" s="43">
        <f>IF(AND(MOD(28,3)=0,AD121&gt;0),AD121*Assumptions!$B$59,0)</f>
        <v>0</v>
      </c>
      <c r="AE122" s="43">
        <f>IF(AND(MOD(29,3)=0,AE121&gt;0),AE121*Assumptions!$B$59,0)</f>
        <v>0</v>
      </c>
      <c r="AF122" s="43">
        <f>IF(AND(MOD(30,3)=0,AF121&gt;0),AF121*Assumptions!$B$59,0)</f>
        <v>10620.587416159553</v>
      </c>
      <c r="AG122" s="43">
        <f>IF(AND(MOD(31,3)=0,AG121&gt;0),AG121*Assumptions!$B$59,0)</f>
        <v>0</v>
      </c>
      <c r="AH122" s="43">
        <f>IF(AND(MOD(32,3)=0,AH121&gt;0),AH121*Assumptions!$B$59,0)</f>
        <v>0</v>
      </c>
      <c r="AI122" s="43">
        <f>IF(AND(MOD(33,3)=0,AI121&gt;0),AI121*Assumptions!$B$59,0)</f>
        <v>11018.859444265538</v>
      </c>
      <c r="AJ122" s="43">
        <f>IF(AND(MOD(34,3)=0,AJ121&gt;0),AJ121*Assumptions!$B$59,0)</f>
        <v>0</v>
      </c>
      <c r="AK122" s="43">
        <f>IF(AND(MOD(35,3)=0,AK121&gt;0),AK121*Assumptions!$B$59,0)</f>
        <v>0</v>
      </c>
      <c r="AL122" s="43">
        <f>IF(AND(MOD(36,3)=0,AL121&gt;0),AL121*Assumptions!$B$59,0)</f>
        <v>11432.066673425496</v>
      </c>
      <c r="AM122" s="43">
        <f>IF(AND(MOD(37,3)=0,AM121&gt;0),AM121*Assumptions!$B$59,0)</f>
        <v>0</v>
      </c>
      <c r="AN122" s="43">
        <f>IF(AND(MOD(38,3)=0,AN121&gt;0),AN121*Assumptions!$B$59,0)</f>
        <v>0</v>
      </c>
      <c r="AO122" s="43">
        <f>IF(AND(MOD(39,3)=0,AO121&gt;0),AO121*Assumptions!$B$59,0)</f>
        <v>11860.769173678951</v>
      </c>
      <c r="AP122" s="43">
        <f>IF(AND(MOD(40,3)=0,AP121&gt;0),AP121*Assumptions!$B$59,0)</f>
        <v>0</v>
      </c>
      <c r="AQ122" s="43">
        <f>IF(AND(MOD(41,3)=0,AQ121&gt;0),AQ121*Assumptions!$B$59,0)</f>
        <v>0</v>
      </c>
      <c r="AR122" s="43">
        <f>IF(AND(MOD(42,3)=0,AR121&gt;0),AR121*Assumptions!$B$59,0)</f>
        <v>12305.548017691912</v>
      </c>
      <c r="AS122" s="43">
        <f>IF(AND(MOD(43,3)=0,AS121&gt;0),AS121*Assumptions!$B$59,0)</f>
        <v>0</v>
      </c>
      <c r="AT122" s="43">
        <f>IF(AND(MOD(44,3)=0,AT121&gt;0),AT121*Assumptions!$B$59,0)</f>
        <v>0</v>
      </c>
      <c r="AU122" s="43">
        <f>IF(AND(MOD(45,3)=0,AU121&gt;0),AU121*Assumptions!$B$59,0)</f>
        <v>12767.006068355358</v>
      </c>
      <c r="AV122" s="43">
        <f>IF(AND(MOD(46,3)=0,AV121&gt;0),AV121*Assumptions!$B$59,0)</f>
        <v>0</v>
      </c>
      <c r="AW122" s="43">
        <f>IF(AND(MOD(47,3)=0,AW121&gt;0),AW121*Assumptions!$B$59,0)</f>
        <v>0</v>
      </c>
      <c r="AX122" s="43">
        <f>IF(AND(MOD(48,3)=0,AX121&gt;0),AX121*Assumptions!$B$59,0)</f>
        <v>13245.768795918684</v>
      </c>
      <c r="AY122" s="43">
        <f>IF(AND(MOD(49,3)=0,AY121&gt;0),AY121*Assumptions!$B$59,0)</f>
        <v>0</v>
      </c>
      <c r="AZ122" s="43">
        <f>IF(AND(MOD(50,3)=0,AZ121&gt;0),AZ121*Assumptions!$B$59,0)</f>
        <v>0</v>
      </c>
      <c r="BA122" s="43">
        <f>IF(AND(MOD(51,3)=0,BA121&gt;0),BA121*Assumptions!$B$59,0)</f>
        <v>13742.485125765636</v>
      </c>
      <c r="BB122" s="43">
        <f>IF(AND(MOD(52,3)=0,BB121&gt;0),BB121*Assumptions!$B$59,0)</f>
        <v>0</v>
      </c>
      <c r="BC122" s="43">
        <f>IF(AND(MOD(53,3)=0,BC121&gt;0),BC121*Assumptions!$B$59,0)</f>
        <v>0</v>
      </c>
      <c r="BD122" s="43">
        <f>IF(AND(MOD(54,3)=0,BD121&gt;0),BD121*Assumptions!$B$59,0)</f>
        <v>14257.828317981845</v>
      </c>
      <c r="BE122" s="43">
        <f>IF(AND(MOD(55,3)=0,BE121&gt;0),BE121*Assumptions!$B$59,0)</f>
        <v>0</v>
      </c>
      <c r="BF122" s="43">
        <f>IF(AND(MOD(56,3)=0,BF121&gt;0),BF121*Assumptions!$B$59,0)</f>
        <v>0</v>
      </c>
      <c r="BG122" s="43">
        <f>IF(AND(MOD(57,3)=0,BG121&gt;0),BG121*Assumptions!$B$59,0)</f>
        <v>14792.496879906164</v>
      </c>
      <c r="BH122" s="43">
        <f>IF(AND(MOD(58,3)=0,BH121&gt;0),BH121*Assumptions!$B$59,0)</f>
        <v>0</v>
      </c>
      <c r="BI122" s="43">
        <f>IF(AND(MOD(59,3)=0,BI121&gt;0),BI121*Assumptions!$B$59,0)</f>
        <v>0</v>
      </c>
      <c r="BJ122" s="43">
        <f>IF(AND(MOD(60,3)=0,BJ121&gt;0),BJ121*Assumptions!$B$59,0)</f>
        <v>15347.215512902645</v>
      </c>
      <c r="BK122" s="43">
        <f>IF(AND(MOD(61,3)=0,BK121&gt;0),BK121*Assumptions!$B$59,0)</f>
        <v>0</v>
      </c>
      <c r="BL122" s="43">
        <f>IF(AND(MOD(62,3)=0,BL121&gt;0),BL121*Assumptions!$B$59,0)</f>
        <v>0</v>
      </c>
      <c r="BM122" s="43">
        <f>IF(AND(MOD(63,3)=0,BM121&gt;0),BM121*Assumptions!$B$59,0)</f>
        <v>15922.736094636495</v>
      </c>
      <c r="BN122" s="43">
        <f>IF(AND(MOD(64,3)=0,BN121&gt;0),BN121*Assumptions!$B$59,0)</f>
        <v>0</v>
      </c>
      <c r="BO122" s="43">
        <f>IF(AND(MOD(65,3)=0,BO121&gt;0),BO121*Assumptions!$B$59,0)</f>
        <v>0</v>
      </c>
      <c r="BP122" s="43">
        <f>IF(AND(MOD(66,3)=0,BP121&gt;0),BP121*Assumptions!$B$59,0)</f>
        <v>16519.838698185362</v>
      </c>
      <c r="BQ122" s="43">
        <f>IF(AND(MOD(67,3)=0,BQ121&gt;0),BQ121*Assumptions!$B$59,0)</f>
        <v>0</v>
      </c>
      <c r="BR122" s="43">
        <f>IF(AND(MOD(68,3)=0,BR121&gt;0),BR121*Assumptions!$B$59,0)</f>
        <v>0</v>
      </c>
      <c r="BS122" s="43">
        <f>IF(AND(MOD(69,3)=0,BS121&gt;0),BS121*Assumptions!$B$59,0)</f>
        <v>17139.332649367312</v>
      </c>
      <c r="BT122" s="43">
        <f>IF(AND(MOD(70,3)=0,BT121&gt;0),BT121*Assumptions!$B$59,0)</f>
        <v>0</v>
      </c>
      <c r="BU122" s="43">
        <f>IF(AND(MOD(71,3)=0,BU121&gt;0),BU121*Assumptions!$B$59,0)</f>
        <v>0</v>
      </c>
      <c r="BV122" s="43">
        <f>IF(AND(MOD(72,3)=0,BV121&gt;0),BV121*Assumptions!$B$59,0)</f>
        <v>17782.057623718589</v>
      </c>
      <c r="BW122" s="43">
        <f>IF(AND(MOD(73,3)=0,BW121&gt;0),BW121*Assumptions!$B$59,0)</f>
        <v>0</v>
      </c>
      <c r="BX122" s="43">
        <f>IF(AND(MOD(74,3)=0,BX121&gt;0),BX121*Assumptions!$B$59,0)</f>
        <v>0</v>
      </c>
      <c r="BY122" s="43">
        <f>IF(AND(MOD(75,3)=0,BY121&gt;0),BY121*Assumptions!$B$59,0)</f>
        <v>18448.884784608035</v>
      </c>
      <c r="BZ122" s="43">
        <f>IF(AND(MOD(76,3)=0,BZ121&gt;0),BZ121*Assumptions!$B$59,0)</f>
        <v>0</v>
      </c>
      <c r="CA122" s="43">
        <f>IF(AND(MOD(77,3)=0,CA121&gt;0),CA121*Assumptions!$B$59,0)</f>
        <v>0</v>
      </c>
      <c r="CB122" s="43">
        <f>IF(AND(MOD(78,3)=0,CB121&gt;0),CB121*Assumptions!$B$59,0)</f>
        <v>19140.717964030835</v>
      </c>
      <c r="CC122" s="43">
        <f>IF(AND(MOD(79,3)=0,CC121&gt;0),CC121*Assumptions!$B$59,0)</f>
        <v>0</v>
      </c>
      <c r="CD122" s="43">
        <f>IF(AND(MOD(80,3)=0,CD121&gt;0),CD121*Assumptions!$B$59,0)</f>
        <v>0</v>
      </c>
      <c r="CE122" s="43">
        <f>IF(AND(MOD(81,3)=0,CE121&gt;0),CE121*Assumptions!$B$59,0)</f>
        <v>19858.494887681991</v>
      </c>
      <c r="CF122" s="43">
        <f>IF(AND(MOD(82,3)=0,CF121&gt;0),CF121*Assumptions!$B$59,0)</f>
        <v>0</v>
      </c>
      <c r="CG122" s="43">
        <f>IF(AND(MOD(83,3)=0,CG121&gt;0),CG121*Assumptions!$B$59,0)</f>
        <v>0</v>
      </c>
      <c r="CH122" s="43">
        <f>IF(AND(MOD(84,3)=0,CH121&gt;0),CH121*Assumptions!$B$59,0)</f>
        <v>20603.188445970067</v>
      </c>
      <c r="CI122" s="23"/>
    </row>
    <row r="123" spans="1:87" ht="15" customHeight="1" x14ac:dyDescent="0.25">
      <c r="A123" s="42" t="s">
        <v>214</v>
      </c>
      <c r="B123" s="42"/>
      <c r="C123" s="43">
        <v>0</v>
      </c>
      <c r="D123" s="43">
        <v>0</v>
      </c>
      <c r="E123" s="43">
        <v>0</v>
      </c>
      <c r="F123" s="43">
        <v>0</v>
      </c>
      <c r="G123" s="43">
        <v>0</v>
      </c>
      <c r="H123" s="43">
        <v>0</v>
      </c>
      <c r="I123" s="43">
        <v>0</v>
      </c>
      <c r="J123" s="43">
        <v>0</v>
      </c>
      <c r="K123" s="43">
        <v>0</v>
      </c>
      <c r="L123" s="43">
        <v>0</v>
      </c>
      <c r="M123" s="43">
        <v>0</v>
      </c>
      <c r="N123" s="43">
        <v>0</v>
      </c>
      <c r="O123" s="43">
        <v>0</v>
      </c>
      <c r="P123" s="43">
        <v>0</v>
      </c>
      <c r="Q123" s="43">
        <v>0</v>
      </c>
      <c r="R123" s="43">
        <v>0</v>
      </c>
      <c r="S123" s="43">
        <v>0</v>
      </c>
      <c r="T123" s="43">
        <v>0</v>
      </c>
      <c r="U123" s="43">
        <v>0</v>
      </c>
      <c r="V123" s="43">
        <v>0</v>
      </c>
      <c r="W123" s="43">
        <v>0</v>
      </c>
      <c r="X123" s="43">
        <v>0</v>
      </c>
      <c r="Y123" s="43">
        <v>0</v>
      </c>
      <c r="Z123" s="43">
        <v>0</v>
      </c>
      <c r="AA123" s="43">
        <v>0</v>
      </c>
      <c r="AB123" s="43">
        <v>0</v>
      </c>
      <c r="AC123" s="43">
        <f>IF(Projects!$G$14="Yes",Assumptions!$B$77,0)</f>
        <v>-1800000</v>
      </c>
      <c r="AD123" s="43">
        <v>0</v>
      </c>
      <c r="AE123" s="43">
        <v>0</v>
      </c>
      <c r="AF123" s="43">
        <v>0</v>
      </c>
      <c r="AG123" s="43">
        <v>0</v>
      </c>
      <c r="AH123" s="43">
        <v>0</v>
      </c>
      <c r="AI123" s="43">
        <v>0</v>
      </c>
      <c r="AJ123" s="43">
        <v>0</v>
      </c>
      <c r="AK123" s="43">
        <v>0</v>
      </c>
      <c r="AL123" s="43">
        <v>0</v>
      </c>
      <c r="AM123" s="43">
        <v>0</v>
      </c>
      <c r="AN123" s="43">
        <v>0</v>
      </c>
      <c r="AO123" s="43">
        <v>0</v>
      </c>
      <c r="AP123" s="43">
        <v>0</v>
      </c>
      <c r="AQ123" s="43">
        <v>0</v>
      </c>
      <c r="AR123" s="43">
        <v>0</v>
      </c>
      <c r="AS123" s="43">
        <v>0</v>
      </c>
      <c r="AT123" s="43">
        <v>0</v>
      </c>
      <c r="AU123" s="43">
        <v>0</v>
      </c>
      <c r="AV123" s="43">
        <v>0</v>
      </c>
      <c r="AW123" s="43">
        <v>0</v>
      </c>
      <c r="AX123" s="43">
        <v>0</v>
      </c>
      <c r="AY123" s="43">
        <v>0</v>
      </c>
      <c r="AZ123" s="43">
        <v>0</v>
      </c>
      <c r="BA123" s="43">
        <v>0</v>
      </c>
      <c r="BB123" s="43">
        <v>0</v>
      </c>
      <c r="BC123" s="43">
        <v>0</v>
      </c>
      <c r="BD123" s="43">
        <v>0</v>
      </c>
      <c r="BE123" s="43">
        <v>0</v>
      </c>
      <c r="BF123" s="43">
        <v>0</v>
      </c>
      <c r="BG123" s="43">
        <v>0</v>
      </c>
      <c r="BH123" s="43">
        <v>0</v>
      </c>
      <c r="BI123" s="43">
        <v>0</v>
      </c>
      <c r="BJ123" s="43">
        <v>0</v>
      </c>
      <c r="BK123" s="43">
        <v>0</v>
      </c>
      <c r="BL123" s="43">
        <v>0</v>
      </c>
      <c r="BM123" s="43">
        <v>0</v>
      </c>
      <c r="BN123" s="43">
        <v>0</v>
      </c>
      <c r="BO123" s="43">
        <v>0</v>
      </c>
      <c r="BP123" s="43">
        <v>0</v>
      </c>
      <c r="BQ123" s="43">
        <v>0</v>
      </c>
      <c r="BR123" s="43">
        <v>0</v>
      </c>
      <c r="BS123" s="43">
        <v>0</v>
      </c>
      <c r="BT123" s="43">
        <v>0</v>
      </c>
      <c r="BU123" s="43">
        <v>0</v>
      </c>
      <c r="BV123" s="43">
        <v>0</v>
      </c>
      <c r="BW123" s="43">
        <v>0</v>
      </c>
      <c r="BX123" s="43">
        <v>0</v>
      </c>
      <c r="BY123" s="43">
        <v>0</v>
      </c>
      <c r="BZ123" s="43">
        <v>0</v>
      </c>
      <c r="CA123" s="43">
        <v>0</v>
      </c>
      <c r="CB123" s="43">
        <v>0</v>
      </c>
      <c r="CC123" s="43">
        <v>0</v>
      </c>
      <c r="CD123" s="43">
        <v>0</v>
      </c>
      <c r="CE123" s="43">
        <v>0</v>
      </c>
      <c r="CF123" s="43">
        <v>0</v>
      </c>
      <c r="CG123" s="43">
        <v>0</v>
      </c>
      <c r="CH123" s="43">
        <v>0</v>
      </c>
      <c r="CI123" s="23"/>
    </row>
    <row r="124" spans="1:87" ht="15" customHeight="1" x14ac:dyDescent="0.25">
      <c r="A124" s="44" t="s">
        <v>215</v>
      </c>
      <c r="B124" s="44"/>
      <c r="C124" s="45">
        <f>-MIN(C121+C122+C123,MAX(0,C62-Helpers!C26))</f>
        <v>0</v>
      </c>
      <c r="D124" s="45">
        <f>-MIN(D121+D122+D123,MAX(0,D62-Helpers!D26))</f>
        <v>0</v>
      </c>
      <c r="E124" s="45">
        <f>-MIN(E121+E122+E123,MAX(0,E62-Helpers!E26))</f>
        <v>0</v>
      </c>
      <c r="F124" s="45">
        <f>-MIN(F121+F122+F123,MAX(0,F62-Helpers!F26))</f>
        <v>0</v>
      </c>
      <c r="G124" s="45">
        <f>-MIN(G121+G122+G123,MAX(0,G62-Helpers!G26))</f>
        <v>0</v>
      </c>
      <c r="H124" s="45">
        <f>-MIN(H121+H122+H123,MAX(0,H62-Helpers!H26))</f>
        <v>0</v>
      </c>
      <c r="I124" s="45">
        <f>-MIN(I121+I122+I123,MAX(0,I62-Helpers!I26))</f>
        <v>0</v>
      </c>
      <c r="J124" s="45">
        <f>-MIN(J121+J122+J123,MAX(0,J62-Helpers!J26))</f>
        <v>0</v>
      </c>
      <c r="K124" s="45">
        <f>-MIN(K121+K122+K123,MAX(0,K62-Helpers!K26))</f>
        <v>0</v>
      </c>
      <c r="L124" s="45">
        <f>-MIN(L121+L122+L123,MAX(0,L62-Helpers!L26))</f>
        <v>0</v>
      </c>
      <c r="M124" s="45">
        <f>-MIN(M121+M122+M123,MAX(0,M62-Helpers!M26))</f>
        <v>0</v>
      </c>
      <c r="N124" s="45">
        <f>-MIN(N121+N122+N123,MAX(0,N62-Helpers!N26))</f>
        <v>0</v>
      </c>
      <c r="O124" s="45">
        <f>-MIN(O121+O122+O123,MAX(0,O62-Helpers!O26))</f>
        <v>0</v>
      </c>
      <c r="P124" s="45">
        <f>-MIN(P121+P122+P123,MAX(0,P62-Helpers!P26))</f>
        <v>0</v>
      </c>
      <c r="Q124" s="45">
        <f>-MIN(Q121+Q122+Q123,MAX(0,Q62-Helpers!Q26))</f>
        <v>0</v>
      </c>
      <c r="R124" s="45">
        <f>-MIN(R121+R122+R123,MAX(0,R62-Helpers!R26))</f>
        <v>0</v>
      </c>
      <c r="S124" s="45">
        <f>-MIN(S121+S122+S123,MAX(0,S62-Helpers!S26))</f>
        <v>0</v>
      </c>
      <c r="T124" s="45">
        <f>-MIN(T121+T122+T123,MAX(0,T62-Helpers!T26))</f>
        <v>0</v>
      </c>
      <c r="U124" s="45">
        <f>-MIN(U121+U122+U123,MAX(0,U62-Helpers!U26))</f>
        <v>0</v>
      </c>
      <c r="V124" s="45">
        <f>-MIN(V121+V122+V123,MAX(0,V62-Helpers!V26))</f>
        <v>0</v>
      </c>
      <c r="W124" s="45">
        <f>-MIN(W121+W122+W123,MAX(0,W62-Helpers!W26))</f>
        <v>0</v>
      </c>
      <c r="X124" s="45">
        <f>-MIN(X121+X122+X123,MAX(0,X62-Helpers!X26))</f>
        <v>0</v>
      </c>
      <c r="Y124" s="45">
        <f>-MIN(Y121+Y122+Y123,MAX(0,Y62-Helpers!Y26))</f>
        <v>0</v>
      </c>
      <c r="Z124" s="45">
        <f>-MIN(Z121+Z122+Z123,MAX(0,Z62-Helpers!Z26))</f>
        <v>0</v>
      </c>
      <c r="AA124" s="45">
        <f>-MIN(AA121+AA122+AA123,MAX(0,AA62-Helpers!AA26))</f>
        <v>0</v>
      </c>
      <c r="AB124" s="45">
        <f>-MIN(AB121+AB122+AB123,MAX(0,AB62-Helpers!AB26))</f>
        <v>0</v>
      </c>
      <c r="AC124" s="45">
        <f>-MIN(AC121+AC122+AC123,MAX(0,AC62-Helpers!AC26))</f>
        <v>0</v>
      </c>
      <c r="AD124" s="45">
        <f>-MIN(AD121+AD122+AD123,MAX(0,AD62-Helpers!AD26))</f>
        <v>0</v>
      </c>
      <c r="AE124" s="45">
        <f>-MIN(AE121+AE122+AE123,MAX(0,AE62-Helpers!AE26))</f>
        <v>0</v>
      </c>
      <c r="AF124" s="45">
        <f>-MIN(AF121+AF122+AF123,MAX(0,AF62-Helpers!AF26))</f>
        <v>0</v>
      </c>
      <c r="AG124" s="45">
        <f>-MIN(AG121+AG122+AG123,MAX(0,AG62-Helpers!AG26))</f>
        <v>0</v>
      </c>
      <c r="AH124" s="45">
        <f>-MIN(AH121+AH122+AH123,MAX(0,AH62-Helpers!AH26))</f>
        <v>0</v>
      </c>
      <c r="AI124" s="45">
        <f>-MIN(AI121+AI122+AI123,MAX(0,AI62-Helpers!AI26))</f>
        <v>0</v>
      </c>
      <c r="AJ124" s="45">
        <f>-MIN(AJ121+AJ122+AJ123,MAX(0,AJ62-Helpers!AJ26))</f>
        <v>0</v>
      </c>
      <c r="AK124" s="45">
        <f>-MIN(AK121+AK122+AK123,MAX(0,AK62-Helpers!AK26))</f>
        <v>0</v>
      </c>
      <c r="AL124" s="45">
        <f>-MIN(AL121+AL122+AL123,MAX(0,AL62-Helpers!AL26))</f>
        <v>0</v>
      </c>
      <c r="AM124" s="45">
        <f>-MIN(AM121+AM122+AM123,MAX(0,AM62-Helpers!AM26))</f>
        <v>0</v>
      </c>
      <c r="AN124" s="45">
        <f>-MIN(AN121+AN122+AN123,MAX(0,AN62-Helpers!AN26))</f>
        <v>0</v>
      </c>
      <c r="AO124" s="45">
        <f>-MIN(AO121+AO122+AO123,MAX(0,AO62-Helpers!AO26))</f>
        <v>0</v>
      </c>
      <c r="AP124" s="45">
        <f>-MIN(AP121+AP122+AP123,MAX(0,AP62-Helpers!AP26))</f>
        <v>0</v>
      </c>
      <c r="AQ124" s="45">
        <f>-MIN(AQ121+AQ122+AQ123,MAX(0,AQ62-Helpers!AQ26))</f>
        <v>0</v>
      </c>
      <c r="AR124" s="45">
        <f>-MIN(AR121+AR122+AR123,MAX(0,AR62-Helpers!AR26))</f>
        <v>0</v>
      </c>
      <c r="AS124" s="45">
        <f>-MIN(AS121+AS122+AS123,MAX(0,AS62-Helpers!AS26))</f>
        <v>0</v>
      </c>
      <c r="AT124" s="45">
        <f>-MIN(AT121+AT122+AT123,MAX(0,AT62-Helpers!AT26))</f>
        <v>0</v>
      </c>
      <c r="AU124" s="45">
        <f>-MIN(AU121+AU122+AU123,MAX(0,AU62-Helpers!AU26))</f>
        <v>0</v>
      </c>
      <c r="AV124" s="45">
        <f>-MIN(AV121+AV122+AV123,MAX(0,AV62-Helpers!AV26))</f>
        <v>0</v>
      </c>
      <c r="AW124" s="45">
        <f>-MIN(AW121+AW122+AW123,MAX(0,AW62-Helpers!AW26))</f>
        <v>0</v>
      </c>
      <c r="AX124" s="45">
        <f>-MIN(AX121+AX122+AX123,MAX(0,AX62-Helpers!AX26))</f>
        <v>0</v>
      </c>
      <c r="AY124" s="45">
        <f>-MIN(AY121+AY122+AY123,MAX(0,AY62-Helpers!AY26))</f>
        <v>0</v>
      </c>
      <c r="AZ124" s="45">
        <f>-MIN(AZ121+AZ122+AZ123,MAX(0,AZ62-Helpers!AZ26))</f>
        <v>0</v>
      </c>
      <c r="BA124" s="45">
        <f>-MIN(BA121+BA122+BA123,MAX(0,BA62-Helpers!BA26))</f>
        <v>0</v>
      </c>
      <c r="BB124" s="45">
        <f>-MIN(BB121+BB122+BB123,MAX(0,BB62-Helpers!BB26))</f>
        <v>0</v>
      </c>
      <c r="BC124" s="45">
        <f>-MIN(BC121+BC122+BC123,MAX(0,BC62-Helpers!BC26))</f>
        <v>0</v>
      </c>
      <c r="BD124" s="45">
        <f>-MIN(BD121+BD122+BD123,MAX(0,BD62-Helpers!BD26))</f>
        <v>0</v>
      </c>
      <c r="BE124" s="45">
        <f>-MIN(BE121+BE122+BE123,MAX(0,BE62-Helpers!BE26))</f>
        <v>0</v>
      </c>
      <c r="BF124" s="45">
        <f>-MIN(BF121+BF122+BF123,MAX(0,BF62-Helpers!BF26))</f>
        <v>0</v>
      </c>
      <c r="BG124" s="45">
        <f>-MIN(BG121+BG122+BG123,MAX(0,BG62-Helpers!BG26))</f>
        <v>0</v>
      </c>
      <c r="BH124" s="45">
        <f>-MIN(BH121+BH122+BH123,MAX(0,BH62-Helpers!BH26))</f>
        <v>0</v>
      </c>
      <c r="BI124" s="45">
        <f>-MIN(BI121+BI122+BI123,MAX(0,BI62-Helpers!BI26))</f>
        <v>0</v>
      </c>
      <c r="BJ124" s="45">
        <f>-MIN(BJ121+BJ122+BJ123,MAX(0,BJ62-Helpers!BJ26))</f>
        <v>0</v>
      </c>
      <c r="BK124" s="45">
        <f>-MIN(BK121+BK122+BK123,MAX(0,BK62-Helpers!BK26))</f>
        <v>0</v>
      </c>
      <c r="BL124" s="45">
        <f>-MIN(BL121+BL122+BL123,MAX(0,BL62-Helpers!BL26))</f>
        <v>0</v>
      </c>
      <c r="BM124" s="45">
        <f>-MIN(BM121+BM122+BM123,MAX(0,BM62-Helpers!BM26))</f>
        <v>0</v>
      </c>
      <c r="BN124" s="45">
        <f>-MIN(BN121+BN122+BN123,MAX(0,BN62-Helpers!BN26))</f>
        <v>0</v>
      </c>
      <c r="BO124" s="45">
        <f>-MIN(BO121+BO122+BO123,MAX(0,BO62-Helpers!BO26))</f>
        <v>0</v>
      </c>
      <c r="BP124" s="45">
        <f>-MIN(BP121+BP122+BP123,MAX(0,BP62-Helpers!BP26))</f>
        <v>0</v>
      </c>
      <c r="BQ124" s="45">
        <f>-MIN(BQ121+BQ122+BQ123,MAX(0,BQ62-Helpers!BQ26))</f>
        <v>0</v>
      </c>
      <c r="BR124" s="45">
        <f>-MIN(BR121+BR122+BR123,MAX(0,BR62-Helpers!BR26))</f>
        <v>0</v>
      </c>
      <c r="BS124" s="45">
        <f>-MIN(BS121+BS122+BS123,MAX(0,BS62-Helpers!BS26))</f>
        <v>0</v>
      </c>
      <c r="BT124" s="45">
        <f>-MIN(BT121+BT122+BT123,MAX(0,BT62-Helpers!BT26))</f>
        <v>0</v>
      </c>
      <c r="BU124" s="45">
        <f>-MIN(BU121+BU122+BU123,MAX(0,BU62-Helpers!BU26))</f>
        <v>0</v>
      </c>
      <c r="BV124" s="45">
        <f>-MIN(BV121+BV122+BV123,MAX(0,BV62-Helpers!BV26))</f>
        <v>0</v>
      </c>
      <c r="BW124" s="45">
        <f>-MIN(BW121+BW122+BW123,MAX(0,BW62-Helpers!BW26))</f>
        <v>0</v>
      </c>
      <c r="BX124" s="45">
        <f>-MIN(BX121+BX122+BX123,MAX(0,BX62-Helpers!BX26))</f>
        <v>0</v>
      </c>
      <c r="BY124" s="45">
        <f>-MIN(BY121+BY122+BY123,MAX(0,BY62-Helpers!BY26))</f>
        <v>0</v>
      </c>
      <c r="BZ124" s="45">
        <f>-MIN(BZ121+BZ122+BZ123,MAX(0,BZ62-Helpers!BZ26))</f>
        <v>0</v>
      </c>
      <c r="CA124" s="45">
        <f>-MIN(CA121+CA122+CA123,MAX(0,CA62-Helpers!CA26))</f>
        <v>0</v>
      </c>
      <c r="CB124" s="45">
        <f>-MIN(CB121+CB122+CB123,MAX(0,CB62-Helpers!CB26))</f>
        <v>0</v>
      </c>
      <c r="CC124" s="45">
        <f>-MIN(CC121+CC122+CC123,MAX(0,CC62-Helpers!CC26))</f>
        <v>0</v>
      </c>
      <c r="CD124" s="45">
        <f>-MIN(CD121+CD122+CD123,MAX(0,CD62-Helpers!CD26))</f>
        <v>0</v>
      </c>
      <c r="CE124" s="45">
        <f>-MIN(CE121+CE122+CE123,MAX(0,CE62-Helpers!CE26))</f>
        <v>0</v>
      </c>
      <c r="CF124" s="45">
        <f>-MIN(CF121+CF122+CF123,MAX(0,CF62-Helpers!CF26))</f>
        <v>0</v>
      </c>
      <c r="CG124" s="45">
        <f>-MIN(CG121+CG122+CG123,MAX(0,CG62-Helpers!CG26))</f>
        <v>0</v>
      </c>
      <c r="CH124" s="45">
        <f>-MIN(CH121+CH122+CH123,MAX(0,CH62-Helpers!CH26))</f>
        <v>0</v>
      </c>
      <c r="CI124" s="23"/>
    </row>
    <row r="125" spans="1:87" ht="15" customHeight="1" x14ac:dyDescent="0.25">
      <c r="A125" s="39" t="s">
        <v>216</v>
      </c>
      <c r="B125" s="40"/>
      <c r="C125" s="41">
        <f t="shared" ref="C125:AH125" si="62">MAX(0,C121+C122+C123+C124)</f>
        <v>264927.15000000002</v>
      </c>
      <c r="D125" s="41">
        <f t="shared" si="62"/>
        <v>264927.15000000002</v>
      </c>
      <c r="E125" s="41">
        <f t="shared" si="62"/>
        <v>458103.19687500002</v>
      </c>
      <c r="F125" s="41">
        <f t="shared" si="62"/>
        <v>458103.19687500002</v>
      </c>
      <c r="G125" s="41">
        <f t="shared" si="62"/>
        <v>458103.19687500002</v>
      </c>
      <c r="H125" s="41">
        <f t="shared" si="62"/>
        <v>658523.34550781245</v>
      </c>
      <c r="I125" s="41">
        <f t="shared" si="62"/>
        <v>658523.34550781245</v>
      </c>
      <c r="J125" s="41">
        <f t="shared" si="62"/>
        <v>658523.34550781245</v>
      </c>
      <c r="K125" s="41">
        <f t="shared" si="62"/>
        <v>683217.97096435539</v>
      </c>
      <c r="L125" s="41">
        <f t="shared" si="62"/>
        <v>771527.02096435544</v>
      </c>
      <c r="M125" s="41">
        <f t="shared" si="62"/>
        <v>771527.02096435544</v>
      </c>
      <c r="N125" s="41">
        <f t="shared" si="62"/>
        <v>800459.28425051877</v>
      </c>
      <c r="O125" s="41">
        <f t="shared" si="62"/>
        <v>800459.28425051877</v>
      </c>
      <c r="P125" s="41">
        <f t="shared" si="62"/>
        <v>800459.28425051877</v>
      </c>
      <c r="Q125" s="41">
        <f t="shared" si="62"/>
        <v>922097.14678491326</v>
      </c>
      <c r="R125" s="41">
        <f t="shared" si="62"/>
        <v>922097.14678491326</v>
      </c>
      <c r="S125" s="41">
        <f t="shared" si="62"/>
        <v>922097.14678491326</v>
      </c>
      <c r="T125" s="41">
        <f t="shared" si="62"/>
        <v>956675.78978934756</v>
      </c>
      <c r="U125" s="41">
        <f t="shared" si="62"/>
        <v>956675.78978934756</v>
      </c>
      <c r="V125" s="41">
        <f t="shared" si="62"/>
        <v>956675.78978934756</v>
      </c>
      <c r="W125" s="41">
        <f t="shared" si="62"/>
        <v>1084171.7712814482</v>
      </c>
      <c r="X125" s="41">
        <f t="shared" si="62"/>
        <v>1084171.7712814482</v>
      </c>
      <c r="Y125" s="41">
        <f t="shared" si="62"/>
        <v>1084171.7712814482</v>
      </c>
      <c r="Z125" s="41">
        <f t="shared" si="62"/>
        <v>1124828.2127045025</v>
      </c>
      <c r="AA125" s="41">
        <f t="shared" si="62"/>
        <v>1124828.2127045025</v>
      </c>
      <c r="AB125" s="41">
        <f t="shared" si="62"/>
        <v>1124828.2127045025</v>
      </c>
      <c r="AC125" s="41">
        <f t="shared" si="62"/>
        <v>283215.66443092143</v>
      </c>
      <c r="AD125" s="41">
        <f t="shared" si="62"/>
        <v>283215.66443092143</v>
      </c>
      <c r="AE125" s="41">
        <f t="shared" si="62"/>
        <v>283215.66443092143</v>
      </c>
      <c r="AF125" s="41">
        <f t="shared" si="62"/>
        <v>293836.251847081</v>
      </c>
      <c r="AG125" s="41">
        <f t="shared" si="62"/>
        <v>293836.251847081</v>
      </c>
      <c r="AH125" s="41">
        <f t="shared" si="62"/>
        <v>293836.251847081</v>
      </c>
      <c r="AI125" s="41">
        <f t="shared" ref="AI125:BN125" si="63">MAX(0,AI121+AI122+AI123+AI124)</f>
        <v>304855.11129134655</v>
      </c>
      <c r="AJ125" s="41">
        <f t="shared" si="63"/>
        <v>304855.11129134655</v>
      </c>
      <c r="AK125" s="41">
        <f t="shared" si="63"/>
        <v>304855.11129134655</v>
      </c>
      <c r="AL125" s="41">
        <f t="shared" si="63"/>
        <v>316287.17796477204</v>
      </c>
      <c r="AM125" s="41">
        <f t="shared" si="63"/>
        <v>316287.17796477204</v>
      </c>
      <c r="AN125" s="41">
        <f t="shared" si="63"/>
        <v>316287.17796477204</v>
      </c>
      <c r="AO125" s="41">
        <f t="shared" si="63"/>
        <v>328147.94713845098</v>
      </c>
      <c r="AP125" s="41">
        <f t="shared" si="63"/>
        <v>328147.94713845098</v>
      </c>
      <c r="AQ125" s="41">
        <f t="shared" si="63"/>
        <v>328147.94713845098</v>
      </c>
      <c r="AR125" s="41">
        <f t="shared" si="63"/>
        <v>340453.49515614292</v>
      </c>
      <c r="AS125" s="41">
        <f t="shared" si="63"/>
        <v>340453.49515614292</v>
      </c>
      <c r="AT125" s="41">
        <f t="shared" si="63"/>
        <v>340453.49515614292</v>
      </c>
      <c r="AU125" s="41">
        <f t="shared" si="63"/>
        <v>353220.50122449826</v>
      </c>
      <c r="AV125" s="41">
        <f t="shared" si="63"/>
        <v>353220.50122449826</v>
      </c>
      <c r="AW125" s="41">
        <f t="shared" si="63"/>
        <v>353220.50122449826</v>
      </c>
      <c r="AX125" s="41">
        <f t="shared" si="63"/>
        <v>366466.27002041694</v>
      </c>
      <c r="AY125" s="41">
        <f t="shared" si="63"/>
        <v>366466.27002041694</v>
      </c>
      <c r="AZ125" s="41">
        <f t="shared" si="63"/>
        <v>366466.27002041694</v>
      </c>
      <c r="BA125" s="41">
        <f t="shared" si="63"/>
        <v>380208.75514618255</v>
      </c>
      <c r="BB125" s="41">
        <f t="shared" si="63"/>
        <v>380208.75514618255</v>
      </c>
      <c r="BC125" s="41">
        <f t="shared" si="63"/>
        <v>380208.75514618255</v>
      </c>
      <c r="BD125" s="41">
        <f t="shared" si="63"/>
        <v>394466.5834641644</v>
      </c>
      <c r="BE125" s="41">
        <f t="shared" si="63"/>
        <v>394466.5834641644</v>
      </c>
      <c r="BF125" s="41">
        <f t="shared" si="63"/>
        <v>394466.5834641644</v>
      </c>
      <c r="BG125" s="41">
        <f t="shared" si="63"/>
        <v>409259.08034407056</v>
      </c>
      <c r="BH125" s="41">
        <f t="shared" si="63"/>
        <v>409259.08034407056</v>
      </c>
      <c r="BI125" s="41">
        <f t="shared" si="63"/>
        <v>409259.08034407056</v>
      </c>
      <c r="BJ125" s="41">
        <f t="shared" si="63"/>
        <v>424606.29585697321</v>
      </c>
      <c r="BK125" s="41">
        <f t="shared" si="63"/>
        <v>424606.29585697321</v>
      </c>
      <c r="BL125" s="41">
        <f t="shared" si="63"/>
        <v>424606.29585697321</v>
      </c>
      <c r="BM125" s="41">
        <f t="shared" si="63"/>
        <v>440529.03195160971</v>
      </c>
      <c r="BN125" s="41">
        <f t="shared" si="63"/>
        <v>440529.03195160971</v>
      </c>
      <c r="BO125" s="41">
        <f t="shared" ref="BO125:CT125" si="64">MAX(0,BO121+BO122+BO123+BO124)</f>
        <v>440529.03195160971</v>
      </c>
      <c r="BP125" s="41">
        <f t="shared" si="64"/>
        <v>457048.87064979505</v>
      </c>
      <c r="BQ125" s="41">
        <f t="shared" si="64"/>
        <v>457048.87064979505</v>
      </c>
      <c r="BR125" s="41">
        <f t="shared" si="64"/>
        <v>457048.87064979505</v>
      </c>
      <c r="BS125" s="41">
        <f t="shared" si="64"/>
        <v>474188.20329916239</v>
      </c>
      <c r="BT125" s="41">
        <f t="shared" si="64"/>
        <v>474188.20329916239</v>
      </c>
      <c r="BU125" s="41">
        <f t="shared" si="64"/>
        <v>474188.20329916239</v>
      </c>
      <c r="BV125" s="41">
        <f t="shared" si="64"/>
        <v>491970.26092288096</v>
      </c>
      <c r="BW125" s="41">
        <f t="shared" si="64"/>
        <v>491970.26092288096</v>
      </c>
      <c r="BX125" s="41">
        <f t="shared" si="64"/>
        <v>491970.26092288096</v>
      </c>
      <c r="BY125" s="41">
        <f t="shared" si="64"/>
        <v>510419.14570748899</v>
      </c>
      <c r="BZ125" s="41">
        <f t="shared" si="64"/>
        <v>510419.14570748899</v>
      </c>
      <c r="CA125" s="41">
        <f t="shared" si="64"/>
        <v>510419.14570748899</v>
      </c>
      <c r="CB125" s="41">
        <f t="shared" si="64"/>
        <v>529559.86367151979</v>
      </c>
      <c r="CC125" s="41">
        <f t="shared" si="64"/>
        <v>529559.86367151979</v>
      </c>
      <c r="CD125" s="41">
        <f t="shared" si="64"/>
        <v>529559.86367151979</v>
      </c>
      <c r="CE125" s="41">
        <f t="shared" si="64"/>
        <v>549418.35855920182</v>
      </c>
      <c r="CF125" s="41">
        <f t="shared" si="64"/>
        <v>549418.35855920182</v>
      </c>
      <c r="CG125" s="41">
        <f t="shared" si="64"/>
        <v>549418.35855920182</v>
      </c>
      <c r="CH125" s="41">
        <f t="shared" si="64"/>
        <v>570021.54700517189</v>
      </c>
      <c r="CI125" s="23"/>
    </row>
    <row r="126" spans="1:87" ht="15" customHeight="1" x14ac:dyDescent="0.25">
      <c r="A126" s="42" t="s">
        <v>217</v>
      </c>
      <c r="B126" s="42"/>
      <c r="C126" s="43">
        <f>IF(Projects!$G$13="Yes",Assumptions!$B$71,0)</f>
        <v>1134000</v>
      </c>
      <c r="D126" s="43">
        <f>C130+IF(AND(Projects!$G$13="Yes",2&lt;=Assumptions!$B$73),Assumptions!$B$72,0)</f>
        <v>1184000</v>
      </c>
      <c r="E126" s="43">
        <f>D130+IF(AND(Projects!$G$13="Yes",3&lt;=Assumptions!$B$73),Assumptions!$B$72,0)</f>
        <v>1234000</v>
      </c>
      <c r="F126" s="43">
        <f>E130+IF(AND(Projects!$G$13="Yes",4&lt;=Assumptions!$B$73),Assumptions!$B$72,0)</f>
        <v>1330275</v>
      </c>
      <c r="G126" s="43">
        <f>F130+IF(AND(Projects!$G$13="Yes",5&lt;=Assumptions!$B$73),Assumptions!$B$72,0)</f>
        <v>1380275</v>
      </c>
      <c r="H126" s="43">
        <f>G130+IF(AND(Projects!$G$13="Yes",6&lt;=Assumptions!$B$73),Assumptions!$B$72,0)</f>
        <v>1430275</v>
      </c>
      <c r="I126" s="43">
        <f>H130+IF(AND(Projects!$G$13="Yes",7&lt;=Assumptions!$B$73),Assumptions!$B$72,0)</f>
        <v>1533910.3125</v>
      </c>
      <c r="J126" s="43">
        <f>I130+IF(AND(Projects!$G$13="Yes",8&lt;=Assumptions!$B$73),Assumptions!$B$72,0)</f>
        <v>1583910.3125</v>
      </c>
      <c r="K126" s="43">
        <f>J130+IF(AND(Projects!$G$13="Yes",9&lt;=Assumptions!$B$73),Assumptions!$B$72,0)</f>
        <v>1633910.3125</v>
      </c>
      <c r="L126" s="43">
        <f>K130+IF(AND(Projects!$G$13="Yes",10&lt;=Assumptions!$B$73),Assumptions!$B$72,0)</f>
        <v>1745181.94921875</v>
      </c>
      <c r="M126" s="43">
        <f>L130+IF(AND(Projects!$G$13="Yes",11&lt;=Assumptions!$B$73),Assumptions!$B$72,0)</f>
        <v>1795181.94921875</v>
      </c>
      <c r="N126" s="43">
        <f>M130+IF(AND(Projects!$G$13="Yes",12&lt;=Assumptions!$B$73),Assumptions!$B$72,0)</f>
        <v>1845181.94921875</v>
      </c>
      <c r="O126" s="43">
        <f>N130+IF(AND(Projects!$G$13="Yes",13&lt;=Assumptions!$B$73),Assumptions!$B$72,0)</f>
        <v>1964376.272314453</v>
      </c>
      <c r="P126" s="43">
        <f>O130+IF(AND(Projects!$G$13="Yes",14&lt;=Assumptions!$B$73),Assumptions!$B$72,0)</f>
        <v>564376.27231445303</v>
      </c>
      <c r="Q126" s="43">
        <f>P130+IF(AND(Projects!$G$13="Yes",15&lt;=Assumptions!$B$73),Assumptions!$B$72,0)</f>
        <v>564376.27231445303</v>
      </c>
      <c r="R126" s="43">
        <f>Q130+IF(AND(Projects!$G$13="Yes",16&lt;=Assumptions!$B$73),Assumptions!$B$72,0)</f>
        <v>585540.38252624497</v>
      </c>
      <c r="S126" s="43">
        <f>R130+IF(AND(Projects!$G$13="Yes",17&lt;=Assumptions!$B$73),Assumptions!$B$72,0)</f>
        <v>585540.38252624497</v>
      </c>
      <c r="T126" s="43">
        <f>S130+IF(AND(Projects!$G$13="Yes",18&lt;=Assumptions!$B$73),Assumptions!$B$72,0)</f>
        <v>585540.38252624497</v>
      </c>
      <c r="U126" s="43">
        <f>T130+IF(AND(Projects!$G$13="Yes",19&lt;=Assumptions!$B$73),Assumptions!$B$72,0)</f>
        <v>607498.14687097911</v>
      </c>
      <c r="V126" s="43">
        <f>U130+IF(AND(Projects!$G$13="Yes",20&lt;=Assumptions!$B$73),Assumptions!$B$72,0)</f>
        <v>607498.14687097911</v>
      </c>
      <c r="W126" s="43">
        <f>V130+IF(AND(Projects!$G$13="Yes",21&lt;=Assumptions!$B$73),Assumptions!$B$72,0)</f>
        <v>607498.14687097911</v>
      </c>
      <c r="X126" s="43">
        <f>W130+IF(AND(Projects!$G$13="Yes",22&lt;=Assumptions!$B$73),Assumptions!$B$72,0)</f>
        <v>630279.32737864088</v>
      </c>
      <c r="Y126" s="43">
        <f>X130+IF(AND(Projects!$G$13="Yes",23&lt;=Assumptions!$B$73),Assumptions!$B$72,0)</f>
        <v>630279.32737864088</v>
      </c>
      <c r="Z126" s="43">
        <f>Y130+IF(AND(Projects!$G$13="Yes",24&lt;=Assumptions!$B$73),Assumptions!$B$72,0)</f>
        <v>630279.32737864088</v>
      </c>
      <c r="AA126" s="43">
        <f>Z130+IF(AND(Projects!$G$13="Yes",25&lt;=Assumptions!$B$73),Assumptions!$B$72,0)</f>
        <v>653914.80215533986</v>
      </c>
      <c r="AB126" s="43">
        <f>AA130+IF(AND(Projects!$G$13="Yes",26&lt;=Assumptions!$B$73),Assumptions!$B$72,0)</f>
        <v>653914.80215533986</v>
      </c>
      <c r="AC126" s="43">
        <f>AB130+IF(AND(Projects!$G$13="Yes",27&lt;=Assumptions!$B$73),Assumptions!$B$72,0)</f>
        <v>653914.80215533986</v>
      </c>
      <c r="AD126" s="43">
        <f>AC130+IF(AND(Projects!$G$13="Yes",28&lt;=Assumptions!$B$73),Assumptions!$B$72,0)</f>
        <v>678436.60723616509</v>
      </c>
      <c r="AE126" s="43">
        <f>AD130+IF(AND(Projects!$G$13="Yes",29&lt;=Assumptions!$B$73),Assumptions!$B$72,0)</f>
        <v>678436.60723616509</v>
      </c>
      <c r="AF126" s="43">
        <f>AE130+IF(AND(Projects!$G$13="Yes",30&lt;=Assumptions!$B$73),Assumptions!$B$72,0)</f>
        <v>678436.60723616509</v>
      </c>
      <c r="AG126" s="43">
        <f>AF130+IF(AND(Projects!$G$13="Yes",31&lt;=Assumptions!$B$73),Assumptions!$B$72,0)</f>
        <v>703877.98000752123</v>
      </c>
      <c r="AH126" s="43">
        <f>AG130+IF(AND(Projects!$G$13="Yes",32&lt;=Assumptions!$B$73),Assumptions!$B$72,0)</f>
        <v>703877.98000752123</v>
      </c>
      <c r="AI126" s="43">
        <f>AH130+IF(AND(Projects!$G$13="Yes",33&lt;=Assumptions!$B$73),Assumptions!$B$72,0)</f>
        <v>703877.98000752123</v>
      </c>
      <c r="AJ126" s="43">
        <f>AI130+IF(AND(Projects!$G$13="Yes",34&lt;=Assumptions!$B$73),Assumptions!$B$72,0)</f>
        <v>730273.40425780322</v>
      </c>
      <c r="AK126" s="43">
        <f>AJ130+IF(AND(Projects!$G$13="Yes",35&lt;=Assumptions!$B$73),Assumptions!$B$72,0)</f>
        <v>730273.40425780322</v>
      </c>
      <c r="AL126" s="43">
        <f>AK130+IF(AND(Projects!$G$13="Yes",36&lt;=Assumptions!$B$73),Assumptions!$B$72,0)</f>
        <v>730273.40425780322</v>
      </c>
      <c r="AM126" s="43">
        <f>AL130+IF(AND(Projects!$G$13="Yes",37&lt;=Assumptions!$B$73),Assumptions!$B$72,0)</f>
        <v>757658.65691747086</v>
      </c>
      <c r="AN126" s="43">
        <f>AM130+IF(AND(Projects!$G$13="Yes",38&lt;=Assumptions!$B$73),Assumptions!$B$72,0)</f>
        <v>757658.65691747086</v>
      </c>
      <c r="AO126" s="43">
        <f>AN130+IF(AND(Projects!$G$13="Yes",39&lt;=Assumptions!$B$73),Assumptions!$B$72,0)</f>
        <v>757658.65691747086</v>
      </c>
      <c r="AP126" s="43">
        <f>AO130+IF(AND(Projects!$G$13="Yes",40&lt;=Assumptions!$B$73),Assumptions!$B$72,0)</f>
        <v>786070.85655187606</v>
      </c>
      <c r="AQ126" s="43">
        <f>AP130+IF(AND(Projects!$G$13="Yes",41&lt;=Assumptions!$B$73),Assumptions!$B$72,0)</f>
        <v>786070.85655187606</v>
      </c>
      <c r="AR126" s="43">
        <f>AQ130+IF(AND(Projects!$G$13="Yes",42&lt;=Assumptions!$B$73),Assumptions!$B$72,0)</f>
        <v>786070.85655187606</v>
      </c>
      <c r="AS126" s="43">
        <f>AR130+IF(AND(Projects!$G$13="Yes",43&lt;=Assumptions!$B$73),Assumptions!$B$72,0)</f>
        <v>815548.5136725714</v>
      </c>
      <c r="AT126" s="43">
        <f>AS130+IF(AND(Projects!$G$13="Yes",44&lt;=Assumptions!$B$73),Assumptions!$B$72,0)</f>
        <v>815548.5136725714</v>
      </c>
      <c r="AU126" s="43">
        <f>AT130+IF(AND(Projects!$G$13="Yes",45&lt;=Assumptions!$B$73),Assumptions!$B$72,0)</f>
        <v>815548.5136725714</v>
      </c>
      <c r="AV126" s="43">
        <f>AU130+IF(AND(Projects!$G$13="Yes",46&lt;=Assumptions!$B$73),Assumptions!$B$72,0)</f>
        <v>846131.58293529286</v>
      </c>
      <c r="AW126" s="43">
        <f>AV130+IF(AND(Projects!$G$13="Yes",47&lt;=Assumptions!$B$73),Assumptions!$B$72,0)</f>
        <v>846131.58293529286</v>
      </c>
      <c r="AX126" s="43">
        <f>AW130+IF(AND(Projects!$G$13="Yes",48&lt;=Assumptions!$B$73),Assumptions!$B$72,0)</f>
        <v>846131.58293529286</v>
      </c>
      <c r="AY126" s="43">
        <f>AX130+IF(AND(Projects!$G$13="Yes",49&lt;=Assumptions!$B$73),Assumptions!$B$72,0)</f>
        <v>877861.51729536639</v>
      </c>
      <c r="AZ126" s="43">
        <f>AY130+IF(AND(Projects!$G$13="Yes",50&lt;=Assumptions!$B$73),Assumptions!$B$72,0)</f>
        <v>877861.51729536639</v>
      </c>
      <c r="BA126" s="43">
        <f>AZ130+IF(AND(Projects!$G$13="Yes",51&lt;=Assumptions!$B$73),Assumptions!$B$72,0)</f>
        <v>877861.51729536639</v>
      </c>
      <c r="BB126" s="43">
        <f>BA130+IF(AND(Projects!$G$13="Yes",52&lt;=Assumptions!$B$73),Assumptions!$B$72,0)</f>
        <v>661610.02419394255</v>
      </c>
      <c r="BC126" s="43">
        <f>BB130+IF(AND(Projects!$G$13="Yes",53&lt;=Assumptions!$B$73),Assumptions!$B$72,0)</f>
        <v>661610.02419394255</v>
      </c>
      <c r="BD126" s="43">
        <f>BC130+IF(AND(Projects!$G$13="Yes",54&lt;=Assumptions!$B$73),Assumptions!$B$72,0)</f>
        <v>661610.02419394255</v>
      </c>
      <c r="BE126" s="43">
        <f>BD130+IF(AND(Projects!$G$13="Yes",55&lt;=Assumptions!$B$73),Assumptions!$B$72,0)</f>
        <v>614720.40010121535</v>
      </c>
      <c r="BF126" s="43">
        <f>BE130+IF(AND(Projects!$G$13="Yes",56&lt;=Assumptions!$B$73),Assumptions!$B$72,0)</f>
        <v>614720.40010121535</v>
      </c>
      <c r="BG126" s="43">
        <f>BF130+IF(AND(Projects!$G$13="Yes",57&lt;=Assumptions!$B$73),Assumptions!$B$72,0)</f>
        <v>614720.40010121535</v>
      </c>
      <c r="BH126" s="43">
        <f>BG130+IF(AND(Projects!$G$13="Yes",58&lt;=Assumptions!$B$73),Assumptions!$B$72,0)</f>
        <v>566072.41510501096</v>
      </c>
      <c r="BI126" s="43">
        <f>BH130+IF(AND(Projects!$G$13="Yes",59&lt;=Assumptions!$B$73),Assumptions!$B$72,0)</f>
        <v>566072.41510501096</v>
      </c>
      <c r="BJ126" s="43">
        <f>BI130+IF(AND(Projects!$G$13="Yes",60&lt;=Assumptions!$B$73),Assumptions!$B$72,0)</f>
        <v>566072.41510501096</v>
      </c>
      <c r="BK126" s="43">
        <f>BJ130+IF(AND(Projects!$G$13="Yes",61&lt;=Assumptions!$B$73),Assumptions!$B$72,0)</f>
        <v>515600.13067144889</v>
      </c>
      <c r="BL126" s="43">
        <f>BK130+IF(AND(Projects!$G$13="Yes",62&lt;=Assumptions!$B$73),Assumptions!$B$72,0)</f>
        <v>515600.13067144889</v>
      </c>
      <c r="BM126" s="43">
        <f>BL130+IF(AND(Projects!$G$13="Yes",63&lt;=Assumptions!$B$73),Assumptions!$B$72,0)</f>
        <v>515600.13067144889</v>
      </c>
      <c r="BN126" s="43">
        <f>BM130+IF(AND(Projects!$G$13="Yes",64&lt;=Assumptions!$B$73),Assumptions!$B$72,0)</f>
        <v>463235.13557162823</v>
      </c>
      <c r="BO126" s="43">
        <f>BN130+IF(AND(Projects!$G$13="Yes",65&lt;=Assumptions!$B$73),Assumptions!$B$72,0)</f>
        <v>463235.13557162823</v>
      </c>
      <c r="BP126" s="43">
        <f>BO130+IF(AND(Projects!$G$13="Yes",66&lt;=Assumptions!$B$73),Assumptions!$B$72,0)</f>
        <v>463235.13557162823</v>
      </c>
      <c r="BQ126" s="43">
        <f>BP130+IF(AND(Projects!$G$13="Yes",67&lt;=Assumptions!$B$73),Assumptions!$B$72,0)</f>
        <v>405963.45315556426</v>
      </c>
      <c r="BR126" s="43">
        <f>BQ130+IF(AND(Projects!$G$13="Yes",68&lt;=Assumptions!$B$73),Assumptions!$B$72,0)</f>
        <v>405963.45315556426</v>
      </c>
      <c r="BS126" s="43">
        <f>BR130+IF(AND(Projects!$G$13="Yes",69&lt;=Assumptions!$B$73),Assumptions!$B$72,0)</f>
        <v>405963.45315556426</v>
      </c>
      <c r="BT126" s="43">
        <f>BS130+IF(AND(Projects!$G$13="Yes",70&lt;=Assumptions!$B$73),Assumptions!$B$72,0)</f>
        <v>346547.08264889789</v>
      </c>
      <c r="BU126" s="43">
        <f>BT130+IF(AND(Projects!$G$13="Yes",71&lt;=Assumptions!$B$73),Assumptions!$B$72,0)</f>
        <v>346547.08264889789</v>
      </c>
      <c r="BV126" s="43">
        <f>BU130+IF(AND(Projects!$G$13="Yes",72&lt;=Assumptions!$B$73),Assumptions!$B$72,0)</f>
        <v>346547.08264889789</v>
      </c>
      <c r="BW126" s="43">
        <f>BV130+IF(AND(Projects!$G$13="Yes",73&lt;=Assumptions!$B$73),Assumptions!$B$72,0)</f>
        <v>284902.59824823157</v>
      </c>
      <c r="BX126" s="43">
        <f>BW130+IF(AND(Projects!$G$13="Yes",74&lt;=Assumptions!$B$73),Assumptions!$B$72,0)</f>
        <v>284902.59824823157</v>
      </c>
      <c r="BY126" s="43">
        <f>BX130+IF(AND(Projects!$G$13="Yes",75&lt;=Assumptions!$B$73),Assumptions!$B$72,0)</f>
        <v>284902.59824823157</v>
      </c>
      <c r="BZ126" s="43">
        <f>BY130+IF(AND(Projects!$G$13="Yes",76&lt;=Assumptions!$B$73),Assumptions!$B$72,0)</f>
        <v>220946.44568254024</v>
      </c>
      <c r="CA126" s="43">
        <f>BZ130+IF(AND(Projects!$G$13="Yes",77&lt;=Assumptions!$B$73),Assumptions!$B$72,0)</f>
        <v>220946.44568254024</v>
      </c>
      <c r="CB126" s="43">
        <f>CA130+IF(AND(Projects!$G$13="Yes",78&lt;=Assumptions!$B$73),Assumptions!$B$72,0)</f>
        <v>220946.44568254024</v>
      </c>
      <c r="CC126" s="43">
        <f>CB130+IF(AND(Projects!$G$13="Yes",79&lt;=Assumptions!$B$73),Assumptions!$B$72,0)</f>
        <v>147868.9373956355</v>
      </c>
      <c r="CD126" s="43">
        <f>CC130+IF(AND(Projects!$G$13="Yes",80&lt;=Assumptions!$B$73),Assumptions!$B$72,0)</f>
        <v>147868.9373956355</v>
      </c>
      <c r="CE126" s="43">
        <f>CD130+IF(AND(Projects!$G$13="Yes",81&lt;=Assumptions!$B$73),Assumptions!$B$72,0)</f>
        <v>147868.9373956355</v>
      </c>
      <c r="CF126" s="43">
        <f>CE130+IF(AND(Projects!$G$13="Yes",82&lt;=Assumptions!$B$73),Assumptions!$B$72,0)</f>
        <v>72052.022547971836</v>
      </c>
      <c r="CG126" s="43">
        <f>CF130+IF(AND(Projects!$G$13="Yes",83&lt;=Assumptions!$B$73),Assumptions!$B$72,0)</f>
        <v>72052.022547971836</v>
      </c>
      <c r="CH126" s="43">
        <f>CG130+IF(AND(Projects!$G$13="Yes",84&lt;=Assumptions!$B$73),Assumptions!$B$72,0)</f>
        <v>72052.022547971836</v>
      </c>
      <c r="CI126" s="23"/>
    </row>
    <row r="127" spans="1:87" ht="15" customHeight="1" x14ac:dyDescent="0.25">
      <c r="A127" s="42" t="s">
        <v>218</v>
      </c>
      <c r="B127" s="42"/>
      <c r="C127" s="43">
        <f>IF(AND(MOD(1,3)=0,C126&gt;0),C126*Assumptions!$B$59,0)</f>
        <v>0</v>
      </c>
      <c r="D127" s="43">
        <f>IF(AND(MOD(2,3)=0,D126&gt;0),D126*Assumptions!$B$59,0)</f>
        <v>0</v>
      </c>
      <c r="E127" s="43">
        <f>IF(AND(MOD(3,3)=0,E126&gt;0),E126*Assumptions!$B$59,0)</f>
        <v>46275</v>
      </c>
      <c r="F127" s="43">
        <f>IF(AND(MOD(4,3)=0,F126&gt;0),F126*Assumptions!$B$59,0)</f>
        <v>0</v>
      </c>
      <c r="G127" s="43">
        <f>IF(AND(MOD(5,3)=0,G126&gt;0),G126*Assumptions!$B$59,0)</f>
        <v>0</v>
      </c>
      <c r="H127" s="43">
        <f>IF(AND(MOD(6,3)=0,H126&gt;0),H126*Assumptions!$B$59,0)</f>
        <v>53635.3125</v>
      </c>
      <c r="I127" s="43">
        <f>IF(AND(MOD(7,3)=0,I126&gt;0),I126*Assumptions!$B$59,0)</f>
        <v>0</v>
      </c>
      <c r="J127" s="43">
        <f>IF(AND(MOD(8,3)=0,J126&gt;0),J126*Assumptions!$B$59,0)</f>
        <v>0</v>
      </c>
      <c r="K127" s="43">
        <f>IF(AND(MOD(9,3)=0,K126&gt;0),K126*Assumptions!$B$59,0)</f>
        <v>61271.63671875</v>
      </c>
      <c r="L127" s="43">
        <f>IF(AND(MOD(10,3)=0,L126&gt;0),L126*Assumptions!$B$59,0)</f>
        <v>0</v>
      </c>
      <c r="M127" s="43">
        <f>IF(AND(MOD(11,3)=0,M126&gt;0),M126*Assumptions!$B$59,0)</f>
        <v>0</v>
      </c>
      <c r="N127" s="43">
        <f>IF(AND(MOD(12,3)=0,N126&gt;0),N126*Assumptions!$B$59,0)</f>
        <v>69194.323095703119</v>
      </c>
      <c r="O127" s="43">
        <f>IF(AND(MOD(13,3)=0,O126&gt;0),O126*Assumptions!$B$59,0)</f>
        <v>0</v>
      </c>
      <c r="P127" s="43">
        <f>IF(AND(MOD(14,3)=0,P126&gt;0),P126*Assumptions!$B$59,0)</f>
        <v>0</v>
      </c>
      <c r="Q127" s="43">
        <f>IF(AND(MOD(15,3)=0,Q126&gt;0),Q126*Assumptions!$B$59,0)</f>
        <v>21164.110211791987</v>
      </c>
      <c r="R127" s="43">
        <f>IF(AND(MOD(16,3)=0,R126&gt;0),R126*Assumptions!$B$59,0)</f>
        <v>0</v>
      </c>
      <c r="S127" s="43">
        <f>IF(AND(MOD(17,3)=0,S126&gt;0),S126*Assumptions!$B$59,0)</f>
        <v>0</v>
      </c>
      <c r="T127" s="43">
        <f>IF(AND(MOD(18,3)=0,T126&gt;0),T126*Assumptions!$B$59,0)</f>
        <v>21957.764344734187</v>
      </c>
      <c r="U127" s="43">
        <f>IF(AND(MOD(19,3)=0,U126&gt;0),U126*Assumptions!$B$59,0)</f>
        <v>0</v>
      </c>
      <c r="V127" s="43">
        <f>IF(AND(MOD(20,3)=0,V126&gt;0),V126*Assumptions!$B$59,0)</f>
        <v>0</v>
      </c>
      <c r="W127" s="43">
        <f>IF(AND(MOD(21,3)=0,W126&gt;0),W126*Assumptions!$B$59,0)</f>
        <v>22781.180507661717</v>
      </c>
      <c r="X127" s="43">
        <f>IF(AND(MOD(22,3)=0,X126&gt;0),X126*Assumptions!$B$59,0)</f>
        <v>0</v>
      </c>
      <c r="Y127" s="43">
        <f>IF(AND(MOD(23,3)=0,Y126&gt;0),Y126*Assumptions!$B$59,0)</f>
        <v>0</v>
      </c>
      <c r="Z127" s="43">
        <f>IF(AND(MOD(24,3)=0,Z126&gt;0),Z126*Assumptions!$B$59,0)</f>
        <v>23635.474776699033</v>
      </c>
      <c r="AA127" s="43">
        <f>IF(AND(MOD(25,3)=0,AA126&gt;0),AA126*Assumptions!$B$59,0)</f>
        <v>0</v>
      </c>
      <c r="AB127" s="43">
        <f>IF(AND(MOD(26,3)=0,AB126&gt;0),AB126*Assumptions!$B$59,0)</f>
        <v>0</v>
      </c>
      <c r="AC127" s="43">
        <f>IF(AND(MOD(27,3)=0,AC126&gt;0),AC126*Assumptions!$B$59,0)</f>
        <v>24521.805080825245</v>
      </c>
      <c r="AD127" s="43">
        <f>IF(AND(MOD(28,3)=0,AD126&gt;0),AD126*Assumptions!$B$59,0)</f>
        <v>0</v>
      </c>
      <c r="AE127" s="43">
        <f>IF(AND(MOD(29,3)=0,AE126&gt;0),AE126*Assumptions!$B$59,0)</f>
        <v>0</v>
      </c>
      <c r="AF127" s="43">
        <f>IF(AND(MOD(30,3)=0,AF126&gt;0),AF126*Assumptions!$B$59,0)</f>
        <v>25441.372771356189</v>
      </c>
      <c r="AG127" s="43">
        <f>IF(AND(MOD(31,3)=0,AG126&gt;0),AG126*Assumptions!$B$59,0)</f>
        <v>0</v>
      </c>
      <c r="AH127" s="43">
        <f>IF(AND(MOD(32,3)=0,AH126&gt;0),AH126*Assumptions!$B$59,0)</f>
        <v>0</v>
      </c>
      <c r="AI127" s="43">
        <f>IF(AND(MOD(33,3)=0,AI126&gt;0),AI126*Assumptions!$B$59,0)</f>
        <v>26395.424250282045</v>
      </c>
      <c r="AJ127" s="43">
        <f>IF(AND(MOD(34,3)=0,AJ126&gt;0),AJ126*Assumptions!$B$59,0)</f>
        <v>0</v>
      </c>
      <c r="AK127" s="43">
        <f>IF(AND(MOD(35,3)=0,AK126&gt;0),AK126*Assumptions!$B$59,0)</f>
        <v>0</v>
      </c>
      <c r="AL127" s="43">
        <f>IF(AND(MOD(36,3)=0,AL126&gt;0),AL126*Assumptions!$B$59,0)</f>
        <v>27385.252659667622</v>
      </c>
      <c r="AM127" s="43">
        <f>IF(AND(MOD(37,3)=0,AM126&gt;0),AM126*Assumptions!$B$59,0)</f>
        <v>0</v>
      </c>
      <c r="AN127" s="43">
        <f>IF(AND(MOD(38,3)=0,AN126&gt;0),AN126*Assumptions!$B$59,0)</f>
        <v>0</v>
      </c>
      <c r="AO127" s="43">
        <f>IF(AND(MOD(39,3)=0,AO126&gt;0),AO126*Assumptions!$B$59,0)</f>
        <v>28412.199634405155</v>
      </c>
      <c r="AP127" s="43">
        <f>IF(AND(MOD(40,3)=0,AP126&gt;0),AP126*Assumptions!$B$59,0)</f>
        <v>0</v>
      </c>
      <c r="AQ127" s="43">
        <f>IF(AND(MOD(41,3)=0,AQ126&gt;0),AQ126*Assumptions!$B$59,0)</f>
        <v>0</v>
      </c>
      <c r="AR127" s="43">
        <f>IF(AND(MOD(42,3)=0,AR126&gt;0),AR126*Assumptions!$B$59,0)</f>
        <v>29477.657120695352</v>
      </c>
      <c r="AS127" s="43">
        <f>IF(AND(MOD(43,3)=0,AS126&gt;0),AS126*Assumptions!$B$59,0)</f>
        <v>0</v>
      </c>
      <c r="AT127" s="43">
        <f>IF(AND(MOD(44,3)=0,AT126&gt;0),AT126*Assumptions!$B$59,0)</f>
        <v>0</v>
      </c>
      <c r="AU127" s="43">
        <f>IF(AND(MOD(45,3)=0,AU126&gt;0),AU126*Assumptions!$B$59,0)</f>
        <v>30583.069262721427</v>
      </c>
      <c r="AV127" s="43">
        <f>IF(AND(MOD(46,3)=0,AV126&gt;0),AV126*Assumptions!$B$59,0)</f>
        <v>0</v>
      </c>
      <c r="AW127" s="43">
        <f>IF(AND(MOD(47,3)=0,AW126&gt;0),AW126*Assumptions!$B$59,0)</f>
        <v>0</v>
      </c>
      <c r="AX127" s="43">
        <f>IF(AND(MOD(48,3)=0,AX126&gt;0),AX126*Assumptions!$B$59,0)</f>
        <v>31729.934360073479</v>
      </c>
      <c r="AY127" s="43">
        <f>IF(AND(MOD(49,3)=0,AY126&gt;0),AY126*Assumptions!$B$59,0)</f>
        <v>0</v>
      </c>
      <c r="AZ127" s="43">
        <f>IF(AND(MOD(50,3)=0,AZ126&gt;0),AZ126*Assumptions!$B$59,0)</f>
        <v>0</v>
      </c>
      <c r="BA127" s="43">
        <f>IF(AND(MOD(51,3)=0,BA126&gt;0),BA126*Assumptions!$B$59,0)</f>
        <v>32919.806898576237</v>
      </c>
      <c r="BB127" s="43">
        <f>IF(AND(MOD(52,3)=0,BB126&gt;0),BB126*Assumptions!$B$59,0)</f>
        <v>0</v>
      </c>
      <c r="BC127" s="43">
        <f>IF(AND(MOD(53,3)=0,BC126&gt;0),BC126*Assumptions!$B$59,0)</f>
        <v>0</v>
      </c>
      <c r="BD127" s="43">
        <f>IF(AND(MOD(54,3)=0,BD126&gt;0),BD126*Assumptions!$B$59,0)</f>
        <v>24810.375907272846</v>
      </c>
      <c r="BE127" s="43">
        <f>IF(AND(MOD(55,3)=0,BE126&gt;0),BE126*Assumptions!$B$59,0)</f>
        <v>0</v>
      </c>
      <c r="BF127" s="43">
        <f>IF(AND(MOD(56,3)=0,BF126&gt;0),BF126*Assumptions!$B$59,0)</f>
        <v>0</v>
      </c>
      <c r="BG127" s="43">
        <f>IF(AND(MOD(57,3)=0,BG126&gt;0),BG126*Assumptions!$B$59,0)</f>
        <v>23052.015003795575</v>
      </c>
      <c r="BH127" s="43">
        <f>IF(AND(MOD(58,3)=0,BH126&gt;0),BH126*Assumptions!$B$59,0)</f>
        <v>0</v>
      </c>
      <c r="BI127" s="43">
        <f>IF(AND(MOD(59,3)=0,BI126&gt;0),BI126*Assumptions!$B$59,0)</f>
        <v>0</v>
      </c>
      <c r="BJ127" s="43">
        <f>IF(AND(MOD(60,3)=0,BJ126&gt;0),BJ126*Assumptions!$B$59,0)</f>
        <v>21227.71556643791</v>
      </c>
      <c r="BK127" s="43">
        <f>IF(AND(MOD(61,3)=0,BK126&gt;0),BK126*Assumptions!$B$59,0)</f>
        <v>0</v>
      </c>
      <c r="BL127" s="43">
        <f>IF(AND(MOD(62,3)=0,BL126&gt;0),BL126*Assumptions!$B$59,0)</f>
        <v>0</v>
      </c>
      <c r="BM127" s="43">
        <f>IF(AND(MOD(63,3)=0,BM126&gt;0),BM126*Assumptions!$B$59,0)</f>
        <v>19335.004900179334</v>
      </c>
      <c r="BN127" s="43">
        <f>IF(AND(MOD(64,3)=0,BN126&gt;0),BN126*Assumptions!$B$59,0)</f>
        <v>0</v>
      </c>
      <c r="BO127" s="43">
        <f>IF(AND(MOD(65,3)=0,BO126&gt;0),BO126*Assumptions!$B$59,0)</f>
        <v>0</v>
      </c>
      <c r="BP127" s="43">
        <f>IF(AND(MOD(66,3)=0,BP126&gt;0),BP126*Assumptions!$B$59,0)</f>
        <v>17371.317583936059</v>
      </c>
      <c r="BQ127" s="43">
        <f>IF(AND(MOD(67,3)=0,BQ126&gt;0),BQ126*Assumptions!$B$59,0)</f>
        <v>0</v>
      </c>
      <c r="BR127" s="43">
        <f>IF(AND(MOD(68,3)=0,BR126&gt;0),BR126*Assumptions!$B$59,0)</f>
        <v>0</v>
      </c>
      <c r="BS127" s="43">
        <f>IF(AND(MOD(69,3)=0,BS126&gt;0),BS126*Assumptions!$B$59,0)</f>
        <v>15223.629493333659</v>
      </c>
      <c r="BT127" s="43">
        <f>IF(AND(MOD(70,3)=0,BT126&gt;0),BT126*Assumptions!$B$59,0)</f>
        <v>0</v>
      </c>
      <c r="BU127" s="43">
        <f>IF(AND(MOD(71,3)=0,BU126&gt;0),BU126*Assumptions!$B$59,0)</f>
        <v>0</v>
      </c>
      <c r="BV127" s="43">
        <f>IF(AND(MOD(72,3)=0,BV126&gt;0),BV126*Assumptions!$B$59,0)</f>
        <v>12995.51559933367</v>
      </c>
      <c r="BW127" s="43">
        <f>IF(AND(MOD(73,3)=0,BW126&gt;0),BW126*Assumptions!$B$59,0)</f>
        <v>0</v>
      </c>
      <c r="BX127" s="43">
        <f>IF(AND(MOD(74,3)=0,BX126&gt;0),BX126*Assumptions!$B$59,0)</f>
        <v>0</v>
      </c>
      <c r="BY127" s="43">
        <f>IF(AND(MOD(75,3)=0,BY126&gt;0),BY126*Assumptions!$B$59,0)</f>
        <v>10683.847434308684</v>
      </c>
      <c r="BZ127" s="43">
        <f>IF(AND(MOD(76,3)=0,BZ126&gt;0),BZ126*Assumptions!$B$59,0)</f>
        <v>0</v>
      </c>
      <c r="CA127" s="43">
        <f>IF(AND(MOD(77,3)=0,CA126&gt;0),CA126*Assumptions!$B$59,0)</f>
        <v>0</v>
      </c>
      <c r="CB127" s="43">
        <f>IF(AND(MOD(78,3)=0,CB126&gt;0),CB126*Assumptions!$B$59,0)</f>
        <v>8285.4917130952581</v>
      </c>
      <c r="CC127" s="43">
        <f>IF(AND(MOD(79,3)=0,CC126&gt;0),CC126*Assumptions!$B$59,0)</f>
        <v>0</v>
      </c>
      <c r="CD127" s="43">
        <f>IF(AND(MOD(80,3)=0,CD126&gt;0),CD126*Assumptions!$B$59,0)</f>
        <v>0</v>
      </c>
      <c r="CE127" s="43">
        <f>IF(AND(MOD(81,3)=0,CE126&gt;0),CE126*Assumptions!$B$59,0)</f>
        <v>5545.0851523363308</v>
      </c>
      <c r="CF127" s="43">
        <f>IF(AND(MOD(82,3)=0,CF126&gt;0),CF126*Assumptions!$B$59,0)</f>
        <v>0</v>
      </c>
      <c r="CG127" s="43">
        <f>IF(AND(MOD(83,3)=0,CG126&gt;0),CG126*Assumptions!$B$59,0)</f>
        <v>0</v>
      </c>
      <c r="CH127" s="43">
        <f>IF(AND(MOD(84,3)=0,CH126&gt;0),CH126*Assumptions!$B$59,0)</f>
        <v>2701.9508455489436</v>
      </c>
      <c r="CI127" s="23"/>
    </row>
    <row r="128" spans="1:87" ht="15" customHeight="1" x14ac:dyDescent="0.25">
      <c r="A128" s="42" t="s">
        <v>219</v>
      </c>
      <c r="B128" s="42"/>
      <c r="C128" s="43">
        <v>0</v>
      </c>
      <c r="D128" s="43">
        <v>0</v>
      </c>
      <c r="E128" s="43">
        <v>0</v>
      </c>
      <c r="F128" s="43">
        <v>0</v>
      </c>
      <c r="G128" s="43">
        <v>0</v>
      </c>
      <c r="H128" s="43">
        <v>0</v>
      </c>
      <c r="I128" s="43">
        <v>0</v>
      </c>
      <c r="J128" s="43">
        <v>0</v>
      </c>
      <c r="K128" s="43">
        <v>0</v>
      </c>
      <c r="L128" s="43">
        <v>0</v>
      </c>
      <c r="M128" s="43">
        <v>0</v>
      </c>
      <c r="N128" s="43">
        <v>0</v>
      </c>
      <c r="O128" s="43">
        <f>IF(Projects!$G$13="Yes",Assumptions!$B$74,0)</f>
        <v>-1450000</v>
      </c>
      <c r="P128" s="43">
        <v>0</v>
      </c>
      <c r="Q128" s="43">
        <v>0</v>
      </c>
      <c r="R128" s="43">
        <v>0</v>
      </c>
      <c r="S128" s="43">
        <v>0</v>
      </c>
      <c r="T128" s="43">
        <v>0</v>
      </c>
      <c r="U128" s="43">
        <v>0</v>
      </c>
      <c r="V128" s="43">
        <v>0</v>
      </c>
      <c r="W128" s="43">
        <v>0</v>
      </c>
      <c r="X128" s="43">
        <v>0</v>
      </c>
      <c r="Y128" s="43">
        <v>0</v>
      </c>
      <c r="Z128" s="43">
        <v>0</v>
      </c>
      <c r="AA128" s="43">
        <v>0</v>
      </c>
      <c r="AB128" s="43">
        <v>0</v>
      </c>
      <c r="AC128" s="43">
        <v>0</v>
      </c>
      <c r="AD128" s="43">
        <v>0</v>
      </c>
      <c r="AE128" s="43">
        <v>0</v>
      </c>
      <c r="AF128" s="43">
        <v>0</v>
      </c>
      <c r="AG128" s="43">
        <v>0</v>
      </c>
      <c r="AH128" s="43">
        <v>0</v>
      </c>
      <c r="AI128" s="43">
        <v>0</v>
      </c>
      <c r="AJ128" s="43">
        <v>0</v>
      </c>
      <c r="AK128" s="43">
        <v>0</v>
      </c>
      <c r="AL128" s="43">
        <v>0</v>
      </c>
      <c r="AM128" s="43">
        <v>0</v>
      </c>
      <c r="AN128" s="43">
        <v>0</v>
      </c>
      <c r="AO128" s="43">
        <v>0</v>
      </c>
      <c r="AP128" s="43">
        <v>0</v>
      </c>
      <c r="AQ128" s="43">
        <v>0</v>
      </c>
      <c r="AR128" s="43">
        <v>0</v>
      </c>
      <c r="AS128" s="43">
        <v>0</v>
      </c>
      <c r="AT128" s="43">
        <v>0</v>
      </c>
      <c r="AU128" s="43">
        <v>0</v>
      </c>
      <c r="AV128" s="43">
        <v>0</v>
      </c>
      <c r="AW128" s="43">
        <v>0</v>
      </c>
      <c r="AX128" s="43">
        <v>0</v>
      </c>
      <c r="AY128" s="43">
        <v>0</v>
      </c>
      <c r="AZ128" s="43">
        <v>0</v>
      </c>
      <c r="BA128" s="43">
        <v>0</v>
      </c>
      <c r="BB128" s="43">
        <v>0</v>
      </c>
      <c r="BC128" s="43">
        <v>0</v>
      </c>
      <c r="BD128" s="43">
        <v>0</v>
      </c>
      <c r="BE128" s="43">
        <v>0</v>
      </c>
      <c r="BF128" s="43">
        <v>0</v>
      </c>
      <c r="BG128" s="43">
        <v>0</v>
      </c>
      <c r="BH128" s="43">
        <v>0</v>
      </c>
      <c r="BI128" s="43">
        <v>0</v>
      </c>
      <c r="BJ128" s="43">
        <v>0</v>
      </c>
      <c r="BK128" s="43">
        <v>0</v>
      </c>
      <c r="BL128" s="43">
        <v>0</v>
      </c>
      <c r="BM128" s="43">
        <v>0</v>
      </c>
      <c r="BN128" s="43">
        <v>0</v>
      </c>
      <c r="BO128" s="43">
        <v>0</v>
      </c>
      <c r="BP128" s="43">
        <v>0</v>
      </c>
      <c r="BQ128" s="43">
        <v>0</v>
      </c>
      <c r="BR128" s="43">
        <v>0</v>
      </c>
      <c r="BS128" s="43">
        <v>0</v>
      </c>
      <c r="BT128" s="43">
        <v>0</v>
      </c>
      <c r="BU128" s="43">
        <v>0</v>
      </c>
      <c r="BV128" s="43">
        <v>0</v>
      </c>
      <c r="BW128" s="43">
        <v>0</v>
      </c>
      <c r="BX128" s="43">
        <v>0</v>
      </c>
      <c r="BY128" s="43">
        <v>0</v>
      </c>
      <c r="BZ128" s="43">
        <v>0</v>
      </c>
      <c r="CA128" s="43">
        <v>0</v>
      </c>
      <c r="CB128" s="43">
        <v>0</v>
      </c>
      <c r="CC128" s="43">
        <v>0</v>
      </c>
      <c r="CD128" s="43">
        <v>0</v>
      </c>
      <c r="CE128" s="43">
        <v>0</v>
      </c>
      <c r="CF128" s="43">
        <v>0</v>
      </c>
      <c r="CG128" s="43">
        <v>0</v>
      </c>
      <c r="CH128" s="43">
        <v>0</v>
      </c>
      <c r="CI128" s="23"/>
    </row>
    <row r="129" spans="1:89" ht="15" customHeight="1" x14ac:dyDescent="0.25">
      <c r="A129" s="44" t="s">
        <v>220</v>
      </c>
      <c r="B129" s="44"/>
      <c r="C129" s="45">
        <f>-MIN(C126+C127+C128,MAX(0,C61-Helpers!C23))</f>
        <v>0</v>
      </c>
      <c r="D129" s="45">
        <f>-MIN(D126+D127+D128,MAX(0,D61-Helpers!D23))</f>
        <v>0</v>
      </c>
      <c r="E129" s="45">
        <f>-MIN(E126+E127+E128,MAX(0,E61-Helpers!E23))</f>
        <v>0</v>
      </c>
      <c r="F129" s="45">
        <f>-MIN(F126+F127+F128,MAX(0,F61-Helpers!F23))</f>
        <v>0</v>
      </c>
      <c r="G129" s="45">
        <f>-MIN(G126+G127+G128,MAX(0,G61-Helpers!G23))</f>
        <v>0</v>
      </c>
      <c r="H129" s="45">
        <f>-MIN(H126+H127+H128,MAX(0,H61-Helpers!H23))</f>
        <v>0</v>
      </c>
      <c r="I129" s="45">
        <f>-MIN(I126+I127+I128,MAX(0,I61-Helpers!I23))</f>
        <v>0</v>
      </c>
      <c r="J129" s="45">
        <f>-MIN(J126+J127+J128,MAX(0,J61-Helpers!J23))</f>
        <v>0</v>
      </c>
      <c r="K129" s="45">
        <f>-MIN(K126+K127+K128,MAX(0,K61-Helpers!K23))</f>
        <v>0</v>
      </c>
      <c r="L129" s="45">
        <f>-MIN(L126+L127+L128,MAX(0,L61-Helpers!L23))</f>
        <v>0</v>
      </c>
      <c r="M129" s="45">
        <f>-MIN(M126+M127+M128,MAX(0,M61-Helpers!M23))</f>
        <v>0</v>
      </c>
      <c r="N129" s="45">
        <f>-MIN(N126+N127+N128,MAX(0,N61-Helpers!N23))</f>
        <v>0</v>
      </c>
      <c r="O129" s="45">
        <f>-MIN(O126+O127+O128,MAX(0,O61-Helpers!O23))</f>
        <v>0</v>
      </c>
      <c r="P129" s="45">
        <f>-MIN(P126+P127+P128,MAX(0,P61-Helpers!P23))</f>
        <v>0</v>
      </c>
      <c r="Q129" s="45">
        <f>-MIN(Q126+Q127+Q128,MAX(0,Q61-Helpers!Q23))</f>
        <v>0</v>
      </c>
      <c r="R129" s="45">
        <f>-MIN(R126+R127+R128,MAX(0,R61-Helpers!R23))</f>
        <v>0</v>
      </c>
      <c r="S129" s="45">
        <f>-MIN(S126+S127+S128,MAX(0,S61-Helpers!S23))</f>
        <v>0</v>
      </c>
      <c r="T129" s="45">
        <f>-MIN(T126+T127+T128,MAX(0,T61-Helpers!T23))</f>
        <v>0</v>
      </c>
      <c r="U129" s="45">
        <f>-MIN(U126+U127+U128,MAX(0,U61-Helpers!U23))</f>
        <v>0</v>
      </c>
      <c r="V129" s="45">
        <f>-MIN(V126+V127+V128,MAX(0,V61-Helpers!V23))</f>
        <v>0</v>
      </c>
      <c r="W129" s="45">
        <f>-MIN(W126+W127+W128,MAX(0,W61-Helpers!W23))</f>
        <v>0</v>
      </c>
      <c r="X129" s="45">
        <f>-MIN(X126+X127+X128,MAX(0,X61-Helpers!X23))</f>
        <v>0</v>
      </c>
      <c r="Y129" s="45">
        <f>-MIN(Y126+Y127+Y128,MAX(0,Y61-Helpers!Y23))</f>
        <v>0</v>
      </c>
      <c r="Z129" s="45">
        <f>-MIN(Z126+Z127+Z128,MAX(0,Z61-Helpers!Z23))</f>
        <v>0</v>
      </c>
      <c r="AA129" s="45">
        <f>-MIN(AA126+AA127+AA128,MAX(0,AA61-Helpers!AA23))</f>
        <v>0</v>
      </c>
      <c r="AB129" s="45">
        <f>-MIN(AB126+AB127+AB128,MAX(0,AB61-Helpers!AB23))</f>
        <v>0</v>
      </c>
      <c r="AC129" s="45">
        <f>-MIN(AC126+AC127+AC128,MAX(0,AC61-Helpers!AC23))</f>
        <v>0</v>
      </c>
      <c r="AD129" s="45">
        <f>-MIN(AD126+AD127+AD128,MAX(0,AD61-Helpers!AD23))</f>
        <v>0</v>
      </c>
      <c r="AE129" s="45">
        <f>-MIN(AE126+AE127+AE128,MAX(0,AE61-Helpers!AE23))</f>
        <v>0</v>
      </c>
      <c r="AF129" s="45">
        <f>-MIN(AF126+AF127+AF128,MAX(0,AF61-Helpers!AF23))</f>
        <v>0</v>
      </c>
      <c r="AG129" s="45">
        <f>-MIN(AG126+AG127+AG128,MAX(0,AG61-Helpers!AG23))</f>
        <v>0</v>
      </c>
      <c r="AH129" s="45">
        <f>-MIN(AH126+AH127+AH128,MAX(0,AH61-Helpers!AH23))</f>
        <v>0</v>
      </c>
      <c r="AI129" s="45">
        <f>-MIN(AI126+AI127+AI128,MAX(0,AI61-Helpers!AI23))</f>
        <v>0</v>
      </c>
      <c r="AJ129" s="45">
        <f>-MIN(AJ126+AJ127+AJ128,MAX(0,AJ61-Helpers!AJ23))</f>
        <v>0</v>
      </c>
      <c r="AK129" s="45">
        <f>-MIN(AK126+AK127+AK128,MAX(0,AK61-Helpers!AK23))</f>
        <v>0</v>
      </c>
      <c r="AL129" s="45">
        <f>-MIN(AL126+AL127+AL128,MAX(0,AL61-Helpers!AL23))</f>
        <v>0</v>
      </c>
      <c r="AM129" s="45">
        <f>-MIN(AM126+AM127+AM128,MAX(0,AM61-Helpers!AM23))</f>
        <v>0</v>
      </c>
      <c r="AN129" s="45">
        <f>-MIN(AN126+AN127+AN128,MAX(0,AN61-Helpers!AN23))</f>
        <v>0</v>
      </c>
      <c r="AO129" s="45">
        <f>-MIN(AO126+AO127+AO128,MAX(0,AO61-Helpers!AO23))</f>
        <v>0</v>
      </c>
      <c r="AP129" s="45">
        <f>-MIN(AP126+AP127+AP128,MAX(0,AP61-Helpers!AP23))</f>
        <v>0</v>
      </c>
      <c r="AQ129" s="45">
        <f>-MIN(AQ126+AQ127+AQ128,MAX(0,AQ61-Helpers!AQ23))</f>
        <v>0</v>
      </c>
      <c r="AR129" s="45">
        <f>-MIN(AR126+AR127+AR128,MAX(0,AR61-Helpers!AR23))</f>
        <v>0</v>
      </c>
      <c r="AS129" s="45">
        <f>-MIN(AS126+AS127+AS128,MAX(0,AS61-Helpers!AS23))</f>
        <v>0</v>
      </c>
      <c r="AT129" s="45">
        <f>-MIN(AT126+AT127+AT128,MAX(0,AT61-Helpers!AT23))</f>
        <v>0</v>
      </c>
      <c r="AU129" s="45">
        <f>-MIN(AU126+AU127+AU128,MAX(0,AU61-Helpers!AU23))</f>
        <v>0</v>
      </c>
      <c r="AV129" s="45">
        <f>-MIN(AV126+AV127+AV128,MAX(0,AV61-Helpers!AV23))</f>
        <v>0</v>
      </c>
      <c r="AW129" s="45">
        <f>-MIN(AW126+AW127+AW128,MAX(0,AW61-Helpers!AW23))</f>
        <v>0</v>
      </c>
      <c r="AX129" s="45">
        <f>-MIN(AX126+AX127+AX128,MAX(0,AX61-Helpers!AX23))</f>
        <v>0</v>
      </c>
      <c r="AY129" s="45">
        <f>-MIN(AY126+AY127+AY128,MAX(0,AY61-Helpers!AY23))</f>
        <v>0</v>
      </c>
      <c r="AZ129" s="45">
        <f>-MIN(AZ126+AZ127+AZ128,MAX(0,AZ61-Helpers!AZ23))</f>
        <v>0</v>
      </c>
      <c r="BA129" s="45">
        <f>-MIN(BA126+BA127+BA128,MAX(0,BA61-Helpers!BA23))</f>
        <v>-249171.30000000005</v>
      </c>
      <c r="BB129" s="45">
        <f>-MIN(BB126+BB127+BB128,MAX(0,BB61-Helpers!BB23))</f>
        <v>0</v>
      </c>
      <c r="BC129" s="45">
        <f>-MIN(BC126+BC127+BC128,MAX(0,BC61-Helpers!BC23))</f>
        <v>0</v>
      </c>
      <c r="BD129" s="45">
        <f>-MIN(BD126+BD127+BD128,MAX(0,BD61-Helpers!BD23))</f>
        <v>-71700</v>
      </c>
      <c r="BE129" s="45">
        <f>-MIN(BE126+BE127+BE128,MAX(0,BE61-Helpers!BE23))</f>
        <v>0</v>
      </c>
      <c r="BF129" s="45">
        <f>-MIN(BF126+BF127+BF128,MAX(0,BF61-Helpers!BF23))</f>
        <v>0</v>
      </c>
      <c r="BG129" s="45">
        <f>-MIN(BG126+BG127+BG128,MAX(0,BG61-Helpers!BG23))</f>
        <v>-71700</v>
      </c>
      <c r="BH129" s="45">
        <f>-MIN(BH126+BH127+BH128,MAX(0,BH61-Helpers!BH23))</f>
        <v>0</v>
      </c>
      <c r="BI129" s="45">
        <f>-MIN(BI126+BI127+BI128,MAX(0,BI61-Helpers!BI23))</f>
        <v>0</v>
      </c>
      <c r="BJ129" s="45">
        <f>-MIN(BJ126+BJ127+BJ128,MAX(0,BJ61-Helpers!BJ23))</f>
        <v>-71700</v>
      </c>
      <c r="BK129" s="45">
        <f>-MIN(BK126+BK127+BK128,MAX(0,BK61-Helpers!BK23))</f>
        <v>0</v>
      </c>
      <c r="BL129" s="45">
        <f>-MIN(BL126+BL127+BL128,MAX(0,BL61-Helpers!BL23))</f>
        <v>0</v>
      </c>
      <c r="BM129" s="45">
        <f>-MIN(BM126+BM127+BM128,MAX(0,BM61-Helpers!BM23))</f>
        <v>-71700</v>
      </c>
      <c r="BN129" s="45">
        <f>-MIN(BN126+BN127+BN128,MAX(0,BN61-Helpers!BN23))</f>
        <v>0</v>
      </c>
      <c r="BO129" s="45">
        <f>-MIN(BO126+BO127+BO128,MAX(0,BO61-Helpers!BO23))</f>
        <v>0</v>
      </c>
      <c r="BP129" s="45">
        <f>-MIN(BP126+BP127+BP128,MAX(0,BP61-Helpers!BP23))</f>
        <v>-74643</v>
      </c>
      <c r="BQ129" s="45">
        <f>-MIN(BQ126+BQ127+BQ128,MAX(0,BQ61-Helpers!BQ23))</f>
        <v>0</v>
      </c>
      <c r="BR129" s="45">
        <f>-MIN(BR126+BR127+BR128,MAX(0,BR61-Helpers!BR23))</f>
        <v>0</v>
      </c>
      <c r="BS129" s="45">
        <f>-MIN(BS126+BS127+BS128,MAX(0,BS61-Helpers!BS23))</f>
        <v>-74640</v>
      </c>
      <c r="BT129" s="45">
        <f>-MIN(BT126+BT127+BT128,MAX(0,BT61-Helpers!BT23))</f>
        <v>0</v>
      </c>
      <c r="BU129" s="45">
        <f>-MIN(BU126+BU127+BU128,MAX(0,BU61-Helpers!BU23))</f>
        <v>0</v>
      </c>
      <c r="BV129" s="45">
        <f>-MIN(BV126+BV127+BV128,MAX(0,BV61-Helpers!BV23))</f>
        <v>-74640</v>
      </c>
      <c r="BW129" s="45">
        <f>-MIN(BW126+BW127+BW128,MAX(0,BW61-Helpers!BW23))</f>
        <v>0</v>
      </c>
      <c r="BX129" s="45">
        <f>-MIN(BX126+BX127+BX128,MAX(0,BX61-Helpers!BX23))</f>
        <v>0</v>
      </c>
      <c r="BY129" s="45">
        <f>-MIN(BY126+BY127+BY128,MAX(0,BY61-Helpers!BY23))</f>
        <v>-74640</v>
      </c>
      <c r="BZ129" s="45">
        <f>-MIN(BZ126+BZ127+BZ128,MAX(0,BZ61-Helpers!BZ23))</f>
        <v>0</v>
      </c>
      <c r="CA129" s="45">
        <f>-MIN(CA126+CA127+CA128,MAX(0,CA61-Helpers!CA23))</f>
        <v>0</v>
      </c>
      <c r="CB129" s="45">
        <f>-MIN(CB126+CB127+CB128,MAX(0,CB61-Helpers!CB23))</f>
        <v>-81363</v>
      </c>
      <c r="CC129" s="45">
        <f>-MIN(CC126+CC127+CC128,MAX(0,CC61-Helpers!CC23))</f>
        <v>0</v>
      </c>
      <c r="CD129" s="45">
        <f>-MIN(CD126+CD127+CD128,MAX(0,CD61-Helpers!CD23))</f>
        <v>0</v>
      </c>
      <c r="CE129" s="45">
        <f>-MIN(CE126+CE127+CE128,MAX(0,CE61-Helpers!CE23))</f>
        <v>-81362</v>
      </c>
      <c r="CF129" s="45">
        <f>-MIN(CF126+CF127+CF128,MAX(0,CF61-Helpers!CF23))</f>
        <v>0</v>
      </c>
      <c r="CG129" s="45">
        <f>-MIN(CG126+CG127+CG128,MAX(0,CG61-Helpers!CG23))</f>
        <v>0</v>
      </c>
      <c r="CH129" s="45">
        <f>-MIN(CH126+CH127+CH128,MAX(0,CH61-Helpers!CH23))</f>
        <v>-74753.973393520777</v>
      </c>
      <c r="CI129" s="23"/>
    </row>
    <row r="130" spans="1:89" ht="13.5" customHeight="1" x14ac:dyDescent="0.25">
      <c r="A130" s="46" t="s">
        <v>221</v>
      </c>
      <c r="B130" s="47"/>
      <c r="C130" s="48">
        <f t="shared" ref="C130:AH130" si="65">MAX(0,C126+C127+C128+C129)</f>
        <v>1134000</v>
      </c>
      <c r="D130" s="48">
        <f t="shared" si="65"/>
        <v>1184000</v>
      </c>
      <c r="E130" s="48">
        <f t="shared" si="65"/>
        <v>1280275</v>
      </c>
      <c r="F130" s="48">
        <f t="shared" si="65"/>
        <v>1330275</v>
      </c>
      <c r="G130" s="48">
        <f t="shared" si="65"/>
        <v>1380275</v>
      </c>
      <c r="H130" s="48">
        <f t="shared" si="65"/>
        <v>1483910.3125</v>
      </c>
      <c r="I130" s="48">
        <f t="shared" si="65"/>
        <v>1533910.3125</v>
      </c>
      <c r="J130" s="48">
        <f t="shared" si="65"/>
        <v>1583910.3125</v>
      </c>
      <c r="K130" s="48">
        <f t="shared" si="65"/>
        <v>1695181.94921875</v>
      </c>
      <c r="L130" s="48">
        <f t="shared" si="65"/>
        <v>1745181.94921875</v>
      </c>
      <c r="M130" s="48">
        <f t="shared" si="65"/>
        <v>1795181.94921875</v>
      </c>
      <c r="N130" s="48">
        <f t="shared" si="65"/>
        <v>1914376.272314453</v>
      </c>
      <c r="O130" s="48">
        <f t="shared" si="65"/>
        <v>514376.27231445303</v>
      </c>
      <c r="P130" s="48">
        <f t="shared" si="65"/>
        <v>564376.27231445303</v>
      </c>
      <c r="Q130" s="48">
        <f t="shared" si="65"/>
        <v>585540.38252624497</v>
      </c>
      <c r="R130" s="48">
        <f t="shared" si="65"/>
        <v>585540.38252624497</v>
      </c>
      <c r="S130" s="48">
        <f t="shared" si="65"/>
        <v>585540.38252624497</v>
      </c>
      <c r="T130" s="48">
        <f t="shared" si="65"/>
        <v>607498.14687097911</v>
      </c>
      <c r="U130" s="48">
        <f t="shared" si="65"/>
        <v>607498.14687097911</v>
      </c>
      <c r="V130" s="48">
        <f t="shared" si="65"/>
        <v>607498.14687097911</v>
      </c>
      <c r="W130" s="48">
        <f t="shared" si="65"/>
        <v>630279.32737864088</v>
      </c>
      <c r="X130" s="48">
        <f t="shared" si="65"/>
        <v>630279.32737864088</v>
      </c>
      <c r="Y130" s="48">
        <f t="shared" si="65"/>
        <v>630279.32737864088</v>
      </c>
      <c r="Z130" s="48">
        <f t="shared" si="65"/>
        <v>653914.80215533986</v>
      </c>
      <c r="AA130" s="48">
        <f t="shared" si="65"/>
        <v>653914.80215533986</v>
      </c>
      <c r="AB130" s="48">
        <f t="shared" si="65"/>
        <v>653914.80215533986</v>
      </c>
      <c r="AC130" s="48">
        <f t="shared" si="65"/>
        <v>678436.60723616509</v>
      </c>
      <c r="AD130" s="48">
        <f t="shared" si="65"/>
        <v>678436.60723616509</v>
      </c>
      <c r="AE130" s="48">
        <f t="shared" si="65"/>
        <v>678436.60723616509</v>
      </c>
      <c r="AF130" s="48">
        <f t="shared" si="65"/>
        <v>703877.98000752123</v>
      </c>
      <c r="AG130" s="48">
        <f t="shared" si="65"/>
        <v>703877.98000752123</v>
      </c>
      <c r="AH130" s="48">
        <f t="shared" si="65"/>
        <v>703877.98000752123</v>
      </c>
      <c r="AI130" s="48">
        <f t="shared" ref="AI130:BN130" si="66">MAX(0,AI126+AI127+AI128+AI129)</f>
        <v>730273.40425780322</v>
      </c>
      <c r="AJ130" s="48">
        <f t="shared" si="66"/>
        <v>730273.40425780322</v>
      </c>
      <c r="AK130" s="48">
        <f t="shared" si="66"/>
        <v>730273.40425780322</v>
      </c>
      <c r="AL130" s="48">
        <f t="shared" si="66"/>
        <v>757658.65691747086</v>
      </c>
      <c r="AM130" s="48">
        <f t="shared" si="66"/>
        <v>757658.65691747086</v>
      </c>
      <c r="AN130" s="48">
        <f t="shared" si="66"/>
        <v>757658.65691747086</v>
      </c>
      <c r="AO130" s="48">
        <f t="shared" si="66"/>
        <v>786070.85655187606</v>
      </c>
      <c r="AP130" s="48">
        <f t="shared" si="66"/>
        <v>786070.85655187606</v>
      </c>
      <c r="AQ130" s="48">
        <f t="shared" si="66"/>
        <v>786070.85655187606</v>
      </c>
      <c r="AR130" s="48">
        <f t="shared" si="66"/>
        <v>815548.5136725714</v>
      </c>
      <c r="AS130" s="48">
        <f t="shared" si="66"/>
        <v>815548.5136725714</v>
      </c>
      <c r="AT130" s="48">
        <f t="shared" si="66"/>
        <v>815548.5136725714</v>
      </c>
      <c r="AU130" s="48">
        <f t="shared" si="66"/>
        <v>846131.58293529286</v>
      </c>
      <c r="AV130" s="48">
        <f t="shared" si="66"/>
        <v>846131.58293529286</v>
      </c>
      <c r="AW130" s="48">
        <f t="shared" si="66"/>
        <v>846131.58293529286</v>
      </c>
      <c r="AX130" s="48">
        <f t="shared" si="66"/>
        <v>877861.51729536639</v>
      </c>
      <c r="AY130" s="48">
        <f t="shared" si="66"/>
        <v>877861.51729536639</v>
      </c>
      <c r="AZ130" s="48">
        <f t="shared" si="66"/>
        <v>877861.51729536639</v>
      </c>
      <c r="BA130" s="48">
        <f t="shared" si="66"/>
        <v>661610.02419394255</v>
      </c>
      <c r="BB130" s="48">
        <f t="shared" si="66"/>
        <v>661610.02419394255</v>
      </c>
      <c r="BC130" s="48">
        <f t="shared" si="66"/>
        <v>661610.02419394255</v>
      </c>
      <c r="BD130" s="48">
        <f t="shared" si="66"/>
        <v>614720.40010121535</v>
      </c>
      <c r="BE130" s="48">
        <f t="shared" si="66"/>
        <v>614720.40010121535</v>
      </c>
      <c r="BF130" s="48">
        <f t="shared" si="66"/>
        <v>614720.40010121535</v>
      </c>
      <c r="BG130" s="48">
        <f t="shared" si="66"/>
        <v>566072.41510501096</v>
      </c>
      <c r="BH130" s="48">
        <f t="shared" si="66"/>
        <v>566072.41510501096</v>
      </c>
      <c r="BI130" s="48">
        <f t="shared" si="66"/>
        <v>566072.41510501096</v>
      </c>
      <c r="BJ130" s="48">
        <f t="shared" si="66"/>
        <v>515600.13067144889</v>
      </c>
      <c r="BK130" s="48">
        <f t="shared" si="66"/>
        <v>515600.13067144889</v>
      </c>
      <c r="BL130" s="48">
        <f t="shared" si="66"/>
        <v>515600.13067144889</v>
      </c>
      <c r="BM130" s="48">
        <f t="shared" si="66"/>
        <v>463235.13557162823</v>
      </c>
      <c r="BN130" s="48">
        <f t="shared" si="66"/>
        <v>463235.13557162823</v>
      </c>
      <c r="BO130" s="48">
        <f t="shared" ref="BO130:CT130" si="67">MAX(0,BO126+BO127+BO128+BO129)</f>
        <v>463235.13557162823</v>
      </c>
      <c r="BP130" s="48">
        <f t="shared" si="67"/>
        <v>405963.45315556426</v>
      </c>
      <c r="BQ130" s="48">
        <f t="shared" si="67"/>
        <v>405963.45315556426</v>
      </c>
      <c r="BR130" s="48">
        <f t="shared" si="67"/>
        <v>405963.45315556426</v>
      </c>
      <c r="BS130" s="48">
        <f t="shared" si="67"/>
        <v>346547.08264889789</v>
      </c>
      <c r="BT130" s="48">
        <f t="shared" si="67"/>
        <v>346547.08264889789</v>
      </c>
      <c r="BU130" s="48">
        <f t="shared" si="67"/>
        <v>346547.08264889789</v>
      </c>
      <c r="BV130" s="48">
        <f t="shared" si="67"/>
        <v>284902.59824823157</v>
      </c>
      <c r="BW130" s="48">
        <f t="shared" si="67"/>
        <v>284902.59824823157</v>
      </c>
      <c r="BX130" s="48">
        <f t="shared" si="67"/>
        <v>284902.59824823157</v>
      </c>
      <c r="BY130" s="48">
        <f t="shared" si="67"/>
        <v>220946.44568254024</v>
      </c>
      <c r="BZ130" s="48">
        <f t="shared" si="67"/>
        <v>220946.44568254024</v>
      </c>
      <c r="CA130" s="48">
        <f t="shared" si="67"/>
        <v>220946.44568254024</v>
      </c>
      <c r="CB130" s="48">
        <f t="shared" si="67"/>
        <v>147868.9373956355</v>
      </c>
      <c r="CC130" s="48">
        <f t="shared" si="67"/>
        <v>147868.9373956355</v>
      </c>
      <c r="CD130" s="48">
        <f t="shared" si="67"/>
        <v>147868.9373956355</v>
      </c>
      <c r="CE130" s="48">
        <f t="shared" si="67"/>
        <v>72052.022547971836</v>
      </c>
      <c r="CF130" s="48">
        <f t="shared" si="67"/>
        <v>72052.022547971836</v>
      </c>
      <c r="CG130" s="48">
        <f t="shared" si="67"/>
        <v>72052.022547971836</v>
      </c>
      <c r="CH130" s="48">
        <f t="shared" si="67"/>
        <v>0</v>
      </c>
      <c r="CI130" s="23"/>
    </row>
    <row r="131" spans="1:89" ht="16.5" customHeight="1" x14ac:dyDescent="0.25">
      <c r="A131" s="49"/>
      <c r="B131" s="34"/>
      <c r="C131" s="50"/>
      <c r="D131" s="50"/>
      <c r="E131" s="50"/>
      <c r="F131" s="50"/>
      <c r="G131" s="50"/>
      <c r="H131" s="50"/>
      <c r="I131" s="50"/>
      <c r="J131" s="50"/>
      <c r="K131" s="50"/>
      <c r="L131" s="50"/>
      <c r="M131" s="50"/>
      <c r="N131" s="50"/>
      <c r="O131" s="50"/>
      <c r="P131" s="50"/>
      <c r="Q131" s="50"/>
      <c r="R131" s="50"/>
      <c r="S131" s="50"/>
      <c r="T131" s="50"/>
      <c r="U131" s="50"/>
      <c r="V131" s="50"/>
      <c r="W131" s="50"/>
      <c r="X131" s="50"/>
      <c r="Y131" s="50"/>
      <c r="Z131" s="50"/>
      <c r="AA131" s="50"/>
      <c r="AB131" s="50"/>
      <c r="AC131" s="50"/>
      <c r="AD131" s="50"/>
      <c r="AE131" s="50"/>
      <c r="AF131" s="50"/>
      <c r="AG131" s="50"/>
      <c r="AH131" s="50"/>
      <c r="AI131" s="50"/>
      <c r="AJ131" s="50"/>
      <c r="AK131" s="50"/>
      <c r="AL131" s="50"/>
      <c r="AM131" s="50"/>
      <c r="AN131" s="50"/>
      <c r="AO131" s="50"/>
      <c r="AP131" s="50"/>
      <c r="AQ131" s="50"/>
      <c r="AR131" s="50"/>
      <c r="AS131" s="50"/>
      <c r="AT131" s="50"/>
      <c r="AU131" s="50"/>
      <c r="AV131" s="50"/>
      <c r="AW131" s="50"/>
      <c r="AX131" s="50"/>
      <c r="AY131" s="50"/>
      <c r="AZ131" s="50"/>
      <c r="BA131" s="50"/>
      <c r="BB131" s="50"/>
      <c r="BC131" s="50"/>
      <c r="BD131" s="50"/>
      <c r="BE131" s="50"/>
      <c r="BF131" s="50"/>
      <c r="BG131" s="50"/>
      <c r="BH131" s="50"/>
      <c r="BI131" s="50"/>
      <c r="BJ131" s="50"/>
      <c r="BK131" s="50"/>
      <c r="BL131" s="50"/>
      <c r="BM131" s="50"/>
      <c r="BN131" s="50"/>
      <c r="BO131" s="50"/>
      <c r="BP131" s="50"/>
      <c r="BQ131" s="50"/>
      <c r="BR131" s="50"/>
      <c r="BS131" s="50"/>
      <c r="BT131" s="50"/>
      <c r="BU131" s="50"/>
      <c r="BV131" s="50"/>
      <c r="BW131" s="50"/>
      <c r="BX131" s="50"/>
      <c r="BY131" s="50"/>
      <c r="BZ131" s="50"/>
      <c r="CA131" s="50"/>
      <c r="CB131" s="50"/>
      <c r="CC131" s="50"/>
      <c r="CD131" s="50"/>
      <c r="CE131" s="50"/>
      <c r="CF131" s="50"/>
      <c r="CG131" s="50"/>
      <c r="CH131" s="50"/>
      <c r="CI131" s="35"/>
    </row>
    <row r="132" spans="1:89" ht="15" customHeight="1" x14ac:dyDescent="0.25">
      <c r="A132" s="51" t="s">
        <v>222</v>
      </c>
      <c r="B132" s="51"/>
      <c r="C132" s="51"/>
      <c r="D132" s="51"/>
      <c r="E132" s="51"/>
      <c r="F132" s="51"/>
      <c r="G132" s="51"/>
      <c r="H132" s="51"/>
      <c r="I132" s="51"/>
      <c r="J132" s="51"/>
      <c r="K132" s="51"/>
      <c r="L132" s="51"/>
      <c r="M132" s="51"/>
      <c r="N132" s="51"/>
      <c r="O132" s="51"/>
      <c r="P132" s="51"/>
      <c r="Q132" s="51"/>
      <c r="R132" s="51"/>
      <c r="S132" s="51"/>
      <c r="T132" s="51"/>
      <c r="U132" s="51"/>
      <c r="V132" s="51"/>
      <c r="W132" s="51"/>
      <c r="X132" s="51"/>
      <c r="Y132" s="51"/>
      <c r="Z132" s="51"/>
      <c r="AA132" s="51"/>
      <c r="AB132" s="51"/>
      <c r="AC132" s="51"/>
      <c r="AD132" s="51"/>
      <c r="AE132" s="51"/>
      <c r="AF132" s="51"/>
      <c r="AG132" s="51"/>
      <c r="AH132" s="51"/>
      <c r="AI132" s="51"/>
      <c r="AJ132" s="51"/>
      <c r="AK132" s="51"/>
      <c r="AL132" s="51"/>
      <c r="AM132" s="51"/>
      <c r="AN132" s="51"/>
      <c r="AO132" s="51"/>
      <c r="AP132" s="51"/>
      <c r="AQ132" s="51"/>
      <c r="AR132" s="51"/>
      <c r="AS132" s="51"/>
      <c r="AT132" s="51"/>
      <c r="AU132" s="51"/>
      <c r="AV132" s="51"/>
      <c r="AW132" s="51"/>
      <c r="AX132" s="51"/>
      <c r="AY132" s="51"/>
      <c r="AZ132" s="51"/>
      <c r="BA132" s="51"/>
      <c r="BB132" s="51"/>
      <c r="BC132" s="51"/>
      <c r="BD132" s="51"/>
      <c r="BE132" s="51"/>
      <c r="BF132" s="51"/>
      <c r="BG132" s="51"/>
      <c r="BH132" s="51"/>
      <c r="BI132" s="51"/>
      <c r="BJ132" s="51"/>
      <c r="BK132" s="51"/>
      <c r="BL132" s="51"/>
      <c r="BM132" s="51"/>
      <c r="BN132" s="51"/>
      <c r="BO132" s="51"/>
      <c r="BP132" s="51"/>
      <c r="BQ132" s="51"/>
      <c r="BR132" s="51"/>
      <c r="BS132" s="51"/>
      <c r="BT132" s="51"/>
      <c r="BU132" s="51"/>
      <c r="BV132" s="51"/>
      <c r="BW132" s="51"/>
      <c r="BX132" s="51"/>
      <c r="BY132" s="51"/>
      <c r="BZ132" s="51"/>
      <c r="CA132" s="51"/>
      <c r="CB132" s="51"/>
      <c r="CC132" s="51"/>
      <c r="CD132" s="51"/>
      <c r="CE132" s="51"/>
      <c r="CF132" s="51"/>
      <c r="CG132" s="51"/>
      <c r="CH132" s="51"/>
      <c r="CI132" s="23"/>
      <c r="CJ132" s="52"/>
      <c r="CK132" s="52"/>
    </row>
    <row r="133" spans="1:89" ht="15" customHeight="1" x14ac:dyDescent="0.25">
      <c r="A133" s="7" t="s">
        <v>223</v>
      </c>
      <c r="B133" s="22"/>
      <c r="C133" s="8">
        <f>Helpers!C8</f>
        <v>11187175.790685378</v>
      </c>
      <c r="D133" s="8">
        <f>Helpers!D8</f>
        <v>10356493.691643232</v>
      </c>
      <c r="E133" s="8">
        <f>Helpers!E8</f>
        <v>9450240.4833253007</v>
      </c>
      <c r="F133" s="8">
        <f>Helpers!F8</f>
        <v>8485833.1083679982</v>
      </c>
      <c r="G133" s="8">
        <f>Helpers!G8</f>
        <v>7484749.6715128645</v>
      </c>
      <c r="H133" s="8">
        <f>Helpers!H8</f>
        <v>6471133.8512542872</v>
      </c>
      <c r="I133" s="8">
        <f>Helpers!I8</f>
        <v>5470050.4143991536</v>
      </c>
      <c r="J133" s="8">
        <f>Helpers!J8</f>
        <v>4505643.0394418519</v>
      </c>
      <c r="K133" s="8">
        <f>Helpers!K8</f>
        <v>3599389.8311239216</v>
      </c>
      <c r="L133" s="8">
        <f>Helpers!L8</f>
        <v>2768707.7320817742</v>
      </c>
      <c r="M133" s="8">
        <f>Helpers!M8</f>
        <v>2026003.5227671519</v>
      </c>
      <c r="N133" s="8">
        <f>Helpers!N8</f>
        <v>1378283.0567084828</v>
      </c>
      <c r="O133" s="8">
        <f>Helpers!O8</f>
        <v>827276.86346258991</v>
      </c>
      <c r="P133" s="8">
        <f>Helpers!P8</f>
        <v>370068.16337321472</v>
      </c>
      <c r="Q133" s="8">
        <f>Helpers!Q8</f>
        <v>-2.6489654914030325E-9</v>
      </c>
      <c r="R133" s="8">
        <f>Helpers!R8</f>
        <v>0</v>
      </c>
      <c r="S133" s="8">
        <f>Helpers!S8</f>
        <v>0</v>
      </c>
      <c r="T133" s="8">
        <f>Helpers!T8</f>
        <v>0</v>
      </c>
      <c r="U133" s="8">
        <f>Helpers!U8</f>
        <v>0</v>
      </c>
      <c r="V133" s="8">
        <f>Helpers!V8</f>
        <v>0</v>
      </c>
      <c r="W133" s="8">
        <f>Helpers!W8</f>
        <v>0</v>
      </c>
      <c r="X133" s="8">
        <f>Helpers!X8</f>
        <v>0</v>
      </c>
      <c r="Y133" s="8">
        <f>Helpers!Y8</f>
        <v>0</v>
      </c>
      <c r="Z133" s="8">
        <f>Helpers!Z8</f>
        <v>0</v>
      </c>
      <c r="AA133" s="8">
        <f>Helpers!AA8</f>
        <v>0</v>
      </c>
      <c r="AB133" s="8">
        <f>Helpers!AB8</f>
        <v>0</v>
      </c>
      <c r="AC133" s="8">
        <f>Helpers!AC8</f>
        <v>0</v>
      </c>
      <c r="AD133" s="8">
        <f>Helpers!AD8</f>
        <v>0</v>
      </c>
      <c r="AE133" s="8">
        <f>Helpers!AE8</f>
        <v>0</v>
      </c>
      <c r="AF133" s="8">
        <f>Helpers!AF8</f>
        <v>0</v>
      </c>
      <c r="AG133" s="8">
        <f>Helpers!AG8</f>
        <v>0</v>
      </c>
      <c r="AH133" s="8">
        <f>Helpers!AH8</f>
        <v>0</v>
      </c>
      <c r="AI133" s="8">
        <f>Helpers!AI8</f>
        <v>0</v>
      </c>
      <c r="AJ133" s="8">
        <f>Helpers!AJ8</f>
        <v>0</v>
      </c>
      <c r="AK133" s="8">
        <f>Helpers!AK8</f>
        <v>0</v>
      </c>
      <c r="AL133" s="8">
        <f>Helpers!AL8</f>
        <v>0</v>
      </c>
      <c r="AM133" s="8">
        <f>Helpers!AM8</f>
        <v>0</v>
      </c>
      <c r="AN133" s="8">
        <f>Helpers!AN8</f>
        <v>0</v>
      </c>
      <c r="AO133" s="8">
        <f>Helpers!AO8</f>
        <v>0</v>
      </c>
      <c r="AP133" s="8">
        <f>Helpers!AP8</f>
        <v>0</v>
      </c>
      <c r="AQ133" s="8">
        <f>Helpers!AQ8</f>
        <v>0</v>
      </c>
      <c r="AR133" s="8">
        <f>Helpers!AR8</f>
        <v>0</v>
      </c>
      <c r="AS133" s="8">
        <f>Helpers!AS8</f>
        <v>0</v>
      </c>
      <c r="AT133" s="8">
        <f>Helpers!AT8</f>
        <v>0</v>
      </c>
      <c r="AU133" s="8">
        <f>Helpers!AU8</f>
        <v>0</v>
      </c>
      <c r="AV133" s="8">
        <f>Helpers!AV8</f>
        <v>0</v>
      </c>
      <c r="AW133" s="8">
        <f>Helpers!AW8</f>
        <v>0</v>
      </c>
      <c r="AX133" s="8">
        <f>Helpers!AX8</f>
        <v>0</v>
      </c>
      <c r="AY133" s="8">
        <f>Helpers!AY8</f>
        <v>0</v>
      </c>
      <c r="AZ133" s="8">
        <f>Helpers!AZ8</f>
        <v>0</v>
      </c>
      <c r="BA133" s="8">
        <f>Helpers!BA8</f>
        <v>0</v>
      </c>
      <c r="BB133" s="8">
        <f>Helpers!BB8</f>
        <v>0</v>
      </c>
      <c r="BC133" s="8">
        <f>Helpers!BC8</f>
        <v>0</v>
      </c>
      <c r="BD133" s="8">
        <f>Helpers!BD8</f>
        <v>0</v>
      </c>
      <c r="BE133" s="8">
        <f>Helpers!BE8</f>
        <v>0</v>
      </c>
      <c r="BF133" s="8">
        <f>Helpers!BF8</f>
        <v>0</v>
      </c>
      <c r="BG133" s="8">
        <f>Helpers!BG8</f>
        <v>0</v>
      </c>
      <c r="BH133" s="8">
        <f>Helpers!BH8</f>
        <v>0</v>
      </c>
      <c r="BI133" s="8">
        <f>Helpers!BI8</f>
        <v>0</v>
      </c>
      <c r="BJ133" s="8">
        <f>Helpers!BJ8</f>
        <v>0</v>
      </c>
      <c r="BK133" s="8">
        <f>Helpers!BK8</f>
        <v>0</v>
      </c>
      <c r="BL133" s="8">
        <f>Helpers!BL8</f>
        <v>0</v>
      </c>
      <c r="BM133" s="8">
        <f>Helpers!BM8</f>
        <v>0</v>
      </c>
      <c r="BN133" s="8">
        <f>Helpers!BN8</f>
        <v>0</v>
      </c>
      <c r="BO133" s="8">
        <f>Helpers!BO8</f>
        <v>0</v>
      </c>
      <c r="BP133" s="8">
        <f>Helpers!BP8</f>
        <v>0</v>
      </c>
      <c r="BQ133" s="8">
        <f>Helpers!BQ8</f>
        <v>0</v>
      </c>
      <c r="BR133" s="8">
        <f>Helpers!BR8</f>
        <v>0</v>
      </c>
      <c r="BS133" s="8">
        <f>Helpers!BS8</f>
        <v>0</v>
      </c>
      <c r="BT133" s="8">
        <f>Helpers!BT8</f>
        <v>0</v>
      </c>
      <c r="BU133" s="8">
        <f>Helpers!BU8</f>
        <v>0</v>
      </c>
      <c r="BV133" s="8">
        <f>Helpers!BV8</f>
        <v>0</v>
      </c>
      <c r="BW133" s="8">
        <f>Helpers!BW8</f>
        <v>0</v>
      </c>
      <c r="BX133" s="8">
        <f>Helpers!BX8</f>
        <v>0</v>
      </c>
      <c r="BY133" s="8">
        <f>Helpers!BY8</f>
        <v>0</v>
      </c>
      <c r="BZ133" s="8">
        <f>Helpers!BZ8</f>
        <v>0</v>
      </c>
      <c r="CA133" s="8">
        <f>Helpers!CA8</f>
        <v>0</v>
      </c>
      <c r="CB133" s="8">
        <f>Helpers!CB8</f>
        <v>0</v>
      </c>
      <c r="CC133" s="8">
        <f>Helpers!CC8</f>
        <v>0</v>
      </c>
      <c r="CD133" s="8">
        <f>Helpers!CD8</f>
        <v>0</v>
      </c>
      <c r="CE133" s="8">
        <f>Helpers!CE8</f>
        <v>0</v>
      </c>
      <c r="CF133" s="8">
        <f>Helpers!CF8</f>
        <v>0</v>
      </c>
      <c r="CG133" s="8">
        <f>Helpers!CG8</f>
        <v>0</v>
      </c>
      <c r="CH133" s="8">
        <f>Helpers!CH8</f>
        <v>0</v>
      </c>
      <c r="CI133" s="23"/>
      <c r="CJ133" s="52"/>
      <c r="CK133" s="52"/>
    </row>
    <row r="134" spans="1:89" ht="15" customHeight="1" x14ac:dyDescent="0.25">
      <c r="A134" s="7" t="s">
        <v>224</v>
      </c>
      <c r="B134" s="22"/>
      <c r="C134" s="8">
        <f>Helpers!C9</f>
        <v>13529664.556191422</v>
      </c>
      <c r="D134" s="8">
        <f>Helpers!D9</f>
        <v>12525045.484930303</v>
      </c>
      <c r="E134" s="8">
        <f>Helpers!E9</f>
        <v>11429031.429110885</v>
      </c>
      <c r="F134" s="8">
        <f>Helpers!F9</f>
        <v>10262686.274370983</v>
      </c>
      <c r="G134" s="8">
        <f>Helpers!G9</f>
        <v>9051985.4373745341</v>
      </c>
      <c r="H134" s="8">
        <f>Helpers!H9</f>
        <v>7826128.054462418</v>
      </c>
      <c r="I134" s="8">
        <f>Helpers!I9</f>
        <v>6615427.2174659697</v>
      </c>
      <c r="J134" s="8">
        <f>Helpers!J9</f>
        <v>5449082.0627260674</v>
      </c>
      <c r="K134" s="8">
        <f>Helpers!K9</f>
        <v>4353068.0069066519</v>
      </c>
      <c r="L134" s="8">
        <f>Helpers!L9</f>
        <v>3348448.9356455314</v>
      </c>
      <c r="M134" s="8">
        <f>Helpers!M9</f>
        <v>2450229.4918369525</v>
      </c>
      <c r="N134" s="8">
        <f>Helpers!N9</f>
        <v>1666882.4884538162</v>
      </c>
      <c r="O134" s="8">
        <f>Helpers!O9</f>
        <v>1000500.8115691092</v>
      </c>
      <c r="P134" s="8">
        <f>Helpers!P9</f>
        <v>447556.93546303821</v>
      </c>
      <c r="Q134" s="8">
        <f>Helpers!Q9</f>
        <v>-3.2036338026841804E-9</v>
      </c>
      <c r="R134" s="8">
        <f>Helpers!R9</f>
        <v>0</v>
      </c>
      <c r="S134" s="8">
        <f>Helpers!S9</f>
        <v>0</v>
      </c>
      <c r="T134" s="8">
        <f>Helpers!T9</f>
        <v>0</v>
      </c>
      <c r="U134" s="8">
        <f>Helpers!U9</f>
        <v>0</v>
      </c>
      <c r="V134" s="8">
        <f>Helpers!V9</f>
        <v>0</v>
      </c>
      <c r="W134" s="8">
        <f>Helpers!W9</f>
        <v>0</v>
      </c>
      <c r="X134" s="8">
        <f>Helpers!X9</f>
        <v>0</v>
      </c>
      <c r="Y134" s="8">
        <f>Helpers!Y9</f>
        <v>0</v>
      </c>
      <c r="Z134" s="8">
        <f>Helpers!Z9</f>
        <v>0</v>
      </c>
      <c r="AA134" s="8">
        <f>Helpers!AA9</f>
        <v>0</v>
      </c>
      <c r="AB134" s="8">
        <f>Helpers!AB9</f>
        <v>0</v>
      </c>
      <c r="AC134" s="8">
        <f>Helpers!AC9</f>
        <v>0</v>
      </c>
      <c r="AD134" s="8">
        <f>Helpers!AD9</f>
        <v>0</v>
      </c>
      <c r="AE134" s="8">
        <f>Helpers!AE9</f>
        <v>0</v>
      </c>
      <c r="AF134" s="8">
        <f>Helpers!AF9</f>
        <v>0</v>
      </c>
      <c r="AG134" s="8">
        <f>Helpers!AG9</f>
        <v>0</v>
      </c>
      <c r="AH134" s="8">
        <f>Helpers!AH9</f>
        <v>0</v>
      </c>
      <c r="AI134" s="8">
        <f>Helpers!AI9</f>
        <v>0</v>
      </c>
      <c r="AJ134" s="8">
        <f>Helpers!AJ9</f>
        <v>0</v>
      </c>
      <c r="AK134" s="8">
        <f>Helpers!AK9</f>
        <v>0</v>
      </c>
      <c r="AL134" s="8">
        <f>Helpers!AL9</f>
        <v>0</v>
      </c>
      <c r="AM134" s="8">
        <f>Helpers!AM9</f>
        <v>0</v>
      </c>
      <c r="AN134" s="8">
        <f>Helpers!AN9</f>
        <v>0</v>
      </c>
      <c r="AO134" s="8">
        <f>Helpers!AO9</f>
        <v>0</v>
      </c>
      <c r="AP134" s="8">
        <f>Helpers!AP9</f>
        <v>0</v>
      </c>
      <c r="AQ134" s="8">
        <f>Helpers!AQ9</f>
        <v>0</v>
      </c>
      <c r="AR134" s="8">
        <f>Helpers!AR9</f>
        <v>0</v>
      </c>
      <c r="AS134" s="8">
        <f>Helpers!AS9</f>
        <v>0</v>
      </c>
      <c r="AT134" s="8">
        <f>Helpers!AT9</f>
        <v>0</v>
      </c>
      <c r="AU134" s="8">
        <f>Helpers!AU9</f>
        <v>0</v>
      </c>
      <c r="AV134" s="8">
        <f>Helpers!AV9</f>
        <v>0</v>
      </c>
      <c r="AW134" s="8">
        <f>Helpers!AW9</f>
        <v>0</v>
      </c>
      <c r="AX134" s="8">
        <f>Helpers!AX9</f>
        <v>0</v>
      </c>
      <c r="AY134" s="8">
        <f>Helpers!AY9</f>
        <v>0</v>
      </c>
      <c r="AZ134" s="8">
        <f>Helpers!AZ9</f>
        <v>0</v>
      </c>
      <c r="BA134" s="8">
        <f>Helpers!BA9</f>
        <v>0</v>
      </c>
      <c r="BB134" s="8">
        <f>Helpers!BB9</f>
        <v>0</v>
      </c>
      <c r="BC134" s="8">
        <f>Helpers!BC9</f>
        <v>0</v>
      </c>
      <c r="BD134" s="8">
        <f>Helpers!BD9</f>
        <v>0</v>
      </c>
      <c r="BE134" s="8">
        <f>Helpers!BE9</f>
        <v>0</v>
      </c>
      <c r="BF134" s="8">
        <f>Helpers!BF9</f>
        <v>0</v>
      </c>
      <c r="BG134" s="8">
        <f>Helpers!BG9</f>
        <v>0</v>
      </c>
      <c r="BH134" s="8">
        <f>Helpers!BH9</f>
        <v>0</v>
      </c>
      <c r="BI134" s="8">
        <f>Helpers!BI9</f>
        <v>0</v>
      </c>
      <c r="BJ134" s="8">
        <f>Helpers!BJ9</f>
        <v>0</v>
      </c>
      <c r="BK134" s="8">
        <f>Helpers!BK9</f>
        <v>0</v>
      </c>
      <c r="BL134" s="8">
        <f>Helpers!BL9</f>
        <v>0</v>
      </c>
      <c r="BM134" s="8">
        <f>Helpers!BM9</f>
        <v>0</v>
      </c>
      <c r="BN134" s="8">
        <f>Helpers!BN9</f>
        <v>0</v>
      </c>
      <c r="BO134" s="8">
        <f>Helpers!BO9</f>
        <v>0</v>
      </c>
      <c r="BP134" s="8">
        <f>Helpers!BP9</f>
        <v>0</v>
      </c>
      <c r="BQ134" s="8">
        <f>Helpers!BQ9</f>
        <v>0</v>
      </c>
      <c r="BR134" s="8">
        <f>Helpers!BR9</f>
        <v>0</v>
      </c>
      <c r="BS134" s="8">
        <f>Helpers!BS9</f>
        <v>0</v>
      </c>
      <c r="BT134" s="8">
        <f>Helpers!BT9</f>
        <v>0</v>
      </c>
      <c r="BU134" s="8">
        <f>Helpers!BU9</f>
        <v>0</v>
      </c>
      <c r="BV134" s="8">
        <f>Helpers!BV9</f>
        <v>0</v>
      </c>
      <c r="BW134" s="8">
        <f>Helpers!BW9</f>
        <v>0</v>
      </c>
      <c r="BX134" s="8">
        <f>Helpers!BX9</f>
        <v>0</v>
      </c>
      <c r="BY134" s="8">
        <f>Helpers!BY9</f>
        <v>0</v>
      </c>
      <c r="BZ134" s="8">
        <f>Helpers!BZ9</f>
        <v>0</v>
      </c>
      <c r="CA134" s="8">
        <f>Helpers!CA9</f>
        <v>0</v>
      </c>
      <c r="CB134" s="8">
        <f>Helpers!CB9</f>
        <v>0</v>
      </c>
      <c r="CC134" s="8">
        <f>Helpers!CC9</f>
        <v>0</v>
      </c>
      <c r="CD134" s="8">
        <f>Helpers!CD9</f>
        <v>0</v>
      </c>
      <c r="CE134" s="8">
        <f>Helpers!CE9</f>
        <v>0</v>
      </c>
      <c r="CF134" s="8">
        <f>Helpers!CF9</f>
        <v>0</v>
      </c>
      <c r="CG134" s="8">
        <f>Helpers!CG9</f>
        <v>0</v>
      </c>
      <c r="CH134" s="8">
        <f>Helpers!CH9</f>
        <v>0</v>
      </c>
      <c r="CI134" s="23"/>
      <c r="CJ134" s="53"/>
      <c r="CK134" s="53"/>
    </row>
    <row r="135" spans="1:89" ht="15" customHeight="1" x14ac:dyDescent="0.25">
      <c r="A135" s="7" t="s">
        <v>115</v>
      </c>
      <c r="B135" s="22"/>
      <c r="C135" s="8">
        <f>Helpers!C10</f>
        <v>0</v>
      </c>
      <c r="D135" s="8">
        <f>Helpers!D10</f>
        <v>0</v>
      </c>
      <c r="E135" s="8">
        <f>Helpers!E10</f>
        <v>0</v>
      </c>
      <c r="F135" s="8">
        <f>Helpers!F10</f>
        <v>42087723.721344002</v>
      </c>
      <c r="G135" s="8">
        <f>Helpers!G10</f>
        <v>41042043.570816003</v>
      </c>
      <c r="H135" s="8">
        <f>Helpers!H10</f>
        <v>39819806.067456</v>
      </c>
      <c r="I135" s="8">
        <f>Helpers!I10</f>
        <v>38413233.922175996</v>
      </c>
      <c r="J135" s="8">
        <f>Helpers!J10</f>
        <v>36819663.091200002</v>
      </c>
      <c r="K135" s="8">
        <f>Helpers!K10</f>
        <v>35042144.334335998</v>
      </c>
      <c r="L135" s="8">
        <f>Helpers!L10</f>
        <v>33090173.678592</v>
      </c>
      <c r="M135" s="8">
        <f>Helpers!M10</f>
        <v>30979821.323520001</v>
      </c>
      <c r="N135" s="8">
        <f>Helpers!N10</f>
        <v>28733516.798976</v>
      </c>
      <c r="O135" s="8">
        <f>Helpers!O10</f>
        <v>26379576.312191997</v>
      </c>
      <c r="P135" s="8">
        <f>Helpers!P10</f>
        <v>23950999.631231997</v>
      </c>
      <c r="Q135" s="8">
        <f>Helpers!Q10</f>
        <v>21484223.999999996</v>
      </c>
      <c r="R135" s="8">
        <f>Helpers!R10</f>
        <v>19017448.368767992</v>
      </c>
      <c r="S135" s="8">
        <f>Helpers!S10</f>
        <v>16588871.687807992</v>
      </c>
      <c r="T135" s="8">
        <f>Helpers!T10</f>
        <v>14234931.201023992</v>
      </c>
      <c r="U135" s="8">
        <f>Helpers!U10</f>
        <v>11988626.67647999</v>
      </c>
      <c r="V135" s="8">
        <f>Helpers!V10</f>
        <v>9878274.3214079905</v>
      </c>
      <c r="W135" s="8">
        <f>Helpers!W10</f>
        <v>7926303.6656639893</v>
      </c>
      <c r="X135" s="8">
        <f>Helpers!X10</f>
        <v>6148784.908799991</v>
      </c>
      <c r="Y135" s="8">
        <f>Helpers!Y10</f>
        <v>4555214.0778239919</v>
      </c>
      <c r="Z135" s="8">
        <f>Helpers!Z10</f>
        <v>3148641.9325439935</v>
      </c>
      <c r="AA135" s="8">
        <f>Helpers!AA10</f>
        <v>1926404.4291839909</v>
      </c>
      <c r="AB135" s="8">
        <f>Helpers!AB10</f>
        <v>880724.27865598991</v>
      </c>
      <c r="AC135" s="8">
        <f>Helpers!AC10</f>
        <v>-9.5409120604017517E-9</v>
      </c>
      <c r="AD135" s="8">
        <f>Helpers!AD10</f>
        <v>-9.5409120604017517E-9</v>
      </c>
      <c r="AE135" s="8">
        <f>Helpers!AE10</f>
        <v>-9.5409120604017517E-9</v>
      </c>
      <c r="AF135" s="8">
        <f>Helpers!AF10</f>
        <v>-9.5409120604017517E-9</v>
      </c>
      <c r="AG135" s="8">
        <f>Helpers!AG10</f>
        <v>-9.5409120604017517E-9</v>
      </c>
      <c r="AH135" s="8">
        <f>Helpers!AH10</f>
        <v>-9.5409120604017517E-9</v>
      </c>
      <c r="AI135" s="8">
        <f>Helpers!AI10</f>
        <v>-9.5409120604017517E-9</v>
      </c>
      <c r="AJ135" s="8">
        <f>Helpers!AJ10</f>
        <v>0</v>
      </c>
      <c r="AK135" s="8">
        <f>Helpers!AK10</f>
        <v>0</v>
      </c>
      <c r="AL135" s="8">
        <f>Helpers!AL10</f>
        <v>0</v>
      </c>
      <c r="AM135" s="8">
        <f>Helpers!AM10</f>
        <v>0</v>
      </c>
      <c r="AN135" s="8">
        <f>Helpers!AN10</f>
        <v>0</v>
      </c>
      <c r="AO135" s="8">
        <f>Helpers!AO10</f>
        <v>0</v>
      </c>
      <c r="AP135" s="8">
        <f>Helpers!AP10</f>
        <v>0</v>
      </c>
      <c r="AQ135" s="8">
        <f>Helpers!AQ10</f>
        <v>0</v>
      </c>
      <c r="AR135" s="8">
        <f>Helpers!AR10</f>
        <v>0</v>
      </c>
      <c r="AS135" s="8">
        <f>Helpers!AS10</f>
        <v>0</v>
      </c>
      <c r="AT135" s="8">
        <f>Helpers!AT10</f>
        <v>0</v>
      </c>
      <c r="AU135" s="8">
        <f>Helpers!AU10</f>
        <v>0</v>
      </c>
      <c r="AV135" s="8">
        <f>Helpers!AV10</f>
        <v>0</v>
      </c>
      <c r="AW135" s="8">
        <f>Helpers!AW10</f>
        <v>0</v>
      </c>
      <c r="AX135" s="8">
        <f>Helpers!AX10</f>
        <v>0</v>
      </c>
      <c r="AY135" s="8">
        <f>Helpers!AY10</f>
        <v>0</v>
      </c>
      <c r="AZ135" s="8">
        <f>Helpers!AZ10</f>
        <v>0</v>
      </c>
      <c r="BA135" s="8">
        <f>Helpers!BA10</f>
        <v>0</v>
      </c>
      <c r="BB135" s="8">
        <f>Helpers!BB10</f>
        <v>0</v>
      </c>
      <c r="BC135" s="8">
        <f>Helpers!BC10</f>
        <v>0</v>
      </c>
      <c r="BD135" s="8">
        <f>Helpers!BD10</f>
        <v>0</v>
      </c>
      <c r="BE135" s="8">
        <f>Helpers!BE10</f>
        <v>0</v>
      </c>
      <c r="BF135" s="8">
        <f>Helpers!BF10</f>
        <v>0</v>
      </c>
      <c r="BG135" s="8">
        <f>Helpers!BG10</f>
        <v>0</v>
      </c>
      <c r="BH135" s="8">
        <f>Helpers!BH10</f>
        <v>0</v>
      </c>
      <c r="BI135" s="8">
        <f>Helpers!BI10</f>
        <v>0</v>
      </c>
      <c r="BJ135" s="8">
        <f>Helpers!BJ10</f>
        <v>0</v>
      </c>
      <c r="BK135" s="8">
        <f>Helpers!BK10</f>
        <v>0</v>
      </c>
      <c r="BL135" s="8">
        <f>Helpers!BL10</f>
        <v>0</v>
      </c>
      <c r="BM135" s="8">
        <f>Helpers!BM10</f>
        <v>0</v>
      </c>
      <c r="BN135" s="8">
        <f>Helpers!BN10</f>
        <v>0</v>
      </c>
      <c r="BO135" s="8">
        <f>Helpers!BO10</f>
        <v>0</v>
      </c>
      <c r="BP135" s="8">
        <f>Helpers!BP10</f>
        <v>0</v>
      </c>
      <c r="BQ135" s="8">
        <f>Helpers!BQ10</f>
        <v>0</v>
      </c>
      <c r="BR135" s="8">
        <f>Helpers!BR10</f>
        <v>0</v>
      </c>
      <c r="BS135" s="8">
        <f>Helpers!BS10</f>
        <v>0</v>
      </c>
      <c r="BT135" s="8">
        <f>Helpers!BT10</f>
        <v>0</v>
      </c>
      <c r="BU135" s="8">
        <f>Helpers!BU10</f>
        <v>0</v>
      </c>
      <c r="BV135" s="8">
        <f>Helpers!BV10</f>
        <v>0</v>
      </c>
      <c r="BW135" s="8">
        <f>Helpers!BW10</f>
        <v>0</v>
      </c>
      <c r="BX135" s="8">
        <f>Helpers!BX10</f>
        <v>0</v>
      </c>
      <c r="BY135" s="8">
        <f>Helpers!BY10</f>
        <v>0</v>
      </c>
      <c r="BZ135" s="8">
        <f>Helpers!BZ10</f>
        <v>0</v>
      </c>
      <c r="CA135" s="8">
        <f>Helpers!CA10</f>
        <v>0</v>
      </c>
      <c r="CB135" s="8">
        <f>Helpers!CB10</f>
        <v>0</v>
      </c>
      <c r="CC135" s="8">
        <f>Helpers!CC10</f>
        <v>0</v>
      </c>
      <c r="CD135" s="8">
        <f>Helpers!CD10</f>
        <v>0</v>
      </c>
      <c r="CE135" s="8">
        <f>Helpers!CE10</f>
        <v>0</v>
      </c>
      <c r="CF135" s="8">
        <f>Helpers!CF10</f>
        <v>0</v>
      </c>
      <c r="CG135" s="8">
        <f>Helpers!CG10</f>
        <v>0</v>
      </c>
      <c r="CH135" s="8">
        <f>Helpers!CH10</f>
        <v>0</v>
      </c>
      <c r="CI135" s="23"/>
      <c r="CJ135" s="54"/>
      <c r="CK135" s="54"/>
    </row>
    <row r="136" spans="1:89" ht="15" customHeight="1" x14ac:dyDescent="0.25">
      <c r="A136" s="7" t="s">
        <v>225</v>
      </c>
      <c r="B136" s="22"/>
      <c r="C136" s="8">
        <f>Helpers!C11</f>
        <v>0</v>
      </c>
      <c r="D136" s="8">
        <f>Helpers!D11</f>
        <v>0</v>
      </c>
      <c r="E136" s="8">
        <f>Helpers!E11</f>
        <v>0</v>
      </c>
      <c r="F136" s="8">
        <f>Helpers!F11</f>
        <v>0</v>
      </c>
      <c r="G136" s="8">
        <f>Helpers!G11</f>
        <v>0</v>
      </c>
      <c r="H136" s="8">
        <f>Helpers!H11</f>
        <v>0</v>
      </c>
      <c r="I136" s="8">
        <f>Helpers!I11</f>
        <v>13264457.403875999</v>
      </c>
      <c r="J136" s="8">
        <f>Helpers!J11</f>
        <v>12818063.487384001</v>
      </c>
      <c r="K136" s="8">
        <f>Helpers!K11</f>
        <v>12280090.757280001</v>
      </c>
      <c r="L136" s="8">
        <f>Helpers!L11</f>
        <v>11647691.427216001</v>
      </c>
      <c r="M136" s="8">
        <f>Helpers!M11</f>
        <v>10922555.09292</v>
      </c>
      <c r="N136" s="8">
        <f>Helpers!N11</f>
        <v>10111521.891936</v>
      </c>
      <c r="O136" s="8">
        <f>Helpers!O11</f>
        <v>9226705.1355719995</v>
      </c>
      <c r="P136" s="8">
        <f>Helpers!P11</f>
        <v>8285109.7872839998</v>
      </c>
      <c r="Q136" s="8">
        <f>Helpers!Q11</f>
        <v>7307705.9101799987</v>
      </c>
      <c r="R136" s="8">
        <f>Helpers!R11</f>
        <v>6318066.0898199985</v>
      </c>
      <c r="S136" s="8">
        <f>Helpers!S11</f>
        <v>5340662.2127159983</v>
      </c>
      <c r="T136" s="8">
        <f>Helpers!T11</f>
        <v>4399066.8644279996</v>
      </c>
      <c r="U136" s="8">
        <f>Helpers!U11</f>
        <v>3514250.1080639991</v>
      </c>
      <c r="V136" s="8">
        <f>Helpers!V11</f>
        <v>2703216.9070799993</v>
      </c>
      <c r="W136" s="8">
        <f>Helpers!W11</f>
        <v>1978080.5727839996</v>
      </c>
      <c r="X136" s="8">
        <f>Helpers!X11</f>
        <v>1345681.2427199995</v>
      </c>
      <c r="Y136" s="8">
        <f>Helpers!Y11</f>
        <v>807708.51261599921</v>
      </c>
      <c r="Z136" s="8">
        <f>Helpers!Z11</f>
        <v>361314.59612399864</v>
      </c>
      <c r="AA136" s="8">
        <f>Helpers!AA11</f>
        <v>0</v>
      </c>
      <c r="AB136" s="8">
        <f>Helpers!AB11</f>
        <v>0</v>
      </c>
      <c r="AC136" s="8">
        <f>Helpers!AC11</f>
        <v>0</v>
      </c>
      <c r="AD136" s="8">
        <f>Helpers!AD11</f>
        <v>0</v>
      </c>
      <c r="AE136" s="8">
        <f>Helpers!AE11</f>
        <v>0</v>
      </c>
      <c r="AF136" s="8">
        <f>Helpers!AF11</f>
        <v>0</v>
      </c>
      <c r="AG136" s="8">
        <f>Helpers!AG11</f>
        <v>0</v>
      </c>
      <c r="AH136" s="8">
        <f>Helpers!AH11</f>
        <v>0</v>
      </c>
      <c r="AI136" s="8">
        <f>Helpers!AI11</f>
        <v>0</v>
      </c>
      <c r="AJ136" s="8">
        <f>Helpers!AJ11</f>
        <v>0</v>
      </c>
      <c r="AK136" s="8">
        <f>Helpers!AK11</f>
        <v>0</v>
      </c>
      <c r="AL136" s="8">
        <f>Helpers!AL11</f>
        <v>0</v>
      </c>
      <c r="AM136" s="8">
        <f>Helpers!AM11</f>
        <v>0</v>
      </c>
      <c r="AN136" s="8">
        <f>Helpers!AN11</f>
        <v>0</v>
      </c>
      <c r="AO136" s="8">
        <f>Helpers!AO11</f>
        <v>0</v>
      </c>
      <c r="AP136" s="8">
        <f>Helpers!AP11</f>
        <v>0</v>
      </c>
      <c r="AQ136" s="8">
        <f>Helpers!AQ11</f>
        <v>0</v>
      </c>
      <c r="AR136" s="8">
        <f>Helpers!AR11</f>
        <v>0</v>
      </c>
      <c r="AS136" s="8">
        <f>Helpers!AS11</f>
        <v>0</v>
      </c>
      <c r="AT136" s="8">
        <f>Helpers!AT11</f>
        <v>0</v>
      </c>
      <c r="AU136" s="8">
        <f>Helpers!AU11</f>
        <v>0</v>
      </c>
      <c r="AV136" s="8">
        <f>Helpers!AV11</f>
        <v>0</v>
      </c>
      <c r="AW136" s="8">
        <f>Helpers!AW11</f>
        <v>0</v>
      </c>
      <c r="AX136" s="8">
        <f>Helpers!AX11</f>
        <v>0</v>
      </c>
      <c r="AY136" s="8">
        <f>Helpers!AY11</f>
        <v>0</v>
      </c>
      <c r="AZ136" s="8">
        <f>Helpers!AZ11</f>
        <v>0</v>
      </c>
      <c r="BA136" s="8">
        <f>Helpers!BA11</f>
        <v>0</v>
      </c>
      <c r="BB136" s="8">
        <f>Helpers!BB11</f>
        <v>0</v>
      </c>
      <c r="BC136" s="8">
        <f>Helpers!BC11</f>
        <v>0</v>
      </c>
      <c r="BD136" s="8">
        <f>Helpers!BD11</f>
        <v>0</v>
      </c>
      <c r="BE136" s="8">
        <f>Helpers!BE11</f>
        <v>0</v>
      </c>
      <c r="BF136" s="8">
        <f>Helpers!BF11</f>
        <v>0</v>
      </c>
      <c r="BG136" s="8">
        <f>Helpers!BG11</f>
        <v>0</v>
      </c>
      <c r="BH136" s="8">
        <f>Helpers!BH11</f>
        <v>0</v>
      </c>
      <c r="BI136" s="8">
        <f>Helpers!BI11</f>
        <v>0</v>
      </c>
      <c r="BJ136" s="8">
        <f>Helpers!BJ11</f>
        <v>0</v>
      </c>
      <c r="BK136" s="8">
        <f>Helpers!BK11</f>
        <v>0</v>
      </c>
      <c r="BL136" s="8">
        <f>Helpers!BL11</f>
        <v>0</v>
      </c>
      <c r="BM136" s="8">
        <f>Helpers!BM11</f>
        <v>0</v>
      </c>
      <c r="BN136" s="8">
        <f>Helpers!BN11</f>
        <v>0</v>
      </c>
      <c r="BO136" s="8">
        <f>Helpers!BO11</f>
        <v>0</v>
      </c>
      <c r="BP136" s="8">
        <f>Helpers!BP11</f>
        <v>0</v>
      </c>
      <c r="BQ136" s="8">
        <f>Helpers!BQ11</f>
        <v>0</v>
      </c>
      <c r="BR136" s="8">
        <f>Helpers!BR11</f>
        <v>0</v>
      </c>
      <c r="BS136" s="8">
        <f>Helpers!BS11</f>
        <v>0</v>
      </c>
      <c r="BT136" s="8">
        <f>Helpers!BT11</f>
        <v>0</v>
      </c>
      <c r="BU136" s="8">
        <f>Helpers!BU11</f>
        <v>0</v>
      </c>
      <c r="BV136" s="8">
        <f>Helpers!BV11</f>
        <v>0</v>
      </c>
      <c r="BW136" s="8">
        <f>Helpers!BW11</f>
        <v>0</v>
      </c>
      <c r="BX136" s="8">
        <f>Helpers!BX11</f>
        <v>0</v>
      </c>
      <c r="BY136" s="8">
        <f>Helpers!BY11</f>
        <v>0</v>
      </c>
      <c r="BZ136" s="8">
        <f>Helpers!BZ11</f>
        <v>0</v>
      </c>
      <c r="CA136" s="8">
        <f>Helpers!CA11</f>
        <v>0</v>
      </c>
      <c r="CB136" s="8">
        <f>Helpers!CB11</f>
        <v>0</v>
      </c>
      <c r="CC136" s="8">
        <f>Helpers!CC11</f>
        <v>0</v>
      </c>
      <c r="CD136" s="8">
        <f>Helpers!CD11</f>
        <v>0</v>
      </c>
      <c r="CE136" s="8">
        <f>Helpers!CE11</f>
        <v>0</v>
      </c>
      <c r="CF136" s="8">
        <f>Helpers!CF11</f>
        <v>0</v>
      </c>
      <c r="CG136" s="8">
        <f>Helpers!CG11</f>
        <v>0</v>
      </c>
      <c r="CH136" s="8">
        <f>Helpers!CH11</f>
        <v>0</v>
      </c>
      <c r="CI136" s="23"/>
      <c r="CJ136" s="54"/>
      <c r="CK136" s="54"/>
    </row>
    <row r="137" spans="1:89" ht="15" customHeight="1" x14ac:dyDescent="0.25">
      <c r="A137" s="7" t="s">
        <v>226</v>
      </c>
      <c r="B137" s="22"/>
      <c r="C137" s="8">
        <f>Helpers!C12</f>
        <v>0</v>
      </c>
      <c r="D137" s="8">
        <f>Helpers!D12</f>
        <v>0</v>
      </c>
      <c r="E137" s="8">
        <f>Helpers!E12</f>
        <v>0</v>
      </c>
      <c r="F137" s="8">
        <f>Helpers!F12</f>
        <v>0</v>
      </c>
      <c r="G137" s="8">
        <f>Helpers!G12</f>
        <v>0</v>
      </c>
      <c r="H137" s="8">
        <f>Helpers!H12</f>
        <v>0</v>
      </c>
      <c r="I137" s="8">
        <f>Helpers!I12</f>
        <v>15589764.538817</v>
      </c>
      <c r="J137" s="8">
        <f>Helpers!J12</f>
        <v>15296348.995423</v>
      </c>
      <c r="K137" s="8">
        <f>Helpers!K12</f>
        <v>14962227.947602</v>
      </c>
      <c r="L137" s="8">
        <f>Helpers!L12</f>
        <v>14585547.544043001</v>
      </c>
      <c r="M137" s="8">
        <f>Helpers!M12</f>
        <v>14165103.573638</v>
      </c>
      <c r="N137" s="8">
        <f>Helpers!N12</f>
        <v>13700484.069428999</v>
      </c>
      <c r="O137" s="8">
        <f>Helpers!O12</f>
        <v>13192148.533023</v>
      </c>
      <c r="P137" s="8">
        <f>Helpers!P12</f>
        <v>12641507.159007</v>
      </c>
      <c r="Q137" s="8">
        <f>Helpers!Q12</f>
        <v>12050984.21448</v>
      </c>
      <c r="R137" s="8">
        <f>Helpers!R12</f>
        <v>11423970.504403999</v>
      </c>
      <c r="S137" s="8">
        <f>Helpers!S12</f>
        <v>10764839.216487</v>
      </c>
      <c r="T137" s="8">
        <f>Helpers!T12</f>
        <v>10078835.007002002</v>
      </c>
      <c r="U137" s="8">
        <f>Helpers!U12</f>
        <v>9371947.241723001</v>
      </c>
      <c r="V137" s="8">
        <f>Helpers!V12</f>
        <v>8650799.0817440003</v>
      </c>
      <c r="W137" s="8">
        <f>Helpers!W12</f>
        <v>7922409.8102340009</v>
      </c>
      <c r="X137" s="8">
        <f>Helpers!X12</f>
        <v>7194020.5387240015</v>
      </c>
      <c r="Y137" s="8">
        <f>Helpers!Y12</f>
        <v>6472872.3787450008</v>
      </c>
      <c r="Z137" s="8">
        <f>Helpers!Z12</f>
        <v>5765984.6134660011</v>
      </c>
      <c r="AA137" s="8">
        <f>Helpers!AA12</f>
        <v>5079980.4039810011</v>
      </c>
      <c r="AB137" s="8">
        <f>Helpers!AB12</f>
        <v>4420849.1160640027</v>
      </c>
      <c r="AC137" s="8">
        <f>Helpers!AC12</f>
        <v>3793835.4059880013</v>
      </c>
      <c r="AD137" s="8">
        <f>Helpers!AD12</f>
        <v>3203312.4614610015</v>
      </c>
      <c r="AE137" s="8">
        <f>Helpers!AE12</f>
        <v>2652671.0874450016</v>
      </c>
      <c r="AF137" s="8">
        <f>Helpers!AF12</f>
        <v>2144335.5510390024</v>
      </c>
      <c r="AG137" s="8">
        <f>Helpers!AG12</f>
        <v>1679716.0468300025</v>
      </c>
      <c r="AH137" s="8">
        <f>Helpers!AH12</f>
        <v>1259272.0764250029</v>
      </c>
      <c r="AI137" s="8">
        <f>Helpers!AI12</f>
        <v>882591.67286600219</v>
      </c>
      <c r="AJ137" s="8">
        <f>Helpers!AJ12</f>
        <v>548470.62504500279</v>
      </c>
      <c r="AK137" s="8">
        <f>Helpers!AK12</f>
        <v>255055.0816510022</v>
      </c>
      <c r="AL137" s="8">
        <f>Helpers!AL12</f>
        <v>-63.379531998304252</v>
      </c>
      <c r="AM137" s="8">
        <f>Helpers!AM12</f>
        <v>0</v>
      </c>
      <c r="AN137" s="8">
        <f>Helpers!AN12</f>
        <v>0</v>
      </c>
      <c r="AO137" s="8">
        <f>Helpers!AO12</f>
        <v>0</v>
      </c>
      <c r="AP137" s="8">
        <f>Helpers!AP12</f>
        <v>0</v>
      </c>
      <c r="AQ137" s="8">
        <f>Helpers!AQ12</f>
        <v>0</v>
      </c>
      <c r="AR137" s="8">
        <f>Helpers!AR12</f>
        <v>0</v>
      </c>
      <c r="AS137" s="8">
        <f>Helpers!AS12</f>
        <v>0</v>
      </c>
      <c r="AT137" s="8">
        <f>Helpers!AT12</f>
        <v>0</v>
      </c>
      <c r="AU137" s="8">
        <f>Helpers!AU12</f>
        <v>0</v>
      </c>
      <c r="AV137" s="8">
        <f>Helpers!AV12</f>
        <v>0</v>
      </c>
      <c r="AW137" s="8">
        <f>Helpers!AW12</f>
        <v>0</v>
      </c>
      <c r="AX137" s="8">
        <f>Helpers!AX12</f>
        <v>0</v>
      </c>
      <c r="AY137" s="8">
        <f>Helpers!AY12</f>
        <v>0</v>
      </c>
      <c r="AZ137" s="8">
        <f>Helpers!AZ12</f>
        <v>0</v>
      </c>
      <c r="BA137" s="8">
        <f>Helpers!BA12</f>
        <v>0</v>
      </c>
      <c r="BB137" s="8">
        <f>Helpers!BB12</f>
        <v>0</v>
      </c>
      <c r="BC137" s="8">
        <f>Helpers!BC12</f>
        <v>0</v>
      </c>
      <c r="BD137" s="8">
        <f>Helpers!BD12</f>
        <v>0</v>
      </c>
      <c r="BE137" s="8">
        <f>Helpers!BE12</f>
        <v>0</v>
      </c>
      <c r="BF137" s="8">
        <f>Helpers!BF12</f>
        <v>0</v>
      </c>
      <c r="BG137" s="8">
        <f>Helpers!BG12</f>
        <v>0</v>
      </c>
      <c r="BH137" s="8">
        <f>Helpers!BH12</f>
        <v>0</v>
      </c>
      <c r="BI137" s="8">
        <f>Helpers!BI12</f>
        <v>0</v>
      </c>
      <c r="BJ137" s="8">
        <f>Helpers!BJ12</f>
        <v>0</v>
      </c>
      <c r="BK137" s="8">
        <f>Helpers!BK12</f>
        <v>0</v>
      </c>
      <c r="BL137" s="8">
        <f>Helpers!BL12</f>
        <v>0</v>
      </c>
      <c r="BM137" s="8">
        <f>Helpers!BM12</f>
        <v>0</v>
      </c>
      <c r="BN137" s="8">
        <f>Helpers!BN12</f>
        <v>0</v>
      </c>
      <c r="BO137" s="8">
        <f>Helpers!BO12</f>
        <v>0</v>
      </c>
      <c r="BP137" s="8">
        <f>Helpers!BP12</f>
        <v>0</v>
      </c>
      <c r="BQ137" s="8">
        <f>Helpers!BQ12</f>
        <v>0</v>
      </c>
      <c r="BR137" s="8">
        <f>Helpers!BR12</f>
        <v>0</v>
      </c>
      <c r="BS137" s="8">
        <f>Helpers!BS12</f>
        <v>0</v>
      </c>
      <c r="BT137" s="8">
        <f>Helpers!BT12</f>
        <v>0</v>
      </c>
      <c r="BU137" s="8">
        <f>Helpers!BU12</f>
        <v>0</v>
      </c>
      <c r="BV137" s="8">
        <f>Helpers!BV12</f>
        <v>0</v>
      </c>
      <c r="BW137" s="8">
        <f>Helpers!BW12</f>
        <v>0</v>
      </c>
      <c r="BX137" s="8">
        <f>Helpers!BX12</f>
        <v>0</v>
      </c>
      <c r="BY137" s="8">
        <f>Helpers!BY12</f>
        <v>0</v>
      </c>
      <c r="BZ137" s="8">
        <f>Helpers!BZ12</f>
        <v>0</v>
      </c>
      <c r="CA137" s="8">
        <f>Helpers!CA12</f>
        <v>0</v>
      </c>
      <c r="CB137" s="8">
        <f>Helpers!CB12</f>
        <v>0</v>
      </c>
      <c r="CC137" s="8">
        <f>Helpers!CC12</f>
        <v>0</v>
      </c>
      <c r="CD137" s="8">
        <f>Helpers!CD12</f>
        <v>0</v>
      </c>
      <c r="CE137" s="8">
        <f>Helpers!CE12</f>
        <v>0</v>
      </c>
      <c r="CF137" s="8">
        <f>Helpers!CF12</f>
        <v>0</v>
      </c>
      <c r="CG137" s="8">
        <f>Helpers!CG12</f>
        <v>0</v>
      </c>
      <c r="CH137" s="8">
        <f>Helpers!CH12</f>
        <v>0</v>
      </c>
      <c r="CI137" s="23"/>
      <c r="CJ137" s="54"/>
      <c r="CK137" s="54"/>
    </row>
    <row r="138" spans="1:89" ht="15" customHeight="1" x14ac:dyDescent="0.25">
      <c r="A138" s="7" t="s">
        <v>119</v>
      </c>
      <c r="B138" s="22"/>
      <c r="C138" s="8">
        <f>Helpers!C13</f>
        <v>0</v>
      </c>
      <c r="D138" s="8">
        <f>Helpers!D13</f>
        <v>0</v>
      </c>
      <c r="E138" s="8">
        <f>Helpers!E13</f>
        <v>0</v>
      </c>
      <c r="F138" s="8">
        <f>Helpers!F13</f>
        <v>0</v>
      </c>
      <c r="G138" s="8">
        <f>Helpers!G13</f>
        <v>0</v>
      </c>
      <c r="H138" s="8">
        <f>Helpers!H13</f>
        <v>0</v>
      </c>
      <c r="I138" s="8">
        <f>Helpers!I13</f>
        <v>0</v>
      </c>
      <c r="J138" s="8">
        <f>Helpers!J13</f>
        <v>20699563.289615002</v>
      </c>
      <c r="K138" s="8">
        <f>Helpers!K13</f>
        <v>20002952.87841</v>
      </c>
      <c r="L138" s="8">
        <f>Helpers!L13</f>
        <v>19163431.122200001</v>
      </c>
      <c r="M138" s="8">
        <f>Helpers!M13</f>
        <v>18176553.96934</v>
      </c>
      <c r="N138" s="8">
        <f>Helpers!N13</f>
        <v>17044958.082049999</v>
      </c>
      <c r="O138" s="8">
        <f>Helpers!O13</f>
        <v>15779317.689639999</v>
      </c>
      <c r="P138" s="8">
        <f>Helpers!P13</f>
        <v>14398535.959154999</v>
      </c>
      <c r="Q138" s="8">
        <f>Helpers!Q13</f>
        <v>12929149.620035</v>
      </c>
      <c r="R138" s="8">
        <f>Helpers!R13</f>
        <v>11403883.052574998</v>
      </c>
      <c r="S138" s="8">
        <f>Helpers!S13</f>
        <v>9859521.9474249985</v>
      </c>
      <c r="T138" s="8">
        <f>Helpers!T13</f>
        <v>8334255.379964998</v>
      </c>
      <c r="U138" s="8">
        <f>Helpers!U13</f>
        <v>6864869.0408449983</v>
      </c>
      <c r="V138" s="8">
        <f>Helpers!V13</f>
        <v>5484087.3103599986</v>
      </c>
      <c r="W138" s="8">
        <f>Helpers!W13</f>
        <v>4218446.9179499988</v>
      </c>
      <c r="X138" s="8">
        <f>Helpers!X13</f>
        <v>3086851.0306599992</v>
      </c>
      <c r="Y138" s="8">
        <f>Helpers!Y13</f>
        <v>2099973.877799999</v>
      </c>
      <c r="Z138" s="8">
        <f>Helpers!Z13</f>
        <v>1260452.1215899987</v>
      </c>
      <c r="AA138" s="8">
        <f>Helpers!AA13</f>
        <v>563841.71038499789</v>
      </c>
      <c r="AB138" s="8">
        <f>Helpers!AB13</f>
        <v>0</v>
      </c>
      <c r="AC138" s="8">
        <f>Helpers!AC13</f>
        <v>0</v>
      </c>
      <c r="AD138" s="8">
        <f>Helpers!AD13</f>
        <v>0</v>
      </c>
      <c r="AE138" s="8">
        <f>Helpers!AE13</f>
        <v>0</v>
      </c>
      <c r="AF138" s="8">
        <f>Helpers!AF13</f>
        <v>0</v>
      </c>
      <c r="AG138" s="8">
        <f>Helpers!AG13</f>
        <v>0</v>
      </c>
      <c r="AH138" s="8">
        <f>Helpers!AH13</f>
        <v>0</v>
      </c>
      <c r="AI138" s="8">
        <f>Helpers!AI13</f>
        <v>0</v>
      </c>
      <c r="AJ138" s="8">
        <f>Helpers!AJ13</f>
        <v>0</v>
      </c>
      <c r="AK138" s="8">
        <f>Helpers!AK13</f>
        <v>0</v>
      </c>
      <c r="AL138" s="8">
        <f>Helpers!AL13</f>
        <v>0</v>
      </c>
      <c r="AM138" s="8">
        <f>Helpers!AM13</f>
        <v>0</v>
      </c>
      <c r="AN138" s="8">
        <f>Helpers!AN13</f>
        <v>0</v>
      </c>
      <c r="AO138" s="8">
        <f>Helpers!AO13</f>
        <v>0</v>
      </c>
      <c r="AP138" s="8">
        <f>Helpers!AP13</f>
        <v>0</v>
      </c>
      <c r="AQ138" s="8">
        <f>Helpers!AQ13</f>
        <v>0</v>
      </c>
      <c r="AR138" s="8">
        <f>Helpers!AR13</f>
        <v>0</v>
      </c>
      <c r="AS138" s="8">
        <f>Helpers!AS13</f>
        <v>0</v>
      </c>
      <c r="AT138" s="8">
        <f>Helpers!AT13</f>
        <v>0</v>
      </c>
      <c r="AU138" s="8">
        <f>Helpers!AU13</f>
        <v>0</v>
      </c>
      <c r="AV138" s="8">
        <f>Helpers!AV13</f>
        <v>0</v>
      </c>
      <c r="AW138" s="8">
        <f>Helpers!AW13</f>
        <v>0</v>
      </c>
      <c r="AX138" s="8">
        <f>Helpers!AX13</f>
        <v>0</v>
      </c>
      <c r="AY138" s="8">
        <f>Helpers!AY13</f>
        <v>0</v>
      </c>
      <c r="AZ138" s="8">
        <f>Helpers!AZ13</f>
        <v>0</v>
      </c>
      <c r="BA138" s="8">
        <f>Helpers!BA13</f>
        <v>0</v>
      </c>
      <c r="BB138" s="8">
        <f>Helpers!BB13</f>
        <v>0</v>
      </c>
      <c r="BC138" s="8">
        <f>Helpers!BC13</f>
        <v>0</v>
      </c>
      <c r="BD138" s="8">
        <f>Helpers!BD13</f>
        <v>0</v>
      </c>
      <c r="BE138" s="8">
        <f>Helpers!BE13</f>
        <v>0</v>
      </c>
      <c r="BF138" s="8">
        <f>Helpers!BF13</f>
        <v>0</v>
      </c>
      <c r="BG138" s="8">
        <f>Helpers!BG13</f>
        <v>0</v>
      </c>
      <c r="BH138" s="8">
        <f>Helpers!BH13</f>
        <v>0</v>
      </c>
      <c r="BI138" s="8">
        <f>Helpers!BI13</f>
        <v>0</v>
      </c>
      <c r="BJ138" s="8">
        <f>Helpers!BJ13</f>
        <v>0</v>
      </c>
      <c r="BK138" s="8">
        <f>Helpers!BK13</f>
        <v>0</v>
      </c>
      <c r="BL138" s="8">
        <f>Helpers!BL13</f>
        <v>0</v>
      </c>
      <c r="BM138" s="8">
        <f>Helpers!BM13</f>
        <v>0</v>
      </c>
      <c r="BN138" s="8">
        <f>Helpers!BN13</f>
        <v>0</v>
      </c>
      <c r="BO138" s="8">
        <f>Helpers!BO13</f>
        <v>0</v>
      </c>
      <c r="BP138" s="8">
        <f>Helpers!BP13</f>
        <v>0</v>
      </c>
      <c r="BQ138" s="8">
        <f>Helpers!BQ13</f>
        <v>0</v>
      </c>
      <c r="BR138" s="8">
        <f>Helpers!BR13</f>
        <v>0</v>
      </c>
      <c r="BS138" s="8">
        <f>Helpers!BS13</f>
        <v>0</v>
      </c>
      <c r="BT138" s="8">
        <f>Helpers!BT13</f>
        <v>0</v>
      </c>
      <c r="BU138" s="8">
        <f>Helpers!BU13</f>
        <v>0</v>
      </c>
      <c r="BV138" s="8">
        <f>Helpers!BV13</f>
        <v>0</v>
      </c>
      <c r="BW138" s="8">
        <f>Helpers!BW13</f>
        <v>0</v>
      </c>
      <c r="BX138" s="8">
        <f>Helpers!BX13</f>
        <v>0</v>
      </c>
      <c r="BY138" s="8">
        <f>Helpers!BY13</f>
        <v>0</v>
      </c>
      <c r="BZ138" s="8">
        <f>Helpers!BZ13</f>
        <v>0</v>
      </c>
      <c r="CA138" s="8">
        <f>Helpers!CA13</f>
        <v>0</v>
      </c>
      <c r="CB138" s="8">
        <f>Helpers!CB13</f>
        <v>0</v>
      </c>
      <c r="CC138" s="8">
        <f>Helpers!CC13</f>
        <v>0</v>
      </c>
      <c r="CD138" s="8">
        <f>Helpers!CD13</f>
        <v>0</v>
      </c>
      <c r="CE138" s="8">
        <f>Helpers!CE13</f>
        <v>0</v>
      </c>
      <c r="CF138" s="8">
        <f>Helpers!CF13</f>
        <v>0</v>
      </c>
      <c r="CG138" s="8">
        <f>Helpers!CG13</f>
        <v>0</v>
      </c>
      <c r="CH138" s="8">
        <f>Helpers!CH13</f>
        <v>0</v>
      </c>
      <c r="CI138" s="23"/>
      <c r="CJ138" s="54"/>
      <c r="CK138" s="54"/>
    </row>
    <row r="139" spans="1:89" ht="15" customHeight="1" x14ac:dyDescent="0.25">
      <c r="A139" s="7" t="s">
        <v>120</v>
      </c>
      <c r="B139" s="22"/>
      <c r="C139" s="8">
        <f>Helpers!C14</f>
        <v>0</v>
      </c>
      <c r="D139" s="8">
        <f>Helpers!D14</f>
        <v>0</v>
      </c>
      <c r="E139" s="8">
        <f>Helpers!E14</f>
        <v>0</v>
      </c>
      <c r="F139" s="8">
        <f>Helpers!F14</f>
        <v>0</v>
      </c>
      <c r="G139" s="8">
        <f>Helpers!G14</f>
        <v>0</v>
      </c>
      <c r="H139" s="8">
        <f>Helpers!H14</f>
        <v>0</v>
      </c>
      <c r="I139" s="8">
        <f>Helpers!I14</f>
        <v>0</v>
      </c>
      <c r="J139" s="8">
        <f>Helpers!J14</f>
        <v>0</v>
      </c>
      <c r="K139" s="8">
        <f>Helpers!K14</f>
        <v>0</v>
      </c>
      <c r="L139" s="8">
        <f>Helpers!L14</f>
        <v>0</v>
      </c>
      <c r="M139" s="8">
        <f>Helpers!M14</f>
        <v>0</v>
      </c>
      <c r="N139" s="8">
        <f>Helpers!N14</f>
        <v>0</v>
      </c>
      <c r="O139" s="8">
        <f>Helpers!O14</f>
        <v>44537929.736230001</v>
      </c>
      <c r="P139" s="8">
        <f>Helpers!P14</f>
        <v>43699679.689369999</v>
      </c>
      <c r="Q139" s="8">
        <f>Helpers!Q14</f>
        <v>42745139.310379997</v>
      </c>
      <c r="R139" s="8">
        <f>Helpers!R14</f>
        <v>41669012.387170002</v>
      </c>
      <c r="S139" s="8">
        <f>Helpers!S14</f>
        <v>40467858.645219997</v>
      </c>
      <c r="T139" s="8">
        <f>Helpers!T14</f>
        <v>39140501.148510002</v>
      </c>
      <c r="U139" s="8">
        <f>Helpers!U14</f>
        <v>37688252.633369997</v>
      </c>
      <c r="V139" s="8">
        <f>Helpers!V14</f>
        <v>36115141.842330001</v>
      </c>
      <c r="W139" s="8">
        <f>Helpers!W14</f>
        <v>34428094.591200002</v>
      </c>
      <c r="X139" s="8">
        <f>Helpers!X14</f>
        <v>32636797.968759999</v>
      </c>
      <c r="Y139" s="8">
        <f>Helpers!Y14</f>
        <v>30753745.603530001</v>
      </c>
      <c r="Z139" s="8">
        <f>Helpers!Z14</f>
        <v>28793920.796380002</v>
      </c>
      <c r="AA139" s="8">
        <f>Helpers!AA14</f>
        <v>26774434.386370003</v>
      </c>
      <c r="AB139" s="8">
        <f>Helpers!AB14</f>
        <v>24714207.883360002</v>
      </c>
      <c r="AC139" s="8">
        <f>Helpers!AC14</f>
        <v>22633294.466460001</v>
      </c>
      <c r="AD139" s="8">
        <f>Helpers!AD14</f>
        <v>20552381.049560003</v>
      </c>
      <c r="AE139" s="8">
        <f>Helpers!AE14</f>
        <v>18492154.546550002</v>
      </c>
      <c r="AF139" s="8">
        <f>Helpers!AF14</f>
        <v>16472668.136540003</v>
      </c>
      <c r="AG139" s="8">
        <f>Helpers!AG14</f>
        <v>14512843.329390004</v>
      </c>
      <c r="AH139" s="8">
        <f>Helpers!AH14</f>
        <v>12629790.964160006</v>
      </c>
      <c r="AI139" s="8">
        <f>Helpers!AI14</f>
        <v>10838494.341720004</v>
      </c>
      <c r="AJ139" s="8">
        <f>Helpers!AJ14</f>
        <v>9151447.0905900039</v>
      </c>
      <c r="AK139" s="8">
        <f>Helpers!AK14</f>
        <v>7578336.2995500043</v>
      </c>
      <c r="AL139" s="8">
        <f>Helpers!AL14</f>
        <v>6126087.7844100064</v>
      </c>
      <c r="AM139" s="8">
        <f>Helpers!AM14</f>
        <v>4798730.2877000077</v>
      </c>
      <c r="AN139" s="8">
        <f>Helpers!AN14</f>
        <v>3597576.5457500084</v>
      </c>
      <c r="AO139" s="8">
        <f>Helpers!AO14</f>
        <v>2521449.6225400064</v>
      </c>
      <c r="AP139" s="8">
        <f>Helpers!AP14</f>
        <v>1566909.2435500079</v>
      </c>
      <c r="AQ139" s="8">
        <f>Helpers!AQ14</f>
        <v>728659.1966900063</v>
      </c>
      <c r="AR139" s="8">
        <f>Helpers!AR14</f>
        <v>-181.06707999515547</v>
      </c>
      <c r="AS139" s="8">
        <f>Helpers!AS14</f>
        <v>0</v>
      </c>
      <c r="AT139" s="8">
        <f>Helpers!AT14</f>
        <v>0</v>
      </c>
      <c r="AU139" s="8">
        <f>Helpers!AU14</f>
        <v>0</v>
      </c>
      <c r="AV139" s="8">
        <f>Helpers!AV14</f>
        <v>0</v>
      </c>
      <c r="AW139" s="8">
        <f>Helpers!AW14</f>
        <v>0</v>
      </c>
      <c r="AX139" s="8">
        <f>Helpers!AX14</f>
        <v>0</v>
      </c>
      <c r="AY139" s="8">
        <f>Helpers!AY14</f>
        <v>0</v>
      </c>
      <c r="AZ139" s="8">
        <f>Helpers!AZ14</f>
        <v>0</v>
      </c>
      <c r="BA139" s="8">
        <f>Helpers!BA14</f>
        <v>0</v>
      </c>
      <c r="BB139" s="8">
        <f>Helpers!BB14</f>
        <v>0</v>
      </c>
      <c r="BC139" s="8">
        <f>Helpers!BC14</f>
        <v>0</v>
      </c>
      <c r="BD139" s="8">
        <f>Helpers!BD14</f>
        <v>0</v>
      </c>
      <c r="BE139" s="8">
        <f>Helpers!BE14</f>
        <v>0</v>
      </c>
      <c r="BF139" s="8">
        <f>Helpers!BF14</f>
        <v>0</v>
      </c>
      <c r="BG139" s="8">
        <f>Helpers!BG14</f>
        <v>0</v>
      </c>
      <c r="BH139" s="8">
        <f>Helpers!BH14</f>
        <v>0</v>
      </c>
      <c r="BI139" s="8">
        <f>Helpers!BI14</f>
        <v>0</v>
      </c>
      <c r="BJ139" s="8">
        <f>Helpers!BJ14</f>
        <v>0</v>
      </c>
      <c r="BK139" s="8">
        <f>Helpers!BK14</f>
        <v>0</v>
      </c>
      <c r="BL139" s="8">
        <f>Helpers!BL14</f>
        <v>0</v>
      </c>
      <c r="BM139" s="8">
        <f>Helpers!BM14</f>
        <v>0</v>
      </c>
      <c r="BN139" s="8">
        <f>Helpers!BN14</f>
        <v>0</v>
      </c>
      <c r="BO139" s="8">
        <f>Helpers!BO14</f>
        <v>0</v>
      </c>
      <c r="BP139" s="8">
        <f>Helpers!BP14</f>
        <v>0</v>
      </c>
      <c r="BQ139" s="8">
        <f>Helpers!BQ14</f>
        <v>0</v>
      </c>
      <c r="BR139" s="8">
        <f>Helpers!BR14</f>
        <v>0</v>
      </c>
      <c r="BS139" s="8">
        <f>Helpers!BS14</f>
        <v>0</v>
      </c>
      <c r="BT139" s="8">
        <f>Helpers!BT14</f>
        <v>0</v>
      </c>
      <c r="BU139" s="8">
        <f>Helpers!BU14</f>
        <v>0</v>
      </c>
      <c r="BV139" s="8">
        <f>Helpers!BV14</f>
        <v>0</v>
      </c>
      <c r="BW139" s="8">
        <f>Helpers!BW14</f>
        <v>0</v>
      </c>
      <c r="BX139" s="8">
        <f>Helpers!BX14</f>
        <v>0</v>
      </c>
      <c r="BY139" s="8">
        <f>Helpers!BY14</f>
        <v>0</v>
      </c>
      <c r="BZ139" s="8">
        <f>Helpers!BZ14</f>
        <v>0</v>
      </c>
      <c r="CA139" s="8">
        <f>Helpers!CA14</f>
        <v>0</v>
      </c>
      <c r="CB139" s="8">
        <f>Helpers!CB14</f>
        <v>0</v>
      </c>
      <c r="CC139" s="8">
        <f>Helpers!CC14</f>
        <v>0</v>
      </c>
      <c r="CD139" s="8">
        <f>Helpers!CD14</f>
        <v>0</v>
      </c>
      <c r="CE139" s="8">
        <f>Helpers!CE14</f>
        <v>0</v>
      </c>
      <c r="CF139" s="8">
        <f>Helpers!CF14</f>
        <v>0</v>
      </c>
      <c r="CG139" s="8">
        <f>Helpers!CG14</f>
        <v>0</v>
      </c>
      <c r="CH139" s="8">
        <f>Helpers!CH14</f>
        <v>0</v>
      </c>
      <c r="CI139" s="23"/>
      <c r="CJ139" s="54"/>
      <c r="CK139" s="54"/>
    </row>
    <row r="140" spans="1:89" ht="15" customHeight="1" x14ac:dyDescent="0.25">
      <c r="A140" s="7" t="s">
        <v>123</v>
      </c>
      <c r="B140" s="22"/>
      <c r="C140" s="8">
        <f>Helpers!C15</f>
        <v>0</v>
      </c>
      <c r="D140" s="8">
        <f>Helpers!D15</f>
        <v>0</v>
      </c>
      <c r="E140" s="8">
        <f>Helpers!E15</f>
        <v>0</v>
      </c>
      <c r="F140" s="8">
        <f>Helpers!F15</f>
        <v>0</v>
      </c>
      <c r="G140" s="8">
        <f>Helpers!G15</f>
        <v>0</v>
      </c>
      <c r="H140" s="8">
        <f>Helpers!H15</f>
        <v>0</v>
      </c>
      <c r="I140" s="8">
        <f>Helpers!I15</f>
        <v>0</v>
      </c>
      <c r="J140" s="8">
        <f>Helpers!J15</f>
        <v>0</v>
      </c>
      <c r="K140" s="8">
        <f>Helpers!K15</f>
        <v>0</v>
      </c>
      <c r="L140" s="8">
        <f>Helpers!L15</f>
        <v>0</v>
      </c>
      <c r="M140" s="8">
        <f>Helpers!M15</f>
        <v>0</v>
      </c>
      <c r="N140" s="8">
        <f>Helpers!N15</f>
        <v>0</v>
      </c>
      <c r="O140" s="8">
        <f>Helpers!O15</f>
        <v>0</v>
      </c>
      <c r="P140" s="8">
        <f>Helpers!P15</f>
        <v>0</v>
      </c>
      <c r="Q140" s="8">
        <f>Helpers!Q15</f>
        <v>0</v>
      </c>
      <c r="R140" s="8">
        <f>Helpers!R15</f>
        <v>0</v>
      </c>
      <c r="S140" s="8">
        <f>Helpers!S15</f>
        <v>0</v>
      </c>
      <c r="T140" s="8">
        <f>Helpers!T15</f>
        <v>0</v>
      </c>
      <c r="U140" s="8">
        <f>Helpers!U15</f>
        <v>0</v>
      </c>
      <c r="V140" s="8">
        <f>Helpers!V15</f>
        <v>0</v>
      </c>
      <c r="W140" s="8">
        <f>Helpers!W15</f>
        <v>0</v>
      </c>
      <c r="X140" s="8">
        <f>Helpers!X15</f>
        <v>0</v>
      </c>
      <c r="Y140" s="8">
        <f>Helpers!Y15</f>
        <v>0</v>
      </c>
      <c r="Z140" s="8">
        <f>Helpers!Z15</f>
        <v>0</v>
      </c>
      <c r="AA140" s="8">
        <f>Helpers!AA15</f>
        <v>0</v>
      </c>
      <c r="AB140" s="8">
        <f>Helpers!AB15</f>
        <v>0</v>
      </c>
      <c r="AC140" s="8">
        <f>Helpers!AC15</f>
        <v>40688781.070167996</v>
      </c>
      <c r="AD140" s="8">
        <f>Helpers!AD15</f>
        <v>39922975.994791999</v>
      </c>
      <c r="AE140" s="8">
        <f>Helpers!AE15</f>
        <v>39050930.869807996</v>
      </c>
      <c r="AF140" s="8">
        <f>Helpers!AF15</f>
        <v>38067807.203272</v>
      </c>
      <c r="AG140" s="8">
        <f>Helpers!AG15</f>
        <v>36970462.043151997</v>
      </c>
      <c r="AH140" s="8">
        <f>Helpers!AH15</f>
        <v>35757820.169015996</v>
      </c>
      <c r="AI140" s="8">
        <f>Helpers!AI15</f>
        <v>34431080.865192004</v>
      </c>
      <c r="AJ140" s="8">
        <f>Helpers!AJ15</f>
        <v>32993924.693928</v>
      </c>
      <c r="AK140" s="8">
        <f>Helpers!AK15</f>
        <v>31452678.91392</v>
      </c>
      <c r="AL140" s="8">
        <f>Helpers!AL15</f>
        <v>29816193.416415997</v>
      </c>
      <c r="AM140" s="8">
        <f>Helpers!AM15</f>
        <v>28095882.079848003</v>
      </c>
      <c r="AN140" s="8">
        <f>Helpers!AN15</f>
        <v>26305433.287408002</v>
      </c>
      <c r="AO140" s="8">
        <f>Helpers!AO15</f>
        <v>24460479.089992002</v>
      </c>
      <c r="AP140" s="8">
        <f>Helpers!AP15</f>
        <v>22578305.723776001</v>
      </c>
      <c r="AQ140" s="8">
        <f>Helpers!AQ15</f>
        <v>20677233.290736001</v>
      </c>
      <c r="AR140" s="8">
        <f>Helpers!AR15</f>
        <v>18776160.857696004</v>
      </c>
      <c r="AS140" s="8">
        <f>Helpers!AS15</f>
        <v>16893987.491480004</v>
      </c>
      <c r="AT140" s="8">
        <f>Helpers!AT15</f>
        <v>15049033.294064002</v>
      </c>
      <c r="AU140" s="8">
        <f>Helpers!AU15</f>
        <v>13258584.501624003</v>
      </c>
      <c r="AV140" s="8">
        <f>Helpers!AV15</f>
        <v>11538273.165056005</v>
      </c>
      <c r="AW140" s="8">
        <f>Helpers!AW15</f>
        <v>9901787.6675520036</v>
      </c>
      <c r="AX140" s="8">
        <f>Helpers!AX15</f>
        <v>8360541.8875440042</v>
      </c>
      <c r="AY140" s="8">
        <f>Helpers!AY15</f>
        <v>6923385.716280004</v>
      </c>
      <c r="AZ140" s="8">
        <f>Helpers!AZ15</f>
        <v>5596646.4124560058</v>
      </c>
      <c r="BA140" s="8">
        <f>Helpers!BA15</f>
        <v>4384004.5383200068</v>
      </c>
      <c r="BB140" s="8">
        <f>Helpers!BB15</f>
        <v>3286659.3782000076</v>
      </c>
      <c r="BC140" s="8">
        <f>Helpers!BC15</f>
        <v>2303535.7116640056</v>
      </c>
      <c r="BD140" s="8">
        <f>Helpers!BD15</f>
        <v>1431490.5866800072</v>
      </c>
      <c r="BE140" s="8">
        <f>Helpers!BE15</f>
        <v>665685.51130400575</v>
      </c>
      <c r="BF140" s="8">
        <f>Helpers!BF15</f>
        <v>-165.41852799557415</v>
      </c>
      <c r="BG140" s="8">
        <f>Helpers!BG15</f>
        <v>0</v>
      </c>
      <c r="BH140" s="8">
        <f>Helpers!BH15</f>
        <v>0</v>
      </c>
      <c r="BI140" s="8">
        <f>Helpers!BI15</f>
        <v>0</v>
      </c>
      <c r="BJ140" s="8">
        <f>Helpers!BJ15</f>
        <v>0</v>
      </c>
      <c r="BK140" s="8">
        <f>Helpers!BK15</f>
        <v>0</v>
      </c>
      <c r="BL140" s="8">
        <f>Helpers!BL15</f>
        <v>0</v>
      </c>
      <c r="BM140" s="8">
        <f>Helpers!BM15</f>
        <v>0</v>
      </c>
      <c r="BN140" s="8">
        <f>Helpers!BN15</f>
        <v>0</v>
      </c>
      <c r="BO140" s="8">
        <f>Helpers!BO15</f>
        <v>0</v>
      </c>
      <c r="BP140" s="8">
        <f>Helpers!BP15</f>
        <v>0</v>
      </c>
      <c r="BQ140" s="8">
        <f>Helpers!BQ15</f>
        <v>0</v>
      </c>
      <c r="BR140" s="8">
        <f>Helpers!BR15</f>
        <v>0</v>
      </c>
      <c r="BS140" s="8">
        <f>Helpers!BS15</f>
        <v>0</v>
      </c>
      <c r="BT140" s="8">
        <f>Helpers!BT15</f>
        <v>0</v>
      </c>
      <c r="BU140" s="8">
        <f>Helpers!BU15</f>
        <v>0</v>
      </c>
      <c r="BV140" s="8">
        <f>Helpers!BV15</f>
        <v>0</v>
      </c>
      <c r="BW140" s="8">
        <f>Helpers!BW15</f>
        <v>0</v>
      </c>
      <c r="BX140" s="8">
        <f>Helpers!BX15</f>
        <v>0</v>
      </c>
      <c r="BY140" s="8">
        <f>Helpers!BY15</f>
        <v>0</v>
      </c>
      <c r="BZ140" s="8">
        <f>Helpers!BZ15</f>
        <v>0</v>
      </c>
      <c r="CA140" s="8">
        <f>Helpers!CA15</f>
        <v>0</v>
      </c>
      <c r="CB140" s="8">
        <f>Helpers!CB15</f>
        <v>0</v>
      </c>
      <c r="CC140" s="8">
        <f>Helpers!CC15</f>
        <v>0</v>
      </c>
      <c r="CD140" s="8">
        <f>Helpers!CD15</f>
        <v>0</v>
      </c>
      <c r="CE140" s="8">
        <f>Helpers!CE15</f>
        <v>0</v>
      </c>
      <c r="CF140" s="8">
        <f>Helpers!CF15</f>
        <v>0</v>
      </c>
      <c r="CG140" s="8">
        <f>Helpers!CG15</f>
        <v>0</v>
      </c>
      <c r="CH140" s="8">
        <f>Helpers!CH15</f>
        <v>0</v>
      </c>
      <c r="CI140" s="23"/>
      <c r="CJ140" s="54"/>
      <c r="CK140" s="54"/>
    </row>
    <row r="141" spans="1:89" ht="15" customHeight="1" x14ac:dyDescent="0.25">
      <c r="A141" s="9" t="s">
        <v>227</v>
      </c>
      <c r="B141" s="28"/>
      <c r="C141" s="10">
        <f t="shared" ref="C141:AH141" si="68">SUM(C133:C140)</f>
        <v>24716840.3468768</v>
      </c>
      <c r="D141" s="10">
        <f t="shared" si="68"/>
        <v>22881539.176573537</v>
      </c>
      <c r="E141" s="10">
        <f t="shared" si="68"/>
        <v>20879271.912436187</v>
      </c>
      <c r="F141" s="10">
        <f t="shared" si="68"/>
        <v>60836243.104082987</v>
      </c>
      <c r="G141" s="10">
        <f t="shared" si="68"/>
        <v>57578778.6797034</v>
      </c>
      <c r="H141" s="10">
        <f t="shared" si="68"/>
        <v>54117067.973172709</v>
      </c>
      <c r="I141" s="10">
        <f t="shared" si="68"/>
        <v>79352933.496734113</v>
      </c>
      <c r="J141" s="10">
        <f t="shared" si="68"/>
        <v>95588363.965789929</v>
      </c>
      <c r="K141" s="10">
        <f t="shared" si="68"/>
        <v>90239873.755658567</v>
      </c>
      <c r="L141" s="10">
        <f t="shared" si="68"/>
        <v>84604000.439778298</v>
      </c>
      <c r="M141" s="10">
        <f t="shared" si="68"/>
        <v>78720266.974022105</v>
      </c>
      <c r="N141" s="10">
        <f t="shared" si="68"/>
        <v>72635646.38755329</v>
      </c>
      <c r="O141" s="10">
        <f t="shared" si="68"/>
        <v>110943455.0816887</v>
      </c>
      <c r="P141" s="10">
        <f t="shared" si="68"/>
        <v>103793457.32488425</v>
      </c>
      <c r="Q141" s="10">
        <f t="shared" si="68"/>
        <v>96517203.05507499</v>
      </c>
      <c r="R141" s="10">
        <f t="shared" si="68"/>
        <v>89832380.402736992</v>
      </c>
      <c r="S141" s="10">
        <f t="shared" si="68"/>
        <v>83021753.709655985</v>
      </c>
      <c r="T141" s="10">
        <f t="shared" si="68"/>
        <v>76187589.600928992</v>
      </c>
      <c r="U141" s="10">
        <f t="shared" si="68"/>
        <v>69427945.700481981</v>
      </c>
      <c r="V141" s="10">
        <f t="shared" si="68"/>
        <v>62831519.462921992</v>
      </c>
      <c r="W141" s="10">
        <f t="shared" si="68"/>
        <v>56473335.557831988</v>
      </c>
      <c r="X141" s="10">
        <f t="shared" si="68"/>
        <v>50412135.689663991</v>
      </c>
      <c r="Y141" s="10">
        <f t="shared" si="68"/>
        <v>44689514.450514987</v>
      </c>
      <c r="Z141" s="10">
        <f t="shared" si="68"/>
        <v>39330314.060103998</v>
      </c>
      <c r="AA141" s="10">
        <f t="shared" si="68"/>
        <v>34344660.929919995</v>
      </c>
      <c r="AB141" s="10">
        <f t="shared" si="68"/>
        <v>30015781.278079994</v>
      </c>
      <c r="AC141" s="10">
        <f t="shared" si="68"/>
        <v>67115910.942615986</v>
      </c>
      <c r="AD141" s="10">
        <f t="shared" si="68"/>
        <v>63678669.505812995</v>
      </c>
      <c r="AE141" s="10">
        <f t="shared" si="68"/>
        <v>60195756.503802985</v>
      </c>
      <c r="AF141" s="10">
        <f t="shared" si="68"/>
        <v>56684810.890850991</v>
      </c>
      <c r="AG141" s="10">
        <f t="shared" si="68"/>
        <v>53163021.419371992</v>
      </c>
      <c r="AH141" s="10">
        <f t="shared" si="68"/>
        <v>49646883.209601</v>
      </c>
      <c r="AI141" s="10">
        <f t="shared" ref="AI141:BN141" si="69">SUM(AI133:AI140)</f>
        <v>46152166.879777998</v>
      </c>
      <c r="AJ141" s="10">
        <f t="shared" si="69"/>
        <v>42693842.409563005</v>
      </c>
      <c r="AK141" s="10">
        <f t="shared" si="69"/>
        <v>39286070.295121007</v>
      </c>
      <c r="AL141" s="10">
        <f t="shared" si="69"/>
        <v>35942217.821294002</v>
      </c>
      <c r="AM141" s="10">
        <f t="shared" si="69"/>
        <v>32894612.367548011</v>
      </c>
      <c r="AN141" s="10">
        <f t="shared" si="69"/>
        <v>29903009.833158009</v>
      </c>
      <c r="AO141" s="10">
        <f t="shared" si="69"/>
        <v>26981928.712532006</v>
      </c>
      <c r="AP141" s="10">
        <f t="shared" si="69"/>
        <v>24145214.967326008</v>
      </c>
      <c r="AQ141" s="10">
        <f t="shared" si="69"/>
        <v>21405892.487426009</v>
      </c>
      <c r="AR141" s="10">
        <f t="shared" si="69"/>
        <v>18775979.790616009</v>
      </c>
      <c r="AS141" s="10">
        <f t="shared" si="69"/>
        <v>16893987.491480004</v>
      </c>
      <c r="AT141" s="10">
        <f t="shared" si="69"/>
        <v>15049033.294064002</v>
      </c>
      <c r="AU141" s="10">
        <f t="shared" si="69"/>
        <v>13258584.501624003</v>
      </c>
      <c r="AV141" s="10">
        <f t="shared" si="69"/>
        <v>11538273.165056005</v>
      </c>
      <c r="AW141" s="10">
        <f t="shared" si="69"/>
        <v>9901787.6675520036</v>
      </c>
      <c r="AX141" s="10">
        <f t="shared" si="69"/>
        <v>8360541.8875440042</v>
      </c>
      <c r="AY141" s="10">
        <f t="shared" si="69"/>
        <v>6923385.716280004</v>
      </c>
      <c r="AZ141" s="10">
        <f t="shared" si="69"/>
        <v>5596646.4124560058</v>
      </c>
      <c r="BA141" s="10">
        <f t="shared" si="69"/>
        <v>4384004.5383200068</v>
      </c>
      <c r="BB141" s="10">
        <f t="shared" si="69"/>
        <v>3286659.3782000076</v>
      </c>
      <c r="BC141" s="10">
        <f t="shared" si="69"/>
        <v>2303535.7116640056</v>
      </c>
      <c r="BD141" s="10">
        <f t="shared" si="69"/>
        <v>1431490.5866800072</v>
      </c>
      <c r="BE141" s="10">
        <f t="shared" si="69"/>
        <v>665685.51130400575</v>
      </c>
      <c r="BF141" s="10">
        <f t="shared" si="69"/>
        <v>-165.41852799557415</v>
      </c>
      <c r="BG141" s="10">
        <f t="shared" si="69"/>
        <v>0</v>
      </c>
      <c r="BH141" s="10">
        <f t="shared" si="69"/>
        <v>0</v>
      </c>
      <c r="BI141" s="10">
        <f t="shared" si="69"/>
        <v>0</v>
      </c>
      <c r="BJ141" s="10">
        <f t="shared" si="69"/>
        <v>0</v>
      </c>
      <c r="BK141" s="10">
        <f t="shared" si="69"/>
        <v>0</v>
      </c>
      <c r="BL141" s="10">
        <f t="shared" si="69"/>
        <v>0</v>
      </c>
      <c r="BM141" s="10">
        <f t="shared" si="69"/>
        <v>0</v>
      </c>
      <c r="BN141" s="10">
        <f t="shared" si="69"/>
        <v>0</v>
      </c>
      <c r="BO141" s="10">
        <f t="shared" ref="BO141:CT141" si="70">SUM(BO133:BO140)</f>
        <v>0</v>
      </c>
      <c r="BP141" s="10">
        <f t="shared" si="70"/>
        <v>0</v>
      </c>
      <c r="BQ141" s="10">
        <f t="shared" si="70"/>
        <v>0</v>
      </c>
      <c r="BR141" s="10">
        <f t="shared" si="70"/>
        <v>0</v>
      </c>
      <c r="BS141" s="10">
        <f t="shared" si="70"/>
        <v>0</v>
      </c>
      <c r="BT141" s="10">
        <f t="shared" si="70"/>
        <v>0</v>
      </c>
      <c r="BU141" s="10">
        <f t="shared" si="70"/>
        <v>0</v>
      </c>
      <c r="BV141" s="10">
        <f t="shared" si="70"/>
        <v>0</v>
      </c>
      <c r="BW141" s="10">
        <f t="shared" si="70"/>
        <v>0</v>
      </c>
      <c r="BX141" s="10">
        <f t="shared" si="70"/>
        <v>0</v>
      </c>
      <c r="BY141" s="10">
        <f t="shared" si="70"/>
        <v>0</v>
      </c>
      <c r="BZ141" s="10">
        <f t="shared" si="70"/>
        <v>0</v>
      </c>
      <c r="CA141" s="10">
        <f t="shared" si="70"/>
        <v>0</v>
      </c>
      <c r="CB141" s="10">
        <f t="shared" si="70"/>
        <v>0</v>
      </c>
      <c r="CC141" s="10">
        <f t="shared" si="70"/>
        <v>0</v>
      </c>
      <c r="CD141" s="10">
        <f t="shared" si="70"/>
        <v>0</v>
      </c>
      <c r="CE141" s="10">
        <f t="shared" si="70"/>
        <v>0</v>
      </c>
      <c r="CF141" s="10">
        <f t="shared" si="70"/>
        <v>0</v>
      </c>
      <c r="CG141" s="10">
        <f t="shared" si="70"/>
        <v>0</v>
      </c>
      <c r="CH141" s="10">
        <f t="shared" si="70"/>
        <v>0</v>
      </c>
      <c r="CI141" s="23"/>
      <c r="CJ141" s="54"/>
      <c r="CK141" s="54"/>
    </row>
    <row r="142" spans="1:89" ht="15" customHeight="1" x14ac:dyDescent="0.25">
      <c r="A142" s="22"/>
      <c r="B142" s="22"/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  <c r="AC142" s="22"/>
      <c r="AD142" s="22"/>
      <c r="AE142" s="22"/>
      <c r="AF142" s="22"/>
      <c r="AG142" s="22"/>
      <c r="AH142" s="22"/>
      <c r="AI142" s="22"/>
      <c r="AJ142" s="22"/>
      <c r="AK142" s="22"/>
      <c r="AL142" s="22"/>
      <c r="AM142" s="22"/>
      <c r="AN142" s="22"/>
      <c r="AO142" s="22"/>
      <c r="AP142" s="22"/>
      <c r="AQ142" s="22"/>
      <c r="AR142" s="22"/>
      <c r="AS142" s="22"/>
      <c r="AT142" s="22"/>
      <c r="AU142" s="22"/>
      <c r="AV142" s="22"/>
      <c r="AW142" s="22"/>
      <c r="AX142" s="22"/>
      <c r="AY142" s="22"/>
      <c r="AZ142" s="22"/>
      <c r="BA142" s="22"/>
      <c r="BB142" s="22"/>
      <c r="BC142" s="22"/>
      <c r="BD142" s="22"/>
      <c r="BE142" s="22"/>
      <c r="BF142" s="22"/>
      <c r="BG142" s="22"/>
      <c r="BH142" s="22"/>
      <c r="BI142" s="22"/>
      <c r="BJ142" s="22"/>
      <c r="BK142" s="22"/>
      <c r="BL142" s="22"/>
      <c r="BM142" s="22"/>
      <c r="BN142" s="22"/>
      <c r="BO142" s="22"/>
      <c r="BP142" s="22"/>
      <c r="BQ142" s="22"/>
      <c r="BR142" s="22"/>
      <c r="BS142" s="22"/>
      <c r="BT142" s="22"/>
      <c r="BU142" s="22"/>
      <c r="BV142" s="22"/>
      <c r="BW142" s="22"/>
      <c r="BX142" s="22"/>
      <c r="BY142" s="22"/>
      <c r="BZ142" s="22"/>
      <c r="CA142" s="22"/>
      <c r="CB142" s="22"/>
      <c r="CC142" s="22"/>
      <c r="CD142" s="22"/>
      <c r="CE142" s="22"/>
      <c r="CF142" s="22"/>
      <c r="CG142" s="22"/>
      <c r="CH142" s="22"/>
      <c r="CI142" s="23"/>
      <c r="CJ142" s="54"/>
      <c r="CK142" s="54"/>
    </row>
    <row r="143" spans="1:89" ht="15" customHeight="1" x14ac:dyDescent="0.25">
      <c r="A143" s="26" t="s">
        <v>228</v>
      </c>
      <c r="B143" s="26"/>
      <c r="C143" s="26"/>
      <c r="D143" s="26"/>
      <c r="E143" s="26"/>
      <c r="F143" s="26"/>
      <c r="G143" s="26"/>
      <c r="H143" s="26"/>
      <c r="I143" s="26"/>
      <c r="J143" s="26"/>
      <c r="K143" s="26"/>
      <c r="L143" s="26"/>
      <c r="M143" s="26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Z143" s="26"/>
      <c r="AA143" s="26"/>
      <c r="AB143" s="26"/>
      <c r="AC143" s="26"/>
      <c r="AD143" s="26"/>
      <c r="AE143" s="26"/>
      <c r="AF143" s="26"/>
      <c r="AG143" s="26"/>
      <c r="AH143" s="26"/>
      <c r="AI143" s="26"/>
      <c r="AJ143" s="26"/>
      <c r="AK143" s="26"/>
      <c r="AL143" s="26"/>
      <c r="AM143" s="26"/>
      <c r="AN143" s="26"/>
      <c r="AO143" s="26"/>
      <c r="AP143" s="26"/>
      <c r="AQ143" s="26"/>
      <c r="AR143" s="26"/>
      <c r="AS143" s="26"/>
      <c r="AT143" s="26"/>
      <c r="AU143" s="26"/>
      <c r="AV143" s="26"/>
      <c r="AW143" s="26"/>
      <c r="AX143" s="26"/>
      <c r="AY143" s="26"/>
      <c r="AZ143" s="26"/>
      <c r="BA143" s="26"/>
      <c r="BB143" s="26"/>
      <c r="BC143" s="26"/>
      <c r="BD143" s="26"/>
      <c r="BE143" s="26"/>
      <c r="BF143" s="26"/>
      <c r="BG143" s="26"/>
      <c r="BH143" s="26"/>
      <c r="BI143" s="26"/>
      <c r="BJ143" s="26"/>
      <c r="BK143" s="26"/>
      <c r="BL143" s="26"/>
      <c r="BM143" s="26"/>
      <c r="BN143" s="26"/>
      <c r="BO143" s="26"/>
      <c r="BP143" s="26"/>
      <c r="BQ143" s="26"/>
      <c r="BR143" s="26"/>
      <c r="BS143" s="26"/>
      <c r="BT143" s="26"/>
      <c r="BU143" s="26"/>
      <c r="BV143" s="26"/>
      <c r="BW143" s="26"/>
      <c r="BX143" s="26"/>
      <c r="BY143" s="26"/>
      <c r="BZ143" s="26"/>
      <c r="CA143" s="26"/>
      <c r="CB143" s="26"/>
      <c r="CC143" s="26"/>
      <c r="CD143" s="26"/>
      <c r="CE143" s="26"/>
      <c r="CF143" s="26"/>
      <c r="CG143" s="26"/>
      <c r="CH143" s="26"/>
      <c r="CI143" s="23"/>
      <c r="CJ143" s="54"/>
      <c r="CK143" s="54"/>
    </row>
    <row r="144" spans="1:89" ht="8.25" customHeight="1" x14ac:dyDescent="0.25">
      <c r="A144" s="55"/>
      <c r="B144" s="55"/>
      <c r="C144" s="55"/>
      <c r="D144" s="55"/>
      <c r="E144" s="55"/>
      <c r="F144" s="55"/>
      <c r="G144" s="55"/>
      <c r="H144" s="55"/>
      <c r="I144" s="55"/>
      <c r="J144" s="55"/>
      <c r="K144" s="55"/>
      <c r="L144" s="55"/>
      <c r="M144" s="55"/>
      <c r="N144" s="55"/>
      <c r="O144" s="55"/>
      <c r="P144" s="55"/>
      <c r="Q144" s="55"/>
      <c r="R144" s="55"/>
      <c r="S144" s="55"/>
      <c r="T144" s="55"/>
      <c r="U144" s="55"/>
      <c r="V144" s="55"/>
      <c r="W144" s="55"/>
      <c r="X144" s="55"/>
      <c r="Y144" s="55"/>
      <c r="Z144" s="55"/>
      <c r="AA144" s="55"/>
      <c r="AB144" s="55"/>
      <c r="AC144" s="55"/>
      <c r="AD144" s="55"/>
      <c r="AE144" s="55"/>
      <c r="AF144" s="55"/>
      <c r="AG144" s="55"/>
      <c r="AH144" s="55"/>
      <c r="AI144" s="55"/>
      <c r="AJ144" s="55"/>
      <c r="AK144" s="55"/>
      <c r="AL144" s="55"/>
      <c r="AM144" s="55"/>
      <c r="AN144" s="55"/>
      <c r="AO144" s="55"/>
      <c r="AP144" s="55"/>
      <c r="AQ144" s="55"/>
      <c r="AR144" s="55"/>
      <c r="AS144" s="55"/>
      <c r="AT144" s="55"/>
      <c r="AU144" s="55"/>
      <c r="AV144" s="55"/>
      <c r="AW144" s="55"/>
      <c r="AX144" s="55"/>
      <c r="AY144" s="55"/>
      <c r="AZ144" s="55"/>
      <c r="BA144" s="55"/>
      <c r="BB144" s="55"/>
      <c r="BC144" s="55"/>
      <c r="BD144" s="55"/>
      <c r="BE144" s="55"/>
      <c r="BF144" s="55"/>
      <c r="BG144" s="55"/>
      <c r="BH144" s="55"/>
      <c r="BI144" s="55"/>
      <c r="BJ144" s="55"/>
      <c r="BK144" s="55"/>
      <c r="BL144" s="55"/>
      <c r="BM144" s="55"/>
      <c r="BN144" s="55"/>
      <c r="BO144" s="55"/>
      <c r="BP144" s="55"/>
      <c r="BQ144" s="55"/>
      <c r="BR144" s="55"/>
      <c r="BS144" s="55"/>
      <c r="BT144" s="55"/>
      <c r="BU144" s="55"/>
      <c r="BV144" s="55"/>
      <c r="BW144" s="55"/>
      <c r="BX144" s="55"/>
      <c r="BY144" s="55"/>
      <c r="BZ144" s="55"/>
      <c r="CA144" s="55"/>
      <c r="CB144" s="55"/>
      <c r="CC144" s="55"/>
      <c r="CD144" s="55"/>
      <c r="CE144" s="55"/>
      <c r="CF144" s="55"/>
      <c r="CG144" s="55"/>
      <c r="CH144" s="55"/>
      <c r="CI144" s="35"/>
      <c r="CJ144" s="56"/>
      <c r="CK144" s="56"/>
    </row>
    <row r="145" spans="1:89" ht="15" customHeight="1" x14ac:dyDescent="0.25">
      <c r="A145" s="6" t="s">
        <v>229</v>
      </c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6"/>
      <c r="AN145" s="6"/>
      <c r="AO145" s="6"/>
      <c r="AP145" s="6"/>
      <c r="AQ145" s="6"/>
      <c r="AR145" s="6"/>
      <c r="AS145" s="6"/>
      <c r="AT145" s="6"/>
      <c r="AU145" s="6"/>
      <c r="AV145" s="6"/>
      <c r="AW145" s="6"/>
      <c r="AX145" s="6"/>
      <c r="AY145" s="6"/>
      <c r="AZ145" s="6"/>
      <c r="BA145" s="6"/>
      <c r="BB145" s="6"/>
      <c r="BC145" s="6"/>
      <c r="BD145" s="6"/>
      <c r="BE145" s="6"/>
      <c r="BF145" s="6"/>
      <c r="BG145" s="6"/>
      <c r="BH145" s="6"/>
      <c r="BI145" s="6"/>
      <c r="BJ145" s="6"/>
      <c r="BK145" s="6"/>
      <c r="BL145" s="6"/>
      <c r="BM145" s="6"/>
      <c r="BN145" s="6"/>
      <c r="BO145" s="6"/>
      <c r="BP145" s="6"/>
      <c r="BQ145" s="6"/>
      <c r="BR145" s="6"/>
      <c r="BS145" s="6"/>
      <c r="BT145" s="6"/>
      <c r="BU145" s="6"/>
      <c r="BV145" s="6"/>
      <c r="BW145" s="6"/>
      <c r="BX145" s="6"/>
      <c r="BY145" s="6"/>
      <c r="BZ145" s="6"/>
      <c r="CA145" s="6"/>
      <c r="CB145" s="6"/>
      <c r="CC145" s="6"/>
      <c r="CD145" s="6"/>
      <c r="CE145" s="6"/>
      <c r="CF145" s="6"/>
      <c r="CG145" s="6"/>
      <c r="CH145" s="6"/>
      <c r="CI145" s="23"/>
      <c r="CJ145" s="54"/>
      <c r="CK145" s="54"/>
    </row>
    <row r="146" spans="1:89" ht="15" customHeight="1" x14ac:dyDescent="0.25">
      <c r="A146" s="7" t="s">
        <v>230</v>
      </c>
      <c r="B146" s="22"/>
      <c r="C146" s="8">
        <f>Assumptions!$B$29</f>
        <v>1651915.69</v>
      </c>
      <c r="D146" s="8">
        <f t="shared" ref="D146:AI146" si="71">C148</f>
        <v>1749308.7988499179</v>
      </c>
      <c r="E146" s="8">
        <f t="shared" si="71"/>
        <v>1813398.1601240372</v>
      </c>
      <c r="F146" s="8">
        <f t="shared" si="71"/>
        <v>1848840.4651365187</v>
      </c>
      <c r="G146" s="8">
        <f t="shared" si="71"/>
        <v>2343144.3399734823</v>
      </c>
      <c r="H146" s="8">
        <f t="shared" si="71"/>
        <v>2518267.2361201067</v>
      </c>
      <c r="I146" s="8">
        <f t="shared" si="71"/>
        <v>2697676.2390359561</v>
      </c>
      <c r="J146" s="8">
        <f t="shared" si="71"/>
        <v>3207453.9753227304</v>
      </c>
      <c r="K146" s="8">
        <f t="shared" si="71"/>
        <v>3768542.6294574449</v>
      </c>
      <c r="L146" s="8">
        <f t="shared" si="71"/>
        <v>4096917.6248878459</v>
      </c>
      <c r="M146" s="8">
        <f t="shared" si="71"/>
        <v>4433966.9100113129</v>
      </c>
      <c r="N146" s="8">
        <f t="shared" si="71"/>
        <v>4777076.6065286538</v>
      </c>
      <c r="O146" s="8">
        <f t="shared" si="71"/>
        <v>5123497.3070315951</v>
      </c>
      <c r="P146" s="8">
        <f t="shared" si="71"/>
        <v>4804300.1372170215</v>
      </c>
      <c r="Q146" s="8">
        <f t="shared" si="71"/>
        <v>5279647.8447363097</v>
      </c>
      <c r="R146" s="8">
        <f t="shared" si="71"/>
        <v>5904220.1733894134</v>
      </c>
      <c r="S146" s="8">
        <f t="shared" si="71"/>
        <v>6339525.6588719087</v>
      </c>
      <c r="T146" s="8">
        <f t="shared" si="71"/>
        <v>6587370.0531763574</v>
      </c>
      <c r="U146" s="8">
        <f t="shared" si="71"/>
        <v>6835176.7676123455</v>
      </c>
      <c r="V146" s="8">
        <f t="shared" si="71"/>
        <v>7099561.8434497779</v>
      </c>
      <c r="W146" s="8">
        <f t="shared" si="71"/>
        <v>7318627.4677600488</v>
      </c>
      <c r="X146" s="8">
        <f t="shared" si="71"/>
        <v>7526670.5166232493</v>
      </c>
      <c r="Y146" s="8">
        <f t="shared" si="71"/>
        <v>7720973.2326093772</v>
      </c>
      <c r="Z146" s="8">
        <f t="shared" si="71"/>
        <v>7899611.1905970611</v>
      </c>
      <c r="AA146" s="8">
        <f t="shared" si="71"/>
        <v>8061435.0346415089</v>
      </c>
      <c r="AB146" s="8">
        <f t="shared" si="71"/>
        <v>8282732.7525724676</v>
      </c>
      <c r="AC146" s="8">
        <f t="shared" si="71"/>
        <v>8351985.3566514719</v>
      </c>
      <c r="AD146" s="8">
        <f t="shared" si="71"/>
        <v>7779127.3233765</v>
      </c>
      <c r="AE146" s="8">
        <f t="shared" si="71"/>
        <v>7892163.7663160758</v>
      </c>
      <c r="AF146" s="8">
        <f t="shared" si="71"/>
        <v>8007313.2605679883</v>
      </c>
      <c r="AG146" s="8">
        <f t="shared" si="71"/>
        <v>8123759.7181508215</v>
      </c>
      <c r="AH146" s="8">
        <f t="shared" si="71"/>
        <v>8361522.6813635565</v>
      </c>
      <c r="AI146" s="8">
        <f t="shared" si="71"/>
        <v>8423555.0660448875</v>
      </c>
      <c r="AJ146" s="8">
        <f t="shared" ref="AJ146:BO146" si="72">AI148</f>
        <v>8728735.2501117419</v>
      </c>
      <c r="AK146" s="8">
        <f t="shared" si="72"/>
        <v>8699737.777037641</v>
      </c>
      <c r="AL146" s="8">
        <f t="shared" si="72"/>
        <v>8668401.4368539136</v>
      </c>
      <c r="AM146" s="8">
        <f t="shared" si="72"/>
        <v>8724135.5199534204</v>
      </c>
      <c r="AN146" s="8">
        <f t="shared" si="72"/>
        <v>8642881.1742642764</v>
      </c>
      <c r="AO146" s="8">
        <f t="shared" si="72"/>
        <v>8559032.8520843722</v>
      </c>
      <c r="AP146" s="8">
        <f t="shared" si="72"/>
        <v>8471921.7696897388</v>
      </c>
      <c r="AQ146" s="8">
        <f t="shared" si="72"/>
        <v>8380907.3265816793</v>
      </c>
      <c r="AR146" s="8">
        <f t="shared" si="72"/>
        <v>8285386.9564261837</v>
      </c>
      <c r="AS146" s="8">
        <f t="shared" si="72"/>
        <v>8442002.1644881144</v>
      </c>
      <c r="AT146" s="8">
        <f t="shared" si="72"/>
        <v>8213743.7125036241</v>
      </c>
      <c r="AU146" s="8">
        <f t="shared" si="72"/>
        <v>7983763.2697548475</v>
      </c>
      <c r="AV146" s="8">
        <f t="shared" si="72"/>
        <v>7751261.0671979282</v>
      </c>
      <c r="AW146" s="8">
        <f t="shared" si="72"/>
        <v>7515513.8687118664</v>
      </c>
      <c r="AX146" s="8">
        <f t="shared" si="72"/>
        <v>7275888.3643600186</v>
      </c>
      <c r="AY146" s="8">
        <f t="shared" si="72"/>
        <v>7031856.4769746708</v>
      </c>
      <c r="AZ146" s="8">
        <f t="shared" si="72"/>
        <v>6782319.3236008016</v>
      </c>
      <c r="BA146" s="8">
        <f t="shared" si="72"/>
        <v>6527673.5976262176</v>
      </c>
      <c r="BB146" s="8">
        <f t="shared" si="72"/>
        <v>6267749.0132975625</v>
      </c>
      <c r="BC146" s="8">
        <f t="shared" si="72"/>
        <v>6002490.0842457647</v>
      </c>
      <c r="BD146" s="8">
        <f t="shared" si="72"/>
        <v>5731946.5568706812</v>
      </c>
      <c r="BE146" s="8">
        <f t="shared" si="72"/>
        <v>5456263.8437257409</v>
      </c>
      <c r="BF146" s="8">
        <f t="shared" si="72"/>
        <v>5175665.8036103006</v>
      </c>
      <c r="BG146" s="8">
        <f t="shared" si="72"/>
        <v>5125412.7616312169</v>
      </c>
      <c r="BH146" s="8">
        <f t="shared" si="72"/>
        <v>4724347.2239266811</v>
      </c>
      <c r="BI146" s="8">
        <f t="shared" si="72"/>
        <v>4323281.6862221453</v>
      </c>
      <c r="BJ146" s="8">
        <f t="shared" si="72"/>
        <v>3922216.1485176096</v>
      </c>
      <c r="BK146" s="8">
        <f t="shared" si="72"/>
        <v>3521150.6108130738</v>
      </c>
      <c r="BL146" s="8">
        <f t="shared" si="72"/>
        <v>3119381.8526544468</v>
      </c>
      <c r="BM146" s="8">
        <f t="shared" si="72"/>
        <v>2717613.0944958199</v>
      </c>
      <c r="BN146" s="8">
        <f t="shared" si="72"/>
        <v>2315844.3363371929</v>
      </c>
      <c r="BO146" s="8">
        <f t="shared" si="72"/>
        <v>1914075.5781785662</v>
      </c>
      <c r="BP146" s="8">
        <f t="shared" ref="BP146:CH146" si="73">BO148</f>
        <v>1512306.8200199394</v>
      </c>
      <c r="BQ146" s="8">
        <f t="shared" si="73"/>
        <v>1110538.0618613127</v>
      </c>
      <c r="BR146" s="8">
        <f t="shared" si="73"/>
        <v>708769.30370268598</v>
      </c>
      <c r="BS146" s="8">
        <f t="shared" si="73"/>
        <v>307000.54554405925</v>
      </c>
      <c r="BT146" s="8">
        <f t="shared" si="73"/>
        <v>-94768.212614567485</v>
      </c>
      <c r="BU146" s="8">
        <f t="shared" si="73"/>
        <v>-496536.97077319422</v>
      </c>
      <c r="BV146" s="8">
        <f t="shared" si="73"/>
        <v>-898305.72893182095</v>
      </c>
      <c r="BW146" s="8">
        <f t="shared" si="73"/>
        <v>-1300074.4870904477</v>
      </c>
      <c r="BX146" s="8">
        <f t="shared" si="73"/>
        <v>-1702560.530112247</v>
      </c>
      <c r="BY146" s="8">
        <f t="shared" si="73"/>
        <v>-2105046.573134046</v>
      </c>
      <c r="BZ146" s="8">
        <f t="shared" si="73"/>
        <v>-2507532.6161558451</v>
      </c>
      <c r="CA146" s="8">
        <f t="shared" si="73"/>
        <v>-2910018.6591776442</v>
      </c>
      <c r="CB146" s="8">
        <f t="shared" si="73"/>
        <v>-3312504.7021994432</v>
      </c>
      <c r="CC146" s="8">
        <f t="shared" si="73"/>
        <v>-3714990.7452212423</v>
      </c>
      <c r="CD146" s="8">
        <f t="shared" si="73"/>
        <v>-4117476.7882430414</v>
      </c>
      <c r="CE146" s="8">
        <f t="shared" si="73"/>
        <v>-4519962.8312648404</v>
      </c>
      <c r="CF146" s="8">
        <f t="shared" si="73"/>
        <v>-4922448.8742866395</v>
      </c>
      <c r="CG146" s="8">
        <f t="shared" si="73"/>
        <v>-5324934.9173084386</v>
      </c>
      <c r="CH146" s="8">
        <f t="shared" si="73"/>
        <v>-5727420.9603302376</v>
      </c>
      <c r="CI146" s="23"/>
      <c r="CJ146" s="54"/>
      <c r="CK146" s="54"/>
    </row>
    <row r="147" spans="1:89" ht="15" customHeight="1" x14ac:dyDescent="0.25">
      <c r="A147" s="7" t="s">
        <v>231</v>
      </c>
      <c r="B147" s="22"/>
      <c r="C147" s="8">
        <f t="shared" ref="C147:AH147" si="74">C41</f>
        <v>97393.108849917888</v>
      </c>
      <c r="D147" s="8">
        <f t="shared" si="74"/>
        <v>64089.361274119176</v>
      </c>
      <c r="E147" s="8">
        <f t="shared" si="74"/>
        <v>35442.305012481462</v>
      </c>
      <c r="F147" s="8">
        <f t="shared" si="74"/>
        <v>494303.87483696348</v>
      </c>
      <c r="G147" s="8">
        <f t="shared" si="74"/>
        <v>175122.89614662452</v>
      </c>
      <c r="H147" s="8">
        <f t="shared" si="74"/>
        <v>179409.00291584927</v>
      </c>
      <c r="I147" s="8">
        <f t="shared" si="74"/>
        <v>509777.73628677416</v>
      </c>
      <c r="J147" s="8">
        <f t="shared" si="74"/>
        <v>561088.65413471451</v>
      </c>
      <c r="K147" s="8">
        <f t="shared" si="74"/>
        <v>328374.99543040124</v>
      </c>
      <c r="L147" s="8">
        <f t="shared" si="74"/>
        <v>337049.28512346692</v>
      </c>
      <c r="M147" s="8">
        <f t="shared" si="74"/>
        <v>343109.69651734101</v>
      </c>
      <c r="N147" s="8">
        <f t="shared" si="74"/>
        <v>346420.70050294109</v>
      </c>
      <c r="O147" s="8">
        <f t="shared" si="74"/>
        <v>-319197.16981457383</v>
      </c>
      <c r="P147" s="8">
        <f t="shared" si="74"/>
        <v>475347.70751928788</v>
      </c>
      <c r="Q147" s="8">
        <f t="shared" si="74"/>
        <v>624572.3286531039</v>
      </c>
      <c r="R147" s="8">
        <f t="shared" si="74"/>
        <v>435305.48548249545</v>
      </c>
      <c r="S147" s="8">
        <f t="shared" si="74"/>
        <v>247844.39430444833</v>
      </c>
      <c r="T147" s="8">
        <f t="shared" si="74"/>
        <v>247806.71443598805</v>
      </c>
      <c r="U147" s="8">
        <f t="shared" si="74"/>
        <v>264385.07583743281</v>
      </c>
      <c r="V147" s="8">
        <f t="shared" si="74"/>
        <v>219065.62431027059</v>
      </c>
      <c r="W147" s="8">
        <f t="shared" si="74"/>
        <v>208043.04886320065</v>
      </c>
      <c r="X147" s="8">
        <f t="shared" si="74"/>
        <v>194302.71598612767</v>
      </c>
      <c r="Y147" s="8">
        <f t="shared" si="74"/>
        <v>178637.95798768365</v>
      </c>
      <c r="Z147" s="8">
        <f t="shared" si="74"/>
        <v>161823.84404444828</v>
      </c>
      <c r="AA147" s="8">
        <f t="shared" si="74"/>
        <v>221297.71793095884</v>
      </c>
      <c r="AB147" s="8">
        <f t="shared" si="74"/>
        <v>69252.604079004319</v>
      </c>
      <c r="AC147" s="8">
        <f t="shared" si="74"/>
        <v>-572858.03327497188</v>
      </c>
      <c r="AD147" s="8">
        <f t="shared" si="74"/>
        <v>113036.44293957599</v>
      </c>
      <c r="AE147" s="8">
        <f t="shared" si="74"/>
        <v>115149.49425191287</v>
      </c>
      <c r="AF147" s="8">
        <f t="shared" si="74"/>
        <v>116446.4575828333</v>
      </c>
      <c r="AG147" s="8">
        <f t="shared" si="74"/>
        <v>237762.96321273502</v>
      </c>
      <c r="AH147" s="8">
        <f t="shared" si="74"/>
        <v>62032.384681331459</v>
      </c>
      <c r="AI147" s="8">
        <f t="shared" ref="AI147:BN147" si="75">AI41</f>
        <v>305180.18406685418</v>
      </c>
      <c r="AJ147" s="8">
        <f t="shared" si="75"/>
        <v>-28997.473074100388</v>
      </c>
      <c r="AK147" s="8">
        <f t="shared" si="75"/>
        <v>-31336.340183727792</v>
      </c>
      <c r="AL147" s="8">
        <f t="shared" si="75"/>
        <v>55734.083099506795</v>
      </c>
      <c r="AM147" s="8">
        <f t="shared" si="75"/>
        <v>-81254.345689143636</v>
      </c>
      <c r="AN147" s="8">
        <f t="shared" si="75"/>
        <v>-83848.322179903393</v>
      </c>
      <c r="AO147" s="8">
        <f t="shared" si="75"/>
        <v>-87111.08239463385</v>
      </c>
      <c r="AP147" s="8">
        <f t="shared" si="75"/>
        <v>-91014.443108059233</v>
      </c>
      <c r="AQ147" s="8">
        <f t="shared" si="75"/>
        <v>-95520.370155495882</v>
      </c>
      <c r="AR147" s="8">
        <f t="shared" si="75"/>
        <v>156615.20806193107</v>
      </c>
      <c r="AS147" s="8">
        <f t="shared" si="75"/>
        <v>-228258.4519844905</v>
      </c>
      <c r="AT147" s="8">
        <f t="shared" si="75"/>
        <v>-229980.44274877617</v>
      </c>
      <c r="AU147" s="8">
        <f t="shared" si="75"/>
        <v>-232502.20255691907</v>
      </c>
      <c r="AV147" s="8">
        <f t="shared" si="75"/>
        <v>-235747.19848606188</v>
      </c>
      <c r="AW147" s="8">
        <f t="shared" si="75"/>
        <v>-239625.50435184763</v>
      </c>
      <c r="AX147" s="8">
        <f t="shared" si="75"/>
        <v>-244031.88738534763</v>
      </c>
      <c r="AY147" s="8">
        <f t="shared" si="75"/>
        <v>-249537.15337386937</v>
      </c>
      <c r="AZ147" s="8">
        <f t="shared" si="75"/>
        <v>-254645.72597458362</v>
      </c>
      <c r="BA147" s="8">
        <f t="shared" si="75"/>
        <v>-259924.58432865504</v>
      </c>
      <c r="BB147" s="8">
        <f t="shared" si="75"/>
        <v>-265258.9290517979</v>
      </c>
      <c r="BC147" s="8">
        <f t="shared" si="75"/>
        <v>-270543.52737508365</v>
      </c>
      <c r="BD147" s="8">
        <f t="shared" si="75"/>
        <v>-275682.71314494079</v>
      </c>
      <c r="BE147" s="8">
        <f t="shared" si="75"/>
        <v>-280598.04011544073</v>
      </c>
      <c r="BF147" s="8">
        <f t="shared" si="75"/>
        <v>-50253.041979083617</v>
      </c>
      <c r="BG147" s="8">
        <f t="shared" si="75"/>
        <v>-401065.53770453599</v>
      </c>
      <c r="BH147" s="8">
        <f t="shared" si="75"/>
        <v>-401065.53770453599</v>
      </c>
      <c r="BI147" s="8">
        <f t="shared" si="75"/>
        <v>-401065.53770453599</v>
      </c>
      <c r="BJ147" s="8">
        <f t="shared" si="75"/>
        <v>-401065.53770453599</v>
      </c>
      <c r="BK147" s="8">
        <f t="shared" si="75"/>
        <v>-401768.75815862673</v>
      </c>
      <c r="BL147" s="8">
        <f t="shared" si="75"/>
        <v>-401768.75815862673</v>
      </c>
      <c r="BM147" s="8">
        <f t="shared" si="75"/>
        <v>-401768.75815862673</v>
      </c>
      <c r="BN147" s="8">
        <f t="shared" si="75"/>
        <v>-401768.75815862673</v>
      </c>
      <c r="BO147" s="8">
        <f t="shared" ref="BO147:CH147" si="76">BO41</f>
        <v>-401768.75815862673</v>
      </c>
      <c r="BP147" s="8">
        <f t="shared" si="76"/>
        <v>-401768.75815862673</v>
      </c>
      <c r="BQ147" s="8">
        <f t="shared" si="76"/>
        <v>-401768.75815862673</v>
      </c>
      <c r="BR147" s="8">
        <f t="shared" si="76"/>
        <v>-401768.75815862673</v>
      </c>
      <c r="BS147" s="8">
        <f t="shared" si="76"/>
        <v>-401768.75815862673</v>
      </c>
      <c r="BT147" s="8">
        <f t="shared" si="76"/>
        <v>-401768.75815862673</v>
      </c>
      <c r="BU147" s="8">
        <f t="shared" si="76"/>
        <v>-401768.75815862673</v>
      </c>
      <c r="BV147" s="8">
        <f t="shared" si="76"/>
        <v>-401768.75815862673</v>
      </c>
      <c r="BW147" s="8">
        <f t="shared" si="76"/>
        <v>-402486.04302179924</v>
      </c>
      <c r="BX147" s="8">
        <f t="shared" si="76"/>
        <v>-402486.04302179924</v>
      </c>
      <c r="BY147" s="8">
        <f t="shared" si="76"/>
        <v>-402486.04302179924</v>
      </c>
      <c r="BZ147" s="8">
        <f t="shared" si="76"/>
        <v>-402486.04302179924</v>
      </c>
      <c r="CA147" s="8">
        <f t="shared" si="76"/>
        <v>-402486.04302179924</v>
      </c>
      <c r="CB147" s="8">
        <f t="shared" si="76"/>
        <v>-402486.04302179924</v>
      </c>
      <c r="CC147" s="8">
        <f t="shared" si="76"/>
        <v>-402486.04302179924</v>
      </c>
      <c r="CD147" s="8">
        <f t="shared" si="76"/>
        <v>-402486.04302179924</v>
      </c>
      <c r="CE147" s="8">
        <f t="shared" si="76"/>
        <v>-402486.04302179924</v>
      </c>
      <c r="CF147" s="8">
        <f t="shared" si="76"/>
        <v>-402486.04302179924</v>
      </c>
      <c r="CG147" s="8">
        <f t="shared" si="76"/>
        <v>-402486.04302179924</v>
      </c>
      <c r="CH147" s="8">
        <f t="shared" si="76"/>
        <v>-402486.04302179924</v>
      </c>
      <c r="CI147" s="23"/>
      <c r="CJ147" s="54"/>
      <c r="CK147" s="54"/>
    </row>
    <row r="148" spans="1:89" ht="15" customHeight="1" x14ac:dyDescent="0.25">
      <c r="A148" s="57" t="s">
        <v>107</v>
      </c>
      <c r="B148" s="58"/>
      <c r="C148" s="59">
        <f t="shared" ref="C148:AH148" si="77">C146+C147</f>
        <v>1749308.7988499179</v>
      </c>
      <c r="D148" s="59">
        <f t="shared" si="77"/>
        <v>1813398.1601240372</v>
      </c>
      <c r="E148" s="59">
        <f t="shared" si="77"/>
        <v>1848840.4651365187</v>
      </c>
      <c r="F148" s="59">
        <f t="shared" si="77"/>
        <v>2343144.3399734823</v>
      </c>
      <c r="G148" s="59">
        <f t="shared" si="77"/>
        <v>2518267.2361201067</v>
      </c>
      <c r="H148" s="59">
        <f t="shared" si="77"/>
        <v>2697676.2390359561</v>
      </c>
      <c r="I148" s="59">
        <f t="shared" si="77"/>
        <v>3207453.9753227304</v>
      </c>
      <c r="J148" s="59">
        <f t="shared" si="77"/>
        <v>3768542.6294574449</v>
      </c>
      <c r="K148" s="59">
        <f t="shared" si="77"/>
        <v>4096917.6248878459</v>
      </c>
      <c r="L148" s="59">
        <f t="shared" si="77"/>
        <v>4433966.9100113129</v>
      </c>
      <c r="M148" s="59">
        <f t="shared" si="77"/>
        <v>4777076.6065286538</v>
      </c>
      <c r="N148" s="59">
        <f t="shared" si="77"/>
        <v>5123497.3070315951</v>
      </c>
      <c r="O148" s="59">
        <f t="shared" si="77"/>
        <v>4804300.1372170215</v>
      </c>
      <c r="P148" s="59">
        <f t="shared" si="77"/>
        <v>5279647.8447363097</v>
      </c>
      <c r="Q148" s="59">
        <f t="shared" si="77"/>
        <v>5904220.1733894134</v>
      </c>
      <c r="R148" s="59">
        <f t="shared" si="77"/>
        <v>6339525.6588719087</v>
      </c>
      <c r="S148" s="59">
        <f t="shared" si="77"/>
        <v>6587370.0531763574</v>
      </c>
      <c r="T148" s="59">
        <f t="shared" si="77"/>
        <v>6835176.7676123455</v>
      </c>
      <c r="U148" s="59">
        <f t="shared" si="77"/>
        <v>7099561.8434497779</v>
      </c>
      <c r="V148" s="59">
        <f t="shared" si="77"/>
        <v>7318627.4677600488</v>
      </c>
      <c r="W148" s="59">
        <f t="shared" si="77"/>
        <v>7526670.5166232493</v>
      </c>
      <c r="X148" s="59">
        <f t="shared" si="77"/>
        <v>7720973.2326093772</v>
      </c>
      <c r="Y148" s="59">
        <f t="shared" si="77"/>
        <v>7899611.1905970611</v>
      </c>
      <c r="Z148" s="59">
        <f t="shared" si="77"/>
        <v>8061435.0346415089</v>
      </c>
      <c r="AA148" s="59">
        <f t="shared" si="77"/>
        <v>8282732.7525724676</v>
      </c>
      <c r="AB148" s="59">
        <f t="shared" si="77"/>
        <v>8351985.3566514719</v>
      </c>
      <c r="AC148" s="59">
        <f t="shared" si="77"/>
        <v>7779127.3233765</v>
      </c>
      <c r="AD148" s="59">
        <f t="shared" si="77"/>
        <v>7892163.7663160758</v>
      </c>
      <c r="AE148" s="59">
        <f t="shared" si="77"/>
        <v>8007313.2605679883</v>
      </c>
      <c r="AF148" s="59">
        <f t="shared" si="77"/>
        <v>8123759.7181508215</v>
      </c>
      <c r="AG148" s="59">
        <f t="shared" si="77"/>
        <v>8361522.6813635565</v>
      </c>
      <c r="AH148" s="59">
        <f t="shared" si="77"/>
        <v>8423555.0660448875</v>
      </c>
      <c r="AI148" s="59">
        <f t="shared" ref="AI148:BN148" si="78">AI146+AI147</f>
        <v>8728735.2501117419</v>
      </c>
      <c r="AJ148" s="59">
        <f t="shared" si="78"/>
        <v>8699737.777037641</v>
      </c>
      <c r="AK148" s="59">
        <f t="shared" si="78"/>
        <v>8668401.4368539136</v>
      </c>
      <c r="AL148" s="59">
        <f t="shared" si="78"/>
        <v>8724135.5199534204</v>
      </c>
      <c r="AM148" s="59">
        <f t="shared" si="78"/>
        <v>8642881.1742642764</v>
      </c>
      <c r="AN148" s="59">
        <f t="shared" si="78"/>
        <v>8559032.8520843722</v>
      </c>
      <c r="AO148" s="59">
        <f t="shared" si="78"/>
        <v>8471921.7696897388</v>
      </c>
      <c r="AP148" s="59">
        <f t="shared" si="78"/>
        <v>8380907.3265816793</v>
      </c>
      <c r="AQ148" s="59">
        <f t="shared" si="78"/>
        <v>8285386.9564261837</v>
      </c>
      <c r="AR148" s="59">
        <f t="shared" si="78"/>
        <v>8442002.1644881144</v>
      </c>
      <c r="AS148" s="59">
        <f t="shared" si="78"/>
        <v>8213743.7125036241</v>
      </c>
      <c r="AT148" s="59">
        <f t="shared" si="78"/>
        <v>7983763.2697548475</v>
      </c>
      <c r="AU148" s="59">
        <f t="shared" si="78"/>
        <v>7751261.0671979282</v>
      </c>
      <c r="AV148" s="59">
        <f t="shared" si="78"/>
        <v>7515513.8687118664</v>
      </c>
      <c r="AW148" s="59">
        <f t="shared" si="78"/>
        <v>7275888.3643600186</v>
      </c>
      <c r="AX148" s="59">
        <f t="shared" si="78"/>
        <v>7031856.4769746708</v>
      </c>
      <c r="AY148" s="59">
        <f t="shared" si="78"/>
        <v>6782319.3236008016</v>
      </c>
      <c r="AZ148" s="59">
        <f t="shared" si="78"/>
        <v>6527673.5976262176</v>
      </c>
      <c r="BA148" s="59">
        <f t="shared" si="78"/>
        <v>6267749.0132975625</v>
      </c>
      <c r="BB148" s="59">
        <f t="shared" si="78"/>
        <v>6002490.0842457647</v>
      </c>
      <c r="BC148" s="59">
        <f t="shared" si="78"/>
        <v>5731946.5568706812</v>
      </c>
      <c r="BD148" s="59">
        <f t="shared" si="78"/>
        <v>5456263.8437257409</v>
      </c>
      <c r="BE148" s="59">
        <f t="shared" si="78"/>
        <v>5175665.8036103006</v>
      </c>
      <c r="BF148" s="59">
        <f t="shared" si="78"/>
        <v>5125412.7616312169</v>
      </c>
      <c r="BG148" s="59">
        <f t="shared" si="78"/>
        <v>4724347.2239266811</v>
      </c>
      <c r="BH148" s="59">
        <f t="shared" si="78"/>
        <v>4323281.6862221453</v>
      </c>
      <c r="BI148" s="59">
        <f t="shared" si="78"/>
        <v>3922216.1485176096</v>
      </c>
      <c r="BJ148" s="59">
        <f t="shared" si="78"/>
        <v>3521150.6108130738</v>
      </c>
      <c r="BK148" s="59">
        <f t="shared" si="78"/>
        <v>3119381.8526544468</v>
      </c>
      <c r="BL148" s="59">
        <f t="shared" si="78"/>
        <v>2717613.0944958199</v>
      </c>
      <c r="BM148" s="59">
        <f t="shared" si="78"/>
        <v>2315844.3363371929</v>
      </c>
      <c r="BN148" s="59">
        <f t="shared" si="78"/>
        <v>1914075.5781785662</v>
      </c>
      <c r="BO148" s="59">
        <f t="shared" ref="BO148:CT148" si="79">BO146+BO147</f>
        <v>1512306.8200199394</v>
      </c>
      <c r="BP148" s="59">
        <f t="shared" si="79"/>
        <v>1110538.0618613127</v>
      </c>
      <c r="BQ148" s="59">
        <f t="shared" si="79"/>
        <v>708769.30370268598</v>
      </c>
      <c r="BR148" s="59">
        <f t="shared" si="79"/>
        <v>307000.54554405925</v>
      </c>
      <c r="BS148" s="59">
        <f t="shared" si="79"/>
        <v>-94768.212614567485</v>
      </c>
      <c r="BT148" s="59">
        <f t="shared" si="79"/>
        <v>-496536.97077319422</v>
      </c>
      <c r="BU148" s="59">
        <f t="shared" si="79"/>
        <v>-898305.72893182095</v>
      </c>
      <c r="BV148" s="59">
        <f t="shared" si="79"/>
        <v>-1300074.4870904477</v>
      </c>
      <c r="BW148" s="59">
        <f t="shared" si="79"/>
        <v>-1702560.530112247</v>
      </c>
      <c r="BX148" s="59">
        <f t="shared" si="79"/>
        <v>-2105046.573134046</v>
      </c>
      <c r="BY148" s="59">
        <f t="shared" si="79"/>
        <v>-2507532.6161558451</v>
      </c>
      <c r="BZ148" s="59">
        <f t="shared" si="79"/>
        <v>-2910018.6591776442</v>
      </c>
      <c r="CA148" s="59">
        <f t="shared" si="79"/>
        <v>-3312504.7021994432</v>
      </c>
      <c r="CB148" s="59">
        <f t="shared" si="79"/>
        <v>-3714990.7452212423</v>
      </c>
      <c r="CC148" s="59">
        <f t="shared" si="79"/>
        <v>-4117476.7882430414</v>
      </c>
      <c r="CD148" s="59">
        <f t="shared" si="79"/>
        <v>-4519962.8312648404</v>
      </c>
      <c r="CE148" s="59">
        <f t="shared" si="79"/>
        <v>-4922448.8742866395</v>
      </c>
      <c r="CF148" s="59">
        <f t="shared" si="79"/>
        <v>-5324934.9173084386</v>
      </c>
      <c r="CG148" s="59">
        <f t="shared" si="79"/>
        <v>-5727420.9603302376</v>
      </c>
      <c r="CH148" s="59">
        <f t="shared" si="79"/>
        <v>-6129907.0033520367</v>
      </c>
      <c r="CI148" s="23"/>
      <c r="CJ148" s="54"/>
      <c r="CK148" s="54"/>
    </row>
    <row r="149" spans="1:89" ht="15" customHeight="1" x14ac:dyDescent="0.25">
      <c r="A149" s="22"/>
      <c r="B149" s="22"/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  <c r="AC149" s="22"/>
      <c r="AD149" s="22"/>
      <c r="AE149" s="22"/>
      <c r="AF149" s="22"/>
      <c r="AG149" s="22"/>
      <c r="AH149" s="22"/>
      <c r="AI149" s="22"/>
      <c r="AJ149" s="22"/>
      <c r="AK149" s="22"/>
      <c r="AL149" s="22"/>
      <c r="AM149" s="22"/>
      <c r="AN149" s="22"/>
      <c r="AO149" s="22"/>
      <c r="AP149" s="22"/>
      <c r="AQ149" s="22"/>
      <c r="AR149" s="22"/>
      <c r="AS149" s="22"/>
      <c r="AT149" s="22"/>
      <c r="AU149" s="22"/>
      <c r="AV149" s="22"/>
      <c r="AW149" s="22"/>
      <c r="AX149" s="22"/>
      <c r="AY149" s="22"/>
      <c r="AZ149" s="22"/>
      <c r="BA149" s="22"/>
      <c r="BB149" s="22"/>
      <c r="BC149" s="22"/>
      <c r="BD149" s="22"/>
      <c r="BE149" s="22"/>
      <c r="BF149" s="22"/>
      <c r="BG149" s="22"/>
      <c r="BH149" s="22"/>
      <c r="BI149" s="22"/>
      <c r="BJ149" s="22"/>
      <c r="BK149" s="22"/>
      <c r="BL149" s="22"/>
      <c r="BM149" s="22"/>
      <c r="BN149" s="22"/>
      <c r="BO149" s="22"/>
      <c r="BP149" s="22"/>
      <c r="BQ149" s="22"/>
      <c r="BR149" s="22"/>
      <c r="BS149" s="22"/>
      <c r="BT149" s="22"/>
      <c r="BU149" s="22"/>
      <c r="BV149" s="22"/>
      <c r="BW149" s="22"/>
      <c r="BX149" s="22"/>
      <c r="BY149" s="22"/>
      <c r="BZ149" s="22"/>
      <c r="CA149" s="22"/>
      <c r="CB149" s="22"/>
      <c r="CC149" s="22"/>
      <c r="CD149" s="22"/>
      <c r="CE149" s="22"/>
      <c r="CF149" s="22"/>
      <c r="CG149" s="22"/>
      <c r="CH149" s="22"/>
      <c r="CI149" s="23"/>
      <c r="CJ149" s="54"/>
      <c r="CK149" s="54"/>
    </row>
    <row r="150" spans="1:89" ht="15" customHeight="1" x14ac:dyDescent="0.25">
      <c r="A150" s="6" t="s">
        <v>232</v>
      </c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6"/>
      <c r="AN150" s="6"/>
      <c r="AO150" s="6"/>
      <c r="AP150" s="6"/>
      <c r="AQ150" s="6"/>
      <c r="AR150" s="6"/>
      <c r="AS150" s="6"/>
      <c r="AT150" s="6"/>
      <c r="AU150" s="6"/>
      <c r="AV150" s="6"/>
      <c r="AW150" s="6"/>
      <c r="AX150" s="6"/>
      <c r="AY150" s="6"/>
      <c r="AZ150" s="6"/>
      <c r="BA150" s="6"/>
      <c r="BB150" s="6"/>
      <c r="BC150" s="6"/>
      <c r="BD150" s="6"/>
      <c r="BE150" s="6"/>
      <c r="BF150" s="6"/>
      <c r="BG150" s="6"/>
      <c r="BH150" s="6"/>
      <c r="BI150" s="6"/>
      <c r="BJ150" s="6"/>
      <c r="BK150" s="6"/>
      <c r="BL150" s="6"/>
      <c r="BM150" s="6"/>
      <c r="BN150" s="6"/>
      <c r="BO150" s="6"/>
      <c r="BP150" s="6"/>
      <c r="BQ150" s="6"/>
      <c r="BR150" s="6"/>
      <c r="BS150" s="6"/>
      <c r="BT150" s="6"/>
      <c r="BU150" s="6"/>
      <c r="BV150" s="6"/>
      <c r="BW150" s="6"/>
      <c r="BX150" s="6"/>
      <c r="BY150" s="6"/>
      <c r="BZ150" s="6"/>
      <c r="CA150" s="6"/>
      <c r="CB150" s="6"/>
      <c r="CC150" s="6"/>
      <c r="CD150" s="6"/>
      <c r="CE150" s="6"/>
      <c r="CF150" s="6"/>
      <c r="CG150" s="6"/>
      <c r="CH150" s="6"/>
      <c r="CI150" s="23"/>
      <c r="CJ150" s="54"/>
      <c r="CK150" s="54"/>
    </row>
    <row r="151" spans="1:89" ht="15" customHeight="1" x14ac:dyDescent="0.25">
      <c r="A151" s="7" t="s">
        <v>233</v>
      </c>
      <c r="B151" s="22"/>
      <c r="C151" s="8">
        <f>Assumptions!$B$30</f>
        <v>451631.16</v>
      </c>
      <c r="D151" s="8">
        <f t="shared" ref="D151:AI151" si="80">C156</f>
        <v>385254.0733333333</v>
      </c>
      <c r="E151" s="8">
        <f t="shared" si="80"/>
        <v>318876.98666666663</v>
      </c>
      <c r="F151" s="8">
        <f t="shared" si="80"/>
        <v>252499.89999999997</v>
      </c>
      <c r="G151" s="8">
        <f t="shared" si="80"/>
        <v>163122.8133333333</v>
      </c>
      <c r="H151" s="8">
        <f t="shared" si="80"/>
        <v>96745.726666666626</v>
      </c>
      <c r="I151" s="8">
        <f t="shared" si="80"/>
        <v>29535.309999999954</v>
      </c>
      <c r="J151" s="8">
        <f t="shared" si="80"/>
        <v>-167675.10666666672</v>
      </c>
      <c r="K151" s="8">
        <f t="shared" si="80"/>
        <v>-374260.52333333337</v>
      </c>
      <c r="L151" s="8">
        <f t="shared" si="80"/>
        <v>-601845.94000000006</v>
      </c>
      <c r="M151" s="8">
        <f t="shared" si="80"/>
        <v>-808431.35666666669</v>
      </c>
      <c r="N151" s="8">
        <f t="shared" si="80"/>
        <v>-1265016.7733333334</v>
      </c>
      <c r="O151" s="8">
        <f t="shared" si="80"/>
        <v>-1471602.1900000002</v>
      </c>
      <c r="P151" s="8">
        <f t="shared" si="80"/>
        <v>-1678561.6066666669</v>
      </c>
      <c r="Q151" s="8">
        <f t="shared" si="80"/>
        <v>-1885521.0233333337</v>
      </c>
      <c r="R151" s="8">
        <f t="shared" si="80"/>
        <v>-2092480.4400000004</v>
      </c>
      <c r="S151" s="8">
        <f t="shared" si="80"/>
        <v>-2346806.1066666669</v>
      </c>
      <c r="T151" s="8">
        <f t="shared" si="80"/>
        <v>-2577671.7733333334</v>
      </c>
      <c r="U151" s="8">
        <f t="shared" si="80"/>
        <v>-2808537.44</v>
      </c>
      <c r="V151" s="8">
        <f t="shared" si="80"/>
        <v>-3039403.1066666665</v>
      </c>
      <c r="W151" s="8">
        <f t="shared" si="80"/>
        <v>-3270268.773333333</v>
      </c>
      <c r="X151" s="8">
        <f t="shared" si="80"/>
        <v>-3401148.6832854445</v>
      </c>
      <c r="Y151" s="8">
        <f t="shared" si="80"/>
        <v>-3502014.349952111</v>
      </c>
      <c r="Z151" s="8">
        <f t="shared" si="80"/>
        <v>-3852880.0166187775</v>
      </c>
      <c r="AA151" s="8">
        <f t="shared" si="80"/>
        <v>-3896370.683285444</v>
      </c>
      <c r="AB151" s="8">
        <f t="shared" si="80"/>
        <v>-3997617.8299521105</v>
      </c>
      <c r="AC151" s="8">
        <f t="shared" si="80"/>
        <v>-4098864.976618777</v>
      </c>
      <c r="AD151" s="8">
        <f t="shared" si="80"/>
        <v>-4142737.1232854435</v>
      </c>
      <c r="AE151" s="8">
        <f t="shared" si="80"/>
        <v>-4267913.4699521102</v>
      </c>
      <c r="AF151" s="8">
        <f t="shared" si="80"/>
        <v>-4369160.6166187767</v>
      </c>
      <c r="AG151" s="8">
        <f t="shared" si="80"/>
        <v>-4470407.7632854432</v>
      </c>
      <c r="AH151" s="8">
        <f t="shared" si="80"/>
        <v>-4581154.9099521097</v>
      </c>
      <c r="AI151" s="8">
        <f t="shared" si="80"/>
        <v>-4691902.0566187762</v>
      </c>
      <c r="AJ151" s="8">
        <f t="shared" ref="AJ151:BO151" si="81">AI156</f>
        <v>-4824497.603285443</v>
      </c>
      <c r="AK151" s="8">
        <f t="shared" si="81"/>
        <v>-4935244.7499521095</v>
      </c>
      <c r="AL151" s="8">
        <f t="shared" si="81"/>
        <v>-5045991.896618776</v>
      </c>
      <c r="AM151" s="8">
        <f t="shared" si="81"/>
        <v>-5156739.0432854425</v>
      </c>
      <c r="AN151" s="8">
        <f t="shared" si="81"/>
        <v>-5267875.2995521091</v>
      </c>
      <c r="AO151" s="8">
        <f t="shared" si="81"/>
        <v>-5379011.5558187757</v>
      </c>
      <c r="AP151" s="8">
        <f t="shared" si="81"/>
        <v>-5490147.8120854422</v>
      </c>
      <c r="AQ151" s="8">
        <f t="shared" si="81"/>
        <v>-5625691.8523521088</v>
      </c>
      <c r="AR151" s="8">
        <f t="shared" si="81"/>
        <v>-5736828.1086187754</v>
      </c>
      <c r="AS151" s="8">
        <f t="shared" si="81"/>
        <v>-5847964.364885442</v>
      </c>
      <c r="AT151" s="8">
        <f t="shared" si="81"/>
        <v>-5959100.6211521085</v>
      </c>
      <c r="AU151" s="8">
        <f t="shared" si="81"/>
        <v>-6070236.8774187751</v>
      </c>
      <c r="AV151" s="8">
        <f t="shared" si="81"/>
        <v>-6203658.5016854415</v>
      </c>
      <c r="AW151" s="8">
        <f t="shared" si="81"/>
        <v>-6314794.757952108</v>
      </c>
      <c r="AX151" s="8">
        <f t="shared" si="81"/>
        <v>-6425931.0142187746</v>
      </c>
      <c r="AY151" s="8">
        <f t="shared" si="81"/>
        <v>-6537067.2704854412</v>
      </c>
      <c r="AZ151" s="8">
        <f t="shared" si="81"/>
        <v>-6648600.418544108</v>
      </c>
      <c r="BA151" s="8">
        <f t="shared" si="81"/>
        <v>-6760133.5666027749</v>
      </c>
      <c r="BB151" s="8">
        <f t="shared" si="81"/>
        <v>-6871666.7146614417</v>
      </c>
      <c r="BC151" s="8">
        <f t="shared" si="81"/>
        <v>-7008095.8024001084</v>
      </c>
      <c r="BD151" s="8">
        <f t="shared" si="81"/>
        <v>-7119628.9504587753</v>
      </c>
      <c r="BE151" s="8">
        <f t="shared" si="81"/>
        <v>-7231162.0985174421</v>
      </c>
      <c r="BF151" s="8">
        <f t="shared" si="81"/>
        <v>-7342695.246576109</v>
      </c>
      <c r="BG151" s="8">
        <f t="shared" si="81"/>
        <v>-7454228.3946347758</v>
      </c>
      <c r="BH151" s="8">
        <f t="shared" si="81"/>
        <v>-7588492.6180534428</v>
      </c>
      <c r="BI151" s="8">
        <f t="shared" si="81"/>
        <v>-7700025.7661121096</v>
      </c>
      <c r="BJ151" s="8">
        <f t="shared" si="81"/>
        <v>-7811558.9141707765</v>
      </c>
      <c r="BK151" s="8">
        <f t="shared" si="81"/>
        <v>-7923092.0622294433</v>
      </c>
      <c r="BL151" s="8">
        <f t="shared" si="81"/>
        <v>-8035030.03991595</v>
      </c>
      <c r="BM151" s="8">
        <f t="shared" si="81"/>
        <v>-8146968.0176024567</v>
      </c>
      <c r="BN151" s="8">
        <f t="shared" si="81"/>
        <v>-8258905.9952889634</v>
      </c>
      <c r="BO151" s="8">
        <f t="shared" si="81"/>
        <v>-8396237.8314490709</v>
      </c>
      <c r="BP151" s="8">
        <f t="shared" ref="BP151:CH151" si="82">BO156</f>
        <v>-8508175.8091355767</v>
      </c>
      <c r="BQ151" s="8">
        <f t="shared" si="82"/>
        <v>-8568600.2668220829</v>
      </c>
      <c r="BR151" s="8">
        <f t="shared" si="82"/>
        <v>-8680538.2445085887</v>
      </c>
      <c r="BS151" s="8">
        <f t="shared" si="82"/>
        <v>-8792476.2221950945</v>
      </c>
      <c r="BT151" s="8">
        <f t="shared" si="82"/>
        <v>-8859837.8967488017</v>
      </c>
      <c r="BU151" s="8">
        <f t="shared" si="82"/>
        <v>-8971775.8744353075</v>
      </c>
      <c r="BV151" s="8">
        <f t="shared" si="82"/>
        <v>-9083713.8521218132</v>
      </c>
      <c r="BW151" s="8">
        <f t="shared" si="82"/>
        <v>-9127889.829808319</v>
      </c>
      <c r="BX151" s="8">
        <f t="shared" si="82"/>
        <v>-9240240.7337152231</v>
      </c>
      <c r="BY151" s="8">
        <f t="shared" si="82"/>
        <v>-9352591.6376221273</v>
      </c>
      <c r="BZ151" s="8">
        <f t="shared" si="82"/>
        <v>-9397180.5415290315</v>
      </c>
      <c r="CA151" s="8">
        <f t="shared" si="82"/>
        <v>-9535433.1810790077</v>
      </c>
      <c r="CB151" s="8">
        <f t="shared" si="82"/>
        <v>-9647784.0849859118</v>
      </c>
      <c r="CC151" s="8">
        <f t="shared" si="82"/>
        <v>-9683635.988892816</v>
      </c>
      <c r="CD151" s="8">
        <f t="shared" si="82"/>
        <v>-9795986.8927997202</v>
      </c>
      <c r="CE151" s="8">
        <f t="shared" si="82"/>
        <v>-9908337.7967066243</v>
      </c>
      <c r="CF151" s="8">
        <f t="shared" si="82"/>
        <v>-9967839.1114180721</v>
      </c>
      <c r="CG151" s="8">
        <f t="shared" si="82"/>
        <v>-10080190.015324976</v>
      </c>
      <c r="CH151" s="8">
        <f t="shared" si="82"/>
        <v>-10192540.91923188</v>
      </c>
      <c r="CI151" s="23"/>
      <c r="CJ151" s="54"/>
      <c r="CK151" s="54"/>
    </row>
    <row r="152" spans="1:89" ht="15" customHeight="1" x14ac:dyDescent="0.25">
      <c r="A152" s="7" t="s">
        <v>234</v>
      </c>
      <c r="B152" s="22"/>
      <c r="C152" s="8">
        <f t="shared" ref="C152:AH152" si="83">C87</f>
        <v>-66377.08666666667</v>
      </c>
      <c r="D152" s="8">
        <f t="shared" si="83"/>
        <v>-66377.08666666667</v>
      </c>
      <c r="E152" s="8">
        <f t="shared" si="83"/>
        <v>-66377.08666666667</v>
      </c>
      <c r="F152" s="8">
        <f t="shared" si="83"/>
        <v>-89377.086666666684</v>
      </c>
      <c r="G152" s="8">
        <f t="shared" si="83"/>
        <v>-66377.08666666667</v>
      </c>
      <c r="H152" s="8">
        <f t="shared" si="83"/>
        <v>-67210.416666666672</v>
      </c>
      <c r="I152" s="8">
        <f t="shared" si="83"/>
        <v>-67210.416666666672</v>
      </c>
      <c r="J152" s="8">
        <f t="shared" si="83"/>
        <v>-76585.416666666672</v>
      </c>
      <c r="K152" s="8">
        <f t="shared" si="83"/>
        <v>-97585.416666666672</v>
      </c>
      <c r="L152" s="8">
        <f t="shared" si="83"/>
        <v>-76585.416666666672</v>
      </c>
      <c r="M152" s="8">
        <f t="shared" si="83"/>
        <v>-76585.416666666672</v>
      </c>
      <c r="N152" s="8">
        <f t="shared" si="83"/>
        <v>-76585.416666666672</v>
      </c>
      <c r="O152" s="8">
        <f t="shared" si="83"/>
        <v>-76959.416666666672</v>
      </c>
      <c r="P152" s="8">
        <f t="shared" si="83"/>
        <v>-76959.416666666672</v>
      </c>
      <c r="Q152" s="8">
        <f t="shared" si="83"/>
        <v>-76959.416666666672</v>
      </c>
      <c r="R152" s="8">
        <f t="shared" si="83"/>
        <v>-124325.66666666669</v>
      </c>
      <c r="S152" s="8">
        <f t="shared" si="83"/>
        <v>-100865.66666666667</v>
      </c>
      <c r="T152" s="8">
        <f t="shared" si="83"/>
        <v>-100865.66666666667</v>
      </c>
      <c r="U152" s="8">
        <f t="shared" si="83"/>
        <v>-100865.66666666667</v>
      </c>
      <c r="V152" s="8">
        <f t="shared" si="83"/>
        <v>-100865.66666666667</v>
      </c>
      <c r="W152" s="8">
        <f t="shared" si="83"/>
        <v>-64910.666666666686</v>
      </c>
      <c r="X152" s="8">
        <f t="shared" si="83"/>
        <v>-100865.66666666667</v>
      </c>
      <c r="Y152" s="8">
        <f t="shared" si="83"/>
        <v>-100865.66666666667</v>
      </c>
      <c r="Z152" s="8">
        <f t="shared" si="83"/>
        <v>-43490.666666666672</v>
      </c>
      <c r="AA152" s="8">
        <f t="shared" si="83"/>
        <v>-101247.14666666667</v>
      </c>
      <c r="AB152" s="8">
        <f t="shared" si="83"/>
        <v>-101247.14666666667</v>
      </c>
      <c r="AC152" s="8">
        <f t="shared" si="83"/>
        <v>-43872.146666666667</v>
      </c>
      <c r="AD152" s="8">
        <f t="shared" si="83"/>
        <v>-125176.34666666668</v>
      </c>
      <c r="AE152" s="8">
        <f t="shared" si="83"/>
        <v>-101247.14666666667</v>
      </c>
      <c r="AF152" s="8">
        <f t="shared" si="83"/>
        <v>-101247.14666666667</v>
      </c>
      <c r="AG152" s="8">
        <f t="shared" si="83"/>
        <v>-110747.14666666667</v>
      </c>
      <c r="AH152" s="8">
        <f t="shared" si="83"/>
        <v>-110747.14666666667</v>
      </c>
      <c r="AI152" s="8">
        <f t="shared" ref="AI152:BN152" si="84">AI87</f>
        <v>-132595.54666666669</v>
      </c>
      <c r="AJ152" s="8">
        <f t="shared" si="84"/>
        <v>-110747.14666666667</v>
      </c>
      <c r="AK152" s="8">
        <f t="shared" si="84"/>
        <v>-110747.14666666667</v>
      </c>
      <c r="AL152" s="8">
        <f t="shared" si="84"/>
        <v>-110747.14666666667</v>
      </c>
      <c r="AM152" s="8">
        <f t="shared" si="84"/>
        <v>-111136.25626666668</v>
      </c>
      <c r="AN152" s="8">
        <f t="shared" si="84"/>
        <v>-111136.25626666668</v>
      </c>
      <c r="AO152" s="8">
        <f t="shared" si="84"/>
        <v>-111136.25626666668</v>
      </c>
      <c r="AP152" s="8">
        <f t="shared" si="84"/>
        <v>-135544.04026666668</v>
      </c>
      <c r="AQ152" s="8">
        <f t="shared" si="84"/>
        <v>-111136.25626666668</v>
      </c>
      <c r="AR152" s="8">
        <f t="shared" si="84"/>
        <v>-111136.25626666669</v>
      </c>
      <c r="AS152" s="8">
        <f t="shared" si="84"/>
        <v>-111136.25626666668</v>
      </c>
      <c r="AT152" s="8">
        <f t="shared" si="84"/>
        <v>-111136.25626666668</v>
      </c>
      <c r="AU152" s="8">
        <f t="shared" si="84"/>
        <v>-133421.62426666665</v>
      </c>
      <c r="AV152" s="8">
        <f t="shared" si="84"/>
        <v>-111136.25626666668</v>
      </c>
      <c r="AW152" s="8">
        <f t="shared" si="84"/>
        <v>-111136.25626666668</v>
      </c>
      <c r="AX152" s="8">
        <f t="shared" si="84"/>
        <v>-111136.25626666669</v>
      </c>
      <c r="AY152" s="8">
        <f t="shared" si="84"/>
        <v>-111533.14805866667</v>
      </c>
      <c r="AZ152" s="8">
        <f t="shared" si="84"/>
        <v>-111533.14805866667</v>
      </c>
      <c r="BA152" s="8">
        <f t="shared" si="84"/>
        <v>-111533.14805866661</v>
      </c>
      <c r="BB152" s="8">
        <f t="shared" si="84"/>
        <v>-136429.08773866668</v>
      </c>
      <c r="BC152" s="8">
        <f t="shared" si="84"/>
        <v>-111533.14805866667</v>
      </c>
      <c r="BD152" s="8">
        <f t="shared" si="84"/>
        <v>-111533.14805866667</v>
      </c>
      <c r="BE152" s="8">
        <f t="shared" si="84"/>
        <v>-111533.14805866667</v>
      </c>
      <c r="BF152" s="8">
        <f t="shared" si="84"/>
        <v>-111533.14805866667</v>
      </c>
      <c r="BG152" s="8">
        <f t="shared" si="84"/>
        <v>-134264.22341866669</v>
      </c>
      <c r="BH152" s="8">
        <f t="shared" si="84"/>
        <v>-111533.14805866667</v>
      </c>
      <c r="BI152" s="8">
        <f t="shared" si="84"/>
        <v>-111533.14805866667</v>
      </c>
      <c r="BJ152" s="8">
        <f t="shared" si="84"/>
        <v>-111533.14805866667</v>
      </c>
      <c r="BK152" s="8">
        <f t="shared" si="84"/>
        <v>-111937.97768650667</v>
      </c>
      <c r="BL152" s="8">
        <f t="shared" si="84"/>
        <v>-111937.97768650667</v>
      </c>
      <c r="BM152" s="8">
        <f t="shared" si="84"/>
        <v>-111937.9776865067</v>
      </c>
      <c r="BN152" s="8">
        <f t="shared" si="84"/>
        <v>-137331.83616010667</v>
      </c>
      <c r="BO152" s="8">
        <f t="shared" ref="BO152:CH152" si="85">BO87</f>
        <v>-111937.97768650667</v>
      </c>
      <c r="BP152" s="8">
        <f t="shared" si="85"/>
        <v>-60424.457686506648</v>
      </c>
      <c r="BQ152" s="8">
        <f t="shared" si="85"/>
        <v>-111937.97768650667</v>
      </c>
      <c r="BR152" s="8">
        <f t="shared" si="85"/>
        <v>-111937.97768650667</v>
      </c>
      <c r="BS152" s="8">
        <f t="shared" si="85"/>
        <v>-67361.67455370666</v>
      </c>
      <c r="BT152" s="8">
        <f t="shared" si="85"/>
        <v>-111937.97768650667</v>
      </c>
      <c r="BU152" s="8">
        <f t="shared" si="85"/>
        <v>-111937.97768650667</v>
      </c>
      <c r="BV152" s="8">
        <f t="shared" si="85"/>
        <v>-44175.977686506667</v>
      </c>
      <c r="BW152" s="8">
        <f t="shared" si="85"/>
        <v>-112350.90390690346</v>
      </c>
      <c r="BX152" s="8">
        <f t="shared" si="85"/>
        <v>-112350.90390690346</v>
      </c>
      <c r="BY152" s="8">
        <f t="shared" si="85"/>
        <v>-44588.903906903462</v>
      </c>
      <c r="BZ152" s="8">
        <f t="shared" si="85"/>
        <v>-138252.63954997546</v>
      </c>
      <c r="CA152" s="8">
        <f t="shared" si="85"/>
        <v>-112350.90390690346</v>
      </c>
      <c r="CB152" s="8">
        <f t="shared" si="85"/>
        <v>-35851.903906903462</v>
      </c>
      <c r="CC152" s="8">
        <f t="shared" si="85"/>
        <v>-112350.90390690346</v>
      </c>
      <c r="CD152" s="8">
        <f t="shared" si="85"/>
        <v>-112350.90390690346</v>
      </c>
      <c r="CE152" s="8">
        <f t="shared" si="85"/>
        <v>-59501.314711447456</v>
      </c>
      <c r="CF152" s="8">
        <f t="shared" si="85"/>
        <v>-112350.90390690346</v>
      </c>
      <c r="CG152" s="8">
        <f t="shared" si="85"/>
        <v>-112350.90390690346</v>
      </c>
      <c r="CH152" s="8">
        <f t="shared" si="85"/>
        <v>-29243.877300424268</v>
      </c>
      <c r="CI152" s="23"/>
      <c r="CJ152" s="54"/>
      <c r="CK152" s="54"/>
    </row>
    <row r="153" spans="1:89" ht="15" customHeight="1" x14ac:dyDescent="0.25">
      <c r="A153" s="7" t="s">
        <v>235</v>
      </c>
      <c r="B153" s="22"/>
      <c r="C153" s="8">
        <f t="shared" ref="C153:AH153" si="86">C101</f>
        <v>0</v>
      </c>
      <c r="D153" s="8">
        <f t="shared" si="86"/>
        <v>0</v>
      </c>
      <c r="E153" s="8">
        <f t="shared" si="86"/>
        <v>0</v>
      </c>
      <c r="F153" s="8">
        <f t="shared" si="86"/>
        <v>0</v>
      </c>
      <c r="G153" s="8">
        <f t="shared" si="86"/>
        <v>0</v>
      </c>
      <c r="H153" s="8">
        <f t="shared" si="86"/>
        <v>0</v>
      </c>
      <c r="I153" s="8">
        <f t="shared" si="86"/>
        <v>-130000</v>
      </c>
      <c r="J153" s="8">
        <f t="shared" si="86"/>
        <v>-130000</v>
      </c>
      <c r="K153" s="8">
        <f t="shared" si="86"/>
        <v>-130000</v>
      </c>
      <c r="L153" s="8">
        <f t="shared" si="86"/>
        <v>-130000</v>
      </c>
      <c r="M153" s="8">
        <f t="shared" si="86"/>
        <v>-130000</v>
      </c>
      <c r="N153" s="8">
        <f t="shared" si="86"/>
        <v>-130000</v>
      </c>
      <c r="O153" s="8">
        <f t="shared" si="86"/>
        <v>-130000</v>
      </c>
      <c r="P153" s="8">
        <f t="shared" si="86"/>
        <v>-130000</v>
      </c>
      <c r="Q153" s="8">
        <f t="shared" si="86"/>
        <v>-130000</v>
      </c>
      <c r="R153" s="8">
        <f t="shared" si="86"/>
        <v>-130000</v>
      </c>
      <c r="S153" s="8">
        <f t="shared" si="86"/>
        <v>-130000</v>
      </c>
      <c r="T153" s="8">
        <f t="shared" si="86"/>
        <v>-130000</v>
      </c>
      <c r="U153" s="8">
        <f t="shared" si="86"/>
        <v>-130000</v>
      </c>
      <c r="V153" s="8">
        <f t="shared" si="86"/>
        <v>-130000</v>
      </c>
      <c r="W153" s="8">
        <f t="shared" si="86"/>
        <v>-65969.24328544506</v>
      </c>
      <c r="X153" s="8">
        <f t="shared" si="86"/>
        <v>0</v>
      </c>
      <c r="Y153" s="8">
        <f t="shared" si="86"/>
        <v>0</v>
      </c>
      <c r="Z153" s="8">
        <f t="shared" si="86"/>
        <v>0</v>
      </c>
      <c r="AA153" s="8">
        <f t="shared" si="86"/>
        <v>0</v>
      </c>
      <c r="AB153" s="8">
        <f t="shared" si="86"/>
        <v>0</v>
      </c>
      <c r="AC153" s="8">
        <f t="shared" si="86"/>
        <v>0</v>
      </c>
      <c r="AD153" s="8">
        <f t="shared" si="86"/>
        <v>0</v>
      </c>
      <c r="AE153" s="8">
        <f t="shared" si="86"/>
        <v>0</v>
      </c>
      <c r="AF153" s="8">
        <f t="shared" si="86"/>
        <v>0</v>
      </c>
      <c r="AG153" s="8">
        <f t="shared" si="86"/>
        <v>0</v>
      </c>
      <c r="AH153" s="8">
        <f t="shared" si="86"/>
        <v>0</v>
      </c>
      <c r="AI153" s="8">
        <f t="shared" ref="AI153:BN153" si="87">AI101</f>
        <v>0</v>
      </c>
      <c r="AJ153" s="8">
        <f t="shared" si="87"/>
        <v>0</v>
      </c>
      <c r="AK153" s="8">
        <f t="shared" si="87"/>
        <v>0</v>
      </c>
      <c r="AL153" s="8">
        <f t="shared" si="87"/>
        <v>0</v>
      </c>
      <c r="AM153" s="8">
        <f t="shared" si="87"/>
        <v>0</v>
      </c>
      <c r="AN153" s="8">
        <f t="shared" si="87"/>
        <v>0</v>
      </c>
      <c r="AO153" s="8">
        <f t="shared" si="87"/>
        <v>0</v>
      </c>
      <c r="AP153" s="8">
        <f t="shared" si="87"/>
        <v>0</v>
      </c>
      <c r="AQ153" s="8">
        <f t="shared" si="87"/>
        <v>0</v>
      </c>
      <c r="AR153" s="8">
        <f t="shared" si="87"/>
        <v>0</v>
      </c>
      <c r="AS153" s="8">
        <f t="shared" si="87"/>
        <v>0</v>
      </c>
      <c r="AT153" s="8">
        <f t="shared" si="87"/>
        <v>0</v>
      </c>
      <c r="AU153" s="8">
        <f t="shared" si="87"/>
        <v>0</v>
      </c>
      <c r="AV153" s="8">
        <f t="shared" si="87"/>
        <v>0</v>
      </c>
      <c r="AW153" s="8">
        <f t="shared" si="87"/>
        <v>0</v>
      </c>
      <c r="AX153" s="8">
        <f t="shared" si="87"/>
        <v>0</v>
      </c>
      <c r="AY153" s="8">
        <f t="shared" si="87"/>
        <v>0</v>
      </c>
      <c r="AZ153" s="8">
        <f t="shared" si="87"/>
        <v>0</v>
      </c>
      <c r="BA153" s="8">
        <f t="shared" si="87"/>
        <v>0</v>
      </c>
      <c r="BB153" s="8">
        <f t="shared" si="87"/>
        <v>0</v>
      </c>
      <c r="BC153" s="8">
        <f t="shared" si="87"/>
        <v>0</v>
      </c>
      <c r="BD153" s="8">
        <f t="shared" si="87"/>
        <v>0</v>
      </c>
      <c r="BE153" s="8">
        <f t="shared" si="87"/>
        <v>0</v>
      </c>
      <c r="BF153" s="8">
        <f t="shared" si="87"/>
        <v>0</v>
      </c>
      <c r="BG153" s="8">
        <f t="shared" si="87"/>
        <v>0</v>
      </c>
      <c r="BH153" s="8">
        <f t="shared" si="87"/>
        <v>0</v>
      </c>
      <c r="BI153" s="8">
        <f t="shared" si="87"/>
        <v>0</v>
      </c>
      <c r="BJ153" s="8">
        <f t="shared" si="87"/>
        <v>0</v>
      </c>
      <c r="BK153" s="8">
        <f t="shared" si="87"/>
        <v>0</v>
      </c>
      <c r="BL153" s="8">
        <f t="shared" si="87"/>
        <v>0</v>
      </c>
      <c r="BM153" s="8">
        <f t="shared" si="87"/>
        <v>0</v>
      </c>
      <c r="BN153" s="8">
        <f t="shared" si="87"/>
        <v>0</v>
      </c>
      <c r="BO153" s="8">
        <f t="shared" ref="BO153:CH153" si="88">BO101</f>
        <v>0</v>
      </c>
      <c r="BP153" s="8">
        <f t="shared" si="88"/>
        <v>0</v>
      </c>
      <c r="BQ153" s="8">
        <f t="shared" si="88"/>
        <v>0</v>
      </c>
      <c r="BR153" s="8">
        <f t="shared" si="88"/>
        <v>0</v>
      </c>
      <c r="BS153" s="8">
        <f t="shared" si="88"/>
        <v>0</v>
      </c>
      <c r="BT153" s="8">
        <f t="shared" si="88"/>
        <v>0</v>
      </c>
      <c r="BU153" s="8">
        <f t="shared" si="88"/>
        <v>0</v>
      </c>
      <c r="BV153" s="8">
        <f t="shared" si="88"/>
        <v>0</v>
      </c>
      <c r="BW153" s="8">
        <f t="shared" si="88"/>
        <v>0</v>
      </c>
      <c r="BX153" s="8">
        <f t="shared" si="88"/>
        <v>0</v>
      </c>
      <c r="BY153" s="8">
        <f t="shared" si="88"/>
        <v>0</v>
      </c>
      <c r="BZ153" s="8">
        <f t="shared" si="88"/>
        <v>0</v>
      </c>
      <c r="CA153" s="8">
        <f t="shared" si="88"/>
        <v>0</v>
      </c>
      <c r="CB153" s="8">
        <f t="shared" si="88"/>
        <v>0</v>
      </c>
      <c r="CC153" s="8">
        <f t="shared" si="88"/>
        <v>0</v>
      </c>
      <c r="CD153" s="8">
        <f t="shared" si="88"/>
        <v>0</v>
      </c>
      <c r="CE153" s="8">
        <f t="shared" si="88"/>
        <v>0</v>
      </c>
      <c r="CF153" s="8">
        <f t="shared" si="88"/>
        <v>0</v>
      </c>
      <c r="CG153" s="8">
        <f t="shared" si="88"/>
        <v>0</v>
      </c>
      <c r="CH153" s="8">
        <f t="shared" si="88"/>
        <v>0</v>
      </c>
      <c r="CI153" s="23"/>
      <c r="CJ153" s="54"/>
      <c r="CK153" s="54"/>
    </row>
    <row r="154" spans="1:89" ht="15" customHeight="1" x14ac:dyDescent="0.25">
      <c r="A154" s="7" t="s">
        <v>236</v>
      </c>
      <c r="B154" s="22"/>
      <c r="C154" s="8">
        <f t="shared" ref="C154:AH154" si="89">C107</f>
        <v>0</v>
      </c>
      <c r="D154" s="8">
        <f t="shared" si="89"/>
        <v>0</v>
      </c>
      <c r="E154" s="8">
        <f t="shared" si="89"/>
        <v>0</v>
      </c>
      <c r="F154" s="8">
        <f t="shared" si="89"/>
        <v>0</v>
      </c>
      <c r="G154" s="8">
        <f t="shared" si="89"/>
        <v>0</v>
      </c>
      <c r="H154" s="8">
        <f t="shared" si="89"/>
        <v>0</v>
      </c>
      <c r="I154" s="8">
        <f t="shared" si="89"/>
        <v>0</v>
      </c>
      <c r="J154" s="8">
        <f t="shared" si="89"/>
        <v>0</v>
      </c>
      <c r="K154" s="8">
        <f t="shared" si="89"/>
        <v>0</v>
      </c>
      <c r="L154" s="8">
        <f t="shared" si="89"/>
        <v>0</v>
      </c>
      <c r="M154" s="8">
        <f t="shared" si="89"/>
        <v>-250000</v>
      </c>
      <c r="N154" s="8">
        <f t="shared" si="89"/>
        <v>0</v>
      </c>
      <c r="O154" s="8">
        <f t="shared" si="89"/>
        <v>0</v>
      </c>
      <c r="P154" s="8">
        <f t="shared" si="89"/>
        <v>0</v>
      </c>
      <c r="Q154" s="8">
        <f t="shared" si="89"/>
        <v>0</v>
      </c>
      <c r="R154" s="8">
        <f t="shared" si="89"/>
        <v>0</v>
      </c>
      <c r="S154" s="8">
        <f t="shared" si="89"/>
        <v>0</v>
      </c>
      <c r="T154" s="8">
        <f t="shared" si="89"/>
        <v>0</v>
      </c>
      <c r="U154" s="8">
        <f t="shared" si="89"/>
        <v>0</v>
      </c>
      <c r="V154" s="8">
        <f t="shared" si="89"/>
        <v>0</v>
      </c>
      <c r="W154" s="8">
        <f t="shared" si="89"/>
        <v>0</v>
      </c>
      <c r="X154" s="8">
        <f t="shared" si="89"/>
        <v>0</v>
      </c>
      <c r="Y154" s="8">
        <f t="shared" si="89"/>
        <v>-250000</v>
      </c>
      <c r="Z154" s="8">
        <f t="shared" si="89"/>
        <v>0</v>
      </c>
      <c r="AA154" s="8">
        <f t="shared" si="89"/>
        <v>0</v>
      </c>
      <c r="AB154" s="8">
        <f t="shared" si="89"/>
        <v>0</v>
      </c>
      <c r="AC154" s="8">
        <f t="shared" si="89"/>
        <v>0</v>
      </c>
      <c r="AD154" s="8">
        <f t="shared" si="89"/>
        <v>0</v>
      </c>
      <c r="AE154" s="8">
        <f t="shared" si="89"/>
        <v>0</v>
      </c>
      <c r="AF154" s="8">
        <f t="shared" si="89"/>
        <v>0</v>
      </c>
      <c r="AG154" s="8">
        <f t="shared" si="89"/>
        <v>0</v>
      </c>
      <c r="AH154" s="8">
        <f t="shared" si="89"/>
        <v>0</v>
      </c>
      <c r="AI154" s="8">
        <f t="shared" ref="AI154:BN154" si="90">AI107</f>
        <v>0</v>
      </c>
      <c r="AJ154" s="8">
        <f t="shared" si="90"/>
        <v>0</v>
      </c>
      <c r="AK154" s="8">
        <f t="shared" si="90"/>
        <v>0</v>
      </c>
      <c r="AL154" s="8">
        <f t="shared" si="90"/>
        <v>0</v>
      </c>
      <c r="AM154" s="8">
        <f t="shared" si="90"/>
        <v>0</v>
      </c>
      <c r="AN154" s="8">
        <f t="shared" si="90"/>
        <v>0</v>
      </c>
      <c r="AO154" s="8">
        <f t="shared" si="90"/>
        <v>0</v>
      </c>
      <c r="AP154" s="8">
        <f t="shared" si="90"/>
        <v>0</v>
      </c>
      <c r="AQ154" s="8">
        <f t="shared" si="90"/>
        <v>0</v>
      </c>
      <c r="AR154" s="8">
        <f t="shared" si="90"/>
        <v>0</v>
      </c>
      <c r="AS154" s="8">
        <f t="shared" si="90"/>
        <v>0</v>
      </c>
      <c r="AT154" s="8">
        <f t="shared" si="90"/>
        <v>0</v>
      </c>
      <c r="AU154" s="8">
        <f t="shared" si="90"/>
        <v>0</v>
      </c>
      <c r="AV154" s="8">
        <f t="shared" si="90"/>
        <v>0</v>
      </c>
      <c r="AW154" s="8">
        <f t="shared" si="90"/>
        <v>0</v>
      </c>
      <c r="AX154" s="8">
        <f t="shared" si="90"/>
        <v>0</v>
      </c>
      <c r="AY154" s="8">
        <f t="shared" si="90"/>
        <v>0</v>
      </c>
      <c r="AZ154" s="8">
        <f t="shared" si="90"/>
        <v>0</v>
      </c>
      <c r="BA154" s="8">
        <f t="shared" si="90"/>
        <v>0</v>
      </c>
      <c r="BB154" s="8">
        <f t="shared" si="90"/>
        <v>0</v>
      </c>
      <c r="BC154" s="8">
        <f t="shared" si="90"/>
        <v>0</v>
      </c>
      <c r="BD154" s="8">
        <f t="shared" si="90"/>
        <v>0</v>
      </c>
      <c r="BE154" s="8">
        <f t="shared" si="90"/>
        <v>0</v>
      </c>
      <c r="BF154" s="8">
        <f t="shared" si="90"/>
        <v>0</v>
      </c>
      <c r="BG154" s="8">
        <f t="shared" si="90"/>
        <v>0</v>
      </c>
      <c r="BH154" s="8">
        <f t="shared" si="90"/>
        <v>0</v>
      </c>
      <c r="BI154" s="8">
        <f t="shared" si="90"/>
        <v>0</v>
      </c>
      <c r="BJ154" s="8">
        <f t="shared" si="90"/>
        <v>0</v>
      </c>
      <c r="BK154" s="8">
        <f t="shared" si="90"/>
        <v>0</v>
      </c>
      <c r="BL154" s="8">
        <f t="shared" si="90"/>
        <v>0</v>
      </c>
      <c r="BM154" s="8">
        <f t="shared" si="90"/>
        <v>0</v>
      </c>
      <c r="BN154" s="8">
        <f t="shared" si="90"/>
        <v>0</v>
      </c>
      <c r="BO154" s="8">
        <f t="shared" ref="BO154:CH154" si="91">BO107</f>
        <v>0</v>
      </c>
      <c r="BP154" s="8">
        <f t="shared" si="91"/>
        <v>0</v>
      </c>
      <c r="BQ154" s="8">
        <f t="shared" si="91"/>
        <v>0</v>
      </c>
      <c r="BR154" s="8">
        <f t="shared" si="91"/>
        <v>0</v>
      </c>
      <c r="BS154" s="8">
        <f t="shared" si="91"/>
        <v>0</v>
      </c>
      <c r="BT154" s="8">
        <f t="shared" si="91"/>
        <v>0</v>
      </c>
      <c r="BU154" s="8">
        <f t="shared" si="91"/>
        <v>0</v>
      </c>
      <c r="BV154" s="8">
        <f t="shared" si="91"/>
        <v>0</v>
      </c>
      <c r="BW154" s="8">
        <f t="shared" si="91"/>
        <v>0</v>
      </c>
      <c r="BX154" s="8">
        <f t="shared" si="91"/>
        <v>0</v>
      </c>
      <c r="BY154" s="8">
        <f t="shared" si="91"/>
        <v>0</v>
      </c>
      <c r="BZ154" s="8">
        <f t="shared" si="91"/>
        <v>0</v>
      </c>
      <c r="CA154" s="8">
        <f t="shared" si="91"/>
        <v>0</v>
      </c>
      <c r="CB154" s="8">
        <f t="shared" si="91"/>
        <v>0</v>
      </c>
      <c r="CC154" s="8">
        <f t="shared" si="91"/>
        <v>0</v>
      </c>
      <c r="CD154" s="8">
        <f t="shared" si="91"/>
        <v>0</v>
      </c>
      <c r="CE154" s="8">
        <f t="shared" si="91"/>
        <v>0</v>
      </c>
      <c r="CF154" s="8">
        <f t="shared" si="91"/>
        <v>0</v>
      </c>
      <c r="CG154" s="8">
        <f t="shared" si="91"/>
        <v>0</v>
      </c>
      <c r="CH154" s="8">
        <f t="shared" si="91"/>
        <v>0</v>
      </c>
      <c r="CI154" s="23"/>
      <c r="CJ154" s="54"/>
      <c r="CK154" s="54"/>
    </row>
    <row r="155" spans="1:89" ht="15" customHeight="1" x14ac:dyDescent="0.25">
      <c r="A155" s="7" t="s">
        <v>237</v>
      </c>
      <c r="B155" s="22"/>
      <c r="C155" s="8">
        <v>0</v>
      </c>
      <c r="D155" s="8">
        <v>0</v>
      </c>
      <c r="E155" s="8">
        <v>0</v>
      </c>
      <c r="F155" s="8">
        <v>0</v>
      </c>
      <c r="G155" s="8">
        <v>0</v>
      </c>
      <c r="H155" s="8">
        <v>0</v>
      </c>
      <c r="I155" s="8">
        <v>0</v>
      </c>
      <c r="J155" s="8">
        <v>0</v>
      </c>
      <c r="K155" s="8">
        <v>0</v>
      </c>
      <c r="L155" s="8">
        <v>0</v>
      </c>
      <c r="M155" s="8">
        <v>0</v>
      </c>
      <c r="N155" s="8">
        <v>0</v>
      </c>
      <c r="O155" s="8">
        <v>0</v>
      </c>
      <c r="P155" s="8">
        <v>0</v>
      </c>
      <c r="Q155" s="8">
        <v>0</v>
      </c>
      <c r="R155" s="8">
        <v>0</v>
      </c>
      <c r="S155" s="8">
        <v>0</v>
      </c>
      <c r="T155" s="8">
        <v>0</v>
      </c>
      <c r="U155" s="8">
        <v>0</v>
      </c>
      <c r="V155" s="8">
        <v>0</v>
      </c>
      <c r="W155" s="8">
        <v>0</v>
      </c>
      <c r="X155" s="8">
        <v>0</v>
      </c>
      <c r="Y155" s="8">
        <v>0</v>
      </c>
      <c r="Z155" s="8">
        <v>0</v>
      </c>
      <c r="AA155" s="8">
        <v>0</v>
      </c>
      <c r="AB155" s="8">
        <v>0</v>
      </c>
      <c r="AC155" s="8">
        <v>0</v>
      </c>
      <c r="AD155" s="8">
        <v>0</v>
      </c>
      <c r="AE155" s="8">
        <v>0</v>
      </c>
      <c r="AF155" s="8">
        <v>0</v>
      </c>
      <c r="AG155" s="8">
        <v>0</v>
      </c>
      <c r="AH155" s="8">
        <v>0</v>
      </c>
      <c r="AI155" s="8">
        <v>0</v>
      </c>
      <c r="AJ155" s="8">
        <v>0</v>
      </c>
      <c r="AK155" s="8">
        <v>0</v>
      </c>
      <c r="AL155" s="8">
        <v>0</v>
      </c>
      <c r="AM155" s="8">
        <v>0</v>
      </c>
      <c r="AN155" s="8">
        <v>0</v>
      </c>
      <c r="AO155" s="8">
        <v>0</v>
      </c>
      <c r="AP155" s="8">
        <v>0</v>
      </c>
      <c r="AQ155" s="8">
        <v>0</v>
      </c>
      <c r="AR155" s="8">
        <v>0</v>
      </c>
      <c r="AS155" s="8">
        <v>0</v>
      </c>
      <c r="AT155" s="8">
        <v>0</v>
      </c>
      <c r="AU155" s="8">
        <v>0</v>
      </c>
      <c r="AV155" s="8">
        <v>0</v>
      </c>
      <c r="AW155" s="8">
        <v>0</v>
      </c>
      <c r="AX155" s="8">
        <v>0</v>
      </c>
      <c r="AY155" s="8">
        <v>0</v>
      </c>
      <c r="AZ155" s="8">
        <v>0</v>
      </c>
      <c r="BA155" s="8">
        <v>0</v>
      </c>
      <c r="BB155" s="8">
        <v>0</v>
      </c>
      <c r="BC155" s="8">
        <v>0</v>
      </c>
      <c r="BD155" s="8">
        <v>0</v>
      </c>
      <c r="BE155" s="8">
        <v>0</v>
      </c>
      <c r="BF155" s="8">
        <v>0</v>
      </c>
      <c r="BG155" s="8">
        <v>0</v>
      </c>
      <c r="BH155" s="8">
        <v>0</v>
      </c>
      <c r="BI155" s="8">
        <v>0</v>
      </c>
      <c r="BJ155" s="8">
        <v>0</v>
      </c>
      <c r="BK155" s="8">
        <v>0</v>
      </c>
      <c r="BL155" s="8">
        <v>0</v>
      </c>
      <c r="BM155" s="8">
        <v>0</v>
      </c>
      <c r="BN155" s="8">
        <v>0</v>
      </c>
      <c r="BO155" s="8">
        <v>0</v>
      </c>
      <c r="BP155" s="8">
        <v>0</v>
      </c>
      <c r="BQ155" s="8">
        <v>0</v>
      </c>
      <c r="BR155" s="8">
        <v>0</v>
      </c>
      <c r="BS155" s="8">
        <v>0</v>
      </c>
      <c r="BT155" s="8">
        <v>0</v>
      </c>
      <c r="BU155" s="8">
        <v>0</v>
      </c>
      <c r="BV155" s="8">
        <v>0</v>
      </c>
      <c r="BW155" s="8">
        <v>0</v>
      </c>
      <c r="BX155" s="8">
        <v>0</v>
      </c>
      <c r="BY155" s="8">
        <v>0</v>
      </c>
      <c r="BZ155" s="8">
        <v>0</v>
      </c>
      <c r="CA155" s="8">
        <v>0</v>
      </c>
      <c r="CB155" s="8">
        <v>0</v>
      </c>
      <c r="CC155" s="8">
        <v>0</v>
      </c>
      <c r="CD155" s="8">
        <v>0</v>
      </c>
      <c r="CE155" s="8">
        <v>0</v>
      </c>
      <c r="CF155" s="8">
        <v>0</v>
      </c>
      <c r="CG155" s="8">
        <v>0</v>
      </c>
      <c r="CH155" s="8">
        <v>0</v>
      </c>
      <c r="CI155" s="23"/>
      <c r="CJ155" s="54"/>
      <c r="CK155" s="54"/>
    </row>
    <row r="156" spans="1:89" ht="15" customHeight="1" x14ac:dyDescent="0.25">
      <c r="A156" s="57" t="s">
        <v>108</v>
      </c>
      <c r="B156" s="58"/>
      <c r="C156" s="59">
        <f t="shared" ref="C156:AH156" si="92">C151+C152+C153+C154+C155</f>
        <v>385254.0733333333</v>
      </c>
      <c r="D156" s="59">
        <f t="shared" si="92"/>
        <v>318876.98666666663</v>
      </c>
      <c r="E156" s="59">
        <f t="shared" si="92"/>
        <v>252499.89999999997</v>
      </c>
      <c r="F156" s="59">
        <f t="shared" si="92"/>
        <v>163122.8133333333</v>
      </c>
      <c r="G156" s="59">
        <f t="shared" si="92"/>
        <v>96745.726666666626</v>
      </c>
      <c r="H156" s="59">
        <f t="shared" si="92"/>
        <v>29535.309999999954</v>
      </c>
      <c r="I156" s="59">
        <f t="shared" si="92"/>
        <v>-167675.10666666672</v>
      </c>
      <c r="J156" s="59">
        <f t="shared" si="92"/>
        <v>-374260.52333333337</v>
      </c>
      <c r="K156" s="59">
        <f t="shared" si="92"/>
        <v>-601845.94000000006</v>
      </c>
      <c r="L156" s="59">
        <f t="shared" si="92"/>
        <v>-808431.35666666669</v>
      </c>
      <c r="M156" s="59">
        <f t="shared" si="92"/>
        <v>-1265016.7733333334</v>
      </c>
      <c r="N156" s="59">
        <f t="shared" si="92"/>
        <v>-1471602.1900000002</v>
      </c>
      <c r="O156" s="59">
        <f t="shared" si="92"/>
        <v>-1678561.6066666669</v>
      </c>
      <c r="P156" s="59">
        <f t="shared" si="92"/>
        <v>-1885521.0233333337</v>
      </c>
      <c r="Q156" s="59">
        <f t="shared" si="92"/>
        <v>-2092480.4400000004</v>
      </c>
      <c r="R156" s="59">
        <f t="shared" si="92"/>
        <v>-2346806.1066666669</v>
      </c>
      <c r="S156" s="59">
        <f t="shared" si="92"/>
        <v>-2577671.7733333334</v>
      </c>
      <c r="T156" s="59">
        <f t="shared" si="92"/>
        <v>-2808537.44</v>
      </c>
      <c r="U156" s="59">
        <f t="shared" si="92"/>
        <v>-3039403.1066666665</v>
      </c>
      <c r="V156" s="59">
        <f t="shared" si="92"/>
        <v>-3270268.773333333</v>
      </c>
      <c r="W156" s="59">
        <f t="shared" si="92"/>
        <v>-3401148.6832854445</v>
      </c>
      <c r="X156" s="59">
        <f t="shared" si="92"/>
        <v>-3502014.349952111</v>
      </c>
      <c r="Y156" s="59">
        <f t="shared" si="92"/>
        <v>-3852880.0166187775</v>
      </c>
      <c r="Z156" s="59">
        <f t="shared" si="92"/>
        <v>-3896370.683285444</v>
      </c>
      <c r="AA156" s="59">
        <f t="shared" si="92"/>
        <v>-3997617.8299521105</v>
      </c>
      <c r="AB156" s="59">
        <f t="shared" si="92"/>
        <v>-4098864.976618777</v>
      </c>
      <c r="AC156" s="59">
        <f t="shared" si="92"/>
        <v>-4142737.1232854435</v>
      </c>
      <c r="AD156" s="59">
        <f t="shared" si="92"/>
        <v>-4267913.4699521102</v>
      </c>
      <c r="AE156" s="59">
        <f t="shared" si="92"/>
        <v>-4369160.6166187767</v>
      </c>
      <c r="AF156" s="59">
        <f t="shared" si="92"/>
        <v>-4470407.7632854432</v>
      </c>
      <c r="AG156" s="59">
        <f t="shared" si="92"/>
        <v>-4581154.9099521097</v>
      </c>
      <c r="AH156" s="59">
        <f t="shared" si="92"/>
        <v>-4691902.0566187762</v>
      </c>
      <c r="AI156" s="59">
        <f t="shared" ref="AI156:BN156" si="93">AI151+AI152+AI153+AI154+AI155</f>
        <v>-4824497.603285443</v>
      </c>
      <c r="AJ156" s="59">
        <f t="shared" si="93"/>
        <v>-4935244.7499521095</v>
      </c>
      <c r="AK156" s="59">
        <f t="shared" si="93"/>
        <v>-5045991.896618776</v>
      </c>
      <c r="AL156" s="59">
        <f t="shared" si="93"/>
        <v>-5156739.0432854425</v>
      </c>
      <c r="AM156" s="59">
        <f t="shared" si="93"/>
        <v>-5267875.2995521091</v>
      </c>
      <c r="AN156" s="59">
        <f t="shared" si="93"/>
        <v>-5379011.5558187757</v>
      </c>
      <c r="AO156" s="59">
        <f t="shared" si="93"/>
        <v>-5490147.8120854422</v>
      </c>
      <c r="AP156" s="59">
        <f t="shared" si="93"/>
        <v>-5625691.8523521088</v>
      </c>
      <c r="AQ156" s="59">
        <f t="shared" si="93"/>
        <v>-5736828.1086187754</v>
      </c>
      <c r="AR156" s="59">
        <f t="shared" si="93"/>
        <v>-5847964.364885442</v>
      </c>
      <c r="AS156" s="59">
        <f t="shared" si="93"/>
        <v>-5959100.6211521085</v>
      </c>
      <c r="AT156" s="59">
        <f t="shared" si="93"/>
        <v>-6070236.8774187751</v>
      </c>
      <c r="AU156" s="59">
        <f t="shared" si="93"/>
        <v>-6203658.5016854415</v>
      </c>
      <c r="AV156" s="59">
        <f t="shared" si="93"/>
        <v>-6314794.757952108</v>
      </c>
      <c r="AW156" s="59">
        <f t="shared" si="93"/>
        <v>-6425931.0142187746</v>
      </c>
      <c r="AX156" s="59">
        <f t="shared" si="93"/>
        <v>-6537067.2704854412</v>
      </c>
      <c r="AY156" s="59">
        <f t="shared" si="93"/>
        <v>-6648600.418544108</v>
      </c>
      <c r="AZ156" s="59">
        <f t="shared" si="93"/>
        <v>-6760133.5666027749</v>
      </c>
      <c r="BA156" s="59">
        <f t="shared" si="93"/>
        <v>-6871666.7146614417</v>
      </c>
      <c r="BB156" s="59">
        <f t="shared" si="93"/>
        <v>-7008095.8024001084</v>
      </c>
      <c r="BC156" s="59">
        <f t="shared" si="93"/>
        <v>-7119628.9504587753</v>
      </c>
      <c r="BD156" s="59">
        <f t="shared" si="93"/>
        <v>-7231162.0985174421</v>
      </c>
      <c r="BE156" s="59">
        <f t="shared" si="93"/>
        <v>-7342695.246576109</v>
      </c>
      <c r="BF156" s="59">
        <f t="shared" si="93"/>
        <v>-7454228.3946347758</v>
      </c>
      <c r="BG156" s="59">
        <f t="shared" si="93"/>
        <v>-7588492.6180534428</v>
      </c>
      <c r="BH156" s="59">
        <f t="shared" si="93"/>
        <v>-7700025.7661121096</v>
      </c>
      <c r="BI156" s="59">
        <f t="shared" si="93"/>
        <v>-7811558.9141707765</v>
      </c>
      <c r="BJ156" s="59">
        <f t="shared" si="93"/>
        <v>-7923092.0622294433</v>
      </c>
      <c r="BK156" s="59">
        <f t="shared" si="93"/>
        <v>-8035030.03991595</v>
      </c>
      <c r="BL156" s="59">
        <f t="shared" si="93"/>
        <v>-8146968.0176024567</v>
      </c>
      <c r="BM156" s="59">
        <f t="shared" si="93"/>
        <v>-8258905.9952889634</v>
      </c>
      <c r="BN156" s="59">
        <f t="shared" si="93"/>
        <v>-8396237.8314490709</v>
      </c>
      <c r="BO156" s="59">
        <f t="shared" ref="BO156:CT156" si="94">BO151+BO152+BO153+BO154+BO155</f>
        <v>-8508175.8091355767</v>
      </c>
      <c r="BP156" s="59">
        <f t="shared" si="94"/>
        <v>-8568600.2668220829</v>
      </c>
      <c r="BQ156" s="59">
        <f t="shared" si="94"/>
        <v>-8680538.2445085887</v>
      </c>
      <c r="BR156" s="59">
        <f t="shared" si="94"/>
        <v>-8792476.2221950945</v>
      </c>
      <c r="BS156" s="59">
        <f t="shared" si="94"/>
        <v>-8859837.8967488017</v>
      </c>
      <c r="BT156" s="59">
        <f t="shared" si="94"/>
        <v>-8971775.8744353075</v>
      </c>
      <c r="BU156" s="59">
        <f t="shared" si="94"/>
        <v>-9083713.8521218132</v>
      </c>
      <c r="BV156" s="59">
        <f t="shared" si="94"/>
        <v>-9127889.829808319</v>
      </c>
      <c r="BW156" s="59">
        <f t="shared" si="94"/>
        <v>-9240240.7337152231</v>
      </c>
      <c r="BX156" s="59">
        <f t="shared" si="94"/>
        <v>-9352591.6376221273</v>
      </c>
      <c r="BY156" s="59">
        <f t="shared" si="94"/>
        <v>-9397180.5415290315</v>
      </c>
      <c r="BZ156" s="59">
        <f t="shared" si="94"/>
        <v>-9535433.1810790077</v>
      </c>
      <c r="CA156" s="59">
        <f t="shared" si="94"/>
        <v>-9647784.0849859118</v>
      </c>
      <c r="CB156" s="59">
        <f t="shared" si="94"/>
        <v>-9683635.988892816</v>
      </c>
      <c r="CC156" s="59">
        <f t="shared" si="94"/>
        <v>-9795986.8927997202</v>
      </c>
      <c r="CD156" s="59">
        <f t="shared" si="94"/>
        <v>-9908337.7967066243</v>
      </c>
      <c r="CE156" s="59">
        <f t="shared" si="94"/>
        <v>-9967839.1114180721</v>
      </c>
      <c r="CF156" s="59">
        <f t="shared" si="94"/>
        <v>-10080190.015324976</v>
      </c>
      <c r="CG156" s="59">
        <f t="shared" si="94"/>
        <v>-10192540.91923188</v>
      </c>
      <c r="CH156" s="59">
        <f t="shared" si="94"/>
        <v>-10221784.796532305</v>
      </c>
      <c r="CI156" s="23"/>
      <c r="CJ156" s="54"/>
      <c r="CK156" s="54"/>
    </row>
    <row r="157" spans="1:89" ht="15" customHeight="1" x14ac:dyDescent="0.25">
      <c r="A157" s="22"/>
      <c r="B157" s="22"/>
      <c r="C157" s="22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  <c r="AB157" s="22"/>
      <c r="AC157" s="22"/>
      <c r="AD157" s="22"/>
      <c r="AE157" s="22"/>
      <c r="AF157" s="22"/>
      <c r="AG157" s="22"/>
      <c r="AH157" s="22"/>
      <c r="AI157" s="22"/>
      <c r="AJ157" s="22"/>
      <c r="AK157" s="22"/>
      <c r="AL157" s="22"/>
      <c r="AM157" s="22"/>
      <c r="AN157" s="22"/>
      <c r="AO157" s="22"/>
      <c r="AP157" s="22"/>
      <c r="AQ157" s="22"/>
      <c r="AR157" s="22"/>
      <c r="AS157" s="22"/>
      <c r="AT157" s="22"/>
      <c r="AU157" s="22"/>
      <c r="AV157" s="22"/>
      <c r="AW157" s="22"/>
      <c r="AX157" s="22"/>
      <c r="AY157" s="22"/>
      <c r="AZ157" s="22"/>
      <c r="BA157" s="22"/>
      <c r="BB157" s="22"/>
      <c r="BC157" s="22"/>
      <c r="BD157" s="22"/>
      <c r="BE157" s="22"/>
      <c r="BF157" s="22"/>
      <c r="BG157" s="22"/>
      <c r="BH157" s="22"/>
      <c r="BI157" s="22"/>
      <c r="BJ157" s="22"/>
      <c r="BK157" s="22"/>
      <c r="BL157" s="22"/>
      <c r="BM157" s="22"/>
      <c r="BN157" s="22"/>
      <c r="BO157" s="22"/>
      <c r="BP157" s="22"/>
      <c r="BQ157" s="22"/>
      <c r="BR157" s="22"/>
      <c r="BS157" s="22"/>
      <c r="BT157" s="22"/>
      <c r="BU157" s="22"/>
      <c r="BV157" s="22"/>
      <c r="BW157" s="22"/>
      <c r="BX157" s="22"/>
      <c r="BY157" s="22"/>
      <c r="BZ157" s="22"/>
      <c r="CA157" s="22"/>
      <c r="CB157" s="22"/>
      <c r="CC157" s="22"/>
      <c r="CD157" s="22"/>
      <c r="CE157" s="22"/>
      <c r="CF157" s="22"/>
      <c r="CG157" s="22"/>
      <c r="CH157" s="22"/>
      <c r="CI157" s="23"/>
      <c r="CJ157" s="54"/>
      <c r="CK157" s="54"/>
    </row>
    <row r="158" spans="1:89" ht="15" customHeight="1" x14ac:dyDescent="0.25">
      <c r="A158" s="6" t="s">
        <v>238</v>
      </c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6"/>
      <c r="AJ158" s="6"/>
      <c r="AK158" s="6"/>
      <c r="AL158" s="6"/>
      <c r="AM158" s="6"/>
      <c r="AN158" s="6"/>
      <c r="AO158" s="6"/>
      <c r="AP158" s="6"/>
      <c r="AQ158" s="6"/>
      <c r="AR158" s="6"/>
      <c r="AS158" s="6"/>
      <c r="AT158" s="6"/>
      <c r="AU158" s="6"/>
      <c r="AV158" s="6"/>
      <c r="AW158" s="6"/>
      <c r="AX158" s="6"/>
      <c r="AY158" s="6"/>
      <c r="AZ158" s="6"/>
      <c r="BA158" s="6"/>
      <c r="BB158" s="6"/>
      <c r="BC158" s="6"/>
      <c r="BD158" s="6"/>
      <c r="BE158" s="6"/>
      <c r="BF158" s="6"/>
      <c r="BG158" s="6"/>
      <c r="BH158" s="6"/>
      <c r="BI158" s="6"/>
      <c r="BJ158" s="6"/>
      <c r="BK158" s="6"/>
      <c r="BL158" s="6"/>
      <c r="BM158" s="6"/>
      <c r="BN158" s="6"/>
      <c r="BO158" s="6"/>
      <c r="BP158" s="6"/>
      <c r="BQ158" s="6"/>
      <c r="BR158" s="6"/>
      <c r="BS158" s="6"/>
      <c r="BT158" s="6"/>
      <c r="BU158" s="6"/>
      <c r="BV158" s="6"/>
      <c r="BW158" s="6"/>
      <c r="BX158" s="6"/>
      <c r="BY158" s="6"/>
      <c r="BZ158" s="6"/>
      <c r="CA158" s="6"/>
      <c r="CB158" s="6"/>
      <c r="CC158" s="6"/>
      <c r="CD158" s="6"/>
      <c r="CE158" s="6"/>
      <c r="CF158" s="6"/>
      <c r="CG158" s="6"/>
      <c r="CH158" s="6"/>
      <c r="CI158" s="23"/>
      <c r="CJ158" s="54"/>
      <c r="CK158" s="54"/>
    </row>
    <row r="159" spans="1:89" ht="15" customHeight="1" x14ac:dyDescent="0.25">
      <c r="A159" s="7" t="s">
        <v>239</v>
      </c>
      <c r="B159" s="22"/>
      <c r="C159" s="8">
        <f t="shared" ref="C159:AH159" si="95">C146+C151</f>
        <v>2103546.85</v>
      </c>
      <c r="D159" s="8">
        <f t="shared" si="95"/>
        <v>2134562.8721832512</v>
      </c>
      <c r="E159" s="8">
        <f t="shared" si="95"/>
        <v>2132275.1467907038</v>
      </c>
      <c r="F159" s="8">
        <f t="shared" si="95"/>
        <v>2101340.3651365186</v>
      </c>
      <c r="G159" s="8">
        <f t="shared" si="95"/>
        <v>2506267.1533068158</v>
      </c>
      <c r="H159" s="8">
        <f t="shared" si="95"/>
        <v>2615012.9627867732</v>
      </c>
      <c r="I159" s="8">
        <f t="shared" si="95"/>
        <v>2727211.5490359562</v>
      </c>
      <c r="J159" s="8">
        <f t="shared" si="95"/>
        <v>3039778.8686560635</v>
      </c>
      <c r="K159" s="8">
        <f t="shared" si="95"/>
        <v>3394282.1061241115</v>
      </c>
      <c r="L159" s="8">
        <f t="shared" si="95"/>
        <v>3495071.684887846</v>
      </c>
      <c r="M159" s="8">
        <f t="shared" si="95"/>
        <v>3625535.5533446465</v>
      </c>
      <c r="N159" s="8">
        <f t="shared" si="95"/>
        <v>3512059.8331953203</v>
      </c>
      <c r="O159" s="8">
        <f t="shared" si="95"/>
        <v>3651895.1170315947</v>
      </c>
      <c r="P159" s="8">
        <f t="shared" si="95"/>
        <v>3125738.5305503546</v>
      </c>
      <c r="Q159" s="8">
        <f t="shared" si="95"/>
        <v>3394126.8214029763</v>
      </c>
      <c r="R159" s="8">
        <f t="shared" si="95"/>
        <v>3811739.733389413</v>
      </c>
      <c r="S159" s="8">
        <f t="shared" si="95"/>
        <v>3992719.5522052418</v>
      </c>
      <c r="T159" s="8">
        <f t="shared" si="95"/>
        <v>4009698.279843024</v>
      </c>
      <c r="U159" s="8">
        <f t="shared" si="95"/>
        <v>4026639.3276123456</v>
      </c>
      <c r="V159" s="8">
        <f t="shared" si="95"/>
        <v>4060158.7367831115</v>
      </c>
      <c r="W159" s="8">
        <f t="shared" si="95"/>
        <v>4048358.6944267158</v>
      </c>
      <c r="X159" s="8">
        <f t="shared" si="95"/>
        <v>4125521.8333378048</v>
      </c>
      <c r="Y159" s="8">
        <f t="shared" si="95"/>
        <v>4218958.8826572662</v>
      </c>
      <c r="Z159" s="8">
        <f t="shared" si="95"/>
        <v>4046731.1739782835</v>
      </c>
      <c r="AA159" s="8">
        <f t="shared" si="95"/>
        <v>4165064.3513560649</v>
      </c>
      <c r="AB159" s="8">
        <f t="shared" si="95"/>
        <v>4285114.922620357</v>
      </c>
      <c r="AC159" s="8">
        <f t="shared" si="95"/>
        <v>4253120.3800326949</v>
      </c>
      <c r="AD159" s="8">
        <f t="shared" si="95"/>
        <v>3636390.2000910565</v>
      </c>
      <c r="AE159" s="8">
        <f t="shared" si="95"/>
        <v>3624250.2963639656</v>
      </c>
      <c r="AF159" s="8">
        <f t="shared" si="95"/>
        <v>3638152.6439492116</v>
      </c>
      <c r="AG159" s="8">
        <f t="shared" si="95"/>
        <v>3653351.9548653783</v>
      </c>
      <c r="AH159" s="8">
        <f t="shared" si="95"/>
        <v>3780367.7714114469</v>
      </c>
      <c r="AI159" s="8">
        <f t="shared" ref="AI159:BN159" si="96">AI146+AI151</f>
        <v>3731653.0094261114</v>
      </c>
      <c r="AJ159" s="8">
        <f t="shared" si="96"/>
        <v>3904237.6468262989</v>
      </c>
      <c r="AK159" s="8">
        <f t="shared" si="96"/>
        <v>3764493.0270855315</v>
      </c>
      <c r="AL159" s="8">
        <f t="shared" si="96"/>
        <v>3622409.5402351376</v>
      </c>
      <c r="AM159" s="8">
        <f t="shared" si="96"/>
        <v>3567396.4766679779</v>
      </c>
      <c r="AN159" s="8">
        <f t="shared" si="96"/>
        <v>3375005.8747121673</v>
      </c>
      <c r="AO159" s="8">
        <f t="shared" si="96"/>
        <v>3180021.2962655965</v>
      </c>
      <c r="AP159" s="8">
        <f t="shared" si="96"/>
        <v>2981773.9576042965</v>
      </c>
      <c r="AQ159" s="8">
        <f t="shared" si="96"/>
        <v>2755215.4742295705</v>
      </c>
      <c r="AR159" s="8">
        <f t="shared" si="96"/>
        <v>2548558.8478074083</v>
      </c>
      <c r="AS159" s="8">
        <f t="shared" si="96"/>
        <v>2594037.7996026725</v>
      </c>
      <c r="AT159" s="8">
        <f t="shared" si="96"/>
        <v>2254643.0913515156</v>
      </c>
      <c r="AU159" s="8">
        <f t="shared" si="96"/>
        <v>1913526.3923360724</v>
      </c>
      <c r="AV159" s="8">
        <f t="shared" si="96"/>
        <v>1547602.5655124867</v>
      </c>
      <c r="AW159" s="8">
        <f t="shared" si="96"/>
        <v>1200719.1107597584</v>
      </c>
      <c r="AX159" s="8">
        <f t="shared" si="96"/>
        <v>849957.35014124401</v>
      </c>
      <c r="AY159" s="8">
        <f t="shared" si="96"/>
        <v>494789.20648922957</v>
      </c>
      <c r="AZ159" s="8">
        <f t="shared" si="96"/>
        <v>133718.90505669359</v>
      </c>
      <c r="BA159" s="8">
        <f t="shared" si="96"/>
        <v>-232459.96897655725</v>
      </c>
      <c r="BB159" s="8">
        <f t="shared" si="96"/>
        <v>-603917.70136387926</v>
      </c>
      <c r="BC159" s="8">
        <f t="shared" si="96"/>
        <v>-1005605.7181543438</v>
      </c>
      <c r="BD159" s="8">
        <f t="shared" si="96"/>
        <v>-1387682.393588094</v>
      </c>
      <c r="BE159" s="8">
        <f t="shared" si="96"/>
        <v>-1774898.2547917012</v>
      </c>
      <c r="BF159" s="8">
        <f t="shared" si="96"/>
        <v>-2167029.4429658083</v>
      </c>
      <c r="BG159" s="8">
        <f t="shared" si="96"/>
        <v>-2328815.633003559</v>
      </c>
      <c r="BH159" s="8">
        <f t="shared" si="96"/>
        <v>-2864145.3941267617</v>
      </c>
      <c r="BI159" s="8">
        <f t="shared" si="96"/>
        <v>-3376744.0798899643</v>
      </c>
      <c r="BJ159" s="8">
        <f t="shared" si="96"/>
        <v>-3889342.7656531669</v>
      </c>
      <c r="BK159" s="8">
        <f t="shared" si="96"/>
        <v>-4401941.4514163695</v>
      </c>
      <c r="BL159" s="8">
        <f t="shared" si="96"/>
        <v>-4915648.1872615032</v>
      </c>
      <c r="BM159" s="8">
        <f t="shared" si="96"/>
        <v>-5429354.9231066369</v>
      </c>
      <c r="BN159" s="8">
        <f t="shared" si="96"/>
        <v>-5943061.6589517705</v>
      </c>
      <c r="BO159" s="8">
        <f t="shared" ref="BO159:CH159" si="97">BO146+BO151</f>
        <v>-6482162.253270505</v>
      </c>
      <c r="BP159" s="8">
        <f t="shared" si="97"/>
        <v>-6995868.9891156368</v>
      </c>
      <c r="BQ159" s="8">
        <f t="shared" si="97"/>
        <v>-7458062.20496077</v>
      </c>
      <c r="BR159" s="8">
        <f t="shared" si="97"/>
        <v>-7971768.9408059027</v>
      </c>
      <c r="BS159" s="8">
        <f t="shared" si="97"/>
        <v>-8485475.6766510345</v>
      </c>
      <c r="BT159" s="8">
        <f t="shared" si="97"/>
        <v>-8954606.1093633696</v>
      </c>
      <c r="BU159" s="8">
        <f t="shared" si="97"/>
        <v>-9468312.8452085014</v>
      </c>
      <c r="BV159" s="8">
        <f t="shared" si="97"/>
        <v>-9982019.5810536332</v>
      </c>
      <c r="BW159" s="8">
        <f t="shared" si="97"/>
        <v>-10427964.316898767</v>
      </c>
      <c r="BX159" s="8">
        <f t="shared" si="97"/>
        <v>-10942801.263827469</v>
      </c>
      <c r="BY159" s="8">
        <f t="shared" si="97"/>
        <v>-11457638.210756173</v>
      </c>
      <c r="BZ159" s="8">
        <f t="shared" si="97"/>
        <v>-11904713.157684878</v>
      </c>
      <c r="CA159" s="8">
        <f t="shared" si="97"/>
        <v>-12445451.840256652</v>
      </c>
      <c r="CB159" s="8">
        <f t="shared" si="97"/>
        <v>-12960288.787185356</v>
      </c>
      <c r="CC159" s="8">
        <f t="shared" si="97"/>
        <v>-13398626.734114058</v>
      </c>
      <c r="CD159" s="8">
        <f t="shared" si="97"/>
        <v>-13913463.681042761</v>
      </c>
      <c r="CE159" s="8">
        <f t="shared" si="97"/>
        <v>-14428300.627971465</v>
      </c>
      <c r="CF159" s="8">
        <f t="shared" si="97"/>
        <v>-14890287.985704713</v>
      </c>
      <c r="CG159" s="8">
        <f t="shared" si="97"/>
        <v>-15405124.932633415</v>
      </c>
      <c r="CH159" s="8">
        <f t="shared" si="97"/>
        <v>-15919961.879562117</v>
      </c>
      <c r="CI159" s="23"/>
      <c r="CJ159" s="54"/>
      <c r="CK159" s="54"/>
    </row>
    <row r="160" spans="1:89" ht="15" customHeight="1" x14ac:dyDescent="0.25">
      <c r="A160" s="7" t="s">
        <v>109</v>
      </c>
      <c r="B160" s="22"/>
      <c r="C160" s="8">
        <v>0</v>
      </c>
      <c r="D160" s="8">
        <v>0</v>
      </c>
      <c r="E160" s="8">
        <v>0</v>
      </c>
      <c r="F160" s="8">
        <v>0</v>
      </c>
      <c r="G160" s="8">
        <v>0</v>
      </c>
      <c r="H160" s="8">
        <v>0</v>
      </c>
      <c r="I160" s="8">
        <v>0</v>
      </c>
      <c r="J160" s="8">
        <v>0</v>
      </c>
      <c r="K160" s="8">
        <v>0</v>
      </c>
      <c r="L160" s="8">
        <v>0</v>
      </c>
      <c r="M160" s="8">
        <v>0</v>
      </c>
      <c r="N160" s="8">
        <f>IF((C96+D96+E96+F96+G96+H96+I96+J96+K96)&gt;0,-(C96+D96+E96+F96+G96+H96+I96+J96+K96)*0.3,0)</f>
        <v>-534457.4504663538</v>
      </c>
      <c r="O160" s="8">
        <v>0</v>
      </c>
      <c r="P160" s="8">
        <v>0</v>
      </c>
      <c r="Q160" s="8">
        <v>0</v>
      </c>
      <c r="R160" s="8">
        <v>0</v>
      </c>
      <c r="S160" s="8">
        <v>0</v>
      </c>
      <c r="T160" s="8">
        <v>0</v>
      </c>
      <c r="U160" s="8">
        <v>0</v>
      </c>
      <c r="V160" s="8">
        <v>0</v>
      </c>
      <c r="W160" s="8">
        <v>0</v>
      </c>
      <c r="X160" s="8">
        <v>0</v>
      </c>
      <c r="Y160" s="8">
        <v>0</v>
      </c>
      <c r="Z160" s="8">
        <f>IF((L96+M96+N96+O96+P96+Q96+R96+S96+T96+U96+V96+W96)&gt;0,-(L96+M96+N96+O96+P96+Q96+R96+S96+T96+U96+V96+W96)*0.3,0)</f>
        <v>-712925.81752062065</v>
      </c>
      <c r="AA160" s="8">
        <v>0</v>
      </c>
      <c r="AB160" s="8">
        <v>0</v>
      </c>
      <c r="AC160" s="8">
        <v>0</v>
      </c>
      <c r="AD160" s="8">
        <v>0</v>
      </c>
      <c r="AE160" s="8">
        <v>0</v>
      </c>
      <c r="AF160" s="8">
        <v>0</v>
      </c>
      <c r="AG160" s="8">
        <v>0</v>
      </c>
      <c r="AH160" s="8">
        <v>0</v>
      </c>
      <c r="AI160" s="8">
        <v>0</v>
      </c>
      <c r="AJ160" s="8">
        <v>0</v>
      </c>
      <c r="AK160" s="8">
        <v>0</v>
      </c>
      <c r="AL160" s="8">
        <f>IF((X96+Y96+Z96+AA96+AB96+AC96+AD96+AE96+AF96+AG96+AH96+AI96)&gt;0,-(X96+Y96+Z96+AA96+AB96+AC96+AD96+AE96+AF96+AG96+AH96+AI96)*0.3,0)</f>
        <v>-8614.7440465480486</v>
      </c>
      <c r="AM160" s="8">
        <v>0</v>
      </c>
      <c r="AN160" s="8">
        <v>0</v>
      </c>
      <c r="AO160" s="8">
        <v>0</v>
      </c>
      <c r="AP160" s="8">
        <v>0</v>
      </c>
      <c r="AQ160" s="8">
        <v>0</v>
      </c>
      <c r="AR160" s="8">
        <v>0</v>
      </c>
      <c r="AS160" s="8">
        <v>0</v>
      </c>
      <c r="AT160" s="8">
        <v>0</v>
      </c>
      <c r="AU160" s="8">
        <v>0</v>
      </c>
      <c r="AV160" s="8">
        <v>0</v>
      </c>
      <c r="AW160" s="8">
        <v>0</v>
      </c>
      <c r="AX160" s="8">
        <f>IF((AJ96+AK96+AL96+AM96+AN96+AO96+AP96+AQ96+AR96+AS96+AT96+AU96)&gt;0,-(AJ96+AK96+AL96+AM96+AN96+AO96+AP96+AQ96+AR96+AS96+AT96+AU96)*0.3,0)</f>
        <v>0</v>
      </c>
      <c r="AY160" s="8">
        <v>0</v>
      </c>
      <c r="AZ160" s="8">
        <v>0</v>
      </c>
      <c r="BA160" s="8">
        <v>0</v>
      </c>
      <c r="BB160" s="8">
        <v>0</v>
      </c>
      <c r="BC160" s="8">
        <v>0</v>
      </c>
      <c r="BD160" s="8">
        <v>0</v>
      </c>
      <c r="BE160" s="8">
        <v>0</v>
      </c>
      <c r="BF160" s="8">
        <v>0</v>
      </c>
      <c r="BG160" s="8">
        <v>0</v>
      </c>
      <c r="BH160" s="8">
        <v>0</v>
      </c>
      <c r="BI160" s="8">
        <v>0</v>
      </c>
      <c r="BJ160" s="8">
        <f>IF((AV96+AW96+AX96+AY96+AZ96+BA96+BB96+BC96+BD96+BE96+BF96+BG96)&gt;0,-(AV96+AW96+AX96+AY96+AZ96+BA96+BB96+BC96+BD96+BE96+BF96+BG96)*0.3,0)</f>
        <v>0</v>
      </c>
      <c r="BK160" s="8">
        <v>0</v>
      </c>
      <c r="BL160" s="8">
        <v>0</v>
      </c>
      <c r="BM160" s="8">
        <v>0</v>
      </c>
      <c r="BN160" s="8">
        <v>0</v>
      </c>
      <c r="BO160" s="8">
        <v>0</v>
      </c>
      <c r="BP160" s="8">
        <v>0</v>
      </c>
      <c r="BQ160" s="8">
        <v>0</v>
      </c>
      <c r="BR160" s="8">
        <v>0</v>
      </c>
      <c r="BS160" s="8">
        <v>0</v>
      </c>
      <c r="BT160" s="8">
        <v>0</v>
      </c>
      <c r="BU160" s="8">
        <v>0</v>
      </c>
      <c r="BV160" s="8">
        <f>IF((BH96+BI96+BJ96+BK96+BL96+BM96+BN96+BO96+BP96+BQ96+BR96+BS96)&gt;0,-(BH96+BI96+BJ96+BK96+BL96+BM96+BN96+BO96+BP96+BQ96+BR96+BS96)*0.3,0)</f>
        <v>0</v>
      </c>
      <c r="BW160" s="8">
        <v>0</v>
      </c>
      <c r="BX160" s="8">
        <v>0</v>
      </c>
      <c r="BY160" s="8">
        <v>0</v>
      </c>
      <c r="BZ160" s="8">
        <v>0</v>
      </c>
      <c r="CA160" s="8">
        <v>0</v>
      </c>
      <c r="CB160" s="8">
        <v>0</v>
      </c>
      <c r="CC160" s="8">
        <v>0</v>
      </c>
      <c r="CD160" s="8">
        <v>0</v>
      </c>
      <c r="CE160" s="8">
        <v>0</v>
      </c>
      <c r="CF160" s="8">
        <v>0</v>
      </c>
      <c r="CG160" s="8">
        <v>0</v>
      </c>
      <c r="CH160" s="8">
        <f>IF((BT96+BU96+BV96+BW96+BX96+BY96+BZ96+CA96+CB96+CC96+CD96+CE96)&gt;0,-(BT96+BU96+BV96+BW96+BX96+BY96+BZ96+CA96+CB96+CC96+CD96+CE96)*0.3,0)</f>
        <v>0</v>
      </c>
      <c r="CI160" s="23"/>
      <c r="CJ160" s="54"/>
      <c r="CK160" s="54"/>
    </row>
    <row r="161" spans="1:89" ht="15" customHeight="1" x14ac:dyDescent="0.25">
      <c r="A161" s="57" t="s">
        <v>110</v>
      </c>
      <c r="B161" s="58"/>
      <c r="C161" s="59">
        <f t="shared" ref="C161:AH161" si="98">C159+C147+C152+C153+C154+C155+C160</f>
        <v>2134562.8721832512</v>
      </c>
      <c r="D161" s="59">
        <f t="shared" si="98"/>
        <v>2132275.1467907038</v>
      </c>
      <c r="E161" s="59">
        <f t="shared" si="98"/>
        <v>2101340.3651365181</v>
      </c>
      <c r="F161" s="59">
        <f t="shared" si="98"/>
        <v>2506267.1533068153</v>
      </c>
      <c r="G161" s="59">
        <f t="shared" si="98"/>
        <v>2615012.9627867732</v>
      </c>
      <c r="H161" s="59">
        <f t="shared" si="98"/>
        <v>2727211.5490359562</v>
      </c>
      <c r="I161" s="59">
        <f t="shared" si="98"/>
        <v>3039778.8686560639</v>
      </c>
      <c r="J161" s="59">
        <f t="shared" si="98"/>
        <v>3394282.1061241115</v>
      </c>
      <c r="K161" s="59">
        <f t="shared" si="98"/>
        <v>3495071.684887846</v>
      </c>
      <c r="L161" s="59">
        <f t="shared" si="98"/>
        <v>3625535.5533446465</v>
      </c>
      <c r="M161" s="59">
        <f t="shared" si="98"/>
        <v>3512059.8331953208</v>
      </c>
      <c r="N161" s="59">
        <f t="shared" si="98"/>
        <v>3117437.6665652408</v>
      </c>
      <c r="O161" s="59">
        <f t="shared" si="98"/>
        <v>3125738.5305503546</v>
      </c>
      <c r="P161" s="59">
        <f t="shared" si="98"/>
        <v>3394126.8214029758</v>
      </c>
      <c r="Q161" s="59">
        <f t="shared" si="98"/>
        <v>3811739.7333894134</v>
      </c>
      <c r="R161" s="59">
        <f t="shared" si="98"/>
        <v>3992719.5522052418</v>
      </c>
      <c r="S161" s="59">
        <f t="shared" si="98"/>
        <v>4009698.2798430235</v>
      </c>
      <c r="T161" s="59">
        <f t="shared" si="98"/>
        <v>4026639.3276123456</v>
      </c>
      <c r="U161" s="59">
        <f t="shared" si="98"/>
        <v>4060158.7367831119</v>
      </c>
      <c r="V161" s="59">
        <f t="shared" si="98"/>
        <v>4048358.6944267158</v>
      </c>
      <c r="W161" s="59">
        <f t="shared" si="98"/>
        <v>4125521.8333378052</v>
      </c>
      <c r="X161" s="59">
        <f t="shared" si="98"/>
        <v>4218958.8826572653</v>
      </c>
      <c r="Y161" s="59">
        <f t="shared" si="98"/>
        <v>4046731.1739782831</v>
      </c>
      <c r="Z161" s="59">
        <f t="shared" si="98"/>
        <v>3452138.5338354446</v>
      </c>
      <c r="AA161" s="59">
        <f t="shared" si="98"/>
        <v>4285114.922620357</v>
      </c>
      <c r="AB161" s="59">
        <f t="shared" si="98"/>
        <v>4253120.3800326949</v>
      </c>
      <c r="AC161" s="59">
        <f t="shared" si="98"/>
        <v>3636390.2000910565</v>
      </c>
      <c r="AD161" s="59">
        <f t="shared" si="98"/>
        <v>3624250.2963639656</v>
      </c>
      <c r="AE161" s="59">
        <f t="shared" si="98"/>
        <v>3638152.643949212</v>
      </c>
      <c r="AF161" s="59">
        <f t="shared" si="98"/>
        <v>3653351.9548653783</v>
      </c>
      <c r="AG161" s="59">
        <f t="shared" si="98"/>
        <v>3780367.7714114469</v>
      </c>
      <c r="AH161" s="59">
        <f t="shared" si="98"/>
        <v>3731653.0094261118</v>
      </c>
      <c r="AI161" s="59">
        <f t="shared" ref="AI161:BN161" si="99">AI159+AI147+AI152+AI153+AI154+AI155+AI160</f>
        <v>3904237.6468262989</v>
      </c>
      <c r="AJ161" s="59">
        <f t="shared" si="99"/>
        <v>3764493.027085532</v>
      </c>
      <c r="AK161" s="59">
        <f t="shared" si="99"/>
        <v>3622409.5402351371</v>
      </c>
      <c r="AL161" s="59">
        <f t="shared" si="99"/>
        <v>3558781.73262143</v>
      </c>
      <c r="AM161" s="59">
        <f t="shared" si="99"/>
        <v>3375005.8747121678</v>
      </c>
      <c r="AN161" s="59">
        <f t="shared" si="99"/>
        <v>3180021.2962655975</v>
      </c>
      <c r="AO161" s="59">
        <f t="shared" si="99"/>
        <v>2981773.957604296</v>
      </c>
      <c r="AP161" s="59">
        <f t="shared" si="99"/>
        <v>2755215.4742295705</v>
      </c>
      <c r="AQ161" s="59">
        <f t="shared" si="99"/>
        <v>2548558.8478074078</v>
      </c>
      <c r="AR161" s="59">
        <f t="shared" si="99"/>
        <v>2594037.7996026729</v>
      </c>
      <c r="AS161" s="59">
        <f t="shared" si="99"/>
        <v>2254643.0913515156</v>
      </c>
      <c r="AT161" s="59">
        <f t="shared" si="99"/>
        <v>1913526.3923360729</v>
      </c>
      <c r="AU161" s="59">
        <f t="shared" si="99"/>
        <v>1547602.5655124867</v>
      </c>
      <c r="AV161" s="59">
        <f t="shared" si="99"/>
        <v>1200719.1107597584</v>
      </c>
      <c r="AW161" s="59">
        <f t="shared" si="99"/>
        <v>849957.35014124413</v>
      </c>
      <c r="AX161" s="59">
        <f t="shared" si="99"/>
        <v>494789.20648922969</v>
      </c>
      <c r="AY161" s="59">
        <f t="shared" si="99"/>
        <v>133718.90505669353</v>
      </c>
      <c r="AZ161" s="59">
        <f t="shared" si="99"/>
        <v>-232459.9689765567</v>
      </c>
      <c r="BA161" s="59">
        <f t="shared" si="99"/>
        <v>-603917.70136387891</v>
      </c>
      <c r="BB161" s="59">
        <f t="shared" si="99"/>
        <v>-1005605.7181543438</v>
      </c>
      <c r="BC161" s="59">
        <f t="shared" si="99"/>
        <v>-1387682.393588094</v>
      </c>
      <c r="BD161" s="59">
        <f t="shared" si="99"/>
        <v>-1774898.2547917014</v>
      </c>
      <c r="BE161" s="59">
        <f t="shared" si="99"/>
        <v>-2167029.4429658088</v>
      </c>
      <c r="BF161" s="59">
        <f t="shared" si="99"/>
        <v>-2328815.633003559</v>
      </c>
      <c r="BG161" s="59">
        <f t="shared" si="99"/>
        <v>-2864145.3941267612</v>
      </c>
      <c r="BH161" s="59">
        <f t="shared" si="99"/>
        <v>-3376744.0798899643</v>
      </c>
      <c r="BI161" s="59">
        <f t="shared" si="99"/>
        <v>-3889342.7656531669</v>
      </c>
      <c r="BJ161" s="59">
        <f t="shared" si="99"/>
        <v>-4401941.4514163695</v>
      </c>
      <c r="BK161" s="59">
        <f t="shared" si="99"/>
        <v>-4915648.1872615032</v>
      </c>
      <c r="BL161" s="59">
        <f t="shared" si="99"/>
        <v>-5429354.9231066369</v>
      </c>
      <c r="BM161" s="59">
        <f t="shared" si="99"/>
        <v>-5943061.6589517705</v>
      </c>
      <c r="BN161" s="59">
        <f t="shared" si="99"/>
        <v>-6482162.2532705041</v>
      </c>
      <c r="BO161" s="59">
        <f t="shared" ref="BO161:CT161" si="100">BO159+BO147+BO152+BO153+BO154+BO155+BO160</f>
        <v>-6995868.9891156387</v>
      </c>
      <c r="BP161" s="59">
        <f t="shared" si="100"/>
        <v>-7458062.20496077</v>
      </c>
      <c r="BQ161" s="59">
        <f t="shared" si="100"/>
        <v>-7971768.9408059036</v>
      </c>
      <c r="BR161" s="59">
        <f t="shared" si="100"/>
        <v>-8485475.6766510364</v>
      </c>
      <c r="BS161" s="59">
        <f t="shared" si="100"/>
        <v>-8954606.1093633678</v>
      </c>
      <c r="BT161" s="59">
        <f t="shared" si="100"/>
        <v>-9468312.8452085014</v>
      </c>
      <c r="BU161" s="59">
        <f t="shared" si="100"/>
        <v>-9982019.5810536332</v>
      </c>
      <c r="BV161" s="59">
        <f t="shared" si="100"/>
        <v>-10427964.316898765</v>
      </c>
      <c r="BW161" s="59">
        <f t="shared" si="100"/>
        <v>-10942801.263827471</v>
      </c>
      <c r="BX161" s="59">
        <f t="shared" si="100"/>
        <v>-11457638.210756173</v>
      </c>
      <c r="BY161" s="59">
        <f t="shared" si="100"/>
        <v>-11904713.157684878</v>
      </c>
      <c r="BZ161" s="59">
        <f t="shared" si="100"/>
        <v>-12445451.840256654</v>
      </c>
      <c r="CA161" s="59">
        <f t="shared" si="100"/>
        <v>-12960288.787185356</v>
      </c>
      <c r="CB161" s="59">
        <f t="shared" si="100"/>
        <v>-13398626.73411406</v>
      </c>
      <c r="CC161" s="59">
        <f t="shared" si="100"/>
        <v>-13913463.681042762</v>
      </c>
      <c r="CD161" s="59">
        <f t="shared" si="100"/>
        <v>-14428300.627971465</v>
      </c>
      <c r="CE161" s="59">
        <f t="shared" si="100"/>
        <v>-14890287.985704713</v>
      </c>
      <c r="CF161" s="59">
        <f t="shared" si="100"/>
        <v>-15405124.932633417</v>
      </c>
      <c r="CG161" s="59">
        <f t="shared" si="100"/>
        <v>-15919961.879562119</v>
      </c>
      <c r="CH161" s="59">
        <f t="shared" si="100"/>
        <v>-16351691.799884342</v>
      </c>
      <c r="CI161" s="23"/>
      <c r="CJ161" s="54"/>
      <c r="CK161" s="54"/>
    </row>
    <row r="162" spans="1:89" ht="15" customHeight="1" x14ac:dyDescent="0.25">
      <c r="A162" s="22"/>
      <c r="B162" s="22"/>
      <c r="C162" s="22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  <c r="AA162" s="22"/>
      <c r="AB162" s="22"/>
      <c r="AC162" s="22"/>
      <c r="AD162" s="22"/>
      <c r="AE162" s="22"/>
      <c r="AF162" s="22"/>
      <c r="AG162" s="22"/>
      <c r="AH162" s="22"/>
      <c r="AI162" s="22"/>
      <c r="AJ162" s="22"/>
      <c r="AK162" s="22"/>
      <c r="AL162" s="22"/>
      <c r="AM162" s="22"/>
      <c r="AN162" s="22"/>
      <c r="AO162" s="22"/>
      <c r="AP162" s="22"/>
      <c r="AQ162" s="22"/>
      <c r="AR162" s="22"/>
      <c r="AS162" s="22"/>
      <c r="AT162" s="22"/>
      <c r="AU162" s="22"/>
      <c r="AV162" s="22"/>
      <c r="AW162" s="22"/>
      <c r="AX162" s="22"/>
      <c r="AY162" s="22"/>
      <c r="AZ162" s="22"/>
      <c r="BA162" s="22"/>
      <c r="BB162" s="22"/>
      <c r="BC162" s="22"/>
      <c r="BD162" s="22"/>
      <c r="BE162" s="22"/>
      <c r="BF162" s="22"/>
      <c r="BG162" s="22"/>
      <c r="BH162" s="22"/>
      <c r="BI162" s="22"/>
      <c r="BJ162" s="22"/>
      <c r="BK162" s="22"/>
      <c r="BL162" s="22"/>
      <c r="BM162" s="22"/>
      <c r="BN162" s="22"/>
      <c r="BO162" s="22"/>
      <c r="BP162" s="22"/>
      <c r="BQ162" s="22"/>
      <c r="BR162" s="22"/>
      <c r="BS162" s="22"/>
      <c r="BT162" s="22"/>
      <c r="BU162" s="22"/>
      <c r="BV162" s="22"/>
      <c r="BW162" s="22"/>
      <c r="BX162" s="22"/>
      <c r="BY162" s="22"/>
      <c r="BZ162" s="22"/>
      <c r="CA162" s="22"/>
      <c r="CB162" s="22"/>
      <c r="CC162" s="22"/>
      <c r="CD162" s="22"/>
      <c r="CE162" s="22"/>
      <c r="CF162" s="22"/>
      <c r="CG162" s="22"/>
      <c r="CH162" s="22"/>
      <c r="CI162" s="23"/>
      <c r="CJ162" s="54"/>
      <c r="CK162" s="54"/>
    </row>
    <row r="163" spans="1:89" ht="15" customHeight="1" x14ac:dyDescent="0.25">
      <c r="A163" s="60" t="s">
        <v>240</v>
      </c>
      <c r="B163" s="22"/>
      <c r="C163" s="22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  <c r="AA163" s="22"/>
      <c r="AB163" s="22"/>
      <c r="AC163" s="22"/>
      <c r="AD163" s="22"/>
      <c r="AE163" s="22"/>
      <c r="AF163" s="22"/>
      <c r="AG163" s="22"/>
      <c r="AH163" s="22"/>
      <c r="AI163" s="22"/>
      <c r="AJ163" s="22"/>
      <c r="AK163" s="22"/>
      <c r="AL163" s="22"/>
      <c r="AM163" s="22"/>
      <c r="AN163" s="22"/>
      <c r="AO163" s="22"/>
      <c r="AP163" s="22"/>
      <c r="AQ163" s="22"/>
      <c r="AR163" s="22"/>
      <c r="AS163" s="22"/>
      <c r="AT163" s="22"/>
      <c r="AU163" s="22"/>
      <c r="AV163" s="22"/>
      <c r="AW163" s="22"/>
      <c r="AX163" s="22"/>
      <c r="AY163" s="22"/>
      <c r="AZ163" s="22"/>
      <c r="BA163" s="22"/>
      <c r="BB163" s="22"/>
      <c r="BC163" s="22"/>
      <c r="BD163" s="22"/>
      <c r="BE163" s="22"/>
      <c r="BF163" s="22"/>
      <c r="BG163" s="22"/>
      <c r="BH163" s="22"/>
      <c r="BI163" s="22"/>
      <c r="BJ163" s="22"/>
      <c r="BK163" s="22"/>
      <c r="BL163" s="22"/>
      <c r="BM163" s="22"/>
      <c r="BN163" s="22"/>
      <c r="BO163" s="22"/>
      <c r="BP163" s="22"/>
      <c r="BQ163" s="22"/>
      <c r="BR163" s="22"/>
      <c r="BS163" s="22"/>
      <c r="BT163" s="22"/>
      <c r="BU163" s="22"/>
      <c r="BV163" s="22"/>
      <c r="BW163" s="22"/>
      <c r="BX163" s="22"/>
      <c r="BY163" s="22"/>
      <c r="BZ163" s="22"/>
      <c r="CA163" s="22"/>
      <c r="CB163" s="22"/>
      <c r="CC163" s="22"/>
      <c r="CD163" s="22"/>
      <c r="CE163" s="22"/>
      <c r="CF163" s="22"/>
      <c r="CG163" s="22"/>
      <c r="CH163" s="22"/>
      <c r="CI163" s="23"/>
      <c r="CJ163" s="54"/>
      <c r="CK163" s="54"/>
    </row>
    <row r="164" spans="1:89" ht="15" customHeight="1" x14ac:dyDescent="0.25">
      <c r="A164" s="61" t="s">
        <v>241</v>
      </c>
      <c r="B164" s="22"/>
      <c r="C164" s="22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  <c r="AA164" s="22"/>
      <c r="AB164" s="22"/>
      <c r="AC164" s="22"/>
      <c r="AD164" s="22"/>
      <c r="AE164" s="22"/>
      <c r="AF164" s="22"/>
      <c r="AG164" s="22"/>
      <c r="AH164" s="22"/>
      <c r="AI164" s="22"/>
      <c r="AJ164" s="22"/>
      <c r="AK164" s="22"/>
      <c r="AL164" s="22"/>
      <c r="AM164" s="22"/>
      <c r="AN164" s="22"/>
      <c r="AO164" s="22"/>
      <c r="AP164" s="22"/>
      <c r="AQ164" s="22"/>
      <c r="AR164" s="22"/>
      <c r="AS164" s="22"/>
      <c r="AT164" s="22"/>
      <c r="AU164" s="22"/>
      <c r="AV164" s="22"/>
      <c r="AW164" s="22"/>
      <c r="AX164" s="22"/>
      <c r="AY164" s="22"/>
      <c r="AZ164" s="22"/>
      <c r="BA164" s="22"/>
      <c r="BB164" s="22"/>
      <c r="BC164" s="22"/>
      <c r="BD164" s="22"/>
      <c r="BE164" s="22"/>
      <c r="BF164" s="22"/>
      <c r="BG164" s="22"/>
      <c r="BH164" s="22"/>
      <c r="BI164" s="22"/>
      <c r="BJ164" s="22"/>
      <c r="BK164" s="22"/>
      <c r="BL164" s="22"/>
      <c r="BM164" s="22"/>
      <c r="BN164" s="22"/>
      <c r="BO164" s="22"/>
      <c r="BP164" s="22"/>
      <c r="BQ164" s="22"/>
      <c r="BR164" s="22"/>
      <c r="BS164" s="22"/>
      <c r="BT164" s="22"/>
      <c r="BU164" s="22"/>
      <c r="BV164" s="22"/>
      <c r="BW164" s="22"/>
      <c r="BX164" s="22"/>
      <c r="BY164" s="22"/>
      <c r="BZ164" s="22"/>
      <c r="CA164" s="22"/>
      <c r="CB164" s="22"/>
      <c r="CC164" s="22"/>
      <c r="CD164" s="22"/>
      <c r="CE164" s="22"/>
      <c r="CF164" s="22"/>
      <c r="CG164" s="22"/>
      <c r="CH164" s="22"/>
      <c r="CI164" s="23"/>
      <c r="CJ164" s="54"/>
      <c r="CK164" s="54"/>
    </row>
    <row r="165" spans="1:89" ht="15" customHeight="1" x14ac:dyDescent="0.25">
      <c r="A165" s="62" t="s">
        <v>242</v>
      </c>
      <c r="B165" s="22"/>
      <c r="C165" s="22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  <c r="AA165" s="22"/>
      <c r="AB165" s="22"/>
      <c r="AC165" s="22"/>
      <c r="AD165" s="22"/>
      <c r="AE165" s="22"/>
      <c r="AF165" s="22"/>
      <c r="AG165" s="22"/>
      <c r="AH165" s="22"/>
      <c r="AI165" s="22"/>
      <c r="AJ165" s="22"/>
      <c r="AK165" s="22"/>
      <c r="AL165" s="22"/>
      <c r="AM165" s="22"/>
      <c r="AN165" s="22"/>
      <c r="AO165" s="22"/>
      <c r="AP165" s="22"/>
      <c r="AQ165" s="22"/>
      <c r="AR165" s="22"/>
      <c r="AS165" s="22"/>
      <c r="AT165" s="22"/>
      <c r="AU165" s="22"/>
      <c r="AV165" s="22"/>
      <c r="AW165" s="22"/>
      <c r="AX165" s="22"/>
      <c r="AY165" s="22"/>
      <c r="AZ165" s="22"/>
      <c r="BA165" s="22"/>
      <c r="BB165" s="22"/>
      <c r="BC165" s="22"/>
      <c r="BD165" s="22"/>
      <c r="BE165" s="22"/>
      <c r="BF165" s="22"/>
      <c r="BG165" s="22"/>
      <c r="BH165" s="22"/>
      <c r="BI165" s="22"/>
      <c r="BJ165" s="22"/>
      <c r="BK165" s="22"/>
      <c r="BL165" s="22"/>
      <c r="BM165" s="22"/>
      <c r="BN165" s="22"/>
      <c r="BO165" s="22"/>
      <c r="BP165" s="22"/>
      <c r="BQ165" s="22"/>
      <c r="BR165" s="22"/>
      <c r="BS165" s="22"/>
      <c r="BT165" s="22"/>
      <c r="BU165" s="22"/>
      <c r="BV165" s="22"/>
      <c r="BW165" s="22"/>
      <c r="BX165" s="22"/>
      <c r="BY165" s="22"/>
      <c r="BZ165" s="22"/>
      <c r="CA165" s="22"/>
      <c r="CB165" s="22"/>
      <c r="CC165" s="22"/>
      <c r="CD165" s="22"/>
      <c r="CE165" s="22"/>
      <c r="CF165" s="22"/>
      <c r="CG165" s="22"/>
      <c r="CH165" s="22"/>
      <c r="CI165" s="23"/>
      <c r="CJ165" s="54"/>
      <c r="CK165" s="54"/>
    </row>
    <row r="166" spans="1:89" ht="15" customHeight="1" x14ac:dyDescent="0.25">
      <c r="A166" s="62" t="s">
        <v>243</v>
      </c>
      <c r="B166" s="22"/>
      <c r="C166" s="22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  <c r="AA166" s="22"/>
      <c r="AB166" s="22"/>
      <c r="AC166" s="22"/>
      <c r="AD166" s="22"/>
      <c r="AE166" s="22"/>
      <c r="AF166" s="22"/>
      <c r="AG166" s="22"/>
      <c r="AH166" s="22"/>
      <c r="AI166" s="22"/>
      <c r="AJ166" s="22"/>
      <c r="AK166" s="22"/>
      <c r="AL166" s="22"/>
      <c r="AM166" s="22"/>
      <c r="AN166" s="22"/>
      <c r="AO166" s="22"/>
      <c r="AP166" s="22"/>
      <c r="AQ166" s="22"/>
      <c r="AR166" s="22"/>
      <c r="AS166" s="22"/>
      <c r="AT166" s="22"/>
      <c r="AU166" s="22"/>
      <c r="AV166" s="22"/>
      <c r="AW166" s="22"/>
      <c r="AX166" s="22"/>
      <c r="AY166" s="22"/>
      <c r="AZ166" s="22"/>
      <c r="BA166" s="22"/>
      <c r="BB166" s="22"/>
      <c r="BC166" s="22"/>
      <c r="BD166" s="22"/>
      <c r="BE166" s="22"/>
      <c r="BF166" s="22"/>
      <c r="BG166" s="22"/>
      <c r="BH166" s="22"/>
      <c r="BI166" s="22"/>
      <c r="BJ166" s="22"/>
      <c r="BK166" s="22"/>
      <c r="BL166" s="22"/>
      <c r="BM166" s="22"/>
      <c r="BN166" s="22"/>
      <c r="BO166" s="22"/>
      <c r="BP166" s="22"/>
      <c r="BQ166" s="22"/>
      <c r="BR166" s="22"/>
      <c r="BS166" s="22"/>
      <c r="BT166" s="22"/>
      <c r="BU166" s="22"/>
      <c r="BV166" s="22"/>
      <c r="BW166" s="22"/>
      <c r="BX166" s="22"/>
      <c r="BY166" s="22"/>
      <c r="BZ166" s="22"/>
      <c r="CA166" s="22"/>
      <c r="CB166" s="22"/>
      <c r="CC166" s="22"/>
      <c r="CD166" s="22"/>
      <c r="CE166" s="22"/>
      <c r="CF166" s="22"/>
      <c r="CG166" s="22"/>
      <c r="CH166" s="22"/>
      <c r="CI166" s="23"/>
      <c r="CJ166" s="54"/>
      <c r="CK166" s="54"/>
    </row>
    <row r="167" spans="1:89" ht="15" customHeight="1" x14ac:dyDescent="0.25">
      <c r="A167" s="62" t="s">
        <v>244</v>
      </c>
      <c r="B167" s="22"/>
      <c r="C167" s="22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  <c r="AA167" s="22"/>
      <c r="AB167" s="22"/>
      <c r="AC167" s="22"/>
      <c r="AD167" s="22"/>
      <c r="AE167" s="22"/>
      <c r="AF167" s="22"/>
      <c r="AG167" s="22"/>
      <c r="AH167" s="22"/>
      <c r="AI167" s="22"/>
      <c r="AJ167" s="22"/>
      <c r="AK167" s="22"/>
      <c r="AL167" s="22"/>
      <c r="AM167" s="22"/>
      <c r="AN167" s="22"/>
      <c r="AO167" s="22"/>
      <c r="AP167" s="22"/>
      <c r="AQ167" s="22"/>
      <c r="AR167" s="22"/>
      <c r="AS167" s="22"/>
      <c r="AT167" s="22"/>
      <c r="AU167" s="22"/>
      <c r="AV167" s="22"/>
      <c r="AW167" s="22"/>
      <c r="AX167" s="22"/>
      <c r="AY167" s="22"/>
      <c r="AZ167" s="22"/>
      <c r="BA167" s="22"/>
      <c r="BB167" s="22"/>
      <c r="BC167" s="22"/>
      <c r="BD167" s="22"/>
      <c r="BE167" s="22"/>
      <c r="BF167" s="22"/>
      <c r="BG167" s="22"/>
      <c r="BH167" s="22"/>
      <c r="BI167" s="22"/>
      <c r="BJ167" s="22"/>
      <c r="BK167" s="22"/>
      <c r="BL167" s="22"/>
      <c r="BM167" s="22"/>
      <c r="BN167" s="22"/>
      <c r="BO167" s="22"/>
      <c r="BP167" s="22"/>
      <c r="BQ167" s="22"/>
      <c r="BR167" s="22"/>
      <c r="BS167" s="22"/>
      <c r="BT167" s="22"/>
      <c r="BU167" s="22"/>
      <c r="BV167" s="22"/>
      <c r="BW167" s="22"/>
      <c r="BX167" s="22"/>
      <c r="BY167" s="22"/>
      <c r="BZ167" s="22"/>
      <c r="CA167" s="22"/>
      <c r="CB167" s="22"/>
      <c r="CC167" s="22"/>
      <c r="CD167" s="22"/>
      <c r="CE167" s="22"/>
      <c r="CF167" s="22"/>
      <c r="CG167" s="22"/>
      <c r="CH167" s="22"/>
      <c r="CI167" s="23"/>
      <c r="CJ167" s="54"/>
      <c r="CK167" s="54"/>
    </row>
    <row r="168" spans="1:89" ht="15" customHeight="1" x14ac:dyDescent="0.25">
      <c r="A168" s="54"/>
      <c r="B168" s="54"/>
      <c r="C168" s="54"/>
      <c r="D168" s="54"/>
      <c r="E168" s="54"/>
      <c r="F168" s="54"/>
      <c r="G168" s="54"/>
      <c r="H168" s="54"/>
      <c r="I168" s="54"/>
      <c r="J168" s="54"/>
      <c r="K168" s="54"/>
      <c r="L168" s="54"/>
      <c r="M168" s="54"/>
      <c r="N168" s="54"/>
      <c r="O168" s="54"/>
      <c r="P168" s="54"/>
      <c r="Q168" s="54"/>
      <c r="R168" s="54"/>
      <c r="S168" s="54"/>
      <c r="T168" s="54"/>
      <c r="U168" s="54"/>
      <c r="V168" s="54"/>
      <c r="W168" s="54"/>
      <c r="X168" s="54"/>
      <c r="Y168" s="54"/>
      <c r="Z168" s="54"/>
      <c r="AA168" s="54"/>
      <c r="AB168" s="54"/>
      <c r="AC168" s="54"/>
      <c r="AD168" s="54"/>
      <c r="AE168" s="54"/>
      <c r="AF168" s="54"/>
      <c r="AG168" s="54"/>
      <c r="AH168" s="54"/>
      <c r="AI168" s="54"/>
      <c r="AJ168" s="54"/>
      <c r="AK168" s="54"/>
      <c r="AL168" s="54"/>
      <c r="AM168" s="54"/>
      <c r="AN168" s="54"/>
      <c r="AO168" s="54"/>
      <c r="AP168" s="54"/>
      <c r="AQ168" s="54"/>
      <c r="AR168" s="54"/>
      <c r="AS168" s="54"/>
      <c r="AT168" s="54"/>
      <c r="AU168" s="54"/>
      <c r="AV168" s="54"/>
      <c r="AW168" s="54"/>
      <c r="AX168" s="54"/>
      <c r="AY168" s="54"/>
      <c r="AZ168" s="54"/>
      <c r="BA168" s="54"/>
      <c r="BB168" s="54"/>
      <c r="BC168" s="54"/>
      <c r="BD168" s="54"/>
      <c r="BE168" s="54"/>
      <c r="BF168" s="54"/>
      <c r="BG168" s="54"/>
      <c r="BH168" s="54"/>
      <c r="BI168" s="54"/>
      <c r="BJ168" s="54"/>
      <c r="BK168" s="54"/>
      <c r="BL168" s="54"/>
      <c r="BM168" s="54"/>
      <c r="BN168" s="54"/>
      <c r="BO168" s="54"/>
      <c r="BP168" s="54"/>
      <c r="BQ168" s="54"/>
      <c r="BR168" s="54"/>
      <c r="BS168" s="54"/>
      <c r="BT168" s="54"/>
      <c r="BU168" s="54"/>
      <c r="BV168" s="54"/>
      <c r="BW168" s="54"/>
      <c r="BX168" s="54"/>
      <c r="BY168" s="54"/>
      <c r="BZ168" s="54"/>
      <c r="CA168" s="54"/>
      <c r="CB168" s="54"/>
      <c r="CC168" s="54"/>
      <c r="CD168" s="54"/>
      <c r="CE168" s="54"/>
      <c r="CF168" s="54"/>
      <c r="CG168" s="54"/>
      <c r="CH168" s="54"/>
      <c r="CI168" s="54"/>
      <c r="CJ168" s="54"/>
      <c r="CK168" s="54"/>
    </row>
    <row r="169" spans="1:89" ht="15" customHeight="1" x14ac:dyDescent="0.25">
      <c r="A169" s="62"/>
      <c r="B169" s="22"/>
      <c r="C169" s="22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  <c r="AA169" s="22"/>
      <c r="AB169" s="22"/>
      <c r="AC169" s="22"/>
      <c r="AD169" s="22"/>
      <c r="AE169" s="22"/>
      <c r="AF169" s="22"/>
      <c r="AG169" s="22"/>
      <c r="AH169" s="22"/>
      <c r="AI169" s="22"/>
      <c r="AJ169" s="22"/>
      <c r="AK169" s="22"/>
      <c r="AL169" s="22"/>
      <c r="AM169" s="22"/>
      <c r="AN169" s="22"/>
      <c r="AO169" s="22"/>
      <c r="AP169" s="22"/>
      <c r="AQ169" s="22"/>
      <c r="AR169" s="22"/>
      <c r="AS169" s="22"/>
      <c r="AT169" s="22"/>
      <c r="AU169" s="22"/>
      <c r="AV169" s="22"/>
      <c r="AW169" s="22"/>
      <c r="AX169" s="22"/>
      <c r="AY169" s="22"/>
      <c r="AZ169" s="22"/>
      <c r="BA169" s="22"/>
      <c r="BB169" s="22"/>
      <c r="BC169" s="22"/>
      <c r="BD169" s="22"/>
      <c r="BE169" s="22"/>
      <c r="BF169" s="22"/>
      <c r="BG169" s="22"/>
      <c r="BH169" s="22"/>
      <c r="BI169" s="22"/>
      <c r="BJ169" s="22"/>
      <c r="BK169" s="22"/>
      <c r="BL169" s="22"/>
      <c r="BM169" s="22"/>
      <c r="BN169" s="22"/>
      <c r="BO169" s="22"/>
      <c r="BP169" s="22"/>
      <c r="BQ169" s="22"/>
      <c r="BR169" s="22"/>
      <c r="BS169" s="22"/>
      <c r="BT169" s="22"/>
      <c r="BU169" s="22"/>
      <c r="BV169" s="22"/>
      <c r="BW169" s="22"/>
      <c r="BX169" s="22"/>
      <c r="BY169" s="22"/>
      <c r="BZ169" s="22"/>
      <c r="CA169" s="22"/>
      <c r="CB169" s="22"/>
      <c r="CC169" s="22"/>
      <c r="CD169" s="22"/>
      <c r="CE169" s="22"/>
      <c r="CF169" s="22"/>
      <c r="CG169" s="22"/>
      <c r="CH169" s="22"/>
      <c r="CI169" s="23"/>
      <c r="CJ169" s="54"/>
      <c r="CK169" s="54"/>
    </row>
    <row r="170" spans="1:89" ht="15" customHeight="1" x14ac:dyDescent="0.25">
      <c r="A170" s="54"/>
      <c r="B170" s="54"/>
      <c r="C170" s="54"/>
      <c r="D170" s="54"/>
      <c r="E170" s="54"/>
      <c r="F170" s="54"/>
      <c r="G170" s="54"/>
      <c r="H170" s="54"/>
      <c r="I170" s="54"/>
      <c r="J170" s="54"/>
      <c r="K170" s="54"/>
      <c r="L170" s="54"/>
      <c r="M170" s="54"/>
      <c r="N170" s="54"/>
      <c r="O170" s="54"/>
      <c r="P170" s="54"/>
      <c r="Q170" s="54"/>
      <c r="R170" s="54"/>
      <c r="S170" s="54"/>
      <c r="T170" s="54"/>
      <c r="U170" s="54"/>
      <c r="V170" s="54"/>
      <c r="W170" s="54"/>
      <c r="X170" s="54"/>
      <c r="Y170" s="54"/>
      <c r="Z170" s="54"/>
      <c r="AA170" s="54"/>
      <c r="AB170" s="54"/>
      <c r="AC170" s="54"/>
      <c r="AD170" s="54"/>
      <c r="AE170" s="54"/>
      <c r="AF170" s="54"/>
      <c r="AG170" s="54"/>
      <c r="AH170" s="54"/>
      <c r="AI170" s="54"/>
      <c r="AJ170" s="54"/>
      <c r="AK170" s="54"/>
      <c r="AL170" s="54"/>
      <c r="AM170" s="54"/>
      <c r="AN170" s="54"/>
      <c r="AO170" s="54"/>
      <c r="AP170" s="54"/>
      <c r="AQ170" s="54"/>
      <c r="AR170" s="54"/>
      <c r="AS170" s="54"/>
      <c r="AT170" s="54"/>
      <c r="AU170" s="54"/>
      <c r="AV170" s="54"/>
      <c r="AW170" s="54"/>
      <c r="AX170" s="54"/>
      <c r="AY170" s="54"/>
      <c r="AZ170" s="54"/>
      <c r="BA170" s="54"/>
      <c r="BB170" s="54"/>
      <c r="BC170" s="54"/>
      <c r="BD170" s="54"/>
      <c r="BE170" s="54"/>
      <c r="BF170" s="54"/>
      <c r="BG170" s="54"/>
      <c r="BH170" s="54"/>
      <c r="BI170" s="54"/>
      <c r="BJ170" s="54"/>
      <c r="BK170" s="54"/>
      <c r="BL170" s="54"/>
      <c r="BM170" s="54"/>
      <c r="BN170" s="54"/>
      <c r="BO170" s="54"/>
      <c r="BP170" s="54"/>
      <c r="BQ170" s="54"/>
      <c r="BR170" s="54"/>
      <c r="BS170" s="54"/>
      <c r="BT170" s="54"/>
      <c r="BU170" s="54"/>
      <c r="BV170" s="54"/>
      <c r="BW170" s="54"/>
      <c r="BX170" s="54"/>
      <c r="BY170" s="54"/>
      <c r="BZ170" s="54"/>
      <c r="CA170" s="54"/>
      <c r="CB170" s="54"/>
      <c r="CC170" s="54"/>
      <c r="CD170" s="54"/>
      <c r="CE170" s="54"/>
      <c r="CF170" s="54"/>
      <c r="CG170" s="54"/>
      <c r="CH170" s="54"/>
      <c r="CI170" s="54"/>
      <c r="CJ170" s="54"/>
      <c r="CK170" s="54"/>
    </row>
  </sheetData>
  <mergeCells count="1">
    <mergeCell ref="A1:H1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C4581A"/>
  </sheetPr>
  <dimension ref="A1:AC45"/>
  <sheetViews>
    <sheetView zoomScaleNormal="100" workbookViewId="0">
      <pane xSplit="1" ySplit="2" topLeftCell="B15" activePane="bottomRight" state="frozen"/>
      <selection pane="topRight" activeCell="B1" sqref="B1"/>
      <selection pane="bottomLeft" activeCell="A15" sqref="A15"/>
      <selection pane="bottomRight" activeCell="E20" sqref="E20"/>
    </sheetView>
  </sheetViews>
  <sheetFormatPr defaultColWidth="8.7109375" defaultRowHeight="15" customHeight="1" x14ac:dyDescent="0.25"/>
  <cols>
    <col min="1" max="1" width="30" customWidth="1"/>
    <col min="2" max="4" width="13" customWidth="1"/>
    <col min="5" max="5" width="16" customWidth="1"/>
    <col min="6" max="9" width="13" customWidth="1"/>
    <col min="10" max="10" width="16" customWidth="1"/>
    <col min="11" max="14" width="13" customWidth="1"/>
    <col min="15" max="15" width="16" customWidth="1"/>
    <col min="16" max="19" width="13" customWidth="1"/>
    <col min="20" max="20" width="16" customWidth="1"/>
    <col min="21" max="24" width="13" customWidth="1"/>
    <col min="25" max="25" width="16" customWidth="1"/>
    <col min="26" max="29" width="13" customWidth="1"/>
    <col min="30" max="30" width="16" customWidth="1"/>
    <col min="31" max="34" width="13" customWidth="1"/>
    <col min="35" max="35" width="16" customWidth="1"/>
    <col min="36" max="36" width="13" customWidth="1"/>
    <col min="37" max="37" width="16" customWidth="1"/>
  </cols>
  <sheetData>
    <row r="1" spans="1:29" ht="17.25" customHeight="1" x14ac:dyDescent="0.3">
      <c r="A1" s="196" t="s">
        <v>245</v>
      </c>
      <c r="B1" s="197"/>
      <c r="C1" s="197"/>
      <c r="D1" s="197"/>
      <c r="E1" s="197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15" customHeight="1" x14ac:dyDescent="0.25">
      <c r="A2" s="2"/>
      <c r="B2" s="3" t="s">
        <v>246</v>
      </c>
      <c r="C2" s="3" t="s">
        <v>247</v>
      </c>
      <c r="D2" s="3" t="s">
        <v>248</v>
      </c>
      <c r="E2" s="3" t="s">
        <v>249</v>
      </c>
      <c r="F2" s="3" t="s">
        <v>250</v>
      </c>
      <c r="G2" s="3" t="s">
        <v>251</v>
      </c>
      <c r="H2" s="3" t="s">
        <v>252</v>
      </c>
      <c r="I2" s="3" t="s">
        <v>253</v>
      </c>
      <c r="J2" s="3" t="s">
        <v>254</v>
      </c>
      <c r="K2" s="3" t="s">
        <v>255</v>
      </c>
      <c r="L2" s="3" t="s">
        <v>256</v>
      </c>
      <c r="M2" s="3" t="s">
        <v>257</v>
      </c>
      <c r="N2" s="3" t="s">
        <v>258</v>
      </c>
      <c r="O2" s="3" t="s">
        <v>259</v>
      </c>
      <c r="P2" s="3" t="s">
        <v>260</v>
      </c>
      <c r="Q2" s="3" t="s">
        <v>261</v>
      </c>
      <c r="R2" s="3" t="s">
        <v>262</v>
      </c>
      <c r="S2" s="3" t="s">
        <v>263</v>
      </c>
      <c r="T2" s="3" t="s">
        <v>264</v>
      </c>
      <c r="U2" s="3" t="s">
        <v>265</v>
      </c>
      <c r="V2" s="3" t="s">
        <v>266</v>
      </c>
      <c r="W2" s="3" t="s">
        <v>267</v>
      </c>
      <c r="X2" s="3" t="s">
        <v>268</v>
      </c>
      <c r="Y2" s="3" t="s">
        <v>269</v>
      </c>
      <c r="Z2" s="3" t="s">
        <v>270</v>
      </c>
      <c r="AA2" s="3" t="s">
        <v>271</v>
      </c>
      <c r="AB2" s="3" t="s">
        <v>272</v>
      </c>
      <c r="AC2" s="3" t="s">
        <v>273</v>
      </c>
    </row>
    <row r="3" spans="1:29" ht="15" customHeight="1" x14ac:dyDescent="0.25">
      <c r="A3" s="4" t="s">
        <v>75</v>
      </c>
      <c r="B3" s="63">
        <f>Model!C7+Model!D7+Model!E7</f>
        <v>13885253.699266504</v>
      </c>
      <c r="C3" s="63">
        <f>Model!F7+Model!G7+Model!H7</f>
        <v>17611879.547728192</v>
      </c>
      <c r="D3" s="63">
        <f>Model!I7+Model!J7+Model!K7</f>
        <v>20872339.243874777</v>
      </c>
      <c r="E3" s="63">
        <f>Model!L7+Model!M7+Model!N7</f>
        <v>21844454.363001734</v>
      </c>
      <c r="F3" s="63">
        <f>Model!O7+Model!P7+Model!Q7</f>
        <v>24422091.790786527</v>
      </c>
      <c r="G3" s="63">
        <f>Model!R7+Model!S7+Model!T7</f>
        <v>21333125.166748282</v>
      </c>
      <c r="H3" s="63">
        <f>Model!U7+Model!V7+Model!W7</f>
        <v>19810331.630762</v>
      </c>
      <c r="I3" s="63">
        <f>Model!X7+Model!Y7+Model!Z7</f>
        <v>17143021.497728001</v>
      </c>
      <c r="J3" s="63">
        <f>Model!AA7+Model!AB7+Model!AC7</f>
        <v>13569035.117488001</v>
      </c>
      <c r="K3" s="63">
        <f>Model!AD7+Model!AE7+Model!AF7</f>
        <v>10431100.051765</v>
      </c>
      <c r="L3" s="63">
        <f>Model!AG7+Model!AH7+Model!AI7</f>
        <v>10532644.011073001</v>
      </c>
      <c r="M3" s="63">
        <f>Model!AJ7+Model!AK7+Model!AL7</f>
        <v>10209949.058483999</v>
      </c>
      <c r="N3" s="63">
        <f>Model!AM7+Model!AN7+Model!AO7</f>
        <v>8960352.4882939979</v>
      </c>
      <c r="O3" s="63">
        <f>Model!AP7+Model!AQ7+Model!AR7</f>
        <v>8205948.9219159996</v>
      </c>
      <c r="P3" s="63">
        <f>Model!AS7+Model!AT7+Model!AU7</f>
        <v>5517576.3560720002</v>
      </c>
      <c r="Q3" s="63">
        <f>Model!AV7+Model!AW7+Model!AX7</f>
        <v>4898042.6140799997</v>
      </c>
      <c r="R3" s="63">
        <f>Model!AY7+Model!AZ7+Model!BA7</f>
        <v>3976537.3492240002</v>
      </c>
      <c r="S3" s="63">
        <f>Model!BB7+Model!BC7+Model!BD7</f>
        <v>2952513.9516399996</v>
      </c>
      <c r="T3" s="63">
        <f>Model!BE7+Model!BF7+Model!BG7</f>
        <v>1431656.0052080001</v>
      </c>
      <c r="U3" s="63">
        <f>Model!BH7+Model!BI7+Model!BJ7</f>
        <v>0</v>
      </c>
      <c r="V3" s="63">
        <f>Model!BK7+Model!BL7+Model!BM7</f>
        <v>0</v>
      </c>
      <c r="W3" s="63">
        <f>Model!BN7+Model!BO7+Model!BP7</f>
        <v>0</v>
      </c>
      <c r="X3" s="63">
        <f>Model!BQ7+Model!BR7+Model!BS7</f>
        <v>0</v>
      </c>
      <c r="Y3" s="63">
        <f>Model!BT7+Model!BU7+Model!BV7</f>
        <v>0</v>
      </c>
      <c r="Z3" s="63">
        <f>Model!BW7+Model!BX7+Model!BY7</f>
        <v>0</v>
      </c>
      <c r="AA3" s="63">
        <f>Model!BZ7+Model!CA7+Model!CB7</f>
        <v>0</v>
      </c>
      <c r="AB3" s="63">
        <f>Model!CC7+Model!CD7+Model!CE7</f>
        <v>0</v>
      </c>
      <c r="AC3" s="63">
        <f>Model!CF7+Model!CG7+Model!CH7</f>
        <v>0</v>
      </c>
    </row>
    <row r="4" spans="1:29" ht="15" customHeight="1" x14ac:dyDescent="0.25">
      <c r="A4" s="6" t="s">
        <v>76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</row>
    <row r="5" spans="1:29" ht="15" customHeight="1" x14ac:dyDescent="0.25">
      <c r="A5" s="7" t="s">
        <v>77</v>
      </c>
      <c r="B5" s="8">
        <f>Model!C8+Model!D8+Model!E8</f>
        <v>508276.35353084409</v>
      </c>
      <c r="C5" s="8">
        <f>Model!F8+Model!G8+Model!H8</f>
        <v>707075.17950486997</v>
      </c>
      <c r="D5" s="8">
        <f>Model!I8+Model!J8+Model!K8</f>
        <v>948502.30162337655</v>
      </c>
      <c r="E5" s="8">
        <f>Model!L8+Model!M8+Model!N8</f>
        <v>933450.08772321418</v>
      </c>
      <c r="F5" s="8">
        <f>Model!O8+Model!P8+Model!Q8</f>
        <v>1207065.2508725647</v>
      </c>
      <c r="G5" s="8">
        <f>Model!R8+Model!S8+Model!T8</f>
        <v>837932.88358360389</v>
      </c>
      <c r="H5" s="8">
        <f>Model!U8+Model!V8+Model!W8</f>
        <v>728550.55545860378</v>
      </c>
      <c r="I5" s="8">
        <f>Model!X8+Model!Y8+Model!Z8</f>
        <v>704050.55545860366</v>
      </c>
      <c r="J5" s="8">
        <f>Model!AA8+Model!AB8+Model!AC8</f>
        <v>734648.35156249988</v>
      </c>
      <c r="K5" s="8">
        <f>Model!AD8+Model!AE8+Model!AF8</f>
        <v>795843.94377029198</v>
      </c>
      <c r="L5" s="8">
        <f>Model!AG8+Model!AH8+Model!AI8</f>
        <v>870271.20452516223</v>
      </c>
      <c r="M5" s="8">
        <f>Model!AJ8+Model!AK8+Model!AL8</f>
        <v>512656.22849025967</v>
      </c>
      <c r="N5" s="8">
        <f>Model!AM8+Model!AN8+Model!AO8</f>
        <v>400764.60340909089</v>
      </c>
      <c r="O5" s="8">
        <f>Model!AP8+Model!AQ8+Model!AR8</f>
        <v>510992.12775974022</v>
      </c>
      <c r="P5" s="8">
        <f>Model!AS8+Model!AT8+Model!AU8</f>
        <v>191332.30714285714</v>
      </c>
      <c r="Q5" s="8">
        <f>Model!AV8+Model!AW8+Model!AX8</f>
        <v>191332.30714285714</v>
      </c>
      <c r="R5" s="8">
        <f>Model!AY8+Model!AZ8+Model!BA8</f>
        <v>191332.30714285714</v>
      </c>
      <c r="S5" s="8">
        <f>Model!BB8+Model!BC8+Model!BD8</f>
        <v>191332.30714285714</v>
      </c>
      <c r="T5" s="8">
        <f>Model!BE8+Model!BF8+Model!BG8</f>
        <v>228256.0857142857</v>
      </c>
      <c r="U5" s="8">
        <f>Model!BH8+Model!BI8+Model!BJ8</f>
        <v>0</v>
      </c>
      <c r="V5" s="8">
        <f>Model!BK8+Model!BL8+Model!BM8</f>
        <v>0</v>
      </c>
      <c r="W5" s="8">
        <f>Model!BN8+Model!BO8+Model!BP8</f>
        <v>0</v>
      </c>
      <c r="X5" s="8">
        <f>Model!BQ8+Model!BR8+Model!BS8</f>
        <v>0</v>
      </c>
      <c r="Y5" s="8">
        <f>Model!BT8+Model!BU8+Model!BV8</f>
        <v>0</v>
      </c>
      <c r="Z5" s="8">
        <f>Model!BW8+Model!BX8+Model!BY8</f>
        <v>0</v>
      </c>
      <c r="AA5" s="8">
        <f>Model!BZ8+Model!CA8+Model!CB8</f>
        <v>0</v>
      </c>
      <c r="AB5" s="8">
        <f>Model!CC8+Model!CD8+Model!CE8</f>
        <v>0</v>
      </c>
      <c r="AC5" s="8">
        <f>Model!CF8+Model!CG8+Model!CH8</f>
        <v>0</v>
      </c>
    </row>
    <row r="6" spans="1:29" ht="15" customHeight="1" x14ac:dyDescent="0.25">
      <c r="A6" s="7" t="s">
        <v>78</v>
      </c>
      <c r="B6" s="8">
        <f>Model!C9+Model!D9+Model!E9</f>
        <v>642418.39355372626</v>
      </c>
      <c r="C6" s="8">
        <f>Model!F9+Model!G9+Model!H9</f>
        <v>814835.33621794381</v>
      </c>
      <c r="D6" s="8">
        <f>Model!I9+Model!J9+Model!K9</f>
        <v>983036.9820623881</v>
      </c>
      <c r="E6" s="8">
        <f>Model!L9+Model!M9+Model!N9</f>
        <v>1010660.6320544633</v>
      </c>
      <c r="F6" s="8">
        <f>Model!O9+Model!P9+Model!Q9</f>
        <v>1194101.0747360648</v>
      </c>
      <c r="G6" s="8">
        <f>Model!R9+Model!S9+Model!T9</f>
        <v>1036134.3194031266</v>
      </c>
      <c r="H6" s="8">
        <f>Model!U9+Model!V9+Model!W9</f>
        <v>925372.27106609882</v>
      </c>
      <c r="I6" s="8">
        <f>Model!X9+Model!Y9+Model!Z9</f>
        <v>793143.04007345438</v>
      </c>
      <c r="J6" s="8">
        <f>Model!AA9+Model!AB9+Model!AC9</f>
        <v>660967.79033832462</v>
      </c>
      <c r="K6" s="8">
        <f>Model!AD9+Model!AE9+Model!AF9</f>
        <v>482607.71343393251</v>
      </c>
      <c r="L6" s="8">
        <f>Model!AG9+Model!AH9+Model!AI9</f>
        <v>643714.50294737087</v>
      </c>
      <c r="M6" s="8">
        <f>Model!AJ9+Model!AK9+Model!AL9</f>
        <v>510959.20887466549</v>
      </c>
      <c r="N6" s="8">
        <f>Model!AM9+Model!AN9+Model!AO9</f>
        <v>414561.76285126456</v>
      </c>
      <c r="O6" s="8">
        <f>Model!AP9+Model!AQ9+Model!AR9</f>
        <v>489885.87544578884</v>
      </c>
      <c r="P6" s="8">
        <f>Model!AS9+Model!AT9+Model!AU9</f>
        <v>255277.47751307138</v>
      </c>
      <c r="Q6" s="8">
        <f>Model!AV9+Model!AW9+Model!AX9</f>
        <v>226613.98457999993</v>
      </c>
      <c r="R6" s="8">
        <f>Model!AY9+Model!AZ9+Model!BA9</f>
        <v>183979.40657935711</v>
      </c>
      <c r="S6" s="8">
        <f>Model!BB9+Model!BC9+Model!BD9</f>
        <v>136601.70068464283</v>
      </c>
      <c r="T6" s="8">
        <f>Model!BE9+Model!BF9+Model!BG9</f>
        <v>166938.54569549998</v>
      </c>
      <c r="U6" s="8">
        <f>Model!BH9+Model!BI9+Model!BJ9</f>
        <v>0</v>
      </c>
      <c r="V6" s="8">
        <f>Model!BK9+Model!BL9+Model!BM9</f>
        <v>0</v>
      </c>
      <c r="W6" s="8">
        <f>Model!BN9+Model!BO9+Model!BP9</f>
        <v>0</v>
      </c>
      <c r="X6" s="8">
        <f>Model!BQ9+Model!BR9+Model!BS9</f>
        <v>0</v>
      </c>
      <c r="Y6" s="8">
        <f>Model!BT9+Model!BU9+Model!BV9</f>
        <v>0</v>
      </c>
      <c r="Z6" s="8">
        <f>Model!BW9+Model!BX9+Model!BY9</f>
        <v>0</v>
      </c>
      <c r="AA6" s="8">
        <f>Model!BZ9+Model!CA9+Model!CB9</f>
        <v>0</v>
      </c>
      <c r="AB6" s="8">
        <f>Model!CC9+Model!CD9+Model!CE9</f>
        <v>0</v>
      </c>
      <c r="AC6" s="8">
        <f>Model!CF9+Model!CG9+Model!CH9</f>
        <v>0</v>
      </c>
    </row>
    <row r="7" spans="1:29" ht="15" customHeight="1" x14ac:dyDescent="0.25">
      <c r="A7" s="7" t="s">
        <v>79</v>
      </c>
      <c r="B7" s="8">
        <f>Model!C10+Model!D10+Model!E10</f>
        <v>129262.37305194806</v>
      </c>
      <c r="C7" s="8">
        <f>Model!F10+Model!G10+Model!H10</f>
        <v>195528.64837662337</v>
      </c>
      <c r="D7" s="8">
        <f>Model!I10+Model!J10+Model!K10</f>
        <v>277286.84116612555</v>
      </c>
      <c r="E7" s="8">
        <f>Model!L10+Model!M10+Model!N10</f>
        <v>277632.55736607144</v>
      </c>
      <c r="F7" s="8">
        <f>Model!O10+Model!P10+Model!Q10</f>
        <v>368837.61174918833</v>
      </c>
      <c r="G7" s="8">
        <f>Model!R10+Model!S10+Model!T10</f>
        <v>254001.9872362013</v>
      </c>
      <c r="H7" s="8">
        <f>Model!U10+Model!V10+Model!W10</f>
        <v>234683.5184862013</v>
      </c>
      <c r="I7" s="8">
        <f>Model!X10+Model!Y10+Model!Z10</f>
        <v>234683.5184862013</v>
      </c>
      <c r="J7" s="8">
        <f>Model!AA10+Model!AB10+Model!AC10</f>
        <v>244882.78385416669</v>
      </c>
      <c r="K7" s="8">
        <f>Model!AD10+Model!AE10+Model!AF10</f>
        <v>265281.31459009741</v>
      </c>
      <c r="L7" s="8">
        <f>Model!AG10+Model!AH10+Model!AI10</f>
        <v>290090.40150838741</v>
      </c>
      <c r="M7" s="8">
        <f>Model!AJ10+Model!AK10+Model!AL10</f>
        <v>170885.40949675324</v>
      </c>
      <c r="N7" s="8">
        <f>Model!AM10+Model!AN10+Model!AO10</f>
        <v>133588.20113636364</v>
      </c>
      <c r="O7" s="8">
        <f>Model!AP10+Model!AQ10+Model!AR10</f>
        <v>170330.70925324678</v>
      </c>
      <c r="P7" s="8">
        <f>Model!AS10+Model!AT10+Model!AU10</f>
        <v>63777.435714285719</v>
      </c>
      <c r="Q7" s="8">
        <f>Model!AV10+Model!AW10+Model!AX10</f>
        <v>63777.435714285719</v>
      </c>
      <c r="R7" s="8">
        <f>Model!AY10+Model!AZ10+Model!BA10</f>
        <v>63777.435714285719</v>
      </c>
      <c r="S7" s="8">
        <f>Model!BB10+Model!BC10+Model!BD10</f>
        <v>63777.435714285719</v>
      </c>
      <c r="T7" s="8">
        <f>Model!BE10+Model!BF10+Model!BG10</f>
        <v>76085.361904761914</v>
      </c>
      <c r="U7" s="8">
        <f>Model!BH10+Model!BI10+Model!BJ10</f>
        <v>0</v>
      </c>
      <c r="V7" s="8">
        <f>Model!BK10+Model!BL10+Model!BM10</f>
        <v>0</v>
      </c>
      <c r="W7" s="8">
        <f>Model!BN10+Model!BO10+Model!BP10</f>
        <v>0</v>
      </c>
      <c r="X7" s="8">
        <f>Model!BQ10+Model!BR10+Model!BS10</f>
        <v>0</v>
      </c>
      <c r="Y7" s="8">
        <f>Model!BT10+Model!BU10+Model!BV10</f>
        <v>0</v>
      </c>
      <c r="Z7" s="8">
        <f>Model!BW10+Model!BX10+Model!BY10</f>
        <v>0</v>
      </c>
      <c r="AA7" s="8">
        <f>Model!BZ10+Model!CA10+Model!CB10</f>
        <v>0</v>
      </c>
      <c r="AB7" s="8">
        <f>Model!CC10+Model!CD10+Model!CE10</f>
        <v>0</v>
      </c>
      <c r="AC7" s="8">
        <f>Model!CF10+Model!CG10+Model!CH10</f>
        <v>0</v>
      </c>
    </row>
    <row r="8" spans="1:29" ht="15" customHeight="1" x14ac:dyDescent="0.25">
      <c r="A8" s="7" t="s">
        <v>80</v>
      </c>
      <c r="B8" s="8">
        <f>Model!C11+Model!D11+Model!E11</f>
        <v>0</v>
      </c>
      <c r="C8" s="8">
        <f>Model!F11+Model!G11+Model!H11</f>
        <v>644526.72</v>
      </c>
      <c r="D8" s="8">
        <f>Model!I11+Model!J11+Model!K11</f>
        <v>761010.89999999991</v>
      </c>
      <c r="E8" s="8">
        <f>Model!L11+Model!M11+Model!N11</f>
        <v>0</v>
      </c>
      <c r="F8" s="8">
        <f>Model!O11+Model!P11+Model!Q11</f>
        <v>679001.54999999993</v>
      </c>
      <c r="G8" s="8">
        <f>Model!R11+Model!S11+Model!T11</f>
        <v>0</v>
      </c>
      <c r="H8" s="8">
        <f>Model!U11+Model!V11+Model!W11</f>
        <v>0</v>
      </c>
      <c r="I8" s="8">
        <f>Model!X11+Model!Y11+Model!Z11</f>
        <v>0</v>
      </c>
      <c r="J8" s="8">
        <f>Model!AA11+Model!AB11+Model!AC11</f>
        <v>620319.48</v>
      </c>
      <c r="K8" s="8">
        <f>Model!AD11+Model!AE11+Model!AF11</f>
        <v>0</v>
      </c>
      <c r="L8" s="8">
        <f>Model!AG11+Model!AH11+Model!AI11</f>
        <v>0</v>
      </c>
      <c r="M8" s="8">
        <f>Model!AJ11+Model!AK11+Model!AL11</f>
        <v>0</v>
      </c>
      <c r="N8" s="8">
        <f>Model!AM11+Model!AN11+Model!AO11</f>
        <v>0</v>
      </c>
      <c r="O8" s="8">
        <f>Model!AP11+Model!AQ11+Model!AR11</f>
        <v>0</v>
      </c>
      <c r="P8" s="8">
        <f>Model!AS11+Model!AT11+Model!AU11</f>
        <v>0</v>
      </c>
      <c r="Q8" s="8">
        <f>Model!AV11+Model!AW11+Model!AX11</f>
        <v>0</v>
      </c>
      <c r="R8" s="8">
        <f>Model!AY11+Model!AZ11+Model!BA11</f>
        <v>0</v>
      </c>
      <c r="S8" s="8">
        <f>Model!BB11+Model!BC11+Model!BD11</f>
        <v>0</v>
      </c>
      <c r="T8" s="8">
        <f>Model!BE11+Model!BF11+Model!BG11</f>
        <v>0</v>
      </c>
      <c r="U8" s="8">
        <f>Model!BH11+Model!BI11+Model!BJ11</f>
        <v>0</v>
      </c>
      <c r="V8" s="8">
        <f>Model!BK11+Model!BL11+Model!BM11</f>
        <v>0</v>
      </c>
      <c r="W8" s="8">
        <f>Model!BN11+Model!BO11+Model!BP11</f>
        <v>0</v>
      </c>
      <c r="X8" s="8">
        <f>Model!BQ11+Model!BR11+Model!BS11</f>
        <v>0</v>
      </c>
      <c r="Y8" s="8">
        <f>Model!BT11+Model!BU11+Model!BV11</f>
        <v>0</v>
      </c>
      <c r="Z8" s="8">
        <f>Model!BW11+Model!BX11+Model!BY11</f>
        <v>0</v>
      </c>
      <c r="AA8" s="8">
        <f>Model!BZ11+Model!CA11+Model!CB11</f>
        <v>0</v>
      </c>
      <c r="AB8" s="8">
        <f>Model!CC11+Model!CD11+Model!CE11</f>
        <v>0</v>
      </c>
      <c r="AC8" s="8">
        <f>Model!CF11+Model!CG11+Model!CH11</f>
        <v>0</v>
      </c>
    </row>
    <row r="9" spans="1:29" ht="15" customHeight="1" x14ac:dyDescent="0.25">
      <c r="A9" s="9" t="s">
        <v>81</v>
      </c>
      <c r="B9" s="10">
        <f>Model!C12+Model!D12+Model!E12</f>
        <v>1279957.1201365185</v>
      </c>
      <c r="C9" s="10">
        <f>Model!F12+Model!G12+Model!H12</f>
        <v>2361965.8840994374</v>
      </c>
      <c r="D9" s="10">
        <f>Model!I12+Model!J12+Model!K12</f>
        <v>2969837.0248518898</v>
      </c>
      <c r="E9" s="10">
        <f>Model!L12+Model!M12+Model!N12</f>
        <v>2221743.2771437489</v>
      </c>
      <c r="F9" s="10">
        <f>Model!O12+Model!P12+Model!Q12</f>
        <v>3449005.4873578181</v>
      </c>
      <c r="G9" s="10">
        <f>Model!R12+Model!S12+Model!T12</f>
        <v>2128069.190222932</v>
      </c>
      <c r="H9" s="10">
        <f>Model!U12+Model!V12+Model!W12</f>
        <v>1888606.3450109039</v>
      </c>
      <c r="I9" s="10">
        <f>Model!X12+Model!Y12+Model!Z12</f>
        <v>1731877.1140182593</v>
      </c>
      <c r="J9" s="10">
        <f>Model!AA12+Model!AB12+Model!AC12</f>
        <v>2260818.4057549909</v>
      </c>
      <c r="K9" s="10">
        <f>Model!AD12+Model!AE12+Model!AF12</f>
        <v>1543732.9717943221</v>
      </c>
      <c r="L9" s="10">
        <f>Model!AG12+Model!AH12+Model!AI12</f>
        <v>1804076.1089809206</v>
      </c>
      <c r="M9" s="10">
        <f>Model!AJ12+Model!AK12+Model!AL12</f>
        <v>1194500.8468616786</v>
      </c>
      <c r="N9" s="10">
        <f>Model!AM12+Model!AN12+Model!AO12</f>
        <v>948914.56739671901</v>
      </c>
      <c r="O9" s="10">
        <f>Model!AP12+Model!AQ12+Model!AR12</f>
        <v>1171208.7124587758</v>
      </c>
      <c r="P9" s="10">
        <f>Model!AS12+Model!AT12+Model!AU12</f>
        <v>510387.2203702142</v>
      </c>
      <c r="Q9" s="10">
        <f>Model!AV12+Model!AW12+Model!AX12</f>
        <v>481723.72743714281</v>
      </c>
      <c r="R9" s="10">
        <f>Model!AY12+Model!AZ12+Model!BA12</f>
        <v>439089.14943649992</v>
      </c>
      <c r="S9" s="10">
        <f>Model!BB12+Model!BC12+Model!BD12</f>
        <v>391711.4435417857</v>
      </c>
      <c r="T9" s="10">
        <f>Model!BE12+Model!BF12+Model!BG12</f>
        <v>471279.99331454758</v>
      </c>
      <c r="U9" s="10">
        <f>Model!BH12+Model!BI12+Model!BJ12</f>
        <v>0</v>
      </c>
      <c r="V9" s="10">
        <f>Model!BK12+Model!BL12+Model!BM12</f>
        <v>0</v>
      </c>
      <c r="W9" s="10">
        <f>Model!BN12+Model!BO12+Model!BP12</f>
        <v>0</v>
      </c>
      <c r="X9" s="10">
        <f>Model!BQ12+Model!BR12+Model!BS12</f>
        <v>0</v>
      </c>
      <c r="Y9" s="10">
        <f>Model!BT12+Model!BU12+Model!BV12</f>
        <v>0</v>
      </c>
      <c r="Z9" s="10">
        <f>Model!BW12+Model!BX12+Model!BY12</f>
        <v>0</v>
      </c>
      <c r="AA9" s="10">
        <f>Model!BZ12+Model!CA12+Model!CB12</f>
        <v>0</v>
      </c>
      <c r="AB9" s="10">
        <f>Model!CC12+Model!CD12+Model!CE12</f>
        <v>0</v>
      </c>
      <c r="AC9" s="10">
        <f>Model!CF12+Model!CG12+Model!CH12</f>
        <v>0</v>
      </c>
    </row>
    <row r="10" spans="1:29" ht="15" customHeight="1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</row>
    <row r="11" spans="1:29" ht="15" customHeight="1" x14ac:dyDescent="0.25">
      <c r="A11" s="6" t="s">
        <v>82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</row>
    <row r="12" spans="1:29" ht="15" customHeight="1" x14ac:dyDescent="0.25">
      <c r="A12" s="7" t="s">
        <v>83</v>
      </c>
      <c r="B12" s="8">
        <f>Model!C15+Model!D15+Model!E15</f>
        <v>0</v>
      </c>
      <c r="C12" s="8">
        <f>Model!F15+Model!G15+Model!H15</f>
        <v>-317966.51520000002</v>
      </c>
      <c r="D12" s="8">
        <f>Model!I15+Model!J15+Model!K15</f>
        <v>-375432.04399999999</v>
      </c>
      <c r="E12" s="8">
        <f>Model!L15+Model!M15+Model!N15</f>
        <v>0</v>
      </c>
      <c r="F12" s="8">
        <f>Model!O15+Model!P15+Model!Q15</f>
        <v>-1471170.0250000001</v>
      </c>
      <c r="G12" s="8">
        <f>Model!R15+Model!S15+Model!T15</f>
        <v>0</v>
      </c>
      <c r="H12" s="8">
        <f>Model!U15+Model!V15+Model!W15</f>
        <v>0</v>
      </c>
      <c r="I12" s="8">
        <f>Model!X15+Model!Y15+Model!Z15</f>
        <v>0</v>
      </c>
      <c r="J12" s="8">
        <f>Model!AA15+Model!AB15+Model!AC15</f>
        <v>-1344025.54</v>
      </c>
      <c r="K12" s="8">
        <f>Model!AD15+Model!AE15+Model!AF15</f>
        <v>0</v>
      </c>
      <c r="L12" s="8">
        <f>Model!AG15+Model!AH15+Model!AI15</f>
        <v>0</v>
      </c>
      <c r="M12" s="8">
        <f>Model!AJ15+Model!AK15+Model!AL15</f>
        <v>0</v>
      </c>
      <c r="N12" s="8">
        <f>Model!AM15+Model!AN15+Model!AO15</f>
        <v>0</v>
      </c>
      <c r="O12" s="8">
        <f>Model!AP15+Model!AQ15+Model!AR15</f>
        <v>0</v>
      </c>
      <c r="P12" s="8">
        <f>Model!AS15+Model!AT15+Model!AU15</f>
        <v>0</v>
      </c>
      <c r="Q12" s="8">
        <f>Model!AV15+Model!AW15+Model!AX15</f>
        <v>0</v>
      </c>
      <c r="R12" s="8">
        <f>Model!AY15+Model!AZ15+Model!BA15</f>
        <v>0</v>
      </c>
      <c r="S12" s="8">
        <f>Model!BB15+Model!BC15+Model!BD15</f>
        <v>0</v>
      </c>
      <c r="T12" s="8">
        <f>Model!BE15+Model!BF15+Model!BG15</f>
        <v>0</v>
      </c>
      <c r="U12" s="8">
        <f>Model!BH15+Model!BI15+Model!BJ15</f>
        <v>0</v>
      </c>
      <c r="V12" s="8">
        <f>Model!BK15+Model!BL15+Model!BM15</f>
        <v>0</v>
      </c>
      <c r="W12" s="8">
        <f>Model!BN15+Model!BO15+Model!BP15</f>
        <v>0</v>
      </c>
      <c r="X12" s="8">
        <f>Model!BQ15+Model!BR15+Model!BS15</f>
        <v>0</v>
      </c>
      <c r="Y12" s="8">
        <f>Model!BT15+Model!BU15+Model!BV15</f>
        <v>0</v>
      </c>
      <c r="Z12" s="8">
        <f>Model!BW15+Model!BX15+Model!BY15</f>
        <v>0</v>
      </c>
      <c r="AA12" s="8">
        <f>Model!BZ15+Model!CA15+Model!CB15</f>
        <v>0</v>
      </c>
      <c r="AB12" s="8">
        <f>Model!CC15+Model!CD15+Model!CE15</f>
        <v>0</v>
      </c>
      <c r="AC12" s="8">
        <f>Model!CF15+Model!CG15+Model!CH15</f>
        <v>0</v>
      </c>
    </row>
    <row r="13" spans="1:29" ht="15" customHeight="1" x14ac:dyDescent="0.25">
      <c r="A13" s="7" t="s">
        <v>84</v>
      </c>
      <c r="B13" s="8">
        <f>Model!C16+Model!D16+Model!E16+Model!C17+Model!D17+Model!E17</f>
        <v>-675473.00000000012</v>
      </c>
      <c r="C13" s="8">
        <f>Model!F16+Model!G16+Model!H16+Model!F17+Model!G17+Model!H17</f>
        <v>-771723.00000000012</v>
      </c>
      <c r="D13" s="8">
        <f>Model!I16+Model!J16+Model!K16+Model!I17+Model!J17+Model!K17</f>
        <v>-771723.00000000012</v>
      </c>
      <c r="E13" s="8">
        <f>Model!L16+Model!M16+Model!N16+Model!L17+Model!M17+Model!N17</f>
        <v>-771723.00000000012</v>
      </c>
      <c r="F13" s="8">
        <f>Model!O16+Model!P16+Model!Q16+Model!O17+Model!P17+Model!Q17</f>
        <v>-771723.00000000012</v>
      </c>
      <c r="G13" s="8">
        <f>Model!R16+Model!S16+Model!T16+Model!R17+Model!S17+Model!T17</f>
        <v>-771723.00000000012</v>
      </c>
      <c r="H13" s="8">
        <f>Model!U16+Model!V16+Model!W16+Model!U17+Model!V17+Model!W17</f>
        <v>-771723.00000000012</v>
      </c>
      <c r="I13" s="8">
        <f>Model!X16+Model!Y16+Model!Z16+Model!X17+Model!Y17+Model!Z17</f>
        <v>-771723.00000000012</v>
      </c>
      <c r="J13" s="8">
        <f>Model!AA16+Model!AB16+Model!AC16+Model!AA17+Model!AB17+Model!AC17</f>
        <v>-771723.00000000012</v>
      </c>
      <c r="K13" s="8">
        <f>Model!AD16+Model!AE16+Model!AF16+Model!AD17+Model!AE17+Model!AF17</f>
        <v>-771723.00000000012</v>
      </c>
      <c r="L13" s="8">
        <f>Model!AG16+Model!AH16+Model!AI16+Model!AG17+Model!AH17+Model!AI17</f>
        <v>-771723.00000000012</v>
      </c>
      <c r="M13" s="8">
        <f>Model!AJ16+Model!AK16+Model!AL16+Model!AJ17+Model!AK17+Model!AL17</f>
        <v>-771723.00000000012</v>
      </c>
      <c r="N13" s="8">
        <f>Model!AM16+Model!AN16+Model!AO16+Model!AM17+Model!AN17+Model!AO17</f>
        <v>-771723.00000000012</v>
      </c>
      <c r="O13" s="8">
        <f>Model!AP16+Model!AQ16+Model!AR16+Model!AP17+Model!AQ17+Model!AR17</f>
        <v>-771723.00000000012</v>
      </c>
      <c r="P13" s="8">
        <f>Model!AS16+Model!AT16+Model!AU16+Model!AS17+Model!AT17+Model!AU17</f>
        <v>-771723.00000000012</v>
      </c>
      <c r="Q13" s="8">
        <f>Model!AV16+Model!AW16+Model!AX16+Model!AV17+Model!AW17+Model!AX17</f>
        <v>-771723.00000000012</v>
      </c>
      <c r="R13" s="8">
        <f>Model!AY16+Model!AZ16+Model!BA16+Model!AY17+Model!AZ17+Model!BA17</f>
        <v>-771723.00000000012</v>
      </c>
      <c r="S13" s="8">
        <f>Model!BB16+Model!BC16+Model!BD16+Model!BB17+Model!BC17+Model!BD17</f>
        <v>-771723.00000000012</v>
      </c>
      <c r="T13" s="8">
        <f>Model!BE16+Model!BF16+Model!BG16+Model!BE17+Model!BF17+Model!BG17</f>
        <v>-771723.00000000012</v>
      </c>
      <c r="U13" s="8">
        <f>Model!BH16+Model!BI16+Model!BJ16+Model!BH17+Model!BI17+Model!BJ17</f>
        <v>-771723.00000000012</v>
      </c>
      <c r="V13" s="8">
        <f>Model!BK16+Model!BL16+Model!BM16+Model!BK17+Model!BL17+Model!BM17</f>
        <v>-771723.00000000012</v>
      </c>
      <c r="W13" s="8">
        <f>Model!BN16+Model!BO16+Model!BP16+Model!BN17+Model!BO17+Model!BP17</f>
        <v>-771723.00000000012</v>
      </c>
      <c r="X13" s="8">
        <f>Model!BQ16+Model!BR16+Model!BS16+Model!BQ17+Model!BR17+Model!BS17</f>
        <v>-771723.00000000012</v>
      </c>
      <c r="Y13" s="8">
        <f>Model!BT16+Model!BU16+Model!BV16+Model!BT17+Model!BU17+Model!BV17</f>
        <v>-771723.00000000012</v>
      </c>
      <c r="Z13" s="8">
        <f>Model!BW16+Model!BX16+Model!BY16+Model!BW17+Model!BX17+Model!BY17</f>
        <v>-771723.00000000012</v>
      </c>
      <c r="AA13" s="8">
        <f>Model!BZ16+Model!CA16+Model!CB16+Model!BZ17+Model!CA17+Model!CB17</f>
        <v>-771723.00000000012</v>
      </c>
      <c r="AB13" s="8">
        <f>Model!CC16+Model!CD16+Model!CE16+Model!CC17+Model!CD17+Model!CE17</f>
        <v>-771723.00000000012</v>
      </c>
      <c r="AC13" s="8">
        <f>Model!CF16+Model!CG16+Model!CH16+Model!CF17+Model!CG17+Model!CH17</f>
        <v>-771723.00000000012</v>
      </c>
    </row>
    <row r="14" spans="1:29" ht="15" customHeight="1" x14ac:dyDescent="0.25">
      <c r="A14" s="7" t="s">
        <v>85</v>
      </c>
      <c r="B14" s="8">
        <f>Model!C18+Model!D18+Model!E18</f>
        <v>-185250</v>
      </c>
      <c r="C14" s="8">
        <f>Model!F18+Model!G18+Model!H18</f>
        <v>-185250</v>
      </c>
      <c r="D14" s="8">
        <f>Model!I18+Model!J18+Model!K18</f>
        <v>-185250</v>
      </c>
      <c r="E14" s="8">
        <f>Model!L18+Model!M18+Model!N18</f>
        <v>-185250</v>
      </c>
      <c r="F14" s="8">
        <f>Model!O18+Model!P18+Model!Q18</f>
        <v>-185250</v>
      </c>
      <c r="G14" s="8">
        <f>Model!R18+Model!S18+Model!T18</f>
        <v>-185250</v>
      </c>
      <c r="H14" s="8">
        <f>Model!U18+Model!V18+Model!W18</f>
        <v>-185250</v>
      </c>
      <c r="I14" s="8">
        <f>Model!X18+Model!Y18+Model!Z18</f>
        <v>-185250</v>
      </c>
      <c r="J14" s="8">
        <f>Model!AA18+Model!AB18+Model!AC18</f>
        <v>-185250</v>
      </c>
      <c r="K14" s="8">
        <f>Model!AD18+Model!AE18+Model!AF18</f>
        <v>-185250</v>
      </c>
      <c r="L14" s="8">
        <f>Model!AG18+Model!AH18+Model!AI18</f>
        <v>-185250</v>
      </c>
      <c r="M14" s="8">
        <f>Model!AJ18+Model!AK18+Model!AL18</f>
        <v>-185250</v>
      </c>
      <c r="N14" s="8">
        <f>Model!AM18+Model!AN18+Model!AO18</f>
        <v>-185250</v>
      </c>
      <c r="O14" s="8">
        <f>Model!AP18+Model!AQ18+Model!AR18</f>
        <v>-185250</v>
      </c>
      <c r="P14" s="8">
        <f>Model!AS18+Model!AT18+Model!AU18</f>
        <v>-185250</v>
      </c>
      <c r="Q14" s="8">
        <f>Model!AV18+Model!AW18+Model!AX18</f>
        <v>-185250</v>
      </c>
      <c r="R14" s="8">
        <f>Model!AY18+Model!AZ18+Model!BA18</f>
        <v>-185250</v>
      </c>
      <c r="S14" s="8">
        <f>Model!BB18+Model!BC18+Model!BD18</f>
        <v>-185250</v>
      </c>
      <c r="T14" s="8">
        <f>Model!BE18+Model!BF18+Model!BG18</f>
        <v>-185250</v>
      </c>
      <c r="U14" s="8">
        <f>Model!BH18+Model!BI18+Model!BJ18</f>
        <v>-185250</v>
      </c>
      <c r="V14" s="8">
        <f>Model!BK18+Model!BL18+Model!BM18</f>
        <v>-185250</v>
      </c>
      <c r="W14" s="8">
        <f>Model!BN18+Model!BO18+Model!BP18</f>
        <v>-185250</v>
      </c>
      <c r="X14" s="8">
        <f>Model!BQ18+Model!BR18+Model!BS18</f>
        <v>-185250</v>
      </c>
      <c r="Y14" s="8">
        <f>Model!BT18+Model!BU18+Model!BV18</f>
        <v>-185250</v>
      </c>
      <c r="Z14" s="8">
        <f>Model!BW18+Model!BX18+Model!BY18</f>
        <v>-185250</v>
      </c>
      <c r="AA14" s="8">
        <f>Model!BZ18+Model!CA18+Model!CB18</f>
        <v>-185250</v>
      </c>
      <c r="AB14" s="8">
        <f>Model!CC18+Model!CD18+Model!CE18</f>
        <v>-185250</v>
      </c>
      <c r="AC14" s="8">
        <f>Model!CF18+Model!CG18+Model!CH18</f>
        <v>-185250</v>
      </c>
    </row>
    <row r="15" spans="1:29" ht="15" customHeight="1" x14ac:dyDescent="0.25">
      <c r="A15" s="9" t="s">
        <v>86</v>
      </c>
      <c r="B15" s="10">
        <f>Model!C39+Model!D39+Model!E39</f>
        <v>-1083032.345</v>
      </c>
      <c r="C15" s="10">
        <f>Model!F39+Model!G39+Model!H39</f>
        <v>-1513130.1102</v>
      </c>
      <c r="D15" s="10">
        <f>Model!I39+Model!J39+Model!K39</f>
        <v>-1570595.6390000002</v>
      </c>
      <c r="E15" s="10">
        <f>Model!L39+Model!M39+Model!N39</f>
        <v>-1195163.5949999997</v>
      </c>
      <c r="F15" s="10">
        <f>Model!O39+Model!P39+Model!Q39</f>
        <v>-2668282.6210000003</v>
      </c>
      <c r="G15" s="10">
        <f>Model!R39+Model!S39+Model!T39</f>
        <v>-1197112.5959999999</v>
      </c>
      <c r="H15" s="10">
        <f>Model!U39+Model!V39+Model!W39</f>
        <v>-1197112.5959999999</v>
      </c>
      <c r="I15" s="10">
        <f>Model!X39+Model!Y39+Model!Z39</f>
        <v>-1197112.5959999999</v>
      </c>
      <c r="J15" s="10">
        <f>Model!AA39+Model!AB39+Model!AC39</f>
        <v>-2543126.1170199998</v>
      </c>
      <c r="K15" s="10">
        <f>Model!AD39+Model!AE39+Model!AF39</f>
        <v>-1199100.5770199997</v>
      </c>
      <c r="L15" s="10">
        <f>Model!AG39+Model!AH39+Model!AI39</f>
        <v>-1199100.5770199997</v>
      </c>
      <c r="M15" s="10">
        <f>Model!AJ39+Model!AK39+Model!AL39</f>
        <v>-1199100.5770199997</v>
      </c>
      <c r="N15" s="10">
        <f>Model!AM39+Model!AN39+Model!AO39</f>
        <v>-1201128.3176603999</v>
      </c>
      <c r="O15" s="10">
        <f>Model!AP39+Model!AQ39+Model!AR39</f>
        <v>-1201128.3176603999</v>
      </c>
      <c r="P15" s="10">
        <f>Model!AS39+Model!AT39+Model!AU39</f>
        <v>-1201128.3176603999</v>
      </c>
      <c r="Q15" s="10">
        <f>Model!AV39+Model!AW39+Model!AX39</f>
        <v>-1201128.3176603999</v>
      </c>
      <c r="R15" s="10">
        <f>Model!AY39+Model!AZ39+Model!BA39</f>
        <v>-1203196.613113608</v>
      </c>
      <c r="S15" s="10">
        <f>Model!BB39+Model!BC39+Model!BD39</f>
        <v>-1203196.613113608</v>
      </c>
      <c r="T15" s="10">
        <f>Model!BE39+Model!BF39+Model!BG39</f>
        <v>-1203196.613113608</v>
      </c>
      <c r="U15" s="10">
        <f>Model!BH39+Model!BI39+Model!BJ39</f>
        <v>-1203196.613113608</v>
      </c>
      <c r="V15" s="10">
        <f>Model!BK39+Model!BL39+Model!BM39</f>
        <v>-1205306.2744758802</v>
      </c>
      <c r="W15" s="10">
        <f>Model!BN39+Model!BO39+Model!BP39</f>
        <v>-1205306.2744758802</v>
      </c>
      <c r="X15" s="10">
        <f>Model!BQ39+Model!BR39+Model!BS39</f>
        <v>-1205306.2744758802</v>
      </c>
      <c r="Y15" s="10">
        <f>Model!BT39+Model!BU39+Model!BV39</f>
        <v>-1205306.2744758802</v>
      </c>
      <c r="Z15" s="10">
        <f>Model!BW39+Model!BX39+Model!BY39</f>
        <v>-1207458.1290653977</v>
      </c>
      <c r="AA15" s="10">
        <f>Model!BZ39+Model!CA39+Model!CB39</f>
        <v>-1207458.1290653977</v>
      </c>
      <c r="AB15" s="10">
        <f>Model!CC39+Model!CD39+Model!CE39</f>
        <v>-1207458.1290653977</v>
      </c>
      <c r="AC15" s="10">
        <f>Model!CF39+Model!CG39+Model!CH39</f>
        <v>-1207458.1290653977</v>
      </c>
    </row>
    <row r="16" spans="1:29" ht="15" customHeight="1" x14ac:dyDescent="0.25">
      <c r="A16" s="13" t="s">
        <v>87</v>
      </c>
      <c r="B16" s="14">
        <f>Model!C41+Model!D41+Model!E41</f>
        <v>196924.77513651852</v>
      </c>
      <c r="C16" s="14">
        <f>Model!F41+Model!G41+Model!H41</f>
        <v>848835.77389943716</v>
      </c>
      <c r="D16" s="14">
        <f>Model!I41+Model!J41+Model!K41</f>
        <v>1399241.3858518901</v>
      </c>
      <c r="E16" s="14">
        <f>Model!L41+Model!M41+Model!N41</f>
        <v>1026579.682143749</v>
      </c>
      <c r="F16" s="14">
        <f>Model!O41+Model!P41+Model!Q41</f>
        <v>780722.86635781801</v>
      </c>
      <c r="G16" s="14">
        <f>Model!R41+Model!S41+Model!T41</f>
        <v>930956.59422293189</v>
      </c>
      <c r="H16" s="14">
        <f>Model!U41+Model!V41+Model!W41</f>
        <v>691493.74901090399</v>
      </c>
      <c r="I16" s="14">
        <f>Model!X41+Model!Y41+Model!Z41</f>
        <v>534764.51801825967</v>
      </c>
      <c r="J16" s="14">
        <f>Model!AA41+Model!AB41+Model!AC41</f>
        <v>-282307.71126500872</v>
      </c>
      <c r="K16" s="14">
        <f>Model!AD41+Model!AE41+Model!AF41</f>
        <v>344632.39477432217</v>
      </c>
      <c r="L16" s="14">
        <f>Model!AG41+Model!AH41+Model!AI41</f>
        <v>604975.53196092066</v>
      </c>
      <c r="M16" s="14">
        <f>Model!AJ41+Model!AK41+Model!AL41</f>
        <v>-4599.7301583213848</v>
      </c>
      <c r="N16" s="14">
        <f>Model!AM41+Model!AN41+Model!AO41</f>
        <v>-252213.75026368088</v>
      </c>
      <c r="O16" s="14">
        <f>Model!AP41+Model!AQ41+Model!AR41</f>
        <v>-29919.605201624043</v>
      </c>
      <c r="P16" s="14">
        <f>Model!AS41+Model!AT41+Model!AU41</f>
        <v>-690741.09729018575</v>
      </c>
      <c r="Q16" s="14">
        <f>Model!AV41+Model!AW41+Model!AX41</f>
        <v>-719404.5902232572</v>
      </c>
      <c r="R16" s="14">
        <f>Model!AY41+Model!AZ41+Model!BA41</f>
        <v>-764107.46367710805</v>
      </c>
      <c r="S16" s="14">
        <f>Model!BB41+Model!BC41+Model!BD41</f>
        <v>-811485.16957182228</v>
      </c>
      <c r="T16" s="14">
        <f>Model!BE41+Model!BF41+Model!BG41</f>
        <v>-731916.61979906028</v>
      </c>
      <c r="U16" s="14">
        <f>Model!BH41+Model!BI41+Model!BJ41</f>
        <v>-1203196.613113608</v>
      </c>
      <c r="V16" s="14">
        <f>Model!BK41+Model!BL41+Model!BM41</f>
        <v>-1205306.2744758802</v>
      </c>
      <c r="W16" s="14">
        <f>Model!BN41+Model!BO41+Model!BP41</f>
        <v>-1205306.2744758802</v>
      </c>
      <c r="X16" s="14">
        <f>Model!BQ41+Model!BR41+Model!BS41</f>
        <v>-1205306.2744758802</v>
      </c>
      <c r="Y16" s="14">
        <f>Model!BT41+Model!BU41+Model!BV41</f>
        <v>-1205306.2744758802</v>
      </c>
      <c r="Z16" s="14">
        <f>Model!BW41+Model!BX41+Model!BY41</f>
        <v>-1207458.1290653977</v>
      </c>
      <c r="AA16" s="14">
        <f>Model!BZ41+Model!CA41+Model!CB41</f>
        <v>-1207458.1290653977</v>
      </c>
      <c r="AB16" s="14">
        <f>Model!CC41+Model!CD41+Model!CE41</f>
        <v>-1207458.1290653977</v>
      </c>
      <c r="AC16" s="14">
        <f>Model!CF41+Model!CG41+Model!CH41</f>
        <v>-1207458.1290653977</v>
      </c>
    </row>
    <row r="17" spans="1:29" ht="15" customHeight="1" x14ac:dyDescent="0.25">
      <c r="A17" s="7" t="s">
        <v>88</v>
      </c>
      <c r="B17" s="15">
        <f>IF((Model!C12+Model!D12+Model!E12)&lt;&gt;0,(Model!C41+Model!D41+Model!E41)/(Model!C12+Model!D12+Model!E12),0)</f>
        <v>0.15385263462225579</v>
      </c>
      <c r="C17" s="15">
        <f>IF((Model!F12+Model!G12+Model!H12)&lt;&gt;0,(Model!F41+Model!G41+Model!H41)/(Model!F12+Model!G12+Model!H12),0)</f>
        <v>0.35937681387090759</v>
      </c>
      <c r="D17" s="15">
        <f>IF((Model!I12+Model!J12+Model!K12)&lt;&gt;0,(Model!I41+Model!J41+Model!K41)/(Model!I12+Model!J12+Model!K12),0)</f>
        <v>0.47115089957559952</v>
      </c>
      <c r="E17" s="15">
        <f>IF((Model!L12+Model!M12+Model!N12)&lt;&gt;0,(Model!L41+Model!M41+Model!N41)/(Model!L12+Model!M12+Model!N12),0)</f>
        <v>0.46206044267342605</v>
      </c>
      <c r="F17" s="15">
        <f>IF((Model!O12+Model!P12+Model!Q12)&lt;&gt;0,(Model!O41+Model!P41+Model!Q41)/(Model!O12+Model!P12+Model!Q12),0)</f>
        <v>0.22636173506233151</v>
      </c>
      <c r="G17" s="15">
        <f>IF((Model!R12+Model!S12+Model!T12)&lt;&gt;0,(Model!R41+Model!S41+Model!T41)/(Model!R12+Model!S12+Model!T12),0)</f>
        <v>0.43746537871045765</v>
      </c>
      <c r="H17" s="15">
        <f>IF((Model!U12+Model!V12+Model!W12)&lt;&gt;0,(Model!U41+Model!V41+Model!W41)/(Model!U12+Model!V12+Model!W12),0)</f>
        <v>0.36613969387406226</v>
      </c>
      <c r="I17" s="15">
        <f>IF((Model!X12+Model!Y12+Model!Z12)&lt;&gt;0,(Model!X41+Model!Y41+Model!Z41)/(Model!X12+Model!Y12+Model!Z12),0)</f>
        <v>0.30877740325207714</v>
      </c>
      <c r="J17" s="15">
        <f>IF((Model!AA12+Model!AB12+Model!AC12)&lt;&gt;0,(Model!AA41+Model!AB41+Model!AC41)/(Model!AA12+Model!AB12+Model!AC12),0)</f>
        <v>-0.12486969786975581</v>
      </c>
      <c r="K17" s="15">
        <f>IF((Model!AD12+Model!AE12+Model!AF12)&lt;&gt;0,(Model!AD41+Model!AE41+Model!AF41)/(Model!AD12+Model!AE12+Model!AF12),0)</f>
        <v>0.2232461190316786</v>
      </c>
      <c r="L17" s="15">
        <f>IF((Model!AG12+Model!AH12+Model!AI12)&lt;&gt;0,(Model!AG41+Model!AH41+Model!AI41)/(Model!AG12+Model!AH12+Model!AI12),0)</f>
        <v>0.33533814285842789</v>
      </c>
      <c r="M17" s="15">
        <f>IF((Model!AJ12+Model!AK12+Model!AL12)&lt;&gt;0,(Model!AJ41+Model!AK41+Model!AL41)/(Model!AJ12+Model!AK12+Model!AL12),0)</f>
        <v>-3.8507550416613696E-3</v>
      </c>
      <c r="N17" s="15">
        <f>IF((Model!AM12+Model!AN12+Model!AO12)&lt;&gt;0,(Model!AM41+Model!AN41+Model!AO41)/(Model!AM12+Model!AN12+Model!AO12),0)</f>
        <v>-0.2657918414674692</v>
      </c>
      <c r="O17" s="15">
        <f>IF((Model!AP12+Model!AQ12+Model!AR12)&lt;&gt;0,(Model!AP41+Model!AQ41+Model!AR41)/(Model!AP12+Model!AQ12+Model!AR12),0)</f>
        <v>-2.5545920964686431E-2</v>
      </c>
      <c r="P17" s="15">
        <f>IF((Model!AS12+Model!AT12+Model!AU12)&lt;&gt;0,(Model!AS41+Model!AT41+Model!AU41)/(Model!AS12+Model!AT12+Model!AU12),0)</f>
        <v>-1.3533667570852383</v>
      </c>
      <c r="Q17" s="15">
        <f>IF((Model!AV12+Model!AW12+Model!AX12)&lt;&gt;0,(Model!AV41+Model!AW41+Model!AX41)/(Model!AV12+Model!AW12+Model!AX12),0)</f>
        <v>-1.493396628085188</v>
      </c>
      <c r="R17" s="15">
        <f>IF((Model!AY12+Model!AZ12+Model!BA12)&lt;&gt;0,(Model!AY41+Model!AZ41+Model!BA41)/(Model!AY12+Model!AZ12+Model!BA12),0)</f>
        <v>-1.7402103073093851</v>
      </c>
      <c r="S17" s="15">
        <f>IF((Model!BB12+Model!BC12+Model!BD12)&lt;&gt;0,(Model!BB41+Model!BC41+Model!BD41)/(Model!BB12+Model!BC12+Model!BD12),0)</f>
        <v>-2.0716401906324631</v>
      </c>
      <c r="T17" s="15">
        <f>IF((Model!BE12+Model!BF12+Model!BG12)&lt;&gt;0,(Model!BE41+Model!BF41+Model!BG41)/(Model!BE12+Model!BF12+Model!BG12),0)</f>
        <v>-1.5530398705267239</v>
      </c>
      <c r="U17" s="15">
        <f>IF((Model!BH12+Model!BI12+Model!BJ12)&lt;&gt;0,(Model!BH41+Model!BI41+Model!BJ41)/(Model!BH12+Model!BI12+Model!BJ12),0)</f>
        <v>0</v>
      </c>
      <c r="V17" s="15">
        <f>IF((Model!BK12+Model!BL12+Model!BM12)&lt;&gt;0,(Model!BK41+Model!BL41+Model!BM41)/(Model!BK12+Model!BL12+Model!BM12),0)</f>
        <v>0</v>
      </c>
      <c r="W17" s="15">
        <f>IF((Model!BN12+Model!BO12+Model!BP12)&lt;&gt;0,(Model!BN41+Model!BO41+Model!BP41)/(Model!BN12+Model!BO12+Model!BP12),0)</f>
        <v>0</v>
      </c>
      <c r="X17" s="15">
        <f>IF((Model!BQ12+Model!BR12+Model!BS12)&lt;&gt;0,(Model!BQ41+Model!BR41+Model!BS41)/(Model!BQ12+Model!BR12+Model!BS12),0)</f>
        <v>0</v>
      </c>
      <c r="Y17" s="15">
        <f>IF((Model!BT12+Model!BU12+Model!BV12)&lt;&gt;0,(Model!BT41+Model!BU41+Model!BV41)/(Model!BT12+Model!BU12+Model!BV12),0)</f>
        <v>0</v>
      </c>
      <c r="Z17" s="15">
        <f>IF((Model!BW12+Model!BX12+Model!BY12)&lt;&gt;0,(Model!BW41+Model!BX41+Model!BY41)/(Model!BW12+Model!BX12+Model!BY12),0)</f>
        <v>0</v>
      </c>
      <c r="AA17" s="15">
        <f>IF((Model!BZ12+Model!CA12+Model!CB12)&lt;&gt;0,(Model!BZ41+Model!CA41+Model!CB41)/(Model!BZ12+Model!CA12+Model!CB12),0)</f>
        <v>0</v>
      </c>
      <c r="AB17" s="15">
        <f>IF((Model!CC12+Model!CD12+Model!CE12)&lt;&gt;0,(Model!CC41+Model!CD41+Model!CE41)/(Model!CC12+Model!CD12+Model!CE12),0)</f>
        <v>0</v>
      </c>
      <c r="AC17" s="15">
        <f>IF((Model!CF12+Model!CG12+Model!CH12)&lt;&gt;0,(Model!CF41+Model!CG41+Model!CH41)/(Model!CF12+Model!CG12+Model!CH12),0)</f>
        <v>0</v>
      </c>
    </row>
    <row r="18" spans="1:29" s="64" customFormat="1" ht="15" customHeight="1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</row>
    <row r="19" spans="1:29" ht="15" customHeight="1" x14ac:dyDescent="0.25">
      <c r="A19" s="65" t="s">
        <v>89</v>
      </c>
      <c r="B19" s="17">
        <f>Model!C64+Model!D64+Model!E64</f>
        <v>130843.74</v>
      </c>
      <c r="C19" s="17">
        <f>Model!F64+Model!G64+Model!H64</f>
        <v>130010.41</v>
      </c>
      <c r="D19" s="17">
        <f>Model!I64+Model!J64+Model!K64</f>
        <v>109593.75</v>
      </c>
      <c r="E19" s="17">
        <f>Model!L64+Model!M64+Model!N64</f>
        <v>100218.75</v>
      </c>
      <c r="F19" s="17">
        <f>Model!O64+Model!P64+Model!Q64</f>
        <v>100218.75</v>
      </c>
      <c r="G19" s="17">
        <f>Model!R64+Model!S64+Model!T64</f>
        <v>28500</v>
      </c>
      <c r="H19" s="17">
        <f>Model!U64+Model!V64+Model!W64</f>
        <v>85875</v>
      </c>
      <c r="I19" s="17">
        <f>Model!X64+Model!Y64+Model!Z64</f>
        <v>85875</v>
      </c>
      <c r="J19" s="17">
        <f>Model!AA64+Model!AB64+Model!AC64</f>
        <v>85875</v>
      </c>
      <c r="K19" s="17">
        <f>Model!AD64+Model!AE64+Model!AF64</f>
        <v>28500</v>
      </c>
      <c r="L19" s="17">
        <f>Model!AG64+Model!AH64+Model!AI64</f>
        <v>0</v>
      </c>
      <c r="M19" s="17">
        <f>Model!AJ64+Model!AK64+Model!AL64</f>
        <v>0</v>
      </c>
      <c r="N19" s="17">
        <f>Model!AM64+Model!AN64+Model!AO64</f>
        <v>0</v>
      </c>
      <c r="O19" s="17">
        <f>Model!AP64+Model!AQ64+Model!AR64</f>
        <v>81683</v>
      </c>
      <c r="P19" s="17">
        <f>Model!AS64+Model!AT64+Model!AU64</f>
        <v>81682</v>
      </c>
      <c r="Q19" s="17">
        <f>Model!AV64+Model!AW64+Model!AX64</f>
        <v>81682</v>
      </c>
      <c r="R19" s="17">
        <f>Model!AY64+Model!AZ64+Model!BA64</f>
        <v>933521</v>
      </c>
      <c r="S19" s="17">
        <f>Model!BB64+Model!BC64+Model!BD64</f>
        <v>130878</v>
      </c>
      <c r="T19" s="17">
        <f>Model!BE64+Model!BF64+Model!BG64</f>
        <v>130876</v>
      </c>
      <c r="U19" s="17">
        <f>Model!BH64+Model!BI64+Model!BJ64</f>
        <v>130876</v>
      </c>
      <c r="V19" s="17">
        <f>Model!BK64+Model!BL64+Model!BM64</f>
        <v>130876</v>
      </c>
      <c r="W19" s="17">
        <f>Model!BN64+Model!BO64+Model!BP64</f>
        <v>142406</v>
      </c>
      <c r="X19" s="17">
        <f>Model!BQ64+Model!BR64+Model!BS64</f>
        <v>142402</v>
      </c>
      <c r="Y19" s="17">
        <f>Model!BT64+Model!BU64+Model!BV64</f>
        <v>142402</v>
      </c>
      <c r="Z19" s="17">
        <f>Model!BW64+Model!BX64+Model!BY64</f>
        <v>215558</v>
      </c>
      <c r="AA19" s="17">
        <f>Model!BZ64+Model!CA64+Model!CB64</f>
        <v>231017</v>
      </c>
      <c r="AB19" s="17">
        <f>Model!CC64+Model!CD64+Model!CE64</f>
        <v>231016</v>
      </c>
      <c r="AC19" s="17">
        <f>Model!CF64+Model!CG64+Model!CH64</f>
        <v>231016</v>
      </c>
    </row>
    <row r="20" spans="1:29" ht="15" customHeight="1" x14ac:dyDescent="0.25">
      <c r="A20" s="7" t="s">
        <v>90</v>
      </c>
      <c r="B20" s="8">
        <f>Model!C85+Model!D85+Model!E85</f>
        <v>-329975</v>
      </c>
      <c r="C20" s="8">
        <f>Model!F85+Model!G85+Model!H85</f>
        <v>-352975.00000000006</v>
      </c>
      <c r="D20" s="8">
        <f>Model!I85+Model!J85+Model!K85</f>
        <v>-350975</v>
      </c>
      <c r="E20" s="8">
        <f>Model!L85+Model!M85+Model!N85</f>
        <v>-329975</v>
      </c>
      <c r="F20" s="8">
        <f>Model!O85+Model!P85+Model!Q85</f>
        <v>-331097</v>
      </c>
      <c r="G20" s="8">
        <f>Model!R85+Model!S85+Model!T85</f>
        <v>-354557.00000000006</v>
      </c>
      <c r="H20" s="8">
        <f>Model!U85+Model!V85+Model!W85</f>
        <v>-352517</v>
      </c>
      <c r="I20" s="8">
        <f>Model!X85+Model!Y85+Model!Z85</f>
        <v>-331097</v>
      </c>
      <c r="J20" s="8">
        <f>Model!AA85+Model!AB85+Model!AC85</f>
        <v>-332241.44</v>
      </c>
      <c r="K20" s="8">
        <f>Model!AD85+Model!AE85+Model!AF85</f>
        <v>-356170.64</v>
      </c>
      <c r="L20" s="8">
        <f>Model!AG85+Model!AH85+Model!AI85</f>
        <v>-354089.84</v>
      </c>
      <c r="M20" s="8">
        <f>Model!AJ85+Model!AK85+Model!AL85</f>
        <v>-332241.44</v>
      </c>
      <c r="N20" s="8">
        <f>Model!AM85+Model!AN85+Model!AO85</f>
        <v>-333408.76880000002</v>
      </c>
      <c r="O20" s="8">
        <f>Model!AP85+Model!AQ85+Model!AR85</f>
        <v>-439499.55280000006</v>
      </c>
      <c r="P20" s="8">
        <f>Model!AS85+Model!AT85+Model!AU85</f>
        <v>-437376.13679999998</v>
      </c>
      <c r="Q20" s="8">
        <f>Model!AV85+Model!AW85+Model!AX85</f>
        <v>-415090.76880000008</v>
      </c>
      <c r="R20" s="8">
        <f>Model!AY85+Model!AZ85+Model!BA85</f>
        <v>-1268120.4441760001</v>
      </c>
      <c r="S20" s="8">
        <f>Model!BB85+Model!BC85+Model!BD85</f>
        <v>-490373.38385600003</v>
      </c>
      <c r="T20" s="8">
        <f>Model!BE85+Model!BF85+Model!BG85</f>
        <v>-488206.51953600004</v>
      </c>
      <c r="U20" s="8">
        <f>Model!BH85+Model!BI85+Model!BJ85</f>
        <v>-465475.44417600002</v>
      </c>
      <c r="V20" s="8">
        <f>Model!BK85+Model!BL85+Model!BM85</f>
        <v>-466689.93305952003</v>
      </c>
      <c r="W20" s="8">
        <f>Model!BN85+Model!BO85+Model!BP85</f>
        <v>-452100.27153311996</v>
      </c>
      <c r="X20" s="8">
        <f>Model!BQ85+Model!BR85+Model!BS85</f>
        <v>-433639.62992671999</v>
      </c>
      <c r="Y20" s="8">
        <f>Model!BT85+Model!BU85+Model!BV85</f>
        <v>-410453.93305951997</v>
      </c>
      <c r="Z20" s="8">
        <f>Model!BW85+Model!BX85+Model!BY85</f>
        <v>-484848.71172071039</v>
      </c>
      <c r="AA20" s="8">
        <f>Model!BZ85+Model!CA85+Model!CB85</f>
        <v>-517472.44736378238</v>
      </c>
      <c r="AB20" s="8">
        <f>Model!CC85+Model!CD85+Model!CE85</f>
        <v>-515219.12252525438</v>
      </c>
      <c r="AC20" s="8">
        <f>Model!CF85+Model!CG85+Model!CH85</f>
        <v>-484961.68511423119</v>
      </c>
    </row>
    <row r="21" spans="1:29" ht="15" customHeight="1" x14ac:dyDescent="0.25">
      <c r="A21" s="13" t="s">
        <v>91</v>
      </c>
      <c r="B21" s="14">
        <f>Model!C87+Model!D87+Model!E87</f>
        <v>-199131.26</v>
      </c>
      <c r="C21" s="14">
        <f>Model!F87+Model!G87+Model!H87</f>
        <v>-222964.59000000003</v>
      </c>
      <c r="D21" s="14">
        <f>Model!I87+Model!J87+Model!K87</f>
        <v>-241381.25</v>
      </c>
      <c r="E21" s="14">
        <f>Model!L87+Model!M87+Model!N87</f>
        <v>-229756.25</v>
      </c>
      <c r="F21" s="14">
        <f>Model!O87+Model!P87+Model!Q87</f>
        <v>-230878.25</v>
      </c>
      <c r="G21" s="14">
        <f>Model!R87+Model!S87+Model!T87</f>
        <v>-326057.00000000006</v>
      </c>
      <c r="H21" s="14">
        <f>Model!U87+Model!V87+Model!W87</f>
        <v>-266642</v>
      </c>
      <c r="I21" s="14">
        <f>Model!X87+Model!Y87+Model!Z87</f>
        <v>-245222</v>
      </c>
      <c r="J21" s="14">
        <f>Model!AA87+Model!AB87+Model!AC87</f>
        <v>-246366.44</v>
      </c>
      <c r="K21" s="14">
        <f>Model!AD87+Model!AE87+Model!AF87</f>
        <v>-327670.64</v>
      </c>
      <c r="L21" s="14">
        <f>Model!AG87+Model!AH87+Model!AI87</f>
        <v>-354089.84</v>
      </c>
      <c r="M21" s="14">
        <f>Model!AJ87+Model!AK87+Model!AL87</f>
        <v>-332241.44</v>
      </c>
      <c r="N21" s="14">
        <f>Model!AM87+Model!AN87+Model!AO87</f>
        <v>-333408.76880000002</v>
      </c>
      <c r="O21" s="14">
        <f>Model!AP87+Model!AQ87+Model!AR87</f>
        <v>-357816.55280000006</v>
      </c>
      <c r="P21" s="14">
        <f>Model!AS87+Model!AT87+Model!AU87</f>
        <v>-355694.13679999998</v>
      </c>
      <c r="Q21" s="14">
        <f>Model!AV87+Model!AW87+Model!AX87</f>
        <v>-333408.76880000008</v>
      </c>
      <c r="R21" s="14">
        <f>Model!AY87+Model!AZ87+Model!BA87</f>
        <v>-334599.44417599996</v>
      </c>
      <c r="S21" s="14">
        <f>Model!BB87+Model!BC87+Model!BD87</f>
        <v>-359495.38385600003</v>
      </c>
      <c r="T21" s="14">
        <f>Model!BE87+Model!BF87+Model!BG87</f>
        <v>-357330.51953600004</v>
      </c>
      <c r="U21" s="14">
        <f>Model!BH87+Model!BI87+Model!BJ87</f>
        <v>-334599.44417600002</v>
      </c>
      <c r="V21" s="14">
        <f>Model!BK87+Model!BL87+Model!BM87</f>
        <v>-335813.93305952003</v>
      </c>
      <c r="W21" s="14">
        <f>Model!BN87+Model!BO87+Model!BP87</f>
        <v>-309694.27153311996</v>
      </c>
      <c r="X21" s="14">
        <f>Model!BQ87+Model!BR87+Model!BS87</f>
        <v>-291237.62992671999</v>
      </c>
      <c r="Y21" s="14">
        <f>Model!BT87+Model!BU87+Model!BV87</f>
        <v>-268051.93305951997</v>
      </c>
      <c r="Z21" s="14">
        <f>Model!BW87+Model!BX87+Model!BY87</f>
        <v>-269290.71172071039</v>
      </c>
      <c r="AA21" s="14">
        <f>Model!BZ87+Model!CA87+Model!CB87</f>
        <v>-286455.44736378238</v>
      </c>
      <c r="AB21" s="14">
        <f>Model!CC87+Model!CD87+Model!CE87</f>
        <v>-284203.12252525438</v>
      </c>
      <c r="AC21" s="14">
        <f>Model!CF87+Model!CG87+Model!CH87</f>
        <v>-253945.68511423119</v>
      </c>
    </row>
    <row r="22" spans="1:29" ht="15" customHeight="1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</row>
    <row r="23" spans="1:29" ht="15" customHeight="1" x14ac:dyDescent="0.25">
      <c r="A23" s="13" t="s">
        <v>92</v>
      </c>
      <c r="B23" s="14">
        <f>Model!C96+Model!D96+Model!E96</f>
        <v>-2206.4848634814844</v>
      </c>
      <c r="C23" s="14">
        <f>Model!F96+Model!G96+Model!H96</f>
        <v>625871.18389943731</v>
      </c>
      <c r="D23" s="14">
        <f>Model!I96+Model!J96+Model!K96</f>
        <v>1157860.1358518898</v>
      </c>
      <c r="E23" s="14">
        <f>Model!L96+Model!M96+Model!N96</f>
        <v>796823.43214374897</v>
      </c>
      <c r="F23" s="14">
        <f>Model!O96+Model!P96+Model!Q96</f>
        <v>549844.61635781778</v>
      </c>
      <c r="G23" s="14">
        <f>Model!R96+Model!S96+Model!T96</f>
        <v>604899.59422293177</v>
      </c>
      <c r="H23" s="14">
        <f>Model!U96+Model!V96+Model!W96</f>
        <v>424851.74901090399</v>
      </c>
      <c r="I23" s="14">
        <f>Model!X96+Model!Y96+Model!Z96</f>
        <v>289542.51801825955</v>
      </c>
      <c r="J23" s="14">
        <f>Model!AA96+Model!AB96+Model!AC96</f>
        <v>-528674.15126500884</v>
      </c>
      <c r="K23" s="14">
        <f>Model!AD96+Model!AE96+Model!AF96</f>
        <v>16961.754774322151</v>
      </c>
      <c r="L23" s="14">
        <f>Model!AG96+Model!AH96+Model!AI96</f>
        <v>250885.69196092058</v>
      </c>
      <c r="M23" s="14">
        <f>Model!AJ96+Model!AK96+Model!AL96</f>
        <v>-336841.17015832139</v>
      </c>
      <c r="N23" s="14">
        <f>Model!AM96+Model!AN96+Model!AO96</f>
        <v>-585622.5190636809</v>
      </c>
      <c r="O23" s="14">
        <f>Model!AP96+Model!AQ96+Model!AR96</f>
        <v>-387736.15800162411</v>
      </c>
      <c r="P23" s="14">
        <f>Model!AS96+Model!AT96+Model!AU96</f>
        <v>-1046435.2340901857</v>
      </c>
      <c r="Q23" s="14">
        <f>Model!AV96+Model!AW96+Model!AX96</f>
        <v>-1052813.3590232572</v>
      </c>
      <c r="R23" s="14">
        <f>Model!AY96+Model!AZ96+Model!BA96</f>
        <v>-1098706.9078531079</v>
      </c>
      <c r="S23" s="14">
        <f>Model!BB96+Model!BC96+Model!BD96</f>
        <v>-1170980.5534278222</v>
      </c>
      <c r="T23" s="14">
        <f>Model!BE96+Model!BF96+Model!BG96</f>
        <v>-1089247.1393350605</v>
      </c>
      <c r="U23" s="14">
        <f>Model!BH96+Model!BI96+Model!BJ96</f>
        <v>-1537796.0572896078</v>
      </c>
      <c r="V23" s="14">
        <f>Model!BK96+Model!BL96+Model!BM96</f>
        <v>-1541120.2075354003</v>
      </c>
      <c r="W23" s="14">
        <f>Model!BN96+Model!BO96+Model!BP96</f>
        <v>-1515000.5460090002</v>
      </c>
      <c r="X23" s="14">
        <f>Model!BQ96+Model!BR96+Model!BS96</f>
        <v>-1496543.9044026001</v>
      </c>
      <c r="Y23" s="14">
        <f>Model!BT96+Model!BU96+Model!BV96</f>
        <v>-1473358.2075354003</v>
      </c>
      <c r="Z23" s="14">
        <f>Model!BW96+Model!BX96+Model!BY96</f>
        <v>-1476748.8407861083</v>
      </c>
      <c r="AA23" s="14">
        <f>Model!BZ96+Model!CA96+Model!CB96</f>
        <v>-1493913.5764291801</v>
      </c>
      <c r="AB23" s="14">
        <f>Model!CC96+Model!CD96+Model!CE96</f>
        <v>-1491661.2515906519</v>
      </c>
      <c r="AC23" s="14">
        <f>Model!CF96+Model!CG96+Model!CH96</f>
        <v>-1461403.8141796291</v>
      </c>
    </row>
    <row r="24" spans="1:29" ht="15" customHeight="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</row>
    <row r="25" spans="1:29" ht="15" customHeight="1" x14ac:dyDescent="0.25">
      <c r="A25" s="6" t="s">
        <v>93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</row>
    <row r="26" spans="1:29" ht="15" customHeight="1" x14ac:dyDescent="0.25">
      <c r="A26" s="7" t="s">
        <v>94</v>
      </c>
      <c r="B26" s="8">
        <f>Model!C80+Model!D80+Model!E80</f>
        <v>0</v>
      </c>
      <c r="C26" s="8">
        <f>Model!F80+Model!G80+Model!H80</f>
        <v>0</v>
      </c>
      <c r="D26" s="8">
        <f>Model!I80+Model!J80+Model!K80</f>
        <v>0</v>
      </c>
      <c r="E26" s="8">
        <f>Model!L80+Model!M80+Model!N80</f>
        <v>0</v>
      </c>
      <c r="F26" s="8">
        <f>Model!O80+Model!P80+Model!Q80</f>
        <v>0</v>
      </c>
      <c r="G26" s="8">
        <f>Model!R80+Model!S80+Model!T80</f>
        <v>0</v>
      </c>
      <c r="H26" s="8">
        <f>Model!U80+Model!V80+Model!W80</f>
        <v>0</v>
      </c>
      <c r="I26" s="8">
        <f>Model!X80+Model!Y80+Model!Z80</f>
        <v>0</v>
      </c>
      <c r="J26" s="8">
        <f>Model!AA80+Model!AB80+Model!AC80</f>
        <v>0</v>
      </c>
      <c r="K26" s="8">
        <f>Model!AD80+Model!AE80+Model!AF80</f>
        <v>0</v>
      </c>
      <c r="L26" s="8">
        <f>Model!AG80+Model!AH80+Model!AI80</f>
        <v>0</v>
      </c>
      <c r="M26" s="8">
        <f>Model!AJ80+Model!AK80+Model!AL80</f>
        <v>0</v>
      </c>
      <c r="N26" s="8">
        <f>Model!AM80+Model!AN80+Model!AO80</f>
        <v>0</v>
      </c>
      <c r="O26" s="8">
        <f>Model!AP80+Model!AQ80+Model!AR80</f>
        <v>0</v>
      </c>
      <c r="P26" s="8">
        <f>Model!AS80+Model!AT80+Model!AU80</f>
        <v>0</v>
      </c>
      <c r="Q26" s="8">
        <f>Model!AV80+Model!AW80+Model!AX80</f>
        <v>0</v>
      </c>
      <c r="R26" s="8">
        <f>Model!AY80+Model!AZ80+Model!BA80</f>
        <v>0</v>
      </c>
      <c r="S26" s="8">
        <f>Model!BB80+Model!BC80+Model!BD80</f>
        <v>0</v>
      </c>
      <c r="T26" s="8">
        <f>Model!BE80+Model!BF80+Model!BG80</f>
        <v>0</v>
      </c>
      <c r="U26" s="8">
        <f>Model!BH80+Model!BI80+Model!BJ80</f>
        <v>0</v>
      </c>
      <c r="V26" s="8">
        <f>Model!BK80+Model!BL80+Model!BM80</f>
        <v>0</v>
      </c>
      <c r="W26" s="8">
        <f>Model!BN80+Model!BO80+Model!BP80</f>
        <v>0</v>
      </c>
      <c r="X26" s="8">
        <f>Model!BQ80+Model!BR80+Model!BS80</f>
        <v>0</v>
      </c>
      <c r="Y26" s="8">
        <f>Model!BT80+Model!BU80+Model!BV80</f>
        <v>0</v>
      </c>
      <c r="Z26" s="8">
        <f>Model!BW80+Model!BX80+Model!BY80</f>
        <v>0</v>
      </c>
      <c r="AA26" s="8">
        <f>Model!BZ80+Model!CA80+Model!CB80</f>
        <v>0</v>
      </c>
      <c r="AB26" s="8">
        <f>Model!CC80+Model!CD80+Model!CE80</f>
        <v>0</v>
      </c>
      <c r="AC26" s="8">
        <f>Model!CF80+Model!CG80+Model!CH80</f>
        <v>0</v>
      </c>
    </row>
    <row r="27" spans="1:29" ht="15" customHeight="1" x14ac:dyDescent="0.25">
      <c r="A27" s="7" t="s">
        <v>95</v>
      </c>
      <c r="B27" s="8">
        <f>Model!C81+Model!D81+Model!E81</f>
        <v>0</v>
      </c>
      <c r="C27" s="8">
        <f>Model!F81+Model!G81+Model!H81</f>
        <v>0</v>
      </c>
      <c r="D27" s="8">
        <f>Model!I81+Model!J81+Model!K81</f>
        <v>0</v>
      </c>
      <c r="E27" s="8">
        <f>Model!L81+Model!M81+Model!N81</f>
        <v>0</v>
      </c>
      <c r="F27" s="8">
        <f>Model!O81+Model!P81+Model!Q81</f>
        <v>0</v>
      </c>
      <c r="G27" s="8">
        <f>Model!R81+Model!S81+Model!T81</f>
        <v>0</v>
      </c>
      <c r="H27" s="8">
        <f>Model!U81+Model!V81+Model!W81</f>
        <v>0</v>
      </c>
      <c r="I27" s="8">
        <f>Model!X81+Model!Y81+Model!Z81</f>
        <v>0</v>
      </c>
      <c r="J27" s="8">
        <f>Model!AA81+Model!AB81+Model!AC81</f>
        <v>0</v>
      </c>
      <c r="K27" s="8">
        <f>Model!AD81+Model!AE81+Model!AF81</f>
        <v>0</v>
      </c>
      <c r="L27" s="8">
        <f>Model!AG81+Model!AH81+Model!AI81</f>
        <v>0</v>
      </c>
      <c r="M27" s="8">
        <f>Model!AJ81+Model!AK81+Model!AL81</f>
        <v>0</v>
      </c>
      <c r="N27" s="8">
        <f>Model!AM81+Model!AN81+Model!AO81</f>
        <v>0</v>
      </c>
      <c r="O27" s="8">
        <f>Model!AP81+Model!AQ81+Model!AR81</f>
        <v>0</v>
      </c>
      <c r="P27" s="8">
        <f>Model!AS81+Model!AT81+Model!AU81</f>
        <v>0</v>
      </c>
      <c r="Q27" s="8">
        <f>Model!AV81+Model!AW81+Model!AX81</f>
        <v>0</v>
      </c>
      <c r="R27" s="8">
        <f>Model!AY81+Model!AZ81+Model!BA81</f>
        <v>0</v>
      </c>
      <c r="S27" s="8">
        <f>Model!BB81+Model!BC81+Model!BD81</f>
        <v>0</v>
      </c>
      <c r="T27" s="8">
        <f>Model!BE81+Model!BF81+Model!BG81</f>
        <v>0</v>
      </c>
      <c r="U27" s="8">
        <f>Model!BH81+Model!BI81+Model!BJ81</f>
        <v>0</v>
      </c>
      <c r="V27" s="8">
        <f>Model!BK81+Model!BL81+Model!BM81</f>
        <v>0</v>
      </c>
      <c r="W27" s="8">
        <f>Model!BN81+Model!BO81+Model!BP81</f>
        <v>0</v>
      </c>
      <c r="X27" s="8">
        <f>Model!BQ81+Model!BR81+Model!BS81</f>
        <v>0</v>
      </c>
      <c r="Y27" s="8">
        <f>Model!BT81+Model!BU81+Model!BV81</f>
        <v>0</v>
      </c>
      <c r="Z27" s="8">
        <f>Model!BW81+Model!BX81+Model!BY81</f>
        <v>0</v>
      </c>
      <c r="AA27" s="8">
        <f>Model!BZ81+Model!CA81+Model!CB81</f>
        <v>0</v>
      </c>
      <c r="AB27" s="8">
        <f>Model!CC81+Model!CD81+Model!CE81</f>
        <v>0</v>
      </c>
      <c r="AC27" s="8">
        <f>Model!CF81+Model!CG81+Model!CH81</f>
        <v>0</v>
      </c>
    </row>
    <row r="28" spans="1:29" ht="15" customHeight="1" x14ac:dyDescent="0.25">
      <c r="A28" s="7" t="s">
        <v>96</v>
      </c>
      <c r="B28" s="8">
        <f>Model!C82+Model!D82+Model!E82</f>
        <v>0</v>
      </c>
      <c r="C28" s="8">
        <f>Model!F82+Model!G82+Model!H82</f>
        <v>0</v>
      </c>
      <c r="D28" s="8">
        <f>Model!I82+Model!J82+Model!K82</f>
        <v>0</v>
      </c>
      <c r="E28" s="8">
        <f>Model!L82+Model!M82+Model!N82</f>
        <v>0</v>
      </c>
      <c r="F28" s="8">
        <f>Model!O82+Model!P82+Model!Q82</f>
        <v>0</v>
      </c>
      <c r="G28" s="8">
        <f>Model!R82+Model!S82+Model!T82</f>
        <v>0</v>
      </c>
      <c r="H28" s="8">
        <f>Model!U82+Model!V82+Model!W82</f>
        <v>0</v>
      </c>
      <c r="I28" s="8">
        <f>Model!X82+Model!Y82+Model!Z82</f>
        <v>0</v>
      </c>
      <c r="J28" s="8">
        <f>Model!AA82+Model!AB82+Model!AC82</f>
        <v>0</v>
      </c>
      <c r="K28" s="8">
        <f>Model!AD82+Model!AE82+Model!AF82</f>
        <v>0</v>
      </c>
      <c r="L28" s="8">
        <f>Model!AG82+Model!AH82+Model!AI82</f>
        <v>0</v>
      </c>
      <c r="M28" s="8">
        <f>Model!AJ82+Model!AK82+Model!AL82</f>
        <v>0</v>
      </c>
      <c r="N28" s="8">
        <f>Model!AM82+Model!AN82+Model!AO82</f>
        <v>0</v>
      </c>
      <c r="O28" s="8">
        <f>Model!AP82+Model!AQ82+Model!AR82</f>
        <v>-81683</v>
      </c>
      <c r="P28" s="8">
        <f>Model!AS82+Model!AT82+Model!AU82</f>
        <v>-81682</v>
      </c>
      <c r="Q28" s="8">
        <f>Model!AV82+Model!AW82+Model!AX82</f>
        <v>-81682</v>
      </c>
      <c r="R28" s="8">
        <f>Model!AY82+Model!AZ82+Model!BA82</f>
        <v>-81682</v>
      </c>
      <c r="S28" s="8">
        <f>Model!BB82+Model!BC82+Model!BD82</f>
        <v>-59178</v>
      </c>
      <c r="T28" s="8">
        <f>Model!BE82+Model!BF82+Model!BG82</f>
        <v>-59176</v>
      </c>
      <c r="U28" s="8">
        <f>Model!BH82+Model!BI82+Model!BJ82</f>
        <v>-59176</v>
      </c>
      <c r="V28" s="8">
        <f>Model!BK82+Model!BL82+Model!BM82</f>
        <v>-59176</v>
      </c>
      <c r="W28" s="8">
        <f>Model!BN82+Model!BO82+Model!BP82</f>
        <v>-16249.479999999981</v>
      </c>
      <c r="X28" s="8">
        <f>Model!BQ82+Model!BR82+Model!BS82</f>
        <v>0</v>
      </c>
      <c r="Y28" s="8">
        <f>Model!BT82+Model!BU82+Model!BV82</f>
        <v>0</v>
      </c>
      <c r="Z28" s="8">
        <f>Model!BW82+Model!BX82+Model!BY82</f>
        <v>0</v>
      </c>
      <c r="AA28" s="8">
        <f>Model!BZ82+Model!CA82+Model!CB82</f>
        <v>0</v>
      </c>
      <c r="AB28" s="8">
        <f>Model!CC82+Model!CD82+Model!CE82</f>
        <v>0</v>
      </c>
      <c r="AC28" s="8">
        <f>Model!CF82+Model!CG82+Model!CH82</f>
        <v>0</v>
      </c>
    </row>
    <row r="29" spans="1:29" ht="15" customHeight="1" x14ac:dyDescent="0.25">
      <c r="A29" s="7" t="s">
        <v>97</v>
      </c>
      <c r="B29" s="8">
        <f>Model!C83+Model!D83+Model!E83</f>
        <v>0</v>
      </c>
      <c r="C29" s="8">
        <f>Model!F83+Model!G83+Model!H83</f>
        <v>0</v>
      </c>
      <c r="D29" s="8">
        <f>Model!I83+Model!J83+Model!K83</f>
        <v>0</v>
      </c>
      <c r="E29" s="8">
        <f>Model!L83+Model!M83+Model!N83</f>
        <v>0</v>
      </c>
      <c r="F29" s="8">
        <f>Model!O83+Model!P83+Model!Q83</f>
        <v>0</v>
      </c>
      <c r="G29" s="8">
        <f>Model!R83+Model!S83+Model!T83</f>
        <v>0</v>
      </c>
      <c r="H29" s="8">
        <f>Model!U83+Model!V83+Model!W83</f>
        <v>0</v>
      </c>
      <c r="I29" s="8">
        <f>Model!X83+Model!Y83+Model!Z83</f>
        <v>0</v>
      </c>
      <c r="J29" s="8">
        <f>Model!AA83+Model!AB83+Model!AC83</f>
        <v>0</v>
      </c>
      <c r="K29" s="8">
        <f>Model!AD83+Model!AE83+Model!AF83</f>
        <v>0</v>
      </c>
      <c r="L29" s="8">
        <f>Model!AG83+Model!AH83+Model!AI83</f>
        <v>0</v>
      </c>
      <c r="M29" s="8">
        <f>Model!AJ83+Model!AK83+Model!AL83</f>
        <v>0</v>
      </c>
      <c r="N29" s="8">
        <f>Model!AM83+Model!AN83+Model!AO83</f>
        <v>0</v>
      </c>
      <c r="O29" s="8">
        <f>Model!AP83+Model!AQ83+Model!AR83</f>
        <v>0</v>
      </c>
      <c r="P29" s="8">
        <f>Model!AS83+Model!AT83+Model!AU83</f>
        <v>0</v>
      </c>
      <c r="Q29" s="8">
        <f>Model!AV83+Model!AW83+Model!AX83</f>
        <v>0</v>
      </c>
      <c r="R29" s="8">
        <f>Model!AY83+Model!AZ83+Model!BA83</f>
        <v>-851839</v>
      </c>
      <c r="S29" s="8">
        <f>Model!BB83+Model!BC83+Model!BD83</f>
        <v>-71700</v>
      </c>
      <c r="T29" s="8">
        <f>Model!BE83+Model!BF83+Model!BG83</f>
        <v>-71700</v>
      </c>
      <c r="U29" s="8">
        <f>Model!BH83+Model!BI83+Model!BJ83</f>
        <v>-71700</v>
      </c>
      <c r="V29" s="8">
        <f>Model!BK83+Model!BL83+Model!BM83</f>
        <v>-71700</v>
      </c>
      <c r="W29" s="8">
        <f>Model!BN83+Model!BO83+Model!BP83</f>
        <v>-74643</v>
      </c>
      <c r="X29" s="8">
        <f>Model!BQ83+Model!BR83+Model!BS83</f>
        <v>-74640</v>
      </c>
      <c r="Y29" s="8">
        <f>Model!BT83+Model!BU83+Model!BV83</f>
        <v>-74640</v>
      </c>
      <c r="Z29" s="8">
        <f>Model!BW83+Model!BX83+Model!BY83</f>
        <v>-74640</v>
      </c>
      <c r="AA29" s="8">
        <f>Model!BZ83+Model!CA83+Model!CB83</f>
        <v>-81363</v>
      </c>
      <c r="AB29" s="8">
        <f>Model!CC83+Model!CD83+Model!CE83</f>
        <v>-81362</v>
      </c>
      <c r="AC29" s="8">
        <f>Model!CF83+Model!CG83+Model!CH83</f>
        <v>-74753.973393520777</v>
      </c>
    </row>
    <row r="30" spans="1:29" ht="15" customHeight="1" x14ac:dyDescent="0.25">
      <c r="A30" s="7" t="s">
        <v>98</v>
      </c>
      <c r="B30" s="8">
        <f>Model!C84+Model!D84+Model!E84</f>
        <v>0</v>
      </c>
      <c r="C30" s="8">
        <f>Model!F84+Model!G84+Model!H84</f>
        <v>0</v>
      </c>
      <c r="D30" s="8">
        <f>Model!I84+Model!J84+Model!K84</f>
        <v>0</v>
      </c>
      <c r="E30" s="8">
        <f>Model!L84+Model!M84+Model!N84</f>
        <v>0</v>
      </c>
      <c r="F30" s="8">
        <f>Model!O84+Model!P84+Model!Q84</f>
        <v>0</v>
      </c>
      <c r="G30" s="8">
        <f>Model!R84+Model!S84+Model!T84</f>
        <v>0</v>
      </c>
      <c r="H30" s="8">
        <f>Model!U84+Model!V84+Model!W84</f>
        <v>0</v>
      </c>
      <c r="I30" s="8">
        <f>Model!X84+Model!Y84+Model!Z84</f>
        <v>0</v>
      </c>
      <c r="J30" s="8">
        <f>Model!AA84+Model!AB84+Model!AC84</f>
        <v>0</v>
      </c>
      <c r="K30" s="8">
        <f>Model!AD84+Model!AE84+Model!AF84</f>
        <v>0</v>
      </c>
      <c r="L30" s="8">
        <f>Model!AG84+Model!AH84+Model!AI84</f>
        <v>0</v>
      </c>
      <c r="M30" s="8">
        <f>Model!AJ84+Model!AK84+Model!AL84</f>
        <v>0</v>
      </c>
      <c r="N30" s="8">
        <f>Model!AM84+Model!AN84+Model!AO84</f>
        <v>0</v>
      </c>
      <c r="O30" s="8">
        <f>Model!AP84+Model!AQ84+Model!AR84</f>
        <v>0</v>
      </c>
      <c r="P30" s="8">
        <f>Model!AS84+Model!AT84+Model!AU84</f>
        <v>0</v>
      </c>
      <c r="Q30" s="8">
        <f>Model!AV84+Model!AW84+Model!AX84</f>
        <v>0</v>
      </c>
      <c r="R30" s="8">
        <f>Model!AY84+Model!AZ84+Model!BA84</f>
        <v>0</v>
      </c>
      <c r="S30" s="8">
        <f>Model!BB84+Model!BC84+Model!BD84</f>
        <v>0</v>
      </c>
      <c r="T30" s="8">
        <f>Model!BE84+Model!BF84+Model!BG84</f>
        <v>0</v>
      </c>
      <c r="U30" s="8">
        <f>Model!BH84+Model!BI84+Model!BJ84</f>
        <v>0</v>
      </c>
      <c r="V30" s="8">
        <f>Model!BK84+Model!BL84+Model!BM84</f>
        <v>0</v>
      </c>
      <c r="W30" s="8">
        <f>Model!BN84+Model!BO84+Model!BP84</f>
        <v>0</v>
      </c>
      <c r="X30" s="8">
        <f>Model!BQ84+Model!BR84+Model!BS84</f>
        <v>0</v>
      </c>
      <c r="Y30" s="8">
        <f>Model!BT84+Model!BU84+Model!BV84</f>
        <v>0</v>
      </c>
      <c r="Z30" s="8">
        <f>Model!BW84+Model!BX84+Model!BY84</f>
        <v>-73156</v>
      </c>
      <c r="AA30" s="8">
        <f>Model!BZ84+Model!CA84+Model!CB84</f>
        <v>-73155</v>
      </c>
      <c r="AB30" s="8">
        <f>Model!CC84+Model!CD84+Model!CE84</f>
        <v>-73155</v>
      </c>
      <c r="AC30" s="8">
        <f>Model!CF84+Model!CG84+Model!CH84</f>
        <v>-73155</v>
      </c>
    </row>
    <row r="31" spans="1:29" ht="15" customHeigh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</row>
    <row r="32" spans="1:29" ht="15" customHeight="1" x14ac:dyDescent="0.25">
      <c r="A32" s="6" t="s">
        <v>99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</row>
    <row r="33" spans="1:29" ht="15" customHeight="1" x14ac:dyDescent="0.25">
      <c r="A33" s="7" t="s">
        <v>100</v>
      </c>
      <c r="B33" s="8">
        <f>Model!C101+Model!D101+Model!E101</f>
        <v>0</v>
      </c>
      <c r="C33" s="8">
        <f>Model!F101+Model!G101+Model!H101</f>
        <v>0</v>
      </c>
      <c r="D33" s="8">
        <f>Model!I101+Model!J101+Model!K101</f>
        <v>-390000</v>
      </c>
      <c r="E33" s="8">
        <f>Model!L101+Model!M101+Model!N101</f>
        <v>-390000</v>
      </c>
      <c r="F33" s="8">
        <f>Model!O101+Model!P101+Model!Q101</f>
        <v>-390000</v>
      </c>
      <c r="G33" s="8">
        <f>Model!R101+Model!S101+Model!T101</f>
        <v>-390000</v>
      </c>
      <c r="H33" s="8">
        <f>Model!U101+Model!V101+Model!W101</f>
        <v>-325969.24328544503</v>
      </c>
      <c r="I33" s="8">
        <f>Model!X101+Model!Y101+Model!Z101</f>
        <v>0</v>
      </c>
      <c r="J33" s="8">
        <f>Model!AA101+Model!AB101+Model!AC101</f>
        <v>0</v>
      </c>
      <c r="K33" s="8">
        <f>Model!AD101+Model!AE101+Model!AF101</f>
        <v>0</v>
      </c>
      <c r="L33" s="8">
        <f>Model!AG101+Model!AH101+Model!AI101</f>
        <v>0</v>
      </c>
      <c r="M33" s="8">
        <f>Model!AJ101+Model!AK101+Model!AL101</f>
        <v>0</v>
      </c>
      <c r="N33" s="8">
        <f>Model!AM101+Model!AN101+Model!AO101</f>
        <v>0</v>
      </c>
      <c r="O33" s="8">
        <f>Model!AP101+Model!AQ101+Model!AR101</f>
        <v>0</v>
      </c>
      <c r="P33" s="8">
        <f>Model!AS101+Model!AT101+Model!AU101</f>
        <v>0</v>
      </c>
      <c r="Q33" s="8">
        <f>Model!AV101+Model!AW101+Model!AX101</f>
        <v>0</v>
      </c>
      <c r="R33" s="8">
        <f>Model!AY101+Model!AZ101+Model!BA101</f>
        <v>0</v>
      </c>
      <c r="S33" s="8">
        <f>Model!BB101+Model!BC101+Model!BD101</f>
        <v>0</v>
      </c>
      <c r="T33" s="8">
        <f>Model!BE101+Model!BF101+Model!BG101</f>
        <v>0</v>
      </c>
      <c r="U33" s="8">
        <f>Model!BH101+Model!BI101+Model!BJ101</f>
        <v>0</v>
      </c>
      <c r="V33" s="8">
        <f>Model!BK101+Model!BL101+Model!BM101</f>
        <v>0</v>
      </c>
      <c r="W33" s="8">
        <f>Model!BN101+Model!BO101+Model!BP101</f>
        <v>0</v>
      </c>
      <c r="X33" s="8">
        <f>Model!BQ101+Model!BR101+Model!BS101</f>
        <v>0</v>
      </c>
      <c r="Y33" s="8">
        <f>Model!BT101+Model!BU101+Model!BV101</f>
        <v>0</v>
      </c>
      <c r="Z33" s="8">
        <f>Model!BW101+Model!BX101+Model!BY101</f>
        <v>0</v>
      </c>
      <c r="AA33" s="8">
        <f>Model!BZ101+Model!CA101+Model!CB101</f>
        <v>0</v>
      </c>
      <c r="AB33" s="8">
        <f>Model!CC101+Model!CD101+Model!CE101</f>
        <v>0</v>
      </c>
      <c r="AC33" s="8">
        <f>Model!CF101+Model!CG101+Model!CH101</f>
        <v>0</v>
      </c>
    </row>
    <row r="34" spans="1:29" ht="15" customHeight="1" x14ac:dyDescent="0.25">
      <c r="A34" s="7" t="s">
        <v>101</v>
      </c>
      <c r="B34" s="8">
        <f>Model!E102</f>
        <v>1676065.6875</v>
      </c>
      <c r="C34" s="8">
        <f>Model!H102</f>
        <v>1738918.1507812501</v>
      </c>
      <c r="D34" s="8">
        <f>Model!K102</f>
        <v>1404377.581435547</v>
      </c>
      <c r="E34" s="8">
        <f>Model!N102</f>
        <v>1057291.74073938</v>
      </c>
      <c r="F34" s="8">
        <f>Model!Q102</f>
        <v>697190.18101710675</v>
      </c>
      <c r="G34" s="8">
        <f>Model!T102</f>
        <v>323584.81280524825</v>
      </c>
      <c r="H34" s="8">
        <f>Model!W102</f>
        <v>0</v>
      </c>
      <c r="I34" s="8">
        <f>Model!Z102</f>
        <v>0</v>
      </c>
      <c r="J34" s="8">
        <f>Model!AC102</f>
        <v>0</v>
      </c>
      <c r="K34" s="8">
        <f>Model!AF102</f>
        <v>0</v>
      </c>
      <c r="L34" s="8">
        <f>Model!AI102</f>
        <v>0</v>
      </c>
      <c r="M34" s="8">
        <f>Model!AL102</f>
        <v>0</v>
      </c>
      <c r="N34" s="8">
        <f>Model!AO102</f>
        <v>0</v>
      </c>
      <c r="O34" s="8">
        <f>Model!AR102</f>
        <v>0</v>
      </c>
      <c r="P34" s="8">
        <f>Model!AU102</f>
        <v>0</v>
      </c>
      <c r="Q34" s="8">
        <f>Model!AX102</f>
        <v>0</v>
      </c>
      <c r="R34" s="8">
        <f>Model!BA102</f>
        <v>0</v>
      </c>
      <c r="S34" s="8">
        <f>Model!BD102</f>
        <v>0</v>
      </c>
      <c r="T34" s="8">
        <f>Model!BG102</f>
        <v>0</v>
      </c>
      <c r="U34" s="8">
        <f>Model!BJ102</f>
        <v>0</v>
      </c>
      <c r="V34" s="8">
        <f>Model!BM102</f>
        <v>0</v>
      </c>
      <c r="W34" s="8">
        <f>Model!BP102</f>
        <v>0</v>
      </c>
      <c r="X34" s="8">
        <f>Model!BS102</f>
        <v>0</v>
      </c>
      <c r="Y34" s="8">
        <f>Model!BV102</f>
        <v>0</v>
      </c>
      <c r="Z34" s="8">
        <f>Model!BY102</f>
        <v>0</v>
      </c>
      <c r="AA34" s="8">
        <f>Model!CB102</f>
        <v>0</v>
      </c>
      <c r="AB34" s="8">
        <f>Model!CE102</f>
        <v>0</v>
      </c>
      <c r="AC34" s="8">
        <f>Model!CH102</f>
        <v>0</v>
      </c>
    </row>
    <row r="35" spans="1:29" ht="15" customHeight="1" x14ac:dyDescent="0.25">
      <c r="A35" s="7" t="s">
        <v>102</v>
      </c>
      <c r="B35" s="8">
        <f>Model!C107+Model!D107+Model!E107</f>
        <v>0</v>
      </c>
      <c r="C35" s="8">
        <f>Model!F107+Model!G107+Model!H107</f>
        <v>0</v>
      </c>
      <c r="D35" s="8">
        <f>Model!I107+Model!J107+Model!K107</f>
        <v>0</v>
      </c>
      <c r="E35" s="8">
        <f>Model!L107+Model!M107+Model!N107</f>
        <v>-250000</v>
      </c>
      <c r="F35" s="8">
        <f>Model!O107+Model!P107+Model!Q107</f>
        <v>0</v>
      </c>
      <c r="G35" s="8">
        <f>Model!R107+Model!S107+Model!T107</f>
        <v>0</v>
      </c>
      <c r="H35" s="8">
        <f>Model!U107+Model!V107+Model!W107</f>
        <v>0</v>
      </c>
      <c r="I35" s="8">
        <f>Model!X107+Model!Y107+Model!Z107</f>
        <v>-250000</v>
      </c>
      <c r="J35" s="8">
        <f>Model!AA107+Model!AB107+Model!AC107</f>
        <v>0</v>
      </c>
      <c r="K35" s="8">
        <f>Model!AD107+Model!AE107+Model!AF107</f>
        <v>0</v>
      </c>
      <c r="L35" s="8">
        <f>Model!AG107+Model!AH107+Model!AI107</f>
        <v>0</v>
      </c>
      <c r="M35" s="8">
        <f>Model!AJ107+Model!AK107+Model!AL107</f>
        <v>0</v>
      </c>
      <c r="N35" s="8">
        <f>Model!AM107+Model!AN107+Model!AO107</f>
        <v>0</v>
      </c>
      <c r="O35" s="8">
        <f>Model!AP107+Model!AQ107+Model!AR107</f>
        <v>0</v>
      </c>
      <c r="P35" s="8">
        <f>Model!AS107+Model!AT107+Model!AU107</f>
        <v>0</v>
      </c>
      <c r="Q35" s="8">
        <f>Model!AV107+Model!AW107+Model!AX107</f>
        <v>0</v>
      </c>
      <c r="R35" s="8">
        <f>Model!AY107+Model!AZ107+Model!BA107</f>
        <v>0</v>
      </c>
      <c r="S35" s="8">
        <f>Model!BB107+Model!BC107+Model!BD107</f>
        <v>0</v>
      </c>
      <c r="T35" s="8">
        <f>Model!BE107+Model!BF107+Model!BG107</f>
        <v>0</v>
      </c>
      <c r="U35" s="8">
        <f>Model!BH107+Model!BI107+Model!BJ107</f>
        <v>0</v>
      </c>
      <c r="V35" s="8">
        <f>Model!BK107+Model!BL107+Model!BM107</f>
        <v>0</v>
      </c>
      <c r="W35" s="8">
        <f>Model!BN107+Model!BO107+Model!BP107</f>
        <v>0</v>
      </c>
      <c r="X35" s="8">
        <f>Model!BQ107+Model!BR107+Model!BS107</f>
        <v>0</v>
      </c>
      <c r="Y35" s="8">
        <f>Model!BT107+Model!BU107+Model!BV107</f>
        <v>0</v>
      </c>
      <c r="Z35" s="8">
        <f>Model!BW107+Model!BX107+Model!BY107</f>
        <v>0</v>
      </c>
      <c r="AA35" s="8">
        <f>Model!BZ107+Model!CA107+Model!CB107</f>
        <v>0</v>
      </c>
      <c r="AB35" s="8">
        <f>Model!CC107+Model!CD107+Model!CE107</f>
        <v>0</v>
      </c>
      <c r="AC35" s="8">
        <f>Model!CF107+Model!CG107+Model!CH107</f>
        <v>0</v>
      </c>
    </row>
    <row r="36" spans="1:29" ht="15" customHeight="1" x14ac:dyDescent="0.25">
      <c r="A36" s="7" t="s">
        <v>103</v>
      </c>
      <c r="B36" s="8">
        <f>Model!E108</f>
        <v>1000000</v>
      </c>
      <c r="C36" s="8">
        <f>Model!H108</f>
        <v>1000000</v>
      </c>
      <c r="D36" s="8">
        <f>Model!K108</f>
        <v>1000000</v>
      </c>
      <c r="E36" s="8">
        <f>Model!N108</f>
        <v>750000</v>
      </c>
      <c r="F36" s="8">
        <f>Model!Q108</f>
        <v>750000</v>
      </c>
      <c r="G36" s="8">
        <f>Model!T108</f>
        <v>750000</v>
      </c>
      <c r="H36" s="8">
        <f>Model!W108</f>
        <v>750000</v>
      </c>
      <c r="I36" s="8">
        <f>Model!Z108</f>
        <v>500000</v>
      </c>
      <c r="J36" s="8">
        <f>Model!AC108</f>
        <v>500000</v>
      </c>
      <c r="K36" s="8">
        <f>Model!AF108</f>
        <v>500000</v>
      </c>
      <c r="L36" s="8">
        <f>Model!AI108</f>
        <v>500000</v>
      </c>
      <c r="M36" s="8">
        <f>Model!AL108</f>
        <v>500000</v>
      </c>
      <c r="N36" s="8">
        <f>Model!AO108</f>
        <v>500000</v>
      </c>
      <c r="O36" s="8">
        <f>Model!AR108</f>
        <v>500000</v>
      </c>
      <c r="P36" s="8">
        <f>Model!AU108</f>
        <v>500000</v>
      </c>
      <c r="Q36" s="8">
        <f>Model!AX108</f>
        <v>500000</v>
      </c>
      <c r="R36" s="8">
        <f>Model!BA108</f>
        <v>500000</v>
      </c>
      <c r="S36" s="8">
        <f>Model!BD108</f>
        <v>500000</v>
      </c>
      <c r="T36" s="8">
        <f>Model!BG108</f>
        <v>500000</v>
      </c>
      <c r="U36" s="8">
        <f>Model!BJ108</f>
        <v>500000</v>
      </c>
      <c r="V36" s="8">
        <f>Model!BM108</f>
        <v>500000</v>
      </c>
      <c r="W36" s="8">
        <f>Model!BP108</f>
        <v>500000</v>
      </c>
      <c r="X36" s="8">
        <f>Model!BS108</f>
        <v>500000</v>
      </c>
      <c r="Y36" s="8">
        <f>Model!BV108</f>
        <v>500000</v>
      </c>
      <c r="Z36" s="8">
        <f>Model!BY108</f>
        <v>500000</v>
      </c>
      <c r="AA36" s="8">
        <f>Model!CB108</f>
        <v>500000</v>
      </c>
      <c r="AB36" s="8">
        <f>Model!CE108</f>
        <v>500000</v>
      </c>
      <c r="AC36" s="8">
        <f>Model!CH108</f>
        <v>500000</v>
      </c>
    </row>
    <row r="37" spans="1:29" ht="15" customHeight="1" x14ac:dyDescent="0.25">
      <c r="A37" s="7" t="s">
        <v>104</v>
      </c>
      <c r="B37" s="8">
        <f>Model!C155+Model!D155+Model!E155</f>
        <v>0</v>
      </c>
      <c r="C37" s="8">
        <f>Model!F155+Model!G155+Model!H155</f>
        <v>0</v>
      </c>
      <c r="D37" s="8">
        <f>Model!I155+Model!J155+Model!K155</f>
        <v>0</v>
      </c>
      <c r="E37" s="8">
        <f>Model!L155+Model!M155+Model!N155</f>
        <v>0</v>
      </c>
      <c r="F37" s="8">
        <f>Model!O155+Model!P155+Model!Q155</f>
        <v>0</v>
      </c>
      <c r="G37" s="8">
        <f>Model!R155+Model!S155+Model!T155</f>
        <v>0</v>
      </c>
      <c r="H37" s="8">
        <f>Model!U155+Model!V155+Model!W155</f>
        <v>0</v>
      </c>
      <c r="I37" s="8">
        <f>Model!X155+Model!Y155+Model!Z155</f>
        <v>0</v>
      </c>
      <c r="J37" s="8">
        <f>Model!AA155+Model!AB155+Model!AC155</f>
        <v>0</v>
      </c>
      <c r="K37" s="8">
        <f>Model!AD155+Model!AE155+Model!AF155</f>
        <v>0</v>
      </c>
      <c r="L37" s="8">
        <f>Model!AG155+Model!AH155+Model!AI155</f>
        <v>0</v>
      </c>
      <c r="M37" s="8">
        <f>Model!AJ155+Model!AK155+Model!AL155</f>
        <v>0</v>
      </c>
      <c r="N37" s="8">
        <f>Model!AM155+Model!AN155+Model!AO155</f>
        <v>0</v>
      </c>
      <c r="O37" s="8">
        <f>Model!AP155+Model!AQ155+Model!AR155</f>
        <v>0</v>
      </c>
      <c r="P37" s="8">
        <f>Model!AS155+Model!AT155+Model!AU155</f>
        <v>0</v>
      </c>
      <c r="Q37" s="8">
        <f>Model!AV155+Model!AW155+Model!AX155</f>
        <v>0</v>
      </c>
      <c r="R37" s="8">
        <f>Model!AY155+Model!AZ155+Model!BA155</f>
        <v>0</v>
      </c>
      <c r="S37" s="8">
        <f>Model!BB155+Model!BC155+Model!BD155</f>
        <v>0</v>
      </c>
      <c r="T37" s="8">
        <f>Model!BE155+Model!BF155+Model!BG155</f>
        <v>0</v>
      </c>
      <c r="U37" s="8">
        <f>Model!BH155+Model!BI155+Model!BJ155</f>
        <v>0</v>
      </c>
      <c r="V37" s="8">
        <f>Model!BK155+Model!BL155+Model!BM155</f>
        <v>0</v>
      </c>
      <c r="W37" s="8">
        <f>Model!BN155+Model!BO155+Model!BP155</f>
        <v>0</v>
      </c>
      <c r="X37" s="8">
        <f>Model!BQ155+Model!BR155+Model!BS155</f>
        <v>0</v>
      </c>
      <c r="Y37" s="8">
        <f>Model!BT155+Model!BU155+Model!BV155</f>
        <v>0</v>
      </c>
      <c r="Z37" s="8">
        <f>Model!BW155+Model!BX155+Model!BY155</f>
        <v>0</v>
      </c>
      <c r="AA37" s="8">
        <f>Model!BZ155+Model!CA155+Model!CB155</f>
        <v>0</v>
      </c>
      <c r="AB37" s="8">
        <f>Model!CC155+Model!CD155+Model!CE155</f>
        <v>0</v>
      </c>
      <c r="AC37" s="8">
        <f>Model!CF155+Model!CG155+Model!CH155</f>
        <v>0</v>
      </c>
    </row>
    <row r="38" spans="1:29" ht="15" customHeight="1" x14ac:dyDescent="0.25">
      <c r="A38" s="7" t="s">
        <v>105</v>
      </c>
      <c r="B38" s="8">
        <f>Model!E115+Model!E120+Model!E125+Model!E130</f>
        <v>1738378.1968749999</v>
      </c>
      <c r="C38" s="8">
        <f>Model!H115+Model!H120+Model!H125+Model!H130</f>
        <v>2142433.6580078127</v>
      </c>
      <c r="D38" s="8">
        <f>Model!K115+Model!K120+Model!K125+Model!K130</f>
        <v>2378399.9201831054</v>
      </c>
      <c r="E38" s="8">
        <f>Model!N127</f>
        <v>69194.323095703119</v>
      </c>
      <c r="F38" s="8">
        <f>Model!Q127</f>
        <v>21164.110211791987</v>
      </c>
      <c r="G38" s="8">
        <f>Model!T127</f>
        <v>21957.764344734187</v>
      </c>
      <c r="H38" s="8">
        <f>Model!W127</f>
        <v>22781.180507661717</v>
      </c>
      <c r="I38" s="8">
        <f>Model!Z127</f>
        <v>23635.474776699033</v>
      </c>
      <c r="J38" s="8">
        <f>Model!AC127</f>
        <v>24521.805080825245</v>
      </c>
      <c r="K38" s="8">
        <f>Model!AF127</f>
        <v>25441.372771356189</v>
      </c>
      <c r="L38" s="8">
        <f>Model!AI127</f>
        <v>26395.424250282045</v>
      </c>
      <c r="M38" s="8">
        <f>Model!AL127</f>
        <v>27385.252659667622</v>
      </c>
      <c r="N38" s="8">
        <f>Model!AO127</f>
        <v>28412.199634405155</v>
      </c>
      <c r="O38" s="8">
        <f>Model!AR127</f>
        <v>29477.657120695352</v>
      </c>
      <c r="P38" s="8">
        <f>Model!AU127</f>
        <v>30583.069262721427</v>
      </c>
      <c r="Q38" s="8">
        <f>Model!AX127</f>
        <v>31729.934360073479</v>
      </c>
      <c r="R38" s="8">
        <f>Model!BA127</f>
        <v>32919.806898576237</v>
      </c>
      <c r="S38" s="8">
        <f>Model!BD127</f>
        <v>24810.375907272846</v>
      </c>
      <c r="T38" s="8">
        <f>Model!BG127</f>
        <v>23052.015003795575</v>
      </c>
      <c r="U38" s="8">
        <f>Model!BJ127</f>
        <v>21227.71556643791</v>
      </c>
      <c r="V38" s="8">
        <f>Model!BM127</f>
        <v>19335.004900179334</v>
      </c>
      <c r="W38" s="8">
        <f>Model!BP127</f>
        <v>17371.317583936059</v>
      </c>
      <c r="X38" s="8">
        <f>Model!BS127</f>
        <v>15223.629493333659</v>
      </c>
      <c r="Y38" s="8">
        <f>Model!BV127</f>
        <v>12995.51559933367</v>
      </c>
      <c r="Z38" s="8">
        <f>Model!BY127</f>
        <v>10683.847434308684</v>
      </c>
      <c r="AA38" s="8">
        <f>Model!CB127</f>
        <v>8285.4917130952581</v>
      </c>
      <c r="AB38" s="8">
        <f>Model!CE127</f>
        <v>5545.0851523363308</v>
      </c>
      <c r="AC38" s="8">
        <f>Model!CH127</f>
        <v>2701.9508455489436</v>
      </c>
    </row>
    <row r="39" spans="1:29" ht="15" customHeigh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</row>
    <row r="40" spans="1:29" ht="15" customHeight="1" x14ac:dyDescent="0.25">
      <c r="A40" s="7" t="s">
        <v>106</v>
      </c>
      <c r="B40" s="8">
        <f>Model!E141</f>
        <v>20879271.912436187</v>
      </c>
      <c r="C40" s="8">
        <f>Model!H141</f>
        <v>54117067.973172709</v>
      </c>
      <c r="D40" s="8">
        <f>Model!K141</f>
        <v>90239873.755658567</v>
      </c>
      <c r="E40" s="8">
        <f>Model!N141</f>
        <v>72635646.38755329</v>
      </c>
      <c r="F40" s="8">
        <f>Model!Q141</f>
        <v>96517203.05507499</v>
      </c>
      <c r="G40" s="8">
        <f>Model!T141</f>
        <v>76187589.600928992</v>
      </c>
      <c r="H40" s="8">
        <f>Model!W141</f>
        <v>56473335.557831988</v>
      </c>
      <c r="I40" s="8">
        <f>Model!Z141</f>
        <v>39330314.060103998</v>
      </c>
      <c r="J40" s="8">
        <f>Model!AC141</f>
        <v>67115910.942615986</v>
      </c>
      <c r="K40" s="8">
        <f>Model!AF141</f>
        <v>56684810.890850991</v>
      </c>
      <c r="L40" s="8">
        <f>Model!AI141</f>
        <v>46152166.879777998</v>
      </c>
      <c r="M40" s="8">
        <f>Model!AL141</f>
        <v>35942217.821294002</v>
      </c>
      <c r="N40" s="8">
        <f>Model!AO141</f>
        <v>26981928.712532006</v>
      </c>
      <c r="O40" s="8">
        <f>Model!AR141</f>
        <v>18775979.790616009</v>
      </c>
      <c r="P40" s="8">
        <f>Model!AU141</f>
        <v>13258584.501624003</v>
      </c>
      <c r="Q40" s="8">
        <f>Model!AX141</f>
        <v>8360541.8875440042</v>
      </c>
      <c r="R40" s="8">
        <f>Model!BA141</f>
        <v>4384004.5383200068</v>
      </c>
      <c r="S40" s="8">
        <f>Model!BD141</f>
        <v>1431490.5866800072</v>
      </c>
      <c r="T40" s="8">
        <f>Model!BG141</f>
        <v>0</v>
      </c>
      <c r="U40" s="8">
        <f>Model!BJ141</f>
        <v>0</v>
      </c>
      <c r="V40" s="8">
        <f>Model!BM141</f>
        <v>0</v>
      </c>
      <c r="W40" s="8">
        <f>Model!BP141</f>
        <v>0</v>
      </c>
      <c r="X40" s="8">
        <f>Model!BS141</f>
        <v>0</v>
      </c>
      <c r="Y40" s="8">
        <f>Model!BV141</f>
        <v>0</v>
      </c>
      <c r="Z40" s="8">
        <f>Model!BY141</f>
        <v>0</v>
      </c>
      <c r="AA40" s="8">
        <f>Model!CB141</f>
        <v>0</v>
      </c>
      <c r="AB40" s="8">
        <f>Model!CE141</f>
        <v>0</v>
      </c>
      <c r="AC40" s="8">
        <f>Model!CH141</f>
        <v>0</v>
      </c>
    </row>
    <row r="41" spans="1:29" ht="15" customHeigh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</row>
    <row r="42" spans="1:29" ht="15" customHeight="1" x14ac:dyDescent="0.25">
      <c r="A42" s="18" t="s">
        <v>107</v>
      </c>
      <c r="B42" s="19">
        <f>Model!E148</f>
        <v>1848840.4651365187</v>
      </c>
      <c r="C42" s="19">
        <f>Model!H148</f>
        <v>2697676.2390359561</v>
      </c>
      <c r="D42" s="19">
        <f>Model!K148</f>
        <v>4096917.6248878459</v>
      </c>
      <c r="E42" s="19">
        <f>Model!N148</f>
        <v>5123497.3070315951</v>
      </c>
      <c r="F42" s="19">
        <f>Model!Q148</f>
        <v>5904220.1733894134</v>
      </c>
      <c r="G42" s="19">
        <f>Model!T148</f>
        <v>6835176.7676123455</v>
      </c>
      <c r="H42" s="19">
        <f>Model!W148</f>
        <v>7526670.5166232493</v>
      </c>
      <c r="I42" s="19">
        <f>Model!Z148</f>
        <v>8061435.0346415089</v>
      </c>
      <c r="J42" s="19">
        <f>Model!AC148</f>
        <v>7779127.3233765</v>
      </c>
      <c r="K42" s="19">
        <f>Model!AF148</f>
        <v>8123759.7181508215</v>
      </c>
      <c r="L42" s="19">
        <f>Model!AI148</f>
        <v>8728735.2501117419</v>
      </c>
      <c r="M42" s="19">
        <f>Model!AL148</f>
        <v>8724135.5199534204</v>
      </c>
      <c r="N42" s="19">
        <f>Model!AO148</f>
        <v>8471921.7696897388</v>
      </c>
      <c r="O42" s="19">
        <f>Model!AR148</f>
        <v>8442002.1644881144</v>
      </c>
      <c r="P42" s="19">
        <f>Model!AU148</f>
        <v>7751261.0671979282</v>
      </c>
      <c r="Q42" s="19">
        <f>Model!AX148</f>
        <v>7031856.4769746708</v>
      </c>
      <c r="R42" s="19">
        <f>Model!BA148</f>
        <v>6267749.0132975625</v>
      </c>
      <c r="S42" s="19">
        <f>Model!BD148</f>
        <v>5456263.8437257409</v>
      </c>
      <c r="T42" s="19">
        <f>Model!BG148</f>
        <v>4724347.2239266811</v>
      </c>
      <c r="U42" s="19">
        <f>Model!BJ148</f>
        <v>3521150.6108130738</v>
      </c>
      <c r="V42" s="19">
        <f>Model!BM148</f>
        <v>2315844.3363371929</v>
      </c>
      <c r="W42" s="19">
        <f>Model!BP148</f>
        <v>1110538.0618613127</v>
      </c>
      <c r="X42" s="19">
        <f>Model!BS148</f>
        <v>-94768.212614567485</v>
      </c>
      <c r="Y42" s="19">
        <f>Model!BV148</f>
        <v>-1300074.4870904477</v>
      </c>
      <c r="Z42" s="19">
        <f>Model!BY148</f>
        <v>-2507532.6161558451</v>
      </c>
      <c r="AA42" s="19">
        <f>Model!CB148</f>
        <v>-3714990.7452212423</v>
      </c>
      <c r="AB42" s="19">
        <f>Model!CE148</f>
        <v>-4922448.8742866395</v>
      </c>
      <c r="AC42" s="19">
        <f>Model!CH148</f>
        <v>-6129907.0033520367</v>
      </c>
    </row>
    <row r="43" spans="1:29" ht="15" customHeight="1" x14ac:dyDescent="0.25">
      <c r="A43" s="18" t="s">
        <v>108</v>
      </c>
      <c r="B43" s="19">
        <f>Model!E156</f>
        <v>252499.89999999997</v>
      </c>
      <c r="C43" s="19">
        <f>Model!H156</f>
        <v>29535.309999999954</v>
      </c>
      <c r="D43" s="19">
        <f>Model!K156</f>
        <v>-601845.94000000006</v>
      </c>
      <c r="E43" s="19">
        <f>Model!N156</f>
        <v>-1471602.1900000002</v>
      </c>
      <c r="F43" s="19">
        <f>Model!Q156</f>
        <v>-2092480.4400000004</v>
      </c>
      <c r="G43" s="19">
        <f>Model!T156</f>
        <v>-2808537.44</v>
      </c>
      <c r="H43" s="19">
        <f>Model!W156</f>
        <v>-3401148.6832854445</v>
      </c>
      <c r="I43" s="19">
        <f>Model!Z156</f>
        <v>-3896370.683285444</v>
      </c>
      <c r="J43" s="19">
        <f>Model!AC156</f>
        <v>-4142737.1232854435</v>
      </c>
      <c r="K43" s="19">
        <f>Model!AF156</f>
        <v>-4470407.7632854432</v>
      </c>
      <c r="L43" s="19">
        <f>Model!AI156</f>
        <v>-4824497.603285443</v>
      </c>
      <c r="M43" s="19">
        <f>Model!AL156</f>
        <v>-5156739.0432854425</v>
      </c>
      <c r="N43" s="19">
        <f>Model!AO156</f>
        <v>-5490147.8120854422</v>
      </c>
      <c r="O43" s="19">
        <f>Model!AR156</f>
        <v>-5847964.364885442</v>
      </c>
      <c r="P43" s="19">
        <f>Model!AU156</f>
        <v>-6203658.5016854415</v>
      </c>
      <c r="Q43" s="19">
        <f>Model!AX156</f>
        <v>-6537067.2704854412</v>
      </c>
      <c r="R43" s="19">
        <f>Model!BA156</f>
        <v>-6871666.7146614417</v>
      </c>
      <c r="S43" s="19">
        <f>Model!BD156</f>
        <v>-7231162.0985174421</v>
      </c>
      <c r="T43" s="19">
        <f>Model!BG156</f>
        <v>-7588492.6180534428</v>
      </c>
      <c r="U43" s="19">
        <f>Model!BJ156</f>
        <v>-7923092.0622294433</v>
      </c>
      <c r="V43" s="19">
        <f>Model!BM156</f>
        <v>-8258905.9952889634</v>
      </c>
      <c r="W43" s="19">
        <f>Model!BP156</f>
        <v>-8568600.2668220829</v>
      </c>
      <c r="X43" s="19">
        <f>Model!BS156</f>
        <v>-8859837.8967488017</v>
      </c>
      <c r="Y43" s="19">
        <f>Model!BV156</f>
        <v>-9127889.829808319</v>
      </c>
      <c r="Z43" s="19">
        <f>Model!BY156</f>
        <v>-9397180.5415290315</v>
      </c>
      <c r="AA43" s="19">
        <f>Model!CB156</f>
        <v>-9683635.988892816</v>
      </c>
      <c r="AB43" s="19">
        <f>Model!CE156</f>
        <v>-9967839.1114180721</v>
      </c>
      <c r="AC43" s="19">
        <f>Model!CH156</f>
        <v>-10221784.796532305</v>
      </c>
    </row>
    <row r="44" spans="1:29" ht="15" customHeight="1" x14ac:dyDescent="0.25">
      <c r="A44" s="18" t="s">
        <v>109</v>
      </c>
      <c r="B44" s="19">
        <f>Model!C160+Model!D160+Model!E160</f>
        <v>0</v>
      </c>
      <c r="C44" s="19">
        <f>Model!F160+Model!G160+Model!H160</f>
        <v>0</v>
      </c>
      <c r="D44" s="19">
        <f>Model!I160+Model!J160+Model!K160</f>
        <v>0</v>
      </c>
      <c r="E44" s="19">
        <f>Model!L160+Model!M160+Model!N160</f>
        <v>-534457.4504663538</v>
      </c>
      <c r="F44" s="19">
        <f>Model!O160+Model!P160+Model!Q160</f>
        <v>0</v>
      </c>
      <c r="G44" s="19">
        <f>Model!R160+Model!S160+Model!T160</f>
        <v>0</v>
      </c>
      <c r="H44" s="19">
        <f>Model!U160+Model!V160+Model!W160</f>
        <v>0</v>
      </c>
      <c r="I44" s="19">
        <f>Model!X160+Model!Y160+Model!Z160</f>
        <v>-712925.81752062065</v>
      </c>
      <c r="J44" s="19">
        <f>Model!AA160+Model!AB160+Model!AC160</f>
        <v>0</v>
      </c>
      <c r="K44" s="19">
        <f>Model!AD160+Model!AE160+Model!AF160</f>
        <v>0</v>
      </c>
      <c r="L44" s="19">
        <f>Model!AG160+Model!AH160+Model!AI160</f>
        <v>0</v>
      </c>
      <c r="M44" s="19">
        <f>Model!AJ160+Model!AK160+Model!AL160</f>
        <v>-8614.7440465480486</v>
      </c>
      <c r="N44" s="19">
        <f>Model!AM160+Model!AN160+Model!AO160</f>
        <v>0</v>
      </c>
      <c r="O44" s="19">
        <f>Model!AP160+Model!AQ160+Model!AR160</f>
        <v>0</v>
      </c>
      <c r="P44" s="19">
        <f>Model!AS160+Model!AT160+Model!AU160</f>
        <v>0</v>
      </c>
      <c r="Q44" s="19">
        <f>Model!AV160+Model!AW160+Model!AX160</f>
        <v>0</v>
      </c>
      <c r="R44" s="19">
        <f>Model!AY160+Model!AZ160+Model!BA160</f>
        <v>0</v>
      </c>
      <c r="S44" s="19">
        <f>Model!BB160+Model!BC160+Model!BD160</f>
        <v>0</v>
      </c>
      <c r="T44" s="19">
        <f>Model!BE160+Model!BF160+Model!BG160</f>
        <v>0</v>
      </c>
      <c r="U44" s="19">
        <f>Model!BH160+Model!BI160+Model!BJ160</f>
        <v>0</v>
      </c>
      <c r="V44" s="19">
        <f>Model!BK160+Model!BL160+Model!BM160</f>
        <v>0</v>
      </c>
      <c r="W44" s="19">
        <f>Model!BN160+Model!BO160+Model!BP160</f>
        <v>0</v>
      </c>
      <c r="X44" s="19">
        <f>Model!BQ160+Model!BR160+Model!BS160</f>
        <v>0</v>
      </c>
      <c r="Y44" s="19">
        <f>Model!BT160+Model!BU160+Model!BV160</f>
        <v>0</v>
      </c>
      <c r="Z44" s="19">
        <f>Model!BW160+Model!BX160+Model!BY160</f>
        <v>0</v>
      </c>
      <c r="AA44" s="19">
        <f>Model!BZ160+Model!CA160+Model!CB160</f>
        <v>0</v>
      </c>
      <c r="AB44" s="19">
        <f>Model!CC160+Model!CD160+Model!CE160</f>
        <v>0</v>
      </c>
      <c r="AC44" s="19">
        <f>Model!CF160+Model!CG160+Model!CH160</f>
        <v>0</v>
      </c>
    </row>
    <row r="45" spans="1:29" ht="15" customHeight="1" x14ac:dyDescent="0.25">
      <c r="A45" s="20" t="s">
        <v>110</v>
      </c>
      <c r="B45" s="21">
        <f>Model!E161</f>
        <v>2101340.3651365181</v>
      </c>
      <c r="C45" s="21">
        <f>Model!H161</f>
        <v>2727211.5490359562</v>
      </c>
      <c r="D45" s="21">
        <f>Model!K161</f>
        <v>3495071.684887846</v>
      </c>
      <c r="E45" s="21">
        <f>Model!N161</f>
        <v>3117437.6665652408</v>
      </c>
      <c r="F45" s="21">
        <f>Model!Q161</f>
        <v>3811739.7333894134</v>
      </c>
      <c r="G45" s="21">
        <f>Model!T161</f>
        <v>4026639.3276123456</v>
      </c>
      <c r="H45" s="21">
        <f>Model!W161</f>
        <v>4125521.8333378052</v>
      </c>
      <c r="I45" s="21">
        <f>Model!Z161</f>
        <v>3452138.5338354446</v>
      </c>
      <c r="J45" s="21">
        <f>Model!AC161</f>
        <v>3636390.2000910565</v>
      </c>
      <c r="K45" s="21">
        <f>Model!AF161</f>
        <v>3653351.9548653783</v>
      </c>
      <c r="L45" s="21">
        <f>Model!AI161</f>
        <v>3904237.6468262989</v>
      </c>
      <c r="M45" s="21">
        <f>Model!AL161</f>
        <v>3558781.73262143</v>
      </c>
      <c r="N45" s="21">
        <f>Model!AO161</f>
        <v>2981773.957604296</v>
      </c>
      <c r="O45" s="21">
        <f>Model!AR161</f>
        <v>2594037.7996026729</v>
      </c>
      <c r="P45" s="21">
        <f>Model!AU161</f>
        <v>1547602.5655124867</v>
      </c>
      <c r="Q45" s="21">
        <f>Model!AX161</f>
        <v>494789.20648922969</v>
      </c>
      <c r="R45" s="21">
        <f>Model!BA161</f>
        <v>-603917.70136387891</v>
      </c>
      <c r="S45" s="21">
        <f>Model!BD161</f>
        <v>-1774898.2547917014</v>
      </c>
      <c r="T45" s="21">
        <f>Model!BG161</f>
        <v>-2864145.3941267612</v>
      </c>
      <c r="U45" s="21">
        <f>Model!BJ161</f>
        <v>-4401941.4514163695</v>
      </c>
      <c r="V45" s="21">
        <f>Model!BM161</f>
        <v>-5943061.6589517705</v>
      </c>
      <c r="W45" s="21">
        <f>Model!BP161</f>
        <v>-7458062.20496077</v>
      </c>
      <c r="X45" s="21">
        <f>Model!BS161</f>
        <v>-8954606.1093633678</v>
      </c>
      <c r="Y45" s="21">
        <f>Model!BV161</f>
        <v>-10427964.316898765</v>
      </c>
      <c r="Z45" s="21">
        <f>Model!BY161</f>
        <v>-11904713.157684878</v>
      </c>
      <c r="AA45" s="21">
        <f>Model!CB161</f>
        <v>-13398626.73411406</v>
      </c>
      <c r="AB45" s="21">
        <f>Model!CE161</f>
        <v>-14890287.985704713</v>
      </c>
      <c r="AC45" s="21">
        <f>Model!CH161</f>
        <v>-16351691.799884342</v>
      </c>
    </row>
  </sheetData>
  <mergeCells count="1">
    <mergeCell ref="A1:E1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2C3A51"/>
  </sheetPr>
  <dimension ref="A1:CH57"/>
  <sheetViews>
    <sheetView zoomScaleNormal="100" workbookViewId="0">
      <pane xSplit="2" ySplit="2" topLeftCell="C3" activePane="bottomRight" state="frozen"/>
      <selection pane="topRight" activeCell="C1" sqref="C1"/>
      <selection pane="bottomLeft" activeCell="A3" sqref="A3"/>
      <selection pane="bottomRight"/>
    </sheetView>
  </sheetViews>
  <sheetFormatPr defaultColWidth="8.7109375" defaultRowHeight="15" customHeight="1" x14ac:dyDescent="0.25"/>
  <cols>
    <col min="1" max="1" width="28" customWidth="1"/>
    <col min="2" max="86" width="14" customWidth="1"/>
  </cols>
  <sheetData>
    <row r="1" spans="1:86" ht="17.25" customHeight="1" x14ac:dyDescent="0.3">
      <c r="A1" s="196" t="s">
        <v>274</v>
      </c>
      <c r="B1" s="197"/>
      <c r="C1" s="197"/>
      <c r="D1" s="197"/>
      <c r="E1" s="197"/>
      <c r="F1" s="197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</row>
    <row r="2" spans="1:86" ht="15" customHeight="1" x14ac:dyDescent="0.25">
      <c r="A2" s="2"/>
      <c r="B2" s="2"/>
      <c r="C2" s="24">
        <v>46113</v>
      </c>
      <c r="D2" s="24">
        <v>46143</v>
      </c>
      <c r="E2" s="24">
        <v>46174</v>
      </c>
      <c r="F2" s="24">
        <v>46204</v>
      </c>
      <c r="G2" s="24">
        <v>46235</v>
      </c>
      <c r="H2" s="24">
        <v>46266</v>
      </c>
      <c r="I2" s="24">
        <v>46296</v>
      </c>
      <c r="J2" s="24">
        <v>46327</v>
      </c>
      <c r="K2" s="24">
        <v>46357</v>
      </c>
      <c r="L2" s="24">
        <v>46388</v>
      </c>
      <c r="M2" s="24">
        <v>46419</v>
      </c>
      <c r="N2" s="24">
        <v>46447</v>
      </c>
      <c r="O2" s="24">
        <v>46478</v>
      </c>
      <c r="P2" s="24">
        <v>46508</v>
      </c>
      <c r="Q2" s="24">
        <v>46539</v>
      </c>
      <c r="R2" s="24">
        <v>46569</v>
      </c>
      <c r="S2" s="24">
        <v>46600</v>
      </c>
      <c r="T2" s="24">
        <v>46631</v>
      </c>
      <c r="U2" s="24">
        <v>46661</v>
      </c>
      <c r="V2" s="24">
        <v>46692</v>
      </c>
      <c r="W2" s="24">
        <v>46722</v>
      </c>
      <c r="X2" s="24">
        <v>46753</v>
      </c>
      <c r="Y2" s="24">
        <v>46784</v>
      </c>
      <c r="Z2" s="24">
        <v>46813</v>
      </c>
      <c r="AA2" s="24">
        <v>46844</v>
      </c>
      <c r="AB2" s="24">
        <v>46874</v>
      </c>
      <c r="AC2" s="24">
        <v>46905</v>
      </c>
      <c r="AD2" s="24">
        <v>46935</v>
      </c>
      <c r="AE2" s="24">
        <v>46966</v>
      </c>
      <c r="AF2" s="24">
        <v>46997</v>
      </c>
      <c r="AG2" s="24">
        <v>47027</v>
      </c>
      <c r="AH2" s="24">
        <v>47058</v>
      </c>
      <c r="AI2" s="24">
        <v>47088</v>
      </c>
      <c r="AJ2" s="24">
        <v>47119</v>
      </c>
      <c r="AK2" s="24">
        <v>47150</v>
      </c>
      <c r="AL2" s="24">
        <v>47178</v>
      </c>
      <c r="AM2" s="24">
        <v>47209</v>
      </c>
      <c r="AN2" s="24">
        <v>47239</v>
      </c>
      <c r="AO2" s="24">
        <v>47270</v>
      </c>
      <c r="AP2" s="24">
        <v>47300</v>
      </c>
      <c r="AQ2" s="24">
        <v>47331</v>
      </c>
      <c r="AR2" s="24">
        <v>47362</v>
      </c>
      <c r="AS2" s="24">
        <v>47392</v>
      </c>
      <c r="AT2" s="24">
        <v>47423</v>
      </c>
      <c r="AU2" s="24">
        <v>47453</v>
      </c>
      <c r="AV2" s="24">
        <v>47484</v>
      </c>
      <c r="AW2" s="24">
        <v>47515</v>
      </c>
      <c r="AX2" s="24">
        <v>47543</v>
      </c>
      <c r="AY2" s="24">
        <v>47574</v>
      </c>
      <c r="AZ2" s="24">
        <v>47604</v>
      </c>
      <c r="BA2" s="24">
        <v>47635</v>
      </c>
      <c r="BB2" s="24">
        <v>47665</v>
      </c>
      <c r="BC2" s="24">
        <v>47696</v>
      </c>
      <c r="BD2" s="24">
        <v>47727</v>
      </c>
      <c r="BE2" s="24">
        <v>47757</v>
      </c>
      <c r="BF2" s="24">
        <v>47788</v>
      </c>
      <c r="BG2" s="24">
        <v>47818</v>
      </c>
      <c r="BH2" s="24">
        <v>47849</v>
      </c>
      <c r="BI2" s="24">
        <v>47880</v>
      </c>
      <c r="BJ2" s="24">
        <v>47908</v>
      </c>
      <c r="BK2" s="24">
        <v>47939</v>
      </c>
      <c r="BL2" s="24">
        <v>47969</v>
      </c>
      <c r="BM2" s="24">
        <v>48000</v>
      </c>
      <c r="BN2" s="24">
        <v>48030</v>
      </c>
      <c r="BO2" s="24">
        <v>48061</v>
      </c>
      <c r="BP2" s="24">
        <v>48092</v>
      </c>
      <c r="BQ2" s="24">
        <v>48122</v>
      </c>
      <c r="BR2" s="24">
        <v>48153</v>
      </c>
      <c r="BS2" s="24">
        <v>48183</v>
      </c>
      <c r="BT2" s="24">
        <v>48214</v>
      </c>
      <c r="BU2" s="24">
        <v>48245</v>
      </c>
      <c r="BV2" s="24">
        <v>48274</v>
      </c>
      <c r="BW2" s="24">
        <v>48305</v>
      </c>
      <c r="BX2" s="24">
        <v>48335</v>
      </c>
      <c r="BY2" s="24">
        <v>48366</v>
      </c>
      <c r="BZ2" s="24">
        <v>48396</v>
      </c>
      <c r="CA2" s="24">
        <v>48427</v>
      </c>
      <c r="CB2" s="24">
        <v>48458</v>
      </c>
      <c r="CC2" s="24">
        <v>48488</v>
      </c>
      <c r="CD2" s="24">
        <v>48519</v>
      </c>
      <c r="CE2" s="24">
        <v>48549</v>
      </c>
      <c r="CF2" s="24">
        <v>48580</v>
      </c>
      <c r="CG2" s="24">
        <v>48611</v>
      </c>
      <c r="CH2" s="24">
        <v>48639</v>
      </c>
    </row>
    <row r="3" spans="1:86" ht="15" customHeight="1" x14ac:dyDescent="0.25">
      <c r="A3" s="6" t="s">
        <v>275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  <c r="BJ3" s="6"/>
      <c r="BK3" s="6"/>
      <c r="BL3" s="6"/>
      <c r="BM3" s="6"/>
      <c r="BN3" s="6"/>
      <c r="BO3" s="6"/>
      <c r="BP3" s="6"/>
      <c r="BQ3" s="6"/>
      <c r="BR3" s="6"/>
      <c r="BS3" s="6"/>
      <c r="BT3" s="6"/>
      <c r="BU3" s="6"/>
      <c r="BV3" s="6"/>
      <c r="BW3" s="6"/>
      <c r="BX3" s="6"/>
      <c r="BY3" s="6"/>
      <c r="BZ3" s="6"/>
      <c r="CA3" s="6"/>
      <c r="CB3" s="6"/>
      <c r="CC3" s="6"/>
      <c r="CD3" s="6"/>
      <c r="CE3" s="6"/>
      <c r="CF3" s="6"/>
      <c r="CG3" s="6"/>
      <c r="CH3" s="6"/>
    </row>
    <row r="4" spans="1:86" ht="15" customHeight="1" x14ac:dyDescent="0.25">
      <c r="A4" s="16" t="s">
        <v>276</v>
      </c>
      <c r="B4" s="1"/>
      <c r="C4" s="66">
        <f>Model!C52</f>
        <v>9375</v>
      </c>
      <c r="D4" s="66">
        <f>Model!D52</f>
        <v>9375</v>
      </c>
      <c r="E4" s="66">
        <f>Model!E52</f>
        <v>9375</v>
      </c>
      <c r="F4" s="66">
        <f>Model!F52</f>
        <v>9375</v>
      </c>
      <c r="G4" s="66">
        <f>Model!G52</f>
        <v>9375</v>
      </c>
      <c r="H4" s="66">
        <f>Model!H52</f>
        <v>9375</v>
      </c>
      <c r="I4" s="66">
        <f>Model!I52</f>
        <v>9375</v>
      </c>
      <c r="J4" s="66">
        <f>Model!J52</f>
        <v>0</v>
      </c>
      <c r="K4" s="66">
        <f>Model!K52</f>
        <v>0</v>
      </c>
      <c r="L4" s="66">
        <f>Model!L52</f>
        <v>0</v>
      </c>
      <c r="M4" s="66">
        <f>Model!M52</f>
        <v>0</v>
      </c>
      <c r="N4" s="66">
        <f>Model!N52</f>
        <v>0</v>
      </c>
      <c r="O4" s="66">
        <f>Model!O52</f>
        <v>0</v>
      </c>
      <c r="P4" s="66">
        <f>Model!P52</f>
        <v>0</v>
      </c>
      <c r="Q4" s="66">
        <f>Model!Q52</f>
        <v>0</v>
      </c>
      <c r="R4" s="66">
        <f>Model!R52</f>
        <v>0</v>
      </c>
      <c r="S4" s="66">
        <f>Model!S52</f>
        <v>0</v>
      </c>
      <c r="T4" s="66">
        <f>Model!T52</f>
        <v>0</v>
      </c>
      <c r="U4" s="66">
        <f>Model!U52</f>
        <v>0</v>
      </c>
      <c r="V4" s="66">
        <f>Model!V52</f>
        <v>0</v>
      </c>
      <c r="W4" s="66">
        <f>Model!W52</f>
        <v>0</v>
      </c>
      <c r="X4" s="66">
        <f>Model!X52</f>
        <v>0</v>
      </c>
      <c r="Y4" s="66">
        <f>Model!Y52</f>
        <v>0</v>
      </c>
      <c r="Z4" s="66">
        <f>Model!Z52</f>
        <v>0</v>
      </c>
      <c r="AA4" s="66">
        <f>Model!AA52</f>
        <v>0</v>
      </c>
      <c r="AB4" s="66">
        <f>Model!AB52</f>
        <v>0</v>
      </c>
      <c r="AC4" s="66">
        <f>Model!AC52</f>
        <v>0</v>
      </c>
      <c r="AD4" s="66">
        <f>Model!AD52</f>
        <v>0</v>
      </c>
      <c r="AE4" s="66">
        <f>Model!AE52</f>
        <v>0</v>
      </c>
      <c r="AF4" s="66">
        <f>Model!AF52</f>
        <v>0</v>
      </c>
      <c r="AG4" s="66">
        <f>Model!AG52</f>
        <v>0</v>
      </c>
      <c r="AH4" s="66">
        <f>Model!AH52</f>
        <v>0</v>
      </c>
      <c r="AI4" s="66">
        <f>Model!AI52</f>
        <v>0</v>
      </c>
      <c r="AJ4" s="66">
        <f>Model!AJ52</f>
        <v>0</v>
      </c>
      <c r="AK4" s="66">
        <f>Model!AK52</f>
        <v>0</v>
      </c>
      <c r="AL4" s="66">
        <f>Model!AL52</f>
        <v>0</v>
      </c>
      <c r="AM4" s="66">
        <f>Model!AM52</f>
        <v>0</v>
      </c>
      <c r="AN4" s="66">
        <f>Model!AN52</f>
        <v>0</v>
      </c>
      <c r="AO4" s="66">
        <f>Model!AO52</f>
        <v>0</v>
      </c>
      <c r="AP4" s="66">
        <f>Model!AP52</f>
        <v>0</v>
      </c>
      <c r="AQ4" s="66">
        <f>Model!AQ52</f>
        <v>0</v>
      </c>
      <c r="AR4" s="66">
        <f>Model!AR52</f>
        <v>0</v>
      </c>
      <c r="AS4" s="66">
        <f>Model!AS52</f>
        <v>0</v>
      </c>
      <c r="AT4" s="66">
        <f>Model!AT52</f>
        <v>0</v>
      </c>
      <c r="AU4" s="66">
        <f>Model!AU52</f>
        <v>0</v>
      </c>
      <c r="AV4" s="66">
        <f>Model!AV52</f>
        <v>0</v>
      </c>
      <c r="AW4" s="66">
        <f>Model!AW52</f>
        <v>0</v>
      </c>
      <c r="AX4" s="66">
        <f>Model!AX52</f>
        <v>0</v>
      </c>
      <c r="AY4" s="66">
        <f>Model!AY52</f>
        <v>0</v>
      </c>
      <c r="AZ4" s="66">
        <f>Model!AZ52</f>
        <v>0</v>
      </c>
      <c r="BA4" s="66">
        <f>Model!BA52</f>
        <v>0</v>
      </c>
      <c r="BB4" s="66">
        <f>Model!BB52</f>
        <v>0</v>
      </c>
      <c r="BC4" s="66">
        <f>Model!BC52</f>
        <v>0</v>
      </c>
      <c r="BD4" s="66">
        <f>Model!BD52</f>
        <v>0</v>
      </c>
      <c r="BE4" s="66">
        <f>Model!BE52</f>
        <v>0</v>
      </c>
      <c r="BF4" s="66">
        <f>Model!BF52</f>
        <v>0</v>
      </c>
      <c r="BG4" s="66">
        <f>Model!BG52</f>
        <v>0</v>
      </c>
      <c r="BH4" s="66">
        <f>Model!BH52</f>
        <v>0</v>
      </c>
      <c r="BI4" s="66">
        <f>Model!BI52</f>
        <v>0</v>
      </c>
      <c r="BJ4" s="66">
        <f>Model!BJ52</f>
        <v>0</v>
      </c>
      <c r="BK4" s="66">
        <f>Model!BK52</f>
        <v>0</v>
      </c>
      <c r="BL4" s="66">
        <f>Model!BL52</f>
        <v>0</v>
      </c>
      <c r="BM4" s="66">
        <f>Model!BM52</f>
        <v>0</v>
      </c>
      <c r="BN4" s="66">
        <f>Model!BN52</f>
        <v>0</v>
      </c>
      <c r="BO4" s="66">
        <f>Model!BO52</f>
        <v>0</v>
      </c>
      <c r="BP4" s="66">
        <f>Model!BP52</f>
        <v>0</v>
      </c>
      <c r="BQ4" s="66">
        <f>Model!BQ52</f>
        <v>0</v>
      </c>
      <c r="BR4" s="66">
        <f>Model!BR52</f>
        <v>0</v>
      </c>
      <c r="BS4" s="66">
        <f>Model!BS52</f>
        <v>0</v>
      </c>
      <c r="BT4" s="66">
        <f>Model!BT52</f>
        <v>0</v>
      </c>
      <c r="BU4" s="66">
        <f>Model!BU52</f>
        <v>0</v>
      </c>
      <c r="BV4" s="66">
        <f>Model!BV52</f>
        <v>0</v>
      </c>
      <c r="BW4" s="66">
        <f>Model!BW52</f>
        <v>0</v>
      </c>
      <c r="BX4" s="66">
        <f>Model!BX52</f>
        <v>0</v>
      </c>
      <c r="BY4" s="66">
        <f>Model!BY52</f>
        <v>0</v>
      </c>
      <c r="BZ4" s="66">
        <f>Model!BZ52</f>
        <v>0</v>
      </c>
      <c r="CA4" s="66">
        <f>Model!CA52</f>
        <v>0</v>
      </c>
      <c r="CB4" s="66">
        <f>Model!CB52</f>
        <v>0</v>
      </c>
      <c r="CC4" s="66">
        <f>Model!CC52</f>
        <v>0</v>
      </c>
      <c r="CD4" s="66">
        <f>Model!CD52</f>
        <v>0</v>
      </c>
      <c r="CE4" s="66">
        <f>Model!CE52</f>
        <v>0</v>
      </c>
      <c r="CF4" s="66">
        <f>Model!CF52</f>
        <v>0</v>
      </c>
      <c r="CG4" s="66">
        <f>Model!CG52</f>
        <v>0</v>
      </c>
      <c r="CH4" s="66">
        <f>Model!CH52</f>
        <v>0</v>
      </c>
    </row>
    <row r="5" spans="1:86" ht="15" customHeight="1" x14ac:dyDescent="0.25">
      <c r="A5" s="28" t="s">
        <v>277</v>
      </c>
      <c r="B5" s="28"/>
      <c r="C5" s="67">
        <f t="shared" ref="C5:AH5" si="0">C4</f>
        <v>9375</v>
      </c>
      <c r="D5" s="67">
        <f t="shared" si="0"/>
        <v>9375</v>
      </c>
      <c r="E5" s="67">
        <f t="shared" si="0"/>
        <v>9375</v>
      </c>
      <c r="F5" s="67">
        <f t="shared" si="0"/>
        <v>9375</v>
      </c>
      <c r="G5" s="67">
        <f t="shared" si="0"/>
        <v>9375</v>
      </c>
      <c r="H5" s="67">
        <f t="shared" si="0"/>
        <v>9375</v>
      </c>
      <c r="I5" s="67">
        <f t="shared" si="0"/>
        <v>9375</v>
      </c>
      <c r="J5" s="67">
        <f t="shared" si="0"/>
        <v>0</v>
      </c>
      <c r="K5" s="67">
        <f t="shared" si="0"/>
        <v>0</v>
      </c>
      <c r="L5" s="67">
        <f t="shared" si="0"/>
        <v>0</v>
      </c>
      <c r="M5" s="67">
        <f t="shared" si="0"/>
        <v>0</v>
      </c>
      <c r="N5" s="67">
        <f t="shared" si="0"/>
        <v>0</v>
      </c>
      <c r="O5" s="67">
        <f t="shared" si="0"/>
        <v>0</v>
      </c>
      <c r="P5" s="67">
        <f t="shared" si="0"/>
        <v>0</v>
      </c>
      <c r="Q5" s="67">
        <f t="shared" si="0"/>
        <v>0</v>
      </c>
      <c r="R5" s="67">
        <f t="shared" si="0"/>
        <v>0</v>
      </c>
      <c r="S5" s="67">
        <f t="shared" si="0"/>
        <v>0</v>
      </c>
      <c r="T5" s="67">
        <f t="shared" si="0"/>
        <v>0</v>
      </c>
      <c r="U5" s="67">
        <f t="shared" si="0"/>
        <v>0</v>
      </c>
      <c r="V5" s="67">
        <f t="shared" si="0"/>
        <v>0</v>
      </c>
      <c r="W5" s="67">
        <f t="shared" si="0"/>
        <v>0</v>
      </c>
      <c r="X5" s="67">
        <f t="shared" si="0"/>
        <v>0</v>
      </c>
      <c r="Y5" s="67">
        <f t="shared" si="0"/>
        <v>0</v>
      </c>
      <c r="Z5" s="67">
        <f t="shared" si="0"/>
        <v>0</v>
      </c>
      <c r="AA5" s="67">
        <f t="shared" si="0"/>
        <v>0</v>
      </c>
      <c r="AB5" s="67">
        <f t="shared" si="0"/>
        <v>0</v>
      </c>
      <c r="AC5" s="67">
        <f t="shared" si="0"/>
        <v>0</v>
      </c>
      <c r="AD5" s="67">
        <f t="shared" si="0"/>
        <v>0</v>
      </c>
      <c r="AE5" s="67">
        <f t="shared" si="0"/>
        <v>0</v>
      </c>
      <c r="AF5" s="67">
        <f t="shared" si="0"/>
        <v>0</v>
      </c>
      <c r="AG5" s="67">
        <f t="shared" si="0"/>
        <v>0</v>
      </c>
      <c r="AH5" s="67">
        <f t="shared" si="0"/>
        <v>0</v>
      </c>
      <c r="AI5" s="67">
        <f t="shared" ref="AI5:BN5" si="1">AI4</f>
        <v>0</v>
      </c>
      <c r="AJ5" s="67">
        <f t="shared" si="1"/>
        <v>0</v>
      </c>
      <c r="AK5" s="67">
        <f t="shared" si="1"/>
        <v>0</v>
      </c>
      <c r="AL5" s="67">
        <f t="shared" si="1"/>
        <v>0</v>
      </c>
      <c r="AM5" s="67">
        <f t="shared" si="1"/>
        <v>0</v>
      </c>
      <c r="AN5" s="67">
        <f t="shared" si="1"/>
        <v>0</v>
      </c>
      <c r="AO5" s="67">
        <f t="shared" si="1"/>
        <v>0</v>
      </c>
      <c r="AP5" s="67">
        <f t="shared" si="1"/>
        <v>0</v>
      </c>
      <c r="AQ5" s="67">
        <f t="shared" si="1"/>
        <v>0</v>
      </c>
      <c r="AR5" s="67">
        <f t="shared" si="1"/>
        <v>0</v>
      </c>
      <c r="AS5" s="67">
        <f t="shared" si="1"/>
        <v>0</v>
      </c>
      <c r="AT5" s="67">
        <f t="shared" si="1"/>
        <v>0</v>
      </c>
      <c r="AU5" s="67">
        <f t="shared" si="1"/>
        <v>0</v>
      </c>
      <c r="AV5" s="67">
        <f t="shared" si="1"/>
        <v>0</v>
      </c>
      <c r="AW5" s="67">
        <f t="shared" si="1"/>
        <v>0</v>
      </c>
      <c r="AX5" s="67">
        <f t="shared" si="1"/>
        <v>0</v>
      </c>
      <c r="AY5" s="67">
        <f t="shared" si="1"/>
        <v>0</v>
      </c>
      <c r="AZ5" s="67">
        <f t="shared" si="1"/>
        <v>0</v>
      </c>
      <c r="BA5" s="67">
        <f t="shared" si="1"/>
        <v>0</v>
      </c>
      <c r="BB5" s="67">
        <f t="shared" si="1"/>
        <v>0</v>
      </c>
      <c r="BC5" s="67">
        <f t="shared" si="1"/>
        <v>0</v>
      </c>
      <c r="BD5" s="67">
        <f t="shared" si="1"/>
        <v>0</v>
      </c>
      <c r="BE5" s="67">
        <f t="shared" si="1"/>
        <v>0</v>
      </c>
      <c r="BF5" s="67">
        <f t="shared" si="1"/>
        <v>0</v>
      </c>
      <c r="BG5" s="67">
        <f t="shared" si="1"/>
        <v>0</v>
      </c>
      <c r="BH5" s="67">
        <f t="shared" si="1"/>
        <v>0</v>
      </c>
      <c r="BI5" s="67">
        <f t="shared" si="1"/>
        <v>0</v>
      </c>
      <c r="BJ5" s="67">
        <f t="shared" si="1"/>
        <v>0</v>
      </c>
      <c r="BK5" s="67">
        <f t="shared" si="1"/>
        <v>0</v>
      </c>
      <c r="BL5" s="67">
        <f t="shared" si="1"/>
        <v>0</v>
      </c>
      <c r="BM5" s="67">
        <f t="shared" si="1"/>
        <v>0</v>
      </c>
      <c r="BN5" s="67">
        <f t="shared" si="1"/>
        <v>0</v>
      </c>
      <c r="BO5" s="67">
        <f t="shared" ref="BO5:CT5" si="2">BO4</f>
        <v>0</v>
      </c>
      <c r="BP5" s="67">
        <f t="shared" si="2"/>
        <v>0</v>
      </c>
      <c r="BQ5" s="67">
        <f t="shared" si="2"/>
        <v>0</v>
      </c>
      <c r="BR5" s="67">
        <f t="shared" si="2"/>
        <v>0</v>
      </c>
      <c r="BS5" s="67">
        <f t="shared" si="2"/>
        <v>0</v>
      </c>
      <c r="BT5" s="67">
        <f t="shared" si="2"/>
        <v>0</v>
      </c>
      <c r="BU5" s="67">
        <f t="shared" si="2"/>
        <v>0</v>
      </c>
      <c r="BV5" s="67">
        <f t="shared" si="2"/>
        <v>0</v>
      </c>
      <c r="BW5" s="67">
        <f t="shared" si="2"/>
        <v>0</v>
      </c>
      <c r="BX5" s="67">
        <f t="shared" si="2"/>
        <v>0</v>
      </c>
      <c r="BY5" s="67">
        <f t="shared" si="2"/>
        <v>0</v>
      </c>
      <c r="BZ5" s="67">
        <f t="shared" si="2"/>
        <v>0</v>
      </c>
      <c r="CA5" s="67">
        <f t="shared" si="2"/>
        <v>0</v>
      </c>
      <c r="CB5" s="67">
        <f t="shared" si="2"/>
        <v>0</v>
      </c>
      <c r="CC5" s="67">
        <f t="shared" si="2"/>
        <v>0</v>
      </c>
      <c r="CD5" s="67">
        <f t="shared" si="2"/>
        <v>0</v>
      </c>
      <c r="CE5" s="67">
        <f t="shared" si="2"/>
        <v>0</v>
      </c>
      <c r="CF5" s="67">
        <f t="shared" si="2"/>
        <v>0</v>
      </c>
      <c r="CG5" s="67">
        <f t="shared" si="2"/>
        <v>0</v>
      </c>
      <c r="CH5" s="67">
        <f t="shared" si="2"/>
        <v>0</v>
      </c>
    </row>
    <row r="6" spans="1:86" ht="15" customHeight="1" x14ac:dyDescent="0.25">
      <c r="A6" s="60" t="s">
        <v>278</v>
      </c>
      <c r="B6" s="1"/>
      <c r="C6" s="68">
        <f>C5</f>
        <v>9375</v>
      </c>
      <c r="D6" s="68">
        <f t="shared" ref="D6:AI6" si="3">C6+D5</f>
        <v>18750</v>
      </c>
      <c r="E6" s="68">
        <f t="shared" si="3"/>
        <v>28125</v>
      </c>
      <c r="F6" s="68">
        <f t="shared" si="3"/>
        <v>37500</v>
      </c>
      <c r="G6" s="68">
        <f t="shared" si="3"/>
        <v>46875</v>
      </c>
      <c r="H6" s="68">
        <f t="shared" si="3"/>
        <v>56250</v>
      </c>
      <c r="I6" s="68">
        <f t="shared" si="3"/>
        <v>65625</v>
      </c>
      <c r="J6" s="68">
        <f t="shared" si="3"/>
        <v>65625</v>
      </c>
      <c r="K6" s="68">
        <f t="shared" si="3"/>
        <v>65625</v>
      </c>
      <c r="L6" s="68">
        <f t="shared" si="3"/>
        <v>65625</v>
      </c>
      <c r="M6" s="68">
        <f t="shared" si="3"/>
        <v>65625</v>
      </c>
      <c r="N6" s="68">
        <f t="shared" si="3"/>
        <v>65625</v>
      </c>
      <c r="O6" s="68">
        <f t="shared" si="3"/>
        <v>65625</v>
      </c>
      <c r="P6" s="68">
        <f t="shared" si="3"/>
        <v>65625</v>
      </c>
      <c r="Q6" s="68">
        <f t="shared" si="3"/>
        <v>65625</v>
      </c>
      <c r="R6" s="68">
        <f t="shared" si="3"/>
        <v>65625</v>
      </c>
      <c r="S6" s="68">
        <f t="shared" si="3"/>
        <v>65625</v>
      </c>
      <c r="T6" s="68">
        <f t="shared" si="3"/>
        <v>65625</v>
      </c>
      <c r="U6" s="68">
        <f t="shared" si="3"/>
        <v>65625</v>
      </c>
      <c r="V6" s="68">
        <f t="shared" si="3"/>
        <v>65625</v>
      </c>
      <c r="W6" s="68">
        <f t="shared" si="3"/>
        <v>65625</v>
      </c>
      <c r="X6" s="68">
        <f t="shared" si="3"/>
        <v>65625</v>
      </c>
      <c r="Y6" s="68">
        <f t="shared" si="3"/>
        <v>65625</v>
      </c>
      <c r="Z6" s="68">
        <f t="shared" si="3"/>
        <v>65625</v>
      </c>
      <c r="AA6" s="68">
        <f t="shared" si="3"/>
        <v>65625</v>
      </c>
      <c r="AB6" s="68">
        <f t="shared" si="3"/>
        <v>65625</v>
      </c>
      <c r="AC6" s="68">
        <f t="shared" si="3"/>
        <v>65625</v>
      </c>
      <c r="AD6" s="68">
        <f t="shared" si="3"/>
        <v>65625</v>
      </c>
      <c r="AE6" s="68">
        <f t="shared" si="3"/>
        <v>65625</v>
      </c>
      <c r="AF6" s="68">
        <f t="shared" si="3"/>
        <v>65625</v>
      </c>
      <c r="AG6" s="68">
        <f t="shared" si="3"/>
        <v>65625</v>
      </c>
      <c r="AH6" s="68">
        <f t="shared" si="3"/>
        <v>65625</v>
      </c>
      <c r="AI6" s="68">
        <f t="shared" si="3"/>
        <v>65625</v>
      </c>
      <c r="AJ6" s="68">
        <f t="shared" ref="AJ6:BO6" si="4">AI6+AJ5</f>
        <v>65625</v>
      </c>
      <c r="AK6" s="68">
        <f t="shared" si="4"/>
        <v>65625</v>
      </c>
      <c r="AL6" s="68">
        <f t="shared" si="4"/>
        <v>65625</v>
      </c>
      <c r="AM6" s="68">
        <f t="shared" si="4"/>
        <v>65625</v>
      </c>
      <c r="AN6" s="68">
        <f t="shared" si="4"/>
        <v>65625</v>
      </c>
      <c r="AO6" s="68">
        <f t="shared" si="4"/>
        <v>65625</v>
      </c>
      <c r="AP6" s="68">
        <f t="shared" si="4"/>
        <v>65625</v>
      </c>
      <c r="AQ6" s="68">
        <f t="shared" si="4"/>
        <v>65625</v>
      </c>
      <c r="AR6" s="68">
        <f t="shared" si="4"/>
        <v>65625</v>
      </c>
      <c r="AS6" s="68">
        <f t="shared" si="4"/>
        <v>65625</v>
      </c>
      <c r="AT6" s="68">
        <f t="shared" si="4"/>
        <v>65625</v>
      </c>
      <c r="AU6" s="68">
        <f t="shared" si="4"/>
        <v>65625</v>
      </c>
      <c r="AV6" s="68">
        <f t="shared" si="4"/>
        <v>65625</v>
      </c>
      <c r="AW6" s="68">
        <f t="shared" si="4"/>
        <v>65625</v>
      </c>
      <c r="AX6" s="68">
        <f t="shared" si="4"/>
        <v>65625</v>
      </c>
      <c r="AY6" s="68">
        <f t="shared" si="4"/>
        <v>65625</v>
      </c>
      <c r="AZ6" s="68">
        <f t="shared" si="4"/>
        <v>65625</v>
      </c>
      <c r="BA6" s="68">
        <f t="shared" si="4"/>
        <v>65625</v>
      </c>
      <c r="BB6" s="68">
        <f t="shared" si="4"/>
        <v>65625</v>
      </c>
      <c r="BC6" s="68">
        <f t="shared" si="4"/>
        <v>65625</v>
      </c>
      <c r="BD6" s="68">
        <f t="shared" si="4"/>
        <v>65625</v>
      </c>
      <c r="BE6" s="68">
        <f t="shared" si="4"/>
        <v>65625</v>
      </c>
      <c r="BF6" s="68">
        <f t="shared" si="4"/>
        <v>65625</v>
      </c>
      <c r="BG6" s="68">
        <f t="shared" si="4"/>
        <v>65625</v>
      </c>
      <c r="BH6" s="68">
        <f t="shared" si="4"/>
        <v>65625</v>
      </c>
      <c r="BI6" s="68">
        <f t="shared" si="4"/>
        <v>65625</v>
      </c>
      <c r="BJ6" s="68">
        <f t="shared" si="4"/>
        <v>65625</v>
      </c>
      <c r="BK6" s="68">
        <f t="shared" si="4"/>
        <v>65625</v>
      </c>
      <c r="BL6" s="68">
        <f t="shared" si="4"/>
        <v>65625</v>
      </c>
      <c r="BM6" s="68">
        <f t="shared" si="4"/>
        <v>65625</v>
      </c>
      <c r="BN6" s="68">
        <f t="shared" si="4"/>
        <v>65625</v>
      </c>
      <c r="BO6" s="68">
        <f t="shared" si="4"/>
        <v>65625</v>
      </c>
      <c r="BP6" s="68">
        <f t="shared" ref="BP6:CU6" si="5">BO6+BP5</f>
        <v>65625</v>
      </c>
      <c r="BQ6" s="68">
        <f t="shared" si="5"/>
        <v>65625</v>
      </c>
      <c r="BR6" s="68">
        <f t="shared" si="5"/>
        <v>65625</v>
      </c>
      <c r="BS6" s="68">
        <f t="shared" si="5"/>
        <v>65625</v>
      </c>
      <c r="BT6" s="68">
        <f t="shared" si="5"/>
        <v>65625</v>
      </c>
      <c r="BU6" s="68">
        <f t="shared" si="5"/>
        <v>65625</v>
      </c>
      <c r="BV6" s="68">
        <f t="shared" si="5"/>
        <v>65625</v>
      </c>
      <c r="BW6" s="68">
        <f t="shared" si="5"/>
        <v>65625</v>
      </c>
      <c r="BX6" s="68">
        <f t="shared" si="5"/>
        <v>65625</v>
      </c>
      <c r="BY6" s="68">
        <f t="shared" si="5"/>
        <v>65625</v>
      </c>
      <c r="BZ6" s="68">
        <f t="shared" si="5"/>
        <v>65625</v>
      </c>
      <c r="CA6" s="68">
        <f t="shared" si="5"/>
        <v>65625</v>
      </c>
      <c r="CB6" s="68">
        <f t="shared" si="5"/>
        <v>65625</v>
      </c>
      <c r="CC6" s="68">
        <f t="shared" si="5"/>
        <v>65625</v>
      </c>
      <c r="CD6" s="68">
        <f t="shared" si="5"/>
        <v>65625</v>
      </c>
      <c r="CE6" s="68">
        <f t="shared" si="5"/>
        <v>65625</v>
      </c>
      <c r="CF6" s="68">
        <f t="shared" si="5"/>
        <v>65625</v>
      </c>
      <c r="CG6" s="68">
        <f t="shared" si="5"/>
        <v>65625</v>
      </c>
      <c r="CH6" s="68">
        <f t="shared" si="5"/>
        <v>65625</v>
      </c>
    </row>
    <row r="7" spans="1:86" ht="15" customHeight="1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</row>
    <row r="8" spans="1:86" ht="15" customHeight="1" x14ac:dyDescent="0.25">
      <c r="A8" s="6" t="s">
        <v>279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</row>
    <row r="9" spans="1:86" ht="15" customHeight="1" x14ac:dyDescent="0.25">
      <c r="A9" s="16" t="s">
        <v>276</v>
      </c>
      <c r="B9" s="1"/>
      <c r="C9" s="66">
        <f>Model!C48+Model!C49+Model!C50+Model!C51</f>
        <v>23906.25</v>
      </c>
      <c r="D9" s="66">
        <f>Model!D48+Model!D49+Model!D50+Model!D51</f>
        <v>23906.25</v>
      </c>
      <c r="E9" s="66">
        <f>Model!E48+Model!E49+Model!E50+Model!E51</f>
        <v>23906.25</v>
      </c>
      <c r="F9" s="66">
        <f>Model!F48+Model!F49+Model!F50+Model!F51</f>
        <v>23906.25</v>
      </c>
      <c r="G9" s="66">
        <f>Model!G48+Model!G49+Model!G50+Model!G51</f>
        <v>23906.25</v>
      </c>
      <c r="H9" s="66">
        <f>Model!H48+Model!H49+Model!H50+Model!H51</f>
        <v>23906.25</v>
      </c>
      <c r="I9" s="66">
        <f>Model!I48+Model!I49+Model!I50+Model!I51</f>
        <v>23906.25</v>
      </c>
      <c r="J9" s="66">
        <f>Model!J48+Model!J49+Model!J50+Model!J51</f>
        <v>23906.25</v>
      </c>
      <c r="K9" s="66">
        <f>Model!K48+Model!K49+Model!K50+Model!K51</f>
        <v>23906.25</v>
      </c>
      <c r="L9" s="66">
        <f>Model!L48+Model!L49+Model!L50+Model!L51</f>
        <v>23906.25</v>
      </c>
      <c r="M9" s="66">
        <f>Model!M48+Model!M49+Model!M50+Model!M51</f>
        <v>23906.25</v>
      </c>
      <c r="N9" s="66">
        <f>Model!N48+Model!N49+Model!N50+Model!N51</f>
        <v>23906.25</v>
      </c>
      <c r="O9" s="66">
        <f>Model!O48+Model!O49+Model!O50+Model!O51</f>
        <v>23906.25</v>
      </c>
      <c r="P9" s="66">
        <f>Model!P48+Model!P49+Model!P50+Model!P51</f>
        <v>23906.25</v>
      </c>
      <c r="Q9" s="66">
        <f>Model!Q48+Model!Q49+Model!Q50+Model!Q51</f>
        <v>23906.25</v>
      </c>
      <c r="R9" s="66">
        <f>Model!R48+Model!R49+Model!R50+Model!R51</f>
        <v>0</v>
      </c>
      <c r="S9" s="66">
        <f>Model!S48+Model!S49+Model!S50+Model!S51</f>
        <v>0</v>
      </c>
      <c r="T9" s="66">
        <f>Model!T48+Model!T49+Model!T50+Model!T51</f>
        <v>0</v>
      </c>
      <c r="U9" s="66">
        <f>Model!U48+Model!U49+Model!U50+Model!U51</f>
        <v>0</v>
      </c>
      <c r="V9" s="66">
        <f>Model!V48+Model!V49+Model!V50+Model!V51</f>
        <v>0</v>
      </c>
      <c r="W9" s="66">
        <f>Model!W48+Model!W49+Model!W50+Model!W51</f>
        <v>57375</v>
      </c>
      <c r="X9" s="66">
        <f>Model!X48+Model!X49+Model!X50+Model!X51</f>
        <v>0</v>
      </c>
      <c r="Y9" s="66">
        <f>Model!Y48+Model!Y49+Model!Y50+Model!Y51</f>
        <v>0</v>
      </c>
      <c r="Z9" s="66">
        <f>Model!Z48+Model!Z49+Model!Z50+Model!Z51</f>
        <v>57375</v>
      </c>
      <c r="AA9" s="66">
        <f>Model!AA48+Model!AA49+Model!AA50+Model!AA51</f>
        <v>0</v>
      </c>
      <c r="AB9" s="66">
        <f>Model!AB48+Model!AB49+Model!AB50+Model!AB51</f>
        <v>0</v>
      </c>
      <c r="AC9" s="66">
        <f>Model!AC48+Model!AC49+Model!AC50+Model!AC51</f>
        <v>57375</v>
      </c>
      <c r="AD9" s="66">
        <f>Model!AD48+Model!AD49+Model!AD50+Model!AD51</f>
        <v>0</v>
      </c>
      <c r="AE9" s="66">
        <f>Model!AE48+Model!AE49+Model!AE50+Model!AE51</f>
        <v>0</v>
      </c>
      <c r="AF9" s="66">
        <f>Model!AF48+Model!AF49+Model!AF50+Model!AF51</f>
        <v>0</v>
      </c>
      <c r="AG9" s="66">
        <f>Model!AG48+Model!AG49+Model!AG50+Model!AG51</f>
        <v>0</v>
      </c>
      <c r="AH9" s="66">
        <f>Model!AH48+Model!AH49+Model!AH50+Model!AH51</f>
        <v>0</v>
      </c>
      <c r="AI9" s="66">
        <f>Model!AI48+Model!AI49+Model!AI50+Model!AI51</f>
        <v>0</v>
      </c>
      <c r="AJ9" s="66">
        <f>Model!AJ48+Model!AJ49+Model!AJ50+Model!AJ51</f>
        <v>0</v>
      </c>
      <c r="AK9" s="66">
        <f>Model!AK48+Model!AK49+Model!AK50+Model!AK51</f>
        <v>0</v>
      </c>
      <c r="AL9" s="66">
        <f>Model!AL48+Model!AL49+Model!AL50+Model!AL51</f>
        <v>0</v>
      </c>
      <c r="AM9" s="66">
        <f>Model!AM48+Model!AM49+Model!AM50+Model!AM51</f>
        <v>0</v>
      </c>
      <c r="AN9" s="66">
        <f>Model!AN48+Model!AN49+Model!AN50+Model!AN51</f>
        <v>0</v>
      </c>
      <c r="AO9" s="66">
        <f>Model!AO48+Model!AO49+Model!AO50+Model!AO51</f>
        <v>0</v>
      </c>
      <c r="AP9" s="66">
        <f>Model!AP48+Model!AP49+Model!AP50+Model!AP51</f>
        <v>0</v>
      </c>
      <c r="AQ9" s="66">
        <f>Model!AQ48+Model!AQ49+Model!AQ50+Model!AQ51</f>
        <v>0</v>
      </c>
      <c r="AR9" s="66">
        <f>Model!AR48+Model!AR49+Model!AR50+Model!AR51</f>
        <v>0</v>
      </c>
      <c r="AS9" s="66">
        <f>Model!AS48+Model!AS49+Model!AS50+Model!AS51</f>
        <v>0</v>
      </c>
      <c r="AT9" s="66">
        <f>Model!AT48+Model!AT49+Model!AT50+Model!AT51</f>
        <v>0</v>
      </c>
      <c r="AU9" s="66">
        <f>Model!AU48+Model!AU49+Model!AU50+Model!AU51</f>
        <v>0</v>
      </c>
      <c r="AV9" s="66">
        <f>Model!AV48+Model!AV49+Model!AV50+Model!AV51</f>
        <v>0</v>
      </c>
      <c r="AW9" s="66">
        <f>Model!AW48+Model!AW49+Model!AW50+Model!AW51</f>
        <v>0</v>
      </c>
      <c r="AX9" s="66">
        <f>Model!AX48+Model!AX49+Model!AX50+Model!AX51</f>
        <v>0</v>
      </c>
      <c r="AY9" s="66">
        <f>Model!AY48+Model!AY49+Model!AY50+Model!AY51</f>
        <v>0</v>
      </c>
      <c r="AZ9" s="66">
        <f>Model!AZ48+Model!AZ49+Model!AZ50+Model!AZ51</f>
        <v>0</v>
      </c>
      <c r="BA9" s="66">
        <f>Model!BA48+Model!BA49+Model!BA50+Model!BA51</f>
        <v>0</v>
      </c>
      <c r="BB9" s="66">
        <f>Model!BB48+Model!BB49+Model!BB50+Model!BB51</f>
        <v>0</v>
      </c>
      <c r="BC9" s="66">
        <f>Model!BC48+Model!BC49+Model!BC50+Model!BC51</f>
        <v>0</v>
      </c>
      <c r="BD9" s="66">
        <f>Model!BD48+Model!BD49+Model!BD50+Model!BD51</f>
        <v>0</v>
      </c>
      <c r="BE9" s="66">
        <f>Model!BE48+Model!BE49+Model!BE50+Model!BE51</f>
        <v>0</v>
      </c>
      <c r="BF9" s="66">
        <f>Model!BF48+Model!BF49+Model!BF50+Model!BF51</f>
        <v>0</v>
      </c>
      <c r="BG9" s="66">
        <f>Model!BG48+Model!BG49+Model!BG50+Model!BG51</f>
        <v>0</v>
      </c>
      <c r="BH9" s="66">
        <f>Model!BH48+Model!BH49+Model!BH50+Model!BH51</f>
        <v>0</v>
      </c>
      <c r="BI9" s="66">
        <f>Model!BI48+Model!BI49+Model!BI50+Model!BI51</f>
        <v>0</v>
      </c>
      <c r="BJ9" s="66">
        <f>Model!BJ48+Model!BJ49+Model!BJ50+Model!BJ51</f>
        <v>0</v>
      </c>
      <c r="BK9" s="66">
        <f>Model!BK48+Model!BK49+Model!BK50+Model!BK51</f>
        <v>0</v>
      </c>
      <c r="BL9" s="66">
        <f>Model!BL48+Model!BL49+Model!BL50+Model!BL51</f>
        <v>0</v>
      </c>
      <c r="BM9" s="66">
        <f>Model!BM48+Model!BM49+Model!BM50+Model!BM51</f>
        <v>0</v>
      </c>
      <c r="BN9" s="66">
        <f>Model!BN48+Model!BN49+Model!BN50+Model!BN51</f>
        <v>0</v>
      </c>
      <c r="BO9" s="66">
        <f>Model!BO48+Model!BO49+Model!BO50+Model!BO51</f>
        <v>0</v>
      </c>
      <c r="BP9" s="66">
        <f>Model!BP48+Model!BP49+Model!BP50+Model!BP51</f>
        <v>0</v>
      </c>
      <c r="BQ9" s="66">
        <f>Model!BQ48+Model!BQ49+Model!BQ50+Model!BQ51</f>
        <v>0</v>
      </c>
      <c r="BR9" s="66">
        <f>Model!BR48+Model!BR49+Model!BR50+Model!BR51</f>
        <v>0</v>
      </c>
      <c r="BS9" s="66">
        <f>Model!BS48+Model!BS49+Model!BS50+Model!BS51</f>
        <v>0</v>
      </c>
      <c r="BT9" s="66">
        <f>Model!BT48+Model!BT49+Model!BT50+Model!BT51</f>
        <v>0</v>
      </c>
      <c r="BU9" s="66">
        <f>Model!BU48+Model!BU49+Model!BU50+Model!BU51</f>
        <v>0</v>
      </c>
      <c r="BV9" s="66">
        <f>Model!BV48+Model!BV49+Model!BV50+Model!BV51</f>
        <v>0</v>
      </c>
      <c r="BW9" s="66">
        <f>Model!BW48+Model!BW49+Model!BW50+Model!BW51</f>
        <v>0</v>
      </c>
      <c r="BX9" s="66">
        <f>Model!BX48+Model!BX49+Model!BX50+Model!BX51</f>
        <v>0</v>
      </c>
      <c r="BY9" s="66">
        <f>Model!BY48+Model!BY49+Model!BY50+Model!BY51</f>
        <v>0</v>
      </c>
      <c r="BZ9" s="66">
        <f>Model!BZ48+Model!BZ49+Model!BZ50+Model!BZ51</f>
        <v>0</v>
      </c>
      <c r="CA9" s="66">
        <f>Model!CA48+Model!CA49+Model!CA50+Model!CA51</f>
        <v>0</v>
      </c>
      <c r="CB9" s="66">
        <f>Model!CB48+Model!CB49+Model!CB50+Model!CB51</f>
        <v>0</v>
      </c>
      <c r="CC9" s="66">
        <f>Model!CC48+Model!CC49+Model!CC50+Model!CC51</f>
        <v>0</v>
      </c>
      <c r="CD9" s="66">
        <f>Model!CD48+Model!CD49+Model!CD50+Model!CD51</f>
        <v>0</v>
      </c>
      <c r="CE9" s="66">
        <f>Model!CE48+Model!CE49+Model!CE50+Model!CE51</f>
        <v>0</v>
      </c>
      <c r="CF9" s="66">
        <f>Model!CF48+Model!CF49+Model!CF50+Model!CF51</f>
        <v>0</v>
      </c>
      <c r="CG9" s="66">
        <f>Model!CG48+Model!CG49+Model!CG50+Model!CG51</f>
        <v>0</v>
      </c>
      <c r="CH9" s="66">
        <f>Model!CH48+Model!CH49+Model!CH50+Model!CH51</f>
        <v>0</v>
      </c>
    </row>
    <row r="10" spans="1:86" ht="15" customHeight="1" x14ac:dyDescent="0.25">
      <c r="A10" s="28" t="s">
        <v>277</v>
      </c>
      <c r="B10" s="28"/>
      <c r="C10" s="67">
        <f t="shared" ref="C10:AH10" si="6">C9</f>
        <v>23906.25</v>
      </c>
      <c r="D10" s="67">
        <f t="shared" si="6"/>
        <v>23906.25</v>
      </c>
      <c r="E10" s="67">
        <f t="shared" si="6"/>
        <v>23906.25</v>
      </c>
      <c r="F10" s="67">
        <f t="shared" si="6"/>
        <v>23906.25</v>
      </c>
      <c r="G10" s="67">
        <f t="shared" si="6"/>
        <v>23906.25</v>
      </c>
      <c r="H10" s="67">
        <f t="shared" si="6"/>
        <v>23906.25</v>
      </c>
      <c r="I10" s="67">
        <f t="shared" si="6"/>
        <v>23906.25</v>
      </c>
      <c r="J10" s="67">
        <f t="shared" si="6"/>
        <v>23906.25</v>
      </c>
      <c r="K10" s="67">
        <f t="shared" si="6"/>
        <v>23906.25</v>
      </c>
      <c r="L10" s="67">
        <f t="shared" si="6"/>
        <v>23906.25</v>
      </c>
      <c r="M10" s="67">
        <f t="shared" si="6"/>
        <v>23906.25</v>
      </c>
      <c r="N10" s="67">
        <f t="shared" si="6"/>
        <v>23906.25</v>
      </c>
      <c r="O10" s="67">
        <f t="shared" si="6"/>
        <v>23906.25</v>
      </c>
      <c r="P10" s="67">
        <f t="shared" si="6"/>
        <v>23906.25</v>
      </c>
      <c r="Q10" s="67">
        <f t="shared" si="6"/>
        <v>23906.25</v>
      </c>
      <c r="R10" s="67">
        <f t="shared" si="6"/>
        <v>0</v>
      </c>
      <c r="S10" s="67">
        <f t="shared" si="6"/>
        <v>0</v>
      </c>
      <c r="T10" s="67">
        <f t="shared" si="6"/>
        <v>0</v>
      </c>
      <c r="U10" s="67">
        <f t="shared" si="6"/>
        <v>0</v>
      </c>
      <c r="V10" s="67">
        <f t="shared" si="6"/>
        <v>0</v>
      </c>
      <c r="W10" s="67">
        <f t="shared" si="6"/>
        <v>57375</v>
      </c>
      <c r="X10" s="67">
        <f t="shared" si="6"/>
        <v>0</v>
      </c>
      <c r="Y10" s="67">
        <f t="shared" si="6"/>
        <v>0</v>
      </c>
      <c r="Z10" s="67">
        <f t="shared" si="6"/>
        <v>57375</v>
      </c>
      <c r="AA10" s="67">
        <f t="shared" si="6"/>
        <v>0</v>
      </c>
      <c r="AB10" s="67">
        <f t="shared" si="6"/>
        <v>0</v>
      </c>
      <c r="AC10" s="67">
        <f t="shared" si="6"/>
        <v>57375</v>
      </c>
      <c r="AD10" s="67">
        <f t="shared" si="6"/>
        <v>0</v>
      </c>
      <c r="AE10" s="67">
        <f t="shared" si="6"/>
        <v>0</v>
      </c>
      <c r="AF10" s="67">
        <f t="shared" si="6"/>
        <v>0</v>
      </c>
      <c r="AG10" s="67">
        <f t="shared" si="6"/>
        <v>0</v>
      </c>
      <c r="AH10" s="67">
        <f t="shared" si="6"/>
        <v>0</v>
      </c>
      <c r="AI10" s="67">
        <f t="shared" ref="AI10:BN10" si="7">AI9</f>
        <v>0</v>
      </c>
      <c r="AJ10" s="67">
        <f t="shared" si="7"/>
        <v>0</v>
      </c>
      <c r="AK10" s="67">
        <f t="shared" si="7"/>
        <v>0</v>
      </c>
      <c r="AL10" s="67">
        <f t="shared" si="7"/>
        <v>0</v>
      </c>
      <c r="AM10" s="67">
        <f t="shared" si="7"/>
        <v>0</v>
      </c>
      <c r="AN10" s="67">
        <f t="shared" si="7"/>
        <v>0</v>
      </c>
      <c r="AO10" s="67">
        <f t="shared" si="7"/>
        <v>0</v>
      </c>
      <c r="AP10" s="67">
        <f t="shared" si="7"/>
        <v>0</v>
      </c>
      <c r="AQ10" s="67">
        <f t="shared" si="7"/>
        <v>0</v>
      </c>
      <c r="AR10" s="67">
        <f t="shared" si="7"/>
        <v>0</v>
      </c>
      <c r="AS10" s="67">
        <f t="shared" si="7"/>
        <v>0</v>
      </c>
      <c r="AT10" s="67">
        <f t="shared" si="7"/>
        <v>0</v>
      </c>
      <c r="AU10" s="67">
        <f t="shared" si="7"/>
        <v>0</v>
      </c>
      <c r="AV10" s="67">
        <f t="shared" si="7"/>
        <v>0</v>
      </c>
      <c r="AW10" s="67">
        <f t="shared" si="7"/>
        <v>0</v>
      </c>
      <c r="AX10" s="67">
        <f t="shared" si="7"/>
        <v>0</v>
      </c>
      <c r="AY10" s="67">
        <f t="shared" si="7"/>
        <v>0</v>
      </c>
      <c r="AZ10" s="67">
        <f t="shared" si="7"/>
        <v>0</v>
      </c>
      <c r="BA10" s="67">
        <f t="shared" si="7"/>
        <v>0</v>
      </c>
      <c r="BB10" s="67">
        <f t="shared" si="7"/>
        <v>0</v>
      </c>
      <c r="BC10" s="67">
        <f t="shared" si="7"/>
        <v>0</v>
      </c>
      <c r="BD10" s="67">
        <f t="shared" si="7"/>
        <v>0</v>
      </c>
      <c r="BE10" s="67">
        <f t="shared" si="7"/>
        <v>0</v>
      </c>
      <c r="BF10" s="67">
        <f t="shared" si="7"/>
        <v>0</v>
      </c>
      <c r="BG10" s="67">
        <f t="shared" si="7"/>
        <v>0</v>
      </c>
      <c r="BH10" s="67">
        <f t="shared" si="7"/>
        <v>0</v>
      </c>
      <c r="BI10" s="67">
        <f t="shared" si="7"/>
        <v>0</v>
      </c>
      <c r="BJ10" s="67">
        <f t="shared" si="7"/>
        <v>0</v>
      </c>
      <c r="BK10" s="67">
        <f t="shared" si="7"/>
        <v>0</v>
      </c>
      <c r="BL10" s="67">
        <f t="shared" si="7"/>
        <v>0</v>
      </c>
      <c r="BM10" s="67">
        <f t="shared" si="7"/>
        <v>0</v>
      </c>
      <c r="BN10" s="67">
        <f t="shared" si="7"/>
        <v>0</v>
      </c>
      <c r="BO10" s="67">
        <f t="shared" ref="BO10:CT10" si="8">BO9</f>
        <v>0</v>
      </c>
      <c r="BP10" s="67">
        <f t="shared" si="8"/>
        <v>0</v>
      </c>
      <c r="BQ10" s="67">
        <f t="shared" si="8"/>
        <v>0</v>
      </c>
      <c r="BR10" s="67">
        <f t="shared" si="8"/>
        <v>0</v>
      </c>
      <c r="BS10" s="67">
        <f t="shared" si="8"/>
        <v>0</v>
      </c>
      <c r="BT10" s="67">
        <f t="shared" si="8"/>
        <v>0</v>
      </c>
      <c r="BU10" s="67">
        <f t="shared" si="8"/>
        <v>0</v>
      </c>
      <c r="BV10" s="67">
        <f t="shared" si="8"/>
        <v>0</v>
      </c>
      <c r="BW10" s="67">
        <f t="shared" si="8"/>
        <v>0</v>
      </c>
      <c r="BX10" s="67">
        <f t="shared" si="8"/>
        <v>0</v>
      </c>
      <c r="BY10" s="67">
        <f t="shared" si="8"/>
        <v>0</v>
      </c>
      <c r="BZ10" s="67">
        <f t="shared" si="8"/>
        <v>0</v>
      </c>
      <c r="CA10" s="67">
        <f t="shared" si="8"/>
        <v>0</v>
      </c>
      <c r="CB10" s="67">
        <f t="shared" si="8"/>
        <v>0</v>
      </c>
      <c r="CC10" s="67">
        <f t="shared" si="8"/>
        <v>0</v>
      </c>
      <c r="CD10" s="67">
        <f t="shared" si="8"/>
        <v>0</v>
      </c>
      <c r="CE10" s="67">
        <f t="shared" si="8"/>
        <v>0</v>
      </c>
      <c r="CF10" s="67">
        <f t="shared" si="8"/>
        <v>0</v>
      </c>
      <c r="CG10" s="67">
        <f t="shared" si="8"/>
        <v>0</v>
      </c>
      <c r="CH10" s="67">
        <f t="shared" si="8"/>
        <v>0</v>
      </c>
    </row>
    <row r="11" spans="1:86" ht="15" customHeight="1" x14ac:dyDescent="0.25">
      <c r="A11" s="60" t="s">
        <v>278</v>
      </c>
      <c r="B11" s="1"/>
      <c r="C11" s="68">
        <f>C10</f>
        <v>23906.25</v>
      </c>
      <c r="D11" s="68">
        <f t="shared" ref="D11:AI11" si="9">C11+D10</f>
        <v>47812.5</v>
      </c>
      <c r="E11" s="68">
        <f t="shared" si="9"/>
        <v>71718.75</v>
      </c>
      <c r="F11" s="68">
        <f t="shared" si="9"/>
        <v>95625</v>
      </c>
      <c r="G11" s="68">
        <f t="shared" si="9"/>
        <v>119531.25</v>
      </c>
      <c r="H11" s="68">
        <f t="shared" si="9"/>
        <v>143437.5</v>
      </c>
      <c r="I11" s="68">
        <f t="shared" si="9"/>
        <v>167343.75</v>
      </c>
      <c r="J11" s="68">
        <f t="shared" si="9"/>
        <v>191250</v>
      </c>
      <c r="K11" s="68">
        <f t="shared" si="9"/>
        <v>215156.25</v>
      </c>
      <c r="L11" s="68">
        <f t="shared" si="9"/>
        <v>239062.5</v>
      </c>
      <c r="M11" s="68">
        <f t="shared" si="9"/>
        <v>262968.75</v>
      </c>
      <c r="N11" s="68">
        <f t="shared" si="9"/>
        <v>286875</v>
      </c>
      <c r="O11" s="68">
        <f t="shared" si="9"/>
        <v>310781.25</v>
      </c>
      <c r="P11" s="68">
        <f t="shared" si="9"/>
        <v>334687.5</v>
      </c>
      <c r="Q11" s="68">
        <f t="shared" si="9"/>
        <v>358593.75</v>
      </c>
      <c r="R11" s="68">
        <f t="shared" si="9"/>
        <v>358593.75</v>
      </c>
      <c r="S11" s="68">
        <f t="shared" si="9"/>
        <v>358593.75</v>
      </c>
      <c r="T11" s="68">
        <f t="shared" si="9"/>
        <v>358593.75</v>
      </c>
      <c r="U11" s="68">
        <f t="shared" si="9"/>
        <v>358593.75</v>
      </c>
      <c r="V11" s="68">
        <f t="shared" si="9"/>
        <v>358593.75</v>
      </c>
      <c r="W11" s="68">
        <f t="shared" si="9"/>
        <v>415968.75</v>
      </c>
      <c r="X11" s="68">
        <f t="shared" si="9"/>
        <v>415968.75</v>
      </c>
      <c r="Y11" s="68">
        <f t="shared" si="9"/>
        <v>415968.75</v>
      </c>
      <c r="Z11" s="68">
        <f t="shared" si="9"/>
        <v>473343.75</v>
      </c>
      <c r="AA11" s="68">
        <f t="shared" si="9"/>
        <v>473343.75</v>
      </c>
      <c r="AB11" s="68">
        <f t="shared" si="9"/>
        <v>473343.75</v>
      </c>
      <c r="AC11" s="68">
        <f t="shared" si="9"/>
        <v>530718.75</v>
      </c>
      <c r="AD11" s="68">
        <f t="shared" si="9"/>
        <v>530718.75</v>
      </c>
      <c r="AE11" s="68">
        <f t="shared" si="9"/>
        <v>530718.75</v>
      </c>
      <c r="AF11" s="68">
        <f t="shared" si="9"/>
        <v>530718.75</v>
      </c>
      <c r="AG11" s="68">
        <f t="shared" si="9"/>
        <v>530718.75</v>
      </c>
      <c r="AH11" s="68">
        <f t="shared" si="9"/>
        <v>530718.75</v>
      </c>
      <c r="AI11" s="68">
        <f t="shared" si="9"/>
        <v>530718.75</v>
      </c>
      <c r="AJ11" s="68">
        <f t="shared" ref="AJ11:BO11" si="10">AI11+AJ10</f>
        <v>530718.75</v>
      </c>
      <c r="AK11" s="68">
        <f t="shared" si="10"/>
        <v>530718.75</v>
      </c>
      <c r="AL11" s="68">
        <f t="shared" si="10"/>
        <v>530718.75</v>
      </c>
      <c r="AM11" s="68">
        <f t="shared" si="10"/>
        <v>530718.75</v>
      </c>
      <c r="AN11" s="68">
        <f t="shared" si="10"/>
        <v>530718.75</v>
      </c>
      <c r="AO11" s="68">
        <f t="shared" si="10"/>
        <v>530718.75</v>
      </c>
      <c r="AP11" s="68">
        <f t="shared" si="10"/>
        <v>530718.75</v>
      </c>
      <c r="AQ11" s="68">
        <f t="shared" si="10"/>
        <v>530718.75</v>
      </c>
      <c r="AR11" s="68">
        <f t="shared" si="10"/>
        <v>530718.75</v>
      </c>
      <c r="AS11" s="68">
        <f t="shared" si="10"/>
        <v>530718.75</v>
      </c>
      <c r="AT11" s="68">
        <f t="shared" si="10"/>
        <v>530718.75</v>
      </c>
      <c r="AU11" s="68">
        <f t="shared" si="10"/>
        <v>530718.75</v>
      </c>
      <c r="AV11" s="68">
        <f t="shared" si="10"/>
        <v>530718.75</v>
      </c>
      <c r="AW11" s="68">
        <f t="shared" si="10"/>
        <v>530718.75</v>
      </c>
      <c r="AX11" s="68">
        <f t="shared" si="10"/>
        <v>530718.75</v>
      </c>
      <c r="AY11" s="68">
        <f t="shared" si="10"/>
        <v>530718.75</v>
      </c>
      <c r="AZ11" s="68">
        <f t="shared" si="10"/>
        <v>530718.75</v>
      </c>
      <c r="BA11" s="68">
        <f t="shared" si="10"/>
        <v>530718.75</v>
      </c>
      <c r="BB11" s="68">
        <f t="shared" si="10"/>
        <v>530718.75</v>
      </c>
      <c r="BC11" s="68">
        <f t="shared" si="10"/>
        <v>530718.75</v>
      </c>
      <c r="BD11" s="68">
        <f t="shared" si="10"/>
        <v>530718.75</v>
      </c>
      <c r="BE11" s="68">
        <f t="shared" si="10"/>
        <v>530718.75</v>
      </c>
      <c r="BF11" s="68">
        <f t="shared" si="10"/>
        <v>530718.75</v>
      </c>
      <c r="BG11" s="68">
        <f t="shared" si="10"/>
        <v>530718.75</v>
      </c>
      <c r="BH11" s="68">
        <f t="shared" si="10"/>
        <v>530718.75</v>
      </c>
      <c r="BI11" s="68">
        <f t="shared" si="10"/>
        <v>530718.75</v>
      </c>
      <c r="BJ11" s="68">
        <f t="shared" si="10"/>
        <v>530718.75</v>
      </c>
      <c r="BK11" s="68">
        <f t="shared" si="10"/>
        <v>530718.75</v>
      </c>
      <c r="BL11" s="68">
        <f t="shared" si="10"/>
        <v>530718.75</v>
      </c>
      <c r="BM11" s="68">
        <f t="shared" si="10"/>
        <v>530718.75</v>
      </c>
      <c r="BN11" s="68">
        <f t="shared" si="10"/>
        <v>530718.75</v>
      </c>
      <c r="BO11" s="68">
        <f t="shared" si="10"/>
        <v>530718.75</v>
      </c>
      <c r="BP11" s="68">
        <f t="shared" ref="BP11:CU11" si="11">BO11+BP10</f>
        <v>530718.75</v>
      </c>
      <c r="BQ11" s="68">
        <f t="shared" si="11"/>
        <v>530718.75</v>
      </c>
      <c r="BR11" s="68">
        <f t="shared" si="11"/>
        <v>530718.75</v>
      </c>
      <c r="BS11" s="68">
        <f t="shared" si="11"/>
        <v>530718.75</v>
      </c>
      <c r="BT11" s="68">
        <f t="shared" si="11"/>
        <v>530718.75</v>
      </c>
      <c r="BU11" s="68">
        <f t="shared" si="11"/>
        <v>530718.75</v>
      </c>
      <c r="BV11" s="68">
        <f t="shared" si="11"/>
        <v>530718.75</v>
      </c>
      <c r="BW11" s="68">
        <f t="shared" si="11"/>
        <v>530718.75</v>
      </c>
      <c r="BX11" s="68">
        <f t="shared" si="11"/>
        <v>530718.75</v>
      </c>
      <c r="BY11" s="68">
        <f t="shared" si="11"/>
        <v>530718.75</v>
      </c>
      <c r="BZ11" s="68">
        <f t="shared" si="11"/>
        <v>530718.75</v>
      </c>
      <c r="CA11" s="68">
        <f t="shared" si="11"/>
        <v>530718.75</v>
      </c>
      <c r="CB11" s="68">
        <f t="shared" si="11"/>
        <v>530718.75</v>
      </c>
      <c r="CC11" s="68">
        <f t="shared" si="11"/>
        <v>530718.75</v>
      </c>
      <c r="CD11" s="68">
        <f t="shared" si="11"/>
        <v>530718.75</v>
      </c>
      <c r="CE11" s="68">
        <f t="shared" si="11"/>
        <v>530718.75</v>
      </c>
      <c r="CF11" s="68">
        <f t="shared" si="11"/>
        <v>530718.75</v>
      </c>
      <c r="CG11" s="68">
        <f t="shared" si="11"/>
        <v>530718.75</v>
      </c>
      <c r="CH11" s="68">
        <f t="shared" si="11"/>
        <v>530718.75</v>
      </c>
    </row>
    <row r="12" spans="1:86" ht="15" customHeight="1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</row>
    <row r="13" spans="1:86" ht="15" customHeight="1" x14ac:dyDescent="0.25">
      <c r="A13" s="6" t="s">
        <v>116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</row>
    <row r="14" spans="1:86" ht="15" customHeight="1" x14ac:dyDescent="0.25">
      <c r="A14" s="16" t="s">
        <v>276</v>
      </c>
      <c r="B14" s="1"/>
      <c r="C14" s="66">
        <f>Model!C54+Model!C55+Model!C56</f>
        <v>0</v>
      </c>
      <c r="D14" s="66">
        <f>Model!D54+Model!D55+Model!D56</f>
        <v>0</v>
      </c>
      <c r="E14" s="66">
        <f>Model!E54+Model!E55+Model!E56</f>
        <v>0</v>
      </c>
      <c r="F14" s="66">
        <f>Model!F54+Model!F55+Model!F56</f>
        <v>0</v>
      </c>
      <c r="G14" s="66">
        <f>Model!G54+Model!G55+Model!G56</f>
        <v>0</v>
      </c>
      <c r="H14" s="66">
        <f>Model!H54+Model!H55+Model!H56</f>
        <v>0</v>
      </c>
      <c r="I14" s="66">
        <f>Model!I54+Model!I55+Model!I56</f>
        <v>0</v>
      </c>
      <c r="J14" s="66">
        <f>Model!J54+Model!J55+Model!J56</f>
        <v>0</v>
      </c>
      <c r="K14" s="66">
        <f>Model!K54+Model!K55+Model!K56</f>
        <v>0</v>
      </c>
      <c r="L14" s="66">
        <f>Model!L54+Model!L55+Model!L56</f>
        <v>0</v>
      </c>
      <c r="M14" s="66">
        <f>Model!M54+Model!M55+Model!M56</f>
        <v>0</v>
      </c>
      <c r="N14" s="66">
        <f>Model!N54+Model!N55+Model!N56</f>
        <v>0</v>
      </c>
      <c r="O14" s="66">
        <f>Model!O54+Model!O55+Model!O56</f>
        <v>0</v>
      </c>
      <c r="P14" s="66">
        <f>Model!P54+Model!P55+Model!P56</f>
        <v>0</v>
      </c>
      <c r="Q14" s="66">
        <f>Model!Q54+Model!Q55+Model!Q56</f>
        <v>0</v>
      </c>
      <c r="R14" s="66">
        <f>Model!R54+Model!R55+Model!R56</f>
        <v>0</v>
      </c>
      <c r="S14" s="66">
        <f>Model!S54+Model!S55+Model!S56</f>
        <v>0</v>
      </c>
      <c r="T14" s="66">
        <f>Model!T54+Model!T55+Model!T56</f>
        <v>0</v>
      </c>
      <c r="U14" s="66">
        <f>Model!U54+Model!U55+Model!U56</f>
        <v>0</v>
      </c>
      <c r="V14" s="66">
        <f>Model!V54+Model!V55+Model!V56</f>
        <v>0</v>
      </c>
      <c r="W14" s="66">
        <f>Model!W54+Model!W55+Model!W56</f>
        <v>0</v>
      </c>
      <c r="X14" s="66">
        <f>Model!X54+Model!X55+Model!X56</f>
        <v>0</v>
      </c>
      <c r="Y14" s="66">
        <f>Model!Y54+Model!Y55+Model!Y56</f>
        <v>0</v>
      </c>
      <c r="Z14" s="66">
        <f>Model!Z54+Model!Z55+Model!Z56</f>
        <v>0</v>
      </c>
      <c r="AA14" s="66">
        <f>Model!AA54+Model!AA55+Model!AA56</f>
        <v>0</v>
      </c>
      <c r="AB14" s="66">
        <f>Model!AB54+Model!AB55+Model!AB56</f>
        <v>0</v>
      </c>
      <c r="AC14" s="66">
        <f>Model!AC54+Model!AC55+Model!AC56</f>
        <v>0</v>
      </c>
      <c r="AD14" s="66">
        <f>Model!AD54+Model!AD55+Model!AD56</f>
        <v>0</v>
      </c>
      <c r="AE14" s="66">
        <f>Model!AE54+Model!AE55+Model!AE56</f>
        <v>0</v>
      </c>
      <c r="AF14" s="66">
        <f>Model!AF54+Model!AF55+Model!AF56</f>
        <v>0</v>
      </c>
      <c r="AG14" s="66">
        <f>Model!AG54+Model!AG55+Model!AG56</f>
        <v>0</v>
      </c>
      <c r="AH14" s="66">
        <f>Model!AH54+Model!AH55+Model!AH56</f>
        <v>0</v>
      </c>
      <c r="AI14" s="66">
        <f>Model!AI54+Model!AI55+Model!AI56</f>
        <v>0</v>
      </c>
      <c r="AJ14" s="66">
        <f>Model!AJ54+Model!AJ55+Model!AJ56</f>
        <v>0</v>
      </c>
      <c r="AK14" s="66">
        <f>Model!AK54+Model!AK55+Model!AK56</f>
        <v>0</v>
      </c>
      <c r="AL14" s="66">
        <f>Model!AL54+Model!AL55+Model!AL56</f>
        <v>0</v>
      </c>
      <c r="AM14" s="66">
        <f>Model!AM54+Model!AM55+Model!AM56</f>
        <v>0</v>
      </c>
      <c r="AN14" s="66">
        <f>Model!AN54+Model!AN55+Model!AN56</f>
        <v>0</v>
      </c>
      <c r="AO14" s="66">
        <f>Model!AO54+Model!AO55+Model!AO56</f>
        <v>0</v>
      </c>
      <c r="AP14" s="66">
        <f>Model!AP54+Model!AP55+Model!AP56</f>
        <v>0</v>
      </c>
      <c r="AQ14" s="66">
        <f>Model!AQ54+Model!AQ55+Model!AQ56</f>
        <v>0</v>
      </c>
      <c r="AR14" s="66">
        <f>Model!AR54+Model!AR55+Model!AR56</f>
        <v>0</v>
      </c>
      <c r="AS14" s="66">
        <f>Model!AS54+Model!AS55+Model!AS56</f>
        <v>0</v>
      </c>
      <c r="AT14" s="66">
        <f>Model!AT54+Model!AT55+Model!AT56</f>
        <v>0</v>
      </c>
      <c r="AU14" s="66">
        <f>Model!AU54+Model!AU55+Model!AU56</f>
        <v>0</v>
      </c>
      <c r="AV14" s="66">
        <f>Model!AV54+Model!AV55+Model!AV56</f>
        <v>0</v>
      </c>
      <c r="AW14" s="66">
        <f>Model!AW54+Model!AW55+Model!AW56</f>
        <v>0</v>
      </c>
      <c r="AX14" s="66">
        <f>Model!AX54+Model!AX55+Model!AX56</f>
        <v>0</v>
      </c>
      <c r="AY14" s="66">
        <f>Model!AY54+Model!AY55+Model!AY56</f>
        <v>0</v>
      </c>
      <c r="AZ14" s="66">
        <f>Model!AZ54+Model!AZ55+Model!AZ56</f>
        <v>0</v>
      </c>
      <c r="BA14" s="66">
        <f>Model!BA54+Model!BA55+Model!BA56</f>
        <v>0</v>
      </c>
      <c r="BB14" s="66">
        <f>Model!BB54+Model!BB55+Model!BB56</f>
        <v>0</v>
      </c>
      <c r="BC14" s="66">
        <f>Model!BC54+Model!BC55+Model!BC56</f>
        <v>0</v>
      </c>
      <c r="BD14" s="66">
        <f>Model!BD54+Model!BD55+Model!BD56</f>
        <v>0</v>
      </c>
      <c r="BE14" s="66">
        <f>Model!BE54+Model!BE55+Model!BE56</f>
        <v>0</v>
      </c>
      <c r="BF14" s="66">
        <f>Model!BF54+Model!BF55+Model!BF56</f>
        <v>0</v>
      </c>
      <c r="BG14" s="66">
        <f>Model!BG54+Model!BG55+Model!BG56</f>
        <v>0</v>
      </c>
      <c r="BH14" s="66">
        <f>Model!BH54+Model!BH55+Model!BH56</f>
        <v>0</v>
      </c>
      <c r="BI14" s="66">
        <f>Model!BI54+Model!BI55+Model!BI56</f>
        <v>0</v>
      </c>
      <c r="BJ14" s="66">
        <f>Model!BJ54+Model!BJ55+Model!BJ56</f>
        <v>0</v>
      </c>
      <c r="BK14" s="66">
        <f>Model!BK54+Model!BK55+Model!BK56</f>
        <v>0</v>
      </c>
      <c r="BL14" s="66">
        <f>Model!BL54+Model!BL55+Model!BL56</f>
        <v>0</v>
      </c>
      <c r="BM14" s="66">
        <f>Model!BM54+Model!BM55+Model!BM56</f>
        <v>0</v>
      </c>
      <c r="BN14" s="66">
        <f>Model!BN54+Model!BN55+Model!BN56</f>
        <v>0</v>
      </c>
      <c r="BO14" s="66">
        <f>Model!BO54+Model!BO55+Model!BO56</f>
        <v>0</v>
      </c>
      <c r="BP14" s="66">
        <f>Model!BP54+Model!BP55+Model!BP56</f>
        <v>0</v>
      </c>
      <c r="BQ14" s="66">
        <f>Model!BQ54+Model!BQ55+Model!BQ56</f>
        <v>0</v>
      </c>
      <c r="BR14" s="66">
        <f>Model!BR54+Model!BR55+Model!BR56</f>
        <v>0</v>
      </c>
      <c r="BS14" s="66">
        <f>Model!BS54+Model!BS55+Model!BS56</f>
        <v>0</v>
      </c>
      <c r="BT14" s="66">
        <f>Model!BT54+Model!BT55+Model!BT56</f>
        <v>0</v>
      </c>
      <c r="BU14" s="66">
        <f>Model!BU54+Model!BU55+Model!BU56</f>
        <v>0</v>
      </c>
      <c r="BV14" s="66">
        <f>Model!BV54+Model!BV55+Model!BV56</f>
        <v>0</v>
      </c>
      <c r="BW14" s="66">
        <f>Model!BW54+Model!BW55+Model!BW56</f>
        <v>0</v>
      </c>
      <c r="BX14" s="66">
        <f>Model!BX54+Model!BX55+Model!BX56</f>
        <v>0</v>
      </c>
      <c r="BY14" s="66">
        <f>Model!BY54+Model!BY55+Model!BY56</f>
        <v>0</v>
      </c>
      <c r="BZ14" s="66">
        <f>Model!BZ54+Model!BZ55+Model!BZ56</f>
        <v>0</v>
      </c>
      <c r="CA14" s="66">
        <f>Model!CA54+Model!CA55+Model!CA56</f>
        <v>0</v>
      </c>
      <c r="CB14" s="66">
        <f>Model!CB54+Model!CB55+Model!CB56</f>
        <v>0</v>
      </c>
      <c r="CC14" s="66">
        <f>Model!CC54+Model!CC55+Model!CC56</f>
        <v>0</v>
      </c>
      <c r="CD14" s="66">
        <f>Model!CD54+Model!CD55+Model!CD56</f>
        <v>0</v>
      </c>
      <c r="CE14" s="66">
        <f>Model!CE54+Model!CE55+Model!CE56</f>
        <v>0</v>
      </c>
      <c r="CF14" s="66">
        <f>Model!CF54+Model!CF55+Model!CF56</f>
        <v>0</v>
      </c>
      <c r="CG14" s="66">
        <f>Model!CG54+Model!CG55+Model!CG56</f>
        <v>0</v>
      </c>
      <c r="CH14" s="66">
        <f>Model!CH54+Model!CH55+Model!CH56</f>
        <v>0</v>
      </c>
    </row>
    <row r="15" spans="1:86" ht="15" customHeight="1" x14ac:dyDescent="0.25">
      <c r="A15" s="69" t="s">
        <v>280</v>
      </c>
      <c r="B15" s="1"/>
      <c r="C15" s="70">
        <v>0</v>
      </c>
      <c r="D15" s="70">
        <v>0</v>
      </c>
      <c r="E15" s="70">
        <v>0</v>
      </c>
      <c r="F15" s="70">
        <v>0</v>
      </c>
      <c r="G15" s="70">
        <f>IF(Projects!$G$11="Yes",-155771,0)</f>
        <v>0</v>
      </c>
      <c r="H15" s="70">
        <v>0</v>
      </c>
      <c r="I15" s="70">
        <v>0</v>
      </c>
      <c r="J15" s="70">
        <v>0</v>
      </c>
      <c r="K15" s="70">
        <v>0</v>
      </c>
      <c r="L15" s="70">
        <v>0</v>
      </c>
      <c r="M15" s="70">
        <v>0</v>
      </c>
      <c r="N15" s="70">
        <v>0</v>
      </c>
      <c r="O15" s="70">
        <v>0</v>
      </c>
      <c r="P15" s="70">
        <v>0</v>
      </c>
      <c r="Q15" s="70">
        <v>0</v>
      </c>
      <c r="R15" s="70">
        <v>0</v>
      </c>
      <c r="S15" s="70">
        <v>0</v>
      </c>
      <c r="T15" s="70">
        <v>0</v>
      </c>
      <c r="U15" s="70">
        <v>0</v>
      </c>
      <c r="V15" s="70">
        <v>0</v>
      </c>
      <c r="W15" s="70">
        <v>0</v>
      </c>
      <c r="X15" s="70">
        <v>0</v>
      </c>
      <c r="Y15" s="70">
        <v>0</v>
      </c>
      <c r="Z15" s="70">
        <v>0</v>
      </c>
      <c r="AA15" s="70">
        <v>0</v>
      </c>
      <c r="AB15" s="70">
        <v>0</v>
      </c>
      <c r="AC15" s="70">
        <v>0</v>
      </c>
      <c r="AD15" s="70">
        <v>0</v>
      </c>
      <c r="AE15" s="70">
        <v>0</v>
      </c>
      <c r="AF15" s="70">
        <v>0</v>
      </c>
      <c r="AG15" s="70">
        <v>0</v>
      </c>
      <c r="AH15" s="70">
        <v>0</v>
      </c>
      <c r="AI15" s="70">
        <v>0</v>
      </c>
      <c r="AJ15" s="70">
        <v>0</v>
      </c>
      <c r="AK15" s="70">
        <v>0</v>
      </c>
      <c r="AL15" s="70">
        <v>0</v>
      </c>
      <c r="AM15" s="70">
        <v>0</v>
      </c>
      <c r="AN15" s="70">
        <v>0</v>
      </c>
      <c r="AO15" s="70">
        <v>0</v>
      </c>
      <c r="AP15" s="70">
        <v>0</v>
      </c>
      <c r="AQ15" s="70">
        <v>0</v>
      </c>
      <c r="AR15" s="70">
        <v>0</v>
      </c>
      <c r="AS15" s="70">
        <v>0</v>
      </c>
      <c r="AT15" s="70">
        <v>0</v>
      </c>
      <c r="AU15" s="70">
        <v>0</v>
      </c>
      <c r="AV15" s="70">
        <v>0</v>
      </c>
      <c r="AW15" s="70">
        <v>0</v>
      </c>
      <c r="AX15" s="70">
        <v>0</v>
      </c>
      <c r="AY15" s="70">
        <v>0</v>
      </c>
      <c r="AZ15" s="70">
        <v>0</v>
      </c>
      <c r="BA15" s="70">
        <v>0</v>
      </c>
      <c r="BB15" s="70">
        <v>0</v>
      </c>
      <c r="BC15" s="70">
        <v>0</v>
      </c>
      <c r="BD15" s="70">
        <v>0</v>
      </c>
      <c r="BE15" s="70">
        <v>0</v>
      </c>
      <c r="BF15" s="70">
        <v>0</v>
      </c>
      <c r="BG15" s="70">
        <v>0</v>
      </c>
      <c r="BH15" s="70">
        <v>0</v>
      </c>
      <c r="BI15" s="70">
        <v>0</v>
      </c>
      <c r="BJ15" s="70">
        <v>0</v>
      </c>
      <c r="BK15" s="70">
        <v>0</v>
      </c>
      <c r="BL15" s="70">
        <v>0</v>
      </c>
      <c r="BM15" s="70">
        <v>0</v>
      </c>
      <c r="BN15" s="70">
        <v>0</v>
      </c>
      <c r="BO15" s="70">
        <v>0</v>
      </c>
      <c r="BP15" s="70">
        <v>0</v>
      </c>
      <c r="BQ15" s="70">
        <v>0</v>
      </c>
      <c r="BR15" s="70">
        <v>0</v>
      </c>
      <c r="BS15" s="70">
        <v>0</v>
      </c>
      <c r="BT15" s="70">
        <v>0</v>
      </c>
      <c r="BU15" s="70">
        <v>0</v>
      </c>
      <c r="BV15" s="70">
        <v>0</v>
      </c>
      <c r="BW15" s="70">
        <v>0</v>
      </c>
      <c r="BX15" s="70">
        <v>0</v>
      </c>
      <c r="BY15" s="70">
        <v>0</v>
      </c>
      <c r="BZ15" s="70">
        <v>0</v>
      </c>
      <c r="CA15" s="70">
        <v>0</v>
      </c>
      <c r="CB15" s="70">
        <v>0</v>
      </c>
      <c r="CC15" s="70">
        <v>0</v>
      </c>
      <c r="CD15" s="70">
        <v>0</v>
      </c>
      <c r="CE15" s="70">
        <v>0</v>
      </c>
      <c r="CF15" s="70">
        <v>0</v>
      </c>
      <c r="CG15" s="70">
        <v>0</v>
      </c>
      <c r="CH15" s="70">
        <v>0</v>
      </c>
    </row>
    <row r="16" spans="1:86" ht="15" customHeight="1" x14ac:dyDescent="0.25">
      <c r="A16" s="28" t="s">
        <v>277</v>
      </c>
      <c r="B16" s="28"/>
      <c r="C16" s="67">
        <f t="shared" ref="C16:AH16" si="12">C14+C15</f>
        <v>0</v>
      </c>
      <c r="D16" s="67">
        <f t="shared" si="12"/>
        <v>0</v>
      </c>
      <c r="E16" s="67">
        <f t="shared" si="12"/>
        <v>0</v>
      </c>
      <c r="F16" s="67">
        <f t="shared" si="12"/>
        <v>0</v>
      </c>
      <c r="G16" s="67">
        <f t="shared" si="12"/>
        <v>0</v>
      </c>
      <c r="H16" s="67">
        <f t="shared" si="12"/>
        <v>0</v>
      </c>
      <c r="I16" s="67">
        <f t="shared" si="12"/>
        <v>0</v>
      </c>
      <c r="J16" s="67">
        <f t="shared" si="12"/>
        <v>0</v>
      </c>
      <c r="K16" s="67">
        <f t="shared" si="12"/>
        <v>0</v>
      </c>
      <c r="L16" s="67">
        <f t="shared" si="12"/>
        <v>0</v>
      </c>
      <c r="M16" s="67">
        <f t="shared" si="12"/>
        <v>0</v>
      </c>
      <c r="N16" s="67">
        <f t="shared" si="12"/>
        <v>0</v>
      </c>
      <c r="O16" s="67">
        <f t="shared" si="12"/>
        <v>0</v>
      </c>
      <c r="P16" s="67">
        <f t="shared" si="12"/>
        <v>0</v>
      </c>
      <c r="Q16" s="67">
        <f t="shared" si="12"/>
        <v>0</v>
      </c>
      <c r="R16" s="67">
        <f t="shared" si="12"/>
        <v>0</v>
      </c>
      <c r="S16" s="67">
        <f t="shared" si="12"/>
        <v>0</v>
      </c>
      <c r="T16" s="67">
        <f t="shared" si="12"/>
        <v>0</v>
      </c>
      <c r="U16" s="67">
        <f t="shared" si="12"/>
        <v>0</v>
      </c>
      <c r="V16" s="67">
        <f t="shared" si="12"/>
        <v>0</v>
      </c>
      <c r="W16" s="67">
        <f t="shared" si="12"/>
        <v>0</v>
      </c>
      <c r="X16" s="67">
        <f t="shared" si="12"/>
        <v>0</v>
      </c>
      <c r="Y16" s="67">
        <f t="shared" si="12"/>
        <v>0</v>
      </c>
      <c r="Z16" s="67">
        <f t="shared" si="12"/>
        <v>0</v>
      </c>
      <c r="AA16" s="67">
        <f t="shared" si="12"/>
        <v>0</v>
      </c>
      <c r="AB16" s="67">
        <f t="shared" si="12"/>
        <v>0</v>
      </c>
      <c r="AC16" s="67">
        <f t="shared" si="12"/>
        <v>0</v>
      </c>
      <c r="AD16" s="67">
        <f t="shared" si="12"/>
        <v>0</v>
      </c>
      <c r="AE16" s="67">
        <f t="shared" si="12"/>
        <v>0</v>
      </c>
      <c r="AF16" s="67">
        <f t="shared" si="12"/>
        <v>0</v>
      </c>
      <c r="AG16" s="67">
        <f t="shared" si="12"/>
        <v>0</v>
      </c>
      <c r="AH16" s="67">
        <f t="shared" si="12"/>
        <v>0</v>
      </c>
      <c r="AI16" s="67">
        <f t="shared" ref="AI16:BN16" si="13">AI14+AI15</f>
        <v>0</v>
      </c>
      <c r="AJ16" s="67">
        <f t="shared" si="13"/>
        <v>0</v>
      </c>
      <c r="AK16" s="67">
        <f t="shared" si="13"/>
        <v>0</v>
      </c>
      <c r="AL16" s="67">
        <f t="shared" si="13"/>
        <v>0</v>
      </c>
      <c r="AM16" s="67">
        <f t="shared" si="13"/>
        <v>0</v>
      </c>
      <c r="AN16" s="67">
        <f t="shared" si="13"/>
        <v>0</v>
      </c>
      <c r="AO16" s="67">
        <f t="shared" si="13"/>
        <v>0</v>
      </c>
      <c r="AP16" s="67">
        <f t="shared" si="13"/>
        <v>0</v>
      </c>
      <c r="AQ16" s="67">
        <f t="shared" si="13"/>
        <v>0</v>
      </c>
      <c r="AR16" s="67">
        <f t="shared" si="13"/>
        <v>0</v>
      </c>
      <c r="AS16" s="67">
        <f t="shared" si="13"/>
        <v>0</v>
      </c>
      <c r="AT16" s="67">
        <f t="shared" si="13"/>
        <v>0</v>
      </c>
      <c r="AU16" s="67">
        <f t="shared" si="13"/>
        <v>0</v>
      </c>
      <c r="AV16" s="67">
        <f t="shared" si="13"/>
        <v>0</v>
      </c>
      <c r="AW16" s="67">
        <f t="shared" si="13"/>
        <v>0</v>
      </c>
      <c r="AX16" s="67">
        <f t="shared" si="13"/>
        <v>0</v>
      </c>
      <c r="AY16" s="67">
        <f t="shared" si="13"/>
        <v>0</v>
      </c>
      <c r="AZ16" s="67">
        <f t="shared" si="13"/>
        <v>0</v>
      </c>
      <c r="BA16" s="67">
        <f t="shared" si="13"/>
        <v>0</v>
      </c>
      <c r="BB16" s="67">
        <f t="shared" si="13"/>
        <v>0</v>
      </c>
      <c r="BC16" s="67">
        <f t="shared" si="13"/>
        <v>0</v>
      </c>
      <c r="BD16" s="67">
        <f t="shared" si="13"/>
        <v>0</v>
      </c>
      <c r="BE16" s="67">
        <f t="shared" si="13"/>
        <v>0</v>
      </c>
      <c r="BF16" s="67">
        <f t="shared" si="13"/>
        <v>0</v>
      </c>
      <c r="BG16" s="67">
        <f t="shared" si="13"/>
        <v>0</v>
      </c>
      <c r="BH16" s="67">
        <f t="shared" si="13"/>
        <v>0</v>
      </c>
      <c r="BI16" s="67">
        <f t="shared" si="13"/>
        <v>0</v>
      </c>
      <c r="BJ16" s="67">
        <f t="shared" si="13"/>
        <v>0</v>
      </c>
      <c r="BK16" s="67">
        <f t="shared" si="13"/>
        <v>0</v>
      </c>
      <c r="BL16" s="67">
        <f t="shared" si="13"/>
        <v>0</v>
      </c>
      <c r="BM16" s="67">
        <f t="shared" si="13"/>
        <v>0</v>
      </c>
      <c r="BN16" s="67">
        <f t="shared" si="13"/>
        <v>0</v>
      </c>
      <c r="BO16" s="67">
        <f t="shared" ref="BO16:CT16" si="14">BO14+BO15</f>
        <v>0</v>
      </c>
      <c r="BP16" s="67">
        <f t="shared" si="14"/>
        <v>0</v>
      </c>
      <c r="BQ16" s="67">
        <f t="shared" si="14"/>
        <v>0</v>
      </c>
      <c r="BR16" s="67">
        <f t="shared" si="14"/>
        <v>0</v>
      </c>
      <c r="BS16" s="67">
        <f t="shared" si="14"/>
        <v>0</v>
      </c>
      <c r="BT16" s="67">
        <f t="shared" si="14"/>
        <v>0</v>
      </c>
      <c r="BU16" s="67">
        <f t="shared" si="14"/>
        <v>0</v>
      </c>
      <c r="BV16" s="67">
        <f t="shared" si="14"/>
        <v>0</v>
      </c>
      <c r="BW16" s="67">
        <f t="shared" si="14"/>
        <v>0</v>
      </c>
      <c r="BX16" s="67">
        <f t="shared" si="14"/>
        <v>0</v>
      </c>
      <c r="BY16" s="67">
        <f t="shared" si="14"/>
        <v>0</v>
      </c>
      <c r="BZ16" s="67">
        <f t="shared" si="14"/>
        <v>0</v>
      </c>
      <c r="CA16" s="67">
        <f t="shared" si="14"/>
        <v>0</v>
      </c>
      <c r="CB16" s="67">
        <f t="shared" si="14"/>
        <v>0</v>
      </c>
      <c r="CC16" s="67">
        <f t="shared" si="14"/>
        <v>0</v>
      </c>
      <c r="CD16" s="67">
        <f t="shared" si="14"/>
        <v>0</v>
      </c>
      <c r="CE16" s="67">
        <f t="shared" si="14"/>
        <v>0</v>
      </c>
      <c r="CF16" s="67">
        <f t="shared" si="14"/>
        <v>0</v>
      </c>
      <c r="CG16" s="67">
        <f t="shared" si="14"/>
        <v>0</v>
      </c>
      <c r="CH16" s="67">
        <f t="shared" si="14"/>
        <v>0</v>
      </c>
    </row>
    <row r="17" spans="1:86" ht="15" customHeight="1" x14ac:dyDescent="0.25">
      <c r="A17" s="60" t="s">
        <v>278</v>
      </c>
      <c r="B17" s="1"/>
      <c r="C17" s="68">
        <f>C16</f>
        <v>0</v>
      </c>
      <c r="D17" s="68">
        <f t="shared" ref="D17:AI17" si="15">C17+D16</f>
        <v>0</v>
      </c>
      <c r="E17" s="68">
        <f t="shared" si="15"/>
        <v>0</v>
      </c>
      <c r="F17" s="68">
        <f t="shared" si="15"/>
        <v>0</v>
      </c>
      <c r="G17" s="68">
        <f t="shared" si="15"/>
        <v>0</v>
      </c>
      <c r="H17" s="68">
        <f t="shared" si="15"/>
        <v>0</v>
      </c>
      <c r="I17" s="68">
        <f t="shared" si="15"/>
        <v>0</v>
      </c>
      <c r="J17" s="68">
        <f t="shared" si="15"/>
        <v>0</v>
      </c>
      <c r="K17" s="68">
        <f t="shared" si="15"/>
        <v>0</v>
      </c>
      <c r="L17" s="68">
        <f t="shared" si="15"/>
        <v>0</v>
      </c>
      <c r="M17" s="68">
        <f t="shared" si="15"/>
        <v>0</v>
      </c>
      <c r="N17" s="68">
        <f t="shared" si="15"/>
        <v>0</v>
      </c>
      <c r="O17" s="68">
        <f t="shared" si="15"/>
        <v>0</v>
      </c>
      <c r="P17" s="68">
        <f t="shared" si="15"/>
        <v>0</v>
      </c>
      <c r="Q17" s="68">
        <f t="shared" si="15"/>
        <v>0</v>
      </c>
      <c r="R17" s="68">
        <f t="shared" si="15"/>
        <v>0</v>
      </c>
      <c r="S17" s="68">
        <f t="shared" si="15"/>
        <v>0</v>
      </c>
      <c r="T17" s="68">
        <f t="shared" si="15"/>
        <v>0</v>
      </c>
      <c r="U17" s="68">
        <f t="shared" si="15"/>
        <v>0</v>
      </c>
      <c r="V17" s="68">
        <f t="shared" si="15"/>
        <v>0</v>
      </c>
      <c r="W17" s="68">
        <f t="shared" si="15"/>
        <v>0</v>
      </c>
      <c r="X17" s="68">
        <f t="shared" si="15"/>
        <v>0</v>
      </c>
      <c r="Y17" s="68">
        <f t="shared" si="15"/>
        <v>0</v>
      </c>
      <c r="Z17" s="68">
        <f t="shared" si="15"/>
        <v>0</v>
      </c>
      <c r="AA17" s="68">
        <f t="shared" si="15"/>
        <v>0</v>
      </c>
      <c r="AB17" s="68">
        <f t="shared" si="15"/>
        <v>0</v>
      </c>
      <c r="AC17" s="68">
        <f t="shared" si="15"/>
        <v>0</v>
      </c>
      <c r="AD17" s="68">
        <f t="shared" si="15"/>
        <v>0</v>
      </c>
      <c r="AE17" s="68">
        <f t="shared" si="15"/>
        <v>0</v>
      </c>
      <c r="AF17" s="68">
        <f t="shared" si="15"/>
        <v>0</v>
      </c>
      <c r="AG17" s="68">
        <f t="shared" si="15"/>
        <v>0</v>
      </c>
      <c r="AH17" s="68">
        <f t="shared" si="15"/>
        <v>0</v>
      </c>
      <c r="AI17" s="68">
        <f t="shared" si="15"/>
        <v>0</v>
      </c>
      <c r="AJ17" s="68">
        <f t="shared" ref="AJ17:BO17" si="16">AI17+AJ16</f>
        <v>0</v>
      </c>
      <c r="AK17" s="68">
        <f t="shared" si="16"/>
        <v>0</v>
      </c>
      <c r="AL17" s="68">
        <f t="shared" si="16"/>
        <v>0</v>
      </c>
      <c r="AM17" s="68">
        <f t="shared" si="16"/>
        <v>0</v>
      </c>
      <c r="AN17" s="68">
        <f t="shared" si="16"/>
        <v>0</v>
      </c>
      <c r="AO17" s="68">
        <f t="shared" si="16"/>
        <v>0</v>
      </c>
      <c r="AP17" s="68">
        <f t="shared" si="16"/>
        <v>0</v>
      </c>
      <c r="AQ17" s="68">
        <f t="shared" si="16"/>
        <v>0</v>
      </c>
      <c r="AR17" s="68">
        <f t="shared" si="16"/>
        <v>0</v>
      </c>
      <c r="AS17" s="68">
        <f t="shared" si="16"/>
        <v>0</v>
      </c>
      <c r="AT17" s="68">
        <f t="shared" si="16"/>
        <v>0</v>
      </c>
      <c r="AU17" s="68">
        <f t="shared" si="16"/>
        <v>0</v>
      </c>
      <c r="AV17" s="68">
        <f t="shared" si="16"/>
        <v>0</v>
      </c>
      <c r="AW17" s="68">
        <f t="shared" si="16"/>
        <v>0</v>
      </c>
      <c r="AX17" s="68">
        <f t="shared" si="16"/>
        <v>0</v>
      </c>
      <c r="AY17" s="68">
        <f t="shared" si="16"/>
        <v>0</v>
      </c>
      <c r="AZ17" s="68">
        <f t="shared" si="16"/>
        <v>0</v>
      </c>
      <c r="BA17" s="68">
        <f t="shared" si="16"/>
        <v>0</v>
      </c>
      <c r="BB17" s="68">
        <f t="shared" si="16"/>
        <v>0</v>
      </c>
      <c r="BC17" s="68">
        <f t="shared" si="16"/>
        <v>0</v>
      </c>
      <c r="BD17" s="68">
        <f t="shared" si="16"/>
        <v>0</v>
      </c>
      <c r="BE17" s="68">
        <f t="shared" si="16"/>
        <v>0</v>
      </c>
      <c r="BF17" s="68">
        <f t="shared" si="16"/>
        <v>0</v>
      </c>
      <c r="BG17" s="68">
        <f t="shared" si="16"/>
        <v>0</v>
      </c>
      <c r="BH17" s="68">
        <f t="shared" si="16"/>
        <v>0</v>
      </c>
      <c r="BI17" s="68">
        <f t="shared" si="16"/>
        <v>0</v>
      </c>
      <c r="BJ17" s="68">
        <f t="shared" si="16"/>
        <v>0</v>
      </c>
      <c r="BK17" s="68">
        <f t="shared" si="16"/>
        <v>0</v>
      </c>
      <c r="BL17" s="68">
        <f t="shared" si="16"/>
        <v>0</v>
      </c>
      <c r="BM17" s="68">
        <f t="shared" si="16"/>
        <v>0</v>
      </c>
      <c r="BN17" s="68">
        <f t="shared" si="16"/>
        <v>0</v>
      </c>
      <c r="BO17" s="68">
        <f t="shared" si="16"/>
        <v>0</v>
      </c>
      <c r="BP17" s="68">
        <f t="shared" ref="BP17:CU17" si="17">BO17+BP16</f>
        <v>0</v>
      </c>
      <c r="BQ17" s="68">
        <f t="shared" si="17"/>
        <v>0</v>
      </c>
      <c r="BR17" s="68">
        <f t="shared" si="17"/>
        <v>0</v>
      </c>
      <c r="BS17" s="68">
        <f t="shared" si="17"/>
        <v>0</v>
      </c>
      <c r="BT17" s="68">
        <f t="shared" si="17"/>
        <v>0</v>
      </c>
      <c r="BU17" s="68">
        <f t="shared" si="17"/>
        <v>0</v>
      </c>
      <c r="BV17" s="68">
        <f t="shared" si="17"/>
        <v>0</v>
      </c>
      <c r="BW17" s="68">
        <f t="shared" si="17"/>
        <v>0</v>
      </c>
      <c r="BX17" s="68">
        <f t="shared" si="17"/>
        <v>0</v>
      </c>
      <c r="BY17" s="68">
        <f t="shared" si="17"/>
        <v>0</v>
      </c>
      <c r="BZ17" s="68">
        <f t="shared" si="17"/>
        <v>0</v>
      </c>
      <c r="CA17" s="68">
        <f t="shared" si="17"/>
        <v>0</v>
      </c>
      <c r="CB17" s="68">
        <f t="shared" si="17"/>
        <v>0</v>
      </c>
      <c r="CC17" s="68">
        <f t="shared" si="17"/>
        <v>0</v>
      </c>
      <c r="CD17" s="68">
        <f t="shared" si="17"/>
        <v>0</v>
      </c>
      <c r="CE17" s="68">
        <f t="shared" si="17"/>
        <v>0</v>
      </c>
      <c r="CF17" s="68">
        <f t="shared" si="17"/>
        <v>0</v>
      </c>
      <c r="CG17" s="68">
        <f t="shared" si="17"/>
        <v>0</v>
      </c>
      <c r="CH17" s="68">
        <f t="shared" si="17"/>
        <v>0</v>
      </c>
    </row>
    <row r="18" spans="1:86" ht="15" customHeight="1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</row>
    <row r="19" spans="1:86" ht="15" customHeight="1" x14ac:dyDescent="0.25">
      <c r="A19" s="6" t="s">
        <v>117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</row>
    <row r="20" spans="1:86" ht="15" customHeight="1" x14ac:dyDescent="0.25">
      <c r="A20" s="16" t="s">
        <v>276</v>
      </c>
      <c r="B20" s="1"/>
      <c r="C20" s="66">
        <f>Model!C57+Model!C58+Model!C59</f>
        <v>0</v>
      </c>
      <c r="D20" s="66">
        <f>Model!D57+Model!D58+Model!D59</f>
        <v>0</v>
      </c>
      <c r="E20" s="66">
        <f>Model!E57+Model!E58+Model!E59</f>
        <v>0</v>
      </c>
      <c r="F20" s="66">
        <f>Model!F57+Model!F58+Model!F59</f>
        <v>0</v>
      </c>
      <c r="G20" s="66">
        <f>Model!G57+Model!G58+Model!G59</f>
        <v>0</v>
      </c>
      <c r="H20" s="66">
        <f>Model!H57+Model!H58+Model!H59</f>
        <v>0</v>
      </c>
      <c r="I20" s="66">
        <f>Model!I57+Model!I58+Model!I59</f>
        <v>0</v>
      </c>
      <c r="J20" s="66">
        <f>Model!J57+Model!J58+Model!J59</f>
        <v>0</v>
      </c>
      <c r="K20" s="66">
        <f>Model!K57+Model!K58+Model!K59</f>
        <v>0</v>
      </c>
      <c r="L20" s="66">
        <f>Model!L57+Model!L58+Model!L59</f>
        <v>0</v>
      </c>
      <c r="M20" s="66">
        <f>Model!M57+Model!M58+Model!M59</f>
        <v>0</v>
      </c>
      <c r="N20" s="66">
        <f>Model!N57+Model!N58+Model!N59</f>
        <v>0</v>
      </c>
      <c r="O20" s="66">
        <f>Model!O57+Model!O58+Model!O59</f>
        <v>0</v>
      </c>
      <c r="P20" s="66">
        <f>Model!P57+Model!P58+Model!P59</f>
        <v>0</v>
      </c>
      <c r="Q20" s="66">
        <f>Model!Q57+Model!Q58+Model!Q59</f>
        <v>0</v>
      </c>
      <c r="R20" s="66">
        <f>Model!R57+Model!R58+Model!R59</f>
        <v>0</v>
      </c>
      <c r="S20" s="66">
        <f>Model!S57+Model!S58+Model!S59</f>
        <v>0</v>
      </c>
      <c r="T20" s="66">
        <f>Model!T57+Model!T58+Model!T59</f>
        <v>0</v>
      </c>
      <c r="U20" s="66">
        <f>Model!U57+Model!U58+Model!U59</f>
        <v>0</v>
      </c>
      <c r="V20" s="66">
        <f>Model!V57+Model!V58+Model!V59</f>
        <v>0</v>
      </c>
      <c r="W20" s="66">
        <f>Model!W57+Model!W58+Model!W59</f>
        <v>0</v>
      </c>
      <c r="X20" s="66">
        <f>Model!X57+Model!X58+Model!X59</f>
        <v>0</v>
      </c>
      <c r="Y20" s="66">
        <f>Model!Y57+Model!Y58+Model!Y59</f>
        <v>0</v>
      </c>
      <c r="Z20" s="66">
        <f>Model!Z57+Model!Z58+Model!Z59</f>
        <v>0</v>
      </c>
      <c r="AA20" s="66">
        <f>Model!AA57+Model!AA58+Model!AA59</f>
        <v>0</v>
      </c>
      <c r="AB20" s="66">
        <f>Model!AB57+Model!AB58+Model!AB59</f>
        <v>0</v>
      </c>
      <c r="AC20" s="66">
        <f>Model!AC57+Model!AC58+Model!AC59</f>
        <v>0</v>
      </c>
      <c r="AD20" s="66">
        <f>Model!AD57+Model!AD58+Model!AD59</f>
        <v>0</v>
      </c>
      <c r="AE20" s="66">
        <f>Model!AE57+Model!AE58+Model!AE59</f>
        <v>0</v>
      </c>
      <c r="AF20" s="66">
        <f>Model!AF57+Model!AF58+Model!AF59</f>
        <v>0</v>
      </c>
      <c r="AG20" s="66">
        <f>Model!AG57+Model!AG58+Model!AG59</f>
        <v>0</v>
      </c>
      <c r="AH20" s="66">
        <f>Model!AH57+Model!AH58+Model!AH59</f>
        <v>0</v>
      </c>
      <c r="AI20" s="66">
        <f>Model!AI57+Model!AI58+Model!AI59</f>
        <v>0</v>
      </c>
      <c r="AJ20" s="66">
        <f>Model!AJ57+Model!AJ58+Model!AJ59</f>
        <v>0</v>
      </c>
      <c r="AK20" s="66">
        <f>Model!AK57+Model!AK58+Model!AK59</f>
        <v>0</v>
      </c>
      <c r="AL20" s="66">
        <f>Model!AL57+Model!AL58+Model!AL59</f>
        <v>0</v>
      </c>
      <c r="AM20" s="66">
        <f>Model!AM57+Model!AM58+Model!AM59</f>
        <v>0</v>
      </c>
      <c r="AN20" s="66">
        <f>Model!AN57+Model!AN58+Model!AN59</f>
        <v>0</v>
      </c>
      <c r="AO20" s="66">
        <f>Model!AO57+Model!AO58+Model!AO59</f>
        <v>0</v>
      </c>
      <c r="AP20" s="66">
        <f>Model!AP57+Model!AP58+Model!AP59</f>
        <v>0</v>
      </c>
      <c r="AQ20" s="66">
        <f>Model!AQ57+Model!AQ58+Model!AQ59</f>
        <v>0</v>
      </c>
      <c r="AR20" s="66">
        <f>Model!AR57+Model!AR58+Model!AR59</f>
        <v>0</v>
      </c>
      <c r="AS20" s="66">
        <f>Model!AS57+Model!AS58+Model!AS59</f>
        <v>0</v>
      </c>
      <c r="AT20" s="66">
        <f>Model!AT57+Model!AT58+Model!AT59</f>
        <v>0</v>
      </c>
      <c r="AU20" s="66">
        <f>Model!AU57+Model!AU58+Model!AU59</f>
        <v>0</v>
      </c>
      <c r="AV20" s="66">
        <f>Model!AV57+Model!AV58+Model!AV59</f>
        <v>0</v>
      </c>
      <c r="AW20" s="66">
        <f>Model!AW57+Model!AW58+Model!AW59</f>
        <v>0</v>
      </c>
      <c r="AX20" s="66">
        <f>Model!AX57+Model!AX58+Model!AX59</f>
        <v>0</v>
      </c>
      <c r="AY20" s="66">
        <f>Model!AY57+Model!AY58+Model!AY59</f>
        <v>0</v>
      </c>
      <c r="AZ20" s="66">
        <f>Model!AZ57+Model!AZ58+Model!AZ59</f>
        <v>0</v>
      </c>
      <c r="BA20" s="66">
        <f>Model!BA57+Model!BA58+Model!BA59</f>
        <v>0</v>
      </c>
      <c r="BB20" s="66">
        <f>Model!BB57+Model!BB58+Model!BB59</f>
        <v>0</v>
      </c>
      <c r="BC20" s="66">
        <f>Model!BC57+Model!BC58+Model!BC59</f>
        <v>0</v>
      </c>
      <c r="BD20" s="66">
        <f>Model!BD57+Model!BD58+Model!BD59</f>
        <v>0</v>
      </c>
      <c r="BE20" s="66">
        <f>Model!BE57+Model!BE58+Model!BE59</f>
        <v>0</v>
      </c>
      <c r="BF20" s="66">
        <f>Model!BF57+Model!BF58+Model!BF59</f>
        <v>0</v>
      </c>
      <c r="BG20" s="66">
        <f>Model!BG57+Model!BG58+Model!BG59</f>
        <v>0</v>
      </c>
      <c r="BH20" s="66">
        <f>Model!BH57+Model!BH58+Model!BH59</f>
        <v>0</v>
      </c>
      <c r="BI20" s="66">
        <f>Model!BI57+Model!BI58+Model!BI59</f>
        <v>0</v>
      </c>
      <c r="BJ20" s="66">
        <f>Model!BJ57+Model!BJ58+Model!BJ59</f>
        <v>0</v>
      </c>
      <c r="BK20" s="66">
        <f>Model!BK57+Model!BK58+Model!BK59</f>
        <v>0</v>
      </c>
      <c r="BL20" s="66">
        <f>Model!BL57+Model!BL58+Model!BL59</f>
        <v>0</v>
      </c>
      <c r="BM20" s="66">
        <f>Model!BM57+Model!BM58+Model!BM59</f>
        <v>0</v>
      </c>
      <c r="BN20" s="66">
        <f>Model!BN57+Model!BN58+Model!BN59</f>
        <v>0</v>
      </c>
      <c r="BO20" s="66">
        <f>Model!BO57+Model!BO58+Model!BO59</f>
        <v>0</v>
      </c>
      <c r="BP20" s="66">
        <f>Model!BP57+Model!BP58+Model!BP59</f>
        <v>0</v>
      </c>
      <c r="BQ20" s="66">
        <f>Model!BQ57+Model!BQ58+Model!BQ59</f>
        <v>0</v>
      </c>
      <c r="BR20" s="66">
        <f>Model!BR57+Model!BR58+Model!BR59</f>
        <v>0</v>
      </c>
      <c r="BS20" s="66">
        <f>Model!BS57+Model!BS58+Model!BS59</f>
        <v>0</v>
      </c>
      <c r="BT20" s="66">
        <f>Model!BT57+Model!BT58+Model!BT59</f>
        <v>0</v>
      </c>
      <c r="BU20" s="66">
        <f>Model!BU57+Model!BU58+Model!BU59</f>
        <v>0</v>
      </c>
      <c r="BV20" s="66">
        <f>Model!BV57+Model!BV58+Model!BV59</f>
        <v>0</v>
      </c>
      <c r="BW20" s="66">
        <f>Model!BW57+Model!BW58+Model!BW59</f>
        <v>0</v>
      </c>
      <c r="BX20" s="66">
        <f>Model!BX57+Model!BX58+Model!BX59</f>
        <v>0</v>
      </c>
      <c r="BY20" s="66">
        <f>Model!BY57+Model!BY58+Model!BY59</f>
        <v>0</v>
      </c>
      <c r="BZ20" s="66">
        <f>Model!BZ57+Model!BZ58+Model!BZ59</f>
        <v>0</v>
      </c>
      <c r="CA20" s="66">
        <f>Model!CA57+Model!CA58+Model!CA59</f>
        <v>0</v>
      </c>
      <c r="CB20" s="66">
        <f>Model!CB57+Model!CB58+Model!CB59</f>
        <v>0</v>
      </c>
      <c r="CC20" s="66">
        <f>Model!CC57+Model!CC58+Model!CC59</f>
        <v>0</v>
      </c>
      <c r="CD20" s="66">
        <f>Model!CD57+Model!CD58+Model!CD59</f>
        <v>0</v>
      </c>
      <c r="CE20" s="66">
        <f>Model!CE57+Model!CE58+Model!CE59</f>
        <v>0</v>
      </c>
      <c r="CF20" s="66">
        <f>Model!CF57+Model!CF58+Model!CF59</f>
        <v>0</v>
      </c>
      <c r="CG20" s="66">
        <f>Model!CG57+Model!CG58+Model!CG59</f>
        <v>0</v>
      </c>
      <c r="CH20" s="66">
        <f>Model!CH57+Model!CH58+Model!CH59</f>
        <v>0</v>
      </c>
    </row>
    <row r="21" spans="1:86" ht="15" customHeight="1" x14ac:dyDescent="0.25">
      <c r="A21" s="69" t="s">
        <v>280</v>
      </c>
      <c r="B21" s="1"/>
      <c r="C21" s="70">
        <v>0</v>
      </c>
      <c r="D21" s="70">
        <v>0</v>
      </c>
      <c r="E21" s="70">
        <v>0</v>
      </c>
      <c r="F21" s="70">
        <v>0</v>
      </c>
      <c r="G21" s="70">
        <v>0</v>
      </c>
      <c r="H21" s="70">
        <f>IF(Projects!$G$12="Yes",-135452,0)</f>
        <v>0</v>
      </c>
      <c r="I21" s="70">
        <v>0</v>
      </c>
      <c r="J21" s="70">
        <v>0</v>
      </c>
      <c r="K21" s="70">
        <v>0</v>
      </c>
      <c r="L21" s="70">
        <v>0</v>
      </c>
      <c r="M21" s="70">
        <v>0</v>
      </c>
      <c r="N21" s="70">
        <v>0</v>
      </c>
      <c r="O21" s="70">
        <v>0</v>
      </c>
      <c r="P21" s="70">
        <v>0</v>
      </c>
      <c r="Q21" s="70">
        <v>0</v>
      </c>
      <c r="R21" s="70">
        <v>0</v>
      </c>
      <c r="S21" s="70">
        <v>0</v>
      </c>
      <c r="T21" s="70">
        <v>0</v>
      </c>
      <c r="U21" s="70">
        <v>0</v>
      </c>
      <c r="V21" s="70">
        <v>0</v>
      </c>
      <c r="W21" s="70">
        <v>0</v>
      </c>
      <c r="X21" s="70">
        <v>0</v>
      </c>
      <c r="Y21" s="70">
        <v>0</v>
      </c>
      <c r="Z21" s="70">
        <v>0</v>
      </c>
      <c r="AA21" s="70">
        <v>0</v>
      </c>
      <c r="AB21" s="70">
        <v>0</v>
      </c>
      <c r="AC21" s="70">
        <v>0</v>
      </c>
      <c r="AD21" s="70">
        <v>0</v>
      </c>
      <c r="AE21" s="70">
        <v>0</v>
      </c>
      <c r="AF21" s="70">
        <v>0</v>
      </c>
      <c r="AG21" s="70">
        <v>0</v>
      </c>
      <c r="AH21" s="70">
        <v>0</v>
      </c>
      <c r="AI21" s="70">
        <v>0</v>
      </c>
      <c r="AJ21" s="70">
        <v>0</v>
      </c>
      <c r="AK21" s="70">
        <v>0</v>
      </c>
      <c r="AL21" s="70">
        <v>0</v>
      </c>
      <c r="AM21" s="70">
        <v>0</v>
      </c>
      <c r="AN21" s="70">
        <v>0</v>
      </c>
      <c r="AO21" s="70">
        <v>0</v>
      </c>
      <c r="AP21" s="70">
        <v>0</v>
      </c>
      <c r="AQ21" s="70">
        <v>0</v>
      </c>
      <c r="AR21" s="70">
        <v>0</v>
      </c>
      <c r="AS21" s="70">
        <v>0</v>
      </c>
      <c r="AT21" s="70">
        <v>0</v>
      </c>
      <c r="AU21" s="70">
        <v>0</v>
      </c>
      <c r="AV21" s="70">
        <v>0</v>
      </c>
      <c r="AW21" s="70">
        <v>0</v>
      </c>
      <c r="AX21" s="70">
        <v>0</v>
      </c>
      <c r="AY21" s="70">
        <v>0</v>
      </c>
      <c r="AZ21" s="70">
        <v>0</v>
      </c>
      <c r="BA21" s="70">
        <v>0</v>
      </c>
      <c r="BB21" s="70">
        <v>0</v>
      </c>
      <c r="BC21" s="70">
        <v>0</v>
      </c>
      <c r="BD21" s="70">
        <v>0</v>
      </c>
      <c r="BE21" s="70">
        <v>0</v>
      </c>
      <c r="BF21" s="70">
        <v>0</v>
      </c>
      <c r="BG21" s="70">
        <v>0</v>
      </c>
      <c r="BH21" s="70">
        <v>0</v>
      </c>
      <c r="BI21" s="70">
        <v>0</v>
      </c>
      <c r="BJ21" s="70">
        <v>0</v>
      </c>
      <c r="BK21" s="70">
        <v>0</v>
      </c>
      <c r="BL21" s="70">
        <v>0</v>
      </c>
      <c r="BM21" s="70">
        <v>0</v>
      </c>
      <c r="BN21" s="70">
        <v>0</v>
      </c>
      <c r="BO21" s="70">
        <v>0</v>
      </c>
      <c r="BP21" s="70">
        <v>0</v>
      </c>
      <c r="BQ21" s="70">
        <v>0</v>
      </c>
      <c r="BR21" s="70">
        <v>0</v>
      </c>
      <c r="BS21" s="70">
        <v>0</v>
      </c>
      <c r="BT21" s="70">
        <v>0</v>
      </c>
      <c r="BU21" s="70">
        <v>0</v>
      </c>
      <c r="BV21" s="70">
        <v>0</v>
      </c>
      <c r="BW21" s="70">
        <v>0</v>
      </c>
      <c r="BX21" s="70">
        <v>0</v>
      </c>
      <c r="BY21" s="70">
        <v>0</v>
      </c>
      <c r="BZ21" s="70">
        <v>0</v>
      </c>
      <c r="CA21" s="70">
        <v>0</v>
      </c>
      <c r="CB21" s="70">
        <v>0</v>
      </c>
      <c r="CC21" s="70">
        <v>0</v>
      </c>
      <c r="CD21" s="70">
        <v>0</v>
      </c>
      <c r="CE21" s="70">
        <v>0</v>
      </c>
      <c r="CF21" s="70">
        <v>0</v>
      </c>
      <c r="CG21" s="70">
        <v>0</v>
      </c>
      <c r="CH21" s="70">
        <v>0</v>
      </c>
    </row>
    <row r="22" spans="1:86" ht="15" customHeight="1" x14ac:dyDescent="0.25">
      <c r="A22" s="28" t="s">
        <v>277</v>
      </c>
      <c r="B22" s="28"/>
      <c r="C22" s="67">
        <f t="shared" ref="C22:AH22" si="18">C20+C21</f>
        <v>0</v>
      </c>
      <c r="D22" s="67">
        <f t="shared" si="18"/>
        <v>0</v>
      </c>
      <c r="E22" s="67">
        <f t="shared" si="18"/>
        <v>0</v>
      </c>
      <c r="F22" s="67">
        <f t="shared" si="18"/>
        <v>0</v>
      </c>
      <c r="G22" s="67">
        <f t="shared" si="18"/>
        <v>0</v>
      </c>
      <c r="H22" s="67">
        <f t="shared" si="18"/>
        <v>0</v>
      </c>
      <c r="I22" s="67">
        <f t="shared" si="18"/>
        <v>0</v>
      </c>
      <c r="J22" s="67">
        <f t="shared" si="18"/>
        <v>0</v>
      </c>
      <c r="K22" s="67">
        <f t="shared" si="18"/>
        <v>0</v>
      </c>
      <c r="L22" s="67">
        <f t="shared" si="18"/>
        <v>0</v>
      </c>
      <c r="M22" s="67">
        <f t="shared" si="18"/>
        <v>0</v>
      </c>
      <c r="N22" s="67">
        <f t="shared" si="18"/>
        <v>0</v>
      </c>
      <c r="O22" s="67">
        <f t="shared" si="18"/>
        <v>0</v>
      </c>
      <c r="P22" s="67">
        <f t="shared" si="18"/>
        <v>0</v>
      </c>
      <c r="Q22" s="67">
        <f t="shared" si="18"/>
        <v>0</v>
      </c>
      <c r="R22" s="67">
        <f t="shared" si="18"/>
        <v>0</v>
      </c>
      <c r="S22" s="67">
        <f t="shared" si="18"/>
        <v>0</v>
      </c>
      <c r="T22" s="67">
        <f t="shared" si="18"/>
        <v>0</v>
      </c>
      <c r="U22" s="67">
        <f t="shared" si="18"/>
        <v>0</v>
      </c>
      <c r="V22" s="67">
        <f t="shared" si="18"/>
        <v>0</v>
      </c>
      <c r="W22" s="67">
        <f t="shared" si="18"/>
        <v>0</v>
      </c>
      <c r="X22" s="67">
        <f t="shared" si="18"/>
        <v>0</v>
      </c>
      <c r="Y22" s="67">
        <f t="shared" si="18"/>
        <v>0</v>
      </c>
      <c r="Z22" s="67">
        <f t="shared" si="18"/>
        <v>0</v>
      </c>
      <c r="AA22" s="67">
        <f t="shared" si="18"/>
        <v>0</v>
      </c>
      <c r="AB22" s="67">
        <f t="shared" si="18"/>
        <v>0</v>
      </c>
      <c r="AC22" s="67">
        <f t="shared" si="18"/>
        <v>0</v>
      </c>
      <c r="AD22" s="67">
        <f t="shared" si="18"/>
        <v>0</v>
      </c>
      <c r="AE22" s="67">
        <f t="shared" si="18"/>
        <v>0</v>
      </c>
      <c r="AF22" s="67">
        <f t="shared" si="18"/>
        <v>0</v>
      </c>
      <c r="AG22" s="67">
        <f t="shared" si="18"/>
        <v>0</v>
      </c>
      <c r="AH22" s="67">
        <f t="shared" si="18"/>
        <v>0</v>
      </c>
      <c r="AI22" s="67">
        <f t="shared" ref="AI22:BN22" si="19">AI20+AI21</f>
        <v>0</v>
      </c>
      <c r="AJ22" s="67">
        <f t="shared" si="19"/>
        <v>0</v>
      </c>
      <c r="AK22" s="67">
        <f t="shared" si="19"/>
        <v>0</v>
      </c>
      <c r="AL22" s="67">
        <f t="shared" si="19"/>
        <v>0</v>
      </c>
      <c r="AM22" s="67">
        <f t="shared" si="19"/>
        <v>0</v>
      </c>
      <c r="AN22" s="67">
        <f t="shared" si="19"/>
        <v>0</v>
      </c>
      <c r="AO22" s="67">
        <f t="shared" si="19"/>
        <v>0</v>
      </c>
      <c r="AP22" s="67">
        <f t="shared" si="19"/>
        <v>0</v>
      </c>
      <c r="AQ22" s="67">
        <f t="shared" si="19"/>
        <v>0</v>
      </c>
      <c r="AR22" s="67">
        <f t="shared" si="19"/>
        <v>0</v>
      </c>
      <c r="AS22" s="67">
        <f t="shared" si="19"/>
        <v>0</v>
      </c>
      <c r="AT22" s="67">
        <f t="shared" si="19"/>
        <v>0</v>
      </c>
      <c r="AU22" s="67">
        <f t="shared" si="19"/>
        <v>0</v>
      </c>
      <c r="AV22" s="67">
        <f t="shared" si="19"/>
        <v>0</v>
      </c>
      <c r="AW22" s="67">
        <f t="shared" si="19"/>
        <v>0</v>
      </c>
      <c r="AX22" s="67">
        <f t="shared" si="19"/>
        <v>0</v>
      </c>
      <c r="AY22" s="67">
        <f t="shared" si="19"/>
        <v>0</v>
      </c>
      <c r="AZ22" s="67">
        <f t="shared" si="19"/>
        <v>0</v>
      </c>
      <c r="BA22" s="67">
        <f t="shared" si="19"/>
        <v>0</v>
      </c>
      <c r="BB22" s="67">
        <f t="shared" si="19"/>
        <v>0</v>
      </c>
      <c r="BC22" s="67">
        <f t="shared" si="19"/>
        <v>0</v>
      </c>
      <c r="BD22" s="67">
        <f t="shared" si="19"/>
        <v>0</v>
      </c>
      <c r="BE22" s="67">
        <f t="shared" si="19"/>
        <v>0</v>
      </c>
      <c r="BF22" s="67">
        <f t="shared" si="19"/>
        <v>0</v>
      </c>
      <c r="BG22" s="67">
        <f t="shared" si="19"/>
        <v>0</v>
      </c>
      <c r="BH22" s="67">
        <f t="shared" si="19"/>
        <v>0</v>
      </c>
      <c r="BI22" s="67">
        <f t="shared" si="19"/>
        <v>0</v>
      </c>
      <c r="BJ22" s="67">
        <f t="shared" si="19"/>
        <v>0</v>
      </c>
      <c r="BK22" s="67">
        <f t="shared" si="19"/>
        <v>0</v>
      </c>
      <c r="BL22" s="67">
        <f t="shared" si="19"/>
        <v>0</v>
      </c>
      <c r="BM22" s="67">
        <f t="shared" si="19"/>
        <v>0</v>
      </c>
      <c r="BN22" s="67">
        <f t="shared" si="19"/>
        <v>0</v>
      </c>
      <c r="BO22" s="67">
        <f t="shared" ref="BO22:CT22" si="20">BO20+BO21</f>
        <v>0</v>
      </c>
      <c r="BP22" s="67">
        <f t="shared" si="20"/>
        <v>0</v>
      </c>
      <c r="BQ22" s="67">
        <f t="shared" si="20"/>
        <v>0</v>
      </c>
      <c r="BR22" s="67">
        <f t="shared" si="20"/>
        <v>0</v>
      </c>
      <c r="BS22" s="67">
        <f t="shared" si="20"/>
        <v>0</v>
      </c>
      <c r="BT22" s="67">
        <f t="shared" si="20"/>
        <v>0</v>
      </c>
      <c r="BU22" s="67">
        <f t="shared" si="20"/>
        <v>0</v>
      </c>
      <c r="BV22" s="67">
        <f t="shared" si="20"/>
        <v>0</v>
      </c>
      <c r="BW22" s="67">
        <f t="shared" si="20"/>
        <v>0</v>
      </c>
      <c r="BX22" s="67">
        <f t="shared" si="20"/>
        <v>0</v>
      </c>
      <c r="BY22" s="67">
        <f t="shared" si="20"/>
        <v>0</v>
      </c>
      <c r="BZ22" s="67">
        <f t="shared" si="20"/>
        <v>0</v>
      </c>
      <c r="CA22" s="67">
        <f t="shared" si="20"/>
        <v>0</v>
      </c>
      <c r="CB22" s="67">
        <f t="shared" si="20"/>
        <v>0</v>
      </c>
      <c r="CC22" s="67">
        <f t="shared" si="20"/>
        <v>0</v>
      </c>
      <c r="CD22" s="67">
        <f t="shared" si="20"/>
        <v>0</v>
      </c>
      <c r="CE22" s="67">
        <f t="shared" si="20"/>
        <v>0</v>
      </c>
      <c r="CF22" s="67">
        <f t="shared" si="20"/>
        <v>0</v>
      </c>
      <c r="CG22" s="67">
        <f t="shared" si="20"/>
        <v>0</v>
      </c>
      <c r="CH22" s="67">
        <f t="shared" si="20"/>
        <v>0</v>
      </c>
    </row>
    <row r="23" spans="1:86" ht="15" customHeight="1" x14ac:dyDescent="0.25">
      <c r="A23" s="60" t="s">
        <v>278</v>
      </c>
      <c r="B23" s="1"/>
      <c r="C23" s="68">
        <f>C22</f>
        <v>0</v>
      </c>
      <c r="D23" s="68">
        <f t="shared" ref="D23:AI23" si="21">C23+D22</f>
        <v>0</v>
      </c>
      <c r="E23" s="68">
        <f t="shared" si="21"/>
        <v>0</v>
      </c>
      <c r="F23" s="68">
        <f t="shared" si="21"/>
        <v>0</v>
      </c>
      <c r="G23" s="68">
        <f t="shared" si="21"/>
        <v>0</v>
      </c>
      <c r="H23" s="68">
        <f t="shared" si="21"/>
        <v>0</v>
      </c>
      <c r="I23" s="68">
        <f t="shared" si="21"/>
        <v>0</v>
      </c>
      <c r="J23" s="68">
        <f t="shared" si="21"/>
        <v>0</v>
      </c>
      <c r="K23" s="68">
        <f t="shared" si="21"/>
        <v>0</v>
      </c>
      <c r="L23" s="68">
        <f t="shared" si="21"/>
        <v>0</v>
      </c>
      <c r="M23" s="68">
        <f t="shared" si="21"/>
        <v>0</v>
      </c>
      <c r="N23" s="68">
        <f t="shared" si="21"/>
        <v>0</v>
      </c>
      <c r="O23" s="68">
        <f t="shared" si="21"/>
        <v>0</v>
      </c>
      <c r="P23" s="68">
        <f t="shared" si="21"/>
        <v>0</v>
      </c>
      <c r="Q23" s="68">
        <f t="shared" si="21"/>
        <v>0</v>
      </c>
      <c r="R23" s="68">
        <f t="shared" si="21"/>
        <v>0</v>
      </c>
      <c r="S23" s="68">
        <f t="shared" si="21"/>
        <v>0</v>
      </c>
      <c r="T23" s="68">
        <f t="shared" si="21"/>
        <v>0</v>
      </c>
      <c r="U23" s="68">
        <f t="shared" si="21"/>
        <v>0</v>
      </c>
      <c r="V23" s="68">
        <f t="shared" si="21"/>
        <v>0</v>
      </c>
      <c r="W23" s="68">
        <f t="shared" si="21"/>
        <v>0</v>
      </c>
      <c r="X23" s="68">
        <f t="shared" si="21"/>
        <v>0</v>
      </c>
      <c r="Y23" s="68">
        <f t="shared" si="21"/>
        <v>0</v>
      </c>
      <c r="Z23" s="68">
        <f t="shared" si="21"/>
        <v>0</v>
      </c>
      <c r="AA23" s="68">
        <f t="shared" si="21"/>
        <v>0</v>
      </c>
      <c r="AB23" s="68">
        <f t="shared" si="21"/>
        <v>0</v>
      </c>
      <c r="AC23" s="68">
        <f t="shared" si="21"/>
        <v>0</v>
      </c>
      <c r="AD23" s="68">
        <f t="shared" si="21"/>
        <v>0</v>
      </c>
      <c r="AE23" s="68">
        <f t="shared" si="21"/>
        <v>0</v>
      </c>
      <c r="AF23" s="68">
        <f t="shared" si="21"/>
        <v>0</v>
      </c>
      <c r="AG23" s="68">
        <f t="shared" si="21"/>
        <v>0</v>
      </c>
      <c r="AH23" s="68">
        <f t="shared" si="21"/>
        <v>0</v>
      </c>
      <c r="AI23" s="68">
        <f t="shared" si="21"/>
        <v>0</v>
      </c>
      <c r="AJ23" s="68">
        <f t="shared" ref="AJ23:BO23" si="22">AI23+AJ22</f>
        <v>0</v>
      </c>
      <c r="AK23" s="68">
        <f t="shared" si="22"/>
        <v>0</v>
      </c>
      <c r="AL23" s="68">
        <f t="shared" si="22"/>
        <v>0</v>
      </c>
      <c r="AM23" s="68">
        <f t="shared" si="22"/>
        <v>0</v>
      </c>
      <c r="AN23" s="68">
        <f t="shared" si="22"/>
        <v>0</v>
      </c>
      <c r="AO23" s="68">
        <f t="shared" si="22"/>
        <v>0</v>
      </c>
      <c r="AP23" s="68">
        <f t="shared" si="22"/>
        <v>0</v>
      </c>
      <c r="AQ23" s="68">
        <f t="shared" si="22"/>
        <v>0</v>
      </c>
      <c r="AR23" s="68">
        <f t="shared" si="22"/>
        <v>0</v>
      </c>
      <c r="AS23" s="68">
        <f t="shared" si="22"/>
        <v>0</v>
      </c>
      <c r="AT23" s="68">
        <f t="shared" si="22"/>
        <v>0</v>
      </c>
      <c r="AU23" s="68">
        <f t="shared" si="22"/>
        <v>0</v>
      </c>
      <c r="AV23" s="68">
        <f t="shared" si="22"/>
        <v>0</v>
      </c>
      <c r="AW23" s="68">
        <f t="shared" si="22"/>
        <v>0</v>
      </c>
      <c r="AX23" s="68">
        <f t="shared" si="22"/>
        <v>0</v>
      </c>
      <c r="AY23" s="68">
        <f t="shared" si="22"/>
        <v>0</v>
      </c>
      <c r="AZ23" s="68">
        <f t="shared" si="22"/>
        <v>0</v>
      </c>
      <c r="BA23" s="68">
        <f t="shared" si="22"/>
        <v>0</v>
      </c>
      <c r="BB23" s="68">
        <f t="shared" si="22"/>
        <v>0</v>
      </c>
      <c r="BC23" s="68">
        <f t="shared" si="22"/>
        <v>0</v>
      </c>
      <c r="BD23" s="68">
        <f t="shared" si="22"/>
        <v>0</v>
      </c>
      <c r="BE23" s="68">
        <f t="shared" si="22"/>
        <v>0</v>
      </c>
      <c r="BF23" s="68">
        <f t="shared" si="22"/>
        <v>0</v>
      </c>
      <c r="BG23" s="68">
        <f t="shared" si="22"/>
        <v>0</v>
      </c>
      <c r="BH23" s="68">
        <f t="shared" si="22"/>
        <v>0</v>
      </c>
      <c r="BI23" s="68">
        <f t="shared" si="22"/>
        <v>0</v>
      </c>
      <c r="BJ23" s="68">
        <f t="shared" si="22"/>
        <v>0</v>
      </c>
      <c r="BK23" s="68">
        <f t="shared" si="22"/>
        <v>0</v>
      </c>
      <c r="BL23" s="68">
        <f t="shared" si="22"/>
        <v>0</v>
      </c>
      <c r="BM23" s="68">
        <f t="shared" si="22"/>
        <v>0</v>
      </c>
      <c r="BN23" s="68">
        <f t="shared" si="22"/>
        <v>0</v>
      </c>
      <c r="BO23" s="68">
        <f t="shared" si="22"/>
        <v>0</v>
      </c>
      <c r="BP23" s="68">
        <f t="shared" ref="BP23:CU23" si="23">BO23+BP22</f>
        <v>0</v>
      </c>
      <c r="BQ23" s="68">
        <f t="shared" si="23"/>
        <v>0</v>
      </c>
      <c r="BR23" s="68">
        <f t="shared" si="23"/>
        <v>0</v>
      </c>
      <c r="BS23" s="68">
        <f t="shared" si="23"/>
        <v>0</v>
      </c>
      <c r="BT23" s="68">
        <f t="shared" si="23"/>
        <v>0</v>
      </c>
      <c r="BU23" s="68">
        <f t="shared" si="23"/>
        <v>0</v>
      </c>
      <c r="BV23" s="68">
        <f t="shared" si="23"/>
        <v>0</v>
      </c>
      <c r="BW23" s="68">
        <f t="shared" si="23"/>
        <v>0</v>
      </c>
      <c r="BX23" s="68">
        <f t="shared" si="23"/>
        <v>0</v>
      </c>
      <c r="BY23" s="68">
        <f t="shared" si="23"/>
        <v>0</v>
      </c>
      <c r="BZ23" s="68">
        <f t="shared" si="23"/>
        <v>0</v>
      </c>
      <c r="CA23" s="68">
        <f t="shared" si="23"/>
        <v>0</v>
      </c>
      <c r="CB23" s="68">
        <f t="shared" si="23"/>
        <v>0</v>
      </c>
      <c r="CC23" s="68">
        <f t="shared" si="23"/>
        <v>0</v>
      </c>
      <c r="CD23" s="68">
        <f t="shared" si="23"/>
        <v>0</v>
      </c>
      <c r="CE23" s="68">
        <f t="shared" si="23"/>
        <v>0</v>
      </c>
      <c r="CF23" s="68">
        <f t="shared" si="23"/>
        <v>0</v>
      </c>
      <c r="CG23" s="68">
        <f t="shared" si="23"/>
        <v>0</v>
      </c>
      <c r="CH23" s="68">
        <f t="shared" si="23"/>
        <v>0</v>
      </c>
    </row>
    <row r="24" spans="1:86" ht="15" customHeight="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</row>
    <row r="25" spans="1:86" ht="15" customHeight="1" x14ac:dyDescent="0.25">
      <c r="A25" s="6" t="s">
        <v>115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</row>
    <row r="26" spans="1:86" ht="15" customHeight="1" x14ac:dyDescent="0.25">
      <c r="A26" s="16" t="s">
        <v>276</v>
      </c>
      <c r="B26" s="1"/>
      <c r="C26" s="66">
        <f>Model!C60</f>
        <v>0</v>
      </c>
      <c r="D26" s="66">
        <f>Model!D60</f>
        <v>0</v>
      </c>
      <c r="E26" s="66">
        <f>Model!E60</f>
        <v>0</v>
      </c>
      <c r="F26" s="66">
        <f>Model!F60</f>
        <v>0</v>
      </c>
      <c r="G26" s="66">
        <f>Model!G60</f>
        <v>0</v>
      </c>
      <c r="H26" s="66">
        <f>Model!H60</f>
        <v>0</v>
      </c>
      <c r="I26" s="66">
        <f>Model!I60</f>
        <v>0</v>
      </c>
      <c r="J26" s="66">
        <f>Model!J60</f>
        <v>0</v>
      </c>
      <c r="K26" s="66">
        <f>Model!K60</f>
        <v>0</v>
      </c>
      <c r="L26" s="66">
        <f>Model!L60</f>
        <v>0</v>
      </c>
      <c r="M26" s="66">
        <f>Model!M60</f>
        <v>0</v>
      </c>
      <c r="N26" s="66">
        <f>Model!N60</f>
        <v>0</v>
      </c>
      <c r="O26" s="66">
        <f>Model!O60</f>
        <v>0</v>
      </c>
      <c r="P26" s="66">
        <f>Model!P60</f>
        <v>0</v>
      </c>
      <c r="Q26" s="66">
        <f>Model!Q60</f>
        <v>0</v>
      </c>
      <c r="R26" s="66">
        <f>Model!R60</f>
        <v>0</v>
      </c>
      <c r="S26" s="66">
        <f>Model!S60</f>
        <v>0</v>
      </c>
      <c r="T26" s="66">
        <f>Model!T60</f>
        <v>0</v>
      </c>
      <c r="U26" s="66">
        <f>Model!U60</f>
        <v>0</v>
      </c>
      <c r="V26" s="66">
        <f>Model!V60</f>
        <v>0</v>
      </c>
      <c r="W26" s="66">
        <f>Model!W60</f>
        <v>0</v>
      </c>
      <c r="X26" s="66">
        <f>Model!X60</f>
        <v>0</v>
      </c>
      <c r="Y26" s="66">
        <f>Model!Y60</f>
        <v>0</v>
      </c>
      <c r="Z26" s="66">
        <f>Model!Z60</f>
        <v>0</v>
      </c>
      <c r="AA26" s="66">
        <f>Model!AA60</f>
        <v>0</v>
      </c>
      <c r="AB26" s="66">
        <f>Model!AB60</f>
        <v>0</v>
      </c>
      <c r="AC26" s="66">
        <f>Model!AC60</f>
        <v>0</v>
      </c>
      <c r="AD26" s="66">
        <f>Model!AD60</f>
        <v>0</v>
      </c>
      <c r="AE26" s="66">
        <f>Model!AE60</f>
        <v>0</v>
      </c>
      <c r="AF26" s="66">
        <f>Model!AF60</f>
        <v>0</v>
      </c>
      <c r="AG26" s="66">
        <f>Model!AG60</f>
        <v>0</v>
      </c>
      <c r="AH26" s="66">
        <f>Model!AH60</f>
        <v>0</v>
      </c>
      <c r="AI26" s="66">
        <f>Model!AI60</f>
        <v>0</v>
      </c>
      <c r="AJ26" s="66">
        <f>Model!AJ60</f>
        <v>0</v>
      </c>
      <c r="AK26" s="66">
        <f>Model!AK60</f>
        <v>0</v>
      </c>
      <c r="AL26" s="66">
        <f>Model!AL60</f>
        <v>0</v>
      </c>
      <c r="AM26" s="66">
        <f>Model!AM60</f>
        <v>0</v>
      </c>
      <c r="AN26" s="66">
        <f>Model!AN60</f>
        <v>0</v>
      </c>
      <c r="AO26" s="66">
        <f>Model!AO60</f>
        <v>0</v>
      </c>
      <c r="AP26" s="66">
        <f>Model!AP60</f>
        <v>0</v>
      </c>
      <c r="AQ26" s="66">
        <f>Model!AQ60</f>
        <v>0</v>
      </c>
      <c r="AR26" s="66">
        <f>Model!AR60</f>
        <v>81683</v>
      </c>
      <c r="AS26" s="66">
        <f>Model!AS60</f>
        <v>0</v>
      </c>
      <c r="AT26" s="66">
        <f>Model!AT60</f>
        <v>0</v>
      </c>
      <c r="AU26" s="66">
        <f>Model!AU60</f>
        <v>81682</v>
      </c>
      <c r="AV26" s="66">
        <f>Model!AV60</f>
        <v>0</v>
      </c>
      <c r="AW26" s="66">
        <f>Model!AW60</f>
        <v>0</v>
      </c>
      <c r="AX26" s="66">
        <f>Model!AX60</f>
        <v>81682</v>
      </c>
      <c r="AY26" s="66">
        <f>Model!AY60</f>
        <v>0</v>
      </c>
      <c r="AZ26" s="66">
        <f>Model!AZ60</f>
        <v>0</v>
      </c>
      <c r="BA26" s="66">
        <f>Model!BA60</f>
        <v>81682</v>
      </c>
      <c r="BB26" s="66">
        <f>Model!BB60</f>
        <v>0</v>
      </c>
      <c r="BC26" s="66">
        <f>Model!BC60</f>
        <v>0</v>
      </c>
      <c r="BD26" s="66">
        <f>Model!BD60</f>
        <v>59178</v>
      </c>
      <c r="BE26" s="66">
        <f>Model!BE60</f>
        <v>0</v>
      </c>
      <c r="BF26" s="66">
        <f>Model!BF60</f>
        <v>0</v>
      </c>
      <c r="BG26" s="66">
        <f>Model!BG60</f>
        <v>59176</v>
      </c>
      <c r="BH26" s="66">
        <f>Model!BH60</f>
        <v>0</v>
      </c>
      <c r="BI26" s="66">
        <f>Model!BI60</f>
        <v>0</v>
      </c>
      <c r="BJ26" s="66">
        <f>Model!BJ60</f>
        <v>59176</v>
      </c>
      <c r="BK26" s="66">
        <f>Model!BK60</f>
        <v>0</v>
      </c>
      <c r="BL26" s="66">
        <f>Model!BL60</f>
        <v>0</v>
      </c>
      <c r="BM26" s="66">
        <f>Model!BM60</f>
        <v>59176</v>
      </c>
      <c r="BN26" s="66">
        <f>Model!BN60</f>
        <v>0</v>
      </c>
      <c r="BO26" s="66">
        <f>Model!BO60</f>
        <v>0</v>
      </c>
      <c r="BP26" s="66">
        <f>Model!BP60</f>
        <v>67763</v>
      </c>
      <c r="BQ26" s="66">
        <f>Model!BQ60</f>
        <v>0</v>
      </c>
      <c r="BR26" s="66">
        <f>Model!BR60</f>
        <v>0</v>
      </c>
      <c r="BS26" s="66">
        <f>Model!BS60</f>
        <v>67762</v>
      </c>
      <c r="BT26" s="66">
        <f>Model!BT60</f>
        <v>0</v>
      </c>
      <c r="BU26" s="66">
        <f>Model!BU60</f>
        <v>0</v>
      </c>
      <c r="BV26" s="66">
        <f>Model!BV60</f>
        <v>67762</v>
      </c>
      <c r="BW26" s="66">
        <f>Model!BW60</f>
        <v>0</v>
      </c>
      <c r="BX26" s="66">
        <f>Model!BX60</f>
        <v>0</v>
      </c>
      <c r="BY26" s="66">
        <f>Model!BY60</f>
        <v>67762</v>
      </c>
      <c r="BZ26" s="66">
        <f>Model!BZ60</f>
        <v>0</v>
      </c>
      <c r="CA26" s="66">
        <f>Model!CA60</f>
        <v>0</v>
      </c>
      <c r="CB26" s="66">
        <f>Model!CB60</f>
        <v>76499</v>
      </c>
      <c r="CC26" s="66">
        <f>Model!CC60</f>
        <v>0</v>
      </c>
      <c r="CD26" s="66">
        <f>Model!CD60</f>
        <v>0</v>
      </c>
      <c r="CE26" s="66">
        <f>Model!CE60</f>
        <v>76499</v>
      </c>
      <c r="CF26" s="66">
        <f>Model!CF60</f>
        <v>0</v>
      </c>
      <c r="CG26" s="66">
        <f>Model!CG60</f>
        <v>0</v>
      </c>
      <c r="CH26" s="66">
        <f>Model!CH60</f>
        <v>76499</v>
      </c>
    </row>
    <row r="27" spans="1:86" ht="15" customHeight="1" x14ac:dyDescent="0.25">
      <c r="A27" s="69" t="s">
        <v>280</v>
      </c>
      <c r="B27" s="1"/>
      <c r="C27" s="70">
        <f>Model!C82</f>
        <v>0</v>
      </c>
      <c r="D27" s="70">
        <f>Model!D82</f>
        <v>0</v>
      </c>
      <c r="E27" s="70">
        <f>Model!E82</f>
        <v>0</v>
      </c>
      <c r="F27" s="70">
        <f>Model!F82</f>
        <v>0</v>
      </c>
      <c r="G27" s="70">
        <f>Model!G82</f>
        <v>0</v>
      </c>
      <c r="H27" s="70">
        <f>Model!H82</f>
        <v>0</v>
      </c>
      <c r="I27" s="70">
        <f>Model!I82</f>
        <v>0</v>
      </c>
      <c r="J27" s="70">
        <f>Model!J82</f>
        <v>0</v>
      </c>
      <c r="K27" s="70">
        <f>Model!K82</f>
        <v>0</v>
      </c>
      <c r="L27" s="70">
        <f>Model!L82</f>
        <v>0</v>
      </c>
      <c r="M27" s="70">
        <f>Model!M82</f>
        <v>0</v>
      </c>
      <c r="N27" s="70">
        <f>Model!N82</f>
        <v>0</v>
      </c>
      <c r="O27" s="70">
        <f>Model!O82</f>
        <v>0</v>
      </c>
      <c r="P27" s="70">
        <f>Model!P82</f>
        <v>0</v>
      </c>
      <c r="Q27" s="70">
        <f>Model!Q82</f>
        <v>0</v>
      </c>
      <c r="R27" s="70">
        <f>Model!R82</f>
        <v>0</v>
      </c>
      <c r="S27" s="70">
        <f>Model!S82</f>
        <v>0</v>
      </c>
      <c r="T27" s="70">
        <f>Model!T82</f>
        <v>0</v>
      </c>
      <c r="U27" s="70">
        <f>Model!U82</f>
        <v>0</v>
      </c>
      <c r="V27" s="70">
        <f>Model!V82</f>
        <v>0</v>
      </c>
      <c r="W27" s="70">
        <f>Model!W82</f>
        <v>0</v>
      </c>
      <c r="X27" s="70">
        <f>Model!X82</f>
        <v>0</v>
      </c>
      <c r="Y27" s="70">
        <f>Model!Y82</f>
        <v>0</v>
      </c>
      <c r="Z27" s="70">
        <f>Model!Z82</f>
        <v>0</v>
      </c>
      <c r="AA27" s="70">
        <f>Model!AA82</f>
        <v>0</v>
      </c>
      <c r="AB27" s="70">
        <f>Model!AB82</f>
        <v>0</v>
      </c>
      <c r="AC27" s="70">
        <f>Model!AC82</f>
        <v>0</v>
      </c>
      <c r="AD27" s="70">
        <f>Model!AD82</f>
        <v>0</v>
      </c>
      <c r="AE27" s="70">
        <f>Model!AE82</f>
        <v>0</v>
      </c>
      <c r="AF27" s="70">
        <f>Model!AF82</f>
        <v>0</v>
      </c>
      <c r="AG27" s="70">
        <f>Model!AG82</f>
        <v>0</v>
      </c>
      <c r="AH27" s="70">
        <f>Model!AH82</f>
        <v>0</v>
      </c>
      <c r="AI27" s="70">
        <f>Model!AI82</f>
        <v>0</v>
      </c>
      <c r="AJ27" s="70">
        <f>Model!AJ82</f>
        <v>0</v>
      </c>
      <c r="AK27" s="70">
        <f>Model!AK82</f>
        <v>0</v>
      </c>
      <c r="AL27" s="70">
        <f>Model!AL82</f>
        <v>0</v>
      </c>
      <c r="AM27" s="70">
        <f>Model!AM82</f>
        <v>0</v>
      </c>
      <c r="AN27" s="70">
        <f>Model!AN82</f>
        <v>0</v>
      </c>
      <c r="AO27" s="70">
        <f>Model!AO82</f>
        <v>0</v>
      </c>
      <c r="AP27" s="70">
        <f>Model!AP82</f>
        <v>0</v>
      </c>
      <c r="AQ27" s="70">
        <f>Model!AQ82</f>
        <v>0</v>
      </c>
      <c r="AR27" s="70">
        <f>Model!AR82</f>
        <v>-81683</v>
      </c>
      <c r="AS27" s="70">
        <f>Model!AS82</f>
        <v>0</v>
      </c>
      <c r="AT27" s="70">
        <f>Model!AT82</f>
        <v>0</v>
      </c>
      <c r="AU27" s="70">
        <f>Model!AU82</f>
        <v>-81682</v>
      </c>
      <c r="AV27" s="70">
        <f>Model!AV82</f>
        <v>0</v>
      </c>
      <c r="AW27" s="70">
        <f>Model!AW82</f>
        <v>0</v>
      </c>
      <c r="AX27" s="70">
        <f>Model!AX82</f>
        <v>-81682</v>
      </c>
      <c r="AY27" s="70">
        <f>Model!AY82</f>
        <v>0</v>
      </c>
      <c r="AZ27" s="70">
        <f>Model!AZ82</f>
        <v>0</v>
      </c>
      <c r="BA27" s="70">
        <f>Model!BA82</f>
        <v>-81682</v>
      </c>
      <c r="BB27" s="70">
        <f>Model!BB82</f>
        <v>0</v>
      </c>
      <c r="BC27" s="70">
        <f>Model!BC82</f>
        <v>0</v>
      </c>
      <c r="BD27" s="70">
        <f>Model!BD82</f>
        <v>-59178</v>
      </c>
      <c r="BE27" s="70">
        <f>Model!BE82</f>
        <v>0</v>
      </c>
      <c r="BF27" s="70">
        <f>Model!BF82</f>
        <v>0</v>
      </c>
      <c r="BG27" s="70">
        <f>Model!BG82</f>
        <v>-59176</v>
      </c>
      <c r="BH27" s="70">
        <f>Model!BH82</f>
        <v>0</v>
      </c>
      <c r="BI27" s="70">
        <f>Model!BI82</f>
        <v>0</v>
      </c>
      <c r="BJ27" s="70">
        <f>Model!BJ82</f>
        <v>-59176</v>
      </c>
      <c r="BK27" s="70">
        <f>Model!BK82</f>
        <v>0</v>
      </c>
      <c r="BL27" s="70">
        <f>Model!BL82</f>
        <v>0</v>
      </c>
      <c r="BM27" s="70">
        <f>Model!BM82</f>
        <v>-59176</v>
      </c>
      <c r="BN27" s="70">
        <f>Model!BN82</f>
        <v>0</v>
      </c>
      <c r="BO27" s="70">
        <f>Model!BO82</f>
        <v>0</v>
      </c>
      <c r="BP27" s="70">
        <f>Model!BP82</f>
        <v>-16249.479999999981</v>
      </c>
      <c r="BQ27" s="70">
        <f>Model!BQ82</f>
        <v>0</v>
      </c>
      <c r="BR27" s="70">
        <f>Model!BR82</f>
        <v>0</v>
      </c>
      <c r="BS27" s="70">
        <f>Model!BS82</f>
        <v>0</v>
      </c>
      <c r="BT27" s="70">
        <f>Model!BT82</f>
        <v>0</v>
      </c>
      <c r="BU27" s="70">
        <f>Model!BU82</f>
        <v>0</v>
      </c>
      <c r="BV27" s="70">
        <f>Model!BV82</f>
        <v>0</v>
      </c>
      <c r="BW27" s="70">
        <f>Model!BW82</f>
        <v>0</v>
      </c>
      <c r="BX27" s="70">
        <f>Model!BX82</f>
        <v>0</v>
      </c>
      <c r="BY27" s="70">
        <f>Model!BY82</f>
        <v>0</v>
      </c>
      <c r="BZ27" s="70">
        <f>Model!BZ82</f>
        <v>0</v>
      </c>
      <c r="CA27" s="70">
        <f>Model!CA82</f>
        <v>0</v>
      </c>
      <c r="CB27" s="70">
        <f>Model!CB82</f>
        <v>0</v>
      </c>
      <c r="CC27" s="70">
        <f>Model!CC82</f>
        <v>0</v>
      </c>
      <c r="CD27" s="70">
        <f>Model!CD82</f>
        <v>0</v>
      </c>
      <c r="CE27" s="70">
        <f>Model!CE82</f>
        <v>0</v>
      </c>
      <c r="CF27" s="70">
        <f>Model!CF82</f>
        <v>0</v>
      </c>
      <c r="CG27" s="70">
        <f>Model!CG82</f>
        <v>0</v>
      </c>
      <c r="CH27" s="70">
        <f>Model!CH82</f>
        <v>0</v>
      </c>
    </row>
    <row r="28" spans="1:86" ht="15" customHeight="1" x14ac:dyDescent="0.25">
      <c r="A28" s="28" t="s">
        <v>277</v>
      </c>
      <c r="B28" s="28"/>
      <c r="C28" s="67">
        <f t="shared" ref="C28:AH28" si="24">C26+C27</f>
        <v>0</v>
      </c>
      <c r="D28" s="67">
        <f t="shared" si="24"/>
        <v>0</v>
      </c>
      <c r="E28" s="67">
        <f t="shared" si="24"/>
        <v>0</v>
      </c>
      <c r="F28" s="67">
        <f t="shared" si="24"/>
        <v>0</v>
      </c>
      <c r="G28" s="67">
        <f t="shared" si="24"/>
        <v>0</v>
      </c>
      <c r="H28" s="67">
        <f t="shared" si="24"/>
        <v>0</v>
      </c>
      <c r="I28" s="67">
        <f t="shared" si="24"/>
        <v>0</v>
      </c>
      <c r="J28" s="67">
        <f t="shared" si="24"/>
        <v>0</v>
      </c>
      <c r="K28" s="67">
        <f t="shared" si="24"/>
        <v>0</v>
      </c>
      <c r="L28" s="67">
        <f t="shared" si="24"/>
        <v>0</v>
      </c>
      <c r="M28" s="67">
        <f t="shared" si="24"/>
        <v>0</v>
      </c>
      <c r="N28" s="67">
        <f t="shared" si="24"/>
        <v>0</v>
      </c>
      <c r="O28" s="67">
        <f t="shared" si="24"/>
        <v>0</v>
      </c>
      <c r="P28" s="67">
        <f t="shared" si="24"/>
        <v>0</v>
      </c>
      <c r="Q28" s="67">
        <f t="shared" si="24"/>
        <v>0</v>
      </c>
      <c r="R28" s="67">
        <f t="shared" si="24"/>
        <v>0</v>
      </c>
      <c r="S28" s="67">
        <f t="shared" si="24"/>
        <v>0</v>
      </c>
      <c r="T28" s="67">
        <f t="shared" si="24"/>
        <v>0</v>
      </c>
      <c r="U28" s="67">
        <f t="shared" si="24"/>
        <v>0</v>
      </c>
      <c r="V28" s="67">
        <f t="shared" si="24"/>
        <v>0</v>
      </c>
      <c r="W28" s="67">
        <f t="shared" si="24"/>
        <v>0</v>
      </c>
      <c r="X28" s="67">
        <f t="shared" si="24"/>
        <v>0</v>
      </c>
      <c r="Y28" s="67">
        <f t="shared" si="24"/>
        <v>0</v>
      </c>
      <c r="Z28" s="67">
        <f t="shared" si="24"/>
        <v>0</v>
      </c>
      <c r="AA28" s="67">
        <f t="shared" si="24"/>
        <v>0</v>
      </c>
      <c r="AB28" s="67">
        <f t="shared" si="24"/>
        <v>0</v>
      </c>
      <c r="AC28" s="67">
        <f t="shared" si="24"/>
        <v>0</v>
      </c>
      <c r="AD28" s="67">
        <f t="shared" si="24"/>
        <v>0</v>
      </c>
      <c r="AE28" s="67">
        <f t="shared" si="24"/>
        <v>0</v>
      </c>
      <c r="AF28" s="67">
        <f t="shared" si="24"/>
        <v>0</v>
      </c>
      <c r="AG28" s="67">
        <f t="shared" si="24"/>
        <v>0</v>
      </c>
      <c r="AH28" s="67">
        <f t="shared" si="24"/>
        <v>0</v>
      </c>
      <c r="AI28" s="67">
        <f t="shared" ref="AI28:BN28" si="25">AI26+AI27</f>
        <v>0</v>
      </c>
      <c r="AJ28" s="67">
        <f t="shared" si="25"/>
        <v>0</v>
      </c>
      <c r="AK28" s="67">
        <f t="shared" si="25"/>
        <v>0</v>
      </c>
      <c r="AL28" s="67">
        <f t="shared" si="25"/>
        <v>0</v>
      </c>
      <c r="AM28" s="67">
        <f t="shared" si="25"/>
        <v>0</v>
      </c>
      <c r="AN28" s="67">
        <f t="shared" si="25"/>
        <v>0</v>
      </c>
      <c r="AO28" s="67">
        <f t="shared" si="25"/>
        <v>0</v>
      </c>
      <c r="AP28" s="67">
        <f t="shared" si="25"/>
        <v>0</v>
      </c>
      <c r="AQ28" s="67">
        <f t="shared" si="25"/>
        <v>0</v>
      </c>
      <c r="AR28" s="67">
        <f t="shared" si="25"/>
        <v>0</v>
      </c>
      <c r="AS28" s="67">
        <f t="shared" si="25"/>
        <v>0</v>
      </c>
      <c r="AT28" s="67">
        <f t="shared" si="25"/>
        <v>0</v>
      </c>
      <c r="AU28" s="67">
        <f t="shared" si="25"/>
        <v>0</v>
      </c>
      <c r="AV28" s="67">
        <f t="shared" si="25"/>
        <v>0</v>
      </c>
      <c r="AW28" s="67">
        <f t="shared" si="25"/>
        <v>0</v>
      </c>
      <c r="AX28" s="67">
        <f t="shared" si="25"/>
        <v>0</v>
      </c>
      <c r="AY28" s="67">
        <f t="shared" si="25"/>
        <v>0</v>
      </c>
      <c r="AZ28" s="67">
        <f t="shared" si="25"/>
        <v>0</v>
      </c>
      <c r="BA28" s="67">
        <f t="shared" si="25"/>
        <v>0</v>
      </c>
      <c r="BB28" s="67">
        <f t="shared" si="25"/>
        <v>0</v>
      </c>
      <c r="BC28" s="67">
        <f t="shared" si="25"/>
        <v>0</v>
      </c>
      <c r="BD28" s="67">
        <f t="shared" si="25"/>
        <v>0</v>
      </c>
      <c r="BE28" s="67">
        <f t="shared" si="25"/>
        <v>0</v>
      </c>
      <c r="BF28" s="67">
        <f t="shared" si="25"/>
        <v>0</v>
      </c>
      <c r="BG28" s="67">
        <f t="shared" si="25"/>
        <v>0</v>
      </c>
      <c r="BH28" s="67">
        <f t="shared" si="25"/>
        <v>0</v>
      </c>
      <c r="BI28" s="67">
        <f t="shared" si="25"/>
        <v>0</v>
      </c>
      <c r="BJ28" s="67">
        <f t="shared" si="25"/>
        <v>0</v>
      </c>
      <c r="BK28" s="67">
        <f t="shared" si="25"/>
        <v>0</v>
      </c>
      <c r="BL28" s="67">
        <f t="shared" si="25"/>
        <v>0</v>
      </c>
      <c r="BM28" s="67">
        <f t="shared" si="25"/>
        <v>0</v>
      </c>
      <c r="BN28" s="67">
        <f t="shared" si="25"/>
        <v>0</v>
      </c>
      <c r="BO28" s="67">
        <f t="shared" ref="BO28:CT28" si="26">BO26+BO27</f>
        <v>0</v>
      </c>
      <c r="BP28" s="67">
        <f t="shared" si="26"/>
        <v>51513.520000000019</v>
      </c>
      <c r="BQ28" s="67">
        <f t="shared" si="26"/>
        <v>0</v>
      </c>
      <c r="BR28" s="67">
        <f t="shared" si="26"/>
        <v>0</v>
      </c>
      <c r="BS28" s="67">
        <f t="shared" si="26"/>
        <v>67762</v>
      </c>
      <c r="BT28" s="67">
        <f t="shared" si="26"/>
        <v>0</v>
      </c>
      <c r="BU28" s="67">
        <f t="shared" si="26"/>
        <v>0</v>
      </c>
      <c r="BV28" s="67">
        <f t="shared" si="26"/>
        <v>67762</v>
      </c>
      <c r="BW28" s="67">
        <f t="shared" si="26"/>
        <v>0</v>
      </c>
      <c r="BX28" s="67">
        <f t="shared" si="26"/>
        <v>0</v>
      </c>
      <c r="BY28" s="67">
        <f t="shared" si="26"/>
        <v>67762</v>
      </c>
      <c r="BZ28" s="67">
        <f t="shared" si="26"/>
        <v>0</v>
      </c>
      <c r="CA28" s="67">
        <f t="shared" si="26"/>
        <v>0</v>
      </c>
      <c r="CB28" s="67">
        <f t="shared" si="26"/>
        <v>76499</v>
      </c>
      <c r="CC28" s="67">
        <f t="shared" si="26"/>
        <v>0</v>
      </c>
      <c r="CD28" s="67">
        <f t="shared" si="26"/>
        <v>0</v>
      </c>
      <c r="CE28" s="67">
        <f t="shared" si="26"/>
        <v>76499</v>
      </c>
      <c r="CF28" s="67">
        <f t="shared" si="26"/>
        <v>0</v>
      </c>
      <c r="CG28" s="67">
        <f t="shared" si="26"/>
        <v>0</v>
      </c>
      <c r="CH28" s="67">
        <f t="shared" si="26"/>
        <v>76499</v>
      </c>
    </row>
    <row r="29" spans="1:86" ht="15" customHeight="1" x14ac:dyDescent="0.25">
      <c r="A29" s="60" t="s">
        <v>278</v>
      </c>
      <c r="B29" s="1"/>
      <c r="C29" s="68">
        <f>C28</f>
        <v>0</v>
      </c>
      <c r="D29" s="68">
        <f t="shared" ref="D29:AI29" si="27">C29+D28</f>
        <v>0</v>
      </c>
      <c r="E29" s="68">
        <f t="shared" si="27"/>
        <v>0</v>
      </c>
      <c r="F29" s="68">
        <f t="shared" si="27"/>
        <v>0</v>
      </c>
      <c r="G29" s="68">
        <f t="shared" si="27"/>
        <v>0</v>
      </c>
      <c r="H29" s="68">
        <f t="shared" si="27"/>
        <v>0</v>
      </c>
      <c r="I29" s="68">
        <f t="shared" si="27"/>
        <v>0</v>
      </c>
      <c r="J29" s="68">
        <f t="shared" si="27"/>
        <v>0</v>
      </c>
      <c r="K29" s="68">
        <f t="shared" si="27"/>
        <v>0</v>
      </c>
      <c r="L29" s="68">
        <f t="shared" si="27"/>
        <v>0</v>
      </c>
      <c r="M29" s="68">
        <f t="shared" si="27"/>
        <v>0</v>
      </c>
      <c r="N29" s="68">
        <f t="shared" si="27"/>
        <v>0</v>
      </c>
      <c r="O29" s="68">
        <f t="shared" si="27"/>
        <v>0</v>
      </c>
      <c r="P29" s="68">
        <f t="shared" si="27"/>
        <v>0</v>
      </c>
      <c r="Q29" s="68">
        <f t="shared" si="27"/>
        <v>0</v>
      </c>
      <c r="R29" s="68">
        <f t="shared" si="27"/>
        <v>0</v>
      </c>
      <c r="S29" s="68">
        <f t="shared" si="27"/>
        <v>0</v>
      </c>
      <c r="T29" s="68">
        <f t="shared" si="27"/>
        <v>0</v>
      </c>
      <c r="U29" s="68">
        <f t="shared" si="27"/>
        <v>0</v>
      </c>
      <c r="V29" s="68">
        <f t="shared" si="27"/>
        <v>0</v>
      </c>
      <c r="W29" s="68">
        <f t="shared" si="27"/>
        <v>0</v>
      </c>
      <c r="X29" s="68">
        <f t="shared" si="27"/>
        <v>0</v>
      </c>
      <c r="Y29" s="68">
        <f t="shared" si="27"/>
        <v>0</v>
      </c>
      <c r="Z29" s="68">
        <f t="shared" si="27"/>
        <v>0</v>
      </c>
      <c r="AA29" s="68">
        <f t="shared" si="27"/>
        <v>0</v>
      </c>
      <c r="AB29" s="68">
        <f t="shared" si="27"/>
        <v>0</v>
      </c>
      <c r="AC29" s="68">
        <f t="shared" si="27"/>
        <v>0</v>
      </c>
      <c r="AD29" s="68">
        <f t="shared" si="27"/>
        <v>0</v>
      </c>
      <c r="AE29" s="68">
        <f t="shared" si="27"/>
        <v>0</v>
      </c>
      <c r="AF29" s="68">
        <f t="shared" si="27"/>
        <v>0</v>
      </c>
      <c r="AG29" s="68">
        <f t="shared" si="27"/>
        <v>0</v>
      </c>
      <c r="AH29" s="68">
        <f t="shared" si="27"/>
        <v>0</v>
      </c>
      <c r="AI29" s="68">
        <f t="shared" si="27"/>
        <v>0</v>
      </c>
      <c r="AJ29" s="68">
        <f t="shared" ref="AJ29:BO29" si="28">AI29+AJ28</f>
        <v>0</v>
      </c>
      <c r="AK29" s="68">
        <f t="shared" si="28"/>
        <v>0</v>
      </c>
      <c r="AL29" s="68">
        <f t="shared" si="28"/>
        <v>0</v>
      </c>
      <c r="AM29" s="68">
        <f t="shared" si="28"/>
        <v>0</v>
      </c>
      <c r="AN29" s="68">
        <f t="shared" si="28"/>
        <v>0</v>
      </c>
      <c r="AO29" s="68">
        <f t="shared" si="28"/>
        <v>0</v>
      </c>
      <c r="AP29" s="68">
        <f t="shared" si="28"/>
        <v>0</v>
      </c>
      <c r="AQ29" s="68">
        <f t="shared" si="28"/>
        <v>0</v>
      </c>
      <c r="AR29" s="68">
        <f t="shared" si="28"/>
        <v>0</v>
      </c>
      <c r="AS29" s="68">
        <f t="shared" si="28"/>
        <v>0</v>
      </c>
      <c r="AT29" s="68">
        <f t="shared" si="28"/>
        <v>0</v>
      </c>
      <c r="AU29" s="68">
        <f t="shared" si="28"/>
        <v>0</v>
      </c>
      <c r="AV29" s="68">
        <f t="shared" si="28"/>
        <v>0</v>
      </c>
      <c r="AW29" s="68">
        <f t="shared" si="28"/>
        <v>0</v>
      </c>
      <c r="AX29" s="68">
        <f t="shared" si="28"/>
        <v>0</v>
      </c>
      <c r="AY29" s="68">
        <f t="shared" si="28"/>
        <v>0</v>
      </c>
      <c r="AZ29" s="68">
        <f t="shared" si="28"/>
        <v>0</v>
      </c>
      <c r="BA29" s="68">
        <f t="shared" si="28"/>
        <v>0</v>
      </c>
      <c r="BB29" s="68">
        <f t="shared" si="28"/>
        <v>0</v>
      </c>
      <c r="BC29" s="68">
        <f t="shared" si="28"/>
        <v>0</v>
      </c>
      <c r="BD29" s="68">
        <f t="shared" si="28"/>
        <v>0</v>
      </c>
      <c r="BE29" s="68">
        <f t="shared" si="28"/>
        <v>0</v>
      </c>
      <c r="BF29" s="68">
        <f t="shared" si="28"/>
        <v>0</v>
      </c>
      <c r="BG29" s="68">
        <f t="shared" si="28"/>
        <v>0</v>
      </c>
      <c r="BH29" s="68">
        <f t="shared" si="28"/>
        <v>0</v>
      </c>
      <c r="BI29" s="68">
        <f t="shared" si="28"/>
        <v>0</v>
      </c>
      <c r="BJ29" s="68">
        <f t="shared" si="28"/>
        <v>0</v>
      </c>
      <c r="BK29" s="68">
        <f t="shared" si="28"/>
        <v>0</v>
      </c>
      <c r="BL29" s="68">
        <f t="shared" si="28"/>
        <v>0</v>
      </c>
      <c r="BM29" s="68">
        <f t="shared" si="28"/>
        <v>0</v>
      </c>
      <c r="BN29" s="68">
        <f t="shared" si="28"/>
        <v>0</v>
      </c>
      <c r="BO29" s="68">
        <f t="shared" si="28"/>
        <v>0</v>
      </c>
      <c r="BP29" s="68">
        <f t="shared" ref="BP29:CU29" si="29">BO29+BP28</f>
        <v>51513.520000000019</v>
      </c>
      <c r="BQ29" s="68">
        <f t="shared" si="29"/>
        <v>51513.520000000019</v>
      </c>
      <c r="BR29" s="68">
        <f t="shared" si="29"/>
        <v>51513.520000000019</v>
      </c>
      <c r="BS29" s="68">
        <f t="shared" si="29"/>
        <v>119275.52000000002</v>
      </c>
      <c r="BT29" s="68">
        <f t="shared" si="29"/>
        <v>119275.52000000002</v>
      </c>
      <c r="BU29" s="68">
        <f t="shared" si="29"/>
        <v>119275.52000000002</v>
      </c>
      <c r="BV29" s="68">
        <f t="shared" si="29"/>
        <v>187037.52000000002</v>
      </c>
      <c r="BW29" s="68">
        <f t="shared" si="29"/>
        <v>187037.52000000002</v>
      </c>
      <c r="BX29" s="68">
        <f t="shared" si="29"/>
        <v>187037.52000000002</v>
      </c>
      <c r="BY29" s="68">
        <f t="shared" si="29"/>
        <v>254799.52000000002</v>
      </c>
      <c r="BZ29" s="68">
        <f t="shared" si="29"/>
        <v>254799.52000000002</v>
      </c>
      <c r="CA29" s="68">
        <f t="shared" si="29"/>
        <v>254799.52000000002</v>
      </c>
      <c r="CB29" s="68">
        <f t="shared" si="29"/>
        <v>331298.52</v>
      </c>
      <c r="CC29" s="68">
        <f t="shared" si="29"/>
        <v>331298.52</v>
      </c>
      <c r="CD29" s="68">
        <f t="shared" si="29"/>
        <v>331298.52</v>
      </c>
      <c r="CE29" s="68">
        <f t="shared" si="29"/>
        <v>407797.52</v>
      </c>
      <c r="CF29" s="68">
        <f t="shared" si="29"/>
        <v>407797.52</v>
      </c>
      <c r="CG29" s="68">
        <f t="shared" si="29"/>
        <v>407797.52</v>
      </c>
      <c r="CH29" s="68">
        <f t="shared" si="29"/>
        <v>484296.52</v>
      </c>
    </row>
    <row r="30" spans="1:86" ht="15" customHeight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</row>
    <row r="31" spans="1:86" ht="15" customHeight="1" x14ac:dyDescent="0.25">
      <c r="A31" s="6" t="s">
        <v>120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</row>
    <row r="32" spans="1:86" ht="15" customHeight="1" x14ac:dyDescent="0.25">
      <c r="A32" s="16" t="s">
        <v>276</v>
      </c>
      <c r="B32" s="1"/>
      <c r="C32" s="66">
        <f>Model!C61</f>
        <v>0</v>
      </c>
      <c r="D32" s="66">
        <f>Model!D61</f>
        <v>0</v>
      </c>
      <c r="E32" s="66">
        <f>Model!E61</f>
        <v>0</v>
      </c>
      <c r="F32" s="66">
        <f>Model!F61</f>
        <v>0</v>
      </c>
      <c r="G32" s="66">
        <f>Model!G61</f>
        <v>0</v>
      </c>
      <c r="H32" s="66">
        <f>Model!H61</f>
        <v>0</v>
      </c>
      <c r="I32" s="66">
        <f>Model!I61</f>
        <v>0</v>
      </c>
      <c r="J32" s="66">
        <f>Model!J61</f>
        <v>0</v>
      </c>
      <c r="K32" s="66">
        <f>Model!K61</f>
        <v>0</v>
      </c>
      <c r="L32" s="66">
        <f>Model!L61</f>
        <v>0</v>
      </c>
      <c r="M32" s="66">
        <f>Model!M61</f>
        <v>0</v>
      </c>
      <c r="N32" s="66">
        <f>Model!N61</f>
        <v>0</v>
      </c>
      <c r="O32" s="66">
        <f>Model!O61</f>
        <v>0</v>
      </c>
      <c r="P32" s="66">
        <f>Model!P61</f>
        <v>0</v>
      </c>
      <c r="Q32" s="66">
        <f>Model!Q61</f>
        <v>0</v>
      </c>
      <c r="R32" s="66">
        <f>Model!R61</f>
        <v>0</v>
      </c>
      <c r="S32" s="66">
        <f>Model!S61</f>
        <v>0</v>
      </c>
      <c r="T32" s="66">
        <f>Model!T61</f>
        <v>0</v>
      </c>
      <c r="U32" s="66">
        <f>Model!U61</f>
        <v>0</v>
      </c>
      <c r="V32" s="66">
        <f>Model!V61</f>
        <v>0</v>
      </c>
      <c r="W32" s="66">
        <f>Model!W61</f>
        <v>0</v>
      </c>
      <c r="X32" s="66">
        <f>Model!X61</f>
        <v>0</v>
      </c>
      <c r="Y32" s="66">
        <f>Model!Y61</f>
        <v>0</v>
      </c>
      <c r="Z32" s="66">
        <f>Model!Z61</f>
        <v>0</v>
      </c>
      <c r="AA32" s="66">
        <f>Model!AA61</f>
        <v>0</v>
      </c>
      <c r="AB32" s="66">
        <f>Model!AB61</f>
        <v>0</v>
      </c>
      <c r="AC32" s="66">
        <f>Model!AC61</f>
        <v>0</v>
      </c>
      <c r="AD32" s="66">
        <f>Model!AD61</f>
        <v>0</v>
      </c>
      <c r="AE32" s="66">
        <f>Model!AE61</f>
        <v>0</v>
      </c>
      <c r="AF32" s="66">
        <f>Model!AF61</f>
        <v>0</v>
      </c>
      <c r="AG32" s="66">
        <f>Model!AG61</f>
        <v>0</v>
      </c>
      <c r="AH32" s="66">
        <f>Model!AH61</f>
        <v>0</v>
      </c>
      <c r="AI32" s="66">
        <f>Model!AI61</f>
        <v>0</v>
      </c>
      <c r="AJ32" s="66">
        <f>Model!AJ61</f>
        <v>0</v>
      </c>
      <c r="AK32" s="66">
        <f>Model!AK61</f>
        <v>0</v>
      </c>
      <c r="AL32" s="66">
        <f>Model!AL61</f>
        <v>0</v>
      </c>
      <c r="AM32" s="66">
        <f>Model!AM61</f>
        <v>0</v>
      </c>
      <c r="AN32" s="66">
        <f>Model!AN61</f>
        <v>0</v>
      </c>
      <c r="AO32" s="66">
        <f>Model!AO61</f>
        <v>0</v>
      </c>
      <c r="AP32" s="66">
        <f>Model!AP61</f>
        <v>0</v>
      </c>
      <c r="AQ32" s="66">
        <f>Model!AQ61</f>
        <v>0</v>
      </c>
      <c r="AR32" s="66">
        <f>Model!AR61</f>
        <v>0</v>
      </c>
      <c r="AS32" s="66">
        <f>Model!AS61</f>
        <v>0</v>
      </c>
      <c r="AT32" s="66">
        <f>Model!AT61</f>
        <v>0</v>
      </c>
      <c r="AU32" s="66">
        <f>Model!AU61</f>
        <v>0</v>
      </c>
      <c r="AV32" s="66">
        <f>Model!AV61</f>
        <v>0</v>
      </c>
      <c r="AW32" s="66">
        <f>Model!AW61</f>
        <v>0</v>
      </c>
      <c r="AX32" s="66">
        <f>Model!AX61</f>
        <v>0</v>
      </c>
      <c r="AY32" s="66">
        <f>Model!AY61</f>
        <v>0</v>
      </c>
      <c r="AZ32" s="66">
        <f>Model!AZ61</f>
        <v>0</v>
      </c>
      <c r="BA32" s="66">
        <f>Model!BA61</f>
        <v>851839</v>
      </c>
      <c r="BB32" s="66">
        <f>Model!BB61</f>
        <v>0</v>
      </c>
      <c r="BC32" s="66">
        <f>Model!BC61</f>
        <v>0</v>
      </c>
      <c r="BD32" s="66">
        <f>Model!BD61</f>
        <v>71700</v>
      </c>
      <c r="BE32" s="66">
        <f>Model!BE61</f>
        <v>0</v>
      </c>
      <c r="BF32" s="66">
        <f>Model!BF61</f>
        <v>0</v>
      </c>
      <c r="BG32" s="66">
        <f>Model!BG61</f>
        <v>71700</v>
      </c>
      <c r="BH32" s="66">
        <f>Model!BH61</f>
        <v>0</v>
      </c>
      <c r="BI32" s="66">
        <f>Model!BI61</f>
        <v>0</v>
      </c>
      <c r="BJ32" s="66">
        <f>Model!BJ61</f>
        <v>71700</v>
      </c>
      <c r="BK32" s="66">
        <f>Model!BK61</f>
        <v>0</v>
      </c>
      <c r="BL32" s="66">
        <f>Model!BL61</f>
        <v>0</v>
      </c>
      <c r="BM32" s="66">
        <f>Model!BM61</f>
        <v>71700</v>
      </c>
      <c r="BN32" s="66">
        <f>Model!BN61</f>
        <v>0</v>
      </c>
      <c r="BO32" s="66">
        <f>Model!BO61</f>
        <v>0</v>
      </c>
      <c r="BP32" s="66">
        <f>Model!BP61</f>
        <v>74643</v>
      </c>
      <c r="BQ32" s="66">
        <f>Model!BQ61</f>
        <v>0</v>
      </c>
      <c r="BR32" s="66">
        <f>Model!BR61</f>
        <v>0</v>
      </c>
      <c r="BS32" s="66">
        <f>Model!BS61</f>
        <v>74640</v>
      </c>
      <c r="BT32" s="66">
        <f>Model!BT61</f>
        <v>0</v>
      </c>
      <c r="BU32" s="66">
        <f>Model!BU61</f>
        <v>0</v>
      </c>
      <c r="BV32" s="66">
        <f>Model!BV61</f>
        <v>74640</v>
      </c>
      <c r="BW32" s="66">
        <f>Model!BW61</f>
        <v>0</v>
      </c>
      <c r="BX32" s="66">
        <f>Model!BX61</f>
        <v>0</v>
      </c>
      <c r="BY32" s="66">
        <f>Model!BY61</f>
        <v>74640</v>
      </c>
      <c r="BZ32" s="66">
        <f>Model!BZ61</f>
        <v>0</v>
      </c>
      <c r="CA32" s="66">
        <f>Model!CA61</f>
        <v>0</v>
      </c>
      <c r="CB32" s="66">
        <f>Model!CB61</f>
        <v>81363</v>
      </c>
      <c r="CC32" s="66">
        <f>Model!CC61</f>
        <v>0</v>
      </c>
      <c r="CD32" s="66">
        <f>Model!CD61</f>
        <v>0</v>
      </c>
      <c r="CE32" s="66">
        <f>Model!CE61</f>
        <v>81362</v>
      </c>
      <c r="CF32" s="66">
        <f>Model!CF61</f>
        <v>0</v>
      </c>
      <c r="CG32" s="66">
        <f>Model!CG61</f>
        <v>0</v>
      </c>
      <c r="CH32" s="66">
        <f>Model!CH61</f>
        <v>81362</v>
      </c>
    </row>
    <row r="33" spans="1:86" ht="15" customHeight="1" x14ac:dyDescent="0.25">
      <c r="A33" s="69" t="s">
        <v>280</v>
      </c>
      <c r="B33" s="1"/>
      <c r="C33" s="70">
        <f>Model!C83</f>
        <v>0</v>
      </c>
      <c r="D33" s="70">
        <f>Model!D83</f>
        <v>0</v>
      </c>
      <c r="E33" s="70">
        <f>Model!E83</f>
        <v>0</v>
      </c>
      <c r="F33" s="70">
        <f>Model!F83</f>
        <v>0</v>
      </c>
      <c r="G33" s="70">
        <f>Model!G83</f>
        <v>0</v>
      </c>
      <c r="H33" s="70">
        <f>Model!H83</f>
        <v>0</v>
      </c>
      <c r="I33" s="70">
        <f>Model!I83</f>
        <v>0</v>
      </c>
      <c r="J33" s="70">
        <f>Model!J83</f>
        <v>0</v>
      </c>
      <c r="K33" s="70">
        <f>Model!K83</f>
        <v>0</v>
      </c>
      <c r="L33" s="70">
        <f>Model!L83</f>
        <v>0</v>
      </c>
      <c r="M33" s="70">
        <f>Model!M83</f>
        <v>0</v>
      </c>
      <c r="N33" s="70">
        <f>Model!N83</f>
        <v>0</v>
      </c>
      <c r="O33" s="70">
        <f>Model!O83</f>
        <v>0</v>
      </c>
      <c r="P33" s="70">
        <f>Model!P83</f>
        <v>0</v>
      </c>
      <c r="Q33" s="70">
        <f>Model!Q83</f>
        <v>0</v>
      </c>
      <c r="R33" s="70">
        <f>Model!R83</f>
        <v>0</v>
      </c>
      <c r="S33" s="70">
        <f>Model!S83</f>
        <v>0</v>
      </c>
      <c r="T33" s="70">
        <f>Model!T83</f>
        <v>0</v>
      </c>
      <c r="U33" s="70">
        <f>Model!U83</f>
        <v>0</v>
      </c>
      <c r="V33" s="70">
        <f>Model!V83</f>
        <v>0</v>
      </c>
      <c r="W33" s="70">
        <f>Model!W83</f>
        <v>0</v>
      </c>
      <c r="X33" s="70">
        <f>Model!X83</f>
        <v>0</v>
      </c>
      <c r="Y33" s="70">
        <f>Model!Y83</f>
        <v>0</v>
      </c>
      <c r="Z33" s="70">
        <f>Model!Z83</f>
        <v>0</v>
      </c>
      <c r="AA33" s="70">
        <f>Model!AA83</f>
        <v>0</v>
      </c>
      <c r="AB33" s="70">
        <f>Model!AB83</f>
        <v>0</v>
      </c>
      <c r="AC33" s="70">
        <f>Model!AC83</f>
        <v>0</v>
      </c>
      <c r="AD33" s="70">
        <f>Model!AD83</f>
        <v>0</v>
      </c>
      <c r="AE33" s="70">
        <f>Model!AE83</f>
        <v>0</v>
      </c>
      <c r="AF33" s="70">
        <f>Model!AF83</f>
        <v>0</v>
      </c>
      <c r="AG33" s="70">
        <f>Model!AG83</f>
        <v>0</v>
      </c>
      <c r="AH33" s="70">
        <f>Model!AH83</f>
        <v>0</v>
      </c>
      <c r="AI33" s="70">
        <f>Model!AI83</f>
        <v>0</v>
      </c>
      <c r="AJ33" s="70">
        <f>Model!AJ83</f>
        <v>0</v>
      </c>
      <c r="AK33" s="70">
        <f>Model!AK83</f>
        <v>0</v>
      </c>
      <c r="AL33" s="70">
        <f>Model!AL83</f>
        <v>0</v>
      </c>
      <c r="AM33" s="70">
        <f>Model!AM83</f>
        <v>0</v>
      </c>
      <c r="AN33" s="70">
        <f>Model!AN83</f>
        <v>0</v>
      </c>
      <c r="AO33" s="70">
        <f>Model!AO83</f>
        <v>0</v>
      </c>
      <c r="AP33" s="70">
        <f>Model!AP83</f>
        <v>0</v>
      </c>
      <c r="AQ33" s="70">
        <f>Model!AQ83</f>
        <v>0</v>
      </c>
      <c r="AR33" s="70">
        <f>Model!AR83</f>
        <v>0</v>
      </c>
      <c r="AS33" s="70">
        <f>Model!AS83</f>
        <v>0</v>
      </c>
      <c r="AT33" s="70">
        <f>Model!AT83</f>
        <v>0</v>
      </c>
      <c r="AU33" s="70">
        <f>Model!AU83</f>
        <v>0</v>
      </c>
      <c r="AV33" s="70">
        <f>Model!AV83</f>
        <v>0</v>
      </c>
      <c r="AW33" s="70">
        <f>Model!AW83</f>
        <v>0</v>
      </c>
      <c r="AX33" s="70">
        <f>Model!AX83</f>
        <v>0</v>
      </c>
      <c r="AY33" s="70">
        <f>Model!AY83</f>
        <v>0</v>
      </c>
      <c r="AZ33" s="70">
        <f>Model!AZ83</f>
        <v>0</v>
      </c>
      <c r="BA33" s="70">
        <f>Model!BA83</f>
        <v>-851839</v>
      </c>
      <c r="BB33" s="70">
        <f>Model!BB83</f>
        <v>0</v>
      </c>
      <c r="BC33" s="70">
        <f>Model!BC83</f>
        <v>0</v>
      </c>
      <c r="BD33" s="70">
        <f>Model!BD83</f>
        <v>-71700</v>
      </c>
      <c r="BE33" s="70">
        <f>Model!BE83</f>
        <v>0</v>
      </c>
      <c r="BF33" s="70">
        <f>Model!BF83</f>
        <v>0</v>
      </c>
      <c r="BG33" s="70">
        <f>Model!BG83</f>
        <v>-71700</v>
      </c>
      <c r="BH33" s="70">
        <f>Model!BH83</f>
        <v>0</v>
      </c>
      <c r="BI33" s="70">
        <f>Model!BI83</f>
        <v>0</v>
      </c>
      <c r="BJ33" s="70">
        <f>Model!BJ83</f>
        <v>-71700</v>
      </c>
      <c r="BK33" s="70">
        <f>Model!BK83</f>
        <v>0</v>
      </c>
      <c r="BL33" s="70">
        <f>Model!BL83</f>
        <v>0</v>
      </c>
      <c r="BM33" s="70">
        <f>Model!BM83</f>
        <v>-71700</v>
      </c>
      <c r="BN33" s="70">
        <f>Model!BN83</f>
        <v>0</v>
      </c>
      <c r="BO33" s="70">
        <f>Model!BO83</f>
        <v>0</v>
      </c>
      <c r="BP33" s="70">
        <f>Model!BP83</f>
        <v>-74643</v>
      </c>
      <c r="BQ33" s="70">
        <f>Model!BQ83</f>
        <v>0</v>
      </c>
      <c r="BR33" s="70">
        <f>Model!BR83</f>
        <v>0</v>
      </c>
      <c r="BS33" s="70">
        <f>Model!BS83</f>
        <v>-74640</v>
      </c>
      <c r="BT33" s="70">
        <f>Model!BT83</f>
        <v>0</v>
      </c>
      <c r="BU33" s="70">
        <f>Model!BU83</f>
        <v>0</v>
      </c>
      <c r="BV33" s="70">
        <f>Model!BV83</f>
        <v>-74640</v>
      </c>
      <c r="BW33" s="70">
        <f>Model!BW83</f>
        <v>0</v>
      </c>
      <c r="BX33" s="70">
        <f>Model!BX83</f>
        <v>0</v>
      </c>
      <c r="BY33" s="70">
        <f>Model!BY83</f>
        <v>-74640</v>
      </c>
      <c r="BZ33" s="70">
        <f>Model!BZ83</f>
        <v>0</v>
      </c>
      <c r="CA33" s="70">
        <f>Model!CA83</f>
        <v>0</v>
      </c>
      <c r="CB33" s="70">
        <f>Model!CB83</f>
        <v>-81363</v>
      </c>
      <c r="CC33" s="70">
        <f>Model!CC83</f>
        <v>0</v>
      </c>
      <c r="CD33" s="70">
        <f>Model!CD83</f>
        <v>0</v>
      </c>
      <c r="CE33" s="70">
        <f>Model!CE83</f>
        <v>-81362</v>
      </c>
      <c r="CF33" s="70">
        <f>Model!CF83</f>
        <v>0</v>
      </c>
      <c r="CG33" s="70">
        <f>Model!CG83</f>
        <v>0</v>
      </c>
      <c r="CH33" s="70">
        <f>Model!CH83</f>
        <v>-74753.973393520777</v>
      </c>
    </row>
    <row r="34" spans="1:86" ht="15" customHeight="1" x14ac:dyDescent="0.25">
      <c r="A34" s="69" t="s">
        <v>104</v>
      </c>
      <c r="B34" s="1"/>
      <c r="C34" s="70">
        <f>Model!C157</f>
        <v>0</v>
      </c>
      <c r="D34" s="70">
        <f>Model!D157</f>
        <v>0</v>
      </c>
      <c r="E34" s="70">
        <f>Model!E157</f>
        <v>0</v>
      </c>
      <c r="F34" s="70">
        <f>Model!F157</f>
        <v>0</v>
      </c>
      <c r="G34" s="70">
        <f>Model!G157</f>
        <v>0</v>
      </c>
      <c r="H34" s="70">
        <f>Model!H157</f>
        <v>0</v>
      </c>
      <c r="I34" s="70">
        <f>Model!I157</f>
        <v>0</v>
      </c>
      <c r="J34" s="70">
        <f>Model!J157</f>
        <v>0</v>
      </c>
      <c r="K34" s="70">
        <f>Model!K157</f>
        <v>0</v>
      </c>
      <c r="L34" s="70">
        <f>Model!L157</f>
        <v>0</v>
      </c>
      <c r="M34" s="70">
        <f>Model!M157</f>
        <v>0</v>
      </c>
      <c r="N34" s="70">
        <f>Model!N157</f>
        <v>0</v>
      </c>
      <c r="O34" s="70">
        <f>Model!O157</f>
        <v>0</v>
      </c>
      <c r="P34" s="70">
        <f>Model!P157</f>
        <v>0</v>
      </c>
      <c r="Q34" s="70">
        <f>Model!Q157</f>
        <v>0</v>
      </c>
      <c r="R34" s="70">
        <f>Model!R157</f>
        <v>0</v>
      </c>
      <c r="S34" s="70">
        <f>Model!S157</f>
        <v>0</v>
      </c>
      <c r="T34" s="70">
        <f>Model!T157</f>
        <v>0</v>
      </c>
      <c r="U34" s="70">
        <f>Model!U157</f>
        <v>0</v>
      </c>
      <c r="V34" s="70">
        <f>Model!V157</f>
        <v>0</v>
      </c>
      <c r="W34" s="70">
        <f>Model!W157</f>
        <v>0</v>
      </c>
      <c r="X34" s="70">
        <f>Model!X157</f>
        <v>0</v>
      </c>
      <c r="Y34" s="70">
        <f>Model!Y157</f>
        <v>0</v>
      </c>
      <c r="Z34" s="70">
        <f>Model!Z157</f>
        <v>0</v>
      </c>
      <c r="AA34" s="70">
        <f>Model!AA157</f>
        <v>0</v>
      </c>
      <c r="AB34" s="70">
        <f>Model!AB157</f>
        <v>0</v>
      </c>
      <c r="AC34" s="70">
        <f>Model!AC157</f>
        <v>0</v>
      </c>
      <c r="AD34" s="70">
        <f>Model!AD157</f>
        <v>0</v>
      </c>
      <c r="AE34" s="70">
        <f>Model!AE157</f>
        <v>0</v>
      </c>
      <c r="AF34" s="70">
        <f>Model!AF157</f>
        <v>0</v>
      </c>
      <c r="AG34" s="70">
        <f>Model!AG157</f>
        <v>0</v>
      </c>
      <c r="AH34" s="70">
        <f>Model!AH157</f>
        <v>0</v>
      </c>
      <c r="AI34" s="70">
        <f>Model!AI157</f>
        <v>0</v>
      </c>
      <c r="AJ34" s="70">
        <f>Model!AJ157</f>
        <v>0</v>
      </c>
      <c r="AK34" s="70">
        <f>Model!AK157</f>
        <v>0</v>
      </c>
      <c r="AL34" s="70">
        <f>Model!AL157</f>
        <v>0</v>
      </c>
      <c r="AM34" s="70">
        <f>Model!AM157</f>
        <v>0</v>
      </c>
      <c r="AN34" s="70">
        <f>Model!AN157</f>
        <v>0</v>
      </c>
      <c r="AO34" s="70">
        <f>Model!AO157</f>
        <v>0</v>
      </c>
      <c r="AP34" s="70">
        <f>Model!AP157</f>
        <v>0</v>
      </c>
      <c r="AQ34" s="70">
        <f>Model!AQ157</f>
        <v>0</v>
      </c>
      <c r="AR34" s="70">
        <f>Model!AR157</f>
        <v>0</v>
      </c>
      <c r="AS34" s="70">
        <f>Model!AS157</f>
        <v>0</v>
      </c>
      <c r="AT34" s="70">
        <f>Model!AT157</f>
        <v>0</v>
      </c>
      <c r="AU34" s="70">
        <f>Model!AU157</f>
        <v>0</v>
      </c>
      <c r="AV34" s="70">
        <f>Model!AV157</f>
        <v>0</v>
      </c>
      <c r="AW34" s="70">
        <f>Model!AW157</f>
        <v>0</v>
      </c>
      <c r="AX34" s="70">
        <f>Model!AX157</f>
        <v>0</v>
      </c>
      <c r="AY34" s="70">
        <f>Model!AY157</f>
        <v>0</v>
      </c>
      <c r="AZ34" s="70">
        <f>Model!AZ157</f>
        <v>0</v>
      </c>
      <c r="BA34" s="70">
        <f>Model!BA157</f>
        <v>0</v>
      </c>
      <c r="BB34" s="70">
        <f>Model!BB157</f>
        <v>0</v>
      </c>
      <c r="BC34" s="70">
        <f>Model!BC157</f>
        <v>0</v>
      </c>
      <c r="BD34" s="70">
        <f>Model!BD157</f>
        <v>0</v>
      </c>
      <c r="BE34" s="70">
        <f>Model!BE157</f>
        <v>0</v>
      </c>
      <c r="BF34" s="70">
        <f>Model!BF157</f>
        <v>0</v>
      </c>
      <c r="BG34" s="70">
        <f>Model!BG157</f>
        <v>0</v>
      </c>
      <c r="BH34" s="70">
        <f>Model!BH157</f>
        <v>0</v>
      </c>
      <c r="BI34" s="70">
        <f>Model!BI157</f>
        <v>0</v>
      </c>
      <c r="BJ34" s="70">
        <f>Model!BJ157</f>
        <v>0</v>
      </c>
      <c r="BK34" s="70">
        <f>Model!BK157</f>
        <v>0</v>
      </c>
      <c r="BL34" s="70">
        <f>Model!BL157</f>
        <v>0</v>
      </c>
      <c r="BM34" s="70">
        <f>Model!BM157</f>
        <v>0</v>
      </c>
      <c r="BN34" s="70">
        <f>Model!BN157</f>
        <v>0</v>
      </c>
      <c r="BO34" s="70">
        <f>Model!BO157</f>
        <v>0</v>
      </c>
      <c r="BP34" s="70">
        <f>Model!BP157</f>
        <v>0</v>
      </c>
      <c r="BQ34" s="70">
        <f>Model!BQ157</f>
        <v>0</v>
      </c>
      <c r="BR34" s="70">
        <f>Model!BR157</f>
        <v>0</v>
      </c>
      <c r="BS34" s="70">
        <f>Model!BS157</f>
        <v>0</v>
      </c>
      <c r="BT34" s="70">
        <f>Model!BT157</f>
        <v>0</v>
      </c>
      <c r="BU34" s="70">
        <f>Model!BU157</f>
        <v>0</v>
      </c>
      <c r="BV34" s="70">
        <f>Model!BV157</f>
        <v>0</v>
      </c>
      <c r="BW34" s="70">
        <f>Model!BW157</f>
        <v>0</v>
      </c>
      <c r="BX34" s="70">
        <f>Model!BX157</f>
        <v>0</v>
      </c>
      <c r="BY34" s="70">
        <f>Model!BY157</f>
        <v>0</v>
      </c>
      <c r="BZ34" s="70">
        <f>Model!BZ157</f>
        <v>0</v>
      </c>
      <c r="CA34" s="70">
        <f>Model!CA157</f>
        <v>0</v>
      </c>
      <c r="CB34" s="70">
        <f>Model!CB157</f>
        <v>0</v>
      </c>
      <c r="CC34" s="70">
        <f>Model!CC157</f>
        <v>0</v>
      </c>
      <c r="CD34" s="70">
        <f>Model!CD157</f>
        <v>0</v>
      </c>
      <c r="CE34" s="70">
        <f>Model!CE157</f>
        <v>0</v>
      </c>
      <c r="CF34" s="70">
        <f>Model!CF157</f>
        <v>0</v>
      </c>
      <c r="CG34" s="70">
        <f>Model!CG157</f>
        <v>0</v>
      </c>
      <c r="CH34" s="70">
        <f>Model!CH157</f>
        <v>0</v>
      </c>
    </row>
    <row r="35" spans="1:86" ht="15" customHeight="1" x14ac:dyDescent="0.25">
      <c r="A35" s="28" t="s">
        <v>277</v>
      </c>
      <c r="B35" s="28"/>
      <c r="C35" s="67">
        <f t="shared" ref="C35:AH35" si="30">C32+C33+C34</f>
        <v>0</v>
      </c>
      <c r="D35" s="67">
        <f t="shared" si="30"/>
        <v>0</v>
      </c>
      <c r="E35" s="67">
        <f t="shared" si="30"/>
        <v>0</v>
      </c>
      <c r="F35" s="67">
        <f t="shared" si="30"/>
        <v>0</v>
      </c>
      <c r="G35" s="67">
        <f t="shared" si="30"/>
        <v>0</v>
      </c>
      <c r="H35" s="67">
        <f t="shared" si="30"/>
        <v>0</v>
      </c>
      <c r="I35" s="67">
        <f t="shared" si="30"/>
        <v>0</v>
      </c>
      <c r="J35" s="67">
        <f t="shared" si="30"/>
        <v>0</v>
      </c>
      <c r="K35" s="67">
        <f t="shared" si="30"/>
        <v>0</v>
      </c>
      <c r="L35" s="67">
        <f t="shared" si="30"/>
        <v>0</v>
      </c>
      <c r="M35" s="67">
        <f t="shared" si="30"/>
        <v>0</v>
      </c>
      <c r="N35" s="67">
        <f t="shared" si="30"/>
        <v>0</v>
      </c>
      <c r="O35" s="67">
        <f t="shared" si="30"/>
        <v>0</v>
      </c>
      <c r="P35" s="67">
        <f t="shared" si="30"/>
        <v>0</v>
      </c>
      <c r="Q35" s="67">
        <f t="shared" si="30"/>
        <v>0</v>
      </c>
      <c r="R35" s="67">
        <f t="shared" si="30"/>
        <v>0</v>
      </c>
      <c r="S35" s="67">
        <f t="shared" si="30"/>
        <v>0</v>
      </c>
      <c r="T35" s="67">
        <f t="shared" si="30"/>
        <v>0</v>
      </c>
      <c r="U35" s="67">
        <f t="shared" si="30"/>
        <v>0</v>
      </c>
      <c r="V35" s="67">
        <f t="shared" si="30"/>
        <v>0</v>
      </c>
      <c r="W35" s="67">
        <f t="shared" si="30"/>
        <v>0</v>
      </c>
      <c r="X35" s="67">
        <f t="shared" si="30"/>
        <v>0</v>
      </c>
      <c r="Y35" s="67">
        <f t="shared" si="30"/>
        <v>0</v>
      </c>
      <c r="Z35" s="67">
        <f t="shared" si="30"/>
        <v>0</v>
      </c>
      <c r="AA35" s="67">
        <f t="shared" si="30"/>
        <v>0</v>
      </c>
      <c r="AB35" s="67">
        <f t="shared" si="30"/>
        <v>0</v>
      </c>
      <c r="AC35" s="67">
        <f t="shared" si="30"/>
        <v>0</v>
      </c>
      <c r="AD35" s="67">
        <f t="shared" si="30"/>
        <v>0</v>
      </c>
      <c r="AE35" s="67">
        <f t="shared" si="30"/>
        <v>0</v>
      </c>
      <c r="AF35" s="67">
        <f t="shared" si="30"/>
        <v>0</v>
      </c>
      <c r="AG35" s="67">
        <f t="shared" si="30"/>
        <v>0</v>
      </c>
      <c r="AH35" s="67">
        <f t="shared" si="30"/>
        <v>0</v>
      </c>
      <c r="AI35" s="67">
        <f t="shared" ref="AI35:BN35" si="31">AI32+AI33+AI34</f>
        <v>0</v>
      </c>
      <c r="AJ35" s="67">
        <f t="shared" si="31"/>
        <v>0</v>
      </c>
      <c r="AK35" s="67">
        <f t="shared" si="31"/>
        <v>0</v>
      </c>
      <c r="AL35" s="67">
        <f t="shared" si="31"/>
        <v>0</v>
      </c>
      <c r="AM35" s="67">
        <f t="shared" si="31"/>
        <v>0</v>
      </c>
      <c r="AN35" s="67">
        <f t="shared" si="31"/>
        <v>0</v>
      </c>
      <c r="AO35" s="67">
        <f t="shared" si="31"/>
        <v>0</v>
      </c>
      <c r="AP35" s="67">
        <f t="shared" si="31"/>
        <v>0</v>
      </c>
      <c r="AQ35" s="67">
        <f t="shared" si="31"/>
        <v>0</v>
      </c>
      <c r="AR35" s="67">
        <f t="shared" si="31"/>
        <v>0</v>
      </c>
      <c r="AS35" s="67">
        <f t="shared" si="31"/>
        <v>0</v>
      </c>
      <c r="AT35" s="67">
        <f t="shared" si="31"/>
        <v>0</v>
      </c>
      <c r="AU35" s="67">
        <f t="shared" si="31"/>
        <v>0</v>
      </c>
      <c r="AV35" s="67">
        <f t="shared" si="31"/>
        <v>0</v>
      </c>
      <c r="AW35" s="67">
        <f t="shared" si="31"/>
        <v>0</v>
      </c>
      <c r="AX35" s="67">
        <f t="shared" si="31"/>
        <v>0</v>
      </c>
      <c r="AY35" s="67">
        <f t="shared" si="31"/>
        <v>0</v>
      </c>
      <c r="AZ35" s="67">
        <f t="shared" si="31"/>
        <v>0</v>
      </c>
      <c r="BA35" s="67">
        <f t="shared" si="31"/>
        <v>0</v>
      </c>
      <c r="BB35" s="67">
        <f t="shared" si="31"/>
        <v>0</v>
      </c>
      <c r="BC35" s="67">
        <f t="shared" si="31"/>
        <v>0</v>
      </c>
      <c r="BD35" s="67">
        <f t="shared" si="31"/>
        <v>0</v>
      </c>
      <c r="BE35" s="67">
        <f t="shared" si="31"/>
        <v>0</v>
      </c>
      <c r="BF35" s="67">
        <f t="shared" si="31"/>
        <v>0</v>
      </c>
      <c r="BG35" s="67">
        <f t="shared" si="31"/>
        <v>0</v>
      </c>
      <c r="BH35" s="67">
        <f t="shared" si="31"/>
        <v>0</v>
      </c>
      <c r="BI35" s="67">
        <f t="shared" si="31"/>
        <v>0</v>
      </c>
      <c r="BJ35" s="67">
        <f t="shared" si="31"/>
        <v>0</v>
      </c>
      <c r="BK35" s="67">
        <f t="shared" si="31"/>
        <v>0</v>
      </c>
      <c r="BL35" s="67">
        <f t="shared" si="31"/>
        <v>0</v>
      </c>
      <c r="BM35" s="67">
        <f t="shared" si="31"/>
        <v>0</v>
      </c>
      <c r="BN35" s="67">
        <f t="shared" si="31"/>
        <v>0</v>
      </c>
      <c r="BO35" s="67">
        <f t="shared" ref="BO35:CT35" si="32">BO32+BO33+BO34</f>
        <v>0</v>
      </c>
      <c r="BP35" s="67">
        <f t="shared" si="32"/>
        <v>0</v>
      </c>
      <c r="BQ35" s="67">
        <f t="shared" si="32"/>
        <v>0</v>
      </c>
      <c r="BR35" s="67">
        <f t="shared" si="32"/>
        <v>0</v>
      </c>
      <c r="BS35" s="67">
        <f t="shared" si="32"/>
        <v>0</v>
      </c>
      <c r="BT35" s="67">
        <f t="shared" si="32"/>
        <v>0</v>
      </c>
      <c r="BU35" s="67">
        <f t="shared" si="32"/>
        <v>0</v>
      </c>
      <c r="BV35" s="67">
        <f t="shared" si="32"/>
        <v>0</v>
      </c>
      <c r="BW35" s="67">
        <f t="shared" si="32"/>
        <v>0</v>
      </c>
      <c r="BX35" s="67">
        <f t="shared" si="32"/>
        <v>0</v>
      </c>
      <c r="BY35" s="67">
        <f t="shared" si="32"/>
        <v>0</v>
      </c>
      <c r="BZ35" s="67">
        <f t="shared" si="32"/>
        <v>0</v>
      </c>
      <c r="CA35" s="67">
        <f t="shared" si="32"/>
        <v>0</v>
      </c>
      <c r="CB35" s="67">
        <f t="shared" si="32"/>
        <v>0</v>
      </c>
      <c r="CC35" s="67">
        <f t="shared" si="32"/>
        <v>0</v>
      </c>
      <c r="CD35" s="67">
        <f t="shared" si="32"/>
        <v>0</v>
      </c>
      <c r="CE35" s="67">
        <f t="shared" si="32"/>
        <v>0</v>
      </c>
      <c r="CF35" s="67">
        <f t="shared" si="32"/>
        <v>0</v>
      </c>
      <c r="CG35" s="67">
        <f t="shared" si="32"/>
        <v>0</v>
      </c>
      <c r="CH35" s="67">
        <f t="shared" si="32"/>
        <v>6608.0266064792231</v>
      </c>
    </row>
    <row r="36" spans="1:86" ht="15" customHeight="1" x14ac:dyDescent="0.25">
      <c r="A36" s="60" t="s">
        <v>278</v>
      </c>
      <c r="B36" s="1"/>
      <c r="C36" s="68">
        <f>C35</f>
        <v>0</v>
      </c>
      <c r="D36" s="68">
        <f t="shared" ref="D36:AI36" si="33">C36+D35</f>
        <v>0</v>
      </c>
      <c r="E36" s="68">
        <f t="shared" si="33"/>
        <v>0</v>
      </c>
      <c r="F36" s="68">
        <f t="shared" si="33"/>
        <v>0</v>
      </c>
      <c r="G36" s="68">
        <f t="shared" si="33"/>
        <v>0</v>
      </c>
      <c r="H36" s="68">
        <f t="shared" si="33"/>
        <v>0</v>
      </c>
      <c r="I36" s="68">
        <f t="shared" si="33"/>
        <v>0</v>
      </c>
      <c r="J36" s="68">
        <f t="shared" si="33"/>
        <v>0</v>
      </c>
      <c r="K36" s="68">
        <f t="shared" si="33"/>
        <v>0</v>
      </c>
      <c r="L36" s="68">
        <f t="shared" si="33"/>
        <v>0</v>
      </c>
      <c r="M36" s="68">
        <f t="shared" si="33"/>
        <v>0</v>
      </c>
      <c r="N36" s="68">
        <f t="shared" si="33"/>
        <v>0</v>
      </c>
      <c r="O36" s="68">
        <f t="shared" si="33"/>
        <v>0</v>
      </c>
      <c r="P36" s="68">
        <f t="shared" si="33"/>
        <v>0</v>
      </c>
      <c r="Q36" s="68">
        <f t="shared" si="33"/>
        <v>0</v>
      </c>
      <c r="R36" s="68">
        <f t="shared" si="33"/>
        <v>0</v>
      </c>
      <c r="S36" s="68">
        <f t="shared" si="33"/>
        <v>0</v>
      </c>
      <c r="T36" s="68">
        <f t="shared" si="33"/>
        <v>0</v>
      </c>
      <c r="U36" s="68">
        <f t="shared" si="33"/>
        <v>0</v>
      </c>
      <c r="V36" s="68">
        <f t="shared" si="33"/>
        <v>0</v>
      </c>
      <c r="W36" s="68">
        <f t="shared" si="33"/>
        <v>0</v>
      </c>
      <c r="X36" s="68">
        <f t="shared" si="33"/>
        <v>0</v>
      </c>
      <c r="Y36" s="68">
        <f t="shared" si="33"/>
        <v>0</v>
      </c>
      <c r="Z36" s="68">
        <f t="shared" si="33"/>
        <v>0</v>
      </c>
      <c r="AA36" s="68">
        <f t="shared" si="33"/>
        <v>0</v>
      </c>
      <c r="AB36" s="68">
        <f t="shared" si="33"/>
        <v>0</v>
      </c>
      <c r="AC36" s="68">
        <f t="shared" si="33"/>
        <v>0</v>
      </c>
      <c r="AD36" s="68">
        <f t="shared" si="33"/>
        <v>0</v>
      </c>
      <c r="AE36" s="68">
        <f t="shared" si="33"/>
        <v>0</v>
      </c>
      <c r="AF36" s="68">
        <f t="shared" si="33"/>
        <v>0</v>
      </c>
      <c r="AG36" s="68">
        <f t="shared" si="33"/>
        <v>0</v>
      </c>
      <c r="AH36" s="68">
        <f t="shared" si="33"/>
        <v>0</v>
      </c>
      <c r="AI36" s="68">
        <f t="shared" si="33"/>
        <v>0</v>
      </c>
      <c r="AJ36" s="68">
        <f t="shared" ref="AJ36:BO36" si="34">AI36+AJ35</f>
        <v>0</v>
      </c>
      <c r="AK36" s="68">
        <f t="shared" si="34"/>
        <v>0</v>
      </c>
      <c r="AL36" s="68">
        <f t="shared" si="34"/>
        <v>0</v>
      </c>
      <c r="AM36" s="68">
        <f t="shared" si="34"/>
        <v>0</v>
      </c>
      <c r="AN36" s="68">
        <f t="shared" si="34"/>
        <v>0</v>
      </c>
      <c r="AO36" s="68">
        <f t="shared" si="34"/>
        <v>0</v>
      </c>
      <c r="AP36" s="68">
        <f t="shared" si="34"/>
        <v>0</v>
      </c>
      <c r="AQ36" s="68">
        <f t="shared" si="34"/>
        <v>0</v>
      </c>
      <c r="AR36" s="68">
        <f t="shared" si="34"/>
        <v>0</v>
      </c>
      <c r="AS36" s="68">
        <f t="shared" si="34"/>
        <v>0</v>
      </c>
      <c r="AT36" s="68">
        <f t="shared" si="34"/>
        <v>0</v>
      </c>
      <c r="AU36" s="68">
        <f t="shared" si="34"/>
        <v>0</v>
      </c>
      <c r="AV36" s="68">
        <f t="shared" si="34"/>
        <v>0</v>
      </c>
      <c r="AW36" s="68">
        <f t="shared" si="34"/>
        <v>0</v>
      </c>
      <c r="AX36" s="68">
        <f t="shared" si="34"/>
        <v>0</v>
      </c>
      <c r="AY36" s="68">
        <f t="shared" si="34"/>
        <v>0</v>
      </c>
      <c r="AZ36" s="68">
        <f t="shared" si="34"/>
        <v>0</v>
      </c>
      <c r="BA36" s="68">
        <f t="shared" si="34"/>
        <v>0</v>
      </c>
      <c r="BB36" s="68">
        <f t="shared" si="34"/>
        <v>0</v>
      </c>
      <c r="BC36" s="68">
        <f t="shared" si="34"/>
        <v>0</v>
      </c>
      <c r="BD36" s="68">
        <f t="shared" si="34"/>
        <v>0</v>
      </c>
      <c r="BE36" s="68">
        <f t="shared" si="34"/>
        <v>0</v>
      </c>
      <c r="BF36" s="68">
        <f t="shared" si="34"/>
        <v>0</v>
      </c>
      <c r="BG36" s="68">
        <f t="shared" si="34"/>
        <v>0</v>
      </c>
      <c r="BH36" s="68">
        <f t="shared" si="34"/>
        <v>0</v>
      </c>
      <c r="BI36" s="68">
        <f t="shared" si="34"/>
        <v>0</v>
      </c>
      <c r="BJ36" s="68">
        <f t="shared" si="34"/>
        <v>0</v>
      </c>
      <c r="BK36" s="68">
        <f t="shared" si="34"/>
        <v>0</v>
      </c>
      <c r="BL36" s="68">
        <f t="shared" si="34"/>
        <v>0</v>
      </c>
      <c r="BM36" s="68">
        <f t="shared" si="34"/>
        <v>0</v>
      </c>
      <c r="BN36" s="68">
        <f t="shared" si="34"/>
        <v>0</v>
      </c>
      <c r="BO36" s="68">
        <f t="shared" si="34"/>
        <v>0</v>
      </c>
      <c r="BP36" s="68">
        <f t="shared" ref="BP36:CU36" si="35">BO36+BP35</f>
        <v>0</v>
      </c>
      <c r="BQ36" s="68">
        <f t="shared" si="35"/>
        <v>0</v>
      </c>
      <c r="BR36" s="68">
        <f t="shared" si="35"/>
        <v>0</v>
      </c>
      <c r="BS36" s="68">
        <f t="shared" si="35"/>
        <v>0</v>
      </c>
      <c r="BT36" s="68">
        <f t="shared" si="35"/>
        <v>0</v>
      </c>
      <c r="BU36" s="68">
        <f t="shared" si="35"/>
        <v>0</v>
      </c>
      <c r="BV36" s="68">
        <f t="shared" si="35"/>
        <v>0</v>
      </c>
      <c r="BW36" s="68">
        <f t="shared" si="35"/>
        <v>0</v>
      </c>
      <c r="BX36" s="68">
        <f t="shared" si="35"/>
        <v>0</v>
      </c>
      <c r="BY36" s="68">
        <f t="shared" si="35"/>
        <v>0</v>
      </c>
      <c r="BZ36" s="68">
        <f t="shared" si="35"/>
        <v>0</v>
      </c>
      <c r="CA36" s="68">
        <f t="shared" si="35"/>
        <v>0</v>
      </c>
      <c r="CB36" s="68">
        <f t="shared" si="35"/>
        <v>0</v>
      </c>
      <c r="CC36" s="68">
        <f t="shared" si="35"/>
        <v>0</v>
      </c>
      <c r="CD36" s="68">
        <f t="shared" si="35"/>
        <v>0</v>
      </c>
      <c r="CE36" s="68">
        <f t="shared" si="35"/>
        <v>0</v>
      </c>
      <c r="CF36" s="68">
        <f t="shared" si="35"/>
        <v>0</v>
      </c>
      <c r="CG36" s="68">
        <f t="shared" si="35"/>
        <v>0</v>
      </c>
      <c r="CH36" s="68">
        <f t="shared" si="35"/>
        <v>6608.0266064792231</v>
      </c>
    </row>
    <row r="37" spans="1:86" ht="15" customHeigh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</row>
    <row r="38" spans="1:86" ht="15" customHeight="1" x14ac:dyDescent="0.25">
      <c r="A38" s="6" t="s">
        <v>123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</row>
    <row r="39" spans="1:86" ht="15" customHeight="1" x14ac:dyDescent="0.25">
      <c r="A39" s="16" t="s">
        <v>276</v>
      </c>
      <c r="B39" s="1"/>
      <c r="C39" s="66">
        <v>0</v>
      </c>
      <c r="D39" s="66">
        <v>0</v>
      </c>
      <c r="E39" s="66">
        <v>0</v>
      </c>
      <c r="F39" s="66">
        <v>0</v>
      </c>
      <c r="G39" s="66">
        <v>0</v>
      </c>
      <c r="H39" s="66">
        <v>0</v>
      </c>
      <c r="I39" s="66">
        <v>0</v>
      </c>
      <c r="J39" s="66">
        <v>0</v>
      </c>
      <c r="K39" s="66">
        <v>0</v>
      </c>
      <c r="L39" s="66">
        <v>0</v>
      </c>
      <c r="M39" s="66">
        <v>0</v>
      </c>
      <c r="N39" s="66">
        <v>0</v>
      </c>
      <c r="O39" s="66">
        <v>0</v>
      </c>
      <c r="P39" s="66">
        <v>0</v>
      </c>
      <c r="Q39" s="66">
        <v>0</v>
      </c>
      <c r="R39" s="66">
        <v>0</v>
      </c>
      <c r="S39" s="66">
        <v>0</v>
      </c>
      <c r="T39" s="66">
        <v>0</v>
      </c>
      <c r="U39" s="66">
        <v>0</v>
      </c>
      <c r="V39" s="66">
        <v>0</v>
      </c>
      <c r="W39" s="66">
        <v>0</v>
      </c>
      <c r="X39" s="66">
        <v>0</v>
      </c>
      <c r="Y39" s="66">
        <v>0</v>
      </c>
      <c r="Z39" s="66">
        <v>0</v>
      </c>
      <c r="AA39" s="66">
        <v>0</v>
      </c>
      <c r="AB39" s="66">
        <v>0</v>
      </c>
      <c r="AC39" s="66">
        <v>0</v>
      </c>
      <c r="AD39" s="66">
        <v>0</v>
      </c>
      <c r="AE39" s="66">
        <v>0</v>
      </c>
      <c r="AF39" s="66">
        <v>0</v>
      </c>
      <c r="AG39" s="66">
        <v>0</v>
      </c>
      <c r="AH39" s="66">
        <v>0</v>
      </c>
      <c r="AI39" s="66">
        <v>0</v>
      </c>
      <c r="AJ39" s="66">
        <v>0</v>
      </c>
      <c r="AK39" s="66">
        <v>0</v>
      </c>
      <c r="AL39" s="66">
        <v>0</v>
      </c>
      <c r="AM39" s="66">
        <v>0</v>
      </c>
      <c r="AN39" s="66">
        <v>0</v>
      </c>
      <c r="AO39" s="66">
        <v>0</v>
      </c>
      <c r="AP39" s="66">
        <v>0</v>
      </c>
      <c r="AQ39" s="66">
        <v>0</v>
      </c>
      <c r="AR39" s="66">
        <v>0</v>
      </c>
      <c r="AS39" s="66">
        <v>0</v>
      </c>
      <c r="AT39" s="66">
        <v>0</v>
      </c>
      <c r="AU39" s="66">
        <v>0</v>
      </c>
      <c r="AV39" s="66">
        <v>0</v>
      </c>
      <c r="AW39" s="66">
        <v>0</v>
      </c>
      <c r="AX39" s="66">
        <v>0</v>
      </c>
      <c r="AY39" s="66">
        <v>0</v>
      </c>
      <c r="AZ39" s="66">
        <v>0</v>
      </c>
      <c r="BA39" s="66">
        <v>0</v>
      </c>
      <c r="BB39" s="66">
        <v>0</v>
      </c>
      <c r="BC39" s="66">
        <v>0</v>
      </c>
      <c r="BD39" s="66">
        <v>0</v>
      </c>
      <c r="BE39" s="66">
        <v>0</v>
      </c>
      <c r="BF39" s="66">
        <v>0</v>
      </c>
      <c r="BG39" s="66">
        <v>0</v>
      </c>
      <c r="BH39" s="66">
        <v>0</v>
      </c>
      <c r="BI39" s="66">
        <v>0</v>
      </c>
      <c r="BJ39" s="66">
        <v>0</v>
      </c>
      <c r="BK39" s="66">
        <v>0</v>
      </c>
      <c r="BL39" s="66">
        <v>0</v>
      </c>
      <c r="BM39" s="66">
        <v>0</v>
      </c>
      <c r="BN39" s="66">
        <v>0</v>
      </c>
      <c r="BO39" s="66">
        <v>0</v>
      </c>
      <c r="BP39" s="66">
        <v>0</v>
      </c>
      <c r="BQ39" s="66">
        <v>0</v>
      </c>
      <c r="BR39" s="66">
        <v>0</v>
      </c>
      <c r="BS39" s="66">
        <v>0</v>
      </c>
      <c r="BT39" s="66">
        <v>0</v>
      </c>
      <c r="BU39" s="66">
        <v>0</v>
      </c>
      <c r="BV39" s="66">
        <v>0</v>
      </c>
      <c r="BW39" s="66">
        <v>0</v>
      </c>
      <c r="BX39" s="66">
        <v>0</v>
      </c>
      <c r="BY39" s="66">
        <v>0</v>
      </c>
      <c r="BZ39" s="66">
        <v>0</v>
      </c>
      <c r="CA39" s="66">
        <v>0</v>
      </c>
      <c r="CB39" s="66">
        <v>0</v>
      </c>
      <c r="CC39" s="66">
        <v>0</v>
      </c>
      <c r="CD39" s="66">
        <v>0</v>
      </c>
      <c r="CE39" s="66">
        <v>0</v>
      </c>
      <c r="CF39" s="66">
        <v>0</v>
      </c>
      <c r="CG39" s="66">
        <v>0</v>
      </c>
      <c r="CH39" s="66">
        <v>0</v>
      </c>
    </row>
    <row r="40" spans="1:86" ht="15" customHeight="1" x14ac:dyDescent="0.25">
      <c r="A40" s="69" t="s">
        <v>280</v>
      </c>
      <c r="B40" s="1"/>
      <c r="C40" s="70">
        <f>Model!C84</f>
        <v>0</v>
      </c>
      <c r="D40" s="70">
        <f>Model!D84</f>
        <v>0</v>
      </c>
      <c r="E40" s="70">
        <f>Model!E84</f>
        <v>0</v>
      </c>
      <c r="F40" s="70">
        <f>Model!F84</f>
        <v>0</v>
      </c>
      <c r="G40" s="70">
        <f>Model!G84</f>
        <v>0</v>
      </c>
      <c r="H40" s="70">
        <f>Model!H84</f>
        <v>0</v>
      </c>
      <c r="I40" s="70">
        <f>Model!I84</f>
        <v>0</v>
      </c>
      <c r="J40" s="70">
        <f>Model!J84</f>
        <v>0</v>
      </c>
      <c r="K40" s="70">
        <f>Model!K84</f>
        <v>0</v>
      </c>
      <c r="L40" s="70">
        <f>Model!L84</f>
        <v>0</v>
      </c>
      <c r="M40" s="70">
        <f>Model!M84</f>
        <v>0</v>
      </c>
      <c r="N40" s="70">
        <f>Model!N84</f>
        <v>0</v>
      </c>
      <c r="O40" s="70">
        <f>Model!O84</f>
        <v>0</v>
      </c>
      <c r="P40" s="70">
        <f>Model!P84</f>
        <v>0</v>
      </c>
      <c r="Q40" s="70">
        <f>Model!Q84</f>
        <v>0</v>
      </c>
      <c r="R40" s="70">
        <f>Model!R84</f>
        <v>0</v>
      </c>
      <c r="S40" s="70">
        <f>Model!S84</f>
        <v>0</v>
      </c>
      <c r="T40" s="70">
        <f>Model!T84</f>
        <v>0</v>
      </c>
      <c r="U40" s="70">
        <f>Model!U84</f>
        <v>0</v>
      </c>
      <c r="V40" s="70">
        <f>Model!V84</f>
        <v>0</v>
      </c>
      <c r="W40" s="70">
        <f>Model!W84</f>
        <v>0</v>
      </c>
      <c r="X40" s="70">
        <f>Model!X84</f>
        <v>0</v>
      </c>
      <c r="Y40" s="70">
        <f>Model!Y84</f>
        <v>0</v>
      </c>
      <c r="Z40" s="70">
        <f>Model!Z84</f>
        <v>0</v>
      </c>
      <c r="AA40" s="70">
        <f>Model!AA84</f>
        <v>0</v>
      </c>
      <c r="AB40" s="70">
        <f>Model!AB84</f>
        <v>0</v>
      </c>
      <c r="AC40" s="70">
        <f>Model!AC84</f>
        <v>0</v>
      </c>
      <c r="AD40" s="70">
        <f>Model!AD84</f>
        <v>0</v>
      </c>
      <c r="AE40" s="70">
        <f>Model!AE84</f>
        <v>0</v>
      </c>
      <c r="AF40" s="70">
        <f>Model!AF84</f>
        <v>0</v>
      </c>
      <c r="AG40" s="70">
        <f>Model!AG84</f>
        <v>0</v>
      </c>
      <c r="AH40" s="70">
        <f>Model!AH84</f>
        <v>0</v>
      </c>
      <c r="AI40" s="70">
        <f>Model!AI84</f>
        <v>0</v>
      </c>
      <c r="AJ40" s="70">
        <f>Model!AJ84</f>
        <v>0</v>
      </c>
      <c r="AK40" s="70">
        <f>Model!AK84</f>
        <v>0</v>
      </c>
      <c r="AL40" s="70">
        <f>Model!AL84</f>
        <v>0</v>
      </c>
      <c r="AM40" s="70">
        <f>Model!AM84</f>
        <v>0</v>
      </c>
      <c r="AN40" s="70">
        <f>Model!AN84</f>
        <v>0</v>
      </c>
      <c r="AO40" s="70">
        <f>Model!AO84</f>
        <v>0</v>
      </c>
      <c r="AP40" s="70">
        <f>Model!AP84</f>
        <v>0</v>
      </c>
      <c r="AQ40" s="70">
        <f>Model!AQ84</f>
        <v>0</v>
      </c>
      <c r="AR40" s="70">
        <f>Model!AR84</f>
        <v>0</v>
      </c>
      <c r="AS40" s="70">
        <f>Model!AS84</f>
        <v>0</v>
      </c>
      <c r="AT40" s="70">
        <f>Model!AT84</f>
        <v>0</v>
      </c>
      <c r="AU40" s="70">
        <f>Model!AU84</f>
        <v>0</v>
      </c>
      <c r="AV40" s="70">
        <f>Model!AV84</f>
        <v>0</v>
      </c>
      <c r="AW40" s="70">
        <f>Model!AW84</f>
        <v>0</v>
      </c>
      <c r="AX40" s="70">
        <f>Model!AX84</f>
        <v>0</v>
      </c>
      <c r="AY40" s="70">
        <f>Model!AY84</f>
        <v>0</v>
      </c>
      <c r="AZ40" s="70">
        <f>Model!AZ84</f>
        <v>0</v>
      </c>
      <c r="BA40" s="70">
        <f>Model!BA84</f>
        <v>0</v>
      </c>
      <c r="BB40" s="70">
        <f>Model!BB84</f>
        <v>0</v>
      </c>
      <c r="BC40" s="70">
        <f>Model!BC84</f>
        <v>0</v>
      </c>
      <c r="BD40" s="70">
        <f>Model!BD84</f>
        <v>0</v>
      </c>
      <c r="BE40" s="70">
        <f>Model!BE84</f>
        <v>0</v>
      </c>
      <c r="BF40" s="70">
        <f>Model!BF84</f>
        <v>0</v>
      </c>
      <c r="BG40" s="70">
        <f>Model!BG84</f>
        <v>0</v>
      </c>
      <c r="BH40" s="70">
        <f>Model!BH84</f>
        <v>0</v>
      </c>
      <c r="BI40" s="70">
        <f>Model!BI84</f>
        <v>0</v>
      </c>
      <c r="BJ40" s="70">
        <f>Model!BJ84</f>
        <v>0</v>
      </c>
      <c r="BK40" s="70">
        <f>Model!BK84</f>
        <v>0</v>
      </c>
      <c r="BL40" s="70">
        <f>Model!BL84</f>
        <v>0</v>
      </c>
      <c r="BM40" s="70">
        <f>Model!BM84</f>
        <v>0</v>
      </c>
      <c r="BN40" s="70">
        <f>Model!BN84</f>
        <v>0</v>
      </c>
      <c r="BO40" s="70">
        <f>Model!BO84</f>
        <v>0</v>
      </c>
      <c r="BP40" s="70">
        <f>Model!BP84</f>
        <v>0</v>
      </c>
      <c r="BQ40" s="70">
        <f>Model!BQ84</f>
        <v>0</v>
      </c>
      <c r="BR40" s="70">
        <f>Model!BR84</f>
        <v>0</v>
      </c>
      <c r="BS40" s="70">
        <f>Model!BS84</f>
        <v>0</v>
      </c>
      <c r="BT40" s="70">
        <f>Model!BT84</f>
        <v>0</v>
      </c>
      <c r="BU40" s="70">
        <f>Model!BU84</f>
        <v>0</v>
      </c>
      <c r="BV40" s="70">
        <f>Model!BV84</f>
        <v>0</v>
      </c>
      <c r="BW40" s="70">
        <f>Model!BW84</f>
        <v>0</v>
      </c>
      <c r="BX40" s="70">
        <f>Model!BX84</f>
        <v>0</v>
      </c>
      <c r="BY40" s="70">
        <f>Model!BY84</f>
        <v>-73156</v>
      </c>
      <c r="BZ40" s="70">
        <f>Model!BZ84</f>
        <v>0</v>
      </c>
      <c r="CA40" s="70">
        <f>Model!CA84</f>
        <v>0</v>
      </c>
      <c r="CB40" s="70">
        <f>Model!CB84</f>
        <v>-73155</v>
      </c>
      <c r="CC40" s="70">
        <f>Model!CC84</f>
        <v>0</v>
      </c>
      <c r="CD40" s="70">
        <f>Model!CD84</f>
        <v>0</v>
      </c>
      <c r="CE40" s="70">
        <f>Model!CE84</f>
        <v>-73155</v>
      </c>
      <c r="CF40" s="70">
        <f>Model!CF84</f>
        <v>0</v>
      </c>
      <c r="CG40" s="70">
        <f>Model!CG84</f>
        <v>0</v>
      </c>
      <c r="CH40" s="70">
        <f>Model!CH84</f>
        <v>-73155</v>
      </c>
    </row>
    <row r="41" spans="1:86" ht="15" customHeight="1" x14ac:dyDescent="0.25">
      <c r="A41" s="28" t="s">
        <v>277</v>
      </c>
      <c r="B41" s="28"/>
      <c r="C41" s="67">
        <f t="shared" ref="C41:AH41" si="36">C39+C40</f>
        <v>0</v>
      </c>
      <c r="D41" s="67">
        <f t="shared" si="36"/>
        <v>0</v>
      </c>
      <c r="E41" s="67">
        <f t="shared" si="36"/>
        <v>0</v>
      </c>
      <c r="F41" s="67">
        <f t="shared" si="36"/>
        <v>0</v>
      </c>
      <c r="G41" s="67">
        <f t="shared" si="36"/>
        <v>0</v>
      </c>
      <c r="H41" s="67">
        <f t="shared" si="36"/>
        <v>0</v>
      </c>
      <c r="I41" s="67">
        <f t="shared" si="36"/>
        <v>0</v>
      </c>
      <c r="J41" s="67">
        <f t="shared" si="36"/>
        <v>0</v>
      </c>
      <c r="K41" s="67">
        <f t="shared" si="36"/>
        <v>0</v>
      </c>
      <c r="L41" s="67">
        <f t="shared" si="36"/>
        <v>0</v>
      </c>
      <c r="M41" s="67">
        <f t="shared" si="36"/>
        <v>0</v>
      </c>
      <c r="N41" s="67">
        <f t="shared" si="36"/>
        <v>0</v>
      </c>
      <c r="O41" s="67">
        <f t="shared" si="36"/>
        <v>0</v>
      </c>
      <c r="P41" s="67">
        <f t="shared" si="36"/>
        <v>0</v>
      </c>
      <c r="Q41" s="67">
        <f t="shared" si="36"/>
        <v>0</v>
      </c>
      <c r="R41" s="67">
        <f t="shared" si="36"/>
        <v>0</v>
      </c>
      <c r="S41" s="67">
        <f t="shared" si="36"/>
        <v>0</v>
      </c>
      <c r="T41" s="67">
        <f t="shared" si="36"/>
        <v>0</v>
      </c>
      <c r="U41" s="67">
        <f t="shared" si="36"/>
        <v>0</v>
      </c>
      <c r="V41" s="67">
        <f t="shared" si="36"/>
        <v>0</v>
      </c>
      <c r="W41" s="67">
        <f t="shared" si="36"/>
        <v>0</v>
      </c>
      <c r="X41" s="67">
        <f t="shared" si="36"/>
        <v>0</v>
      </c>
      <c r="Y41" s="67">
        <f t="shared" si="36"/>
        <v>0</v>
      </c>
      <c r="Z41" s="67">
        <f t="shared" si="36"/>
        <v>0</v>
      </c>
      <c r="AA41" s="67">
        <f t="shared" si="36"/>
        <v>0</v>
      </c>
      <c r="AB41" s="67">
        <f t="shared" si="36"/>
        <v>0</v>
      </c>
      <c r="AC41" s="67">
        <f t="shared" si="36"/>
        <v>0</v>
      </c>
      <c r="AD41" s="67">
        <f t="shared" si="36"/>
        <v>0</v>
      </c>
      <c r="AE41" s="67">
        <f t="shared" si="36"/>
        <v>0</v>
      </c>
      <c r="AF41" s="67">
        <f t="shared" si="36"/>
        <v>0</v>
      </c>
      <c r="AG41" s="67">
        <f t="shared" si="36"/>
        <v>0</v>
      </c>
      <c r="AH41" s="67">
        <f t="shared" si="36"/>
        <v>0</v>
      </c>
      <c r="AI41" s="67">
        <f t="shared" ref="AI41:BN41" si="37">AI39+AI40</f>
        <v>0</v>
      </c>
      <c r="AJ41" s="67">
        <f t="shared" si="37"/>
        <v>0</v>
      </c>
      <c r="AK41" s="67">
        <f t="shared" si="37"/>
        <v>0</v>
      </c>
      <c r="AL41" s="67">
        <f t="shared" si="37"/>
        <v>0</v>
      </c>
      <c r="AM41" s="67">
        <f t="shared" si="37"/>
        <v>0</v>
      </c>
      <c r="AN41" s="67">
        <f t="shared" si="37"/>
        <v>0</v>
      </c>
      <c r="AO41" s="67">
        <f t="shared" si="37"/>
        <v>0</v>
      </c>
      <c r="AP41" s="67">
        <f t="shared" si="37"/>
        <v>0</v>
      </c>
      <c r="AQ41" s="67">
        <f t="shared" si="37"/>
        <v>0</v>
      </c>
      <c r="AR41" s="67">
        <f t="shared" si="37"/>
        <v>0</v>
      </c>
      <c r="AS41" s="67">
        <f t="shared" si="37"/>
        <v>0</v>
      </c>
      <c r="AT41" s="67">
        <f t="shared" si="37"/>
        <v>0</v>
      </c>
      <c r="AU41" s="67">
        <f t="shared" si="37"/>
        <v>0</v>
      </c>
      <c r="AV41" s="67">
        <f t="shared" si="37"/>
        <v>0</v>
      </c>
      <c r="AW41" s="67">
        <f t="shared" si="37"/>
        <v>0</v>
      </c>
      <c r="AX41" s="67">
        <f t="shared" si="37"/>
        <v>0</v>
      </c>
      <c r="AY41" s="67">
        <f t="shared" si="37"/>
        <v>0</v>
      </c>
      <c r="AZ41" s="67">
        <f t="shared" si="37"/>
        <v>0</v>
      </c>
      <c r="BA41" s="67">
        <f t="shared" si="37"/>
        <v>0</v>
      </c>
      <c r="BB41" s="67">
        <f t="shared" si="37"/>
        <v>0</v>
      </c>
      <c r="BC41" s="67">
        <f t="shared" si="37"/>
        <v>0</v>
      </c>
      <c r="BD41" s="67">
        <f t="shared" si="37"/>
        <v>0</v>
      </c>
      <c r="BE41" s="67">
        <f t="shared" si="37"/>
        <v>0</v>
      </c>
      <c r="BF41" s="67">
        <f t="shared" si="37"/>
        <v>0</v>
      </c>
      <c r="BG41" s="67">
        <f t="shared" si="37"/>
        <v>0</v>
      </c>
      <c r="BH41" s="67">
        <f t="shared" si="37"/>
        <v>0</v>
      </c>
      <c r="BI41" s="67">
        <f t="shared" si="37"/>
        <v>0</v>
      </c>
      <c r="BJ41" s="67">
        <f t="shared" si="37"/>
        <v>0</v>
      </c>
      <c r="BK41" s="67">
        <f t="shared" si="37"/>
        <v>0</v>
      </c>
      <c r="BL41" s="67">
        <f t="shared" si="37"/>
        <v>0</v>
      </c>
      <c r="BM41" s="67">
        <f t="shared" si="37"/>
        <v>0</v>
      </c>
      <c r="BN41" s="67">
        <f t="shared" si="37"/>
        <v>0</v>
      </c>
      <c r="BO41" s="67">
        <f t="shared" ref="BO41:CT41" si="38">BO39+BO40</f>
        <v>0</v>
      </c>
      <c r="BP41" s="67">
        <f t="shared" si="38"/>
        <v>0</v>
      </c>
      <c r="BQ41" s="67">
        <f t="shared" si="38"/>
        <v>0</v>
      </c>
      <c r="BR41" s="67">
        <f t="shared" si="38"/>
        <v>0</v>
      </c>
      <c r="BS41" s="67">
        <f t="shared" si="38"/>
        <v>0</v>
      </c>
      <c r="BT41" s="67">
        <f t="shared" si="38"/>
        <v>0</v>
      </c>
      <c r="BU41" s="67">
        <f t="shared" si="38"/>
        <v>0</v>
      </c>
      <c r="BV41" s="67">
        <f t="shared" si="38"/>
        <v>0</v>
      </c>
      <c r="BW41" s="67">
        <f t="shared" si="38"/>
        <v>0</v>
      </c>
      <c r="BX41" s="67">
        <f t="shared" si="38"/>
        <v>0</v>
      </c>
      <c r="BY41" s="67">
        <f t="shared" si="38"/>
        <v>-73156</v>
      </c>
      <c r="BZ41" s="67">
        <f t="shared" si="38"/>
        <v>0</v>
      </c>
      <c r="CA41" s="67">
        <f t="shared" si="38"/>
        <v>0</v>
      </c>
      <c r="CB41" s="67">
        <f t="shared" si="38"/>
        <v>-73155</v>
      </c>
      <c r="CC41" s="67">
        <f t="shared" si="38"/>
        <v>0</v>
      </c>
      <c r="CD41" s="67">
        <f t="shared" si="38"/>
        <v>0</v>
      </c>
      <c r="CE41" s="67">
        <f t="shared" si="38"/>
        <v>-73155</v>
      </c>
      <c r="CF41" s="67">
        <f t="shared" si="38"/>
        <v>0</v>
      </c>
      <c r="CG41" s="67">
        <f t="shared" si="38"/>
        <v>0</v>
      </c>
      <c r="CH41" s="67">
        <f t="shared" si="38"/>
        <v>-73155</v>
      </c>
    </row>
    <row r="42" spans="1:86" ht="15" customHeight="1" x14ac:dyDescent="0.25">
      <c r="A42" s="60" t="s">
        <v>278</v>
      </c>
      <c r="B42" s="1"/>
      <c r="C42" s="68">
        <f>C41</f>
        <v>0</v>
      </c>
      <c r="D42" s="68">
        <f t="shared" ref="D42:AI42" si="39">C42+D41</f>
        <v>0</v>
      </c>
      <c r="E42" s="68">
        <f t="shared" si="39"/>
        <v>0</v>
      </c>
      <c r="F42" s="68">
        <f t="shared" si="39"/>
        <v>0</v>
      </c>
      <c r="G42" s="68">
        <f t="shared" si="39"/>
        <v>0</v>
      </c>
      <c r="H42" s="68">
        <f t="shared" si="39"/>
        <v>0</v>
      </c>
      <c r="I42" s="68">
        <f t="shared" si="39"/>
        <v>0</v>
      </c>
      <c r="J42" s="68">
        <f t="shared" si="39"/>
        <v>0</v>
      </c>
      <c r="K42" s="68">
        <f t="shared" si="39"/>
        <v>0</v>
      </c>
      <c r="L42" s="68">
        <f t="shared" si="39"/>
        <v>0</v>
      </c>
      <c r="M42" s="68">
        <f t="shared" si="39"/>
        <v>0</v>
      </c>
      <c r="N42" s="68">
        <f t="shared" si="39"/>
        <v>0</v>
      </c>
      <c r="O42" s="68">
        <f t="shared" si="39"/>
        <v>0</v>
      </c>
      <c r="P42" s="68">
        <f t="shared" si="39"/>
        <v>0</v>
      </c>
      <c r="Q42" s="68">
        <f t="shared" si="39"/>
        <v>0</v>
      </c>
      <c r="R42" s="68">
        <f t="shared" si="39"/>
        <v>0</v>
      </c>
      <c r="S42" s="68">
        <f t="shared" si="39"/>
        <v>0</v>
      </c>
      <c r="T42" s="68">
        <f t="shared" si="39"/>
        <v>0</v>
      </c>
      <c r="U42" s="68">
        <f t="shared" si="39"/>
        <v>0</v>
      </c>
      <c r="V42" s="68">
        <f t="shared" si="39"/>
        <v>0</v>
      </c>
      <c r="W42" s="68">
        <f t="shared" si="39"/>
        <v>0</v>
      </c>
      <c r="X42" s="68">
        <f t="shared" si="39"/>
        <v>0</v>
      </c>
      <c r="Y42" s="68">
        <f t="shared" si="39"/>
        <v>0</v>
      </c>
      <c r="Z42" s="68">
        <f t="shared" si="39"/>
        <v>0</v>
      </c>
      <c r="AA42" s="68">
        <f t="shared" si="39"/>
        <v>0</v>
      </c>
      <c r="AB42" s="68">
        <f t="shared" si="39"/>
        <v>0</v>
      </c>
      <c r="AC42" s="68">
        <f t="shared" si="39"/>
        <v>0</v>
      </c>
      <c r="AD42" s="68">
        <f t="shared" si="39"/>
        <v>0</v>
      </c>
      <c r="AE42" s="68">
        <f t="shared" si="39"/>
        <v>0</v>
      </c>
      <c r="AF42" s="68">
        <f t="shared" si="39"/>
        <v>0</v>
      </c>
      <c r="AG42" s="68">
        <f t="shared" si="39"/>
        <v>0</v>
      </c>
      <c r="AH42" s="68">
        <f t="shared" si="39"/>
        <v>0</v>
      </c>
      <c r="AI42" s="68">
        <f t="shared" si="39"/>
        <v>0</v>
      </c>
      <c r="AJ42" s="68">
        <f t="shared" ref="AJ42:BO42" si="40">AI42+AJ41</f>
        <v>0</v>
      </c>
      <c r="AK42" s="68">
        <f t="shared" si="40"/>
        <v>0</v>
      </c>
      <c r="AL42" s="68">
        <f t="shared" si="40"/>
        <v>0</v>
      </c>
      <c r="AM42" s="68">
        <f t="shared" si="40"/>
        <v>0</v>
      </c>
      <c r="AN42" s="68">
        <f t="shared" si="40"/>
        <v>0</v>
      </c>
      <c r="AO42" s="68">
        <f t="shared" si="40"/>
        <v>0</v>
      </c>
      <c r="AP42" s="68">
        <f t="shared" si="40"/>
        <v>0</v>
      </c>
      <c r="AQ42" s="68">
        <f t="shared" si="40"/>
        <v>0</v>
      </c>
      <c r="AR42" s="68">
        <f t="shared" si="40"/>
        <v>0</v>
      </c>
      <c r="AS42" s="68">
        <f t="shared" si="40"/>
        <v>0</v>
      </c>
      <c r="AT42" s="68">
        <f t="shared" si="40"/>
        <v>0</v>
      </c>
      <c r="AU42" s="68">
        <f t="shared" si="40"/>
        <v>0</v>
      </c>
      <c r="AV42" s="68">
        <f t="shared" si="40"/>
        <v>0</v>
      </c>
      <c r="AW42" s="68">
        <f t="shared" si="40"/>
        <v>0</v>
      </c>
      <c r="AX42" s="68">
        <f t="shared" si="40"/>
        <v>0</v>
      </c>
      <c r="AY42" s="68">
        <f t="shared" si="40"/>
        <v>0</v>
      </c>
      <c r="AZ42" s="68">
        <f t="shared" si="40"/>
        <v>0</v>
      </c>
      <c r="BA42" s="68">
        <f t="shared" si="40"/>
        <v>0</v>
      </c>
      <c r="BB42" s="68">
        <f t="shared" si="40"/>
        <v>0</v>
      </c>
      <c r="BC42" s="68">
        <f t="shared" si="40"/>
        <v>0</v>
      </c>
      <c r="BD42" s="68">
        <f t="shared" si="40"/>
        <v>0</v>
      </c>
      <c r="BE42" s="68">
        <f t="shared" si="40"/>
        <v>0</v>
      </c>
      <c r="BF42" s="68">
        <f t="shared" si="40"/>
        <v>0</v>
      </c>
      <c r="BG42" s="68">
        <f t="shared" si="40"/>
        <v>0</v>
      </c>
      <c r="BH42" s="68">
        <f t="shared" si="40"/>
        <v>0</v>
      </c>
      <c r="BI42" s="68">
        <f t="shared" si="40"/>
        <v>0</v>
      </c>
      <c r="BJ42" s="68">
        <f t="shared" si="40"/>
        <v>0</v>
      </c>
      <c r="BK42" s="68">
        <f t="shared" si="40"/>
        <v>0</v>
      </c>
      <c r="BL42" s="68">
        <f t="shared" si="40"/>
        <v>0</v>
      </c>
      <c r="BM42" s="68">
        <f t="shared" si="40"/>
        <v>0</v>
      </c>
      <c r="BN42" s="68">
        <f t="shared" si="40"/>
        <v>0</v>
      </c>
      <c r="BO42" s="68">
        <f t="shared" si="40"/>
        <v>0</v>
      </c>
      <c r="BP42" s="68">
        <f t="shared" ref="BP42:CU42" si="41">BO42+BP41</f>
        <v>0</v>
      </c>
      <c r="BQ42" s="68">
        <f t="shared" si="41"/>
        <v>0</v>
      </c>
      <c r="BR42" s="68">
        <f t="shared" si="41"/>
        <v>0</v>
      </c>
      <c r="BS42" s="68">
        <f t="shared" si="41"/>
        <v>0</v>
      </c>
      <c r="BT42" s="68">
        <f t="shared" si="41"/>
        <v>0</v>
      </c>
      <c r="BU42" s="68">
        <f t="shared" si="41"/>
        <v>0</v>
      </c>
      <c r="BV42" s="68">
        <f t="shared" si="41"/>
        <v>0</v>
      </c>
      <c r="BW42" s="68">
        <f t="shared" si="41"/>
        <v>0</v>
      </c>
      <c r="BX42" s="68">
        <f t="shared" si="41"/>
        <v>0</v>
      </c>
      <c r="BY42" s="68">
        <f t="shared" si="41"/>
        <v>-73156</v>
      </c>
      <c r="BZ42" s="68">
        <f t="shared" si="41"/>
        <v>-73156</v>
      </c>
      <c r="CA42" s="68">
        <f t="shared" si="41"/>
        <v>-73156</v>
      </c>
      <c r="CB42" s="68">
        <f t="shared" si="41"/>
        <v>-146311</v>
      </c>
      <c r="CC42" s="68">
        <f t="shared" si="41"/>
        <v>-146311</v>
      </c>
      <c r="CD42" s="68">
        <f t="shared" si="41"/>
        <v>-146311</v>
      </c>
      <c r="CE42" s="68">
        <f t="shared" si="41"/>
        <v>-219466</v>
      </c>
      <c r="CF42" s="68">
        <f t="shared" si="41"/>
        <v>-219466</v>
      </c>
      <c r="CG42" s="68">
        <f t="shared" si="41"/>
        <v>-219466</v>
      </c>
      <c r="CH42" s="68">
        <f t="shared" si="41"/>
        <v>-292621</v>
      </c>
    </row>
    <row r="43" spans="1:86" ht="15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</row>
    <row r="44" spans="1:86" ht="27.75" customHeight="1" x14ac:dyDescent="0.25">
      <c r="A44" s="26" t="s">
        <v>281</v>
      </c>
      <c r="B44" s="26"/>
      <c r="C44" s="26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  <c r="AM44" s="26"/>
      <c r="AN44" s="26"/>
      <c r="AO44" s="26"/>
      <c r="AP44" s="26"/>
      <c r="AQ44" s="26"/>
      <c r="AR44" s="26"/>
      <c r="AS44" s="26"/>
      <c r="AT44" s="26"/>
      <c r="AU44" s="26"/>
      <c r="AV44" s="26"/>
      <c r="AW44" s="26"/>
      <c r="AX44" s="26"/>
      <c r="AY44" s="26"/>
      <c r="AZ44" s="26"/>
      <c r="BA44" s="26"/>
      <c r="BB44" s="26"/>
      <c r="BC44" s="26"/>
      <c r="BD44" s="26"/>
      <c r="BE44" s="26"/>
      <c r="BF44" s="26"/>
      <c r="BG44" s="26"/>
      <c r="BH44" s="26"/>
      <c r="BI44" s="26"/>
      <c r="BJ44" s="26"/>
      <c r="BK44" s="26"/>
      <c r="BL44" s="26"/>
      <c r="BM44" s="26"/>
      <c r="BN44" s="26"/>
      <c r="BO44" s="26"/>
      <c r="BP44" s="26"/>
      <c r="BQ44" s="26"/>
      <c r="BR44" s="26"/>
      <c r="BS44" s="26"/>
      <c r="BT44" s="26"/>
      <c r="BU44" s="26"/>
      <c r="BV44" s="26"/>
      <c r="BW44" s="26"/>
      <c r="BX44" s="26"/>
      <c r="BY44" s="26"/>
      <c r="BZ44" s="26"/>
      <c r="CA44" s="26"/>
      <c r="CB44" s="26"/>
      <c r="CC44" s="26"/>
      <c r="CD44" s="26"/>
      <c r="CE44" s="26"/>
      <c r="CF44" s="26"/>
      <c r="CG44" s="26"/>
      <c r="CH44" s="26"/>
    </row>
    <row r="45" spans="1:86" ht="15" customHeight="1" x14ac:dyDescent="0.25">
      <c r="A45" s="28" t="s">
        <v>282</v>
      </c>
      <c r="B45" s="28"/>
      <c r="C45" s="67">
        <f t="shared" ref="C45:AH45" si="42">C5+C10+C16+C22+C28+C35+C41</f>
        <v>33281.25</v>
      </c>
      <c r="D45" s="67">
        <f t="shared" si="42"/>
        <v>33281.25</v>
      </c>
      <c r="E45" s="67">
        <f t="shared" si="42"/>
        <v>33281.25</v>
      </c>
      <c r="F45" s="67">
        <f t="shared" si="42"/>
        <v>33281.25</v>
      </c>
      <c r="G45" s="67">
        <f t="shared" si="42"/>
        <v>33281.25</v>
      </c>
      <c r="H45" s="67">
        <f t="shared" si="42"/>
        <v>33281.25</v>
      </c>
      <c r="I45" s="67">
        <f t="shared" si="42"/>
        <v>33281.25</v>
      </c>
      <c r="J45" s="67">
        <f t="shared" si="42"/>
        <v>23906.25</v>
      </c>
      <c r="K45" s="67">
        <f t="shared" si="42"/>
        <v>23906.25</v>
      </c>
      <c r="L45" s="67">
        <f t="shared" si="42"/>
        <v>23906.25</v>
      </c>
      <c r="M45" s="67">
        <f t="shared" si="42"/>
        <v>23906.25</v>
      </c>
      <c r="N45" s="67">
        <f t="shared" si="42"/>
        <v>23906.25</v>
      </c>
      <c r="O45" s="67">
        <f t="shared" si="42"/>
        <v>23906.25</v>
      </c>
      <c r="P45" s="67">
        <f t="shared" si="42"/>
        <v>23906.25</v>
      </c>
      <c r="Q45" s="67">
        <f t="shared" si="42"/>
        <v>23906.25</v>
      </c>
      <c r="R45" s="67">
        <f t="shared" si="42"/>
        <v>0</v>
      </c>
      <c r="S45" s="67">
        <f t="shared" si="42"/>
        <v>0</v>
      </c>
      <c r="T45" s="67">
        <f t="shared" si="42"/>
        <v>0</v>
      </c>
      <c r="U45" s="67">
        <f t="shared" si="42"/>
        <v>0</v>
      </c>
      <c r="V45" s="67">
        <f t="shared" si="42"/>
        <v>0</v>
      </c>
      <c r="W45" s="67">
        <f t="shared" si="42"/>
        <v>57375</v>
      </c>
      <c r="X45" s="67">
        <f t="shared" si="42"/>
        <v>0</v>
      </c>
      <c r="Y45" s="67">
        <f t="shared" si="42"/>
        <v>0</v>
      </c>
      <c r="Z45" s="67">
        <f t="shared" si="42"/>
        <v>57375</v>
      </c>
      <c r="AA45" s="67">
        <f t="shared" si="42"/>
        <v>0</v>
      </c>
      <c r="AB45" s="67">
        <f t="shared" si="42"/>
        <v>0</v>
      </c>
      <c r="AC45" s="67">
        <f t="shared" si="42"/>
        <v>57375</v>
      </c>
      <c r="AD45" s="67">
        <f t="shared" si="42"/>
        <v>0</v>
      </c>
      <c r="AE45" s="67">
        <f t="shared" si="42"/>
        <v>0</v>
      </c>
      <c r="AF45" s="67">
        <f t="shared" si="42"/>
        <v>0</v>
      </c>
      <c r="AG45" s="67">
        <f t="shared" si="42"/>
        <v>0</v>
      </c>
      <c r="AH45" s="67">
        <f t="shared" si="42"/>
        <v>0</v>
      </c>
      <c r="AI45" s="67">
        <f t="shared" ref="AI45:BN45" si="43">AI5+AI10+AI16+AI22+AI28+AI35+AI41</f>
        <v>0</v>
      </c>
      <c r="AJ45" s="67">
        <f t="shared" si="43"/>
        <v>0</v>
      </c>
      <c r="AK45" s="67">
        <f t="shared" si="43"/>
        <v>0</v>
      </c>
      <c r="AL45" s="67">
        <f t="shared" si="43"/>
        <v>0</v>
      </c>
      <c r="AM45" s="67">
        <f t="shared" si="43"/>
        <v>0</v>
      </c>
      <c r="AN45" s="67">
        <f t="shared" si="43"/>
        <v>0</v>
      </c>
      <c r="AO45" s="67">
        <f t="shared" si="43"/>
        <v>0</v>
      </c>
      <c r="AP45" s="67">
        <f t="shared" si="43"/>
        <v>0</v>
      </c>
      <c r="AQ45" s="67">
        <f t="shared" si="43"/>
        <v>0</v>
      </c>
      <c r="AR45" s="67">
        <f t="shared" si="43"/>
        <v>0</v>
      </c>
      <c r="AS45" s="67">
        <f t="shared" si="43"/>
        <v>0</v>
      </c>
      <c r="AT45" s="67">
        <f t="shared" si="43"/>
        <v>0</v>
      </c>
      <c r="AU45" s="67">
        <f t="shared" si="43"/>
        <v>0</v>
      </c>
      <c r="AV45" s="67">
        <f t="shared" si="43"/>
        <v>0</v>
      </c>
      <c r="AW45" s="67">
        <f t="shared" si="43"/>
        <v>0</v>
      </c>
      <c r="AX45" s="67">
        <f t="shared" si="43"/>
        <v>0</v>
      </c>
      <c r="AY45" s="67">
        <f t="shared" si="43"/>
        <v>0</v>
      </c>
      <c r="AZ45" s="67">
        <f t="shared" si="43"/>
        <v>0</v>
      </c>
      <c r="BA45" s="67">
        <f t="shared" si="43"/>
        <v>0</v>
      </c>
      <c r="BB45" s="67">
        <f t="shared" si="43"/>
        <v>0</v>
      </c>
      <c r="BC45" s="67">
        <f t="shared" si="43"/>
        <v>0</v>
      </c>
      <c r="BD45" s="67">
        <f t="shared" si="43"/>
        <v>0</v>
      </c>
      <c r="BE45" s="67">
        <f t="shared" si="43"/>
        <v>0</v>
      </c>
      <c r="BF45" s="67">
        <f t="shared" si="43"/>
        <v>0</v>
      </c>
      <c r="BG45" s="67">
        <f t="shared" si="43"/>
        <v>0</v>
      </c>
      <c r="BH45" s="67">
        <f t="shared" si="43"/>
        <v>0</v>
      </c>
      <c r="BI45" s="67">
        <f t="shared" si="43"/>
        <v>0</v>
      </c>
      <c r="BJ45" s="67">
        <f t="shared" si="43"/>
        <v>0</v>
      </c>
      <c r="BK45" s="67">
        <f t="shared" si="43"/>
        <v>0</v>
      </c>
      <c r="BL45" s="67">
        <f t="shared" si="43"/>
        <v>0</v>
      </c>
      <c r="BM45" s="67">
        <f t="shared" si="43"/>
        <v>0</v>
      </c>
      <c r="BN45" s="67">
        <f t="shared" si="43"/>
        <v>0</v>
      </c>
      <c r="BO45" s="67">
        <f t="shared" ref="BO45:CH45" si="44">BO5+BO10+BO16+BO22+BO28+BO35+BO41</f>
        <v>0</v>
      </c>
      <c r="BP45" s="67">
        <f t="shared" si="44"/>
        <v>51513.520000000019</v>
      </c>
      <c r="BQ45" s="67">
        <f t="shared" si="44"/>
        <v>0</v>
      </c>
      <c r="BR45" s="67">
        <f t="shared" si="44"/>
        <v>0</v>
      </c>
      <c r="BS45" s="67">
        <f t="shared" si="44"/>
        <v>67762</v>
      </c>
      <c r="BT45" s="67">
        <f t="shared" si="44"/>
        <v>0</v>
      </c>
      <c r="BU45" s="67">
        <f t="shared" si="44"/>
        <v>0</v>
      </c>
      <c r="BV45" s="67">
        <f t="shared" si="44"/>
        <v>67762</v>
      </c>
      <c r="BW45" s="67">
        <f t="shared" si="44"/>
        <v>0</v>
      </c>
      <c r="BX45" s="67">
        <f t="shared" si="44"/>
        <v>0</v>
      </c>
      <c r="BY45" s="67">
        <f t="shared" si="44"/>
        <v>-5394</v>
      </c>
      <c r="BZ45" s="67">
        <f t="shared" si="44"/>
        <v>0</v>
      </c>
      <c r="CA45" s="67">
        <f t="shared" si="44"/>
        <v>0</v>
      </c>
      <c r="CB45" s="67">
        <f t="shared" si="44"/>
        <v>3344</v>
      </c>
      <c r="CC45" s="67">
        <f t="shared" si="44"/>
        <v>0</v>
      </c>
      <c r="CD45" s="67">
        <f t="shared" si="44"/>
        <v>0</v>
      </c>
      <c r="CE45" s="67">
        <f t="shared" si="44"/>
        <v>3344</v>
      </c>
      <c r="CF45" s="67">
        <f t="shared" si="44"/>
        <v>0</v>
      </c>
      <c r="CG45" s="67">
        <f t="shared" si="44"/>
        <v>0</v>
      </c>
      <c r="CH45" s="67">
        <f t="shared" si="44"/>
        <v>9952.0266064792231</v>
      </c>
    </row>
    <row r="46" spans="1:86" ht="15" customHeight="1" x14ac:dyDescent="0.25">
      <c r="A46" s="71" t="s">
        <v>283</v>
      </c>
      <c r="B46" s="1"/>
      <c r="C46" s="68">
        <f>C45</f>
        <v>33281.25</v>
      </c>
      <c r="D46" s="68">
        <f t="shared" ref="D46:AI46" si="45">C46+D45</f>
        <v>66562.5</v>
      </c>
      <c r="E46" s="68">
        <f t="shared" si="45"/>
        <v>99843.75</v>
      </c>
      <c r="F46" s="68">
        <f t="shared" si="45"/>
        <v>133125</v>
      </c>
      <c r="G46" s="68">
        <f t="shared" si="45"/>
        <v>166406.25</v>
      </c>
      <c r="H46" s="68">
        <f t="shared" si="45"/>
        <v>199687.5</v>
      </c>
      <c r="I46" s="68">
        <f t="shared" si="45"/>
        <v>232968.75</v>
      </c>
      <c r="J46" s="68">
        <f t="shared" si="45"/>
        <v>256875</v>
      </c>
      <c r="K46" s="68">
        <f t="shared" si="45"/>
        <v>280781.25</v>
      </c>
      <c r="L46" s="68">
        <f t="shared" si="45"/>
        <v>304687.5</v>
      </c>
      <c r="M46" s="68">
        <f t="shared" si="45"/>
        <v>328593.75</v>
      </c>
      <c r="N46" s="68">
        <f t="shared" si="45"/>
        <v>352500</v>
      </c>
      <c r="O46" s="68">
        <f t="shared" si="45"/>
        <v>376406.25</v>
      </c>
      <c r="P46" s="68">
        <f t="shared" si="45"/>
        <v>400312.5</v>
      </c>
      <c r="Q46" s="68">
        <f t="shared" si="45"/>
        <v>424218.75</v>
      </c>
      <c r="R46" s="68">
        <f t="shared" si="45"/>
        <v>424218.75</v>
      </c>
      <c r="S46" s="68">
        <f t="shared" si="45"/>
        <v>424218.75</v>
      </c>
      <c r="T46" s="68">
        <f t="shared" si="45"/>
        <v>424218.75</v>
      </c>
      <c r="U46" s="68">
        <f t="shared" si="45"/>
        <v>424218.75</v>
      </c>
      <c r="V46" s="68">
        <f t="shared" si="45"/>
        <v>424218.75</v>
      </c>
      <c r="W46" s="68">
        <f t="shared" si="45"/>
        <v>481593.75</v>
      </c>
      <c r="X46" s="68">
        <f t="shared" si="45"/>
        <v>481593.75</v>
      </c>
      <c r="Y46" s="68">
        <f t="shared" si="45"/>
        <v>481593.75</v>
      </c>
      <c r="Z46" s="68">
        <f t="shared" si="45"/>
        <v>538968.75</v>
      </c>
      <c r="AA46" s="68">
        <f t="shared" si="45"/>
        <v>538968.75</v>
      </c>
      <c r="AB46" s="68">
        <f t="shared" si="45"/>
        <v>538968.75</v>
      </c>
      <c r="AC46" s="68">
        <f t="shared" si="45"/>
        <v>596343.75</v>
      </c>
      <c r="AD46" s="68">
        <f t="shared" si="45"/>
        <v>596343.75</v>
      </c>
      <c r="AE46" s="68">
        <f t="shared" si="45"/>
        <v>596343.75</v>
      </c>
      <c r="AF46" s="68">
        <f t="shared" si="45"/>
        <v>596343.75</v>
      </c>
      <c r="AG46" s="68">
        <f t="shared" si="45"/>
        <v>596343.75</v>
      </c>
      <c r="AH46" s="68">
        <f t="shared" si="45"/>
        <v>596343.75</v>
      </c>
      <c r="AI46" s="68">
        <f t="shared" si="45"/>
        <v>596343.75</v>
      </c>
      <c r="AJ46" s="68">
        <f t="shared" ref="AJ46:BO46" si="46">AI46+AJ45</f>
        <v>596343.75</v>
      </c>
      <c r="AK46" s="68">
        <f t="shared" si="46"/>
        <v>596343.75</v>
      </c>
      <c r="AL46" s="68">
        <f t="shared" si="46"/>
        <v>596343.75</v>
      </c>
      <c r="AM46" s="68">
        <f t="shared" si="46"/>
        <v>596343.75</v>
      </c>
      <c r="AN46" s="68">
        <f t="shared" si="46"/>
        <v>596343.75</v>
      </c>
      <c r="AO46" s="68">
        <f t="shared" si="46"/>
        <v>596343.75</v>
      </c>
      <c r="AP46" s="68">
        <f t="shared" si="46"/>
        <v>596343.75</v>
      </c>
      <c r="AQ46" s="68">
        <f t="shared" si="46"/>
        <v>596343.75</v>
      </c>
      <c r="AR46" s="68">
        <f t="shared" si="46"/>
        <v>596343.75</v>
      </c>
      <c r="AS46" s="68">
        <f t="shared" si="46"/>
        <v>596343.75</v>
      </c>
      <c r="AT46" s="68">
        <f t="shared" si="46"/>
        <v>596343.75</v>
      </c>
      <c r="AU46" s="68">
        <f t="shared" si="46"/>
        <v>596343.75</v>
      </c>
      <c r="AV46" s="68">
        <f t="shared" si="46"/>
        <v>596343.75</v>
      </c>
      <c r="AW46" s="68">
        <f t="shared" si="46"/>
        <v>596343.75</v>
      </c>
      <c r="AX46" s="68">
        <f t="shared" si="46"/>
        <v>596343.75</v>
      </c>
      <c r="AY46" s="68">
        <f t="shared" si="46"/>
        <v>596343.75</v>
      </c>
      <c r="AZ46" s="68">
        <f t="shared" si="46"/>
        <v>596343.75</v>
      </c>
      <c r="BA46" s="68">
        <f t="shared" si="46"/>
        <v>596343.75</v>
      </c>
      <c r="BB46" s="68">
        <f t="shared" si="46"/>
        <v>596343.75</v>
      </c>
      <c r="BC46" s="68">
        <f t="shared" si="46"/>
        <v>596343.75</v>
      </c>
      <c r="BD46" s="68">
        <f t="shared" si="46"/>
        <v>596343.75</v>
      </c>
      <c r="BE46" s="68">
        <f t="shared" si="46"/>
        <v>596343.75</v>
      </c>
      <c r="BF46" s="68">
        <f t="shared" si="46"/>
        <v>596343.75</v>
      </c>
      <c r="BG46" s="68">
        <f t="shared" si="46"/>
        <v>596343.75</v>
      </c>
      <c r="BH46" s="68">
        <f t="shared" si="46"/>
        <v>596343.75</v>
      </c>
      <c r="BI46" s="68">
        <f t="shared" si="46"/>
        <v>596343.75</v>
      </c>
      <c r="BJ46" s="68">
        <f t="shared" si="46"/>
        <v>596343.75</v>
      </c>
      <c r="BK46" s="68">
        <f t="shared" si="46"/>
        <v>596343.75</v>
      </c>
      <c r="BL46" s="68">
        <f t="shared" si="46"/>
        <v>596343.75</v>
      </c>
      <c r="BM46" s="68">
        <f t="shared" si="46"/>
        <v>596343.75</v>
      </c>
      <c r="BN46" s="68">
        <f t="shared" si="46"/>
        <v>596343.75</v>
      </c>
      <c r="BO46" s="68">
        <f t="shared" si="46"/>
        <v>596343.75</v>
      </c>
      <c r="BP46" s="68">
        <f t="shared" ref="BP46:CU46" si="47">BO46+BP45</f>
        <v>647857.27</v>
      </c>
      <c r="BQ46" s="68">
        <f t="shared" si="47"/>
        <v>647857.27</v>
      </c>
      <c r="BR46" s="68">
        <f t="shared" si="47"/>
        <v>647857.27</v>
      </c>
      <c r="BS46" s="68">
        <f t="shared" si="47"/>
        <v>715619.27</v>
      </c>
      <c r="BT46" s="68">
        <f t="shared" si="47"/>
        <v>715619.27</v>
      </c>
      <c r="BU46" s="68">
        <f t="shared" si="47"/>
        <v>715619.27</v>
      </c>
      <c r="BV46" s="68">
        <f t="shared" si="47"/>
        <v>783381.27</v>
      </c>
      <c r="BW46" s="68">
        <f t="shared" si="47"/>
        <v>783381.27</v>
      </c>
      <c r="BX46" s="68">
        <f t="shared" si="47"/>
        <v>783381.27</v>
      </c>
      <c r="BY46" s="68">
        <f t="shared" si="47"/>
        <v>777987.27</v>
      </c>
      <c r="BZ46" s="68">
        <f t="shared" si="47"/>
        <v>777987.27</v>
      </c>
      <c r="CA46" s="68">
        <f t="shared" si="47"/>
        <v>777987.27</v>
      </c>
      <c r="CB46" s="68">
        <f t="shared" si="47"/>
        <v>781331.27</v>
      </c>
      <c r="CC46" s="68">
        <f t="shared" si="47"/>
        <v>781331.27</v>
      </c>
      <c r="CD46" s="68">
        <f t="shared" si="47"/>
        <v>781331.27</v>
      </c>
      <c r="CE46" s="68">
        <f t="shared" si="47"/>
        <v>784675.27</v>
      </c>
      <c r="CF46" s="68">
        <f t="shared" si="47"/>
        <v>784675.27</v>
      </c>
      <c r="CG46" s="68">
        <f t="shared" si="47"/>
        <v>784675.27</v>
      </c>
      <c r="CH46" s="68">
        <f t="shared" si="47"/>
        <v>794627.29660647921</v>
      </c>
    </row>
    <row r="47" spans="1:86" ht="1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</row>
    <row r="48" spans="1:86" ht="15" customHeight="1" x14ac:dyDescent="0.25">
      <c r="A48" s="60" t="s">
        <v>284</v>
      </c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</row>
    <row r="49" spans="1:86" ht="15" customHeight="1" x14ac:dyDescent="0.25">
      <c r="A49" s="16" t="s">
        <v>285</v>
      </c>
      <c r="B49" s="72">
        <v>46113</v>
      </c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</row>
    <row r="50" spans="1:86" ht="15" customHeight="1" x14ac:dyDescent="0.25">
      <c r="A50" s="16" t="s">
        <v>286</v>
      </c>
      <c r="B50" s="72">
        <v>46113</v>
      </c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</row>
    <row r="51" spans="1:86" ht="15" customHeight="1" x14ac:dyDescent="0.25">
      <c r="A51" s="16" t="s">
        <v>287</v>
      </c>
      <c r="B51" s="72">
        <v>46235</v>
      </c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</row>
    <row r="52" spans="1:86" ht="15" customHeight="1" x14ac:dyDescent="0.25">
      <c r="A52" s="16" t="s">
        <v>288</v>
      </c>
      <c r="B52" s="72">
        <v>46266</v>
      </c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</row>
    <row r="53" spans="1:86" ht="15" customHeight="1" x14ac:dyDescent="0.25">
      <c r="A53" s="16" t="s">
        <v>289</v>
      </c>
      <c r="B53" s="72">
        <v>48092</v>
      </c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</row>
    <row r="54" spans="1:86" ht="15" customHeight="1" x14ac:dyDescent="0.25">
      <c r="A54" s="16" t="s">
        <v>290</v>
      </c>
      <c r="B54" s="72">
        <v>47635</v>
      </c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</row>
    <row r="55" spans="1:86" ht="15" customHeight="1" x14ac:dyDescent="0.25">
      <c r="A55" s="16" t="s">
        <v>291</v>
      </c>
      <c r="B55" s="73" t="s">
        <v>292</v>
      </c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</row>
    <row r="56" spans="1:86" ht="15" customHeight="1" x14ac:dyDescent="0.25">
      <c r="A56" s="60" t="s">
        <v>293</v>
      </c>
      <c r="B56" s="74">
        <v>46113</v>
      </c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</row>
    <row r="57" spans="1:86" ht="1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</row>
  </sheetData>
  <mergeCells count="1">
    <mergeCell ref="A1:F1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C4581A"/>
  </sheetPr>
  <dimension ref="A1:I132"/>
  <sheetViews>
    <sheetView zoomScaleNormal="100"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ColWidth="8.7109375" defaultRowHeight="15" customHeight="1" x14ac:dyDescent="0.25"/>
  <cols>
    <col min="1" max="1" width="42" customWidth="1"/>
    <col min="2" max="7" width="16" customWidth="1"/>
    <col min="8" max="9" width="14" customWidth="1"/>
  </cols>
  <sheetData>
    <row r="1" spans="1:9" ht="17.25" customHeight="1" x14ac:dyDescent="0.3">
      <c r="A1" s="196" t="s">
        <v>294</v>
      </c>
      <c r="B1" s="197"/>
      <c r="C1" s="197"/>
      <c r="D1" s="197"/>
      <c r="E1" s="197"/>
      <c r="F1" s="197"/>
      <c r="G1" s="197"/>
      <c r="H1" s="1"/>
      <c r="I1" s="1"/>
    </row>
    <row r="2" spans="1:9" ht="15" customHeight="1" x14ac:dyDescent="0.25">
      <c r="A2" s="1"/>
      <c r="B2" s="1"/>
      <c r="C2" s="1"/>
      <c r="D2" s="1"/>
      <c r="E2" s="1"/>
      <c r="F2" s="1"/>
      <c r="G2" s="1"/>
      <c r="H2" s="1"/>
      <c r="I2" s="1"/>
    </row>
    <row r="3" spans="1:9" ht="15" customHeight="1" x14ac:dyDescent="0.25">
      <c r="A3" s="2" t="s">
        <v>295</v>
      </c>
      <c r="B3" s="2"/>
      <c r="C3" s="2"/>
      <c r="D3" s="2"/>
      <c r="E3" s="2"/>
      <c r="F3" s="2"/>
      <c r="G3" s="2"/>
      <c r="H3" s="1"/>
      <c r="I3" s="1"/>
    </row>
    <row r="4" spans="1:9" ht="15" customHeight="1" x14ac:dyDescent="0.25">
      <c r="A4" s="6" t="s">
        <v>296</v>
      </c>
      <c r="B4" s="6" t="s">
        <v>297</v>
      </c>
      <c r="C4" s="6" t="s">
        <v>298</v>
      </c>
      <c r="D4" s="6" t="s">
        <v>299</v>
      </c>
      <c r="E4" s="6" t="s">
        <v>300</v>
      </c>
      <c r="F4" s="6" t="s">
        <v>301</v>
      </c>
      <c r="G4" s="6" t="s">
        <v>302</v>
      </c>
      <c r="H4" s="1"/>
      <c r="I4" s="1"/>
    </row>
    <row r="5" spans="1:9" ht="15" customHeight="1" x14ac:dyDescent="0.25">
      <c r="A5" s="16" t="s">
        <v>303</v>
      </c>
      <c r="B5" s="75">
        <f>Assumptions!B4</f>
        <v>0.06</v>
      </c>
      <c r="C5" s="76">
        <v>0.06</v>
      </c>
      <c r="D5" s="77">
        <v>0.04</v>
      </c>
      <c r="E5" s="77">
        <v>0.08</v>
      </c>
      <c r="F5" s="16" t="s">
        <v>304</v>
      </c>
      <c r="G5" s="61" t="s">
        <v>305</v>
      </c>
      <c r="H5" s="1"/>
      <c r="I5" s="1"/>
    </row>
    <row r="6" spans="1:9" ht="15" customHeight="1" x14ac:dyDescent="0.25">
      <c r="A6" s="16" t="s">
        <v>306</v>
      </c>
      <c r="B6" s="75">
        <f>Assumptions!B5</f>
        <v>0.06</v>
      </c>
      <c r="C6" s="76">
        <v>0.06</v>
      </c>
      <c r="D6" s="77">
        <v>0.04</v>
      </c>
      <c r="E6" s="77">
        <v>0.08</v>
      </c>
      <c r="F6" s="16" t="s">
        <v>304</v>
      </c>
      <c r="G6" s="61" t="s">
        <v>305</v>
      </c>
      <c r="H6" s="1"/>
      <c r="I6" s="1"/>
    </row>
    <row r="7" spans="1:9" ht="15" customHeight="1" x14ac:dyDescent="0.25">
      <c r="A7" s="16" t="s">
        <v>307</v>
      </c>
      <c r="B7" s="75">
        <f>Assumptions!B6</f>
        <v>0.02</v>
      </c>
      <c r="C7" s="76">
        <v>0.02</v>
      </c>
      <c r="D7" s="77">
        <v>0.01</v>
      </c>
      <c r="E7" s="77">
        <v>0.03</v>
      </c>
      <c r="F7" s="16" t="s">
        <v>304</v>
      </c>
      <c r="G7" s="61" t="s">
        <v>308</v>
      </c>
      <c r="H7" s="1"/>
      <c r="I7" s="1"/>
    </row>
    <row r="8" spans="1:9" ht="15" customHeight="1" x14ac:dyDescent="0.25">
      <c r="A8" s="16" t="s">
        <v>309</v>
      </c>
      <c r="B8" s="75">
        <f>Assumptions!B8</f>
        <v>9.1999999999999998E-2</v>
      </c>
      <c r="C8" s="76">
        <v>9.1999999999999998E-2</v>
      </c>
      <c r="D8" s="77">
        <v>7.0000000000000007E-2</v>
      </c>
      <c r="E8" s="77">
        <v>0.12</v>
      </c>
      <c r="F8" s="16" t="s">
        <v>304</v>
      </c>
      <c r="G8" s="61" t="s">
        <v>310</v>
      </c>
      <c r="H8" s="1"/>
      <c r="I8" s="1"/>
    </row>
    <row r="9" spans="1:9" ht="15" customHeight="1" x14ac:dyDescent="0.25">
      <c r="A9" s="16" t="s">
        <v>311</v>
      </c>
      <c r="B9" s="75">
        <f>Assumptions!B26</f>
        <v>0.02</v>
      </c>
      <c r="C9" s="76">
        <v>0.02</v>
      </c>
      <c r="D9" s="77">
        <v>0</v>
      </c>
      <c r="E9" s="77">
        <v>0.04</v>
      </c>
      <c r="F9" s="16" t="s">
        <v>304</v>
      </c>
      <c r="G9" s="61" t="s">
        <v>312</v>
      </c>
      <c r="H9" s="1"/>
      <c r="I9" s="1"/>
    </row>
    <row r="10" spans="1:9" ht="15" customHeight="1" x14ac:dyDescent="0.25">
      <c r="A10" s="16" t="s">
        <v>313</v>
      </c>
      <c r="B10" s="75">
        <f>Assumptions!B15</f>
        <v>1.4999999999999999E-2</v>
      </c>
      <c r="C10" s="76">
        <v>1.4999999999999999E-2</v>
      </c>
      <c r="D10" s="77">
        <v>0.01</v>
      </c>
      <c r="E10" s="77">
        <v>0.02</v>
      </c>
      <c r="F10" s="16" t="s">
        <v>304</v>
      </c>
      <c r="G10" s="61" t="s">
        <v>314</v>
      </c>
      <c r="H10" s="1"/>
      <c r="I10" s="1"/>
    </row>
    <row r="11" spans="1:9" ht="15" customHeight="1" x14ac:dyDescent="0.25">
      <c r="A11" s="16" t="s">
        <v>315</v>
      </c>
      <c r="B11" s="75">
        <f>Assumptions!B16</f>
        <v>7.4000000000000003E-3</v>
      </c>
      <c r="C11" s="76">
        <v>7.4000000000000003E-3</v>
      </c>
      <c r="D11" s="77">
        <v>5.0000000000000001E-3</v>
      </c>
      <c r="E11" s="77">
        <v>1.4999999999999999E-2</v>
      </c>
      <c r="F11" s="16" t="s">
        <v>304</v>
      </c>
      <c r="G11" s="61" t="s">
        <v>316</v>
      </c>
      <c r="H11" s="1"/>
      <c r="I11" s="1"/>
    </row>
    <row r="12" spans="1:9" ht="15" customHeight="1" x14ac:dyDescent="0.25">
      <c r="A12" s="16" t="s">
        <v>317</v>
      </c>
      <c r="B12" s="75">
        <f>Assumptions!B17</f>
        <v>3.2500000000000001E-2</v>
      </c>
      <c r="C12" s="76">
        <v>3.2500000000000001E-2</v>
      </c>
      <c r="D12" s="77">
        <v>0.02</v>
      </c>
      <c r="E12" s="77">
        <v>0.05</v>
      </c>
      <c r="F12" s="16" t="s">
        <v>304</v>
      </c>
      <c r="G12" s="61" t="s">
        <v>318</v>
      </c>
      <c r="H12" s="1"/>
      <c r="I12" s="1"/>
    </row>
    <row r="13" spans="1:9" ht="15" customHeight="1" x14ac:dyDescent="0.25">
      <c r="A13" s="16" t="s">
        <v>319</v>
      </c>
      <c r="B13" s="75">
        <f>Assumptions!B34</f>
        <v>0.15</v>
      </c>
      <c r="C13" s="76">
        <v>0.15</v>
      </c>
      <c r="D13" s="77">
        <v>0.1</v>
      </c>
      <c r="E13" s="77">
        <v>0.2</v>
      </c>
      <c r="F13" s="16" t="s">
        <v>304</v>
      </c>
      <c r="G13" s="61" t="s">
        <v>320</v>
      </c>
      <c r="H13" s="1"/>
      <c r="I13" s="1"/>
    </row>
    <row r="14" spans="1:9" ht="15" customHeight="1" x14ac:dyDescent="0.25">
      <c r="A14" s="16" t="s">
        <v>321</v>
      </c>
      <c r="B14" s="66">
        <f>Assumptions!B36</f>
        <v>130000</v>
      </c>
      <c r="C14" s="78">
        <v>130000</v>
      </c>
      <c r="D14" s="79">
        <v>100000</v>
      </c>
      <c r="E14" s="79">
        <v>175000</v>
      </c>
      <c r="F14" s="16" t="s">
        <v>322</v>
      </c>
      <c r="G14" s="61" t="s">
        <v>323</v>
      </c>
      <c r="H14" s="1"/>
      <c r="I14" s="1"/>
    </row>
    <row r="15" spans="1:9" ht="15" customHeight="1" x14ac:dyDescent="0.25">
      <c r="A15" s="16" t="s">
        <v>324</v>
      </c>
      <c r="B15" s="75">
        <f>Assumptions!B58</f>
        <v>0.15</v>
      </c>
      <c r="C15" s="76">
        <v>0.15</v>
      </c>
      <c r="D15" s="77">
        <v>0.1</v>
      </c>
      <c r="E15" s="77">
        <v>0.2</v>
      </c>
      <c r="F15" s="16" t="s">
        <v>304</v>
      </c>
      <c r="G15" s="61" t="s">
        <v>325</v>
      </c>
      <c r="H15" s="1"/>
      <c r="I15" s="1"/>
    </row>
    <row r="16" spans="1:9" ht="15" customHeight="1" x14ac:dyDescent="0.25">
      <c r="A16" s="16" t="s">
        <v>326</v>
      </c>
      <c r="B16" s="75">
        <f>Assumptions!B47</f>
        <v>0.01</v>
      </c>
      <c r="C16" s="76">
        <v>0.01</v>
      </c>
      <c r="D16" s="77">
        <v>5.0000000000000001E-3</v>
      </c>
      <c r="E16" s="77">
        <v>0.02</v>
      </c>
      <c r="F16" s="16" t="s">
        <v>304</v>
      </c>
      <c r="G16" s="61" t="s">
        <v>327</v>
      </c>
      <c r="H16" s="1"/>
      <c r="I16" s="1"/>
    </row>
    <row r="17" spans="1:9" ht="15" customHeight="1" x14ac:dyDescent="0.25">
      <c r="A17" s="16" t="s">
        <v>328</v>
      </c>
      <c r="B17" s="75">
        <f>Assumptions!B48</f>
        <v>0.03</v>
      </c>
      <c r="C17" s="76">
        <v>0.03</v>
      </c>
      <c r="D17" s="77">
        <v>0.02</v>
      </c>
      <c r="E17" s="77">
        <v>0.05</v>
      </c>
      <c r="F17" s="16" t="s">
        <v>304</v>
      </c>
      <c r="G17" s="61" t="s">
        <v>329</v>
      </c>
      <c r="H17" s="1"/>
      <c r="I17" s="1"/>
    </row>
    <row r="18" spans="1:9" ht="15" customHeight="1" x14ac:dyDescent="0.25">
      <c r="A18" s="16" t="s">
        <v>330</v>
      </c>
      <c r="B18" s="80">
        <v>10</v>
      </c>
      <c r="C18" s="81">
        <v>10</v>
      </c>
      <c r="D18" s="82">
        <v>5</v>
      </c>
      <c r="E18" s="82">
        <v>15</v>
      </c>
      <c r="F18" s="16" t="s">
        <v>331</v>
      </c>
      <c r="G18" s="61" t="s">
        <v>332</v>
      </c>
      <c r="H18" s="1"/>
      <c r="I18" s="1"/>
    </row>
    <row r="19" spans="1:9" ht="15" customHeight="1" x14ac:dyDescent="0.25">
      <c r="A19" s="16" t="s">
        <v>333</v>
      </c>
      <c r="B19" s="83">
        <v>18700</v>
      </c>
      <c r="C19" s="78">
        <v>18700</v>
      </c>
      <c r="D19" s="79">
        <v>15000</v>
      </c>
      <c r="E19" s="79">
        <v>25000</v>
      </c>
      <c r="F19" s="16" t="s">
        <v>322</v>
      </c>
      <c r="G19" s="61" t="s">
        <v>334</v>
      </c>
      <c r="H19" s="1"/>
      <c r="I19" s="1"/>
    </row>
    <row r="20" spans="1:9" ht="15" customHeight="1" x14ac:dyDescent="0.25">
      <c r="A20" s="1"/>
      <c r="B20" s="1"/>
      <c r="C20" s="1"/>
      <c r="D20" s="1"/>
      <c r="E20" s="1"/>
      <c r="F20" s="1"/>
      <c r="G20" s="1"/>
      <c r="H20" s="1"/>
      <c r="I20" s="1"/>
    </row>
    <row r="21" spans="1:9" ht="15" customHeight="1" x14ac:dyDescent="0.25">
      <c r="A21" s="1"/>
      <c r="B21" s="1"/>
      <c r="C21" s="1"/>
      <c r="D21" s="1"/>
      <c r="E21" s="1"/>
      <c r="F21" s="1"/>
      <c r="G21" s="1"/>
      <c r="H21" s="1"/>
      <c r="I21" s="1"/>
    </row>
    <row r="22" spans="1:9" ht="15" customHeight="1" x14ac:dyDescent="0.25">
      <c r="A22" s="2" t="s">
        <v>335</v>
      </c>
      <c r="B22" s="2"/>
      <c r="C22" s="2"/>
      <c r="D22" s="2"/>
      <c r="E22" s="2"/>
      <c r="F22" s="2"/>
      <c r="G22" s="2"/>
      <c r="H22" s="1"/>
      <c r="I22" s="1"/>
    </row>
    <row r="23" spans="1:9" ht="15" customHeight="1" x14ac:dyDescent="0.25">
      <c r="A23" s="6" t="s">
        <v>336</v>
      </c>
      <c r="B23" s="6" t="s">
        <v>6</v>
      </c>
      <c r="C23" s="6" t="s">
        <v>337</v>
      </c>
      <c r="D23" s="6" t="s">
        <v>5</v>
      </c>
      <c r="E23" s="6" t="s">
        <v>338</v>
      </c>
      <c r="F23" s="6" t="s">
        <v>339</v>
      </c>
      <c r="G23" s="6" t="s">
        <v>340</v>
      </c>
      <c r="H23" s="1"/>
      <c r="I23" s="1"/>
    </row>
    <row r="24" spans="1:9" ht="15" customHeight="1" x14ac:dyDescent="0.25">
      <c r="A24" s="16" t="s">
        <v>275</v>
      </c>
      <c r="B24" s="84" t="str">
        <f>Projects!$G$2</f>
        <v>Yes</v>
      </c>
      <c r="C24" s="83">
        <v>5321971</v>
      </c>
      <c r="D24" s="16" t="s">
        <v>341</v>
      </c>
      <c r="E24" s="16" t="s">
        <v>342</v>
      </c>
      <c r="F24" s="16" t="s">
        <v>343</v>
      </c>
      <c r="G24" s="16" t="s">
        <v>343</v>
      </c>
      <c r="H24" s="1"/>
      <c r="I24" s="1"/>
    </row>
    <row r="25" spans="1:9" ht="15" customHeight="1" x14ac:dyDescent="0.25">
      <c r="A25" s="16" t="s">
        <v>279</v>
      </c>
      <c r="B25" s="84" t="str">
        <f>Projects!$G$3</f>
        <v>Yes</v>
      </c>
      <c r="C25" s="83">
        <v>19982132</v>
      </c>
      <c r="D25" s="16" t="s">
        <v>341</v>
      </c>
      <c r="E25" s="16" t="s">
        <v>344</v>
      </c>
      <c r="F25" s="16" t="s">
        <v>343</v>
      </c>
      <c r="G25" s="16" t="s">
        <v>343</v>
      </c>
      <c r="H25" s="1"/>
      <c r="I25" s="1"/>
    </row>
    <row r="26" spans="1:9" ht="15" customHeight="1" x14ac:dyDescent="0.25">
      <c r="A26" s="16" t="s">
        <v>223</v>
      </c>
      <c r="B26" s="84" t="str">
        <f>Projects!$G$4</f>
        <v>Yes</v>
      </c>
      <c r="C26" s="83">
        <v>11673185</v>
      </c>
      <c r="D26" s="16" t="s">
        <v>345</v>
      </c>
      <c r="E26" s="16" t="s">
        <v>346</v>
      </c>
      <c r="F26" s="16" t="s">
        <v>343</v>
      </c>
      <c r="G26" s="16" t="s">
        <v>13</v>
      </c>
      <c r="H26" s="1"/>
      <c r="I26" s="1"/>
    </row>
    <row r="27" spans="1:9" ht="15" customHeight="1" x14ac:dyDescent="0.25">
      <c r="A27" s="16" t="s">
        <v>224</v>
      </c>
      <c r="B27" s="84" t="str">
        <f>Projects!$G$5</f>
        <v>Yes</v>
      </c>
      <c r="C27" s="83">
        <v>13492534</v>
      </c>
      <c r="D27" s="16" t="s">
        <v>345</v>
      </c>
      <c r="E27" s="16" t="s">
        <v>346</v>
      </c>
      <c r="F27" s="16" t="s">
        <v>343</v>
      </c>
      <c r="G27" s="16" t="s">
        <v>13</v>
      </c>
      <c r="H27" s="1"/>
      <c r="I27" s="1"/>
    </row>
    <row r="28" spans="1:9" ht="15" customHeight="1" x14ac:dyDescent="0.25">
      <c r="A28" s="16" t="s">
        <v>347</v>
      </c>
      <c r="B28" s="84" t="str">
        <f>Projects!$G$6</f>
        <v>Yes</v>
      </c>
      <c r="C28" s="83">
        <v>4052747</v>
      </c>
      <c r="D28" s="16" t="s">
        <v>345</v>
      </c>
      <c r="E28" s="16" t="s">
        <v>348</v>
      </c>
      <c r="F28" s="16" t="s">
        <v>343</v>
      </c>
      <c r="G28" s="16" t="s">
        <v>13</v>
      </c>
      <c r="H28" s="1"/>
      <c r="I28" s="1"/>
    </row>
    <row r="29" spans="1:9" ht="15" customHeight="1" x14ac:dyDescent="0.25">
      <c r="A29" s="16" t="s">
        <v>115</v>
      </c>
      <c r="B29" s="84" t="str">
        <f>Projects!$G$7</f>
        <v>Yes</v>
      </c>
      <c r="C29" s="83">
        <v>42968448</v>
      </c>
      <c r="D29" s="16" t="s">
        <v>341</v>
      </c>
      <c r="E29" s="16" t="s">
        <v>349</v>
      </c>
      <c r="F29" s="16" t="s">
        <v>13</v>
      </c>
      <c r="G29" s="16" t="s">
        <v>13</v>
      </c>
      <c r="H29" s="1"/>
      <c r="I29" s="1"/>
    </row>
    <row r="30" spans="1:9" ht="15" customHeight="1" x14ac:dyDescent="0.25">
      <c r="A30" s="16" t="s">
        <v>225</v>
      </c>
      <c r="B30" s="84" t="str">
        <f>Projects!$G$8</f>
        <v>Yes</v>
      </c>
      <c r="C30" s="83">
        <v>13625772</v>
      </c>
      <c r="D30" s="16" t="s">
        <v>345</v>
      </c>
      <c r="E30" s="16" t="s">
        <v>348</v>
      </c>
      <c r="F30" s="16" t="s">
        <v>343</v>
      </c>
      <c r="G30" s="16" t="s">
        <v>13</v>
      </c>
      <c r="H30" s="1"/>
      <c r="I30" s="1"/>
    </row>
    <row r="31" spans="1:9" ht="15" customHeight="1" x14ac:dyDescent="0.25">
      <c r="A31" s="16" t="s">
        <v>226</v>
      </c>
      <c r="B31" s="84" t="str">
        <f>Projects!$G$9</f>
        <v>Yes</v>
      </c>
      <c r="C31" s="83">
        <v>15844883</v>
      </c>
      <c r="D31" s="16" t="s">
        <v>345</v>
      </c>
      <c r="E31" s="16" t="s">
        <v>350</v>
      </c>
      <c r="F31" s="16" t="s">
        <v>343</v>
      </c>
      <c r="G31" s="16" t="s">
        <v>13</v>
      </c>
      <c r="H31" s="1"/>
      <c r="I31" s="1"/>
    </row>
    <row r="32" spans="1:9" ht="15" customHeight="1" x14ac:dyDescent="0.25">
      <c r="A32" s="16" t="s">
        <v>119</v>
      </c>
      <c r="B32" s="84" t="str">
        <f>Projects!$G$10</f>
        <v>Yes</v>
      </c>
      <c r="C32" s="83">
        <v>21263405</v>
      </c>
      <c r="D32" s="16" t="s">
        <v>345</v>
      </c>
      <c r="E32" s="16" t="s">
        <v>348</v>
      </c>
      <c r="F32" s="16" t="s">
        <v>343</v>
      </c>
      <c r="G32" s="16" t="s">
        <v>13</v>
      </c>
      <c r="H32" s="1"/>
      <c r="I32" s="1"/>
    </row>
    <row r="33" spans="1:9" ht="15" customHeight="1" x14ac:dyDescent="0.25">
      <c r="A33" s="16" t="s">
        <v>116</v>
      </c>
      <c r="B33" s="84" t="str">
        <f>Projects!$G$11</f>
        <v>No</v>
      </c>
      <c r="C33" s="83">
        <v>9577109</v>
      </c>
      <c r="D33" s="16" t="s">
        <v>341</v>
      </c>
      <c r="E33" s="16" t="s">
        <v>348</v>
      </c>
      <c r="F33" s="16" t="s">
        <v>13</v>
      </c>
      <c r="G33" s="16" t="s">
        <v>343</v>
      </c>
      <c r="H33" s="1"/>
      <c r="I33" s="1"/>
    </row>
    <row r="34" spans="1:9" ht="15" customHeight="1" x14ac:dyDescent="0.25">
      <c r="A34" s="16" t="s">
        <v>117</v>
      </c>
      <c r="B34" s="84" t="str">
        <f>Projects!$G$12</f>
        <v>No</v>
      </c>
      <c r="C34" s="83">
        <v>7545203</v>
      </c>
      <c r="D34" s="16" t="s">
        <v>341</v>
      </c>
      <c r="E34" s="16" t="s">
        <v>348</v>
      </c>
      <c r="F34" s="16" t="s">
        <v>13</v>
      </c>
      <c r="G34" s="16" t="s">
        <v>343</v>
      </c>
      <c r="H34" s="1"/>
      <c r="I34" s="1"/>
    </row>
    <row r="35" spans="1:9" ht="15" customHeight="1" x14ac:dyDescent="0.25">
      <c r="A35" s="16" t="s">
        <v>120</v>
      </c>
      <c r="B35" s="84" t="str">
        <f>Projects!$G$13</f>
        <v>Yes</v>
      </c>
      <c r="C35" s="83">
        <v>45266770</v>
      </c>
      <c r="D35" s="16" t="s">
        <v>341</v>
      </c>
      <c r="E35" s="16" t="s">
        <v>350</v>
      </c>
      <c r="F35" s="16" t="s">
        <v>13</v>
      </c>
      <c r="G35" s="16" t="s">
        <v>13</v>
      </c>
      <c r="H35" s="1"/>
      <c r="I35" s="1"/>
    </row>
    <row r="36" spans="1:9" ht="15" customHeight="1" x14ac:dyDescent="0.25">
      <c r="A36" s="16" t="s">
        <v>123</v>
      </c>
      <c r="B36" s="84" t="str">
        <f>Projects!$G$14</f>
        <v>Yes</v>
      </c>
      <c r="C36" s="83">
        <v>41354632</v>
      </c>
      <c r="D36" s="16" t="s">
        <v>341</v>
      </c>
      <c r="E36" s="16" t="s">
        <v>350</v>
      </c>
      <c r="F36" s="16" t="s">
        <v>13</v>
      </c>
      <c r="G36" s="16" t="s">
        <v>13</v>
      </c>
      <c r="H36" s="1"/>
      <c r="I36" s="1"/>
    </row>
    <row r="37" spans="1:9" ht="15" customHeight="1" x14ac:dyDescent="0.25">
      <c r="A37" s="1"/>
      <c r="B37" s="1"/>
      <c r="C37" s="1"/>
      <c r="D37" s="1"/>
      <c r="E37" s="1"/>
      <c r="F37" s="1"/>
      <c r="G37" s="1"/>
      <c r="H37" s="1"/>
      <c r="I37" s="1"/>
    </row>
    <row r="38" spans="1:9" ht="15" customHeight="1" x14ac:dyDescent="0.25">
      <c r="A38" s="1"/>
      <c r="B38" s="1"/>
      <c r="C38" s="1"/>
      <c r="D38" s="1"/>
      <c r="E38" s="1"/>
      <c r="F38" s="1"/>
      <c r="G38" s="1"/>
      <c r="H38" s="1"/>
      <c r="I38" s="1"/>
    </row>
    <row r="39" spans="1:9" ht="15" customHeight="1" x14ac:dyDescent="0.25">
      <c r="A39" s="2" t="s">
        <v>351</v>
      </c>
      <c r="B39" s="2"/>
      <c r="C39" s="2"/>
      <c r="D39" s="2"/>
      <c r="E39" s="2"/>
      <c r="F39" s="2"/>
      <c r="G39" s="2"/>
      <c r="H39" s="2"/>
      <c r="I39" s="2"/>
    </row>
    <row r="40" spans="1:9" ht="15" customHeight="1" x14ac:dyDescent="0.25">
      <c r="A40" s="6" t="s">
        <v>352</v>
      </c>
      <c r="B40" s="85" t="s">
        <v>67</v>
      </c>
      <c r="C40" s="85" t="s">
        <v>68</v>
      </c>
      <c r="D40" s="85" t="s">
        <v>69</v>
      </c>
      <c r="E40" s="85" t="s">
        <v>70</v>
      </c>
      <c r="F40" s="85" t="s">
        <v>71</v>
      </c>
      <c r="G40" s="85" t="s">
        <v>72</v>
      </c>
      <c r="H40" s="85" t="s">
        <v>73</v>
      </c>
      <c r="I40" s="85" t="s">
        <v>74</v>
      </c>
    </row>
    <row r="41" spans="1:9" ht="15" customHeight="1" x14ac:dyDescent="0.25">
      <c r="A41" s="28" t="s">
        <v>81</v>
      </c>
      <c r="B41" s="67">
        <f>'Annual Summary'!B8</f>
        <v>1405537.6199999999</v>
      </c>
      <c r="C41" s="67">
        <f>'Annual Summary'!C8</f>
        <v>679001.54999999993</v>
      </c>
      <c r="D41" s="67">
        <f>'Annual Summary'!D8</f>
        <v>620319.48</v>
      </c>
      <c r="E41" s="67">
        <f>'Annual Summary'!E8</f>
        <v>0</v>
      </c>
      <c r="F41" s="67">
        <f>'Annual Summary'!F8</f>
        <v>0</v>
      </c>
      <c r="G41" s="67">
        <f>'Annual Summary'!G8</f>
        <v>0</v>
      </c>
      <c r="H41" s="67">
        <f>'Annual Summary'!H8</f>
        <v>0</v>
      </c>
      <c r="I41" s="67">
        <f>'Annual Summary'!I8</f>
        <v>0</v>
      </c>
    </row>
    <row r="42" spans="1:9" ht="15" customHeight="1" x14ac:dyDescent="0.25">
      <c r="A42" s="86" t="s">
        <v>87</v>
      </c>
      <c r="B42" s="87">
        <f>'Annual Summary'!B15</f>
        <v>-4166758.0941999997</v>
      </c>
      <c r="C42" s="87">
        <f>'Annual Summary'!C15</f>
        <v>-6257671.407999998</v>
      </c>
      <c r="D42" s="87">
        <f>'Annual Summary'!D15</f>
        <v>-6138439.8670599982</v>
      </c>
      <c r="E42" s="87">
        <f>'Annual Summary'!E15</f>
        <v>-4802485.5300012007</v>
      </c>
      <c r="F42" s="87">
        <f>'Annual Summary'!F15</f>
        <v>-4810718.1570012225</v>
      </c>
      <c r="G42" s="87">
        <f>'Annual Summary'!G15</f>
        <v>-4819115.43654125</v>
      </c>
      <c r="H42" s="87">
        <f>'Annual Summary'!H15</f>
        <v>-4827680.6616720725</v>
      </c>
      <c r="I42" s="87">
        <f>'Annual Summary'!I15</f>
        <v>-1207458.1290653977</v>
      </c>
    </row>
    <row r="43" spans="1:9" ht="15" customHeight="1" x14ac:dyDescent="0.25">
      <c r="A43" s="16" t="s">
        <v>88</v>
      </c>
      <c r="B43" s="75">
        <f>'Annual Summary'!B16</f>
        <v>2445001.9348878455</v>
      </c>
      <c r="C43" s="75">
        <f>'Annual Summary'!C16</f>
        <v>3429752.8917354024</v>
      </c>
      <c r="D43" s="75">
        <f>'Annual Summary'!D16</f>
        <v>1202064.7334884938</v>
      </c>
      <c r="E43" s="75">
        <f>'Annual Summary'!E16</f>
        <v>-977474.18291381211</v>
      </c>
      <c r="F43" s="75">
        <f>'Annual Summary'!F16</f>
        <v>-3026913.843271248</v>
      </c>
      <c r="G43" s="75">
        <f>'Annual Summary'!G16</f>
        <v>-4819115.43654125</v>
      </c>
      <c r="H43" s="75">
        <f>'Annual Summary'!H16</f>
        <v>-4827680.6616720725</v>
      </c>
      <c r="I43" s="75">
        <f>'Annual Summary'!I16</f>
        <v>-1207458.1290653977</v>
      </c>
    </row>
    <row r="44" spans="1:9" ht="15" customHeight="1" x14ac:dyDescent="0.25">
      <c r="A44" s="1"/>
      <c r="B44" s="1"/>
      <c r="C44" s="1"/>
      <c r="D44" s="1"/>
      <c r="E44" s="1"/>
      <c r="F44" s="1"/>
      <c r="G44" s="1"/>
      <c r="H44" s="1"/>
      <c r="I44" s="1"/>
    </row>
    <row r="45" spans="1:9" ht="15" customHeight="1" x14ac:dyDescent="0.25">
      <c r="A45" s="28" t="s">
        <v>89</v>
      </c>
      <c r="B45" s="67">
        <f>'Annual Summary'!B18</f>
        <v>0</v>
      </c>
      <c r="C45" s="67">
        <f>'Annual Summary'!C18</f>
        <v>0</v>
      </c>
      <c r="D45" s="67">
        <f>'Annual Summary'!D18</f>
        <v>0</v>
      </c>
      <c r="E45" s="67">
        <f>'Annual Summary'!E18</f>
        <v>0</v>
      </c>
      <c r="F45" s="67">
        <f>'Annual Summary'!F18</f>
        <v>0</v>
      </c>
      <c r="G45" s="67">
        <f>'Annual Summary'!G18</f>
        <v>0</v>
      </c>
      <c r="H45" s="67">
        <f>'Annual Summary'!H18</f>
        <v>0</v>
      </c>
      <c r="I45" s="67">
        <f>'Annual Summary'!I18</f>
        <v>0</v>
      </c>
    </row>
    <row r="46" spans="1:9" ht="15" customHeight="1" x14ac:dyDescent="0.25">
      <c r="A46" s="86" t="s">
        <v>91</v>
      </c>
      <c r="B46" s="87">
        <f>'Annual Summary'!B20</f>
        <v>-1033924.9999999999</v>
      </c>
      <c r="C46" s="87">
        <f>'Annual Summary'!C20</f>
        <v>-1368146.0000000002</v>
      </c>
      <c r="D46" s="87">
        <f>'Annual Summary'!D20</f>
        <v>-1373598.9200000002</v>
      </c>
      <c r="E46" s="87">
        <f>'Annual Summary'!E20</f>
        <v>-1542525.8983999998</v>
      </c>
      <c r="F46" s="87">
        <f>'Annual Summary'!F20</f>
        <v>-2661791.1163680004</v>
      </c>
      <c r="G46" s="87">
        <f>'Annual Summary'!G20</f>
        <v>-1817905.2786953603</v>
      </c>
      <c r="H46" s="87">
        <f>'Annual Summary'!H20</f>
        <v>-1927994.2146692672</v>
      </c>
      <c r="I46" s="87">
        <f>'Annual Summary'!I20</f>
        <v>-484961.68511423119</v>
      </c>
    </row>
    <row r="47" spans="1:9" ht="15" customHeight="1" x14ac:dyDescent="0.25">
      <c r="A47" s="1"/>
      <c r="B47" s="1"/>
      <c r="C47" s="1"/>
      <c r="D47" s="1"/>
      <c r="E47" s="1"/>
      <c r="F47" s="1"/>
      <c r="G47" s="1"/>
      <c r="H47" s="1"/>
      <c r="I47" s="1"/>
    </row>
    <row r="48" spans="1:9" ht="15" customHeight="1" x14ac:dyDescent="0.25">
      <c r="A48" s="86" t="s">
        <v>92</v>
      </c>
      <c r="B48" s="87">
        <f>'Annual Summary'!B22</f>
        <v>0</v>
      </c>
      <c r="C48" s="87">
        <f>'Annual Summary'!C22</f>
        <v>0</v>
      </c>
      <c r="D48" s="87">
        <f>'Annual Summary'!D22</f>
        <v>0</v>
      </c>
      <c r="E48" s="87">
        <f>'Annual Summary'!E22</f>
        <v>0</v>
      </c>
      <c r="F48" s="87">
        <f>'Annual Summary'!F22</f>
        <v>0</v>
      </c>
      <c r="G48" s="87">
        <f>'Annual Summary'!G22</f>
        <v>0</v>
      </c>
      <c r="H48" s="87">
        <f>'Annual Summary'!H22</f>
        <v>0</v>
      </c>
      <c r="I48" s="87">
        <f>'Annual Summary'!I22</f>
        <v>0</v>
      </c>
    </row>
    <row r="49" spans="1:9" ht="15" customHeight="1" x14ac:dyDescent="0.25">
      <c r="A49" s="1"/>
      <c r="B49" s="1"/>
      <c r="C49" s="1"/>
      <c r="D49" s="1"/>
      <c r="E49" s="1"/>
      <c r="F49" s="1"/>
      <c r="G49" s="1"/>
      <c r="H49" s="1"/>
      <c r="I49" s="1"/>
    </row>
    <row r="50" spans="1:9" ht="15" customHeight="1" x14ac:dyDescent="0.25">
      <c r="A50" s="88" t="s">
        <v>110</v>
      </c>
      <c r="B50" s="89">
        <f>'Annual Summary'!B43</f>
        <v>-601845.94000000006</v>
      </c>
      <c r="C50" s="89">
        <f>'Annual Summary'!C43</f>
        <v>-3401148.6832854445</v>
      </c>
      <c r="D50" s="89">
        <f>'Annual Summary'!D43</f>
        <v>-4824497.603285443</v>
      </c>
      <c r="E50" s="89">
        <f>'Annual Summary'!E43</f>
        <v>-6203658.5016854415</v>
      </c>
      <c r="F50" s="89">
        <f>'Annual Summary'!F43</f>
        <v>-7588492.6180534428</v>
      </c>
      <c r="G50" s="89">
        <f>'Annual Summary'!G43</f>
        <v>-8859837.8967488017</v>
      </c>
      <c r="H50" s="89">
        <f>'Annual Summary'!H43</f>
        <v>-9967839.1114180721</v>
      </c>
      <c r="I50" s="89">
        <f>'Annual Summary'!I43</f>
        <v>-10221784.796532305</v>
      </c>
    </row>
    <row r="51" spans="1:9" ht="15" customHeight="1" x14ac:dyDescent="0.25">
      <c r="A51" s="88" t="s">
        <v>107</v>
      </c>
      <c r="B51" s="89">
        <f>'Annual Summary'!B41</f>
        <v>0</v>
      </c>
      <c r="C51" s="89">
        <f>'Annual Summary'!C41</f>
        <v>0</v>
      </c>
      <c r="D51" s="89">
        <f>'Annual Summary'!D41</f>
        <v>0</v>
      </c>
      <c r="E51" s="89">
        <f>'Annual Summary'!E41</f>
        <v>0</v>
      </c>
      <c r="F51" s="89">
        <f>'Annual Summary'!F41</f>
        <v>0</v>
      </c>
      <c r="G51" s="89">
        <f>'Annual Summary'!G41</f>
        <v>0</v>
      </c>
      <c r="H51" s="89">
        <f>'Annual Summary'!H41</f>
        <v>0</v>
      </c>
      <c r="I51" s="89">
        <f>'Annual Summary'!I41</f>
        <v>0</v>
      </c>
    </row>
    <row r="52" spans="1:9" ht="15" customHeight="1" x14ac:dyDescent="0.25">
      <c r="A52" s="88" t="s">
        <v>108</v>
      </c>
      <c r="B52" s="89">
        <f>'Annual Summary'!B42</f>
        <v>4096917.6248878459</v>
      </c>
      <c r="C52" s="89">
        <f>'Annual Summary'!C42</f>
        <v>7526670.5166232493</v>
      </c>
      <c r="D52" s="89">
        <f>'Annual Summary'!D42</f>
        <v>8728735.2501117419</v>
      </c>
      <c r="E52" s="89">
        <f>'Annual Summary'!E42</f>
        <v>7751261.0671979282</v>
      </c>
      <c r="F52" s="89">
        <f>'Annual Summary'!F42</f>
        <v>4724347.2239266811</v>
      </c>
      <c r="G52" s="89">
        <f>'Annual Summary'!G42</f>
        <v>-94768.212614567485</v>
      </c>
      <c r="H52" s="89">
        <f>'Annual Summary'!H42</f>
        <v>-4922448.8742866395</v>
      </c>
      <c r="I52" s="89">
        <f>'Annual Summary'!I42</f>
        <v>-6129907.0033520367</v>
      </c>
    </row>
    <row r="53" spans="1:9" ht="15" customHeight="1" x14ac:dyDescent="0.25">
      <c r="A53" s="1"/>
      <c r="B53" s="1"/>
      <c r="C53" s="1"/>
      <c r="D53" s="1"/>
      <c r="E53" s="1"/>
      <c r="F53" s="1"/>
      <c r="G53" s="1"/>
      <c r="H53" s="1"/>
      <c r="I53" s="1"/>
    </row>
    <row r="54" spans="1:9" ht="15" customHeight="1" x14ac:dyDescent="0.25">
      <c r="A54" s="16" t="s">
        <v>227</v>
      </c>
      <c r="B54" s="66">
        <f>'Annual Summary'!B39</f>
        <v>0</v>
      </c>
      <c r="C54" s="66">
        <f>'Annual Summary'!C39</f>
        <v>0</v>
      </c>
      <c r="D54" s="66">
        <f>'Annual Summary'!D39</f>
        <v>0</v>
      </c>
      <c r="E54" s="66">
        <f>'Annual Summary'!E39</f>
        <v>0</v>
      </c>
      <c r="F54" s="66">
        <f>'Annual Summary'!F39</f>
        <v>0</v>
      </c>
      <c r="G54" s="66">
        <f>'Annual Summary'!G39</f>
        <v>0</v>
      </c>
      <c r="H54" s="66">
        <f>'Annual Summary'!H39</f>
        <v>0</v>
      </c>
      <c r="I54" s="66">
        <f>'Annual Summary'!I39</f>
        <v>0</v>
      </c>
    </row>
    <row r="55" spans="1:9" ht="15" customHeight="1" x14ac:dyDescent="0.25">
      <c r="A55" s="16" t="s">
        <v>353</v>
      </c>
      <c r="B55" s="66">
        <f>'Annual Summary'!B37</f>
        <v>0</v>
      </c>
      <c r="C55" s="66">
        <f>'Annual Summary'!C37</f>
        <v>0</v>
      </c>
      <c r="D55" s="66">
        <f>'Annual Summary'!D37</f>
        <v>0</v>
      </c>
      <c r="E55" s="66">
        <f>'Annual Summary'!E37</f>
        <v>0</v>
      </c>
      <c r="F55" s="66">
        <f>'Annual Summary'!F37</f>
        <v>0</v>
      </c>
      <c r="G55" s="66">
        <f>'Annual Summary'!G37</f>
        <v>0</v>
      </c>
      <c r="H55" s="66">
        <f>'Annual Summary'!H37</f>
        <v>0</v>
      </c>
      <c r="I55" s="66">
        <f>'Annual Summary'!I37</f>
        <v>0</v>
      </c>
    </row>
    <row r="56" spans="1:9" ht="15" customHeight="1" x14ac:dyDescent="0.25">
      <c r="A56" s="1"/>
      <c r="B56" s="1"/>
      <c r="C56" s="1"/>
      <c r="D56" s="1"/>
      <c r="E56" s="1"/>
      <c r="F56" s="1"/>
      <c r="G56" s="1"/>
      <c r="H56" s="1"/>
      <c r="I56" s="1"/>
    </row>
    <row r="57" spans="1:9" ht="15" customHeight="1" x14ac:dyDescent="0.25">
      <c r="A57" s="1"/>
      <c r="B57" s="1"/>
      <c r="C57" s="1"/>
      <c r="D57" s="1"/>
      <c r="E57" s="1"/>
      <c r="F57" s="1"/>
      <c r="G57" s="1"/>
      <c r="H57" s="1"/>
      <c r="I57" s="1"/>
    </row>
    <row r="58" spans="1:9" ht="15" customHeight="1" x14ac:dyDescent="0.25">
      <c r="A58" s="2" t="s">
        <v>354</v>
      </c>
      <c r="B58" s="2"/>
      <c r="C58" s="2"/>
      <c r="D58" s="2"/>
      <c r="E58" s="2"/>
      <c r="F58" s="2"/>
      <c r="G58" s="2"/>
      <c r="H58" s="1"/>
      <c r="I58" s="1"/>
    </row>
    <row r="59" spans="1:9" ht="15" customHeight="1" x14ac:dyDescent="0.25">
      <c r="A59" s="61" t="s">
        <v>355</v>
      </c>
      <c r="B59" s="1"/>
      <c r="C59" s="1"/>
      <c r="D59" s="1"/>
      <c r="E59" s="1"/>
      <c r="F59" s="1"/>
      <c r="G59" s="1"/>
      <c r="H59" s="1"/>
      <c r="I59" s="1"/>
    </row>
    <row r="60" spans="1:9" ht="15" customHeight="1" x14ac:dyDescent="0.25">
      <c r="A60" s="90" t="s">
        <v>356</v>
      </c>
      <c r="B60" s="91">
        <v>7.0000000000000007E-2</v>
      </c>
      <c r="C60" s="91">
        <v>0.08</v>
      </c>
      <c r="D60" s="91">
        <v>9.1999999999999998E-2</v>
      </c>
      <c r="E60" s="91">
        <v>0.1</v>
      </c>
      <c r="F60" s="91">
        <v>0.12</v>
      </c>
      <c r="G60" s="1"/>
      <c r="H60" s="1"/>
      <c r="I60" s="1"/>
    </row>
    <row r="61" spans="1:9" ht="15" customHeight="1" x14ac:dyDescent="0.25">
      <c r="A61" s="92">
        <v>0.1</v>
      </c>
      <c r="B61" s="79">
        <v>21535794</v>
      </c>
      <c r="C61" s="79">
        <v>21353287</v>
      </c>
      <c r="D61" s="79">
        <v>21138321</v>
      </c>
      <c r="E61" s="79">
        <v>20997399</v>
      </c>
      <c r="F61" s="79">
        <v>20653180</v>
      </c>
      <c r="G61" s="1"/>
      <c r="H61" s="1"/>
      <c r="I61" s="1"/>
    </row>
    <row r="62" spans="1:9" ht="15" customHeight="1" x14ac:dyDescent="0.25">
      <c r="A62" s="92">
        <v>0.12</v>
      </c>
      <c r="B62" s="79">
        <v>25408618</v>
      </c>
      <c r="C62" s="79">
        <v>25196879</v>
      </c>
      <c r="D62" s="79">
        <v>24947405</v>
      </c>
      <c r="E62" s="79">
        <v>24783816</v>
      </c>
      <c r="F62" s="79">
        <v>24384077</v>
      </c>
      <c r="G62" s="1"/>
      <c r="H62" s="1"/>
      <c r="I62" s="1"/>
    </row>
    <row r="63" spans="1:9" ht="15" customHeight="1" x14ac:dyDescent="0.25">
      <c r="A63" s="92">
        <v>0.14000000000000001</v>
      </c>
      <c r="B63" s="79">
        <v>29153414</v>
      </c>
      <c r="C63" s="79">
        <v>28914451</v>
      </c>
      <c r="D63" s="93">
        <v>28632817</v>
      </c>
      <c r="E63" s="79">
        <v>28448089</v>
      </c>
      <c r="F63" s="79">
        <v>27996532</v>
      </c>
      <c r="G63" s="1"/>
      <c r="H63" s="1"/>
      <c r="I63" s="1"/>
    </row>
    <row r="64" spans="1:9" ht="15" customHeight="1" x14ac:dyDescent="0.25">
      <c r="A64" s="92">
        <v>0.16</v>
      </c>
      <c r="B64" s="79">
        <v>32776428</v>
      </c>
      <c r="C64" s="79">
        <v>32512102</v>
      </c>
      <c r="D64" s="79">
        <v>32200484</v>
      </c>
      <c r="E64" s="79">
        <v>31996037</v>
      </c>
      <c r="F64" s="79">
        <v>31496099</v>
      </c>
      <c r="G64" s="1"/>
      <c r="H64" s="1"/>
      <c r="I64" s="1"/>
    </row>
    <row r="65" spans="1:9" ht="15" customHeight="1" x14ac:dyDescent="0.25">
      <c r="A65" s="92">
        <v>0.18</v>
      </c>
      <c r="B65" s="79">
        <v>36283506</v>
      </c>
      <c r="C65" s="79">
        <v>35995542</v>
      </c>
      <c r="D65" s="79">
        <v>35655961</v>
      </c>
      <c r="E65" s="79">
        <v>35433111</v>
      </c>
      <c r="F65" s="79">
        <v>34887986</v>
      </c>
      <c r="G65" s="1"/>
      <c r="H65" s="1"/>
      <c r="I65" s="1"/>
    </row>
    <row r="66" spans="1:9" ht="15" customHeight="1" x14ac:dyDescent="0.25">
      <c r="A66" s="1"/>
      <c r="B66" s="1"/>
      <c r="C66" s="1"/>
      <c r="D66" s="1"/>
      <c r="E66" s="1"/>
      <c r="F66" s="1"/>
      <c r="G66" s="1"/>
      <c r="H66" s="1"/>
      <c r="I66" s="1"/>
    </row>
    <row r="67" spans="1:9" ht="15" customHeight="1" x14ac:dyDescent="0.25">
      <c r="A67" s="1"/>
      <c r="B67" s="1"/>
      <c r="C67" s="1"/>
      <c r="D67" s="1"/>
      <c r="E67" s="1"/>
      <c r="F67" s="1"/>
      <c r="G67" s="1"/>
      <c r="H67" s="1"/>
      <c r="I67" s="1"/>
    </row>
    <row r="68" spans="1:9" ht="15" customHeight="1" x14ac:dyDescent="0.25">
      <c r="A68" s="2" t="s">
        <v>357</v>
      </c>
      <c r="B68" s="2"/>
      <c r="C68" s="2"/>
      <c r="D68" s="2"/>
      <c r="E68" s="2"/>
      <c r="F68" s="2"/>
      <c r="G68" s="1"/>
      <c r="H68" s="1"/>
      <c r="I68" s="1"/>
    </row>
    <row r="69" spans="1:9" ht="15" customHeight="1" x14ac:dyDescent="0.25">
      <c r="A69" s="6" t="s">
        <v>358</v>
      </c>
      <c r="B69" s="6" t="s">
        <v>359</v>
      </c>
      <c r="C69" s="6" t="s">
        <v>360</v>
      </c>
      <c r="D69" s="6" t="s">
        <v>361</v>
      </c>
      <c r="E69" s="6" t="s">
        <v>362</v>
      </c>
      <c r="F69" s="6" t="s">
        <v>363</v>
      </c>
      <c r="G69" s="1"/>
      <c r="H69" s="1"/>
      <c r="I69" s="1"/>
    </row>
    <row r="70" spans="1:9" ht="15" customHeight="1" x14ac:dyDescent="0.25">
      <c r="A70" s="16" t="s">
        <v>364</v>
      </c>
      <c r="B70" s="83">
        <f>'Annual Summary'!B41</f>
        <v>0</v>
      </c>
      <c r="C70" s="79">
        <f>'Annual Summary'!C41</f>
        <v>0</v>
      </c>
      <c r="D70" s="79">
        <f>'Annual Summary'!E41</f>
        <v>0</v>
      </c>
      <c r="E70" s="79">
        <f>'Annual Summary'!G41</f>
        <v>0</v>
      </c>
      <c r="F70" s="79">
        <f>'Annual Summary'!I41</f>
        <v>0</v>
      </c>
      <c r="G70" s="1"/>
      <c r="H70" s="1"/>
      <c r="I70" s="1"/>
    </row>
    <row r="71" spans="1:9" ht="15" customHeight="1" x14ac:dyDescent="0.25">
      <c r="A71" s="16" t="s">
        <v>365</v>
      </c>
      <c r="B71" s="83">
        <f>'Annual Summary'!B42</f>
        <v>4096917.6248878459</v>
      </c>
      <c r="C71" s="79">
        <f>'Annual Summary'!C42</f>
        <v>7526670.5166232493</v>
      </c>
      <c r="D71" s="79">
        <f>'Annual Summary'!E42</f>
        <v>7751261.0671979282</v>
      </c>
      <c r="E71" s="79">
        <f>'Annual Summary'!G42</f>
        <v>-94768.212614567485</v>
      </c>
      <c r="F71" s="79">
        <f>'Annual Summary'!I42</f>
        <v>-6129907.0033520367</v>
      </c>
      <c r="G71" s="1"/>
      <c r="H71" s="1"/>
      <c r="I71" s="1"/>
    </row>
    <row r="72" spans="1:9" ht="15" customHeight="1" x14ac:dyDescent="0.25">
      <c r="A72" s="88" t="s">
        <v>366</v>
      </c>
      <c r="B72" s="94">
        <f>'Annual Summary'!B43</f>
        <v>-601845.94000000006</v>
      </c>
      <c r="C72" s="95">
        <f>'Annual Summary'!C43</f>
        <v>-3401148.6832854445</v>
      </c>
      <c r="D72" s="95">
        <f>'Annual Summary'!E43</f>
        <v>-6203658.5016854415</v>
      </c>
      <c r="E72" s="95">
        <f>'Annual Summary'!G43</f>
        <v>-8859837.8967488017</v>
      </c>
      <c r="F72" s="95">
        <f>'Annual Summary'!I43</f>
        <v>-10221784.796532305</v>
      </c>
      <c r="G72" s="1"/>
      <c r="H72" s="1"/>
      <c r="I72" s="1"/>
    </row>
    <row r="73" spans="1:9" ht="15" customHeight="1" x14ac:dyDescent="0.25">
      <c r="A73" s="1"/>
      <c r="B73" s="1"/>
      <c r="C73" s="1"/>
      <c r="D73" s="1"/>
      <c r="E73" s="1"/>
      <c r="F73" s="1"/>
      <c r="G73" s="1"/>
      <c r="H73" s="1"/>
      <c r="I73" s="1"/>
    </row>
    <row r="74" spans="1:9" ht="15" customHeight="1" x14ac:dyDescent="0.25">
      <c r="A74" s="1"/>
      <c r="B74" s="1"/>
      <c r="C74" s="1"/>
      <c r="D74" s="1"/>
      <c r="E74" s="1"/>
      <c r="F74" s="1"/>
      <c r="G74" s="1"/>
      <c r="H74" s="1"/>
      <c r="I74" s="1"/>
    </row>
    <row r="75" spans="1:9" ht="15" customHeight="1" x14ac:dyDescent="0.25">
      <c r="A75" s="2" t="s">
        <v>367</v>
      </c>
      <c r="B75" s="2"/>
      <c r="C75" s="2"/>
      <c r="D75" s="2"/>
      <c r="E75" s="2"/>
      <c r="F75" s="2"/>
      <c r="G75" s="1"/>
      <c r="H75" s="1"/>
      <c r="I75" s="1"/>
    </row>
    <row r="76" spans="1:9" ht="15" customHeight="1" x14ac:dyDescent="0.25">
      <c r="A76" s="6" t="s">
        <v>336</v>
      </c>
      <c r="B76" s="6" t="s">
        <v>368</v>
      </c>
      <c r="C76" s="6" t="s">
        <v>369</v>
      </c>
      <c r="D76" s="6" t="s">
        <v>370</v>
      </c>
      <c r="E76" s="6" t="s">
        <v>371</v>
      </c>
      <c r="F76" s="6" t="s">
        <v>372</v>
      </c>
      <c r="G76" s="1"/>
      <c r="H76" s="1"/>
      <c r="I76" s="1"/>
    </row>
    <row r="77" spans="1:9" ht="15" customHeight="1" x14ac:dyDescent="0.25">
      <c r="A77" s="16" t="s">
        <v>116</v>
      </c>
      <c r="B77" s="70">
        <v>95771</v>
      </c>
      <c r="C77" s="70">
        <v>60000</v>
      </c>
      <c r="D77" s="70">
        <v>0</v>
      </c>
      <c r="E77" s="68">
        <v>155771</v>
      </c>
      <c r="F77" s="61" t="s">
        <v>373</v>
      </c>
      <c r="G77" s="1"/>
      <c r="H77" s="1"/>
      <c r="I77" s="1"/>
    </row>
    <row r="78" spans="1:9" ht="15" customHeight="1" x14ac:dyDescent="0.25">
      <c r="A78" s="16" t="s">
        <v>117</v>
      </c>
      <c r="B78" s="70">
        <v>75452</v>
      </c>
      <c r="C78" s="70">
        <v>60000</v>
      </c>
      <c r="D78" s="70">
        <v>0</v>
      </c>
      <c r="E78" s="68">
        <v>135452</v>
      </c>
      <c r="F78" s="61" t="s">
        <v>373</v>
      </c>
      <c r="G78" s="1"/>
      <c r="H78" s="1"/>
      <c r="I78" s="1"/>
    </row>
    <row r="79" spans="1:9" ht="15" customHeight="1" x14ac:dyDescent="0.25">
      <c r="A79" s="16" t="s">
        <v>115</v>
      </c>
      <c r="B79" s="70">
        <v>579684</v>
      </c>
      <c r="C79" s="70">
        <v>150000</v>
      </c>
      <c r="D79" s="70">
        <v>0</v>
      </c>
      <c r="E79" s="68">
        <v>729684</v>
      </c>
      <c r="F79" s="61" t="s">
        <v>374</v>
      </c>
      <c r="G79" s="1"/>
      <c r="H79" s="1"/>
      <c r="I79" s="1"/>
    </row>
    <row r="80" spans="1:9" ht="15" customHeight="1" x14ac:dyDescent="0.25">
      <c r="A80" s="16" t="s">
        <v>120</v>
      </c>
      <c r="B80" s="70">
        <v>602668</v>
      </c>
      <c r="C80" s="70">
        <v>150000</v>
      </c>
      <c r="D80" s="70">
        <v>1450000</v>
      </c>
      <c r="E80" s="68">
        <v>752668</v>
      </c>
      <c r="F80" s="61" t="s">
        <v>374</v>
      </c>
      <c r="G80" s="1"/>
      <c r="H80" s="1"/>
      <c r="I80" s="1"/>
    </row>
    <row r="81" spans="1:9" ht="15" customHeight="1" x14ac:dyDescent="0.25">
      <c r="A81" s="16" t="s">
        <v>123</v>
      </c>
      <c r="B81" s="70">
        <v>563546</v>
      </c>
      <c r="C81" s="70">
        <v>150000</v>
      </c>
      <c r="D81" s="70">
        <v>0</v>
      </c>
      <c r="E81" s="68">
        <v>713546</v>
      </c>
      <c r="F81" s="61" t="s">
        <v>375</v>
      </c>
      <c r="G81" s="1"/>
      <c r="H81" s="1"/>
      <c r="I81" s="1"/>
    </row>
    <row r="82" spans="1:9" ht="15" customHeight="1" x14ac:dyDescent="0.25">
      <c r="A82" s="28" t="s">
        <v>376</v>
      </c>
      <c r="B82" s="67">
        <v>1917121</v>
      </c>
      <c r="C82" s="67">
        <v>570000</v>
      </c>
      <c r="D82" s="67">
        <v>1450000</v>
      </c>
      <c r="E82" s="67">
        <v>2487121</v>
      </c>
      <c r="F82" s="28"/>
      <c r="G82" s="1"/>
      <c r="H82" s="1"/>
      <c r="I82" s="1"/>
    </row>
    <row r="83" spans="1:9" ht="15" customHeight="1" x14ac:dyDescent="0.25">
      <c r="A83" s="1"/>
      <c r="B83" s="1"/>
      <c r="C83" s="1"/>
      <c r="D83" s="1"/>
      <c r="E83" s="1"/>
      <c r="F83" s="1"/>
      <c r="G83" s="1"/>
      <c r="H83" s="1"/>
      <c r="I83" s="1"/>
    </row>
    <row r="84" spans="1:9" ht="15" customHeight="1" x14ac:dyDescent="0.25">
      <c r="A84" s="1"/>
      <c r="B84" s="1"/>
      <c r="C84" s="1"/>
      <c r="D84" s="1"/>
      <c r="E84" s="1"/>
      <c r="F84" s="1"/>
      <c r="G84" s="1"/>
      <c r="H84" s="1"/>
      <c r="I84" s="1"/>
    </row>
    <row r="85" spans="1:9" ht="15" customHeight="1" x14ac:dyDescent="0.25">
      <c r="A85" s="2" t="s">
        <v>377</v>
      </c>
      <c r="B85" s="2"/>
      <c r="C85" s="2"/>
      <c r="D85" s="2"/>
      <c r="E85" s="2"/>
      <c r="F85" s="2"/>
      <c r="G85" s="2"/>
      <c r="H85" s="1"/>
      <c r="I85" s="1"/>
    </row>
    <row r="86" spans="1:9" ht="15" customHeight="1" x14ac:dyDescent="0.25">
      <c r="A86" s="16" t="s">
        <v>378</v>
      </c>
      <c r="B86" s="83">
        <v>86621402</v>
      </c>
      <c r="C86" s="1"/>
      <c r="D86" s="1"/>
      <c r="E86" s="1"/>
      <c r="F86" s="1"/>
      <c r="G86" s="1"/>
      <c r="H86" s="1"/>
      <c r="I86" s="1"/>
    </row>
    <row r="87" spans="1:9" ht="15" customHeight="1" x14ac:dyDescent="0.25">
      <c r="A87" s="16" t="s">
        <v>379</v>
      </c>
      <c r="B87" s="96">
        <v>3.2500000000000001E-2</v>
      </c>
      <c r="C87" s="1"/>
      <c r="D87" s="1"/>
      <c r="E87" s="1"/>
      <c r="F87" s="1"/>
      <c r="G87" s="1"/>
      <c r="H87" s="1"/>
      <c r="I87" s="1"/>
    </row>
    <row r="88" spans="1:9" ht="15" customHeight="1" x14ac:dyDescent="0.25">
      <c r="A88" s="16" t="s">
        <v>380</v>
      </c>
      <c r="B88" s="76">
        <v>1.4999999999999999E-2</v>
      </c>
      <c r="C88" s="1"/>
      <c r="D88" s="1"/>
      <c r="E88" s="1"/>
      <c r="F88" s="1"/>
      <c r="G88" s="1"/>
      <c r="H88" s="1"/>
      <c r="I88" s="1"/>
    </row>
    <row r="89" spans="1:9" ht="15" customHeight="1" x14ac:dyDescent="0.25">
      <c r="A89" s="6"/>
      <c r="B89" s="6" t="s">
        <v>67</v>
      </c>
      <c r="C89" s="6" t="s">
        <v>68</v>
      </c>
      <c r="D89" s="6" t="s">
        <v>69</v>
      </c>
      <c r="E89" s="6" t="s">
        <v>70</v>
      </c>
      <c r="F89" s="6" t="s">
        <v>381</v>
      </c>
      <c r="G89" s="1"/>
      <c r="H89" s="1"/>
      <c r="I89" s="1"/>
    </row>
    <row r="90" spans="1:9" ht="15" customHeight="1" x14ac:dyDescent="0.25">
      <c r="A90" s="69" t="s">
        <v>382</v>
      </c>
      <c r="B90" s="70">
        <v>0</v>
      </c>
      <c r="C90" s="70">
        <v>-956261</v>
      </c>
      <c r="D90" s="70">
        <v>-1465718</v>
      </c>
      <c r="E90" s="70">
        <v>-967911</v>
      </c>
      <c r="F90" s="70">
        <v>-3389890</v>
      </c>
      <c r="G90" s="1"/>
      <c r="H90" s="1"/>
      <c r="I90" s="1"/>
    </row>
    <row r="91" spans="1:9" ht="15" customHeight="1" x14ac:dyDescent="0.25">
      <c r="A91" s="84" t="s">
        <v>383</v>
      </c>
      <c r="B91" s="66">
        <v>0</v>
      </c>
      <c r="C91" s="66">
        <v>-441351</v>
      </c>
      <c r="D91" s="66">
        <v>-676485</v>
      </c>
      <c r="E91" s="66">
        <v>-446728</v>
      </c>
      <c r="F91" s="66">
        <v>-1564564</v>
      </c>
      <c r="G91" s="1"/>
      <c r="H91" s="1"/>
      <c r="I91" s="1"/>
    </row>
    <row r="92" spans="1:9" ht="15" customHeight="1" x14ac:dyDescent="0.25">
      <c r="A92" s="28" t="s">
        <v>384</v>
      </c>
      <c r="B92" s="67">
        <v>0</v>
      </c>
      <c r="C92" s="67">
        <v>514910</v>
      </c>
      <c r="D92" s="67">
        <v>789233</v>
      </c>
      <c r="E92" s="67">
        <v>521183</v>
      </c>
      <c r="F92" s="67">
        <v>1825325</v>
      </c>
      <c r="G92" s="1"/>
      <c r="H92" s="1"/>
      <c r="I92" s="1"/>
    </row>
    <row r="93" spans="1:9" ht="15" customHeight="1" x14ac:dyDescent="0.25">
      <c r="A93" s="1"/>
      <c r="B93" s="1"/>
      <c r="C93" s="1"/>
      <c r="D93" s="1"/>
      <c r="E93" s="1"/>
      <c r="F93" s="1"/>
      <c r="G93" s="1"/>
      <c r="H93" s="1"/>
      <c r="I93" s="1"/>
    </row>
    <row r="94" spans="1:9" ht="15" customHeight="1" x14ac:dyDescent="0.25">
      <c r="A94" s="1"/>
      <c r="B94" s="1"/>
      <c r="C94" s="1"/>
      <c r="D94" s="1"/>
      <c r="E94" s="1"/>
      <c r="F94" s="1"/>
      <c r="G94" s="1"/>
      <c r="H94" s="1"/>
      <c r="I94" s="1"/>
    </row>
    <row r="95" spans="1:9" ht="15" customHeight="1" x14ac:dyDescent="0.25">
      <c r="A95" s="2" t="s">
        <v>385</v>
      </c>
      <c r="B95" s="2"/>
      <c r="C95" s="2"/>
      <c r="D95" s="2"/>
      <c r="E95" s="2"/>
      <c r="F95" s="2"/>
      <c r="G95" s="2"/>
      <c r="H95" s="1"/>
      <c r="I95" s="1"/>
    </row>
    <row r="96" spans="1:9" ht="15" customHeight="1" x14ac:dyDescent="0.25">
      <c r="A96" s="61" t="s">
        <v>386</v>
      </c>
      <c r="B96" s="1"/>
      <c r="C96" s="1"/>
      <c r="D96" s="1"/>
      <c r="E96" s="1"/>
      <c r="F96" s="1"/>
      <c r="G96" s="1"/>
      <c r="H96" s="1"/>
      <c r="I96" s="1"/>
    </row>
    <row r="97" spans="1:9" ht="15" customHeight="1" x14ac:dyDescent="0.25">
      <c r="A97" s="6"/>
      <c r="B97" s="6" t="s">
        <v>67</v>
      </c>
      <c r="C97" s="6" t="s">
        <v>68</v>
      </c>
      <c r="D97" s="6" t="s">
        <v>69</v>
      </c>
      <c r="E97" s="6" t="s">
        <v>70</v>
      </c>
      <c r="F97" s="1"/>
      <c r="G97" s="1"/>
      <c r="H97" s="1"/>
      <c r="I97" s="1"/>
    </row>
    <row r="98" spans="1:9" ht="15" customHeight="1" x14ac:dyDescent="0.25">
      <c r="A98" s="16" t="s">
        <v>387</v>
      </c>
      <c r="B98" s="79">
        <f>'Annual Summary'!B39</f>
        <v>0</v>
      </c>
      <c r="C98" s="79">
        <f>'Annual Summary'!C39</f>
        <v>0</v>
      </c>
      <c r="D98" s="79">
        <f>'Annual Summary'!D39</f>
        <v>0</v>
      </c>
      <c r="E98" s="79">
        <f>'Annual Summary'!E39</f>
        <v>0</v>
      </c>
      <c r="F98" s="1"/>
      <c r="G98" s="1"/>
      <c r="H98" s="1"/>
      <c r="I98" s="1"/>
    </row>
    <row r="99" spans="1:9" ht="15" customHeight="1" x14ac:dyDescent="0.25">
      <c r="A99" s="69" t="s">
        <v>388</v>
      </c>
      <c r="B99" s="70">
        <f>B98*0.025</f>
        <v>0</v>
      </c>
      <c r="C99" s="70">
        <f>C98*0.025</f>
        <v>0</v>
      </c>
      <c r="D99" s="70">
        <f>D98*0.025</f>
        <v>0</v>
      </c>
      <c r="E99" s="70">
        <f>E98*0.025</f>
        <v>0</v>
      </c>
      <c r="F99" s="1"/>
      <c r="G99" s="1"/>
      <c r="H99" s="1"/>
      <c r="I99" s="1"/>
    </row>
    <row r="100" spans="1:9" ht="15" customHeight="1" x14ac:dyDescent="0.25">
      <c r="A100" s="16" t="s">
        <v>389</v>
      </c>
      <c r="B100" s="79">
        <f>'Annual Summary'!B43</f>
        <v>-601845.94000000006</v>
      </c>
      <c r="C100" s="79">
        <f>'Annual Summary'!C43</f>
        <v>-3401148.6832854445</v>
      </c>
      <c r="D100" s="79">
        <f>'Annual Summary'!D43</f>
        <v>-4824497.603285443</v>
      </c>
      <c r="E100" s="79">
        <f>'Annual Summary'!E43</f>
        <v>-6203658.5016854415</v>
      </c>
      <c r="F100" s="1"/>
      <c r="G100" s="1"/>
      <c r="H100" s="1"/>
      <c r="I100" s="1"/>
    </row>
    <row r="101" spans="1:9" ht="15" customHeight="1" x14ac:dyDescent="0.25">
      <c r="A101" s="16" t="s">
        <v>390</v>
      </c>
      <c r="B101" s="79">
        <f>'Annual Summary'!B15*0.05</f>
        <v>-208337.90471</v>
      </c>
      <c r="C101" s="79">
        <f>'Annual Summary'!C15*0.05</f>
        <v>-312883.57039999991</v>
      </c>
      <c r="D101" s="79">
        <f>'Annual Summary'!D15*0.05</f>
        <v>-306921.99335299991</v>
      </c>
      <c r="E101" s="79">
        <f>'Annual Summary'!E15*0.05</f>
        <v>-240124.27650006005</v>
      </c>
      <c r="F101" s="1"/>
      <c r="G101" s="1"/>
      <c r="H101" s="1"/>
      <c r="I101" s="1"/>
    </row>
    <row r="102" spans="1:9" ht="15" customHeight="1" x14ac:dyDescent="0.25">
      <c r="A102" s="16" t="s">
        <v>391</v>
      </c>
      <c r="B102" s="79">
        <f>B100+B101</f>
        <v>-810183.84471000009</v>
      </c>
      <c r="C102" s="79">
        <f>C100+C101</f>
        <v>-3714032.2536854446</v>
      </c>
      <c r="D102" s="79">
        <f>D100+D101</f>
        <v>-5131419.5966384429</v>
      </c>
      <c r="E102" s="79">
        <f>E100+E101</f>
        <v>-6443782.7781855017</v>
      </c>
      <c r="F102" s="1"/>
      <c r="G102" s="1"/>
      <c r="H102" s="1"/>
      <c r="I102" s="1"/>
    </row>
    <row r="103" spans="1:9" ht="15" customHeight="1" x14ac:dyDescent="0.25">
      <c r="A103" s="28" t="s">
        <v>392</v>
      </c>
      <c r="B103" s="67">
        <f>B102-B99</f>
        <v>-810183.84471000009</v>
      </c>
      <c r="C103" s="67">
        <f>C102-C99</f>
        <v>-3714032.2536854446</v>
      </c>
      <c r="D103" s="67">
        <f>D102-D99</f>
        <v>-5131419.5966384429</v>
      </c>
      <c r="E103" s="67">
        <f>E102-E99</f>
        <v>-6443782.7781855017</v>
      </c>
      <c r="F103" s="1"/>
      <c r="G103" s="1"/>
      <c r="H103" s="1"/>
      <c r="I103" s="1"/>
    </row>
    <row r="104" spans="1:9" ht="15" customHeight="1" x14ac:dyDescent="0.25">
      <c r="A104" s="1"/>
      <c r="B104" s="1"/>
      <c r="C104" s="1"/>
      <c r="D104" s="1"/>
      <c r="E104" s="1"/>
      <c r="F104" s="1"/>
      <c r="G104" s="1"/>
      <c r="H104" s="1"/>
      <c r="I104" s="1"/>
    </row>
    <row r="105" spans="1:9" ht="15" customHeight="1" x14ac:dyDescent="0.25">
      <c r="A105" s="1"/>
      <c r="B105" s="1"/>
      <c r="C105" s="1"/>
      <c r="D105" s="1"/>
      <c r="E105" s="1"/>
      <c r="F105" s="1"/>
      <c r="G105" s="1"/>
      <c r="H105" s="1"/>
      <c r="I105" s="1"/>
    </row>
    <row r="106" spans="1:9" ht="15" customHeight="1" x14ac:dyDescent="0.25">
      <c r="A106" s="2" t="s">
        <v>393</v>
      </c>
      <c r="B106" s="2"/>
      <c r="C106" s="2"/>
      <c r="D106" s="2"/>
      <c r="E106" s="2"/>
      <c r="F106" s="2"/>
      <c r="G106" s="2"/>
      <c r="H106" s="1"/>
      <c r="I106" s="1"/>
    </row>
    <row r="107" spans="1:9" ht="15" customHeight="1" x14ac:dyDescent="0.25">
      <c r="A107" s="16" t="s">
        <v>394</v>
      </c>
      <c r="B107" s="83">
        <v>15179956</v>
      </c>
      <c r="C107" s="1"/>
      <c r="D107" s="1"/>
      <c r="E107" s="1"/>
      <c r="F107" s="1"/>
      <c r="G107" s="1"/>
      <c r="H107" s="1"/>
      <c r="I107" s="1"/>
    </row>
    <row r="108" spans="1:9" ht="15" customHeight="1" x14ac:dyDescent="0.25">
      <c r="A108" s="16" t="s">
        <v>395</v>
      </c>
      <c r="B108" s="96">
        <v>0.11360000000000001</v>
      </c>
      <c r="C108" s="1"/>
      <c r="D108" s="1"/>
      <c r="E108" s="1"/>
      <c r="F108" s="1"/>
      <c r="G108" s="1"/>
      <c r="H108" s="1"/>
      <c r="I108" s="1"/>
    </row>
    <row r="109" spans="1:9" ht="15" customHeight="1" x14ac:dyDescent="0.25">
      <c r="A109" s="16" t="s">
        <v>396</v>
      </c>
      <c r="B109" s="68">
        <v>1724443</v>
      </c>
      <c r="C109" s="1"/>
      <c r="D109" s="1"/>
      <c r="E109" s="1"/>
      <c r="F109" s="1"/>
      <c r="G109" s="1"/>
      <c r="H109" s="1"/>
      <c r="I109" s="1"/>
    </row>
    <row r="110" spans="1:9" ht="15" customHeight="1" x14ac:dyDescent="0.25">
      <c r="A110" s="16" t="s">
        <v>397</v>
      </c>
      <c r="B110" s="97">
        <v>3</v>
      </c>
      <c r="C110" s="1"/>
      <c r="D110" s="1"/>
      <c r="E110" s="1"/>
      <c r="F110" s="1"/>
      <c r="G110" s="1"/>
      <c r="H110" s="1"/>
      <c r="I110" s="1"/>
    </row>
    <row r="111" spans="1:9" ht="15" customHeight="1" x14ac:dyDescent="0.25">
      <c r="A111" s="28" t="s">
        <v>398</v>
      </c>
      <c r="B111" s="67">
        <v>45539868</v>
      </c>
      <c r="C111" s="28"/>
      <c r="D111" s="28"/>
      <c r="E111" s="28"/>
      <c r="F111" s="28"/>
      <c r="G111" s="1"/>
      <c r="H111" s="1"/>
      <c r="I111" s="1"/>
    </row>
    <row r="112" spans="1:9" ht="15" customHeight="1" x14ac:dyDescent="0.25">
      <c r="A112" s="1"/>
      <c r="B112" s="1"/>
      <c r="C112" s="1"/>
      <c r="D112" s="1"/>
      <c r="E112" s="1"/>
      <c r="F112" s="1"/>
      <c r="G112" s="1"/>
      <c r="H112" s="1"/>
      <c r="I112" s="1"/>
    </row>
    <row r="113" spans="1:9" ht="15" customHeight="1" x14ac:dyDescent="0.25">
      <c r="A113" s="60" t="s">
        <v>399</v>
      </c>
      <c r="B113" s="1"/>
      <c r="C113" s="1"/>
      <c r="D113" s="1"/>
      <c r="E113" s="1"/>
      <c r="F113" s="1"/>
      <c r="G113" s="1"/>
      <c r="H113" s="1"/>
      <c r="I113" s="1"/>
    </row>
    <row r="114" spans="1:9" ht="15" customHeight="1" x14ac:dyDescent="0.25">
      <c r="A114" s="6"/>
      <c r="B114" s="6" t="s">
        <v>68</v>
      </c>
      <c r="C114" s="6" t="s">
        <v>69</v>
      </c>
      <c r="D114" s="6" t="s">
        <v>70</v>
      </c>
      <c r="E114" s="6" t="s">
        <v>71</v>
      </c>
      <c r="F114" s="6" t="s">
        <v>381</v>
      </c>
      <c r="G114" s="1"/>
      <c r="H114" s="1"/>
      <c r="I114" s="1"/>
    </row>
    <row r="115" spans="1:9" ht="15" customHeight="1" x14ac:dyDescent="0.25">
      <c r="A115" s="16" t="s">
        <v>400</v>
      </c>
      <c r="B115" s="79">
        <v>0</v>
      </c>
      <c r="C115" s="79">
        <v>1896887</v>
      </c>
      <c r="D115" s="79">
        <v>1379554</v>
      </c>
      <c r="E115" s="79">
        <v>172444</v>
      </c>
      <c r="F115" s="68">
        <v>3448885</v>
      </c>
      <c r="G115" s="1"/>
      <c r="H115" s="1"/>
      <c r="I115" s="1"/>
    </row>
    <row r="116" spans="1:9" ht="15" customHeight="1" x14ac:dyDescent="0.25">
      <c r="A116" s="16" t="s">
        <v>401</v>
      </c>
      <c r="B116" s="79">
        <v>0</v>
      </c>
      <c r="C116" s="79">
        <v>603555</v>
      </c>
      <c r="D116" s="79">
        <v>948444</v>
      </c>
      <c r="E116" s="79">
        <v>172444</v>
      </c>
      <c r="F116" s="68">
        <v>1724443</v>
      </c>
      <c r="G116" s="1"/>
      <c r="H116" s="1"/>
      <c r="I116" s="1"/>
    </row>
    <row r="117" spans="1:9" ht="15" customHeight="1" x14ac:dyDescent="0.25">
      <c r="A117" s="28" t="s">
        <v>402</v>
      </c>
      <c r="B117" s="67">
        <v>0</v>
      </c>
      <c r="C117" s="67">
        <v>2500442</v>
      </c>
      <c r="D117" s="67">
        <v>2327998</v>
      </c>
      <c r="E117" s="67">
        <v>344888</v>
      </c>
      <c r="F117" s="67">
        <v>5173328</v>
      </c>
      <c r="G117" s="1"/>
      <c r="H117" s="1"/>
      <c r="I117" s="1"/>
    </row>
    <row r="118" spans="1:9" ht="15" customHeight="1" x14ac:dyDescent="0.25">
      <c r="A118" s="1"/>
      <c r="B118" s="1"/>
      <c r="C118" s="1"/>
      <c r="D118" s="1"/>
      <c r="E118" s="1"/>
      <c r="F118" s="1"/>
      <c r="G118" s="1"/>
      <c r="H118" s="1"/>
      <c r="I118" s="1"/>
    </row>
    <row r="119" spans="1:9" ht="15" customHeight="1" x14ac:dyDescent="0.25">
      <c r="A119" s="61" t="s">
        <v>403</v>
      </c>
      <c r="B119" s="1"/>
      <c r="C119" s="1"/>
      <c r="D119" s="1"/>
      <c r="E119" s="1"/>
      <c r="F119" s="1"/>
      <c r="G119" s="1"/>
      <c r="H119" s="1"/>
      <c r="I119" s="1"/>
    </row>
    <row r="120" spans="1:9" ht="15" customHeight="1" x14ac:dyDescent="0.25">
      <c r="A120" s="1"/>
      <c r="B120" s="1"/>
      <c r="C120" s="1"/>
      <c r="D120" s="1"/>
      <c r="E120" s="1"/>
      <c r="F120" s="1"/>
      <c r="G120" s="1"/>
      <c r="H120" s="1"/>
      <c r="I120" s="1"/>
    </row>
    <row r="121" spans="1:9" ht="15" customHeight="1" x14ac:dyDescent="0.25">
      <c r="A121" s="1"/>
      <c r="B121" s="1"/>
      <c r="C121" s="1"/>
      <c r="D121" s="1"/>
      <c r="E121" s="1"/>
      <c r="F121" s="1"/>
      <c r="G121" s="1"/>
      <c r="H121" s="1"/>
      <c r="I121" s="1"/>
    </row>
    <row r="122" spans="1:9" ht="15" customHeight="1" x14ac:dyDescent="0.25">
      <c r="A122" s="2" t="s">
        <v>404</v>
      </c>
      <c r="B122" s="2"/>
      <c r="C122" s="2"/>
      <c r="D122" s="2"/>
      <c r="E122" s="2"/>
      <c r="F122" s="2"/>
      <c r="G122" s="2"/>
      <c r="H122" s="1"/>
      <c r="I122" s="1"/>
    </row>
    <row r="123" spans="1:9" ht="15" customHeight="1" x14ac:dyDescent="0.25">
      <c r="A123" s="61" t="s">
        <v>405</v>
      </c>
      <c r="B123" s="1"/>
      <c r="C123" s="1"/>
      <c r="D123" s="1"/>
      <c r="E123" s="1"/>
      <c r="F123" s="1"/>
      <c r="G123" s="1"/>
      <c r="H123" s="1"/>
      <c r="I123" s="1"/>
    </row>
    <row r="124" spans="1:9" ht="15" customHeight="1" x14ac:dyDescent="0.25">
      <c r="A124" s="6"/>
      <c r="B124" s="6" t="s">
        <v>406</v>
      </c>
      <c r="C124" s="6" t="s">
        <v>407</v>
      </c>
      <c r="D124" s="6" t="s">
        <v>302</v>
      </c>
      <c r="E124" s="1"/>
      <c r="F124" s="1"/>
      <c r="G124" s="1"/>
      <c r="H124" s="1"/>
      <c r="I124" s="1"/>
    </row>
    <row r="125" spans="1:9" ht="15" customHeight="1" x14ac:dyDescent="0.25">
      <c r="A125" s="16" t="s">
        <v>408</v>
      </c>
      <c r="B125" s="83">
        <v>1450000</v>
      </c>
      <c r="C125" s="25" t="s">
        <v>409</v>
      </c>
      <c r="D125" s="61" t="s">
        <v>410</v>
      </c>
      <c r="E125" s="1"/>
      <c r="F125" s="1"/>
      <c r="G125" s="1"/>
      <c r="H125" s="1"/>
      <c r="I125" s="1"/>
    </row>
    <row r="126" spans="1:9" ht="15" customHeight="1" x14ac:dyDescent="0.25">
      <c r="A126" s="16" t="s">
        <v>411</v>
      </c>
      <c r="B126" s="70">
        <v>-1450000</v>
      </c>
      <c r="C126" s="25" t="s">
        <v>412</v>
      </c>
      <c r="D126" s="61" t="s">
        <v>413</v>
      </c>
      <c r="E126" s="1"/>
      <c r="F126" s="1"/>
      <c r="G126" s="1"/>
      <c r="H126" s="1"/>
      <c r="I126" s="1"/>
    </row>
    <row r="127" spans="1:9" ht="15" customHeight="1" x14ac:dyDescent="0.25">
      <c r="A127" s="16" t="s">
        <v>414</v>
      </c>
      <c r="B127" s="1"/>
      <c r="C127" s="25" t="s">
        <v>415</v>
      </c>
      <c r="D127" s="61" t="s">
        <v>416</v>
      </c>
      <c r="E127" s="1"/>
      <c r="F127" s="1"/>
      <c r="G127" s="1"/>
      <c r="H127" s="1"/>
      <c r="I127" s="1"/>
    </row>
    <row r="128" spans="1:9" ht="15" customHeight="1" x14ac:dyDescent="0.25">
      <c r="A128" s="28" t="s">
        <v>417</v>
      </c>
      <c r="B128" s="67">
        <v>0</v>
      </c>
      <c r="C128" s="28" t="s">
        <v>418</v>
      </c>
      <c r="D128" s="28" t="s">
        <v>419</v>
      </c>
      <c r="E128" s="1"/>
      <c r="F128" s="1"/>
      <c r="G128" s="1"/>
      <c r="H128" s="1"/>
      <c r="I128" s="1"/>
    </row>
    <row r="129" spans="1:9" ht="15" customHeight="1" x14ac:dyDescent="0.25">
      <c r="A129" s="1"/>
      <c r="B129" s="1"/>
      <c r="C129" s="1"/>
      <c r="D129" s="1"/>
      <c r="E129" s="1"/>
      <c r="F129" s="1"/>
      <c r="G129" s="1"/>
      <c r="H129" s="1"/>
      <c r="I129" s="1"/>
    </row>
    <row r="130" spans="1:9" ht="15" customHeight="1" x14ac:dyDescent="0.25">
      <c r="A130" s="16" t="s">
        <v>420</v>
      </c>
      <c r="B130" s="98">
        <v>362885</v>
      </c>
      <c r="C130" s="25" t="s">
        <v>421</v>
      </c>
      <c r="D130" s="61" t="s">
        <v>422</v>
      </c>
      <c r="E130" s="1"/>
      <c r="F130" s="1"/>
      <c r="G130" s="1"/>
      <c r="H130" s="1"/>
      <c r="I130" s="1"/>
    </row>
    <row r="131" spans="1:9" ht="15" customHeight="1" x14ac:dyDescent="0.25">
      <c r="A131" s="28" t="s">
        <v>423</v>
      </c>
      <c r="B131" s="67">
        <v>1812885</v>
      </c>
      <c r="C131" s="28" t="s">
        <v>424</v>
      </c>
      <c r="D131" s="28" t="s">
        <v>425</v>
      </c>
      <c r="E131" s="1"/>
      <c r="F131" s="1"/>
      <c r="G131" s="1"/>
      <c r="H131" s="1"/>
      <c r="I131" s="1"/>
    </row>
    <row r="132" spans="1:9" ht="15" customHeight="1" x14ac:dyDescent="0.25">
      <c r="A132" s="1"/>
      <c r="B132" s="1"/>
      <c r="C132" s="1"/>
      <c r="D132" s="1"/>
      <c r="E132" s="1"/>
      <c r="F132" s="1"/>
      <c r="G132" s="1"/>
      <c r="H132" s="1"/>
      <c r="I132" s="1"/>
    </row>
  </sheetData>
  <mergeCells count="1">
    <mergeCell ref="A1:G1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2C3A51"/>
  </sheetPr>
  <dimension ref="A1:AO9"/>
  <sheetViews>
    <sheetView zoomScaleNormal="100" workbookViewId="0"/>
  </sheetViews>
  <sheetFormatPr defaultColWidth="8.7109375" defaultRowHeight="15" customHeight="1" x14ac:dyDescent="0.25"/>
  <cols>
    <col min="1" max="1" width="20" customWidth="1"/>
  </cols>
  <sheetData>
    <row r="1" spans="1:41" ht="15" customHeight="1" x14ac:dyDescent="0.25">
      <c r="A1" s="2" t="s">
        <v>426</v>
      </c>
      <c r="B1" s="3" t="s">
        <v>427</v>
      </c>
      <c r="C1" s="3" t="s">
        <v>428</v>
      </c>
      <c r="D1" s="3" t="s">
        <v>429</v>
      </c>
      <c r="E1" s="3" t="s">
        <v>430</v>
      </c>
      <c r="F1" s="3" t="s">
        <v>431</v>
      </c>
      <c r="G1" s="3" t="s">
        <v>432</v>
      </c>
      <c r="H1" s="3" t="s">
        <v>433</v>
      </c>
      <c r="I1" s="3" t="s">
        <v>434</v>
      </c>
      <c r="J1" s="3" t="s">
        <v>435</v>
      </c>
      <c r="K1" s="3" t="s">
        <v>436</v>
      </c>
      <c r="L1" s="3" t="s">
        <v>437</v>
      </c>
      <c r="M1" s="3" t="s">
        <v>438</v>
      </c>
      <c r="N1" s="3" t="s">
        <v>439</v>
      </c>
      <c r="O1" s="3" t="s">
        <v>440</v>
      </c>
      <c r="P1" s="3" t="s">
        <v>441</v>
      </c>
      <c r="Q1" s="3" t="s">
        <v>442</v>
      </c>
      <c r="R1" s="3" t="s">
        <v>443</v>
      </c>
      <c r="S1" s="3" t="s">
        <v>444</v>
      </c>
      <c r="T1" s="3" t="s">
        <v>445</v>
      </c>
      <c r="U1" s="3" t="s">
        <v>446</v>
      </c>
      <c r="V1" s="3" t="s">
        <v>447</v>
      </c>
      <c r="W1" s="3" t="s">
        <v>448</v>
      </c>
      <c r="X1" s="3" t="s">
        <v>449</v>
      </c>
      <c r="Y1" s="3" t="s">
        <v>450</v>
      </c>
      <c r="Z1" s="3" t="s">
        <v>451</v>
      </c>
      <c r="AA1" s="3" t="s">
        <v>452</v>
      </c>
      <c r="AB1" s="3" t="s">
        <v>453</v>
      </c>
      <c r="AC1" s="3" t="s">
        <v>454</v>
      </c>
      <c r="AD1" s="3" t="s">
        <v>455</v>
      </c>
      <c r="AE1" s="3" t="s">
        <v>456</v>
      </c>
      <c r="AF1" s="3" t="s">
        <v>457</v>
      </c>
      <c r="AG1" s="3" t="s">
        <v>458</v>
      </c>
      <c r="AH1" s="3" t="s">
        <v>459</v>
      </c>
      <c r="AI1" s="3" t="s">
        <v>460</v>
      </c>
      <c r="AJ1" s="3" t="s">
        <v>461</v>
      </c>
      <c r="AK1" s="3" t="s">
        <v>462</v>
      </c>
      <c r="AL1" s="3" t="s">
        <v>463</v>
      </c>
      <c r="AM1" s="3" t="s">
        <v>464</v>
      </c>
      <c r="AN1" s="3" t="s">
        <v>465</v>
      </c>
      <c r="AO1" s="3" t="s">
        <v>466</v>
      </c>
    </row>
    <row r="2" spans="1:41" ht="15" customHeight="1" x14ac:dyDescent="0.25">
      <c r="A2" s="99" t="s">
        <v>467</v>
      </c>
      <c r="B2" s="100">
        <v>1.6101000000000001E-2</v>
      </c>
      <c r="C2" s="100">
        <v>1.8518E-2</v>
      </c>
      <c r="D2" s="100">
        <v>2.1087000000000002E-2</v>
      </c>
      <c r="E2" s="100">
        <v>2.3772999999999999E-2</v>
      </c>
      <c r="F2" s="100">
        <v>2.6535E-2</v>
      </c>
      <c r="G2" s="100">
        <v>2.9322999999999998E-2</v>
      </c>
      <c r="H2" s="100">
        <v>3.2081999999999999E-2</v>
      </c>
      <c r="I2" s="100">
        <v>3.4751999999999998E-2</v>
      </c>
      <c r="J2" s="100">
        <v>3.7268999999999997E-2</v>
      </c>
      <c r="K2" s="100">
        <v>3.9572000000000003E-2</v>
      </c>
      <c r="L2" s="100">
        <v>4.1598999999999997E-2</v>
      </c>
      <c r="M2" s="100">
        <v>4.3295E-2</v>
      </c>
      <c r="N2" s="100">
        <v>4.4613E-2</v>
      </c>
      <c r="O2" s="100">
        <v>4.5512999999999998E-2</v>
      </c>
      <c r="P2" s="100">
        <v>4.5969999999999997E-2</v>
      </c>
      <c r="Q2" s="100">
        <v>4.5969999999999997E-2</v>
      </c>
      <c r="R2" s="100">
        <v>4.5512999999999998E-2</v>
      </c>
      <c r="S2" s="100">
        <v>4.4613E-2</v>
      </c>
      <c r="T2" s="100">
        <v>4.3295E-2</v>
      </c>
      <c r="U2" s="100">
        <v>4.1598999999999997E-2</v>
      </c>
      <c r="V2" s="100">
        <v>3.9572000000000003E-2</v>
      </c>
      <c r="W2" s="100">
        <v>3.7268999999999997E-2</v>
      </c>
      <c r="X2" s="100">
        <v>3.4751999999999998E-2</v>
      </c>
      <c r="Y2" s="100">
        <v>3.2081999999999999E-2</v>
      </c>
      <c r="Z2" s="100">
        <v>2.9322999999999998E-2</v>
      </c>
      <c r="AA2" s="100">
        <v>2.6535E-2</v>
      </c>
      <c r="AB2" s="100">
        <v>2.3772999999999999E-2</v>
      </c>
      <c r="AC2" s="100">
        <v>2.1087000000000002E-2</v>
      </c>
      <c r="AD2" s="100">
        <v>1.8518E-2</v>
      </c>
      <c r="AE2" s="100">
        <v>1.6101000000000001E-2</v>
      </c>
    </row>
    <row r="3" spans="1:41" ht="15" customHeight="1" x14ac:dyDescent="0.25">
      <c r="A3" s="99" t="s">
        <v>468</v>
      </c>
      <c r="B3" s="100">
        <v>2.0497000000000001E-2</v>
      </c>
      <c r="C3" s="100">
        <v>2.4336E-2</v>
      </c>
      <c r="D3" s="100">
        <v>2.8445000000000002E-2</v>
      </c>
      <c r="E3" s="100">
        <v>3.2735E-2</v>
      </c>
      <c r="F3" s="100">
        <v>3.7087000000000002E-2</v>
      </c>
      <c r="G3" s="100">
        <v>4.1368000000000002E-2</v>
      </c>
      <c r="H3" s="100">
        <v>4.5428000000000003E-2</v>
      </c>
      <c r="I3" s="100">
        <v>4.9113999999999998E-2</v>
      </c>
      <c r="J3" s="100">
        <v>5.2277999999999998E-2</v>
      </c>
      <c r="K3" s="100">
        <v>5.4782999999999998E-2</v>
      </c>
      <c r="L3" s="100">
        <v>5.6520000000000001E-2</v>
      </c>
      <c r="M3" s="100">
        <v>5.7409000000000002E-2</v>
      </c>
      <c r="N3" s="100">
        <v>5.7409000000000002E-2</v>
      </c>
      <c r="O3" s="100">
        <v>5.6520000000000001E-2</v>
      </c>
      <c r="P3" s="100">
        <v>5.4782999999999998E-2</v>
      </c>
      <c r="Q3" s="100">
        <v>5.2277999999999998E-2</v>
      </c>
      <c r="R3" s="100">
        <v>4.9113999999999998E-2</v>
      </c>
      <c r="S3" s="100">
        <v>4.5428000000000003E-2</v>
      </c>
      <c r="T3" s="100">
        <v>4.1368000000000002E-2</v>
      </c>
      <c r="U3" s="100">
        <v>3.7087000000000002E-2</v>
      </c>
      <c r="V3" s="100">
        <v>3.2735E-2</v>
      </c>
      <c r="W3" s="100">
        <v>2.8445000000000002E-2</v>
      </c>
      <c r="X3" s="100">
        <v>2.4336E-2</v>
      </c>
      <c r="Y3" s="100">
        <v>2.0497000000000001E-2</v>
      </c>
    </row>
    <row r="4" spans="1:41" ht="15" customHeight="1" x14ac:dyDescent="0.25">
      <c r="A4" s="99" t="s">
        <v>469</v>
      </c>
      <c r="B4" s="100">
        <v>2.6516999999999999E-2</v>
      </c>
      <c r="C4" s="100">
        <v>3.2760999999999998E-2</v>
      </c>
      <c r="D4" s="100">
        <v>3.9482000000000003E-2</v>
      </c>
      <c r="E4" s="100">
        <v>4.6412000000000002E-2</v>
      </c>
      <c r="F4" s="100">
        <v>5.3218000000000001E-2</v>
      </c>
      <c r="G4" s="100">
        <v>5.9521999999999999E-2</v>
      </c>
      <c r="H4" s="100">
        <v>6.4936999999999995E-2</v>
      </c>
      <c r="I4" s="100">
        <v>6.9103999999999999E-2</v>
      </c>
      <c r="J4" s="100">
        <v>7.1732000000000004E-2</v>
      </c>
      <c r="K4" s="100">
        <v>7.263E-2</v>
      </c>
      <c r="L4" s="100">
        <v>7.1732000000000004E-2</v>
      </c>
      <c r="M4" s="100">
        <v>6.9103999999999999E-2</v>
      </c>
      <c r="N4" s="100">
        <v>6.4936999999999995E-2</v>
      </c>
      <c r="O4" s="100">
        <v>5.9521999999999999E-2</v>
      </c>
      <c r="P4" s="100">
        <v>5.3218000000000001E-2</v>
      </c>
      <c r="Q4" s="100">
        <v>4.6412000000000002E-2</v>
      </c>
      <c r="R4" s="100">
        <v>3.9482000000000003E-2</v>
      </c>
      <c r="S4" s="100">
        <v>3.2760999999999998E-2</v>
      </c>
      <c r="T4" s="100">
        <v>2.6516999999999999E-2</v>
      </c>
    </row>
    <row r="5" spans="1:41" ht="15" customHeight="1" x14ac:dyDescent="0.25">
      <c r="A5" s="101" t="s">
        <v>470</v>
      </c>
    </row>
    <row r="6" spans="1:41" ht="15" customHeight="1" x14ac:dyDescent="0.25">
      <c r="A6" s="99" t="s">
        <v>275</v>
      </c>
      <c r="B6" s="100">
        <v>0.176029532991649</v>
      </c>
      <c r="C6" s="100">
        <v>0.16281853697000101</v>
      </c>
      <c r="D6" s="100">
        <v>0.14826708720117601</v>
      </c>
      <c r="E6" s="100">
        <v>0.1329235511272</v>
      </c>
      <c r="F6" s="100">
        <v>0.117325543887316</v>
      </c>
      <c r="G6" s="100">
        <v>0.10194975090498599</v>
      </c>
      <c r="H6" s="100">
        <v>8.7222680190674196E-2</v>
      </c>
      <c r="I6" s="100">
        <v>7.3463316726999003E-2</v>
      </c>
    </row>
    <row r="7" spans="1:41" ht="15" customHeight="1" x14ac:dyDescent="0.25">
      <c r="A7" s="99" t="s">
        <v>279</v>
      </c>
      <c r="B7" s="100">
        <v>7.2508633961636093E-2</v>
      </c>
      <c r="C7" s="100">
        <v>7.5983023342903494E-2</v>
      </c>
      <c r="D7" s="100">
        <v>7.8392210710273399E-2</v>
      </c>
      <c r="E7" s="100">
        <v>7.9625237520631401E-2</v>
      </c>
      <c r="F7" s="100">
        <v>7.9625237520631401E-2</v>
      </c>
      <c r="G7" s="100">
        <v>7.8392210710273399E-2</v>
      </c>
      <c r="H7" s="100">
        <v>7.5983023342903494E-2</v>
      </c>
      <c r="I7" s="100">
        <v>7.2508633961636093E-2</v>
      </c>
      <c r="J7" s="100">
        <v>6.8120223581464398E-2</v>
      </c>
      <c r="K7" s="100">
        <v>6.3007808707471705E-2</v>
      </c>
      <c r="L7" s="100">
        <v>5.7376662644419499E-2</v>
      </c>
      <c r="M7" s="100">
        <v>5.1438993606013998E-2</v>
      </c>
      <c r="N7" s="100">
        <v>4.5402848860594501E-2</v>
      </c>
      <c r="O7" s="100">
        <v>3.9452696986088602E-2</v>
      </c>
      <c r="P7" s="100">
        <v>3.3753588815378897E-2</v>
      </c>
      <c r="Q7" s="100">
        <v>2.842896572768E-2</v>
      </c>
    </row>
    <row r="8" spans="1:41" ht="15" customHeight="1" x14ac:dyDescent="0.25">
      <c r="A8" s="99" t="s">
        <v>223</v>
      </c>
      <c r="B8" s="100">
        <v>6.2255798827366399E-2</v>
      </c>
      <c r="C8" s="100">
        <v>6.9630381784405795E-2</v>
      </c>
      <c r="D8" s="100">
        <v>7.5964989448169706E-2</v>
      </c>
      <c r="E8" s="100">
        <v>8.0839654293027405E-2</v>
      </c>
      <c r="F8" s="100">
        <v>8.3913956959762698E-2</v>
      </c>
      <c r="G8" s="100">
        <v>8.4964460686828197E-2</v>
      </c>
      <c r="H8" s="100">
        <v>8.3913956959762698E-2</v>
      </c>
      <c r="I8" s="100">
        <v>8.0839654293027405E-2</v>
      </c>
      <c r="J8" s="100">
        <v>7.5964989448169706E-2</v>
      </c>
      <c r="K8" s="100">
        <v>6.9630381784405795E-2</v>
      </c>
      <c r="L8" s="100">
        <v>6.2255798827366399E-2</v>
      </c>
      <c r="M8" s="100">
        <v>5.4293963230029899E-2</v>
      </c>
      <c r="N8" s="100">
        <v>4.6187069211584102E-2</v>
      </c>
      <c r="O8" s="100">
        <v>3.8324668822265998E-2</v>
      </c>
      <c r="P8" s="100">
        <v>3.1020275423828E-2</v>
      </c>
    </row>
    <row r="9" spans="1:41" ht="15" customHeight="1" x14ac:dyDescent="0.25">
      <c r="A9" s="99" t="s">
        <v>224</v>
      </c>
      <c r="B9" s="100">
        <v>6.2255798827366399E-2</v>
      </c>
      <c r="C9" s="100">
        <v>6.9630381784405795E-2</v>
      </c>
      <c r="D9" s="100">
        <v>7.5964989448169706E-2</v>
      </c>
      <c r="E9" s="100">
        <v>8.0839654293027405E-2</v>
      </c>
      <c r="F9" s="100">
        <v>8.3913956959762698E-2</v>
      </c>
      <c r="G9" s="100">
        <v>8.4964460686828197E-2</v>
      </c>
      <c r="H9" s="100">
        <v>8.3913956959762698E-2</v>
      </c>
      <c r="I9" s="100">
        <v>8.0839654293027405E-2</v>
      </c>
      <c r="J9" s="100">
        <v>7.5964989448169706E-2</v>
      </c>
      <c r="K9" s="100">
        <v>6.9630381784405795E-2</v>
      </c>
      <c r="L9" s="100">
        <v>6.2255798827366399E-2</v>
      </c>
      <c r="M9" s="100">
        <v>5.4293963230029899E-2</v>
      </c>
      <c r="N9" s="100">
        <v>4.6187069211584102E-2</v>
      </c>
      <c r="O9" s="100">
        <v>3.8324668822265998E-2</v>
      </c>
      <c r="P9" s="100">
        <v>3.1020275423828E-2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2C3A51"/>
  </sheetPr>
  <dimension ref="A1:D77"/>
  <sheetViews>
    <sheetView zoomScaleNormal="100" workbookViewId="0"/>
  </sheetViews>
  <sheetFormatPr defaultColWidth="8.7109375" defaultRowHeight="15" customHeight="1" x14ac:dyDescent="0.25"/>
  <cols>
    <col min="1" max="1" width="40" customWidth="1"/>
    <col min="2" max="2" width="15" customWidth="1"/>
  </cols>
  <sheetData>
    <row r="1" spans="1:4" ht="17.25" customHeight="1" x14ac:dyDescent="0.3">
      <c r="A1" s="198" t="s">
        <v>471</v>
      </c>
      <c r="B1" s="197"/>
      <c r="C1" s="197"/>
      <c r="D1" s="197"/>
    </row>
    <row r="3" spans="1:4" ht="15" customHeight="1" x14ac:dyDescent="0.25">
      <c r="A3" s="6" t="s">
        <v>472</v>
      </c>
      <c r="B3" s="6"/>
      <c r="C3" s="6"/>
      <c r="D3" s="6"/>
    </row>
    <row r="4" spans="1:4" ht="15" customHeight="1" x14ac:dyDescent="0.25">
      <c r="A4" s="99" t="s">
        <v>473</v>
      </c>
      <c r="B4" s="100">
        <v>0.06</v>
      </c>
    </row>
    <row r="5" spans="1:4" ht="15" customHeight="1" x14ac:dyDescent="0.25">
      <c r="A5" s="99" t="s">
        <v>306</v>
      </c>
      <c r="B5" s="100">
        <v>0.06</v>
      </c>
    </row>
    <row r="6" spans="1:4" ht="15" customHeight="1" x14ac:dyDescent="0.25">
      <c r="A6" s="99" t="s">
        <v>474</v>
      </c>
      <c r="B6" s="100">
        <v>0.02</v>
      </c>
    </row>
    <row r="7" spans="1:4" ht="15" customHeight="1" x14ac:dyDescent="0.25">
      <c r="A7" s="99" t="s">
        <v>475</v>
      </c>
      <c r="B7" s="102">
        <f>B4+B5+B6</f>
        <v>0.13999999999999999</v>
      </c>
    </row>
    <row r="8" spans="1:4" ht="15" customHeight="1" x14ac:dyDescent="0.25">
      <c r="A8" s="99" t="s">
        <v>309</v>
      </c>
      <c r="B8" s="100">
        <v>9.1999999999999998E-2</v>
      </c>
    </row>
    <row r="9" spans="1:4" ht="15" customHeight="1" x14ac:dyDescent="0.25">
      <c r="A9" s="99" t="s">
        <v>476</v>
      </c>
      <c r="B9" s="102">
        <f>B7/(1+B7+B8)</f>
        <v>0.11363636363636363</v>
      </c>
    </row>
    <row r="10" spans="1:4" ht="15" customHeight="1" x14ac:dyDescent="0.25">
      <c r="A10" s="99" t="s">
        <v>477</v>
      </c>
      <c r="B10" s="102">
        <f>B4/(1+B7+B8)</f>
        <v>4.8701298701298697E-2</v>
      </c>
    </row>
    <row r="11" spans="1:4" ht="15" customHeight="1" x14ac:dyDescent="0.25">
      <c r="A11" s="99" t="s">
        <v>478</v>
      </c>
      <c r="B11" s="102">
        <f>B5/(1+B7+B8)</f>
        <v>4.8701298701298697E-2</v>
      </c>
    </row>
    <row r="12" spans="1:4" ht="15" customHeight="1" x14ac:dyDescent="0.25">
      <c r="A12" s="99" t="s">
        <v>479</v>
      </c>
      <c r="B12" s="102">
        <f>B6/(1+B7+B8)</f>
        <v>1.6233766233766236E-2</v>
      </c>
    </row>
    <row r="14" spans="1:4" ht="15" customHeight="1" x14ac:dyDescent="0.25">
      <c r="A14" s="6" t="s">
        <v>480</v>
      </c>
      <c r="B14" s="6"/>
      <c r="C14" s="6"/>
      <c r="D14" s="6"/>
    </row>
    <row r="15" spans="1:4" ht="15" customHeight="1" x14ac:dyDescent="0.25">
      <c r="A15" s="99" t="s">
        <v>313</v>
      </c>
      <c r="B15" s="100">
        <v>1.4999999999999999E-2</v>
      </c>
    </row>
    <row r="16" spans="1:4" ht="15" customHeight="1" x14ac:dyDescent="0.25">
      <c r="A16" s="99" t="s">
        <v>315</v>
      </c>
      <c r="B16" s="100">
        <v>7.4000000000000003E-3</v>
      </c>
    </row>
    <row r="17" spans="1:4" ht="15" customHeight="1" x14ac:dyDescent="0.25">
      <c r="A17" s="99" t="s">
        <v>317</v>
      </c>
      <c r="B17" s="100">
        <v>3.2500000000000001E-2</v>
      </c>
    </row>
    <row r="19" spans="1:4" ht="15" customHeight="1" x14ac:dyDescent="0.25">
      <c r="A19" s="6" t="s">
        <v>481</v>
      </c>
      <c r="B19" s="6"/>
      <c r="C19" s="6"/>
      <c r="D19" s="6"/>
    </row>
    <row r="20" spans="1:4" ht="15" customHeight="1" x14ac:dyDescent="0.25">
      <c r="A20" s="99" t="s">
        <v>482</v>
      </c>
      <c r="B20" s="100">
        <v>7.0000000000000007E-2</v>
      </c>
    </row>
    <row r="21" spans="1:4" ht="15" customHeight="1" x14ac:dyDescent="0.25">
      <c r="A21" s="99" t="s">
        <v>483</v>
      </c>
      <c r="B21" s="100">
        <v>5.0000000000000001E-3</v>
      </c>
    </row>
    <row r="22" spans="1:4" ht="15" customHeight="1" x14ac:dyDescent="0.25">
      <c r="A22" s="99" t="s">
        <v>484</v>
      </c>
      <c r="B22" s="100">
        <v>7.0000000000000007E-2</v>
      </c>
    </row>
    <row r="23" spans="1:4" ht="15" customHeight="1" x14ac:dyDescent="0.25">
      <c r="A23" s="99" t="s">
        <v>485</v>
      </c>
      <c r="B23" s="100">
        <v>0.02</v>
      </c>
    </row>
    <row r="25" spans="1:4" ht="15" customHeight="1" x14ac:dyDescent="0.25">
      <c r="A25" s="6" t="s">
        <v>486</v>
      </c>
      <c r="B25" s="6"/>
      <c r="C25" s="6"/>
      <c r="D25" s="6"/>
    </row>
    <row r="26" spans="1:4" ht="15" customHeight="1" x14ac:dyDescent="0.25">
      <c r="A26" s="99" t="s">
        <v>487</v>
      </c>
      <c r="B26" s="76">
        <v>0.02</v>
      </c>
    </row>
    <row r="28" spans="1:4" ht="15" customHeight="1" x14ac:dyDescent="0.25">
      <c r="A28" s="6" t="s">
        <v>488</v>
      </c>
      <c r="B28" s="6"/>
      <c r="C28" s="6"/>
      <c r="D28" s="6"/>
    </row>
    <row r="29" spans="1:4" ht="15" customHeight="1" x14ac:dyDescent="0.25">
      <c r="A29" s="99" t="s">
        <v>489</v>
      </c>
      <c r="B29" s="78">
        <v>1651915.69</v>
      </c>
    </row>
    <row r="30" spans="1:4" ht="15" customHeight="1" x14ac:dyDescent="0.25">
      <c r="A30" s="99" t="s">
        <v>490</v>
      </c>
      <c r="B30" s="78">
        <v>451631.16</v>
      </c>
    </row>
    <row r="32" spans="1:4" ht="15" customHeight="1" x14ac:dyDescent="0.25">
      <c r="A32" s="6" t="s">
        <v>491</v>
      </c>
      <c r="B32" s="6"/>
      <c r="C32" s="6"/>
      <c r="D32" s="6"/>
    </row>
    <row r="33" spans="1:4" ht="15" customHeight="1" x14ac:dyDescent="0.25">
      <c r="A33" s="99" t="s">
        <v>492</v>
      </c>
      <c r="B33" s="78">
        <v>1615485</v>
      </c>
    </row>
    <row r="34" spans="1:4" ht="15" customHeight="1" x14ac:dyDescent="0.25">
      <c r="A34" s="99" t="s">
        <v>493</v>
      </c>
      <c r="B34" s="100">
        <v>0.15</v>
      </c>
    </row>
    <row r="35" spans="1:4" ht="15" customHeight="1" x14ac:dyDescent="0.25">
      <c r="A35" s="99" t="s">
        <v>494</v>
      </c>
      <c r="B35" s="102">
        <f>B34/4</f>
        <v>3.7499999999999999E-2</v>
      </c>
    </row>
    <row r="36" spans="1:4" ht="15" customHeight="1" x14ac:dyDescent="0.25">
      <c r="A36" s="99" t="s">
        <v>495</v>
      </c>
      <c r="B36" s="78">
        <v>130000</v>
      </c>
    </row>
    <row r="37" spans="1:4" ht="15" customHeight="1" x14ac:dyDescent="0.25">
      <c r="A37" s="99" t="s">
        <v>496</v>
      </c>
      <c r="B37" s="103">
        <v>7</v>
      </c>
    </row>
    <row r="38" spans="1:4" ht="15" customHeight="1" x14ac:dyDescent="0.25">
      <c r="A38" s="104" t="s">
        <v>497</v>
      </c>
    </row>
    <row r="40" spans="1:4" ht="15" customHeight="1" x14ac:dyDescent="0.25">
      <c r="A40" s="6" t="s">
        <v>498</v>
      </c>
      <c r="B40" s="6"/>
      <c r="C40" s="6"/>
      <c r="D40" s="6"/>
    </row>
    <row r="41" spans="1:4" ht="15" customHeight="1" x14ac:dyDescent="0.25">
      <c r="A41" s="99" t="s">
        <v>499</v>
      </c>
      <c r="B41" s="78">
        <v>1000000</v>
      </c>
    </row>
    <row r="42" spans="1:4" ht="15" customHeight="1" x14ac:dyDescent="0.25">
      <c r="A42" s="99" t="s">
        <v>500</v>
      </c>
      <c r="B42" s="105">
        <f>B41*0.25</f>
        <v>250000</v>
      </c>
    </row>
    <row r="43" spans="1:4" ht="15" customHeight="1" x14ac:dyDescent="0.25">
      <c r="A43" s="99" t="s">
        <v>501</v>
      </c>
      <c r="B43" s="78">
        <v>1000000</v>
      </c>
    </row>
    <row r="44" spans="1:4" ht="15" customHeight="1" x14ac:dyDescent="0.25">
      <c r="A44" s="104" t="s">
        <v>502</v>
      </c>
    </row>
    <row r="46" spans="1:4" ht="15" customHeight="1" x14ac:dyDescent="0.25">
      <c r="A46" s="6" t="s">
        <v>503</v>
      </c>
      <c r="B46" s="6"/>
      <c r="C46" s="6"/>
      <c r="D46" s="6"/>
    </row>
    <row r="47" spans="1:4" ht="15" customHeight="1" x14ac:dyDescent="0.25">
      <c r="A47" s="99" t="s">
        <v>504</v>
      </c>
      <c r="B47" s="100">
        <v>0.01</v>
      </c>
    </row>
    <row r="48" spans="1:4" ht="15" customHeight="1" x14ac:dyDescent="0.25">
      <c r="A48" s="99" t="s">
        <v>505</v>
      </c>
      <c r="B48" s="100">
        <v>0.03</v>
      </c>
    </row>
    <row r="50" spans="1:4" ht="15" customHeight="1" x14ac:dyDescent="0.25">
      <c r="A50" s="6" t="s">
        <v>506</v>
      </c>
      <c r="B50" s="6"/>
      <c r="C50" s="106"/>
      <c r="D50" s="6"/>
    </row>
    <row r="51" spans="1:4" ht="15" customHeight="1" x14ac:dyDescent="0.25">
      <c r="A51" s="99" t="s">
        <v>116</v>
      </c>
      <c r="B51" s="78">
        <v>2000000</v>
      </c>
    </row>
    <row r="52" spans="1:4" ht="15" customHeight="1" x14ac:dyDescent="0.25">
      <c r="A52" s="99" t="s">
        <v>117</v>
      </c>
      <c r="B52" s="78">
        <v>2000000</v>
      </c>
    </row>
    <row r="53" spans="1:4" ht="15" customHeight="1" x14ac:dyDescent="0.25">
      <c r="A53" s="99" t="s">
        <v>115</v>
      </c>
      <c r="B53" s="78">
        <v>5000000</v>
      </c>
      <c r="C53" s="107"/>
    </row>
    <row r="54" spans="1:4" ht="15" customHeight="1" x14ac:dyDescent="0.25">
      <c r="A54" s="99" t="s">
        <v>120</v>
      </c>
      <c r="B54" s="78">
        <v>5000000</v>
      </c>
      <c r="C54" s="107"/>
    </row>
    <row r="55" spans="1:4" ht="15" customHeight="1" x14ac:dyDescent="0.25">
      <c r="A55" s="99" t="s">
        <v>123</v>
      </c>
      <c r="B55" s="78">
        <v>5000000</v>
      </c>
      <c r="C55" s="107"/>
    </row>
    <row r="57" spans="1:4" ht="15" customHeight="1" x14ac:dyDescent="0.25">
      <c r="A57" s="6" t="s">
        <v>507</v>
      </c>
      <c r="B57" s="6"/>
      <c r="C57" s="6"/>
      <c r="D57" s="6"/>
    </row>
    <row r="58" spans="1:4" ht="15" customHeight="1" x14ac:dyDescent="0.25">
      <c r="A58" s="99" t="s">
        <v>508</v>
      </c>
      <c r="B58" s="100">
        <v>0.15</v>
      </c>
    </row>
    <row r="59" spans="1:4" ht="15" customHeight="1" x14ac:dyDescent="0.25">
      <c r="A59" s="99" t="s">
        <v>509</v>
      </c>
      <c r="B59" s="102">
        <f>B58/4</f>
        <v>3.7499999999999999E-2</v>
      </c>
    </row>
    <row r="60" spans="1:4" ht="15" customHeight="1" x14ac:dyDescent="0.25">
      <c r="A60" s="99" t="s">
        <v>510</v>
      </c>
      <c r="B60" s="78">
        <v>0</v>
      </c>
    </row>
    <row r="61" spans="1:4" ht="15" customHeight="1" x14ac:dyDescent="0.25">
      <c r="A61" s="99" t="s">
        <v>511</v>
      </c>
      <c r="B61" s="78">
        <v>0</v>
      </c>
    </row>
    <row r="62" spans="1:4" ht="15" customHeight="1" x14ac:dyDescent="0.25">
      <c r="A62" s="99" t="s">
        <v>512</v>
      </c>
      <c r="B62" s="78">
        <v>1784000</v>
      </c>
    </row>
    <row r="63" spans="1:4" ht="15" customHeight="1" x14ac:dyDescent="0.25">
      <c r="A63" s="99" t="s">
        <v>513</v>
      </c>
      <c r="B63" s="78">
        <v>1766181</v>
      </c>
    </row>
    <row r="64" spans="1:4" ht="15" customHeight="1" x14ac:dyDescent="0.25">
      <c r="A64" s="104" t="s">
        <v>514</v>
      </c>
    </row>
    <row r="66" spans="1:2" ht="15" customHeight="1" x14ac:dyDescent="0.25">
      <c r="A66" s="4" t="s">
        <v>153</v>
      </c>
    </row>
    <row r="67" spans="1:2" ht="15" customHeight="1" x14ac:dyDescent="0.25">
      <c r="A67" s="107" t="s">
        <v>515</v>
      </c>
      <c r="B67" s="108">
        <v>833.33</v>
      </c>
    </row>
    <row r="68" spans="1:2" ht="15" customHeight="1" x14ac:dyDescent="0.25">
      <c r="A68" s="107" t="s">
        <v>516</v>
      </c>
      <c r="B68" s="107">
        <v>5</v>
      </c>
    </row>
    <row r="70" spans="1:2" ht="15" customHeight="1" x14ac:dyDescent="0.25">
      <c r="A70" s="109" t="s">
        <v>517</v>
      </c>
      <c r="B70" s="109"/>
    </row>
    <row r="71" spans="1:2" ht="15" customHeight="1" x14ac:dyDescent="0.25">
      <c r="A71" s="110" t="s">
        <v>518</v>
      </c>
      <c r="B71" s="111">
        <v>1134000</v>
      </c>
    </row>
    <row r="72" spans="1:2" ht="15" customHeight="1" x14ac:dyDescent="0.25">
      <c r="A72" s="112" t="s">
        <v>519</v>
      </c>
      <c r="B72" s="113">
        <v>50000</v>
      </c>
    </row>
    <row r="73" spans="1:2" ht="15" customHeight="1" x14ac:dyDescent="0.25">
      <c r="A73" s="110" t="s">
        <v>520</v>
      </c>
      <c r="B73" s="114">
        <v>14</v>
      </c>
    </row>
    <row r="74" spans="1:2" ht="15" customHeight="1" x14ac:dyDescent="0.25">
      <c r="A74" s="112" t="s">
        <v>219</v>
      </c>
      <c r="B74" s="113">
        <v>-1450000</v>
      </c>
    </row>
    <row r="75" spans="1:2" ht="15" customHeight="1" x14ac:dyDescent="0.25">
      <c r="A75" s="110" t="s">
        <v>521</v>
      </c>
      <c r="B75" s="111">
        <v>264927.15000000002</v>
      </c>
    </row>
    <row r="76" spans="1:2" ht="15" customHeight="1" x14ac:dyDescent="0.25">
      <c r="A76" s="112" t="s">
        <v>522</v>
      </c>
      <c r="B76" s="113">
        <v>883090.5</v>
      </c>
    </row>
    <row r="77" spans="1:2" ht="15" customHeight="1" x14ac:dyDescent="0.25">
      <c r="A77" s="110" t="s">
        <v>214</v>
      </c>
      <c r="B77" s="111">
        <v>-1800000</v>
      </c>
    </row>
  </sheetData>
  <mergeCells count="1">
    <mergeCell ref="A1:D1"/>
  </mergeCell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2C3A51"/>
  </sheetPr>
  <dimension ref="A1:S16"/>
  <sheetViews>
    <sheetView zoomScaleNormal="100" workbookViewId="0"/>
  </sheetViews>
  <sheetFormatPr defaultColWidth="8.7109375" defaultRowHeight="15" customHeight="1" x14ac:dyDescent="0.25"/>
  <cols>
    <col min="1" max="2" width="18" customWidth="1"/>
    <col min="3" max="12" width="14" customWidth="1"/>
    <col min="14" max="19" width="17.28515625" customWidth="1"/>
  </cols>
  <sheetData>
    <row r="1" spans="1:19" ht="27.75" customHeight="1" x14ac:dyDescent="0.25">
      <c r="A1" s="26" t="s">
        <v>336</v>
      </c>
      <c r="B1" s="26" t="s">
        <v>523</v>
      </c>
      <c r="C1" s="26" t="s">
        <v>4</v>
      </c>
      <c r="D1" s="26" t="s">
        <v>338</v>
      </c>
      <c r="E1" s="26" t="s">
        <v>426</v>
      </c>
      <c r="F1" s="26" t="s">
        <v>524</v>
      </c>
      <c r="G1" s="26" t="s">
        <v>6</v>
      </c>
      <c r="H1" s="26" t="s">
        <v>525</v>
      </c>
      <c r="I1" s="26" t="s">
        <v>526</v>
      </c>
      <c r="J1" s="26" t="s">
        <v>527</v>
      </c>
      <c r="K1" s="26" t="s">
        <v>340</v>
      </c>
      <c r="L1" s="26" t="s">
        <v>5</v>
      </c>
      <c r="N1" s="26" t="s">
        <v>528</v>
      </c>
      <c r="O1" s="26" t="s">
        <v>529</v>
      </c>
      <c r="P1" s="26" t="s">
        <v>530</v>
      </c>
      <c r="Q1" s="26" t="s">
        <v>531</v>
      </c>
      <c r="R1" s="26" t="s">
        <v>532</v>
      </c>
      <c r="S1" s="26" t="s">
        <v>533</v>
      </c>
    </row>
    <row r="2" spans="1:19" ht="15" customHeight="1" x14ac:dyDescent="0.25">
      <c r="A2" s="99" t="s">
        <v>275</v>
      </c>
      <c r="B2" s="115">
        <v>7126075</v>
      </c>
      <c r="C2" s="116">
        <v>1</v>
      </c>
      <c r="D2" s="116">
        <v>8</v>
      </c>
      <c r="E2" s="116">
        <v>2</v>
      </c>
      <c r="F2" s="116" t="s">
        <v>343</v>
      </c>
      <c r="G2" s="116" t="s">
        <v>13</v>
      </c>
      <c r="H2" s="116">
        <v>0</v>
      </c>
      <c r="I2" s="102">
        <f>IF(H2=1,Assumptions!$B$16,IF(H2=2,Assumptions!$B$17,0))</f>
        <v>0</v>
      </c>
      <c r="J2" s="116" t="s">
        <v>343</v>
      </c>
      <c r="K2" s="116" t="s">
        <v>343</v>
      </c>
      <c r="L2" s="116" t="s">
        <v>534</v>
      </c>
      <c r="N2" s="115">
        <v>194932</v>
      </c>
      <c r="O2" s="115">
        <f>B2*Assumptions!$B$11</f>
        <v>347049.1071428571</v>
      </c>
      <c r="P2" s="115">
        <v>46323</v>
      </c>
      <c r="Q2" s="115">
        <f t="shared" ref="Q2:Q16" si="0">N2+O2+P2</f>
        <v>588304.10714285704</v>
      </c>
      <c r="R2" s="115">
        <f t="shared" ref="R2:R16" si="1">Q2*0.05</f>
        <v>29415.205357142855</v>
      </c>
      <c r="S2" s="99">
        <f t="shared" ref="S2:S16" si="2">C2+D2-1</f>
        <v>8</v>
      </c>
    </row>
    <row r="3" spans="1:19" ht="15" customHeight="1" x14ac:dyDescent="0.25">
      <c r="A3" s="99" t="s">
        <v>279</v>
      </c>
      <c r="B3" s="115">
        <v>20176449</v>
      </c>
      <c r="C3" s="116">
        <v>1</v>
      </c>
      <c r="D3" s="116">
        <v>16</v>
      </c>
      <c r="E3" s="116">
        <v>2</v>
      </c>
      <c r="F3" s="116" t="s">
        <v>343</v>
      </c>
      <c r="G3" s="116" t="s">
        <v>13</v>
      </c>
      <c r="H3" s="116">
        <v>0</v>
      </c>
      <c r="I3" s="102">
        <f>IF(H3=1,Assumptions!$B$16,IF(H3=2,Assumptions!$B$17,0))</f>
        <v>0</v>
      </c>
      <c r="J3" s="116" t="s">
        <v>343</v>
      </c>
      <c r="K3" s="116" t="s">
        <v>343</v>
      </c>
      <c r="L3" s="116" t="s">
        <v>534</v>
      </c>
      <c r="N3" s="115">
        <v>888067</v>
      </c>
      <c r="O3" s="115">
        <f>B3*Assumptions!$B$11</f>
        <v>982619.26948051935</v>
      </c>
      <c r="P3" s="115">
        <v>176626</v>
      </c>
      <c r="Q3" s="115">
        <f t="shared" si="0"/>
        <v>2047312.2694805195</v>
      </c>
      <c r="R3" s="115">
        <f t="shared" si="1"/>
        <v>102365.61347402597</v>
      </c>
      <c r="S3" s="99">
        <f t="shared" si="2"/>
        <v>16</v>
      </c>
    </row>
    <row r="4" spans="1:19" ht="15" customHeight="1" x14ac:dyDescent="0.25">
      <c r="A4" s="99" t="s">
        <v>223</v>
      </c>
      <c r="B4" s="115">
        <v>11929880</v>
      </c>
      <c r="C4" s="116">
        <v>1</v>
      </c>
      <c r="D4" s="116">
        <v>15</v>
      </c>
      <c r="E4" s="116">
        <v>3</v>
      </c>
      <c r="F4" s="116" t="s">
        <v>13</v>
      </c>
      <c r="G4" s="116" t="s">
        <v>13</v>
      </c>
      <c r="H4" s="116">
        <v>1</v>
      </c>
      <c r="I4" s="102">
        <f>IF(H4=1,Assumptions!$B$16,IF(H4=2,Assumptions!$B$17,0))</f>
        <v>7.4000000000000003E-3</v>
      </c>
      <c r="J4" s="116" t="s">
        <v>343</v>
      </c>
      <c r="K4" s="116" t="s">
        <v>13</v>
      </c>
      <c r="L4" s="116" t="s">
        <v>535</v>
      </c>
      <c r="N4" s="115">
        <f>B4*Assumptions!$B$10</f>
        <v>581000.64935064933</v>
      </c>
      <c r="O4" s="115">
        <f>B4*Assumptions!$B$11</f>
        <v>581000.64935064933</v>
      </c>
      <c r="P4" s="115">
        <f>B4*Assumptions!$B$12</f>
        <v>193666.88311688314</v>
      </c>
      <c r="Q4" s="115">
        <f t="shared" si="0"/>
        <v>1355668.1818181819</v>
      </c>
      <c r="R4" s="115">
        <f t="shared" si="1"/>
        <v>67783.409090909103</v>
      </c>
      <c r="S4" s="99">
        <f t="shared" si="2"/>
        <v>15</v>
      </c>
    </row>
    <row r="5" spans="1:19" ht="15" customHeight="1" x14ac:dyDescent="0.25">
      <c r="A5" s="99" t="s">
        <v>224</v>
      </c>
      <c r="B5" s="115">
        <v>14427884</v>
      </c>
      <c r="C5" s="116">
        <v>1</v>
      </c>
      <c r="D5" s="116">
        <v>15</v>
      </c>
      <c r="E5" s="116">
        <v>3</v>
      </c>
      <c r="F5" s="116" t="s">
        <v>13</v>
      </c>
      <c r="G5" s="116" t="s">
        <v>13</v>
      </c>
      <c r="H5" s="116">
        <v>1</v>
      </c>
      <c r="I5" s="102">
        <f>IF(H5=1,Assumptions!$B$16,IF(H5=2,Assumptions!$B$17,0))</f>
        <v>7.4000000000000003E-3</v>
      </c>
      <c r="J5" s="116" t="s">
        <v>343</v>
      </c>
      <c r="K5" s="116" t="s">
        <v>13</v>
      </c>
      <c r="L5" s="116" t="s">
        <v>535</v>
      </c>
      <c r="N5" s="115">
        <f>B5*Assumptions!$B$10</f>
        <v>702656.68831168825</v>
      </c>
      <c r="O5" s="115">
        <f>B5*Assumptions!$B$11</f>
        <v>702656.68831168825</v>
      </c>
      <c r="P5" s="115">
        <f>B5*Assumptions!$B$12</f>
        <v>234218.89610389614</v>
      </c>
      <c r="Q5" s="115">
        <f t="shared" si="0"/>
        <v>1639532.2727272727</v>
      </c>
      <c r="R5" s="115">
        <f t="shared" si="1"/>
        <v>81976.613636363647</v>
      </c>
      <c r="S5" s="99">
        <f t="shared" si="2"/>
        <v>15</v>
      </c>
    </row>
    <row r="6" spans="1:19" ht="15" customHeight="1" x14ac:dyDescent="0.25">
      <c r="A6" s="99" t="s">
        <v>347</v>
      </c>
      <c r="B6" s="115">
        <v>3623245</v>
      </c>
      <c r="C6" s="116">
        <v>1</v>
      </c>
      <c r="D6" s="116">
        <v>19</v>
      </c>
      <c r="E6" s="116">
        <v>3</v>
      </c>
      <c r="F6" s="116" t="s">
        <v>343</v>
      </c>
      <c r="G6" s="116" t="s">
        <v>13</v>
      </c>
      <c r="H6" s="116">
        <v>0</v>
      </c>
      <c r="I6" s="102">
        <f>IF(H6=1,Assumptions!$B$16,IF(H6=2,Assumptions!$B$17,0))</f>
        <v>0</v>
      </c>
      <c r="J6" s="116" t="s">
        <v>343</v>
      </c>
      <c r="K6" s="116" t="s">
        <v>13</v>
      </c>
      <c r="L6" s="116" t="s">
        <v>535</v>
      </c>
      <c r="N6" s="115">
        <v>245000</v>
      </c>
      <c r="O6" s="115">
        <f>B6*Assumptions!$B$11</f>
        <v>176456.737012987</v>
      </c>
      <c r="P6" s="115">
        <v>0</v>
      </c>
      <c r="Q6" s="115">
        <f t="shared" si="0"/>
        <v>421456.73701298703</v>
      </c>
      <c r="R6" s="115">
        <f t="shared" si="1"/>
        <v>21072.836850649353</v>
      </c>
      <c r="S6" s="99">
        <f t="shared" si="2"/>
        <v>19</v>
      </c>
    </row>
    <row r="7" spans="1:19" ht="15" customHeight="1" x14ac:dyDescent="0.25">
      <c r="A7" s="99" t="s">
        <v>115</v>
      </c>
      <c r="B7" s="115">
        <v>42968448</v>
      </c>
      <c r="C7" s="116">
        <v>4</v>
      </c>
      <c r="D7" s="116">
        <v>30</v>
      </c>
      <c r="E7" s="116">
        <v>1</v>
      </c>
      <c r="F7" s="116" t="s">
        <v>13</v>
      </c>
      <c r="G7" s="116" t="s">
        <v>13</v>
      </c>
      <c r="H7" s="116">
        <v>1</v>
      </c>
      <c r="I7" s="102">
        <f>IF(H7=1,Assumptions!$B$16,IF(H7=2,Assumptions!$B$17,0))</f>
        <v>7.4000000000000003E-3</v>
      </c>
      <c r="J7" s="116" t="s">
        <v>13</v>
      </c>
      <c r="K7" s="116" t="s">
        <v>13</v>
      </c>
      <c r="L7" s="116" t="s">
        <v>534</v>
      </c>
      <c r="N7" s="115">
        <f>B7*Assumptions!$B$10</f>
        <v>2092619.2207792206</v>
      </c>
      <c r="O7" s="115">
        <f>B7*Assumptions!$B$11</f>
        <v>2092619.2207792206</v>
      </c>
      <c r="P7" s="115">
        <f>B7*Assumptions!$B$12</f>
        <v>697539.74025974039</v>
      </c>
      <c r="Q7" s="115">
        <f t="shared" si="0"/>
        <v>4882778.1818181816</v>
      </c>
      <c r="R7" s="115">
        <f t="shared" si="1"/>
        <v>244138.90909090909</v>
      </c>
      <c r="S7" s="99">
        <f t="shared" si="2"/>
        <v>33</v>
      </c>
    </row>
    <row r="8" spans="1:19" ht="15" customHeight="1" x14ac:dyDescent="0.25">
      <c r="A8" s="99" t="s">
        <v>225</v>
      </c>
      <c r="B8" s="115">
        <v>13625772</v>
      </c>
      <c r="C8" s="116">
        <v>7</v>
      </c>
      <c r="D8" s="116">
        <v>19</v>
      </c>
      <c r="E8" s="116">
        <v>3</v>
      </c>
      <c r="F8" s="116" t="s">
        <v>13</v>
      </c>
      <c r="G8" s="116" t="s">
        <v>13</v>
      </c>
      <c r="H8" s="116">
        <v>1</v>
      </c>
      <c r="I8" s="102">
        <f>IF(H8=1,Assumptions!$B$16,IF(H8=2,Assumptions!$B$17,0))</f>
        <v>7.4000000000000003E-3</v>
      </c>
      <c r="J8" s="116" t="s">
        <v>343</v>
      </c>
      <c r="K8" s="116" t="s">
        <v>13</v>
      </c>
      <c r="L8" s="116" t="s">
        <v>535</v>
      </c>
      <c r="N8" s="115">
        <f>B8*Assumptions!$B$10</f>
        <v>663592.79220779217</v>
      </c>
      <c r="O8" s="115">
        <f>B8*Assumptions!$B$11</f>
        <v>663592.79220779217</v>
      </c>
      <c r="P8" s="115">
        <f>B8*Assumptions!$B$12</f>
        <v>221197.59740259743</v>
      </c>
      <c r="Q8" s="115">
        <f t="shared" si="0"/>
        <v>1548383.1818181816</v>
      </c>
      <c r="R8" s="115">
        <f t="shared" si="1"/>
        <v>77419.159090909088</v>
      </c>
      <c r="S8" s="99">
        <f t="shared" si="2"/>
        <v>25</v>
      </c>
    </row>
    <row r="9" spans="1:19" ht="15" customHeight="1" x14ac:dyDescent="0.25">
      <c r="A9" s="99" t="s">
        <v>226</v>
      </c>
      <c r="B9" s="115">
        <v>15844883</v>
      </c>
      <c r="C9" s="116">
        <v>7</v>
      </c>
      <c r="D9" s="116">
        <v>30</v>
      </c>
      <c r="E9" s="116">
        <v>1</v>
      </c>
      <c r="F9" s="116" t="s">
        <v>13</v>
      </c>
      <c r="G9" s="116" t="s">
        <v>13</v>
      </c>
      <c r="H9" s="116">
        <v>1</v>
      </c>
      <c r="I9" s="102">
        <f>IF(H9=1,Assumptions!$B$16,IF(H9=2,Assumptions!$B$17,0))</f>
        <v>7.4000000000000003E-3</v>
      </c>
      <c r="J9" s="116" t="s">
        <v>343</v>
      </c>
      <c r="K9" s="116" t="s">
        <v>13</v>
      </c>
      <c r="L9" s="116" t="s">
        <v>535</v>
      </c>
      <c r="N9" s="115">
        <f>B9*Assumptions!$B$10</f>
        <v>771666.37987012975</v>
      </c>
      <c r="O9" s="115">
        <f>B9*Assumptions!$B$11</f>
        <v>771666.37987012975</v>
      </c>
      <c r="P9" s="115">
        <f>B9*Assumptions!$B$12</f>
        <v>257222.12662337665</v>
      </c>
      <c r="Q9" s="115">
        <f t="shared" si="0"/>
        <v>1800554.8863636362</v>
      </c>
      <c r="R9" s="115">
        <f t="shared" si="1"/>
        <v>90027.744318181823</v>
      </c>
      <c r="S9" s="99">
        <f t="shared" si="2"/>
        <v>36</v>
      </c>
    </row>
    <row r="10" spans="1:19" ht="15" customHeight="1" x14ac:dyDescent="0.25">
      <c r="A10" s="99" t="s">
        <v>119</v>
      </c>
      <c r="B10" s="115">
        <v>21263405</v>
      </c>
      <c r="C10" s="116">
        <v>8</v>
      </c>
      <c r="D10" s="116">
        <v>24</v>
      </c>
      <c r="E10" s="116">
        <v>2</v>
      </c>
      <c r="F10" s="116" t="s">
        <v>13</v>
      </c>
      <c r="G10" s="116" t="s">
        <v>13</v>
      </c>
      <c r="H10" s="116">
        <v>1</v>
      </c>
      <c r="I10" s="102">
        <f>IF(H10=1,Assumptions!$B$16,IF(H10=2,Assumptions!$B$17,0))</f>
        <v>7.4000000000000003E-3</v>
      </c>
      <c r="J10" s="116" t="s">
        <v>343</v>
      </c>
      <c r="K10" s="116" t="s">
        <v>13</v>
      </c>
      <c r="L10" s="116" t="s">
        <v>535</v>
      </c>
      <c r="N10" s="115">
        <f>B10*Assumptions!$B$10</f>
        <v>1035555.4383116883</v>
      </c>
      <c r="O10" s="115">
        <f>B10*Assumptions!$B$11</f>
        <v>1035555.4383116883</v>
      </c>
      <c r="P10" s="115">
        <f>B10*Assumptions!$B$12</f>
        <v>345185.14610389614</v>
      </c>
      <c r="Q10" s="115">
        <f t="shared" si="0"/>
        <v>2416296.0227272725</v>
      </c>
      <c r="R10" s="115">
        <f t="shared" si="1"/>
        <v>120814.80113636363</v>
      </c>
      <c r="S10" s="99">
        <f t="shared" si="2"/>
        <v>31</v>
      </c>
    </row>
    <row r="11" spans="1:19" ht="15" customHeight="1" x14ac:dyDescent="0.25">
      <c r="A11" s="99" t="s">
        <v>116</v>
      </c>
      <c r="B11" s="115">
        <v>9577109</v>
      </c>
      <c r="C11" s="116">
        <v>5</v>
      </c>
      <c r="D11" s="116">
        <v>19</v>
      </c>
      <c r="E11" s="116">
        <v>3</v>
      </c>
      <c r="F11" s="116" t="s">
        <v>343</v>
      </c>
      <c r="G11" s="116" t="s">
        <v>343</v>
      </c>
      <c r="H11" s="116">
        <v>0</v>
      </c>
      <c r="I11" s="102">
        <f>IF(H11=1,Assumptions!$B$16,IF(H11=2,Assumptions!$B$17,0))</f>
        <v>0</v>
      </c>
      <c r="J11" s="116" t="s">
        <v>13</v>
      </c>
      <c r="K11" s="116" t="s">
        <v>343</v>
      </c>
      <c r="L11" s="116" t="s">
        <v>534</v>
      </c>
      <c r="N11" s="115">
        <f>B11*Assumptions!$B$10</f>
        <v>466417.64610389608</v>
      </c>
      <c r="O11" s="115">
        <f>B11*Assumptions!$B$11</f>
        <v>466417.64610389608</v>
      </c>
      <c r="P11" s="115">
        <f>B11*Assumptions!$B$12</f>
        <v>155472.54870129871</v>
      </c>
      <c r="Q11" s="115">
        <f t="shared" si="0"/>
        <v>1088307.8409090908</v>
      </c>
      <c r="R11" s="115">
        <f t="shared" si="1"/>
        <v>54415.392045454544</v>
      </c>
      <c r="S11" s="99">
        <f t="shared" si="2"/>
        <v>23</v>
      </c>
    </row>
    <row r="12" spans="1:19" ht="15" customHeight="1" x14ac:dyDescent="0.25">
      <c r="A12" s="99" t="s">
        <v>117</v>
      </c>
      <c r="B12" s="115">
        <v>7545203</v>
      </c>
      <c r="C12" s="116">
        <v>6</v>
      </c>
      <c r="D12" s="116">
        <v>19</v>
      </c>
      <c r="E12" s="116">
        <v>3</v>
      </c>
      <c r="F12" s="116" t="s">
        <v>343</v>
      </c>
      <c r="G12" s="116" t="s">
        <v>343</v>
      </c>
      <c r="H12" s="116">
        <v>0</v>
      </c>
      <c r="I12" s="102">
        <f>IF(H12=1,Assumptions!$B$16,IF(H12=2,Assumptions!$B$17,0))</f>
        <v>0</v>
      </c>
      <c r="J12" s="116" t="s">
        <v>13</v>
      </c>
      <c r="K12" s="116" t="s">
        <v>343</v>
      </c>
      <c r="L12" s="116" t="s">
        <v>534</v>
      </c>
      <c r="N12" s="115">
        <f>B12*Assumptions!$B$10</f>
        <v>367461.18506493501</v>
      </c>
      <c r="O12" s="115">
        <f>B12*Assumptions!$B$11</f>
        <v>367461.18506493501</v>
      </c>
      <c r="P12" s="115">
        <f>B12*Assumptions!$B$12</f>
        <v>122487.0616883117</v>
      </c>
      <c r="Q12" s="115">
        <f t="shared" si="0"/>
        <v>857409.43181818177</v>
      </c>
      <c r="R12" s="115">
        <f t="shared" si="1"/>
        <v>42870.471590909088</v>
      </c>
      <c r="S12" s="99">
        <f t="shared" si="2"/>
        <v>24</v>
      </c>
    </row>
    <row r="13" spans="1:19" ht="15" customHeight="1" x14ac:dyDescent="0.25">
      <c r="A13" s="99" t="s">
        <v>120</v>
      </c>
      <c r="B13" s="115">
        <v>45266770</v>
      </c>
      <c r="C13" s="116">
        <v>13</v>
      </c>
      <c r="D13" s="116">
        <v>30</v>
      </c>
      <c r="E13" s="116">
        <v>1</v>
      </c>
      <c r="F13" s="116" t="s">
        <v>13</v>
      </c>
      <c r="G13" s="116" t="s">
        <v>13</v>
      </c>
      <c r="H13" s="116">
        <v>2</v>
      </c>
      <c r="I13" s="102">
        <f>IF(H13=1,Assumptions!$B$16,IF(H13=2,Assumptions!$B$17,0))</f>
        <v>3.2500000000000001E-2</v>
      </c>
      <c r="J13" s="116" t="s">
        <v>13</v>
      </c>
      <c r="K13" s="116" t="s">
        <v>13</v>
      </c>
      <c r="L13" s="116" t="s">
        <v>534</v>
      </c>
      <c r="N13" s="115">
        <f>B13*Assumptions!$B$10</f>
        <v>2204550.487012987</v>
      </c>
      <c r="O13" s="115">
        <f>B13*Assumptions!$B$11</f>
        <v>2204550.487012987</v>
      </c>
      <c r="P13" s="115">
        <f>B13*Assumptions!$B$12</f>
        <v>734850.16233766242</v>
      </c>
      <c r="Q13" s="115">
        <f t="shared" si="0"/>
        <v>5143951.1363636367</v>
      </c>
      <c r="R13" s="115">
        <f t="shared" si="1"/>
        <v>257197.55681818185</v>
      </c>
      <c r="S13" s="99">
        <f t="shared" si="2"/>
        <v>42</v>
      </c>
    </row>
    <row r="14" spans="1:19" ht="15" customHeight="1" x14ac:dyDescent="0.25">
      <c r="A14" s="99" t="s">
        <v>123</v>
      </c>
      <c r="B14" s="115">
        <v>41354632</v>
      </c>
      <c r="C14" s="116">
        <v>27</v>
      </c>
      <c r="D14" s="116">
        <v>30</v>
      </c>
      <c r="E14" s="116">
        <v>1</v>
      </c>
      <c r="F14" s="116" t="s">
        <v>13</v>
      </c>
      <c r="G14" s="116" t="s">
        <v>13</v>
      </c>
      <c r="H14" s="116">
        <v>2</v>
      </c>
      <c r="I14" s="102">
        <f>IF(H14=1,Assumptions!$B$16,IF(H14=2,Assumptions!$B$17,0))</f>
        <v>3.2500000000000001E-2</v>
      </c>
      <c r="J14" s="116" t="s">
        <v>13</v>
      </c>
      <c r="K14" s="116" t="s">
        <v>13</v>
      </c>
      <c r="L14" s="116" t="s">
        <v>534</v>
      </c>
      <c r="N14" s="115">
        <f>B14*Assumptions!$B$10</f>
        <v>2014024.2857142854</v>
      </c>
      <c r="O14" s="115">
        <f>B14*Assumptions!$B$11</f>
        <v>2014024.2857142854</v>
      </c>
      <c r="P14" s="115">
        <f>B14*Assumptions!$B$12</f>
        <v>671341.42857142864</v>
      </c>
      <c r="Q14" s="115">
        <f t="shared" si="0"/>
        <v>4699390</v>
      </c>
      <c r="R14" s="115">
        <f t="shared" si="1"/>
        <v>234969.5</v>
      </c>
      <c r="S14" s="99">
        <f t="shared" si="2"/>
        <v>56</v>
      </c>
    </row>
    <row r="15" spans="1:19" ht="15" customHeight="1" x14ac:dyDescent="0.25">
      <c r="A15" s="99" t="s">
        <v>121</v>
      </c>
      <c r="B15" s="115">
        <v>15179956</v>
      </c>
      <c r="C15" s="116">
        <v>16</v>
      </c>
      <c r="D15" s="116">
        <v>19</v>
      </c>
      <c r="E15" s="116">
        <v>3</v>
      </c>
      <c r="F15" s="116" t="s">
        <v>13</v>
      </c>
      <c r="G15" s="116" t="s">
        <v>343</v>
      </c>
      <c r="H15" s="116">
        <v>2</v>
      </c>
      <c r="I15" s="102">
        <f>IF(H15=1,Assumptions!$B$16,IF(H15=2,Assumptions!$B$17,0))</f>
        <v>3.2500000000000001E-2</v>
      </c>
      <c r="J15" s="116" t="s">
        <v>343</v>
      </c>
      <c r="K15" s="116" t="s">
        <v>13</v>
      </c>
      <c r="L15" s="116" t="s">
        <v>535</v>
      </c>
      <c r="N15" s="115">
        <f>B15*Assumptions!$B$10</f>
        <v>739283.57142857136</v>
      </c>
      <c r="O15" s="115">
        <f>B15*Assumptions!$B$11</f>
        <v>739283.57142857136</v>
      </c>
      <c r="P15" s="115">
        <f>B15*Assumptions!$B$12</f>
        <v>246427.85714285716</v>
      </c>
      <c r="Q15" s="115">
        <f t="shared" si="0"/>
        <v>1724995</v>
      </c>
      <c r="R15" s="115">
        <f t="shared" si="1"/>
        <v>86249.75</v>
      </c>
      <c r="S15" s="99">
        <f t="shared" si="2"/>
        <v>34</v>
      </c>
    </row>
    <row r="16" spans="1:19" ht="15" customHeight="1" x14ac:dyDescent="0.25">
      <c r="A16" s="99" t="s">
        <v>122</v>
      </c>
      <c r="B16" s="115">
        <v>15179956</v>
      </c>
      <c r="C16" s="116">
        <v>19</v>
      </c>
      <c r="D16" s="116">
        <v>19</v>
      </c>
      <c r="E16" s="116">
        <v>3</v>
      </c>
      <c r="F16" s="116" t="s">
        <v>13</v>
      </c>
      <c r="G16" s="116" t="s">
        <v>343</v>
      </c>
      <c r="H16" s="116">
        <v>2</v>
      </c>
      <c r="I16" s="102">
        <f>IF(H16=1,Assumptions!$B$16,IF(H16=2,Assumptions!$B$17,0))</f>
        <v>3.2500000000000001E-2</v>
      </c>
      <c r="J16" s="116" t="s">
        <v>343</v>
      </c>
      <c r="K16" s="116" t="s">
        <v>13</v>
      </c>
      <c r="L16" s="116" t="s">
        <v>535</v>
      </c>
      <c r="N16" s="115">
        <f>B16*Assumptions!$B$10</f>
        <v>739283.57142857136</v>
      </c>
      <c r="O16" s="115">
        <f>B16*Assumptions!$B$11</f>
        <v>739283.57142857136</v>
      </c>
      <c r="P16" s="115">
        <f>B16*Assumptions!$B$12</f>
        <v>246427.85714285716</v>
      </c>
      <c r="Q16" s="115">
        <f t="shared" si="0"/>
        <v>1724995</v>
      </c>
      <c r="R16" s="115">
        <f t="shared" si="1"/>
        <v>86249.75</v>
      </c>
      <c r="S16" s="99">
        <f t="shared" si="2"/>
        <v>37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2C3A51"/>
  </sheetPr>
  <dimension ref="A1:J40"/>
  <sheetViews>
    <sheetView tabSelected="1" zoomScaleNormal="100" workbookViewId="0">
      <selection activeCell="A15" sqref="A15"/>
    </sheetView>
  </sheetViews>
  <sheetFormatPr defaultColWidth="8.7109375" defaultRowHeight="15" customHeight="1" x14ac:dyDescent="0.25"/>
  <cols>
    <col min="1" max="2" width="26" customWidth="1"/>
    <col min="3" max="3" width="16" customWidth="1"/>
    <col min="4" max="5" width="14" customWidth="1"/>
    <col min="7" max="7" width="10" customWidth="1"/>
    <col min="8" max="9" width="12" customWidth="1"/>
  </cols>
  <sheetData>
    <row r="1" spans="1:10" ht="27.75" customHeight="1" x14ac:dyDescent="0.25">
      <c r="A1" s="26" t="s">
        <v>0</v>
      </c>
      <c r="B1" s="26" t="s">
        <v>1</v>
      </c>
      <c r="C1" s="26" t="s">
        <v>2</v>
      </c>
      <c r="D1" s="26" t="s">
        <v>3</v>
      </c>
      <c r="E1" s="26" t="s">
        <v>4</v>
      </c>
      <c r="F1" s="26" t="s">
        <v>5</v>
      </c>
      <c r="G1" s="26" t="s">
        <v>6</v>
      </c>
      <c r="H1" s="26" t="s">
        <v>7</v>
      </c>
      <c r="I1" s="26" t="s">
        <v>8</v>
      </c>
      <c r="J1" t="s">
        <v>9</v>
      </c>
    </row>
    <row r="2" spans="1:10" ht="15" customHeight="1" x14ac:dyDescent="0.25">
      <c r="A2" s="99" t="s">
        <v>10</v>
      </c>
      <c r="B2" s="99" t="s">
        <v>11</v>
      </c>
      <c r="C2" s="115">
        <v>70000</v>
      </c>
      <c r="D2" s="105">
        <f t="shared" ref="D2:D29" si="0">C2/12</f>
        <v>5833.333333333333</v>
      </c>
      <c r="E2" s="116">
        <v>1</v>
      </c>
      <c r="F2" s="99" t="s">
        <v>12</v>
      </c>
      <c r="G2" s="103" t="s">
        <v>13</v>
      </c>
      <c r="H2" s="100">
        <v>0</v>
      </c>
      <c r="I2" s="102">
        <v>0</v>
      </c>
      <c r="J2" t="s">
        <v>14</v>
      </c>
    </row>
    <row r="3" spans="1:10" ht="15" customHeight="1" x14ac:dyDescent="0.25">
      <c r="A3" s="99" t="s">
        <v>15</v>
      </c>
      <c r="B3" s="99" t="s">
        <v>16</v>
      </c>
      <c r="C3" s="115">
        <v>80000</v>
      </c>
      <c r="D3" s="105">
        <f t="shared" si="0"/>
        <v>6666.666666666667</v>
      </c>
      <c r="E3" s="116">
        <v>1</v>
      </c>
      <c r="F3" s="99" t="s">
        <v>12</v>
      </c>
      <c r="G3" s="103" t="s">
        <v>13</v>
      </c>
      <c r="H3" s="100">
        <v>0.5</v>
      </c>
      <c r="I3" s="102">
        <v>0</v>
      </c>
      <c r="J3" t="s">
        <v>14</v>
      </c>
    </row>
    <row r="4" spans="1:10" ht="15" customHeight="1" x14ac:dyDescent="0.25">
      <c r="A4" s="99" t="s">
        <v>17</v>
      </c>
      <c r="B4" s="99" t="s">
        <v>16</v>
      </c>
      <c r="C4" s="115">
        <v>25000</v>
      </c>
      <c r="D4" s="105">
        <f t="shared" si="0"/>
        <v>2083.3333333333335</v>
      </c>
      <c r="E4" s="116">
        <v>1</v>
      </c>
      <c r="F4" s="99" t="s">
        <v>12</v>
      </c>
      <c r="G4" s="103" t="s">
        <v>13</v>
      </c>
      <c r="H4" s="100">
        <v>0.5</v>
      </c>
      <c r="I4" s="102">
        <v>0</v>
      </c>
      <c r="J4" t="s">
        <v>14</v>
      </c>
    </row>
    <row r="5" spans="1:10" ht="15" customHeight="1" x14ac:dyDescent="0.25">
      <c r="A5" s="99" t="s">
        <v>18</v>
      </c>
      <c r="B5" s="99" t="s">
        <v>19</v>
      </c>
      <c r="C5" s="115">
        <v>19000</v>
      </c>
      <c r="D5" s="105">
        <f t="shared" si="0"/>
        <v>1583.3333333333333</v>
      </c>
      <c r="E5" s="116">
        <v>1</v>
      </c>
      <c r="F5" s="99" t="s">
        <v>12</v>
      </c>
      <c r="G5" s="103" t="s">
        <v>13</v>
      </c>
      <c r="H5" s="100">
        <v>0</v>
      </c>
      <c r="I5" s="102">
        <v>0</v>
      </c>
      <c r="J5" t="s">
        <v>14</v>
      </c>
    </row>
    <row r="6" spans="1:10" ht="15" customHeight="1" x14ac:dyDescent="0.25">
      <c r="A6" s="117" t="s">
        <v>20</v>
      </c>
      <c r="B6" s="99" t="s">
        <v>19</v>
      </c>
      <c r="C6" s="115">
        <v>20000</v>
      </c>
      <c r="D6" s="105">
        <f t="shared" si="0"/>
        <v>1666.6666666666667</v>
      </c>
      <c r="E6" s="116">
        <v>1</v>
      </c>
      <c r="F6" s="99" t="s">
        <v>12</v>
      </c>
      <c r="G6" s="103" t="s">
        <v>13</v>
      </c>
      <c r="H6" s="100">
        <v>0</v>
      </c>
      <c r="I6" s="102">
        <v>0</v>
      </c>
      <c r="J6" t="s">
        <v>14</v>
      </c>
    </row>
    <row r="7" spans="1:10" ht="15" customHeight="1" x14ac:dyDescent="0.25">
      <c r="A7" s="99" t="s">
        <v>21</v>
      </c>
      <c r="B7" s="99" t="s">
        <v>16</v>
      </c>
      <c r="C7" s="115">
        <v>320000</v>
      </c>
      <c r="D7" s="105">
        <f t="shared" si="0"/>
        <v>26666.666666666668</v>
      </c>
      <c r="E7" s="116">
        <v>1</v>
      </c>
      <c r="F7" s="99" t="s">
        <v>12</v>
      </c>
      <c r="G7" s="103" t="s">
        <v>13</v>
      </c>
      <c r="H7" s="100">
        <v>0.5</v>
      </c>
      <c r="I7" s="102">
        <v>0</v>
      </c>
      <c r="J7" t="s">
        <v>22</v>
      </c>
    </row>
    <row r="8" spans="1:10" ht="15" customHeight="1" x14ac:dyDescent="0.25">
      <c r="A8" s="99" t="s">
        <v>23</v>
      </c>
      <c r="B8" s="99" t="s">
        <v>16</v>
      </c>
      <c r="C8" s="115">
        <v>225000</v>
      </c>
      <c r="D8" s="105">
        <f t="shared" si="0"/>
        <v>18750</v>
      </c>
      <c r="E8" s="116">
        <v>1</v>
      </c>
      <c r="F8" s="99" t="s">
        <v>12</v>
      </c>
      <c r="G8" s="103" t="s">
        <v>13</v>
      </c>
      <c r="H8" s="100">
        <v>0.5</v>
      </c>
      <c r="I8" s="102">
        <v>0</v>
      </c>
      <c r="J8" t="s">
        <v>22</v>
      </c>
    </row>
    <row r="9" spans="1:10" ht="15" customHeight="1" x14ac:dyDescent="0.25">
      <c r="A9" s="117" t="s">
        <v>24</v>
      </c>
      <c r="B9" s="99" t="s">
        <v>19</v>
      </c>
      <c r="C9" s="115">
        <v>171000</v>
      </c>
      <c r="D9" s="105">
        <f t="shared" si="0"/>
        <v>14250</v>
      </c>
      <c r="E9" s="116">
        <v>1</v>
      </c>
      <c r="F9" s="99" t="s">
        <v>12</v>
      </c>
      <c r="G9" s="103" t="s">
        <v>13</v>
      </c>
      <c r="H9" s="100">
        <v>0</v>
      </c>
      <c r="I9" s="102">
        <v>0</v>
      </c>
      <c r="J9" t="s">
        <v>22</v>
      </c>
    </row>
    <row r="10" spans="1:10" ht="15" customHeight="1" x14ac:dyDescent="0.25">
      <c r="A10" s="117" t="s">
        <v>25</v>
      </c>
      <c r="B10" s="99" t="s">
        <v>19</v>
      </c>
      <c r="C10" s="115">
        <v>180000</v>
      </c>
      <c r="D10" s="105">
        <f t="shared" si="0"/>
        <v>15000</v>
      </c>
      <c r="E10" s="116">
        <v>1</v>
      </c>
      <c r="F10" s="99" t="s">
        <v>12</v>
      </c>
      <c r="G10" s="103" t="s">
        <v>13</v>
      </c>
      <c r="H10" s="100">
        <v>0</v>
      </c>
      <c r="I10" s="102">
        <v>0</v>
      </c>
      <c r="J10" t="s">
        <v>22</v>
      </c>
    </row>
    <row r="11" spans="1:10" ht="15" customHeight="1" x14ac:dyDescent="0.25">
      <c r="A11" s="99" t="s">
        <v>26</v>
      </c>
      <c r="B11" s="99" t="s">
        <v>19</v>
      </c>
      <c r="C11" s="115">
        <v>175000</v>
      </c>
      <c r="D11" s="105">
        <f t="shared" si="0"/>
        <v>14583.333333333334</v>
      </c>
      <c r="E11" s="116">
        <v>2</v>
      </c>
      <c r="F11" s="99" t="s">
        <v>12</v>
      </c>
      <c r="G11" s="103" t="s">
        <v>13</v>
      </c>
      <c r="H11" s="100">
        <v>0</v>
      </c>
      <c r="I11" s="102">
        <v>0</v>
      </c>
      <c r="J11" t="s">
        <v>22</v>
      </c>
    </row>
    <row r="12" spans="1:10" ht="15" customHeight="1" x14ac:dyDescent="0.25">
      <c r="A12" s="99" t="s">
        <v>27</v>
      </c>
      <c r="B12" s="99" t="s">
        <v>28</v>
      </c>
      <c r="C12" s="115">
        <v>145000</v>
      </c>
      <c r="D12" s="105">
        <f t="shared" si="0"/>
        <v>12083.333333333334</v>
      </c>
      <c r="E12" s="116">
        <v>1</v>
      </c>
      <c r="F12" s="99" t="s">
        <v>12</v>
      </c>
      <c r="G12" s="103" t="s">
        <v>13</v>
      </c>
      <c r="H12" s="100">
        <v>0</v>
      </c>
      <c r="I12" s="102">
        <v>0</v>
      </c>
      <c r="J12" t="s">
        <v>22</v>
      </c>
    </row>
    <row r="13" spans="1:10" ht="15" customHeight="1" x14ac:dyDescent="0.25">
      <c r="A13" s="99" t="s">
        <v>29</v>
      </c>
      <c r="B13" s="99" t="s">
        <v>28</v>
      </c>
      <c r="C13" s="115">
        <v>185000</v>
      </c>
      <c r="D13" s="105">
        <f t="shared" si="0"/>
        <v>15416.666666666666</v>
      </c>
      <c r="E13" s="116">
        <v>1</v>
      </c>
      <c r="F13" s="99" t="s">
        <v>12</v>
      </c>
      <c r="G13" s="103" t="s">
        <v>13</v>
      </c>
      <c r="H13" s="100">
        <v>0</v>
      </c>
      <c r="I13" s="102">
        <v>0</v>
      </c>
      <c r="J13" t="s">
        <v>22</v>
      </c>
    </row>
    <row r="14" spans="1:10" ht="15" customHeight="1" x14ac:dyDescent="0.25">
      <c r="A14" s="99" t="s">
        <v>30</v>
      </c>
      <c r="B14" s="99" t="s">
        <v>28</v>
      </c>
      <c r="C14" s="115">
        <v>135000</v>
      </c>
      <c r="D14" s="105">
        <f t="shared" si="0"/>
        <v>11250</v>
      </c>
      <c r="E14" s="116">
        <v>2</v>
      </c>
      <c r="F14" s="99" t="s">
        <v>12</v>
      </c>
      <c r="G14" s="103" t="s">
        <v>13</v>
      </c>
      <c r="H14" s="100">
        <v>0</v>
      </c>
      <c r="I14" s="102">
        <v>0</v>
      </c>
      <c r="J14" t="s">
        <v>22</v>
      </c>
    </row>
    <row r="15" spans="1:10" ht="15" customHeight="1" x14ac:dyDescent="0.25">
      <c r="A15" s="117" t="s">
        <v>31</v>
      </c>
      <c r="B15" s="99" t="s">
        <v>28</v>
      </c>
      <c r="C15" s="115">
        <v>135000</v>
      </c>
      <c r="D15" s="105">
        <f t="shared" si="0"/>
        <v>11250</v>
      </c>
      <c r="E15" s="116">
        <v>3</v>
      </c>
      <c r="F15" s="99" t="s">
        <v>12</v>
      </c>
      <c r="G15" s="103" t="s">
        <v>13</v>
      </c>
      <c r="H15" s="100">
        <v>0</v>
      </c>
      <c r="I15" s="102">
        <v>0</v>
      </c>
      <c r="J15" t="s">
        <v>22</v>
      </c>
    </row>
    <row r="16" spans="1:10" ht="15" customHeight="1" x14ac:dyDescent="0.25">
      <c r="A16" s="117" t="s">
        <v>32</v>
      </c>
      <c r="B16" s="99" t="s">
        <v>11</v>
      </c>
      <c r="C16" s="115">
        <v>97500</v>
      </c>
      <c r="D16" s="105">
        <f t="shared" si="0"/>
        <v>8125</v>
      </c>
      <c r="E16" s="116">
        <v>1</v>
      </c>
      <c r="F16" s="99" t="s">
        <v>12</v>
      </c>
      <c r="G16" s="103" t="s">
        <v>13</v>
      </c>
      <c r="H16" s="100">
        <v>0</v>
      </c>
      <c r="I16" s="102">
        <v>0</v>
      </c>
      <c r="J16" t="s">
        <v>22</v>
      </c>
    </row>
    <row r="17" spans="1:10" ht="15" customHeight="1" x14ac:dyDescent="0.25">
      <c r="A17" s="117" t="s">
        <v>33</v>
      </c>
      <c r="B17" s="99" t="s">
        <v>11</v>
      </c>
      <c r="C17" s="115">
        <v>100000</v>
      </c>
      <c r="D17" s="105">
        <f t="shared" si="0"/>
        <v>8333.3333333333339</v>
      </c>
      <c r="E17" s="116">
        <v>3</v>
      </c>
      <c r="F17" s="99" t="s">
        <v>12</v>
      </c>
      <c r="G17" s="103" t="s">
        <v>13</v>
      </c>
      <c r="H17" s="100">
        <v>0</v>
      </c>
      <c r="I17" s="102">
        <v>0</v>
      </c>
      <c r="J17" t="s">
        <v>22</v>
      </c>
    </row>
    <row r="18" spans="1:10" ht="15" customHeight="1" x14ac:dyDescent="0.25">
      <c r="A18" s="117" t="s">
        <v>34</v>
      </c>
      <c r="B18" s="99" t="s">
        <v>35</v>
      </c>
      <c r="C18" s="115">
        <v>150000</v>
      </c>
      <c r="D18" s="105">
        <f t="shared" si="0"/>
        <v>12500</v>
      </c>
      <c r="E18" s="116">
        <v>1</v>
      </c>
      <c r="F18" s="99" t="s">
        <v>12</v>
      </c>
      <c r="G18" s="103" t="s">
        <v>13</v>
      </c>
      <c r="H18" s="100">
        <v>0</v>
      </c>
      <c r="I18" s="102">
        <v>0</v>
      </c>
      <c r="J18" t="s">
        <v>22</v>
      </c>
    </row>
    <row r="19" spans="1:10" ht="15" customHeight="1" x14ac:dyDescent="0.25">
      <c r="A19" s="99" t="s">
        <v>36</v>
      </c>
      <c r="B19" s="99" t="s">
        <v>35</v>
      </c>
      <c r="C19" s="115">
        <v>150000</v>
      </c>
      <c r="D19" s="105">
        <f t="shared" si="0"/>
        <v>12500</v>
      </c>
      <c r="E19" s="116">
        <v>1</v>
      </c>
      <c r="F19" s="99" t="s">
        <v>12</v>
      </c>
      <c r="G19" s="103" t="s">
        <v>13</v>
      </c>
      <c r="H19" s="100">
        <v>0</v>
      </c>
      <c r="I19" s="102">
        <v>0</v>
      </c>
      <c r="J19" t="s">
        <v>22</v>
      </c>
    </row>
    <row r="20" spans="1:10" ht="15" customHeight="1" x14ac:dyDescent="0.25">
      <c r="A20" s="99" t="s">
        <v>37</v>
      </c>
      <c r="B20" s="99" t="s">
        <v>35</v>
      </c>
      <c r="C20" s="115">
        <v>110000</v>
      </c>
      <c r="D20" s="105">
        <f t="shared" si="0"/>
        <v>9166.6666666666661</v>
      </c>
      <c r="E20" s="116">
        <v>1</v>
      </c>
      <c r="F20" s="99" t="s">
        <v>12</v>
      </c>
      <c r="G20" s="103" t="s">
        <v>13</v>
      </c>
      <c r="H20" s="100">
        <v>0</v>
      </c>
      <c r="I20" s="102">
        <v>0</v>
      </c>
      <c r="J20" t="s">
        <v>22</v>
      </c>
    </row>
    <row r="21" spans="1:10" ht="15" customHeight="1" x14ac:dyDescent="0.25">
      <c r="A21" s="99" t="s">
        <v>38</v>
      </c>
      <c r="B21" s="99" t="s">
        <v>39</v>
      </c>
      <c r="C21" s="115">
        <v>75000</v>
      </c>
      <c r="D21" s="105">
        <f t="shared" si="0"/>
        <v>6250</v>
      </c>
      <c r="E21" s="116">
        <v>1</v>
      </c>
      <c r="F21" s="99" t="s">
        <v>12</v>
      </c>
      <c r="G21" s="103" t="s">
        <v>13</v>
      </c>
      <c r="H21" s="100">
        <v>0</v>
      </c>
      <c r="I21" s="102">
        <v>0</v>
      </c>
      <c r="J21" t="s">
        <v>22</v>
      </c>
    </row>
    <row r="22" spans="1:10" ht="15" customHeight="1" x14ac:dyDescent="0.25">
      <c r="A22" s="99" t="s">
        <v>40</v>
      </c>
      <c r="B22" s="99" t="s">
        <v>39</v>
      </c>
      <c r="C22" s="115">
        <v>125000</v>
      </c>
      <c r="D22" s="105">
        <f t="shared" si="0"/>
        <v>10416.666666666666</v>
      </c>
      <c r="E22" s="116">
        <v>2</v>
      </c>
      <c r="F22" s="99" t="s">
        <v>12</v>
      </c>
      <c r="G22" s="103" t="s">
        <v>13</v>
      </c>
      <c r="H22" s="100">
        <v>0</v>
      </c>
      <c r="I22" s="102">
        <v>0</v>
      </c>
      <c r="J22" t="s">
        <v>22</v>
      </c>
    </row>
    <row r="23" spans="1:10" ht="15" customHeight="1" x14ac:dyDescent="0.25">
      <c r="A23" s="99" t="s">
        <v>41</v>
      </c>
      <c r="B23" s="99" t="s">
        <v>39</v>
      </c>
      <c r="C23" s="115">
        <v>125000</v>
      </c>
      <c r="D23" s="105">
        <f t="shared" si="0"/>
        <v>10416.666666666666</v>
      </c>
      <c r="E23" s="116">
        <v>3</v>
      </c>
      <c r="F23" s="99" t="s">
        <v>12</v>
      </c>
      <c r="G23" s="103" t="s">
        <v>13</v>
      </c>
      <c r="H23" s="100">
        <v>0</v>
      </c>
      <c r="I23" s="102">
        <v>0</v>
      </c>
      <c r="J23" t="s">
        <v>22</v>
      </c>
    </row>
    <row r="24" spans="1:10" ht="15" customHeight="1" x14ac:dyDescent="0.25">
      <c r="A24" s="99" t="s">
        <v>42</v>
      </c>
      <c r="B24" s="99" t="s">
        <v>39</v>
      </c>
      <c r="C24" s="115">
        <v>125000</v>
      </c>
      <c r="D24" s="105">
        <f t="shared" si="0"/>
        <v>10416.666666666666</v>
      </c>
      <c r="E24" s="116">
        <v>999</v>
      </c>
      <c r="F24" s="99" t="s">
        <v>12</v>
      </c>
      <c r="G24" s="103" t="s">
        <v>13</v>
      </c>
      <c r="H24" s="100">
        <v>0</v>
      </c>
      <c r="I24" s="102">
        <v>0</v>
      </c>
      <c r="J24" t="s">
        <v>22</v>
      </c>
    </row>
    <row r="25" spans="1:10" ht="15" customHeight="1" x14ac:dyDescent="0.25">
      <c r="A25" s="117" t="s">
        <v>43</v>
      </c>
      <c r="B25" s="99" t="s">
        <v>39</v>
      </c>
      <c r="C25" s="115">
        <v>125000</v>
      </c>
      <c r="D25" s="105">
        <f t="shared" si="0"/>
        <v>10416.666666666666</v>
      </c>
      <c r="E25" s="116">
        <v>999</v>
      </c>
      <c r="F25" s="99" t="s">
        <v>12</v>
      </c>
      <c r="G25" s="103" t="s">
        <v>13</v>
      </c>
      <c r="H25" s="100">
        <v>0</v>
      </c>
      <c r="I25" s="102">
        <v>0</v>
      </c>
      <c r="J25" t="s">
        <v>22</v>
      </c>
    </row>
    <row r="26" spans="1:10" x14ac:dyDescent="0.25">
      <c r="A26" t="s">
        <v>44</v>
      </c>
      <c r="B26" t="s">
        <v>45</v>
      </c>
      <c r="C26">
        <v>62400</v>
      </c>
      <c r="D26">
        <f t="shared" si="0"/>
        <v>5200</v>
      </c>
      <c r="E26">
        <v>1</v>
      </c>
      <c r="F26" t="s">
        <v>12</v>
      </c>
      <c r="G26" t="s">
        <v>13</v>
      </c>
      <c r="H26">
        <v>0</v>
      </c>
      <c r="I26">
        <v>0</v>
      </c>
      <c r="J26" t="s">
        <v>22</v>
      </c>
    </row>
    <row r="27" spans="1:10" ht="15" customHeight="1" x14ac:dyDescent="0.25">
      <c r="A27" s="6" t="s">
        <v>46</v>
      </c>
      <c r="B27" s="6" t="s">
        <v>45</v>
      </c>
      <c r="C27" s="6">
        <v>85000</v>
      </c>
      <c r="D27" s="6">
        <f t="shared" si="0"/>
        <v>7083.333333333333</v>
      </c>
      <c r="E27" s="6">
        <v>1</v>
      </c>
      <c r="F27" s="6" t="s">
        <v>12</v>
      </c>
      <c r="G27" s="6" t="s">
        <v>13</v>
      </c>
      <c r="H27" s="6">
        <v>0</v>
      </c>
      <c r="I27" s="6">
        <v>0</v>
      </c>
      <c r="J27" t="s">
        <v>22</v>
      </c>
    </row>
    <row r="28" spans="1:10" ht="15" customHeight="1" x14ac:dyDescent="0.25">
      <c r="A28" s="99" t="s">
        <v>47</v>
      </c>
      <c r="B28" s="99" t="s">
        <v>48</v>
      </c>
      <c r="C28" s="115">
        <v>69992</v>
      </c>
      <c r="D28" s="105">
        <f t="shared" si="0"/>
        <v>5832.666666666667</v>
      </c>
      <c r="E28" s="116">
        <v>1</v>
      </c>
      <c r="F28" s="99" t="s">
        <v>12</v>
      </c>
      <c r="G28" s="103" t="s">
        <v>13</v>
      </c>
      <c r="H28" s="100">
        <v>0</v>
      </c>
      <c r="I28" s="76">
        <v>0</v>
      </c>
      <c r="J28" t="s">
        <v>22</v>
      </c>
    </row>
    <row r="29" spans="1:10" ht="15" customHeight="1" x14ac:dyDescent="0.25">
      <c r="A29" s="99" t="s">
        <v>49</v>
      </c>
      <c r="B29" s="99" t="s">
        <v>48</v>
      </c>
      <c r="C29" s="115">
        <v>52000</v>
      </c>
      <c r="D29" s="105">
        <f t="shared" si="0"/>
        <v>4333.333333333333</v>
      </c>
      <c r="E29" s="116">
        <v>1</v>
      </c>
      <c r="F29" s="99" t="s">
        <v>12</v>
      </c>
      <c r="G29" s="103" t="s">
        <v>13</v>
      </c>
      <c r="H29" s="100">
        <v>0</v>
      </c>
      <c r="I29" s="76">
        <v>0</v>
      </c>
      <c r="J29" t="s">
        <v>22</v>
      </c>
    </row>
    <row r="30" spans="1:10" ht="15" customHeight="1" x14ac:dyDescent="0.25">
      <c r="A30" s="99"/>
      <c r="B30" s="99"/>
      <c r="C30" s="115"/>
      <c r="D30" s="105"/>
      <c r="E30" s="116"/>
      <c r="F30" s="99"/>
      <c r="G30" s="103"/>
      <c r="H30" s="100"/>
      <c r="I30" s="100"/>
    </row>
    <row r="31" spans="1:10" ht="15" customHeight="1" x14ac:dyDescent="0.25">
      <c r="A31" s="99" t="s">
        <v>50</v>
      </c>
      <c r="B31" s="99"/>
      <c r="C31" s="115"/>
      <c r="D31" s="105"/>
      <c r="E31" s="116"/>
      <c r="F31" s="99"/>
      <c r="G31" s="103"/>
      <c r="H31" s="100"/>
      <c r="I31" s="100"/>
    </row>
    <row r="32" spans="1:10" ht="15" customHeight="1" x14ac:dyDescent="0.25">
      <c r="A32" s="99" t="s">
        <v>51</v>
      </c>
      <c r="B32" s="99" t="s">
        <v>52</v>
      </c>
      <c r="C32" s="115">
        <v>400000</v>
      </c>
      <c r="D32" s="105">
        <f t="shared" ref="D32:D38" si="1">C32/12</f>
        <v>33333.333333333336</v>
      </c>
      <c r="E32" s="116">
        <v>1</v>
      </c>
      <c r="F32" s="99" t="s">
        <v>53</v>
      </c>
      <c r="G32" s="103" t="s">
        <v>13</v>
      </c>
      <c r="H32" s="100">
        <v>1</v>
      </c>
      <c r="I32" s="76">
        <v>0.5</v>
      </c>
      <c r="J32" t="s">
        <v>54</v>
      </c>
    </row>
    <row r="33" spans="1:10" ht="15" customHeight="1" x14ac:dyDescent="0.25">
      <c r="A33" s="99" t="s">
        <v>55</v>
      </c>
      <c r="B33" s="99" t="s">
        <v>52</v>
      </c>
      <c r="C33" s="115">
        <v>400000</v>
      </c>
      <c r="D33" s="105">
        <f t="shared" si="1"/>
        <v>33333.333333333336</v>
      </c>
      <c r="E33" s="116">
        <v>1</v>
      </c>
      <c r="F33" s="99" t="s">
        <v>53</v>
      </c>
      <c r="G33" s="103" t="s">
        <v>13</v>
      </c>
      <c r="H33" s="100">
        <v>1</v>
      </c>
      <c r="I33" s="76">
        <v>0.2</v>
      </c>
      <c r="J33" t="s">
        <v>54</v>
      </c>
    </row>
    <row r="34" spans="1:10" ht="15" customHeight="1" x14ac:dyDescent="0.25">
      <c r="A34" s="99" t="s">
        <v>56</v>
      </c>
      <c r="B34" s="99" t="s">
        <v>57</v>
      </c>
      <c r="C34" s="115">
        <v>222000</v>
      </c>
      <c r="D34" s="105">
        <f t="shared" si="1"/>
        <v>18500</v>
      </c>
      <c r="E34" s="116">
        <v>1</v>
      </c>
      <c r="F34" s="99" t="s">
        <v>53</v>
      </c>
      <c r="G34" s="103" t="s">
        <v>13</v>
      </c>
      <c r="H34" s="100">
        <v>1</v>
      </c>
      <c r="I34" s="76">
        <v>0.5</v>
      </c>
      <c r="J34" t="s">
        <v>54</v>
      </c>
    </row>
    <row r="35" spans="1:10" x14ac:dyDescent="0.25">
      <c r="A35" t="s">
        <v>58</v>
      </c>
      <c r="B35" t="s">
        <v>59</v>
      </c>
      <c r="C35">
        <v>115000</v>
      </c>
      <c r="D35">
        <f t="shared" si="1"/>
        <v>9583.3333333333339</v>
      </c>
      <c r="E35">
        <v>1</v>
      </c>
      <c r="F35" t="s">
        <v>53</v>
      </c>
      <c r="G35" t="s">
        <v>13</v>
      </c>
      <c r="H35">
        <v>1</v>
      </c>
      <c r="I35">
        <v>0</v>
      </c>
      <c r="J35" t="s">
        <v>54</v>
      </c>
    </row>
    <row r="36" spans="1:10" x14ac:dyDescent="0.25">
      <c r="A36" t="s">
        <v>60</v>
      </c>
      <c r="B36" t="s">
        <v>61</v>
      </c>
      <c r="C36">
        <v>250000</v>
      </c>
      <c r="D36">
        <f t="shared" si="1"/>
        <v>20833.333333333332</v>
      </c>
      <c r="E36">
        <v>1</v>
      </c>
      <c r="F36" t="s">
        <v>53</v>
      </c>
      <c r="G36" t="s">
        <v>13</v>
      </c>
      <c r="H36">
        <v>0</v>
      </c>
      <c r="I36">
        <v>0.2</v>
      </c>
      <c r="J36" t="s">
        <v>54</v>
      </c>
    </row>
    <row r="37" spans="1:10" x14ac:dyDescent="0.25">
      <c r="A37" t="s">
        <v>62</v>
      </c>
      <c r="B37" t="s">
        <v>63</v>
      </c>
      <c r="C37">
        <v>150000</v>
      </c>
      <c r="D37">
        <f t="shared" si="1"/>
        <v>12500</v>
      </c>
      <c r="E37">
        <v>1</v>
      </c>
      <c r="F37" t="s">
        <v>53</v>
      </c>
      <c r="G37" t="s">
        <v>13</v>
      </c>
      <c r="H37">
        <v>0</v>
      </c>
      <c r="I37">
        <v>0.75</v>
      </c>
      <c r="J37" t="s">
        <v>54</v>
      </c>
    </row>
    <row r="38" spans="1:10" x14ac:dyDescent="0.25">
      <c r="A38" t="s">
        <v>64</v>
      </c>
      <c r="B38" t="s">
        <v>65</v>
      </c>
      <c r="C38">
        <v>250000</v>
      </c>
      <c r="D38">
        <f t="shared" si="1"/>
        <v>20833.333333333332</v>
      </c>
      <c r="E38">
        <v>1</v>
      </c>
      <c r="F38" t="s">
        <v>53</v>
      </c>
      <c r="G38" t="s">
        <v>13</v>
      </c>
      <c r="H38">
        <v>0</v>
      </c>
      <c r="I38">
        <v>0.75</v>
      </c>
      <c r="J38" t="s">
        <v>54</v>
      </c>
    </row>
    <row r="39" spans="1:10" x14ac:dyDescent="0.25"/>
    <row r="40" spans="1:10" x14ac:dyDescent="0.25"/>
  </sheetData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BFC7DA"/>
  </sheetPr>
  <dimension ref="A1:B85"/>
  <sheetViews>
    <sheetView zoomScaleNormal="100" workbookViewId="0"/>
  </sheetViews>
  <sheetFormatPr defaultColWidth="8.7109375" defaultRowHeight="15" customHeight="1" x14ac:dyDescent="0.25"/>
  <cols>
    <col min="1" max="1" width="10" customWidth="1"/>
    <col min="2" max="2" width="12" customWidth="1"/>
  </cols>
  <sheetData>
    <row r="1" spans="1:2" ht="15" customHeight="1" x14ac:dyDescent="0.25">
      <c r="A1" s="2" t="s">
        <v>536</v>
      </c>
      <c r="B1" s="2" t="s">
        <v>537</v>
      </c>
    </row>
    <row r="2" spans="1:2" ht="15" customHeight="1" x14ac:dyDescent="0.25">
      <c r="A2" s="118">
        <v>1</v>
      </c>
      <c r="B2" s="119">
        <f>(1+Assumptions!$B$26)^INT((A2-1)/12)</f>
        <v>1</v>
      </c>
    </row>
    <row r="3" spans="1:2" ht="15" customHeight="1" x14ac:dyDescent="0.25">
      <c r="A3" s="118">
        <v>2</v>
      </c>
      <c r="B3" s="119">
        <f>(1+Assumptions!$B$26)^INT((A3-1)/12)</f>
        <v>1</v>
      </c>
    </row>
    <row r="4" spans="1:2" ht="15" customHeight="1" x14ac:dyDescent="0.25">
      <c r="A4" s="118">
        <v>3</v>
      </c>
      <c r="B4" s="119">
        <f>(1+Assumptions!$B$26)^INT((A4-1)/12)</f>
        <v>1</v>
      </c>
    </row>
    <row r="5" spans="1:2" ht="15" customHeight="1" x14ac:dyDescent="0.25">
      <c r="A5" s="118">
        <v>4</v>
      </c>
      <c r="B5" s="119">
        <f>(1+Assumptions!$B$26)^INT((A5-1)/12)</f>
        <v>1</v>
      </c>
    </row>
    <row r="6" spans="1:2" ht="15" customHeight="1" x14ac:dyDescent="0.25">
      <c r="A6" s="118">
        <v>5</v>
      </c>
      <c r="B6" s="119">
        <f>(1+Assumptions!$B$26)^INT((A6-1)/12)</f>
        <v>1</v>
      </c>
    </row>
    <row r="7" spans="1:2" ht="15" customHeight="1" x14ac:dyDescent="0.25">
      <c r="A7" s="118">
        <v>6</v>
      </c>
      <c r="B7" s="119">
        <f>(1+Assumptions!$B$26)^INT((A7-1)/12)</f>
        <v>1</v>
      </c>
    </row>
    <row r="8" spans="1:2" ht="15" customHeight="1" x14ac:dyDescent="0.25">
      <c r="A8" s="118">
        <v>7</v>
      </c>
      <c r="B8" s="119">
        <f>(1+Assumptions!$B$26)^INT((A8-1)/12)</f>
        <v>1</v>
      </c>
    </row>
    <row r="9" spans="1:2" ht="15" customHeight="1" x14ac:dyDescent="0.25">
      <c r="A9" s="118">
        <v>8</v>
      </c>
      <c r="B9" s="119">
        <f>(1+Assumptions!$B$26)^INT((A9-1)/12)</f>
        <v>1</v>
      </c>
    </row>
    <row r="10" spans="1:2" ht="15" customHeight="1" x14ac:dyDescent="0.25">
      <c r="A10" s="118">
        <v>9</v>
      </c>
      <c r="B10" s="119">
        <f>(1+Assumptions!$B$26)^INT((A10-1)/12)</f>
        <v>1</v>
      </c>
    </row>
    <row r="11" spans="1:2" ht="15" customHeight="1" x14ac:dyDescent="0.25">
      <c r="A11" s="118">
        <v>10</v>
      </c>
      <c r="B11" s="119">
        <f>(1+Assumptions!$B$26)^INT((A11-1)/12)</f>
        <v>1</v>
      </c>
    </row>
    <row r="12" spans="1:2" ht="15" customHeight="1" x14ac:dyDescent="0.25">
      <c r="A12" s="118">
        <v>11</v>
      </c>
      <c r="B12" s="119">
        <f>(1+Assumptions!$B$26)^INT((A12-1)/12)</f>
        <v>1</v>
      </c>
    </row>
    <row r="13" spans="1:2" ht="15" customHeight="1" x14ac:dyDescent="0.25">
      <c r="A13" s="118">
        <v>12</v>
      </c>
      <c r="B13" s="119">
        <f>(1+Assumptions!$B$26)^INT((A13-1)/12)</f>
        <v>1</v>
      </c>
    </row>
    <row r="14" spans="1:2" ht="15" customHeight="1" x14ac:dyDescent="0.25">
      <c r="A14" s="118">
        <v>13</v>
      </c>
      <c r="B14" s="119">
        <f>(1+Assumptions!$B$26)^INT((A14-1)/12)</f>
        <v>1.02</v>
      </c>
    </row>
    <row r="15" spans="1:2" ht="15" customHeight="1" x14ac:dyDescent="0.25">
      <c r="A15" s="118">
        <v>14</v>
      </c>
      <c r="B15" s="119">
        <f>(1+Assumptions!$B$26)^INT((A15-1)/12)</f>
        <v>1.02</v>
      </c>
    </row>
    <row r="16" spans="1:2" ht="15" customHeight="1" x14ac:dyDescent="0.25">
      <c r="A16" s="118">
        <v>15</v>
      </c>
      <c r="B16" s="119">
        <f>(1+Assumptions!$B$26)^INT((A16-1)/12)</f>
        <v>1.02</v>
      </c>
    </row>
    <row r="17" spans="1:2" ht="15" customHeight="1" x14ac:dyDescent="0.25">
      <c r="A17" s="118">
        <v>16</v>
      </c>
      <c r="B17" s="119">
        <f>(1+Assumptions!$B$26)^INT((A17-1)/12)</f>
        <v>1.02</v>
      </c>
    </row>
    <row r="18" spans="1:2" ht="15" customHeight="1" x14ac:dyDescent="0.25">
      <c r="A18" s="118">
        <v>17</v>
      </c>
      <c r="B18" s="119">
        <f>(1+Assumptions!$B$26)^INT((A18-1)/12)</f>
        <v>1.02</v>
      </c>
    </row>
    <row r="19" spans="1:2" ht="15" customHeight="1" x14ac:dyDescent="0.25">
      <c r="A19" s="118">
        <v>18</v>
      </c>
      <c r="B19" s="119">
        <f>(1+Assumptions!$B$26)^INT((A19-1)/12)</f>
        <v>1.02</v>
      </c>
    </row>
    <row r="20" spans="1:2" ht="15" customHeight="1" x14ac:dyDescent="0.25">
      <c r="A20" s="118">
        <v>19</v>
      </c>
      <c r="B20" s="119">
        <f>(1+Assumptions!$B$26)^INT((A20-1)/12)</f>
        <v>1.02</v>
      </c>
    </row>
    <row r="21" spans="1:2" ht="15" customHeight="1" x14ac:dyDescent="0.25">
      <c r="A21" s="118">
        <v>20</v>
      </c>
      <c r="B21" s="119">
        <f>(1+Assumptions!$B$26)^INT((A21-1)/12)</f>
        <v>1.02</v>
      </c>
    </row>
    <row r="22" spans="1:2" ht="15" customHeight="1" x14ac:dyDescent="0.25">
      <c r="A22" s="118">
        <v>21</v>
      </c>
      <c r="B22" s="119">
        <f>(1+Assumptions!$B$26)^INT((A22-1)/12)</f>
        <v>1.02</v>
      </c>
    </row>
    <row r="23" spans="1:2" ht="15" customHeight="1" x14ac:dyDescent="0.25">
      <c r="A23" s="118">
        <v>22</v>
      </c>
      <c r="B23" s="119">
        <f>(1+Assumptions!$B$26)^INT((A23-1)/12)</f>
        <v>1.02</v>
      </c>
    </row>
    <row r="24" spans="1:2" ht="15" customHeight="1" x14ac:dyDescent="0.25">
      <c r="A24" s="118">
        <v>23</v>
      </c>
      <c r="B24" s="119">
        <f>(1+Assumptions!$B$26)^INT((A24-1)/12)</f>
        <v>1.02</v>
      </c>
    </row>
    <row r="25" spans="1:2" ht="15" customHeight="1" x14ac:dyDescent="0.25">
      <c r="A25" s="118">
        <v>24</v>
      </c>
      <c r="B25" s="119">
        <f>(1+Assumptions!$B$26)^INT((A25-1)/12)</f>
        <v>1.02</v>
      </c>
    </row>
    <row r="26" spans="1:2" ht="15" customHeight="1" x14ac:dyDescent="0.25">
      <c r="A26" s="118">
        <v>25</v>
      </c>
      <c r="B26" s="119">
        <f>(1+Assumptions!$B$26)^INT((A26-1)/12)</f>
        <v>1.0404</v>
      </c>
    </row>
    <row r="27" spans="1:2" ht="15" customHeight="1" x14ac:dyDescent="0.25">
      <c r="A27" s="118">
        <v>26</v>
      </c>
      <c r="B27" s="119">
        <f>(1+Assumptions!$B$26)^INT((A27-1)/12)</f>
        <v>1.0404</v>
      </c>
    </row>
    <row r="28" spans="1:2" ht="15" customHeight="1" x14ac:dyDescent="0.25">
      <c r="A28" s="118">
        <v>27</v>
      </c>
      <c r="B28" s="119">
        <f>(1+Assumptions!$B$26)^INT((A28-1)/12)</f>
        <v>1.0404</v>
      </c>
    </row>
    <row r="29" spans="1:2" ht="15" customHeight="1" x14ac:dyDescent="0.25">
      <c r="A29" s="118">
        <v>28</v>
      </c>
      <c r="B29" s="119">
        <f>(1+Assumptions!$B$26)^INT((A29-1)/12)</f>
        <v>1.0404</v>
      </c>
    </row>
    <row r="30" spans="1:2" ht="15" customHeight="1" x14ac:dyDescent="0.25">
      <c r="A30" s="118">
        <v>29</v>
      </c>
      <c r="B30" s="119">
        <f>(1+Assumptions!$B$26)^INT((A30-1)/12)</f>
        <v>1.0404</v>
      </c>
    </row>
    <row r="31" spans="1:2" ht="15" customHeight="1" x14ac:dyDescent="0.25">
      <c r="A31" s="118">
        <v>30</v>
      </c>
      <c r="B31" s="119">
        <f>(1+Assumptions!$B$26)^INT((A31-1)/12)</f>
        <v>1.0404</v>
      </c>
    </row>
    <row r="32" spans="1:2" ht="15" customHeight="1" x14ac:dyDescent="0.25">
      <c r="A32" s="118">
        <v>31</v>
      </c>
      <c r="B32" s="119">
        <f>(1+Assumptions!$B$26)^INT((A32-1)/12)</f>
        <v>1.0404</v>
      </c>
    </row>
    <row r="33" spans="1:2" ht="15" customHeight="1" x14ac:dyDescent="0.25">
      <c r="A33" s="118">
        <v>32</v>
      </c>
      <c r="B33" s="119">
        <f>(1+Assumptions!$B$26)^INT((A33-1)/12)</f>
        <v>1.0404</v>
      </c>
    </row>
    <row r="34" spans="1:2" ht="15" customHeight="1" x14ac:dyDescent="0.25">
      <c r="A34" s="118">
        <v>33</v>
      </c>
      <c r="B34" s="119">
        <f>(1+Assumptions!$B$26)^INT((A34-1)/12)</f>
        <v>1.0404</v>
      </c>
    </row>
    <row r="35" spans="1:2" ht="15" customHeight="1" x14ac:dyDescent="0.25">
      <c r="A35" s="118">
        <v>34</v>
      </c>
      <c r="B35" s="119">
        <f>(1+Assumptions!$B$26)^INT((A35-1)/12)</f>
        <v>1.0404</v>
      </c>
    </row>
    <row r="36" spans="1:2" ht="15" customHeight="1" x14ac:dyDescent="0.25">
      <c r="A36" s="118">
        <v>35</v>
      </c>
      <c r="B36" s="119">
        <f>(1+Assumptions!$B$26)^INT((A36-1)/12)</f>
        <v>1.0404</v>
      </c>
    </row>
    <row r="37" spans="1:2" ht="15" customHeight="1" x14ac:dyDescent="0.25">
      <c r="A37" s="118">
        <v>36</v>
      </c>
      <c r="B37" s="119">
        <f>(1+Assumptions!$B$26)^INT((A37-1)/12)</f>
        <v>1.0404</v>
      </c>
    </row>
    <row r="38" spans="1:2" ht="15" customHeight="1" x14ac:dyDescent="0.25">
      <c r="A38" s="118">
        <v>37</v>
      </c>
      <c r="B38" s="119">
        <f>(1+Assumptions!$B$26)^INT((A38-1)/12)</f>
        <v>1.0612079999999999</v>
      </c>
    </row>
    <row r="39" spans="1:2" ht="15" customHeight="1" x14ac:dyDescent="0.25">
      <c r="A39" s="118">
        <v>38</v>
      </c>
      <c r="B39" s="119">
        <f>(1+Assumptions!$B$26)^INT((A39-1)/12)</f>
        <v>1.0612079999999999</v>
      </c>
    </row>
    <row r="40" spans="1:2" ht="15" customHeight="1" x14ac:dyDescent="0.25">
      <c r="A40" s="118">
        <v>39</v>
      </c>
      <c r="B40" s="119">
        <f>(1+Assumptions!$B$26)^INT((A40-1)/12)</f>
        <v>1.0612079999999999</v>
      </c>
    </row>
    <row r="41" spans="1:2" ht="15" customHeight="1" x14ac:dyDescent="0.25">
      <c r="A41" s="118">
        <v>40</v>
      </c>
      <c r="B41" s="119">
        <f>(1+Assumptions!$B$26)^INT((A41-1)/12)</f>
        <v>1.0612079999999999</v>
      </c>
    </row>
    <row r="42" spans="1:2" ht="15" customHeight="1" x14ac:dyDescent="0.25">
      <c r="A42" s="118">
        <v>41</v>
      </c>
      <c r="B42" s="119">
        <f>(1+Assumptions!$B$26)^INT((A42-1)/12)</f>
        <v>1.0612079999999999</v>
      </c>
    </row>
    <row r="43" spans="1:2" ht="15" customHeight="1" x14ac:dyDescent="0.25">
      <c r="A43" s="118">
        <v>42</v>
      </c>
      <c r="B43" s="119">
        <f>(1+Assumptions!$B$26)^INT((A43-1)/12)</f>
        <v>1.0612079999999999</v>
      </c>
    </row>
    <row r="44" spans="1:2" ht="15" customHeight="1" x14ac:dyDescent="0.25">
      <c r="A44" s="118">
        <v>43</v>
      </c>
      <c r="B44" s="119">
        <f>(1+Assumptions!$B$26)^INT((A44-1)/12)</f>
        <v>1.0612079999999999</v>
      </c>
    </row>
    <row r="45" spans="1:2" ht="15" customHeight="1" x14ac:dyDescent="0.25">
      <c r="A45" s="118">
        <v>44</v>
      </c>
      <c r="B45" s="119">
        <f>(1+Assumptions!$B$26)^INT((A45-1)/12)</f>
        <v>1.0612079999999999</v>
      </c>
    </row>
    <row r="46" spans="1:2" ht="15" customHeight="1" x14ac:dyDescent="0.25">
      <c r="A46" s="118">
        <v>45</v>
      </c>
      <c r="B46" s="119">
        <f>(1+Assumptions!$B$26)^INT((A46-1)/12)</f>
        <v>1.0612079999999999</v>
      </c>
    </row>
    <row r="47" spans="1:2" ht="15" customHeight="1" x14ac:dyDescent="0.25">
      <c r="A47" s="118">
        <v>46</v>
      </c>
      <c r="B47" s="119">
        <f>(1+Assumptions!$B$26)^INT((A47-1)/12)</f>
        <v>1.0612079999999999</v>
      </c>
    </row>
    <row r="48" spans="1:2" ht="15" customHeight="1" x14ac:dyDescent="0.25">
      <c r="A48" s="118">
        <v>47</v>
      </c>
      <c r="B48" s="119">
        <f>(1+Assumptions!$B$26)^INT((A48-1)/12)</f>
        <v>1.0612079999999999</v>
      </c>
    </row>
    <row r="49" spans="1:2" ht="15" customHeight="1" x14ac:dyDescent="0.25">
      <c r="A49" s="118">
        <v>48</v>
      </c>
      <c r="B49" s="119">
        <f>(1+Assumptions!$B$26)^INT((A49-1)/12)</f>
        <v>1.0612079999999999</v>
      </c>
    </row>
    <row r="50" spans="1:2" ht="15" customHeight="1" x14ac:dyDescent="0.25">
      <c r="A50" s="118">
        <v>49</v>
      </c>
      <c r="B50" s="119">
        <f>(1+Assumptions!$B$26)^INT((A50-1)/12)</f>
        <v>1.08243216</v>
      </c>
    </row>
    <row r="51" spans="1:2" ht="15" customHeight="1" x14ac:dyDescent="0.25">
      <c r="A51" s="118">
        <v>50</v>
      </c>
      <c r="B51" s="119">
        <f>(1+Assumptions!$B$26)^INT((A51-1)/12)</f>
        <v>1.08243216</v>
      </c>
    </row>
    <row r="52" spans="1:2" ht="15" customHeight="1" x14ac:dyDescent="0.25">
      <c r="A52" s="118">
        <v>51</v>
      </c>
      <c r="B52" s="119">
        <f>(1+Assumptions!$B$26)^INT((A52-1)/12)</f>
        <v>1.08243216</v>
      </c>
    </row>
    <row r="53" spans="1:2" ht="15" customHeight="1" x14ac:dyDescent="0.25">
      <c r="A53" s="118">
        <v>52</v>
      </c>
      <c r="B53" s="119">
        <f>(1+Assumptions!$B$26)^INT((A53-1)/12)</f>
        <v>1.08243216</v>
      </c>
    </row>
    <row r="54" spans="1:2" ht="15" customHeight="1" x14ac:dyDescent="0.25">
      <c r="A54" s="118">
        <v>53</v>
      </c>
      <c r="B54" s="119">
        <f>(1+Assumptions!$B$26)^INT((A54-1)/12)</f>
        <v>1.08243216</v>
      </c>
    </row>
    <row r="55" spans="1:2" ht="15" customHeight="1" x14ac:dyDescent="0.25">
      <c r="A55" s="118">
        <v>54</v>
      </c>
      <c r="B55" s="119">
        <f>(1+Assumptions!$B$26)^INT((A55-1)/12)</f>
        <v>1.08243216</v>
      </c>
    </row>
    <row r="56" spans="1:2" ht="15" customHeight="1" x14ac:dyDescent="0.25">
      <c r="A56" s="118">
        <v>55</v>
      </c>
      <c r="B56" s="119">
        <f>(1+Assumptions!$B$26)^INT((A56-1)/12)</f>
        <v>1.08243216</v>
      </c>
    </row>
    <row r="57" spans="1:2" ht="15" customHeight="1" x14ac:dyDescent="0.25">
      <c r="A57" s="118">
        <v>56</v>
      </c>
      <c r="B57" s="119">
        <f>(1+Assumptions!$B$26)^INT((A57-1)/12)</f>
        <v>1.08243216</v>
      </c>
    </row>
    <row r="58" spans="1:2" ht="15" customHeight="1" x14ac:dyDescent="0.25">
      <c r="A58" s="118">
        <v>57</v>
      </c>
      <c r="B58" s="119">
        <f>(1+Assumptions!$B$26)^INT((A58-1)/12)</f>
        <v>1.08243216</v>
      </c>
    </row>
    <row r="59" spans="1:2" ht="15" customHeight="1" x14ac:dyDescent="0.25">
      <c r="A59" s="118">
        <v>58</v>
      </c>
      <c r="B59" s="119">
        <f>(1+Assumptions!$B$26)^INT((A59-1)/12)</f>
        <v>1.08243216</v>
      </c>
    </row>
    <row r="60" spans="1:2" ht="15" customHeight="1" x14ac:dyDescent="0.25">
      <c r="A60" s="118">
        <v>59</v>
      </c>
      <c r="B60" s="119">
        <f>(1+Assumptions!$B$26)^INT((A60-1)/12)</f>
        <v>1.08243216</v>
      </c>
    </row>
    <row r="61" spans="1:2" ht="15" customHeight="1" x14ac:dyDescent="0.25">
      <c r="A61" s="118">
        <v>60</v>
      </c>
      <c r="B61" s="119">
        <f>(1+Assumptions!$B$26)^INT((A61-1)/12)</f>
        <v>1.08243216</v>
      </c>
    </row>
    <row r="62" spans="1:2" ht="15" customHeight="1" x14ac:dyDescent="0.25">
      <c r="A62" s="118">
        <v>61</v>
      </c>
      <c r="B62" s="119">
        <f>(1+Assumptions!$B$26)^INT((A62-1)/12)</f>
        <v>1.1040808032</v>
      </c>
    </row>
    <row r="63" spans="1:2" ht="15" customHeight="1" x14ac:dyDescent="0.25">
      <c r="A63" s="118">
        <v>62</v>
      </c>
      <c r="B63" s="119">
        <f>(1+Assumptions!$B$26)^INT((A63-1)/12)</f>
        <v>1.1040808032</v>
      </c>
    </row>
    <row r="64" spans="1:2" ht="15" customHeight="1" x14ac:dyDescent="0.25">
      <c r="A64" s="118">
        <v>63</v>
      </c>
      <c r="B64" s="119">
        <f>(1+Assumptions!$B$26)^INT((A64-1)/12)</f>
        <v>1.1040808032</v>
      </c>
    </row>
    <row r="65" spans="1:2" ht="15" customHeight="1" x14ac:dyDescent="0.25">
      <c r="A65" s="118">
        <v>64</v>
      </c>
      <c r="B65" s="119">
        <f>(1+Assumptions!$B$26)^INT((A65-1)/12)</f>
        <v>1.1040808032</v>
      </c>
    </row>
    <row r="66" spans="1:2" ht="15" customHeight="1" x14ac:dyDescent="0.25">
      <c r="A66" s="118">
        <v>65</v>
      </c>
      <c r="B66" s="119">
        <f>(1+Assumptions!$B$26)^INT((A66-1)/12)</f>
        <v>1.1040808032</v>
      </c>
    </row>
    <row r="67" spans="1:2" ht="15" customHeight="1" x14ac:dyDescent="0.25">
      <c r="A67" s="118">
        <v>66</v>
      </c>
      <c r="B67" s="119">
        <f>(1+Assumptions!$B$26)^INT((A67-1)/12)</f>
        <v>1.1040808032</v>
      </c>
    </row>
    <row r="68" spans="1:2" ht="15" customHeight="1" x14ac:dyDescent="0.25">
      <c r="A68" s="118">
        <v>67</v>
      </c>
      <c r="B68" s="119">
        <f>(1+Assumptions!$B$26)^INT((A68-1)/12)</f>
        <v>1.1040808032</v>
      </c>
    </row>
    <row r="69" spans="1:2" ht="15" customHeight="1" x14ac:dyDescent="0.25">
      <c r="A69" s="118">
        <v>68</v>
      </c>
      <c r="B69" s="119">
        <f>(1+Assumptions!$B$26)^INT((A69-1)/12)</f>
        <v>1.1040808032</v>
      </c>
    </row>
    <row r="70" spans="1:2" ht="15" customHeight="1" x14ac:dyDescent="0.25">
      <c r="A70" s="118">
        <v>69</v>
      </c>
      <c r="B70" s="119">
        <f>(1+Assumptions!$B$26)^INT((A70-1)/12)</f>
        <v>1.1040808032</v>
      </c>
    </row>
    <row r="71" spans="1:2" ht="15" customHeight="1" x14ac:dyDescent="0.25">
      <c r="A71" s="118">
        <v>70</v>
      </c>
      <c r="B71" s="119">
        <f>(1+Assumptions!$B$26)^INT((A71-1)/12)</f>
        <v>1.1040808032</v>
      </c>
    </row>
    <row r="72" spans="1:2" ht="15" customHeight="1" x14ac:dyDescent="0.25">
      <c r="A72" s="118">
        <v>71</v>
      </c>
      <c r="B72" s="119">
        <f>(1+Assumptions!$B$26)^INT((A72-1)/12)</f>
        <v>1.1040808032</v>
      </c>
    </row>
    <row r="73" spans="1:2" ht="15" customHeight="1" x14ac:dyDescent="0.25">
      <c r="A73" s="118">
        <v>72</v>
      </c>
      <c r="B73" s="119">
        <f>(1+Assumptions!$B$26)^INT((A73-1)/12)</f>
        <v>1.1040808032</v>
      </c>
    </row>
    <row r="74" spans="1:2" ht="15" customHeight="1" x14ac:dyDescent="0.25">
      <c r="A74" s="118">
        <v>73</v>
      </c>
      <c r="B74" s="119">
        <f>(1+Assumptions!$B$26)^INT((A74-1)/12)</f>
        <v>1.1261624192640001</v>
      </c>
    </row>
    <row r="75" spans="1:2" ht="15" customHeight="1" x14ac:dyDescent="0.25">
      <c r="A75" s="118">
        <v>74</v>
      </c>
      <c r="B75" s="119">
        <f>(1+Assumptions!$B$26)^INT((A75-1)/12)</f>
        <v>1.1261624192640001</v>
      </c>
    </row>
    <row r="76" spans="1:2" ht="15" customHeight="1" x14ac:dyDescent="0.25">
      <c r="A76" s="118">
        <v>75</v>
      </c>
      <c r="B76" s="119">
        <f>(1+Assumptions!$B$26)^INT((A76-1)/12)</f>
        <v>1.1261624192640001</v>
      </c>
    </row>
    <row r="77" spans="1:2" ht="15" customHeight="1" x14ac:dyDescent="0.25">
      <c r="A77" s="118">
        <v>76</v>
      </c>
      <c r="B77" s="119">
        <f>(1+Assumptions!$B$26)^INT((A77-1)/12)</f>
        <v>1.1261624192640001</v>
      </c>
    </row>
    <row r="78" spans="1:2" ht="15" customHeight="1" x14ac:dyDescent="0.25">
      <c r="A78" s="118">
        <v>77</v>
      </c>
      <c r="B78" s="119">
        <f>(1+Assumptions!$B$26)^INT((A78-1)/12)</f>
        <v>1.1261624192640001</v>
      </c>
    </row>
    <row r="79" spans="1:2" ht="15" customHeight="1" x14ac:dyDescent="0.25">
      <c r="A79" s="118">
        <v>78</v>
      </c>
      <c r="B79" s="119">
        <f>(1+Assumptions!$B$26)^INT((A79-1)/12)</f>
        <v>1.1261624192640001</v>
      </c>
    </row>
    <row r="80" spans="1:2" ht="15" customHeight="1" x14ac:dyDescent="0.25">
      <c r="A80" s="118">
        <v>79</v>
      </c>
      <c r="B80" s="119">
        <f>(1+Assumptions!$B$26)^INT((A80-1)/12)</f>
        <v>1.1261624192640001</v>
      </c>
    </row>
    <row r="81" spans="1:2" ht="15" customHeight="1" x14ac:dyDescent="0.25">
      <c r="A81" s="118">
        <v>80</v>
      </c>
      <c r="B81" s="119">
        <f>(1+Assumptions!$B$26)^INT((A81-1)/12)</f>
        <v>1.1261624192640001</v>
      </c>
    </row>
    <row r="82" spans="1:2" ht="15" customHeight="1" x14ac:dyDescent="0.25">
      <c r="A82" s="118">
        <v>81</v>
      </c>
      <c r="B82" s="119">
        <f>(1+Assumptions!$B$26)^INT((A82-1)/12)</f>
        <v>1.1261624192640001</v>
      </c>
    </row>
    <row r="83" spans="1:2" ht="15" customHeight="1" x14ac:dyDescent="0.25">
      <c r="A83" s="118">
        <v>82</v>
      </c>
      <c r="B83" s="119">
        <f>(1+Assumptions!$B$26)^INT((A83-1)/12)</f>
        <v>1.1261624192640001</v>
      </c>
    </row>
    <row r="84" spans="1:2" ht="15" customHeight="1" x14ac:dyDescent="0.25">
      <c r="A84" s="118">
        <v>83</v>
      </c>
      <c r="B84" s="119">
        <f>(1+Assumptions!$B$26)^INT((A84-1)/12)</f>
        <v>1.1261624192640001</v>
      </c>
    </row>
    <row r="85" spans="1:2" ht="15" customHeight="1" x14ac:dyDescent="0.25">
      <c r="A85" s="118">
        <v>84</v>
      </c>
      <c r="B85" s="119">
        <f>(1+Assumptions!$B$26)^INT((A85-1)/12)</f>
        <v>1.1261624192640001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2C3A51"/>
  </sheetPr>
  <dimension ref="A1:CH93"/>
  <sheetViews>
    <sheetView zoomScaleNormal="100" workbookViewId="0"/>
  </sheetViews>
  <sheetFormatPr defaultColWidth="8.7109375" defaultRowHeight="15" customHeight="1" x14ac:dyDescent="0.25"/>
  <cols>
    <col min="1" max="1" width="28" customWidth="1"/>
    <col min="2" max="2" width="4" customWidth="1"/>
    <col min="3" max="86" width="14" customWidth="1"/>
  </cols>
  <sheetData>
    <row r="1" spans="1:86" ht="17.25" customHeight="1" x14ac:dyDescent="0.3">
      <c r="A1" s="198" t="s">
        <v>538</v>
      </c>
      <c r="B1" s="197"/>
      <c r="C1" s="197"/>
      <c r="D1" s="197"/>
    </row>
    <row r="2" spans="1:86" ht="15" customHeight="1" x14ac:dyDescent="0.25">
      <c r="A2" s="2"/>
      <c r="B2" s="2"/>
      <c r="C2" s="24">
        <v>46113</v>
      </c>
      <c r="D2" s="24">
        <v>46143</v>
      </c>
      <c r="E2" s="24">
        <v>46174</v>
      </c>
      <c r="F2" s="24">
        <v>46204</v>
      </c>
      <c r="G2" s="24">
        <v>46235</v>
      </c>
      <c r="H2" s="24">
        <v>46266</v>
      </c>
      <c r="I2" s="24">
        <v>46296</v>
      </c>
      <c r="J2" s="24">
        <v>46327</v>
      </c>
      <c r="K2" s="24">
        <v>46357</v>
      </c>
      <c r="L2" s="24">
        <v>46388</v>
      </c>
      <c r="M2" s="24">
        <v>46419</v>
      </c>
      <c r="N2" s="24">
        <v>46447</v>
      </c>
      <c r="O2" s="24">
        <v>46478</v>
      </c>
      <c r="P2" s="24">
        <v>46508</v>
      </c>
      <c r="Q2" s="24">
        <v>46539</v>
      </c>
      <c r="R2" s="24">
        <v>46569</v>
      </c>
      <c r="S2" s="24">
        <v>46600</v>
      </c>
      <c r="T2" s="24">
        <v>46631</v>
      </c>
      <c r="U2" s="24">
        <v>46661</v>
      </c>
      <c r="V2" s="24">
        <v>46692</v>
      </c>
      <c r="W2" s="24">
        <v>46722</v>
      </c>
      <c r="X2" s="24">
        <v>46753</v>
      </c>
      <c r="Y2" s="24">
        <v>46784</v>
      </c>
      <c r="Z2" s="24">
        <v>46813</v>
      </c>
      <c r="AA2" s="24">
        <v>46844</v>
      </c>
      <c r="AB2" s="24">
        <v>46874</v>
      </c>
      <c r="AC2" s="24">
        <v>46905</v>
      </c>
      <c r="AD2" s="24">
        <v>46935</v>
      </c>
      <c r="AE2" s="24">
        <v>46966</v>
      </c>
      <c r="AF2" s="24">
        <v>46997</v>
      </c>
      <c r="AG2" s="24">
        <v>47027</v>
      </c>
      <c r="AH2" s="24">
        <v>47058</v>
      </c>
      <c r="AI2" s="24">
        <v>47088</v>
      </c>
      <c r="AJ2" s="24">
        <v>47119</v>
      </c>
      <c r="AK2" s="24">
        <v>47150</v>
      </c>
      <c r="AL2" s="24">
        <v>47178</v>
      </c>
      <c r="AM2" s="24">
        <v>47209</v>
      </c>
      <c r="AN2" s="24">
        <v>47239</v>
      </c>
      <c r="AO2" s="24">
        <v>47270</v>
      </c>
      <c r="AP2" s="24">
        <v>47300</v>
      </c>
      <c r="AQ2" s="24">
        <v>47331</v>
      </c>
      <c r="AR2" s="24">
        <v>47362</v>
      </c>
      <c r="AS2" s="24">
        <v>47392</v>
      </c>
      <c r="AT2" s="24">
        <v>47423</v>
      </c>
      <c r="AU2" s="24">
        <v>47453</v>
      </c>
      <c r="AV2" s="24">
        <v>47484</v>
      </c>
      <c r="AW2" s="24">
        <v>47515</v>
      </c>
      <c r="AX2" s="24">
        <v>47543</v>
      </c>
      <c r="AY2" s="24">
        <v>47574</v>
      </c>
      <c r="AZ2" s="24">
        <v>47604</v>
      </c>
      <c r="BA2" s="24">
        <v>47635</v>
      </c>
      <c r="BB2" s="24">
        <v>47665</v>
      </c>
      <c r="BC2" s="24">
        <v>47696</v>
      </c>
      <c r="BD2" s="24">
        <v>47727</v>
      </c>
      <c r="BE2" s="24">
        <v>47757</v>
      </c>
      <c r="BF2" s="24">
        <v>47788</v>
      </c>
      <c r="BG2" s="24">
        <v>47818</v>
      </c>
      <c r="BH2" s="24">
        <v>47849</v>
      </c>
      <c r="BI2" s="24">
        <v>47880</v>
      </c>
      <c r="BJ2" s="24">
        <v>47908</v>
      </c>
      <c r="BK2" s="24">
        <v>47939</v>
      </c>
      <c r="BL2" s="24">
        <v>47969</v>
      </c>
      <c r="BM2" s="24">
        <v>48000</v>
      </c>
      <c r="BN2" s="24">
        <v>48030</v>
      </c>
      <c r="BO2" s="24">
        <v>48061</v>
      </c>
      <c r="BP2" s="24">
        <v>48092</v>
      </c>
      <c r="BQ2" s="24">
        <v>48122</v>
      </c>
      <c r="BR2" s="24">
        <v>48153</v>
      </c>
      <c r="BS2" s="24">
        <v>48183</v>
      </c>
      <c r="BT2" s="24">
        <v>48214</v>
      </c>
      <c r="BU2" s="24">
        <v>48245</v>
      </c>
      <c r="BV2" s="24">
        <v>48274</v>
      </c>
      <c r="BW2" s="24">
        <v>48305</v>
      </c>
      <c r="BX2" s="24">
        <v>48335</v>
      </c>
      <c r="BY2" s="24">
        <v>48366</v>
      </c>
      <c r="BZ2" s="24">
        <v>48396</v>
      </c>
      <c r="CA2" s="24">
        <v>48427</v>
      </c>
      <c r="CB2" s="24">
        <v>48458</v>
      </c>
      <c r="CC2" s="24">
        <v>48488</v>
      </c>
      <c r="CD2" s="24">
        <v>48519</v>
      </c>
      <c r="CE2" s="24">
        <v>48549</v>
      </c>
      <c r="CF2" s="24">
        <v>48580</v>
      </c>
      <c r="CG2" s="24">
        <v>48611</v>
      </c>
      <c r="CH2" s="24">
        <v>48639</v>
      </c>
    </row>
    <row r="3" spans="1:86" ht="15" hidden="1" customHeight="1" x14ac:dyDescent="0.25">
      <c r="A3" s="99" t="s">
        <v>112</v>
      </c>
      <c r="C3" s="118">
        <v>1</v>
      </c>
      <c r="D3" s="118">
        <v>2</v>
      </c>
      <c r="E3" s="118">
        <v>3</v>
      </c>
      <c r="F3" s="118">
        <v>4</v>
      </c>
      <c r="G3" s="118">
        <v>5</v>
      </c>
      <c r="H3" s="118">
        <v>6</v>
      </c>
      <c r="I3" s="118">
        <v>7</v>
      </c>
      <c r="J3" s="118">
        <v>8</v>
      </c>
      <c r="K3" s="118">
        <v>9</v>
      </c>
      <c r="L3" s="118">
        <v>10</v>
      </c>
      <c r="M3" s="118">
        <v>11</v>
      </c>
      <c r="N3" s="118">
        <v>12</v>
      </c>
      <c r="O3" s="118">
        <v>13</v>
      </c>
      <c r="P3" s="118">
        <v>14</v>
      </c>
      <c r="Q3" s="118">
        <v>15</v>
      </c>
      <c r="R3" s="118">
        <v>16</v>
      </c>
      <c r="S3" s="118">
        <v>17</v>
      </c>
      <c r="T3" s="118">
        <v>18</v>
      </c>
      <c r="U3" s="118">
        <v>19</v>
      </c>
      <c r="V3" s="118">
        <v>20</v>
      </c>
      <c r="W3" s="118">
        <v>21</v>
      </c>
      <c r="X3" s="118">
        <v>22</v>
      </c>
      <c r="Y3" s="118">
        <v>23</v>
      </c>
      <c r="Z3" s="118">
        <v>24</v>
      </c>
      <c r="AA3" s="118">
        <v>25</v>
      </c>
      <c r="AB3" s="118">
        <v>26</v>
      </c>
      <c r="AC3" s="118">
        <v>27</v>
      </c>
      <c r="AD3" s="118">
        <v>28</v>
      </c>
      <c r="AE3" s="118">
        <v>29</v>
      </c>
      <c r="AF3" s="118">
        <v>30</v>
      </c>
      <c r="AG3" s="118">
        <v>31</v>
      </c>
      <c r="AH3" s="118">
        <v>32</v>
      </c>
      <c r="AI3" s="118">
        <v>33</v>
      </c>
      <c r="AJ3" s="118">
        <v>34</v>
      </c>
      <c r="AK3" s="118">
        <v>35</v>
      </c>
      <c r="AL3" s="118">
        <v>36</v>
      </c>
      <c r="AM3" s="118">
        <v>37</v>
      </c>
      <c r="AN3" s="118">
        <v>38</v>
      </c>
      <c r="AO3" s="118">
        <v>39</v>
      </c>
      <c r="AP3" s="118">
        <v>40</v>
      </c>
      <c r="AQ3" s="118">
        <v>41</v>
      </c>
      <c r="AR3" s="118">
        <v>42</v>
      </c>
      <c r="AS3" s="118">
        <v>43</v>
      </c>
      <c r="AT3" s="118">
        <v>44</v>
      </c>
      <c r="AU3" s="118">
        <v>45</v>
      </c>
      <c r="AV3" s="118">
        <v>46</v>
      </c>
      <c r="AW3" s="118">
        <v>47</v>
      </c>
      <c r="AX3" s="118">
        <v>48</v>
      </c>
      <c r="AY3" s="118">
        <v>49</v>
      </c>
      <c r="AZ3" s="118">
        <v>50</v>
      </c>
      <c r="BA3" s="118">
        <v>51</v>
      </c>
      <c r="BB3" s="118">
        <v>52</v>
      </c>
      <c r="BC3" s="118">
        <v>53</v>
      </c>
      <c r="BD3" s="118">
        <v>54</v>
      </c>
      <c r="BE3" s="118">
        <v>55</v>
      </c>
      <c r="BF3" s="118">
        <v>56</v>
      </c>
      <c r="BG3" s="118">
        <v>57</v>
      </c>
      <c r="BH3" s="118">
        <v>58</v>
      </c>
      <c r="BI3" s="118">
        <v>59</v>
      </c>
      <c r="BJ3" s="118">
        <v>60</v>
      </c>
      <c r="BK3" s="118">
        <v>61</v>
      </c>
      <c r="BL3" s="118">
        <v>62</v>
      </c>
      <c r="BM3" s="118">
        <v>63</v>
      </c>
      <c r="BN3" s="118">
        <v>64</v>
      </c>
      <c r="BO3" s="118">
        <v>65</v>
      </c>
      <c r="BP3" s="118">
        <v>66</v>
      </c>
      <c r="BQ3" s="118">
        <v>67</v>
      </c>
      <c r="BR3" s="118">
        <v>68</v>
      </c>
      <c r="BS3" s="118">
        <v>69</v>
      </c>
      <c r="BT3" s="118">
        <v>70</v>
      </c>
      <c r="BU3" s="118">
        <v>71</v>
      </c>
      <c r="BV3" s="118">
        <v>72</v>
      </c>
      <c r="BW3" s="118">
        <v>73</v>
      </c>
      <c r="BX3" s="118">
        <v>74</v>
      </c>
      <c r="BY3" s="118">
        <v>75</v>
      </c>
      <c r="BZ3" s="118">
        <v>76</v>
      </c>
      <c r="CA3" s="118">
        <v>77</v>
      </c>
      <c r="CB3" s="118">
        <v>78</v>
      </c>
      <c r="CC3" s="118">
        <v>79</v>
      </c>
      <c r="CD3" s="118">
        <v>80</v>
      </c>
      <c r="CE3" s="118">
        <v>81</v>
      </c>
      <c r="CF3" s="118">
        <v>82</v>
      </c>
      <c r="CG3" s="118">
        <v>83</v>
      </c>
      <c r="CH3" s="118">
        <v>84</v>
      </c>
    </row>
    <row r="4" spans="1:86" ht="15" customHeight="1" x14ac:dyDescent="0.25">
      <c r="A4" s="99" t="s">
        <v>539</v>
      </c>
      <c r="C4" s="105">
        <f>(IF(AND(1&gt;=Personnel!$E$2,Personnel!$G$2="Yes"),Personnel!$D$2*(1-Personnel!$H$2),0)+IF(AND(1&gt;=Personnel!$E$3,Personnel!$G$3="Yes"),Personnel!$D$3*(1-Personnel!$H$3),0)+IF(AND(1&gt;=Personnel!$E$4,Personnel!$G$4="Yes"),Personnel!$D$4*(1-Personnel!$H$4),0)+IF(AND(1&gt;=Personnel!$E$5,Personnel!$G$5="Yes"),Personnel!$D$5*(1-Personnel!$H$5),0)+IF(AND(1&gt;=Personnel!$E$6,Personnel!$G$6="Yes"),Personnel!$D$6*(1-Personnel!$H$6),0)+IF(AND(1&gt;=Personnel!$E$7,Personnel!$G$7="Yes"),Personnel!$D$7*(1-Personnel!$H$7),0)+IF(AND(1&gt;=Personnel!$E$8,Personnel!$G$8="Yes"),Personnel!$D$8*(1-Personnel!$H$8),0)+IF(AND(1&gt;=Personnel!$E$9,Personnel!$G$9="Yes"),Personnel!$D$9*(1-Personnel!$H$9),0)+IF(AND(1&gt;=Personnel!$E$10,Personnel!$G$10="Yes"),Personnel!$D$10*(1-Personnel!$H$10),0)+IF(AND(1&gt;=Personnel!$E$11,Personnel!$G$11="Yes"),Personnel!$D$11*(1-Personnel!$H$11),0)+IF(AND(1&gt;=Personnel!$E$12,Personnel!$G$12="Yes"),Personnel!$D$12*(1-Personnel!$H$12),0)+IF(AND(1&gt;=Personnel!$E$13,Personnel!$G$13="Yes"),Personnel!$D$13*(1-Personnel!$H$13),0)+IF(AND(1&gt;=Personnel!$E$14,Personnel!$G$14="Yes"),Personnel!$D$14*(1-Personnel!$H$14),0)+IF(AND(1&gt;=Personnel!$E$15,Personnel!$G$15="Yes"),Personnel!$D$15*(1-Personnel!$H$15),0)+IF(AND(1&gt;=Personnel!$E$16,Personnel!$G$16="Yes"),Personnel!$D$16*(1-Personnel!$H$16),0)+IF(AND(1&gt;=Personnel!$E$17,Personnel!$G$17="Yes"),Personnel!$D$17*(1-Personnel!$H$17),0)+IF(AND(1&gt;=Personnel!$E$18,Personnel!$G$18="Yes"),Personnel!$D$18*(1-Personnel!$H$18),0)+IF(AND(1&gt;=Personnel!$E$19,Personnel!$G$19="Yes"),Personnel!$D$19*(1-Personnel!$H$19),0)+IF(AND(1&gt;=Personnel!$E$20,Personnel!$G$20="Yes"),Personnel!$D$20*(1-Personnel!$H$20),0)+IF(AND(1&gt;=Personnel!$E$21,Personnel!$G$21="Yes"),Personnel!$D$21*(1-Personnel!$H$21),0)+IF(AND(1&gt;=Personnel!$E$22,Personnel!$G$22="Yes"),Personnel!$D$22*(1-Personnel!$H$22),0)+IF(AND(1&gt;=Personnel!$E$23,Personnel!$G$23="Yes"),Personnel!$D$23*(1-Personnel!$H$23),0)+IF(AND(1&gt;=Personnel!$E$24,Personnel!$G$24="Yes"),Personnel!$D$24*(1-Personnel!$H$24),0)+IF(AND(1&gt;=Personnel!$E$25,Personnel!$G$25="Yes"),Personnel!$D$25*(1-Personnel!$H$25),0)+IF(AND(1&gt;=Personnel!$E$26,Personnel!$G$26="Yes"),Personnel!$D$26*(1-Personnel!$H$26),0)+IF(AND(1&gt;=Personnel!$E$27,Personnel!$G$27="Yes"),Personnel!$D$27*(1-Personnel!$H$27),0)+IF(AND(1&gt;=Personnel!$E$28,Personnel!$G$28="Yes"),Personnel!$D$28*(1-Personnel!$H$28),0)+IF(AND(1&gt;=Personnel!$E$29,Personnel!$G$29="Yes"),Personnel!$D$29*(1-Personnel!$H$29),0)+IF(AND(1&gt;=Personnel!$E$32,Personnel!$G$32="Yes"),Personnel!$D$32*(1-Personnel!$H$32),0)+IF(AND(1&gt;=Personnel!$E$33,Personnel!$G$33="Yes"),Personnel!$D$33*(1-Personnel!$H$33),0)+IF(AND(1&gt;=Personnel!$E$34,Personnel!$G$34="Yes"),Personnel!$D$34*(1-Personnel!$H$34),0)+IF(AND(1&gt;=Personnel!$E$35,Personnel!$G$35="Yes"),Personnel!$D$35*(1-Personnel!$H$35),0)+IF(AND(1&gt;=Personnel!$E$36,Personnel!$G$36="Yes"),Personnel!$D$36*(1-Personnel!$H$36),0)+IF(AND(1&gt;=Personnel!$E$37,Personnel!$G$37="Yes"),Personnel!$D$37*(1-Personnel!$H$37),0)+IF(AND(1&gt;=Personnel!$E$38,Personnel!$G$38="Yes"),Personnel!$D$38*(1-Personnel!$H$38),0))</f>
        <v>218074.33333333337</v>
      </c>
      <c r="D4" s="105">
        <f>(IF(AND(2&gt;=Personnel!$E$2,Personnel!$G$2="Yes"),Personnel!$D$2*(1-Personnel!$H$2),0)+IF(AND(2&gt;=Personnel!$E$3,Personnel!$G$3="Yes"),Personnel!$D$3*(1-Personnel!$H$3),0)+IF(AND(2&gt;=Personnel!$E$4,Personnel!$G$4="Yes"),Personnel!$D$4*(1-Personnel!$H$4),0)+IF(AND(2&gt;=Personnel!$E$5,Personnel!$G$5="Yes"),Personnel!$D$5*(1-Personnel!$H$5),0)+IF(AND(2&gt;=Personnel!$E$6,Personnel!$G$6="Yes"),Personnel!$D$6*(1-Personnel!$H$6),0)+IF(AND(2&gt;=Personnel!$E$7,Personnel!$G$7="Yes"),Personnel!$D$7*(1-Personnel!$H$7),0)+IF(AND(2&gt;=Personnel!$E$8,Personnel!$G$8="Yes"),Personnel!$D$8*(1-Personnel!$H$8),0)+IF(AND(2&gt;=Personnel!$E$9,Personnel!$G$9="Yes"),Personnel!$D$9*(1-Personnel!$H$9),0)+IF(AND(2&gt;=Personnel!$E$10,Personnel!$G$10="Yes"),Personnel!$D$10*(1-Personnel!$H$10),0)+IF(AND(2&gt;=Personnel!$E$11,Personnel!$G$11="Yes"),Personnel!$D$11*(1-Personnel!$H$11),0)+IF(AND(2&gt;=Personnel!$E$12,Personnel!$G$12="Yes"),Personnel!$D$12*(1-Personnel!$H$12),0)+IF(AND(2&gt;=Personnel!$E$13,Personnel!$G$13="Yes"),Personnel!$D$13*(1-Personnel!$H$13),0)+IF(AND(2&gt;=Personnel!$E$14,Personnel!$G$14="Yes"),Personnel!$D$14*(1-Personnel!$H$14),0)+IF(AND(2&gt;=Personnel!$E$15,Personnel!$G$15="Yes"),Personnel!$D$15*(1-Personnel!$H$15),0)+IF(AND(2&gt;=Personnel!$E$16,Personnel!$G$16="Yes"),Personnel!$D$16*(1-Personnel!$H$16),0)+IF(AND(2&gt;=Personnel!$E$17,Personnel!$G$17="Yes"),Personnel!$D$17*(1-Personnel!$H$17),0)+IF(AND(2&gt;=Personnel!$E$18,Personnel!$G$18="Yes"),Personnel!$D$18*(1-Personnel!$H$18),0)+IF(AND(2&gt;=Personnel!$E$19,Personnel!$G$19="Yes"),Personnel!$D$19*(1-Personnel!$H$19),0)+IF(AND(2&gt;=Personnel!$E$20,Personnel!$G$20="Yes"),Personnel!$D$20*(1-Personnel!$H$20),0)+IF(AND(2&gt;=Personnel!$E$21,Personnel!$G$21="Yes"),Personnel!$D$21*(1-Personnel!$H$21),0)+IF(AND(2&gt;=Personnel!$E$22,Personnel!$G$22="Yes"),Personnel!$D$22*(1-Personnel!$H$22),0)+IF(AND(2&gt;=Personnel!$E$23,Personnel!$G$23="Yes"),Personnel!$D$23*(1-Personnel!$H$23),0)+IF(AND(2&gt;=Personnel!$E$24,Personnel!$G$24="Yes"),Personnel!$D$24*(1-Personnel!$H$24),0)+IF(AND(2&gt;=Personnel!$E$25,Personnel!$G$25="Yes"),Personnel!$D$25*(1-Personnel!$H$25),0)+IF(AND(2&gt;=Personnel!$E$26,Personnel!$G$26="Yes"),Personnel!$D$26*(1-Personnel!$H$26),0)+IF(AND(2&gt;=Personnel!$E$27,Personnel!$G$27="Yes"),Personnel!$D$27*(1-Personnel!$H$27),0)+IF(AND(2&gt;=Personnel!$E$28,Personnel!$G$28="Yes"),Personnel!$D$28*(1-Personnel!$H$28),0)+IF(AND(2&gt;=Personnel!$E$29,Personnel!$G$29="Yes"),Personnel!$D$29*(1-Personnel!$H$29),0)+IF(AND(2&gt;=Personnel!$E$32,Personnel!$G$32="Yes"),Personnel!$D$32*(1-Personnel!$H$32),0)+IF(AND(2&gt;=Personnel!$E$33,Personnel!$G$33="Yes"),Personnel!$D$33*(1-Personnel!$H$33),0)+IF(AND(2&gt;=Personnel!$E$34,Personnel!$G$34="Yes"),Personnel!$D$34*(1-Personnel!$H$34),0)+IF(AND(2&gt;=Personnel!$E$35,Personnel!$G$35="Yes"),Personnel!$D$35*(1-Personnel!$H$35),0)+IF(AND(2&gt;=Personnel!$E$36,Personnel!$G$36="Yes"),Personnel!$D$36*(1-Personnel!$H$36),0)+IF(AND(2&gt;=Personnel!$E$37,Personnel!$G$37="Yes"),Personnel!$D$37*(1-Personnel!$H$37),0)+IF(AND(2&gt;=Personnel!$E$38,Personnel!$G$38="Yes"),Personnel!$D$38*(1-Personnel!$H$38),0))</f>
        <v>254324.33333333334</v>
      </c>
      <c r="E4" s="105">
        <f>(IF(AND(3&gt;=Personnel!$E$2,Personnel!$G$2="Yes"),Personnel!$D$2*(1-Personnel!$H$2),0)+IF(AND(3&gt;=Personnel!$E$3,Personnel!$G$3="Yes"),Personnel!$D$3*(1-Personnel!$H$3),0)+IF(AND(3&gt;=Personnel!$E$4,Personnel!$G$4="Yes"),Personnel!$D$4*(1-Personnel!$H$4),0)+IF(AND(3&gt;=Personnel!$E$5,Personnel!$G$5="Yes"),Personnel!$D$5*(1-Personnel!$H$5),0)+IF(AND(3&gt;=Personnel!$E$6,Personnel!$G$6="Yes"),Personnel!$D$6*(1-Personnel!$H$6),0)+IF(AND(3&gt;=Personnel!$E$7,Personnel!$G$7="Yes"),Personnel!$D$7*(1-Personnel!$H$7),0)+IF(AND(3&gt;=Personnel!$E$8,Personnel!$G$8="Yes"),Personnel!$D$8*(1-Personnel!$H$8),0)+IF(AND(3&gt;=Personnel!$E$9,Personnel!$G$9="Yes"),Personnel!$D$9*(1-Personnel!$H$9),0)+IF(AND(3&gt;=Personnel!$E$10,Personnel!$G$10="Yes"),Personnel!$D$10*(1-Personnel!$H$10),0)+IF(AND(3&gt;=Personnel!$E$11,Personnel!$G$11="Yes"),Personnel!$D$11*(1-Personnel!$H$11),0)+IF(AND(3&gt;=Personnel!$E$12,Personnel!$G$12="Yes"),Personnel!$D$12*(1-Personnel!$H$12),0)+IF(AND(3&gt;=Personnel!$E$13,Personnel!$G$13="Yes"),Personnel!$D$13*(1-Personnel!$H$13),0)+IF(AND(3&gt;=Personnel!$E$14,Personnel!$G$14="Yes"),Personnel!$D$14*(1-Personnel!$H$14),0)+IF(AND(3&gt;=Personnel!$E$15,Personnel!$G$15="Yes"),Personnel!$D$15*(1-Personnel!$H$15),0)+IF(AND(3&gt;=Personnel!$E$16,Personnel!$G$16="Yes"),Personnel!$D$16*(1-Personnel!$H$16),0)+IF(AND(3&gt;=Personnel!$E$17,Personnel!$G$17="Yes"),Personnel!$D$17*(1-Personnel!$H$17),0)+IF(AND(3&gt;=Personnel!$E$18,Personnel!$G$18="Yes"),Personnel!$D$18*(1-Personnel!$H$18),0)+IF(AND(3&gt;=Personnel!$E$19,Personnel!$G$19="Yes"),Personnel!$D$19*(1-Personnel!$H$19),0)+IF(AND(3&gt;=Personnel!$E$20,Personnel!$G$20="Yes"),Personnel!$D$20*(1-Personnel!$H$20),0)+IF(AND(3&gt;=Personnel!$E$21,Personnel!$G$21="Yes"),Personnel!$D$21*(1-Personnel!$H$21),0)+IF(AND(3&gt;=Personnel!$E$22,Personnel!$G$22="Yes"),Personnel!$D$22*(1-Personnel!$H$22),0)+IF(AND(3&gt;=Personnel!$E$23,Personnel!$G$23="Yes"),Personnel!$D$23*(1-Personnel!$H$23),0)+IF(AND(3&gt;=Personnel!$E$24,Personnel!$G$24="Yes"),Personnel!$D$24*(1-Personnel!$H$24),0)+IF(AND(3&gt;=Personnel!$E$25,Personnel!$G$25="Yes"),Personnel!$D$25*(1-Personnel!$H$25),0)+IF(AND(3&gt;=Personnel!$E$26,Personnel!$G$26="Yes"),Personnel!$D$26*(1-Personnel!$H$26),0)+IF(AND(3&gt;=Personnel!$E$27,Personnel!$G$27="Yes"),Personnel!$D$27*(1-Personnel!$H$27),0)+IF(AND(3&gt;=Personnel!$E$28,Personnel!$G$28="Yes"),Personnel!$D$28*(1-Personnel!$H$28),0)+IF(AND(3&gt;=Personnel!$E$29,Personnel!$G$29="Yes"),Personnel!$D$29*(1-Personnel!$H$29),0)+IF(AND(3&gt;=Personnel!$E$32,Personnel!$G$32="Yes"),Personnel!$D$32*(1-Personnel!$H$32),0)+IF(AND(3&gt;=Personnel!$E$33,Personnel!$G$33="Yes"),Personnel!$D$33*(1-Personnel!$H$33),0)+IF(AND(3&gt;=Personnel!$E$34,Personnel!$G$34="Yes"),Personnel!$D$34*(1-Personnel!$H$34),0)+IF(AND(3&gt;=Personnel!$E$35,Personnel!$G$35="Yes"),Personnel!$D$35*(1-Personnel!$H$35),0)+IF(AND(3&gt;=Personnel!$E$36,Personnel!$G$36="Yes"),Personnel!$D$36*(1-Personnel!$H$36),0)+IF(AND(3&gt;=Personnel!$E$37,Personnel!$G$37="Yes"),Personnel!$D$37*(1-Personnel!$H$37),0)+IF(AND(3&gt;=Personnel!$E$38,Personnel!$G$38="Yes"),Personnel!$D$38*(1-Personnel!$H$38),0))</f>
        <v>284324.33333333331</v>
      </c>
      <c r="F4" s="105">
        <f>(IF(AND(4&gt;=Personnel!$E$2,Personnel!$G$2="Yes"),Personnel!$D$2*(1-Personnel!$H$2),0)+IF(AND(4&gt;=Personnel!$E$3,Personnel!$G$3="Yes"),Personnel!$D$3*(1-Personnel!$H$3),0)+IF(AND(4&gt;=Personnel!$E$4,Personnel!$G$4="Yes"),Personnel!$D$4*(1-Personnel!$H$4),0)+IF(AND(4&gt;=Personnel!$E$5,Personnel!$G$5="Yes"),Personnel!$D$5*(1-Personnel!$H$5),0)+IF(AND(4&gt;=Personnel!$E$6,Personnel!$G$6="Yes"),Personnel!$D$6*(1-Personnel!$H$6),0)+IF(AND(4&gt;=Personnel!$E$7,Personnel!$G$7="Yes"),Personnel!$D$7*(1-Personnel!$H$7),0)+IF(AND(4&gt;=Personnel!$E$8,Personnel!$G$8="Yes"),Personnel!$D$8*(1-Personnel!$H$8),0)+IF(AND(4&gt;=Personnel!$E$9,Personnel!$G$9="Yes"),Personnel!$D$9*(1-Personnel!$H$9),0)+IF(AND(4&gt;=Personnel!$E$10,Personnel!$G$10="Yes"),Personnel!$D$10*(1-Personnel!$H$10),0)+IF(AND(4&gt;=Personnel!$E$11,Personnel!$G$11="Yes"),Personnel!$D$11*(1-Personnel!$H$11),0)+IF(AND(4&gt;=Personnel!$E$12,Personnel!$G$12="Yes"),Personnel!$D$12*(1-Personnel!$H$12),0)+IF(AND(4&gt;=Personnel!$E$13,Personnel!$G$13="Yes"),Personnel!$D$13*(1-Personnel!$H$13),0)+IF(AND(4&gt;=Personnel!$E$14,Personnel!$G$14="Yes"),Personnel!$D$14*(1-Personnel!$H$14),0)+IF(AND(4&gt;=Personnel!$E$15,Personnel!$G$15="Yes"),Personnel!$D$15*(1-Personnel!$H$15),0)+IF(AND(4&gt;=Personnel!$E$16,Personnel!$G$16="Yes"),Personnel!$D$16*(1-Personnel!$H$16),0)+IF(AND(4&gt;=Personnel!$E$17,Personnel!$G$17="Yes"),Personnel!$D$17*(1-Personnel!$H$17),0)+IF(AND(4&gt;=Personnel!$E$18,Personnel!$G$18="Yes"),Personnel!$D$18*(1-Personnel!$H$18),0)+IF(AND(4&gt;=Personnel!$E$19,Personnel!$G$19="Yes"),Personnel!$D$19*(1-Personnel!$H$19),0)+IF(AND(4&gt;=Personnel!$E$20,Personnel!$G$20="Yes"),Personnel!$D$20*(1-Personnel!$H$20),0)+IF(AND(4&gt;=Personnel!$E$21,Personnel!$G$21="Yes"),Personnel!$D$21*(1-Personnel!$H$21),0)+IF(AND(4&gt;=Personnel!$E$22,Personnel!$G$22="Yes"),Personnel!$D$22*(1-Personnel!$H$22),0)+IF(AND(4&gt;=Personnel!$E$23,Personnel!$G$23="Yes"),Personnel!$D$23*(1-Personnel!$H$23),0)+IF(AND(4&gt;=Personnel!$E$24,Personnel!$G$24="Yes"),Personnel!$D$24*(1-Personnel!$H$24),0)+IF(AND(4&gt;=Personnel!$E$25,Personnel!$G$25="Yes"),Personnel!$D$25*(1-Personnel!$H$25),0)+IF(AND(4&gt;=Personnel!$E$26,Personnel!$G$26="Yes"),Personnel!$D$26*(1-Personnel!$H$26),0)+IF(AND(4&gt;=Personnel!$E$27,Personnel!$G$27="Yes"),Personnel!$D$27*(1-Personnel!$H$27),0)+IF(AND(4&gt;=Personnel!$E$28,Personnel!$G$28="Yes"),Personnel!$D$28*(1-Personnel!$H$28),0)+IF(AND(4&gt;=Personnel!$E$29,Personnel!$G$29="Yes"),Personnel!$D$29*(1-Personnel!$H$29),0)+IF(AND(4&gt;=Personnel!$E$32,Personnel!$G$32="Yes"),Personnel!$D$32*(1-Personnel!$H$32),0)+IF(AND(4&gt;=Personnel!$E$33,Personnel!$G$33="Yes"),Personnel!$D$33*(1-Personnel!$H$33),0)+IF(AND(4&gt;=Personnel!$E$34,Personnel!$G$34="Yes"),Personnel!$D$34*(1-Personnel!$H$34),0)+IF(AND(4&gt;=Personnel!$E$35,Personnel!$G$35="Yes"),Personnel!$D$35*(1-Personnel!$H$35),0)+IF(AND(4&gt;=Personnel!$E$36,Personnel!$G$36="Yes"),Personnel!$D$36*(1-Personnel!$H$36),0)+IF(AND(4&gt;=Personnel!$E$37,Personnel!$G$37="Yes"),Personnel!$D$37*(1-Personnel!$H$37),0)+IF(AND(4&gt;=Personnel!$E$38,Personnel!$G$38="Yes"),Personnel!$D$38*(1-Personnel!$H$38),0))</f>
        <v>284324.33333333331</v>
      </c>
      <c r="G4" s="105">
        <f>(IF(AND(5&gt;=Personnel!$E$2,Personnel!$G$2="Yes"),Personnel!$D$2*(1-Personnel!$H$2),0)+IF(AND(5&gt;=Personnel!$E$3,Personnel!$G$3="Yes"),Personnel!$D$3*(1-Personnel!$H$3),0)+IF(AND(5&gt;=Personnel!$E$4,Personnel!$G$4="Yes"),Personnel!$D$4*(1-Personnel!$H$4),0)+IF(AND(5&gt;=Personnel!$E$5,Personnel!$G$5="Yes"),Personnel!$D$5*(1-Personnel!$H$5),0)+IF(AND(5&gt;=Personnel!$E$6,Personnel!$G$6="Yes"),Personnel!$D$6*(1-Personnel!$H$6),0)+IF(AND(5&gt;=Personnel!$E$7,Personnel!$G$7="Yes"),Personnel!$D$7*(1-Personnel!$H$7),0)+IF(AND(5&gt;=Personnel!$E$8,Personnel!$G$8="Yes"),Personnel!$D$8*(1-Personnel!$H$8),0)+IF(AND(5&gt;=Personnel!$E$9,Personnel!$G$9="Yes"),Personnel!$D$9*(1-Personnel!$H$9),0)+IF(AND(5&gt;=Personnel!$E$10,Personnel!$G$10="Yes"),Personnel!$D$10*(1-Personnel!$H$10),0)+IF(AND(5&gt;=Personnel!$E$11,Personnel!$G$11="Yes"),Personnel!$D$11*(1-Personnel!$H$11),0)+IF(AND(5&gt;=Personnel!$E$12,Personnel!$G$12="Yes"),Personnel!$D$12*(1-Personnel!$H$12),0)+IF(AND(5&gt;=Personnel!$E$13,Personnel!$G$13="Yes"),Personnel!$D$13*(1-Personnel!$H$13),0)+IF(AND(5&gt;=Personnel!$E$14,Personnel!$G$14="Yes"),Personnel!$D$14*(1-Personnel!$H$14),0)+IF(AND(5&gt;=Personnel!$E$15,Personnel!$G$15="Yes"),Personnel!$D$15*(1-Personnel!$H$15),0)+IF(AND(5&gt;=Personnel!$E$16,Personnel!$G$16="Yes"),Personnel!$D$16*(1-Personnel!$H$16),0)+IF(AND(5&gt;=Personnel!$E$17,Personnel!$G$17="Yes"),Personnel!$D$17*(1-Personnel!$H$17),0)+IF(AND(5&gt;=Personnel!$E$18,Personnel!$G$18="Yes"),Personnel!$D$18*(1-Personnel!$H$18),0)+IF(AND(5&gt;=Personnel!$E$19,Personnel!$G$19="Yes"),Personnel!$D$19*(1-Personnel!$H$19),0)+IF(AND(5&gt;=Personnel!$E$20,Personnel!$G$20="Yes"),Personnel!$D$20*(1-Personnel!$H$20),0)+IF(AND(5&gt;=Personnel!$E$21,Personnel!$G$21="Yes"),Personnel!$D$21*(1-Personnel!$H$21),0)+IF(AND(5&gt;=Personnel!$E$22,Personnel!$G$22="Yes"),Personnel!$D$22*(1-Personnel!$H$22),0)+IF(AND(5&gt;=Personnel!$E$23,Personnel!$G$23="Yes"),Personnel!$D$23*(1-Personnel!$H$23),0)+IF(AND(5&gt;=Personnel!$E$24,Personnel!$G$24="Yes"),Personnel!$D$24*(1-Personnel!$H$24),0)+IF(AND(5&gt;=Personnel!$E$25,Personnel!$G$25="Yes"),Personnel!$D$25*(1-Personnel!$H$25),0)+IF(AND(5&gt;=Personnel!$E$26,Personnel!$G$26="Yes"),Personnel!$D$26*(1-Personnel!$H$26),0)+IF(AND(5&gt;=Personnel!$E$27,Personnel!$G$27="Yes"),Personnel!$D$27*(1-Personnel!$H$27),0)+IF(AND(5&gt;=Personnel!$E$28,Personnel!$G$28="Yes"),Personnel!$D$28*(1-Personnel!$H$28),0)+IF(AND(5&gt;=Personnel!$E$29,Personnel!$G$29="Yes"),Personnel!$D$29*(1-Personnel!$H$29),0)+IF(AND(5&gt;=Personnel!$E$32,Personnel!$G$32="Yes"),Personnel!$D$32*(1-Personnel!$H$32),0)+IF(AND(5&gt;=Personnel!$E$33,Personnel!$G$33="Yes"),Personnel!$D$33*(1-Personnel!$H$33),0)+IF(AND(5&gt;=Personnel!$E$34,Personnel!$G$34="Yes"),Personnel!$D$34*(1-Personnel!$H$34),0)+IF(AND(5&gt;=Personnel!$E$35,Personnel!$G$35="Yes"),Personnel!$D$35*(1-Personnel!$H$35),0)+IF(AND(5&gt;=Personnel!$E$36,Personnel!$G$36="Yes"),Personnel!$D$36*(1-Personnel!$H$36),0)+IF(AND(5&gt;=Personnel!$E$37,Personnel!$G$37="Yes"),Personnel!$D$37*(1-Personnel!$H$37),0)+IF(AND(5&gt;=Personnel!$E$38,Personnel!$G$38="Yes"),Personnel!$D$38*(1-Personnel!$H$38),0))</f>
        <v>284324.33333333331</v>
      </c>
      <c r="H4" s="105">
        <f>(IF(AND(6&gt;=Personnel!$E$2,Personnel!$G$2="Yes"),Personnel!$D$2*(1-Personnel!$H$2),0)+IF(AND(6&gt;=Personnel!$E$3,Personnel!$G$3="Yes"),Personnel!$D$3*(1-Personnel!$H$3),0)+IF(AND(6&gt;=Personnel!$E$4,Personnel!$G$4="Yes"),Personnel!$D$4*(1-Personnel!$H$4),0)+IF(AND(6&gt;=Personnel!$E$5,Personnel!$G$5="Yes"),Personnel!$D$5*(1-Personnel!$H$5),0)+IF(AND(6&gt;=Personnel!$E$6,Personnel!$G$6="Yes"),Personnel!$D$6*(1-Personnel!$H$6),0)+IF(AND(6&gt;=Personnel!$E$7,Personnel!$G$7="Yes"),Personnel!$D$7*(1-Personnel!$H$7),0)+IF(AND(6&gt;=Personnel!$E$8,Personnel!$G$8="Yes"),Personnel!$D$8*(1-Personnel!$H$8),0)+IF(AND(6&gt;=Personnel!$E$9,Personnel!$G$9="Yes"),Personnel!$D$9*(1-Personnel!$H$9),0)+IF(AND(6&gt;=Personnel!$E$10,Personnel!$G$10="Yes"),Personnel!$D$10*(1-Personnel!$H$10),0)+IF(AND(6&gt;=Personnel!$E$11,Personnel!$G$11="Yes"),Personnel!$D$11*(1-Personnel!$H$11),0)+IF(AND(6&gt;=Personnel!$E$12,Personnel!$G$12="Yes"),Personnel!$D$12*(1-Personnel!$H$12),0)+IF(AND(6&gt;=Personnel!$E$13,Personnel!$G$13="Yes"),Personnel!$D$13*(1-Personnel!$H$13),0)+IF(AND(6&gt;=Personnel!$E$14,Personnel!$G$14="Yes"),Personnel!$D$14*(1-Personnel!$H$14),0)+IF(AND(6&gt;=Personnel!$E$15,Personnel!$G$15="Yes"),Personnel!$D$15*(1-Personnel!$H$15),0)+IF(AND(6&gt;=Personnel!$E$16,Personnel!$G$16="Yes"),Personnel!$D$16*(1-Personnel!$H$16),0)+IF(AND(6&gt;=Personnel!$E$17,Personnel!$G$17="Yes"),Personnel!$D$17*(1-Personnel!$H$17),0)+IF(AND(6&gt;=Personnel!$E$18,Personnel!$G$18="Yes"),Personnel!$D$18*(1-Personnel!$H$18),0)+IF(AND(6&gt;=Personnel!$E$19,Personnel!$G$19="Yes"),Personnel!$D$19*(1-Personnel!$H$19),0)+IF(AND(6&gt;=Personnel!$E$20,Personnel!$G$20="Yes"),Personnel!$D$20*(1-Personnel!$H$20),0)+IF(AND(6&gt;=Personnel!$E$21,Personnel!$G$21="Yes"),Personnel!$D$21*(1-Personnel!$H$21),0)+IF(AND(6&gt;=Personnel!$E$22,Personnel!$G$22="Yes"),Personnel!$D$22*(1-Personnel!$H$22),0)+IF(AND(6&gt;=Personnel!$E$23,Personnel!$G$23="Yes"),Personnel!$D$23*(1-Personnel!$H$23),0)+IF(AND(6&gt;=Personnel!$E$24,Personnel!$G$24="Yes"),Personnel!$D$24*(1-Personnel!$H$24),0)+IF(AND(6&gt;=Personnel!$E$25,Personnel!$G$25="Yes"),Personnel!$D$25*(1-Personnel!$H$25),0)+IF(AND(6&gt;=Personnel!$E$26,Personnel!$G$26="Yes"),Personnel!$D$26*(1-Personnel!$H$26),0)+IF(AND(6&gt;=Personnel!$E$27,Personnel!$G$27="Yes"),Personnel!$D$27*(1-Personnel!$H$27),0)+IF(AND(6&gt;=Personnel!$E$28,Personnel!$G$28="Yes"),Personnel!$D$28*(1-Personnel!$H$28),0)+IF(AND(6&gt;=Personnel!$E$29,Personnel!$G$29="Yes"),Personnel!$D$29*(1-Personnel!$H$29),0)+IF(AND(6&gt;=Personnel!$E$32,Personnel!$G$32="Yes"),Personnel!$D$32*(1-Personnel!$H$32),0)+IF(AND(6&gt;=Personnel!$E$33,Personnel!$G$33="Yes"),Personnel!$D$33*(1-Personnel!$H$33),0)+IF(AND(6&gt;=Personnel!$E$34,Personnel!$G$34="Yes"),Personnel!$D$34*(1-Personnel!$H$34),0)+IF(AND(6&gt;=Personnel!$E$35,Personnel!$G$35="Yes"),Personnel!$D$35*(1-Personnel!$H$35),0)+IF(AND(6&gt;=Personnel!$E$36,Personnel!$G$36="Yes"),Personnel!$D$36*(1-Personnel!$H$36),0)+IF(AND(6&gt;=Personnel!$E$37,Personnel!$G$37="Yes"),Personnel!$D$37*(1-Personnel!$H$37),0)+IF(AND(6&gt;=Personnel!$E$38,Personnel!$G$38="Yes"),Personnel!$D$38*(1-Personnel!$H$38),0))</f>
        <v>284324.33333333331</v>
      </c>
      <c r="I4" s="105">
        <f>(IF(AND(7&gt;=Personnel!$E$2,Personnel!$G$2="Yes"),Personnel!$D$2*(1-Personnel!$H$2),0)+IF(AND(7&gt;=Personnel!$E$3,Personnel!$G$3="Yes"),Personnel!$D$3*(1-Personnel!$H$3),0)+IF(AND(7&gt;=Personnel!$E$4,Personnel!$G$4="Yes"),Personnel!$D$4*(1-Personnel!$H$4),0)+IF(AND(7&gt;=Personnel!$E$5,Personnel!$G$5="Yes"),Personnel!$D$5*(1-Personnel!$H$5),0)+IF(AND(7&gt;=Personnel!$E$6,Personnel!$G$6="Yes"),Personnel!$D$6*(1-Personnel!$H$6),0)+IF(AND(7&gt;=Personnel!$E$7,Personnel!$G$7="Yes"),Personnel!$D$7*(1-Personnel!$H$7),0)+IF(AND(7&gt;=Personnel!$E$8,Personnel!$G$8="Yes"),Personnel!$D$8*(1-Personnel!$H$8),0)+IF(AND(7&gt;=Personnel!$E$9,Personnel!$G$9="Yes"),Personnel!$D$9*(1-Personnel!$H$9),0)+IF(AND(7&gt;=Personnel!$E$10,Personnel!$G$10="Yes"),Personnel!$D$10*(1-Personnel!$H$10),0)+IF(AND(7&gt;=Personnel!$E$11,Personnel!$G$11="Yes"),Personnel!$D$11*(1-Personnel!$H$11),0)+IF(AND(7&gt;=Personnel!$E$12,Personnel!$G$12="Yes"),Personnel!$D$12*(1-Personnel!$H$12),0)+IF(AND(7&gt;=Personnel!$E$13,Personnel!$G$13="Yes"),Personnel!$D$13*(1-Personnel!$H$13),0)+IF(AND(7&gt;=Personnel!$E$14,Personnel!$G$14="Yes"),Personnel!$D$14*(1-Personnel!$H$14),0)+IF(AND(7&gt;=Personnel!$E$15,Personnel!$G$15="Yes"),Personnel!$D$15*(1-Personnel!$H$15),0)+IF(AND(7&gt;=Personnel!$E$16,Personnel!$G$16="Yes"),Personnel!$D$16*(1-Personnel!$H$16),0)+IF(AND(7&gt;=Personnel!$E$17,Personnel!$G$17="Yes"),Personnel!$D$17*(1-Personnel!$H$17),0)+IF(AND(7&gt;=Personnel!$E$18,Personnel!$G$18="Yes"),Personnel!$D$18*(1-Personnel!$H$18),0)+IF(AND(7&gt;=Personnel!$E$19,Personnel!$G$19="Yes"),Personnel!$D$19*(1-Personnel!$H$19),0)+IF(AND(7&gt;=Personnel!$E$20,Personnel!$G$20="Yes"),Personnel!$D$20*(1-Personnel!$H$20),0)+IF(AND(7&gt;=Personnel!$E$21,Personnel!$G$21="Yes"),Personnel!$D$21*(1-Personnel!$H$21),0)+IF(AND(7&gt;=Personnel!$E$22,Personnel!$G$22="Yes"),Personnel!$D$22*(1-Personnel!$H$22),0)+IF(AND(7&gt;=Personnel!$E$23,Personnel!$G$23="Yes"),Personnel!$D$23*(1-Personnel!$H$23),0)+IF(AND(7&gt;=Personnel!$E$24,Personnel!$G$24="Yes"),Personnel!$D$24*(1-Personnel!$H$24),0)+IF(AND(7&gt;=Personnel!$E$25,Personnel!$G$25="Yes"),Personnel!$D$25*(1-Personnel!$H$25),0)+IF(AND(7&gt;=Personnel!$E$26,Personnel!$G$26="Yes"),Personnel!$D$26*(1-Personnel!$H$26),0)+IF(AND(7&gt;=Personnel!$E$27,Personnel!$G$27="Yes"),Personnel!$D$27*(1-Personnel!$H$27),0)+IF(AND(7&gt;=Personnel!$E$28,Personnel!$G$28="Yes"),Personnel!$D$28*(1-Personnel!$H$28),0)+IF(AND(7&gt;=Personnel!$E$29,Personnel!$G$29="Yes"),Personnel!$D$29*(1-Personnel!$H$29),0)+IF(AND(7&gt;=Personnel!$E$32,Personnel!$G$32="Yes"),Personnel!$D$32*(1-Personnel!$H$32),0)+IF(AND(7&gt;=Personnel!$E$33,Personnel!$G$33="Yes"),Personnel!$D$33*(1-Personnel!$H$33),0)+IF(AND(7&gt;=Personnel!$E$34,Personnel!$G$34="Yes"),Personnel!$D$34*(1-Personnel!$H$34),0)+IF(AND(7&gt;=Personnel!$E$35,Personnel!$G$35="Yes"),Personnel!$D$35*(1-Personnel!$H$35),0)+IF(AND(7&gt;=Personnel!$E$36,Personnel!$G$36="Yes"),Personnel!$D$36*(1-Personnel!$H$36),0)+IF(AND(7&gt;=Personnel!$E$37,Personnel!$G$37="Yes"),Personnel!$D$37*(1-Personnel!$H$37),0)+IF(AND(7&gt;=Personnel!$E$38,Personnel!$G$38="Yes"),Personnel!$D$38*(1-Personnel!$H$38),0))</f>
        <v>284324.33333333331</v>
      </c>
      <c r="J4" s="105">
        <f>(IF(AND(8&gt;=Personnel!$E$2,Personnel!$G$2="Yes"),Personnel!$D$2*(1-Personnel!$H$2),0)+IF(AND(8&gt;=Personnel!$E$3,Personnel!$G$3="Yes"),Personnel!$D$3*(1-Personnel!$H$3),0)+IF(AND(8&gt;=Personnel!$E$4,Personnel!$G$4="Yes"),Personnel!$D$4*(1-Personnel!$H$4),0)+IF(AND(8&gt;=Personnel!$E$5,Personnel!$G$5="Yes"),Personnel!$D$5*(1-Personnel!$H$5),0)+IF(AND(8&gt;=Personnel!$E$6,Personnel!$G$6="Yes"),Personnel!$D$6*(1-Personnel!$H$6),0)+IF(AND(8&gt;=Personnel!$E$7,Personnel!$G$7="Yes"),Personnel!$D$7*(1-Personnel!$H$7),0)+IF(AND(8&gt;=Personnel!$E$8,Personnel!$G$8="Yes"),Personnel!$D$8*(1-Personnel!$H$8),0)+IF(AND(8&gt;=Personnel!$E$9,Personnel!$G$9="Yes"),Personnel!$D$9*(1-Personnel!$H$9),0)+IF(AND(8&gt;=Personnel!$E$10,Personnel!$G$10="Yes"),Personnel!$D$10*(1-Personnel!$H$10),0)+IF(AND(8&gt;=Personnel!$E$11,Personnel!$G$11="Yes"),Personnel!$D$11*(1-Personnel!$H$11),0)+IF(AND(8&gt;=Personnel!$E$12,Personnel!$G$12="Yes"),Personnel!$D$12*(1-Personnel!$H$12),0)+IF(AND(8&gt;=Personnel!$E$13,Personnel!$G$13="Yes"),Personnel!$D$13*(1-Personnel!$H$13),0)+IF(AND(8&gt;=Personnel!$E$14,Personnel!$G$14="Yes"),Personnel!$D$14*(1-Personnel!$H$14),0)+IF(AND(8&gt;=Personnel!$E$15,Personnel!$G$15="Yes"),Personnel!$D$15*(1-Personnel!$H$15),0)+IF(AND(8&gt;=Personnel!$E$16,Personnel!$G$16="Yes"),Personnel!$D$16*(1-Personnel!$H$16),0)+IF(AND(8&gt;=Personnel!$E$17,Personnel!$G$17="Yes"),Personnel!$D$17*(1-Personnel!$H$17),0)+IF(AND(8&gt;=Personnel!$E$18,Personnel!$G$18="Yes"),Personnel!$D$18*(1-Personnel!$H$18),0)+IF(AND(8&gt;=Personnel!$E$19,Personnel!$G$19="Yes"),Personnel!$D$19*(1-Personnel!$H$19),0)+IF(AND(8&gt;=Personnel!$E$20,Personnel!$G$20="Yes"),Personnel!$D$20*(1-Personnel!$H$20),0)+IF(AND(8&gt;=Personnel!$E$21,Personnel!$G$21="Yes"),Personnel!$D$21*(1-Personnel!$H$21),0)+IF(AND(8&gt;=Personnel!$E$22,Personnel!$G$22="Yes"),Personnel!$D$22*(1-Personnel!$H$22),0)+IF(AND(8&gt;=Personnel!$E$23,Personnel!$G$23="Yes"),Personnel!$D$23*(1-Personnel!$H$23),0)+IF(AND(8&gt;=Personnel!$E$24,Personnel!$G$24="Yes"),Personnel!$D$24*(1-Personnel!$H$24),0)+IF(AND(8&gt;=Personnel!$E$25,Personnel!$G$25="Yes"),Personnel!$D$25*(1-Personnel!$H$25),0)+IF(AND(8&gt;=Personnel!$E$26,Personnel!$G$26="Yes"),Personnel!$D$26*(1-Personnel!$H$26),0)+IF(AND(8&gt;=Personnel!$E$27,Personnel!$G$27="Yes"),Personnel!$D$27*(1-Personnel!$H$27),0)+IF(AND(8&gt;=Personnel!$E$28,Personnel!$G$28="Yes"),Personnel!$D$28*(1-Personnel!$H$28),0)+IF(AND(8&gt;=Personnel!$E$29,Personnel!$G$29="Yes"),Personnel!$D$29*(1-Personnel!$H$29),0)+IF(AND(8&gt;=Personnel!$E$32,Personnel!$G$32="Yes"),Personnel!$D$32*(1-Personnel!$H$32),0)+IF(AND(8&gt;=Personnel!$E$33,Personnel!$G$33="Yes"),Personnel!$D$33*(1-Personnel!$H$33),0)+IF(AND(8&gt;=Personnel!$E$34,Personnel!$G$34="Yes"),Personnel!$D$34*(1-Personnel!$H$34),0)+IF(AND(8&gt;=Personnel!$E$35,Personnel!$G$35="Yes"),Personnel!$D$35*(1-Personnel!$H$35),0)+IF(AND(8&gt;=Personnel!$E$36,Personnel!$G$36="Yes"),Personnel!$D$36*(1-Personnel!$H$36),0)+IF(AND(8&gt;=Personnel!$E$37,Personnel!$G$37="Yes"),Personnel!$D$37*(1-Personnel!$H$37),0)+IF(AND(8&gt;=Personnel!$E$38,Personnel!$G$38="Yes"),Personnel!$D$38*(1-Personnel!$H$38),0))</f>
        <v>284324.33333333331</v>
      </c>
      <c r="K4" s="105">
        <f>(IF(AND(9&gt;=Personnel!$E$2,Personnel!$G$2="Yes"),Personnel!$D$2*(1-Personnel!$H$2),0)+IF(AND(9&gt;=Personnel!$E$3,Personnel!$G$3="Yes"),Personnel!$D$3*(1-Personnel!$H$3),0)+IF(AND(9&gt;=Personnel!$E$4,Personnel!$G$4="Yes"),Personnel!$D$4*(1-Personnel!$H$4),0)+IF(AND(9&gt;=Personnel!$E$5,Personnel!$G$5="Yes"),Personnel!$D$5*(1-Personnel!$H$5),0)+IF(AND(9&gt;=Personnel!$E$6,Personnel!$G$6="Yes"),Personnel!$D$6*(1-Personnel!$H$6),0)+IF(AND(9&gt;=Personnel!$E$7,Personnel!$G$7="Yes"),Personnel!$D$7*(1-Personnel!$H$7),0)+IF(AND(9&gt;=Personnel!$E$8,Personnel!$G$8="Yes"),Personnel!$D$8*(1-Personnel!$H$8),0)+IF(AND(9&gt;=Personnel!$E$9,Personnel!$G$9="Yes"),Personnel!$D$9*(1-Personnel!$H$9),0)+IF(AND(9&gt;=Personnel!$E$10,Personnel!$G$10="Yes"),Personnel!$D$10*(1-Personnel!$H$10),0)+IF(AND(9&gt;=Personnel!$E$11,Personnel!$G$11="Yes"),Personnel!$D$11*(1-Personnel!$H$11),0)+IF(AND(9&gt;=Personnel!$E$12,Personnel!$G$12="Yes"),Personnel!$D$12*(1-Personnel!$H$12),0)+IF(AND(9&gt;=Personnel!$E$13,Personnel!$G$13="Yes"),Personnel!$D$13*(1-Personnel!$H$13),0)+IF(AND(9&gt;=Personnel!$E$14,Personnel!$G$14="Yes"),Personnel!$D$14*(1-Personnel!$H$14),0)+IF(AND(9&gt;=Personnel!$E$15,Personnel!$G$15="Yes"),Personnel!$D$15*(1-Personnel!$H$15),0)+IF(AND(9&gt;=Personnel!$E$16,Personnel!$G$16="Yes"),Personnel!$D$16*(1-Personnel!$H$16),0)+IF(AND(9&gt;=Personnel!$E$17,Personnel!$G$17="Yes"),Personnel!$D$17*(1-Personnel!$H$17),0)+IF(AND(9&gt;=Personnel!$E$18,Personnel!$G$18="Yes"),Personnel!$D$18*(1-Personnel!$H$18),0)+IF(AND(9&gt;=Personnel!$E$19,Personnel!$G$19="Yes"),Personnel!$D$19*(1-Personnel!$H$19),0)+IF(AND(9&gt;=Personnel!$E$20,Personnel!$G$20="Yes"),Personnel!$D$20*(1-Personnel!$H$20),0)+IF(AND(9&gt;=Personnel!$E$21,Personnel!$G$21="Yes"),Personnel!$D$21*(1-Personnel!$H$21),0)+IF(AND(9&gt;=Personnel!$E$22,Personnel!$G$22="Yes"),Personnel!$D$22*(1-Personnel!$H$22),0)+IF(AND(9&gt;=Personnel!$E$23,Personnel!$G$23="Yes"),Personnel!$D$23*(1-Personnel!$H$23),0)+IF(AND(9&gt;=Personnel!$E$24,Personnel!$G$24="Yes"),Personnel!$D$24*(1-Personnel!$H$24),0)+IF(AND(9&gt;=Personnel!$E$25,Personnel!$G$25="Yes"),Personnel!$D$25*(1-Personnel!$H$25),0)+IF(AND(9&gt;=Personnel!$E$26,Personnel!$G$26="Yes"),Personnel!$D$26*(1-Personnel!$H$26),0)+IF(AND(9&gt;=Personnel!$E$27,Personnel!$G$27="Yes"),Personnel!$D$27*(1-Personnel!$H$27),0)+IF(AND(9&gt;=Personnel!$E$28,Personnel!$G$28="Yes"),Personnel!$D$28*(1-Personnel!$H$28),0)+IF(AND(9&gt;=Personnel!$E$29,Personnel!$G$29="Yes"),Personnel!$D$29*(1-Personnel!$H$29),0)+IF(AND(9&gt;=Personnel!$E$32,Personnel!$G$32="Yes"),Personnel!$D$32*(1-Personnel!$H$32),0)+IF(AND(9&gt;=Personnel!$E$33,Personnel!$G$33="Yes"),Personnel!$D$33*(1-Personnel!$H$33),0)+IF(AND(9&gt;=Personnel!$E$34,Personnel!$G$34="Yes"),Personnel!$D$34*(1-Personnel!$H$34),0)+IF(AND(9&gt;=Personnel!$E$35,Personnel!$G$35="Yes"),Personnel!$D$35*(1-Personnel!$H$35),0)+IF(AND(9&gt;=Personnel!$E$36,Personnel!$G$36="Yes"),Personnel!$D$36*(1-Personnel!$H$36),0)+IF(AND(9&gt;=Personnel!$E$37,Personnel!$G$37="Yes"),Personnel!$D$37*(1-Personnel!$H$37),0)+IF(AND(9&gt;=Personnel!$E$38,Personnel!$G$38="Yes"),Personnel!$D$38*(1-Personnel!$H$38),0))</f>
        <v>284324.33333333331</v>
      </c>
      <c r="L4" s="105">
        <f>(IF(AND(10&gt;=Personnel!$E$2,Personnel!$G$2="Yes"),Personnel!$D$2*(1-Personnel!$H$2),0)+IF(AND(10&gt;=Personnel!$E$3,Personnel!$G$3="Yes"),Personnel!$D$3*(1-Personnel!$H$3),0)+IF(AND(10&gt;=Personnel!$E$4,Personnel!$G$4="Yes"),Personnel!$D$4*(1-Personnel!$H$4),0)+IF(AND(10&gt;=Personnel!$E$5,Personnel!$G$5="Yes"),Personnel!$D$5*(1-Personnel!$H$5),0)+IF(AND(10&gt;=Personnel!$E$6,Personnel!$G$6="Yes"),Personnel!$D$6*(1-Personnel!$H$6),0)+IF(AND(10&gt;=Personnel!$E$7,Personnel!$G$7="Yes"),Personnel!$D$7*(1-Personnel!$H$7),0)+IF(AND(10&gt;=Personnel!$E$8,Personnel!$G$8="Yes"),Personnel!$D$8*(1-Personnel!$H$8),0)+IF(AND(10&gt;=Personnel!$E$9,Personnel!$G$9="Yes"),Personnel!$D$9*(1-Personnel!$H$9),0)+IF(AND(10&gt;=Personnel!$E$10,Personnel!$G$10="Yes"),Personnel!$D$10*(1-Personnel!$H$10),0)+IF(AND(10&gt;=Personnel!$E$11,Personnel!$G$11="Yes"),Personnel!$D$11*(1-Personnel!$H$11),0)+IF(AND(10&gt;=Personnel!$E$12,Personnel!$G$12="Yes"),Personnel!$D$12*(1-Personnel!$H$12),0)+IF(AND(10&gt;=Personnel!$E$13,Personnel!$G$13="Yes"),Personnel!$D$13*(1-Personnel!$H$13),0)+IF(AND(10&gt;=Personnel!$E$14,Personnel!$G$14="Yes"),Personnel!$D$14*(1-Personnel!$H$14),0)+IF(AND(10&gt;=Personnel!$E$15,Personnel!$G$15="Yes"),Personnel!$D$15*(1-Personnel!$H$15),0)+IF(AND(10&gt;=Personnel!$E$16,Personnel!$G$16="Yes"),Personnel!$D$16*(1-Personnel!$H$16),0)+IF(AND(10&gt;=Personnel!$E$17,Personnel!$G$17="Yes"),Personnel!$D$17*(1-Personnel!$H$17),0)+IF(AND(10&gt;=Personnel!$E$18,Personnel!$G$18="Yes"),Personnel!$D$18*(1-Personnel!$H$18),0)+IF(AND(10&gt;=Personnel!$E$19,Personnel!$G$19="Yes"),Personnel!$D$19*(1-Personnel!$H$19),0)+IF(AND(10&gt;=Personnel!$E$20,Personnel!$G$20="Yes"),Personnel!$D$20*(1-Personnel!$H$20),0)+IF(AND(10&gt;=Personnel!$E$21,Personnel!$G$21="Yes"),Personnel!$D$21*(1-Personnel!$H$21),0)+IF(AND(10&gt;=Personnel!$E$22,Personnel!$G$22="Yes"),Personnel!$D$22*(1-Personnel!$H$22),0)+IF(AND(10&gt;=Personnel!$E$23,Personnel!$G$23="Yes"),Personnel!$D$23*(1-Personnel!$H$23),0)+IF(AND(10&gt;=Personnel!$E$24,Personnel!$G$24="Yes"),Personnel!$D$24*(1-Personnel!$H$24),0)+IF(AND(10&gt;=Personnel!$E$25,Personnel!$G$25="Yes"),Personnel!$D$25*(1-Personnel!$H$25),0)+IF(AND(10&gt;=Personnel!$E$26,Personnel!$G$26="Yes"),Personnel!$D$26*(1-Personnel!$H$26),0)+IF(AND(10&gt;=Personnel!$E$27,Personnel!$G$27="Yes"),Personnel!$D$27*(1-Personnel!$H$27),0)+IF(AND(10&gt;=Personnel!$E$28,Personnel!$G$28="Yes"),Personnel!$D$28*(1-Personnel!$H$28),0)+IF(AND(10&gt;=Personnel!$E$29,Personnel!$G$29="Yes"),Personnel!$D$29*(1-Personnel!$H$29),0)+IF(AND(10&gt;=Personnel!$E$32,Personnel!$G$32="Yes"),Personnel!$D$32*(1-Personnel!$H$32),0)+IF(AND(10&gt;=Personnel!$E$33,Personnel!$G$33="Yes"),Personnel!$D$33*(1-Personnel!$H$33),0)+IF(AND(10&gt;=Personnel!$E$34,Personnel!$G$34="Yes"),Personnel!$D$34*(1-Personnel!$H$34),0)+IF(AND(10&gt;=Personnel!$E$35,Personnel!$G$35="Yes"),Personnel!$D$35*(1-Personnel!$H$35),0)+IF(AND(10&gt;=Personnel!$E$36,Personnel!$G$36="Yes"),Personnel!$D$36*(1-Personnel!$H$36),0)+IF(AND(10&gt;=Personnel!$E$37,Personnel!$G$37="Yes"),Personnel!$D$37*(1-Personnel!$H$37),0)+IF(AND(10&gt;=Personnel!$E$38,Personnel!$G$38="Yes"),Personnel!$D$38*(1-Personnel!$H$38),0))</f>
        <v>284324.33333333331</v>
      </c>
      <c r="M4" s="105">
        <f>(IF(AND(11&gt;=Personnel!$E$2,Personnel!$G$2="Yes"),Personnel!$D$2*(1-Personnel!$H$2),0)+IF(AND(11&gt;=Personnel!$E$3,Personnel!$G$3="Yes"),Personnel!$D$3*(1-Personnel!$H$3),0)+IF(AND(11&gt;=Personnel!$E$4,Personnel!$G$4="Yes"),Personnel!$D$4*(1-Personnel!$H$4),0)+IF(AND(11&gt;=Personnel!$E$5,Personnel!$G$5="Yes"),Personnel!$D$5*(1-Personnel!$H$5),0)+IF(AND(11&gt;=Personnel!$E$6,Personnel!$G$6="Yes"),Personnel!$D$6*(1-Personnel!$H$6),0)+IF(AND(11&gt;=Personnel!$E$7,Personnel!$G$7="Yes"),Personnel!$D$7*(1-Personnel!$H$7),0)+IF(AND(11&gt;=Personnel!$E$8,Personnel!$G$8="Yes"),Personnel!$D$8*(1-Personnel!$H$8),0)+IF(AND(11&gt;=Personnel!$E$9,Personnel!$G$9="Yes"),Personnel!$D$9*(1-Personnel!$H$9),0)+IF(AND(11&gt;=Personnel!$E$10,Personnel!$G$10="Yes"),Personnel!$D$10*(1-Personnel!$H$10),0)+IF(AND(11&gt;=Personnel!$E$11,Personnel!$G$11="Yes"),Personnel!$D$11*(1-Personnel!$H$11),0)+IF(AND(11&gt;=Personnel!$E$12,Personnel!$G$12="Yes"),Personnel!$D$12*(1-Personnel!$H$12),0)+IF(AND(11&gt;=Personnel!$E$13,Personnel!$G$13="Yes"),Personnel!$D$13*(1-Personnel!$H$13),0)+IF(AND(11&gt;=Personnel!$E$14,Personnel!$G$14="Yes"),Personnel!$D$14*(1-Personnel!$H$14),0)+IF(AND(11&gt;=Personnel!$E$15,Personnel!$G$15="Yes"),Personnel!$D$15*(1-Personnel!$H$15),0)+IF(AND(11&gt;=Personnel!$E$16,Personnel!$G$16="Yes"),Personnel!$D$16*(1-Personnel!$H$16),0)+IF(AND(11&gt;=Personnel!$E$17,Personnel!$G$17="Yes"),Personnel!$D$17*(1-Personnel!$H$17),0)+IF(AND(11&gt;=Personnel!$E$18,Personnel!$G$18="Yes"),Personnel!$D$18*(1-Personnel!$H$18),0)+IF(AND(11&gt;=Personnel!$E$19,Personnel!$G$19="Yes"),Personnel!$D$19*(1-Personnel!$H$19),0)+IF(AND(11&gt;=Personnel!$E$20,Personnel!$G$20="Yes"),Personnel!$D$20*(1-Personnel!$H$20),0)+IF(AND(11&gt;=Personnel!$E$21,Personnel!$G$21="Yes"),Personnel!$D$21*(1-Personnel!$H$21),0)+IF(AND(11&gt;=Personnel!$E$22,Personnel!$G$22="Yes"),Personnel!$D$22*(1-Personnel!$H$22),0)+IF(AND(11&gt;=Personnel!$E$23,Personnel!$G$23="Yes"),Personnel!$D$23*(1-Personnel!$H$23),0)+IF(AND(11&gt;=Personnel!$E$24,Personnel!$G$24="Yes"),Personnel!$D$24*(1-Personnel!$H$24),0)+IF(AND(11&gt;=Personnel!$E$25,Personnel!$G$25="Yes"),Personnel!$D$25*(1-Personnel!$H$25),0)+IF(AND(11&gt;=Personnel!$E$26,Personnel!$G$26="Yes"),Personnel!$D$26*(1-Personnel!$H$26),0)+IF(AND(11&gt;=Personnel!$E$27,Personnel!$G$27="Yes"),Personnel!$D$27*(1-Personnel!$H$27),0)+IF(AND(11&gt;=Personnel!$E$28,Personnel!$G$28="Yes"),Personnel!$D$28*(1-Personnel!$H$28),0)+IF(AND(11&gt;=Personnel!$E$29,Personnel!$G$29="Yes"),Personnel!$D$29*(1-Personnel!$H$29),0)+IF(AND(11&gt;=Personnel!$E$32,Personnel!$G$32="Yes"),Personnel!$D$32*(1-Personnel!$H$32),0)+IF(AND(11&gt;=Personnel!$E$33,Personnel!$G$33="Yes"),Personnel!$D$33*(1-Personnel!$H$33),0)+IF(AND(11&gt;=Personnel!$E$34,Personnel!$G$34="Yes"),Personnel!$D$34*(1-Personnel!$H$34),0)+IF(AND(11&gt;=Personnel!$E$35,Personnel!$G$35="Yes"),Personnel!$D$35*(1-Personnel!$H$35),0)+IF(AND(11&gt;=Personnel!$E$36,Personnel!$G$36="Yes"),Personnel!$D$36*(1-Personnel!$H$36),0)+IF(AND(11&gt;=Personnel!$E$37,Personnel!$G$37="Yes"),Personnel!$D$37*(1-Personnel!$H$37),0)+IF(AND(11&gt;=Personnel!$E$38,Personnel!$G$38="Yes"),Personnel!$D$38*(1-Personnel!$H$38),0))</f>
        <v>284324.33333333331</v>
      </c>
      <c r="N4" s="105">
        <f>(IF(AND(12&gt;=Personnel!$E$2,Personnel!$G$2="Yes"),Personnel!$D$2*(1-Personnel!$H$2),0)+IF(AND(12&gt;=Personnel!$E$3,Personnel!$G$3="Yes"),Personnel!$D$3*(1-Personnel!$H$3),0)+IF(AND(12&gt;=Personnel!$E$4,Personnel!$G$4="Yes"),Personnel!$D$4*(1-Personnel!$H$4),0)+IF(AND(12&gt;=Personnel!$E$5,Personnel!$G$5="Yes"),Personnel!$D$5*(1-Personnel!$H$5),0)+IF(AND(12&gt;=Personnel!$E$6,Personnel!$G$6="Yes"),Personnel!$D$6*(1-Personnel!$H$6),0)+IF(AND(12&gt;=Personnel!$E$7,Personnel!$G$7="Yes"),Personnel!$D$7*(1-Personnel!$H$7),0)+IF(AND(12&gt;=Personnel!$E$8,Personnel!$G$8="Yes"),Personnel!$D$8*(1-Personnel!$H$8),0)+IF(AND(12&gt;=Personnel!$E$9,Personnel!$G$9="Yes"),Personnel!$D$9*(1-Personnel!$H$9),0)+IF(AND(12&gt;=Personnel!$E$10,Personnel!$G$10="Yes"),Personnel!$D$10*(1-Personnel!$H$10),0)+IF(AND(12&gt;=Personnel!$E$11,Personnel!$G$11="Yes"),Personnel!$D$11*(1-Personnel!$H$11),0)+IF(AND(12&gt;=Personnel!$E$12,Personnel!$G$12="Yes"),Personnel!$D$12*(1-Personnel!$H$12),0)+IF(AND(12&gt;=Personnel!$E$13,Personnel!$G$13="Yes"),Personnel!$D$13*(1-Personnel!$H$13),0)+IF(AND(12&gt;=Personnel!$E$14,Personnel!$G$14="Yes"),Personnel!$D$14*(1-Personnel!$H$14),0)+IF(AND(12&gt;=Personnel!$E$15,Personnel!$G$15="Yes"),Personnel!$D$15*(1-Personnel!$H$15),0)+IF(AND(12&gt;=Personnel!$E$16,Personnel!$G$16="Yes"),Personnel!$D$16*(1-Personnel!$H$16),0)+IF(AND(12&gt;=Personnel!$E$17,Personnel!$G$17="Yes"),Personnel!$D$17*(1-Personnel!$H$17),0)+IF(AND(12&gt;=Personnel!$E$18,Personnel!$G$18="Yes"),Personnel!$D$18*(1-Personnel!$H$18),0)+IF(AND(12&gt;=Personnel!$E$19,Personnel!$G$19="Yes"),Personnel!$D$19*(1-Personnel!$H$19),0)+IF(AND(12&gt;=Personnel!$E$20,Personnel!$G$20="Yes"),Personnel!$D$20*(1-Personnel!$H$20),0)+IF(AND(12&gt;=Personnel!$E$21,Personnel!$G$21="Yes"),Personnel!$D$21*(1-Personnel!$H$21),0)+IF(AND(12&gt;=Personnel!$E$22,Personnel!$G$22="Yes"),Personnel!$D$22*(1-Personnel!$H$22),0)+IF(AND(12&gt;=Personnel!$E$23,Personnel!$G$23="Yes"),Personnel!$D$23*(1-Personnel!$H$23),0)+IF(AND(12&gt;=Personnel!$E$24,Personnel!$G$24="Yes"),Personnel!$D$24*(1-Personnel!$H$24),0)+IF(AND(12&gt;=Personnel!$E$25,Personnel!$G$25="Yes"),Personnel!$D$25*(1-Personnel!$H$25),0)+IF(AND(12&gt;=Personnel!$E$26,Personnel!$G$26="Yes"),Personnel!$D$26*(1-Personnel!$H$26),0)+IF(AND(12&gt;=Personnel!$E$27,Personnel!$G$27="Yes"),Personnel!$D$27*(1-Personnel!$H$27),0)+IF(AND(12&gt;=Personnel!$E$28,Personnel!$G$28="Yes"),Personnel!$D$28*(1-Personnel!$H$28),0)+IF(AND(12&gt;=Personnel!$E$29,Personnel!$G$29="Yes"),Personnel!$D$29*(1-Personnel!$H$29),0)+IF(AND(12&gt;=Personnel!$E$32,Personnel!$G$32="Yes"),Personnel!$D$32*(1-Personnel!$H$32),0)+IF(AND(12&gt;=Personnel!$E$33,Personnel!$G$33="Yes"),Personnel!$D$33*(1-Personnel!$H$33),0)+IF(AND(12&gt;=Personnel!$E$34,Personnel!$G$34="Yes"),Personnel!$D$34*(1-Personnel!$H$34),0)+IF(AND(12&gt;=Personnel!$E$35,Personnel!$G$35="Yes"),Personnel!$D$35*(1-Personnel!$H$35),0)+IF(AND(12&gt;=Personnel!$E$36,Personnel!$G$36="Yes"),Personnel!$D$36*(1-Personnel!$H$36),0)+IF(AND(12&gt;=Personnel!$E$37,Personnel!$G$37="Yes"),Personnel!$D$37*(1-Personnel!$H$37),0)+IF(AND(12&gt;=Personnel!$E$38,Personnel!$G$38="Yes"),Personnel!$D$38*(1-Personnel!$H$38),0))</f>
        <v>284324.33333333331</v>
      </c>
      <c r="O4" s="105">
        <f>(IF(AND(13&gt;=Personnel!$E$2,Personnel!$G$2="Yes"),Personnel!$D$2*(1-Personnel!$H$2),0)+IF(AND(13&gt;=Personnel!$E$3,Personnel!$G$3="Yes"),Personnel!$D$3*(1-Personnel!$H$3),0)+IF(AND(13&gt;=Personnel!$E$4,Personnel!$G$4="Yes"),Personnel!$D$4*(1-Personnel!$H$4),0)+IF(AND(13&gt;=Personnel!$E$5,Personnel!$G$5="Yes"),Personnel!$D$5*(1-Personnel!$H$5),0)+IF(AND(13&gt;=Personnel!$E$6,Personnel!$G$6="Yes"),Personnel!$D$6*(1-Personnel!$H$6),0)+IF(AND(13&gt;=Personnel!$E$7,Personnel!$G$7="Yes"),Personnel!$D$7*(1-Personnel!$H$7),0)+IF(AND(13&gt;=Personnel!$E$8,Personnel!$G$8="Yes"),Personnel!$D$8*(1-Personnel!$H$8),0)+IF(AND(13&gt;=Personnel!$E$9,Personnel!$G$9="Yes"),Personnel!$D$9*(1-Personnel!$H$9),0)+IF(AND(13&gt;=Personnel!$E$10,Personnel!$G$10="Yes"),Personnel!$D$10*(1-Personnel!$H$10),0)+IF(AND(13&gt;=Personnel!$E$11,Personnel!$G$11="Yes"),Personnel!$D$11*(1-Personnel!$H$11),0)+IF(AND(13&gt;=Personnel!$E$12,Personnel!$G$12="Yes"),Personnel!$D$12*(1-Personnel!$H$12),0)+IF(AND(13&gt;=Personnel!$E$13,Personnel!$G$13="Yes"),Personnel!$D$13*(1-Personnel!$H$13),0)+IF(AND(13&gt;=Personnel!$E$14,Personnel!$G$14="Yes"),Personnel!$D$14*(1-Personnel!$H$14),0)+IF(AND(13&gt;=Personnel!$E$15,Personnel!$G$15="Yes"),Personnel!$D$15*(1-Personnel!$H$15),0)+IF(AND(13&gt;=Personnel!$E$16,Personnel!$G$16="Yes"),Personnel!$D$16*(1-Personnel!$H$16),0)+IF(AND(13&gt;=Personnel!$E$17,Personnel!$G$17="Yes"),Personnel!$D$17*(1-Personnel!$H$17),0)+IF(AND(13&gt;=Personnel!$E$18,Personnel!$G$18="Yes"),Personnel!$D$18*(1-Personnel!$H$18),0)+IF(AND(13&gt;=Personnel!$E$19,Personnel!$G$19="Yes"),Personnel!$D$19*(1-Personnel!$H$19),0)+IF(AND(13&gt;=Personnel!$E$20,Personnel!$G$20="Yes"),Personnel!$D$20*(1-Personnel!$H$20),0)+IF(AND(13&gt;=Personnel!$E$21,Personnel!$G$21="Yes"),Personnel!$D$21*(1-Personnel!$H$21),0)+IF(AND(13&gt;=Personnel!$E$22,Personnel!$G$22="Yes"),Personnel!$D$22*(1-Personnel!$H$22),0)+IF(AND(13&gt;=Personnel!$E$23,Personnel!$G$23="Yes"),Personnel!$D$23*(1-Personnel!$H$23),0)+IF(AND(13&gt;=Personnel!$E$24,Personnel!$G$24="Yes"),Personnel!$D$24*(1-Personnel!$H$24),0)+IF(AND(13&gt;=Personnel!$E$25,Personnel!$G$25="Yes"),Personnel!$D$25*(1-Personnel!$H$25),0)+IF(AND(13&gt;=Personnel!$E$26,Personnel!$G$26="Yes"),Personnel!$D$26*(1-Personnel!$H$26),0)+IF(AND(13&gt;=Personnel!$E$27,Personnel!$G$27="Yes"),Personnel!$D$27*(1-Personnel!$H$27),0)+IF(AND(13&gt;=Personnel!$E$28,Personnel!$G$28="Yes"),Personnel!$D$28*(1-Personnel!$H$28),0)+IF(AND(13&gt;=Personnel!$E$29,Personnel!$G$29="Yes"),Personnel!$D$29*(1-Personnel!$H$29),0)+IF(AND(13&gt;=Personnel!$E$32,Personnel!$G$32="Yes"),Personnel!$D$32*(1-Personnel!$H$32),0)+IF(AND(13&gt;=Personnel!$E$33,Personnel!$G$33="Yes"),Personnel!$D$33*(1-Personnel!$H$33),0)+IF(AND(13&gt;=Personnel!$E$34,Personnel!$G$34="Yes"),Personnel!$D$34*(1-Personnel!$H$34),0)+IF(AND(13&gt;=Personnel!$E$35,Personnel!$G$35="Yes"),Personnel!$D$35*(1-Personnel!$H$35),0)+IF(AND(13&gt;=Personnel!$E$36,Personnel!$G$36="Yes"),Personnel!$D$36*(1-Personnel!$H$36),0)+IF(AND(13&gt;=Personnel!$E$37,Personnel!$G$37="Yes"),Personnel!$D$37*(1-Personnel!$H$37),0)+IF(AND(13&gt;=Personnel!$E$38,Personnel!$G$38="Yes"),Personnel!$D$38*(1-Personnel!$H$38),0))</f>
        <v>284324.33333333331</v>
      </c>
      <c r="P4" s="105">
        <f>(IF(AND(14&gt;=Personnel!$E$2,Personnel!$G$2="Yes"),Personnel!$D$2*(1-Personnel!$H$2),0)+IF(AND(14&gt;=Personnel!$E$3,Personnel!$G$3="Yes"),Personnel!$D$3*(1-Personnel!$H$3),0)+IF(AND(14&gt;=Personnel!$E$4,Personnel!$G$4="Yes"),Personnel!$D$4*(1-Personnel!$H$4),0)+IF(AND(14&gt;=Personnel!$E$5,Personnel!$G$5="Yes"),Personnel!$D$5*(1-Personnel!$H$5),0)+IF(AND(14&gt;=Personnel!$E$6,Personnel!$G$6="Yes"),Personnel!$D$6*(1-Personnel!$H$6),0)+IF(AND(14&gt;=Personnel!$E$7,Personnel!$G$7="Yes"),Personnel!$D$7*(1-Personnel!$H$7),0)+IF(AND(14&gt;=Personnel!$E$8,Personnel!$G$8="Yes"),Personnel!$D$8*(1-Personnel!$H$8),0)+IF(AND(14&gt;=Personnel!$E$9,Personnel!$G$9="Yes"),Personnel!$D$9*(1-Personnel!$H$9),0)+IF(AND(14&gt;=Personnel!$E$10,Personnel!$G$10="Yes"),Personnel!$D$10*(1-Personnel!$H$10),0)+IF(AND(14&gt;=Personnel!$E$11,Personnel!$G$11="Yes"),Personnel!$D$11*(1-Personnel!$H$11),0)+IF(AND(14&gt;=Personnel!$E$12,Personnel!$G$12="Yes"),Personnel!$D$12*(1-Personnel!$H$12),0)+IF(AND(14&gt;=Personnel!$E$13,Personnel!$G$13="Yes"),Personnel!$D$13*(1-Personnel!$H$13),0)+IF(AND(14&gt;=Personnel!$E$14,Personnel!$G$14="Yes"),Personnel!$D$14*(1-Personnel!$H$14),0)+IF(AND(14&gt;=Personnel!$E$15,Personnel!$G$15="Yes"),Personnel!$D$15*(1-Personnel!$H$15),0)+IF(AND(14&gt;=Personnel!$E$16,Personnel!$G$16="Yes"),Personnel!$D$16*(1-Personnel!$H$16),0)+IF(AND(14&gt;=Personnel!$E$17,Personnel!$G$17="Yes"),Personnel!$D$17*(1-Personnel!$H$17),0)+IF(AND(14&gt;=Personnel!$E$18,Personnel!$G$18="Yes"),Personnel!$D$18*(1-Personnel!$H$18),0)+IF(AND(14&gt;=Personnel!$E$19,Personnel!$G$19="Yes"),Personnel!$D$19*(1-Personnel!$H$19),0)+IF(AND(14&gt;=Personnel!$E$20,Personnel!$G$20="Yes"),Personnel!$D$20*(1-Personnel!$H$20),0)+IF(AND(14&gt;=Personnel!$E$21,Personnel!$G$21="Yes"),Personnel!$D$21*(1-Personnel!$H$21),0)+IF(AND(14&gt;=Personnel!$E$22,Personnel!$G$22="Yes"),Personnel!$D$22*(1-Personnel!$H$22),0)+IF(AND(14&gt;=Personnel!$E$23,Personnel!$G$23="Yes"),Personnel!$D$23*(1-Personnel!$H$23),0)+IF(AND(14&gt;=Personnel!$E$24,Personnel!$G$24="Yes"),Personnel!$D$24*(1-Personnel!$H$24),0)+IF(AND(14&gt;=Personnel!$E$25,Personnel!$G$25="Yes"),Personnel!$D$25*(1-Personnel!$H$25),0)+IF(AND(14&gt;=Personnel!$E$26,Personnel!$G$26="Yes"),Personnel!$D$26*(1-Personnel!$H$26),0)+IF(AND(14&gt;=Personnel!$E$27,Personnel!$G$27="Yes"),Personnel!$D$27*(1-Personnel!$H$27),0)+IF(AND(14&gt;=Personnel!$E$28,Personnel!$G$28="Yes"),Personnel!$D$28*(1-Personnel!$H$28),0)+IF(AND(14&gt;=Personnel!$E$29,Personnel!$G$29="Yes"),Personnel!$D$29*(1-Personnel!$H$29),0)+IF(AND(14&gt;=Personnel!$E$32,Personnel!$G$32="Yes"),Personnel!$D$32*(1-Personnel!$H$32),0)+IF(AND(14&gt;=Personnel!$E$33,Personnel!$G$33="Yes"),Personnel!$D$33*(1-Personnel!$H$33),0)+IF(AND(14&gt;=Personnel!$E$34,Personnel!$G$34="Yes"),Personnel!$D$34*(1-Personnel!$H$34),0)+IF(AND(14&gt;=Personnel!$E$35,Personnel!$G$35="Yes"),Personnel!$D$35*(1-Personnel!$H$35),0)+IF(AND(14&gt;=Personnel!$E$36,Personnel!$G$36="Yes"),Personnel!$D$36*(1-Personnel!$H$36),0)+IF(AND(14&gt;=Personnel!$E$37,Personnel!$G$37="Yes"),Personnel!$D$37*(1-Personnel!$H$37),0)+IF(AND(14&gt;=Personnel!$E$38,Personnel!$G$38="Yes"),Personnel!$D$38*(1-Personnel!$H$38),0))</f>
        <v>284324.33333333331</v>
      </c>
      <c r="Q4" s="105">
        <f>(IF(AND(15&gt;=Personnel!$E$2,Personnel!$G$2="Yes"),Personnel!$D$2*(1-Personnel!$H$2),0)+IF(AND(15&gt;=Personnel!$E$3,Personnel!$G$3="Yes"),Personnel!$D$3*(1-Personnel!$H$3),0)+IF(AND(15&gt;=Personnel!$E$4,Personnel!$G$4="Yes"),Personnel!$D$4*(1-Personnel!$H$4),0)+IF(AND(15&gt;=Personnel!$E$5,Personnel!$G$5="Yes"),Personnel!$D$5*(1-Personnel!$H$5),0)+IF(AND(15&gt;=Personnel!$E$6,Personnel!$G$6="Yes"),Personnel!$D$6*(1-Personnel!$H$6),0)+IF(AND(15&gt;=Personnel!$E$7,Personnel!$G$7="Yes"),Personnel!$D$7*(1-Personnel!$H$7),0)+IF(AND(15&gt;=Personnel!$E$8,Personnel!$G$8="Yes"),Personnel!$D$8*(1-Personnel!$H$8),0)+IF(AND(15&gt;=Personnel!$E$9,Personnel!$G$9="Yes"),Personnel!$D$9*(1-Personnel!$H$9),0)+IF(AND(15&gt;=Personnel!$E$10,Personnel!$G$10="Yes"),Personnel!$D$10*(1-Personnel!$H$10),0)+IF(AND(15&gt;=Personnel!$E$11,Personnel!$G$11="Yes"),Personnel!$D$11*(1-Personnel!$H$11),0)+IF(AND(15&gt;=Personnel!$E$12,Personnel!$G$12="Yes"),Personnel!$D$12*(1-Personnel!$H$12),0)+IF(AND(15&gt;=Personnel!$E$13,Personnel!$G$13="Yes"),Personnel!$D$13*(1-Personnel!$H$13),0)+IF(AND(15&gt;=Personnel!$E$14,Personnel!$G$14="Yes"),Personnel!$D$14*(1-Personnel!$H$14),0)+IF(AND(15&gt;=Personnel!$E$15,Personnel!$G$15="Yes"),Personnel!$D$15*(1-Personnel!$H$15),0)+IF(AND(15&gt;=Personnel!$E$16,Personnel!$G$16="Yes"),Personnel!$D$16*(1-Personnel!$H$16),0)+IF(AND(15&gt;=Personnel!$E$17,Personnel!$G$17="Yes"),Personnel!$D$17*(1-Personnel!$H$17),0)+IF(AND(15&gt;=Personnel!$E$18,Personnel!$G$18="Yes"),Personnel!$D$18*(1-Personnel!$H$18),0)+IF(AND(15&gt;=Personnel!$E$19,Personnel!$G$19="Yes"),Personnel!$D$19*(1-Personnel!$H$19),0)+IF(AND(15&gt;=Personnel!$E$20,Personnel!$G$20="Yes"),Personnel!$D$20*(1-Personnel!$H$20),0)+IF(AND(15&gt;=Personnel!$E$21,Personnel!$G$21="Yes"),Personnel!$D$21*(1-Personnel!$H$21),0)+IF(AND(15&gt;=Personnel!$E$22,Personnel!$G$22="Yes"),Personnel!$D$22*(1-Personnel!$H$22),0)+IF(AND(15&gt;=Personnel!$E$23,Personnel!$G$23="Yes"),Personnel!$D$23*(1-Personnel!$H$23),0)+IF(AND(15&gt;=Personnel!$E$24,Personnel!$G$24="Yes"),Personnel!$D$24*(1-Personnel!$H$24),0)+IF(AND(15&gt;=Personnel!$E$25,Personnel!$G$25="Yes"),Personnel!$D$25*(1-Personnel!$H$25),0)+IF(AND(15&gt;=Personnel!$E$26,Personnel!$G$26="Yes"),Personnel!$D$26*(1-Personnel!$H$26),0)+IF(AND(15&gt;=Personnel!$E$27,Personnel!$G$27="Yes"),Personnel!$D$27*(1-Personnel!$H$27),0)+IF(AND(15&gt;=Personnel!$E$28,Personnel!$G$28="Yes"),Personnel!$D$28*(1-Personnel!$H$28),0)+IF(AND(15&gt;=Personnel!$E$29,Personnel!$G$29="Yes"),Personnel!$D$29*(1-Personnel!$H$29),0)+IF(AND(15&gt;=Personnel!$E$32,Personnel!$G$32="Yes"),Personnel!$D$32*(1-Personnel!$H$32),0)+IF(AND(15&gt;=Personnel!$E$33,Personnel!$G$33="Yes"),Personnel!$D$33*(1-Personnel!$H$33),0)+IF(AND(15&gt;=Personnel!$E$34,Personnel!$G$34="Yes"),Personnel!$D$34*(1-Personnel!$H$34),0)+IF(AND(15&gt;=Personnel!$E$35,Personnel!$G$35="Yes"),Personnel!$D$35*(1-Personnel!$H$35),0)+IF(AND(15&gt;=Personnel!$E$36,Personnel!$G$36="Yes"),Personnel!$D$36*(1-Personnel!$H$36),0)+IF(AND(15&gt;=Personnel!$E$37,Personnel!$G$37="Yes"),Personnel!$D$37*(1-Personnel!$H$37),0)+IF(AND(15&gt;=Personnel!$E$38,Personnel!$G$38="Yes"),Personnel!$D$38*(1-Personnel!$H$38),0))</f>
        <v>284324.33333333331</v>
      </c>
      <c r="R4" s="105">
        <f>(IF(AND(16&gt;=Personnel!$E$2,Personnel!$G$2="Yes"),Personnel!$D$2*(1-Personnel!$H$2),0)+IF(AND(16&gt;=Personnel!$E$3,Personnel!$G$3="Yes"),Personnel!$D$3*(1-Personnel!$H$3),0)+IF(AND(16&gt;=Personnel!$E$4,Personnel!$G$4="Yes"),Personnel!$D$4*(1-Personnel!$H$4),0)+IF(AND(16&gt;=Personnel!$E$5,Personnel!$G$5="Yes"),Personnel!$D$5*(1-Personnel!$H$5),0)+IF(AND(16&gt;=Personnel!$E$6,Personnel!$G$6="Yes"),Personnel!$D$6*(1-Personnel!$H$6),0)+IF(AND(16&gt;=Personnel!$E$7,Personnel!$G$7="Yes"),Personnel!$D$7*(1-Personnel!$H$7),0)+IF(AND(16&gt;=Personnel!$E$8,Personnel!$G$8="Yes"),Personnel!$D$8*(1-Personnel!$H$8),0)+IF(AND(16&gt;=Personnel!$E$9,Personnel!$G$9="Yes"),Personnel!$D$9*(1-Personnel!$H$9),0)+IF(AND(16&gt;=Personnel!$E$10,Personnel!$G$10="Yes"),Personnel!$D$10*(1-Personnel!$H$10),0)+IF(AND(16&gt;=Personnel!$E$11,Personnel!$G$11="Yes"),Personnel!$D$11*(1-Personnel!$H$11),0)+IF(AND(16&gt;=Personnel!$E$12,Personnel!$G$12="Yes"),Personnel!$D$12*(1-Personnel!$H$12),0)+IF(AND(16&gt;=Personnel!$E$13,Personnel!$G$13="Yes"),Personnel!$D$13*(1-Personnel!$H$13),0)+IF(AND(16&gt;=Personnel!$E$14,Personnel!$G$14="Yes"),Personnel!$D$14*(1-Personnel!$H$14),0)+IF(AND(16&gt;=Personnel!$E$15,Personnel!$G$15="Yes"),Personnel!$D$15*(1-Personnel!$H$15),0)+IF(AND(16&gt;=Personnel!$E$16,Personnel!$G$16="Yes"),Personnel!$D$16*(1-Personnel!$H$16),0)+IF(AND(16&gt;=Personnel!$E$17,Personnel!$G$17="Yes"),Personnel!$D$17*(1-Personnel!$H$17),0)+IF(AND(16&gt;=Personnel!$E$18,Personnel!$G$18="Yes"),Personnel!$D$18*(1-Personnel!$H$18),0)+IF(AND(16&gt;=Personnel!$E$19,Personnel!$G$19="Yes"),Personnel!$D$19*(1-Personnel!$H$19),0)+IF(AND(16&gt;=Personnel!$E$20,Personnel!$G$20="Yes"),Personnel!$D$20*(1-Personnel!$H$20),0)+IF(AND(16&gt;=Personnel!$E$21,Personnel!$G$21="Yes"),Personnel!$D$21*(1-Personnel!$H$21),0)+IF(AND(16&gt;=Personnel!$E$22,Personnel!$G$22="Yes"),Personnel!$D$22*(1-Personnel!$H$22),0)+IF(AND(16&gt;=Personnel!$E$23,Personnel!$G$23="Yes"),Personnel!$D$23*(1-Personnel!$H$23),0)+IF(AND(16&gt;=Personnel!$E$24,Personnel!$G$24="Yes"),Personnel!$D$24*(1-Personnel!$H$24),0)+IF(AND(16&gt;=Personnel!$E$25,Personnel!$G$25="Yes"),Personnel!$D$25*(1-Personnel!$H$25),0)+IF(AND(16&gt;=Personnel!$E$26,Personnel!$G$26="Yes"),Personnel!$D$26*(1-Personnel!$H$26),0)+IF(AND(16&gt;=Personnel!$E$27,Personnel!$G$27="Yes"),Personnel!$D$27*(1-Personnel!$H$27),0)+IF(AND(16&gt;=Personnel!$E$28,Personnel!$G$28="Yes"),Personnel!$D$28*(1-Personnel!$H$28),0)+IF(AND(16&gt;=Personnel!$E$29,Personnel!$G$29="Yes"),Personnel!$D$29*(1-Personnel!$H$29),0)+IF(AND(16&gt;=Personnel!$E$32,Personnel!$G$32="Yes"),Personnel!$D$32*(1-Personnel!$H$32),0)+IF(AND(16&gt;=Personnel!$E$33,Personnel!$G$33="Yes"),Personnel!$D$33*(1-Personnel!$H$33),0)+IF(AND(16&gt;=Personnel!$E$34,Personnel!$G$34="Yes"),Personnel!$D$34*(1-Personnel!$H$34),0)+IF(AND(16&gt;=Personnel!$E$35,Personnel!$G$35="Yes"),Personnel!$D$35*(1-Personnel!$H$35),0)+IF(AND(16&gt;=Personnel!$E$36,Personnel!$G$36="Yes"),Personnel!$D$36*(1-Personnel!$H$36),0)+IF(AND(16&gt;=Personnel!$E$37,Personnel!$G$37="Yes"),Personnel!$D$37*(1-Personnel!$H$37),0)+IF(AND(16&gt;=Personnel!$E$38,Personnel!$G$38="Yes"),Personnel!$D$38*(1-Personnel!$H$38),0))</f>
        <v>284324.33333333331</v>
      </c>
      <c r="S4" s="105">
        <f>(IF(AND(17&gt;=Personnel!$E$2,Personnel!$G$2="Yes"),Personnel!$D$2*(1-Personnel!$H$2),0)+IF(AND(17&gt;=Personnel!$E$3,Personnel!$G$3="Yes"),Personnel!$D$3*(1-Personnel!$H$3),0)+IF(AND(17&gt;=Personnel!$E$4,Personnel!$G$4="Yes"),Personnel!$D$4*(1-Personnel!$H$4),0)+IF(AND(17&gt;=Personnel!$E$5,Personnel!$G$5="Yes"),Personnel!$D$5*(1-Personnel!$H$5),0)+IF(AND(17&gt;=Personnel!$E$6,Personnel!$G$6="Yes"),Personnel!$D$6*(1-Personnel!$H$6),0)+IF(AND(17&gt;=Personnel!$E$7,Personnel!$G$7="Yes"),Personnel!$D$7*(1-Personnel!$H$7),0)+IF(AND(17&gt;=Personnel!$E$8,Personnel!$G$8="Yes"),Personnel!$D$8*(1-Personnel!$H$8),0)+IF(AND(17&gt;=Personnel!$E$9,Personnel!$G$9="Yes"),Personnel!$D$9*(1-Personnel!$H$9),0)+IF(AND(17&gt;=Personnel!$E$10,Personnel!$G$10="Yes"),Personnel!$D$10*(1-Personnel!$H$10),0)+IF(AND(17&gt;=Personnel!$E$11,Personnel!$G$11="Yes"),Personnel!$D$11*(1-Personnel!$H$11),0)+IF(AND(17&gt;=Personnel!$E$12,Personnel!$G$12="Yes"),Personnel!$D$12*(1-Personnel!$H$12),0)+IF(AND(17&gt;=Personnel!$E$13,Personnel!$G$13="Yes"),Personnel!$D$13*(1-Personnel!$H$13),0)+IF(AND(17&gt;=Personnel!$E$14,Personnel!$G$14="Yes"),Personnel!$D$14*(1-Personnel!$H$14),0)+IF(AND(17&gt;=Personnel!$E$15,Personnel!$G$15="Yes"),Personnel!$D$15*(1-Personnel!$H$15),0)+IF(AND(17&gt;=Personnel!$E$16,Personnel!$G$16="Yes"),Personnel!$D$16*(1-Personnel!$H$16),0)+IF(AND(17&gt;=Personnel!$E$17,Personnel!$G$17="Yes"),Personnel!$D$17*(1-Personnel!$H$17),0)+IF(AND(17&gt;=Personnel!$E$18,Personnel!$G$18="Yes"),Personnel!$D$18*(1-Personnel!$H$18),0)+IF(AND(17&gt;=Personnel!$E$19,Personnel!$G$19="Yes"),Personnel!$D$19*(1-Personnel!$H$19),0)+IF(AND(17&gt;=Personnel!$E$20,Personnel!$G$20="Yes"),Personnel!$D$20*(1-Personnel!$H$20),0)+IF(AND(17&gt;=Personnel!$E$21,Personnel!$G$21="Yes"),Personnel!$D$21*(1-Personnel!$H$21),0)+IF(AND(17&gt;=Personnel!$E$22,Personnel!$G$22="Yes"),Personnel!$D$22*(1-Personnel!$H$22),0)+IF(AND(17&gt;=Personnel!$E$23,Personnel!$G$23="Yes"),Personnel!$D$23*(1-Personnel!$H$23),0)+IF(AND(17&gt;=Personnel!$E$24,Personnel!$G$24="Yes"),Personnel!$D$24*(1-Personnel!$H$24),0)+IF(AND(17&gt;=Personnel!$E$25,Personnel!$G$25="Yes"),Personnel!$D$25*(1-Personnel!$H$25),0)+IF(AND(17&gt;=Personnel!$E$26,Personnel!$G$26="Yes"),Personnel!$D$26*(1-Personnel!$H$26),0)+IF(AND(17&gt;=Personnel!$E$27,Personnel!$G$27="Yes"),Personnel!$D$27*(1-Personnel!$H$27),0)+IF(AND(17&gt;=Personnel!$E$28,Personnel!$G$28="Yes"),Personnel!$D$28*(1-Personnel!$H$28),0)+IF(AND(17&gt;=Personnel!$E$29,Personnel!$G$29="Yes"),Personnel!$D$29*(1-Personnel!$H$29),0)+IF(AND(17&gt;=Personnel!$E$32,Personnel!$G$32="Yes"),Personnel!$D$32*(1-Personnel!$H$32),0)+IF(AND(17&gt;=Personnel!$E$33,Personnel!$G$33="Yes"),Personnel!$D$33*(1-Personnel!$H$33),0)+IF(AND(17&gt;=Personnel!$E$34,Personnel!$G$34="Yes"),Personnel!$D$34*(1-Personnel!$H$34),0)+IF(AND(17&gt;=Personnel!$E$35,Personnel!$G$35="Yes"),Personnel!$D$35*(1-Personnel!$H$35),0)+IF(AND(17&gt;=Personnel!$E$36,Personnel!$G$36="Yes"),Personnel!$D$36*(1-Personnel!$H$36),0)+IF(AND(17&gt;=Personnel!$E$37,Personnel!$G$37="Yes"),Personnel!$D$37*(1-Personnel!$H$37),0)+IF(AND(17&gt;=Personnel!$E$38,Personnel!$G$38="Yes"),Personnel!$D$38*(1-Personnel!$H$38),0))</f>
        <v>284324.33333333331</v>
      </c>
      <c r="T4" s="105">
        <f>(IF(AND(18&gt;=Personnel!$E$2,Personnel!$G$2="Yes"),Personnel!$D$2*(1-Personnel!$H$2),0)+IF(AND(18&gt;=Personnel!$E$3,Personnel!$G$3="Yes"),Personnel!$D$3*(1-Personnel!$H$3),0)+IF(AND(18&gt;=Personnel!$E$4,Personnel!$G$4="Yes"),Personnel!$D$4*(1-Personnel!$H$4),0)+IF(AND(18&gt;=Personnel!$E$5,Personnel!$G$5="Yes"),Personnel!$D$5*(1-Personnel!$H$5),0)+IF(AND(18&gt;=Personnel!$E$6,Personnel!$G$6="Yes"),Personnel!$D$6*(1-Personnel!$H$6),0)+IF(AND(18&gt;=Personnel!$E$7,Personnel!$G$7="Yes"),Personnel!$D$7*(1-Personnel!$H$7),0)+IF(AND(18&gt;=Personnel!$E$8,Personnel!$G$8="Yes"),Personnel!$D$8*(1-Personnel!$H$8),0)+IF(AND(18&gt;=Personnel!$E$9,Personnel!$G$9="Yes"),Personnel!$D$9*(1-Personnel!$H$9),0)+IF(AND(18&gt;=Personnel!$E$10,Personnel!$G$10="Yes"),Personnel!$D$10*(1-Personnel!$H$10),0)+IF(AND(18&gt;=Personnel!$E$11,Personnel!$G$11="Yes"),Personnel!$D$11*(1-Personnel!$H$11),0)+IF(AND(18&gt;=Personnel!$E$12,Personnel!$G$12="Yes"),Personnel!$D$12*(1-Personnel!$H$12),0)+IF(AND(18&gt;=Personnel!$E$13,Personnel!$G$13="Yes"),Personnel!$D$13*(1-Personnel!$H$13),0)+IF(AND(18&gt;=Personnel!$E$14,Personnel!$G$14="Yes"),Personnel!$D$14*(1-Personnel!$H$14),0)+IF(AND(18&gt;=Personnel!$E$15,Personnel!$G$15="Yes"),Personnel!$D$15*(1-Personnel!$H$15),0)+IF(AND(18&gt;=Personnel!$E$16,Personnel!$G$16="Yes"),Personnel!$D$16*(1-Personnel!$H$16),0)+IF(AND(18&gt;=Personnel!$E$17,Personnel!$G$17="Yes"),Personnel!$D$17*(1-Personnel!$H$17),0)+IF(AND(18&gt;=Personnel!$E$18,Personnel!$G$18="Yes"),Personnel!$D$18*(1-Personnel!$H$18),0)+IF(AND(18&gt;=Personnel!$E$19,Personnel!$G$19="Yes"),Personnel!$D$19*(1-Personnel!$H$19),0)+IF(AND(18&gt;=Personnel!$E$20,Personnel!$G$20="Yes"),Personnel!$D$20*(1-Personnel!$H$20),0)+IF(AND(18&gt;=Personnel!$E$21,Personnel!$G$21="Yes"),Personnel!$D$21*(1-Personnel!$H$21),0)+IF(AND(18&gt;=Personnel!$E$22,Personnel!$G$22="Yes"),Personnel!$D$22*(1-Personnel!$H$22),0)+IF(AND(18&gt;=Personnel!$E$23,Personnel!$G$23="Yes"),Personnel!$D$23*(1-Personnel!$H$23),0)+IF(AND(18&gt;=Personnel!$E$24,Personnel!$G$24="Yes"),Personnel!$D$24*(1-Personnel!$H$24),0)+IF(AND(18&gt;=Personnel!$E$25,Personnel!$G$25="Yes"),Personnel!$D$25*(1-Personnel!$H$25),0)+IF(AND(18&gt;=Personnel!$E$26,Personnel!$G$26="Yes"),Personnel!$D$26*(1-Personnel!$H$26),0)+IF(AND(18&gt;=Personnel!$E$27,Personnel!$G$27="Yes"),Personnel!$D$27*(1-Personnel!$H$27),0)+IF(AND(18&gt;=Personnel!$E$28,Personnel!$G$28="Yes"),Personnel!$D$28*(1-Personnel!$H$28),0)+IF(AND(18&gt;=Personnel!$E$29,Personnel!$G$29="Yes"),Personnel!$D$29*(1-Personnel!$H$29),0)+IF(AND(18&gt;=Personnel!$E$32,Personnel!$G$32="Yes"),Personnel!$D$32*(1-Personnel!$H$32),0)+IF(AND(18&gt;=Personnel!$E$33,Personnel!$G$33="Yes"),Personnel!$D$33*(1-Personnel!$H$33),0)+IF(AND(18&gt;=Personnel!$E$34,Personnel!$G$34="Yes"),Personnel!$D$34*(1-Personnel!$H$34),0)+IF(AND(18&gt;=Personnel!$E$35,Personnel!$G$35="Yes"),Personnel!$D$35*(1-Personnel!$H$35),0)+IF(AND(18&gt;=Personnel!$E$36,Personnel!$G$36="Yes"),Personnel!$D$36*(1-Personnel!$H$36),0)+IF(AND(18&gt;=Personnel!$E$37,Personnel!$G$37="Yes"),Personnel!$D$37*(1-Personnel!$H$37),0)+IF(AND(18&gt;=Personnel!$E$38,Personnel!$G$38="Yes"),Personnel!$D$38*(1-Personnel!$H$38),0))</f>
        <v>284324.33333333331</v>
      </c>
      <c r="U4" s="105">
        <f>(IF(AND(19&gt;=Personnel!$E$2,Personnel!$G$2="Yes"),Personnel!$D$2*(1-Personnel!$H$2),0)+IF(AND(19&gt;=Personnel!$E$3,Personnel!$G$3="Yes"),Personnel!$D$3*(1-Personnel!$H$3),0)+IF(AND(19&gt;=Personnel!$E$4,Personnel!$G$4="Yes"),Personnel!$D$4*(1-Personnel!$H$4),0)+IF(AND(19&gt;=Personnel!$E$5,Personnel!$G$5="Yes"),Personnel!$D$5*(1-Personnel!$H$5),0)+IF(AND(19&gt;=Personnel!$E$6,Personnel!$G$6="Yes"),Personnel!$D$6*(1-Personnel!$H$6),0)+IF(AND(19&gt;=Personnel!$E$7,Personnel!$G$7="Yes"),Personnel!$D$7*(1-Personnel!$H$7),0)+IF(AND(19&gt;=Personnel!$E$8,Personnel!$G$8="Yes"),Personnel!$D$8*(1-Personnel!$H$8),0)+IF(AND(19&gt;=Personnel!$E$9,Personnel!$G$9="Yes"),Personnel!$D$9*(1-Personnel!$H$9),0)+IF(AND(19&gt;=Personnel!$E$10,Personnel!$G$10="Yes"),Personnel!$D$10*(1-Personnel!$H$10),0)+IF(AND(19&gt;=Personnel!$E$11,Personnel!$G$11="Yes"),Personnel!$D$11*(1-Personnel!$H$11),0)+IF(AND(19&gt;=Personnel!$E$12,Personnel!$G$12="Yes"),Personnel!$D$12*(1-Personnel!$H$12),0)+IF(AND(19&gt;=Personnel!$E$13,Personnel!$G$13="Yes"),Personnel!$D$13*(1-Personnel!$H$13),0)+IF(AND(19&gt;=Personnel!$E$14,Personnel!$G$14="Yes"),Personnel!$D$14*(1-Personnel!$H$14),0)+IF(AND(19&gt;=Personnel!$E$15,Personnel!$G$15="Yes"),Personnel!$D$15*(1-Personnel!$H$15),0)+IF(AND(19&gt;=Personnel!$E$16,Personnel!$G$16="Yes"),Personnel!$D$16*(1-Personnel!$H$16),0)+IF(AND(19&gt;=Personnel!$E$17,Personnel!$G$17="Yes"),Personnel!$D$17*(1-Personnel!$H$17),0)+IF(AND(19&gt;=Personnel!$E$18,Personnel!$G$18="Yes"),Personnel!$D$18*(1-Personnel!$H$18),0)+IF(AND(19&gt;=Personnel!$E$19,Personnel!$G$19="Yes"),Personnel!$D$19*(1-Personnel!$H$19),0)+IF(AND(19&gt;=Personnel!$E$20,Personnel!$G$20="Yes"),Personnel!$D$20*(1-Personnel!$H$20),0)+IF(AND(19&gt;=Personnel!$E$21,Personnel!$G$21="Yes"),Personnel!$D$21*(1-Personnel!$H$21),0)+IF(AND(19&gt;=Personnel!$E$22,Personnel!$G$22="Yes"),Personnel!$D$22*(1-Personnel!$H$22),0)+IF(AND(19&gt;=Personnel!$E$23,Personnel!$G$23="Yes"),Personnel!$D$23*(1-Personnel!$H$23),0)+IF(AND(19&gt;=Personnel!$E$24,Personnel!$G$24="Yes"),Personnel!$D$24*(1-Personnel!$H$24),0)+IF(AND(19&gt;=Personnel!$E$25,Personnel!$G$25="Yes"),Personnel!$D$25*(1-Personnel!$H$25),0)+IF(AND(19&gt;=Personnel!$E$26,Personnel!$G$26="Yes"),Personnel!$D$26*(1-Personnel!$H$26),0)+IF(AND(19&gt;=Personnel!$E$27,Personnel!$G$27="Yes"),Personnel!$D$27*(1-Personnel!$H$27),0)+IF(AND(19&gt;=Personnel!$E$28,Personnel!$G$28="Yes"),Personnel!$D$28*(1-Personnel!$H$28),0)+IF(AND(19&gt;=Personnel!$E$29,Personnel!$G$29="Yes"),Personnel!$D$29*(1-Personnel!$H$29),0)+IF(AND(19&gt;=Personnel!$E$32,Personnel!$G$32="Yes"),Personnel!$D$32*(1-Personnel!$H$32),0)+IF(AND(19&gt;=Personnel!$E$33,Personnel!$G$33="Yes"),Personnel!$D$33*(1-Personnel!$H$33),0)+IF(AND(19&gt;=Personnel!$E$34,Personnel!$G$34="Yes"),Personnel!$D$34*(1-Personnel!$H$34),0)+IF(AND(19&gt;=Personnel!$E$35,Personnel!$G$35="Yes"),Personnel!$D$35*(1-Personnel!$H$35),0)+IF(AND(19&gt;=Personnel!$E$36,Personnel!$G$36="Yes"),Personnel!$D$36*(1-Personnel!$H$36),0)+IF(AND(19&gt;=Personnel!$E$37,Personnel!$G$37="Yes"),Personnel!$D$37*(1-Personnel!$H$37),0)+IF(AND(19&gt;=Personnel!$E$38,Personnel!$G$38="Yes"),Personnel!$D$38*(1-Personnel!$H$38),0))</f>
        <v>284324.33333333331</v>
      </c>
      <c r="V4" s="105">
        <f>(IF(AND(20&gt;=Personnel!$E$2,Personnel!$G$2="Yes"),Personnel!$D$2*(1-Personnel!$H$2),0)+IF(AND(20&gt;=Personnel!$E$3,Personnel!$G$3="Yes"),Personnel!$D$3*(1-Personnel!$H$3),0)+IF(AND(20&gt;=Personnel!$E$4,Personnel!$G$4="Yes"),Personnel!$D$4*(1-Personnel!$H$4),0)+IF(AND(20&gt;=Personnel!$E$5,Personnel!$G$5="Yes"),Personnel!$D$5*(1-Personnel!$H$5),0)+IF(AND(20&gt;=Personnel!$E$6,Personnel!$G$6="Yes"),Personnel!$D$6*(1-Personnel!$H$6),0)+IF(AND(20&gt;=Personnel!$E$7,Personnel!$G$7="Yes"),Personnel!$D$7*(1-Personnel!$H$7),0)+IF(AND(20&gt;=Personnel!$E$8,Personnel!$G$8="Yes"),Personnel!$D$8*(1-Personnel!$H$8),0)+IF(AND(20&gt;=Personnel!$E$9,Personnel!$G$9="Yes"),Personnel!$D$9*(1-Personnel!$H$9),0)+IF(AND(20&gt;=Personnel!$E$10,Personnel!$G$10="Yes"),Personnel!$D$10*(1-Personnel!$H$10),0)+IF(AND(20&gt;=Personnel!$E$11,Personnel!$G$11="Yes"),Personnel!$D$11*(1-Personnel!$H$11),0)+IF(AND(20&gt;=Personnel!$E$12,Personnel!$G$12="Yes"),Personnel!$D$12*(1-Personnel!$H$12),0)+IF(AND(20&gt;=Personnel!$E$13,Personnel!$G$13="Yes"),Personnel!$D$13*(1-Personnel!$H$13),0)+IF(AND(20&gt;=Personnel!$E$14,Personnel!$G$14="Yes"),Personnel!$D$14*(1-Personnel!$H$14),0)+IF(AND(20&gt;=Personnel!$E$15,Personnel!$G$15="Yes"),Personnel!$D$15*(1-Personnel!$H$15),0)+IF(AND(20&gt;=Personnel!$E$16,Personnel!$G$16="Yes"),Personnel!$D$16*(1-Personnel!$H$16),0)+IF(AND(20&gt;=Personnel!$E$17,Personnel!$G$17="Yes"),Personnel!$D$17*(1-Personnel!$H$17),0)+IF(AND(20&gt;=Personnel!$E$18,Personnel!$G$18="Yes"),Personnel!$D$18*(1-Personnel!$H$18),0)+IF(AND(20&gt;=Personnel!$E$19,Personnel!$G$19="Yes"),Personnel!$D$19*(1-Personnel!$H$19),0)+IF(AND(20&gt;=Personnel!$E$20,Personnel!$G$20="Yes"),Personnel!$D$20*(1-Personnel!$H$20),0)+IF(AND(20&gt;=Personnel!$E$21,Personnel!$G$21="Yes"),Personnel!$D$21*(1-Personnel!$H$21),0)+IF(AND(20&gt;=Personnel!$E$22,Personnel!$G$22="Yes"),Personnel!$D$22*(1-Personnel!$H$22),0)+IF(AND(20&gt;=Personnel!$E$23,Personnel!$G$23="Yes"),Personnel!$D$23*(1-Personnel!$H$23),0)+IF(AND(20&gt;=Personnel!$E$24,Personnel!$G$24="Yes"),Personnel!$D$24*(1-Personnel!$H$24),0)+IF(AND(20&gt;=Personnel!$E$25,Personnel!$G$25="Yes"),Personnel!$D$25*(1-Personnel!$H$25),0)+IF(AND(20&gt;=Personnel!$E$26,Personnel!$G$26="Yes"),Personnel!$D$26*(1-Personnel!$H$26),0)+IF(AND(20&gt;=Personnel!$E$27,Personnel!$G$27="Yes"),Personnel!$D$27*(1-Personnel!$H$27),0)+IF(AND(20&gt;=Personnel!$E$28,Personnel!$G$28="Yes"),Personnel!$D$28*(1-Personnel!$H$28),0)+IF(AND(20&gt;=Personnel!$E$29,Personnel!$G$29="Yes"),Personnel!$D$29*(1-Personnel!$H$29),0)+IF(AND(20&gt;=Personnel!$E$32,Personnel!$G$32="Yes"),Personnel!$D$32*(1-Personnel!$H$32),0)+IF(AND(20&gt;=Personnel!$E$33,Personnel!$G$33="Yes"),Personnel!$D$33*(1-Personnel!$H$33),0)+IF(AND(20&gt;=Personnel!$E$34,Personnel!$G$34="Yes"),Personnel!$D$34*(1-Personnel!$H$34),0)+IF(AND(20&gt;=Personnel!$E$35,Personnel!$G$35="Yes"),Personnel!$D$35*(1-Personnel!$H$35),0)+IF(AND(20&gt;=Personnel!$E$36,Personnel!$G$36="Yes"),Personnel!$D$36*(1-Personnel!$H$36),0)+IF(AND(20&gt;=Personnel!$E$37,Personnel!$G$37="Yes"),Personnel!$D$37*(1-Personnel!$H$37),0)+IF(AND(20&gt;=Personnel!$E$38,Personnel!$G$38="Yes"),Personnel!$D$38*(1-Personnel!$H$38),0))</f>
        <v>284324.33333333331</v>
      </c>
      <c r="W4" s="105">
        <f>(IF(AND(21&gt;=Personnel!$E$2,Personnel!$G$2="Yes"),Personnel!$D$2*(1-Personnel!$H$2),0)+IF(AND(21&gt;=Personnel!$E$3,Personnel!$G$3="Yes"),Personnel!$D$3*(1-Personnel!$H$3),0)+IF(AND(21&gt;=Personnel!$E$4,Personnel!$G$4="Yes"),Personnel!$D$4*(1-Personnel!$H$4),0)+IF(AND(21&gt;=Personnel!$E$5,Personnel!$G$5="Yes"),Personnel!$D$5*(1-Personnel!$H$5),0)+IF(AND(21&gt;=Personnel!$E$6,Personnel!$G$6="Yes"),Personnel!$D$6*(1-Personnel!$H$6),0)+IF(AND(21&gt;=Personnel!$E$7,Personnel!$G$7="Yes"),Personnel!$D$7*(1-Personnel!$H$7),0)+IF(AND(21&gt;=Personnel!$E$8,Personnel!$G$8="Yes"),Personnel!$D$8*(1-Personnel!$H$8),0)+IF(AND(21&gt;=Personnel!$E$9,Personnel!$G$9="Yes"),Personnel!$D$9*(1-Personnel!$H$9),0)+IF(AND(21&gt;=Personnel!$E$10,Personnel!$G$10="Yes"),Personnel!$D$10*(1-Personnel!$H$10),0)+IF(AND(21&gt;=Personnel!$E$11,Personnel!$G$11="Yes"),Personnel!$D$11*(1-Personnel!$H$11),0)+IF(AND(21&gt;=Personnel!$E$12,Personnel!$G$12="Yes"),Personnel!$D$12*(1-Personnel!$H$12),0)+IF(AND(21&gt;=Personnel!$E$13,Personnel!$G$13="Yes"),Personnel!$D$13*(1-Personnel!$H$13),0)+IF(AND(21&gt;=Personnel!$E$14,Personnel!$G$14="Yes"),Personnel!$D$14*(1-Personnel!$H$14),0)+IF(AND(21&gt;=Personnel!$E$15,Personnel!$G$15="Yes"),Personnel!$D$15*(1-Personnel!$H$15),0)+IF(AND(21&gt;=Personnel!$E$16,Personnel!$G$16="Yes"),Personnel!$D$16*(1-Personnel!$H$16),0)+IF(AND(21&gt;=Personnel!$E$17,Personnel!$G$17="Yes"),Personnel!$D$17*(1-Personnel!$H$17),0)+IF(AND(21&gt;=Personnel!$E$18,Personnel!$G$18="Yes"),Personnel!$D$18*(1-Personnel!$H$18),0)+IF(AND(21&gt;=Personnel!$E$19,Personnel!$G$19="Yes"),Personnel!$D$19*(1-Personnel!$H$19),0)+IF(AND(21&gt;=Personnel!$E$20,Personnel!$G$20="Yes"),Personnel!$D$20*(1-Personnel!$H$20),0)+IF(AND(21&gt;=Personnel!$E$21,Personnel!$G$21="Yes"),Personnel!$D$21*(1-Personnel!$H$21),0)+IF(AND(21&gt;=Personnel!$E$22,Personnel!$G$22="Yes"),Personnel!$D$22*(1-Personnel!$H$22),0)+IF(AND(21&gt;=Personnel!$E$23,Personnel!$G$23="Yes"),Personnel!$D$23*(1-Personnel!$H$23),0)+IF(AND(21&gt;=Personnel!$E$24,Personnel!$G$24="Yes"),Personnel!$D$24*(1-Personnel!$H$24),0)+IF(AND(21&gt;=Personnel!$E$25,Personnel!$G$25="Yes"),Personnel!$D$25*(1-Personnel!$H$25),0)+IF(AND(21&gt;=Personnel!$E$26,Personnel!$G$26="Yes"),Personnel!$D$26*(1-Personnel!$H$26),0)+IF(AND(21&gt;=Personnel!$E$27,Personnel!$G$27="Yes"),Personnel!$D$27*(1-Personnel!$H$27),0)+IF(AND(21&gt;=Personnel!$E$28,Personnel!$G$28="Yes"),Personnel!$D$28*(1-Personnel!$H$28),0)+IF(AND(21&gt;=Personnel!$E$29,Personnel!$G$29="Yes"),Personnel!$D$29*(1-Personnel!$H$29),0)+IF(AND(21&gt;=Personnel!$E$32,Personnel!$G$32="Yes"),Personnel!$D$32*(1-Personnel!$H$32),0)+IF(AND(21&gt;=Personnel!$E$33,Personnel!$G$33="Yes"),Personnel!$D$33*(1-Personnel!$H$33),0)+IF(AND(21&gt;=Personnel!$E$34,Personnel!$G$34="Yes"),Personnel!$D$34*(1-Personnel!$H$34),0)+IF(AND(21&gt;=Personnel!$E$35,Personnel!$G$35="Yes"),Personnel!$D$35*(1-Personnel!$H$35),0)+IF(AND(21&gt;=Personnel!$E$36,Personnel!$G$36="Yes"),Personnel!$D$36*(1-Personnel!$H$36),0)+IF(AND(21&gt;=Personnel!$E$37,Personnel!$G$37="Yes"),Personnel!$D$37*(1-Personnel!$H$37),0)+IF(AND(21&gt;=Personnel!$E$38,Personnel!$G$38="Yes"),Personnel!$D$38*(1-Personnel!$H$38),0))</f>
        <v>284324.33333333331</v>
      </c>
      <c r="X4" s="105">
        <f>(IF(AND(22&gt;=Personnel!$E$2,Personnel!$G$2="Yes"),Personnel!$D$2*(1-Personnel!$H$2),0)+IF(AND(22&gt;=Personnel!$E$3,Personnel!$G$3="Yes"),Personnel!$D$3*(1-Personnel!$H$3),0)+IF(AND(22&gt;=Personnel!$E$4,Personnel!$G$4="Yes"),Personnel!$D$4*(1-Personnel!$H$4),0)+IF(AND(22&gt;=Personnel!$E$5,Personnel!$G$5="Yes"),Personnel!$D$5*(1-Personnel!$H$5),0)+IF(AND(22&gt;=Personnel!$E$6,Personnel!$G$6="Yes"),Personnel!$D$6*(1-Personnel!$H$6),0)+IF(AND(22&gt;=Personnel!$E$7,Personnel!$G$7="Yes"),Personnel!$D$7*(1-Personnel!$H$7),0)+IF(AND(22&gt;=Personnel!$E$8,Personnel!$G$8="Yes"),Personnel!$D$8*(1-Personnel!$H$8),0)+IF(AND(22&gt;=Personnel!$E$9,Personnel!$G$9="Yes"),Personnel!$D$9*(1-Personnel!$H$9),0)+IF(AND(22&gt;=Personnel!$E$10,Personnel!$G$10="Yes"),Personnel!$D$10*(1-Personnel!$H$10),0)+IF(AND(22&gt;=Personnel!$E$11,Personnel!$G$11="Yes"),Personnel!$D$11*(1-Personnel!$H$11),0)+IF(AND(22&gt;=Personnel!$E$12,Personnel!$G$12="Yes"),Personnel!$D$12*(1-Personnel!$H$12),0)+IF(AND(22&gt;=Personnel!$E$13,Personnel!$G$13="Yes"),Personnel!$D$13*(1-Personnel!$H$13),0)+IF(AND(22&gt;=Personnel!$E$14,Personnel!$G$14="Yes"),Personnel!$D$14*(1-Personnel!$H$14),0)+IF(AND(22&gt;=Personnel!$E$15,Personnel!$G$15="Yes"),Personnel!$D$15*(1-Personnel!$H$15),0)+IF(AND(22&gt;=Personnel!$E$16,Personnel!$G$16="Yes"),Personnel!$D$16*(1-Personnel!$H$16),0)+IF(AND(22&gt;=Personnel!$E$17,Personnel!$G$17="Yes"),Personnel!$D$17*(1-Personnel!$H$17),0)+IF(AND(22&gt;=Personnel!$E$18,Personnel!$G$18="Yes"),Personnel!$D$18*(1-Personnel!$H$18),0)+IF(AND(22&gt;=Personnel!$E$19,Personnel!$G$19="Yes"),Personnel!$D$19*(1-Personnel!$H$19),0)+IF(AND(22&gt;=Personnel!$E$20,Personnel!$G$20="Yes"),Personnel!$D$20*(1-Personnel!$H$20),0)+IF(AND(22&gt;=Personnel!$E$21,Personnel!$G$21="Yes"),Personnel!$D$21*(1-Personnel!$H$21),0)+IF(AND(22&gt;=Personnel!$E$22,Personnel!$G$22="Yes"),Personnel!$D$22*(1-Personnel!$H$22),0)+IF(AND(22&gt;=Personnel!$E$23,Personnel!$G$23="Yes"),Personnel!$D$23*(1-Personnel!$H$23),0)+IF(AND(22&gt;=Personnel!$E$24,Personnel!$G$24="Yes"),Personnel!$D$24*(1-Personnel!$H$24),0)+IF(AND(22&gt;=Personnel!$E$25,Personnel!$G$25="Yes"),Personnel!$D$25*(1-Personnel!$H$25),0)+IF(AND(22&gt;=Personnel!$E$26,Personnel!$G$26="Yes"),Personnel!$D$26*(1-Personnel!$H$26),0)+IF(AND(22&gt;=Personnel!$E$27,Personnel!$G$27="Yes"),Personnel!$D$27*(1-Personnel!$H$27),0)+IF(AND(22&gt;=Personnel!$E$28,Personnel!$G$28="Yes"),Personnel!$D$28*(1-Personnel!$H$28),0)+IF(AND(22&gt;=Personnel!$E$29,Personnel!$G$29="Yes"),Personnel!$D$29*(1-Personnel!$H$29),0)+IF(AND(22&gt;=Personnel!$E$32,Personnel!$G$32="Yes"),Personnel!$D$32*(1-Personnel!$H$32),0)+IF(AND(22&gt;=Personnel!$E$33,Personnel!$G$33="Yes"),Personnel!$D$33*(1-Personnel!$H$33),0)+IF(AND(22&gt;=Personnel!$E$34,Personnel!$G$34="Yes"),Personnel!$D$34*(1-Personnel!$H$34),0)+IF(AND(22&gt;=Personnel!$E$35,Personnel!$G$35="Yes"),Personnel!$D$35*(1-Personnel!$H$35),0)+IF(AND(22&gt;=Personnel!$E$36,Personnel!$G$36="Yes"),Personnel!$D$36*(1-Personnel!$H$36),0)+IF(AND(22&gt;=Personnel!$E$37,Personnel!$G$37="Yes"),Personnel!$D$37*(1-Personnel!$H$37),0)+IF(AND(22&gt;=Personnel!$E$38,Personnel!$G$38="Yes"),Personnel!$D$38*(1-Personnel!$H$38),0))</f>
        <v>284324.33333333331</v>
      </c>
      <c r="Y4" s="105">
        <f>(IF(AND(23&gt;=Personnel!$E$2,Personnel!$G$2="Yes"),Personnel!$D$2*(1-Personnel!$H$2),0)+IF(AND(23&gt;=Personnel!$E$3,Personnel!$G$3="Yes"),Personnel!$D$3*(1-Personnel!$H$3),0)+IF(AND(23&gt;=Personnel!$E$4,Personnel!$G$4="Yes"),Personnel!$D$4*(1-Personnel!$H$4),0)+IF(AND(23&gt;=Personnel!$E$5,Personnel!$G$5="Yes"),Personnel!$D$5*(1-Personnel!$H$5),0)+IF(AND(23&gt;=Personnel!$E$6,Personnel!$G$6="Yes"),Personnel!$D$6*(1-Personnel!$H$6),0)+IF(AND(23&gt;=Personnel!$E$7,Personnel!$G$7="Yes"),Personnel!$D$7*(1-Personnel!$H$7),0)+IF(AND(23&gt;=Personnel!$E$8,Personnel!$G$8="Yes"),Personnel!$D$8*(1-Personnel!$H$8),0)+IF(AND(23&gt;=Personnel!$E$9,Personnel!$G$9="Yes"),Personnel!$D$9*(1-Personnel!$H$9),0)+IF(AND(23&gt;=Personnel!$E$10,Personnel!$G$10="Yes"),Personnel!$D$10*(1-Personnel!$H$10),0)+IF(AND(23&gt;=Personnel!$E$11,Personnel!$G$11="Yes"),Personnel!$D$11*(1-Personnel!$H$11),0)+IF(AND(23&gt;=Personnel!$E$12,Personnel!$G$12="Yes"),Personnel!$D$12*(1-Personnel!$H$12),0)+IF(AND(23&gt;=Personnel!$E$13,Personnel!$G$13="Yes"),Personnel!$D$13*(1-Personnel!$H$13),0)+IF(AND(23&gt;=Personnel!$E$14,Personnel!$G$14="Yes"),Personnel!$D$14*(1-Personnel!$H$14),0)+IF(AND(23&gt;=Personnel!$E$15,Personnel!$G$15="Yes"),Personnel!$D$15*(1-Personnel!$H$15),0)+IF(AND(23&gt;=Personnel!$E$16,Personnel!$G$16="Yes"),Personnel!$D$16*(1-Personnel!$H$16),0)+IF(AND(23&gt;=Personnel!$E$17,Personnel!$G$17="Yes"),Personnel!$D$17*(1-Personnel!$H$17),0)+IF(AND(23&gt;=Personnel!$E$18,Personnel!$G$18="Yes"),Personnel!$D$18*(1-Personnel!$H$18),0)+IF(AND(23&gt;=Personnel!$E$19,Personnel!$G$19="Yes"),Personnel!$D$19*(1-Personnel!$H$19),0)+IF(AND(23&gt;=Personnel!$E$20,Personnel!$G$20="Yes"),Personnel!$D$20*(1-Personnel!$H$20),0)+IF(AND(23&gt;=Personnel!$E$21,Personnel!$G$21="Yes"),Personnel!$D$21*(1-Personnel!$H$21),0)+IF(AND(23&gt;=Personnel!$E$22,Personnel!$G$22="Yes"),Personnel!$D$22*(1-Personnel!$H$22),0)+IF(AND(23&gt;=Personnel!$E$23,Personnel!$G$23="Yes"),Personnel!$D$23*(1-Personnel!$H$23),0)+IF(AND(23&gt;=Personnel!$E$24,Personnel!$G$24="Yes"),Personnel!$D$24*(1-Personnel!$H$24),0)+IF(AND(23&gt;=Personnel!$E$25,Personnel!$G$25="Yes"),Personnel!$D$25*(1-Personnel!$H$25),0)+IF(AND(23&gt;=Personnel!$E$26,Personnel!$G$26="Yes"),Personnel!$D$26*(1-Personnel!$H$26),0)+IF(AND(23&gt;=Personnel!$E$27,Personnel!$G$27="Yes"),Personnel!$D$27*(1-Personnel!$H$27),0)+IF(AND(23&gt;=Personnel!$E$28,Personnel!$G$28="Yes"),Personnel!$D$28*(1-Personnel!$H$28),0)+IF(AND(23&gt;=Personnel!$E$29,Personnel!$G$29="Yes"),Personnel!$D$29*(1-Personnel!$H$29),0)+IF(AND(23&gt;=Personnel!$E$32,Personnel!$G$32="Yes"),Personnel!$D$32*(1-Personnel!$H$32),0)+IF(AND(23&gt;=Personnel!$E$33,Personnel!$G$33="Yes"),Personnel!$D$33*(1-Personnel!$H$33),0)+IF(AND(23&gt;=Personnel!$E$34,Personnel!$G$34="Yes"),Personnel!$D$34*(1-Personnel!$H$34),0)+IF(AND(23&gt;=Personnel!$E$35,Personnel!$G$35="Yes"),Personnel!$D$35*(1-Personnel!$H$35),0)+IF(AND(23&gt;=Personnel!$E$36,Personnel!$G$36="Yes"),Personnel!$D$36*(1-Personnel!$H$36),0)+IF(AND(23&gt;=Personnel!$E$37,Personnel!$G$37="Yes"),Personnel!$D$37*(1-Personnel!$H$37),0)+IF(AND(23&gt;=Personnel!$E$38,Personnel!$G$38="Yes"),Personnel!$D$38*(1-Personnel!$H$38),0))</f>
        <v>284324.33333333331</v>
      </c>
      <c r="Z4" s="105">
        <f>(IF(AND(24&gt;=Personnel!$E$2,Personnel!$G$2="Yes"),Personnel!$D$2*(1-Personnel!$H$2),0)+IF(AND(24&gt;=Personnel!$E$3,Personnel!$G$3="Yes"),Personnel!$D$3*(1-Personnel!$H$3),0)+IF(AND(24&gt;=Personnel!$E$4,Personnel!$G$4="Yes"),Personnel!$D$4*(1-Personnel!$H$4),0)+IF(AND(24&gt;=Personnel!$E$5,Personnel!$G$5="Yes"),Personnel!$D$5*(1-Personnel!$H$5),0)+IF(AND(24&gt;=Personnel!$E$6,Personnel!$G$6="Yes"),Personnel!$D$6*(1-Personnel!$H$6),0)+IF(AND(24&gt;=Personnel!$E$7,Personnel!$G$7="Yes"),Personnel!$D$7*(1-Personnel!$H$7),0)+IF(AND(24&gt;=Personnel!$E$8,Personnel!$G$8="Yes"),Personnel!$D$8*(1-Personnel!$H$8),0)+IF(AND(24&gt;=Personnel!$E$9,Personnel!$G$9="Yes"),Personnel!$D$9*(1-Personnel!$H$9),0)+IF(AND(24&gt;=Personnel!$E$10,Personnel!$G$10="Yes"),Personnel!$D$10*(1-Personnel!$H$10),0)+IF(AND(24&gt;=Personnel!$E$11,Personnel!$G$11="Yes"),Personnel!$D$11*(1-Personnel!$H$11),0)+IF(AND(24&gt;=Personnel!$E$12,Personnel!$G$12="Yes"),Personnel!$D$12*(1-Personnel!$H$12),0)+IF(AND(24&gt;=Personnel!$E$13,Personnel!$G$13="Yes"),Personnel!$D$13*(1-Personnel!$H$13),0)+IF(AND(24&gt;=Personnel!$E$14,Personnel!$G$14="Yes"),Personnel!$D$14*(1-Personnel!$H$14),0)+IF(AND(24&gt;=Personnel!$E$15,Personnel!$G$15="Yes"),Personnel!$D$15*(1-Personnel!$H$15),0)+IF(AND(24&gt;=Personnel!$E$16,Personnel!$G$16="Yes"),Personnel!$D$16*(1-Personnel!$H$16),0)+IF(AND(24&gt;=Personnel!$E$17,Personnel!$G$17="Yes"),Personnel!$D$17*(1-Personnel!$H$17),0)+IF(AND(24&gt;=Personnel!$E$18,Personnel!$G$18="Yes"),Personnel!$D$18*(1-Personnel!$H$18),0)+IF(AND(24&gt;=Personnel!$E$19,Personnel!$G$19="Yes"),Personnel!$D$19*(1-Personnel!$H$19),0)+IF(AND(24&gt;=Personnel!$E$20,Personnel!$G$20="Yes"),Personnel!$D$20*(1-Personnel!$H$20),0)+IF(AND(24&gt;=Personnel!$E$21,Personnel!$G$21="Yes"),Personnel!$D$21*(1-Personnel!$H$21),0)+IF(AND(24&gt;=Personnel!$E$22,Personnel!$G$22="Yes"),Personnel!$D$22*(1-Personnel!$H$22),0)+IF(AND(24&gt;=Personnel!$E$23,Personnel!$G$23="Yes"),Personnel!$D$23*(1-Personnel!$H$23),0)+IF(AND(24&gt;=Personnel!$E$24,Personnel!$G$24="Yes"),Personnel!$D$24*(1-Personnel!$H$24),0)+IF(AND(24&gt;=Personnel!$E$25,Personnel!$G$25="Yes"),Personnel!$D$25*(1-Personnel!$H$25),0)+IF(AND(24&gt;=Personnel!$E$26,Personnel!$G$26="Yes"),Personnel!$D$26*(1-Personnel!$H$26),0)+IF(AND(24&gt;=Personnel!$E$27,Personnel!$G$27="Yes"),Personnel!$D$27*(1-Personnel!$H$27),0)+IF(AND(24&gt;=Personnel!$E$28,Personnel!$G$28="Yes"),Personnel!$D$28*(1-Personnel!$H$28),0)+IF(AND(24&gt;=Personnel!$E$29,Personnel!$G$29="Yes"),Personnel!$D$29*(1-Personnel!$H$29),0)+IF(AND(24&gt;=Personnel!$E$32,Personnel!$G$32="Yes"),Personnel!$D$32*(1-Personnel!$H$32),0)+IF(AND(24&gt;=Personnel!$E$33,Personnel!$G$33="Yes"),Personnel!$D$33*(1-Personnel!$H$33),0)+IF(AND(24&gt;=Personnel!$E$34,Personnel!$G$34="Yes"),Personnel!$D$34*(1-Personnel!$H$34),0)+IF(AND(24&gt;=Personnel!$E$35,Personnel!$G$35="Yes"),Personnel!$D$35*(1-Personnel!$H$35),0)+IF(AND(24&gt;=Personnel!$E$36,Personnel!$G$36="Yes"),Personnel!$D$36*(1-Personnel!$H$36),0)+IF(AND(24&gt;=Personnel!$E$37,Personnel!$G$37="Yes"),Personnel!$D$37*(1-Personnel!$H$37),0)+IF(AND(24&gt;=Personnel!$E$38,Personnel!$G$38="Yes"),Personnel!$D$38*(1-Personnel!$H$38),0))</f>
        <v>284324.33333333331</v>
      </c>
      <c r="AA4" s="105">
        <f>(IF(AND(25&gt;=Personnel!$E$2,Personnel!$G$2="Yes"),Personnel!$D$2*(1-Personnel!$H$2),0)+IF(AND(25&gt;=Personnel!$E$3,Personnel!$G$3="Yes"),Personnel!$D$3*(1-Personnel!$H$3),0)+IF(AND(25&gt;=Personnel!$E$4,Personnel!$G$4="Yes"),Personnel!$D$4*(1-Personnel!$H$4),0)+IF(AND(25&gt;=Personnel!$E$5,Personnel!$G$5="Yes"),Personnel!$D$5*(1-Personnel!$H$5),0)+IF(AND(25&gt;=Personnel!$E$6,Personnel!$G$6="Yes"),Personnel!$D$6*(1-Personnel!$H$6),0)+IF(AND(25&gt;=Personnel!$E$7,Personnel!$G$7="Yes"),Personnel!$D$7*(1-Personnel!$H$7),0)+IF(AND(25&gt;=Personnel!$E$8,Personnel!$G$8="Yes"),Personnel!$D$8*(1-Personnel!$H$8),0)+IF(AND(25&gt;=Personnel!$E$9,Personnel!$G$9="Yes"),Personnel!$D$9*(1-Personnel!$H$9),0)+IF(AND(25&gt;=Personnel!$E$10,Personnel!$G$10="Yes"),Personnel!$D$10*(1-Personnel!$H$10),0)+IF(AND(25&gt;=Personnel!$E$11,Personnel!$G$11="Yes"),Personnel!$D$11*(1-Personnel!$H$11),0)+IF(AND(25&gt;=Personnel!$E$12,Personnel!$G$12="Yes"),Personnel!$D$12*(1-Personnel!$H$12),0)+IF(AND(25&gt;=Personnel!$E$13,Personnel!$G$13="Yes"),Personnel!$D$13*(1-Personnel!$H$13),0)+IF(AND(25&gt;=Personnel!$E$14,Personnel!$G$14="Yes"),Personnel!$D$14*(1-Personnel!$H$14),0)+IF(AND(25&gt;=Personnel!$E$15,Personnel!$G$15="Yes"),Personnel!$D$15*(1-Personnel!$H$15),0)+IF(AND(25&gt;=Personnel!$E$16,Personnel!$G$16="Yes"),Personnel!$D$16*(1-Personnel!$H$16),0)+IF(AND(25&gt;=Personnel!$E$17,Personnel!$G$17="Yes"),Personnel!$D$17*(1-Personnel!$H$17),0)+IF(AND(25&gt;=Personnel!$E$18,Personnel!$G$18="Yes"),Personnel!$D$18*(1-Personnel!$H$18),0)+IF(AND(25&gt;=Personnel!$E$19,Personnel!$G$19="Yes"),Personnel!$D$19*(1-Personnel!$H$19),0)+IF(AND(25&gt;=Personnel!$E$20,Personnel!$G$20="Yes"),Personnel!$D$20*(1-Personnel!$H$20),0)+IF(AND(25&gt;=Personnel!$E$21,Personnel!$G$21="Yes"),Personnel!$D$21*(1-Personnel!$H$21),0)+IF(AND(25&gt;=Personnel!$E$22,Personnel!$G$22="Yes"),Personnel!$D$22*(1-Personnel!$H$22),0)+IF(AND(25&gt;=Personnel!$E$23,Personnel!$G$23="Yes"),Personnel!$D$23*(1-Personnel!$H$23),0)+IF(AND(25&gt;=Personnel!$E$24,Personnel!$G$24="Yes"),Personnel!$D$24*(1-Personnel!$H$24),0)+IF(AND(25&gt;=Personnel!$E$25,Personnel!$G$25="Yes"),Personnel!$D$25*(1-Personnel!$H$25),0)+IF(AND(25&gt;=Personnel!$E$26,Personnel!$G$26="Yes"),Personnel!$D$26*(1-Personnel!$H$26),0)+IF(AND(25&gt;=Personnel!$E$27,Personnel!$G$27="Yes"),Personnel!$D$27*(1-Personnel!$H$27),0)+IF(AND(25&gt;=Personnel!$E$28,Personnel!$G$28="Yes"),Personnel!$D$28*(1-Personnel!$H$28),0)+IF(AND(25&gt;=Personnel!$E$29,Personnel!$G$29="Yes"),Personnel!$D$29*(1-Personnel!$H$29),0)+IF(AND(25&gt;=Personnel!$E$32,Personnel!$G$32="Yes"),Personnel!$D$32*(1-Personnel!$H$32),0)+IF(AND(25&gt;=Personnel!$E$33,Personnel!$G$33="Yes"),Personnel!$D$33*(1-Personnel!$H$33),0)+IF(AND(25&gt;=Personnel!$E$34,Personnel!$G$34="Yes"),Personnel!$D$34*(1-Personnel!$H$34),0)+IF(AND(25&gt;=Personnel!$E$35,Personnel!$G$35="Yes"),Personnel!$D$35*(1-Personnel!$H$35),0)+IF(AND(25&gt;=Personnel!$E$36,Personnel!$G$36="Yes"),Personnel!$D$36*(1-Personnel!$H$36),0)+IF(AND(25&gt;=Personnel!$E$37,Personnel!$G$37="Yes"),Personnel!$D$37*(1-Personnel!$H$37),0)+IF(AND(25&gt;=Personnel!$E$38,Personnel!$G$38="Yes"),Personnel!$D$38*(1-Personnel!$H$38),0))</f>
        <v>284324.33333333331</v>
      </c>
      <c r="AB4" s="105">
        <f>(IF(AND(26&gt;=Personnel!$E$2,Personnel!$G$2="Yes"),Personnel!$D$2*(1-Personnel!$H$2),0)+IF(AND(26&gt;=Personnel!$E$3,Personnel!$G$3="Yes"),Personnel!$D$3*(1-Personnel!$H$3),0)+IF(AND(26&gt;=Personnel!$E$4,Personnel!$G$4="Yes"),Personnel!$D$4*(1-Personnel!$H$4),0)+IF(AND(26&gt;=Personnel!$E$5,Personnel!$G$5="Yes"),Personnel!$D$5*(1-Personnel!$H$5),0)+IF(AND(26&gt;=Personnel!$E$6,Personnel!$G$6="Yes"),Personnel!$D$6*(1-Personnel!$H$6),0)+IF(AND(26&gt;=Personnel!$E$7,Personnel!$G$7="Yes"),Personnel!$D$7*(1-Personnel!$H$7),0)+IF(AND(26&gt;=Personnel!$E$8,Personnel!$G$8="Yes"),Personnel!$D$8*(1-Personnel!$H$8),0)+IF(AND(26&gt;=Personnel!$E$9,Personnel!$G$9="Yes"),Personnel!$D$9*(1-Personnel!$H$9),0)+IF(AND(26&gt;=Personnel!$E$10,Personnel!$G$10="Yes"),Personnel!$D$10*(1-Personnel!$H$10),0)+IF(AND(26&gt;=Personnel!$E$11,Personnel!$G$11="Yes"),Personnel!$D$11*(1-Personnel!$H$11),0)+IF(AND(26&gt;=Personnel!$E$12,Personnel!$G$12="Yes"),Personnel!$D$12*(1-Personnel!$H$12),0)+IF(AND(26&gt;=Personnel!$E$13,Personnel!$G$13="Yes"),Personnel!$D$13*(1-Personnel!$H$13),0)+IF(AND(26&gt;=Personnel!$E$14,Personnel!$G$14="Yes"),Personnel!$D$14*(1-Personnel!$H$14),0)+IF(AND(26&gt;=Personnel!$E$15,Personnel!$G$15="Yes"),Personnel!$D$15*(1-Personnel!$H$15),0)+IF(AND(26&gt;=Personnel!$E$16,Personnel!$G$16="Yes"),Personnel!$D$16*(1-Personnel!$H$16),0)+IF(AND(26&gt;=Personnel!$E$17,Personnel!$G$17="Yes"),Personnel!$D$17*(1-Personnel!$H$17),0)+IF(AND(26&gt;=Personnel!$E$18,Personnel!$G$18="Yes"),Personnel!$D$18*(1-Personnel!$H$18),0)+IF(AND(26&gt;=Personnel!$E$19,Personnel!$G$19="Yes"),Personnel!$D$19*(1-Personnel!$H$19),0)+IF(AND(26&gt;=Personnel!$E$20,Personnel!$G$20="Yes"),Personnel!$D$20*(1-Personnel!$H$20),0)+IF(AND(26&gt;=Personnel!$E$21,Personnel!$G$21="Yes"),Personnel!$D$21*(1-Personnel!$H$21),0)+IF(AND(26&gt;=Personnel!$E$22,Personnel!$G$22="Yes"),Personnel!$D$22*(1-Personnel!$H$22),0)+IF(AND(26&gt;=Personnel!$E$23,Personnel!$G$23="Yes"),Personnel!$D$23*(1-Personnel!$H$23),0)+IF(AND(26&gt;=Personnel!$E$24,Personnel!$G$24="Yes"),Personnel!$D$24*(1-Personnel!$H$24),0)+IF(AND(26&gt;=Personnel!$E$25,Personnel!$G$25="Yes"),Personnel!$D$25*(1-Personnel!$H$25),0)+IF(AND(26&gt;=Personnel!$E$26,Personnel!$G$26="Yes"),Personnel!$D$26*(1-Personnel!$H$26),0)+IF(AND(26&gt;=Personnel!$E$27,Personnel!$G$27="Yes"),Personnel!$D$27*(1-Personnel!$H$27),0)+IF(AND(26&gt;=Personnel!$E$28,Personnel!$G$28="Yes"),Personnel!$D$28*(1-Personnel!$H$28),0)+IF(AND(26&gt;=Personnel!$E$29,Personnel!$G$29="Yes"),Personnel!$D$29*(1-Personnel!$H$29),0)+IF(AND(26&gt;=Personnel!$E$32,Personnel!$G$32="Yes"),Personnel!$D$32*(1-Personnel!$H$32),0)+IF(AND(26&gt;=Personnel!$E$33,Personnel!$G$33="Yes"),Personnel!$D$33*(1-Personnel!$H$33),0)+IF(AND(26&gt;=Personnel!$E$34,Personnel!$G$34="Yes"),Personnel!$D$34*(1-Personnel!$H$34),0)+IF(AND(26&gt;=Personnel!$E$35,Personnel!$G$35="Yes"),Personnel!$D$35*(1-Personnel!$H$35),0)+IF(AND(26&gt;=Personnel!$E$36,Personnel!$G$36="Yes"),Personnel!$D$36*(1-Personnel!$H$36),0)+IF(AND(26&gt;=Personnel!$E$37,Personnel!$G$37="Yes"),Personnel!$D$37*(1-Personnel!$H$37),0)+IF(AND(26&gt;=Personnel!$E$38,Personnel!$G$38="Yes"),Personnel!$D$38*(1-Personnel!$H$38),0))</f>
        <v>284324.33333333331</v>
      </c>
      <c r="AC4" s="105">
        <f>(IF(AND(27&gt;=Personnel!$E$2,Personnel!$G$2="Yes"),Personnel!$D$2*(1-Personnel!$H$2),0)+IF(AND(27&gt;=Personnel!$E$3,Personnel!$G$3="Yes"),Personnel!$D$3*(1-Personnel!$H$3),0)+IF(AND(27&gt;=Personnel!$E$4,Personnel!$G$4="Yes"),Personnel!$D$4*(1-Personnel!$H$4),0)+IF(AND(27&gt;=Personnel!$E$5,Personnel!$G$5="Yes"),Personnel!$D$5*(1-Personnel!$H$5),0)+IF(AND(27&gt;=Personnel!$E$6,Personnel!$G$6="Yes"),Personnel!$D$6*(1-Personnel!$H$6),0)+IF(AND(27&gt;=Personnel!$E$7,Personnel!$G$7="Yes"),Personnel!$D$7*(1-Personnel!$H$7),0)+IF(AND(27&gt;=Personnel!$E$8,Personnel!$G$8="Yes"),Personnel!$D$8*(1-Personnel!$H$8),0)+IF(AND(27&gt;=Personnel!$E$9,Personnel!$G$9="Yes"),Personnel!$D$9*(1-Personnel!$H$9),0)+IF(AND(27&gt;=Personnel!$E$10,Personnel!$G$10="Yes"),Personnel!$D$10*(1-Personnel!$H$10),0)+IF(AND(27&gt;=Personnel!$E$11,Personnel!$G$11="Yes"),Personnel!$D$11*(1-Personnel!$H$11),0)+IF(AND(27&gt;=Personnel!$E$12,Personnel!$G$12="Yes"),Personnel!$D$12*(1-Personnel!$H$12),0)+IF(AND(27&gt;=Personnel!$E$13,Personnel!$G$13="Yes"),Personnel!$D$13*(1-Personnel!$H$13),0)+IF(AND(27&gt;=Personnel!$E$14,Personnel!$G$14="Yes"),Personnel!$D$14*(1-Personnel!$H$14),0)+IF(AND(27&gt;=Personnel!$E$15,Personnel!$G$15="Yes"),Personnel!$D$15*(1-Personnel!$H$15),0)+IF(AND(27&gt;=Personnel!$E$16,Personnel!$G$16="Yes"),Personnel!$D$16*(1-Personnel!$H$16),0)+IF(AND(27&gt;=Personnel!$E$17,Personnel!$G$17="Yes"),Personnel!$D$17*(1-Personnel!$H$17),0)+IF(AND(27&gt;=Personnel!$E$18,Personnel!$G$18="Yes"),Personnel!$D$18*(1-Personnel!$H$18),0)+IF(AND(27&gt;=Personnel!$E$19,Personnel!$G$19="Yes"),Personnel!$D$19*(1-Personnel!$H$19),0)+IF(AND(27&gt;=Personnel!$E$20,Personnel!$G$20="Yes"),Personnel!$D$20*(1-Personnel!$H$20),0)+IF(AND(27&gt;=Personnel!$E$21,Personnel!$G$21="Yes"),Personnel!$D$21*(1-Personnel!$H$21),0)+IF(AND(27&gt;=Personnel!$E$22,Personnel!$G$22="Yes"),Personnel!$D$22*(1-Personnel!$H$22),0)+IF(AND(27&gt;=Personnel!$E$23,Personnel!$G$23="Yes"),Personnel!$D$23*(1-Personnel!$H$23),0)+IF(AND(27&gt;=Personnel!$E$24,Personnel!$G$24="Yes"),Personnel!$D$24*(1-Personnel!$H$24),0)+IF(AND(27&gt;=Personnel!$E$25,Personnel!$G$25="Yes"),Personnel!$D$25*(1-Personnel!$H$25),0)+IF(AND(27&gt;=Personnel!$E$26,Personnel!$G$26="Yes"),Personnel!$D$26*(1-Personnel!$H$26),0)+IF(AND(27&gt;=Personnel!$E$27,Personnel!$G$27="Yes"),Personnel!$D$27*(1-Personnel!$H$27),0)+IF(AND(27&gt;=Personnel!$E$28,Personnel!$G$28="Yes"),Personnel!$D$28*(1-Personnel!$H$28),0)+IF(AND(27&gt;=Personnel!$E$29,Personnel!$G$29="Yes"),Personnel!$D$29*(1-Personnel!$H$29),0)+IF(AND(27&gt;=Personnel!$E$32,Personnel!$G$32="Yes"),Personnel!$D$32*(1-Personnel!$H$32),0)+IF(AND(27&gt;=Personnel!$E$33,Personnel!$G$33="Yes"),Personnel!$D$33*(1-Personnel!$H$33),0)+IF(AND(27&gt;=Personnel!$E$34,Personnel!$G$34="Yes"),Personnel!$D$34*(1-Personnel!$H$34),0)+IF(AND(27&gt;=Personnel!$E$35,Personnel!$G$35="Yes"),Personnel!$D$35*(1-Personnel!$H$35),0)+IF(AND(27&gt;=Personnel!$E$36,Personnel!$G$36="Yes"),Personnel!$D$36*(1-Personnel!$H$36),0)+IF(AND(27&gt;=Personnel!$E$37,Personnel!$G$37="Yes"),Personnel!$D$37*(1-Personnel!$H$37),0)+IF(AND(27&gt;=Personnel!$E$38,Personnel!$G$38="Yes"),Personnel!$D$38*(1-Personnel!$H$38),0))</f>
        <v>284324.33333333331</v>
      </c>
      <c r="AD4" s="105">
        <f>(IF(AND(28&gt;=Personnel!$E$2,Personnel!$G$2="Yes"),Personnel!$D$2*(1-Personnel!$H$2),0)+IF(AND(28&gt;=Personnel!$E$3,Personnel!$G$3="Yes"),Personnel!$D$3*(1-Personnel!$H$3),0)+IF(AND(28&gt;=Personnel!$E$4,Personnel!$G$4="Yes"),Personnel!$D$4*(1-Personnel!$H$4),0)+IF(AND(28&gt;=Personnel!$E$5,Personnel!$G$5="Yes"),Personnel!$D$5*(1-Personnel!$H$5),0)+IF(AND(28&gt;=Personnel!$E$6,Personnel!$G$6="Yes"),Personnel!$D$6*(1-Personnel!$H$6),0)+IF(AND(28&gt;=Personnel!$E$7,Personnel!$G$7="Yes"),Personnel!$D$7*(1-Personnel!$H$7),0)+IF(AND(28&gt;=Personnel!$E$8,Personnel!$G$8="Yes"),Personnel!$D$8*(1-Personnel!$H$8),0)+IF(AND(28&gt;=Personnel!$E$9,Personnel!$G$9="Yes"),Personnel!$D$9*(1-Personnel!$H$9),0)+IF(AND(28&gt;=Personnel!$E$10,Personnel!$G$10="Yes"),Personnel!$D$10*(1-Personnel!$H$10),0)+IF(AND(28&gt;=Personnel!$E$11,Personnel!$G$11="Yes"),Personnel!$D$11*(1-Personnel!$H$11),0)+IF(AND(28&gt;=Personnel!$E$12,Personnel!$G$12="Yes"),Personnel!$D$12*(1-Personnel!$H$12),0)+IF(AND(28&gt;=Personnel!$E$13,Personnel!$G$13="Yes"),Personnel!$D$13*(1-Personnel!$H$13),0)+IF(AND(28&gt;=Personnel!$E$14,Personnel!$G$14="Yes"),Personnel!$D$14*(1-Personnel!$H$14),0)+IF(AND(28&gt;=Personnel!$E$15,Personnel!$G$15="Yes"),Personnel!$D$15*(1-Personnel!$H$15),0)+IF(AND(28&gt;=Personnel!$E$16,Personnel!$G$16="Yes"),Personnel!$D$16*(1-Personnel!$H$16),0)+IF(AND(28&gt;=Personnel!$E$17,Personnel!$G$17="Yes"),Personnel!$D$17*(1-Personnel!$H$17),0)+IF(AND(28&gt;=Personnel!$E$18,Personnel!$G$18="Yes"),Personnel!$D$18*(1-Personnel!$H$18),0)+IF(AND(28&gt;=Personnel!$E$19,Personnel!$G$19="Yes"),Personnel!$D$19*(1-Personnel!$H$19),0)+IF(AND(28&gt;=Personnel!$E$20,Personnel!$G$20="Yes"),Personnel!$D$20*(1-Personnel!$H$20),0)+IF(AND(28&gt;=Personnel!$E$21,Personnel!$G$21="Yes"),Personnel!$D$21*(1-Personnel!$H$21),0)+IF(AND(28&gt;=Personnel!$E$22,Personnel!$G$22="Yes"),Personnel!$D$22*(1-Personnel!$H$22),0)+IF(AND(28&gt;=Personnel!$E$23,Personnel!$G$23="Yes"),Personnel!$D$23*(1-Personnel!$H$23),0)+IF(AND(28&gt;=Personnel!$E$24,Personnel!$G$24="Yes"),Personnel!$D$24*(1-Personnel!$H$24),0)+IF(AND(28&gt;=Personnel!$E$25,Personnel!$G$25="Yes"),Personnel!$D$25*(1-Personnel!$H$25),0)+IF(AND(28&gt;=Personnel!$E$26,Personnel!$G$26="Yes"),Personnel!$D$26*(1-Personnel!$H$26),0)+IF(AND(28&gt;=Personnel!$E$27,Personnel!$G$27="Yes"),Personnel!$D$27*(1-Personnel!$H$27),0)+IF(AND(28&gt;=Personnel!$E$28,Personnel!$G$28="Yes"),Personnel!$D$28*(1-Personnel!$H$28),0)+IF(AND(28&gt;=Personnel!$E$29,Personnel!$G$29="Yes"),Personnel!$D$29*(1-Personnel!$H$29),0)+IF(AND(28&gt;=Personnel!$E$32,Personnel!$G$32="Yes"),Personnel!$D$32*(1-Personnel!$H$32),0)+IF(AND(28&gt;=Personnel!$E$33,Personnel!$G$33="Yes"),Personnel!$D$33*(1-Personnel!$H$33),0)+IF(AND(28&gt;=Personnel!$E$34,Personnel!$G$34="Yes"),Personnel!$D$34*(1-Personnel!$H$34),0)+IF(AND(28&gt;=Personnel!$E$35,Personnel!$G$35="Yes"),Personnel!$D$35*(1-Personnel!$H$35),0)+IF(AND(28&gt;=Personnel!$E$36,Personnel!$G$36="Yes"),Personnel!$D$36*(1-Personnel!$H$36),0)+IF(AND(28&gt;=Personnel!$E$37,Personnel!$G$37="Yes"),Personnel!$D$37*(1-Personnel!$H$37),0)+IF(AND(28&gt;=Personnel!$E$38,Personnel!$G$38="Yes"),Personnel!$D$38*(1-Personnel!$H$38),0))</f>
        <v>284324.33333333331</v>
      </c>
      <c r="AE4" s="105">
        <f>(IF(AND(29&gt;=Personnel!$E$2,Personnel!$G$2="Yes"),Personnel!$D$2*(1-Personnel!$H$2),0)+IF(AND(29&gt;=Personnel!$E$3,Personnel!$G$3="Yes"),Personnel!$D$3*(1-Personnel!$H$3),0)+IF(AND(29&gt;=Personnel!$E$4,Personnel!$G$4="Yes"),Personnel!$D$4*(1-Personnel!$H$4),0)+IF(AND(29&gt;=Personnel!$E$5,Personnel!$G$5="Yes"),Personnel!$D$5*(1-Personnel!$H$5),0)+IF(AND(29&gt;=Personnel!$E$6,Personnel!$G$6="Yes"),Personnel!$D$6*(1-Personnel!$H$6),0)+IF(AND(29&gt;=Personnel!$E$7,Personnel!$G$7="Yes"),Personnel!$D$7*(1-Personnel!$H$7),0)+IF(AND(29&gt;=Personnel!$E$8,Personnel!$G$8="Yes"),Personnel!$D$8*(1-Personnel!$H$8),0)+IF(AND(29&gt;=Personnel!$E$9,Personnel!$G$9="Yes"),Personnel!$D$9*(1-Personnel!$H$9),0)+IF(AND(29&gt;=Personnel!$E$10,Personnel!$G$10="Yes"),Personnel!$D$10*(1-Personnel!$H$10),0)+IF(AND(29&gt;=Personnel!$E$11,Personnel!$G$11="Yes"),Personnel!$D$11*(1-Personnel!$H$11),0)+IF(AND(29&gt;=Personnel!$E$12,Personnel!$G$12="Yes"),Personnel!$D$12*(1-Personnel!$H$12),0)+IF(AND(29&gt;=Personnel!$E$13,Personnel!$G$13="Yes"),Personnel!$D$13*(1-Personnel!$H$13),0)+IF(AND(29&gt;=Personnel!$E$14,Personnel!$G$14="Yes"),Personnel!$D$14*(1-Personnel!$H$14),0)+IF(AND(29&gt;=Personnel!$E$15,Personnel!$G$15="Yes"),Personnel!$D$15*(1-Personnel!$H$15),0)+IF(AND(29&gt;=Personnel!$E$16,Personnel!$G$16="Yes"),Personnel!$D$16*(1-Personnel!$H$16),0)+IF(AND(29&gt;=Personnel!$E$17,Personnel!$G$17="Yes"),Personnel!$D$17*(1-Personnel!$H$17),0)+IF(AND(29&gt;=Personnel!$E$18,Personnel!$G$18="Yes"),Personnel!$D$18*(1-Personnel!$H$18),0)+IF(AND(29&gt;=Personnel!$E$19,Personnel!$G$19="Yes"),Personnel!$D$19*(1-Personnel!$H$19),0)+IF(AND(29&gt;=Personnel!$E$20,Personnel!$G$20="Yes"),Personnel!$D$20*(1-Personnel!$H$20),0)+IF(AND(29&gt;=Personnel!$E$21,Personnel!$G$21="Yes"),Personnel!$D$21*(1-Personnel!$H$21),0)+IF(AND(29&gt;=Personnel!$E$22,Personnel!$G$22="Yes"),Personnel!$D$22*(1-Personnel!$H$22),0)+IF(AND(29&gt;=Personnel!$E$23,Personnel!$G$23="Yes"),Personnel!$D$23*(1-Personnel!$H$23),0)+IF(AND(29&gt;=Personnel!$E$24,Personnel!$G$24="Yes"),Personnel!$D$24*(1-Personnel!$H$24),0)+IF(AND(29&gt;=Personnel!$E$25,Personnel!$G$25="Yes"),Personnel!$D$25*(1-Personnel!$H$25),0)+IF(AND(29&gt;=Personnel!$E$26,Personnel!$G$26="Yes"),Personnel!$D$26*(1-Personnel!$H$26),0)+IF(AND(29&gt;=Personnel!$E$27,Personnel!$G$27="Yes"),Personnel!$D$27*(1-Personnel!$H$27),0)+IF(AND(29&gt;=Personnel!$E$28,Personnel!$G$28="Yes"),Personnel!$D$28*(1-Personnel!$H$28),0)+IF(AND(29&gt;=Personnel!$E$29,Personnel!$G$29="Yes"),Personnel!$D$29*(1-Personnel!$H$29),0)+IF(AND(29&gt;=Personnel!$E$32,Personnel!$G$32="Yes"),Personnel!$D$32*(1-Personnel!$H$32),0)+IF(AND(29&gt;=Personnel!$E$33,Personnel!$G$33="Yes"),Personnel!$D$33*(1-Personnel!$H$33),0)+IF(AND(29&gt;=Personnel!$E$34,Personnel!$G$34="Yes"),Personnel!$D$34*(1-Personnel!$H$34),0)+IF(AND(29&gt;=Personnel!$E$35,Personnel!$G$35="Yes"),Personnel!$D$35*(1-Personnel!$H$35),0)+IF(AND(29&gt;=Personnel!$E$36,Personnel!$G$36="Yes"),Personnel!$D$36*(1-Personnel!$H$36),0)+IF(AND(29&gt;=Personnel!$E$37,Personnel!$G$37="Yes"),Personnel!$D$37*(1-Personnel!$H$37),0)+IF(AND(29&gt;=Personnel!$E$38,Personnel!$G$38="Yes"),Personnel!$D$38*(1-Personnel!$H$38),0))</f>
        <v>284324.33333333331</v>
      </c>
      <c r="AF4" s="105">
        <f>(IF(AND(30&gt;=Personnel!$E$2,Personnel!$G$2="Yes"),Personnel!$D$2*(1-Personnel!$H$2),0)+IF(AND(30&gt;=Personnel!$E$3,Personnel!$G$3="Yes"),Personnel!$D$3*(1-Personnel!$H$3),0)+IF(AND(30&gt;=Personnel!$E$4,Personnel!$G$4="Yes"),Personnel!$D$4*(1-Personnel!$H$4),0)+IF(AND(30&gt;=Personnel!$E$5,Personnel!$G$5="Yes"),Personnel!$D$5*(1-Personnel!$H$5),0)+IF(AND(30&gt;=Personnel!$E$6,Personnel!$G$6="Yes"),Personnel!$D$6*(1-Personnel!$H$6),0)+IF(AND(30&gt;=Personnel!$E$7,Personnel!$G$7="Yes"),Personnel!$D$7*(1-Personnel!$H$7),0)+IF(AND(30&gt;=Personnel!$E$8,Personnel!$G$8="Yes"),Personnel!$D$8*(1-Personnel!$H$8),0)+IF(AND(30&gt;=Personnel!$E$9,Personnel!$G$9="Yes"),Personnel!$D$9*(1-Personnel!$H$9),0)+IF(AND(30&gt;=Personnel!$E$10,Personnel!$G$10="Yes"),Personnel!$D$10*(1-Personnel!$H$10),0)+IF(AND(30&gt;=Personnel!$E$11,Personnel!$G$11="Yes"),Personnel!$D$11*(1-Personnel!$H$11),0)+IF(AND(30&gt;=Personnel!$E$12,Personnel!$G$12="Yes"),Personnel!$D$12*(1-Personnel!$H$12),0)+IF(AND(30&gt;=Personnel!$E$13,Personnel!$G$13="Yes"),Personnel!$D$13*(1-Personnel!$H$13),0)+IF(AND(30&gt;=Personnel!$E$14,Personnel!$G$14="Yes"),Personnel!$D$14*(1-Personnel!$H$14),0)+IF(AND(30&gt;=Personnel!$E$15,Personnel!$G$15="Yes"),Personnel!$D$15*(1-Personnel!$H$15),0)+IF(AND(30&gt;=Personnel!$E$16,Personnel!$G$16="Yes"),Personnel!$D$16*(1-Personnel!$H$16),0)+IF(AND(30&gt;=Personnel!$E$17,Personnel!$G$17="Yes"),Personnel!$D$17*(1-Personnel!$H$17),0)+IF(AND(30&gt;=Personnel!$E$18,Personnel!$G$18="Yes"),Personnel!$D$18*(1-Personnel!$H$18),0)+IF(AND(30&gt;=Personnel!$E$19,Personnel!$G$19="Yes"),Personnel!$D$19*(1-Personnel!$H$19),0)+IF(AND(30&gt;=Personnel!$E$20,Personnel!$G$20="Yes"),Personnel!$D$20*(1-Personnel!$H$20),0)+IF(AND(30&gt;=Personnel!$E$21,Personnel!$G$21="Yes"),Personnel!$D$21*(1-Personnel!$H$21),0)+IF(AND(30&gt;=Personnel!$E$22,Personnel!$G$22="Yes"),Personnel!$D$22*(1-Personnel!$H$22),0)+IF(AND(30&gt;=Personnel!$E$23,Personnel!$G$23="Yes"),Personnel!$D$23*(1-Personnel!$H$23),0)+IF(AND(30&gt;=Personnel!$E$24,Personnel!$G$24="Yes"),Personnel!$D$24*(1-Personnel!$H$24),0)+IF(AND(30&gt;=Personnel!$E$25,Personnel!$G$25="Yes"),Personnel!$D$25*(1-Personnel!$H$25),0)+IF(AND(30&gt;=Personnel!$E$26,Personnel!$G$26="Yes"),Personnel!$D$26*(1-Personnel!$H$26),0)+IF(AND(30&gt;=Personnel!$E$27,Personnel!$G$27="Yes"),Personnel!$D$27*(1-Personnel!$H$27),0)+IF(AND(30&gt;=Personnel!$E$28,Personnel!$G$28="Yes"),Personnel!$D$28*(1-Personnel!$H$28),0)+IF(AND(30&gt;=Personnel!$E$29,Personnel!$G$29="Yes"),Personnel!$D$29*(1-Personnel!$H$29),0)+IF(AND(30&gt;=Personnel!$E$32,Personnel!$G$32="Yes"),Personnel!$D$32*(1-Personnel!$H$32),0)+IF(AND(30&gt;=Personnel!$E$33,Personnel!$G$33="Yes"),Personnel!$D$33*(1-Personnel!$H$33),0)+IF(AND(30&gt;=Personnel!$E$34,Personnel!$G$34="Yes"),Personnel!$D$34*(1-Personnel!$H$34),0)+IF(AND(30&gt;=Personnel!$E$35,Personnel!$G$35="Yes"),Personnel!$D$35*(1-Personnel!$H$35),0)+IF(AND(30&gt;=Personnel!$E$36,Personnel!$G$36="Yes"),Personnel!$D$36*(1-Personnel!$H$36),0)+IF(AND(30&gt;=Personnel!$E$37,Personnel!$G$37="Yes"),Personnel!$D$37*(1-Personnel!$H$37),0)+IF(AND(30&gt;=Personnel!$E$38,Personnel!$G$38="Yes"),Personnel!$D$38*(1-Personnel!$H$38),0))</f>
        <v>284324.33333333331</v>
      </c>
      <c r="AG4" s="105">
        <f>(IF(AND(31&gt;=Personnel!$E$2,Personnel!$G$2="Yes"),Personnel!$D$2*(1-Personnel!$H$2),0)+IF(AND(31&gt;=Personnel!$E$3,Personnel!$G$3="Yes"),Personnel!$D$3*(1-Personnel!$H$3),0)+IF(AND(31&gt;=Personnel!$E$4,Personnel!$G$4="Yes"),Personnel!$D$4*(1-Personnel!$H$4),0)+IF(AND(31&gt;=Personnel!$E$5,Personnel!$G$5="Yes"),Personnel!$D$5*(1-Personnel!$H$5),0)+IF(AND(31&gt;=Personnel!$E$6,Personnel!$G$6="Yes"),Personnel!$D$6*(1-Personnel!$H$6),0)+IF(AND(31&gt;=Personnel!$E$7,Personnel!$G$7="Yes"),Personnel!$D$7*(1-Personnel!$H$7),0)+IF(AND(31&gt;=Personnel!$E$8,Personnel!$G$8="Yes"),Personnel!$D$8*(1-Personnel!$H$8),0)+IF(AND(31&gt;=Personnel!$E$9,Personnel!$G$9="Yes"),Personnel!$D$9*(1-Personnel!$H$9),0)+IF(AND(31&gt;=Personnel!$E$10,Personnel!$G$10="Yes"),Personnel!$D$10*(1-Personnel!$H$10),0)+IF(AND(31&gt;=Personnel!$E$11,Personnel!$G$11="Yes"),Personnel!$D$11*(1-Personnel!$H$11),0)+IF(AND(31&gt;=Personnel!$E$12,Personnel!$G$12="Yes"),Personnel!$D$12*(1-Personnel!$H$12),0)+IF(AND(31&gt;=Personnel!$E$13,Personnel!$G$13="Yes"),Personnel!$D$13*(1-Personnel!$H$13),0)+IF(AND(31&gt;=Personnel!$E$14,Personnel!$G$14="Yes"),Personnel!$D$14*(1-Personnel!$H$14),0)+IF(AND(31&gt;=Personnel!$E$15,Personnel!$G$15="Yes"),Personnel!$D$15*(1-Personnel!$H$15),0)+IF(AND(31&gt;=Personnel!$E$16,Personnel!$G$16="Yes"),Personnel!$D$16*(1-Personnel!$H$16),0)+IF(AND(31&gt;=Personnel!$E$17,Personnel!$G$17="Yes"),Personnel!$D$17*(1-Personnel!$H$17),0)+IF(AND(31&gt;=Personnel!$E$18,Personnel!$G$18="Yes"),Personnel!$D$18*(1-Personnel!$H$18),0)+IF(AND(31&gt;=Personnel!$E$19,Personnel!$G$19="Yes"),Personnel!$D$19*(1-Personnel!$H$19),0)+IF(AND(31&gt;=Personnel!$E$20,Personnel!$G$20="Yes"),Personnel!$D$20*(1-Personnel!$H$20),0)+IF(AND(31&gt;=Personnel!$E$21,Personnel!$G$21="Yes"),Personnel!$D$21*(1-Personnel!$H$21),0)+IF(AND(31&gt;=Personnel!$E$22,Personnel!$G$22="Yes"),Personnel!$D$22*(1-Personnel!$H$22),0)+IF(AND(31&gt;=Personnel!$E$23,Personnel!$G$23="Yes"),Personnel!$D$23*(1-Personnel!$H$23),0)+IF(AND(31&gt;=Personnel!$E$24,Personnel!$G$24="Yes"),Personnel!$D$24*(1-Personnel!$H$24),0)+IF(AND(31&gt;=Personnel!$E$25,Personnel!$G$25="Yes"),Personnel!$D$25*(1-Personnel!$H$25),0)+IF(AND(31&gt;=Personnel!$E$26,Personnel!$G$26="Yes"),Personnel!$D$26*(1-Personnel!$H$26),0)+IF(AND(31&gt;=Personnel!$E$27,Personnel!$G$27="Yes"),Personnel!$D$27*(1-Personnel!$H$27),0)+IF(AND(31&gt;=Personnel!$E$28,Personnel!$G$28="Yes"),Personnel!$D$28*(1-Personnel!$H$28),0)+IF(AND(31&gt;=Personnel!$E$29,Personnel!$G$29="Yes"),Personnel!$D$29*(1-Personnel!$H$29),0)+IF(AND(31&gt;=Personnel!$E$32,Personnel!$G$32="Yes"),Personnel!$D$32*(1-Personnel!$H$32),0)+IF(AND(31&gt;=Personnel!$E$33,Personnel!$G$33="Yes"),Personnel!$D$33*(1-Personnel!$H$33),0)+IF(AND(31&gt;=Personnel!$E$34,Personnel!$G$34="Yes"),Personnel!$D$34*(1-Personnel!$H$34),0)+IF(AND(31&gt;=Personnel!$E$35,Personnel!$G$35="Yes"),Personnel!$D$35*(1-Personnel!$H$35),0)+IF(AND(31&gt;=Personnel!$E$36,Personnel!$G$36="Yes"),Personnel!$D$36*(1-Personnel!$H$36),0)+IF(AND(31&gt;=Personnel!$E$37,Personnel!$G$37="Yes"),Personnel!$D$37*(1-Personnel!$H$37),0)+IF(AND(31&gt;=Personnel!$E$38,Personnel!$G$38="Yes"),Personnel!$D$38*(1-Personnel!$H$38),0))</f>
        <v>284324.33333333331</v>
      </c>
      <c r="AH4" s="105">
        <f>(IF(AND(32&gt;=Personnel!$E$2,Personnel!$G$2="Yes"),Personnel!$D$2*(1-Personnel!$H$2),0)+IF(AND(32&gt;=Personnel!$E$3,Personnel!$G$3="Yes"),Personnel!$D$3*(1-Personnel!$H$3),0)+IF(AND(32&gt;=Personnel!$E$4,Personnel!$G$4="Yes"),Personnel!$D$4*(1-Personnel!$H$4),0)+IF(AND(32&gt;=Personnel!$E$5,Personnel!$G$5="Yes"),Personnel!$D$5*(1-Personnel!$H$5),0)+IF(AND(32&gt;=Personnel!$E$6,Personnel!$G$6="Yes"),Personnel!$D$6*(1-Personnel!$H$6),0)+IF(AND(32&gt;=Personnel!$E$7,Personnel!$G$7="Yes"),Personnel!$D$7*(1-Personnel!$H$7),0)+IF(AND(32&gt;=Personnel!$E$8,Personnel!$G$8="Yes"),Personnel!$D$8*(1-Personnel!$H$8),0)+IF(AND(32&gt;=Personnel!$E$9,Personnel!$G$9="Yes"),Personnel!$D$9*(1-Personnel!$H$9),0)+IF(AND(32&gt;=Personnel!$E$10,Personnel!$G$10="Yes"),Personnel!$D$10*(1-Personnel!$H$10),0)+IF(AND(32&gt;=Personnel!$E$11,Personnel!$G$11="Yes"),Personnel!$D$11*(1-Personnel!$H$11),0)+IF(AND(32&gt;=Personnel!$E$12,Personnel!$G$12="Yes"),Personnel!$D$12*(1-Personnel!$H$12),0)+IF(AND(32&gt;=Personnel!$E$13,Personnel!$G$13="Yes"),Personnel!$D$13*(1-Personnel!$H$13),0)+IF(AND(32&gt;=Personnel!$E$14,Personnel!$G$14="Yes"),Personnel!$D$14*(1-Personnel!$H$14),0)+IF(AND(32&gt;=Personnel!$E$15,Personnel!$G$15="Yes"),Personnel!$D$15*(1-Personnel!$H$15),0)+IF(AND(32&gt;=Personnel!$E$16,Personnel!$G$16="Yes"),Personnel!$D$16*(1-Personnel!$H$16),0)+IF(AND(32&gt;=Personnel!$E$17,Personnel!$G$17="Yes"),Personnel!$D$17*(1-Personnel!$H$17),0)+IF(AND(32&gt;=Personnel!$E$18,Personnel!$G$18="Yes"),Personnel!$D$18*(1-Personnel!$H$18),0)+IF(AND(32&gt;=Personnel!$E$19,Personnel!$G$19="Yes"),Personnel!$D$19*(1-Personnel!$H$19),0)+IF(AND(32&gt;=Personnel!$E$20,Personnel!$G$20="Yes"),Personnel!$D$20*(1-Personnel!$H$20),0)+IF(AND(32&gt;=Personnel!$E$21,Personnel!$G$21="Yes"),Personnel!$D$21*(1-Personnel!$H$21),0)+IF(AND(32&gt;=Personnel!$E$22,Personnel!$G$22="Yes"),Personnel!$D$22*(1-Personnel!$H$22),0)+IF(AND(32&gt;=Personnel!$E$23,Personnel!$G$23="Yes"),Personnel!$D$23*(1-Personnel!$H$23),0)+IF(AND(32&gt;=Personnel!$E$24,Personnel!$G$24="Yes"),Personnel!$D$24*(1-Personnel!$H$24),0)+IF(AND(32&gt;=Personnel!$E$25,Personnel!$G$25="Yes"),Personnel!$D$25*(1-Personnel!$H$25),0)+IF(AND(32&gt;=Personnel!$E$26,Personnel!$G$26="Yes"),Personnel!$D$26*(1-Personnel!$H$26),0)+IF(AND(32&gt;=Personnel!$E$27,Personnel!$G$27="Yes"),Personnel!$D$27*(1-Personnel!$H$27),0)+IF(AND(32&gt;=Personnel!$E$28,Personnel!$G$28="Yes"),Personnel!$D$28*(1-Personnel!$H$28),0)+IF(AND(32&gt;=Personnel!$E$29,Personnel!$G$29="Yes"),Personnel!$D$29*(1-Personnel!$H$29),0)+IF(AND(32&gt;=Personnel!$E$32,Personnel!$G$32="Yes"),Personnel!$D$32*(1-Personnel!$H$32),0)+IF(AND(32&gt;=Personnel!$E$33,Personnel!$G$33="Yes"),Personnel!$D$33*(1-Personnel!$H$33),0)+IF(AND(32&gt;=Personnel!$E$34,Personnel!$G$34="Yes"),Personnel!$D$34*(1-Personnel!$H$34),0)+IF(AND(32&gt;=Personnel!$E$35,Personnel!$G$35="Yes"),Personnel!$D$35*(1-Personnel!$H$35),0)+IF(AND(32&gt;=Personnel!$E$36,Personnel!$G$36="Yes"),Personnel!$D$36*(1-Personnel!$H$36),0)+IF(AND(32&gt;=Personnel!$E$37,Personnel!$G$37="Yes"),Personnel!$D$37*(1-Personnel!$H$37),0)+IF(AND(32&gt;=Personnel!$E$38,Personnel!$G$38="Yes"),Personnel!$D$38*(1-Personnel!$H$38),0))</f>
        <v>284324.33333333331</v>
      </c>
      <c r="AI4" s="105">
        <f>(IF(AND(33&gt;=Personnel!$E$2,Personnel!$G$2="Yes"),Personnel!$D$2*(1-Personnel!$H$2),0)+IF(AND(33&gt;=Personnel!$E$3,Personnel!$G$3="Yes"),Personnel!$D$3*(1-Personnel!$H$3),0)+IF(AND(33&gt;=Personnel!$E$4,Personnel!$G$4="Yes"),Personnel!$D$4*(1-Personnel!$H$4),0)+IF(AND(33&gt;=Personnel!$E$5,Personnel!$G$5="Yes"),Personnel!$D$5*(1-Personnel!$H$5),0)+IF(AND(33&gt;=Personnel!$E$6,Personnel!$G$6="Yes"),Personnel!$D$6*(1-Personnel!$H$6),0)+IF(AND(33&gt;=Personnel!$E$7,Personnel!$G$7="Yes"),Personnel!$D$7*(1-Personnel!$H$7),0)+IF(AND(33&gt;=Personnel!$E$8,Personnel!$G$8="Yes"),Personnel!$D$8*(1-Personnel!$H$8),0)+IF(AND(33&gt;=Personnel!$E$9,Personnel!$G$9="Yes"),Personnel!$D$9*(1-Personnel!$H$9),0)+IF(AND(33&gt;=Personnel!$E$10,Personnel!$G$10="Yes"),Personnel!$D$10*(1-Personnel!$H$10),0)+IF(AND(33&gt;=Personnel!$E$11,Personnel!$G$11="Yes"),Personnel!$D$11*(1-Personnel!$H$11),0)+IF(AND(33&gt;=Personnel!$E$12,Personnel!$G$12="Yes"),Personnel!$D$12*(1-Personnel!$H$12),0)+IF(AND(33&gt;=Personnel!$E$13,Personnel!$G$13="Yes"),Personnel!$D$13*(1-Personnel!$H$13),0)+IF(AND(33&gt;=Personnel!$E$14,Personnel!$G$14="Yes"),Personnel!$D$14*(1-Personnel!$H$14),0)+IF(AND(33&gt;=Personnel!$E$15,Personnel!$G$15="Yes"),Personnel!$D$15*(1-Personnel!$H$15),0)+IF(AND(33&gt;=Personnel!$E$16,Personnel!$G$16="Yes"),Personnel!$D$16*(1-Personnel!$H$16),0)+IF(AND(33&gt;=Personnel!$E$17,Personnel!$G$17="Yes"),Personnel!$D$17*(1-Personnel!$H$17),0)+IF(AND(33&gt;=Personnel!$E$18,Personnel!$G$18="Yes"),Personnel!$D$18*(1-Personnel!$H$18),0)+IF(AND(33&gt;=Personnel!$E$19,Personnel!$G$19="Yes"),Personnel!$D$19*(1-Personnel!$H$19),0)+IF(AND(33&gt;=Personnel!$E$20,Personnel!$G$20="Yes"),Personnel!$D$20*(1-Personnel!$H$20),0)+IF(AND(33&gt;=Personnel!$E$21,Personnel!$G$21="Yes"),Personnel!$D$21*(1-Personnel!$H$21),0)+IF(AND(33&gt;=Personnel!$E$22,Personnel!$G$22="Yes"),Personnel!$D$22*(1-Personnel!$H$22),0)+IF(AND(33&gt;=Personnel!$E$23,Personnel!$G$23="Yes"),Personnel!$D$23*(1-Personnel!$H$23),0)+IF(AND(33&gt;=Personnel!$E$24,Personnel!$G$24="Yes"),Personnel!$D$24*(1-Personnel!$H$24),0)+IF(AND(33&gt;=Personnel!$E$25,Personnel!$G$25="Yes"),Personnel!$D$25*(1-Personnel!$H$25),0)+IF(AND(33&gt;=Personnel!$E$26,Personnel!$G$26="Yes"),Personnel!$D$26*(1-Personnel!$H$26),0)+IF(AND(33&gt;=Personnel!$E$27,Personnel!$G$27="Yes"),Personnel!$D$27*(1-Personnel!$H$27),0)+IF(AND(33&gt;=Personnel!$E$28,Personnel!$G$28="Yes"),Personnel!$D$28*(1-Personnel!$H$28),0)+IF(AND(33&gt;=Personnel!$E$29,Personnel!$G$29="Yes"),Personnel!$D$29*(1-Personnel!$H$29),0)+IF(AND(33&gt;=Personnel!$E$32,Personnel!$G$32="Yes"),Personnel!$D$32*(1-Personnel!$H$32),0)+IF(AND(33&gt;=Personnel!$E$33,Personnel!$G$33="Yes"),Personnel!$D$33*(1-Personnel!$H$33),0)+IF(AND(33&gt;=Personnel!$E$34,Personnel!$G$34="Yes"),Personnel!$D$34*(1-Personnel!$H$34),0)+IF(AND(33&gt;=Personnel!$E$35,Personnel!$G$35="Yes"),Personnel!$D$35*(1-Personnel!$H$35),0)+IF(AND(33&gt;=Personnel!$E$36,Personnel!$G$36="Yes"),Personnel!$D$36*(1-Personnel!$H$36),0)+IF(AND(33&gt;=Personnel!$E$37,Personnel!$G$37="Yes"),Personnel!$D$37*(1-Personnel!$H$37),0)+IF(AND(33&gt;=Personnel!$E$38,Personnel!$G$38="Yes"),Personnel!$D$38*(1-Personnel!$H$38),0))</f>
        <v>284324.33333333331</v>
      </c>
      <c r="AJ4" s="105">
        <f>(IF(AND(34&gt;=Personnel!$E$2,Personnel!$G$2="Yes"),Personnel!$D$2*(1-Personnel!$H$2),0)+IF(AND(34&gt;=Personnel!$E$3,Personnel!$G$3="Yes"),Personnel!$D$3*(1-Personnel!$H$3),0)+IF(AND(34&gt;=Personnel!$E$4,Personnel!$G$4="Yes"),Personnel!$D$4*(1-Personnel!$H$4),0)+IF(AND(34&gt;=Personnel!$E$5,Personnel!$G$5="Yes"),Personnel!$D$5*(1-Personnel!$H$5),0)+IF(AND(34&gt;=Personnel!$E$6,Personnel!$G$6="Yes"),Personnel!$D$6*(1-Personnel!$H$6),0)+IF(AND(34&gt;=Personnel!$E$7,Personnel!$G$7="Yes"),Personnel!$D$7*(1-Personnel!$H$7),0)+IF(AND(34&gt;=Personnel!$E$8,Personnel!$G$8="Yes"),Personnel!$D$8*(1-Personnel!$H$8),0)+IF(AND(34&gt;=Personnel!$E$9,Personnel!$G$9="Yes"),Personnel!$D$9*(1-Personnel!$H$9),0)+IF(AND(34&gt;=Personnel!$E$10,Personnel!$G$10="Yes"),Personnel!$D$10*(1-Personnel!$H$10),0)+IF(AND(34&gt;=Personnel!$E$11,Personnel!$G$11="Yes"),Personnel!$D$11*(1-Personnel!$H$11),0)+IF(AND(34&gt;=Personnel!$E$12,Personnel!$G$12="Yes"),Personnel!$D$12*(1-Personnel!$H$12),0)+IF(AND(34&gt;=Personnel!$E$13,Personnel!$G$13="Yes"),Personnel!$D$13*(1-Personnel!$H$13),0)+IF(AND(34&gt;=Personnel!$E$14,Personnel!$G$14="Yes"),Personnel!$D$14*(1-Personnel!$H$14),0)+IF(AND(34&gt;=Personnel!$E$15,Personnel!$G$15="Yes"),Personnel!$D$15*(1-Personnel!$H$15),0)+IF(AND(34&gt;=Personnel!$E$16,Personnel!$G$16="Yes"),Personnel!$D$16*(1-Personnel!$H$16),0)+IF(AND(34&gt;=Personnel!$E$17,Personnel!$G$17="Yes"),Personnel!$D$17*(1-Personnel!$H$17),0)+IF(AND(34&gt;=Personnel!$E$18,Personnel!$G$18="Yes"),Personnel!$D$18*(1-Personnel!$H$18),0)+IF(AND(34&gt;=Personnel!$E$19,Personnel!$G$19="Yes"),Personnel!$D$19*(1-Personnel!$H$19),0)+IF(AND(34&gt;=Personnel!$E$20,Personnel!$G$20="Yes"),Personnel!$D$20*(1-Personnel!$H$20),0)+IF(AND(34&gt;=Personnel!$E$21,Personnel!$G$21="Yes"),Personnel!$D$21*(1-Personnel!$H$21),0)+IF(AND(34&gt;=Personnel!$E$22,Personnel!$G$22="Yes"),Personnel!$D$22*(1-Personnel!$H$22),0)+IF(AND(34&gt;=Personnel!$E$23,Personnel!$G$23="Yes"),Personnel!$D$23*(1-Personnel!$H$23),0)+IF(AND(34&gt;=Personnel!$E$24,Personnel!$G$24="Yes"),Personnel!$D$24*(1-Personnel!$H$24),0)+IF(AND(34&gt;=Personnel!$E$25,Personnel!$G$25="Yes"),Personnel!$D$25*(1-Personnel!$H$25),0)+IF(AND(34&gt;=Personnel!$E$26,Personnel!$G$26="Yes"),Personnel!$D$26*(1-Personnel!$H$26),0)+IF(AND(34&gt;=Personnel!$E$27,Personnel!$G$27="Yes"),Personnel!$D$27*(1-Personnel!$H$27),0)+IF(AND(34&gt;=Personnel!$E$28,Personnel!$G$28="Yes"),Personnel!$D$28*(1-Personnel!$H$28),0)+IF(AND(34&gt;=Personnel!$E$29,Personnel!$G$29="Yes"),Personnel!$D$29*(1-Personnel!$H$29),0)+IF(AND(34&gt;=Personnel!$E$32,Personnel!$G$32="Yes"),Personnel!$D$32*(1-Personnel!$H$32),0)+IF(AND(34&gt;=Personnel!$E$33,Personnel!$G$33="Yes"),Personnel!$D$33*(1-Personnel!$H$33),0)+IF(AND(34&gt;=Personnel!$E$34,Personnel!$G$34="Yes"),Personnel!$D$34*(1-Personnel!$H$34),0)+IF(AND(34&gt;=Personnel!$E$35,Personnel!$G$35="Yes"),Personnel!$D$35*(1-Personnel!$H$35),0)+IF(AND(34&gt;=Personnel!$E$36,Personnel!$G$36="Yes"),Personnel!$D$36*(1-Personnel!$H$36),0)+IF(AND(34&gt;=Personnel!$E$37,Personnel!$G$37="Yes"),Personnel!$D$37*(1-Personnel!$H$37),0)+IF(AND(34&gt;=Personnel!$E$38,Personnel!$G$38="Yes"),Personnel!$D$38*(1-Personnel!$H$38),0))</f>
        <v>284324.33333333331</v>
      </c>
      <c r="AK4" s="105">
        <f>(IF(AND(35&gt;=Personnel!$E$2,Personnel!$G$2="Yes"),Personnel!$D$2*(1-Personnel!$H$2),0)+IF(AND(35&gt;=Personnel!$E$3,Personnel!$G$3="Yes"),Personnel!$D$3*(1-Personnel!$H$3),0)+IF(AND(35&gt;=Personnel!$E$4,Personnel!$G$4="Yes"),Personnel!$D$4*(1-Personnel!$H$4),0)+IF(AND(35&gt;=Personnel!$E$5,Personnel!$G$5="Yes"),Personnel!$D$5*(1-Personnel!$H$5),0)+IF(AND(35&gt;=Personnel!$E$6,Personnel!$G$6="Yes"),Personnel!$D$6*(1-Personnel!$H$6),0)+IF(AND(35&gt;=Personnel!$E$7,Personnel!$G$7="Yes"),Personnel!$D$7*(1-Personnel!$H$7),0)+IF(AND(35&gt;=Personnel!$E$8,Personnel!$G$8="Yes"),Personnel!$D$8*(1-Personnel!$H$8),0)+IF(AND(35&gt;=Personnel!$E$9,Personnel!$G$9="Yes"),Personnel!$D$9*(1-Personnel!$H$9),0)+IF(AND(35&gt;=Personnel!$E$10,Personnel!$G$10="Yes"),Personnel!$D$10*(1-Personnel!$H$10),0)+IF(AND(35&gt;=Personnel!$E$11,Personnel!$G$11="Yes"),Personnel!$D$11*(1-Personnel!$H$11),0)+IF(AND(35&gt;=Personnel!$E$12,Personnel!$G$12="Yes"),Personnel!$D$12*(1-Personnel!$H$12),0)+IF(AND(35&gt;=Personnel!$E$13,Personnel!$G$13="Yes"),Personnel!$D$13*(1-Personnel!$H$13),0)+IF(AND(35&gt;=Personnel!$E$14,Personnel!$G$14="Yes"),Personnel!$D$14*(1-Personnel!$H$14),0)+IF(AND(35&gt;=Personnel!$E$15,Personnel!$G$15="Yes"),Personnel!$D$15*(1-Personnel!$H$15),0)+IF(AND(35&gt;=Personnel!$E$16,Personnel!$G$16="Yes"),Personnel!$D$16*(1-Personnel!$H$16),0)+IF(AND(35&gt;=Personnel!$E$17,Personnel!$G$17="Yes"),Personnel!$D$17*(1-Personnel!$H$17),0)+IF(AND(35&gt;=Personnel!$E$18,Personnel!$G$18="Yes"),Personnel!$D$18*(1-Personnel!$H$18),0)+IF(AND(35&gt;=Personnel!$E$19,Personnel!$G$19="Yes"),Personnel!$D$19*(1-Personnel!$H$19),0)+IF(AND(35&gt;=Personnel!$E$20,Personnel!$G$20="Yes"),Personnel!$D$20*(1-Personnel!$H$20),0)+IF(AND(35&gt;=Personnel!$E$21,Personnel!$G$21="Yes"),Personnel!$D$21*(1-Personnel!$H$21),0)+IF(AND(35&gt;=Personnel!$E$22,Personnel!$G$22="Yes"),Personnel!$D$22*(1-Personnel!$H$22),0)+IF(AND(35&gt;=Personnel!$E$23,Personnel!$G$23="Yes"),Personnel!$D$23*(1-Personnel!$H$23),0)+IF(AND(35&gt;=Personnel!$E$24,Personnel!$G$24="Yes"),Personnel!$D$24*(1-Personnel!$H$24),0)+IF(AND(35&gt;=Personnel!$E$25,Personnel!$G$25="Yes"),Personnel!$D$25*(1-Personnel!$H$25),0)+IF(AND(35&gt;=Personnel!$E$26,Personnel!$G$26="Yes"),Personnel!$D$26*(1-Personnel!$H$26),0)+IF(AND(35&gt;=Personnel!$E$27,Personnel!$G$27="Yes"),Personnel!$D$27*(1-Personnel!$H$27),0)+IF(AND(35&gt;=Personnel!$E$28,Personnel!$G$28="Yes"),Personnel!$D$28*(1-Personnel!$H$28),0)+IF(AND(35&gt;=Personnel!$E$29,Personnel!$G$29="Yes"),Personnel!$D$29*(1-Personnel!$H$29),0)+IF(AND(35&gt;=Personnel!$E$32,Personnel!$G$32="Yes"),Personnel!$D$32*(1-Personnel!$H$32),0)+IF(AND(35&gt;=Personnel!$E$33,Personnel!$G$33="Yes"),Personnel!$D$33*(1-Personnel!$H$33),0)+IF(AND(35&gt;=Personnel!$E$34,Personnel!$G$34="Yes"),Personnel!$D$34*(1-Personnel!$H$34),0)+IF(AND(35&gt;=Personnel!$E$35,Personnel!$G$35="Yes"),Personnel!$D$35*(1-Personnel!$H$35),0)+IF(AND(35&gt;=Personnel!$E$36,Personnel!$G$36="Yes"),Personnel!$D$36*(1-Personnel!$H$36),0)+IF(AND(35&gt;=Personnel!$E$37,Personnel!$G$37="Yes"),Personnel!$D$37*(1-Personnel!$H$37),0)+IF(AND(35&gt;=Personnel!$E$38,Personnel!$G$38="Yes"),Personnel!$D$38*(1-Personnel!$H$38),0))</f>
        <v>284324.33333333331</v>
      </c>
      <c r="AL4" s="105">
        <f>(IF(AND(36&gt;=Personnel!$E$2,Personnel!$G$2="Yes"),Personnel!$D$2*(1-Personnel!$H$2),0)+IF(AND(36&gt;=Personnel!$E$3,Personnel!$G$3="Yes"),Personnel!$D$3*(1-Personnel!$H$3),0)+IF(AND(36&gt;=Personnel!$E$4,Personnel!$G$4="Yes"),Personnel!$D$4*(1-Personnel!$H$4),0)+IF(AND(36&gt;=Personnel!$E$5,Personnel!$G$5="Yes"),Personnel!$D$5*(1-Personnel!$H$5),0)+IF(AND(36&gt;=Personnel!$E$6,Personnel!$G$6="Yes"),Personnel!$D$6*(1-Personnel!$H$6),0)+IF(AND(36&gt;=Personnel!$E$7,Personnel!$G$7="Yes"),Personnel!$D$7*(1-Personnel!$H$7),0)+IF(AND(36&gt;=Personnel!$E$8,Personnel!$G$8="Yes"),Personnel!$D$8*(1-Personnel!$H$8),0)+IF(AND(36&gt;=Personnel!$E$9,Personnel!$G$9="Yes"),Personnel!$D$9*(1-Personnel!$H$9),0)+IF(AND(36&gt;=Personnel!$E$10,Personnel!$G$10="Yes"),Personnel!$D$10*(1-Personnel!$H$10),0)+IF(AND(36&gt;=Personnel!$E$11,Personnel!$G$11="Yes"),Personnel!$D$11*(1-Personnel!$H$11),0)+IF(AND(36&gt;=Personnel!$E$12,Personnel!$G$12="Yes"),Personnel!$D$12*(1-Personnel!$H$12),0)+IF(AND(36&gt;=Personnel!$E$13,Personnel!$G$13="Yes"),Personnel!$D$13*(1-Personnel!$H$13),0)+IF(AND(36&gt;=Personnel!$E$14,Personnel!$G$14="Yes"),Personnel!$D$14*(1-Personnel!$H$14),0)+IF(AND(36&gt;=Personnel!$E$15,Personnel!$G$15="Yes"),Personnel!$D$15*(1-Personnel!$H$15),0)+IF(AND(36&gt;=Personnel!$E$16,Personnel!$G$16="Yes"),Personnel!$D$16*(1-Personnel!$H$16),0)+IF(AND(36&gt;=Personnel!$E$17,Personnel!$G$17="Yes"),Personnel!$D$17*(1-Personnel!$H$17),0)+IF(AND(36&gt;=Personnel!$E$18,Personnel!$G$18="Yes"),Personnel!$D$18*(1-Personnel!$H$18),0)+IF(AND(36&gt;=Personnel!$E$19,Personnel!$G$19="Yes"),Personnel!$D$19*(1-Personnel!$H$19),0)+IF(AND(36&gt;=Personnel!$E$20,Personnel!$G$20="Yes"),Personnel!$D$20*(1-Personnel!$H$20),0)+IF(AND(36&gt;=Personnel!$E$21,Personnel!$G$21="Yes"),Personnel!$D$21*(1-Personnel!$H$21),0)+IF(AND(36&gt;=Personnel!$E$22,Personnel!$G$22="Yes"),Personnel!$D$22*(1-Personnel!$H$22),0)+IF(AND(36&gt;=Personnel!$E$23,Personnel!$G$23="Yes"),Personnel!$D$23*(1-Personnel!$H$23),0)+IF(AND(36&gt;=Personnel!$E$24,Personnel!$G$24="Yes"),Personnel!$D$24*(1-Personnel!$H$24),0)+IF(AND(36&gt;=Personnel!$E$25,Personnel!$G$25="Yes"),Personnel!$D$25*(1-Personnel!$H$25),0)+IF(AND(36&gt;=Personnel!$E$26,Personnel!$G$26="Yes"),Personnel!$D$26*(1-Personnel!$H$26),0)+IF(AND(36&gt;=Personnel!$E$27,Personnel!$G$27="Yes"),Personnel!$D$27*(1-Personnel!$H$27),0)+IF(AND(36&gt;=Personnel!$E$28,Personnel!$G$28="Yes"),Personnel!$D$28*(1-Personnel!$H$28),0)+IF(AND(36&gt;=Personnel!$E$29,Personnel!$G$29="Yes"),Personnel!$D$29*(1-Personnel!$H$29),0)+IF(AND(36&gt;=Personnel!$E$32,Personnel!$G$32="Yes"),Personnel!$D$32*(1-Personnel!$H$32),0)+IF(AND(36&gt;=Personnel!$E$33,Personnel!$G$33="Yes"),Personnel!$D$33*(1-Personnel!$H$33),0)+IF(AND(36&gt;=Personnel!$E$34,Personnel!$G$34="Yes"),Personnel!$D$34*(1-Personnel!$H$34),0)+IF(AND(36&gt;=Personnel!$E$35,Personnel!$G$35="Yes"),Personnel!$D$35*(1-Personnel!$H$35),0)+IF(AND(36&gt;=Personnel!$E$36,Personnel!$G$36="Yes"),Personnel!$D$36*(1-Personnel!$H$36),0)+IF(AND(36&gt;=Personnel!$E$37,Personnel!$G$37="Yes"),Personnel!$D$37*(1-Personnel!$H$37),0)+IF(AND(36&gt;=Personnel!$E$38,Personnel!$G$38="Yes"),Personnel!$D$38*(1-Personnel!$H$38),0))</f>
        <v>284324.33333333331</v>
      </c>
      <c r="AM4" s="105">
        <f>(IF(AND(37&gt;=Personnel!$E$2,Personnel!$G$2="Yes"),Personnel!$D$2*(1-Personnel!$H$2),0)+IF(AND(37&gt;=Personnel!$E$3,Personnel!$G$3="Yes"),Personnel!$D$3*(1-Personnel!$H$3),0)+IF(AND(37&gt;=Personnel!$E$4,Personnel!$G$4="Yes"),Personnel!$D$4*(1-Personnel!$H$4),0)+IF(AND(37&gt;=Personnel!$E$5,Personnel!$G$5="Yes"),Personnel!$D$5*(1-Personnel!$H$5),0)+IF(AND(37&gt;=Personnel!$E$6,Personnel!$G$6="Yes"),Personnel!$D$6*(1-Personnel!$H$6),0)+IF(AND(37&gt;=Personnel!$E$7,Personnel!$G$7="Yes"),Personnel!$D$7*(1-Personnel!$H$7),0)+IF(AND(37&gt;=Personnel!$E$8,Personnel!$G$8="Yes"),Personnel!$D$8*(1-Personnel!$H$8),0)+IF(AND(37&gt;=Personnel!$E$9,Personnel!$G$9="Yes"),Personnel!$D$9*(1-Personnel!$H$9),0)+IF(AND(37&gt;=Personnel!$E$10,Personnel!$G$10="Yes"),Personnel!$D$10*(1-Personnel!$H$10),0)+IF(AND(37&gt;=Personnel!$E$11,Personnel!$G$11="Yes"),Personnel!$D$11*(1-Personnel!$H$11),0)+IF(AND(37&gt;=Personnel!$E$12,Personnel!$G$12="Yes"),Personnel!$D$12*(1-Personnel!$H$12),0)+IF(AND(37&gt;=Personnel!$E$13,Personnel!$G$13="Yes"),Personnel!$D$13*(1-Personnel!$H$13),0)+IF(AND(37&gt;=Personnel!$E$14,Personnel!$G$14="Yes"),Personnel!$D$14*(1-Personnel!$H$14),0)+IF(AND(37&gt;=Personnel!$E$15,Personnel!$G$15="Yes"),Personnel!$D$15*(1-Personnel!$H$15),0)+IF(AND(37&gt;=Personnel!$E$16,Personnel!$G$16="Yes"),Personnel!$D$16*(1-Personnel!$H$16),0)+IF(AND(37&gt;=Personnel!$E$17,Personnel!$G$17="Yes"),Personnel!$D$17*(1-Personnel!$H$17),0)+IF(AND(37&gt;=Personnel!$E$18,Personnel!$G$18="Yes"),Personnel!$D$18*(1-Personnel!$H$18),0)+IF(AND(37&gt;=Personnel!$E$19,Personnel!$G$19="Yes"),Personnel!$D$19*(1-Personnel!$H$19),0)+IF(AND(37&gt;=Personnel!$E$20,Personnel!$G$20="Yes"),Personnel!$D$20*(1-Personnel!$H$20),0)+IF(AND(37&gt;=Personnel!$E$21,Personnel!$G$21="Yes"),Personnel!$D$21*(1-Personnel!$H$21),0)+IF(AND(37&gt;=Personnel!$E$22,Personnel!$G$22="Yes"),Personnel!$D$22*(1-Personnel!$H$22),0)+IF(AND(37&gt;=Personnel!$E$23,Personnel!$G$23="Yes"),Personnel!$D$23*(1-Personnel!$H$23),0)+IF(AND(37&gt;=Personnel!$E$24,Personnel!$G$24="Yes"),Personnel!$D$24*(1-Personnel!$H$24),0)+IF(AND(37&gt;=Personnel!$E$25,Personnel!$G$25="Yes"),Personnel!$D$25*(1-Personnel!$H$25),0)+IF(AND(37&gt;=Personnel!$E$26,Personnel!$G$26="Yes"),Personnel!$D$26*(1-Personnel!$H$26),0)+IF(AND(37&gt;=Personnel!$E$27,Personnel!$G$27="Yes"),Personnel!$D$27*(1-Personnel!$H$27),0)+IF(AND(37&gt;=Personnel!$E$28,Personnel!$G$28="Yes"),Personnel!$D$28*(1-Personnel!$H$28),0)+IF(AND(37&gt;=Personnel!$E$29,Personnel!$G$29="Yes"),Personnel!$D$29*(1-Personnel!$H$29),0)+IF(AND(37&gt;=Personnel!$E$32,Personnel!$G$32="Yes"),Personnel!$D$32*(1-Personnel!$H$32),0)+IF(AND(37&gt;=Personnel!$E$33,Personnel!$G$33="Yes"),Personnel!$D$33*(1-Personnel!$H$33),0)+IF(AND(37&gt;=Personnel!$E$34,Personnel!$G$34="Yes"),Personnel!$D$34*(1-Personnel!$H$34),0)+IF(AND(37&gt;=Personnel!$E$35,Personnel!$G$35="Yes"),Personnel!$D$35*(1-Personnel!$H$35),0)+IF(AND(37&gt;=Personnel!$E$36,Personnel!$G$36="Yes"),Personnel!$D$36*(1-Personnel!$H$36),0)+IF(AND(37&gt;=Personnel!$E$37,Personnel!$G$37="Yes"),Personnel!$D$37*(1-Personnel!$H$37),0)+IF(AND(37&gt;=Personnel!$E$38,Personnel!$G$38="Yes"),Personnel!$D$38*(1-Personnel!$H$38),0))</f>
        <v>284324.33333333331</v>
      </c>
      <c r="AN4" s="105">
        <f>(IF(AND(38&gt;=Personnel!$E$2,Personnel!$G$2="Yes"),Personnel!$D$2*(1-Personnel!$H$2),0)+IF(AND(38&gt;=Personnel!$E$3,Personnel!$G$3="Yes"),Personnel!$D$3*(1-Personnel!$H$3),0)+IF(AND(38&gt;=Personnel!$E$4,Personnel!$G$4="Yes"),Personnel!$D$4*(1-Personnel!$H$4),0)+IF(AND(38&gt;=Personnel!$E$5,Personnel!$G$5="Yes"),Personnel!$D$5*(1-Personnel!$H$5),0)+IF(AND(38&gt;=Personnel!$E$6,Personnel!$G$6="Yes"),Personnel!$D$6*(1-Personnel!$H$6),0)+IF(AND(38&gt;=Personnel!$E$7,Personnel!$G$7="Yes"),Personnel!$D$7*(1-Personnel!$H$7),0)+IF(AND(38&gt;=Personnel!$E$8,Personnel!$G$8="Yes"),Personnel!$D$8*(1-Personnel!$H$8),0)+IF(AND(38&gt;=Personnel!$E$9,Personnel!$G$9="Yes"),Personnel!$D$9*(1-Personnel!$H$9),0)+IF(AND(38&gt;=Personnel!$E$10,Personnel!$G$10="Yes"),Personnel!$D$10*(1-Personnel!$H$10),0)+IF(AND(38&gt;=Personnel!$E$11,Personnel!$G$11="Yes"),Personnel!$D$11*(1-Personnel!$H$11),0)+IF(AND(38&gt;=Personnel!$E$12,Personnel!$G$12="Yes"),Personnel!$D$12*(1-Personnel!$H$12),0)+IF(AND(38&gt;=Personnel!$E$13,Personnel!$G$13="Yes"),Personnel!$D$13*(1-Personnel!$H$13),0)+IF(AND(38&gt;=Personnel!$E$14,Personnel!$G$14="Yes"),Personnel!$D$14*(1-Personnel!$H$14),0)+IF(AND(38&gt;=Personnel!$E$15,Personnel!$G$15="Yes"),Personnel!$D$15*(1-Personnel!$H$15),0)+IF(AND(38&gt;=Personnel!$E$16,Personnel!$G$16="Yes"),Personnel!$D$16*(1-Personnel!$H$16),0)+IF(AND(38&gt;=Personnel!$E$17,Personnel!$G$17="Yes"),Personnel!$D$17*(1-Personnel!$H$17),0)+IF(AND(38&gt;=Personnel!$E$18,Personnel!$G$18="Yes"),Personnel!$D$18*(1-Personnel!$H$18),0)+IF(AND(38&gt;=Personnel!$E$19,Personnel!$G$19="Yes"),Personnel!$D$19*(1-Personnel!$H$19),0)+IF(AND(38&gt;=Personnel!$E$20,Personnel!$G$20="Yes"),Personnel!$D$20*(1-Personnel!$H$20),0)+IF(AND(38&gt;=Personnel!$E$21,Personnel!$G$21="Yes"),Personnel!$D$21*(1-Personnel!$H$21),0)+IF(AND(38&gt;=Personnel!$E$22,Personnel!$G$22="Yes"),Personnel!$D$22*(1-Personnel!$H$22),0)+IF(AND(38&gt;=Personnel!$E$23,Personnel!$G$23="Yes"),Personnel!$D$23*(1-Personnel!$H$23),0)+IF(AND(38&gt;=Personnel!$E$24,Personnel!$G$24="Yes"),Personnel!$D$24*(1-Personnel!$H$24),0)+IF(AND(38&gt;=Personnel!$E$25,Personnel!$G$25="Yes"),Personnel!$D$25*(1-Personnel!$H$25),0)+IF(AND(38&gt;=Personnel!$E$26,Personnel!$G$26="Yes"),Personnel!$D$26*(1-Personnel!$H$26),0)+IF(AND(38&gt;=Personnel!$E$27,Personnel!$G$27="Yes"),Personnel!$D$27*(1-Personnel!$H$27),0)+IF(AND(38&gt;=Personnel!$E$28,Personnel!$G$28="Yes"),Personnel!$D$28*(1-Personnel!$H$28),0)+IF(AND(38&gt;=Personnel!$E$29,Personnel!$G$29="Yes"),Personnel!$D$29*(1-Personnel!$H$29),0)+IF(AND(38&gt;=Personnel!$E$32,Personnel!$G$32="Yes"),Personnel!$D$32*(1-Personnel!$H$32),0)+IF(AND(38&gt;=Personnel!$E$33,Personnel!$G$33="Yes"),Personnel!$D$33*(1-Personnel!$H$33),0)+IF(AND(38&gt;=Personnel!$E$34,Personnel!$G$34="Yes"),Personnel!$D$34*(1-Personnel!$H$34),0)+IF(AND(38&gt;=Personnel!$E$35,Personnel!$G$35="Yes"),Personnel!$D$35*(1-Personnel!$H$35),0)+IF(AND(38&gt;=Personnel!$E$36,Personnel!$G$36="Yes"),Personnel!$D$36*(1-Personnel!$H$36),0)+IF(AND(38&gt;=Personnel!$E$37,Personnel!$G$37="Yes"),Personnel!$D$37*(1-Personnel!$H$37),0)+IF(AND(38&gt;=Personnel!$E$38,Personnel!$G$38="Yes"),Personnel!$D$38*(1-Personnel!$H$38),0))</f>
        <v>284324.33333333331</v>
      </c>
      <c r="AO4" s="105">
        <f>(IF(AND(39&gt;=Personnel!$E$2,Personnel!$G$2="Yes"),Personnel!$D$2*(1-Personnel!$H$2),0)+IF(AND(39&gt;=Personnel!$E$3,Personnel!$G$3="Yes"),Personnel!$D$3*(1-Personnel!$H$3),0)+IF(AND(39&gt;=Personnel!$E$4,Personnel!$G$4="Yes"),Personnel!$D$4*(1-Personnel!$H$4),0)+IF(AND(39&gt;=Personnel!$E$5,Personnel!$G$5="Yes"),Personnel!$D$5*(1-Personnel!$H$5),0)+IF(AND(39&gt;=Personnel!$E$6,Personnel!$G$6="Yes"),Personnel!$D$6*(1-Personnel!$H$6),0)+IF(AND(39&gt;=Personnel!$E$7,Personnel!$G$7="Yes"),Personnel!$D$7*(1-Personnel!$H$7),0)+IF(AND(39&gt;=Personnel!$E$8,Personnel!$G$8="Yes"),Personnel!$D$8*(1-Personnel!$H$8),0)+IF(AND(39&gt;=Personnel!$E$9,Personnel!$G$9="Yes"),Personnel!$D$9*(1-Personnel!$H$9),0)+IF(AND(39&gt;=Personnel!$E$10,Personnel!$G$10="Yes"),Personnel!$D$10*(1-Personnel!$H$10),0)+IF(AND(39&gt;=Personnel!$E$11,Personnel!$G$11="Yes"),Personnel!$D$11*(1-Personnel!$H$11),0)+IF(AND(39&gt;=Personnel!$E$12,Personnel!$G$12="Yes"),Personnel!$D$12*(1-Personnel!$H$12),0)+IF(AND(39&gt;=Personnel!$E$13,Personnel!$G$13="Yes"),Personnel!$D$13*(1-Personnel!$H$13),0)+IF(AND(39&gt;=Personnel!$E$14,Personnel!$G$14="Yes"),Personnel!$D$14*(1-Personnel!$H$14),0)+IF(AND(39&gt;=Personnel!$E$15,Personnel!$G$15="Yes"),Personnel!$D$15*(1-Personnel!$H$15),0)+IF(AND(39&gt;=Personnel!$E$16,Personnel!$G$16="Yes"),Personnel!$D$16*(1-Personnel!$H$16),0)+IF(AND(39&gt;=Personnel!$E$17,Personnel!$G$17="Yes"),Personnel!$D$17*(1-Personnel!$H$17),0)+IF(AND(39&gt;=Personnel!$E$18,Personnel!$G$18="Yes"),Personnel!$D$18*(1-Personnel!$H$18),0)+IF(AND(39&gt;=Personnel!$E$19,Personnel!$G$19="Yes"),Personnel!$D$19*(1-Personnel!$H$19),0)+IF(AND(39&gt;=Personnel!$E$20,Personnel!$G$20="Yes"),Personnel!$D$20*(1-Personnel!$H$20),0)+IF(AND(39&gt;=Personnel!$E$21,Personnel!$G$21="Yes"),Personnel!$D$21*(1-Personnel!$H$21),0)+IF(AND(39&gt;=Personnel!$E$22,Personnel!$G$22="Yes"),Personnel!$D$22*(1-Personnel!$H$22),0)+IF(AND(39&gt;=Personnel!$E$23,Personnel!$G$23="Yes"),Personnel!$D$23*(1-Personnel!$H$23),0)+IF(AND(39&gt;=Personnel!$E$24,Personnel!$G$24="Yes"),Personnel!$D$24*(1-Personnel!$H$24),0)+IF(AND(39&gt;=Personnel!$E$25,Personnel!$G$25="Yes"),Personnel!$D$25*(1-Personnel!$H$25),0)+IF(AND(39&gt;=Personnel!$E$26,Personnel!$G$26="Yes"),Personnel!$D$26*(1-Personnel!$H$26),0)+IF(AND(39&gt;=Personnel!$E$27,Personnel!$G$27="Yes"),Personnel!$D$27*(1-Personnel!$H$27),0)+IF(AND(39&gt;=Personnel!$E$28,Personnel!$G$28="Yes"),Personnel!$D$28*(1-Personnel!$H$28),0)+IF(AND(39&gt;=Personnel!$E$29,Personnel!$G$29="Yes"),Personnel!$D$29*(1-Personnel!$H$29),0)+IF(AND(39&gt;=Personnel!$E$32,Personnel!$G$32="Yes"),Personnel!$D$32*(1-Personnel!$H$32),0)+IF(AND(39&gt;=Personnel!$E$33,Personnel!$G$33="Yes"),Personnel!$D$33*(1-Personnel!$H$33),0)+IF(AND(39&gt;=Personnel!$E$34,Personnel!$G$34="Yes"),Personnel!$D$34*(1-Personnel!$H$34),0)+IF(AND(39&gt;=Personnel!$E$35,Personnel!$G$35="Yes"),Personnel!$D$35*(1-Personnel!$H$35),0)+IF(AND(39&gt;=Personnel!$E$36,Personnel!$G$36="Yes"),Personnel!$D$36*(1-Personnel!$H$36),0)+IF(AND(39&gt;=Personnel!$E$37,Personnel!$G$37="Yes"),Personnel!$D$37*(1-Personnel!$H$37),0)+IF(AND(39&gt;=Personnel!$E$38,Personnel!$G$38="Yes"),Personnel!$D$38*(1-Personnel!$H$38),0))</f>
        <v>284324.33333333331</v>
      </c>
      <c r="AP4" s="105">
        <f>(IF(AND(40&gt;=Personnel!$E$2,Personnel!$G$2="Yes"),Personnel!$D$2*(1-Personnel!$H$2),0)+IF(AND(40&gt;=Personnel!$E$3,Personnel!$G$3="Yes"),Personnel!$D$3*(1-Personnel!$H$3),0)+IF(AND(40&gt;=Personnel!$E$4,Personnel!$G$4="Yes"),Personnel!$D$4*(1-Personnel!$H$4),0)+IF(AND(40&gt;=Personnel!$E$5,Personnel!$G$5="Yes"),Personnel!$D$5*(1-Personnel!$H$5),0)+IF(AND(40&gt;=Personnel!$E$6,Personnel!$G$6="Yes"),Personnel!$D$6*(1-Personnel!$H$6),0)+IF(AND(40&gt;=Personnel!$E$7,Personnel!$G$7="Yes"),Personnel!$D$7*(1-Personnel!$H$7),0)+IF(AND(40&gt;=Personnel!$E$8,Personnel!$G$8="Yes"),Personnel!$D$8*(1-Personnel!$H$8),0)+IF(AND(40&gt;=Personnel!$E$9,Personnel!$G$9="Yes"),Personnel!$D$9*(1-Personnel!$H$9),0)+IF(AND(40&gt;=Personnel!$E$10,Personnel!$G$10="Yes"),Personnel!$D$10*(1-Personnel!$H$10),0)+IF(AND(40&gt;=Personnel!$E$11,Personnel!$G$11="Yes"),Personnel!$D$11*(1-Personnel!$H$11),0)+IF(AND(40&gt;=Personnel!$E$12,Personnel!$G$12="Yes"),Personnel!$D$12*(1-Personnel!$H$12),0)+IF(AND(40&gt;=Personnel!$E$13,Personnel!$G$13="Yes"),Personnel!$D$13*(1-Personnel!$H$13),0)+IF(AND(40&gt;=Personnel!$E$14,Personnel!$G$14="Yes"),Personnel!$D$14*(1-Personnel!$H$14),0)+IF(AND(40&gt;=Personnel!$E$15,Personnel!$G$15="Yes"),Personnel!$D$15*(1-Personnel!$H$15),0)+IF(AND(40&gt;=Personnel!$E$16,Personnel!$G$16="Yes"),Personnel!$D$16*(1-Personnel!$H$16),0)+IF(AND(40&gt;=Personnel!$E$17,Personnel!$G$17="Yes"),Personnel!$D$17*(1-Personnel!$H$17),0)+IF(AND(40&gt;=Personnel!$E$18,Personnel!$G$18="Yes"),Personnel!$D$18*(1-Personnel!$H$18),0)+IF(AND(40&gt;=Personnel!$E$19,Personnel!$G$19="Yes"),Personnel!$D$19*(1-Personnel!$H$19),0)+IF(AND(40&gt;=Personnel!$E$20,Personnel!$G$20="Yes"),Personnel!$D$20*(1-Personnel!$H$20),0)+IF(AND(40&gt;=Personnel!$E$21,Personnel!$G$21="Yes"),Personnel!$D$21*(1-Personnel!$H$21),0)+IF(AND(40&gt;=Personnel!$E$22,Personnel!$G$22="Yes"),Personnel!$D$22*(1-Personnel!$H$22),0)+IF(AND(40&gt;=Personnel!$E$23,Personnel!$G$23="Yes"),Personnel!$D$23*(1-Personnel!$H$23),0)+IF(AND(40&gt;=Personnel!$E$24,Personnel!$G$24="Yes"),Personnel!$D$24*(1-Personnel!$H$24),0)+IF(AND(40&gt;=Personnel!$E$25,Personnel!$G$25="Yes"),Personnel!$D$25*(1-Personnel!$H$25),0)+IF(AND(40&gt;=Personnel!$E$26,Personnel!$G$26="Yes"),Personnel!$D$26*(1-Personnel!$H$26),0)+IF(AND(40&gt;=Personnel!$E$27,Personnel!$G$27="Yes"),Personnel!$D$27*(1-Personnel!$H$27),0)+IF(AND(40&gt;=Personnel!$E$28,Personnel!$G$28="Yes"),Personnel!$D$28*(1-Personnel!$H$28),0)+IF(AND(40&gt;=Personnel!$E$29,Personnel!$G$29="Yes"),Personnel!$D$29*(1-Personnel!$H$29),0)+IF(AND(40&gt;=Personnel!$E$32,Personnel!$G$32="Yes"),Personnel!$D$32*(1-Personnel!$H$32),0)+IF(AND(40&gt;=Personnel!$E$33,Personnel!$G$33="Yes"),Personnel!$D$33*(1-Personnel!$H$33),0)+IF(AND(40&gt;=Personnel!$E$34,Personnel!$G$34="Yes"),Personnel!$D$34*(1-Personnel!$H$34),0)+IF(AND(40&gt;=Personnel!$E$35,Personnel!$G$35="Yes"),Personnel!$D$35*(1-Personnel!$H$35),0)+IF(AND(40&gt;=Personnel!$E$36,Personnel!$G$36="Yes"),Personnel!$D$36*(1-Personnel!$H$36),0)+IF(AND(40&gt;=Personnel!$E$37,Personnel!$G$37="Yes"),Personnel!$D$37*(1-Personnel!$H$37),0)+IF(AND(40&gt;=Personnel!$E$38,Personnel!$G$38="Yes"),Personnel!$D$38*(1-Personnel!$H$38),0))</f>
        <v>284324.33333333331</v>
      </c>
      <c r="AQ4" s="105">
        <f>(IF(AND(41&gt;=Personnel!$E$2,Personnel!$G$2="Yes"),Personnel!$D$2*(1-Personnel!$H$2),0)+IF(AND(41&gt;=Personnel!$E$3,Personnel!$G$3="Yes"),Personnel!$D$3*(1-Personnel!$H$3),0)+IF(AND(41&gt;=Personnel!$E$4,Personnel!$G$4="Yes"),Personnel!$D$4*(1-Personnel!$H$4),0)+IF(AND(41&gt;=Personnel!$E$5,Personnel!$G$5="Yes"),Personnel!$D$5*(1-Personnel!$H$5),0)+IF(AND(41&gt;=Personnel!$E$6,Personnel!$G$6="Yes"),Personnel!$D$6*(1-Personnel!$H$6),0)+IF(AND(41&gt;=Personnel!$E$7,Personnel!$G$7="Yes"),Personnel!$D$7*(1-Personnel!$H$7),0)+IF(AND(41&gt;=Personnel!$E$8,Personnel!$G$8="Yes"),Personnel!$D$8*(1-Personnel!$H$8),0)+IF(AND(41&gt;=Personnel!$E$9,Personnel!$G$9="Yes"),Personnel!$D$9*(1-Personnel!$H$9),0)+IF(AND(41&gt;=Personnel!$E$10,Personnel!$G$10="Yes"),Personnel!$D$10*(1-Personnel!$H$10),0)+IF(AND(41&gt;=Personnel!$E$11,Personnel!$G$11="Yes"),Personnel!$D$11*(1-Personnel!$H$11),0)+IF(AND(41&gt;=Personnel!$E$12,Personnel!$G$12="Yes"),Personnel!$D$12*(1-Personnel!$H$12),0)+IF(AND(41&gt;=Personnel!$E$13,Personnel!$G$13="Yes"),Personnel!$D$13*(1-Personnel!$H$13),0)+IF(AND(41&gt;=Personnel!$E$14,Personnel!$G$14="Yes"),Personnel!$D$14*(1-Personnel!$H$14),0)+IF(AND(41&gt;=Personnel!$E$15,Personnel!$G$15="Yes"),Personnel!$D$15*(1-Personnel!$H$15),0)+IF(AND(41&gt;=Personnel!$E$16,Personnel!$G$16="Yes"),Personnel!$D$16*(1-Personnel!$H$16),0)+IF(AND(41&gt;=Personnel!$E$17,Personnel!$G$17="Yes"),Personnel!$D$17*(1-Personnel!$H$17),0)+IF(AND(41&gt;=Personnel!$E$18,Personnel!$G$18="Yes"),Personnel!$D$18*(1-Personnel!$H$18),0)+IF(AND(41&gt;=Personnel!$E$19,Personnel!$G$19="Yes"),Personnel!$D$19*(1-Personnel!$H$19),0)+IF(AND(41&gt;=Personnel!$E$20,Personnel!$G$20="Yes"),Personnel!$D$20*(1-Personnel!$H$20),0)+IF(AND(41&gt;=Personnel!$E$21,Personnel!$G$21="Yes"),Personnel!$D$21*(1-Personnel!$H$21),0)+IF(AND(41&gt;=Personnel!$E$22,Personnel!$G$22="Yes"),Personnel!$D$22*(1-Personnel!$H$22),0)+IF(AND(41&gt;=Personnel!$E$23,Personnel!$G$23="Yes"),Personnel!$D$23*(1-Personnel!$H$23),0)+IF(AND(41&gt;=Personnel!$E$24,Personnel!$G$24="Yes"),Personnel!$D$24*(1-Personnel!$H$24),0)+IF(AND(41&gt;=Personnel!$E$25,Personnel!$G$25="Yes"),Personnel!$D$25*(1-Personnel!$H$25),0)+IF(AND(41&gt;=Personnel!$E$26,Personnel!$G$26="Yes"),Personnel!$D$26*(1-Personnel!$H$26),0)+IF(AND(41&gt;=Personnel!$E$27,Personnel!$G$27="Yes"),Personnel!$D$27*(1-Personnel!$H$27),0)+IF(AND(41&gt;=Personnel!$E$28,Personnel!$G$28="Yes"),Personnel!$D$28*(1-Personnel!$H$28),0)+IF(AND(41&gt;=Personnel!$E$29,Personnel!$G$29="Yes"),Personnel!$D$29*(1-Personnel!$H$29),0)+IF(AND(41&gt;=Personnel!$E$32,Personnel!$G$32="Yes"),Personnel!$D$32*(1-Personnel!$H$32),0)+IF(AND(41&gt;=Personnel!$E$33,Personnel!$G$33="Yes"),Personnel!$D$33*(1-Personnel!$H$33),0)+IF(AND(41&gt;=Personnel!$E$34,Personnel!$G$34="Yes"),Personnel!$D$34*(1-Personnel!$H$34),0)+IF(AND(41&gt;=Personnel!$E$35,Personnel!$G$35="Yes"),Personnel!$D$35*(1-Personnel!$H$35),0)+IF(AND(41&gt;=Personnel!$E$36,Personnel!$G$36="Yes"),Personnel!$D$36*(1-Personnel!$H$36),0)+IF(AND(41&gt;=Personnel!$E$37,Personnel!$G$37="Yes"),Personnel!$D$37*(1-Personnel!$H$37),0)+IF(AND(41&gt;=Personnel!$E$38,Personnel!$G$38="Yes"),Personnel!$D$38*(1-Personnel!$H$38),0))</f>
        <v>284324.33333333331</v>
      </c>
      <c r="AR4" s="105">
        <f>(IF(AND(42&gt;=Personnel!$E$2,Personnel!$G$2="Yes"),Personnel!$D$2*(1-Personnel!$H$2),0)+IF(AND(42&gt;=Personnel!$E$3,Personnel!$G$3="Yes"),Personnel!$D$3*(1-Personnel!$H$3),0)+IF(AND(42&gt;=Personnel!$E$4,Personnel!$G$4="Yes"),Personnel!$D$4*(1-Personnel!$H$4),0)+IF(AND(42&gt;=Personnel!$E$5,Personnel!$G$5="Yes"),Personnel!$D$5*(1-Personnel!$H$5),0)+IF(AND(42&gt;=Personnel!$E$6,Personnel!$G$6="Yes"),Personnel!$D$6*(1-Personnel!$H$6),0)+IF(AND(42&gt;=Personnel!$E$7,Personnel!$G$7="Yes"),Personnel!$D$7*(1-Personnel!$H$7),0)+IF(AND(42&gt;=Personnel!$E$8,Personnel!$G$8="Yes"),Personnel!$D$8*(1-Personnel!$H$8),0)+IF(AND(42&gt;=Personnel!$E$9,Personnel!$G$9="Yes"),Personnel!$D$9*(1-Personnel!$H$9),0)+IF(AND(42&gt;=Personnel!$E$10,Personnel!$G$10="Yes"),Personnel!$D$10*(1-Personnel!$H$10),0)+IF(AND(42&gt;=Personnel!$E$11,Personnel!$G$11="Yes"),Personnel!$D$11*(1-Personnel!$H$11),0)+IF(AND(42&gt;=Personnel!$E$12,Personnel!$G$12="Yes"),Personnel!$D$12*(1-Personnel!$H$12),0)+IF(AND(42&gt;=Personnel!$E$13,Personnel!$G$13="Yes"),Personnel!$D$13*(1-Personnel!$H$13),0)+IF(AND(42&gt;=Personnel!$E$14,Personnel!$G$14="Yes"),Personnel!$D$14*(1-Personnel!$H$14),0)+IF(AND(42&gt;=Personnel!$E$15,Personnel!$G$15="Yes"),Personnel!$D$15*(1-Personnel!$H$15),0)+IF(AND(42&gt;=Personnel!$E$16,Personnel!$G$16="Yes"),Personnel!$D$16*(1-Personnel!$H$16),0)+IF(AND(42&gt;=Personnel!$E$17,Personnel!$G$17="Yes"),Personnel!$D$17*(1-Personnel!$H$17),0)+IF(AND(42&gt;=Personnel!$E$18,Personnel!$G$18="Yes"),Personnel!$D$18*(1-Personnel!$H$18),0)+IF(AND(42&gt;=Personnel!$E$19,Personnel!$G$19="Yes"),Personnel!$D$19*(1-Personnel!$H$19),0)+IF(AND(42&gt;=Personnel!$E$20,Personnel!$G$20="Yes"),Personnel!$D$20*(1-Personnel!$H$20),0)+IF(AND(42&gt;=Personnel!$E$21,Personnel!$G$21="Yes"),Personnel!$D$21*(1-Personnel!$H$21),0)+IF(AND(42&gt;=Personnel!$E$22,Personnel!$G$22="Yes"),Personnel!$D$22*(1-Personnel!$H$22),0)+IF(AND(42&gt;=Personnel!$E$23,Personnel!$G$23="Yes"),Personnel!$D$23*(1-Personnel!$H$23),0)+IF(AND(42&gt;=Personnel!$E$24,Personnel!$G$24="Yes"),Personnel!$D$24*(1-Personnel!$H$24),0)+IF(AND(42&gt;=Personnel!$E$25,Personnel!$G$25="Yes"),Personnel!$D$25*(1-Personnel!$H$25),0)+IF(AND(42&gt;=Personnel!$E$26,Personnel!$G$26="Yes"),Personnel!$D$26*(1-Personnel!$H$26),0)+IF(AND(42&gt;=Personnel!$E$27,Personnel!$G$27="Yes"),Personnel!$D$27*(1-Personnel!$H$27),0)+IF(AND(42&gt;=Personnel!$E$28,Personnel!$G$28="Yes"),Personnel!$D$28*(1-Personnel!$H$28),0)+IF(AND(42&gt;=Personnel!$E$29,Personnel!$G$29="Yes"),Personnel!$D$29*(1-Personnel!$H$29),0)+IF(AND(42&gt;=Personnel!$E$32,Personnel!$G$32="Yes"),Personnel!$D$32*(1-Personnel!$H$32),0)+IF(AND(42&gt;=Personnel!$E$33,Personnel!$G$33="Yes"),Personnel!$D$33*(1-Personnel!$H$33),0)+IF(AND(42&gt;=Personnel!$E$34,Personnel!$G$34="Yes"),Personnel!$D$34*(1-Personnel!$H$34),0)+IF(AND(42&gt;=Personnel!$E$35,Personnel!$G$35="Yes"),Personnel!$D$35*(1-Personnel!$H$35),0)+IF(AND(42&gt;=Personnel!$E$36,Personnel!$G$36="Yes"),Personnel!$D$36*(1-Personnel!$H$36),0)+IF(AND(42&gt;=Personnel!$E$37,Personnel!$G$37="Yes"),Personnel!$D$37*(1-Personnel!$H$37),0)+IF(AND(42&gt;=Personnel!$E$38,Personnel!$G$38="Yes"),Personnel!$D$38*(1-Personnel!$H$38),0))</f>
        <v>284324.33333333331</v>
      </c>
      <c r="AS4" s="105">
        <f>(IF(AND(43&gt;=Personnel!$E$2,Personnel!$G$2="Yes"),Personnel!$D$2*(1-Personnel!$H$2),0)+IF(AND(43&gt;=Personnel!$E$3,Personnel!$G$3="Yes"),Personnel!$D$3*(1-Personnel!$H$3),0)+IF(AND(43&gt;=Personnel!$E$4,Personnel!$G$4="Yes"),Personnel!$D$4*(1-Personnel!$H$4),0)+IF(AND(43&gt;=Personnel!$E$5,Personnel!$G$5="Yes"),Personnel!$D$5*(1-Personnel!$H$5),0)+IF(AND(43&gt;=Personnel!$E$6,Personnel!$G$6="Yes"),Personnel!$D$6*(1-Personnel!$H$6),0)+IF(AND(43&gt;=Personnel!$E$7,Personnel!$G$7="Yes"),Personnel!$D$7*(1-Personnel!$H$7),0)+IF(AND(43&gt;=Personnel!$E$8,Personnel!$G$8="Yes"),Personnel!$D$8*(1-Personnel!$H$8),0)+IF(AND(43&gt;=Personnel!$E$9,Personnel!$G$9="Yes"),Personnel!$D$9*(1-Personnel!$H$9),0)+IF(AND(43&gt;=Personnel!$E$10,Personnel!$G$10="Yes"),Personnel!$D$10*(1-Personnel!$H$10),0)+IF(AND(43&gt;=Personnel!$E$11,Personnel!$G$11="Yes"),Personnel!$D$11*(1-Personnel!$H$11),0)+IF(AND(43&gt;=Personnel!$E$12,Personnel!$G$12="Yes"),Personnel!$D$12*(1-Personnel!$H$12),0)+IF(AND(43&gt;=Personnel!$E$13,Personnel!$G$13="Yes"),Personnel!$D$13*(1-Personnel!$H$13),0)+IF(AND(43&gt;=Personnel!$E$14,Personnel!$G$14="Yes"),Personnel!$D$14*(1-Personnel!$H$14),0)+IF(AND(43&gt;=Personnel!$E$15,Personnel!$G$15="Yes"),Personnel!$D$15*(1-Personnel!$H$15),0)+IF(AND(43&gt;=Personnel!$E$16,Personnel!$G$16="Yes"),Personnel!$D$16*(1-Personnel!$H$16),0)+IF(AND(43&gt;=Personnel!$E$17,Personnel!$G$17="Yes"),Personnel!$D$17*(1-Personnel!$H$17),0)+IF(AND(43&gt;=Personnel!$E$18,Personnel!$G$18="Yes"),Personnel!$D$18*(1-Personnel!$H$18),0)+IF(AND(43&gt;=Personnel!$E$19,Personnel!$G$19="Yes"),Personnel!$D$19*(1-Personnel!$H$19),0)+IF(AND(43&gt;=Personnel!$E$20,Personnel!$G$20="Yes"),Personnel!$D$20*(1-Personnel!$H$20),0)+IF(AND(43&gt;=Personnel!$E$21,Personnel!$G$21="Yes"),Personnel!$D$21*(1-Personnel!$H$21),0)+IF(AND(43&gt;=Personnel!$E$22,Personnel!$G$22="Yes"),Personnel!$D$22*(1-Personnel!$H$22),0)+IF(AND(43&gt;=Personnel!$E$23,Personnel!$G$23="Yes"),Personnel!$D$23*(1-Personnel!$H$23),0)+IF(AND(43&gt;=Personnel!$E$24,Personnel!$G$24="Yes"),Personnel!$D$24*(1-Personnel!$H$24),0)+IF(AND(43&gt;=Personnel!$E$25,Personnel!$G$25="Yes"),Personnel!$D$25*(1-Personnel!$H$25),0)+IF(AND(43&gt;=Personnel!$E$26,Personnel!$G$26="Yes"),Personnel!$D$26*(1-Personnel!$H$26),0)+IF(AND(43&gt;=Personnel!$E$27,Personnel!$G$27="Yes"),Personnel!$D$27*(1-Personnel!$H$27),0)+IF(AND(43&gt;=Personnel!$E$28,Personnel!$G$28="Yes"),Personnel!$D$28*(1-Personnel!$H$28),0)+IF(AND(43&gt;=Personnel!$E$29,Personnel!$G$29="Yes"),Personnel!$D$29*(1-Personnel!$H$29),0)+IF(AND(43&gt;=Personnel!$E$32,Personnel!$G$32="Yes"),Personnel!$D$32*(1-Personnel!$H$32),0)+IF(AND(43&gt;=Personnel!$E$33,Personnel!$G$33="Yes"),Personnel!$D$33*(1-Personnel!$H$33),0)+IF(AND(43&gt;=Personnel!$E$34,Personnel!$G$34="Yes"),Personnel!$D$34*(1-Personnel!$H$34),0)+IF(AND(43&gt;=Personnel!$E$35,Personnel!$G$35="Yes"),Personnel!$D$35*(1-Personnel!$H$35),0)+IF(AND(43&gt;=Personnel!$E$36,Personnel!$G$36="Yes"),Personnel!$D$36*(1-Personnel!$H$36),0)+IF(AND(43&gt;=Personnel!$E$37,Personnel!$G$37="Yes"),Personnel!$D$37*(1-Personnel!$H$37),0)+IF(AND(43&gt;=Personnel!$E$38,Personnel!$G$38="Yes"),Personnel!$D$38*(1-Personnel!$H$38),0))</f>
        <v>284324.33333333331</v>
      </c>
      <c r="AT4" s="105">
        <f>(IF(AND(44&gt;=Personnel!$E$2,Personnel!$G$2="Yes"),Personnel!$D$2*(1-Personnel!$H$2),0)+IF(AND(44&gt;=Personnel!$E$3,Personnel!$G$3="Yes"),Personnel!$D$3*(1-Personnel!$H$3),0)+IF(AND(44&gt;=Personnel!$E$4,Personnel!$G$4="Yes"),Personnel!$D$4*(1-Personnel!$H$4),0)+IF(AND(44&gt;=Personnel!$E$5,Personnel!$G$5="Yes"),Personnel!$D$5*(1-Personnel!$H$5),0)+IF(AND(44&gt;=Personnel!$E$6,Personnel!$G$6="Yes"),Personnel!$D$6*(1-Personnel!$H$6),0)+IF(AND(44&gt;=Personnel!$E$7,Personnel!$G$7="Yes"),Personnel!$D$7*(1-Personnel!$H$7),0)+IF(AND(44&gt;=Personnel!$E$8,Personnel!$G$8="Yes"),Personnel!$D$8*(1-Personnel!$H$8),0)+IF(AND(44&gt;=Personnel!$E$9,Personnel!$G$9="Yes"),Personnel!$D$9*(1-Personnel!$H$9),0)+IF(AND(44&gt;=Personnel!$E$10,Personnel!$G$10="Yes"),Personnel!$D$10*(1-Personnel!$H$10),0)+IF(AND(44&gt;=Personnel!$E$11,Personnel!$G$11="Yes"),Personnel!$D$11*(1-Personnel!$H$11),0)+IF(AND(44&gt;=Personnel!$E$12,Personnel!$G$12="Yes"),Personnel!$D$12*(1-Personnel!$H$12),0)+IF(AND(44&gt;=Personnel!$E$13,Personnel!$G$13="Yes"),Personnel!$D$13*(1-Personnel!$H$13),0)+IF(AND(44&gt;=Personnel!$E$14,Personnel!$G$14="Yes"),Personnel!$D$14*(1-Personnel!$H$14),0)+IF(AND(44&gt;=Personnel!$E$15,Personnel!$G$15="Yes"),Personnel!$D$15*(1-Personnel!$H$15),0)+IF(AND(44&gt;=Personnel!$E$16,Personnel!$G$16="Yes"),Personnel!$D$16*(1-Personnel!$H$16),0)+IF(AND(44&gt;=Personnel!$E$17,Personnel!$G$17="Yes"),Personnel!$D$17*(1-Personnel!$H$17),0)+IF(AND(44&gt;=Personnel!$E$18,Personnel!$G$18="Yes"),Personnel!$D$18*(1-Personnel!$H$18),0)+IF(AND(44&gt;=Personnel!$E$19,Personnel!$G$19="Yes"),Personnel!$D$19*(1-Personnel!$H$19),0)+IF(AND(44&gt;=Personnel!$E$20,Personnel!$G$20="Yes"),Personnel!$D$20*(1-Personnel!$H$20),0)+IF(AND(44&gt;=Personnel!$E$21,Personnel!$G$21="Yes"),Personnel!$D$21*(1-Personnel!$H$21),0)+IF(AND(44&gt;=Personnel!$E$22,Personnel!$G$22="Yes"),Personnel!$D$22*(1-Personnel!$H$22),0)+IF(AND(44&gt;=Personnel!$E$23,Personnel!$G$23="Yes"),Personnel!$D$23*(1-Personnel!$H$23),0)+IF(AND(44&gt;=Personnel!$E$24,Personnel!$G$24="Yes"),Personnel!$D$24*(1-Personnel!$H$24),0)+IF(AND(44&gt;=Personnel!$E$25,Personnel!$G$25="Yes"),Personnel!$D$25*(1-Personnel!$H$25),0)+IF(AND(44&gt;=Personnel!$E$26,Personnel!$G$26="Yes"),Personnel!$D$26*(1-Personnel!$H$26),0)+IF(AND(44&gt;=Personnel!$E$27,Personnel!$G$27="Yes"),Personnel!$D$27*(1-Personnel!$H$27),0)+IF(AND(44&gt;=Personnel!$E$28,Personnel!$G$28="Yes"),Personnel!$D$28*(1-Personnel!$H$28),0)+IF(AND(44&gt;=Personnel!$E$29,Personnel!$G$29="Yes"),Personnel!$D$29*(1-Personnel!$H$29),0)+IF(AND(44&gt;=Personnel!$E$32,Personnel!$G$32="Yes"),Personnel!$D$32*(1-Personnel!$H$32),0)+IF(AND(44&gt;=Personnel!$E$33,Personnel!$G$33="Yes"),Personnel!$D$33*(1-Personnel!$H$33),0)+IF(AND(44&gt;=Personnel!$E$34,Personnel!$G$34="Yes"),Personnel!$D$34*(1-Personnel!$H$34),0)+IF(AND(44&gt;=Personnel!$E$35,Personnel!$G$35="Yes"),Personnel!$D$35*(1-Personnel!$H$35),0)+IF(AND(44&gt;=Personnel!$E$36,Personnel!$G$36="Yes"),Personnel!$D$36*(1-Personnel!$H$36),0)+IF(AND(44&gt;=Personnel!$E$37,Personnel!$G$37="Yes"),Personnel!$D$37*(1-Personnel!$H$37),0)+IF(AND(44&gt;=Personnel!$E$38,Personnel!$G$38="Yes"),Personnel!$D$38*(1-Personnel!$H$38),0))</f>
        <v>284324.33333333331</v>
      </c>
      <c r="AU4" s="105">
        <f>(IF(AND(45&gt;=Personnel!$E$2,Personnel!$G$2="Yes"),Personnel!$D$2*(1-Personnel!$H$2),0)+IF(AND(45&gt;=Personnel!$E$3,Personnel!$G$3="Yes"),Personnel!$D$3*(1-Personnel!$H$3),0)+IF(AND(45&gt;=Personnel!$E$4,Personnel!$G$4="Yes"),Personnel!$D$4*(1-Personnel!$H$4),0)+IF(AND(45&gt;=Personnel!$E$5,Personnel!$G$5="Yes"),Personnel!$D$5*(1-Personnel!$H$5),0)+IF(AND(45&gt;=Personnel!$E$6,Personnel!$G$6="Yes"),Personnel!$D$6*(1-Personnel!$H$6),0)+IF(AND(45&gt;=Personnel!$E$7,Personnel!$G$7="Yes"),Personnel!$D$7*(1-Personnel!$H$7),0)+IF(AND(45&gt;=Personnel!$E$8,Personnel!$G$8="Yes"),Personnel!$D$8*(1-Personnel!$H$8),0)+IF(AND(45&gt;=Personnel!$E$9,Personnel!$G$9="Yes"),Personnel!$D$9*(1-Personnel!$H$9),0)+IF(AND(45&gt;=Personnel!$E$10,Personnel!$G$10="Yes"),Personnel!$D$10*(1-Personnel!$H$10),0)+IF(AND(45&gt;=Personnel!$E$11,Personnel!$G$11="Yes"),Personnel!$D$11*(1-Personnel!$H$11),0)+IF(AND(45&gt;=Personnel!$E$12,Personnel!$G$12="Yes"),Personnel!$D$12*(1-Personnel!$H$12),0)+IF(AND(45&gt;=Personnel!$E$13,Personnel!$G$13="Yes"),Personnel!$D$13*(1-Personnel!$H$13),0)+IF(AND(45&gt;=Personnel!$E$14,Personnel!$G$14="Yes"),Personnel!$D$14*(1-Personnel!$H$14),0)+IF(AND(45&gt;=Personnel!$E$15,Personnel!$G$15="Yes"),Personnel!$D$15*(1-Personnel!$H$15),0)+IF(AND(45&gt;=Personnel!$E$16,Personnel!$G$16="Yes"),Personnel!$D$16*(1-Personnel!$H$16),0)+IF(AND(45&gt;=Personnel!$E$17,Personnel!$G$17="Yes"),Personnel!$D$17*(1-Personnel!$H$17),0)+IF(AND(45&gt;=Personnel!$E$18,Personnel!$G$18="Yes"),Personnel!$D$18*(1-Personnel!$H$18),0)+IF(AND(45&gt;=Personnel!$E$19,Personnel!$G$19="Yes"),Personnel!$D$19*(1-Personnel!$H$19),0)+IF(AND(45&gt;=Personnel!$E$20,Personnel!$G$20="Yes"),Personnel!$D$20*(1-Personnel!$H$20),0)+IF(AND(45&gt;=Personnel!$E$21,Personnel!$G$21="Yes"),Personnel!$D$21*(1-Personnel!$H$21),0)+IF(AND(45&gt;=Personnel!$E$22,Personnel!$G$22="Yes"),Personnel!$D$22*(1-Personnel!$H$22),0)+IF(AND(45&gt;=Personnel!$E$23,Personnel!$G$23="Yes"),Personnel!$D$23*(1-Personnel!$H$23),0)+IF(AND(45&gt;=Personnel!$E$24,Personnel!$G$24="Yes"),Personnel!$D$24*(1-Personnel!$H$24),0)+IF(AND(45&gt;=Personnel!$E$25,Personnel!$G$25="Yes"),Personnel!$D$25*(1-Personnel!$H$25),0)+IF(AND(45&gt;=Personnel!$E$26,Personnel!$G$26="Yes"),Personnel!$D$26*(1-Personnel!$H$26),0)+IF(AND(45&gt;=Personnel!$E$27,Personnel!$G$27="Yes"),Personnel!$D$27*(1-Personnel!$H$27),0)+IF(AND(45&gt;=Personnel!$E$28,Personnel!$G$28="Yes"),Personnel!$D$28*(1-Personnel!$H$28),0)+IF(AND(45&gt;=Personnel!$E$29,Personnel!$G$29="Yes"),Personnel!$D$29*(1-Personnel!$H$29),0)+IF(AND(45&gt;=Personnel!$E$32,Personnel!$G$32="Yes"),Personnel!$D$32*(1-Personnel!$H$32),0)+IF(AND(45&gt;=Personnel!$E$33,Personnel!$G$33="Yes"),Personnel!$D$33*(1-Personnel!$H$33),0)+IF(AND(45&gt;=Personnel!$E$34,Personnel!$G$34="Yes"),Personnel!$D$34*(1-Personnel!$H$34),0)+IF(AND(45&gt;=Personnel!$E$35,Personnel!$G$35="Yes"),Personnel!$D$35*(1-Personnel!$H$35),0)+IF(AND(45&gt;=Personnel!$E$36,Personnel!$G$36="Yes"),Personnel!$D$36*(1-Personnel!$H$36),0)+IF(AND(45&gt;=Personnel!$E$37,Personnel!$G$37="Yes"),Personnel!$D$37*(1-Personnel!$H$37),0)+IF(AND(45&gt;=Personnel!$E$38,Personnel!$G$38="Yes"),Personnel!$D$38*(1-Personnel!$H$38),0))</f>
        <v>284324.33333333331</v>
      </c>
      <c r="AV4" s="105">
        <f>(IF(AND(46&gt;=Personnel!$E$2,Personnel!$G$2="Yes"),Personnel!$D$2*(1-Personnel!$H$2),0)+IF(AND(46&gt;=Personnel!$E$3,Personnel!$G$3="Yes"),Personnel!$D$3*(1-Personnel!$H$3),0)+IF(AND(46&gt;=Personnel!$E$4,Personnel!$G$4="Yes"),Personnel!$D$4*(1-Personnel!$H$4),0)+IF(AND(46&gt;=Personnel!$E$5,Personnel!$G$5="Yes"),Personnel!$D$5*(1-Personnel!$H$5),0)+IF(AND(46&gt;=Personnel!$E$6,Personnel!$G$6="Yes"),Personnel!$D$6*(1-Personnel!$H$6),0)+IF(AND(46&gt;=Personnel!$E$7,Personnel!$G$7="Yes"),Personnel!$D$7*(1-Personnel!$H$7),0)+IF(AND(46&gt;=Personnel!$E$8,Personnel!$G$8="Yes"),Personnel!$D$8*(1-Personnel!$H$8),0)+IF(AND(46&gt;=Personnel!$E$9,Personnel!$G$9="Yes"),Personnel!$D$9*(1-Personnel!$H$9),0)+IF(AND(46&gt;=Personnel!$E$10,Personnel!$G$10="Yes"),Personnel!$D$10*(1-Personnel!$H$10),0)+IF(AND(46&gt;=Personnel!$E$11,Personnel!$G$11="Yes"),Personnel!$D$11*(1-Personnel!$H$11),0)+IF(AND(46&gt;=Personnel!$E$12,Personnel!$G$12="Yes"),Personnel!$D$12*(1-Personnel!$H$12),0)+IF(AND(46&gt;=Personnel!$E$13,Personnel!$G$13="Yes"),Personnel!$D$13*(1-Personnel!$H$13),0)+IF(AND(46&gt;=Personnel!$E$14,Personnel!$G$14="Yes"),Personnel!$D$14*(1-Personnel!$H$14),0)+IF(AND(46&gt;=Personnel!$E$15,Personnel!$G$15="Yes"),Personnel!$D$15*(1-Personnel!$H$15),0)+IF(AND(46&gt;=Personnel!$E$16,Personnel!$G$16="Yes"),Personnel!$D$16*(1-Personnel!$H$16),0)+IF(AND(46&gt;=Personnel!$E$17,Personnel!$G$17="Yes"),Personnel!$D$17*(1-Personnel!$H$17),0)+IF(AND(46&gt;=Personnel!$E$18,Personnel!$G$18="Yes"),Personnel!$D$18*(1-Personnel!$H$18),0)+IF(AND(46&gt;=Personnel!$E$19,Personnel!$G$19="Yes"),Personnel!$D$19*(1-Personnel!$H$19),0)+IF(AND(46&gt;=Personnel!$E$20,Personnel!$G$20="Yes"),Personnel!$D$20*(1-Personnel!$H$20),0)+IF(AND(46&gt;=Personnel!$E$21,Personnel!$G$21="Yes"),Personnel!$D$21*(1-Personnel!$H$21),0)+IF(AND(46&gt;=Personnel!$E$22,Personnel!$G$22="Yes"),Personnel!$D$22*(1-Personnel!$H$22),0)+IF(AND(46&gt;=Personnel!$E$23,Personnel!$G$23="Yes"),Personnel!$D$23*(1-Personnel!$H$23),0)+IF(AND(46&gt;=Personnel!$E$24,Personnel!$G$24="Yes"),Personnel!$D$24*(1-Personnel!$H$24),0)+IF(AND(46&gt;=Personnel!$E$25,Personnel!$G$25="Yes"),Personnel!$D$25*(1-Personnel!$H$25),0)+IF(AND(46&gt;=Personnel!$E$26,Personnel!$G$26="Yes"),Personnel!$D$26*(1-Personnel!$H$26),0)+IF(AND(46&gt;=Personnel!$E$27,Personnel!$G$27="Yes"),Personnel!$D$27*(1-Personnel!$H$27),0)+IF(AND(46&gt;=Personnel!$E$28,Personnel!$G$28="Yes"),Personnel!$D$28*(1-Personnel!$H$28),0)+IF(AND(46&gt;=Personnel!$E$29,Personnel!$G$29="Yes"),Personnel!$D$29*(1-Personnel!$H$29),0)+IF(AND(46&gt;=Personnel!$E$32,Personnel!$G$32="Yes"),Personnel!$D$32*(1-Personnel!$H$32),0)+IF(AND(46&gt;=Personnel!$E$33,Personnel!$G$33="Yes"),Personnel!$D$33*(1-Personnel!$H$33),0)+IF(AND(46&gt;=Personnel!$E$34,Personnel!$G$34="Yes"),Personnel!$D$34*(1-Personnel!$H$34),0)+IF(AND(46&gt;=Personnel!$E$35,Personnel!$G$35="Yes"),Personnel!$D$35*(1-Personnel!$H$35),0)+IF(AND(46&gt;=Personnel!$E$36,Personnel!$G$36="Yes"),Personnel!$D$36*(1-Personnel!$H$36),0)+IF(AND(46&gt;=Personnel!$E$37,Personnel!$G$37="Yes"),Personnel!$D$37*(1-Personnel!$H$37),0)+IF(AND(46&gt;=Personnel!$E$38,Personnel!$G$38="Yes"),Personnel!$D$38*(1-Personnel!$H$38),0))</f>
        <v>284324.33333333331</v>
      </c>
      <c r="AW4" s="105">
        <f>(IF(AND(47&gt;=Personnel!$E$2,Personnel!$G$2="Yes"),Personnel!$D$2*(1-Personnel!$H$2),0)+IF(AND(47&gt;=Personnel!$E$3,Personnel!$G$3="Yes"),Personnel!$D$3*(1-Personnel!$H$3),0)+IF(AND(47&gt;=Personnel!$E$4,Personnel!$G$4="Yes"),Personnel!$D$4*(1-Personnel!$H$4),0)+IF(AND(47&gt;=Personnel!$E$5,Personnel!$G$5="Yes"),Personnel!$D$5*(1-Personnel!$H$5),0)+IF(AND(47&gt;=Personnel!$E$6,Personnel!$G$6="Yes"),Personnel!$D$6*(1-Personnel!$H$6),0)+IF(AND(47&gt;=Personnel!$E$7,Personnel!$G$7="Yes"),Personnel!$D$7*(1-Personnel!$H$7),0)+IF(AND(47&gt;=Personnel!$E$8,Personnel!$G$8="Yes"),Personnel!$D$8*(1-Personnel!$H$8),0)+IF(AND(47&gt;=Personnel!$E$9,Personnel!$G$9="Yes"),Personnel!$D$9*(1-Personnel!$H$9),0)+IF(AND(47&gt;=Personnel!$E$10,Personnel!$G$10="Yes"),Personnel!$D$10*(1-Personnel!$H$10),0)+IF(AND(47&gt;=Personnel!$E$11,Personnel!$G$11="Yes"),Personnel!$D$11*(1-Personnel!$H$11),0)+IF(AND(47&gt;=Personnel!$E$12,Personnel!$G$12="Yes"),Personnel!$D$12*(1-Personnel!$H$12),0)+IF(AND(47&gt;=Personnel!$E$13,Personnel!$G$13="Yes"),Personnel!$D$13*(1-Personnel!$H$13),0)+IF(AND(47&gt;=Personnel!$E$14,Personnel!$G$14="Yes"),Personnel!$D$14*(1-Personnel!$H$14),0)+IF(AND(47&gt;=Personnel!$E$15,Personnel!$G$15="Yes"),Personnel!$D$15*(1-Personnel!$H$15),0)+IF(AND(47&gt;=Personnel!$E$16,Personnel!$G$16="Yes"),Personnel!$D$16*(1-Personnel!$H$16),0)+IF(AND(47&gt;=Personnel!$E$17,Personnel!$G$17="Yes"),Personnel!$D$17*(1-Personnel!$H$17),0)+IF(AND(47&gt;=Personnel!$E$18,Personnel!$G$18="Yes"),Personnel!$D$18*(1-Personnel!$H$18),0)+IF(AND(47&gt;=Personnel!$E$19,Personnel!$G$19="Yes"),Personnel!$D$19*(1-Personnel!$H$19),0)+IF(AND(47&gt;=Personnel!$E$20,Personnel!$G$20="Yes"),Personnel!$D$20*(1-Personnel!$H$20),0)+IF(AND(47&gt;=Personnel!$E$21,Personnel!$G$21="Yes"),Personnel!$D$21*(1-Personnel!$H$21),0)+IF(AND(47&gt;=Personnel!$E$22,Personnel!$G$22="Yes"),Personnel!$D$22*(1-Personnel!$H$22),0)+IF(AND(47&gt;=Personnel!$E$23,Personnel!$G$23="Yes"),Personnel!$D$23*(1-Personnel!$H$23),0)+IF(AND(47&gt;=Personnel!$E$24,Personnel!$G$24="Yes"),Personnel!$D$24*(1-Personnel!$H$24),0)+IF(AND(47&gt;=Personnel!$E$25,Personnel!$G$25="Yes"),Personnel!$D$25*(1-Personnel!$H$25),0)+IF(AND(47&gt;=Personnel!$E$26,Personnel!$G$26="Yes"),Personnel!$D$26*(1-Personnel!$H$26),0)+IF(AND(47&gt;=Personnel!$E$27,Personnel!$G$27="Yes"),Personnel!$D$27*(1-Personnel!$H$27),0)+IF(AND(47&gt;=Personnel!$E$28,Personnel!$G$28="Yes"),Personnel!$D$28*(1-Personnel!$H$28),0)+IF(AND(47&gt;=Personnel!$E$29,Personnel!$G$29="Yes"),Personnel!$D$29*(1-Personnel!$H$29),0)+IF(AND(47&gt;=Personnel!$E$32,Personnel!$G$32="Yes"),Personnel!$D$32*(1-Personnel!$H$32),0)+IF(AND(47&gt;=Personnel!$E$33,Personnel!$G$33="Yes"),Personnel!$D$33*(1-Personnel!$H$33),0)+IF(AND(47&gt;=Personnel!$E$34,Personnel!$G$34="Yes"),Personnel!$D$34*(1-Personnel!$H$34),0)+IF(AND(47&gt;=Personnel!$E$35,Personnel!$G$35="Yes"),Personnel!$D$35*(1-Personnel!$H$35),0)+IF(AND(47&gt;=Personnel!$E$36,Personnel!$G$36="Yes"),Personnel!$D$36*(1-Personnel!$H$36),0)+IF(AND(47&gt;=Personnel!$E$37,Personnel!$G$37="Yes"),Personnel!$D$37*(1-Personnel!$H$37),0)+IF(AND(47&gt;=Personnel!$E$38,Personnel!$G$38="Yes"),Personnel!$D$38*(1-Personnel!$H$38),0))</f>
        <v>284324.33333333331</v>
      </c>
      <c r="AX4" s="105">
        <f>(IF(AND(48&gt;=Personnel!$E$2,Personnel!$G$2="Yes"),Personnel!$D$2*(1-Personnel!$H$2),0)+IF(AND(48&gt;=Personnel!$E$3,Personnel!$G$3="Yes"),Personnel!$D$3*(1-Personnel!$H$3),0)+IF(AND(48&gt;=Personnel!$E$4,Personnel!$G$4="Yes"),Personnel!$D$4*(1-Personnel!$H$4),0)+IF(AND(48&gt;=Personnel!$E$5,Personnel!$G$5="Yes"),Personnel!$D$5*(1-Personnel!$H$5),0)+IF(AND(48&gt;=Personnel!$E$6,Personnel!$G$6="Yes"),Personnel!$D$6*(1-Personnel!$H$6),0)+IF(AND(48&gt;=Personnel!$E$7,Personnel!$G$7="Yes"),Personnel!$D$7*(1-Personnel!$H$7),0)+IF(AND(48&gt;=Personnel!$E$8,Personnel!$G$8="Yes"),Personnel!$D$8*(1-Personnel!$H$8),0)+IF(AND(48&gt;=Personnel!$E$9,Personnel!$G$9="Yes"),Personnel!$D$9*(1-Personnel!$H$9),0)+IF(AND(48&gt;=Personnel!$E$10,Personnel!$G$10="Yes"),Personnel!$D$10*(1-Personnel!$H$10),0)+IF(AND(48&gt;=Personnel!$E$11,Personnel!$G$11="Yes"),Personnel!$D$11*(1-Personnel!$H$11),0)+IF(AND(48&gt;=Personnel!$E$12,Personnel!$G$12="Yes"),Personnel!$D$12*(1-Personnel!$H$12),0)+IF(AND(48&gt;=Personnel!$E$13,Personnel!$G$13="Yes"),Personnel!$D$13*(1-Personnel!$H$13),0)+IF(AND(48&gt;=Personnel!$E$14,Personnel!$G$14="Yes"),Personnel!$D$14*(1-Personnel!$H$14),0)+IF(AND(48&gt;=Personnel!$E$15,Personnel!$G$15="Yes"),Personnel!$D$15*(1-Personnel!$H$15),0)+IF(AND(48&gt;=Personnel!$E$16,Personnel!$G$16="Yes"),Personnel!$D$16*(1-Personnel!$H$16),0)+IF(AND(48&gt;=Personnel!$E$17,Personnel!$G$17="Yes"),Personnel!$D$17*(1-Personnel!$H$17),0)+IF(AND(48&gt;=Personnel!$E$18,Personnel!$G$18="Yes"),Personnel!$D$18*(1-Personnel!$H$18),0)+IF(AND(48&gt;=Personnel!$E$19,Personnel!$G$19="Yes"),Personnel!$D$19*(1-Personnel!$H$19),0)+IF(AND(48&gt;=Personnel!$E$20,Personnel!$G$20="Yes"),Personnel!$D$20*(1-Personnel!$H$20),0)+IF(AND(48&gt;=Personnel!$E$21,Personnel!$G$21="Yes"),Personnel!$D$21*(1-Personnel!$H$21),0)+IF(AND(48&gt;=Personnel!$E$22,Personnel!$G$22="Yes"),Personnel!$D$22*(1-Personnel!$H$22),0)+IF(AND(48&gt;=Personnel!$E$23,Personnel!$G$23="Yes"),Personnel!$D$23*(1-Personnel!$H$23),0)+IF(AND(48&gt;=Personnel!$E$24,Personnel!$G$24="Yes"),Personnel!$D$24*(1-Personnel!$H$24),0)+IF(AND(48&gt;=Personnel!$E$25,Personnel!$G$25="Yes"),Personnel!$D$25*(1-Personnel!$H$25),0)+IF(AND(48&gt;=Personnel!$E$26,Personnel!$G$26="Yes"),Personnel!$D$26*(1-Personnel!$H$26),0)+IF(AND(48&gt;=Personnel!$E$27,Personnel!$G$27="Yes"),Personnel!$D$27*(1-Personnel!$H$27),0)+IF(AND(48&gt;=Personnel!$E$28,Personnel!$G$28="Yes"),Personnel!$D$28*(1-Personnel!$H$28),0)+IF(AND(48&gt;=Personnel!$E$29,Personnel!$G$29="Yes"),Personnel!$D$29*(1-Personnel!$H$29),0)+IF(AND(48&gt;=Personnel!$E$32,Personnel!$G$32="Yes"),Personnel!$D$32*(1-Personnel!$H$32),0)+IF(AND(48&gt;=Personnel!$E$33,Personnel!$G$33="Yes"),Personnel!$D$33*(1-Personnel!$H$33),0)+IF(AND(48&gt;=Personnel!$E$34,Personnel!$G$34="Yes"),Personnel!$D$34*(1-Personnel!$H$34),0)+IF(AND(48&gt;=Personnel!$E$35,Personnel!$G$35="Yes"),Personnel!$D$35*(1-Personnel!$H$35),0)+IF(AND(48&gt;=Personnel!$E$36,Personnel!$G$36="Yes"),Personnel!$D$36*(1-Personnel!$H$36),0)+IF(AND(48&gt;=Personnel!$E$37,Personnel!$G$37="Yes"),Personnel!$D$37*(1-Personnel!$H$37),0)+IF(AND(48&gt;=Personnel!$E$38,Personnel!$G$38="Yes"),Personnel!$D$38*(1-Personnel!$H$38),0))</f>
        <v>284324.33333333331</v>
      </c>
      <c r="AY4" s="105">
        <f>(IF(AND(49&gt;=Personnel!$E$2,Personnel!$G$2="Yes"),Personnel!$D$2*(1-Personnel!$H$2),0)+IF(AND(49&gt;=Personnel!$E$3,Personnel!$G$3="Yes"),Personnel!$D$3*(1-Personnel!$H$3),0)+IF(AND(49&gt;=Personnel!$E$4,Personnel!$G$4="Yes"),Personnel!$D$4*(1-Personnel!$H$4),0)+IF(AND(49&gt;=Personnel!$E$5,Personnel!$G$5="Yes"),Personnel!$D$5*(1-Personnel!$H$5),0)+IF(AND(49&gt;=Personnel!$E$6,Personnel!$G$6="Yes"),Personnel!$D$6*(1-Personnel!$H$6),0)+IF(AND(49&gt;=Personnel!$E$7,Personnel!$G$7="Yes"),Personnel!$D$7*(1-Personnel!$H$7),0)+IF(AND(49&gt;=Personnel!$E$8,Personnel!$G$8="Yes"),Personnel!$D$8*(1-Personnel!$H$8),0)+IF(AND(49&gt;=Personnel!$E$9,Personnel!$G$9="Yes"),Personnel!$D$9*(1-Personnel!$H$9),0)+IF(AND(49&gt;=Personnel!$E$10,Personnel!$G$10="Yes"),Personnel!$D$10*(1-Personnel!$H$10),0)+IF(AND(49&gt;=Personnel!$E$11,Personnel!$G$11="Yes"),Personnel!$D$11*(1-Personnel!$H$11),0)+IF(AND(49&gt;=Personnel!$E$12,Personnel!$G$12="Yes"),Personnel!$D$12*(1-Personnel!$H$12),0)+IF(AND(49&gt;=Personnel!$E$13,Personnel!$G$13="Yes"),Personnel!$D$13*(1-Personnel!$H$13),0)+IF(AND(49&gt;=Personnel!$E$14,Personnel!$G$14="Yes"),Personnel!$D$14*(1-Personnel!$H$14),0)+IF(AND(49&gt;=Personnel!$E$15,Personnel!$G$15="Yes"),Personnel!$D$15*(1-Personnel!$H$15),0)+IF(AND(49&gt;=Personnel!$E$16,Personnel!$G$16="Yes"),Personnel!$D$16*(1-Personnel!$H$16),0)+IF(AND(49&gt;=Personnel!$E$17,Personnel!$G$17="Yes"),Personnel!$D$17*(1-Personnel!$H$17),0)+IF(AND(49&gt;=Personnel!$E$18,Personnel!$G$18="Yes"),Personnel!$D$18*(1-Personnel!$H$18),0)+IF(AND(49&gt;=Personnel!$E$19,Personnel!$G$19="Yes"),Personnel!$D$19*(1-Personnel!$H$19),0)+IF(AND(49&gt;=Personnel!$E$20,Personnel!$G$20="Yes"),Personnel!$D$20*(1-Personnel!$H$20),0)+IF(AND(49&gt;=Personnel!$E$21,Personnel!$G$21="Yes"),Personnel!$D$21*(1-Personnel!$H$21),0)+IF(AND(49&gt;=Personnel!$E$22,Personnel!$G$22="Yes"),Personnel!$D$22*(1-Personnel!$H$22),0)+IF(AND(49&gt;=Personnel!$E$23,Personnel!$G$23="Yes"),Personnel!$D$23*(1-Personnel!$H$23),0)+IF(AND(49&gt;=Personnel!$E$24,Personnel!$G$24="Yes"),Personnel!$D$24*(1-Personnel!$H$24),0)+IF(AND(49&gt;=Personnel!$E$25,Personnel!$G$25="Yes"),Personnel!$D$25*(1-Personnel!$H$25),0)+IF(AND(49&gt;=Personnel!$E$26,Personnel!$G$26="Yes"),Personnel!$D$26*(1-Personnel!$H$26),0)+IF(AND(49&gt;=Personnel!$E$27,Personnel!$G$27="Yes"),Personnel!$D$27*(1-Personnel!$H$27),0)+IF(AND(49&gt;=Personnel!$E$28,Personnel!$G$28="Yes"),Personnel!$D$28*(1-Personnel!$H$28),0)+IF(AND(49&gt;=Personnel!$E$29,Personnel!$G$29="Yes"),Personnel!$D$29*(1-Personnel!$H$29),0)+IF(AND(49&gt;=Personnel!$E$32,Personnel!$G$32="Yes"),Personnel!$D$32*(1-Personnel!$H$32),0)+IF(AND(49&gt;=Personnel!$E$33,Personnel!$G$33="Yes"),Personnel!$D$33*(1-Personnel!$H$33),0)+IF(AND(49&gt;=Personnel!$E$34,Personnel!$G$34="Yes"),Personnel!$D$34*(1-Personnel!$H$34),0)+IF(AND(49&gt;=Personnel!$E$35,Personnel!$G$35="Yes"),Personnel!$D$35*(1-Personnel!$H$35),0)+IF(AND(49&gt;=Personnel!$E$36,Personnel!$G$36="Yes"),Personnel!$D$36*(1-Personnel!$H$36),0)+IF(AND(49&gt;=Personnel!$E$37,Personnel!$G$37="Yes"),Personnel!$D$37*(1-Personnel!$H$37),0)+IF(AND(49&gt;=Personnel!$E$38,Personnel!$G$38="Yes"),Personnel!$D$38*(1-Personnel!$H$38),0))</f>
        <v>284324.33333333331</v>
      </c>
      <c r="AZ4" s="105">
        <f>(IF(AND(50&gt;=Personnel!$E$2,Personnel!$G$2="Yes"),Personnel!$D$2*(1-Personnel!$H$2),0)+IF(AND(50&gt;=Personnel!$E$3,Personnel!$G$3="Yes"),Personnel!$D$3*(1-Personnel!$H$3),0)+IF(AND(50&gt;=Personnel!$E$4,Personnel!$G$4="Yes"),Personnel!$D$4*(1-Personnel!$H$4),0)+IF(AND(50&gt;=Personnel!$E$5,Personnel!$G$5="Yes"),Personnel!$D$5*(1-Personnel!$H$5),0)+IF(AND(50&gt;=Personnel!$E$6,Personnel!$G$6="Yes"),Personnel!$D$6*(1-Personnel!$H$6),0)+IF(AND(50&gt;=Personnel!$E$7,Personnel!$G$7="Yes"),Personnel!$D$7*(1-Personnel!$H$7),0)+IF(AND(50&gt;=Personnel!$E$8,Personnel!$G$8="Yes"),Personnel!$D$8*(1-Personnel!$H$8),0)+IF(AND(50&gt;=Personnel!$E$9,Personnel!$G$9="Yes"),Personnel!$D$9*(1-Personnel!$H$9),0)+IF(AND(50&gt;=Personnel!$E$10,Personnel!$G$10="Yes"),Personnel!$D$10*(1-Personnel!$H$10),0)+IF(AND(50&gt;=Personnel!$E$11,Personnel!$G$11="Yes"),Personnel!$D$11*(1-Personnel!$H$11),0)+IF(AND(50&gt;=Personnel!$E$12,Personnel!$G$12="Yes"),Personnel!$D$12*(1-Personnel!$H$12),0)+IF(AND(50&gt;=Personnel!$E$13,Personnel!$G$13="Yes"),Personnel!$D$13*(1-Personnel!$H$13),0)+IF(AND(50&gt;=Personnel!$E$14,Personnel!$G$14="Yes"),Personnel!$D$14*(1-Personnel!$H$14),0)+IF(AND(50&gt;=Personnel!$E$15,Personnel!$G$15="Yes"),Personnel!$D$15*(1-Personnel!$H$15),0)+IF(AND(50&gt;=Personnel!$E$16,Personnel!$G$16="Yes"),Personnel!$D$16*(1-Personnel!$H$16),0)+IF(AND(50&gt;=Personnel!$E$17,Personnel!$G$17="Yes"),Personnel!$D$17*(1-Personnel!$H$17),0)+IF(AND(50&gt;=Personnel!$E$18,Personnel!$G$18="Yes"),Personnel!$D$18*(1-Personnel!$H$18),0)+IF(AND(50&gt;=Personnel!$E$19,Personnel!$G$19="Yes"),Personnel!$D$19*(1-Personnel!$H$19),0)+IF(AND(50&gt;=Personnel!$E$20,Personnel!$G$20="Yes"),Personnel!$D$20*(1-Personnel!$H$20),0)+IF(AND(50&gt;=Personnel!$E$21,Personnel!$G$21="Yes"),Personnel!$D$21*(1-Personnel!$H$21),0)+IF(AND(50&gt;=Personnel!$E$22,Personnel!$G$22="Yes"),Personnel!$D$22*(1-Personnel!$H$22),0)+IF(AND(50&gt;=Personnel!$E$23,Personnel!$G$23="Yes"),Personnel!$D$23*(1-Personnel!$H$23),0)+IF(AND(50&gt;=Personnel!$E$24,Personnel!$G$24="Yes"),Personnel!$D$24*(1-Personnel!$H$24),0)+IF(AND(50&gt;=Personnel!$E$25,Personnel!$G$25="Yes"),Personnel!$D$25*(1-Personnel!$H$25),0)+IF(AND(50&gt;=Personnel!$E$26,Personnel!$G$26="Yes"),Personnel!$D$26*(1-Personnel!$H$26),0)+IF(AND(50&gt;=Personnel!$E$27,Personnel!$G$27="Yes"),Personnel!$D$27*(1-Personnel!$H$27),0)+IF(AND(50&gt;=Personnel!$E$28,Personnel!$G$28="Yes"),Personnel!$D$28*(1-Personnel!$H$28),0)+IF(AND(50&gt;=Personnel!$E$29,Personnel!$G$29="Yes"),Personnel!$D$29*(1-Personnel!$H$29),0)+IF(AND(50&gt;=Personnel!$E$32,Personnel!$G$32="Yes"),Personnel!$D$32*(1-Personnel!$H$32),0)+IF(AND(50&gt;=Personnel!$E$33,Personnel!$G$33="Yes"),Personnel!$D$33*(1-Personnel!$H$33),0)+IF(AND(50&gt;=Personnel!$E$34,Personnel!$G$34="Yes"),Personnel!$D$34*(1-Personnel!$H$34),0)+IF(AND(50&gt;=Personnel!$E$35,Personnel!$G$35="Yes"),Personnel!$D$35*(1-Personnel!$H$35),0)+IF(AND(50&gt;=Personnel!$E$36,Personnel!$G$36="Yes"),Personnel!$D$36*(1-Personnel!$H$36),0)+IF(AND(50&gt;=Personnel!$E$37,Personnel!$G$37="Yes"),Personnel!$D$37*(1-Personnel!$H$37),0)+IF(AND(50&gt;=Personnel!$E$38,Personnel!$G$38="Yes"),Personnel!$D$38*(1-Personnel!$H$38),0))</f>
        <v>284324.33333333331</v>
      </c>
      <c r="BA4" s="105">
        <f>(IF(AND(51&gt;=Personnel!$E$2,Personnel!$G$2="Yes"),Personnel!$D$2*(1-Personnel!$H$2),0)+IF(AND(51&gt;=Personnel!$E$3,Personnel!$G$3="Yes"),Personnel!$D$3*(1-Personnel!$H$3),0)+IF(AND(51&gt;=Personnel!$E$4,Personnel!$G$4="Yes"),Personnel!$D$4*(1-Personnel!$H$4),0)+IF(AND(51&gt;=Personnel!$E$5,Personnel!$G$5="Yes"),Personnel!$D$5*(1-Personnel!$H$5),0)+IF(AND(51&gt;=Personnel!$E$6,Personnel!$G$6="Yes"),Personnel!$D$6*(1-Personnel!$H$6),0)+IF(AND(51&gt;=Personnel!$E$7,Personnel!$G$7="Yes"),Personnel!$D$7*(1-Personnel!$H$7),0)+IF(AND(51&gt;=Personnel!$E$8,Personnel!$G$8="Yes"),Personnel!$D$8*(1-Personnel!$H$8),0)+IF(AND(51&gt;=Personnel!$E$9,Personnel!$G$9="Yes"),Personnel!$D$9*(1-Personnel!$H$9),0)+IF(AND(51&gt;=Personnel!$E$10,Personnel!$G$10="Yes"),Personnel!$D$10*(1-Personnel!$H$10),0)+IF(AND(51&gt;=Personnel!$E$11,Personnel!$G$11="Yes"),Personnel!$D$11*(1-Personnel!$H$11),0)+IF(AND(51&gt;=Personnel!$E$12,Personnel!$G$12="Yes"),Personnel!$D$12*(1-Personnel!$H$12),0)+IF(AND(51&gt;=Personnel!$E$13,Personnel!$G$13="Yes"),Personnel!$D$13*(1-Personnel!$H$13),0)+IF(AND(51&gt;=Personnel!$E$14,Personnel!$G$14="Yes"),Personnel!$D$14*(1-Personnel!$H$14),0)+IF(AND(51&gt;=Personnel!$E$15,Personnel!$G$15="Yes"),Personnel!$D$15*(1-Personnel!$H$15),0)+IF(AND(51&gt;=Personnel!$E$16,Personnel!$G$16="Yes"),Personnel!$D$16*(1-Personnel!$H$16),0)+IF(AND(51&gt;=Personnel!$E$17,Personnel!$G$17="Yes"),Personnel!$D$17*(1-Personnel!$H$17),0)+IF(AND(51&gt;=Personnel!$E$18,Personnel!$G$18="Yes"),Personnel!$D$18*(1-Personnel!$H$18),0)+IF(AND(51&gt;=Personnel!$E$19,Personnel!$G$19="Yes"),Personnel!$D$19*(1-Personnel!$H$19),0)+IF(AND(51&gt;=Personnel!$E$20,Personnel!$G$20="Yes"),Personnel!$D$20*(1-Personnel!$H$20),0)+IF(AND(51&gt;=Personnel!$E$21,Personnel!$G$21="Yes"),Personnel!$D$21*(1-Personnel!$H$21),0)+IF(AND(51&gt;=Personnel!$E$22,Personnel!$G$22="Yes"),Personnel!$D$22*(1-Personnel!$H$22),0)+IF(AND(51&gt;=Personnel!$E$23,Personnel!$G$23="Yes"),Personnel!$D$23*(1-Personnel!$H$23),0)+IF(AND(51&gt;=Personnel!$E$24,Personnel!$G$24="Yes"),Personnel!$D$24*(1-Personnel!$H$24),0)+IF(AND(51&gt;=Personnel!$E$25,Personnel!$G$25="Yes"),Personnel!$D$25*(1-Personnel!$H$25),0)+IF(AND(51&gt;=Personnel!$E$26,Personnel!$G$26="Yes"),Personnel!$D$26*(1-Personnel!$H$26),0)+IF(AND(51&gt;=Personnel!$E$27,Personnel!$G$27="Yes"),Personnel!$D$27*(1-Personnel!$H$27),0)+IF(AND(51&gt;=Personnel!$E$28,Personnel!$G$28="Yes"),Personnel!$D$28*(1-Personnel!$H$28),0)+IF(AND(51&gt;=Personnel!$E$29,Personnel!$G$29="Yes"),Personnel!$D$29*(1-Personnel!$H$29),0)+IF(AND(51&gt;=Personnel!$E$32,Personnel!$G$32="Yes"),Personnel!$D$32*(1-Personnel!$H$32),0)+IF(AND(51&gt;=Personnel!$E$33,Personnel!$G$33="Yes"),Personnel!$D$33*(1-Personnel!$H$33),0)+IF(AND(51&gt;=Personnel!$E$34,Personnel!$G$34="Yes"),Personnel!$D$34*(1-Personnel!$H$34),0)+IF(AND(51&gt;=Personnel!$E$35,Personnel!$G$35="Yes"),Personnel!$D$35*(1-Personnel!$H$35),0)+IF(AND(51&gt;=Personnel!$E$36,Personnel!$G$36="Yes"),Personnel!$D$36*(1-Personnel!$H$36),0)+IF(AND(51&gt;=Personnel!$E$37,Personnel!$G$37="Yes"),Personnel!$D$37*(1-Personnel!$H$37),0)+IF(AND(51&gt;=Personnel!$E$38,Personnel!$G$38="Yes"),Personnel!$D$38*(1-Personnel!$H$38),0))</f>
        <v>284324.33333333331</v>
      </c>
      <c r="BB4" s="105">
        <f>(IF(AND(52&gt;=Personnel!$E$2,Personnel!$G$2="Yes"),Personnel!$D$2*(1-Personnel!$H$2),0)+IF(AND(52&gt;=Personnel!$E$3,Personnel!$G$3="Yes"),Personnel!$D$3*(1-Personnel!$H$3),0)+IF(AND(52&gt;=Personnel!$E$4,Personnel!$G$4="Yes"),Personnel!$D$4*(1-Personnel!$H$4),0)+IF(AND(52&gt;=Personnel!$E$5,Personnel!$G$5="Yes"),Personnel!$D$5*(1-Personnel!$H$5),0)+IF(AND(52&gt;=Personnel!$E$6,Personnel!$G$6="Yes"),Personnel!$D$6*(1-Personnel!$H$6),0)+IF(AND(52&gt;=Personnel!$E$7,Personnel!$G$7="Yes"),Personnel!$D$7*(1-Personnel!$H$7),0)+IF(AND(52&gt;=Personnel!$E$8,Personnel!$G$8="Yes"),Personnel!$D$8*(1-Personnel!$H$8),0)+IF(AND(52&gt;=Personnel!$E$9,Personnel!$G$9="Yes"),Personnel!$D$9*(1-Personnel!$H$9),0)+IF(AND(52&gt;=Personnel!$E$10,Personnel!$G$10="Yes"),Personnel!$D$10*(1-Personnel!$H$10),0)+IF(AND(52&gt;=Personnel!$E$11,Personnel!$G$11="Yes"),Personnel!$D$11*(1-Personnel!$H$11),0)+IF(AND(52&gt;=Personnel!$E$12,Personnel!$G$12="Yes"),Personnel!$D$12*(1-Personnel!$H$12),0)+IF(AND(52&gt;=Personnel!$E$13,Personnel!$G$13="Yes"),Personnel!$D$13*(1-Personnel!$H$13),0)+IF(AND(52&gt;=Personnel!$E$14,Personnel!$G$14="Yes"),Personnel!$D$14*(1-Personnel!$H$14),0)+IF(AND(52&gt;=Personnel!$E$15,Personnel!$G$15="Yes"),Personnel!$D$15*(1-Personnel!$H$15),0)+IF(AND(52&gt;=Personnel!$E$16,Personnel!$G$16="Yes"),Personnel!$D$16*(1-Personnel!$H$16),0)+IF(AND(52&gt;=Personnel!$E$17,Personnel!$G$17="Yes"),Personnel!$D$17*(1-Personnel!$H$17),0)+IF(AND(52&gt;=Personnel!$E$18,Personnel!$G$18="Yes"),Personnel!$D$18*(1-Personnel!$H$18),0)+IF(AND(52&gt;=Personnel!$E$19,Personnel!$G$19="Yes"),Personnel!$D$19*(1-Personnel!$H$19),0)+IF(AND(52&gt;=Personnel!$E$20,Personnel!$G$20="Yes"),Personnel!$D$20*(1-Personnel!$H$20),0)+IF(AND(52&gt;=Personnel!$E$21,Personnel!$G$21="Yes"),Personnel!$D$21*(1-Personnel!$H$21),0)+IF(AND(52&gt;=Personnel!$E$22,Personnel!$G$22="Yes"),Personnel!$D$22*(1-Personnel!$H$22),0)+IF(AND(52&gt;=Personnel!$E$23,Personnel!$G$23="Yes"),Personnel!$D$23*(1-Personnel!$H$23),0)+IF(AND(52&gt;=Personnel!$E$24,Personnel!$G$24="Yes"),Personnel!$D$24*(1-Personnel!$H$24),0)+IF(AND(52&gt;=Personnel!$E$25,Personnel!$G$25="Yes"),Personnel!$D$25*(1-Personnel!$H$25),0)+IF(AND(52&gt;=Personnel!$E$26,Personnel!$G$26="Yes"),Personnel!$D$26*(1-Personnel!$H$26),0)+IF(AND(52&gt;=Personnel!$E$27,Personnel!$G$27="Yes"),Personnel!$D$27*(1-Personnel!$H$27),0)+IF(AND(52&gt;=Personnel!$E$28,Personnel!$G$28="Yes"),Personnel!$D$28*(1-Personnel!$H$28),0)+IF(AND(52&gt;=Personnel!$E$29,Personnel!$G$29="Yes"),Personnel!$D$29*(1-Personnel!$H$29),0)+IF(AND(52&gt;=Personnel!$E$32,Personnel!$G$32="Yes"),Personnel!$D$32*(1-Personnel!$H$32),0)+IF(AND(52&gt;=Personnel!$E$33,Personnel!$G$33="Yes"),Personnel!$D$33*(1-Personnel!$H$33),0)+IF(AND(52&gt;=Personnel!$E$34,Personnel!$G$34="Yes"),Personnel!$D$34*(1-Personnel!$H$34),0)+IF(AND(52&gt;=Personnel!$E$35,Personnel!$G$35="Yes"),Personnel!$D$35*(1-Personnel!$H$35),0)+IF(AND(52&gt;=Personnel!$E$36,Personnel!$G$36="Yes"),Personnel!$D$36*(1-Personnel!$H$36),0)+IF(AND(52&gt;=Personnel!$E$37,Personnel!$G$37="Yes"),Personnel!$D$37*(1-Personnel!$H$37),0)+IF(AND(52&gt;=Personnel!$E$38,Personnel!$G$38="Yes"),Personnel!$D$38*(1-Personnel!$H$38),0))</f>
        <v>284324.33333333331</v>
      </c>
      <c r="BC4" s="105">
        <f>(IF(AND(53&gt;=Personnel!$E$2,Personnel!$G$2="Yes"),Personnel!$D$2*(1-Personnel!$H$2),0)+IF(AND(53&gt;=Personnel!$E$3,Personnel!$G$3="Yes"),Personnel!$D$3*(1-Personnel!$H$3),0)+IF(AND(53&gt;=Personnel!$E$4,Personnel!$G$4="Yes"),Personnel!$D$4*(1-Personnel!$H$4),0)+IF(AND(53&gt;=Personnel!$E$5,Personnel!$G$5="Yes"),Personnel!$D$5*(1-Personnel!$H$5),0)+IF(AND(53&gt;=Personnel!$E$6,Personnel!$G$6="Yes"),Personnel!$D$6*(1-Personnel!$H$6),0)+IF(AND(53&gt;=Personnel!$E$7,Personnel!$G$7="Yes"),Personnel!$D$7*(1-Personnel!$H$7),0)+IF(AND(53&gt;=Personnel!$E$8,Personnel!$G$8="Yes"),Personnel!$D$8*(1-Personnel!$H$8),0)+IF(AND(53&gt;=Personnel!$E$9,Personnel!$G$9="Yes"),Personnel!$D$9*(1-Personnel!$H$9),0)+IF(AND(53&gt;=Personnel!$E$10,Personnel!$G$10="Yes"),Personnel!$D$10*(1-Personnel!$H$10),0)+IF(AND(53&gt;=Personnel!$E$11,Personnel!$G$11="Yes"),Personnel!$D$11*(1-Personnel!$H$11),0)+IF(AND(53&gt;=Personnel!$E$12,Personnel!$G$12="Yes"),Personnel!$D$12*(1-Personnel!$H$12),0)+IF(AND(53&gt;=Personnel!$E$13,Personnel!$G$13="Yes"),Personnel!$D$13*(1-Personnel!$H$13),0)+IF(AND(53&gt;=Personnel!$E$14,Personnel!$G$14="Yes"),Personnel!$D$14*(1-Personnel!$H$14),0)+IF(AND(53&gt;=Personnel!$E$15,Personnel!$G$15="Yes"),Personnel!$D$15*(1-Personnel!$H$15),0)+IF(AND(53&gt;=Personnel!$E$16,Personnel!$G$16="Yes"),Personnel!$D$16*(1-Personnel!$H$16),0)+IF(AND(53&gt;=Personnel!$E$17,Personnel!$G$17="Yes"),Personnel!$D$17*(1-Personnel!$H$17),0)+IF(AND(53&gt;=Personnel!$E$18,Personnel!$G$18="Yes"),Personnel!$D$18*(1-Personnel!$H$18),0)+IF(AND(53&gt;=Personnel!$E$19,Personnel!$G$19="Yes"),Personnel!$D$19*(1-Personnel!$H$19),0)+IF(AND(53&gt;=Personnel!$E$20,Personnel!$G$20="Yes"),Personnel!$D$20*(1-Personnel!$H$20),0)+IF(AND(53&gt;=Personnel!$E$21,Personnel!$G$21="Yes"),Personnel!$D$21*(1-Personnel!$H$21),0)+IF(AND(53&gt;=Personnel!$E$22,Personnel!$G$22="Yes"),Personnel!$D$22*(1-Personnel!$H$22),0)+IF(AND(53&gt;=Personnel!$E$23,Personnel!$G$23="Yes"),Personnel!$D$23*(1-Personnel!$H$23),0)+IF(AND(53&gt;=Personnel!$E$24,Personnel!$G$24="Yes"),Personnel!$D$24*(1-Personnel!$H$24),0)+IF(AND(53&gt;=Personnel!$E$25,Personnel!$G$25="Yes"),Personnel!$D$25*(1-Personnel!$H$25),0)+IF(AND(53&gt;=Personnel!$E$26,Personnel!$G$26="Yes"),Personnel!$D$26*(1-Personnel!$H$26),0)+IF(AND(53&gt;=Personnel!$E$27,Personnel!$G$27="Yes"),Personnel!$D$27*(1-Personnel!$H$27),0)+IF(AND(53&gt;=Personnel!$E$28,Personnel!$G$28="Yes"),Personnel!$D$28*(1-Personnel!$H$28),0)+IF(AND(53&gt;=Personnel!$E$29,Personnel!$G$29="Yes"),Personnel!$D$29*(1-Personnel!$H$29),0)+IF(AND(53&gt;=Personnel!$E$32,Personnel!$G$32="Yes"),Personnel!$D$32*(1-Personnel!$H$32),0)+IF(AND(53&gt;=Personnel!$E$33,Personnel!$G$33="Yes"),Personnel!$D$33*(1-Personnel!$H$33),0)+IF(AND(53&gt;=Personnel!$E$34,Personnel!$G$34="Yes"),Personnel!$D$34*(1-Personnel!$H$34),0)+IF(AND(53&gt;=Personnel!$E$35,Personnel!$G$35="Yes"),Personnel!$D$35*(1-Personnel!$H$35),0)+IF(AND(53&gt;=Personnel!$E$36,Personnel!$G$36="Yes"),Personnel!$D$36*(1-Personnel!$H$36),0)+IF(AND(53&gt;=Personnel!$E$37,Personnel!$G$37="Yes"),Personnel!$D$37*(1-Personnel!$H$37),0)+IF(AND(53&gt;=Personnel!$E$38,Personnel!$G$38="Yes"),Personnel!$D$38*(1-Personnel!$H$38),0))</f>
        <v>284324.33333333331</v>
      </c>
      <c r="BD4" s="105">
        <f>(IF(AND(54&gt;=Personnel!$E$2,Personnel!$G$2="Yes"),Personnel!$D$2*(1-Personnel!$H$2),0)+IF(AND(54&gt;=Personnel!$E$3,Personnel!$G$3="Yes"),Personnel!$D$3*(1-Personnel!$H$3),0)+IF(AND(54&gt;=Personnel!$E$4,Personnel!$G$4="Yes"),Personnel!$D$4*(1-Personnel!$H$4),0)+IF(AND(54&gt;=Personnel!$E$5,Personnel!$G$5="Yes"),Personnel!$D$5*(1-Personnel!$H$5),0)+IF(AND(54&gt;=Personnel!$E$6,Personnel!$G$6="Yes"),Personnel!$D$6*(1-Personnel!$H$6),0)+IF(AND(54&gt;=Personnel!$E$7,Personnel!$G$7="Yes"),Personnel!$D$7*(1-Personnel!$H$7),0)+IF(AND(54&gt;=Personnel!$E$8,Personnel!$G$8="Yes"),Personnel!$D$8*(1-Personnel!$H$8),0)+IF(AND(54&gt;=Personnel!$E$9,Personnel!$G$9="Yes"),Personnel!$D$9*(1-Personnel!$H$9),0)+IF(AND(54&gt;=Personnel!$E$10,Personnel!$G$10="Yes"),Personnel!$D$10*(1-Personnel!$H$10),0)+IF(AND(54&gt;=Personnel!$E$11,Personnel!$G$11="Yes"),Personnel!$D$11*(1-Personnel!$H$11),0)+IF(AND(54&gt;=Personnel!$E$12,Personnel!$G$12="Yes"),Personnel!$D$12*(1-Personnel!$H$12),0)+IF(AND(54&gt;=Personnel!$E$13,Personnel!$G$13="Yes"),Personnel!$D$13*(1-Personnel!$H$13),0)+IF(AND(54&gt;=Personnel!$E$14,Personnel!$G$14="Yes"),Personnel!$D$14*(1-Personnel!$H$14),0)+IF(AND(54&gt;=Personnel!$E$15,Personnel!$G$15="Yes"),Personnel!$D$15*(1-Personnel!$H$15),0)+IF(AND(54&gt;=Personnel!$E$16,Personnel!$G$16="Yes"),Personnel!$D$16*(1-Personnel!$H$16),0)+IF(AND(54&gt;=Personnel!$E$17,Personnel!$G$17="Yes"),Personnel!$D$17*(1-Personnel!$H$17),0)+IF(AND(54&gt;=Personnel!$E$18,Personnel!$G$18="Yes"),Personnel!$D$18*(1-Personnel!$H$18),0)+IF(AND(54&gt;=Personnel!$E$19,Personnel!$G$19="Yes"),Personnel!$D$19*(1-Personnel!$H$19),0)+IF(AND(54&gt;=Personnel!$E$20,Personnel!$G$20="Yes"),Personnel!$D$20*(1-Personnel!$H$20),0)+IF(AND(54&gt;=Personnel!$E$21,Personnel!$G$21="Yes"),Personnel!$D$21*(1-Personnel!$H$21),0)+IF(AND(54&gt;=Personnel!$E$22,Personnel!$G$22="Yes"),Personnel!$D$22*(1-Personnel!$H$22),0)+IF(AND(54&gt;=Personnel!$E$23,Personnel!$G$23="Yes"),Personnel!$D$23*(1-Personnel!$H$23),0)+IF(AND(54&gt;=Personnel!$E$24,Personnel!$G$24="Yes"),Personnel!$D$24*(1-Personnel!$H$24),0)+IF(AND(54&gt;=Personnel!$E$25,Personnel!$G$25="Yes"),Personnel!$D$25*(1-Personnel!$H$25),0)+IF(AND(54&gt;=Personnel!$E$26,Personnel!$G$26="Yes"),Personnel!$D$26*(1-Personnel!$H$26),0)+IF(AND(54&gt;=Personnel!$E$27,Personnel!$G$27="Yes"),Personnel!$D$27*(1-Personnel!$H$27),0)+IF(AND(54&gt;=Personnel!$E$28,Personnel!$G$28="Yes"),Personnel!$D$28*(1-Personnel!$H$28),0)+IF(AND(54&gt;=Personnel!$E$29,Personnel!$G$29="Yes"),Personnel!$D$29*(1-Personnel!$H$29),0)+IF(AND(54&gt;=Personnel!$E$32,Personnel!$G$32="Yes"),Personnel!$D$32*(1-Personnel!$H$32),0)+IF(AND(54&gt;=Personnel!$E$33,Personnel!$G$33="Yes"),Personnel!$D$33*(1-Personnel!$H$33),0)+IF(AND(54&gt;=Personnel!$E$34,Personnel!$G$34="Yes"),Personnel!$D$34*(1-Personnel!$H$34),0)+IF(AND(54&gt;=Personnel!$E$35,Personnel!$G$35="Yes"),Personnel!$D$35*(1-Personnel!$H$35),0)+IF(AND(54&gt;=Personnel!$E$36,Personnel!$G$36="Yes"),Personnel!$D$36*(1-Personnel!$H$36),0)+IF(AND(54&gt;=Personnel!$E$37,Personnel!$G$37="Yes"),Personnel!$D$37*(1-Personnel!$H$37),0)+IF(AND(54&gt;=Personnel!$E$38,Personnel!$G$38="Yes"),Personnel!$D$38*(1-Personnel!$H$38),0))</f>
        <v>284324.33333333331</v>
      </c>
      <c r="BE4" s="105">
        <f>(IF(AND(55&gt;=Personnel!$E$2,Personnel!$G$2="Yes"),Personnel!$D$2*(1-Personnel!$H$2),0)+IF(AND(55&gt;=Personnel!$E$3,Personnel!$G$3="Yes"),Personnel!$D$3*(1-Personnel!$H$3),0)+IF(AND(55&gt;=Personnel!$E$4,Personnel!$G$4="Yes"),Personnel!$D$4*(1-Personnel!$H$4),0)+IF(AND(55&gt;=Personnel!$E$5,Personnel!$G$5="Yes"),Personnel!$D$5*(1-Personnel!$H$5),0)+IF(AND(55&gt;=Personnel!$E$6,Personnel!$G$6="Yes"),Personnel!$D$6*(1-Personnel!$H$6),0)+IF(AND(55&gt;=Personnel!$E$7,Personnel!$G$7="Yes"),Personnel!$D$7*(1-Personnel!$H$7),0)+IF(AND(55&gt;=Personnel!$E$8,Personnel!$G$8="Yes"),Personnel!$D$8*(1-Personnel!$H$8),0)+IF(AND(55&gt;=Personnel!$E$9,Personnel!$G$9="Yes"),Personnel!$D$9*(1-Personnel!$H$9),0)+IF(AND(55&gt;=Personnel!$E$10,Personnel!$G$10="Yes"),Personnel!$D$10*(1-Personnel!$H$10),0)+IF(AND(55&gt;=Personnel!$E$11,Personnel!$G$11="Yes"),Personnel!$D$11*(1-Personnel!$H$11),0)+IF(AND(55&gt;=Personnel!$E$12,Personnel!$G$12="Yes"),Personnel!$D$12*(1-Personnel!$H$12),0)+IF(AND(55&gt;=Personnel!$E$13,Personnel!$G$13="Yes"),Personnel!$D$13*(1-Personnel!$H$13),0)+IF(AND(55&gt;=Personnel!$E$14,Personnel!$G$14="Yes"),Personnel!$D$14*(1-Personnel!$H$14),0)+IF(AND(55&gt;=Personnel!$E$15,Personnel!$G$15="Yes"),Personnel!$D$15*(1-Personnel!$H$15),0)+IF(AND(55&gt;=Personnel!$E$16,Personnel!$G$16="Yes"),Personnel!$D$16*(1-Personnel!$H$16),0)+IF(AND(55&gt;=Personnel!$E$17,Personnel!$G$17="Yes"),Personnel!$D$17*(1-Personnel!$H$17),0)+IF(AND(55&gt;=Personnel!$E$18,Personnel!$G$18="Yes"),Personnel!$D$18*(1-Personnel!$H$18),0)+IF(AND(55&gt;=Personnel!$E$19,Personnel!$G$19="Yes"),Personnel!$D$19*(1-Personnel!$H$19),0)+IF(AND(55&gt;=Personnel!$E$20,Personnel!$G$20="Yes"),Personnel!$D$20*(1-Personnel!$H$20),0)+IF(AND(55&gt;=Personnel!$E$21,Personnel!$G$21="Yes"),Personnel!$D$21*(1-Personnel!$H$21),0)+IF(AND(55&gt;=Personnel!$E$22,Personnel!$G$22="Yes"),Personnel!$D$22*(1-Personnel!$H$22),0)+IF(AND(55&gt;=Personnel!$E$23,Personnel!$G$23="Yes"),Personnel!$D$23*(1-Personnel!$H$23),0)+IF(AND(55&gt;=Personnel!$E$24,Personnel!$G$24="Yes"),Personnel!$D$24*(1-Personnel!$H$24),0)+IF(AND(55&gt;=Personnel!$E$25,Personnel!$G$25="Yes"),Personnel!$D$25*(1-Personnel!$H$25),0)+IF(AND(55&gt;=Personnel!$E$26,Personnel!$G$26="Yes"),Personnel!$D$26*(1-Personnel!$H$26),0)+IF(AND(55&gt;=Personnel!$E$27,Personnel!$G$27="Yes"),Personnel!$D$27*(1-Personnel!$H$27),0)+IF(AND(55&gt;=Personnel!$E$28,Personnel!$G$28="Yes"),Personnel!$D$28*(1-Personnel!$H$28),0)+IF(AND(55&gt;=Personnel!$E$29,Personnel!$G$29="Yes"),Personnel!$D$29*(1-Personnel!$H$29),0)+IF(AND(55&gt;=Personnel!$E$32,Personnel!$G$32="Yes"),Personnel!$D$32*(1-Personnel!$H$32),0)+IF(AND(55&gt;=Personnel!$E$33,Personnel!$G$33="Yes"),Personnel!$D$33*(1-Personnel!$H$33),0)+IF(AND(55&gt;=Personnel!$E$34,Personnel!$G$34="Yes"),Personnel!$D$34*(1-Personnel!$H$34),0)+IF(AND(55&gt;=Personnel!$E$35,Personnel!$G$35="Yes"),Personnel!$D$35*(1-Personnel!$H$35),0)+IF(AND(55&gt;=Personnel!$E$36,Personnel!$G$36="Yes"),Personnel!$D$36*(1-Personnel!$H$36),0)+IF(AND(55&gt;=Personnel!$E$37,Personnel!$G$37="Yes"),Personnel!$D$37*(1-Personnel!$H$37),0)+IF(AND(55&gt;=Personnel!$E$38,Personnel!$G$38="Yes"),Personnel!$D$38*(1-Personnel!$H$38),0))</f>
        <v>284324.33333333331</v>
      </c>
      <c r="BF4" s="105">
        <f>(IF(AND(56&gt;=Personnel!$E$2,Personnel!$G$2="Yes"),Personnel!$D$2*(1-Personnel!$H$2),0)+IF(AND(56&gt;=Personnel!$E$3,Personnel!$G$3="Yes"),Personnel!$D$3*(1-Personnel!$H$3),0)+IF(AND(56&gt;=Personnel!$E$4,Personnel!$G$4="Yes"),Personnel!$D$4*(1-Personnel!$H$4),0)+IF(AND(56&gt;=Personnel!$E$5,Personnel!$G$5="Yes"),Personnel!$D$5*(1-Personnel!$H$5),0)+IF(AND(56&gt;=Personnel!$E$6,Personnel!$G$6="Yes"),Personnel!$D$6*(1-Personnel!$H$6),0)+IF(AND(56&gt;=Personnel!$E$7,Personnel!$G$7="Yes"),Personnel!$D$7*(1-Personnel!$H$7),0)+IF(AND(56&gt;=Personnel!$E$8,Personnel!$G$8="Yes"),Personnel!$D$8*(1-Personnel!$H$8),0)+IF(AND(56&gt;=Personnel!$E$9,Personnel!$G$9="Yes"),Personnel!$D$9*(1-Personnel!$H$9),0)+IF(AND(56&gt;=Personnel!$E$10,Personnel!$G$10="Yes"),Personnel!$D$10*(1-Personnel!$H$10),0)+IF(AND(56&gt;=Personnel!$E$11,Personnel!$G$11="Yes"),Personnel!$D$11*(1-Personnel!$H$11),0)+IF(AND(56&gt;=Personnel!$E$12,Personnel!$G$12="Yes"),Personnel!$D$12*(1-Personnel!$H$12),0)+IF(AND(56&gt;=Personnel!$E$13,Personnel!$G$13="Yes"),Personnel!$D$13*(1-Personnel!$H$13),0)+IF(AND(56&gt;=Personnel!$E$14,Personnel!$G$14="Yes"),Personnel!$D$14*(1-Personnel!$H$14),0)+IF(AND(56&gt;=Personnel!$E$15,Personnel!$G$15="Yes"),Personnel!$D$15*(1-Personnel!$H$15),0)+IF(AND(56&gt;=Personnel!$E$16,Personnel!$G$16="Yes"),Personnel!$D$16*(1-Personnel!$H$16),0)+IF(AND(56&gt;=Personnel!$E$17,Personnel!$G$17="Yes"),Personnel!$D$17*(1-Personnel!$H$17),0)+IF(AND(56&gt;=Personnel!$E$18,Personnel!$G$18="Yes"),Personnel!$D$18*(1-Personnel!$H$18),0)+IF(AND(56&gt;=Personnel!$E$19,Personnel!$G$19="Yes"),Personnel!$D$19*(1-Personnel!$H$19),0)+IF(AND(56&gt;=Personnel!$E$20,Personnel!$G$20="Yes"),Personnel!$D$20*(1-Personnel!$H$20),0)+IF(AND(56&gt;=Personnel!$E$21,Personnel!$G$21="Yes"),Personnel!$D$21*(1-Personnel!$H$21),0)+IF(AND(56&gt;=Personnel!$E$22,Personnel!$G$22="Yes"),Personnel!$D$22*(1-Personnel!$H$22),0)+IF(AND(56&gt;=Personnel!$E$23,Personnel!$G$23="Yes"),Personnel!$D$23*(1-Personnel!$H$23),0)+IF(AND(56&gt;=Personnel!$E$24,Personnel!$G$24="Yes"),Personnel!$D$24*(1-Personnel!$H$24),0)+IF(AND(56&gt;=Personnel!$E$25,Personnel!$G$25="Yes"),Personnel!$D$25*(1-Personnel!$H$25),0)+IF(AND(56&gt;=Personnel!$E$26,Personnel!$G$26="Yes"),Personnel!$D$26*(1-Personnel!$H$26),0)+IF(AND(56&gt;=Personnel!$E$27,Personnel!$G$27="Yes"),Personnel!$D$27*(1-Personnel!$H$27),0)+IF(AND(56&gt;=Personnel!$E$28,Personnel!$G$28="Yes"),Personnel!$D$28*(1-Personnel!$H$28),0)+IF(AND(56&gt;=Personnel!$E$29,Personnel!$G$29="Yes"),Personnel!$D$29*(1-Personnel!$H$29),0)+IF(AND(56&gt;=Personnel!$E$32,Personnel!$G$32="Yes"),Personnel!$D$32*(1-Personnel!$H$32),0)+IF(AND(56&gt;=Personnel!$E$33,Personnel!$G$33="Yes"),Personnel!$D$33*(1-Personnel!$H$33),0)+IF(AND(56&gt;=Personnel!$E$34,Personnel!$G$34="Yes"),Personnel!$D$34*(1-Personnel!$H$34),0)+IF(AND(56&gt;=Personnel!$E$35,Personnel!$G$35="Yes"),Personnel!$D$35*(1-Personnel!$H$35),0)+IF(AND(56&gt;=Personnel!$E$36,Personnel!$G$36="Yes"),Personnel!$D$36*(1-Personnel!$H$36),0)+IF(AND(56&gt;=Personnel!$E$37,Personnel!$G$37="Yes"),Personnel!$D$37*(1-Personnel!$H$37),0)+IF(AND(56&gt;=Personnel!$E$38,Personnel!$G$38="Yes"),Personnel!$D$38*(1-Personnel!$H$38),0))</f>
        <v>284324.33333333331</v>
      </c>
      <c r="BG4" s="105">
        <f>(IF(AND(57&gt;=Personnel!$E$2,Personnel!$G$2="Yes"),Personnel!$D$2*(1-Personnel!$H$2),0)+IF(AND(57&gt;=Personnel!$E$3,Personnel!$G$3="Yes"),Personnel!$D$3*(1-Personnel!$H$3),0)+IF(AND(57&gt;=Personnel!$E$4,Personnel!$G$4="Yes"),Personnel!$D$4*(1-Personnel!$H$4),0)+IF(AND(57&gt;=Personnel!$E$5,Personnel!$G$5="Yes"),Personnel!$D$5*(1-Personnel!$H$5),0)+IF(AND(57&gt;=Personnel!$E$6,Personnel!$G$6="Yes"),Personnel!$D$6*(1-Personnel!$H$6),0)+IF(AND(57&gt;=Personnel!$E$7,Personnel!$G$7="Yes"),Personnel!$D$7*(1-Personnel!$H$7),0)+IF(AND(57&gt;=Personnel!$E$8,Personnel!$G$8="Yes"),Personnel!$D$8*(1-Personnel!$H$8),0)+IF(AND(57&gt;=Personnel!$E$9,Personnel!$G$9="Yes"),Personnel!$D$9*(1-Personnel!$H$9),0)+IF(AND(57&gt;=Personnel!$E$10,Personnel!$G$10="Yes"),Personnel!$D$10*(1-Personnel!$H$10),0)+IF(AND(57&gt;=Personnel!$E$11,Personnel!$G$11="Yes"),Personnel!$D$11*(1-Personnel!$H$11),0)+IF(AND(57&gt;=Personnel!$E$12,Personnel!$G$12="Yes"),Personnel!$D$12*(1-Personnel!$H$12),0)+IF(AND(57&gt;=Personnel!$E$13,Personnel!$G$13="Yes"),Personnel!$D$13*(1-Personnel!$H$13),0)+IF(AND(57&gt;=Personnel!$E$14,Personnel!$G$14="Yes"),Personnel!$D$14*(1-Personnel!$H$14),0)+IF(AND(57&gt;=Personnel!$E$15,Personnel!$G$15="Yes"),Personnel!$D$15*(1-Personnel!$H$15),0)+IF(AND(57&gt;=Personnel!$E$16,Personnel!$G$16="Yes"),Personnel!$D$16*(1-Personnel!$H$16),0)+IF(AND(57&gt;=Personnel!$E$17,Personnel!$G$17="Yes"),Personnel!$D$17*(1-Personnel!$H$17),0)+IF(AND(57&gt;=Personnel!$E$18,Personnel!$G$18="Yes"),Personnel!$D$18*(1-Personnel!$H$18),0)+IF(AND(57&gt;=Personnel!$E$19,Personnel!$G$19="Yes"),Personnel!$D$19*(1-Personnel!$H$19),0)+IF(AND(57&gt;=Personnel!$E$20,Personnel!$G$20="Yes"),Personnel!$D$20*(1-Personnel!$H$20),0)+IF(AND(57&gt;=Personnel!$E$21,Personnel!$G$21="Yes"),Personnel!$D$21*(1-Personnel!$H$21),0)+IF(AND(57&gt;=Personnel!$E$22,Personnel!$G$22="Yes"),Personnel!$D$22*(1-Personnel!$H$22),0)+IF(AND(57&gt;=Personnel!$E$23,Personnel!$G$23="Yes"),Personnel!$D$23*(1-Personnel!$H$23),0)+IF(AND(57&gt;=Personnel!$E$24,Personnel!$G$24="Yes"),Personnel!$D$24*(1-Personnel!$H$24),0)+IF(AND(57&gt;=Personnel!$E$25,Personnel!$G$25="Yes"),Personnel!$D$25*(1-Personnel!$H$25),0)+IF(AND(57&gt;=Personnel!$E$26,Personnel!$G$26="Yes"),Personnel!$D$26*(1-Personnel!$H$26),0)+IF(AND(57&gt;=Personnel!$E$27,Personnel!$G$27="Yes"),Personnel!$D$27*(1-Personnel!$H$27),0)+IF(AND(57&gt;=Personnel!$E$28,Personnel!$G$28="Yes"),Personnel!$D$28*(1-Personnel!$H$28),0)+IF(AND(57&gt;=Personnel!$E$29,Personnel!$G$29="Yes"),Personnel!$D$29*(1-Personnel!$H$29),0)+IF(AND(57&gt;=Personnel!$E$32,Personnel!$G$32="Yes"),Personnel!$D$32*(1-Personnel!$H$32),0)+IF(AND(57&gt;=Personnel!$E$33,Personnel!$G$33="Yes"),Personnel!$D$33*(1-Personnel!$H$33),0)+IF(AND(57&gt;=Personnel!$E$34,Personnel!$G$34="Yes"),Personnel!$D$34*(1-Personnel!$H$34),0)+IF(AND(57&gt;=Personnel!$E$35,Personnel!$G$35="Yes"),Personnel!$D$35*(1-Personnel!$H$35),0)+IF(AND(57&gt;=Personnel!$E$36,Personnel!$G$36="Yes"),Personnel!$D$36*(1-Personnel!$H$36),0)+IF(AND(57&gt;=Personnel!$E$37,Personnel!$G$37="Yes"),Personnel!$D$37*(1-Personnel!$H$37),0)+IF(AND(57&gt;=Personnel!$E$38,Personnel!$G$38="Yes"),Personnel!$D$38*(1-Personnel!$H$38),0))</f>
        <v>284324.33333333331</v>
      </c>
      <c r="BH4" s="105">
        <f>(IF(AND(58&gt;=Personnel!$E$2,Personnel!$G$2="Yes"),Personnel!$D$2*(1-Personnel!$H$2),0)+IF(AND(58&gt;=Personnel!$E$3,Personnel!$G$3="Yes"),Personnel!$D$3*(1-Personnel!$H$3),0)+IF(AND(58&gt;=Personnel!$E$4,Personnel!$G$4="Yes"),Personnel!$D$4*(1-Personnel!$H$4),0)+IF(AND(58&gt;=Personnel!$E$5,Personnel!$G$5="Yes"),Personnel!$D$5*(1-Personnel!$H$5),0)+IF(AND(58&gt;=Personnel!$E$6,Personnel!$G$6="Yes"),Personnel!$D$6*(1-Personnel!$H$6),0)+IF(AND(58&gt;=Personnel!$E$7,Personnel!$G$7="Yes"),Personnel!$D$7*(1-Personnel!$H$7),0)+IF(AND(58&gt;=Personnel!$E$8,Personnel!$G$8="Yes"),Personnel!$D$8*(1-Personnel!$H$8),0)+IF(AND(58&gt;=Personnel!$E$9,Personnel!$G$9="Yes"),Personnel!$D$9*(1-Personnel!$H$9),0)+IF(AND(58&gt;=Personnel!$E$10,Personnel!$G$10="Yes"),Personnel!$D$10*(1-Personnel!$H$10),0)+IF(AND(58&gt;=Personnel!$E$11,Personnel!$G$11="Yes"),Personnel!$D$11*(1-Personnel!$H$11),0)+IF(AND(58&gt;=Personnel!$E$12,Personnel!$G$12="Yes"),Personnel!$D$12*(1-Personnel!$H$12),0)+IF(AND(58&gt;=Personnel!$E$13,Personnel!$G$13="Yes"),Personnel!$D$13*(1-Personnel!$H$13),0)+IF(AND(58&gt;=Personnel!$E$14,Personnel!$G$14="Yes"),Personnel!$D$14*(1-Personnel!$H$14),0)+IF(AND(58&gt;=Personnel!$E$15,Personnel!$G$15="Yes"),Personnel!$D$15*(1-Personnel!$H$15),0)+IF(AND(58&gt;=Personnel!$E$16,Personnel!$G$16="Yes"),Personnel!$D$16*(1-Personnel!$H$16),0)+IF(AND(58&gt;=Personnel!$E$17,Personnel!$G$17="Yes"),Personnel!$D$17*(1-Personnel!$H$17),0)+IF(AND(58&gt;=Personnel!$E$18,Personnel!$G$18="Yes"),Personnel!$D$18*(1-Personnel!$H$18),0)+IF(AND(58&gt;=Personnel!$E$19,Personnel!$G$19="Yes"),Personnel!$D$19*(1-Personnel!$H$19),0)+IF(AND(58&gt;=Personnel!$E$20,Personnel!$G$20="Yes"),Personnel!$D$20*(1-Personnel!$H$20),0)+IF(AND(58&gt;=Personnel!$E$21,Personnel!$G$21="Yes"),Personnel!$D$21*(1-Personnel!$H$21),0)+IF(AND(58&gt;=Personnel!$E$22,Personnel!$G$22="Yes"),Personnel!$D$22*(1-Personnel!$H$22),0)+IF(AND(58&gt;=Personnel!$E$23,Personnel!$G$23="Yes"),Personnel!$D$23*(1-Personnel!$H$23),0)+IF(AND(58&gt;=Personnel!$E$24,Personnel!$G$24="Yes"),Personnel!$D$24*(1-Personnel!$H$24),0)+IF(AND(58&gt;=Personnel!$E$25,Personnel!$G$25="Yes"),Personnel!$D$25*(1-Personnel!$H$25),0)+IF(AND(58&gt;=Personnel!$E$26,Personnel!$G$26="Yes"),Personnel!$D$26*(1-Personnel!$H$26),0)+IF(AND(58&gt;=Personnel!$E$27,Personnel!$G$27="Yes"),Personnel!$D$27*(1-Personnel!$H$27),0)+IF(AND(58&gt;=Personnel!$E$28,Personnel!$G$28="Yes"),Personnel!$D$28*(1-Personnel!$H$28),0)+IF(AND(58&gt;=Personnel!$E$29,Personnel!$G$29="Yes"),Personnel!$D$29*(1-Personnel!$H$29),0)+IF(AND(58&gt;=Personnel!$E$32,Personnel!$G$32="Yes"),Personnel!$D$32*(1-Personnel!$H$32),0)+IF(AND(58&gt;=Personnel!$E$33,Personnel!$G$33="Yes"),Personnel!$D$33*(1-Personnel!$H$33),0)+IF(AND(58&gt;=Personnel!$E$34,Personnel!$G$34="Yes"),Personnel!$D$34*(1-Personnel!$H$34),0)+IF(AND(58&gt;=Personnel!$E$35,Personnel!$G$35="Yes"),Personnel!$D$35*(1-Personnel!$H$35),0)+IF(AND(58&gt;=Personnel!$E$36,Personnel!$G$36="Yes"),Personnel!$D$36*(1-Personnel!$H$36),0)+IF(AND(58&gt;=Personnel!$E$37,Personnel!$G$37="Yes"),Personnel!$D$37*(1-Personnel!$H$37),0)+IF(AND(58&gt;=Personnel!$E$38,Personnel!$G$38="Yes"),Personnel!$D$38*(1-Personnel!$H$38),0))</f>
        <v>284324.33333333331</v>
      </c>
      <c r="BI4" s="105">
        <f>(IF(AND(59&gt;=Personnel!$E$2,Personnel!$G$2="Yes"),Personnel!$D$2*(1-Personnel!$H$2),0)+IF(AND(59&gt;=Personnel!$E$3,Personnel!$G$3="Yes"),Personnel!$D$3*(1-Personnel!$H$3),0)+IF(AND(59&gt;=Personnel!$E$4,Personnel!$G$4="Yes"),Personnel!$D$4*(1-Personnel!$H$4),0)+IF(AND(59&gt;=Personnel!$E$5,Personnel!$G$5="Yes"),Personnel!$D$5*(1-Personnel!$H$5),0)+IF(AND(59&gt;=Personnel!$E$6,Personnel!$G$6="Yes"),Personnel!$D$6*(1-Personnel!$H$6),0)+IF(AND(59&gt;=Personnel!$E$7,Personnel!$G$7="Yes"),Personnel!$D$7*(1-Personnel!$H$7),0)+IF(AND(59&gt;=Personnel!$E$8,Personnel!$G$8="Yes"),Personnel!$D$8*(1-Personnel!$H$8),0)+IF(AND(59&gt;=Personnel!$E$9,Personnel!$G$9="Yes"),Personnel!$D$9*(1-Personnel!$H$9),0)+IF(AND(59&gt;=Personnel!$E$10,Personnel!$G$10="Yes"),Personnel!$D$10*(1-Personnel!$H$10),0)+IF(AND(59&gt;=Personnel!$E$11,Personnel!$G$11="Yes"),Personnel!$D$11*(1-Personnel!$H$11),0)+IF(AND(59&gt;=Personnel!$E$12,Personnel!$G$12="Yes"),Personnel!$D$12*(1-Personnel!$H$12),0)+IF(AND(59&gt;=Personnel!$E$13,Personnel!$G$13="Yes"),Personnel!$D$13*(1-Personnel!$H$13),0)+IF(AND(59&gt;=Personnel!$E$14,Personnel!$G$14="Yes"),Personnel!$D$14*(1-Personnel!$H$14),0)+IF(AND(59&gt;=Personnel!$E$15,Personnel!$G$15="Yes"),Personnel!$D$15*(1-Personnel!$H$15),0)+IF(AND(59&gt;=Personnel!$E$16,Personnel!$G$16="Yes"),Personnel!$D$16*(1-Personnel!$H$16),0)+IF(AND(59&gt;=Personnel!$E$17,Personnel!$G$17="Yes"),Personnel!$D$17*(1-Personnel!$H$17),0)+IF(AND(59&gt;=Personnel!$E$18,Personnel!$G$18="Yes"),Personnel!$D$18*(1-Personnel!$H$18),0)+IF(AND(59&gt;=Personnel!$E$19,Personnel!$G$19="Yes"),Personnel!$D$19*(1-Personnel!$H$19),0)+IF(AND(59&gt;=Personnel!$E$20,Personnel!$G$20="Yes"),Personnel!$D$20*(1-Personnel!$H$20),0)+IF(AND(59&gt;=Personnel!$E$21,Personnel!$G$21="Yes"),Personnel!$D$21*(1-Personnel!$H$21),0)+IF(AND(59&gt;=Personnel!$E$22,Personnel!$G$22="Yes"),Personnel!$D$22*(1-Personnel!$H$22),0)+IF(AND(59&gt;=Personnel!$E$23,Personnel!$G$23="Yes"),Personnel!$D$23*(1-Personnel!$H$23),0)+IF(AND(59&gt;=Personnel!$E$24,Personnel!$G$24="Yes"),Personnel!$D$24*(1-Personnel!$H$24),0)+IF(AND(59&gt;=Personnel!$E$25,Personnel!$G$25="Yes"),Personnel!$D$25*(1-Personnel!$H$25),0)+IF(AND(59&gt;=Personnel!$E$26,Personnel!$G$26="Yes"),Personnel!$D$26*(1-Personnel!$H$26),0)+IF(AND(59&gt;=Personnel!$E$27,Personnel!$G$27="Yes"),Personnel!$D$27*(1-Personnel!$H$27),0)+IF(AND(59&gt;=Personnel!$E$28,Personnel!$G$28="Yes"),Personnel!$D$28*(1-Personnel!$H$28),0)+IF(AND(59&gt;=Personnel!$E$29,Personnel!$G$29="Yes"),Personnel!$D$29*(1-Personnel!$H$29),0)+IF(AND(59&gt;=Personnel!$E$32,Personnel!$G$32="Yes"),Personnel!$D$32*(1-Personnel!$H$32),0)+IF(AND(59&gt;=Personnel!$E$33,Personnel!$G$33="Yes"),Personnel!$D$33*(1-Personnel!$H$33),0)+IF(AND(59&gt;=Personnel!$E$34,Personnel!$G$34="Yes"),Personnel!$D$34*(1-Personnel!$H$34),0)+IF(AND(59&gt;=Personnel!$E$35,Personnel!$G$35="Yes"),Personnel!$D$35*(1-Personnel!$H$35),0)+IF(AND(59&gt;=Personnel!$E$36,Personnel!$G$36="Yes"),Personnel!$D$36*(1-Personnel!$H$36),0)+IF(AND(59&gt;=Personnel!$E$37,Personnel!$G$37="Yes"),Personnel!$D$37*(1-Personnel!$H$37),0)+IF(AND(59&gt;=Personnel!$E$38,Personnel!$G$38="Yes"),Personnel!$D$38*(1-Personnel!$H$38),0))</f>
        <v>284324.33333333331</v>
      </c>
      <c r="BJ4" s="105">
        <f>(IF(AND(60&gt;=Personnel!$E$2,Personnel!$G$2="Yes"),Personnel!$D$2*(1-Personnel!$H$2),0)+IF(AND(60&gt;=Personnel!$E$3,Personnel!$G$3="Yes"),Personnel!$D$3*(1-Personnel!$H$3),0)+IF(AND(60&gt;=Personnel!$E$4,Personnel!$G$4="Yes"),Personnel!$D$4*(1-Personnel!$H$4),0)+IF(AND(60&gt;=Personnel!$E$5,Personnel!$G$5="Yes"),Personnel!$D$5*(1-Personnel!$H$5),0)+IF(AND(60&gt;=Personnel!$E$6,Personnel!$G$6="Yes"),Personnel!$D$6*(1-Personnel!$H$6),0)+IF(AND(60&gt;=Personnel!$E$7,Personnel!$G$7="Yes"),Personnel!$D$7*(1-Personnel!$H$7),0)+IF(AND(60&gt;=Personnel!$E$8,Personnel!$G$8="Yes"),Personnel!$D$8*(1-Personnel!$H$8),0)+IF(AND(60&gt;=Personnel!$E$9,Personnel!$G$9="Yes"),Personnel!$D$9*(1-Personnel!$H$9),0)+IF(AND(60&gt;=Personnel!$E$10,Personnel!$G$10="Yes"),Personnel!$D$10*(1-Personnel!$H$10),0)+IF(AND(60&gt;=Personnel!$E$11,Personnel!$G$11="Yes"),Personnel!$D$11*(1-Personnel!$H$11),0)+IF(AND(60&gt;=Personnel!$E$12,Personnel!$G$12="Yes"),Personnel!$D$12*(1-Personnel!$H$12),0)+IF(AND(60&gt;=Personnel!$E$13,Personnel!$G$13="Yes"),Personnel!$D$13*(1-Personnel!$H$13),0)+IF(AND(60&gt;=Personnel!$E$14,Personnel!$G$14="Yes"),Personnel!$D$14*(1-Personnel!$H$14),0)+IF(AND(60&gt;=Personnel!$E$15,Personnel!$G$15="Yes"),Personnel!$D$15*(1-Personnel!$H$15),0)+IF(AND(60&gt;=Personnel!$E$16,Personnel!$G$16="Yes"),Personnel!$D$16*(1-Personnel!$H$16),0)+IF(AND(60&gt;=Personnel!$E$17,Personnel!$G$17="Yes"),Personnel!$D$17*(1-Personnel!$H$17),0)+IF(AND(60&gt;=Personnel!$E$18,Personnel!$G$18="Yes"),Personnel!$D$18*(1-Personnel!$H$18),0)+IF(AND(60&gt;=Personnel!$E$19,Personnel!$G$19="Yes"),Personnel!$D$19*(1-Personnel!$H$19),0)+IF(AND(60&gt;=Personnel!$E$20,Personnel!$G$20="Yes"),Personnel!$D$20*(1-Personnel!$H$20),0)+IF(AND(60&gt;=Personnel!$E$21,Personnel!$G$21="Yes"),Personnel!$D$21*(1-Personnel!$H$21),0)+IF(AND(60&gt;=Personnel!$E$22,Personnel!$G$22="Yes"),Personnel!$D$22*(1-Personnel!$H$22),0)+IF(AND(60&gt;=Personnel!$E$23,Personnel!$G$23="Yes"),Personnel!$D$23*(1-Personnel!$H$23),0)+IF(AND(60&gt;=Personnel!$E$24,Personnel!$G$24="Yes"),Personnel!$D$24*(1-Personnel!$H$24),0)+IF(AND(60&gt;=Personnel!$E$25,Personnel!$G$25="Yes"),Personnel!$D$25*(1-Personnel!$H$25),0)+IF(AND(60&gt;=Personnel!$E$26,Personnel!$G$26="Yes"),Personnel!$D$26*(1-Personnel!$H$26),0)+IF(AND(60&gt;=Personnel!$E$27,Personnel!$G$27="Yes"),Personnel!$D$27*(1-Personnel!$H$27),0)+IF(AND(60&gt;=Personnel!$E$28,Personnel!$G$28="Yes"),Personnel!$D$28*(1-Personnel!$H$28),0)+IF(AND(60&gt;=Personnel!$E$29,Personnel!$G$29="Yes"),Personnel!$D$29*(1-Personnel!$H$29),0)+IF(AND(60&gt;=Personnel!$E$32,Personnel!$G$32="Yes"),Personnel!$D$32*(1-Personnel!$H$32),0)+IF(AND(60&gt;=Personnel!$E$33,Personnel!$G$33="Yes"),Personnel!$D$33*(1-Personnel!$H$33),0)+IF(AND(60&gt;=Personnel!$E$34,Personnel!$G$34="Yes"),Personnel!$D$34*(1-Personnel!$H$34),0)+IF(AND(60&gt;=Personnel!$E$35,Personnel!$G$35="Yes"),Personnel!$D$35*(1-Personnel!$H$35),0)+IF(AND(60&gt;=Personnel!$E$36,Personnel!$G$36="Yes"),Personnel!$D$36*(1-Personnel!$H$36),0)+IF(AND(60&gt;=Personnel!$E$37,Personnel!$G$37="Yes"),Personnel!$D$37*(1-Personnel!$H$37),0)+IF(AND(60&gt;=Personnel!$E$38,Personnel!$G$38="Yes"),Personnel!$D$38*(1-Personnel!$H$38),0))</f>
        <v>284324.33333333331</v>
      </c>
      <c r="BK4" s="105">
        <f>(IF(AND(61&gt;=Personnel!$E$2,Personnel!$G$2="Yes"),Personnel!$D$2*(1-Personnel!$H$2),0)+IF(AND(61&gt;=Personnel!$E$3,Personnel!$G$3="Yes"),Personnel!$D$3*(1-Personnel!$H$3),0)+IF(AND(61&gt;=Personnel!$E$4,Personnel!$G$4="Yes"),Personnel!$D$4*(1-Personnel!$H$4),0)+IF(AND(61&gt;=Personnel!$E$5,Personnel!$G$5="Yes"),Personnel!$D$5*(1-Personnel!$H$5),0)+IF(AND(61&gt;=Personnel!$E$6,Personnel!$G$6="Yes"),Personnel!$D$6*(1-Personnel!$H$6),0)+IF(AND(61&gt;=Personnel!$E$7,Personnel!$G$7="Yes"),Personnel!$D$7*(1-Personnel!$H$7),0)+IF(AND(61&gt;=Personnel!$E$8,Personnel!$G$8="Yes"),Personnel!$D$8*(1-Personnel!$H$8),0)+IF(AND(61&gt;=Personnel!$E$9,Personnel!$G$9="Yes"),Personnel!$D$9*(1-Personnel!$H$9),0)+IF(AND(61&gt;=Personnel!$E$10,Personnel!$G$10="Yes"),Personnel!$D$10*(1-Personnel!$H$10),0)+IF(AND(61&gt;=Personnel!$E$11,Personnel!$G$11="Yes"),Personnel!$D$11*(1-Personnel!$H$11),0)+IF(AND(61&gt;=Personnel!$E$12,Personnel!$G$12="Yes"),Personnel!$D$12*(1-Personnel!$H$12),0)+IF(AND(61&gt;=Personnel!$E$13,Personnel!$G$13="Yes"),Personnel!$D$13*(1-Personnel!$H$13),0)+IF(AND(61&gt;=Personnel!$E$14,Personnel!$G$14="Yes"),Personnel!$D$14*(1-Personnel!$H$14),0)+IF(AND(61&gt;=Personnel!$E$15,Personnel!$G$15="Yes"),Personnel!$D$15*(1-Personnel!$H$15),0)+IF(AND(61&gt;=Personnel!$E$16,Personnel!$G$16="Yes"),Personnel!$D$16*(1-Personnel!$H$16),0)+IF(AND(61&gt;=Personnel!$E$17,Personnel!$G$17="Yes"),Personnel!$D$17*(1-Personnel!$H$17),0)+IF(AND(61&gt;=Personnel!$E$18,Personnel!$G$18="Yes"),Personnel!$D$18*(1-Personnel!$H$18),0)+IF(AND(61&gt;=Personnel!$E$19,Personnel!$G$19="Yes"),Personnel!$D$19*(1-Personnel!$H$19),0)+IF(AND(61&gt;=Personnel!$E$20,Personnel!$G$20="Yes"),Personnel!$D$20*(1-Personnel!$H$20),0)+IF(AND(61&gt;=Personnel!$E$21,Personnel!$G$21="Yes"),Personnel!$D$21*(1-Personnel!$H$21),0)+IF(AND(61&gt;=Personnel!$E$22,Personnel!$G$22="Yes"),Personnel!$D$22*(1-Personnel!$H$22),0)+IF(AND(61&gt;=Personnel!$E$23,Personnel!$G$23="Yes"),Personnel!$D$23*(1-Personnel!$H$23),0)+IF(AND(61&gt;=Personnel!$E$24,Personnel!$G$24="Yes"),Personnel!$D$24*(1-Personnel!$H$24),0)+IF(AND(61&gt;=Personnel!$E$25,Personnel!$G$25="Yes"),Personnel!$D$25*(1-Personnel!$H$25),0)+IF(AND(61&gt;=Personnel!$E$26,Personnel!$G$26="Yes"),Personnel!$D$26*(1-Personnel!$H$26),0)+IF(AND(61&gt;=Personnel!$E$27,Personnel!$G$27="Yes"),Personnel!$D$27*(1-Personnel!$H$27),0)+IF(AND(61&gt;=Personnel!$E$28,Personnel!$G$28="Yes"),Personnel!$D$28*(1-Personnel!$H$28),0)+IF(AND(61&gt;=Personnel!$E$29,Personnel!$G$29="Yes"),Personnel!$D$29*(1-Personnel!$H$29),0)+IF(AND(61&gt;=Personnel!$E$32,Personnel!$G$32="Yes"),Personnel!$D$32*(1-Personnel!$H$32),0)+IF(AND(61&gt;=Personnel!$E$33,Personnel!$G$33="Yes"),Personnel!$D$33*(1-Personnel!$H$33),0)+IF(AND(61&gt;=Personnel!$E$34,Personnel!$G$34="Yes"),Personnel!$D$34*(1-Personnel!$H$34),0)+IF(AND(61&gt;=Personnel!$E$35,Personnel!$G$35="Yes"),Personnel!$D$35*(1-Personnel!$H$35),0)+IF(AND(61&gt;=Personnel!$E$36,Personnel!$G$36="Yes"),Personnel!$D$36*(1-Personnel!$H$36),0)+IF(AND(61&gt;=Personnel!$E$37,Personnel!$G$37="Yes"),Personnel!$D$37*(1-Personnel!$H$37),0)+IF(AND(61&gt;=Personnel!$E$38,Personnel!$G$38="Yes"),Personnel!$D$38*(1-Personnel!$H$38),0))</f>
        <v>284324.33333333331</v>
      </c>
      <c r="BL4" s="105">
        <f>(IF(AND(62&gt;=Personnel!$E$2,Personnel!$G$2="Yes"),Personnel!$D$2*(1-Personnel!$H$2),0)+IF(AND(62&gt;=Personnel!$E$3,Personnel!$G$3="Yes"),Personnel!$D$3*(1-Personnel!$H$3),0)+IF(AND(62&gt;=Personnel!$E$4,Personnel!$G$4="Yes"),Personnel!$D$4*(1-Personnel!$H$4),0)+IF(AND(62&gt;=Personnel!$E$5,Personnel!$G$5="Yes"),Personnel!$D$5*(1-Personnel!$H$5),0)+IF(AND(62&gt;=Personnel!$E$6,Personnel!$G$6="Yes"),Personnel!$D$6*(1-Personnel!$H$6),0)+IF(AND(62&gt;=Personnel!$E$7,Personnel!$G$7="Yes"),Personnel!$D$7*(1-Personnel!$H$7),0)+IF(AND(62&gt;=Personnel!$E$8,Personnel!$G$8="Yes"),Personnel!$D$8*(1-Personnel!$H$8),0)+IF(AND(62&gt;=Personnel!$E$9,Personnel!$G$9="Yes"),Personnel!$D$9*(1-Personnel!$H$9),0)+IF(AND(62&gt;=Personnel!$E$10,Personnel!$G$10="Yes"),Personnel!$D$10*(1-Personnel!$H$10),0)+IF(AND(62&gt;=Personnel!$E$11,Personnel!$G$11="Yes"),Personnel!$D$11*(1-Personnel!$H$11),0)+IF(AND(62&gt;=Personnel!$E$12,Personnel!$G$12="Yes"),Personnel!$D$12*(1-Personnel!$H$12),0)+IF(AND(62&gt;=Personnel!$E$13,Personnel!$G$13="Yes"),Personnel!$D$13*(1-Personnel!$H$13),0)+IF(AND(62&gt;=Personnel!$E$14,Personnel!$G$14="Yes"),Personnel!$D$14*(1-Personnel!$H$14),0)+IF(AND(62&gt;=Personnel!$E$15,Personnel!$G$15="Yes"),Personnel!$D$15*(1-Personnel!$H$15),0)+IF(AND(62&gt;=Personnel!$E$16,Personnel!$G$16="Yes"),Personnel!$D$16*(1-Personnel!$H$16),0)+IF(AND(62&gt;=Personnel!$E$17,Personnel!$G$17="Yes"),Personnel!$D$17*(1-Personnel!$H$17),0)+IF(AND(62&gt;=Personnel!$E$18,Personnel!$G$18="Yes"),Personnel!$D$18*(1-Personnel!$H$18),0)+IF(AND(62&gt;=Personnel!$E$19,Personnel!$G$19="Yes"),Personnel!$D$19*(1-Personnel!$H$19),0)+IF(AND(62&gt;=Personnel!$E$20,Personnel!$G$20="Yes"),Personnel!$D$20*(1-Personnel!$H$20),0)+IF(AND(62&gt;=Personnel!$E$21,Personnel!$G$21="Yes"),Personnel!$D$21*(1-Personnel!$H$21),0)+IF(AND(62&gt;=Personnel!$E$22,Personnel!$G$22="Yes"),Personnel!$D$22*(1-Personnel!$H$22),0)+IF(AND(62&gt;=Personnel!$E$23,Personnel!$G$23="Yes"),Personnel!$D$23*(1-Personnel!$H$23),0)+IF(AND(62&gt;=Personnel!$E$24,Personnel!$G$24="Yes"),Personnel!$D$24*(1-Personnel!$H$24),0)+IF(AND(62&gt;=Personnel!$E$25,Personnel!$G$25="Yes"),Personnel!$D$25*(1-Personnel!$H$25),0)+IF(AND(62&gt;=Personnel!$E$26,Personnel!$G$26="Yes"),Personnel!$D$26*(1-Personnel!$H$26),0)+IF(AND(62&gt;=Personnel!$E$27,Personnel!$G$27="Yes"),Personnel!$D$27*(1-Personnel!$H$27),0)+IF(AND(62&gt;=Personnel!$E$28,Personnel!$G$28="Yes"),Personnel!$D$28*(1-Personnel!$H$28),0)+IF(AND(62&gt;=Personnel!$E$29,Personnel!$G$29="Yes"),Personnel!$D$29*(1-Personnel!$H$29),0)+IF(AND(62&gt;=Personnel!$E$32,Personnel!$G$32="Yes"),Personnel!$D$32*(1-Personnel!$H$32),0)+IF(AND(62&gt;=Personnel!$E$33,Personnel!$G$33="Yes"),Personnel!$D$33*(1-Personnel!$H$33),0)+IF(AND(62&gt;=Personnel!$E$34,Personnel!$G$34="Yes"),Personnel!$D$34*(1-Personnel!$H$34),0)+IF(AND(62&gt;=Personnel!$E$35,Personnel!$G$35="Yes"),Personnel!$D$35*(1-Personnel!$H$35),0)+IF(AND(62&gt;=Personnel!$E$36,Personnel!$G$36="Yes"),Personnel!$D$36*(1-Personnel!$H$36),0)+IF(AND(62&gt;=Personnel!$E$37,Personnel!$G$37="Yes"),Personnel!$D$37*(1-Personnel!$H$37),0)+IF(AND(62&gt;=Personnel!$E$38,Personnel!$G$38="Yes"),Personnel!$D$38*(1-Personnel!$H$38),0))</f>
        <v>284324.33333333331</v>
      </c>
      <c r="BM4" s="105">
        <f>(IF(AND(63&gt;=Personnel!$E$2,Personnel!$G$2="Yes"),Personnel!$D$2*(1-Personnel!$H$2),0)+IF(AND(63&gt;=Personnel!$E$3,Personnel!$G$3="Yes"),Personnel!$D$3*(1-Personnel!$H$3),0)+IF(AND(63&gt;=Personnel!$E$4,Personnel!$G$4="Yes"),Personnel!$D$4*(1-Personnel!$H$4),0)+IF(AND(63&gt;=Personnel!$E$5,Personnel!$G$5="Yes"),Personnel!$D$5*(1-Personnel!$H$5),0)+IF(AND(63&gt;=Personnel!$E$6,Personnel!$G$6="Yes"),Personnel!$D$6*(1-Personnel!$H$6),0)+IF(AND(63&gt;=Personnel!$E$7,Personnel!$G$7="Yes"),Personnel!$D$7*(1-Personnel!$H$7),0)+IF(AND(63&gt;=Personnel!$E$8,Personnel!$G$8="Yes"),Personnel!$D$8*(1-Personnel!$H$8),0)+IF(AND(63&gt;=Personnel!$E$9,Personnel!$G$9="Yes"),Personnel!$D$9*(1-Personnel!$H$9),0)+IF(AND(63&gt;=Personnel!$E$10,Personnel!$G$10="Yes"),Personnel!$D$10*(1-Personnel!$H$10),0)+IF(AND(63&gt;=Personnel!$E$11,Personnel!$G$11="Yes"),Personnel!$D$11*(1-Personnel!$H$11),0)+IF(AND(63&gt;=Personnel!$E$12,Personnel!$G$12="Yes"),Personnel!$D$12*(1-Personnel!$H$12),0)+IF(AND(63&gt;=Personnel!$E$13,Personnel!$G$13="Yes"),Personnel!$D$13*(1-Personnel!$H$13),0)+IF(AND(63&gt;=Personnel!$E$14,Personnel!$G$14="Yes"),Personnel!$D$14*(1-Personnel!$H$14),0)+IF(AND(63&gt;=Personnel!$E$15,Personnel!$G$15="Yes"),Personnel!$D$15*(1-Personnel!$H$15),0)+IF(AND(63&gt;=Personnel!$E$16,Personnel!$G$16="Yes"),Personnel!$D$16*(1-Personnel!$H$16),0)+IF(AND(63&gt;=Personnel!$E$17,Personnel!$G$17="Yes"),Personnel!$D$17*(1-Personnel!$H$17),0)+IF(AND(63&gt;=Personnel!$E$18,Personnel!$G$18="Yes"),Personnel!$D$18*(1-Personnel!$H$18),0)+IF(AND(63&gt;=Personnel!$E$19,Personnel!$G$19="Yes"),Personnel!$D$19*(1-Personnel!$H$19),0)+IF(AND(63&gt;=Personnel!$E$20,Personnel!$G$20="Yes"),Personnel!$D$20*(1-Personnel!$H$20),0)+IF(AND(63&gt;=Personnel!$E$21,Personnel!$G$21="Yes"),Personnel!$D$21*(1-Personnel!$H$21),0)+IF(AND(63&gt;=Personnel!$E$22,Personnel!$G$22="Yes"),Personnel!$D$22*(1-Personnel!$H$22),0)+IF(AND(63&gt;=Personnel!$E$23,Personnel!$G$23="Yes"),Personnel!$D$23*(1-Personnel!$H$23),0)+IF(AND(63&gt;=Personnel!$E$24,Personnel!$G$24="Yes"),Personnel!$D$24*(1-Personnel!$H$24),0)+IF(AND(63&gt;=Personnel!$E$25,Personnel!$G$25="Yes"),Personnel!$D$25*(1-Personnel!$H$25),0)+IF(AND(63&gt;=Personnel!$E$26,Personnel!$G$26="Yes"),Personnel!$D$26*(1-Personnel!$H$26),0)+IF(AND(63&gt;=Personnel!$E$27,Personnel!$G$27="Yes"),Personnel!$D$27*(1-Personnel!$H$27),0)+IF(AND(63&gt;=Personnel!$E$28,Personnel!$G$28="Yes"),Personnel!$D$28*(1-Personnel!$H$28),0)+IF(AND(63&gt;=Personnel!$E$29,Personnel!$G$29="Yes"),Personnel!$D$29*(1-Personnel!$H$29),0)+IF(AND(63&gt;=Personnel!$E$32,Personnel!$G$32="Yes"),Personnel!$D$32*(1-Personnel!$H$32),0)+IF(AND(63&gt;=Personnel!$E$33,Personnel!$G$33="Yes"),Personnel!$D$33*(1-Personnel!$H$33),0)+IF(AND(63&gt;=Personnel!$E$34,Personnel!$G$34="Yes"),Personnel!$D$34*(1-Personnel!$H$34),0)+IF(AND(63&gt;=Personnel!$E$35,Personnel!$G$35="Yes"),Personnel!$D$35*(1-Personnel!$H$35),0)+IF(AND(63&gt;=Personnel!$E$36,Personnel!$G$36="Yes"),Personnel!$D$36*(1-Personnel!$H$36),0)+IF(AND(63&gt;=Personnel!$E$37,Personnel!$G$37="Yes"),Personnel!$D$37*(1-Personnel!$H$37),0)+IF(AND(63&gt;=Personnel!$E$38,Personnel!$G$38="Yes"),Personnel!$D$38*(1-Personnel!$H$38),0))</f>
        <v>284324.33333333331</v>
      </c>
      <c r="BN4" s="105">
        <f>(IF(AND(64&gt;=Personnel!$E$2,Personnel!$G$2="Yes"),Personnel!$D$2*(1-Personnel!$H$2),0)+IF(AND(64&gt;=Personnel!$E$3,Personnel!$G$3="Yes"),Personnel!$D$3*(1-Personnel!$H$3),0)+IF(AND(64&gt;=Personnel!$E$4,Personnel!$G$4="Yes"),Personnel!$D$4*(1-Personnel!$H$4),0)+IF(AND(64&gt;=Personnel!$E$5,Personnel!$G$5="Yes"),Personnel!$D$5*(1-Personnel!$H$5),0)+IF(AND(64&gt;=Personnel!$E$6,Personnel!$G$6="Yes"),Personnel!$D$6*(1-Personnel!$H$6),0)+IF(AND(64&gt;=Personnel!$E$7,Personnel!$G$7="Yes"),Personnel!$D$7*(1-Personnel!$H$7),0)+IF(AND(64&gt;=Personnel!$E$8,Personnel!$G$8="Yes"),Personnel!$D$8*(1-Personnel!$H$8),0)+IF(AND(64&gt;=Personnel!$E$9,Personnel!$G$9="Yes"),Personnel!$D$9*(1-Personnel!$H$9),0)+IF(AND(64&gt;=Personnel!$E$10,Personnel!$G$10="Yes"),Personnel!$D$10*(1-Personnel!$H$10),0)+IF(AND(64&gt;=Personnel!$E$11,Personnel!$G$11="Yes"),Personnel!$D$11*(1-Personnel!$H$11),0)+IF(AND(64&gt;=Personnel!$E$12,Personnel!$G$12="Yes"),Personnel!$D$12*(1-Personnel!$H$12),0)+IF(AND(64&gt;=Personnel!$E$13,Personnel!$G$13="Yes"),Personnel!$D$13*(1-Personnel!$H$13),0)+IF(AND(64&gt;=Personnel!$E$14,Personnel!$G$14="Yes"),Personnel!$D$14*(1-Personnel!$H$14),0)+IF(AND(64&gt;=Personnel!$E$15,Personnel!$G$15="Yes"),Personnel!$D$15*(1-Personnel!$H$15),0)+IF(AND(64&gt;=Personnel!$E$16,Personnel!$G$16="Yes"),Personnel!$D$16*(1-Personnel!$H$16),0)+IF(AND(64&gt;=Personnel!$E$17,Personnel!$G$17="Yes"),Personnel!$D$17*(1-Personnel!$H$17),0)+IF(AND(64&gt;=Personnel!$E$18,Personnel!$G$18="Yes"),Personnel!$D$18*(1-Personnel!$H$18),0)+IF(AND(64&gt;=Personnel!$E$19,Personnel!$G$19="Yes"),Personnel!$D$19*(1-Personnel!$H$19),0)+IF(AND(64&gt;=Personnel!$E$20,Personnel!$G$20="Yes"),Personnel!$D$20*(1-Personnel!$H$20),0)+IF(AND(64&gt;=Personnel!$E$21,Personnel!$G$21="Yes"),Personnel!$D$21*(1-Personnel!$H$21),0)+IF(AND(64&gt;=Personnel!$E$22,Personnel!$G$22="Yes"),Personnel!$D$22*(1-Personnel!$H$22),0)+IF(AND(64&gt;=Personnel!$E$23,Personnel!$G$23="Yes"),Personnel!$D$23*(1-Personnel!$H$23),0)+IF(AND(64&gt;=Personnel!$E$24,Personnel!$G$24="Yes"),Personnel!$D$24*(1-Personnel!$H$24),0)+IF(AND(64&gt;=Personnel!$E$25,Personnel!$G$25="Yes"),Personnel!$D$25*(1-Personnel!$H$25),0)+IF(AND(64&gt;=Personnel!$E$26,Personnel!$G$26="Yes"),Personnel!$D$26*(1-Personnel!$H$26),0)+IF(AND(64&gt;=Personnel!$E$27,Personnel!$G$27="Yes"),Personnel!$D$27*(1-Personnel!$H$27),0)+IF(AND(64&gt;=Personnel!$E$28,Personnel!$G$28="Yes"),Personnel!$D$28*(1-Personnel!$H$28),0)+IF(AND(64&gt;=Personnel!$E$29,Personnel!$G$29="Yes"),Personnel!$D$29*(1-Personnel!$H$29),0)+IF(AND(64&gt;=Personnel!$E$32,Personnel!$G$32="Yes"),Personnel!$D$32*(1-Personnel!$H$32),0)+IF(AND(64&gt;=Personnel!$E$33,Personnel!$G$33="Yes"),Personnel!$D$33*(1-Personnel!$H$33),0)+IF(AND(64&gt;=Personnel!$E$34,Personnel!$G$34="Yes"),Personnel!$D$34*(1-Personnel!$H$34),0)+IF(AND(64&gt;=Personnel!$E$35,Personnel!$G$35="Yes"),Personnel!$D$35*(1-Personnel!$H$35),0)+IF(AND(64&gt;=Personnel!$E$36,Personnel!$G$36="Yes"),Personnel!$D$36*(1-Personnel!$H$36),0)+IF(AND(64&gt;=Personnel!$E$37,Personnel!$G$37="Yes"),Personnel!$D$37*(1-Personnel!$H$37),0)+IF(AND(64&gt;=Personnel!$E$38,Personnel!$G$38="Yes"),Personnel!$D$38*(1-Personnel!$H$38),0))</f>
        <v>284324.33333333331</v>
      </c>
      <c r="BO4" s="105">
        <f>(IF(AND(65&gt;=Personnel!$E$2,Personnel!$G$2="Yes"),Personnel!$D$2*(1-Personnel!$H$2),0)+IF(AND(65&gt;=Personnel!$E$3,Personnel!$G$3="Yes"),Personnel!$D$3*(1-Personnel!$H$3),0)+IF(AND(65&gt;=Personnel!$E$4,Personnel!$G$4="Yes"),Personnel!$D$4*(1-Personnel!$H$4),0)+IF(AND(65&gt;=Personnel!$E$5,Personnel!$G$5="Yes"),Personnel!$D$5*(1-Personnel!$H$5),0)+IF(AND(65&gt;=Personnel!$E$6,Personnel!$G$6="Yes"),Personnel!$D$6*(1-Personnel!$H$6),0)+IF(AND(65&gt;=Personnel!$E$7,Personnel!$G$7="Yes"),Personnel!$D$7*(1-Personnel!$H$7),0)+IF(AND(65&gt;=Personnel!$E$8,Personnel!$G$8="Yes"),Personnel!$D$8*(1-Personnel!$H$8),0)+IF(AND(65&gt;=Personnel!$E$9,Personnel!$G$9="Yes"),Personnel!$D$9*(1-Personnel!$H$9),0)+IF(AND(65&gt;=Personnel!$E$10,Personnel!$G$10="Yes"),Personnel!$D$10*(1-Personnel!$H$10),0)+IF(AND(65&gt;=Personnel!$E$11,Personnel!$G$11="Yes"),Personnel!$D$11*(1-Personnel!$H$11),0)+IF(AND(65&gt;=Personnel!$E$12,Personnel!$G$12="Yes"),Personnel!$D$12*(1-Personnel!$H$12),0)+IF(AND(65&gt;=Personnel!$E$13,Personnel!$G$13="Yes"),Personnel!$D$13*(1-Personnel!$H$13),0)+IF(AND(65&gt;=Personnel!$E$14,Personnel!$G$14="Yes"),Personnel!$D$14*(1-Personnel!$H$14),0)+IF(AND(65&gt;=Personnel!$E$15,Personnel!$G$15="Yes"),Personnel!$D$15*(1-Personnel!$H$15),0)+IF(AND(65&gt;=Personnel!$E$16,Personnel!$G$16="Yes"),Personnel!$D$16*(1-Personnel!$H$16),0)+IF(AND(65&gt;=Personnel!$E$17,Personnel!$G$17="Yes"),Personnel!$D$17*(1-Personnel!$H$17),0)+IF(AND(65&gt;=Personnel!$E$18,Personnel!$G$18="Yes"),Personnel!$D$18*(1-Personnel!$H$18),0)+IF(AND(65&gt;=Personnel!$E$19,Personnel!$G$19="Yes"),Personnel!$D$19*(1-Personnel!$H$19),0)+IF(AND(65&gt;=Personnel!$E$20,Personnel!$G$20="Yes"),Personnel!$D$20*(1-Personnel!$H$20),0)+IF(AND(65&gt;=Personnel!$E$21,Personnel!$G$21="Yes"),Personnel!$D$21*(1-Personnel!$H$21),0)+IF(AND(65&gt;=Personnel!$E$22,Personnel!$G$22="Yes"),Personnel!$D$22*(1-Personnel!$H$22),0)+IF(AND(65&gt;=Personnel!$E$23,Personnel!$G$23="Yes"),Personnel!$D$23*(1-Personnel!$H$23),0)+IF(AND(65&gt;=Personnel!$E$24,Personnel!$G$24="Yes"),Personnel!$D$24*(1-Personnel!$H$24),0)+IF(AND(65&gt;=Personnel!$E$25,Personnel!$G$25="Yes"),Personnel!$D$25*(1-Personnel!$H$25),0)+IF(AND(65&gt;=Personnel!$E$26,Personnel!$G$26="Yes"),Personnel!$D$26*(1-Personnel!$H$26),0)+IF(AND(65&gt;=Personnel!$E$27,Personnel!$G$27="Yes"),Personnel!$D$27*(1-Personnel!$H$27),0)+IF(AND(65&gt;=Personnel!$E$28,Personnel!$G$28="Yes"),Personnel!$D$28*(1-Personnel!$H$28),0)+IF(AND(65&gt;=Personnel!$E$29,Personnel!$G$29="Yes"),Personnel!$D$29*(1-Personnel!$H$29),0)+IF(AND(65&gt;=Personnel!$E$32,Personnel!$G$32="Yes"),Personnel!$D$32*(1-Personnel!$H$32),0)+IF(AND(65&gt;=Personnel!$E$33,Personnel!$G$33="Yes"),Personnel!$D$33*(1-Personnel!$H$33),0)+IF(AND(65&gt;=Personnel!$E$34,Personnel!$G$34="Yes"),Personnel!$D$34*(1-Personnel!$H$34),0)+IF(AND(65&gt;=Personnel!$E$35,Personnel!$G$35="Yes"),Personnel!$D$35*(1-Personnel!$H$35),0)+IF(AND(65&gt;=Personnel!$E$36,Personnel!$G$36="Yes"),Personnel!$D$36*(1-Personnel!$H$36),0)+IF(AND(65&gt;=Personnel!$E$37,Personnel!$G$37="Yes"),Personnel!$D$37*(1-Personnel!$H$37),0)+IF(AND(65&gt;=Personnel!$E$38,Personnel!$G$38="Yes"),Personnel!$D$38*(1-Personnel!$H$38),0))</f>
        <v>284324.33333333331</v>
      </c>
      <c r="BP4" s="105">
        <f>(IF(AND(66&gt;=Personnel!$E$2,Personnel!$G$2="Yes"),Personnel!$D$2*(1-Personnel!$H$2),0)+IF(AND(66&gt;=Personnel!$E$3,Personnel!$G$3="Yes"),Personnel!$D$3*(1-Personnel!$H$3),0)+IF(AND(66&gt;=Personnel!$E$4,Personnel!$G$4="Yes"),Personnel!$D$4*(1-Personnel!$H$4),0)+IF(AND(66&gt;=Personnel!$E$5,Personnel!$G$5="Yes"),Personnel!$D$5*(1-Personnel!$H$5),0)+IF(AND(66&gt;=Personnel!$E$6,Personnel!$G$6="Yes"),Personnel!$D$6*(1-Personnel!$H$6),0)+IF(AND(66&gt;=Personnel!$E$7,Personnel!$G$7="Yes"),Personnel!$D$7*(1-Personnel!$H$7),0)+IF(AND(66&gt;=Personnel!$E$8,Personnel!$G$8="Yes"),Personnel!$D$8*(1-Personnel!$H$8),0)+IF(AND(66&gt;=Personnel!$E$9,Personnel!$G$9="Yes"),Personnel!$D$9*(1-Personnel!$H$9),0)+IF(AND(66&gt;=Personnel!$E$10,Personnel!$G$10="Yes"),Personnel!$D$10*(1-Personnel!$H$10),0)+IF(AND(66&gt;=Personnel!$E$11,Personnel!$G$11="Yes"),Personnel!$D$11*(1-Personnel!$H$11),0)+IF(AND(66&gt;=Personnel!$E$12,Personnel!$G$12="Yes"),Personnel!$D$12*(1-Personnel!$H$12),0)+IF(AND(66&gt;=Personnel!$E$13,Personnel!$G$13="Yes"),Personnel!$D$13*(1-Personnel!$H$13),0)+IF(AND(66&gt;=Personnel!$E$14,Personnel!$G$14="Yes"),Personnel!$D$14*(1-Personnel!$H$14),0)+IF(AND(66&gt;=Personnel!$E$15,Personnel!$G$15="Yes"),Personnel!$D$15*(1-Personnel!$H$15),0)+IF(AND(66&gt;=Personnel!$E$16,Personnel!$G$16="Yes"),Personnel!$D$16*(1-Personnel!$H$16),0)+IF(AND(66&gt;=Personnel!$E$17,Personnel!$G$17="Yes"),Personnel!$D$17*(1-Personnel!$H$17),0)+IF(AND(66&gt;=Personnel!$E$18,Personnel!$G$18="Yes"),Personnel!$D$18*(1-Personnel!$H$18),0)+IF(AND(66&gt;=Personnel!$E$19,Personnel!$G$19="Yes"),Personnel!$D$19*(1-Personnel!$H$19),0)+IF(AND(66&gt;=Personnel!$E$20,Personnel!$G$20="Yes"),Personnel!$D$20*(1-Personnel!$H$20),0)+IF(AND(66&gt;=Personnel!$E$21,Personnel!$G$21="Yes"),Personnel!$D$21*(1-Personnel!$H$21),0)+IF(AND(66&gt;=Personnel!$E$22,Personnel!$G$22="Yes"),Personnel!$D$22*(1-Personnel!$H$22),0)+IF(AND(66&gt;=Personnel!$E$23,Personnel!$G$23="Yes"),Personnel!$D$23*(1-Personnel!$H$23),0)+IF(AND(66&gt;=Personnel!$E$24,Personnel!$G$24="Yes"),Personnel!$D$24*(1-Personnel!$H$24),0)+IF(AND(66&gt;=Personnel!$E$25,Personnel!$G$25="Yes"),Personnel!$D$25*(1-Personnel!$H$25),0)+IF(AND(66&gt;=Personnel!$E$26,Personnel!$G$26="Yes"),Personnel!$D$26*(1-Personnel!$H$26),0)+IF(AND(66&gt;=Personnel!$E$27,Personnel!$G$27="Yes"),Personnel!$D$27*(1-Personnel!$H$27),0)+IF(AND(66&gt;=Personnel!$E$28,Personnel!$G$28="Yes"),Personnel!$D$28*(1-Personnel!$H$28),0)+IF(AND(66&gt;=Personnel!$E$29,Personnel!$G$29="Yes"),Personnel!$D$29*(1-Personnel!$H$29),0)+IF(AND(66&gt;=Personnel!$E$32,Personnel!$G$32="Yes"),Personnel!$D$32*(1-Personnel!$H$32),0)+IF(AND(66&gt;=Personnel!$E$33,Personnel!$G$33="Yes"),Personnel!$D$33*(1-Personnel!$H$33),0)+IF(AND(66&gt;=Personnel!$E$34,Personnel!$G$34="Yes"),Personnel!$D$34*(1-Personnel!$H$34),0)+IF(AND(66&gt;=Personnel!$E$35,Personnel!$G$35="Yes"),Personnel!$D$35*(1-Personnel!$H$35),0)+IF(AND(66&gt;=Personnel!$E$36,Personnel!$G$36="Yes"),Personnel!$D$36*(1-Personnel!$H$36),0)+IF(AND(66&gt;=Personnel!$E$37,Personnel!$G$37="Yes"),Personnel!$D$37*(1-Personnel!$H$37),0)+IF(AND(66&gt;=Personnel!$E$38,Personnel!$G$38="Yes"),Personnel!$D$38*(1-Personnel!$H$38),0))</f>
        <v>284324.33333333331</v>
      </c>
      <c r="BQ4" s="105">
        <f>(IF(AND(67&gt;=Personnel!$E$2,Personnel!$G$2="Yes"),Personnel!$D$2*(1-Personnel!$H$2),0)+IF(AND(67&gt;=Personnel!$E$3,Personnel!$G$3="Yes"),Personnel!$D$3*(1-Personnel!$H$3),0)+IF(AND(67&gt;=Personnel!$E$4,Personnel!$G$4="Yes"),Personnel!$D$4*(1-Personnel!$H$4),0)+IF(AND(67&gt;=Personnel!$E$5,Personnel!$G$5="Yes"),Personnel!$D$5*(1-Personnel!$H$5),0)+IF(AND(67&gt;=Personnel!$E$6,Personnel!$G$6="Yes"),Personnel!$D$6*(1-Personnel!$H$6),0)+IF(AND(67&gt;=Personnel!$E$7,Personnel!$G$7="Yes"),Personnel!$D$7*(1-Personnel!$H$7),0)+IF(AND(67&gt;=Personnel!$E$8,Personnel!$G$8="Yes"),Personnel!$D$8*(1-Personnel!$H$8),0)+IF(AND(67&gt;=Personnel!$E$9,Personnel!$G$9="Yes"),Personnel!$D$9*(1-Personnel!$H$9),0)+IF(AND(67&gt;=Personnel!$E$10,Personnel!$G$10="Yes"),Personnel!$D$10*(1-Personnel!$H$10),0)+IF(AND(67&gt;=Personnel!$E$11,Personnel!$G$11="Yes"),Personnel!$D$11*(1-Personnel!$H$11),0)+IF(AND(67&gt;=Personnel!$E$12,Personnel!$G$12="Yes"),Personnel!$D$12*(1-Personnel!$H$12),0)+IF(AND(67&gt;=Personnel!$E$13,Personnel!$G$13="Yes"),Personnel!$D$13*(1-Personnel!$H$13),0)+IF(AND(67&gt;=Personnel!$E$14,Personnel!$G$14="Yes"),Personnel!$D$14*(1-Personnel!$H$14),0)+IF(AND(67&gt;=Personnel!$E$15,Personnel!$G$15="Yes"),Personnel!$D$15*(1-Personnel!$H$15),0)+IF(AND(67&gt;=Personnel!$E$16,Personnel!$G$16="Yes"),Personnel!$D$16*(1-Personnel!$H$16),0)+IF(AND(67&gt;=Personnel!$E$17,Personnel!$G$17="Yes"),Personnel!$D$17*(1-Personnel!$H$17),0)+IF(AND(67&gt;=Personnel!$E$18,Personnel!$G$18="Yes"),Personnel!$D$18*(1-Personnel!$H$18),0)+IF(AND(67&gt;=Personnel!$E$19,Personnel!$G$19="Yes"),Personnel!$D$19*(1-Personnel!$H$19),0)+IF(AND(67&gt;=Personnel!$E$20,Personnel!$G$20="Yes"),Personnel!$D$20*(1-Personnel!$H$20),0)+IF(AND(67&gt;=Personnel!$E$21,Personnel!$G$21="Yes"),Personnel!$D$21*(1-Personnel!$H$21),0)+IF(AND(67&gt;=Personnel!$E$22,Personnel!$G$22="Yes"),Personnel!$D$22*(1-Personnel!$H$22),0)+IF(AND(67&gt;=Personnel!$E$23,Personnel!$G$23="Yes"),Personnel!$D$23*(1-Personnel!$H$23),0)+IF(AND(67&gt;=Personnel!$E$24,Personnel!$G$24="Yes"),Personnel!$D$24*(1-Personnel!$H$24),0)+IF(AND(67&gt;=Personnel!$E$25,Personnel!$G$25="Yes"),Personnel!$D$25*(1-Personnel!$H$25),0)+IF(AND(67&gt;=Personnel!$E$26,Personnel!$G$26="Yes"),Personnel!$D$26*(1-Personnel!$H$26),0)+IF(AND(67&gt;=Personnel!$E$27,Personnel!$G$27="Yes"),Personnel!$D$27*(1-Personnel!$H$27),0)+IF(AND(67&gt;=Personnel!$E$28,Personnel!$G$28="Yes"),Personnel!$D$28*(1-Personnel!$H$28),0)+IF(AND(67&gt;=Personnel!$E$29,Personnel!$G$29="Yes"),Personnel!$D$29*(1-Personnel!$H$29),0)+IF(AND(67&gt;=Personnel!$E$32,Personnel!$G$32="Yes"),Personnel!$D$32*(1-Personnel!$H$32),0)+IF(AND(67&gt;=Personnel!$E$33,Personnel!$G$33="Yes"),Personnel!$D$33*(1-Personnel!$H$33),0)+IF(AND(67&gt;=Personnel!$E$34,Personnel!$G$34="Yes"),Personnel!$D$34*(1-Personnel!$H$34),0)+IF(AND(67&gt;=Personnel!$E$35,Personnel!$G$35="Yes"),Personnel!$D$35*(1-Personnel!$H$35),0)+IF(AND(67&gt;=Personnel!$E$36,Personnel!$G$36="Yes"),Personnel!$D$36*(1-Personnel!$H$36),0)+IF(AND(67&gt;=Personnel!$E$37,Personnel!$G$37="Yes"),Personnel!$D$37*(1-Personnel!$H$37),0)+IF(AND(67&gt;=Personnel!$E$38,Personnel!$G$38="Yes"),Personnel!$D$38*(1-Personnel!$H$38),0))</f>
        <v>284324.33333333331</v>
      </c>
      <c r="BR4" s="105">
        <f>(IF(AND(68&gt;=Personnel!$E$2,Personnel!$G$2="Yes"),Personnel!$D$2*(1-Personnel!$H$2),0)+IF(AND(68&gt;=Personnel!$E$3,Personnel!$G$3="Yes"),Personnel!$D$3*(1-Personnel!$H$3),0)+IF(AND(68&gt;=Personnel!$E$4,Personnel!$G$4="Yes"),Personnel!$D$4*(1-Personnel!$H$4),0)+IF(AND(68&gt;=Personnel!$E$5,Personnel!$G$5="Yes"),Personnel!$D$5*(1-Personnel!$H$5),0)+IF(AND(68&gt;=Personnel!$E$6,Personnel!$G$6="Yes"),Personnel!$D$6*(1-Personnel!$H$6),0)+IF(AND(68&gt;=Personnel!$E$7,Personnel!$G$7="Yes"),Personnel!$D$7*(1-Personnel!$H$7),0)+IF(AND(68&gt;=Personnel!$E$8,Personnel!$G$8="Yes"),Personnel!$D$8*(1-Personnel!$H$8),0)+IF(AND(68&gt;=Personnel!$E$9,Personnel!$G$9="Yes"),Personnel!$D$9*(1-Personnel!$H$9),0)+IF(AND(68&gt;=Personnel!$E$10,Personnel!$G$10="Yes"),Personnel!$D$10*(1-Personnel!$H$10),0)+IF(AND(68&gt;=Personnel!$E$11,Personnel!$G$11="Yes"),Personnel!$D$11*(1-Personnel!$H$11),0)+IF(AND(68&gt;=Personnel!$E$12,Personnel!$G$12="Yes"),Personnel!$D$12*(1-Personnel!$H$12),0)+IF(AND(68&gt;=Personnel!$E$13,Personnel!$G$13="Yes"),Personnel!$D$13*(1-Personnel!$H$13),0)+IF(AND(68&gt;=Personnel!$E$14,Personnel!$G$14="Yes"),Personnel!$D$14*(1-Personnel!$H$14),0)+IF(AND(68&gt;=Personnel!$E$15,Personnel!$G$15="Yes"),Personnel!$D$15*(1-Personnel!$H$15),0)+IF(AND(68&gt;=Personnel!$E$16,Personnel!$G$16="Yes"),Personnel!$D$16*(1-Personnel!$H$16),0)+IF(AND(68&gt;=Personnel!$E$17,Personnel!$G$17="Yes"),Personnel!$D$17*(1-Personnel!$H$17),0)+IF(AND(68&gt;=Personnel!$E$18,Personnel!$G$18="Yes"),Personnel!$D$18*(1-Personnel!$H$18),0)+IF(AND(68&gt;=Personnel!$E$19,Personnel!$G$19="Yes"),Personnel!$D$19*(1-Personnel!$H$19),0)+IF(AND(68&gt;=Personnel!$E$20,Personnel!$G$20="Yes"),Personnel!$D$20*(1-Personnel!$H$20),0)+IF(AND(68&gt;=Personnel!$E$21,Personnel!$G$21="Yes"),Personnel!$D$21*(1-Personnel!$H$21),0)+IF(AND(68&gt;=Personnel!$E$22,Personnel!$G$22="Yes"),Personnel!$D$22*(1-Personnel!$H$22),0)+IF(AND(68&gt;=Personnel!$E$23,Personnel!$G$23="Yes"),Personnel!$D$23*(1-Personnel!$H$23),0)+IF(AND(68&gt;=Personnel!$E$24,Personnel!$G$24="Yes"),Personnel!$D$24*(1-Personnel!$H$24),0)+IF(AND(68&gt;=Personnel!$E$25,Personnel!$G$25="Yes"),Personnel!$D$25*(1-Personnel!$H$25),0)+IF(AND(68&gt;=Personnel!$E$26,Personnel!$G$26="Yes"),Personnel!$D$26*(1-Personnel!$H$26),0)+IF(AND(68&gt;=Personnel!$E$27,Personnel!$G$27="Yes"),Personnel!$D$27*(1-Personnel!$H$27),0)+IF(AND(68&gt;=Personnel!$E$28,Personnel!$G$28="Yes"),Personnel!$D$28*(1-Personnel!$H$28),0)+IF(AND(68&gt;=Personnel!$E$29,Personnel!$G$29="Yes"),Personnel!$D$29*(1-Personnel!$H$29),0)+IF(AND(68&gt;=Personnel!$E$32,Personnel!$G$32="Yes"),Personnel!$D$32*(1-Personnel!$H$32),0)+IF(AND(68&gt;=Personnel!$E$33,Personnel!$G$33="Yes"),Personnel!$D$33*(1-Personnel!$H$33),0)+IF(AND(68&gt;=Personnel!$E$34,Personnel!$G$34="Yes"),Personnel!$D$34*(1-Personnel!$H$34),0)+IF(AND(68&gt;=Personnel!$E$35,Personnel!$G$35="Yes"),Personnel!$D$35*(1-Personnel!$H$35),0)+IF(AND(68&gt;=Personnel!$E$36,Personnel!$G$36="Yes"),Personnel!$D$36*(1-Personnel!$H$36),0)+IF(AND(68&gt;=Personnel!$E$37,Personnel!$G$37="Yes"),Personnel!$D$37*(1-Personnel!$H$37),0)+IF(AND(68&gt;=Personnel!$E$38,Personnel!$G$38="Yes"),Personnel!$D$38*(1-Personnel!$H$38),0))</f>
        <v>284324.33333333331</v>
      </c>
      <c r="BS4" s="105">
        <f>(IF(AND(69&gt;=Personnel!$E$2,Personnel!$G$2="Yes"),Personnel!$D$2*(1-Personnel!$H$2),0)+IF(AND(69&gt;=Personnel!$E$3,Personnel!$G$3="Yes"),Personnel!$D$3*(1-Personnel!$H$3),0)+IF(AND(69&gt;=Personnel!$E$4,Personnel!$G$4="Yes"),Personnel!$D$4*(1-Personnel!$H$4),0)+IF(AND(69&gt;=Personnel!$E$5,Personnel!$G$5="Yes"),Personnel!$D$5*(1-Personnel!$H$5),0)+IF(AND(69&gt;=Personnel!$E$6,Personnel!$G$6="Yes"),Personnel!$D$6*(1-Personnel!$H$6),0)+IF(AND(69&gt;=Personnel!$E$7,Personnel!$G$7="Yes"),Personnel!$D$7*(1-Personnel!$H$7),0)+IF(AND(69&gt;=Personnel!$E$8,Personnel!$G$8="Yes"),Personnel!$D$8*(1-Personnel!$H$8),0)+IF(AND(69&gt;=Personnel!$E$9,Personnel!$G$9="Yes"),Personnel!$D$9*(1-Personnel!$H$9),0)+IF(AND(69&gt;=Personnel!$E$10,Personnel!$G$10="Yes"),Personnel!$D$10*(1-Personnel!$H$10),0)+IF(AND(69&gt;=Personnel!$E$11,Personnel!$G$11="Yes"),Personnel!$D$11*(1-Personnel!$H$11),0)+IF(AND(69&gt;=Personnel!$E$12,Personnel!$G$12="Yes"),Personnel!$D$12*(1-Personnel!$H$12),0)+IF(AND(69&gt;=Personnel!$E$13,Personnel!$G$13="Yes"),Personnel!$D$13*(1-Personnel!$H$13),0)+IF(AND(69&gt;=Personnel!$E$14,Personnel!$G$14="Yes"),Personnel!$D$14*(1-Personnel!$H$14),0)+IF(AND(69&gt;=Personnel!$E$15,Personnel!$G$15="Yes"),Personnel!$D$15*(1-Personnel!$H$15),0)+IF(AND(69&gt;=Personnel!$E$16,Personnel!$G$16="Yes"),Personnel!$D$16*(1-Personnel!$H$16),0)+IF(AND(69&gt;=Personnel!$E$17,Personnel!$G$17="Yes"),Personnel!$D$17*(1-Personnel!$H$17),0)+IF(AND(69&gt;=Personnel!$E$18,Personnel!$G$18="Yes"),Personnel!$D$18*(1-Personnel!$H$18),0)+IF(AND(69&gt;=Personnel!$E$19,Personnel!$G$19="Yes"),Personnel!$D$19*(1-Personnel!$H$19),0)+IF(AND(69&gt;=Personnel!$E$20,Personnel!$G$20="Yes"),Personnel!$D$20*(1-Personnel!$H$20),0)+IF(AND(69&gt;=Personnel!$E$21,Personnel!$G$21="Yes"),Personnel!$D$21*(1-Personnel!$H$21),0)+IF(AND(69&gt;=Personnel!$E$22,Personnel!$G$22="Yes"),Personnel!$D$22*(1-Personnel!$H$22),0)+IF(AND(69&gt;=Personnel!$E$23,Personnel!$G$23="Yes"),Personnel!$D$23*(1-Personnel!$H$23),0)+IF(AND(69&gt;=Personnel!$E$24,Personnel!$G$24="Yes"),Personnel!$D$24*(1-Personnel!$H$24),0)+IF(AND(69&gt;=Personnel!$E$25,Personnel!$G$25="Yes"),Personnel!$D$25*(1-Personnel!$H$25),0)+IF(AND(69&gt;=Personnel!$E$26,Personnel!$G$26="Yes"),Personnel!$D$26*(1-Personnel!$H$26),0)+IF(AND(69&gt;=Personnel!$E$27,Personnel!$G$27="Yes"),Personnel!$D$27*(1-Personnel!$H$27),0)+IF(AND(69&gt;=Personnel!$E$28,Personnel!$G$28="Yes"),Personnel!$D$28*(1-Personnel!$H$28),0)+IF(AND(69&gt;=Personnel!$E$29,Personnel!$G$29="Yes"),Personnel!$D$29*(1-Personnel!$H$29),0)+IF(AND(69&gt;=Personnel!$E$32,Personnel!$G$32="Yes"),Personnel!$D$32*(1-Personnel!$H$32),0)+IF(AND(69&gt;=Personnel!$E$33,Personnel!$G$33="Yes"),Personnel!$D$33*(1-Personnel!$H$33),0)+IF(AND(69&gt;=Personnel!$E$34,Personnel!$G$34="Yes"),Personnel!$D$34*(1-Personnel!$H$34),0)+IF(AND(69&gt;=Personnel!$E$35,Personnel!$G$35="Yes"),Personnel!$D$35*(1-Personnel!$H$35),0)+IF(AND(69&gt;=Personnel!$E$36,Personnel!$G$36="Yes"),Personnel!$D$36*(1-Personnel!$H$36),0)+IF(AND(69&gt;=Personnel!$E$37,Personnel!$G$37="Yes"),Personnel!$D$37*(1-Personnel!$H$37),0)+IF(AND(69&gt;=Personnel!$E$38,Personnel!$G$38="Yes"),Personnel!$D$38*(1-Personnel!$H$38),0))</f>
        <v>284324.33333333331</v>
      </c>
      <c r="BT4" s="105">
        <f>(IF(AND(70&gt;=Personnel!$E$2,Personnel!$G$2="Yes"),Personnel!$D$2*(1-Personnel!$H$2),0)+IF(AND(70&gt;=Personnel!$E$3,Personnel!$G$3="Yes"),Personnel!$D$3*(1-Personnel!$H$3),0)+IF(AND(70&gt;=Personnel!$E$4,Personnel!$G$4="Yes"),Personnel!$D$4*(1-Personnel!$H$4),0)+IF(AND(70&gt;=Personnel!$E$5,Personnel!$G$5="Yes"),Personnel!$D$5*(1-Personnel!$H$5),0)+IF(AND(70&gt;=Personnel!$E$6,Personnel!$G$6="Yes"),Personnel!$D$6*(1-Personnel!$H$6),0)+IF(AND(70&gt;=Personnel!$E$7,Personnel!$G$7="Yes"),Personnel!$D$7*(1-Personnel!$H$7),0)+IF(AND(70&gt;=Personnel!$E$8,Personnel!$G$8="Yes"),Personnel!$D$8*(1-Personnel!$H$8),0)+IF(AND(70&gt;=Personnel!$E$9,Personnel!$G$9="Yes"),Personnel!$D$9*(1-Personnel!$H$9),0)+IF(AND(70&gt;=Personnel!$E$10,Personnel!$G$10="Yes"),Personnel!$D$10*(1-Personnel!$H$10),0)+IF(AND(70&gt;=Personnel!$E$11,Personnel!$G$11="Yes"),Personnel!$D$11*(1-Personnel!$H$11),0)+IF(AND(70&gt;=Personnel!$E$12,Personnel!$G$12="Yes"),Personnel!$D$12*(1-Personnel!$H$12),0)+IF(AND(70&gt;=Personnel!$E$13,Personnel!$G$13="Yes"),Personnel!$D$13*(1-Personnel!$H$13),0)+IF(AND(70&gt;=Personnel!$E$14,Personnel!$G$14="Yes"),Personnel!$D$14*(1-Personnel!$H$14),0)+IF(AND(70&gt;=Personnel!$E$15,Personnel!$G$15="Yes"),Personnel!$D$15*(1-Personnel!$H$15),0)+IF(AND(70&gt;=Personnel!$E$16,Personnel!$G$16="Yes"),Personnel!$D$16*(1-Personnel!$H$16),0)+IF(AND(70&gt;=Personnel!$E$17,Personnel!$G$17="Yes"),Personnel!$D$17*(1-Personnel!$H$17),0)+IF(AND(70&gt;=Personnel!$E$18,Personnel!$G$18="Yes"),Personnel!$D$18*(1-Personnel!$H$18),0)+IF(AND(70&gt;=Personnel!$E$19,Personnel!$G$19="Yes"),Personnel!$D$19*(1-Personnel!$H$19),0)+IF(AND(70&gt;=Personnel!$E$20,Personnel!$G$20="Yes"),Personnel!$D$20*(1-Personnel!$H$20),0)+IF(AND(70&gt;=Personnel!$E$21,Personnel!$G$21="Yes"),Personnel!$D$21*(1-Personnel!$H$21),0)+IF(AND(70&gt;=Personnel!$E$22,Personnel!$G$22="Yes"),Personnel!$D$22*(1-Personnel!$H$22),0)+IF(AND(70&gt;=Personnel!$E$23,Personnel!$G$23="Yes"),Personnel!$D$23*(1-Personnel!$H$23),0)+IF(AND(70&gt;=Personnel!$E$24,Personnel!$G$24="Yes"),Personnel!$D$24*(1-Personnel!$H$24),0)+IF(AND(70&gt;=Personnel!$E$25,Personnel!$G$25="Yes"),Personnel!$D$25*(1-Personnel!$H$25),0)+IF(AND(70&gt;=Personnel!$E$26,Personnel!$G$26="Yes"),Personnel!$D$26*(1-Personnel!$H$26),0)+IF(AND(70&gt;=Personnel!$E$27,Personnel!$G$27="Yes"),Personnel!$D$27*(1-Personnel!$H$27),0)+IF(AND(70&gt;=Personnel!$E$28,Personnel!$G$28="Yes"),Personnel!$D$28*(1-Personnel!$H$28),0)+IF(AND(70&gt;=Personnel!$E$29,Personnel!$G$29="Yes"),Personnel!$D$29*(1-Personnel!$H$29),0)+IF(AND(70&gt;=Personnel!$E$32,Personnel!$G$32="Yes"),Personnel!$D$32*(1-Personnel!$H$32),0)+IF(AND(70&gt;=Personnel!$E$33,Personnel!$G$33="Yes"),Personnel!$D$33*(1-Personnel!$H$33),0)+IF(AND(70&gt;=Personnel!$E$34,Personnel!$G$34="Yes"),Personnel!$D$34*(1-Personnel!$H$34),0)+IF(AND(70&gt;=Personnel!$E$35,Personnel!$G$35="Yes"),Personnel!$D$35*(1-Personnel!$H$35),0)+IF(AND(70&gt;=Personnel!$E$36,Personnel!$G$36="Yes"),Personnel!$D$36*(1-Personnel!$H$36),0)+IF(AND(70&gt;=Personnel!$E$37,Personnel!$G$37="Yes"),Personnel!$D$37*(1-Personnel!$H$37),0)+IF(AND(70&gt;=Personnel!$E$38,Personnel!$G$38="Yes"),Personnel!$D$38*(1-Personnel!$H$38),0))</f>
        <v>284324.33333333331</v>
      </c>
      <c r="BU4" s="105">
        <f>(IF(AND(71&gt;=Personnel!$E$2,Personnel!$G$2="Yes"),Personnel!$D$2*(1-Personnel!$H$2),0)+IF(AND(71&gt;=Personnel!$E$3,Personnel!$G$3="Yes"),Personnel!$D$3*(1-Personnel!$H$3),0)+IF(AND(71&gt;=Personnel!$E$4,Personnel!$G$4="Yes"),Personnel!$D$4*(1-Personnel!$H$4),0)+IF(AND(71&gt;=Personnel!$E$5,Personnel!$G$5="Yes"),Personnel!$D$5*(1-Personnel!$H$5),0)+IF(AND(71&gt;=Personnel!$E$6,Personnel!$G$6="Yes"),Personnel!$D$6*(1-Personnel!$H$6),0)+IF(AND(71&gt;=Personnel!$E$7,Personnel!$G$7="Yes"),Personnel!$D$7*(1-Personnel!$H$7),0)+IF(AND(71&gt;=Personnel!$E$8,Personnel!$G$8="Yes"),Personnel!$D$8*(1-Personnel!$H$8),0)+IF(AND(71&gt;=Personnel!$E$9,Personnel!$G$9="Yes"),Personnel!$D$9*(1-Personnel!$H$9),0)+IF(AND(71&gt;=Personnel!$E$10,Personnel!$G$10="Yes"),Personnel!$D$10*(1-Personnel!$H$10),0)+IF(AND(71&gt;=Personnel!$E$11,Personnel!$G$11="Yes"),Personnel!$D$11*(1-Personnel!$H$11),0)+IF(AND(71&gt;=Personnel!$E$12,Personnel!$G$12="Yes"),Personnel!$D$12*(1-Personnel!$H$12),0)+IF(AND(71&gt;=Personnel!$E$13,Personnel!$G$13="Yes"),Personnel!$D$13*(1-Personnel!$H$13),0)+IF(AND(71&gt;=Personnel!$E$14,Personnel!$G$14="Yes"),Personnel!$D$14*(1-Personnel!$H$14),0)+IF(AND(71&gt;=Personnel!$E$15,Personnel!$G$15="Yes"),Personnel!$D$15*(1-Personnel!$H$15),0)+IF(AND(71&gt;=Personnel!$E$16,Personnel!$G$16="Yes"),Personnel!$D$16*(1-Personnel!$H$16),0)+IF(AND(71&gt;=Personnel!$E$17,Personnel!$G$17="Yes"),Personnel!$D$17*(1-Personnel!$H$17),0)+IF(AND(71&gt;=Personnel!$E$18,Personnel!$G$18="Yes"),Personnel!$D$18*(1-Personnel!$H$18),0)+IF(AND(71&gt;=Personnel!$E$19,Personnel!$G$19="Yes"),Personnel!$D$19*(1-Personnel!$H$19),0)+IF(AND(71&gt;=Personnel!$E$20,Personnel!$G$20="Yes"),Personnel!$D$20*(1-Personnel!$H$20),0)+IF(AND(71&gt;=Personnel!$E$21,Personnel!$G$21="Yes"),Personnel!$D$21*(1-Personnel!$H$21),0)+IF(AND(71&gt;=Personnel!$E$22,Personnel!$G$22="Yes"),Personnel!$D$22*(1-Personnel!$H$22),0)+IF(AND(71&gt;=Personnel!$E$23,Personnel!$G$23="Yes"),Personnel!$D$23*(1-Personnel!$H$23),0)+IF(AND(71&gt;=Personnel!$E$24,Personnel!$G$24="Yes"),Personnel!$D$24*(1-Personnel!$H$24),0)+IF(AND(71&gt;=Personnel!$E$25,Personnel!$G$25="Yes"),Personnel!$D$25*(1-Personnel!$H$25),0)+IF(AND(71&gt;=Personnel!$E$26,Personnel!$G$26="Yes"),Personnel!$D$26*(1-Personnel!$H$26),0)+IF(AND(71&gt;=Personnel!$E$27,Personnel!$G$27="Yes"),Personnel!$D$27*(1-Personnel!$H$27),0)+IF(AND(71&gt;=Personnel!$E$28,Personnel!$G$28="Yes"),Personnel!$D$28*(1-Personnel!$H$28),0)+IF(AND(71&gt;=Personnel!$E$29,Personnel!$G$29="Yes"),Personnel!$D$29*(1-Personnel!$H$29),0)+IF(AND(71&gt;=Personnel!$E$32,Personnel!$G$32="Yes"),Personnel!$D$32*(1-Personnel!$H$32),0)+IF(AND(71&gt;=Personnel!$E$33,Personnel!$G$33="Yes"),Personnel!$D$33*(1-Personnel!$H$33),0)+IF(AND(71&gt;=Personnel!$E$34,Personnel!$G$34="Yes"),Personnel!$D$34*(1-Personnel!$H$34),0)+IF(AND(71&gt;=Personnel!$E$35,Personnel!$G$35="Yes"),Personnel!$D$35*(1-Personnel!$H$35),0)+IF(AND(71&gt;=Personnel!$E$36,Personnel!$G$36="Yes"),Personnel!$D$36*(1-Personnel!$H$36),0)+IF(AND(71&gt;=Personnel!$E$37,Personnel!$G$37="Yes"),Personnel!$D$37*(1-Personnel!$H$37),0)+IF(AND(71&gt;=Personnel!$E$38,Personnel!$G$38="Yes"),Personnel!$D$38*(1-Personnel!$H$38),0))</f>
        <v>284324.33333333331</v>
      </c>
      <c r="BV4" s="105">
        <f>(IF(AND(72&gt;=Personnel!$E$2,Personnel!$G$2="Yes"),Personnel!$D$2*(1-Personnel!$H$2),0)+IF(AND(72&gt;=Personnel!$E$3,Personnel!$G$3="Yes"),Personnel!$D$3*(1-Personnel!$H$3),0)+IF(AND(72&gt;=Personnel!$E$4,Personnel!$G$4="Yes"),Personnel!$D$4*(1-Personnel!$H$4),0)+IF(AND(72&gt;=Personnel!$E$5,Personnel!$G$5="Yes"),Personnel!$D$5*(1-Personnel!$H$5),0)+IF(AND(72&gt;=Personnel!$E$6,Personnel!$G$6="Yes"),Personnel!$D$6*(1-Personnel!$H$6),0)+IF(AND(72&gt;=Personnel!$E$7,Personnel!$G$7="Yes"),Personnel!$D$7*(1-Personnel!$H$7),0)+IF(AND(72&gt;=Personnel!$E$8,Personnel!$G$8="Yes"),Personnel!$D$8*(1-Personnel!$H$8),0)+IF(AND(72&gt;=Personnel!$E$9,Personnel!$G$9="Yes"),Personnel!$D$9*(1-Personnel!$H$9),0)+IF(AND(72&gt;=Personnel!$E$10,Personnel!$G$10="Yes"),Personnel!$D$10*(1-Personnel!$H$10),0)+IF(AND(72&gt;=Personnel!$E$11,Personnel!$G$11="Yes"),Personnel!$D$11*(1-Personnel!$H$11),0)+IF(AND(72&gt;=Personnel!$E$12,Personnel!$G$12="Yes"),Personnel!$D$12*(1-Personnel!$H$12),0)+IF(AND(72&gt;=Personnel!$E$13,Personnel!$G$13="Yes"),Personnel!$D$13*(1-Personnel!$H$13),0)+IF(AND(72&gt;=Personnel!$E$14,Personnel!$G$14="Yes"),Personnel!$D$14*(1-Personnel!$H$14),0)+IF(AND(72&gt;=Personnel!$E$15,Personnel!$G$15="Yes"),Personnel!$D$15*(1-Personnel!$H$15),0)+IF(AND(72&gt;=Personnel!$E$16,Personnel!$G$16="Yes"),Personnel!$D$16*(1-Personnel!$H$16),0)+IF(AND(72&gt;=Personnel!$E$17,Personnel!$G$17="Yes"),Personnel!$D$17*(1-Personnel!$H$17),0)+IF(AND(72&gt;=Personnel!$E$18,Personnel!$G$18="Yes"),Personnel!$D$18*(1-Personnel!$H$18),0)+IF(AND(72&gt;=Personnel!$E$19,Personnel!$G$19="Yes"),Personnel!$D$19*(1-Personnel!$H$19),0)+IF(AND(72&gt;=Personnel!$E$20,Personnel!$G$20="Yes"),Personnel!$D$20*(1-Personnel!$H$20),0)+IF(AND(72&gt;=Personnel!$E$21,Personnel!$G$21="Yes"),Personnel!$D$21*(1-Personnel!$H$21),0)+IF(AND(72&gt;=Personnel!$E$22,Personnel!$G$22="Yes"),Personnel!$D$22*(1-Personnel!$H$22),0)+IF(AND(72&gt;=Personnel!$E$23,Personnel!$G$23="Yes"),Personnel!$D$23*(1-Personnel!$H$23),0)+IF(AND(72&gt;=Personnel!$E$24,Personnel!$G$24="Yes"),Personnel!$D$24*(1-Personnel!$H$24),0)+IF(AND(72&gt;=Personnel!$E$25,Personnel!$G$25="Yes"),Personnel!$D$25*(1-Personnel!$H$25),0)+IF(AND(72&gt;=Personnel!$E$26,Personnel!$G$26="Yes"),Personnel!$D$26*(1-Personnel!$H$26),0)+IF(AND(72&gt;=Personnel!$E$27,Personnel!$G$27="Yes"),Personnel!$D$27*(1-Personnel!$H$27),0)+IF(AND(72&gt;=Personnel!$E$28,Personnel!$G$28="Yes"),Personnel!$D$28*(1-Personnel!$H$28),0)+IF(AND(72&gt;=Personnel!$E$29,Personnel!$G$29="Yes"),Personnel!$D$29*(1-Personnel!$H$29),0)+IF(AND(72&gt;=Personnel!$E$32,Personnel!$G$32="Yes"),Personnel!$D$32*(1-Personnel!$H$32),0)+IF(AND(72&gt;=Personnel!$E$33,Personnel!$G$33="Yes"),Personnel!$D$33*(1-Personnel!$H$33),0)+IF(AND(72&gt;=Personnel!$E$34,Personnel!$G$34="Yes"),Personnel!$D$34*(1-Personnel!$H$34),0)+IF(AND(72&gt;=Personnel!$E$35,Personnel!$G$35="Yes"),Personnel!$D$35*(1-Personnel!$H$35),0)+IF(AND(72&gt;=Personnel!$E$36,Personnel!$G$36="Yes"),Personnel!$D$36*(1-Personnel!$H$36),0)+IF(AND(72&gt;=Personnel!$E$37,Personnel!$G$37="Yes"),Personnel!$D$37*(1-Personnel!$H$37),0)+IF(AND(72&gt;=Personnel!$E$38,Personnel!$G$38="Yes"),Personnel!$D$38*(1-Personnel!$H$38),0))</f>
        <v>284324.33333333331</v>
      </c>
      <c r="BW4" s="105">
        <f>(IF(AND(73&gt;=Personnel!$E$2,Personnel!$G$2="Yes"),Personnel!$D$2*(1-Personnel!$H$2),0)+IF(AND(73&gt;=Personnel!$E$3,Personnel!$G$3="Yes"),Personnel!$D$3*(1-Personnel!$H$3),0)+IF(AND(73&gt;=Personnel!$E$4,Personnel!$G$4="Yes"),Personnel!$D$4*(1-Personnel!$H$4),0)+IF(AND(73&gt;=Personnel!$E$5,Personnel!$G$5="Yes"),Personnel!$D$5*(1-Personnel!$H$5),0)+IF(AND(73&gt;=Personnel!$E$6,Personnel!$G$6="Yes"),Personnel!$D$6*(1-Personnel!$H$6),0)+IF(AND(73&gt;=Personnel!$E$7,Personnel!$G$7="Yes"),Personnel!$D$7*(1-Personnel!$H$7),0)+IF(AND(73&gt;=Personnel!$E$8,Personnel!$G$8="Yes"),Personnel!$D$8*(1-Personnel!$H$8),0)+IF(AND(73&gt;=Personnel!$E$9,Personnel!$G$9="Yes"),Personnel!$D$9*(1-Personnel!$H$9),0)+IF(AND(73&gt;=Personnel!$E$10,Personnel!$G$10="Yes"),Personnel!$D$10*(1-Personnel!$H$10),0)+IF(AND(73&gt;=Personnel!$E$11,Personnel!$G$11="Yes"),Personnel!$D$11*(1-Personnel!$H$11),0)+IF(AND(73&gt;=Personnel!$E$12,Personnel!$G$12="Yes"),Personnel!$D$12*(1-Personnel!$H$12),0)+IF(AND(73&gt;=Personnel!$E$13,Personnel!$G$13="Yes"),Personnel!$D$13*(1-Personnel!$H$13),0)+IF(AND(73&gt;=Personnel!$E$14,Personnel!$G$14="Yes"),Personnel!$D$14*(1-Personnel!$H$14),0)+IF(AND(73&gt;=Personnel!$E$15,Personnel!$G$15="Yes"),Personnel!$D$15*(1-Personnel!$H$15),0)+IF(AND(73&gt;=Personnel!$E$16,Personnel!$G$16="Yes"),Personnel!$D$16*(1-Personnel!$H$16),0)+IF(AND(73&gt;=Personnel!$E$17,Personnel!$G$17="Yes"),Personnel!$D$17*(1-Personnel!$H$17),0)+IF(AND(73&gt;=Personnel!$E$18,Personnel!$G$18="Yes"),Personnel!$D$18*(1-Personnel!$H$18),0)+IF(AND(73&gt;=Personnel!$E$19,Personnel!$G$19="Yes"),Personnel!$D$19*(1-Personnel!$H$19),0)+IF(AND(73&gt;=Personnel!$E$20,Personnel!$G$20="Yes"),Personnel!$D$20*(1-Personnel!$H$20),0)+IF(AND(73&gt;=Personnel!$E$21,Personnel!$G$21="Yes"),Personnel!$D$21*(1-Personnel!$H$21),0)+IF(AND(73&gt;=Personnel!$E$22,Personnel!$G$22="Yes"),Personnel!$D$22*(1-Personnel!$H$22),0)+IF(AND(73&gt;=Personnel!$E$23,Personnel!$G$23="Yes"),Personnel!$D$23*(1-Personnel!$H$23),0)+IF(AND(73&gt;=Personnel!$E$24,Personnel!$G$24="Yes"),Personnel!$D$24*(1-Personnel!$H$24),0)+IF(AND(73&gt;=Personnel!$E$25,Personnel!$G$25="Yes"),Personnel!$D$25*(1-Personnel!$H$25),0)+IF(AND(73&gt;=Personnel!$E$26,Personnel!$G$26="Yes"),Personnel!$D$26*(1-Personnel!$H$26),0)+IF(AND(73&gt;=Personnel!$E$27,Personnel!$G$27="Yes"),Personnel!$D$27*(1-Personnel!$H$27),0)+IF(AND(73&gt;=Personnel!$E$28,Personnel!$G$28="Yes"),Personnel!$D$28*(1-Personnel!$H$28),0)+IF(AND(73&gt;=Personnel!$E$29,Personnel!$G$29="Yes"),Personnel!$D$29*(1-Personnel!$H$29),0)+IF(AND(73&gt;=Personnel!$E$32,Personnel!$G$32="Yes"),Personnel!$D$32*(1-Personnel!$H$32),0)+IF(AND(73&gt;=Personnel!$E$33,Personnel!$G$33="Yes"),Personnel!$D$33*(1-Personnel!$H$33),0)+IF(AND(73&gt;=Personnel!$E$34,Personnel!$G$34="Yes"),Personnel!$D$34*(1-Personnel!$H$34),0)+IF(AND(73&gt;=Personnel!$E$35,Personnel!$G$35="Yes"),Personnel!$D$35*(1-Personnel!$H$35),0)+IF(AND(73&gt;=Personnel!$E$36,Personnel!$G$36="Yes"),Personnel!$D$36*(1-Personnel!$H$36),0)+IF(AND(73&gt;=Personnel!$E$37,Personnel!$G$37="Yes"),Personnel!$D$37*(1-Personnel!$H$37),0)+IF(AND(73&gt;=Personnel!$E$38,Personnel!$G$38="Yes"),Personnel!$D$38*(1-Personnel!$H$38),0))</f>
        <v>284324.33333333331</v>
      </c>
      <c r="BX4" s="105">
        <f>(IF(AND(74&gt;=Personnel!$E$2,Personnel!$G$2="Yes"),Personnel!$D$2*(1-Personnel!$H$2),0)+IF(AND(74&gt;=Personnel!$E$3,Personnel!$G$3="Yes"),Personnel!$D$3*(1-Personnel!$H$3),0)+IF(AND(74&gt;=Personnel!$E$4,Personnel!$G$4="Yes"),Personnel!$D$4*(1-Personnel!$H$4),0)+IF(AND(74&gt;=Personnel!$E$5,Personnel!$G$5="Yes"),Personnel!$D$5*(1-Personnel!$H$5),0)+IF(AND(74&gt;=Personnel!$E$6,Personnel!$G$6="Yes"),Personnel!$D$6*(1-Personnel!$H$6),0)+IF(AND(74&gt;=Personnel!$E$7,Personnel!$G$7="Yes"),Personnel!$D$7*(1-Personnel!$H$7),0)+IF(AND(74&gt;=Personnel!$E$8,Personnel!$G$8="Yes"),Personnel!$D$8*(1-Personnel!$H$8),0)+IF(AND(74&gt;=Personnel!$E$9,Personnel!$G$9="Yes"),Personnel!$D$9*(1-Personnel!$H$9),0)+IF(AND(74&gt;=Personnel!$E$10,Personnel!$G$10="Yes"),Personnel!$D$10*(1-Personnel!$H$10),0)+IF(AND(74&gt;=Personnel!$E$11,Personnel!$G$11="Yes"),Personnel!$D$11*(1-Personnel!$H$11),0)+IF(AND(74&gt;=Personnel!$E$12,Personnel!$G$12="Yes"),Personnel!$D$12*(1-Personnel!$H$12),0)+IF(AND(74&gt;=Personnel!$E$13,Personnel!$G$13="Yes"),Personnel!$D$13*(1-Personnel!$H$13),0)+IF(AND(74&gt;=Personnel!$E$14,Personnel!$G$14="Yes"),Personnel!$D$14*(1-Personnel!$H$14),0)+IF(AND(74&gt;=Personnel!$E$15,Personnel!$G$15="Yes"),Personnel!$D$15*(1-Personnel!$H$15),0)+IF(AND(74&gt;=Personnel!$E$16,Personnel!$G$16="Yes"),Personnel!$D$16*(1-Personnel!$H$16),0)+IF(AND(74&gt;=Personnel!$E$17,Personnel!$G$17="Yes"),Personnel!$D$17*(1-Personnel!$H$17),0)+IF(AND(74&gt;=Personnel!$E$18,Personnel!$G$18="Yes"),Personnel!$D$18*(1-Personnel!$H$18),0)+IF(AND(74&gt;=Personnel!$E$19,Personnel!$G$19="Yes"),Personnel!$D$19*(1-Personnel!$H$19),0)+IF(AND(74&gt;=Personnel!$E$20,Personnel!$G$20="Yes"),Personnel!$D$20*(1-Personnel!$H$20),0)+IF(AND(74&gt;=Personnel!$E$21,Personnel!$G$21="Yes"),Personnel!$D$21*(1-Personnel!$H$21),0)+IF(AND(74&gt;=Personnel!$E$22,Personnel!$G$22="Yes"),Personnel!$D$22*(1-Personnel!$H$22),0)+IF(AND(74&gt;=Personnel!$E$23,Personnel!$G$23="Yes"),Personnel!$D$23*(1-Personnel!$H$23),0)+IF(AND(74&gt;=Personnel!$E$24,Personnel!$G$24="Yes"),Personnel!$D$24*(1-Personnel!$H$24),0)+IF(AND(74&gt;=Personnel!$E$25,Personnel!$G$25="Yes"),Personnel!$D$25*(1-Personnel!$H$25),0)+IF(AND(74&gt;=Personnel!$E$26,Personnel!$G$26="Yes"),Personnel!$D$26*(1-Personnel!$H$26),0)+IF(AND(74&gt;=Personnel!$E$27,Personnel!$G$27="Yes"),Personnel!$D$27*(1-Personnel!$H$27),0)+IF(AND(74&gt;=Personnel!$E$28,Personnel!$G$28="Yes"),Personnel!$D$28*(1-Personnel!$H$28),0)+IF(AND(74&gt;=Personnel!$E$29,Personnel!$G$29="Yes"),Personnel!$D$29*(1-Personnel!$H$29),0)+IF(AND(74&gt;=Personnel!$E$32,Personnel!$G$32="Yes"),Personnel!$D$32*(1-Personnel!$H$32),0)+IF(AND(74&gt;=Personnel!$E$33,Personnel!$G$33="Yes"),Personnel!$D$33*(1-Personnel!$H$33),0)+IF(AND(74&gt;=Personnel!$E$34,Personnel!$G$34="Yes"),Personnel!$D$34*(1-Personnel!$H$34),0)+IF(AND(74&gt;=Personnel!$E$35,Personnel!$G$35="Yes"),Personnel!$D$35*(1-Personnel!$H$35),0)+IF(AND(74&gt;=Personnel!$E$36,Personnel!$G$36="Yes"),Personnel!$D$36*(1-Personnel!$H$36),0)+IF(AND(74&gt;=Personnel!$E$37,Personnel!$G$37="Yes"),Personnel!$D$37*(1-Personnel!$H$37),0)+IF(AND(74&gt;=Personnel!$E$38,Personnel!$G$38="Yes"),Personnel!$D$38*(1-Personnel!$H$38),0))</f>
        <v>284324.33333333331</v>
      </c>
      <c r="BY4" s="105">
        <f>(IF(AND(75&gt;=Personnel!$E$2,Personnel!$G$2="Yes"),Personnel!$D$2*(1-Personnel!$H$2),0)+IF(AND(75&gt;=Personnel!$E$3,Personnel!$G$3="Yes"),Personnel!$D$3*(1-Personnel!$H$3),0)+IF(AND(75&gt;=Personnel!$E$4,Personnel!$G$4="Yes"),Personnel!$D$4*(1-Personnel!$H$4),0)+IF(AND(75&gt;=Personnel!$E$5,Personnel!$G$5="Yes"),Personnel!$D$5*(1-Personnel!$H$5),0)+IF(AND(75&gt;=Personnel!$E$6,Personnel!$G$6="Yes"),Personnel!$D$6*(1-Personnel!$H$6),0)+IF(AND(75&gt;=Personnel!$E$7,Personnel!$G$7="Yes"),Personnel!$D$7*(1-Personnel!$H$7),0)+IF(AND(75&gt;=Personnel!$E$8,Personnel!$G$8="Yes"),Personnel!$D$8*(1-Personnel!$H$8),0)+IF(AND(75&gt;=Personnel!$E$9,Personnel!$G$9="Yes"),Personnel!$D$9*(1-Personnel!$H$9),0)+IF(AND(75&gt;=Personnel!$E$10,Personnel!$G$10="Yes"),Personnel!$D$10*(1-Personnel!$H$10),0)+IF(AND(75&gt;=Personnel!$E$11,Personnel!$G$11="Yes"),Personnel!$D$11*(1-Personnel!$H$11),0)+IF(AND(75&gt;=Personnel!$E$12,Personnel!$G$12="Yes"),Personnel!$D$12*(1-Personnel!$H$12),0)+IF(AND(75&gt;=Personnel!$E$13,Personnel!$G$13="Yes"),Personnel!$D$13*(1-Personnel!$H$13),0)+IF(AND(75&gt;=Personnel!$E$14,Personnel!$G$14="Yes"),Personnel!$D$14*(1-Personnel!$H$14),0)+IF(AND(75&gt;=Personnel!$E$15,Personnel!$G$15="Yes"),Personnel!$D$15*(1-Personnel!$H$15),0)+IF(AND(75&gt;=Personnel!$E$16,Personnel!$G$16="Yes"),Personnel!$D$16*(1-Personnel!$H$16),0)+IF(AND(75&gt;=Personnel!$E$17,Personnel!$G$17="Yes"),Personnel!$D$17*(1-Personnel!$H$17),0)+IF(AND(75&gt;=Personnel!$E$18,Personnel!$G$18="Yes"),Personnel!$D$18*(1-Personnel!$H$18),0)+IF(AND(75&gt;=Personnel!$E$19,Personnel!$G$19="Yes"),Personnel!$D$19*(1-Personnel!$H$19),0)+IF(AND(75&gt;=Personnel!$E$20,Personnel!$G$20="Yes"),Personnel!$D$20*(1-Personnel!$H$20),0)+IF(AND(75&gt;=Personnel!$E$21,Personnel!$G$21="Yes"),Personnel!$D$21*(1-Personnel!$H$21),0)+IF(AND(75&gt;=Personnel!$E$22,Personnel!$G$22="Yes"),Personnel!$D$22*(1-Personnel!$H$22),0)+IF(AND(75&gt;=Personnel!$E$23,Personnel!$G$23="Yes"),Personnel!$D$23*(1-Personnel!$H$23),0)+IF(AND(75&gt;=Personnel!$E$24,Personnel!$G$24="Yes"),Personnel!$D$24*(1-Personnel!$H$24),0)+IF(AND(75&gt;=Personnel!$E$25,Personnel!$G$25="Yes"),Personnel!$D$25*(1-Personnel!$H$25),0)+IF(AND(75&gt;=Personnel!$E$26,Personnel!$G$26="Yes"),Personnel!$D$26*(1-Personnel!$H$26),0)+IF(AND(75&gt;=Personnel!$E$27,Personnel!$G$27="Yes"),Personnel!$D$27*(1-Personnel!$H$27),0)+IF(AND(75&gt;=Personnel!$E$28,Personnel!$G$28="Yes"),Personnel!$D$28*(1-Personnel!$H$28),0)+IF(AND(75&gt;=Personnel!$E$29,Personnel!$G$29="Yes"),Personnel!$D$29*(1-Personnel!$H$29),0)+IF(AND(75&gt;=Personnel!$E$32,Personnel!$G$32="Yes"),Personnel!$D$32*(1-Personnel!$H$32),0)+IF(AND(75&gt;=Personnel!$E$33,Personnel!$G$33="Yes"),Personnel!$D$33*(1-Personnel!$H$33),0)+IF(AND(75&gt;=Personnel!$E$34,Personnel!$G$34="Yes"),Personnel!$D$34*(1-Personnel!$H$34),0)+IF(AND(75&gt;=Personnel!$E$35,Personnel!$G$35="Yes"),Personnel!$D$35*(1-Personnel!$H$35),0)+IF(AND(75&gt;=Personnel!$E$36,Personnel!$G$36="Yes"),Personnel!$D$36*(1-Personnel!$H$36),0)+IF(AND(75&gt;=Personnel!$E$37,Personnel!$G$37="Yes"),Personnel!$D$37*(1-Personnel!$H$37),0)+IF(AND(75&gt;=Personnel!$E$38,Personnel!$G$38="Yes"),Personnel!$D$38*(1-Personnel!$H$38),0))</f>
        <v>284324.33333333331</v>
      </c>
      <c r="BZ4" s="105">
        <f>(IF(AND(76&gt;=Personnel!$E$2,Personnel!$G$2="Yes"),Personnel!$D$2*(1-Personnel!$H$2),0)+IF(AND(76&gt;=Personnel!$E$3,Personnel!$G$3="Yes"),Personnel!$D$3*(1-Personnel!$H$3),0)+IF(AND(76&gt;=Personnel!$E$4,Personnel!$G$4="Yes"),Personnel!$D$4*(1-Personnel!$H$4),0)+IF(AND(76&gt;=Personnel!$E$5,Personnel!$G$5="Yes"),Personnel!$D$5*(1-Personnel!$H$5),0)+IF(AND(76&gt;=Personnel!$E$6,Personnel!$G$6="Yes"),Personnel!$D$6*(1-Personnel!$H$6),0)+IF(AND(76&gt;=Personnel!$E$7,Personnel!$G$7="Yes"),Personnel!$D$7*(1-Personnel!$H$7),0)+IF(AND(76&gt;=Personnel!$E$8,Personnel!$G$8="Yes"),Personnel!$D$8*(1-Personnel!$H$8),0)+IF(AND(76&gt;=Personnel!$E$9,Personnel!$G$9="Yes"),Personnel!$D$9*(1-Personnel!$H$9),0)+IF(AND(76&gt;=Personnel!$E$10,Personnel!$G$10="Yes"),Personnel!$D$10*(1-Personnel!$H$10),0)+IF(AND(76&gt;=Personnel!$E$11,Personnel!$G$11="Yes"),Personnel!$D$11*(1-Personnel!$H$11),0)+IF(AND(76&gt;=Personnel!$E$12,Personnel!$G$12="Yes"),Personnel!$D$12*(1-Personnel!$H$12),0)+IF(AND(76&gt;=Personnel!$E$13,Personnel!$G$13="Yes"),Personnel!$D$13*(1-Personnel!$H$13),0)+IF(AND(76&gt;=Personnel!$E$14,Personnel!$G$14="Yes"),Personnel!$D$14*(1-Personnel!$H$14),0)+IF(AND(76&gt;=Personnel!$E$15,Personnel!$G$15="Yes"),Personnel!$D$15*(1-Personnel!$H$15),0)+IF(AND(76&gt;=Personnel!$E$16,Personnel!$G$16="Yes"),Personnel!$D$16*(1-Personnel!$H$16),0)+IF(AND(76&gt;=Personnel!$E$17,Personnel!$G$17="Yes"),Personnel!$D$17*(1-Personnel!$H$17),0)+IF(AND(76&gt;=Personnel!$E$18,Personnel!$G$18="Yes"),Personnel!$D$18*(1-Personnel!$H$18),0)+IF(AND(76&gt;=Personnel!$E$19,Personnel!$G$19="Yes"),Personnel!$D$19*(1-Personnel!$H$19),0)+IF(AND(76&gt;=Personnel!$E$20,Personnel!$G$20="Yes"),Personnel!$D$20*(1-Personnel!$H$20),0)+IF(AND(76&gt;=Personnel!$E$21,Personnel!$G$21="Yes"),Personnel!$D$21*(1-Personnel!$H$21),0)+IF(AND(76&gt;=Personnel!$E$22,Personnel!$G$22="Yes"),Personnel!$D$22*(1-Personnel!$H$22),0)+IF(AND(76&gt;=Personnel!$E$23,Personnel!$G$23="Yes"),Personnel!$D$23*(1-Personnel!$H$23),0)+IF(AND(76&gt;=Personnel!$E$24,Personnel!$G$24="Yes"),Personnel!$D$24*(1-Personnel!$H$24),0)+IF(AND(76&gt;=Personnel!$E$25,Personnel!$G$25="Yes"),Personnel!$D$25*(1-Personnel!$H$25),0)+IF(AND(76&gt;=Personnel!$E$26,Personnel!$G$26="Yes"),Personnel!$D$26*(1-Personnel!$H$26),0)+IF(AND(76&gt;=Personnel!$E$27,Personnel!$G$27="Yes"),Personnel!$D$27*(1-Personnel!$H$27),0)+IF(AND(76&gt;=Personnel!$E$28,Personnel!$G$28="Yes"),Personnel!$D$28*(1-Personnel!$H$28),0)+IF(AND(76&gt;=Personnel!$E$29,Personnel!$G$29="Yes"),Personnel!$D$29*(1-Personnel!$H$29),0)+IF(AND(76&gt;=Personnel!$E$32,Personnel!$G$32="Yes"),Personnel!$D$32*(1-Personnel!$H$32),0)+IF(AND(76&gt;=Personnel!$E$33,Personnel!$G$33="Yes"),Personnel!$D$33*(1-Personnel!$H$33),0)+IF(AND(76&gt;=Personnel!$E$34,Personnel!$G$34="Yes"),Personnel!$D$34*(1-Personnel!$H$34),0)+IF(AND(76&gt;=Personnel!$E$35,Personnel!$G$35="Yes"),Personnel!$D$35*(1-Personnel!$H$35),0)+IF(AND(76&gt;=Personnel!$E$36,Personnel!$G$36="Yes"),Personnel!$D$36*(1-Personnel!$H$36),0)+IF(AND(76&gt;=Personnel!$E$37,Personnel!$G$37="Yes"),Personnel!$D$37*(1-Personnel!$H$37),0)+IF(AND(76&gt;=Personnel!$E$38,Personnel!$G$38="Yes"),Personnel!$D$38*(1-Personnel!$H$38),0))</f>
        <v>284324.33333333331</v>
      </c>
      <c r="CA4" s="105">
        <f>(IF(AND(77&gt;=Personnel!$E$2,Personnel!$G$2="Yes"),Personnel!$D$2*(1-Personnel!$H$2),0)+IF(AND(77&gt;=Personnel!$E$3,Personnel!$G$3="Yes"),Personnel!$D$3*(1-Personnel!$H$3),0)+IF(AND(77&gt;=Personnel!$E$4,Personnel!$G$4="Yes"),Personnel!$D$4*(1-Personnel!$H$4),0)+IF(AND(77&gt;=Personnel!$E$5,Personnel!$G$5="Yes"),Personnel!$D$5*(1-Personnel!$H$5),0)+IF(AND(77&gt;=Personnel!$E$6,Personnel!$G$6="Yes"),Personnel!$D$6*(1-Personnel!$H$6),0)+IF(AND(77&gt;=Personnel!$E$7,Personnel!$G$7="Yes"),Personnel!$D$7*(1-Personnel!$H$7),0)+IF(AND(77&gt;=Personnel!$E$8,Personnel!$G$8="Yes"),Personnel!$D$8*(1-Personnel!$H$8),0)+IF(AND(77&gt;=Personnel!$E$9,Personnel!$G$9="Yes"),Personnel!$D$9*(1-Personnel!$H$9),0)+IF(AND(77&gt;=Personnel!$E$10,Personnel!$G$10="Yes"),Personnel!$D$10*(1-Personnel!$H$10),0)+IF(AND(77&gt;=Personnel!$E$11,Personnel!$G$11="Yes"),Personnel!$D$11*(1-Personnel!$H$11),0)+IF(AND(77&gt;=Personnel!$E$12,Personnel!$G$12="Yes"),Personnel!$D$12*(1-Personnel!$H$12),0)+IF(AND(77&gt;=Personnel!$E$13,Personnel!$G$13="Yes"),Personnel!$D$13*(1-Personnel!$H$13),0)+IF(AND(77&gt;=Personnel!$E$14,Personnel!$G$14="Yes"),Personnel!$D$14*(1-Personnel!$H$14),0)+IF(AND(77&gt;=Personnel!$E$15,Personnel!$G$15="Yes"),Personnel!$D$15*(1-Personnel!$H$15),0)+IF(AND(77&gt;=Personnel!$E$16,Personnel!$G$16="Yes"),Personnel!$D$16*(1-Personnel!$H$16),0)+IF(AND(77&gt;=Personnel!$E$17,Personnel!$G$17="Yes"),Personnel!$D$17*(1-Personnel!$H$17),0)+IF(AND(77&gt;=Personnel!$E$18,Personnel!$G$18="Yes"),Personnel!$D$18*(1-Personnel!$H$18),0)+IF(AND(77&gt;=Personnel!$E$19,Personnel!$G$19="Yes"),Personnel!$D$19*(1-Personnel!$H$19),0)+IF(AND(77&gt;=Personnel!$E$20,Personnel!$G$20="Yes"),Personnel!$D$20*(1-Personnel!$H$20),0)+IF(AND(77&gt;=Personnel!$E$21,Personnel!$G$21="Yes"),Personnel!$D$21*(1-Personnel!$H$21),0)+IF(AND(77&gt;=Personnel!$E$22,Personnel!$G$22="Yes"),Personnel!$D$22*(1-Personnel!$H$22),0)+IF(AND(77&gt;=Personnel!$E$23,Personnel!$G$23="Yes"),Personnel!$D$23*(1-Personnel!$H$23),0)+IF(AND(77&gt;=Personnel!$E$24,Personnel!$G$24="Yes"),Personnel!$D$24*(1-Personnel!$H$24),0)+IF(AND(77&gt;=Personnel!$E$25,Personnel!$G$25="Yes"),Personnel!$D$25*(1-Personnel!$H$25),0)+IF(AND(77&gt;=Personnel!$E$26,Personnel!$G$26="Yes"),Personnel!$D$26*(1-Personnel!$H$26),0)+IF(AND(77&gt;=Personnel!$E$27,Personnel!$G$27="Yes"),Personnel!$D$27*(1-Personnel!$H$27),0)+IF(AND(77&gt;=Personnel!$E$28,Personnel!$G$28="Yes"),Personnel!$D$28*(1-Personnel!$H$28),0)+IF(AND(77&gt;=Personnel!$E$29,Personnel!$G$29="Yes"),Personnel!$D$29*(1-Personnel!$H$29),0)+IF(AND(77&gt;=Personnel!$E$32,Personnel!$G$32="Yes"),Personnel!$D$32*(1-Personnel!$H$32),0)+IF(AND(77&gt;=Personnel!$E$33,Personnel!$G$33="Yes"),Personnel!$D$33*(1-Personnel!$H$33),0)+IF(AND(77&gt;=Personnel!$E$34,Personnel!$G$34="Yes"),Personnel!$D$34*(1-Personnel!$H$34),0)+IF(AND(77&gt;=Personnel!$E$35,Personnel!$G$35="Yes"),Personnel!$D$35*(1-Personnel!$H$35),0)+IF(AND(77&gt;=Personnel!$E$36,Personnel!$G$36="Yes"),Personnel!$D$36*(1-Personnel!$H$36),0)+IF(AND(77&gt;=Personnel!$E$37,Personnel!$G$37="Yes"),Personnel!$D$37*(1-Personnel!$H$37),0)+IF(AND(77&gt;=Personnel!$E$38,Personnel!$G$38="Yes"),Personnel!$D$38*(1-Personnel!$H$38),0))</f>
        <v>284324.33333333331</v>
      </c>
      <c r="CB4" s="105">
        <f>(IF(AND(78&gt;=Personnel!$E$2,Personnel!$G$2="Yes"),Personnel!$D$2*(1-Personnel!$H$2),0)+IF(AND(78&gt;=Personnel!$E$3,Personnel!$G$3="Yes"),Personnel!$D$3*(1-Personnel!$H$3),0)+IF(AND(78&gt;=Personnel!$E$4,Personnel!$G$4="Yes"),Personnel!$D$4*(1-Personnel!$H$4),0)+IF(AND(78&gt;=Personnel!$E$5,Personnel!$G$5="Yes"),Personnel!$D$5*(1-Personnel!$H$5),0)+IF(AND(78&gt;=Personnel!$E$6,Personnel!$G$6="Yes"),Personnel!$D$6*(1-Personnel!$H$6),0)+IF(AND(78&gt;=Personnel!$E$7,Personnel!$G$7="Yes"),Personnel!$D$7*(1-Personnel!$H$7),0)+IF(AND(78&gt;=Personnel!$E$8,Personnel!$G$8="Yes"),Personnel!$D$8*(1-Personnel!$H$8),0)+IF(AND(78&gt;=Personnel!$E$9,Personnel!$G$9="Yes"),Personnel!$D$9*(1-Personnel!$H$9),0)+IF(AND(78&gt;=Personnel!$E$10,Personnel!$G$10="Yes"),Personnel!$D$10*(1-Personnel!$H$10),0)+IF(AND(78&gt;=Personnel!$E$11,Personnel!$G$11="Yes"),Personnel!$D$11*(1-Personnel!$H$11),0)+IF(AND(78&gt;=Personnel!$E$12,Personnel!$G$12="Yes"),Personnel!$D$12*(1-Personnel!$H$12),0)+IF(AND(78&gt;=Personnel!$E$13,Personnel!$G$13="Yes"),Personnel!$D$13*(1-Personnel!$H$13),0)+IF(AND(78&gt;=Personnel!$E$14,Personnel!$G$14="Yes"),Personnel!$D$14*(1-Personnel!$H$14),0)+IF(AND(78&gt;=Personnel!$E$15,Personnel!$G$15="Yes"),Personnel!$D$15*(1-Personnel!$H$15),0)+IF(AND(78&gt;=Personnel!$E$16,Personnel!$G$16="Yes"),Personnel!$D$16*(1-Personnel!$H$16),0)+IF(AND(78&gt;=Personnel!$E$17,Personnel!$G$17="Yes"),Personnel!$D$17*(1-Personnel!$H$17),0)+IF(AND(78&gt;=Personnel!$E$18,Personnel!$G$18="Yes"),Personnel!$D$18*(1-Personnel!$H$18),0)+IF(AND(78&gt;=Personnel!$E$19,Personnel!$G$19="Yes"),Personnel!$D$19*(1-Personnel!$H$19),0)+IF(AND(78&gt;=Personnel!$E$20,Personnel!$G$20="Yes"),Personnel!$D$20*(1-Personnel!$H$20),0)+IF(AND(78&gt;=Personnel!$E$21,Personnel!$G$21="Yes"),Personnel!$D$21*(1-Personnel!$H$21),0)+IF(AND(78&gt;=Personnel!$E$22,Personnel!$G$22="Yes"),Personnel!$D$22*(1-Personnel!$H$22),0)+IF(AND(78&gt;=Personnel!$E$23,Personnel!$G$23="Yes"),Personnel!$D$23*(1-Personnel!$H$23),0)+IF(AND(78&gt;=Personnel!$E$24,Personnel!$G$24="Yes"),Personnel!$D$24*(1-Personnel!$H$24),0)+IF(AND(78&gt;=Personnel!$E$25,Personnel!$G$25="Yes"),Personnel!$D$25*(1-Personnel!$H$25),0)+IF(AND(78&gt;=Personnel!$E$26,Personnel!$G$26="Yes"),Personnel!$D$26*(1-Personnel!$H$26),0)+IF(AND(78&gt;=Personnel!$E$27,Personnel!$G$27="Yes"),Personnel!$D$27*(1-Personnel!$H$27),0)+IF(AND(78&gt;=Personnel!$E$28,Personnel!$G$28="Yes"),Personnel!$D$28*(1-Personnel!$H$28),0)+IF(AND(78&gt;=Personnel!$E$29,Personnel!$G$29="Yes"),Personnel!$D$29*(1-Personnel!$H$29),0)+IF(AND(78&gt;=Personnel!$E$32,Personnel!$G$32="Yes"),Personnel!$D$32*(1-Personnel!$H$32),0)+IF(AND(78&gt;=Personnel!$E$33,Personnel!$G$33="Yes"),Personnel!$D$33*(1-Personnel!$H$33),0)+IF(AND(78&gt;=Personnel!$E$34,Personnel!$G$34="Yes"),Personnel!$D$34*(1-Personnel!$H$34),0)+IF(AND(78&gt;=Personnel!$E$35,Personnel!$G$35="Yes"),Personnel!$D$35*(1-Personnel!$H$35),0)+IF(AND(78&gt;=Personnel!$E$36,Personnel!$G$36="Yes"),Personnel!$D$36*(1-Personnel!$H$36),0)+IF(AND(78&gt;=Personnel!$E$37,Personnel!$G$37="Yes"),Personnel!$D$37*(1-Personnel!$H$37),0)+IF(AND(78&gt;=Personnel!$E$38,Personnel!$G$38="Yes"),Personnel!$D$38*(1-Personnel!$H$38),0))</f>
        <v>284324.33333333331</v>
      </c>
      <c r="CC4" s="105">
        <f>(IF(AND(79&gt;=Personnel!$E$2,Personnel!$G$2="Yes"),Personnel!$D$2*(1-Personnel!$H$2),0)+IF(AND(79&gt;=Personnel!$E$3,Personnel!$G$3="Yes"),Personnel!$D$3*(1-Personnel!$H$3),0)+IF(AND(79&gt;=Personnel!$E$4,Personnel!$G$4="Yes"),Personnel!$D$4*(1-Personnel!$H$4),0)+IF(AND(79&gt;=Personnel!$E$5,Personnel!$G$5="Yes"),Personnel!$D$5*(1-Personnel!$H$5),0)+IF(AND(79&gt;=Personnel!$E$6,Personnel!$G$6="Yes"),Personnel!$D$6*(1-Personnel!$H$6),0)+IF(AND(79&gt;=Personnel!$E$7,Personnel!$G$7="Yes"),Personnel!$D$7*(1-Personnel!$H$7),0)+IF(AND(79&gt;=Personnel!$E$8,Personnel!$G$8="Yes"),Personnel!$D$8*(1-Personnel!$H$8),0)+IF(AND(79&gt;=Personnel!$E$9,Personnel!$G$9="Yes"),Personnel!$D$9*(1-Personnel!$H$9),0)+IF(AND(79&gt;=Personnel!$E$10,Personnel!$G$10="Yes"),Personnel!$D$10*(1-Personnel!$H$10),0)+IF(AND(79&gt;=Personnel!$E$11,Personnel!$G$11="Yes"),Personnel!$D$11*(1-Personnel!$H$11),0)+IF(AND(79&gt;=Personnel!$E$12,Personnel!$G$12="Yes"),Personnel!$D$12*(1-Personnel!$H$12),0)+IF(AND(79&gt;=Personnel!$E$13,Personnel!$G$13="Yes"),Personnel!$D$13*(1-Personnel!$H$13),0)+IF(AND(79&gt;=Personnel!$E$14,Personnel!$G$14="Yes"),Personnel!$D$14*(1-Personnel!$H$14),0)+IF(AND(79&gt;=Personnel!$E$15,Personnel!$G$15="Yes"),Personnel!$D$15*(1-Personnel!$H$15),0)+IF(AND(79&gt;=Personnel!$E$16,Personnel!$G$16="Yes"),Personnel!$D$16*(1-Personnel!$H$16),0)+IF(AND(79&gt;=Personnel!$E$17,Personnel!$G$17="Yes"),Personnel!$D$17*(1-Personnel!$H$17),0)+IF(AND(79&gt;=Personnel!$E$18,Personnel!$G$18="Yes"),Personnel!$D$18*(1-Personnel!$H$18),0)+IF(AND(79&gt;=Personnel!$E$19,Personnel!$G$19="Yes"),Personnel!$D$19*(1-Personnel!$H$19),0)+IF(AND(79&gt;=Personnel!$E$20,Personnel!$G$20="Yes"),Personnel!$D$20*(1-Personnel!$H$20),0)+IF(AND(79&gt;=Personnel!$E$21,Personnel!$G$21="Yes"),Personnel!$D$21*(1-Personnel!$H$21),0)+IF(AND(79&gt;=Personnel!$E$22,Personnel!$G$22="Yes"),Personnel!$D$22*(1-Personnel!$H$22),0)+IF(AND(79&gt;=Personnel!$E$23,Personnel!$G$23="Yes"),Personnel!$D$23*(1-Personnel!$H$23),0)+IF(AND(79&gt;=Personnel!$E$24,Personnel!$G$24="Yes"),Personnel!$D$24*(1-Personnel!$H$24),0)+IF(AND(79&gt;=Personnel!$E$25,Personnel!$G$25="Yes"),Personnel!$D$25*(1-Personnel!$H$25),0)+IF(AND(79&gt;=Personnel!$E$26,Personnel!$G$26="Yes"),Personnel!$D$26*(1-Personnel!$H$26),0)+IF(AND(79&gt;=Personnel!$E$27,Personnel!$G$27="Yes"),Personnel!$D$27*(1-Personnel!$H$27),0)+IF(AND(79&gt;=Personnel!$E$28,Personnel!$G$28="Yes"),Personnel!$D$28*(1-Personnel!$H$28),0)+IF(AND(79&gt;=Personnel!$E$29,Personnel!$G$29="Yes"),Personnel!$D$29*(1-Personnel!$H$29),0)+IF(AND(79&gt;=Personnel!$E$32,Personnel!$G$32="Yes"),Personnel!$D$32*(1-Personnel!$H$32),0)+IF(AND(79&gt;=Personnel!$E$33,Personnel!$G$33="Yes"),Personnel!$D$33*(1-Personnel!$H$33),0)+IF(AND(79&gt;=Personnel!$E$34,Personnel!$G$34="Yes"),Personnel!$D$34*(1-Personnel!$H$34),0)+IF(AND(79&gt;=Personnel!$E$35,Personnel!$G$35="Yes"),Personnel!$D$35*(1-Personnel!$H$35),0)+IF(AND(79&gt;=Personnel!$E$36,Personnel!$G$36="Yes"),Personnel!$D$36*(1-Personnel!$H$36),0)+IF(AND(79&gt;=Personnel!$E$37,Personnel!$G$37="Yes"),Personnel!$D$37*(1-Personnel!$H$37),0)+IF(AND(79&gt;=Personnel!$E$38,Personnel!$G$38="Yes"),Personnel!$D$38*(1-Personnel!$H$38),0))</f>
        <v>284324.33333333331</v>
      </c>
      <c r="CD4" s="105">
        <f>(IF(AND(80&gt;=Personnel!$E$2,Personnel!$G$2="Yes"),Personnel!$D$2*(1-Personnel!$H$2),0)+IF(AND(80&gt;=Personnel!$E$3,Personnel!$G$3="Yes"),Personnel!$D$3*(1-Personnel!$H$3),0)+IF(AND(80&gt;=Personnel!$E$4,Personnel!$G$4="Yes"),Personnel!$D$4*(1-Personnel!$H$4),0)+IF(AND(80&gt;=Personnel!$E$5,Personnel!$G$5="Yes"),Personnel!$D$5*(1-Personnel!$H$5),0)+IF(AND(80&gt;=Personnel!$E$6,Personnel!$G$6="Yes"),Personnel!$D$6*(1-Personnel!$H$6),0)+IF(AND(80&gt;=Personnel!$E$7,Personnel!$G$7="Yes"),Personnel!$D$7*(1-Personnel!$H$7),0)+IF(AND(80&gt;=Personnel!$E$8,Personnel!$G$8="Yes"),Personnel!$D$8*(1-Personnel!$H$8),0)+IF(AND(80&gt;=Personnel!$E$9,Personnel!$G$9="Yes"),Personnel!$D$9*(1-Personnel!$H$9),0)+IF(AND(80&gt;=Personnel!$E$10,Personnel!$G$10="Yes"),Personnel!$D$10*(1-Personnel!$H$10),0)+IF(AND(80&gt;=Personnel!$E$11,Personnel!$G$11="Yes"),Personnel!$D$11*(1-Personnel!$H$11),0)+IF(AND(80&gt;=Personnel!$E$12,Personnel!$G$12="Yes"),Personnel!$D$12*(1-Personnel!$H$12),0)+IF(AND(80&gt;=Personnel!$E$13,Personnel!$G$13="Yes"),Personnel!$D$13*(1-Personnel!$H$13),0)+IF(AND(80&gt;=Personnel!$E$14,Personnel!$G$14="Yes"),Personnel!$D$14*(1-Personnel!$H$14),0)+IF(AND(80&gt;=Personnel!$E$15,Personnel!$G$15="Yes"),Personnel!$D$15*(1-Personnel!$H$15),0)+IF(AND(80&gt;=Personnel!$E$16,Personnel!$G$16="Yes"),Personnel!$D$16*(1-Personnel!$H$16),0)+IF(AND(80&gt;=Personnel!$E$17,Personnel!$G$17="Yes"),Personnel!$D$17*(1-Personnel!$H$17),0)+IF(AND(80&gt;=Personnel!$E$18,Personnel!$G$18="Yes"),Personnel!$D$18*(1-Personnel!$H$18),0)+IF(AND(80&gt;=Personnel!$E$19,Personnel!$G$19="Yes"),Personnel!$D$19*(1-Personnel!$H$19),0)+IF(AND(80&gt;=Personnel!$E$20,Personnel!$G$20="Yes"),Personnel!$D$20*(1-Personnel!$H$20),0)+IF(AND(80&gt;=Personnel!$E$21,Personnel!$G$21="Yes"),Personnel!$D$21*(1-Personnel!$H$21),0)+IF(AND(80&gt;=Personnel!$E$22,Personnel!$G$22="Yes"),Personnel!$D$22*(1-Personnel!$H$22),0)+IF(AND(80&gt;=Personnel!$E$23,Personnel!$G$23="Yes"),Personnel!$D$23*(1-Personnel!$H$23),0)+IF(AND(80&gt;=Personnel!$E$24,Personnel!$G$24="Yes"),Personnel!$D$24*(1-Personnel!$H$24),0)+IF(AND(80&gt;=Personnel!$E$25,Personnel!$G$25="Yes"),Personnel!$D$25*(1-Personnel!$H$25),0)+IF(AND(80&gt;=Personnel!$E$26,Personnel!$G$26="Yes"),Personnel!$D$26*(1-Personnel!$H$26),0)+IF(AND(80&gt;=Personnel!$E$27,Personnel!$G$27="Yes"),Personnel!$D$27*(1-Personnel!$H$27),0)+IF(AND(80&gt;=Personnel!$E$28,Personnel!$G$28="Yes"),Personnel!$D$28*(1-Personnel!$H$28),0)+IF(AND(80&gt;=Personnel!$E$29,Personnel!$G$29="Yes"),Personnel!$D$29*(1-Personnel!$H$29),0)+IF(AND(80&gt;=Personnel!$E$32,Personnel!$G$32="Yes"),Personnel!$D$32*(1-Personnel!$H$32),0)+IF(AND(80&gt;=Personnel!$E$33,Personnel!$G$33="Yes"),Personnel!$D$33*(1-Personnel!$H$33),0)+IF(AND(80&gt;=Personnel!$E$34,Personnel!$G$34="Yes"),Personnel!$D$34*(1-Personnel!$H$34),0)+IF(AND(80&gt;=Personnel!$E$35,Personnel!$G$35="Yes"),Personnel!$D$35*(1-Personnel!$H$35),0)+IF(AND(80&gt;=Personnel!$E$36,Personnel!$G$36="Yes"),Personnel!$D$36*(1-Personnel!$H$36),0)+IF(AND(80&gt;=Personnel!$E$37,Personnel!$G$37="Yes"),Personnel!$D$37*(1-Personnel!$H$37),0)+IF(AND(80&gt;=Personnel!$E$38,Personnel!$G$38="Yes"),Personnel!$D$38*(1-Personnel!$H$38),0))</f>
        <v>284324.33333333331</v>
      </c>
      <c r="CE4" s="105">
        <f>(IF(AND(81&gt;=Personnel!$E$2,Personnel!$G$2="Yes"),Personnel!$D$2*(1-Personnel!$H$2),0)+IF(AND(81&gt;=Personnel!$E$3,Personnel!$G$3="Yes"),Personnel!$D$3*(1-Personnel!$H$3),0)+IF(AND(81&gt;=Personnel!$E$4,Personnel!$G$4="Yes"),Personnel!$D$4*(1-Personnel!$H$4),0)+IF(AND(81&gt;=Personnel!$E$5,Personnel!$G$5="Yes"),Personnel!$D$5*(1-Personnel!$H$5),0)+IF(AND(81&gt;=Personnel!$E$6,Personnel!$G$6="Yes"),Personnel!$D$6*(1-Personnel!$H$6),0)+IF(AND(81&gt;=Personnel!$E$7,Personnel!$G$7="Yes"),Personnel!$D$7*(1-Personnel!$H$7),0)+IF(AND(81&gt;=Personnel!$E$8,Personnel!$G$8="Yes"),Personnel!$D$8*(1-Personnel!$H$8),0)+IF(AND(81&gt;=Personnel!$E$9,Personnel!$G$9="Yes"),Personnel!$D$9*(1-Personnel!$H$9),0)+IF(AND(81&gt;=Personnel!$E$10,Personnel!$G$10="Yes"),Personnel!$D$10*(1-Personnel!$H$10),0)+IF(AND(81&gt;=Personnel!$E$11,Personnel!$G$11="Yes"),Personnel!$D$11*(1-Personnel!$H$11),0)+IF(AND(81&gt;=Personnel!$E$12,Personnel!$G$12="Yes"),Personnel!$D$12*(1-Personnel!$H$12),0)+IF(AND(81&gt;=Personnel!$E$13,Personnel!$G$13="Yes"),Personnel!$D$13*(1-Personnel!$H$13),0)+IF(AND(81&gt;=Personnel!$E$14,Personnel!$G$14="Yes"),Personnel!$D$14*(1-Personnel!$H$14),0)+IF(AND(81&gt;=Personnel!$E$15,Personnel!$G$15="Yes"),Personnel!$D$15*(1-Personnel!$H$15),0)+IF(AND(81&gt;=Personnel!$E$16,Personnel!$G$16="Yes"),Personnel!$D$16*(1-Personnel!$H$16),0)+IF(AND(81&gt;=Personnel!$E$17,Personnel!$G$17="Yes"),Personnel!$D$17*(1-Personnel!$H$17),0)+IF(AND(81&gt;=Personnel!$E$18,Personnel!$G$18="Yes"),Personnel!$D$18*(1-Personnel!$H$18),0)+IF(AND(81&gt;=Personnel!$E$19,Personnel!$G$19="Yes"),Personnel!$D$19*(1-Personnel!$H$19),0)+IF(AND(81&gt;=Personnel!$E$20,Personnel!$G$20="Yes"),Personnel!$D$20*(1-Personnel!$H$20),0)+IF(AND(81&gt;=Personnel!$E$21,Personnel!$G$21="Yes"),Personnel!$D$21*(1-Personnel!$H$21),0)+IF(AND(81&gt;=Personnel!$E$22,Personnel!$G$22="Yes"),Personnel!$D$22*(1-Personnel!$H$22),0)+IF(AND(81&gt;=Personnel!$E$23,Personnel!$G$23="Yes"),Personnel!$D$23*(1-Personnel!$H$23),0)+IF(AND(81&gt;=Personnel!$E$24,Personnel!$G$24="Yes"),Personnel!$D$24*(1-Personnel!$H$24),0)+IF(AND(81&gt;=Personnel!$E$25,Personnel!$G$25="Yes"),Personnel!$D$25*(1-Personnel!$H$25),0)+IF(AND(81&gt;=Personnel!$E$26,Personnel!$G$26="Yes"),Personnel!$D$26*(1-Personnel!$H$26),0)+IF(AND(81&gt;=Personnel!$E$27,Personnel!$G$27="Yes"),Personnel!$D$27*(1-Personnel!$H$27),0)+IF(AND(81&gt;=Personnel!$E$28,Personnel!$G$28="Yes"),Personnel!$D$28*(1-Personnel!$H$28),0)+IF(AND(81&gt;=Personnel!$E$29,Personnel!$G$29="Yes"),Personnel!$D$29*(1-Personnel!$H$29),0)+IF(AND(81&gt;=Personnel!$E$32,Personnel!$G$32="Yes"),Personnel!$D$32*(1-Personnel!$H$32),0)+IF(AND(81&gt;=Personnel!$E$33,Personnel!$G$33="Yes"),Personnel!$D$33*(1-Personnel!$H$33),0)+IF(AND(81&gt;=Personnel!$E$34,Personnel!$G$34="Yes"),Personnel!$D$34*(1-Personnel!$H$34),0)+IF(AND(81&gt;=Personnel!$E$35,Personnel!$G$35="Yes"),Personnel!$D$35*(1-Personnel!$H$35),0)+IF(AND(81&gt;=Personnel!$E$36,Personnel!$G$36="Yes"),Personnel!$D$36*(1-Personnel!$H$36),0)+IF(AND(81&gt;=Personnel!$E$37,Personnel!$G$37="Yes"),Personnel!$D$37*(1-Personnel!$H$37),0)+IF(AND(81&gt;=Personnel!$E$38,Personnel!$G$38="Yes"),Personnel!$D$38*(1-Personnel!$H$38),0))</f>
        <v>284324.33333333331</v>
      </c>
      <c r="CF4" s="105">
        <f>(IF(AND(82&gt;=Personnel!$E$2,Personnel!$G$2="Yes"),Personnel!$D$2*(1-Personnel!$H$2),0)+IF(AND(82&gt;=Personnel!$E$3,Personnel!$G$3="Yes"),Personnel!$D$3*(1-Personnel!$H$3),0)+IF(AND(82&gt;=Personnel!$E$4,Personnel!$G$4="Yes"),Personnel!$D$4*(1-Personnel!$H$4),0)+IF(AND(82&gt;=Personnel!$E$5,Personnel!$G$5="Yes"),Personnel!$D$5*(1-Personnel!$H$5),0)+IF(AND(82&gt;=Personnel!$E$6,Personnel!$G$6="Yes"),Personnel!$D$6*(1-Personnel!$H$6),0)+IF(AND(82&gt;=Personnel!$E$7,Personnel!$G$7="Yes"),Personnel!$D$7*(1-Personnel!$H$7),0)+IF(AND(82&gt;=Personnel!$E$8,Personnel!$G$8="Yes"),Personnel!$D$8*(1-Personnel!$H$8),0)+IF(AND(82&gt;=Personnel!$E$9,Personnel!$G$9="Yes"),Personnel!$D$9*(1-Personnel!$H$9),0)+IF(AND(82&gt;=Personnel!$E$10,Personnel!$G$10="Yes"),Personnel!$D$10*(1-Personnel!$H$10),0)+IF(AND(82&gt;=Personnel!$E$11,Personnel!$G$11="Yes"),Personnel!$D$11*(1-Personnel!$H$11),0)+IF(AND(82&gt;=Personnel!$E$12,Personnel!$G$12="Yes"),Personnel!$D$12*(1-Personnel!$H$12),0)+IF(AND(82&gt;=Personnel!$E$13,Personnel!$G$13="Yes"),Personnel!$D$13*(1-Personnel!$H$13),0)+IF(AND(82&gt;=Personnel!$E$14,Personnel!$G$14="Yes"),Personnel!$D$14*(1-Personnel!$H$14),0)+IF(AND(82&gt;=Personnel!$E$15,Personnel!$G$15="Yes"),Personnel!$D$15*(1-Personnel!$H$15),0)+IF(AND(82&gt;=Personnel!$E$16,Personnel!$G$16="Yes"),Personnel!$D$16*(1-Personnel!$H$16),0)+IF(AND(82&gt;=Personnel!$E$17,Personnel!$G$17="Yes"),Personnel!$D$17*(1-Personnel!$H$17),0)+IF(AND(82&gt;=Personnel!$E$18,Personnel!$G$18="Yes"),Personnel!$D$18*(1-Personnel!$H$18),0)+IF(AND(82&gt;=Personnel!$E$19,Personnel!$G$19="Yes"),Personnel!$D$19*(1-Personnel!$H$19),0)+IF(AND(82&gt;=Personnel!$E$20,Personnel!$G$20="Yes"),Personnel!$D$20*(1-Personnel!$H$20),0)+IF(AND(82&gt;=Personnel!$E$21,Personnel!$G$21="Yes"),Personnel!$D$21*(1-Personnel!$H$21),0)+IF(AND(82&gt;=Personnel!$E$22,Personnel!$G$22="Yes"),Personnel!$D$22*(1-Personnel!$H$22),0)+IF(AND(82&gt;=Personnel!$E$23,Personnel!$G$23="Yes"),Personnel!$D$23*(1-Personnel!$H$23),0)+IF(AND(82&gt;=Personnel!$E$24,Personnel!$G$24="Yes"),Personnel!$D$24*(1-Personnel!$H$24),0)+IF(AND(82&gt;=Personnel!$E$25,Personnel!$G$25="Yes"),Personnel!$D$25*(1-Personnel!$H$25),0)+IF(AND(82&gt;=Personnel!$E$26,Personnel!$G$26="Yes"),Personnel!$D$26*(1-Personnel!$H$26),0)+IF(AND(82&gt;=Personnel!$E$27,Personnel!$G$27="Yes"),Personnel!$D$27*(1-Personnel!$H$27),0)+IF(AND(82&gt;=Personnel!$E$28,Personnel!$G$28="Yes"),Personnel!$D$28*(1-Personnel!$H$28),0)+IF(AND(82&gt;=Personnel!$E$29,Personnel!$G$29="Yes"),Personnel!$D$29*(1-Personnel!$H$29),0)+IF(AND(82&gt;=Personnel!$E$32,Personnel!$G$32="Yes"),Personnel!$D$32*(1-Personnel!$H$32),0)+IF(AND(82&gt;=Personnel!$E$33,Personnel!$G$33="Yes"),Personnel!$D$33*(1-Personnel!$H$33),0)+IF(AND(82&gt;=Personnel!$E$34,Personnel!$G$34="Yes"),Personnel!$D$34*(1-Personnel!$H$34),0)+IF(AND(82&gt;=Personnel!$E$35,Personnel!$G$35="Yes"),Personnel!$D$35*(1-Personnel!$H$35),0)+IF(AND(82&gt;=Personnel!$E$36,Personnel!$G$36="Yes"),Personnel!$D$36*(1-Personnel!$H$36),0)+IF(AND(82&gt;=Personnel!$E$37,Personnel!$G$37="Yes"),Personnel!$D$37*(1-Personnel!$H$37),0)+IF(AND(82&gt;=Personnel!$E$38,Personnel!$G$38="Yes"),Personnel!$D$38*(1-Personnel!$H$38),0))</f>
        <v>284324.33333333331</v>
      </c>
      <c r="CG4" s="105">
        <f>(IF(AND(83&gt;=Personnel!$E$2,Personnel!$G$2="Yes"),Personnel!$D$2*(1-Personnel!$H$2),0)+IF(AND(83&gt;=Personnel!$E$3,Personnel!$G$3="Yes"),Personnel!$D$3*(1-Personnel!$H$3),0)+IF(AND(83&gt;=Personnel!$E$4,Personnel!$G$4="Yes"),Personnel!$D$4*(1-Personnel!$H$4),0)+IF(AND(83&gt;=Personnel!$E$5,Personnel!$G$5="Yes"),Personnel!$D$5*(1-Personnel!$H$5),0)+IF(AND(83&gt;=Personnel!$E$6,Personnel!$G$6="Yes"),Personnel!$D$6*(1-Personnel!$H$6),0)+IF(AND(83&gt;=Personnel!$E$7,Personnel!$G$7="Yes"),Personnel!$D$7*(1-Personnel!$H$7),0)+IF(AND(83&gt;=Personnel!$E$8,Personnel!$G$8="Yes"),Personnel!$D$8*(1-Personnel!$H$8),0)+IF(AND(83&gt;=Personnel!$E$9,Personnel!$G$9="Yes"),Personnel!$D$9*(1-Personnel!$H$9),0)+IF(AND(83&gt;=Personnel!$E$10,Personnel!$G$10="Yes"),Personnel!$D$10*(1-Personnel!$H$10),0)+IF(AND(83&gt;=Personnel!$E$11,Personnel!$G$11="Yes"),Personnel!$D$11*(1-Personnel!$H$11),0)+IF(AND(83&gt;=Personnel!$E$12,Personnel!$G$12="Yes"),Personnel!$D$12*(1-Personnel!$H$12),0)+IF(AND(83&gt;=Personnel!$E$13,Personnel!$G$13="Yes"),Personnel!$D$13*(1-Personnel!$H$13),0)+IF(AND(83&gt;=Personnel!$E$14,Personnel!$G$14="Yes"),Personnel!$D$14*(1-Personnel!$H$14),0)+IF(AND(83&gt;=Personnel!$E$15,Personnel!$G$15="Yes"),Personnel!$D$15*(1-Personnel!$H$15),0)+IF(AND(83&gt;=Personnel!$E$16,Personnel!$G$16="Yes"),Personnel!$D$16*(1-Personnel!$H$16),0)+IF(AND(83&gt;=Personnel!$E$17,Personnel!$G$17="Yes"),Personnel!$D$17*(1-Personnel!$H$17),0)+IF(AND(83&gt;=Personnel!$E$18,Personnel!$G$18="Yes"),Personnel!$D$18*(1-Personnel!$H$18),0)+IF(AND(83&gt;=Personnel!$E$19,Personnel!$G$19="Yes"),Personnel!$D$19*(1-Personnel!$H$19),0)+IF(AND(83&gt;=Personnel!$E$20,Personnel!$G$20="Yes"),Personnel!$D$20*(1-Personnel!$H$20),0)+IF(AND(83&gt;=Personnel!$E$21,Personnel!$G$21="Yes"),Personnel!$D$21*(1-Personnel!$H$21),0)+IF(AND(83&gt;=Personnel!$E$22,Personnel!$G$22="Yes"),Personnel!$D$22*(1-Personnel!$H$22),0)+IF(AND(83&gt;=Personnel!$E$23,Personnel!$G$23="Yes"),Personnel!$D$23*(1-Personnel!$H$23),0)+IF(AND(83&gt;=Personnel!$E$24,Personnel!$G$24="Yes"),Personnel!$D$24*(1-Personnel!$H$24),0)+IF(AND(83&gt;=Personnel!$E$25,Personnel!$G$25="Yes"),Personnel!$D$25*(1-Personnel!$H$25),0)+IF(AND(83&gt;=Personnel!$E$26,Personnel!$G$26="Yes"),Personnel!$D$26*(1-Personnel!$H$26),0)+IF(AND(83&gt;=Personnel!$E$27,Personnel!$G$27="Yes"),Personnel!$D$27*(1-Personnel!$H$27),0)+IF(AND(83&gt;=Personnel!$E$28,Personnel!$G$28="Yes"),Personnel!$D$28*(1-Personnel!$H$28),0)+IF(AND(83&gt;=Personnel!$E$29,Personnel!$G$29="Yes"),Personnel!$D$29*(1-Personnel!$H$29),0)+IF(AND(83&gt;=Personnel!$E$32,Personnel!$G$32="Yes"),Personnel!$D$32*(1-Personnel!$H$32),0)+IF(AND(83&gt;=Personnel!$E$33,Personnel!$G$33="Yes"),Personnel!$D$33*(1-Personnel!$H$33),0)+IF(AND(83&gt;=Personnel!$E$34,Personnel!$G$34="Yes"),Personnel!$D$34*(1-Personnel!$H$34),0)+IF(AND(83&gt;=Personnel!$E$35,Personnel!$G$35="Yes"),Personnel!$D$35*(1-Personnel!$H$35),0)+IF(AND(83&gt;=Personnel!$E$36,Personnel!$G$36="Yes"),Personnel!$D$36*(1-Personnel!$H$36),0)+IF(AND(83&gt;=Personnel!$E$37,Personnel!$G$37="Yes"),Personnel!$D$37*(1-Personnel!$H$37),0)+IF(AND(83&gt;=Personnel!$E$38,Personnel!$G$38="Yes"),Personnel!$D$38*(1-Personnel!$H$38),0))</f>
        <v>284324.33333333331</v>
      </c>
      <c r="CH4" s="105">
        <f>(IF(AND(84&gt;=Personnel!$E$2,Personnel!$G$2="Yes"),Personnel!$D$2*(1-Personnel!$H$2),0)+IF(AND(84&gt;=Personnel!$E$3,Personnel!$G$3="Yes"),Personnel!$D$3*(1-Personnel!$H$3),0)+IF(AND(84&gt;=Personnel!$E$4,Personnel!$G$4="Yes"),Personnel!$D$4*(1-Personnel!$H$4),0)+IF(AND(84&gt;=Personnel!$E$5,Personnel!$G$5="Yes"),Personnel!$D$5*(1-Personnel!$H$5),0)+IF(AND(84&gt;=Personnel!$E$6,Personnel!$G$6="Yes"),Personnel!$D$6*(1-Personnel!$H$6),0)+IF(AND(84&gt;=Personnel!$E$7,Personnel!$G$7="Yes"),Personnel!$D$7*(1-Personnel!$H$7),0)+IF(AND(84&gt;=Personnel!$E$8,Personnel!$G$8="Yes"),Personnel!$D$8*(1-Personnel!$H$8),0)+IF(AND(84&gt;=Personnel!$E$9,Personnel!$G$9="Yes"),Personnel!$D$9*(1-Personnel!$H$9),0)+IF(AND(84&gt;=Personnel!$E$10,Personnel!$G$10="Yes"),Personnel!$D$10*(1-Personnel!$H$10),0)+IF(AND(84&gt;=Personnel!$E$11,Personnel!$G$11="Yes"),Personnel!$D$11*(1-Personnel!$H$11),0)+IF(AND(84&gt;=Personnel!$E$12,Personnel!$G$12="Yes"),Personnel!$D$12*(1-Personnel!$H$12),0)+IF(AND(84&gt;=Personnel!$E$13,Personnel!$G$13="Yes"),Personnel!$D$13*(1-Personnel!$H$13),0)+IF(AND(84&gt;=Personnel!$E$14,Personnel!$G$14="Yes"),Personnel!$D$14*(1-Personnel!$H$14),0)+IF(AND(84&gt;=Personnel!$E$15,Personnel!$G$15="Yes"),Personnel!$D$15*(1-Personnel!$H$15),0)+IF(AND(84&gt;=Personnel!$E$16,Personnel!$G$16="Yes"),Personnel!$D$16*(1-Personnel!$H$16),0)+IF(AND(84&gt;=Personnel!$E$17,Personnel!$G$17="Yes"),Personnel!$D$17*(1-Personnel!$H$17),0)+IF(AND(84&gt;=Personnel!$E$18,Personnel!$G$18="Yes"),Personnel!$D$18*(1-Personnel!$H$18),0)+IF(AND(84&gt;=Personnel!$E$19,Personnel!$G$19="Yes"),Personnel!$D$19*(1-Personnel!$H$19),0)+IF(AND(84&gt;=Personnel!$E$20,Personnel!$G$20="Yes"),Personnel!$D$20*(1-Personnel!$H$20),0)+IF(AND(84&gt;=Personnel!$E$21,Personnel!$G$21="Yes"),Personnel!$D$21*(1-Personnel!$H$21),0)+IF(AND(84&gt;=Personnel!$E$22,Personnel!$G$22="Yes"),Personnel!$D$22*(1-Personnel!$H$22),0)+IF(AND(84&gt;=Personnel!$E$23,Personnel!$G$23="Yes"),Personnel!$D$23*(1-Personnel!$H$23),0)+IF(AND(84&gt;=Personnel!$E$24,Personnel!$G$24="Yes"),Personnel!$D$24*(1-Personnel!$H$24),0)+IF(AND(84&gt;=Personnel!$E$25,Personnel!$G$25="Yes"),Personnel!$D$25*(1-Personnel!$H$25),0)+IF(AND(84&gt;=Personnel!$E$26,Personnel!$G$26="Yes"),Personnel!$D$26*(1-Personnel!$H$26),0)+IF(AND(84&gt;=Personnel!$E$27,Personnel!$G$27="Yes"),Personnel!$D$27*(1-Personnel!$H$27),0)+IF(AND(84&gt;=Personnel!$E$28,Personnel!$G$28="Yes"),Personnel!$D$28*(1-Personnel!$H$28),0)+IF(AND(84&gt;=Personnel!$E$29,Personnel!$G$29="Yes"),Personnel!$D$29*(1-Personnel!$H$29),0)+IF(AND(84&gt;=Personnel!$E$32,Personnel!$G$32="Yes"),Personnel!$D$32*(1-Personnel!$H$32),0)+IF(AND(84&gt;=Personnel!$E$33,Personnel!$G$33="Yes"),Personnel!$D$33*(1-Personnel!$H$33),0)+IF(AND(84&gt;=Personnel!$E$34,Personnel!$G$34="Yes"),Personnel!$D$34*(1-Personnel!$H$34),0)+IF(AND(84&gt;=Personnel!$E$35,Personnel!$G$35="Yes"),Personnel!$D$35*(1-Personnel!$H$35),0)+IF(AND(84&gt;=Personnel!$E$36,Personnel!$G$36="Yes"),Personnel!$D$36*(1-Personnel!$H$36),0)+IF(AND(84&gt;=Personnel!$E$37,Personnel!$G$37="Yes"),Personnel!$D$37*(1-Personnel!$H$37),0)+IF(AND(84&gt;=Personnel!$E$38,Personnel!$G$38="Yes"),Personnel!$D$38*(1-Personnel!$H$38),0))</f>
        <v>284324.33333333331</v>
      </c>
    </row>
    <row r="5" spans="1:86" ht="15" customHeight="1" x14ac:dyDescent="0.25">
      <c r="A5" s="99" t="s">
        <v>540</v>
      </c>
      <c r="C5" s="105">
        <f>(IF(AND(1&gt;=Personnel!$E$32,Personnel!$G$32="Yes"),Personnel!$D$32*(1-Personnel!$H$32)*(1-Personnel!$I$32),0)+IF(AND(1&gt;=Personnel!$E$33,Personnel!$G$33="Yes"),Personnel!$D$33*(1-Personnel!$H$33)*(1-Personnel!$I$33),0)+IF(AND(1&gt;=Personnel!$E$34,Personnel!$G$34="Yes"),Personnel!$D$34*(1-Personnel!$H$34)*(1-Personnel!$I$34),0)+IF(AND(1&gt;=Personnel!$E$35,Personnel!$G$35="Yes"),Personnel!$D$35*(1-Personnel!$H$35)*(1-Personnel!$I$35),0)+IF(AND(1&gt;=Personnel!$E$36,Personnel!$G$36="Yes"),Personnel!$D$36*(1-Personnel!$H$36)*(1-Personnel!$I$36),0)+IF(AND(1&gt;=Personnel!$E$37,Personnel!$G$37="Yes"),Personnel!$D$37*(1-Personnel!$H$37)*(1-Personnel!$I$37),0)+IF(AND(1&gt;=Personnel!$E$38,Personnel!$G$38="Yes"),Personnel!$D$38*(1-Personnel!$H$38)*(1-Personnel!$I$38),0))</f>
        <v>25000</v>
      </c>
      <c r="D5" s="105">
        <f>(IF(AND(2&gt;=Personnel!$E$32,Personnel!$G$32="Yes"),Personnel!$D$32*(1-Personnel!$H$32)*(1-Personnel!$I$32),0)+IF(AND(2&gt;=Personnel!$E$33,Personnel!$G$33="Yes"),Personnel!$D$33*(1-Personnel!$H$33)*(1-Personnel!$I$33),0)+IF(AND(2&gt;=Personnel!$E$34,Personnel!$G$34="Yes"),Personnel!$D$34*(1-Personnel!$H$34)*(1-Personnel!$I$34),0)+IF(AND(2&gt;=Personnel!$E$35,Personnel!$G$35="Yes"),Personnel!$D$35*(1-Personnel!$H$35)*(1-Personnel!$I$35),0)+IF(AND(2&gt;=Personnel!$E$36,Personnel!$G$36="Yes"),Personnel!$D$36*(1-Personnel!$H$36)*(1-Personnel!$I$36),0)+IF(AND(2&gt;=Personnel!$E$37,Personnel!$G$37="Yes"),Personnel!$D$37*(1-Personnel!$H$37)*(1-Personnel!$I$37),0)+IF(AND(2&gt;=Personnel!$E$38,Personnel!$G$38="Yes"),Personnel!$D$38*(1-Personnel!$H$38)*(1-Personnel!$I$38),0))</f>
        <v>25000</v>
      </c>
      <c r="E5" s="105">
        <f>(IF(AND(3&gt;=Personnel!$E$32,Personnel!$G$32="Yes"),Personnel!$D$32*(1-Personnel!$H$32)*(1-Personnel!$I$32),0)+IF(AND(3&gt;=Personnel!$E$33,Personnel!$G$33="Yes"),Personnel!$D$33*(1-Personnel!$H$33)*(1-Personnel!$I$33),0)+IF(AND(3&gt;=Personnel!$E$34,Personnel!$G$34="Yes"),Personnel!$D$34*(1-Personnel!$H$34)*(1-Personnel!$I$34),0)+IF(AND(3&gt;=Personnel!$E$35,Personnel!$G$35="Yes"),Personnel!$D$35*(1-Personnel!$H$35)*(1-Personnel!$I$35),0)+IF(AND(3&gt;=Personnel!$E$36,Personnel!$G$36="Yes"),Personnel!$D$36*(1-Personnel!$H$36)*(1-Personnel!$I$36),0)+IF(AND(3&gt;=Personnel!$E$37,Personnel!$G$37="Yes"),Personnel!$D$37*(1-Personnel!$H$37)*(1-Personnel!$I$37),0)+IF(AND(3&gt;=Personnel!$E$38,Personnel!$G$38="Yes"),Personnel!$D$38*(1-Personnel!$H$38)*(1-Personnel!$I$38),0))</f>
        <v>25000</v>
      </c>
      <c r="F5" s="105">
        <f>(IF(AND(4&gt;=Personnel!$E$32,Personnel!$G$32="Yes"),Personnel!$D$32*(1-Personnel!$H$32)*(1-Personnel!$I$32),0)+IF(AND(4&gt;=Personnel!$E$33,Personnel!$G$33="Yes"),Personnel!$D$33*(1-Personnel!$H$33)*(1-Personnel!$I$33),0)+IF(AND(4&gt;=Personnel!$E$34,Personnel!$G$34="Yes"),Personnel!$D$34*(1-Personnel!$H$34)*(1-Personnel!$I$34),0)+IF(AND(4&gt;=Personnel!$E$35,Personnel!$G$35="Yes"),Personnel!$D$35*(1-Personnel!$H$35)*(1-Personnel!$I$35),0)+IF(AND(4&gt;=Personnel!$E$36,Personnel!$G$36="Yes"),Personnel!$D$36*(1-Personnel!$H$36)*(1-Personnel!$I$36),0)+IF(AND(4&gt;=Personnel!$E$37,Personnel!$G$37="Yes"),Personnel!$D$37*(1-Personnel!$H$37)*(1-Personnel!$I$37),0)+IF(AND(4&gt;=Personnel!$E$38,Personnel!$G$38="Yes"),Personnel!$D$38*(1-Personnel!$H$38)*(1-Personnel!$I$38),0))</f>
        <v>25000</v>
      </c>
      <c r="G5" s="105">
        <f>(IF(AND(5&gt;=Personnel!$E$32,Personnel!$G$32="Yes"),Personnel!$D$32*(1-Personnel!$H$32)*(1-Personnel!$I$32),0)+IF(AND(5&gt;=Personnel!$E$33,Personnel!$G$33="Yes"),Personnel!$D$33*(1-Personnel!$H$33)*(1-Personnel!$I$33),0)+IF(AND(5&gt;=Personnel!$E$34,Personnel!$G$34="Yes"),Personnel!$D$34*(1-Personnel!$H$34)*(1-Personnel!$I$34),0)+IF(AND(5&gt;=Personnel!$E$35,Personnel!$G$35="Yes"),Personnel!$D$35*(1-Personnel!$H$35)*(1-Personnel!$I$35),0)+IF(AND(5&gt;=Personnel!$E$36,Personnel!$G$36="Yes"),Personnel!$D$36*(1-Personnel!$H$36)*(1-Personnel!$I$36),0)+IF(AND(5&gt;=Personnel!$E$37,Personnel!$G$37="Yes"),Personnel!$D$37*(1-Personnel!$H$37)*(1-Personnel!$I$37),0)+IF(AND(5&gt;=Personnel!$E$38,Personnel!$G$38="Yes"),Personnel!$D$38*(1-Personnel!$H$38)*(1-Personnel!$I$38),0))</f>
        <v>25000</v>
      </c>
      <c r="H5" s="105">
        <f>(IF(AND(6&gt;=Personnel!$E$32,Personnel!$G$32="Yes"),Personnel!$D$32*(1-Personnel!$H$32)*(1-Personnel!$I$32),0)+IF(AND(6&gt;=Personnel!$E$33,Personnel!$G$33="Yes"),Personnel!$D$33*(1-Personnel!$H$33)*(1-Personnel!$I$33),0)+IF(AND(6&gt;=Personnel!$E$34,Personnel!$G$34="Yes"),Personnel!$D$34*(1-Personnel!$H$34)*(1-Personnel!$I$34),0)+IF(AND(6&gt;=Personnel!$E$35,Personnel!$G$35="Yes"),Personnel!$D$35*(1-Personnel!$H$35)*(1-Personnel!$I$35),0)+IF(AND(6&gt;=Personnel!$E$36,Personnel!$G$36="Yes"),Personnel!$D$36*(1-Personnel!$H$36)*(1-Personnel!$I$36),0)+IF(AND(6&gt;=Personnel!$E$37,Personnel!$G$37="Yes"),Personnel!$D$37*(1-Personnel!$H$37)*(1-Personnel!$I$37),0)+IF(AND(6&gt;=Personnel!$E$38,Personnel!$G$38="Yes"),Personnel!$D$38*(1-Personnel!$H$38)*(1-Personnel!$I$38),0))</f>
        <v>25000</v>
      </c>
      <c r="I5" s="105">
        <f>(IF(AND(7&gt;=Personnel!$E$32,Personnel!$G$32="Yes"),Personnel!$D$32*(1-Personnel!$H$32)*(1-Personnel!$I$32),0)+IF(AND(7&gt;=Personnel!$E$33,Personnel!$G$33="Yes"),Personnel!$D$33*(1-Personnel!$H$33)*(1-Personnel!$I$33),0)+IF(AND(7&gt;=Personnel!$E$34,Personnel!$G$34="Yes"),Personnel!$D$34*(1-Personnel!$H$34)*(1-Personnel!$I$34),0)+IF(AND(7&gt;=Personnel!$E$35,Personnel!$G$35="Yes"),Personnel!$D$35*(1-Personnel!$H$35)*(1-Personnel!$I$35),0)+IF(AND(7&gt;=Personnel!$E$36,Personnel!$G$36="Yes"),Personnel!$D$36*(1-Personnel!$H$36)*(1-Personnel!$I$36),0)+IF(AND(7&gt;=Personnel!$E$37,Personnel!$G$37="Yes"),Personnel!$D$37*(1-Personnel!$H$37)*(1-Personnel!$I$37),0)+IF(AND(7&gt;=Personnel!$E$38,Personnel!$G$38="Yes"),Personnel!$D$38*(1-Personnel!$H$38)*(1-Personnel!$I$38),0))</f>
        <v>25000</v>
      </c>
      <c r="J5" s="105">
        <f>(IF(AND(8&gt;=Personnel!$E$32,Personnel!$G$32="Yes"),Personnel!$D$32*(1-Personnel!$H$32)*(1-Personnel!$I$32),0)+IF(AND(8&gt;=Personnel!$E$33,Personnel!$G$33="Yes"),Personnel!$D$33*(1-Personnel!$H$33)*(1-Personnel!$I$33),0)+IF(AND(8&gt;=Personnel!$E$34,Personnel!$G$34="Yes"),Personnel!$D$34*(1-Personnel!$H$34)*(1-Personnel!$I$34),0)+IF(AND(8&gt;=Personnel!$E$35,Personnel!$G$35="Yes"),Personnel!$D$35*(1-Personnel!$H$35)*(1-Personnel!$I$35),0)+IF(AND(8&gt;=Personnel!$E$36,Personnel!$G$36="Yes"),Personnel!$D$36*(1-Personnel!$H$36)*(1-Personnel!$I$36),0)+IF(AND(8&gt;=Personnel!$E$37,Personnel!$G$37="Yes"),Personnel!$D$37*(1-Personnel!$H$37)*(1-Personnel!$I$37),0)+IF(AND(8&gt;=Personnel!$E$38,Personnel!$G$38="Yes"),Personnel!$D$38*(1-Personnel!$H$38)*(1-Personnel!$I$38),0))</f>
        <v>25000</v>
      </c>
      <c r="K5" s="105">
        <f>(IF(AND(9&gt;=Personnel!$E$32,Personnel!$G$32="Yes"),Personnel!$D$32*(1-Personnel!$H$32)*(1-Personnel!$I$32),0)+IF(AND(9&gt;=Personnel!$E$33,Personnel!$G$33="Yes"),Personnel!$D$33*(1-Personnel!$H$33)*(1-Personnel!$I$33),0)+IF(AND(9&gt;=Personnel!$E$34,Personnel!$G$34="Yes"),Personnel!$D$34*(1-Personnel!$H$34)*(1-Personnel!$I$34),0)+IF(AND(9&gt;=Personnel!$E$35,Personnel!$G$35="Yes"),Personnel!$D$35*(1-Personnel!$H$35)*(1-Personnel!$I$35),0)+IF(AND(9&gt;=Personnel!$E$36,Personnel!$G$36="Yes"),Personnel!$D$36*(1-Personnel!$H$36)*(1-Personnel!$I$36),0)+IF(AND(9&gt;=Personnel!$E$37,Personnel!$G$37="Yes"),Personnel!$D$37*(1-Personnel!$H$37)*(1-Personnel!$I$37),0)+IF(AND(9&gt;=Personnel!$E$38,Personnel!$G$38="Yes"),Personnel!$D$38*(1-Personnel!$H$38)*(1-Personnel!$I$38),0))</f>
        <v>25000</v>
      </c>
      <c r="L5" s="105">
        <f>(IF(AND(10&gt;=Personnel!$E$32,Personnel!$G$32="Yes"),Personnel!$D$32*(1-Personnel!$H$32)*(1-Personnel!$I$32),0)+IF(AND(10&gt;=Personnel!$E$33,Personnel!$G$33="Yes"),Personnel!$D$33*(1-Personnel!$H$33)*(1-Personnel!$I$33),0)+IF(AND(10&gt;=Personnel!$E$34,Personnel!$G$34="Yes"),Personnel!$D$34*(1-Personnel!$H$34)*(1-Personnel!$I$34),0)+IF(AND(10&gt;=Personnel!$E$35,Personnel!$G$35="Yes"),Personnel!$D$35*(1-Personnel!$H$35)*(1-Personnel!$I$35),0)+IF(AND(10&gt;=Personnel!$E$36,Personnel!$G$36="Yes"),Personnel!$D$36*(1-Personnel!$H$36)*(1-Personnel!$I$36),0)+IF(AND(10&gt;=Personnel!$E$37,Personnel!$G$37="Yes"),Personnel!$D$37*(1-Personnel!$H$37)*(1-Personnel!$I$37),0)+IF(AND(10&gt;=Personnel!$E$38,Personnel!$G$38="Yes"),Personnel!$D$38*(1-Personnel!$H$38)*(1-Personnel!$I$38),0))</f>
        <v>25000</v>
      </c>
      <c r="M5" s="105">
        <f>(IF(AND(11&gt;=Personnel!$E$32,Personnel!$G$32="Yes"),Personnel!$D$32*(1-Personnel!$H$32)*(1-Personnel!$I$32),0)+IF(AND(11&gt;=Personnel!$E$33,Personnel!$G$33="Yes"),Personnel!$D$33*(1-Personnel!$H$33)*(1-Personnel!$I$33),0)+IF(AND(11&gt;=Personnel!$E$34,Personnel!$G$34="Yes"),Personnel!$D$34*(1-Personnel!$H$34)*(1-Personnel!$I$34),0)+IF(AND(11&gt;=Personnel!$E$35,Personnel!$G$35="Yes"),Personnel!$D$35*(1-Personnel!$H$35)*(1-Personnel!$I$35),0)+IF(AND(11&gt;=Personnel!$E$36,Personnel!$G$36="Yes"),Personnel!$D$36*(1-Personnel!$H$36)*(1-Personnel!$I$36),0)+IF(AND(11&gt;=Personnel!$E$37,Personnel!$G$37="Yes"),Personnel!$D$37*(1-Personnel!$H$37)*(1-Personnel!$I$37),0)+IF(AND(11&gt;=Personnel!$E$38,Personnel!$G$38="Yes"),Personnel!$D$38*(1-Personnel!$H$38)*(1-Personnel!$I$38),0))</f>
        <v>25000</v>
      </c>
      <c r="N5" s="105">
        <f>(IF(AND(12&gt;=Personnel!$E$32,Personnel!$G$32="Yes"),Personnel!$D$32*(1-Personnel!$H$32)*(1-Personnel!$I$32),0)+IF(AND(12&gt;=Personnel!$E$33,Personnel!$G$33="Yes"),Personnel!$D$33*(1-Personnel!$H$33)*(1-Personnel!$I$33),0)+IF(AND(12&gt;=Personnel!$E$34,Personnel!$G$34="Yes"),Personnel!$D$34*(1-Personnel!$H$34)*(1-Personnel!$I$34),0)+IF(AND(12&gt;=Personnel!$E$35,Personnel!$G$35="Yes"),Personnel!$D$35*(1-Personnel!$H$35)*(1-Personnel!$I$35),0)+IF(AND(12&gt;=Personnel!$E$36,Personnel!$G$36="Yes"),Personnel!$D$36*(1-Personnel!$H$36)*(1-Personnel!$I$36),0)+IF(AND(12&gt;=Personnel!$E$37,Personnel!$G$37="Yes"),Personnel!$D$37*(1-Personnel!$H$37)*(1-Personnel!$I$37),0)+IF(AND(12&gt;=Personnel!$E$38,Personnel!$G$38="Yes"),Personnel!$D$38*(1-Personnel!$H$38)*(1-Personnel!$I$38),0))</f>
        <v>25000</v>
      </c>
      <c r="O5" s="105">
        <f>(IF(AND(13&gt;=Personnel!$E$32,Personnel!$G$32="Yes"),Personnel!$D$32*(1-Personnel!$H$32)*(1-Personnel!$I$32),0)+IF(AND(13&gt;=Personnel!$E$33,Personnel!$G$33="Yes"),Personnel!$D$33*(1-Personnel!$H$33)*(1-Personnel!$I$33),0)+IF(AND(13&gt;=Personnel!$E$34,Personnel!$G$34="Yes"),Personnel!$D$34*(1-Personnel!$H$34)*(1-Personnel!$I$34),0)+IF(AND(13&gt;=Personnel!$E$35,Personnel!$G$35="Yes"),Personnel!$D$35*(1-Personnel!$H$35)*(1-Personnel!$I$35),0)+IF(AND(13&gt;=Personnel!$E$36,Personnel!$G$36="Yes"),Personnel!$D$36*(1-Personnel!$H$36)*(1-Personnel!$I$36),0)+IF(AND(13&gt;=Personnel!$E$37,Personnel!$G$37="Yes"),Personnel!$D$37*(1-Personnel!$H$37)*(1-Personnel!$I$37),0)+IF(AND(13&gt;=Personnel!$E$38,Personnel!$G$38="Yes"),Personnel!$D$38*(1-Personnel!$H$38)*(1-Personnel!$I$38),0))</f>
        <v>25000</v>
      </c>
      <c r="P5" s="105">
        <f>(IF(AND(14&gt;=Personnel!$E$32,Personnel!$G$32="Yes"),Personnel!$D$32*(1-Personnel!$H$32)*(1-Personnel!$I$32),0)+IF(AND(14&gt;=Personnel!$E$33,Personnel!$G$33="Yes"),Personnel!$D$33*(1-Personnel!$H$33)*(1-Personnel!$I$33),0)+IF(AND(14&gt;=Personnel!$E$34,Personnel!$G$34="Yes"),Personnel!$D$34*(1-Personnel!$H$34)*(1-Personnel!$I$34),0)+IF(AND(14&gt;=Personnel!$E$35,Personnel!$G$35="Yes"),Personnel!$D$35*(1-Personnel!$H$35)*(1-Personnel!$I$35),0)+IF(AND(14&gt;=Personnel!$E$36,Personnel!$G$36="Yes"),Personnel!$D$36*(1-Personnel!$H$36)*(1-Personnel!$I$36),0)+IF(AND(14&gt;=Personnel!$E$37,Personnel!$G$37="Yes"),Personnel!$D$37*(1-Personnel!$H$37)*(1-Personnel!$I$37),0)+IF(AND(14&gt;=Personnel!$E$38,Personnel!$G$38="Yes"),Personnel!$D$38*(1-Personnel!$H$38)*(1-Personnel!$I$38),0))</f>
        <v>25000</v>
      </c>
      <c r="Q5" s="105">
        <f>(IF(AND(15&gt;=Personnel!$E$32,Personnel!$G$32="Yes"),Personnel!$D$32*(1-Personnel!$H$32)*(1-Personnel!$I$32),0)+IF(AND(15&gt;=Personnel!$E$33,Personnel!$G$33="Yes"),Personnel!$D$33*(1-Personnel!$H$33)*(1-Personnel!$I$33),0)+IF(AND(15&gt;=Personnel!$E$34,Personnel!$G$34="Yes"),Personnel!$D$34*(1-Personnel!$H$34)*(1-Personnel!$I$34),0)+IF(AND(15&gt;=Personnel!$E$35,Personnel!$G$35="Yes"),Personnel!$D$35*(1-Personnel!$H$35)*(1-Personnel!$I$35),0)+IF(AND(15&gt;=Personnel!$E$36,Personnel!$G$36="Yes"),Personnel!$D$36*(1-Personnel!$H$36)*(1-Personnel!$I$36),0)+IF(AND(15&gt;=Personnel!$E$37,Personnel!$G$37="Yes"),Personnel!$D$37*(1-Personnel!$H$37)*(1-Personnel!$I$37),0)+IF(AND(15&gt;=Personnel!$E$38,Personnel!$G$38="Yes"),Personnel!$D$38*(1-Personnel!$H$38)*(1-Personnel!$I$38),0))</f>
        <v>25000</v>
      </c>
      <c r="R5" s="105">
        <f>(IF(AND(16&gt;=Personnel!$E$32,Personnel!$G$32="Yes"),Personnel!$D$32*(1-Personnel!$H$32)*(1-Personnel!$I$32),0)+IF(AND(16&gt;=Personnel!$E$33,Personnel!$G$33="Yes"),Personnel!$D$33*(1-Personnel!$H$33)*(1-Personnel!$I$33),0)+IF(AND(16&gt;=Personnel!$E$34,Personnel!$G$34="Yes"),Personnel!$D$34*(1-Personnel!$H$34)*(1-Personnel!$I$34),0)+IF(AND(16&gt;=Personnel!$E$35,Personnel!$G$35="Yes"),Personnel!$D$35*(1-Personnel!$H$35)*(1-Personnel!$I$35),0)+IF(AND(16&gt;=Personnel!$E$36,Personnel!$G$36="Yes"),Personnel!$D$36*(1-Personnel!$H$36)*(1-Personnel!$I$36),0)+IF(AND(16&gt;=Personnel!$E$37,Personnel!$G$37="Yes"),Personnel!$D$37*(1-Personnel!$H$37)*(1-Personnel!$I$37),0)+IF(AND(16&gt;=Personnel!$E$38,Personnel!$G$38="Yes"),Personnel!$D$38*(1-Personnel!$H$38)*(1-Personnel!$I$38),0))</f>
        <v>25000</v>
      </c>
      <c r="S5" s="105">
        <f>(IF(AND(17&gt;=Personnel!$E$32,Personnel!$G$32="Yes"),Personnel!$D$32*(1-Personnel!$H$32)*(1-Personnel!$I$32),0)+IF(AND(17&gt;=Personnel!$E$33,Personnel!$G$33="Yes"),Personnel!$D$33*(1-Personnel!$H$33)*(1-Personnel!$I$33),0)+IF(AND(17&gt;=Personnel!$E$34,Personnel!$G$34="Yes"),Personnel!$D$34*(1-Personnel!$H$34)*(1-Personnel!$I$34),0)+IF(AND(17&gt;=Personnel!$E$35,Personnel!$G$35="Yes"),Personnel!$D$35*(1-Personnel!$H$35)*(1-Personnel!$I$35),0)+IF(AND(17&gt;=Personnel!$E$36,Personnel!$G$36="Yes"),Personnel!$D$36*(1-Personnel!$H$36)*(1-Personnel!$I$36),0)+IF(AND(17&gt;=Personnel!$E$37,Personnel!$G$37="Yes"),Personnel!$D$37*(1-Personnel!$H$37)*(1-Personnel!$I$37),0)+IF(AND(17&gt;=Personnel!$E$38,Personnel!$G$38="Yes"),Personnel!$D$38*(1-Personnel!$H$38)*(1-Personnel!$I$38),0))</f>
        <v>25000</v>
      </c>
      <c r="T5" s="105">
        <f>(IF(AND(18&gt;=Personnel!$E$32,Personnel!$G$32="Yes"),Personnel!$D$32*(1-Personnel!$H$32)*(1-Personnel!$I$32),0)+IF(AND(18&gt;=Personnel!$E$33,Personnel!$G$33="Yes"),Personnel!$D$33*(1-Personnel!$H$33)*(1-Personnel!$I$33),0)+IF(AND(18&gt;=Personnel!$E$34,Personnel!$G$34="Yes"),Personnel!$D$34*(1-Personnel!$H$34)*(1-Personnel!$I$34),0)+IF(AND(18&gt;=Personnel!$E$35,Personnel!$G$35="Yes"),Personnel!$D$35*(1-Personnel!$H$35)*(1-Personnel!$I$35),0)+IF(AND(18&gt;=Personnel!$E$36,Personnel!$G$36="Yes"),Personnel!$D$36*(1-Personnel!$H$36)*(1-Personnel!$I$36),0)+IF(AND(18&gt;=Personnel!$E$37,Personnel!$G$37="Yes"),Personnel!$D$37*(1-Personnel!$H$37)*(1-Personnel!$I$37),0)+IF(AND(18&gt;=Personnel!$E$38,Personnel!$G$38="Yes"),Personnel!$D$38*(1-Personnel!$H$38)*(1-Personnel!$I$38),0))</f>
        <v>25000</v>
      </c>
      <c r="U5" s="105">
        <f>(IF(AND(19&gt;=Personnel!$E$32,Personnel!$G$32="Yes"),Personnel!$D$32*(1-Personnel!$H$32)*(1-Personnel!$I$32),0)+IF(AND(19&gt;=Personnel!$E$33,Personnel!$G$33="Yes"),Personnel!$D$33*(1-Personnel!$H$33)*(1-Personnel!$I$33),0)+IF(AND(19&gt;=Personnel!$E$34,Personnel!$G$34="Yes"),Personnel!$D$34*(1-Personnel!$H$34)*(1-Personnel!$I$34),0)+IF(AND(19&gt;=Personnel!$E$35,Personnel!$G$35="Yes"),Personnel!$D$35*(1-Personnel!$H$35)*(1-Personnel!$I$35),0)+IF(AND(19&gt;=Personnel!$E$36,Personnel!$G$36="Yes"),Personnel!$D$36*(1-Personnel!$H$36)*(1-Personnel!$I$36),0)+IF(AND(19&gt;=Personnel!$E$37,Personnel!$G$37="Yes"),Personnel!$D$37*(1-Personnel!$H$37)*(1-Personnel!$I$37),0)+IF(AND(19&gt;=Personnel!$E$38,Personnel!$G$38="Yes"),Personnel!$D$38*(1-Personnel!$H$38)*(1-Personnel!$I$38),0))</f>
        <v>25000</v>
      </c>
      <c r="V5" s="105">
        <f>(IF(AND(20&gt;=Personnel!$E$32,Personnel!$G$32="Yes"),Personnel!$D$32*(1-Personnel!$H$32)*(1-Personnel!$I$32),0)+IF(AND(20&gt;=Personnel!$E$33,Personnel!$G$33="Yes"),Personnel!$D$33*(1-Personnel!$H$33)*(1-Personnel!$I$33),0)+IF(AND(20&gt;=Personnel!$E$34,Personnel!$G$34="Yes"),Personnel!$D$34*(1-Personnel!$H$34)*(1-Personnel!$I$34),0)+IF(AND(20&gt;=Personnel!$E$35,Personnel!$G$35="Yes"),Personnel!$D$35*(1-Personnel!$H$35)*(1-Personnel!$I$35),0)+IF(AND(20&gt;=Personnel!$E$36,Personnel!$G$36="Yes"),Personnel!$D$36*(1-Personnel!$H$36)*(1-Personnel!$I$36),0)+IF(AND(20&gt;=Personnel!$E$37,Personnel!$G$37="Yes"),Personnel!$D$37*(1-Personnel!$H$37)*(1-Personnel!$I$37),0)+IF(AND(20&gt;=Personnel!$E$38,Personnel!$G$38="Yes"),Personnel!$D$38*(1-Personnel!$H$38)*(1-Personnel!$I$38),0))</f>
        <v>25000</v>
      </c>
      <c r="W5" s="105">
        <f>(IF(AND(21&gt;=Personnel!$E$32,Personnel!$G$32="Yes"),Personnel!$D$32*(1-Personnel!$H$32)*(1-Personnel!$I$32),0)+IF(AND(21&gt;=Personnel!$E$33,Personnel!$G$33="Yes"),Personnel!$D$33*(1-Personnel!$H$33)*(1-Personnel!$I$33),0)+IF(AND(21&gt;=Personnel!$E$34,Personnel!$G$34="Yes"),Personnel!$D$34*(1-Personnel!$H$34)*(1-Personnel!$I$34),0)+IF(AND(21&gt;=Personnel!$E$35,Personnel!$G$35="Yes"),Personnel!$D$35*(1-Personnel!$H$35)*(1-Personnel!$I$35),0)+IF(AND(21&gt;=Personnel!$E$36,Personnel!$G$36="Yes"),Personnel!$D$36*(1-Personnel!$H$36)*(1-Personnel!$I$36),0)+IF(AND(21&gt;=Personnel!$E$37,Personnel!$G$37="Yes"),Personnel!$D$37*(1-Personnel!$H$37)*(1-Personnel!$I$37),0)+IF(AND(21&gt;=Personnel!$E$38,Personnel!$G$38="Yes"),Personnel!$D$38*(1-Personnel!$H$38)*(1-Personnel!$I$38),0))</f>
        <v>25000</v>
      </c>
      <c r="X5" s="105">
        <f>(IF(AND(22&gt;=Personnel!$E$32,Personnel!$G$32="Yes"),Personnel!$D$32*(1-Personnel!$H$32)*(1-Personnel!$I$32),0)+IF(AND(22&gt;=Personnel!$E$33,Personnel!$G$33="Yes"),Personnel!$D$33*(1-Personnel!$H$33)*(1-Personnel!$I$33),0)+IF(AND(22&gt;=Personnel!$E$34,Personnel!$G$34="Yes"),Personnel!$D$34*(1-Personnel!$H$34)*(1-Personnel!$I$34),0)+IF(AND(22&gt;=Personnel!$E$35,Personnel!$G$35="Yes"),Personnel!$D$35*(1-Personnel!$H$35)*(1-Personnel!$I$35),0)+IF(AND(22&gt;=Personnel!$E$36,Personnel!$G$36="Yes"),Personnel!$D$36*(1-Personnel!$H$36)*(1-Personnel!$I$36),0)+IF(AND(22&gt;=Personnel!$E$37,Personnel!$G$37="Yes"),Personnel!$D$37*(1-Personnel!$H$37)*(1-Personnel!$I$37),0)+IF(AND(22&gt;=Personnel!$E$38,Personnel!$G$38="Yes"),Personnel!$D$38*(1-Personnel!$H$38)*(1-Personnel!$I$38),0))</f>
        <v>25000</v>
      </c>
      <c r="Y5" s="105">
        <f>(IF(AND(23&gt;=Personnel!$E$32,Personnel!$G$32="Yes"),Personnel!$D$32*(1-Personnel!$H$32)*(1-Personnel!$I$32),0)+IF(AND(23&gt;=Personnel!$E$33,Personnel!$G$33="Yes"),Personnel!$D$33*(1-Personnel!$H$33)*(1-Personnel!$I$33),0)+IF(AND(23&gt;=Personnel!$E$34,Personnel!$G$34="Yes"),Personnel!$D$34*(1-Personnel!$H$34)*(1-Personnel!$I$34),0)+IF(AND(23&gt;=Personnel!$E$35,Personnel!$G$35="Yes"),Personnel!$D$35*(1-Personnel!$H$35)*(1-Personnel!$I$35),0)+IF(AND(23&gt;=Personnel!$E$36,Personnel!$G$36="Yes"),Personnel!$D$36*(1-Personnel!$H$36)*(1-Personnel!$I$36),0)+IF(AND(23&gt;=Personnel!$E$37,Personnel!$G$37="Yes"),Personnel!$D$37*(1-Personnel!$H$37)*(1-Personnel!$I$37),0)+IF(AND(23&gt;=Personnel!$E$38,Personnel!$G$38="Yes"),Personnel!$D$38*(1-Personnel!$H$38)*(1-Personnel!$I$38),0))</f>
        <v>25000</v>
      </c>
      <c r="Z5" s="105">
        <f>(IF(AND(24&gt;=Personnel!$E$32,Personnel!$G$32="Yes"),Personnel!$D$32*(1-Personnel!$H$32)*(1-Personnel!$I$32),0)+IF(AND(24&gt;=Personnel!$E$33,Personnel!$G$33="Yes"),Personnel!$D$33*(1-Personnel!$H$33)*(1-Personnel!$I$33),0)+IF(AND(24&gt;=Personnel!$E$34,Personnel!$G$34="Yes"),Personnel!$D$34*(1-Personnel!$H$34)*(1-Personnel!$I$34),0)+IF(AND(24&gt;=Personnel!$E$35,Personnel!$G$35="Yes"),Personnel!$D$35*(1-Personnel!$H$35)*(1-Personnel!$I$35),0)+IF(AND(24&gt;=Personnel!$E$36,Personnel!$G$36="Yes"),Personnel!$D$36*(1-Personnel!$H$36)*(1-Personnel!$I$36),0)+IF(AND(24&gt;=Personnel!$E$37,Personnel!$G$37="Yes"),Personnel!$D$37*(1-Personnel!$H$37)*(1-Personnel!$I$37),0)+IF(AND(24&gt;=Personnel!$E$38,Personnel!$G$38="Yes"),Personnel!$D$38*(1-Personnel!$H$38)*(1-Personnel!$I$38),0))</f>
        <v>25000</v>
      </c>
      <c r="AA5" s="105">
        <f>(IF(AND(25&gt;=Personnel!$E$32,Personnel!$G$32="Yes"),Personnel!$D$32*(1-Personnel!$H$32)*(1-Personnel!$I$32),0)+IF(AND(25&gt;=Personnel!$E$33,Personnel!$G$33="Yes"),Personnel!$D$33*(1-Personnel!$H$33)*(1-Personnel!$I$33),0)+IF(AND(25&gt;=Personnel!$E$34,Personnel!$G$34="Yes"),Personnel!$D$34*(1-Personnel!$H$34)*(1-Personnel!$I$34),0)+IF(AND(25&gt;=Personnel!$E$35,Personnel!$G$35="Yes"),Personnel!$D$35*(1-Personnel!$H$35)*(1-Personnel!$I$35),0)+IF(AND(25&gt;=Personnel!$E$36,Personnel!$G$36="Yes"),Personnel!$D$36*(1-Personnel!$H$36)*(1-Personnel!$I$36),0)+IF(AND(25&gt;=Personnel!$E$37,Personnel!$G$37="Yes"),Personnel!$D$37*(1-Personnel!$H$37)*(1-Personnel!$I$37),0)+IF(AND(25&gt;=Personnel!$E$38,Personnel!$G$38="Yes"),Personnel!$D$38*(1-Personnel!$H$38)*(1-Personnel!$I$38),0))</f>
        <v>25000</v>
      </c>
      <c r="AB5" s="105">
        <f>(IF(AND(26&gt;=Personnel!$E$32,Personnel!$G$32="Yes"),Personnel!$D$32*(1-Personnel!$H$32)*(1-Personnel!$I$32),0)+IF(AND(26&gt;=Personnel!$E$33,Personnel!$G$33="Yes"),Personnel!$D$33*(1-Personnel!$H$33)*(1-Personnel!$I$33),0)+IF(AND(26&gt;=Personnel!$E$34,Personnel!$G$34="Yes"),Personnel!$D$34*(1-Personnel!$H$34)*(1-Personnel!$I$34),0)+IF(AND(26&gt;=Personnel!$E$35,Personnel!$G$35="Yes"),Personnel!$D$35*(1-Personnel!$H$35)*(1-Personnel!$I$35),0)+IF(AND(26&gt;=Personnel!$E$36,Personnel!$G$36="Yes"),Personnel!$D$36*(1-Personnel!$H$36)*(1-Personnel!$I$36),0)+IF(AND(26&gt;=Personnel!$E$37,Personnel!$G$37="Yes"),Personnel!$D$37*(1-Personnel!$H$37)*(1-Personnel!$I$37),0)+IF(AND(26&gt;=Personnel!$E$38,Personnel!$G$38="Yes"),Personnel!$D$38*(1-Personnel!$H$38)*(1-Personnel!$I$38),0))</f>
        <v>25000</v>
      </c>
      <c r="AC5" s="105">
        <f>(IF(AND(27&gt;=Personnel!$E$32,Personnel!$G$32="Yes"),Personnel!$D$32*(1-Personnel!$H$32)*(1-Personnel!$I$32),0)+IF(AND(27&gt;=Personnel!$E$33,Personnel!$G$33="Yes"),Personnel!$D$33*(1-Personnel!$H$33)*(1-Personnel!$I$33),0)+IF(AND(27&gt;=Personnel!$E$34,Personnel!$G$34="Yes"),Personnel!$D$34*(1-Personnel!$H$34)*(1-Personnel!$I$34),0)+IF(AND(27&gt;=Personnel!$E$35,Personnel!$G$35="Yes"),Personnel!$D$35*(1-Personnel!$H$35)*(1-Personnel!$I$35),0)+IF(AND(27&gt;=Personnel!$E$36,Personnel!$G$36="Yes"),Personnel!$D$36*(1-Personnel!$H$36)*(1-Personnel!$I$36),0)+IF(AND(27&gt;=Personnel!$E$37,Personnel!$G$37="Yes"),Personnel!$D$37*(1-Personnel!$H$37)*(1-Personnel!$I$37),0)+IF(AND(27&gt;=Personnel!$E$38,Personnel!$G$38="Yes"),Personnel!$D$38*(1-Personnel!$H$38)*(1-Personnel!$I$38),0))</f>
        <v>25000</v>
      </c>
      <c r="AD5" s="105">
        <f>(IF(AND(28&gt;=Personnel!$E$32,Personnel!$G$32="Yes"),Personnel!$D$32*(1-Personnel!$H$32)*(1-Personnel!$I$32),0)+IF(AND(28&gt;=Personnel!$E$33,Personnel!$G$33="Yes"),Personnel!$D$33*(1-Personnel!$H$33)*(1-Personnel!$I$33),0)+IF(AND(28&gt;=Personnel!$E$34,Personnel!$G$34="Yes"),Personnel!$D$34*(1-Personnel!$H$34)*(1-Personnel!$I$34),0)+IF(AND(28&gt;=Personnel!$E$35,Personnel!$G$35="Yes"),Personnel!$D$35*(1-Personnel!$H$35)*(1-Personnel!$I$35),0)+IF(AND(28&gt;=Personnel!$E$36,Personnel!$G$36="Yes"),Personnel!$D$36*(1-Personnel!$H$36)*(1-Personnel!$I$36),0)+IF(AND(28&gt;=Personnel!$E$37,Personnel!$G$37="Yes"),Personnel!$D$37*(1-Personnel!$H$37)*(1-Personnel!$I$37),0)+IF(AND(28&gt;=Personnel!$E$38,Personnel!$G$38="Yes"),Personnel!$D$38*(1-Personnel!$H$38)*(1-Personnel!$I$38),0))</f>
        <v>25000</v>
      </c>
      <c r="AE5" s="105">
        <f>(IF(AND(29&gt;=Personnel!$E$32,Personnel!$G$32="Yes"),Personnel!$D$32*(1-Personnel!$H$32)*(1-Personnel!$I$32),0)+IF(AND(29&gt;=Personnel!$E$33,Personnel!$G$33="Yes"),Personnel!$D$33*(1-Personnel!$H$33)*(1-Personnel!$I$33),0)+IF(AND(29&gt;=Personnel!$E$34,Personnel!$G$34="Yes"),Personnel!$D$34*(1-Personnel!$H$34)*(1-Personnel!$I$34),0)+IF(AND(29&gt;=Personnel!$E$35,Personnel!$G$35="Yes"),Personnel!$D$35*(1-Personnel!$H$35)*(1-Personnel!$I$35),0)+IF(AND(29&gt;=Personnel!$E$36,Personnel!$G$36="Yes"),Personnel!$D$36*(1-Personnel!$H$36)*(1-Personnel!$I$36),0)+IF(AND(29&gt;=Personnel!$E$37,Personnel!$G$37="Yes"),Personnel!$D$37*(1-Personnel!$H$37)*(1-Personnel!$I$37),0)+IF(AND(29&gt;=Personnel!$E$38,Personnel!$G$38="Yes"),Personnel!$D$38*(1-Personnel!$H$38)*(1-Personnel!$I$38),0))</f>
        <v>25000</v>
      </c>
      <c r="AF5" s="105">
        <f>(IF(AND(30&gt;=Personnel!$E$32,Personnel!$G$32="Yes"),Personnel!$D$32*(1-Personnel!$H$32)*(1-Personnel!$I$32),0)+IF(AND(30&gt;=Personnel!$E$33,Personnel!$G$33="Yes"),Personnel!$D$33*(1-Personnel!$H$33)*(1-Personnel!$I$33),0)+IF(AND(30&gt;=Personnel!$E$34,Personnel!$G$34="Yes"),Personnel!$D$34*(1-Personnel!$H$34)*(1-Personnel!$I$34),0)+IF(AND(30&gt;=Personnel!$E$35,Personnel!$G$35="Yes"),Personnel!$D$35*(1-Personnel!$H$35)*(1-Personnel!$I$35),0)+IF(AND(30&gt;=Personnel!$E$36,Personnel!$G$36="Yes"),Personnel!$D$36*(1-Personnel!$H$36)*(1-Personnel!$I$36),0)+IF(AND(30&gt;=Personnel!$E$37,Personnel!$G$37="Yes"),Personnel!$D$37*(1-Personnel!$H$37)*(1-Personnel!$I$37),0)+IF(AND(30&gt;=Personnel!$E$38,Personnel!$G$38="Yes"),Personnel!$D$38*(1-Personnel!$H$38)*(1-Personnel!$I$38),0))</f>
        <v>25000</v>
      </c>
      <c r="AG5" s="105">
        <f>(IF(AND(31&gt;=Personnel!$E$32,Personnel!$G$32="Yes"),Personnel!$D$32*(1-Personnel!$H$32)*(1-Personnel!$I$32),0)+IF(AND(31&gt;=Personnel!$E$33,Personnel!$G$33="Yes"),Personnel!$D$33*(1-Personnel!$H$33)*(1-Personnel!$I$33),0)+IF(AND(31&gt;=Personnel!$E$34,Personnel!$G$34="Yes"),Personnel!$D$34*(1-Personnel!$H$34)*(1-Personnel!$I$34),0)+IF(AND(31&gt;=Personnel!$E$35,Personnel!$G$35="Yes"),Personnel!$D$35*(1-Personnel!$H$35)*(1-Personnel!$I$35),0)+IF(AND(31&gt;=Personnel!$E$36,Personnel!$G$36="Yes"),Personnel!$D$36*(1-Personnel!$H$36)*(1-Personnel!$I$36),0)+IF(AND(31&gt;=Personnel!$E$37,Personnel!$G$37="Yes"),Personnel!$D$37*(1-Personnel!$H$37)*(1-Personnel!$I$37),0)+IF(AND(31&gt;=Personnel!$E$38,Personnel!$G$38="Yes"),Personnel!$D$38*(1-Personnel!$H$38)*(1-Personnel!$I$38),0))</f>
        <v>25000</v>
      </c>
      <c r="AH5" s="105">
        <f>(IF(AND(32&gt;=Personnel!$E$32,Personnel!$G$32="Yes"),Personnel!$D$32*(1-Personnel!$H$32)*(1-Personnel!$I$32),0)+IF(AND(32&gt;=Personnel!$E$33,Personnel!$G$33="Yes"),Personnel!$D$33*(1-Personnel!$H$33)*(1-Personnel!$I$33),0)+IF(AND(32&gt;=Personnel!$E$34,Personnel!$G$34="Yes"),Personnel!$D$34*(1-Personnel!$H$34)*(1-Personnel!$I$34),0)+IF(AND(32&gt;=Personnel!$E$35,Personnel!$G$35="Yes"),Personnel!$D$35*(1-Personnel!$H$35)*(1-Personnel!$I$35),0)+IF(AND(32&gt;=Personnel!$E$36,Personnel!$G$36="Yes"),Personnel!$D$36*(1-Personnel!$H$36)*(1-Personnel!$I$36),0)+IF(AND(32&gt;=Personnel!$E$37,Personnel!$G$37="Yes"),Personnel!$D$37*(1-Personnel!$H$37)*(1-Personnel!$I$37),0)+IF(AND(32&gt;=Personnel!$E$38,Personnel!$G$38="Yes"),Personnel!$D$38*(1-Personnel!$H$38)*(1-Personnel!$I$38),0))</f>
        <v>25000</v>
      </c>
      <c r="AI5" s="105">
        <f>(IF(AND(33&gt;=Personnel!$E$32,Personnel!$G$32="Yes"),Personnel!$D$32*(1-Personnel!$H$32)*(1-Personnel!$I$32),0)+IF(AND(33&gt;=Personnel!$E$33,Personnel!$G$33="Yes"),Personnel!$D$33*(1-Personnel!$H$33)*(1-Personnel!$I$33),0)+IF(AND(33&gt;=Personnel!$E$34,Personnel!$G$34="Yes"),Personnel!$D$34*(1-Personnel!$H$34)*(1-Personnel!$I$34),0)+IF(AND(33&gt;=Personnel!$E$35,Personnel!$G$35="Yes"),Personnel!$D$35*(1-Personnel!$H$35)*(1-Personnel!$I$35),0)+IF(AND(33&gt;=Personnel!$E$36,Personnel!$G$36="Yes"),Personnel!$D$36*(1-Personnel!$H$36)*(1-Personnel!$I$36),0)+IF(AND(33&gt;=Personnel!$E$37,Personnel!$G$37="Yes"),Personnel!$D$37*(1-Personnel!$H$37)*(1-Personnel!$I$37),0)+IF(AND(33&gt;=Personnel!$E$38,Personnel!$G$38="Yes"),Personnel!$D$38*(1-Personnel!$H$38)*(1-Personnel!$I$38),0))</f>
        <v>25000</v>
      </c>
      <c r="AJ5" s="105">
        <f>(IF(AND(34&gt;=Personnel!$E$32,Personnel!$G$32="Yes"),Personnel!$D$32*(1-Personnel!$H$32)*(1-Personnel!$I$32),0)+IF(AND(34&gt;=Personnel!$E$33,Personnel!$G$33="Yes"),Personnel!$D$33*(1-Personnel!$H$33)*(1-Personnel!$I$33),0)+IF(AND(34&gt;=Personnel!$E$34,Personnel!$G$34="Yes"),Personnel!$D$34*(1-Personnel!$H$34)*(1-Personnel!$I$34),0)+IF(AND(34&gt;=Personnel!$E$35,Personnel!$G$35="Yes"),Personnel!$D$35*(1-Personnel!$H$35)*(1-Personnel!$I$35),0)+IF(AND(34&gt;=Personnel!$E$36,Personnel!$G$36="Yes"),Personnel!$D$36*(1-Personnel!$H$36)*(1-Personnel!$I$36),0)+IF(AND(34&gt;=Personnel!$E$37,Personnel!$G$37="Yes"),Personnel!$D$37*(1-Personnel!$H$37)*(1-Personnel!$I$37),0)+IF(AND(34&gt;=Personnel!$E$38,Personnel!$G$38="Yes"),Personnel!$D$38*(1-Personnel!$H$38)*(1-Personnel!$I$38),0))</f>
        <v>25000</v>
      </c>
      <c r="AK5" s="105">
        <f>(IF(AND(35&gt;=Personnel!$E$32,Personnel!$G$32="Yes"),Personnel!$D$32*(1-Personnel!$H$32)*(1-Personnel!$I$32),0)+IF(AND(35&gt;=Personnel!$E$33,Personnel!$G$33="Yes"),Personnel!$D$33*(1-Personnel!$H$33)*(1-Personnel!$I$33),0)+IF(AND(35&gt;=Personnel!$E$34,Personnel!$G$34="Yes"),Personnel!$D$34*(1-Personnel!$H$34)*(1-Personnel!$I$34),0)+IF(AND(35&gt;=Personnel!$E$35,Personnel!$G$35="Yes"),Personnel!$D$35*(1-Personnel!$H$35)*(1-Personnel!$I$35),0)+IF(AND(35&gt;=Personnel!$E$36,Personnel!$G$36="Yes"),Personnel!$D$36*(1-Personnel!$H$36)*(1-Personnel!$I$36),0)+IF(AND(35&gt;=Personnel!$E$37,Personnel!$G$37="Yes"),Personnel!$D$37*(1-Personnel!$H$37)*(1-Personnel!$I$37),0)+IF(AND(35&gt;=Personnel!$E$38,Personnel!$G$38="Yes"),Personnel!$D$38*(1-Personnel!$H$38)*(1-Personnel!$I$38),0))</f>
        <v>25000</v>
      </c>
      <c r="AL5" s="105">
        <f>(IF(AND(36&gt;=Personnel!$E$32,Personnel!$G$32="Yes"),Personnel!$D$32*(1-Personnel!$H$32)*(1-Personnel!$I$32),0)+IF(AND(36&gt;=Personnel!$E$33,Personnel!$G$33="Yes"),Personnel!$D$33*(1-Personnel!$H$33)*(1-Personnel!$I$33),0)+IF(AND(36&gt;=Personnel!$E$34,Personnel!$G$34="Yes"),Personnel!$D$34*(1-Personnel!$H$34)*(1-Personnel!$I$34),0)+IF(AND(36&gt;=Personnel!$E$35,Personnel!$G$35="Yes"),Personnel!$D$35*(1-Personnel!$H$35)*(1-Personnel!$I$35),0)+IF(AND(36&gt;=Personnel!$E$36,Personnel!$G$36="Yes"),Personnel!$D$36*(1-Personnel!$H$36)*(1-Personnel!$I$36),0)+IF(AND(36&gt;=Personnel!$E$37,Personnel!$G$37="Yes"),Personnel!$D$37*(1-Personnel!$H$37)*(1-Personnel!$I$37),0)+IF(AND(36&gt;=Personnel!$E$38,Personnel!$G$38="Yes"),Personnel!$D$38*(1-Personnel!$H$38)*(1-Personnel!$I$38),0))</f>
        <v>25000</v>
      </c>
      <c r="AM5" s="105">
        <f>(IF(AND(37&gt;=Personnel!$E$32,Personnel!$G$32="Yes"),Personnel!$D$32*(1-Personnel!$H$32)*(1-Personnel!$I$32),0)+IF(AND(37&gt;=Personnel!$E$33,Personnel!$G$33="Yes"),Personnel!$D$33*(1-Personnel!$H$33)*(1-Personnel!$I$33),0)+IF(AND(37&gt;=Personnel!$E$34,Personnel!$G$34="Yes"),Personnel!$D$34*(1-Personnel!$H$34)*(1-Personnel!$I$34),0)+IF(AND(37&gt;=Personnel!$E$35,Personnel!$G$35="Yes"),Personnel!$D$35*(1-Personnel!$H$35)*(1-Personnel!$I$35),0)+IF(AND(37&gt;=Personnel!$E$36,Personnel!$G$36="Yes"),Personnel!$D$36*(1-Personnel!$H$36)*(1-Personnel!$I$36),0)+IF(AND(37&gt;=Personnel!$E$37,Personnel!$G$37="Yes"),Personnel!$D$37*(1-Personnel!$H$37)*(1-Personnel!$I$37),0)+IF(AND(37&gt;=Personnel!$E$38,Personnel!$G$38="Yes"),Personnel!$D$38*(1-Personnel!$H$38)*(1-Personnel!$I$38),0))</f>
        <v>25000</v>
      </c>
      <c r="AN5" s="105">
        <f>(IF(AND(38&gt;=Personnel!$E$32,Personnel!$G$32="Yes"),Personnel!$D$32*(1-Personnel!$H$32)*(1-Personnel!$I$32),0)+IF(AND(38&gt;=Personnel!$E$33,Personnel!$G$33="Yes"),Personnel!$D$33*(1-Personnel!$H$33)*(1-Personnel!$I$33),0)+IF(AND(38&gt;=Personnel!$E$34,Personnel!$G$34="Yes"),Personnel!$D$34*(1-Personnel!$H$34)*(1-Personnel!$I$34),0)+IF(AND(38&gt;=Personnel!$E$35,Personnel!$G$35="Yes"),Personnel!$D$35*(1-Personnel!$H$35)*(1-Personnel!$I$35),0)+IF(AND(38&gt;=Personnel!$E$36,Personnel!$G$36="Yes"),Personnel!$D$36*(1-Personnel!$H$36)*(1-Personnel!$I$36),0)+IF(AND(38&gt;=Personnel!$E$37,Personnel!$G$37="Yes"),Personnel!$D$37*(1-Personnel!$H$37)*(1-Personnel!$I$37),0)+IF(AND(38&gt;=Personnel!$E$38,Personnel!$G$38="Yes"),Personnel!$D$38*(1-Personnel!$H$38)*(1-Personnel!$I$38),0))</f>
        <v>25000</v>
      </c>
      <c r="AO5" s="105">
        <f>(IF(AND(39&gt;=Personnel!$E$32,Personnel!$G$32="Yes"),Personnel!$D$32*(1-Personnel!$H$32)*(1-Personnel!$I$32),0)+IF(AND(39&gt;=Personnel!$E$33,Personnel!$G$33="Yes"),Personnel!$D$33*(1-Personnel!$H$33)*(1-Personnel!$I$33),0)+IF(AND(39&gt;=Personnel!$E$34,Personnel!$G$34="Yes"),Personnel!$D$34*(1-Personnel!$H$34)*(1-Personnel!$I$34),0)+IF(AND(39&gt;=Personnel!$E$35,Personnel!$G$35="Yes"),Personnel!$D$35*(1-Personnel!$H$35)*(1-Personnel!$I$35),0)+IF(AND(39&gt;=Personnel!$E$36,Personnel!$G$36="Yes"),Personnel!$D$36*(1-Personnel!$H$36)*(1-Personnel!$I$36),0)+IF(AND(39&gt;=Personnel!$E$37,Personnel!$G$37="Yes"),Personnel!$D$37*(1-Personnel!$H$37)*(1-Personnel!$I$37),0)+IF(AND(39&gt;=Personnel!$E$38,Personnel!$G$38="Yes"),Personnel!$D$38*(1-Personnel!$H$38)*(1-Personnel!$I$38),0))</f>
        <v>25000</v>
      </c>
      <c r="AP5" s="105">
        <f>(IF(AND(40&gt;=Personnel!$E$32,Personnel!$G$32="Yes"),Personnel!$D$32*(1-Personnel!$H$32)*(1-Personnel!$I$32),0)+IF(AND(40&gt;=Personnel!$E$33,Personnel!$G$33="Yes"),Personnel!$D$33*(1-Personnel!$H$33)*(1-Personnel!$I$33),0)+IF(AND(40&gt;=Personnel!$E$34,Personnel!$G$34="Yes"),Personnel!$D$34*(1-Personnel!$H$34)*(1-Personnel!$I$34),0)+IF(AND(40&gt;=Personnel!$E$35,Personnel!$G$35="Yes"),Personnel!$D$35*(1-Personnel!$H$35)*(1-Personnel!$I$35),0)+IF(AND(40&gt;=Personnel!$E$36,Personnel!$G$36="Yes"),Personnel!$D$36*(1-Personnel!$H$36)*(1-Personnel!$I$36),0)+IF(AND(40&gt;=Personnel!$E$37,Personnel!$G$37="Yes"),Personnel!$D$37*(1-Personnel!$H$37)*(1-Personnel!$I$37),0)+IF(AND(40&gt;=Personnel!$E$38,Personnel!$G$38="Yes"),Personnel!$D$38*(1-Personnel!$H$38)*(1-Personnel!$I$38),0))</f>
        <v>25000</v>
      </c>
      <c r="AQ5" s="105">
        <f>(IF(AND(41&gt;=Personnel!$E$32,Personnel!$G$32="Yes"),Personnel!$D$32*(1-Personnel!$H$32)*(1-Personnel!$I$32),0)+IF(AND(41&gt;=Personnel!$E$33,Personnel!$G$33="Yes"),Personnel!$D$33*(1-Personnel!$H$33)*(1-Personnel!$I$33),0)+IF(AND(41&gt;=Personnel!$E$34,Personnel!$G$34="Yes"),Personnel!$D$34*(1-Personnel!$H$34)*(1-Personnel!$I$34),0)+IF(AND(41&gt;=Personnel!$E$35,Personnel!$G$35="Yes"),Personnel!$D$35*(1-Personnel!$H$35)*(1-Personnel!$I$35),0)+IF(AND(41&gt;=Personnel!$E$36,Personnel!$G$36="Yes"),Personnel!$D$36*(1-Personnel!$H$36)*(1-Personnel!$I$36),0)+IF(AND(41&gt;=Personnel!$E$37,Personnel!$G$37="Yes"),Personnel!$D$37*(1-Personnel!$H$37)*(1-Personnel!$I$37),0)+IF(AND(41&gt;=Personnel!$E$38,Personnel!$G$38="Yes"),Personnel!$D$38*(1-Personnel!$H$38)*(1-Personnel!$I$38),0))</f>
        <v>25000</v>
      </c>
      <c r="AR5" s="105">
        <f>(IF(AND(42&gt;=Personnel!$E$32,Personnel!$G$32="Yes"),Personnel!$D$32*(1-Personnel!$H$32)*(1-Personnel!$I$32),0)+IF(AND(42&gt;=Personnel!$E$33,Personnel!$G$33="Yes"),Personnel!$D$33*(1-Personnel!$H$33)*(1-Personnel!$I$33),0)+IF(AND(42&gt;=Personnel!$E$34,Personnel!$G$34="Yes"),Personnel!$D$34*(1-Personnel!$H$34)*(1-Personnel!$I$34),0)+IF(AND(42&gt;=Personnel!$E$35,Personnel!$G$35="Yes"),Personnel!$D$35*(1-Personnel!$H$35)*(1-Personnel!$I$35),0)+IF(AND(42&gt;=Personnel!$E$36,Personnel!$G$36="Yes"),Personnel!$D$36*(1-Personnel!$H$36)*(1-Personnel!$I$36),0)+IF(AND(42&gt;=Personnel!$E$37,Personnel!$G$37="Yes"),Personnel!$D$37*(1-Personnel!$H$37)*(1-Personnel!$I$37),0)+IF(AND(42&gt;=Personnel!$E$38,Personnel!$G$38="Yes"),Personnel!$D$38*(1-Personnel!$H$38)*(1-Personnel!$I$38),0))</f>
        <v>25000</v>
      </c>
      <c r="AS5" s="105">
        <f>(IF(AND(43&gt;=Personnel!$E$32,Personnel!$G$32="Yes"),Personnel!$D$32*(1-Personnel!$H$32)*(1-Personnel!$I$32),0)+IF(AND(43&gt;=Personnel!$E$33,Personnel!$G$33="Yes"),Personnel!$D$33*(1-Personnel!$H$33)*(1-Personnel!$I$33),0)+IF(AND(43&gt;=Personnel!$E$34,Personnel!$G$34="Yes"),Personnel!$D$34*(1-Personnel!$H$34)*(1-Personnel!$I$34),0)+IF(AND(43&gt;=Personnel!$E$35,Personnel!$G$35="Yes"),Personnel!$D$35*(1-Personnel!$H$35)*(1-Personnel!$I$35),0)+IF(AND(43&gt;=Personnel!$E$36,Personnel!$G$36="Yes"),Personnel!$D$36*(1-Personnel!$H$36)*(1-Personnel!$I$36),0)+IF(AND(43&gt;=Personnel!$E$37,Personnel!$G$37="Yes"),Personnel!$D$37*(1-Personnel!$H$37)*(1-Personnel!$I$37),0)+IF(AND(43&gt;=Personnel!$E$38,Personnel!$G$38="Yes"),Personnel!$D$38*(1-Personnel!$H$38)*(1-Personnel!$I$38),0))</f>
        <v>25000</v>
      </c>
      <c r="AT5" s="105">
        <f>(IF(AND(44&gt;=Personnel!$E$32,Personnel!$G$32="Yes"),Personnel!$D$32*(1-Personnel!$H$32)*(1-Personnel!$I$32),0)+IF(AND(44&gt;=Personnel!$E$33,Personnel!$G$33="Yes"),Personnel!$D$33*(1-Personnel!$H$33)*(1-Personnel!$I$33),0)+IF(AND(44&gt;=Personnel!$E$34,Personnel!$G$34="Yes"),Personnel!$D$34*(1-Personnel!$H$34)*(1-Personnel!$I$34),0)+IF(AND(44&gt;=Personnel!$E$35,Personnel!$G$35="Yes"),Personnel!$D$35*(1-Personnel!$H$35)*(1-Personnel!$I$35),0)+IF(AND(44&gt;=Personnel!$E$36,Personnel!$G$36="Yes"),Personnel!$D$36*(1-Personnel!$H$36)*(1-Personnel!$I$36),0)+IF(AND(44&gt;=Personnel!$E$37,Personnel!$G$37="Yes"),Personnel!$D$37*(1-Personnel!$H$37)*(1-Personnel!$I$37),0)+IF(AND(44&gt;=Personnel!$E$38,Personnel!$G$38="Yes"),Personnel!$D$38*(1-Personnel!$H$38)*(1-Personnel!$I$38),0))</f>
        <v>25000</v>
      </c>
      <c r="AU5" s="105">
        <f>(IF(AND(45&gt;=Personnel!$E$32,Personnel!$G$32="Yes"),Personnel!$D$32*(1-Personnel!$H$32)*(1-Personnel!$I$32),0)+IF(AND(45&gt;=Personnel!$E$33,Personnel!$G$33="Yes"),Personnel!$D$33*(1-Personnel!$H$33)*(1-Personnel!$I$33),0)+IF(AND(45&gt;=Personnel!$E$34,Personnel!$G$34="Yes"),Personnel!$D$34*(1-Personnel!$H$34)*(1-Personnel!$I$34),0)+IF(AND(45&gt;=Personnel!$E$35,Personnel!$G$35="Yes"),Personnel!$D$35*(1-Personnel!$H$35)*(1-Personnel!$I$35),0)+IF(AND(45&gt;=Personnel!$E$36,Personnel!$G$36="Yes"),Personnel!$D$36*(1-Personnel!$H$36)*(1-Personnel!$I$36),0)+IF(AND(45&gt;=Personnel!$E$37,Personnel!$G$37="Yes"),Personnel!$D$37*(1-Personnel!$H$37)*(1-Personnel!$I$37),0)+IF(AND(45&gt;=Personnel!$E$38,Personnel!$G$38="Yes"),Personnel!$D$38*(1-Personnel!$H$38)*(1-Personnel!$I$38),0))</f>
        <v>25000</v>
      </c>
      <c r="AV5" s="105">
        <f>(IF(AND(46&gt;=Personnel!$E$32,Personnel!$G$32="Yes"),Personnel!$D$32*(1-Personnel!$H$32)*(1-Personnel!$I$32),0)+IF(AND(46&gt;=Personnel!$E$33,Personnel!$G$33="Yes"),Personnel!$D$33*(1-Personnel!$H$33)*(1-Personnel!$I$33),0)+IF(AND(46&gt;=Personnel!$E$34,Personnel!$G$34="Yes"),Personnel!$D$34*(1-Personnel!$H$34)*(1-Personnel!$I$34),0)+IF(AND(46&gt;=Personnel!$E$35,Personnel!$G$35="Yes"),Personnel!$D$35*(1-Personnel!$H$35)*(1-Personnel!$I$35),0)+IF(AND(46&gt;=Personnel!$E$36,Personnel!$G$36="Yes"),Personnel!$D$36*(1-Personnel!$H$36)*(1-Personnel!$I$36),0)+IF(AND(46&gt;=Personnel!$E$37,Personnel!$G$37="Yes"),Personnel!$D$37*(1-Personnel!$H$37)*(1-Personnel!$I$37),0)+IF(AND(46&gt;=Personnel!$E$38,Personnel!$G$38="Yes"),Personnel!$D$38*(1-Personnel!$H$38)*(1-Personnel!$I$38),0))</f>
        <v>25000</v>
      </c>
      <c r="AW5" s="105">
        <f>(IF(AND(47&gt;=Personnel!$E$32,Personnel!$G$32="Yes"),Personnel!$D$32*(1-Personnel!$H$32)*(1-Personnel!$I$32),0)+IF(AND(47&gt;=Personnel!$E$33,Personnel!$G$33="Yes"),Personnel!$D$33*(1-Personnel!$H$33)*(1-Personnel!$I$33),0)+IF(AND(47&gt;=Personnel!$E$34,Personnel!$G$34="Yes"),Personnel!$D$34*(1-Personnel!$H$34)*(1-Personnel!$I$34),0)+IF(AND(47&gt;=Personnel!$E$35,Personnel!$G$35="Yes"),Personnel!$D$35*(1-Personnel!$H$35)*(1-Personnel!$I$35),0)+IF(AND(47&gt;=Personnel!$E$36,Personnel!$G$36="Yes"),Personnel!$D$36*(1-Personnel!$H$36)*(1-Personnel!$I$36),0)+IF(AND(47&gt;=Personnel!$E$37,Personnel!$G$37="Yes"),Personnel!$D$37*(1-Personnel!$H$37)*(1-Personnel!$I$37),0)+IF(AND(47&gt;=Personnel!$E$38,Personnel!$G$38="Yes"),Personnel!$D$38*(1-Personnel!$H$38)*(1-Personnel!$I$38),0))</f>
        <v>25000</v>
      </c>
      <c r="AX5" s="105">
        <f>(IF(AND(48&gt;=Personnel!$E$32,Personnel!$G$32="Yes"),Personnel!$D$32*(1-Personnel!$H$32)*(1-Personnel!$I$32),0)+IF(AND(48&gt;=Personnel!$E$33,Personnel!$G$33="Yes"),Personnel!$D$33*(1-Personnel!$H$33)*(1-Personnel!$I$33),0)+IF(AND(48&gt;=Personnel!$E$34,Personnel!$G$34="Yes"),Personnel!$D$34*(1-Personnel!$H$34)*(1-Personnel!$I$34),0)+IF(AND(48&gt;=Personnel!$E$35,Personnel!$G$35="Yes"),Personnel!$D$35*(1-Personnel!$H$35)*(1-Personnel!$I$35),0)+IF(AND(48&gt;=Personnel!$E$36,Personnel!$G$36="Yes"),Personnel!$D$36*(1-Personnel!$H$36)*(1-Personnel!$I$36),0)+IF(AND(48&gt;=Personnel!$E$37,Personnel!$G$37="Yes"),Personnel!$D$37*(1-Personnel!$H$37)*(1-Personnel!$I$37),0)+IF(AND(48&gt;=Personnel!$E$38,Personnel!$G$38="Yes"),Personnel!$D$38*(1-Personnel!$H$38)*(1-Personnel!$I$38),0))</f>
        <v>25000</v>
      </c>
      <c r="AY5" s="105">
        <f>(IF(AND(49&gt;=Personnel!$E$32,Personnel!$G$32="Yes"),Personnel!$D$32*(1-Personnel!$H$32)*(1-Personnel!$I$32),0)+IF(AND(49&gt;=Personnel!$E$33,Personnel!$G$33="Yes"),Personnel!$D$33*(1-Personnel!$H$33)*(1-Personnel!$I$33),0)+IF(AND(49&gt;=Personnel!$E$34,Personnel!$G$34="Yes"),Personnel!$D$34*(1-Personnel!$H$34)*(1-Personnel!$I$34),0)+IF(AND(49&gt;=Personnel!$E$35,Personnel!$G$35="Yes"),Personnel!$D$35*(1-Personnel!$H$35)*(1-Personnel!$I$35),0)+IF(AND(49&gt;=Personnel!$E$36,Personnel!$G$36="Yes"),Personnel!$D$36*(1-Personnel!$H$36)*(1-Personnel!$I$36),0)+IF(AND(49&gt;=Personnel!$E$37,Personnel!$G$37="Yes"),Personnel!$D$37*(1-Personnel!$H$37)*(1-Personnel!$I$37),0)+IF(AND(49&gt;=Personnel!$E$38,Personnel!$G$38="Yes"),Personnel!$D$38*(1-Personnel!$H$38)*(1-Personnel!$I$38),0))</f>
        <v>25000</v>
      </c>
      <c r="AZ5" s="105">
        <f>(IF(AND(50&gt;=Personnel!$E$32,Personnel!$G$32="Yes"),Personnel!$D$32*(1-Personnel!$H$32)*(1-Personnel!$I$32),0)+IF(AND(50&gt;=Personnel!$E$33,Personnel!$G$33="Yes"),Personnel!$D$33*(1-Personnel!$H$33)*(1-Personnel!$I$33),0)+IF(AND(50&gt;=Personnel!$E$34,Personnel!$G$34="Yes"),Personnel!$D$34*(1-Personnel!$H$34)*(1-Personnel!$I$34),0)+IF(AND(50&gt;=Personnel!$E$35,Personnel!$G$35="Yes"),Personnel!$D$35*(1-Personnel!$H$35)*(1-Personnel!$I$35),0)+IF(AND(50&gt;=Personnel!$E$36,Personnel!$G$36="Yes"),Personnel!$D$36*(1-Personnel!$H$36)*(1-Personnel!$I$36),0)+IF(AND(50&gt;=Personnel!$E$37,Personnel!$G$37="Yes"),Personnel!$D$37*(1-Personnel!$H$37)*(1-Personnel!$I$37),0)+IF(AND(50&gt;=Personnel!$E$38,Personnel!$G$38="Yes"),Personnel!$D$38*(1-Personnel!$H$38)*(1-Personnel!$I$38),0))</f>
        <v>25000</v>
      </c>
      <c r="BA5" s="105">
        <f>(IF(AND(51&gt;=Personnel!$E$32,Personnel!$G$32="Yes"),Personnel!$D$32*(1-Personnel!$H$32)*(1-Personnel!$I$32),0)+IF(AND(51&gt;=Personnel!$E$33,Personnel!$G$33="Yes"),Personnel!$D$33*(1-Personnel!$H$33)*(1-Personnel!$I$33),0)+IF(AND(51&gt;=Personnel!$E$34,Personnel!$G$34="Yes"),Personnel!$D$34*(1-Personnel!$H$34)*(1-Personnel!$I$34),0)+IF(AND(51&gt;=Personnel!$E$35,Personnel!$G$35="Yes"),Personnel!$D$35*(1-Personnel!$H$35)*(1-Personnel!$I$35),0)+IF(AND(51&gt;=Personnel!$E$36,Personnel!$G$36="Yes"),Personnel!$D$36*(1-Personnel!$H$36)*(1-Personnel!$I$36),0)+IF(AND(51&gt;=Personnel!$E$37,Personnel!$G$37="Yes"),Personnel!$D$37*(1-Personnel!$H$37)*(1-Personnel!$I$37),0)+IF(AND(51&gt;=Personnel!$E$38,Personnel!$G$38="Yes"),Personnel!$D$38*(1-Personnel!$H$38)*(1-Personnel!$I$38),0))</f>
        <v>25000</v>
      </c>
      <c r="BB5" s="105">
        <f>(IF(AND(52&gt;=Personnel!$E$32,Personnel!$G$32="Yes"),Personnel!$D$32*(1-Personnel!$H$32)*(1-Personnel!$I$32),0)+IF(AND(52&gt;=Personnel!$E$33,Personnel!$G$33="Yes"),Personnel!$D$33*(1-Personnel!$H$33)*(1-Personnel!$I$33),0)+IF(AND(52&gt;=Personnel!$E$34,Personnel!$G$34="Yes"),Personnel!$D$34*(1-Personnel!$H$34)*(1-Personnel!$I$34),0)+IF(AND(52&gt;=Personnel!$E$35,Personnel!$G$35="Yes"),Personnel!$D$35*(1-Personnel!$H$35)*(1-Personnel!$I$35),0)+IF(AND(52&gt;=Personnel!$E$36,Personnel!$G$36="Yes"),Personnel!$D$36*(1-Personnel!$H$36)*(1-Personnel!$I$36),0)+IF(AND(52&gt;=Personnel!$E$37,Personnel!$G$37="Yes"),Personnel!$D$37*(1-Personnel!$H$37)*(1-Personnel!$I$37),0)+IF(AND(52&gt;=Personnel!$E$38,Personnel!$G$38="Yes"),Personnel!$D$38*(1-Personnel!$H$38)*(1-Personnel!$I$38),0))</f>
        <v>25000</v>
      </c>
      <c r="BC5" s="105">
        <f>(IF(AND(53&gt;=Personnel!$E$32,Personnel!$G$32="Yes"),Personnel!$D$32*(1-Personnel!$H$32)*(1-Personnel!$I$32),0)+IF(AND(53&gt;=Personnel!$E$33,Personnel!$G$33="Yes"),Personnel!$D$33*(1-Personnel!$H$33)*(1-Personnel!$I$33),0)+IF(AND(53&gt;=Personnel!$E$34,Personnel!$G$34="Yes"),Personnel!$D$34*(1-Personnel!$H$34)*(1-Personnel!$I$34),0)+IF(AND(53&gt;=Personnel!$E$35,Personnel!$G$35="Yes"),Personnel!$D$35*(1-Personnel!$H$35)*(1-Personnel!$I$35),0)+IF(AND(53&gt;=Personnel!$E$36,Personnel!$G$36="Yes"),Personnel!$D$36*(1-Personnel!$H$36)*(1-Personnel!$I$36),0)+IF(AND(53&gt;=Personnel!$E$37,Personnel!$G$37="Yes"),Personnel!$D$37*(1-Personnel!$H$37)*(1-Personnel!$I$37),0)+IF(AND(53&gt;=Personnel!$E$38,Personnel!$G$38="Yes"),Personnel!$D$38*(1-Personnel!$H$38)*(1-Personnel!$I$38),0))</f>
        <v>25000</v>
      </c>
      <c r="BD5" s="105">
        <f>(IF(AND(54&gt;=Personnel!$E$32,Personnel!$G$32="Yes"),Personnel!$D$32*(1-Personnel!$H$32)*(1-Personnel!$I$32),0)+IF(AND(54&gt;=Personnel!$E$33,Personnel!$G$33="Yes"),Personnel!$D$33*(1-Personnel!$H$33)*(1-Personnel!$I$33),0)+IF(AND(54&gt;=Personnel!$E$34,Personnel!$G$34="Yes"),Personnel!$D$34*(1-Personnel!$H$34)*(1-Personnel!$I$34),0)+IF(AND(54&gt;=Personnel!$E$35,Personnel!$G$35="Yes"),Personnel!$D$35*(1-Personnel!$H$35)*(1-Personnel!$I$35),0)+IF(AND(54&gt;=Personnel!$E$36,Personnel!$G$36="Yes"),Personnel!$D$36*(1-Personnel!$H$36)*(1-Personnel!$I$36),0)+IF(AND(54&gt;=Personnel!$E$37,Personnel!$G$37="Yes"),Personnel!$D$37*(1-Personnel!$H$37)*(1-Personnel!$I$37),0)+IF(AND(54&gt;=Personnel!$E$38,Personnel!$G$38="Yes"),Personnel!$D$38*(1-Personnel!$H$38)*(1-Personnel!$I$38),0))</f>
        <v>25000</v>
      </c>
      <c r="BE5" s="105">
        <f>(IF(AND(55&gt;=Personnel!$E$32,Personnel!$G$32="Yes"),Personnel!$D$32*(1-Personnel!$H$32)*(1-Personnel!$I$32),0)+IF(AND(55&gt;=Personnel!$E$33,Personnel!$G$33="Yes"),Personnel!$D$33*(1-Personnel!$H$33)*(1-Personnel!$I$33),0)+IF(AND(55&gt;=Personnel!$E$34,Personnel!$G$34="Yes"),Personnel!$D$34*(1-Personnel!$H$34)*(1-Personnel!$I$34),0)+IF(AND(55&gt;=Personnel!$E$35,Personnel!$G$35="Yes"),Personnel!$D$35*(1-Personnel!$H$35)*(1-Personnel!$I$35),0)+IF(AND(55&gt;=Personnel!$E$36,Personnel!$G$36="Yes"),Personnel!$D$36*(1-Personnel!$H$36)*(1-Personnel!$I$36),0)+IF(AND(55&gt;=Personnel!$E$37,Personnel!$G$37="Yes"),Personnel!$D$37*(1-Personnel!$H$37)*(1-Personnel!$I$37),0)+IF(AND(55&gt;=Personnel!$E$38,Personnel!$G$38="Yes"),Personnel!$D$38*(1-Personnel!$H$38)*(1-Personnel!$I$38),0))</f>
        <v>25000</v>
      </c>
      <c r="BF5" s="105">
        <f>(IF(AND(56&gt;=Personnel!$E$32,Personnel!$G$32="Yes"),Personnel!$D$32*(1-Personnel!$H$32)*(1-Personnel!$I$32),0)+IF(AND(56&gt;=Personnel!$E$33,Personnel!$G$33="Yes"),Personnel!$D$33*(1-Personnel!$H$33)*(1-Personnel!$I$33),0)+IF(AND(56&gt;=Personnel!$E$34,Personnel!$G$34="Yes"),Personnel!$D$34*(1-Personnel!$H$34)*(1-Personnel!$I$34),0)+IF(AND(56&gt;=Personnel!$E$35,Personnel!$G$35="Yes"),Personnel!$D$35*(1-Personnel!$H$35)*(1-Personnel!$I$35),0)+IF(AND(56&gt;=Personnel!$E$36,Personnel!$G$36="Yes"),Personnel!$D$36*(1-Personnel!$H$36)*(1-Personnel!$I$36),0)+IF(AND(56&gt;=Personnel!$E$37,Personnel!$G$37="Yes"),Personnel!$D$37*(1-Personnel!$H$37)*(1-Personnel!$I$37),0)+IF(AND(56&gt;=Personnel!$E$38,Personnel!$G$38="Yes"),Personnel!$D$38*(1-Personnel!$H$38)*(1-Personnel!$I$38),0))</f>
        <v>25000</v>
      </c>
      <c r="BG5" s="105">
        <f>(IF(AND(57&gt;=Personnel!$E$32,Personnel!$G$32="Yes"),Personnel!$D$32*(1-Personnel!$H$32)*(1-Personnel!$I$32),0)+IF(AND(57&gt;=Personnel!$E$33,Personnel!$G$33="Yes"),Personnel!$D$33*(1-Personnel!$H$33)*(1-Personnel!$I$33),0)+IF(AND(57&gt;=Personnel!$E$34,Personnel!$G$34="Yes"),Personnel!$D$34*(1-Personnel!$H$34)*(1-Personnel!$I$34),0)+IF(AND(57&gt;=Personnel!$E$35,Personnel!$G$35="Yes"),Personnel!$D$35*(1-Personnel!$H$35)*(1-Personnel!$I$35),0)+IF(AND(57&gt;=Personnel!$E$36,Personnel!$G$36="Yes"),Personnel!$D$36*(1-Personnel!$H$36)*(1-Personnel!$I$36),0)+IF(AND(57&gt;=Personnel!$E$37,Personnel!$G$37="Yes"),Personnel!$D$37*(1-Personnel!$H$37)*(1-Personnel!$I$37),0)+IF(AND(57&gt;=Personnel!$E$38,Personnel!$G$38="Yes"),Personnel!$D$38*(1-Personnel!$H$38)*(1-Personnel!$I$38),0))</f>
        <v>25000</v>
      </c>
      <c r="BH5" s="105">
        <f>(IF(AND(58&gt;=Personnel!$E$32,Personnel!$G$32="Yes"),Personnel!$D$32*(1-Personnel!$H$32)*(1-Personnel!$I$32),0)+IF(AND(58&gt;=Personnel!$E$33,Personnel!$G$33="Yes"),Personnel!$D$33*(1-Personnel!$H$33)*(1-Personnel!$I$33),0)+IF(AND(58&gt;=Personnel!$E$34,Personnel!$G$34="Yes"),Personnel!$D$34*(1-Personnel!$H$34)*(1-Personnel!$I$34),0)+IF(AND(58&gt;=Personnel!$E$35,Personnel!$G$35="Yes"),Personnel!$D$35*(1-Personnel!$H$35)*(1-Personnel!$I$35),0)+IF(AND(58&gt;=Personnel!$E$36,Personnel!$G$36="Yes"),Personnel!$D$36*(1-Personnel!$H$36)*(1-Personnel!$I$36),0)+IF(AND(58&gt;=Personnel!$E$37,Personnel!$G$37="Yes"),Personnel!$D$37*(1-Personnel!$H$37)*(1-Personnel!$I$37),0)+IF(AND(58&gt;=Personnel!$E$38,Personnel!$G$38="Yes"),Personnel!$D$38*(1-Personnel!$H$38)*(1-Personnel!$I$38),0))</f>
        <v>25000</v>
      </c>
      <c r="BI5" s="105">
        <f>(IF(AND(59&gt;=Personnel!$E$32,Personnel!$G$32="Yes"),Personnel!$D$32*(1-Personnel!$H$32)*(1-Personnel!$I$32),0)+IF(AND(59&gt;=Personnel!$E$33,Personnel!$G$33="Yes"),Personnel!$D$33*(1-Personnel!$H$33)*(1-Personnel!$I$33),0)+IF(AND(59&gt;=Personnel!$E$34,Personnel!$G$34="Yes"),Personnel!$D$34*(1-Personnel!$H$34)*(1-Personnel!$I$34),0)+IF(AND(59&gt;=Personnel!$E$35,Personnel!$G$35="Yes"),Personnel!$D$35*(1-Personnel!$H$35)*(1-Personnel!$I$35),0)+IF(AND(59&gt;=Personnel!$E$36,Personnel!$G$36="Yes"),Personnel!$D$36*(1-Personnel!$H$36)*(1-Personnel!$I$36),0)+IF(AND(59&gt;=Personnel!$E$37,Personnel!$G$37="Yes"),Personnel!$D$37*(1-Personnel!$H$37)*(1-Personnel!$I$37),0)+IF(AND(59&gt;=Personnel!$E$38,Personnel!$G$38="Yes"),Personnel!$D$38*(1-Personnel!$H$38)*(1-Personnel!$I$38),0))</f>
        <v>25000</v>
      </c>
      <c r="BJ5" s="105">
        <f>(IF(AND(60&gt;=Personnel!$E$32,Personnel!$G$32="Yes"),Personnel!$D$32*(1-Personnel!$H$32)*(1-Personnel!$I$32),0)+IF(AND(60&gt;=Personnel!$E$33,Personnel!$G$33="Yes"),Personnel!$D$33*(1-Personnel!$H$33)*(1-Personnel!$I$33),0)+IF(AND(60&gt;=Personnel!$E$34,Personnel!$G$34="Yes"),Personnel!$D$34*(1-Personnel!$H$34)*(1-Personnel!$I$34),0)+IF(AND(60&gt;=Personnel!$E$35,Personnel!$G$35="Yes"),Personnel!$D$35*(1-Personnel!$H$35)*(1-Personnel!$I$35),0)+IF(AND(60&gt;=Personnel!$E$36,Personnel!$G$36="Yes"),Personnel!$D$36*(1-Personnel!$H$36)*(1-Personnel!$I$36),0)+IF(AND(60&gt;=Personnel!$E$37,Personnel!$G$37="Yes"),Personnel!$D$37*(1-Personnel!$H$37)*(1-Personnel!$I$37),0)+IF(AND(60&gt;=Personnel!$E$38,Personnel!$G$38="Yes"),Personnel!$D$38*(1-Personnel!$H$38)*(1-Personnel!$I$38),0))</f>
        <v>25000</v>
      </c>
      <c r="BK5" s="105">
        <f>(IF(AND(61&gt;=Personnel!$E$32,Personnel!$G$32="Yes"),Personnel!$D$32*(1-Personnel!$H$32)*(1-Personnel!$I$32),0)+IF(AND(61&gt;=Personnel!$E$33,Personnel!$G$33="Yes"),Personnel!$D$33*(1-Personnel!$H$33)*(1-Personnel!$I$33),0)+IF(AND(61&gt;=Personnel!$E$34,Personnel!$G$34="Yes"),Personnel!$D$34*(1-Personnel!$H$34)*(1-Personnel!$I$34),0)+IF(AND(61&gt;=Personnel!$E$35,Personnel!$G$35="Yes"),Personnel!$D$35*(1-Personnel!$H$35)*(1-Personnel!$I$35),0)+IF(AND(61&gt;=Personnel!$E$36,Personnel!$G$36="Yes"),Personnel!$D$36*(1-Personnel!$H$36)*(1-Personnel!$I$36),0)+IF(AND(61&gt;=Personnel!$E$37,Personnel!$G$37="Yes"),Personnel!$D$37*(1-Personnel!$H$37)*(1-Personnel!$I$37),0)+IF(AND(61&gt;=Personnel!$E$38,Personnel!$G$38="Yes"),Personnel!$D$38*(1-Personnel!$H$38)*(1-Personnel!$I$38),0))</f>
        <v>25000</v>
      </c>
      <c r="BL5" s="105">
        <f>(IF(AND(62&gt;=Personnel!$E$32,Personnel!$G$32="Yes"),Personnel!$D$32*(1-Personnel!$H$32)*(1-Personnel!$I$32),0)+IF(AND(62&gt;=Personnel!$E$33,Personnel!$G$33="Yes"),Personnel!$D$33*(1-Personnel!$H$33)*(1-Personnel!$I$33),0)+IF(AND(62&gt;=Personnel!$E$34,Personnel!$G$34="Yes"),Personnel!$D$34*(1-Personnel!$H$34)*(1-Personnel!$I$34),0)+IF(AND(62&gt;=Personnel!$E$35,Personnel!$G$35="Yes"),Personnel!$D$35*(1-Personnel!$H$35)*(1-Personnel!$I$35),0)+IF(AND(62&gt;=Personnel!$E$36,Personnel!$G$36="Yes"),Personnel!$D$36*(1-Personnel!$H$36)*(1-Personnel!$I$36),0)+IF(AND(62&gt;=Personnel!$E$37,Personnel!$G$37="Yes"),Personnel!$D$37*(1-Personnel!$H$37)*(1-Personnel!$I$37),0)+IF(AND(62&gt;=Personnel!$E$38,Personnel!$G$38="Yes"),Personnel!$D$38*(1-Personnel!$H$38)*(1-Personnel!$I$38),0))</f>
        <v>25000</v>
      </c>
      <c r="BM5" s="105">
        <f>(IF(AND(63&gt;=Personnel!$E$32,Personnel!$G$32="Yes"),Personnel!$D$32*(1-Personnel!$H$32)*(1-Personnel!$I$32),0)+IF(AND(63&gt;=Personnel!$E$33,Personnel!$G$33="Yes"),Personnel!$D$33*(1-Personnel!$H$33)*(1-Personnel!$I$33),0)+IF(AND(63&gt;=Personnel!$E$34,Personnel!$G$34="Yes"),Personnel!$D$34*(1-Personnel!$H$34)*(1-Personnel!$I$34),0)+IF(AND(63&gt;=Personnel!$E$35,Personnel!$G$35="Yes"),Personnel!$D$35*(1-Personnel!$H$35)*(1-Personnel!$I$35),0)+IF(AND(63&gt;=Personnel!$E$36,Personnel!$G$36="Yes"),Personnel!$D$36*(1-Personnel!$H$36)*(1-Personnel!$I$36),0)+IF(AND(63&gt;=Personnel!$E$37,Personnel!$G$37="Yes"),Personnel!$D$37*(1-Personnel!$H$37)*(1-Personnel!$I$37),0)+IF(AND(63&gt;=Personnel!$E$38,Personnel!$G$38="Yes"),Personnel!$D$38*(1-Personnel!$H$38)*(1-Personnel!$I$38),0))</f>
        <v>25000</v>
      </c>
      <c r="BN5" s="105">
        <f>(IF(AND(64&gt;=Personnel!$E$32,Personnel!$G$32="Yes"),Personnel!$D$32*(1-Personnel!$H$32)*(1-Personnel!$I$32),0)+IF(AND(64&gt;=Personnel!$E$33,Personnel!$G$33="Yes"),Personnel!$D$33*(1-Personnel!$H$33)*(1-Personnel!$I$33),0)+IF(AND(64&gt;=Personnel!$E$34,Personnel!$G$34="Yes"),Personnel!$D$34*(1-Personnel!$H$34)*(1-Personnel!$I$34),0)+IF(AND(64&gt;=Personnel!$E$35,Personnel!$G$35="Yes"),Personnel!$D$35*(1-Personnel!$H$35)*(1-Personnel!$I$35),0)+IF(AND(64&gt;=Personnel!$E$36,Personnel!$G$36="Yes"),Personnel!$D$36*(1-Personnel!$H$36)*(1-Personnel!$I$36),0)+IF(AND(64&gt;=Personnel!$E$37,Personnel!$G$37="Yes"),Personnel!$D$37*(1-Personnel!$H$37)*(1-Personnel!$I$37),0)+IF(AND(64&gt;=Personnel!$E$38,Personnel!$G$38="Yes"),Personnel!$D$38*(1-Personnel!$H$38)*(1-Personnel!$I$38),0))</f>
        <v>25000</v>
      </c>
      <c r="BO5" s="105">
        <f>(IF(AND(65&gt;=Personnel!$E$32,Personnel!$G$32="Yes"),Personnel!$D$32*(1-Personnel!$H$32)*(1-Personnel!$I$32),0)+IF(AND(65&gt;=Personnel!$E$33,Personnel!$G$33="Yes"),Personnel!$D$33*(1-Personnel!$H$33)*(1-Personnel!$I$33),0)+IF(AND(65&gt;=Personnel!$E$34,Personnel!$G$34="Yes"),Personnel!$D$34*(1-Personnel!$H$34)*(1-Personnel!$I$34),0)+IF(AND(65&gt;=Personnel!$E$35,Personnel!$G$35="Yes"),Personnel!$D$35*(1-Personnel!$H$35)*(1-Personnel!$I$35),0)+IF(AND(65&gt;=Personnel!$E$36,Personnel!$G$36="Yes"),Personnel!$D$36*(1-Personnel!$H$36)*(1-Personnel!$I$36),0)+IF(AND(65&gt;=Personnel!$E$37,Personnel!$G$37="Yes"),Personnel!$D$37*(1-Personnel!$H$37)*(1-Personnel!$I$37),0)+IF(AND(65&gt;=Personnel!$E$38,Personnel!$G$38="Yes"),Personnel!$D$38*(1-Personnel!$H$38)*(1-Personnel!$I$38),0))</f>
        <v>25000</v>
      </c>
      <c r="BP5" s="105">
        <f>(IF(AND(66&gt;=Personnel!$E$32,Personnel!$G$32="Yes"),Personnel!$D$32*(1-Personnel!$H$32)*(1-Personnel!$I$32),0)+IF(AND(66&gt;=Personnel!$E$33,Personnel!$G$33="Yes"),Personnel!$D$33*(1-Personnel!$H$33)*(1-Personnel!$I$33),0)+IF(AND(66&gt;=Personnel!$E$34,Personnel!$G$34="Yes"),Personnel!$D$34*(1-Personnel!$H$34)*(1-Personnel!$I$34),0)+IF(AND(66&gt;=Personnel!$E$35,Personnel!$G$35="Yes"),Personnel!$D$35*(1-Personnel!$H$35)*(1-Personnel!$I$35),0)+IF(AND(66&gt;=Personnel!$E$36,Personnel!$G$36="Yes"),Personnel!$D$36*(1-Personnel!$H$36)*(1-Personnel!$I$36),0)+IF(AND(66&gt;=Personnel!$E$37,Personnel!$G$37="Yes"),Personnel!$D$37*(1-Personnel!$H$37)*(1-Personnel!$I$37),0)+IF(AND(66&gt;=Personnel!$E$38,Personnel!$G$38="Yes"),Personnel!$D$38*(1-Personnel!$H$38)*(1-Personnel!$I$38),0))</f>
        <v>25000</v>
      </c>
      <c r="BQ5" s="105">
        <f>(IF(AND(67&gt;=Personnel!$E$32,Personnel!$G$32="Yes"),Personnel!$D$32*(1-Personnel!$H$32)*(1-Personnel!$I$32),0)+IF(AND(67&gt;=Personnel!$E$33,Personnel!$G$33="Yes"),Personnel!$D$33*(1-Personnel!$H$33)*(1-Personnel!$I$33),0)+IF(AND(67&gt;=Personnel!$E$34,Personnel!$G$34="Yes"),Personnel!$D$34*(1-Personnel!$H$34)*(1-Personnel!$I$34),0)+IF(AND(67&gt;=Personnel!$E$35,Personnel!$G$35="Yes"),Personnel!$D$35*(1-Personnel!$H$35)*(1-Personnel!$I$35),0)+IF(AND(67&gt;=Personnel!$E$36,Personnel!$G$36="Yes"),Personnel!$D$36*(1-Personnel!$H$36)*(1-Personnel!$I$36),0)+IF(AND(67&gt;=Personnel!$E$37,Personnel!$G$37="Yes"),Personnel!$D$37*(1-Personnel!$H$37)*(1-Personnel!$I$37),0)+IF(AND(67&gt;=Personnel!$E$38,Personnel!$G$38="Yes"),Personnel!$D$38*(1-Personnel!$H$38)*(1-Personnel!$I$38),0))</f>
        <v>25000</v>
      </c>
      <c r="BR5" s="105">
        <f>(IF(AND(68&gt;=Personnel!$E$32,Personnel!$G$32="Yes"),Personnel!$D$32*(1-Personnel!$H$32)*(1-Personnel!$I$32),0)+IF(AND(68&gt;=Personnel!$E$33,Personnel!$G$33="Yes"),Personnel!$D$33*(1-Personnel!$H$33)*(1-Personnel!$I$33),0)+IF(AND(68&gt;=Personnel!$E$34,Personnel!$G$34="Yes"),Personnel!$D$34*(1-Personnel!$H$34)*(1-Personnel!$I$34),0)+IF(AND(68&gt;=Personnel!$E$35,Personnel!$G$35="Yes"),Personnel!$D$35*(1-Personnel!$H$35)*(1-Personnel!$I$35),0)+IF(AND(68&gt;=Personnel!$E$36,Personnel!$G$36="Yes"),Personnel!$D$36*(1-Personnel!$H$36)*(1-Personnel!$I$36),0)+IF(AND(68&gt;=Personnel!$E$37,Personnel!$G$37="Yes"),Personnel!$D$37*(1-Personnel!$H$37)*(1-Personnel!$I$37),0)+IF(AND(68&gt;=Personnel!$E$38,Personnel!$G$38="Yes"),Personnel!$D$38*(1-Personnel!$H$38)*(1-Personnel!$I$38),0))</f>
        <v>25000</v>
      </c>
      <c r="BS5" s="105">
        <f>(IF(AND(69&gt;=Personnel!$E$32,Personnel!$G$32="Yes"),Personnel!$D$32*(1-Personnel!$H$32)*(1-Personnel!$I$32),0)+IF(AND(69&gt;=Personnel!$E$33,Personnel!$G$33="Yes"),Personnel!$D$33*(1-Personnel!$H$33)*(1-Personnel!$I$33),0)+IF(AND(69&gt;=Personnel!$E$34,Personnel!$G$34="Yes"),Personnel!$D$34*(1-Personnel!$H$34)*(1-Personnel!$I$34),0)+IF(AND(69&gt;=Personnel!$E$35,Personnel!$G$35="Yes"),Personnel!$D$35*(1-Personnel!$H$35)*(1-Personnel!$I$35),0)+IF(AND(69&gt;=Personnel!$E$36,Personnel!$G$36="Yes"),Personnel!$D$36*(1-Personnel!$H$36)*(1-Personnel!$I$36),0)+IF(AND(69&gt;=Personnel!$E$37,Personnel!$G$37="Yes"),Personnel!$D$37*(1-Personnel!$H$37)*(1-Personnel!$I$37),0)+IF(AND(69&gt;=Personnel!$E$38,Personnel!$G$38="Yes"),Personnel!$D$38*(1-Personnel!$H$38)*(1-Personnel!$I$38),0))</f>
        <v>25000</v>
      </c>
      <c r="BT5" s="105">
        <f>(IF(AND(70&gt;=Personnel!$E$32,Personnel!$G$32="Yes"),Personnel!$D$32*(1-Personnel!$H$32)*(1-Personnel!$I$32),0)+IF(AND(70&gt;=Personnel!$E$33,Personnel!$G$33="Yes"),Personnel!$D$33*(1-Personnel!$H$33)*(1-Personnel!$I$33),0)+IF(AND(70&gt;=Personnel!$E$34,Personnel!$G$34="Yes"),Personnel!$D$34*(1-Personnel!$H$34)*(1-Personnel!$I$34),0)+IF(AND(70&gt;=Personnel!$E$35,Personnel!$G$35="Yes"),Personnel!$D$35*(1-Personnel!$H$35)*(1-Personnel!$I$35),0)+IF(AND(70&gt;=Personnel!$E$36,Personnel!$G$36="Yes"),Personnel!$D$36*(1-Personnel!$H$36)*(1-Personnel!$I$36),0)+IF(AND(70&gt;=Personnel!$E$37,Personnel!$G$37="Yes"),Personnel!$D$37*(1-Personnel!$H$37)*(1-Personnel!$I$37),0)+IF(AND(70&gt;=Personnel!$E$38,Personnel!$G$38="Yes"),Personnel!$D$38*(1-Personnel!$H$38)*(1-Personnel!$I$38),0))</f>
        <v>25000</v>
      </c>
      <c r="BU5" s="105">
        <f>(IF(AND(71&gt;=Personnel!$E$32,Personnel!$G$32="Yes"),Personnel!$D$32*(1-Personnel!$H$32)*(1-Personnel!$I$32),0)+IF(AND(71&gt;=Personnel!$E$33,Personnel!$G$33="Yes"),Personnel!$D$33*(1-Personnel!$H$33)*(1-Personnel!$I$33),0)+IF(AND(71&gt;=Personnel!$E$34,Personnel!$G$34="Yes"),Personnel!$D$34*(1-Personnel!$H$34)*(1-Personnel!$I$34),0)+IF(AND(71&gt;=Personnel!$E$35,Personnel!$G$35="Yes"),Personnel!$D$35*(1-Personnel!$H$35)*(1-Personnel!$I$35),0)+IF(AND(71&gt;=Personnel!$E$36,Personnel!$G$36="Yes"),Personnel!$D$36*(1-Personnel!$H$36)*(1-Personnel!$I$36),0)+IF(AND(71&gt;=Personnel!$E$37,Personnel!$G$37="Yes"),Personnel!$D$37*(1-Personnel!$H$37)*(1-Personnel!$I$37),0)+IF(AND(71&gt;=Personnel!$E$38,Personnel!$G$38="Yes"),Personnel!$D$38*(1-Personnel!$H$38)*(1-Personnel!$I$38),0))</f>
        <v>25000</v>
      </c>
      <c r="BV5" s="105">
        <f>(IF(AND(72&gt;=Personnel!$E$32,Personnel!$G$32="Yes"),Personnel!$D$32*(1-Personnel!$H$32)*(1-Personnel!$I$32),0)+IF(AND(72&gt;=Personnel!$E$33,Personnel!$G$33="Yes"),Personnel!$D$33*(1-Personnel!$H$33)*(1-Personnel!$I$33),0)+IF(AND(72&gt;=Personnel!$E$34,Personnel!$G$34="Yes"),Personnel!$D$34*(1-Personnel!$H$34)*(1-Personnel!$I$34),0)+IF(AND(72&gt;=Personnel!$E$35,Personnel!$G$35="Yes"),Personnel!$D$35*(1-Personnel!$H$35)*(1-Personnel!$I$35),0)+IF(AND(72&gt;=Personnel!$E$36,Personnel!$G$36="Yes"),Personnel!$D$36*(1-Personnel!$H$36)*(1-Personnel!$I$36),0)+IF(AND(72&gt;=Personnel!$E$37,Personnel!$G$37="Yes"),Personnel!$D$37*(1-Personnel!$H$37)*(1-Personnel!$I$37),0)+IF(AND(72&gt;=Personnel!$E$38,Personnel!$G$38="Yes"),Personnel!$D$38*(1-Personnel!$H$38)*(1-Personnel!$I$38),0))</f>
        <v>25000</v>
      </c>
      <c r="BW5" s="105">
        <f>(IF(AND(73&gt;=Personnel!$E$32,Personnel!$G$32="Yes"),Personnel!$D$32*(1-Personnel!$H$32)*(1-Personnel!$I$32),0)+IF(AND(73&gt;=Personnel!$E$33,Personnel!$G$33="Yes"),Personnel!$D$33*(1-Personnel!$H$33)*(1-Personnel!$I$33),0)+IF(AND(73&gt;=Personnel!$E$34,Personnel!$G$34="Yes"),Personnel!$D$34*(1-Personnel!$H$34)*(1-Personnel!$I$34),0)+IF(AND(73&gt;=Personnel!$E$35,Personnel!$G$35="Yes"),Personnel!$D$35*(1-Personnel!$H$35)*(1-Personnel!$I$35),0)+IF(AND(73&gt;=Personnel!$E$36,Personnel!$G$36="Yes"),Personnel!$D$36*(1-Personnel!$H$36)*(1-Personnel!$I$36),0)+IF(AND(73&gt;=Personnel!$E$37,Personnel!$G$37="Yes"),Personnel!$D$37*(1-Personnel!$H$37)*(1-Personnel!$I$37),0)+IF(AND(73&gt;=Personnel!$E$38,Personnel!$G$38="Yes"),Personnel!$D$38*(1-Personnel!$H$38)*(1-Personnel!$I$38),0))</f>
        <v>25000</v>
      </c>
      <c r="BX5" s="105">
        <f>(IF(AND(74&gt;=Personnel!$E$32,Personnel!$G$32="Yes"),Personnel!$D$32*(1-Personnel!$H$32)*(1-Personnel!$I$32),0)+IF(AND(74&gt;=Personnel!$E$33,Personnel!$G$33="Yes"),Personnel!$D$33*(1-Personnel!$H$33)*(1-Personnel!$I$33),0)+IF(AND(74&gt;=Personnel!$E$34,Personnel!$G$34="Yes"),Personnel!$D$34*(1-Personnel!$H$34)*(1-Personnel!$I$34),0)+IF(AND(74&gt;=Personnel!$E$35,Personnel!$G$35="Yes"),Personnel!$D$35*(1-Personnel!$H$35)*(1-Personnel!$I$35),0)+IF(AND(74&gt;=Personnel!$E$36,Personnel!$G$36="Yes"),Personnel!$D$36*(1-Personnel!$H$36)*(1-Personnel!$I$36),0)+IF(AND(74&gt;=Personnel!$E$37,Personnel!$G$37="Yes"),Personnel!$D$37*(1-Personnel!$H$37)*(1-Personnel!$I$37),0)+IF(AND(74&gt;=Personnel!$E$38,Personnel!$G$38="Yes"),Personnel!$D$38*(1-Personnel!$H$38)*(1-Personnel!$I$38),0))</f>
        <v>25000</v>
      </c>
      <c r="BY5" s="105">
        <f>(IF(AND(75&gt;=Personnel!$E$32,Personnel!$G$32="Yes"),Personnel!$D$32*(1-Personnel!$H$32)*(1-Personnel!$I$32),0)+IF(AND(75&gt;=Personnel!$E$33,Personnel!$G$33="Yes"),Personnel!$D$33*(1-Personnel!$H$33)*(1-Personnel!$I$33),0)+IF(AND(75&gt;=Personnel!$E$34,Personnel!$G$34="Yes"),Personnel!$D$34*(1-Personnel!$H$34)*(1-Personnel!$I$34),0)+IF(AND(75&gt;=Personnel!$E$35,Personnel!$G$35="Yes"),Personnel!$D$35*(1-Personnel!$H$35)*(1-Personnel!$I$35),0)+IF(AND(75&gt;=Personnel!$E$36,Personnel!$G$36="Yes"),Personnel!$D$36*(1-Personnel!$H$36)*(1-Personnel!$I$36),0)+IF(AND(75&gt;=Personnel!$E$37,Personnel!$G$37="Yes"),Personnel!$D$37*(1-Personnel!$H$37)*(1-Personnel!$I$37),0)+IF(AND(75&gt;=Personnel!$E$38,Personnel!$G$38="Yes"),Personnel!$D$38*(1-Personnel!$H$38)*(1-Personnel!$I$38),0))</f>
        <v>25000</v>
      </c>
      <c r="BZ5" s="105">
        <f>(IF(AND(76&gt;=Personnel!$E$32,Personnel!$G$32="Yes"),Personnel!$D$32*(1-Personnel!$H$32)*(1-Personnel!$I$32),0)+IF(AND(76&gt;=Personnel!$E$33,Personnel!$G$33="Yes"),Personnel!$D$33*(1-Personnel!$H$33)*(1-Personnel!$I$33),0)+IF(AND(76&gt;=Personnel!$E$34,Personnel!$G$34="Yes"),Personnel!$D$34*(1-Personnel!$H$34)*(1-Personnel!$I$34),0)+IF(AND(76&gt;=Personnel!$E$35,Personnel!$G$35="Yes"),Personnel!$D$35*(1-Personnel!$H$35)*(1-Personnel!$I$35),0)+IF(AND(76&gt;=Personnel!$E$36,Personnel!$G$36="Yes"),Personnel!$D$36*(1-Personnel!$H$36)*(1-Personnel!$I$36),0)+IF(AND(76&gt;=Personnel!$E$37,Personnel!$G$37="Yes"),Personnel!$D$37*(1-Personnel!$H$37)*(1-Personnel!$I$37),0)+IF(AND(76&gt;=Personnel!$E$38,Personnel!$G$38="Yes"),Personnel!$D$38*(1-Personnel!$H$38)*(1-Personnel!$I$38),0))</f>
        <v>25000</v>
      </c>
      <c r="CA5" s="105">
        <f>(IF(AND(77&gt;=Personnel!$E$32,Personnel!$G$32="Yes"),Personnel!$D$32*(1-Personnel!$H$32)*(1-Personnel!$I$32),0)+IF(AND(77&gt;=Personnel!$E$33,Personnel!$G$33="Yes"),Personnel!$D$33*(1-Personnel!$H$33)*(1-Personnel!$I$33),0)+IF(AND(77&gt;=Personnel!$E$34,Personnel!$G$34="Yes"),Personnel!$D$34*(1-Personnel!$H$34)*(1-Personnel!$I$34),0)+IF(AND(77&gt;=Personnel!$E$35,Personnel!$G$35="Yes"),Personnel!$D$35*(1-Personnel!$H$35)*(1-Personnel!$I$35),0)+IF(AND(77&gt;=Personnel!$E$36,Personnel!$G$36="Yes"),Personnel!$D$36*(1-Personnel!$H$36)*(1-Personnel!$I$36),0)+IF(AND(77&gt;=Personnel!$E$37,Personnel!$G$37="Yes"),Personnel!$D$37*(1-Personnel!$H$37)*(1-Personnel!$I$37),0)+IF(AND(77&gt;=Personnel!$E$38,Personnel!$G$38="Yes"),Personnel!$D$38*(1-Personnel!$H$38)*(1-Personnel!$I$38),0))</f>
        <v>25000</v>
      </c>
      <c r="CB5" s="105">
        <f>(IF(AND(78&gt;=Personnel!$E$32,Personnel!$G$32="Yes"),Personnel!$D$32*(1-Personnel!$H$32)*(1-Personnel!$I$32),0)+IF(AND(78&gt;=Personnel!$E$33,Personnel!$G$33="Yes"),Personnel!$D$33*(1-Personnel!$H$33)*(1-Personnel!$I$33),0)+IF(AND(78&gt;=Personnel!$E$34,Personnel!$G$34="Yes"),Personnel!$D$34*(1-Personnel!$H$34)*(1-Personnel!$I$34),0)+IF(AND(78&gt;=Personnel!$E$35,Personnel!$G$35="Yes"),Personnel!$D$35*(1-Personnel!$H$35)*(1-Personnel!$I$35),0)+IF(AND(78&gt;=Personnel!$E$36,Personnel!$G$36="Yes"),Personnel!$D$36*(1-Personnel!$H$36)*(1-Personnel!$I$36),0)+IF(AND(78&gt;=Personnel!$E$37,Personnel!$G$37="Yes"),Personnel!$D$37*(1-Personnel!$H$37)*(1-Personnel!$I$37),0)+IF(AND(78&gt;=Personnel!$E$38,Personnel!$G$38="Yes"),Personnel!$D$38*(1-Personnel!$H$38)*(1-Personnel!$I$38),0))</f>
        <v>25000</v>
      </c>
      <c r="CC5" s="105">
        <f>(IF(AND(79&gt;=Personnel!$E$32,Personnel!$G$32="Yes"),Personnel!$D$32*(1-Personnel!$H$32)*(1-Personnel!$I$32),0)+IF(AND(79&gt;=Personnel!$E$33,Personnel!$G$33="Yes"),Personnel!$D$33*(1-Personnel!$H$33)*(1-Personnel!$I$33),0)+IF(AND(79&gt;=Personnel!$E$34,Personnel!$G$34="Yes"),Personnel!$D$34*(1-Personnel!$H$34)*(1-Personnel!$I$34),0)+IF(AND(79&gt;=Personnel!$E$35,Personnel!$G$35="Yes"),Personnel!$D$35*(1-Personnel!$H$35)*(1-Personnel!$I$35),0)+IF(AND(79&gt;=Personnel!$E$36,Personnel!$G$36="Yes"),Personnel!$D$36*(1-Personnel!$H$36)*(1-Personnel!$I$36),0)+IF(AND(79&gt;=Personnel!$E$37,Personnel!$G$37="Yes"),Personnel!$D$37*(1-Personnel!$H$37)*(1-Personnel!$I$37),0)+IF(AND(79&gt;=Personnel!$E$38,Personnel!$G$38="Yes"),Personnel!$D$38*(1-Personnel!$H$38)*(1-Personnel!$I$38),0))</f>
        <v>25000</v>
      </c>
      <c r="CD5" s="105">
        <f>(IF(AND(80&gt;=Personnel!$E$32,Personnel!$G$32="Yes"),Personnel!$D$32*(1-Personnel!$H$32)*(1-Personnel!$I$32),0)+IF(AND(80&gt;=Personnel!$E$33,Personnel!$G$33="Yes"),Personnel!$D$33*(1-Personnel!$H$33)*(1-Personnel!$I$33),0)+IF(AND(80&gt;=Personnel!$E$34,Personnel!$G$34="Yes"),Personnel!$D$34*(1-Personnel!$H$34)*(1-Personnel!$I$34),0)+IF(AND(80&gt;=Personnel!$E$35,Personnel!$G$35="Yes"),Personnel!$D$35*(1-Personnel!$H$35)*(1-Personnel!$I$35),0)+IF(AND(80&gt;=Personnel!$E$36,Personnel!$G$36="Yes"),Personnel!$D$36*(1-Personnel!$H$36)*(1-Personnel!$I$36),0)+IF(AND(80&gt;=Personnel!$E$37,Personnel!$G$37="Yes"),Personnel!$D$37*(1-Personnel!$H$37)*(1-Personnel!$I$37),0)+IF(AND(80&gt;=Personnel!$E$38,Personnel!$G$38="Yes"),Personnel!$D$38*(1-Personnel!$H$38)*(1-Personnel!$I$38),0))</f>
        <v>25000</v>
      </c>
      <c r="CE5" s="105">
        <f>(IF(AND(81&gt;=Personnel!$E$32,Personnel!$G$32="Yes"),Personnel!$D$32*(1-Personnel!$H$32)*(1-Personnel!$I$32),0)+IF(AND(81&gt;=Personnel!$E$33,Personnel!$G$33="Yes"),Personnel!$D$33*(1-Personnel!$H$33)*(1-Personnel!$I$33),0)+IF(AND(81&gt;=Personnel!$E$34,Personnel!$G$34="Yes"),Personnel!$D$34*(1-Personnel!$H$34)*(1-Personnel!$I$34),0)+IF(AND(81&gt;=Personnel!$E$35,Personnel!$G$35="Yes"),Personnel!$D$35*(1-Personnel!$H$35)*(1-Personnel!$I$35),0)+IF(AND(81&gt;=Personnel!$E$36,Personnel!$G$36="Yes"),Personnel!$D$36*(1-Personnel!$H$36)*(1-Personnel!$I$36),0)+IF(AND(81&gt;=Personnel!$E$37,Personnel!$G$37="Yes"),Personnel!$D$37*(1-Personnel!$H$37)*(1-Personnel!$I$37),0)+IF(AND(81&gt;=Personnel!$E$38,Personnel!$G$38="Yes"),Personnel!$D$38*(1-Personnel!$H$38)*(1-Personnel!$I$38),0))</f>
        <v>25000</v>
      </c>
      <c r="CF5" s="105">
        <f>(IF(AND(82&gt;=Personnel!$E$32,Personnel!$G$32="Yes"),Personnel!$D$32*(1-Personnel!$H$32)*(1-Personnel!$I$32),0)+IF(AND(82&gt;=Personnel!$E$33,Personnel!$G$33="Yes"),Personnel!$D$33*(1-Personnel!$H$33)*(1-Personnel!$I$33),0)+IF(AND(82&gt;=Personnel!$E$34,Personnel!$G$34="Yes"),Personnel!$D$34*(1-Personnel!$H$34)*(1-Personnel!$I$34),0)+IF(AND(82&gt;=Personnel!$E$35,Personnel!$G$35="Yes"),Personnel!$D$35*(1-Personnel!$H$35)*(1-Personnel!$I$35),0)+IF(AND(82&gt;=Personnel!$E$36,Personnel!$G$36="Yes"),Personnel!$D$36*(1-Personnel!$H$36)*(1-Personnel!$I$36),0)+IF(AND(82&gt;=Personnel!$E$37,Personnel!$G$37="Yes"),Personnel!$D$37*(1-Personnel!$H$37)*(1-Personnel!$I$37),0)+IF(AND(82&gt;=Personnel!$E$38,Personnel!$G$38="Yes"),Personnel!$D$38*(1-Personnel!$H$38)*(1-Personnel!$I$38),0))</f>
        <v>25000</v>
      </c>
      <c r="CG5" s="105">
        <f>(IF(AND(83&gt;=Personnel!$E$32,Personnel!$G$32="Yes"),Personnel!$D$32*(1-Personnel!$H$32)*(1-Personnel!$I$32),0)+IF(AND(83&gt;=Personnel!$E$33,Personnel!$G$33="Yes"),Personnel!$D$33*(1-Personnel!$H$33)*(1-Personnel!$I$33),0)+IF(AND(83&gt;=Personnel!$E$34,Personnel!$G$34="Yes"),Personnel!$D$34*(1-Personnel!$H$34)*(1-Personnel!$I$34),0)+IF(AND(83&gt;=Personnel!$E$35,Personnel!$G$35="Yes"),Personnel!$D$35*(1-Personnel!$H$35)*(1-Personnel!$I$35),0)+IF(AND(83&gt;=Personnel!$E$36,Personnel!$G$36="Yes"),Personnel!$D$36*(1-Personnel!$H$36)*(1-Personnel!$I$36),0)+IF(AND(83&gt;=Personnel!$E$37,Personnel!$G$37="Yes"),Personnel!$D$37*(1-Personnel!$H$37)*(1-Personnel!$I$37),0)+IF(AND(83&gt;=Personnel!$E$38,Personnel!$G$38="Yes"),Personnel!$D$38*(1-Personnel!$H$38)*(1-Personnel!$I$38),0))</f>
        <v>25000</v>
      </c>
      <c r="CH5" s="105">
        <f>(IF(AND(84&gt;=Personnel!$E$32,Personnel!$G$32="Yes"),Personnel!$D$32*(1-Personnel!$H$32)*(1-Personnel!$I$32),0)+IF(AND(84&gt;=Personnel!$E$33,Personnel!$G$33="Yes"),Personnel!$D$33*(1-Personnel!$H$33)*(1-Personnel!$I$33),0)+IF(AND(84&gt;=Personnel!$E$34,Personnel!$G$34="Yes"),Personnel!$D$34*(1-Personnel!$H$34)*(1-Personnel!$I$34),0)+IF(AND(84&gt;=Personnel!$E$35,Personnel!$G$35="Yes"),Personnel!$D$35*(1-Personnel!$H$35)*(1-Personnel!$I$35),0)+IF(AND(84&gt;=Personnel!$E$36,Personnel!$G$36="Yes"),Personnel!$D$36*(1-Personnel!$H$36)*(1-Personnel!$I$36),0)+IF(AND(84&gt;=Personnel!$E$37,Personnel!$G$37="Yes"),Personnel!$D$37*(1-Personnel!$H$37)*(1-Personnel!$I$37),0)+IF(AND(84&gt;=Personnel!$E$38,Personnel!$G$38="Yes"),Personnel!$D$38*(1-Personnel!$H$38)*(1-Personnel!$I$38),0))</f>
        <v>25000</v>
      </c>
    </row>
    <row r="7" spans="1:86" ht="15" customHeight="1" x14ac:dyDescent="0.25">
      <c r="A7" s="101" t="s">
        <v>541</v>
      </c>
    </row>
    <row r="8" spans="1:86" ht="15" customHeight="1" x14ac:dyDescent="0.25">
      <c r="A8" s="99" t="s">
        <v>223</v>
      </c>
      <c r="C8" s="105">
        <f>IF(AND(Projects!$G$4="Yes",Projects!$F$4="Yes",1&gt;=Projects!$C$4,1&lt;Projects!$C$4+Projects!$D$4),Projects!$B$4*(1-SUMPRODUCT((Curves!$B$8:$AO$8)*(COLUMN(Curves!$B$8:$AO$8)-COLUMN(Curves!$B$8)+1&lt;=1-Projects!$C$4+1))),0)</f>
        <v>11187175.790685378</v>
      </c>
      <c r="D8" s="105">
        <f>IF(AND(Projects!$G$4="Yes",Projects!$F$4="Yes",2&gt;=Projects!$C$4,2&lt;Projects!$C$4+Projects!$D$4),Projects!$B$4*(1-SUMPRODUCT((Curves!$B$8:$AO$8)*(COLUMN(Curves!$B$8:$AO$8)-COLUMN(Curves!$B$8)+1&lt;=2-Projects!$C$4+1))),0)</f>
        <v>10356493.691643232</v>
      </c>
      <c r="E8" s="105">
        <f>IF(AND(Projects!$G$4="Yes",Projects!$F$4="Yes",3&gt;=Projects!$C$4,3&lt;Projects!$C$4+Projects!$D$4),Projects!$B$4*(1-SUMPRODUCT((Curves!$B$8:$AO$8)*(COLUMN(Curves!$B$8:$AO$8)-COLUMN(Curves!$B$8)+1&lt;=3-Projects!$C$4+1))),0)</f>
        <v>9450240.4833253007</v>
      </c>
      <c r="F8" s="105">
        <f>IF(AND(Projects!$G$4="Yes",Projects!$F$4="Yes",4&gt;=Projects!$C$4,4&lt;Projects!$C$4+Projects!$D$4),Projects!$B$4*(1-SUMPRODUCT((Curves!$B$8:$AO$8)*(COLUMN(Curves!$B$8:$AO$8)-COLUMN(Curves!$B$8)+1&lt;=4-Projects!$C$4+1))),0)</f>
        <v>8485833.1083679982</v>
      </c>
      <c r="G8" s="105">
        <f>IF(AND(Projects!$G$4="Yes",Projects!$F$4="Yes",5&gt;=Projects!$C$4,5&lt;Projects!$C$4+Projects!$D$4),Projects!$B$4*(1-SUMPRODUCT((Curves!$B$8:$AO$8)*(COLUMN(Curves!$B$8:$AO$8)-COLUMN(Curves!$B$8)+1&lt;=5-Projects!$C$4+1))),0)</f>
        <v>7484749.6715128645</v>
      </c>
      <c r="H8" s="105">
        <f>IF(AND(Projects!$G$4="Yes",Projects!$F$4="Yes",6&gt;=Projects!$C$4,6&lt;Projects!$C$4+Projects!$D$4),Projects!$B$4*(1-SUMPRODUCT((Curves!$B$8:$AO$8)*(COLUMN(Curves!$B$8:$AO$8)-COLUMN(Curves!$B$8)+1&lt;=6-Projects!$C$4+1))),0)</f>
        <v>6471133.8512542872</v>
      </c>
      <c r="I8" s="105">
        <f>IF(AND(Projects!$G$4="Yes",Projects!$F$4="Yes",7&gt;=Projects!$C$4,7&lt;Projects!$C$4+Projects!$D$4),Projects!$B$4*(1-SUMPRODUCT((Curves!$B$8:$AO$8)*(COLUMN(Curves!$B$8:$AO$8)-COLUMN(Curves!$B$8)+1&lt;=7-Projects!$C$4+1))),0)</f>
        <v>5470050.4143991536</v>
      </c>
      <c r="J8" s="105">
        <f>IF(AND(Projects!$G$4="Yes",Projects!$F$4="Yes",8&gt;=Projects!$C$4,8&lt;Projects!$C$4+Projects!$D$4),Projects!$B$4*(1-SUMPRODUCT((Curves!$B$8:$AO$8)*(COLUMN(Curves!$B$8:$AO$8)-COLUMN(Curves!$B$8)+1&lt;=8-Projects!$C$4+1))),0)</f>
        <v>4505643.0394418519</v>
      </c>
      <c r="K8" s="105">
        <f>IF(AND(Projects!$G$4="Yes",Projects!$F$4="Yes",9&gt;=Projects!$C$4,9&lt;Projects!$C$4+Projects!$D$4),Projects!$B$4*(1-SUMPRODUCT((Curves!$B$8:$AO$8)*(COLUMN(Curves!$B$8:$AO$8)-COLUMN(Curves!$B$8)+1&lt;=9-Projects!$C$4+1))),0)</f>
        <v>3599389.8311239216</v>
      </c>
      <c r="L8" s="105">
        <f>IF(AND(Projects!$G$4="Yes",Projects!$F$4="Yes",10&gt;=Projects!$C$4,10&lt;Projects!$C$4+Projects!$D$4),Projects!$B$4*(1-SUMPRODUCT((Curves!$B$8:$AO$8)*(COLUMN(Curves!$B$8:$AO$8)-COLUMN(Curves!$B$8)+1&lt;=10-Projects!$C$4+1))),0)</f>
        <v>2768707.7320817742</v>
      </c>
      <c r="M8" s="105">
        <f>IF(AND(Projects!$G$4="Yes",Projects!$F$4="Yes",11&gt;=Projects!$C$4,11&lt;Projects!$C$4+Projects!$D$4),Projects!$B$4*(1-SUMPRODUCT((Curves!$B$8:$AO$8)*(COLUMN(Curves!$B$8:$AO$8)-COLUMN(Curves!$B$8)+1&lt;=11-Projects!$C$4+1))),0)</f>
        <v>2026003.5227671519</v>
      </c>
      <c r="N8" s="105">
        <f>IF(AND(Projects!$G$4="Yes",Projects!$F$4="Yes",12&gt;=Projects!$C$4,12&lt;Projects!$C$4+Projects!$D$4),Projects!$B$4*(1-SUMPRODUCT((Curves!$B$8:$AO$8)*(COLUMN(Curves!$B$8:$AO$8)-COLUMN(Curves!$B$8)+1&lt;=12-Projects!$C$4+1))),0)</f>
        <v>1378283.0567084828</v>
      </c>
      <c r="O8" s="105">
        <f>IF(AND(Projects!$G$4="Yes",Projects!$F$4="Yes",13&gt;=Projects!$C$4,13&lt;Projects!$C$4+Projects!$D$4),Projects!$B$4*(1-SUMPRODUCT((Curves!$B$8:$AO$8)*(COLUMN(Curves!$B$8:$AO$8)-COLUMN(Curves!$B$8)+1&lt;=13-Projects!$C$4+1))),0)</f>
        <v>827276.86346258991</v>
      </c>
      <c r="P8" s="105">
        <f>IF(AND(Projects!$G$4="Yes",Projects!$F$4="Yes",14&gt;=Projects!$C$4,14&lt;Projects!$C$4+Projects!$D$4),Projects!$B$4*(1-SUMPRODUCT((Curves!$B$8:$AO$8)*(COLUMN(Curves!$B$8:$AO$8)-COLUMN(Curves!$B$8)+1&lt;=14-Projects!$C$4+1))),0)</f>
        <v>370068.16337321472</v>
      </c>
      <c r="Q8" s="105">
        <f>IF(AND(Projects!$G$4="Yes",Projects!$F$4="Yes",15&gt;=Projects!$C$4,15&lt;Projects!$C$4+Projects!$D$4),Projects!$B$4*(1-SUMPRODUCT((Curves!$B$8:$AO$8)*(COLUMN(Curves!$B$8:$AO$8)-COLUMN(Curves!$B$8)+1&lt;=15-Projects!$C$4+1))),0)</f>
        <v>-2.6489654914030325E-9</v>
      </c>
      <c r="R8" s="105">
        <f>IF(AND(Projects!$G$4="Yes",Projects!$F$4="Yes",16&gt;=Projects!$C$4,16&lt;Projects!$C$4+Projects!$D$4),Projects!$B$4*(1-SUMPRODUCT((Curves!$B$8:$AO$8)*(COLUMN(Curves!$B$8:$AO$8)-COLUMN(Curves!$B$8)+1&lt;=16-Projects!$C$4+1))),0)</f>
        <v>0</v>
      </c>
      <c r="S8" s="105">
        <f>IF(AND(Projects!$G$4="Yes",Projects!$F$4="Yes",17&gt;=Projects!$C$4,17&lt;Projects!$C$4+Projects!$D$4),Projects!$B$4*(1-SUMPRODUCT((Curves!$B$8:$AO$8)*(COLUMN(Curves!$B$8:$AO$8)-COLUMN(Curves!$B$8)+1&lt;=17-Projects!$C$4+1))),0)</f>
        <v>0</v>
      </c>
      <c r="T8" s="105">
        <f>IF(AND(Projects!$G$4="Yes",Projects!$F$4="Yes",18&gt;=Projects!$C$4,18&lt;Projects!$C$4+Projects!$D$4),Projects!$B$4*(1-SUMPRODUCT((Curves!$B$8:$AO$8)*(COLUMN(Curves!$B$8:$AO$8)-COLUMN(Curves!$B$8)+1&lt;=18-Projects!$C$4+1))),0)</f>
        <v>0</v>
      </c>
      <c r="U8" s="105">
        <f>IF(AND(Projects!$G$4="Yes",Projects!$F$4="Yes",19&gt;=Projects!$C$4,19&lt;Projects!$C$4+Projects!$D$4),Projects!$B$4*(1-SUMPRODUCT((Curves!$B$8:$AO$8)*(COLUMN(Curves!$B$8:$AO$8)-COLUMN(Curves!$B$8)+1&lt;=19-Projects!$C$4+1))),0)</f>
        <v>0</v>
      </c>
      <c r="V8" s="105">
        <f>IF(AND(Projects!$G$4="Yes",Projects!$F$4="Yes",20&gt;=Projects!$C$4,20&lt;Projects!$C$4+Projects!$D$4),Projects!$B$4*(1-SUMPRODUCT((Curves!$B$8:$AO$8)*(COLUMN(Curves!$B$8:$AO$8)-COLUMN(Curves!$B$8)+1&lt;=20-Projects!$C$4+1))),0)</f>
        <v>0</v>
      </c>
      <c r="W8" s="105">
        <f>IF(AND(Projects!$G$4="Yes",Projects!$F$4="Yes",21&gt;=Projects!$C$4,21&lt;Projects!$C$4+Projects!$D$4),Projects!$B$4*(1-SUMPRODUCT((Curves!$B$8:$AO$8)*(COLUMN(Curves!$B$8:$AO$8)-COLUMN(Curves!$B$8)+1&lt;=21-Projects!$C$4+1))),0)</f>
        <v>0</v>
      </c>
      <c r="X8" s="105">
        <f>IF(AND(Projects!$G$4="Yes",Projects!$F$4="Yes",22&gt;=Projects!$C$4,22&lt;Projects!$C$4+Projects!$D$4),Projects!$B$4*(1-SUMPRODUCT((Curves!$B$8:$AO$8)*(COLUMN(Curves!$B$8:$AO$8)-COLUMN(Curves!$B$8)+1&lt;=22-Projects!$C$4+1))),0)</f>
        <v>0</v>
      </c>
      <c r="Y8" s="105">
        <f>IF(AND(Projects!$G$4="Yes",Projects!$F$4="Yes",23&gt;=Projects!$C$4,23&lt;Projects!$C$4+Projects!$D$4),Projects!$B$4*(1-SUMPRODUCT((Curves!$B$8:$AO$8)*(COLUMN(Curves!$B$8:$AO$8)-COLUMN(Curves!$B$8)+1&lt;=23-Projects!$C$4+1))),0)</f>
        <v>0</v>
      </c>
      <c r="Z8" s="105">
        <f>IF(AND(Projects!$G$4="Yes",Projects!$F$4="Yes",24&gt;=Projects!$C$4,24&lt;Projects!$C$4+Projects!$D$4),Projects!$B$4*(1-SUMPRODUCT((Curves!$B$8:$AO$8)*(COLUMN(Curves!$B$8:$AO$8)-COLUMN(Curves!$B$8)+1&lt;=24-Projects!$C$4+1))),0)</f>
        <v>0</v>
      </c>
      <c r="AA8" s="105">
        <f>IF(AND(Projects!$G$4="Yes",Projects!$F$4="Yes",25&gt;=Projects!$C$4,25&lt;Projects!$C$4+Projects!$D$4),Projects!$B$4*(1-SUMPRODUCT((Curves!$B$8:$AO$8)*(COLUMN(Curves!$B$8:$AO$8)-COLUMN(Curves!$B$8)+1&lt;=25-Projects!$C$4+1))),0)</f>
        <v>0</v>
      </c>
      <c r="AB8" s="105">
        <f>IF(AND(Projects!$G$4="Yes",Projects!$F$4="Yes",26&gt;=Projects!$C$4,26&lt;Projects!$C$4+Projects!$D$4),Projects!$B$4*(1-SUMPRODUCT((Curves!$B$8:$AO$8)*(COLUMN(Curves!$B$8:$AO$8)-COLUMN(Curves!$B$8)+1&lt;=26-Projects!$C$4+1))),0)</f>
        <v>0</v>
      </c>
      <c r="AC8" s="105">
        <f>IF(AND(Projects!$G$4="Yes",Projects!$F$4="Yes",27&gt;=Projects!$C$4,27&lt;Projects!$C$4+Projects!$D$4),Projects!$B$4*(1-SUMPRODUCT((Curves!$B$8:$AO$8)*(COLUMN(Curves!$B$8:$AO$8)-COLUMN(Curves!$B$8)+1&lt;=27-Projects!$C$4+1))),0)</f>
        <v>0</v>
      </c>
      <c r="AD8" s="105">
        <f>IF(AND(Projects!$G$4="Yes",Projects!$F$4="Yes",28&gt;=Projects!$C$4,28&lt;Projects!$C$4+Projects!$D$4),Projects!$B$4*(1-SUMPRODUCT((Curves!$B$8:$AO$8)*(COLUMN(Curves!$B$8:$AO$8)-COLUMN(Curves!$B$8)+1&lt;=28-Projects!$C$4+1))),0)</f>
        <v>0</v>
      </c>
      <c r="AE8" s="105">
        <f>IF(AND(Projects!$G$4="Yes",Projects!$F$4="Yes",29&gt;=Projects!$C$4,29&lt;Projects!$C$4+Projects!$D$4),Projects!$B$4*(1-SUMPRODUCT((Curves!$B$8:$AO$8)*(COLUMN(Curves!$B$8:$AO$8)-COLUMN(Curves!$B$8)+1&lt;=29-Projects!$C$4+1))),0)</f>
        <v>0</v>
      </c>
      <c r="AF8" s="105">
        <f>IF(AND(Projects!$G$4="Yes",Projects!$F$4="Yes",30&gt;=Projects!$C$4,30&lt;Projects!$C$4+Projects!$D$4),Projects!$B$4*(1-SUMPRODUCT((Curves!$B$8:$AO$8)*(COLUMN(Curves!$B$8:$AO$8)-COLUMN(Curves!$B$8)+1&lt;=30-Projects!$C$4+1))),0)</f>
        <v>0</v>
      </c>
      <c r="AG8" s="105">
        <f>IF(AND(Projects!$G$4="Yes",Projects!$F$4="Yes",31&gt;=Projects!$C$4,31&lt;Projects!$C$4+Projects!$D$4),Projects!$B$4*(1-SUMPRODUCT((Curves!$B$8:$AO$8)*(COLUMN(Curves!$B$8:$AO$8)-COLUMN(Curves!$B$8)+1&lt;=31-Projects!$C$4+1))),0)</f>
        <v>0</v>
      </c>
      <c r="AH8" s="105">
        <f>IF(AND(Projects!$G$4="Yes",Projects!$F$4="Yes",32&gt;=Projects!$C$4,32&lt;Projects!$C$4+Projects!$D$4),Projects!$B$4*(1-SUMPRODUCT((Curves!$B$8:$AO$8)*(COLUMN(Curves!$B$8:$AO$8)-COLUMN(Curves!$B$8)+1&lt;=32-Projects!$C$4+1))),0)</f>
        <v>0</v>
      </c>
      <c r="AI8" s="105">
        <f>IF(AND(Projects!$G$4="Yes",Projects!$F$4="Yes",33&gt;=Projects!$C$4,33&lt;Projects!$C$4+Projects!$D$4),Projects!$B$4*(1-SUMPRODUCT((Curves!$B$8:$AO$8)*(COLUMN(Curves!$B$8:$AO$8)-COLUMN(Curves!$B$8)+1&lt;=33-Projects!$C$4+1))),0)</f>
        <v>0</v>
      </c>
      <c r="AJ8" s="105">
        <f>IF(AND(Projects!$G$4="Yes",Projects!$F$4="Yes",34&gt;=Projects!$C$4,34&lt;Projects!$C$4+Projects!$D$4),Projects!$B$4*(1-SUMPRODUCT((Curves!$B$8:$AO$8)*(COLUMN(Curves!$B$8:$AO$8)-COLUMN(Curves!$B$8)+1&lt;=34-Projects!$C$4+1))),0)</f>
        <v>0</v>
      </c>
      <c r="AK8" s="105">
        <f>IF(AND(Projects!$G$4="Yes",Projects!$F$4="Yes",35&gt;=Projects!$C$4,35&lt;Projects!$C$4+Projects!$D$4),Projects!$B$4*(1-SUMPRODUCT((Curves!$B$8:$AO$8)*(COLUMN(Curves!$B$8:$AO$8)-COLUMN(Curves!$B$8)+1&lt;=35-Projects!$C$4+1))),0)</f>
        <v>0</v>
      </c>
      <c r="AL8" s="105">
        <f>IF(AND(Projects!$G$4="Yes",Projects!$F$4="Yes",36&gt;=Projects!$C$4,36&lt;Projects!$C$4+Projects!$D$4),Projects!$B$4*(1-SUMPRODUCT((Curves!$B$8:$AO$8)*(COLUMN(Curves!$B$8:$AO$8)-COLUMN(Curves!$B$8)+1&lt;=36-Projects!$C$4+1))),0)</f>
        <v>0</v>
      </c>
      <c r="AM8" s="105">
        <f>IF(AND(Projects!$G$4="Yes",Projects!$F$4="Yes",37&gt;=Projects!$C$4,37&lt;Projects!$C$4+Projects!$D$4),Projects!$B$4*(1-SUMPRODUCT((Curves!$B$8:$AO$8)*(COLUMN(Curves!$B$8:$AO$8)-COLUMN(Curves!$B$8)+1&lt;=37-Projects!$C$4+1))),0)</f>
        <v>0</v>
      </c>
      <c r="AN8" s="105">
        <f>IF(AND(Projects!$G$4="Yes",Projects!$F$4="Yes",38&gt;=Projects!$C$4,38&lt;Projects!$C$4+Projects!$D$4),Projects!$B$4*(1-SUMPRODUCT((Curves!$B$8:$AO$8)*(COLUMN(Curves!$B$8:$AO$8)-COLUMN(Curves!$B$8)+1&lt;=38-Projects!$C$4+1))),0)</f>
        <v>0</v>
      </c>
      <c r="AO8" s="105">
        <f>IF(AND(Projects!$G$4="Yes",Projects!$F$4="Yes",39&gt;=Projects!$C$4,39&lt;Projects!$C$4+Projects!$D$4),Projects!$B$4*(1-SUMPRODUCT((Curves!$B$8:$AO$8)*(COLUMN(Curves!$B$8:$AO$8)-COLUMN(Curves!$B$8)+1&lt;=39-Projects!$C$4+1))),0)</f>
        <v>0</v>
      </c>
      <c r="AP8" s="105">
        <f>IF(AND(Projects!$G$4="Yes",Projects!$F$4="Yes",40&gt;=Projects!$C$4,40&lt;Projects!$C$4+Projects!$D$4),Projects!$B$4*(1-SUMPRODUCT((Curves!$B$8:$AO$8)*(COLUMN(Curves!$B$8:$AO$8)-COLUMN(Curves!$B$8)+1&lt;=40-Projects!$C$4+1))),0)</f>
        <v>0</v>
      </c>
      <c r="AQ8" s="105">
        <f>IF(AND(Projects!$G$4="Yes",Projects!$F$4="Yes",41&gt;=Projects!$C$4,41&lt;Projects!$C$4+Projects!$D$4),Projects!$B$4*(1-SUMPRODUCT((Curves!$B$8:$AO$8)*(COLUMN(Curves!$B$8:$AO$8)-COLUMN(Curves!$B$8)+1&lt;=41-Projects!$C$4+1))),0)</f>
        <v>0</v>
      </c>
      <c r="AR8" s="105">
        <f>IF(AND(Projects!$G$4="Yes",Projects!$F$4="Yes",42&gt;=Projects!$C$4,42&lt;Projects!$C$4+Projects!$D$4),Projects!$B$4*(1-SUMPRODUCT((Curves!$B$8:$AO$8)*(COLUMN(Curves!$B$8:$AO$8)-COLUMN(Curves!$B$8)+1&lt;=42-Projects!$C$4+1))),0)</f>
        <v>0</v>
      </c>
      <c r="AS8" s="105">
        <f>IF(AND(Projects!$G$4="Yes",Projects!$F$4="Yes",43&gt;=Projects!$C$4,43&lt;Projects!$C$4+Projects!$D$4),Projects!$B$4*(1-SUMPRODUCT((Curves!$B$8:$AO$8)*(COLUMN(Curves!$B$8:$AO$8)-COLUMN(Curves!$B$8)+1&lt;=43-Projects!$C$4+1))),0)</f>
        <v>0</v>
      </c>
      <c r="AT8" s="105">
        <f>IF(AND(Projects!$G$4="Yes",Projects!$F$4="Yes",44&gt;=Projects!$C$4,44&lt;Projects!$C$4+Projects!$D$4),Projects!$B$4*(1-SUMPRODUCT((Curves!$B$8:$AO$8)*(COLUMN(Curves!$B$8:$AO$8)-COLUMN(Curves!$B$8)+1&lt;=44-Projects!$C$4+1))),0)</f>
        <v>0</v>
      </c>
      <c r="AU8" s="105">
        <f>IF(AND(Projects!$G$4="Yes",Projects!$F$4="Yes",45&gt;=Projects!$C$4,45&lt;Projects!$C$4+Projects!$D$4),Projects!$B$4*(1-SUMPRODUCT((Curves!$B$8:$AO$8)*(COLUMN(Curves!$B$8:$AO$8)-COLUMN(Curves!$B$8)+1&lt;=45-Projects!$C$4+1))),0)</f>
        <v>0</v>
      </c>
      <c r="AV8" s="105">
        <f>IF(AND(Projects!$G$4="Yes",Projects!$F$4="Yes",46&gt;=Projects!$C$4,46&lt;Projects!$C$4+Projects!$D$4),Projects!$B$4*(1-SUMPRODUCT((Curves!$B$8:$AO$8)*(COLUMN(Curves!$B$8:$AO$8)-COLUMN(Curves!$B$8)+1&lt;=46-Projects!$C$4+1))),0)</f>
        <v>0</v>
      </c>
      <c r="AW8" s="105">
        <f>IF(AND(Projects!$G$4="Yes",Projects!$F$4="Yes",47&gt;=Projects!$C$4,47&lt;Projects!$C$4+Projects!$D$4),Projects!$B$4*(1-SUMPRODUCT((Curves!$B$8:$AO$8)*(COLUMN(Curves!$B$8:$AO$8)-COLUMN(Curves!$B$8)+1&lt;=47-Projects!$C$4+1))),0)</f>
        <v>0</v>
      </c>
      <c r="AX8" s="105">
        <f>IF(AND(Projects!$G$4="Yes",Projects!$F$4="Yes",48&gt;=Projects!$C$4,48&lt;Projects!$C$4+Projects!$D$4),Projects!$B$4*(1-SUMPRODUCT((Curves!$B$8:$AO$8)*(COLUMN(Curves!$B$8:$AO$8)-COLUMN(Curves!$B$8)+1&lt;=48-Projects!$C$4+1))),0)</f>
        <v>0</v>
      </c>
      <c r="AY8" s="105">
        <f>IF(AND(Projects!$G$4="Yes",Projects!$F$4="Yes",49&gt;=Projects!$C$4,49&lt;Projects!$C$4+Projects!$D$4),Projects!$B$4*(1-SUMPRODUCT((Curves!$B$8:$AO$8)*(COLUMN(Curves!$B$8:$AO$8)-COLUMN(Curves!$B$8)+1&lt;=49-Projects!$C$4+1))),0)</f>
        <v>0</v>
      </c>
      <c r="AZ8" s="105">
        <f>IF(AND(Projects!$G$4="Yes",Projects!$F$4="Yes",50&gt;=Projects!$C$4,50&lt;Projects!$C$4+Projects!$D$4),Projects!$B$4*(1-SUMPRODUCT((Curves!$B$8:$AO$8)*(COLUMN(Curves!$B$8:$AO$8)-COLUMN(Curves!$B$8)+1&lt;=50-Projects!$C$4+1))),0)</f>
        <v>0</v>
      </c>
      <c r="BA8" s="105">
        <f>IF(AND(Projects!$G$4="Yes",Projects!$F$4="Yes",51&gt;=Projects!$C$4,51&lt;Projects!$C$4+Projects!$D$4),Projects!$B$4*(1-SUMPRODUCT((Curves!$B$8:$AO$8)*(COLUMN(Curves!$B$8:$AO$8)-COLUMN(Curves!$B$8)+1&lt;=51-Projects!$C$4+1))),0)</f>
        <v>0</v>
      </c>
      <c r="BB8" s="105">
        <f>IF(AND(Projects!$G$4="Yes",Projects!$F$4="Yes",52&gt;=Projects!$C$4,52&lt;Projects!$C$4+Projects!$D$4),Projects!$B$4*(1-SUMPRODUCT((Curves!$B$8:$AO$8)*(COLUMN(Curves!$B$8:$AO$8)-COLUMN(Curves!$B$8)+1&lt;=52-Projects!$C$4+1))),0)</f>
        <v>0</v>
      </c>
      <c r="BC8" s="105">
        <f>IF(AND(Projects!$G$4="Yes",Projects!$F$4="Yes",53&gt;=Projects!$C$4,53&lt;Projects!$C$4+Projects!$D$4),Projects!$B$4*(1-SUMPRODUCT((Curves!$B$8:$AO$8)*(COLUMN(Curves!$B$8:$AO$8)-COLUMN(Curves!$B$8)+1&lt;=53-Projects!$C$4+1))),0)</f>
        <v>0</v>
      </c>
      <c r="BD8" s="105">
        <f>IF(AND(Projects!$G$4="Yes",Projects!$F$4="Yes",54&gt;=Projects!$C$4,54&lt;Projects!$C$4+Projects!$D$4),Projects!$B$4*(1-SUMPRODUCT((Curves!$B$8:$AO$8)*(COLUMN(Curves!$B$8:$AO$8)-COLUMN(Curves!$B$8)+1&lt;=54-Projects!$C$4+1))),0)</f>
        <v>0</v>
      </c>
      <c r="BE8" s="105">
        <f>IF(AND(Projects!$G$4="Yes",Projects!$F$4="Yes",55&gt;=Projects!$C$4,55&lt;Projects!$C$4+Projects!$D$4),Projects!$B$4*(1-SUMPRODUCT((Curves!$B$8:$AO$8)*(COLUMN(Curves!$B$8:$AO$8)-COLUMN(Curves!$B$8)+1&lt;=55-Projects!$C$4+1))),0)</f>
        <v>0</v>
      </c>
      <c r="BF8" s="105">
        <f>IF(AND(Projects!$G$4="Yes",Projects!$F$4="Yes",56&gt;=Projects!$C$4,56&lt;Projects!$C$4+Projects!$D$4),Projects!$B$4*(1-SUMPRODUCT((Curves!$B$8:$AO$8)*(COLUMN(Curves!$B$8:$AO$8)-COLUMN(Curves!$B$8)+1&lt;=56-Projects!$C$4+1))),0)</f>
        <v>0</v>
      </c>
      <c r="BG8" s="105">
        <f>IF(AND(Projects!$G$4="Yes",Projects!$F$4="Yes",57&gt;=Projects!$C$4,57&lt;Projects!$C$4+Projects!$D$4),Projects!$B$4*(1-SUMPRODUCT((Curves!$B$8:$AO$8)*(COLUMN(Curves!$B$8:$AO$8)-COLUMN(Curves!$B$8)+1&lt;=57-Projects!$C$4+1))),0)</f>
        <v>0</v>
      </c>
      <c r="BH8" s="105">
        <f>IF(AND(Projects!$G$4="Yes",Projects!$F$4="Yes",58&gt;=Projects!$C$4,58&lt;Projects!$C$4+Projects!$D$4),Projects!$B$4*(1-SUMPRODUCT((Curves!$B$8:$AO$8)*(COLUMN(Curves!$B$8:$AO$8)-COLUMN(Curves!$B$8)+1&lt;=58-Projects!$C$4+1))),0)</f>
        <v>0</v>
      </c>
      <c r="BI8" s="105">
        <f>IF(AND(Projects!$G$4="Yes",Projects!$F$4="Yes",59&gt;=Projects!$C$4,59&lt;Projects!$C$4+Projects!$D$4),Projects!$B$4*(1-SUMPRODUCT((Curves!$B$8:$AO$8)*(COLUMN(Curves!$B$8:$AO$8)-COLUMN(Curves!$B$8)+1&lt;=59-Projects!$C$4+1))),0)</f>
        <v>0</v>
      </c>
      <c r="BJ8" s="105">
        <f>IF(AND(Projects!$G$4="Yes",Projects!$F$4="Yes",60&gt;=Projects!$C$4,60&lt;Projects!$C$4+Projects!$D$4),Projects!$B$4*(1-SUMPRODUCT((Curves!$B$8:$AO$8)*(COLUMN(Curves!$B$8:$AO$8)-COLUMN(Curves!$B$8)+1&lt;=60-Projects!$C$4+1))),0)</f>
        <v>0</v>
      </c>
      <c r="BK8" s="105">
        <f>IF(AND(Projects!$G$4="Yes",Projects!$F$4="Yes",61&gt;=Projects!$C$4,61&lt;Projects!$C$4+Projects!$D$4),Projects!$B$4*(1-SUMPRODUCT((Curves!$B$8:$AO$8)*(COLUMN(Curves!$B$8:$AO$8)-COLUMN(Curves!$B$8)+1&lt;=61-Projects!$C$4+1))),0)</f>
        <v>0</v>
      </c>
      <c r="BL8" s="105">
        <f>IF(AND(Projects!$G$4="Yes",Projects!$F$4="Yes",62&gt;=Projects!$C$4,62&lt;Projects!$C$4+Projects!$D$4),Projects!$B$4*(1-SUMPRODUCT((Curves!$B$8:$AO$8)*(COLUMN(Curves!$B$8:$AO$8)-COLUMN(Curves!$B$8)+1&lt;=62-Projects!$C$4+1))),0)</f>
        <v>0</v>
      </c>
      <c r="BM8" s="105">
        <f>IF(AND(Projects!$G$4="Yes",Projects!$F$4="Yes",63&gt;=Projects!$C$4,63&lt;Projects!$C$4+Projects!$D$4),Projects!$B$4*(1-SUMPRODUCT((Curves!$B$8:$AO$8)*(COLUMN(Curves!$B$8:$AO$8)-COLUMN(Curves!$B$8)+1&lt;=63-Projects!$C$4+1))),0)</f>
        <v>0</v>
      </c>
      <c r="BN8" s="105">
        <f>IF(AND(Projects!$G$4="Yes",Projects!$F$4="Yes",64&gt;=Projects!$C$4,64&lt;Projects!$C$4+Projects!$D$4),Projects!$B$4*(1-SUMPRODUCT((Curves!$B$8:$AO$8)*(COLUMN(Curves!$B$8:$AO$8)-COLUMN(Curves!$B$8)+1&lt;=64-Projects!$C$4+1))),0)</f>
        <v>0</v>
      </c>
      <c r="BO8" s="105">
        <f>IF(AND(Projects!$G$4="Yes",Projects!$F$4="Yes",65&gt;=Projects!$C$4,65&lt;Projects!$C$4+Projects!$D$4),Projects!$B$4*(1-SUMPRODUCT((Curves!$B$8:$AO$8)*(COLUMN(Curves!$B$8:$AO$8)-COLUMN(Curves!$B$8)+1&lt;=65-Projects!$C$4+1))),0)</f>
        <v>0</v>
      </c>
      <c r="BP8" s="105">
        <f>IF(AND(Projects!$G$4="Yes",Projects!$F$4="Yes",66&gt;=Projects!$C$4,66&lt;Projects!$C$4+Projects!$D$4),Projects!$B$4*(1-SUMPRODUCT((Curves!$B$8:$AO$8)*(COLUMN(Curves!$B$8:$AO$8)-COLUMN(Curves!$B$8)+1&lt;=66-Projects!$C$4+1))),0)</f>
        <v>0</v>
      </c>
      <c r="BQ8" s="105">
        <f>IF(AND(Projects!$G$4="Yes",Projects!$F$4="Yes",67&gt;=Projects!$C$4,67&lt;Projects!$C$4+Projects!$D$4),Projects!$B$4*(1-SUMPRODUCT((Curves!$B$8:$AO$8)*(COLUMN(Curves!$B$8:$AO$8)-COLUMN(Curves!$B$8)+1&lt;=67-Projects!$C$4+1))),0)</f>
        <v>0</v>
      </c>
      <c r="BR8" s="105">
        <f>IF(AND(Projects!$G$4="Yes",Projects!$F$4="Yes",68&gt;=Projects!$C$4,68&lt;Projects!$C$4+Projects!$D$4),Projects!$B$4*(1-SUMPRODUCT((Curves!$B$8:$AO$8)*(COLUMN(Curves!$B$8:$AO$8)-COLUMN(Curves!$B$8)+1&lt;=68-Projects!$C$4+1))),0)</f>
        <v>0</v>
      </c>
      <c r="BS8" s="105">
        <f>IF(AND(Projects!$G$4="Yes",Projects!$F$4="Yes",69&gt;=Projects!$C$4,69&lt;Projects!$C$4+Projects!$D$4),Projects!$B$4*(1-SUMPRODUCT((Curves!$B$8:$AO$8)*(COLUMN(Curves!$B$8:$AO$8)-COLUMN(Curves!$B$8)+1&lt;=69-Projects!$C$4+1))),0)</f>
        <v>0</v>
      </c>
      <c r="BT8" s="105">
        <f>IF(AND(Projects!$G$4="Yes",Projects!$F$4="Yes",70&gt;=Projects!$C$4,70&lt;Projects!$C$4+Projects!$D$4),Projects!$B$4*(1-SUMPRODUCT((Curves!$B$8:$AO$8)*(COLUMN(Curves!$B$8:$AO$8)-COLUMN(Curves!$B$8)+1&lt;=70-Projects!$C$4+1))),0)</f>
        <v>0</v>
      </c>
      <c r="BU8" s="105">
        <f>IF(AND(Projects!$G$4="Yes",Projects!$F$4="Yes",71&gt;=Projects!$C$4,71&lt;Projects!$C$4+Projects!$D$4),Projects!$B$4*(1-SUMPRODUCT((Curves!$B$8:$AO$8)*(COLUMN(Curves!$B$8:$AO$8)-COLUMN(Curves!$B$8)+1&lt;=71-Projects!$C$4+1))),0)</f>
        <v>0</v>
      </c>
      <c r="BV8" s="105">
        <f>IF(AND(Projects!$G$4="Yes",Projects!$F$4="Yes",72&gt;=Projects!$C$4,72&lt;Projects!$C$4+Projects!$D$4),Projects!$B$4*(1-SUMPRODUCT((Curves!$B$8:$AO$8)*(COLUMN(Curves!$B$8:$AO$8)-COLUMN(Curves!$B$8)+1&lt;=72-Projects!$C$4+1))),0)</f>
        <v>0</v>
      </c>
      <c r="BW8" s="105">
        <f>IF(AND(Projects!$G$4="Yes",Projects!$F$4="Yes",73&gt;=Projects!$C$4,73&lt;Projects!$C$4+Projects!$D$4),Projects!$B$4*(1-SUMPRODUCT((Curves!$B$8:$AO$8)*(COLUMN(Curves!$B$8:$AO$8)-COLUMN(Curves!$B$8)+1&lt;=73-Projects!$C$4+1))),0)</f>
        <v>0</v>
      </c>
      <c r="BX8" s="105">
        <f>IF(AND(Projects!$G$4="Yes",Projects!$F$4="Yes",74&gt;=Projects!$C$4,74&lt;Projects!$C$4+Projects!$D$4),Projects!$B$4*(1-SUMPRODUCT((Curves!$B$8:$AO$8)*(COLUMN(Curves!$B$8:$AO$8)-COLUMN(Curves!$B$8)+1&lt;=74-Projects!$C$4+1))),0)</f>
        <v>0</v>
      </c>
      <c r="BY8" s="105">
        <f>IF(AND(Projects!$G$4="Yes",Projects!$F$4="Yes",75&gt;=Projects!$C$4,75&lt;Projects!$C$4+Projects!$D$4),Projects!$B$4*(1-SUMPRODUCT((Curves!$B$8:$AO$8)*(COLUMN(Curves!$B$8:$AO$8)-COLUMN(Curves!$B$8)+1&lt;=75-Projects!$C$4+1))),0)</f>
        <v>0</v>
      </c>
      <c r="BZ8" s="105">
        <f>IF(AND(Projects!$G$4="Yes",Projects!$F$4="Yes",76&gt;=Projects!$C$4,76&lt;Projects!$C$4+Projects!$D$4),Projects!$B$4*(1-SUMPRODUCT((Curves!$B$8:$AO$8)*(COLUMN(Curves!$B$8:$AO$8)-COLUMN(Curves!$B$8)+1&lt;=76-Projects!$C$4+1))),0)</f>
        <v>0</v>
      </c>
      <c r="CA8" s="105">
        <f>IF(AND(Projects!$G$4="Yes",Projects!$F$4="Yes",77&gt;=Projects!$C$4,77&lt;Projects!$C$4+Projects!$D$4),Projects!$B$4*(1-SUMPRODUCT((Curves!$B$8:$AO$8)*(COLUMN(Curves!$B$8:$AO$8)-COLUMN(Curves!$B$8)+1&lt;=77-Projects!$C$4+1))),0)</f>
        <v>0</v>
      </c>
      <c r="CB8" s="105">
        <f>IF(AND(Projects!$G$4="Yes",Projects!$F$4="Yes",78&gt;=Projects!$C$4,78&lt;Projects!$C$4+Projects!$D$4),Projects!$B$4*(1-SUMPRODUCT((Curves!$B$8:$AO$8)*(COLUMN(Curves!$B$8:$AO$8)-COLUMN(Curves!$B$8)+1&lt;=78-Projects!$C$4+1))),0)</f>
        <v>0</v>
      </c>
      <c r="CC8" s="105">
        <f>IF(AND(Projects!$G$4="Yes",Projects!$F$4="Yes",79&gt;=Projects!$C$4,79&lt;Projects!$C$4+Projects!$D$4),Projects!$B$4*(1-SUMPRODUCT((Curves!$B$8:$AO$8)*(COLUMN(Curves!$B$8:$AO$8)-COLUMN(Curves!$B$8)+1&lt;=79-Projects!$C$4+1))),0)</f>
        <v>0</v>
      </c>
      <c r="CD8" s="105">
        <f>IF(AND(Projects!$G$4="Yes",Projects!$F$4="Yes",80&gt;=Projects!$C$4,80&lt;Projects!$C$4+Projects!$D$4),Projects!$B$4*(1-SUMPRODUCT((Curves!$B$8:$AO$8)*(COLUMN(Curves!$B$8:$AO$8)-COLUMN(Curves!$B$8)+1&lt;=80-Projects!$C$4+1))),0)</f>
        <v>0</v>
      </c>
      <c r="CE8" s="105">
        <f>IF(AND(Projects!$G$4="Yes",Projects!$F$4="Yes",81&gt;=Projects!$C$4,81&lt;Projects!$C$4+Projects!$D$4),Projects!$B$4*(1-SUMPRODUCT((Curves!$B$8:$AO$8)*(COLUMN(Curves!$B$8:$AO$8)-COLUMN(Curves!$B$8)+1&lt;=81-Projects!$C$4+1))),0)</f>
        <v>0</v>
      </c>
      <c r="CF8" s="105">
        <f>IF(AND(Projects!$G$4="Yes",Projects!$F$4="Yes",82&gt;=Projects!$C$4,82&lt;Projects!$C$4+Projects!$D$4),Projects!$B$4*(1-SUMPRODUCT((Curves!$B$8:$AO$8)*(COLUMN(Curves!$B$8:$AO$8)-COLUMN(Curves!$B$8)+1&lt;=82-Projects!$C$4+1))),0)</f>
        <v>0</v>
      </c>
      <c r="CG8" s="105">
        <f>IF(AND(Projects!$G$4="Yes",Projects!$F$4="Yes",83&gt;=Projects!$C$4,83&lt;Projects!$C$4+Projects!$D$4),Projects!$B$4*(1-SUMPRODUCT((Curves!$B$8:$AO$8)*(COLUMN(Curves!$B$8:$AO$8)-COLUMN(Curves!$B$8)+1&lt;=83-Projects!$C$4+1))),0)</f>
        <v>0</v>
      </c>
      <c r="CH8" s="105">
        <f>IF(AND(Projects!$G$4="Yes",Projects!$F$4="Yes",84&gt;=Projects!$C$4,84&lt;Projects!$C$4+Projects!$D$4),Projects!$B$4*(1-SUMPRODUCT((Curves!$B$8:$AO$8)*(COLUMN(Curves!$B$8:$AO$8)-COLUMN(Curves!$B$8)+1&lt;=84-Projects!$C$4+1))),0)</f>
        <v>0</v>
      </c>
    </row>
    <row r="9" spans="1:86" ht="15" customHeight="1" x14ac:dyDescent="0.25">
      <c r="A9" s="99" t="s">
        <v>224</v>
      </c>
      <c r="C9" s="105">
        <f>IF(AND(Projects!$G$5="Yes",Projects!$F$5="Yes",1&gt;=Projects!$C$5,1&lt;Projects!$C$5+Projects!$D$5),Projects!$B$5*(1-SUMPRODUCT((Curves!$B$9:$AO$9)*(COLUMN(Curves!$B$9:$AO$9)-COLUMN(Curves!$B$9)+1&lt;=1-Projects!$C$5+1))),0)</f>
        <v>13529664.556191422</v>
      </c>
      <c r="D9" s="105">
        <f>IF(AND(Projects!$G$5="Yes",Projects!$F$5="Yes",2&gt;=Projects!$C$5,2&lt;Projects!$C$5+Projects!$D$5),Projects!$B$5*(1-SUMPRODUCT((Curves!$B$9:$AO$9)*(COLUMN(Curves!$B$9:$AO$9)-COLUMN(Curves!$B$9)+1&lt;=2-Projects!$C$5+1))),0)</f>
        <v>12525045.484930303</v>
      </c>
      <c r="E9" s="105">
        <f>IF(AND(Projects!$G$5="Yes",Projects!$F$5="Yes",3&gt;=Projects!$C$5,3&lt;Projects!$C$5+Projects!$D$5),Projects!$B$5*(1-SUMPRODUCT((Curves!$B$9:$AO$9)*(COLUMN(Curves!$B$9:$AO$9)-COLUMN(Curves!$B$9)+1&lt;=3-Projects!$C$5+1))),0)</f>
        <v>11429031.429110885</v>
      </c>
      <c r="F9" s="105">
        <f>IF(AND(Projects!$G$5="Yes",Projects!$F$5="Yes",4&gt;=Projects!$C$5,4&lt;Projects!$C$5+Projects!$D$5),Projects!$B$5*(1-SUMPRODUCT((Curves!$B$9:$AO$9)*(COLUMN(Curves!$B$9:$AO$9)-COLUMN(Curves!$B$9)+1&lt;=4-Projects!$C$5+1))),0)</f>
        <v>10262686.274370983</v>
      </c>
      <c r="G9" s="105">
        <f>IF(AND(Projects!$G$5="Yes",Projects!$F$5="Yes",5&gt;=Projects!$C$5,5&lt;Projects!$C$5+Projects!$D$5),Projects!$B$5*(1-SUMPRODUCT((Curves!$B$9:$AO$9)*(COLUMN(Curves!$B$9:$AO$9)-COLUMN(Curves!$B$9)+1&lt;=5-Projects!$C$5+1))),0)</f>
        <v>9051985.4373745341</v>
      </c>
      <c r="H9" s="105">
        <f>IF(AND(Projects!$G$5="Yes",Projects!$F$5="Yes",6&gt;=Projects!$C$5,6&lt;Projects!$C$5+Projects!$D$5),Projects!$B$5*(1-SUMPRODUCT((Curves!$B$9:$AO$9)*(COLUMN(Curves!$B$9:$AO$9)-COLUMN(Curves!$B$9)+1&lt;=6-Projects!$C$5+1))),0)</f>
        <v>7826128.054462418</v>
      </c>
      <c r="I9" s="105">
        <f>IF(AND(Projects!$G$5="Yes",Projects!$F$5="Yes",7&gt;=Projects!$C$5,7&lt;Projects!$C$5+Projects!$D$5),Projects!$B$5*(1-SUMPRODUCT((Curves!$B$9:$AO$9)*(COLUMN(Curves!$B$9:$AO$9)-COLUMN(Curves!$B$9)+1&lt;=7-Projects!$C$5+1))),0)</f>
        <v>6615427.2174659697</v>
      </c>
      <c r="J9" s="105">
        <f>IF(AND(Projects!$G$5="Yes",Projects!$F$5="Yes",8&gt;=Projects!$C$5,8&lt;Projects!$C$5+Projects!$D$5),Projects!$B$5*(1-SUMPRODUCT((Curves!$B$9:$AO$9)*(COLUMN(Curves!$B$9:$AO$9)-COLUMN(Curves!$B$9)+1&lt;=8-Projects!$C$5+1))),0)</f>
        <v>5449082.0627260674</v>
      </c>
      <c r="K9" s="105">
        <f>IF(AND(Projects!$G$5="Yes",Projects!$F$5="Yes",9&gt;=Projects!$C$5,9&lt;Projects!$C$5+Projects!$D$5),Projects!$B$5*(1-SUMPRODUCT((Curves!$B$9:$AO$9)*(COLUMN(Curves!$B$9:$AO$9)-COLUMN(Curves!$B$9)+1&lt;=9-Projects!$C$5+1))),0)</f>
        <v>4353068.0069066519</v>
      </c>
      <c r="L9" s="105">
        <f>IF(AND(Projects!$G$5="Yes",Projects!$F$5="Yes",10&gt;=Projects!$C$5,10&lt;Projects!$C$5+Projects!$D$5),Projects!$B$5*(1-SUMPRODUCT((Curves!$B$9:$AO$9)*(COLUMN(Curves!$B$9:$AO$9)-COLUMN(Curves!$B$9)+1&lt;=10-Projects!$C$5+1))),0)</f>
        <v>3348448.9356455314</v>
      </c>
      <c r="M9" s="105">
        <f>IF(AND(Projects!$G$5="Yes",Projects!$F$5="Yes",11&gt;=Projects!$C$5,11&lt;Projects!$C$5+Projects!$D$5),Projects!$B$5*(1-SUMPRODUCT((Curves!$B$9:$AO$9)*(COLUMN(Curves!$B$9:$AO$9)-COLUMN(Curves!$B$9)+1&lt;=11-Projects!$C$5+1))),0)</f>
        <v>2450229.4918369525</v>
      </c>
      <c r="N9" s="105">
        <f>IF(AND(Projects!$G$5="Yes",Projects!$F$5="Yes",12&gt;=Projects!$C$5,12&lt;Projects!$C$5+Projects!$D$5),Projects!$B$5*(1-SUMPRODUCT((Curves!$B$9:$AO$9)*(COLUMN(Curves!$B$9:$AO$9)-COLUMN(Curves!$B$9)+1&lt;=12-Projects!$C$5+1))),0)</f>
        <v>1666882.4884538162</v>
      </c>
      <c r="O9" s="105">
        <f>IF(AND(Projects!$G$5="Yes",Projects!$F$5="Yes",13&gt;=Projects!$C$5,13&lt;Projects!$C$5+Projects!$D$5),Projects!$B$5*(1-SUMPRODUCT((Curves!$B$9:$AO$9)*(COLUMN(Curves!$B$9:$AO$9)-COLUMN(Curves!$B$9)+1&lt;=13-Projects!$C$5+1))),0)</f>
        <v>1000500.8115691092</v>
      </c>
      <c r="P9" s="105">
        <f>IF(AND(Projects!$G$5="Yes",Projects!$F$5="Yes",14&gt;=Projects!$C$5,14&lt;Projects!$C$5+Projects!$D$5),Projects!$B$5*(1-SUMPRODUCT((Curves!$B$9:$AO$9)*(COLUMN(Curves!$B$9:$AO$9)-COLUMN(Curves!$B$9)+1&lt;=14-Projects!$C$5+1))),0)</f>
        <v>447556.93546303821</v>
      </c>
      <c r="Q9" s="105">
        <f>IF(AND(Projects!$G$5="Yes",Projects!$F$5="Yes",15&gt;=Projects!$C$5,15&lt;Projects!$C$5+Projects!$D$5),Projects!$B$5*(1-SUMPRODUCT((Curves!$B$9:$AO$9)*(COLUMN(Curves!$B$9:$AO$9)-COLUMN(Curves!$B$9)+1&lt;=15-Projects!$C$5+1))),0)</f>
        <v>-3.2036338026841804E-9</v>
      </c>
      <c r="R9" s="105">
        <f>IF(AND(Projects!$G$5="Yes",Projects!$F$5="Yes",16&gt;=Projects!$C$5,16&lt;Projects!$C$5+Projects!$D$5),Projects!$B$5*(1-SUMPRODUCT((Curves!$B$9:$AO$9)*(COLUMN(Curves!$B$9:$AO$9)-COLUMN(Curves!$B$9)+1&lt;=16-Projects!$C$5+1))),0)</f>
        <v>0</v>
      </c>
      <c r="S9" s="105">
        <f>IF(AND(Projects!$G$5="Yes",Projects!$F$5="Yes",17&gt;=Projects!$C$5,17&lt;Projects!$C$5+Projects!$D$5),Projects!$B$5*(1-SUMPRODUCT((Curves!$B$9:$AO$9)*(COLUMN(Curves!$B$9:$AO$9)-COLUMN(Curves!$B$9)+1&lt;=17-Projects!$C$5+1))),0)</f>
        <v>0</v>
      </c>
      <c r="T9" s="105">
        <f>IF(AND(Projects!$G$5="Yes",Projects!$F$5="Yes",18&gt;=Projects!$C$5,18&lt;Projects!$C$5+Projects!$D$5),Projects!$B$5*(1-SUMPRODUCT((Curves!$B$9:$AO$9)*(COLUMN(Curves!$B$9:$AO$9)-COLUMN(Curves!$B$9)+1&lt;=18-Projects!$C$5+1))),0)</f>
        <v>0</v>
      </c>
      <c r="U9" s="105">
        <f>IF(AND(Projects!$G$5="Yes",Projects!$F$5="Yes",19&gt;=Projects!$C$5,19&lt;Projects!$C$5+Projects!$D$5),Projects!$B$5*(1-SUMPRODUCT((Curves!$B$9:$AO$9)*(COLUMN(Curves!$B$9:$AO$9)-COLUMN(Curves!$B$9)+1&lt;=19-Projects!$C$5+1))),0)</f>
        <v>0</v>
      </c>
      <c r="V9" s="105">
        <f>IF(AND(Projects!$G$5="Yes",Projects!$F$5="Yes",20&gt;=Projects!$C$5,20&lt;Projects!$C$5+Projects!$D$5),Projects!$B$5*(1-SUMPRODUCT((Curves!$B$9:$AO$9)*(COLUMN(Curves!$B$9:$AO$9)-COLUMN(Curves!$B$9)+1&lt;=20-Projects!$C$5+1))),0)</f>
        <v>0</v>
      </c>
      <c r="W9" s="105">
        <f>IF(AND(Projects!$G$5="Yes",Projects!$F$5="Yes",21&gt;=Projects!$C$5,21&lt;Projects!$C$5+Projects!$D$5),Projects!$B$5*(1-SUMPRODUCT((Curves!$B$9:$AO$9)*(COLUMN(Curves!$B$9:$AO$9)-COLUMN(Curves!$B$9)+1&lt;=21-Projects!$C$5+1))),0)</f>
        <v>0</v>
      </c>
      <c r="X9" s="105">
        <f>IF(AND(Projects!$G$5="Yes",Projects!$F$5="Yes",22&gt;=Projects!$C$5,22&lt;Projects!$C$5+Projects!$D$5),Projects!$B$5*(1-SUMPRODUCT((Curves!$B$9:$AO$9)*(COLUMN(Curves!$B$9:$AO$9)-COLUMN(Curves!$B$9)+1&lt;=22-Projects!$C$5+1))),0)</f>
        <v>0</v>
      </c>
      <c r="Y9" s="105">
        <f>IF(AND(Projects!$G$5="Yes",Projects!$F$5="Yes",23&gt;=Projects!$C$5,23&lt;Projects!$C$5+Projects!$D$5),Projects!$B$5*(1-SUMPRODUCT((Curves!$B$9:$AO$9)*(COLUMN(Curves!$B$9:$AO$9)-COLUMN(Curves!$B$9)+1&lt;=23-Projects!$C$5+1))),0)</f>
        <v>0</v>
      </c>
      <c r="Z9" s="105">
        <f>IF(AND(Projects!$G$5="Yes",Projects!$F$5="Yes",24&gt;=Projects!$C$5,24&lt;Projects!$C$5+Projects!$D$5),Projects!$B$5*(1-SUMPRODUCT((Curves!$B$9:$AO$9)*(COLUMN(Curves!$B$9:$AO$9)-COLUMN(Curves!$B$9)+1&lt;=24-Projects!$C$5+1))),0)</f>
        <v>0</v>
      </c>
      <c r="AA9" s="105">
        <f>IF(AND(Projects!$G$5="Yes",Projects!$F$5="Yes",25&gt;=Projects!$C$5,25&lt;Projects!$C$5+Projects!$D$5),Projects!$B$5*(1-SUMPRODUCT((Curves!$B$9:$AO$9)*(COLUMN(Curves!$B$9:$AO$9)-COLUMN(Curves!$B$9)+1&lt;=25-Projects!$C$5+1))),0)</f>
        <v>0</v>
      </c>
      <c r="AB9" s="105">
        <f>IF(AND(Projects!$G$5="Yes",Projects!$F$5="Yes",26&gt;=Projects!$C$5,26&lt;Projects!$C$5+Projects!$D$5),Projects!$B$5*(1-SUMPRODUCT((Curves!$B$9:$AO$9)*(COLUMN(Curves!$B$9:$AO$9)-COLUMN(Curves!$B$9)+1&lt;=26-Projects!$C$5+1))),0)</f>
        <v>0</v>
      </c>
      <c r="AC9" s="105">
        <f>IF(AND(Projects!$G$5="Yes",Projects!$F$5="Yes",27&gt;=Projects!$C$5,27&lt;Projects!$C$5+Projects!$D$5),Projects!$B$5*(1-SUMPRODUCT((Curves!$B$9:$AO$9)*(COLUMN(Curves!$B$9:$AO$9)-COLUMN(Curves!$B$9)+1&lt;=27-Projects!$C$5+1))),0)</f>
        <v>0</v>
      </c>
      <c r="AD9" s="105">
        <f>IF(AND(Projects!$G$5="Yes",Projects!$F$5="Yes",28&gt;=Projects!$C$5,28&lt;Projects!$C$5+Projects!$D$5),Projects!$B$5*(1-SUMPRODUCT((Curves!$B$9:$AO$9)*(COLUMN(Curves!$B$9:$AO$9)-COLUMN(Curves!$B$9)+1&lt;=28-Projects!$C$5+1))),0)</f>
        <v>0</v>
      </c>
      <c r="AE9" s="105">
        <f>IF(AND(Projects!$G$5="Yes",Projects!$F$5="Yes",29&gt;=Projects!$C$5,29&lt;Projects!$C$5+Projects!$D$5),Projects!$B$5*(1-SUMPRODUCT((Curves!$B$9:$AO$9)*(COLUMN(Curves!$B$9:$AO$9)-COLUMN(Curves!$B$9)+1&lt;=29-Projects!$C$5+1))),0)</f>
        <v>0</v>
      </c>
      <c r="AF9" s="105">
        <f>IF(AND(Projects!$G$5="Yes",Projects!$F$5="Yes",30&gt;=Projects!$C$5,30&lt;Projects!$C$5+Projects!$D$5),Projects!$B$5*(1-SUMPRODUCT((Curves!$B$9:$AO$9)*(COLUMN(Curves!$B$9:$AO$9)-COLUMN(Curves!$B$9)+1&lt;=30-Projects!$C$5+1))),0)</f>
        <v>0</v>
      </c>
      <c r="AG9" s="105">
        <f>IF(AND(Projects!$G$5="Yes",Projects!$F$5="Yes",31&gt;=Projects!$C$5,31&lt;Projects!$C$5+Projects!$D$5),Projects!$B$5*(1-SUMPRODUCT((Curves!$B$9:$AO$9)*(COLUMN(Curves!$B$9:$AO$9)-COLUMN(Curves!$B$9)+1&lt;=31-Projects!$C$5+1))),0)</f>
        <v>0</v>
      </c>
      <c r="AH9" s="105">
        <f>IF(AND(Projects!$G$5="Yes",Projects!$F$5="Yes",32&gt;=Projects!$C$5,32&lt;Projects!$C$5+Projects!$D$5),Projects!$B$5*(1-SUMPRODUCT((Curves!$B$9:$AO$9)*(COLUMN(Curves!$B$9:$AO$9)-COLUMN(Curves!$B$9)+1&lt;=32-Projects!$C$5+1))),0)</f>
        <v>0</v>
      </c>
      <c r="AI9" s="105">
        <f>IF(AND(Projects!$G$5="Yes",Projects!$F$5="Yes",33&gt;=Projects!$C$5,33&lt;Projects!$C$5+Projects!$D$5),Projects!$B$5*(1-SUMPRODUCT((Curves!$B$9:$AO$9)*(COLUMN(Curves!$B$9:$AO$9)-COLUMN(Curves!$B$9)+1&lt;=33-Projects!$C$5+1))),0)</f>
        <v>0</v>
      </c>
      <c r="AJ9" s="105">
        <f>IF(AND(Projects!$G$5="Yes",Projects!$F$5="Yes",34&gt;=Projects!$C$5,34&lt;Projects!$C$5+Projects!$D$5),Projects!$B$5*(1-SUMPRODUCT((Curves!$B$9:$AO$9)*(COLUMN(Curves!$B$9:$AO$9)-COLUMN(Curves!$B$9)+1&lt;=34-Projects!$C$5+1))),0)</f>
        <v>0</v>
      </c>
      <c r="AK9" s="105">
        <f>IF(AND(Projects!$G$5="Yes",Projects!$F$5="Yes",35&gt;=Projects!$C$5,35&lt;Projects!$C$5+Projects!$D$5),Projects!$B$5*(1-SUMPRODUCT((Curves!$B$9:$AO$9)*(COLUMN(Curves!$B$9:$AO$9)-COLUMN(Curves!$B$9)+1&lt;=35-Projects!$C$5+1))),0)</f>
        <v>0</v>
      </c>
      <c r="AL9" s="105">
        <f>IF(AND(Projects!$G$5="Yes",Projects!$F$5="Yes",36&gt;=Projects!$C$5,36&lt;Projects!$C$5+Projects!$D$5),Projects!$B$5*(1-SUMPRODUCT((Curves!$B$9:$AO$9)*(COLUMN(Curves!$B$9:$AO$9)-COLUMN(Curves!$B$9)+1&lt;=36-Projects!$C$5+1))),0)</f>
        <v>0</v>
      </c>
      <c r="AM9" s="105">
        <f>IF(AND(Projects!$G$5="Yes",Projects!$F$5="Yes",37&gt;=Projects!$C$5,37&lt;Projects!$C$5+Projects!$D$5),Projects!$B$5*(1-SUMPRODUCT((Curves!$B$9:$AO$9)*(COLUMN(Curves!$B$9:$AO$9)-COLUMN(Curves!$B$9)+1&lt;=37-Projects!$C$5+1))),0)</f>
        <v>0</v>
      </c>
      <c r="AN9" s="105">
        <f>IF(AND(Projects!$G$5="Yes",Projects!$F$5="Yes",38&gt;=Projects!$C$5,38&lt;Projects!$C$5+Projects!$D$5),Projects!$B$5*(1-SUMPRODUCT((Curves!$B$9:$AO$9)*(COLUMN(Curves!$B$9:$AO$9)-COLUMN(Curves!$B$9)+1&lt;=38-Projects!$C$5+1))),0)</f>
        <v>0</v>
      </c>
      <c r="AO9" s="105">
        <f>IF(AND(Projects!$G$5="Yes",Projects!$F$5="Yes",39&gt;=Projects!$C$5,39&lt;Projects!$C$5+Projects!$D$5),Projects!$B$5*(1-SUMPRODUCT((Curves!$B$9:$AO$9)*(COLUMN(Curves!$B$9:$AO$9)-COLUMN(Curves!$B$9)+1&lt;=39-Projects!$C$5+1))),0)</f>
        <v>0</v>
      </c>
      <c r="AP9" s="105">
        <f>IF(AND(Projects!$G$5="Yes",Projects!$F$5="Yes",40&gt;=Projects!$C$5,40&lt;Projects!$C$5+Projects!$D$5),Projects!$B$5*(1-SUMPRODUCT((Curves!$B$9:$AO$9)*(COLUMN(Curves!$B$9:$AO$9)-COLUMN(Curves!$B$9)+1&lt;=40-Projects!$C$5+1))),0)</f>
        <v>0</v>
      </c>
      <c r="AQ9" s="105">
        <f>IF(AND(Projects!$G$5="Yes",Projects!$F$5="Yes",41&gt;=Projects!$C$5,41&lt;Projects!$C$5+Projects!$D$5),Projects!$B$5*(1-SUMPRODUCT((Curves!$B$9:$AO$9)*(COLUMN(Curves!$B$9:$AO$9)-COLUMN(Curves!$B$9)+1&lt;=41-Projects!$C$5+1))),0)</f>
        <v>0</v>
      </c>
      <c r="AR9" s="105">
        <f>IF(AND(Projects!$G$5="Yes",Projects!$F$5="Yes",42&gt;=Projects!$C$5,42&lt;Projects!$C$5+Projects!$D$5),Projects!$B$5*(1-SUMPRODUCT((Curves!$B$9:$AO$9)*(COLUMN(Curves!$B$9:$AO$9)-COLUMN(Curves!$B$9)+1&lt;=42-Projects!$C$5+1))),0)</f>
        <v>0</v>
      </c>
      <c r="AS9" s="105">
        <f>IF(AND(Projects!$G$5="Yes",Projects!$F$5="Yes",43&gt;=Projects!$C$5,43&lt;Projects!$C$5+Projects!$D$5),Projects!$B$5*(1-SUMPRODUCT((Curves!$B$9:$AO$9)*(COLUMN(Curves!$B$9:$AO$9)-COLUMN(Curves!$B$9)+1&lt;=43-Projects!$C$5+1))),0)</f>
        <v>0</v>
      </c>
      <c r="AT9" s="105">
        <f>IF(AND(Projects!$G$5="Yes",Projects!$F$5="Yes",44&gt;=Projects!$C$5,44&lt;Projects!$C$5+Projects!$D$5),Projects!$B$5*(1-SUMPRODUCT((Curves!$B$9:$AO$9)*(COLUMN(Curves!$B$9:$AO$9)-COLUMN(Curves!$B$9)+1&lt;=44-Projects!$C$5+1))),0)</f>
        <v>0</v>
      </c>
      <c r="AU9" s="105">
        <f>IF(AND(Projects!$G$5="Yes",Projects!$F$5="Yes",45&gt;=Projects!$C$5,45&lt;Projects!$C$5+Projects!$D$5),Projects!$B$5*(1-SUMPRODUCT((Curves!$B$9:$AO$9)*(COLUMN(Curves!$B$9:$AO$9)-COLUMN(Curves!$B$9)+1&lt;=45-Projects!$C$5+1))),0)</f>
        <v>0</v>
      </c>
      <c r="AV9" s="105">
        <f>IF(AND(Projects!$G$5="Yes",Projects!$F$5="Yes",46&gt;=Projects!$C$5,46&lt;Projects!$C$5+Projects!$D$5),Projects!$B$5*(1-SUMPRODUCT((Curves!$B$9:$AO$9)*(COLUMN(Curves!$B$9:$AO$9)-COLUMN(Curves!$B$9)+1&lt;=46-Projects!$C$5+1))),0)</f>
        <v>0</v>
      </c>
      <c r="AW9" s="105">
        <f>IF(AND(Projects!$G$5="Yes",Projects!$F$5="Yes",47&gt;=Projects!$C$5,47&lt;Projects!$C$5+Projects!$D$5),Projects!$B$5*(1-SUMPRODUCT((Curves!$B$9:$AO$9)*(COLUMN(Curves!$B$9:$AO$9)-COLUMN(Curves!$B$9)+1&lt;=47-Projects!$C$5+1))),0)</f>
        <v>0</v>
      </c>
      <c r="AX9" s="105">
        <f>IF(AND(Projects!$G$5="Yes",Projects!$F$5="Yes",48&gt;=Projects!$C$5,48&lt;Projects!$C$5+Projects!$D$5),Projects!$B$5*(1-SUMPRODUCT((Curves!$B$9:$AO$9)*(COLUMN(Curves!$B$9:$AO$9)-COLUMN(Curves!$B$9)+1&lt;=48-Projects!$C$5+1))),0)</f>
        <v>0</v>
      </c>
      <c r="AY9" s="105">
        <f>IF(AND(Projects!$G$5="Yes",Projects!$F$5="Yes",49&gt;=Projects!$C$5,49&lt;Projects!$C$5+Projects!$D$5),Projects!$B$5*(1-SUMPRODUCT((Curves!$B$9:$AO$9)*(COLUMN(Curves!$B$9:$AO$9)-COLUMN(Curves!$B$9)+1&lt;=49-Projects!$C$5+1))),0)</f>
        <v>0</v>
      </c>
      <c r="AZ9" s="105">
        <f>IF(AND(Projects!$G$5="Yes",Projects!$F$5="Yes",50&gt;=Projects!$C$5,50&lt;Projects!$C$5+Projects!$D$5),Projects!$B$5*(1-SUMPRODUCT((Curves!$B$9:$AO$9)*(COLUMN(Curves!$B$9:$AO$9)-COLUMN(Curves!$B$9)+1&lt;=50-Projects!$C$5+1))),0)</f>
        <v>0</v>
      </c>
      <c r="BA9" s="105">
        <f>IF(AND(Projects!$G$5="Yes",Projects!$F$5="Yes",51&gt;=Projects!$C$5,51&lt;Projects!$C$5+Projects!$D$5),Projects!$B$5*(1-SUMPRODUCT((Curves!$B$9:$AO$9)*(COLUMN(Curves!$B$9:$AO$9)-COLUMN(Curves!$B$9)+1&lt;=51-Projects!$C$5+1))),0)</f>
        <v>0</v>
      </c>
      <c r="BB9" s="105">
        <f>IF(AND(Projects!$G$5="Yes",Projects!$F$5="Yes",52&gt;=Projects!$C$5,52&lt;Projects!$C$5+Projects!$D$5),Projects!$B$5*(1-SUMPRODUCT((Curves!$B$9:$AO$9)*(COLUMN(Curves!$B$9:$AO$9)-COLUMN(Curves!$B$9)+1&lt;=52-Projects!$C$5+1))),0)</f>
        <v>0</v>
      </c>
      <c r="BC9" s="105">
        <f>IF(AND(Projects!$G$5="Yes",Projects!$F$5="Yes",53&gt;=Projects!$C$5,53&lt;Projects!$C$5+Projects!$D$5),Projects!$B$5*(1-SUMPRODUCT((Curves!$B$9:$AO$9)*(COLUMN(Curves!$B$9:$AO$9)-COLUMN(Curves!$B$9)+1&lt;=53-Projects!$C$5+1))),0)</f>
        <v>0</v>
      </c>
      <c r="BD9" s="105">
        <f>IF(AND(Projects!$G$5="Yes",Projects!$F$5="Yes",54&gt;=Projects!$C$5,54&lt;Projects!$C$5+Projects!$D$5),Projects!$B$5*(1-SUMPRODUCT((Curves!$B$9:$AO$9)*(COLUMN(Curves!$B$9:$AO$9)-COLUMN(Curves!$B$9)+1&lt;=54-Projects!$C$5+1))),0)</f>
        <v>0</v>
      </c>
      <c r="BE9" s="105">
        <f>IF(AND(Projects!$G$5="Yes",Projects!$F$5="Yes",55&gt;=Projects!$C$5,55&lt;Projects!$C$5+Projects!$D$5),Projects!$B$5*(1-SUMPRODUCT((Curves!$B$9:$AO$9)*(COLUMN(Curves!$B$9:$AO$9)-COLUMN(Curves!$B$9)+1&lt;=55-Projects!$C$5+1))),0)</f>
        <v>0</v>
      </c>
      <c r="BF9" s="105">
        <f>IF(AND(Projects!$G$5="Yes",Projects!$F$5="Yes",56&gt;=Projects!$C$5,56&lt;Projects!$C$5+Projects!$D$5),Projects!$B$5*(1-SUMPRODUCT((Curves!$B$9:$AO$9)*(COLUMN(Curves!$B$9:$AO$9)-COLUMN(Curves!$B$9)+1&lt;=56-Projects!$C$5+1))),0)</f>
        <v>0</v>
      </c>
      <c r="BG9" s="105">
        <f>IF(AND(Projects!$G$5="Yes",Projects!$F$5="Yes",57&gt;=Projects!$C$5,57&lt;Projects!$C$5+Projects!$D$5),Projects!$B$5*(1-SUMPRODUCT((Curves!$B$9:$AO$9)*(COLUMN(Curves!$B$9:$AO$9)-COLUMN(Curves!$B$9)+1&lt;=57-Projects!$C$5+1))),0)</f>
        <v>0</v>
      </c>
      <c r="BH9" s="105">
        <f>IF(AND(Projects!$G$5="Yes",Projects!$F$5="Yes",58&gt;=Projects!$C$5,58&lt;Projects!$C$5+Projects!$D$5),Projects!$B$5*(1-SUMPRODUCT((Curves!$B$9:$AO$9)*(COLUMN(Curves!$B$9:$AO$9)-COLUMN(Curves!$B$9)+1&lt;=58-Projects!$C$5+1))),0)</f>
        <v>0</v>
      </c>
      <c r="BI9" s="105">
        <f>IF(AND(Projects!$G$5="Yes",Projects!$F$5="Yes",59&gt;=Projects!$C$5,59&lt;Projects!$C$5+Projects!$D$5),Projects!$B$5*(1-SUMPRODUCT((Curves!$B$9:$AO$9)*(COLUMN(Curves!$B$9:$AO$9)-COLUMN(Curves!$B$9)+1&lt;=59-Projects!$C$5+1))),0)</f>
        <v>0</v>
      </c>
      <c r="BJ9" s="105">
        <f>IF(AND(Projects!$G$5="Yes",Projects!$F$5="Yes",60&gt;=Projects!$C$5,60&lt;Projects!$C$5+Projects!$D$5),Projects!$B$5*(1-SUMPRODUCT((Curves!$B$9:$AO$9)*(COLUMN(Curves!$B$9:$AO$9)-COLUMN(Curves!$B$9)+1&lt;=60-Projects!$C$5+1))),0)</f>
        <v>0</v>
      </c>
      <c r="BK9" s="105">
        <f>IF(AND(Projects!$G$5="Yes",Projects!$F$5="Yes",61&gt;=Projects!$C$5,61&lt;Projects!$C$5+Projects!$D$5),Projects!$B$5*(1-SUMPRODUCT((Curves!$B$9:$AO$9)*(COLUMN(Curves!$B$9:$AO$9)-COLUMN(Curves!$B$9)+1&lt;=61-Projects!$C$5+1))),0)</f>
        <v>0</v>
      </c>
      <c r="BL9" s="105">
        <f>IF(AND(Projects!$G$5="Yes",Projects!$F$5="Yes",62&gt;=Projects!$C$5,62&lt;Projects!$C$5+Projects!$D$5),Projects!$B$5*(1-SUMPRODUCT((Curves!$B$9:$AO$9)*(COLUMN(Curves!$B$9:$AO$9)-COLUMN(Curves!$B$9)+1&lt;=62-Projects!$C$5+1))),0)</f>
        <v>0</v>
      </c>
      <c r="BM9" s="105">
        <f>IF(AND(Projects!$G$5="Yes",Projects!$F$5="Yes",63&gt;=Projects!$C$5,63&lt;Projects!$C$5+Projects!$D$5),Projects!$B$5*(1-SUMPRODUCT((Curves!$B$9:$AO$9)*(COLUMN(Curves!$B$9:$AO$9)-COLUMN(Curves!$B$9)+1&lt;=63-Projects!$C$5+1))),0)</f>
        <v>0</v>
      </c>
      <c r="BN9" s="105">
        <f>IF(AND(Projects!$G$5="Yes",Projects!$F$5="Yes",64&gt;=Projects!$C$5,64&lt;Projects!$C$5+Projects!$D$5),Projects!$B$5*(1-SUMPRODUCT((Curves!$B$9:$AO$9)*(COLUMN(Curves!$B$9:$AO$9)-COLUMN(Curves!$B$9)+1&lt;=64-Projects!$C$5+1))),0)</f>
        <v>0</v>
      </c>
      <c r="BO9" s="105">
        <f>IF(AND(Projects!$G$5="Yes",Projects!$F$5="Yes",65&gt;=Projects!$C$5,65&lt;Projects!$C$5+Projects!$D$5),Projects!$B$5*(1-SUMPRODUCT((Curves!$B$9:$AO$9)*(COLUMN(Curves!$B$9:$AO$9)-COLUMN(Curves!$B$9)+1&lt;=65-Projects!$C$5+1))),0)</f>
        <v>0</v>
      </c>
      <c r="BP9" s="105">
        <f>IF(AND(Projects!$G$5="Yes",Projects!$F$5="Yes",66&gt;=Projects!$C$5,66&lt;Projects!$C$5+Projects!$D$5),Projects!$B$5*(1-SUMPRODUCT((Curves!$B$9:$AO$9)*(COLUMN(Curves!$B$9:$AO$9)-COLUMN(Curves!$B$9)+1&lt;=66-Projects!$C$5+1))),0)</f>
        <v>0</v>
      </c>
      <c r="BQ9" s="105">
        <f>IF(AND(Projects!$G$5="Yes",Projects!$F$5="Yes",67&gt;=Projects!$C$5,67&lt;Projects!$C$5+Projects!$D$5),Projects!$B$5*(1-SUMPRODUCT((Curves!$B$9:$AO$9)*(COLUMN(Curves!$B$9:$AO$9)-COLUMN(Curves!$B$9)+1&lt;=67-Projects!$C$5+1))),0)</f>
        <v>0</v>
      </c>
      <c r="BR9" s="105">
        <f>IF(AND(Projects!$G$5="Yes",Projects!$F$5="Yes",68&gt;=Projects!$C$5,68&lt;Projects!$C$5+Projects!$D$5),Projects!$B$5*(1-SUMPRODUCT((Curves!$B$9:$AO$9)*(COLUMN(Curves!$B$9:$AO$9)-COLUMN(Curves!$B$9)+1&lt;=68-Projects!$C$5+1))),0)</f>
        <v>0</v>
      </c>
      <c r="BS9" s="105">
        <f>IF(AND(Projects!$G$5="Yes",Projects!$F$5="Yes",69&gt;=Projects!$C$5,69&lt;Projects!$C$5+Projects!$D$5),Projects!$B$5*(1-SUMPRODUCT((Curves!$B$9:$AO$9)*(COLUMN(Curves!$B$9:$AO$9)-COLUMN(Curves!$B$9)+1&lt;=69-Projects!$C$5+1))),0)</f>
        <v>0</v>
      </c>
      <c r="BT9" s="105">
        <f>IF(AND(Projects!$G$5="Yes",Projects!$F$5="Yes",70&gt;=Projects!$C$5,70&lt;Projects!$C$5+Projects!$D$5),Projects!$B$5*(1-SUMPRODUCT((Curves!$B$9:$AO$9)*(COLUMN(Curves!$B$9:$AO$9)-COLUMN(Curves!$B$9)+1&lt;=70-Projects!$C$5+1))),0)</f>
        <v>0</v>
      </c>
      <c r="BU9" s="105">
        <f>IF(AND(Projects!$G$5="Yes",Projects!$F$5="Yes",71&gt;=Projects!$C$5,71&lt;Projects!$C$5+Projects!$D$5),Projects!$B$5*(1-SUMPRODUCT((Curves!$B$9:$AO$9)*(COLUMN(Curves!$B$9:$AO$9)-COLUMN(Curves!$B$9)+1&lt;=71-Projects!$C$5+1))),0)</f>
        <v>0</v>
      </c>
      <c r="BV9" s="105">
        <f>IF(AND(Projects!$G$5="Yes",Projects!$F$5="Yes",72&gt;=Projects!$C$5,72&lt;Projects!$C$5+Projects!$D$5),Projects!$B$5*(1-SUMPRODUCT((Curves!$B$9:$AO$9)*(COLUMN(Curves!$B$9:$AO$9)-COLUMN(Curves!$B$9)+1&lt;=72-Projects!$C$5+1))),0)</f>
        <v>0</v>
      </c>
      <c r="BW9" s="105">
        <f>IF(AND(Projects!$G$5="Yes",Projects!$F$5="Yes",73&gt;=Projects!$C$5,73&lt;Projects!$C$5+Projects!$D$5),Projects!$B$5*(1-SUMPRODUCT((Curves!$B$9:$AO$9)*(COLUMN(Curves!$B$9:$AO$9)-COLUMN(Curves!$B$9)+1&lt;=73-Projects!$C$5+1))),0)</f>
        <v>0</v>
      </c>
      <c r="BX9" s="105">
        <f>IF(AND(Projects!$G$5="Yes",Projects!$F$5="Yes",74&gt;=Projects!$C$5,74&lt;Projects!$C$5+Projects!$D$5),Projects!$B$5*(1-SUMPRODUCT((Curves!$B$9:$AO$9)*(COLUMN(Curves!$B$9:$AO$9)-COLUMN(Curves!$B$9)+1&lt;=74-Projects!$C$5+1))),0)</f>
        <v>0</v>
      </c>
      <c r="BY9" s="105">
        <f>IF(AND(Projects!$G$5="Yes",Projects!$F$5="Yes",75&gt;=Projects!$C$5,75&lt;Projects!$C$5+Projects!$D$5),Projects!$B$5*(1-SUMPRODUCT((Curves!$B$9:$AO$9)*(COLUMN(Curves!$B$9:$AO$9)-COLUMN(Curves!$B$9)+1&lt;=75-Projects!$C$5+1))),0)</f>
        <v>0</v>
      </c>
      <c r="BZ9" s="105">
        <f>IF(AND(Projects!$G$5="Yes",Projects!$F$5="Yes",76&gt;=Projects!$C$5,76&lt;Projects!$C$5+Projects!$D$5),Projects!$B$5*(1-SUMPRODUCT((Curves!$B$9:$AO$9)*(COLUMN(Curves!$B$9:$AO$9)-COLUMN(Curves!$B$9)+1&lt;=76-Projects!$C$5+1))),0)</f>
        <v>0</v>
      </c>
      <c r="CA9" s="105">
        <f>IF(AND(Projects!$G$5="Yes",Projects!$F$5="Yes",77&gt;=Projects!$C$5,77&lt;Projects!$C$5+Projects!$D$5),Projects!$B$5*(1-SUMPRODUCT((Curves!$B$9:$AO$9)*(COLUMN(Curves!$B$9:$AO$9)-COLUMN(Curves!$B$9)+1&lt;=77-Projects!$C$5+1))),0)</f>
        <v>0</v>
      </c>
      <c r="CB9" s="105">
        <f>IF(AND(Projects!$G$5="Yes",Projects!$F$5="Yes",78&gt;=Projects!$C$5,78&lt;Projects!$C$5+Projects!$D$5),Projects!$B$5*(1-SUMPRODUCT((Curves!$B$9:$AO$9)*(COLUMN(Curves!$B$9:$AO$9)-COLUMN(Curves!$B$9)+1&lt;=78-Projects!$C$5+1))),0)</f>
        <v>0</v>
      </c>
      <c r="CC9" s="105">
        <f>IF(AND(Projects!$G$5="Yes",Projects!$F$5="Yes",79&gt;=Projects!$C$5,79&lt;Projects!$C$5+Projects!$D$5),Projects!$B$5*(1-SUMPRODUCT((Curves!$B$9:$AO$9)*(COLUMN(Curves!$B$9:$AO$9)-COLUMN(Curves!$B$9)+1&lt;=79-Projects!$C$5+1))),0)</f>
        <v>0</v>
      </c>
      <c r="CD9" s="105">
        <f>IF(AND(Projects!$G$5="Yes",Projects!$F$5="Yes",80&gt;=Projects!$C$5,80&lt;Projects!$C$5+Projects!$D$5),Projects!$B$5*(1-SUMPRODUCT((Curves!$B$9:$AO$9)*(COLUMN(Curves!$B$9:$AO$9)-COLUMN(Curves!$B$9)+1&lt;=80-Projects!$C$5+1))),0)</f>
        <v>0</v>
      </c>
      <c r="CE9" s="105">
        <f>IF(AND(Projects!$G$5="Yes",Projects!$F$5="Yes",81&gt;=Projects!$C$5,81&lt;Projects!$C$5+Projects!$D$5),Projects!$B$5*(1-SUMPRODUCT((Curves!$B$9:$AO$9)*(COLUMN(Curves!$B$9:$AO$9)-COLUMN(Curves!$B$9)+1&lt;=81-Projects!$C$5+1))),0)</f>
        <v>0</v>
      </c>
      <c r="CF9" s="105">
        <f>IF(AND(Projects!$G$5="Yes",Projects!$F$5="Yes",82&gt;=Projects!$C$5,82&lt;Projects!$C$5+Projects!$D$5),Projects!$B$5*(1-SUMPRODUCT((Curves!$B$9:$AO$9)*(COLUMN(Curves!$B$9:$AO$9)-COLUMN(Curves!$B$9)+1&lt;=82-Projects!$C$5+1))),0)</f>
        <v>0</v>
      </c>
      <c r="CG9" s="105">
        <f>IF(AND(Projects!$G$5="Yes",Projects!$F$5="Yes",83&gt;=Projects!$C$5,83&lt;Projects!$C$5+Projects!$D$5),Projects!$B$5*(1-SUMPRODUCT((Curves!$B$9:$AO$9)*(COLUMN(Curves!$B$9:$AO$9)-COLUMN(Curves!$B$9)+1&lt;=83-Projects!$C$5+1))),0)</f>
        <v>0</v>
      </c>
      <c r="CH9" s="105">
        <f>IF(AND(Projects!$G$5="Yes",Projects!$F$5="Yes",84&gt;=Projects!$C$5,84&lt;Projects!$C$5+Projects!$D$5),Projects!$B$5*(1-SUMPRODUCT((Curves!$B$9:$AO$9)*(COLUMN(Curves!$B$9:$AO$9)-COLUMN(Curves!$B$9)+1&lt;=84-Projects!$C$5+1))),0)</f>
        <v>0</v>
      </c>
    </row>
    <row r="10" spans="1:86" ht="15" customHeight="1" x14ac:dyDescent="0.25">
      <c r="A10" s="99" t="s">
        <v>115</v>
      </c>
      <c r="C10" s="105">
        <f>IF(AND(Projects!$G$7="Yes",Projects!$F$7="Yes",1&gt;=Projects!$C$7,1&lt;Projects!$C$7+Projects!$D$7),Projects!$B$7*(1-SUMPRODUCT((Curves!$B$3:$AO$3)*(COLUMN(Curves!$B$3:$AO$3)-COLUMN(Curves!$B$3)+1&lt;=1-Projects!$C$7+1))),0)</f>
        <v>0</v>
      </c>
      <c r="D10" s="105">
        <f>IF(AND(Projects!$G$7="Yes",Projects!$F$7="Yes",2&gt;=Projects!$C$7,2&lt;Projects!$C$7+Projects!$D$7),Projects!$B$7*(1-SUMPRODUCT((Curves!$B$3:$AO$3)*(COLUMN(Curves!$B$3:$AO$3)-COLUMN(Curves!$B$3)+1&lt;=2-Projects!$C$7+1))),0)</f>
        <v>0</v>
      </c>
      <c r="E10" s="105">
        <f>IF(AND(Projects!$G$7="Yes",Projects!$F$7="Yes",3&gt;=Projects!$C$7,3&lt;Projects!$C$7+Projects!$D$7),Projects!$B$7*(1-SUMPRODUCT((Curves!$B$3:$AO$3)*(COLUMN(Curves!$B$3:$AO$3)-COLUMN(Curves!$B$3)+1&lt;=3-Projects!$C$7+1))),0)</f>
        <v>0</v>
      </c>
      <c r="F10" s="105">
        <f>IF(AND(Projects!$G$7="Yes",Projects!$F$7="Yes",4&gt;=Projects!$C$7,4&lt;Projects!$C$7+Projects!$D$7),Projects!$B$7*(1-SUMPRODUCT((Curves!$B$3:$AO$3)*(COLUMN(Curves!$B$3:$AO$3)-COLUMN(Curves!$B$3)+1&lt;=4-Projects!$C$7+1))),0)</f>
        <v>42087723.721344002</v>
      </c>
      <c r="G10" s="105">
        <f>IF(AND(Projects!$G$7="Yes",Projects!$F$7="Yes",5&gt;=Projects!$C$7,5&lt;Projects!$C$7+Projects!$D$7),Projects!$B$7*(1-SUMPRODUCT((Curves!$B$3:$AO$3)*(COLUMN(Curves!$B$3:$AO$3)-COLUMN(Curves!$B$3)+1&lt;=5-Projects!$C$7+1))),0)</f>
        <v>41042043.570816003</v>
      </c>
      <c r="H10" s="105">
        <f>IF(AND(Projects!$G$7="Yes",Projects!$F$7="Yes",6&gt;=Projects!$C$7,6&lt;Projects!$C$7+Projects!$D$7),Projects!$B$7*(1-SUMPRODUCT((Curves!$B$3:$AO$3)*(COLUMN(Curves!$B$3:$AO$3)-COLUMN(Curves!$B$3)+1&lt;=6-Projects!$C$7+1))),0)</f>
        <v>39819806.067456</v>
      </c>
      <c r="I10" s="105">
        <f>IF(AND(Projects!$G$7="Yes",Projects!$F$7="Yes",7&gt;=Projects!$C$7,7&lt;Projects!$C$7+Projects!$D$7),Projects!$B$7*(1-SUMPRODUCT((Curves!$B$3:$AO$3)*(COLUMN(Curves!$B$3:$AO$3)-COLUMN(Curves!$B$3)+1&lt;=7-Projects!$C$7+1))),0)</f>
        <v>38413233.922175996</v>
      </c>
      <c r="J10" s="105">
        <f>IF(AND(Projects!$G$7="Yes",Projects!$F$7="Yes",8&gt;=Projects!$C$7,8&lt;Projects!$C$7+Projects!$D$7),Projects!$B$7*(1-SUMPRODUCT((Curves!$B$3:$AO$3)*(COLUMN(Curves!$B$3:$AO$3)-COLUMN(Curves!$B$3)+1&lt;=8-Projects!$C$7+1))),0)</f>
        <v>36819663.091200002</v>
      </c>
      <c r="K10" s="105">
        <f>IF(AND(Projects!$G$7="Yes",Projects!$F$7="Yes",9&gt;=Projects!$C$7,9&lt;Projects!$C$7+Projects!$D$7),Projects!$B$7*(1-SUMPRODUCT((Curves!$B$3:$AO$3)*(COLUMN(Curves!$B$3:$AO$3)-COLUMN(Curves!$B$3)+1&lt;=9-Projects!$C$7+1))),0)</f>
        <v>35042144.334335998</v>
      </c>
      <c r="L10" s="105">
        <f>IF(AND(Projects!$G$7="Yes",Projects!$F$7="Yes",10&gt;=Projects!$C$7,10&lt;Projects!$C$7+Projects!$D$7),Projects!$B$7*(1-SUMPRODUCT((Curves!$B$3:$AO$3)*(COLUMN(Curves!$B$3:$AO$3)-COLUMN(Curves!$B$3)+1&lt;=10-Projects!$C$7+1))),0)</f>
        <v>33090173.678592</v>
      </c>
      <c r="M10" s="105">
        <f>IF(AND(Projects!$G$7="Yes",Projects!$F$7="Yes",11&gt;=Projects!$C$7,11&lt;Projects!$C$7+Projects!$D$7),Projects!$B$7*(1-SUMPRODUCT((Curves!$B$3:$AO$3)*(COLUMN(Curves!$B$3:$AO$3)-COLUMN(Curves!$B$3)+1&lt;=11-Projects!$C$7+1))),0)</f>
        <v>30979821.323520001</v>
      </c>
      <c r="N10" s="105">
        <f>IF(AND(Projects!$G$7="Yes",Projects!$F$7="Yes",12&gt;=Projects!$C$7,12&lt;Projects!$C$7+Projects!$D$7),Projects!$B$7*(1-SUMPRODUCT((Curves!$B$3:$AO$3)*(COLUMN(Curves!$B$3:$AO$3)-COLUMN(Curves!$B$3)+1&lt;=12-Projects!$C$7+1))),0)</f>
        <v>28733516.798976</v>
      </c>
      <c r="O10" s="105">
        <f>IF(AND(Projects!$G$7="Yes",Projects!$F$7="Yes",13&gt;=Projects!$C$7,13&lt;Projects!$C$7+Projects!$D$7),Projects!$B$7*(1-SUMPRODUCT((Curves!$B$3:$AO$3)*(COLUMN(Curves!$B$3:$AO$3)-COLUMN(Curves!$B$3)+1&lt;=13-Projects!$C$7+1))),0)</f>
        <v>26379576.312191997</v>
      </c>
      <c r="P10" s="105">
        <f>IF(AND(Projects!$G$7="Yes",Projects!$F$7="Yes",14&gt;=Projects!$C$7,14&lt;Projects!$C$7+Projects!$D$7),Projects!$B$7*(1-SUMPRODUCT((Curves!$B$3:$AO$3)*(COLUMN(Curves!$B$3:$AO$3)-COLUMN(Curves!$B$3)+1&lt;=14-Projects!$C$7+1))),0)</f>
        <v>23950999.631231997</v>
      </c>
      <c r="Q10" s="105">
        <f>IF(AND(Projects!$G$7="Yes",Projects!$F$7="Yes",15&gt;=Projects!$C$7,15&lt;Projects!$C$7+Projects!$D$7),Projects!$B$7*(1-SUMPRODUCT((Curves!$B$3:$AO$3)*(COLUMN(Curves!$B$3:$AO$3)-COLUMN(Curves!$B$3)+1&lt;=15-Projects!$C$7+1))),0)</f>
        <v>21484223.999999996</v>
      </c>
      <c r="R10" s="105">
        <f>IF(AND(Projects!$G$7="Yes",Projects!$F$7="Yes",16&gt;=Projects!$C$7,16&lt;Projects!$C$7+Projects!$D$7),Projects!$B$7*(1-SUMPRODUCT((Curves!$B$3:$AO$3)*(COLUMN(Curves!$B$3:$AO$3)-COLUMN(Curves!$B$3)+1&lt;=16-Projects!$C$7+1))),0)</f>
        <v>19017448.368767992</v>
      </c>
      <c r="S10" s="105">
        <f>IF(AND(Projects!$G$7="Yes",Projects!$F$7="Yes",17&gt;=Projects!$C$7,17&lt;Projects!$C$7+Projects!$D$7),Projects!$B$7*(1-SUMPRODUCT((Curves!$B$3:$AO$3)*(COLUMN(Curves!$B$3:$AO$3)-COLUMN(Curves!$B$3)+1&lt;=17-Projects!$C$7+1))),0)</f>
        <v>16588871.687807992</v>
      </c>
      <c r="T10" s="105">
        <f>IF(AND(Projects!$G$7="Yes",Projects!$F$7="Yes",18&gt;=Projects!$C$7,18&lt;Projects!$C$7+Projects!$D$7),Projects!$B$7*(1-SUMPRODUCT((Curves!$B$3:$AO$3)*(COLUMN(Curves!$B$3:$AO$3)-COLUMN(Curves!$B$3)+1&lt;=18-Projects!$C$7+1))),0)</f>
        <v>14234931.201023992</v>
      </c>
      <c r="U10" s="105">
        <f>IF(AND(Projects!$G$7="Yes",Projects!$F$7="Yes",19&gt;=Projects!$C$7,19&lt;Projects!$C$7+Projects!$D$7),Projects!$B$7*(1-SUMPRODUCT((Curves!$B$3:$AO$3)*(COLUMN(Curves!$B$3:$AO$3)-COLUMN(Curves!$B$3)+1&lt;=19-Projects!$C$7+1))),0)</f>
        <v>11988626.67647999</v>
      </c>
      <c r="V10" s="105">
        <f>IF(AND(Projects!$G$7="Yes",Projects!$F$7="Yes",20&gt;=Projects!$C$7,20&lt;Projects!$C$7+Projects!$D$7),Projects!$B$7*(1-SUMPRODUCT((Curves!$B$3:$AO$3)*(COLUMN(Curves!$B$3:$AO$3)-COLUMN(Curves!$B$3)+1&lt;=20-Projects!$C$7+1))),0)</f>
        <v>9878274.3214079905</v>
      </c>
      <c r="W10" s="105">
        <f>IF(AND(Projects!$G$7="Yes",Projects!$F$7="Yes",21&gt;=Projects!$C$7,21&lt;Projects!$C$7+Projects!$D$7),Projects!$B$7*(1-SUMPRODUCT((Curves!$B$3:$AO$3)*(COLUMN(Curves!$B$3:$AO$3)-COLUMN(Curves!$B$3)+1&lt;=21-Projects!$C$7+1))),0)</f>
        <v>7926303.6656639893</v>
      </c>
      <c r="X10" s="105">
        <f>IF(AND(Projects!$G$7="Yes",Projects!$F$7="Yes",22&gt;=Projects!$C$7,22&lt;Projects!$C$7+Projects!$D$7),Projects!$B$7*(1-SUMPRODUCT((Curves!$B$3:$AO$3)*(COLUMN(Curves!$B$3:$AO$3)-COLUMN(Curves!$B$3)+1&lt;=22-Projects!$C$7+1))),0)</f>
        <v>6148784.908799991</v>
      </c>
      <c r="Y10" s="105">
        <f>IF(AND(Projects!$G$7="Yes",Projects!$F$7="Yes",23&gt;=Projects!$C$7,23&lt;Projects!$C$7+Projects!$D$7),Projects!$B$7*(1-SUMPRODUCT((Curves!$B$3:$AO$3)*(COLUMN(Curves!$B$3:$AO$3)-COLUMN(Curves!$B$3)+1&lt;=23-Projects!$C$7+1))),0)</f>
        <v>4555214.0778239919</v>
      </c>
      <c r="Z10" s="105">
        <f>IF(AND(Projects!$G$7="Yes",Projects!$F$7="Yes",24&gt;=Projects!$C$7,24&lt;Projects!$C$7+Projects!$D$7),Projects!$B$7*(1-SUMPRODUCT((Curves!$B$3:$AO$3)*(COLUMN(Curves!$B$3:$AO$3)-COLUMN(Curves!$B$3)+1&lt;=24-Projects!$C$7+1))),0)</f>
        <v>3148641.9325439935</v>
      </c>
      <c r="AA10" s="105">
        <f>IF(AND(Projects!$G$7="Yes",Projects!$F$7="Yes",25&gt;=Projects!$C$7,25&lt;Projects!$C$7+Projects!$D$7),Projects!$B$7*(1-SUMPRODUCT((Curves!$B$3:$AO$3)*(COLUMN(Curves!$B$3:$AO$3)-COLUMN(Curves!$B$3)+1&lt;=25-Projects!$C$7+1))),0)</f>
        <v>1926404.4291839909</v>
      </c>
      <c r="AB10" s="105">
        <f>IF(AND(Projects!$G$7="Yes",Projects!$F$7="Yes",26&gt;=Projects!$C$7,26&lt;Projects!$C$7+Projects!$D$7),Projects!$B$7*(1-SUMPRODUCT((Curves!$B$3:$AO$3)*(COLUMN(Curves!$B$3:$AO$3)-COLUMN(Curves!$B$3)+1&lt;=26-Projects!$C$7+1))),0)</f>
        <v>880724.27865598991</v>
      </c>
      <c r="AC10" s="105">
        <f>IF(AND(Projects!$G$7="Yes",Projects!$F$7="Yes",27&gt;=Projects!$C$7,27&lt;Projects!$C$7+Projects!$D$7),Projects!$B$7*(1-SUMPRODUCT((Curves!$B$3:$AO$3)*(COLUMN(Curves!$B$3:$AO$3)-COLUMN(Curves!$B$3)+1&lt;=27-Projects!$C$7+1))),0)</f>
        <v>-9.5409120604017517E-9</v>
      </c>
      <c r="AD10" s="105">
        <f>IF(AND(Projects!$G$7="Yes",Projects!$F$7="Yes",28&gt;=Projects!$C$7,28&lt;Projects!$C$7+Projects!$D$7),Projects!$B$7*(1-SUMPRODUCT((Curves!$B$3:$AO$3)*(COLUMN(Curves!$B$3:$AO$3)-COLUMN(Curves!$B$3)+1&lt;=28-Projects!$C$7+1))),0)</f>
        <v>-9.5409120604017517E-9</v>
      </c>
      <c r="AE10" s="105">
        <f>IF(AND(Projects!$G$7="Yes",Projects!$F$7="Yes",29&gt;=Projects!$C$7,29&lt;Projects!$C$7+Projects!$D$7),Projects!$B$7*(1-SUMPRODUCT((Curves!$B$3:$AO$3)*(COLUMN(Curves!$B$3:$AO$3)-COLUMN(Curves!$B$3)+1&lt;=29-Projects!$C$7+1))),0)</f>
        <v>-9.5409120604017517E-9</v>
      </c>
      <c r="AF10" s="105">
        <f>IF(AND(Projects!$G$7="Yes",Projects!$F$7="Yes",30&gt;=Projects!$C$7,30&lt;Projects!$C$7+Projects!$D$7),Projects!$B$7*(1-SUMPRODUCT((Curves!$B$3:$AO$3)*(COLUMN(Curves!$B$3:$AO$3)-COLUMN(Curves!$B$3)+1&lt;=30-Projects!$C$7+1))),0)</f>
        <v>-9.5409120604017517E-9</v>
      </c>
      <c r="AG10" s="105">
        <f>IF(AND(Projects!$G$7="Yes",Projects!$F$7="Yes",31&gt;=Projects!$C$7,31&lt;Projects!$C$7+Projects!$D$7),Projects!$B$7*(1-SUMPRODUCT((Curves!$B$3:$AO$3)*(COLUMN(Curves!$B$3:$AO$3)-COLUMN(Curves!$B$3)+1&lt;=31-Projects!$C$7+1))),0)</f>
        <v>-9.5409120604017517E-9</v>
      </c>
      <c r="AH10" s="105">
        <f>IF(AND(Projects!$G$7="Yes",Projects!$F$7="Yes",32&gt;=Projects!$C$7,32&lt;Projects!$C$7+Projects!$D$7),Projects!$B$7*(1-SUMPRODUCT((Curves!$B$3:$AO$3)*(COLUMN(Curves!$B$3:$AO$3)-COLUMN(Curves!$B$3)+1&lt;=32-Projects!$C$7+1))),0)</f>
        <v>-9.5409120604017517E-9</v>
      </c>
      <c r="AI10" s="105">
        <f>IF(AND(Projects!$G$7="Yes",Projects!$F$7="Yes",33&gt;=Projects!$C$7,33&lt;Projects!$C$7+Projects!$D$7),Projects!$B$7*(1-SUMPRODUCT((Curves!$B$3:$AO$3)*(COLUMN(Curves!$B$3:$AO$3)-COLUMN(Curves!$B$3)+1&lt;=33-Projects!$C$7+1))),0)</f>
        <v>-9.5409120604017517E-9</v>
      </c>
      <c r="AJ10" s="105">
        <f>IF(AND(Projects!$G$7="Yes",Projects!$F$7="Yes",34&gt;=Projects!$C$7,34&lt;Projects!$C$7+Projects!$D$7),Projects!$B$7*(1-SUMPRODUCT((Curves!$B$3:$AO$3)*(COLUMN(Curves!$B$3:$AO$3)-COLUMN(Curves!$B$3)+1&lt;=34-Projects!$C$7+1))),0)</f>
        <v>0</v>
      </c>
      <c r="AK10" s="105">
        <f>IF(AND(Projects!$G$7="Yes",Projects!$F$7="Yes",35&gt;=Projects!$C$7,35&lt;Projects!$C$7+Projects!$D$7),Projects!$B$7*(1-SUMPRODUCT((Curves!$B$3:$AO$3)*(COLUMN(Curves!$B$3:$AO$3)-COLUMN(Curves!$B$3)+1&lt;=35-Projects!$C$7+1))),0)</f>
        <v>0</v>
      </c>
      <c r="AL10" s="105">
        <f>IF(AND(Projects!$G$7="Yes",Projects!$F$7="Yes",36&gt;=Projects!$C$7,36&lt;Projects!$C$7+Projects!$D$7),Projects!$B$7*(1-SUMPRODUCT((Curves!$B$3:$AO$3)*(COLUMN(Curves!$B$3:$AO$3)-COLUMN(Curves!$B$3)+1&lt;=36-Projects!$C$7+1))),0)</f>
        <v>0</v>
      </c>
      <c r="AM10" s="105">
        <f>IF(AND(Projects!$G$7="Yes",Projects!$F$7="Yes",37&gt;=Projects!$C$7,37&lt;Projects!$C$7+Projects!$D$7),Projects!$B$7*(1-SUMPRODUCT((Curves!$B$3:$AO$3)*(COLUMN(Curves!$B$3:$AO$3)-COLUMN(Curves!$B$3)+1&lt;=37-Projects!$C$7+1))),0)</f>
        <v>0</v>
      </c>
      <c r="AN10" s="105">
        <f>IF(AND(Projects!$G$7="Yes",Projects!$F$7="Yes",38&gt;=Projects!$C$7,38&lt;Projects!$C$7+Projects!$D$7),Projects!$B$7*(1-SUMPRODUCT((Curves!$B$3:$AO$3)*(COLUMN(Curves!$B$3:$AO$3)-COLUMN(Curves!$B$3)+1&lt;=38-Projects!$C$7+1))),0)</f>
        <v>0</v>
      </c>
      <c r="AO10" s="105">
        <f>IF(AND(Projects!$G$7="Yes",Projects!$F$7="Yes",39&gt;=Projects!$C$7,39&lt;Projects!$C$7+Projects!$D$7),Projects!$B$7*(1-SUMPRODUCT((Curves!$B$3:$AO$3)*(COLUMN(Curves!$B$3:$AO$3)-COLUMN(Curves!$B$3)+1&lt;=39-Projects!$C$7+1))),0)</f>
        <v>0</v>
      </c>
      <c r="AP10" s="105">
        <f>IF(AND(Projects!$G$7="Yes",Projects!$F$7="Yes",40&gt;=Projects!$C$7,40&lt;Projects!$C$7+Projects!$D$7),Projects!$B$7*(1-SUMPRODUCT((Curves!$B$3:$AO$3)*(COLUMN(Curves!$B$3:$AO$3)-COLUMN(Curves!$B$3)+1&lt;=40-Projects!$C$7+1))),0)</f>
        <v>0</v>
      </c>
      <c r="AQ10" s="105">
        <f>IF(AND(Projects!$G$7="Yes",Projects!$F$7="Yes",41&gt;=Projects!$C$7,41&lt;Projects!$C$7+Projects!$D$7),Projects!$B$7*(1-SUMPRODUCT((Curves!$B$3:$AO$3)*(COLUMN(Curves!$B$3:$AO$3)-COLUMN(Curves!$B$3)+1&lt;=41-Projects!$C$7+1))),0)</f>
        <v>0</v>
      </c>
      <c r="AR10" s="105">
        <f>IF(AND(Projects!$G$7="Yes",Projects!$F$7="Yes",42&gt;=Projects!$C$7,42&lt;Projects!$C$7+Projects!$D$7),Projects!$B$7*(1-SUMPRODUCT((Curves!$B$3:$AO$3)*(COLUMN(Curves!$B$3:$AO$3)-COLUMN(Curves!$B$3)+1&lt;=42-Projects!$C$7+1))),0)</f>
        <v>0</v>
      </c>
      <c r="AS10" s="105">
        <f>IF(AND(Projects!$G$7="Yes",Projects!$F$7="Yes",43&gt;=Projects!$C$7,43&lt;Projects!$C$7+Projects!$D$7),Projects!$B$7*(1-SUMPRODUCT((Curves!$B$3:$AO$3)*(COLUMN(Curves!$B$3:$AO$3)-COLUMN(Curves!$B$3)+1&lt;=43-Projects!$C$7+1))),0)</f>
        <v>0</v>
      </c>
      <c r="AT10" s="105">
        <f>IF(AND(Projects!$G$7="Yes",Projects!$F$7="Yes",44&gt;=Projects!$C$7,44&lt;Projects!$C$7+Projects!$D$7),Projects!$B$7*(1-SUMPRODUCT((Curves!$B$3:$AO$3)*(COLUMN(Curves!$B$3:$AO$3)-COLUMN(Curves!$B$3)+1&lt;=44-Projects!$C$7+1))),0)</f>
        <v>0</v>
      </c>
      <c r="AU10" s="105">
        <f>IF(AND(Projects!$G$7="Yes",Projects!$F$7="Yes",45&gt;=Projects!$C$7,45&lt;Projects!$C$7+Projects!$D$7),Projects!$B$7*(1-SUMPRODUCT((Curves!$B$3:$AO$3)*(COLUMN(Curves!$B$3:$AO$3)-COLUMN(Curves!$B$3)+1&lt;=45-Projects!$C$7+1))),0)</f>
        <v>0</v>
      </c>
      <c r="AV10" s="105">
        <f>IF(AND(Projects!$G$7="Yes",Projects!$F$7="Yes",46&gt;=Projects!$C$7,46&lt;Projects!$C$7+Projects!$D$7),Projects!$B$7*(1-SUMPRODUCT((Curves!$B$3:$AO$3)*(COLUMN(Curves!$B$3:$AO$3)-COLUMN(Curves!$B$3)+1&lt;=46-Projects!$C$7+1))),0)</f>
        <v>0</v>
      </c>
      <c r="AW10" s="105">
        <f>IF(AND(Projects!$G$7="Yes",Projects!$F$7="Yes",47&gt;=Projects!$C$7,47&lt;Projects!$C$7+Projects!$D$7),Projects!$B$7*(1-SUMPRODUCT((Curves!$B$3:$AO$3)*(COLUMN(Curves!$B$3:$AO$3)-COLUMN(Curves!$B$3)+1&lt;=47-Projects!$C$7+1))),0)</f>
        <v>0</v>
      </c>
      <c r="AX10" s="105">
        <f>IF(AND(Projects!$G$7="Yes",Projects!$F$7="Yes",48&gt;=Projects!$C$7,48&lt;Projects!$C$7+Projects!$D$7),Projects!$B$7*(1-SUMPRODUCT((Curves!$B$3:$AO$3)*(COLUMN(Curves!$B$3:$AO$3)-COLUMN(Curves!$B$3)+1&lt;=48-Projects!$C$7+1))),0)</f>
        <v>0</v>
      </c>
      <c r="AY10" s="105">
        <f>IF(AND(Projects!$G$7="Yes",Projects!$F$7="Yes",49&gt;=Projects!$C$7,49&lt;Projects!$C$7+Projects!$D$7),Projects!$B$7*(1-SUMPRODUCT((Curves!$B$3:$AO$3)*(COLUMN(Curves!$B$3:$AO$3)-COLUMN(Curves!$B$3)+1&lt;=49-Projects!$C$7+1))),0)</f>
        <v>0</v>
      </c>
      <c r="AZ10" s="105">
        <f>IF(AND(Projects!$G$7="Yes",Projects!$F$7="Yes",50&gt;=Projects!$C$7,50&lt;Projects!$C$7+Projects!$D$7),Projects!$B$7*(1-SUMPRODUCT((Curves!$B$3:$AO$3)*(COLUMN(Curves!$B$3:$AO$3)-COLUMN(Curves!$B$3)+1&lt;=50-Projects!$C$7+1))),0)</f>
        <v>0</v>
      </c>
      <c r="BA10" s="105">
        <f>IF(AND(Projects!$G$7="Yes",Projects!$F$7="Yes",51&gt;=Projects!$C$7,51&lt;Projects!$C$7+Projects!$D$7),Projects!$B$7*(1-SUMPRODUCT((Curves!$B$3:$AO$3)*(COLUMN(Curves!$B$3:$AO$3)-COLUMN(Curves!$B$3)+1&lt;=51-Projects!$C$7+1))),0)</f>
        <v>0</v>
      </c>
      <c r="BB10" s="105">
        <f>IF(AND(Projects!$G$7="Yes",Projects!$F$7="Yes",52&gt;=Projects!$C$7,52&lt;Projects!$C$7+Projects!$D$7),Projects!$B$7*(1-SUMPRODUCT((Curves!$B$3:$AO$3)*(COLUMN(Curves!$B$3:$AO$3)-COLUMN(Curves!$B$3)+1&lt;=52-Projects!$C$7+1))),0)</f>
        <v>0</v>
      </c>
      <c r="BC10" s="105">
        <f>IF(AND(Projects!$G$7="Yes",Projects!$F$7="Yes",53&gt;=Projects!$C$7,53&lt;Projects!$C$7+Projects!$D$7),Projects!$B$7*(1-SUMPRODUCT((Curves!$B$3:$AO$3)*(COLUMN(Curves!$B$3:$AO$3)-COLUMN(Curves!$B$3)+1&lt;=53-Projects!$C$7+1))),0)</f>
        <v>0</v>
      </c>
      <c r="BD10" s="105">
        <f>IF(AND(Projects!$G$7="Yes",Projects!$F$7="Yes",54&gt;=Projects!$C$7,54&lt;Projects!$C$7+Projects!$D$7),Projects!$B$7*(1-SUMPRODUCT((Curves!$B$3:$AO$3)*(COLUMN(Curves!$B$3:$AO$3)-COLUMN(Curves!$B$3)+1&lt;=54-Projects!$C$7+1))),0)</f>
        <v>0</v>
      </c>
      <c r="BE10" s="105">
        <f>IF(AND(Projects!$G$7="Yes",Projects!$F$7="Yes",55&gt;=Projects!$C$7,55&lt;Projects!$C$7+Projects!$D$7),Projects!$B$7*(1-SUMPRODUCT((Curves!$B$3:$AO$3)*(COLUMN(Curves!$B$3:$AO$3)-COLUMN(Curves!$B$3)+1&lt;=55-Projects!$C$7+1))),0)</f>
        <v>0</v>
      </c>
      <c r="BF10" s="105">
        <f>IF(AND(Projects!$G$7="Yes",Projects!$F$7="Yes",56&gt;=Projects!$C$7,56&lt;Projects!$C$7+Projects!$D$7),Projects!$B$7*(1-SUMPRODUCT((Curves!$B$3:$AO$3)*(COLUMN(Curves!$B$3:$AO$3)-COLUMN(Curves!$B$3)+1&lt;=56-Projects!$C$7+1))),0)</f>
        <v>0</v>
      </c>
      <c r="BG10" s="105">
        <f>IF(AND(Projects!$G$7="Yes",Projects!$F$7="Yes",57&gt;=Projects!$C$7,57&lt;Projects!$C$7+Projects!$D$7),Projects!$B$7*(1-SUMPRODUCT((Curves!$B$3:$AO$3)*(COLUMN(Curves!$B$3:$AO$3)-COLUMN(Curves!$B$3)+1&lt;=57-Projects!$C$7+1))),0)</f>
        <v>0</v>
      </c>
      <c r="BH10" s="105">
        <f>IF(AND(Projects!$G$7="Yes",Projects!$F$7="Yes",58&gt;=Projects!$C$7,58&lt;Projects!$C$7+Projects!$D$7),Projects!$B$7*(1-SUMPRODUCT((Curves!$B$3:$AO$3)*(COLUMN(Curves!$B$3:$AO$3)-COLUMN(Curves!$B$3)+1&lt;=58-Projects!$C$7+1))),0)</f>
        <v>0</v>
      </c>
      <c r="BI10" s="105">
        <f>IF(AND(Projects!$G$7="Yes",Projects!$F$7="Yes",59&gt;=Projects!$C$7,59&lt;Projects!$C$7+Projects!$D$7),Projects!$B$7*(1-SUMPRODUCT((Curves!$B$3:$AO$3)*(COLUMN(Curves!$B$3:$AO$3)-COLUMN(Curves!$B$3)+1&lt;=59-Projects!$C$7+1))),0)</f>
        <v>0</v>
      </c>
      <c r="BJ10" s="105">
        <f>IF(AND(Projects!$G$7="Yes",Projects!$F$7="Yes",60&gt;=Projects!$C$7,60&lt;Projects!$C$7+Projects!$D$7),Projects!$B$7*(1-SUMPRODUCT((Curves!$B$3:$AO$3)*(COLUMN(Curves!$B$3:$AO$3)-COLUMN(Curves!$B$3)+1&lt;=60-Projects!$C$7+1))),0)</f>
        <v>0</v>
      </c>
      <c r="BK10" s="105">
        <f>IF(AND(Projects!$G$7="Yes",Projects!$F$7="Yes",61&gt;=Projects!$C$7,61&lt;Projects!$C$7+Projects!$D$7),Projects!$B$7*(1-SUMPRODUCT((Curves!$B$3:$AO$3)*(COLUMN(Curves!$B$3:$AO$3)-COLUMN(Curves!$B$3)+1&lt;=61-Projects!$C$7+1))),0)</f>
        <v>0</v>
      </c>
      <c r="BL10" s="105">
        <f>IF(AND(Projects!$G$7="Yes",Projects!$F$7="Yes",62&gt;=Projects!$C$7,62&lt;Projects!$C$7+Projects!$D$7),Projects!$B$7*(1-SUMPRODUCT((Curves!$B$3:$AO$3)*(COLUMN(Curves!$B$3:$AO$3)-COLUMN(Curves!$B$3)+1&lt;=62-Projects!$C$7+1))),0)</f>
        <v>0</v>
      </c>
      <c r="BM10" s="105">
        <f>IF(AND(Projects!$G$7="Yes",Projects!$F$7="Yes",63&gt;=Projects!$C$7,63&lt;Projects!$C$7+Projects!$D$7),Projects!$B$7*(1-SUMPRODUCT((Curves!$B$3:$AO$3)*(COLUMN(Curves!$B$3:$AO$3)-COLUMN(Curves!$B$3)+1&lt;=63-Projects!$C$7+1))),0)</f>
        <v>0</v>
      </c>
      <c r="BN10" s="105">
        <f>IF(AND(Projects!$G$7="Yes",Projects!$F$7="Yes",64&gt;=Projects!$C$7,64&lt;Projects!$C$7+Projects!$D$7),Projects!$B$7*(1-SUMPRODUCT((Curves!$B$3:$AO$3)*(COLUMN(Curves!$B$3:$AO$3)-COLUMN(Curves!$B$3)+1&lt;=64-Projects!$C$7+1))),0)</f>
        <v>0</v>
      </c>
      <c r="BO10" s="105">
        <f>IF(AND(Projects!$G$7="Yes",Projects!$F$7="Yes",65&gt;=Projects!$C$7,65&lt;Projects!$C$7+Projects!$D$7),Projects!$B$7*(1-SUMPRODUCT((Curves!$B$3:$AO$3)*(COLUMN(Curves!$B$3:$AO$3)-COLUMN(Curves!$B$3)+1&lt;=65-Projects!$C$7+1))),0)</f>
        <v>0</v>
      </c>
      <c r="BP10" s="105">
        <f>IF(AND(Projects!$G$7="Yes",Projects!$F$7="Yes",66&gt;=Projects!$C$7,66&lt;Projects!$C$7+Projects!$D$7),Projects!$B$7*(1-SUMPRODUCT((Curves!$B$3:$AO$3)*(COLUMN(Curves!$B$3:$AO$3)-COLUMN(Curves!$B$3)+1&lt;=66-Projects!$C$7+1))),0)</f>
        <v>0</v>
      </c>
      <c r="BQ10" s="105">
        <f>IF(AND(Projects!$G$7="Yes",Projects!$F$7="Yes",67&gt;=Projects!$C$7,67&lt;Projects!$C$7+Projects!$D$7),Projects!$B$7*(1-SUMPRODUCT((Curves!$B$3:$AO$3)*(COLUMN(Curves!$B$3:$AO$3)-COLUMN(Curves!$B$3)+1&lt;=67-Projects!$C$7+1))),0)</f>
        <v>0</v>
      </c>
      <c r="BR10" s="105">
        <f>IF(AND(Projects!$G$7="Yes",Projects!$F$7="Yes",68&gt;=Projects!$C$7,68&lt;Projects!$C$7+Projects!$D$7),Projects!$B$7*(1-SUMPRODUCT((Curves!$B$3:$AO$3)*(COLUMN(Curves!$B$3:$AO$3)-COLUMN(Curves!$B$3)+1&lt;=68-Projects!$C$7+1))),0)</f>
        <v>0</v>
      </c>
      <c r="BS10" s="105">
        <f>IF(AND(Projects!$G$7="Yes",Projects!$F$7="Yes",69&gt;=Projects!$C$7,69&lt;Projects!$C$7+Projects!$D$7),Projects!$B$7*(1-SUMPRODUCT((Curves!$B$3:$AO$3)*(COLUMN(Curves!$B$3:$AO$3)-COLUMN(Curves!$B$3)+1&lt;=69-Projects!$C$7+1))),0)</f>
        <v>0</v>
      </c>
      <c r="BT10" s="105">
        <f>IF(AND(Projects!$G$7="Yes",Projects!$F$7="Yes",70&gt;=Projects!$C$7,70&lt;Projects!$C$7+Projects!$D$7),Projects!$B$7*(1-SUMPRODUCT((Curves!$B$3:$AO$3)*(COLUMN(Curves!$B$3:$AO$3)-COLUMN(Curves!$B$3)+1&lt;=70-Projects!$C$7+1))),0)</f>
        <v>0</v>
      </c>
      <c r="BU10" s="105">
        <f>IF(AND(Projects!$G$7="Yes",Projects!$F$7="Yes",71&gt;=Projects!$C$7,71&lt;Projects!$C$7+Projects!$D$7),Projects!$B$7*(1-SUMPRODUCT((Curves!$B$3:$AO$3)*(COLUMN(Curves!$B$3:$AO$3)-COLUMN(Curves!$B$3)+1&lt;=71-Projects!$C$7+1))),0)</f>
        <v>0</v>
      </c>
      <c r="BV10" s="105">
        <f>IF(AND(Projects!$G$7="Yes",Projects!$F$7="Yes",72&gt;=Projects!$C$7,72&lt;Projects!$C$7+Projects!$D$7),Projects!$B$7*(1-SUMPRODUCT((Curves!$B$3:$AO$3)*(COLUMN(Curves!$B$3:$AO$3)-COLUMN(Curves!$B$3)+1&lt;=72-Projects!$C$7+1))),0)</f>
        <v>0</v>
      </c>
      <c r="BW10" s="105">
        <f>IF(AND(Projects!$G$7="Yes",Projects!$F$7="Yes",73&gt;=Projects!$C$7,73&lt;Projects!$C$7+Projects!$D$7),Projects!$B$7*(1-SUMPRODUCT((Curves!$B$3:$AO$3)*(COLUMN(Curves!$B$3:$AO$3)-COLUMN(Curves!$B$3)+1&lt;=73-Projects!$C$7+1))),0)</f>
        <v>0</v>
      </c>
      <c r="BX10" s="105">
        <f>IF(AND(Projects!$G$7="Yes",Projects!$F$7="Yes",74&gt;=Projects!$C$7,74&lt;Projects!$C$7+Projects!$D$7),Projects!$B$7*(1-SUMPRODUCT((Curves!$B$3:$AO$3)*(COLUMN(Curves!$B$3:$AO$3)-COLUMN(Curves!$B$3)+1&lt;=74-Projects!$C$7+1))),0)</f>
        <v>0</v>
      </c>
      <c r="BY10" s="105">
        <f>IF(AND(Projects!$G$7="Yes",Projects!$F$7="Yes",75&gt;=Projects!$C$7,75&lt;Projects!$C$7+Projects!$D$7),Projects!$B$7*(1-SUMPRODUCT((Curves!$B$3:$AO$3)*(COLUMN(Curves!$B$3:$AO$3)-COLUMN(Curves!$B$3)+1&lt;=75-Projects!$C$7+1))),0)</f>
        <v>0</v>
      </c>
      <c r="BZ10" s="105">
        <f>IF(AND(Projects!$G$7="Yes",Projects!$F$7="Yes",76&gt;=Projects!$C$7,76&lt;Projects!$C$7+Projects!$D$7),Projects!$B$7*(1-SUMPRODUCT((Curves!$B$3:$AO$3)*(COLUMN(Curves!$B$3:$AO$3)-COLUMN(Curves!$B$3)+1&lt;=76-Projects!$C$7+1))),0)</f>
        <v>0</v>
      </c>
      <c r="CA10" s="105">
        <f>IF(AND(Projects!$G$7="Yes",Projects!$F$7="Yes",77&gt;=Projects!$C$7,77&lt;Projects!$C$7+Projects!$D$7),Projects!$B$7*(1-SUMPRODUCT((Curves!$B$3:$AO$3)*(COLUMN(Curves!$B$3:$AO$3)-COLUMN(Curves!$B$3)+1&lt;=77-Projects!$C$7+1))),0)</f>
        <v>0</v>
      </c>
      <c r="CB10" s="105">
        <f>IF(AND(Projects!$G$7="Yes",Projects!$F$7="Yes",78&gt;=Projects!$C$7,78&lt;Projects!$C$7+Projects!$D$7),Projects!$B$7*(1-SUMPRODUCT((Curves!$B$3:$AO$3)*(COLUMN(Curves!$B$3:$AO$3)-COLUMN(Curves!$B$3)+1&lt;=78-Projects!$C$7+1))),0)</f>
        <v>0</v>
      </c>
      <c r="CC10" s="105">
        <f>IF(AND(Projects!$G$7="Yes",Projects!$F$7="Yes",79&gt;=Projects!$C$7,79&lt;Projects!$C$7+Projects!$D$7),Projects!$B$7*(1-SUMPRODUCT((Curves!$B$3:$AO$3)*(COLUMN(Curves!$B$3:$AO$3)-COLUMN(Curves!$B$3)+1&lt;=79-Projects!$C$7+1))),0)</f>
        <v>0</v>
      </c>
      <c r="CD10" s="105">
        <f>IF(AND(Projects!$G$7="Yes",Projects!$F$7="Yes",80&gt;=Projects!$C$7,80&lt;Projects!$C$7+Projects!$D$7),Projects!$B$7*(1-SUMPRODUCT((Curves!$B$3:$AO$3)*(COLUMN(Curves!$B$3:$AO$3)-COLUMN(Curves!$B$3)+1&lt;=80-Projects!$C$7+1))),0)</f>
        <v>0</v>
      </c>
      <c r="CE10" s="105">
        <f>IF(AND(Projects!$G$7="Yes",Projects!$F$7="Yes",81&gt;=Projects!$C$7,81&lt;Projects!$C$7+Projects!$D$7),Projects!$B$7*(1-SUMPRODUCT((Curves!$B$3:$AO$3)*(COLUMN(Curves!$B$3:$AO$3)-COLUMN(Curves!$B$3)+1&lt;=81-Projects!$C$7+1))),0)</f>
        <v>0</v>
      </c>
      <c r="CF10" s="105">
        <f>IF(AND(Projects!$G$7="Yes",Projects!$F$7="Yes",82&gt;=Projects!$C$7,82&lt;Projects!$C$7+Projects!$D$7),Projects!$B$7*(1-SUMPRODUCT((Curves!$B$3:$AO$3)*(COLUMN(Curves!$B$3:$AO$3)-COLUMN(Curves!$B$3)+1&lt;=82-Projects!$C$7+1))),0)</f>
        <v>0</v>
      </c>
      <c r="CG10" s="105">
        <f>IF(AND(Projects!$G$7="Yes",Projects!$F$7="Yes",83&gt;=Projects!$C$7,83&lt;Projects!$C$7+Projects!$D$7),Projects!$B$7*(1-SUMPRODUCT((Curves!$B$3:$AO$3)*(COLUMN(Curves!$B$3:$AO$3)-COLUMN(Curves!$B$3)+1&lt;=83-Projects!$C$7+1))),0)</f>
        <v>0</v>
      </c>
      <c r="CH10" s="105">
        <f>IF(AND(Projects!$G$7="Yes",Projects!$F$7="Yes",84&gt;=Projects!$C$7,84&lt;Projects!$C$7+Projects!$D$7),Projects!$B$7*(1-SUMPRODUCT((Curves!$B$3:$AO$3)*(COLUMN(Curves!$B$3:$AO$3)-COLUMN(Curves!$B$3)+1&lt;=84-Projects!$C$7+1))),0)</f>
        <v>0</v>
      </c>
    </row>
    <row r="11" spans="1:86" ht="15" customHeight="1" x14ac:dyDescent="0.25">
      <c r="A11" s="99" t="s">
        <v>225</v>
      </c>
      <c r="C11" s="105">
        <f>IF(AND(Projects!$G$8="Yes",Projects!$F$8="Yes",1&gt;=Projects!$C$8,1&lt;Projects!$C$8+Projects!$D$8),Projects!$B$8*(1-SUMPRODUCT((Curves!$B$4:$AO$4)*(COLUMN(Curves!$B$4:$AO$4)-COLUMN(Curves!$B$4)+1&lt;=1-Projects!$C$8+1))),0)</f>
        <v>0</v>
      </c>
      <c r="D11" s="105">
        <f>IF(AND(Projects!$G$8="Yes",Projects!$F$8="Yes",2&gt;=Projects!$C$8,2&lt;Projects!$C$8+Projects!$D$8),Projects!$B$8*(1-SUMPRODUCT((Curves!$B$4:$AO$4)*(COLUMN(Curves!$B$4:$AO$4)-COLUMN(Curves!$B$4)+1&lt;=2-Projects!$C$8+1))),0)</f>
        <v>0</v>
      </c>
      <c r="E11" s="105">
        <f>IF(AND(Projects!$G$8="Yes",Projects!$F$8="Yes",3&gt;=Projects!$C$8,3&lt;Projects!$C$8+Projects!$D$8),Projects!$B$8*(1-SUMPRODUCT((Curves!$B$4:$AO$4)*(COLUMN(Curves!$B$4:$AO$4)-COLUMN(Curves!$B$4)+1&lt;=3-Projects!$C$8+1))),0)</f>
        <v>0</v>
      </c>
      <c r="F11" s="105">
        <f>IF(AND(Projects!$G$8="Yes",Projects!$F$8="Yes",4&gt;=Projects!$C$8,4&lt;Projects!$C$8+Projects!$D$8),Projects!$B$8*(1-SUMPRODUCT((Curves!$B$4:$AO$4)*(COLUMN(Curves!$B$4:$AO$4)-COLUMN(Curves!$B$4)+1&lt;=4-Projects!$C$8+1))),0)</f>
        <v>0</v>
      </c>
      <c r="G11" s="105">
        <f>IF(AND(Projects!$G$8="Yes",Projects!$F$8="Yes",5&gt;=Projects!$C$8,5&lt;Projects!$C$8+Projects!$D$8),Projects!$B$8*(1-SUMPRODUCT((Curves!$B$4:$AO$4)*(COLUMN(Curves!$B$4:$AO$4)-COLUMN(Curves!$B$4)+1&lt;=5-Projects!$C$8+1))),0)</f>
        <v>0</v>
      </c>
      <c r="H11" s="105">
        <f>IF(AND(Projects!$G$8="Yes",Projects!$F$8="Yes",6&gt;=Projects!$C$8,6&lt;Projects!$C$8+Projects!$D$8),Projects!$B$8*(1-SUMPRODUCT((Curves!$B$4:$AO$4)*(COLUMN(Curves!$B$4:$AO$4)-COLUMN(Curves!$B$4)+1&lt;=6-Projects!$C$8+1))),0)</f>
        <v>0</v>
      </c>
      <c r="I11" s="105">
        <f>IF(AND(Projects!$G$8="Yes",Projects!$F$8="Yes",7&gt;=Projects!$C$8,7&lt;Projects!$C$8+Projects!$D$8),Projects!$B$8*(1-SUMPRODUCT((Curves!$B$4:$AO$4)*(COLUMN(Curves!$B$4:$AO$4)-COLUMN(Curves!$B$4)+1&lt;=7-Projects!$C$8+1))),0)</f>
        <v>13264457.403875999</v>
      </c>
      <c r="J11" s="105">
        <f>IF(AND(Projects!$G$8="Yes",Projects!$F$8="Yes",8&gt;=Projects!$C$8,8&lt;Projects!$C$8+Projects!$D$8),Projects!$B$8*(1-SUMPRODUCT((Curves!$B$4:$AO$4)*(COLUMN(Curves!$B$4:$AO$4)-COLUMN(Curves!$B$4)+1&lt;=8-Projects!$C$8+1))),0)</f>
        <v>12818063.487384001</v>
      </c>
      <c r="K11" s="105">
        <f>IF(AND(Projects!$G$8="Yes",Projects!$F$8="Yes",9&gt;=Projects!$C$8,9&lt;Projects!$C$8+Projects!$D$8),Projects!$B$8*(1-SUMPRODUCT((Curves!$B$4:$AO$4)*(COLUMN(Curves!$B$4:$AO$4)-COLUMN(Curves!$B$4)+1&lt;=9-Projects!$C$8+1))),0)</f>
        <v>12280090.757280001</v>
      </c>
      <c r="L11" s="105">
        <f>IF(AND(Projects!$G$8="Yes",Projects!$F$8="Yes",10&gt;=Projects!$C$8,10&lt;Projects!$C$8+Projects!$D$8),Projects!$B$8*(1-SUMPRODUCT((Curves!$B$4:$AO$4)*(COLUMN(Curves!$B$4:$AO$4)-COLUMN(Curves!$B$4)+1&lt;=10-Projects!$C$8+1))),0)</f>
        <v>11647691.427216001</v>
      </c>
      <c r="M11" s="105">
        <f>IF(AND(Projects!$G$8="Yes",Projects!$F$8="Yes",11&gt;=Projects!$C$8,11&lt;Projects!$C$8+Projects!$D$8),Projects!$B$8*(1-SUMPRODUCT((Curves!$B$4:$AO$4)*(COLUMN(Curves!$B$4:$AO$4)-COLUMN(Curves!$B$4)+1&lt;=11-Projects!$C$8+1))),0)</f>
        <v>10922555.09292</v>
      </c>
      <c r="N11" s="105">
        <f>IF(AND(Projects!$G$8="Yes",Projects!$F$8="Yes",12&gt;=Projects!$C$8,12&lt;Projects!$C$8+Projects!$D$8),Projects!$B$8*(1-SUMPRODUCT((Curves!$B$4:$AO$4)*(COLUMN(Curves!$B$4:$AO$4)-COLUMN(Curves!$B$4)+1&lt;=12-Projects!$C$8+1))),0)</f>
        <v>10111521.891936</v>
      </c>
      <c r="O11" s="105">
        <f>IF(AND(Projects!$G$8="Yes",Projects!$F$8="Yes",13&gt;=Projects!$C$8,13&lt;Projects!$C$8+Projects!$D$8),Projects!$B$8*(1-SUMPRODUCT((Curves!$B$4:$AO$4)*(COLUMN(Curves!$B$4:$AO$4)-COLUMN(Curves!$B$4)+1&lt;=13-Projects!$C$8+1))),0)</f>
        <v>9226705.1355719995</v>
      </c>
      <c r="P11" s="105">
        <f>IF(AND(Projects!$G$8="Yes",Projects!$F$8="Yes",14&gt;=Projects!$C$8,14&lt;Projects!$C$8+Projects!$D$8),Projects!$B$8*(1-SUMPRODUCT((Curves!$B$4:$AO$4)*(COLUMN(Curves!$B$4:$AO$4)-COLUMN(Curves!$B$4)+1&lt;=14-Projects!$C$8+1))),0)</f>
        <v>8285109.7872839998</v>
      </c>
      <c r="Q11" s="105">
        <f>IF(AND(Projects!$G$8="Yes",Projects!$F$8="Yes",15&gt;=Projects!$C$8,15&lt;Projects!$C$8+Projects!$D$8),Projects!$B$8*(1-SUMPRODUCT((Curves!$B$4:$AO$4)*(COLUMN(Curves!$B$4:$AO$4)-COLUMN(Curves!$B$4)+1&lt;=15-Projects!$C$8+1))),0)</f>
        <v>7307705.9101799987</v>
      </c>
      <c r="R11" s="105">
        <f>IF(AND(Projects!$G$8="Yes",Projects!$F$8="Yes",16&gt;=Projects!$C$8,16&lt;Projects!$C$8+Projects!$D$8),Projects!$B$8*(1-SUMPRODUCT((Curves!$B$4:$AO$4)*(COLUMN(Curves!$B$4:$AO$4)-COLUMN(Curves!$B$4)+1&lt;=16-Projects!$C$8+1))),0)</f>
        <v>6318066.0898199985</v>
      </c>
      <c r="S11" s="105">
        <f>IF(AND(Projects!$G$8="Yes",Projects!$F$8="Yes",17&gt;=Projects!$C$8,17&lt;Projects!$C$8+Projects!$D$8),Projects!$B$8*(1-SUMPRODUCT((Curves!$B$4:$AO$4)*(COLUMN(Curves!$B$4:$AO$4)-COLUMN(Curves!$B$4)+1&lt;=17-Projects!$C$8+1))),0)</f>
        <v>5340662.2127159983</v>
      </c>
      <c r="T11" s="105">
        <f>IF(AND(Projects!$G$8="Yes",Projects!$F$8="Yes",18&gt;=Projects!$C$8,18&lt;Projects!$C$8+Projects!$D$8),Projects!$B$8*(1-SUMPRODUCT((Curves!$B$4:$AO$4)*(COLUMN(Curves!$B$4:$AO$4)-COLUMN(Curves!$B$4)+1&lt;=18-Projects!$C$8+1))),0)</f>
        <v>4399066.8644279996</v>
      </c>
      <c r="U11" s="105">
        <f>IF(AND(Projects!$G$8="Yes",Projects!$F$8="Yes",19&gt;=Projects!$C$8,19&lt;Projects!$C$8+Projects!$D$8),Projects!$B$8*(1-SUMPRODUCT((Curves!$B$4:$AO$4)*(COLUMN(Curves!$B$4:$AO$4)-COLUMN(Curves!$B$4)+1&lt;=19-Projects!$C$8+1))),0)</f>
        <v>3514250.1080639991</v>
      </c>
      <c r="V11" s="105">
        <f>IF(AND(Projects!$G$8="Yes",Projects!$F$8="Yes",20&gt;=Projects!$C$8,20&lt;Projects!$C$8+Projects!$D$8),Projects!$B$8*(1-SUMPRODUCT((Curves!$B$4:$AO$4)*(COLUMN(Curves!$B$4:$AO$4)-COLUMN(Curves!$B$4)+1&lt;=20-Projects!$C$8+1))),0)</f>
        <v>2703216.9070799993</v>
      </c>
      <c r="W11" s="105">
        <f>IF(AND(Projects!$G$8="Yes",Projects!$F$8="Yes",21&gt;=Projects!$C$8,21&lt;Projects!$C$8+Projects!$D$8),Projects!$B$8*(1-SUMPRODUCT((Curves!$B$4:$AO$4)*(COLUMN(Curves!$B$4:$AO$4)-COLUMN(Curves!$B$4)+1&lt;=21-Projects!$C$8+1))),0)</f>
        <v>1978080.5727839996</v>
      </c>
      <c r="X11" s="105">
        <f>IF(AND(Projects!$G$8="Yes",Projects!$F$8="Yes",22&gt;=Projects!$C$8,22&lt;Projects!$C$8+Projects!$D$8),Projects!$B$8*(1-SUMPRODUCT((Curves!$B$4:$AO$4)*(COLUMN(Curves!$B$4:$AO$4)-COLUMN(Curves!$B$4)+1&lt;=22-Projects!$C$8+1))),0)</f>
        <v>1345681.2427199995</v>
      </c>
      <c r="Y11" s="105">
        <f>IF(AND(Projects!$G$8="Yes",Projects!$F$8="Yes",23&gt;=Projects!$C$8,23&lt;Projects!$C$8+Projects!$D$8),Projects!$B$8*(1-SUMPRODUCT((Curves!$B$4:$AO$4)*(COLUMN(Curves!$B$4:$AO$4)-COLUMN(Curves!$B$4)+1&lt;=23-Projects!$C$8+1))),0)</f>
        <v>807708.51261599921</v>
      </c>
      <c r="Z11" s="105">
        <f>IF(AND(Projects!$G$8="Yes",Projects!$F$8="Yes",24&gt;=Projects!$C$8,24&lt;Projects!$C$8+Projects!$D$8),Projects!$B$8*(1-SUMPRODUCT((Curves!$B$4:$AO$4)*(COLUMN(Curves!$B$4:$AO$4)-COLUMN(Curves!$B$4)+1&lt;=24-Projects!$C$8+1))),0)</f>
        <v>361314.59612399864</v>
      </c>
      <c r="AA11" s="105">
        <f>IF(AND(Projects!$G$8="Yes",Projects!$F$8="Yes",25&gt;=Projects!$C$8,25&lt;Projects!$C$8+Projects!$D$8),Projects!$B$8*(1-SUMPRODUCT((Curves!$B$4:$AO$4)*(COLUMN(Curves!$B$4:$AO$4)-COLUMN(Curves!$B$4)+1&lt;=25-Projects!$C$8+1))),0)</f>
        <v>0</v>
      </c>
      <c r="AB11" s="105">
        <f>IF(AND(Projects!$G$8="Yes",Projects!$F$8="Yes",26&gt;=Projects!$C$8,26&lt;Projects!$C$8+Projects!$D$8),Projects!$B$8*(1-SUMPRODUCT((Curves!$B$4:$AO$4)*(COLUMN(Curves!$B$4:$AO$4)-COLUMN(Curves!$B$4)+1&lt;=26-Projects!$C$8+1))),0)</f>
        <v>0</v>
      </c>
      <c r="AC11" s="105">
        <f>IF(AND(Projects!$G$8="Yes",Projects!$F$8="Yes",27&gt;=Projects!$C$8,27&lt;Projects!$C$8+Projects!$D$8),Projects!$B$8*(1-SUMPRODUCT((Curves!$B$4:$AO$4)*(COLUMN(Curves!$B$4:$AO$4)-COLUMN(Curves!$B$4)+1&lt;=27-Projects!$C$8+1))),0)</f>
        <v>0</v>
      </c>
      <c r="AD11" s="105">
        <f>IF(AND(Projects!$G$8="Yes",Projects!$F$8="Yes",28&gt;=Projects!$C$8,28&lt;Projects!$C$8+Projects!$D$8),Projects!$B$8*(1-SUMPRODUCT((Curves!$B$4:$AO$4)*(COLUMN(Curves!$B$4:$AO$4)-COLUMN(Curves!$B$4)+1&lt;=28-Projects!$C$8+1))),0)</f>
        <v>0</v>
      </c>
      <c r="AE11" s="105">
        <f>IF(AND(Projects!$G$8="Yes",Projects!$F$8="Yes",29&gt;=Projects!$C$8,29&lt;Projects!$C$8+Projects!$D$8),Projects!$B$8*(1-SUMPRODUCT((Curves!$B$4:$AO$4)*(COLUMN(Curves!$B$4:$AO$4)-COLUMN(Curves!$B$4)+1&lt;=29-Projects!$C$8+1))),0)</f>
        <v>0</v>
      </c>
      <c r="AF11" s="105">
        <f>IF(AND(Projects!$G$8="Yes",Projects!$F$8="Yes",30&gt;=Projects!$C$8,30&lt;Projects!$C$8+Projects!$D$8),Projects!$B$8*(1-SUMPRODUCT((Curves!$B$4:$AO$4)*(COLUMN(Curves!$B$4:$AO$4)-COLUMN(Curves!$B$4)+1&lt;=30-Projects!$C$8+1))),0)</f>
        <v>0</v>
      </c>
      <c r="AG11" s="105">
        <f>IF(AND(Projects!$G$8="Yes",Projects!$F$8="Yes",31&gt;=Projects!$C$8,31&lt;Projects!$C$8+Projects!$D$8),Projects!$B$8*(1-SUMPRODUCT((Curves!$B$4:$AO$4)*(COLUMN(Curves!$B$4:$AO$4)-COLUMN(Curves!$B$4)+1&lt;=31-Projects!$C$8+1))),0)</f>
        <v>0</v>
      </c>
      <c r="AH11" s="105">
        <f>IF(AND(Projects!$G$8="Yes",Projects!$F$8="Yes",32&gt;=Projects!$C$8,32&lt;Projects!$C$8+Projects!$D$8),Projects!$B$8*(1-SUMPRODUCT((Curves!$B$4:$AO$4)*(COLUMN(Curves!$B$4:$AO$4)-COLUMN(Curves!$B$4)+1&lt;=32-Projects!$C$8+1))),0)</f>
        <v>0</v>
      </c>
      <c r="AI11" s="105">
        <f>IF(AND(Projects!$G$8="Yes",Projects!$F$8="Yes",33&gt;=Projects!$C$8,33&lt;Projects!$C$8+Projects!$D$8),Projects!$B$8*(1-SUMPRODUCT((Curves!$B$4:$AO$4)*(COLUMN(Curves!$B$4:$AO$4)-COLUMN(Curves!$B$4)+1&lt;=33-Projects!$C$8+1))),0)</f>
        <v>0</v>
      </c>
      <c r="AJ11" s="105">
        <f>IF(AND(Projects!$G$8="Yes",Projects!$F$8="Yes",34&gt;=Projects!$C$8,34&lt;Projects!$C$8+Projects!$D$8),Projects!$B$8*(1-SUMPRODUCT((Curves!$B$4:$AO$4)*(COLUMN(Curves!$B$4:$AO$4)-COLUMN(Curves!$B$4)+1&lt;=34-Projects!$C$8+1))),0)</f>
        <v>0</v>
      </c>
      <c r="AK11" s="105">
        <f>IF(AND(Projects!$G$8="Yes",Projects!$F$8="Yes",35&gt;=Projects!$C$8,35&lt;Projects!$C$8+Projects!$D$8),Projects!$B$8*(1-SUMPRODUCT((Curves!$B$4:$AO$4)*(COLUMN(Curves!$B$4:$AO$4)-COLUMN(Curves!$B$4)+1&lt;=35-Projects!$C$8+1))),0)</f>
        <v>0</v>
      </c>
      <c r="AL11" s="105">
        <f>IF(AND(Projects!$G$8="Yes",Projects!$F$8="Yes",36&gt;=Projects!$C$8,36&lt;Projects!$C$8+Projects!$D$8),Projects!$B$8*(1-SUMPRODUCT((Curves!$B$4:$AO$4)*(COLUMN(Curves!$B$4:$AO$4)-COLUMN(Curves!$B$4)+1&lt;=36-Projects!$C$8+1))),0)</f>
        <v>0</v>
      </c>
      <c r="AM11" s="105">
        <f>IF(AND(Projects!$G$8="Yes",Projects!$F$8="Yes",37&gt;=Projects!$C$8,37&lt;Projects!$C$8+Projects!$D$8),Projects!$B$8*(1-SUMPRODUCT((Curves!$B$4:$AO$4)*(COLUMN(Curves!$B$4:$AO$4)-COLUMN(Curves!$B$4)+1&lt;=37-Projects!$C$8+1))),0)</f>
        <v>0</v>
      </c>
      <c r="AN11" s="105">
        <f>IF(AND(Projects!$G$8="Yes",Projects!$F$8="Yes",38&gt;=Projects!$C$8,38&lt;Projects!$C$8+Projects!$D$8),Projects!$B$8*(1-SUMPRODUCT((Curves!$B$4:$AO$4)*(COLUMN(Curves!$B$4:$AO$4)-COLUMN(Curves!$B$4)+1&lt;=38-Projects!$C$8+1))),0)</f>
        <v>0</v>
      </c>
      <c r="AO11" s="105">
        <f>IF(AND(Projects!$G$8="Yes",Projects!$F$8="Yes",39&gt;=Projects!$C$8,39&lt;Projects!$C$8+Projects!$D$8),Projects!$B$8*(1-SUMPRODUCT((Curves!$B$4:$AO$4)*(COLUMN(Curves!$B$4:$AO$4)-COLUMN(Curves!$B$4)+1&lt;=39-Projects!$C$8+1))),0)</f>
        <v>0</v>
      </c>
      <c r="AP11" s="105">
        <f>IF(AND(Projects!$G$8="Yes",Projects!$F$8="Yes",40&gt;=Projects!$C$8,40&lt;Projects!$C$8+Projects!$D$8),Projects!$B$8*(1-SUMPRODUCT((Curves!$B$4:$AO$4)*(COLUMN(Curves!$B$4:$AO$4)-COLUMN(Curves!$B$4)+1&lt;=40-Projects!$C$8+1))),0)</f>
        <v>0</v>
      </c>
      <c r="AQ11" s="105">
        <f>IF(AND(Projects!$G$8="Yes",Projects!$F$8="Yes",41&gt;=Projects!$C$8,41&lt;Projects!$C$8+Projects!$D$8),Projects!$B$8*(1-SUMPRODUCT((Curves!$B$4:$AO$4)*(COLUMN(Curves!$B$4:$AO$4)-COLUMN(Curves!$B$4)+1&lt;=41-Projects!$C$8+1))),0)</f>
        <v>0</v>
      </c>
      <c r="AR11" s="105">
        <f>IF(AND(Projects!$G$8="Yes",Projects!$F$8="Yes",42&gt;=Projects!$C$8,42&lt;Projects!$C$8+Projects!$D$8),Projects!$B$8*(1-SUMPRODUCT((Curves!$B$4:$AO$4)*(COLUMN(Curves!$B$4:$AO$4)-COLUMN(Curves!$B$4)+1&lt;=42-Projects!$C$8+1))),0)</f>
        <v>0</v>
      </c>
      <c r="AS11" s="105">
        <f>IF(AND(Projects!$G$8="Yes",Projects!$F$8="Yes",43&gt;=Projects!$C$8,43&lt;Projects!$C$8+Projects!$D$8),Projects!$B$8*(1-SUMPRODUCT((Curves!$B$4:$AO$4)*(COLUMN(Curves!$B$4:$AO$4)-COLUMN(Curves!$B$4)+1&lt;=43-Projects!$C$8+1))),0)</f>
        <v>0</v>
      </c>
      <c r="AT11" s="105">
        <f>IF(AND(Projects!$G$8="Yes",Projects!$F$8="Yes",44&gt;=Projects!$C$8,44&lt;Projects!$C$8+Projects!$D$8),Projects!$B$8*(1-SUMPRODUCT((Curves!$B$4:$AO$4)*(COLUMN(Curves!$B$4:$AO$4)-COLUMN(Curves!$B$4)+1&lt;=44-Projects!$C$8+1))),0)</f>
        <v>0</v>
      </c>
      <c r="AU11" s="105">
        <f>IF(AND(Projects!$G$8="Yes",Projects!$F$8="Yes",45&gt;=Projects!$C$8,45&lt;Projects!$C$8+Projects!$D$8),Projects!$B$8*(1-SUMPRODUCT((Curves!$B$4:$AO$4)*(COLUMN(Curves!$B$4:$AO$4)-COLUMN(Curves!$B$4)+1&lt;=45-Projects!$C$8+1))),0)</f>
        <v>0</v>
      </c>
      <c r="AV11" s="105">
        <f>IF(AND(Projects!$G$8="Yes",Projects!$F$8="Yes",46&gt;=Projects!$C$8,46&lt;Projects!$C$8+Projects!$D$8),Projects!$B$8*(1-SUMPRODUCT((Curves!$B$4:$AO$4)*(COLUMN(Curves!$B$4:$AO$4)-COLUMN(Curves!$B$4)+1&lt;=46-Projects!$C$8+1))),0)</f>
        <v>0</v>
      </c>
      <c r="AW11" s="105">
        <f>IF(AND(Projects!$G$8="Yes",Projects!$F$8="Yes",47&gt;=Projects!$C$8,47&lt;Projects!$C$8+Projects!$D$8),Projects!$B$8*(1-SUMPRODUCT((Curves!$B$4:$AO$4)*(COLUMN(Curves!$B$4:$AO$4)-COLUMN(Curves!$B$4)+1&lt;=47-Projects!$C$8+1))),0)</f>
        <v>0</v>
      </c>
      <c r="AX11" s="105">
        <f>IF(AND(Projects!$G$8="Yes",Projects!$F$8="Yes",48&gt;=Projects!$C$8,48&lt;Projects!$C$8+Projects!$D$8),Projects!$B$8*(1-SUMPRODUCT((Curves!$B$4:$AO$4)*(COLUMN(Curves!$B$4:$AO$4)-COLUMN(Curves!$B$4)+1&lt;=48-Projects!$C$8+1))),0)</f>
        <v>0</v>
      </c>
      <c r="AY11" s="105">
        <f>IF(AND(Projects!$G$8="Yes",Projects!$F$8="Yes",49&gt;=Projects!$C$8,49&lt;Projects!$C$8+Projects!$D$8),Projects!$B$8*(1-SUMPRODUCT((Curves!$B$4:$AO$4)*(COLUMN(Curves!$B$4:$AO$4)-COLUMN(Curves!$B$4)+1&lt;=49-Projects!$C$8+1))),0)</f>
        <v>0</v>
      </c>
      <c r="AZ11" s="105">
        <f>IF(AND(Projects!$G$8="Yes",Projects!$F$8="Yes",50&gt;=Projects!$C$8,50&lt;Projects!$C$8+Projects!$D$8),Projects!$B$8*(1-SUMPRODUCT((Curves!$B$4:$AO$4)*(COLUMN(Curves!$B$4:$AO$4)-COLUMN(Curves!$B$4)+1&lt;=50-Projects!$C$8+1))),0)</f>
        <v>0</v>
      </c>
      <c r="BA11" s="105">
        <f>IF(AND(Projects!$G$8="Yes",Projects!$F$8="Yes",51&gt;=Projects!$C$8,51&lt;Projects!$C$8+Projects!$D$8),Projects!$B$8*(1-SUMPRODUCT((Curves!$B$4:$AO$4)*(COLUMN(Curves!$B$4:$AO$4)-COLUMN(Curves!$B$4)+1&lt;=51-Projects!$C$8+1))),0)</f>
        <v>0</v>
      </c>
      <c r="BB11" s="105">
        <f>IF(AND(Projects!$G$8="Yes",Projects!$F$8="Yes",52&gt;=Projects!$C$8,52&lt;Projects!$C$8+Projects!$D$8),Projects!$B$8*(1-SUMPRODUCT((Curves!$B$4:$AO$4)*(COLUMN(Curves!$B$4:$AO$4)-COLUMN(Curves!$B$4)+1&lt;=52-Projects!$C$8+1))),0)</f>
        <v>0</v>
      </c>
      <c r="BC11" s="105">
        <f>IF(AND(Projects!$G$8="Yes",Projects!$F$8="Yes",53&gt;=Projects!$C$8,53&lt;Projects!$C$8+Projects!$D$8),Projects!$B$8*(1-SUMPRODUCT((Curves!$B$4:$AO$4)*(COLUMN(Curves!$B$4:$AO$4)-COLUMN(Curves!$B$4)+1&lt;=53-Projects!$C$8+1))),0)</f>
        <v>0</v>
      </c>
      <c r="BD11" s="105">
        <f>IF(AND(Projects!$G$8="Yes",Projects!$F$8="Yes",54&gt;=Projects!$C$8,54&lt;Projects!$C$8+Projects!$D$8),Projects!$B$8*(1-SUMPRODUCT((Curves!$B$4:$AO$4)*(COLUMN(Curves!$B$4:$AO$4)-COLUMN(Curves!$B$4)+1&lt;=54-Projects!$C$8+1))),0)</f>
        <v>0</v>
      </c>
      <c r="BE11" s="105">
        <f>IF(AND(Projects!$G$8="Yes",Projects!$F$8="Yes",55&gt;=Projects!$C$8,55&lt;Projects!$C$8+Projects!$D$8),Projects!$B$8*(1-SUMPRODUCT((Curves!$B$4:$AO$4)*(COLUMN(Curves!$B$4:$AO$4)-COLUMN(Curves!$B$4)+1&lt;=55-Projects!$C$8+1))),0)</f>
        <v>0</v>
      </c>
      <c r="BF11" s="105">
        <f>IF(AND(Projects!$G$8="Yes",Projects!$F$8="Yes",56&gt;=Projects!$C$8,56&lt;Projects!$C$8+Projects!$D$8),Projects!$B$8*(1-SUMPRODUCT((Curves!$B$4:$AO$4)*(COLUMN(Curves!$B$4:$AO$4)-COLUMN(Curves!$B$4)+1&lt;=56-Projects!$C$8+1))),0)</f>
        <v>0</v>
      </c>
      <c r="BG11" s="105">
        <f>IF(AND(Projects!$G$8="Yes",Projects!$F$8="Yes",57&gt;=Projects!$C$8,57&lt;Projects!$C$8+Projects!$D$8),Projects!$B$8*(1-SUMPRODUCT((Curves!$B$4:$AO$4)*(COLUMN(Curves!$B$4:$AO$4)-COLUMN(Curves!$B$4)+1&lt;=57-Projects!$C$8+1))),0)</f>
        <v>0</v>
      </c>
      <c r="BH11" s="105">
        <f>IF(AND(Projects!$G$8="Yes",Projects!$F$8="Yes",58&gt;=Projects!$C$8,58&lt;Projects!$C$8+Projects!$D$8),Projects!$B$8*(1-SUMPRODUCT((Curves!$B$4:$AO$4)*(COLUMN(Curves!$B$4:$AO$4)-COLUMN(Curves!$B$4)+1&lt;=58-Projects!$C$8+1))),0)</f>
        <v>0</v>
      </c>
      <c r="BI11" s="105">
        <f>IF(AND(Projects!$G$8="Yes",Projects!$F$8="Yes",59&gt;=Projects!$C$8,59&lt;Projects!$C$8+Projects!$D$8),Projects!$B$8*(1-SUMPRODUCT((Curves!$B$4:$AO$4)*(COLUMN(Curves!$B$4:$AO$4)-COLUMN(Curves!$B$4)+1&lt;=59-Projects!$C$8+1))),0)</f>
        <v>0</v>
      </c>
      <c r="BJ11" s="105">
        <f>IF(AND(Projects!$G$8="Yes",Projects!$F$8="Yes",60&gt;=Projects!$C$8,60&lt;Projects!$C$8+Projects!$D$8),Projects!$B$8*(1-SUMPRODUCT((Curves!$B$4:$AO$4)*(COLUMN(Curves!$B$4:$AO$4)-COLUMN(Curves!$B$4)+1&lt;=60-Projects!$C$8+1))),0)</f>
        <v>0</v>
      </c>
      <c r="BK11" s="105">
        <f>IF(AND(Projects!$G$8="Yes",Projects!$F$8="Yes",61&gt;=Projects!$C$8,61&lt;Projects!$C$8+Projects!$D$8),Projects!$B$8*(1-SUMPRODUCT((Curves!$B$4:$AO$4)*(COLUMN(Curves!$B$4:$AO$4)-COLUMN(Curves!$B$4)+1&lt;=61-Projects!$C$8+1))),0)</f>
        <v>0</v>
      </c>
      <c r="BL11" s="105">
        <f>IF(AND(Projects!$G$8="Yes",Projects!$F$8="Yes",62&gt;=Projects!$C$8,62&lt;Projects!$C$8+Projects!$D$8),Projects!$B$8*(1-SUMPRODUCT((Curves!$B$4:$AO$4)*(COLUMN(Curves!$B$4:$AO$4)-COLUMN(Curves!$B$4)+1&lt;=62-Projects!$C$8+1))),0)</f>
        <v>0</v>
      </c>
      <c r="BM11" s="105">
        <f>IF(AND(Projects!$G$8="Yes",Projects!$F$8="Yes",63&gt;=Projects!$C$8,63&lt;Projects!$C$8+Projects!$D$8),Projects!$B$8*(1-SUMPRODUCT((Curves!$B$4:$AO$4)*(COLUMN(Curves!$B$4:$AO$4)-COLUMN(Curves!$B$4)+1&lt;=63-Projects!$C$8+1))),0)</f>
        <v>0</v>
      </c>
      <c r="BN11" s="105">
        <f>IF(AND(Projects!$G$8="Yes",Projects!$F$8="Yes",64&gt;=Projects!$C$8,64&lt;Projects!$C$8+Projects!$D$8),Projects!$B$8*(1-SUMPRODUCT((Curves!$B$4:$AO$4)*(COLUMN(Curves!$B$4:$AO$4)-COLUMN(Curves!$B$4)+1&lt;=64-Projects!$C$8+1))),0)</f>
        <v>0</v>
      </c>
      <c r="BO11" s="105">
        <f>IF(AND(Projects!$G$8="Yes",Projects!$F$8="Yes",65&gt;=Projects!$C$8,65&lt;Projects!$C$8+Projects!$D$8),Projects!$B$8*(1-SUMPRODUCT((Curves!$B$4:$AO$4)*(COLUMN(Curves!$B$4:$AO$4)-COLUMN(Curves!$B$4)+1&lt;=65-Projects!$C$8+1))),0)</f>
        <v>0</v>
      </c>
      <c r="BP11" s="105">
        <f>IF(AND(Projects!$G$8="Yes",Projects!$F$8="Yes",66&gt;=Projects!$C$8,66&lt;Projects!$C$8+Projects!$D$8),Projects!$B$8*(1-SUMPRODUCT((Curves!$B$4:$AO$4)*(COLUMN(Curves!$B$4:$AO$4)-COLUMN(Curves!$B$4)+1&lt;=66-Projects!$C$8+1))),0)</f>
        <v>0</v>
      </c>
      <c r="BQ11" s="105">
        <f>IF(AND(Projects!$G$8="Yes",Projects!$F$8="Yes",67&gt;=Projects!$C$8,67&lt;Projects!$C$8+Projects!$D$8),Projects!$B$8*(1-SUMPRODUCT((Curves!$B$4:$AO$4)*(COLUMN(Curves!$B$4:$AO$4)-COLUMN(Curves!$B$4)+1&lt;=67-Projects!$C$8+1))),0)</f>
        <v>0</v>
      </c>
      <c r="BR11" s="105">
        <f>IF(AND(Projects!$G$8="Yes",Projects!$F$8="Yes",68&gt;=Projects!$C$8,68&lt;Projects!$C$8+Projects!$D$8),Projects!$B$8*(1-SUMPRODUCT((Curves!$B$4:$AO$4)*(COLUMN(Curves!$B$4:$AO$4)-COLUMN(Curves!$B$4)+1&lt;=68-Projects!$C$8+1))),0)</f>
        <v>0</v>
      </c>
      <c r="BS11" s="105">
        <f>IF(AND(Projects!$G$8="Yes",Projects!$F$8="Yes",69&gt;=Projects!$C$8,69&lt;Projects!$C$8+Projects!$D$8),Projects!$B$8*(1-SUMPRODUCT((Curves!$B$4:$AO$4)*(COLUMN(Curves!$B$4:$AO$4)-COLUMN(Curves!$B$4)+1&lt;=69-Projects!$C$8+1))),0)</f>
        <v>0</v>
      </c>
      <c r="BT11" s="105">
        <f>IF(AND(Projects!$G$8="Yes",Projects!$F$8="Yes",70&gt;=Projects!$C$8,70&lt;Projects!$C$8+Projects!$D$8),Projects!$B$8*(1-SUMPRODUCT((Curves!$B$4:$AO$4)*(COLUMN(Curves!$B$4:$AO$4)-COLUMN(Curves!$B$4)+1&lt;=70-Projects!$C$8+1))),0)</f>
        <v>0</v>
      </c>
      <c r="BU11" s="105">
        <f>IF(AND(Projects!$G$8="Yes",Projects!$F$8="Yes",71&gt;=Projects!$C$8,71&lt;Projects!$C$8+Projects!$D$8),Projects!$B$8*(1-SUMPRODUCT((Curves!$B$4:$AO$4)*(COLUMN(Curves!$B$4:$AO$4)-COLUMN(Curves!$B$4)+1&lt;=71-Projects!$C$8+1))),0)</f>
        <v>0</v>
      </c>
      <c r="BV11" s="105">
        <f>IF(AND(Projects!$G$8="Yes",Projects!$F$8="Yes",72&gt;=Projects!$C$8,72&lt;Projects!$C$8+Projects!$D$8),Projects!$B$8*(1-SUMPRODUCT((Curves!$B$4:$AO$4)*(COLUMN(Curves!$B$4:$AO$4)-COLUMN(Curves!$B$4)+1&lt;=72-Projects!$C$8+1))),0)</f>
        <v>0</v>
      </c>
      <c r="BW11" s="105">
        <f>IF(AND(Projects!$G$8="Yes",Projects!$F$8="Yes",73&gt;=Projects!$C$8,73&lt;Projects!$C$8+Projects!$D$8),Projects!$B$8*(1-SUMPRODUCT((Curves!$B$4:$AO$4)*(COLUMN(Curves!$B$4:$AO$4)-COLUMN(Curves!$B$4)+1&lt;=73-Projects!$C$8+1))),0)</f>
        <v>0</v>
      </c>
      <c r="BX11" s="105">
        <f>IF(AND(Projects!$G$8="Yes",Projects!$F$8="Yes",74&gt;=Projects!$C$8,74&lt;Projects!$C$8+Projects!$D$8),Projects!$B$8*(1-SUMPRODUCT((Curves!$B$4:$AO$4)*(COLUMN(Curves!$B$4:$AO$4)-COLUMN(Curves!$B$4)+1&lt;=74-Projects!$C$8+1))),0)</f>
        <v>0</v>
      </c>
      <c r="BY11" s="105">
        <f>IF(AND(Projects!$G$8="Yes",Projects!$F$8="Yes",75&gt;=Projects!$C$8,75&lt;Projects!$C$8+Projects!$D$8),Projects!$B$8*(1-SUMPRODUCT((Curves!$B$4:$AO$4)*(COLUMN(Curves!$B$4:$AO$4)-COLUMN(Curves!$B$4)+1&lt;=75-Projects!$C$8+1))),0)</f>
        <v>0</v>
      </c>
      <c r="BZ11" s="105">
        <f>IF(AND(Projects!$G$8="Yes",Projects!$F$8="Yes",76&gt;=Projects!$C$8,76&lt;Projects!$C$8+Projects!$D$8),Projects!$B$8*(1-SUMPRODUCT((Curves!$B$4:$AO$4)*(COLUMN(Curves!$B$4:$AO$4)-COLUMN(Curves!$B$4)+1&lt;=76-Projects!$C$8+1))),0)</f>
        <v>0</v>
      </c>
      <c r="CA11" s="105">
        <f>IF(AND(Projects!$G$8="Yes",Projects!$F$8="Yes",77&gt;=Projects!$C$8,77&lt;Projects!$C$8+Projects!$D$8),Projects!$B$8*(1-SUMPRODUCT((Curves!$B$4:$AO$4)*(COLUMN(Curves!$B$4:$AO$4)-COLUMN(Curves!$B$4)+1&lt;=77-Projects!$C$8+1))),0)</f>
        <v>0</v>
      </c>
      <c r="CB11" s="105">
        <f>IF(AND(Projects!$G$8="Yes",Projects!$F$8="Yes",78&gt;=Projects!$C$8,78&lt;Projects!$C$8+Projects!$D$8),Projects!$B$8*(1-SUMPRODUCT((Curves!$B$4:$AO$4)*(COLUMN(Curves!$B$4:$AO$4)-COLUMN(Curves!$B$4)+1&lt;=78-Projects!$C$8+1))),0)</f>
        <v>0</v>
      </c>
      <c r="CC11" s="105">
        <f>IF(AND(Projects!$G$8="Yes",Projects!$F$8="Yes",79&gt;=Projects!$C$8,79&lt;Projects!$C$8+Projects!$D$8),Projects!$B$8*(1-SUMPRODUCT((Curves!$B$4:$AO$4)*(COLUMN(Curves!$B$4:$AO$4)-COLUMN(Curves!$B$4)+1&lt;=79-Projects!$C$8+1))),0)</f>
        <v>0</v>
      </c>
      <c r="CD11" s="105">
        <f>IF(AND(Projects!$G$8="Yes",Projects!$F$8="Yes",80&gt;=Projects!$C$8,80&lt;Projects!$C$8+Projects!$D$8),Projects!$B$8*(1-SUMPRODUCT((Curves!$B$4:$AO$4)*(COLUMN(Curves!$B$4:$AO$4)-COLUMN(Curves!$B$4)+1&lt;=80-Projects!$C$8+1))),0)</f>
        <v>0</v>
      </c>
      <c r="CE11" s="105">
        <f>IF(AND(Projects!$G$8="Yes",Projects!$F$8="Yes",81&gt;=Projects!$C$8,81&lt;Projects!$C$8+Projects!$D$8),Projects!$B$8*(1-SUMPRODUCT((Curves!$B$4:$AO$4)*(COLUMN(Curves!$B$4:$AO$4)-COLUMN(Curves!$B$4)+1&lt;=81-Projects!$C$8+1))),0)</f>
        <v>0</v>
      </c>
      <c r="CF11" s="105">
        <f>IF(AND(Projects!$G$8="Yes",Projects!$F$8="Yes",82&gt;=Projects!$C$8,82&lt;Projects!$C$8+Projects!$D$8),Projects!$B$8*(1-SUMPRODUCT((Curves!$B$4:$AO$4)*(COLUMN(Curves!$B$4:$AO$4)-COLUMN(Curves!$B$4)+1&lt;=82-Projects!$C$8+1))),0)</f>
        <v>0</v>
      </c>
      <c r="CG11" s="105">
        <f>IF(AND(Projects!$G$8="Yes",Projects!$F$8="Yes",83&gt;=Projects!$C$8,83&lt;Projects!$C$8+Projects!$D$8),Projects!$B$8*(1-SUMPRODUCT((Curves!$B$4:$AO$4)*(COLUMN(Curves!$B$4:$AO$4)-COLUMN(Curves!$B$4)+1&lt;=83-Projects!$C$8+1))),0)</f>
        <v>0</v>
      </c>
      <c r="CH11" s="105">
        <f>IF(AND(Projects!$G$8="Yes",Projects!$F$8="Yes",84&gt;=Projects!$C$8,84&lt;Projects!$C$8+Projects!$D$8),Projects!$B$8*(1-SUMPRODUCT((Curves!$B$4:$AO$4)*(COLUMN(Curves!$B$4:$AO$4)-COLUMN(Curves!$B$4)+1&lt;=84-Projects!$C$8+1))),0)</f>
        <v>0</v>
      </c>
    </row>
    <row r="12" spans="1:86" ht="15" customHeight="1" x14ac:dyDescent="0.25">
      <c r="A12" s="99" t="s">
        <v>226</v>
      </c>
      <c r="C12" s="105">
        <f>IF(AND(Projects!$G$9="Yes",Projects!$F$9="Yes",1&gt;=Projects!$C$9,1&lt;Projects!$C$9+Projects!$D$9),Projects!$B$9*(1-SUMPRODUCT((Curves!$B$2:$AO$2)*(COLUMN(Curves!$B$2:$AO$2)-COLUMN(Curves!$B$2)+1&lt;=1-Projects!$C$9+1))),0)</f>
        <v>0</v>
      </c>
      <c r="D12" s="105">
        <f>IF(AND(Projects!$G$9="Yes",Projects!$F$9="Yes",2&gt;=Projects!$C$9,2&lt;Projects!$C$9+Projects!$D$9),Projects!$B$9*(1-SUMPRODUCT((Curves!$B$2:$AO$2)*(COLUMN(Curves!$B$2:$AO$2)-COLUMN(Curves!$B$2)+1&lt;=2-Projects!$C$9+1))),0)</f>
        <v>0</v>
      </c>
      <c r="E12" s="105">
        <f>IF(AND(Projects!$G$9="Yes",Projects!$F$9="Yes",3&gt;=Projects!$C$9,3&lt;Projects!$C$9+Projects!$D$9),Projects!$B$9*(1-SUMPRODUCT((Curves!$B$2:$AO$2)*(COLUMN(Curves!$B$2:$AO$2)-COLUMN(Curves!$B$2)+1&lt;=3-Projects!$C$9+1))),0)</f>
        <v>0</v>
      </c>
      <c r="F12" s="105">
        <f>IF(AND(Projects!$G$9="Yes",Projects!$F$9="Yes",4&gt;=Projects!$C$9,4&lt;Projects!$C$9+Projects!$D$9),Projects!$B$9*(1-SUMPRODUCT((Curves!$B$2:$AO$2)*(COLUMN(Curves!$B$2:$AO$2)-COLUMN(Curves!$B$2)+1&lt;=4-Projects!$C$9+1))),0)</f>
        <v>0</v>
      </c>
      <c r="G12" s="105">
        <f>IF(AND(Projects!$G$9="Yes",Projects!$F$9="Yes",5&gt;=Projects!$C$9,5&lt;Projects!$C$9+Projects!$D$9),Projects!$B$9*(1-SUMPRODUCT((Curves!$B$2:$AO$2)*(COLUMN(Curves!$B$2:$AO$2)-COLUMN(Curves!$B$2)+1&lt;=5-Projects!$C$9+1))),0)</f>
        <v>0</v>
      </c>
      <c r="H12" s="105">
        <f>IF(AND(Projects!$G$9="Yes",Projects!$F$9="Yes",6&gt;=Projects!$C$9,6&lt;Projects!$C$9+Projects!$D$9),Projects!$B$9*(1-SUMPRODUCT((Curves!$B$2:$AO$2)*(COLUMN(Curves!$B$2:$AO$2)-COLUMN(Curves!$B$2)+1&lt;=6-Projects!$C$9+1))),0)</f>
        <v>0</v>
      </c>
      <c r="I12" s="105">
        <f>IF(AND(Projects!$G$9="Yes",Projects!$F$9="Yes",7&gt;=Projects!$C$9,7&lt;Projects!$C$9+Projects!$D$9),Projects!$B$9*(1-SUMPRODUCT((Curves!$B$2:$AO$2)*(COLUMN(Curves!$B$2:$AO$2)-COLUMN(Curves!$B$2)+1&lt;=7-Projects!$C$9+1))),0)</f>
        <v>15589764.538817</v>
      </c>
      <c r="J12" s="105">
        <f>IF(AND(Projects!$G$9="Yes",Projects!$F$9="Yes",8&gt;=Projects!$C$9,8&lt;Projects!$C$9+Projects!$D$9),Projects!$B$9*(1-SUMPRODUCT((Curves!$B$2:$AO$2)*(COLUMN(Curves!$B$2:$AO$2)-COLUMN(Curves!$B$2)+1&lt;=8-Projects!$C$9+1))),0)</f>
        <v>15296348.995423</v>
      </c>
      <c r="K12" s="105">
        <f>IF(AND(Projects!$G$9="Yes",Projects!$F$9="Yes",9&gt;=Projects!$C$9,9&lt;Projects!$C$9+Projects!$D$9),Projects!$B$9*(1-SUMPRODUCT((Curves!$B$2:$AO$2)*(COLUMN(Curves!$B$2:$AO$2)-COLUMN(Curves!$B$2)+1&lt;=9-Projects!$C$9+1))),0)</f>
        <v>14962227.947602</v>
      </c>
      <c r="L12" s="105">
        <f>IF(AND(Projects!$G$9="Yes",Projects!$F$9="Yes",10&gt;=Projects!$C$9,10&lt;Projects!$C$9+Projects!$D$9),Projects!$B$9*(1-SUMPRODUCT((Curves!$B$2:$AO$2)*(COLUMN(Curves!$B$2:$AO$2)-COLUMN(Curves!$B$2)+1&lt;=10-Projects!$C$9+1))),0)</f>
        <v>14585547.544043001</v>
      </c>
      <c r="M12" s="105">
        <f>IF(AND(Projects!$G$9="Yes",Projects!$F$9="Yes",11&gt;=Projects!$C$9,11&lt;Projects!$C$9+Projects!$D$9),Projects!$B$9*(1-SUMPRODUCT((Curves!$B$2:$AO$2)*(COLUMN(Curves!$B$2:$AO$2)-COLUMN(Curves!$B$2)+1&lt;=11-Projects!$C$9+1))),0)</f>
        <v>14165103.573638</v>
      </c>
      <c r="N12" s="105">
        <f>IF(AND(Projects!$G$9="Yes",Projects!$F$9="Yes",12&gt;=Projects!$C$9,12&lt;Projects!$C$9+Projects!$D$9),Projects!$B$9*(1-SUMPRODUCT((Curves!$B$2:$AO$2)*(COLUMN(Curves!$B$2:$AO$2)-COLUMN(Curves!$B$2)+1&lt;=12-Projects!$C$9+1))),0)</f>
        <v>13700484.069428999</v>
      </c>
      <c r="O12" s="105">
        <f>IF(AND(Projects!$G$9="Yes",Projects!$F$9="Yes",13&gt;=Projects!$C$9,13&lt;Projects!$C$9+Projects!$D$9),Projects!$B$9*(1-SUMPRODUCT((Curves!$B$2:$AO$2)*(COLUMN(Curves!$B$2:$AO$2)-COLUMN(Curves!$B$2)+1&lt;=13-Projects!$C$9+1))),0)</f>
        <v>13192148.533023</v>
      </c>
      <c r="P12" s="105">
        <f>IF(AND(Projects!$G$9="Yes",Projects!$F$9="Yes",14&gt;=Projects!$C$9,14&lt;Projects!$C$9+Projects!$D$9),Projects!$B$9*(1-SUMPRODUCT((Curves!$B$2:$AO$2)*(COLUMN(Curves!$B$2:$AO$2)-COLUMN(Curves!$B$2)+1&lt;=14-Projects!$C$9+1))),0)</f>
        <v>12641507.159007</v>
      </c>
      <c r="Q12" s="105">
        <f>IF(AND(Projects!$G$9="Yes",Projects!$F$9="Yes",15&gt;=Projects!$C$9,15&lt;Projects!$C$9+Projects!$D$9),Projects!$B$9*(1-SUMPRODUCT((Curves!$B$2:$AO$2)*(COLUMN(Curves!$B$2:$AO$2)-COLUMN(Curves!$B$2)+1&lt;=15-Projects!$C$9+1))),0)</f>
        <v>12050984.21448</v>
      </c>
      <c r="R12" s="105">
        <f>IF(AND(Projects!$G$9="Yes",Projects!$F$9="Yes",16&gt;=Projects!$C$9,16&lt;Projects!$C$9+Projects!$D$9),Projects!$B$9*(1-SUMPRODUCT((Curves!$B$2:$AO$2)*(COLUMN(Curves!$B$2:$AO$2)-COLUMN(Curves!$B$2)+1&lt;=16-Projects!$C$9+1))),0)</f>
        <v>11423970.504403999</v>
      </c>
      <c r="S12" s="105">
        <f>IF(AND(Projects!$G$9="Yes",Projects!$F$9="Yes",17&gt;=Projects!$C$9,17&lt;Projects!$C$9+Projects!$D$9),Projects!$B$9*(1-SUMPRODUCT((Curves!$B$2:$AO$2)*(COLUMN(Curves!$B$2:$AO$2)-COLUMN(Curves!$B$2)+1&lt;=17-Projects!$C$9+1))),0)</f>
        <v>10764839.216487</v>
      </c>
      <c r="T12" s="105">
        <f>IF(AND(Projects!$G$9="Yes",Projects!$F$9="Yes",18&gt;=Projects!$C$9,18&lt;Projects!$C$9+Projects!$D$9),Projects!$B$9*(1-SUMPRODUCT((Curves!$B$2:$AO$2)*(COLUMN(Curves!$B$2:$AO$2)-COLUMN(Curves!$B$2)+1&lt;=18-Projects!$C$9+1))),0)</f>
        <v>10078835.007002002</v>
      </c>
      <c r="U12" s="105">
        <f>IF(AND(Projects!$G$9="Yes",Projects!$F$9="Yes",19&gt;=Projects!$C$9,19&lt;Projects!$C$9+Projects!$D$9),Projects!$B$9*(1-SUMPRODUCT((Curves!$B$2:$AO$2)*(COLUMN(Curves!$B$2:$AO$2)-COLUMN(Curves!$B$2)+1&lt;=19-Projects!$C$9+1))),0)</f>
        <v>9371947.241723001</v>
      </c>
      <c r="V12" s="105">
        <f>IF(AND(Projects!$G$9="Yes",Projects!$F$9="Yes",20&gt;=Projects!$C$9,20&lt;Projects!$C$9+Projects!$D$9),Projects!$B$9*(1-SUMPRODUCT((Curves!$B$2:$AO$2)*(COLUMN(Curves!$B$2:$AO$2)-COLUMN(Curves!$B$2)+1&lt;=20-Projects!$C$9+1))),0)</f>
        <v>8650799.0817440003</v>
      </c>
      <c r="W12" s="105">
        <f>IF(AND(Projects!$G$9="Yes",Projects!$F$9="Yes",21&gt;=Projects!$C$9,21&lt;Projects!$C$9+Projects!$D$9),Projects!$B$9*(1-SUMPRODUCT((Curves!$B$2:$AO$2)*(COLUMN(Curves!$B$2:$AO$2)-COLUMN(Curves!$B$2)+1&lt;=21-Projects!$C$9+1))),0)</f>
        <v>7922409.8102340009</v>
      </c>
      <c r="X12" s="105">
        <f>IF(AND(Projects!$G$9="Yes",Projects!$F$9="Yes",22&gt;=Projects!$C$9,22&lt;Projects!$C$9+Projects!$D$9),Projects!$B$9*(1-SUMPRODUCT((Curves!$B$2:$AO$2)*(COLUMN(Curves!$B$2:$AO$2)-COLUMN(Curves!$B$2)+1&lt;=22-Projects!$C$9+1))),0)</f>
        <v>7194020.5387240015</v>
      </c>
      <c r="Y12" s="105">
        <f>IF(AND(Projects!$G$9="Yes",Projects!$F$9="Yes",23&gt;=Projects!$C$9,23&lt;Projects!$C$9+Projects!$D$9),Projects!$B$9*(1-SUMPRODUCT((Curves!$B$2:$AO$2)*(COLUMN(Curves!$B$2:$AO$2)-COLUMN(Curves!$B$2)+1&lt;=23-Projects!$C$9+1))),0)</f>
        <v>6472872.3787450008</v>
      </c>
      <c r="Z12" s="105">
        <f>IF(AND(Projects!$G$9="Yes",Projects!$F$9="Yes",24&gt;=Projects!$C$9,24&lt;Projects!$C$9+Projects!$D$9),Projects!$B$9*(1-SUMPRODUCT((Curves!$B$2:$AO$2)*(COLUMN(Curves!$B$2:$AO$2)-COLUMN(Curves!$B$2)+1&lt;=24-Projects!$C$9+1))),0)</f>
        <v>5765984.6134660011</v>
      </c>
      <c r="AA12" s="105">
        <f>IF(AND(Projects!$G$9="Yes",Projects!$F$9="Yes",25&gt;=Projects!$C$9,25&lt;Projects!$C$9+Projects!$D$9),Projects!$B$9*(1-SUMPRODUCT((Curves!$B$2:$AO$2)*(COLUMN(Curves!$B$2:$AO$2)-COLUMN(Curves!$B$2)+1&lt;=25-Projects!$C$9+1))),0)</f>
        <v>5079980.4039810011</v>
      </c>
      <c r="AB12" s="105">
        <f>IF(AND(Projects!$G$9="Yes",Projects!$F$9="Yes",26&gt;=Projects!$C$9,26&lt;Projects!$C$9+Projects!$D$9),Projects!$B$9*(1-SUMPRODUCT((Curves!$B$2:$AO$2)*(COLUMN(Curves!$B$2:$AO$2)-COLUMN(Curves!$B$2)+1&lt;=26-Projects!$C$9+1))),0)</f>
        <v>4420849.1160640027</v>
      </c>
      <c r="AC12" s="105">
        <f>IF(AND(Projects!$G$9="Yes",Projects!$F$9="Yes",27&gt;=Projects!$C$9,27&lt;Projects!$C$9+Projects!$D$9),Projects!$B$9*(1-SUMPRODUCT((Curves!$B$2:$AO$2)*(COLUMN(Curves!$B$2:$AO$2)-COLUMN(Curves!$B$2)+1&lt;=27-Projects!$C$9+1))),0)</f>
        <v>3793835.4059880013</v>
      </c>
      <c r="AD12" s="105">
        <f>IF(AND(Projects!$G$9="Yes",Projects!$F$9="Yes",28&gt;=Projects!$C$9,28&lt;Projects!$C$9+Projects!$D$9),Projects!$B$9*(1-SUMPRODUCT((Curves!$B$2:$AO$2)*(COLUMN(Curves!$B$2:$AO$2)-COLUMN(Curves!$B$2)+1&lt;=28-Projects!$C$9+1))),0)</f>
        <v>3203312.4614610015</v>
      </c>
      <c r="AE12" s="105">
        <f>IF(AND(Projects!$G$9="Yes",Projects!$F$9="Yes",29&gt;=Projects!$C$9,29&lt;Projects!$C$9+Projects!$D$9),Projects!$B$9*(1-SUMPRODUCT((Curves!$B$2:$AO$2)*(COLUMN(Curves!$B$2:$AO$2)-COLUMN(Curves!$B$2)+1&lt;=29-Projects!$C$9+1))),0)</f>
        <v>2652671.0874450016</v>
      </c>
      <c r="AF12" s="105">
        <f>IF(AND(Projects!$G$9="Yes",Projects!$F$9="Yes",30&gt;=Projects!$C$9,30&lt;Projects!$C$9+Projects!$D$9),Projects!$B$9*(1-SUMPRODUCT((Curves!$B$2:$AO$2)*(COLUMN(Curves!$B$2:$AO$2)-COLUMN(Curves!$B$2)+1&lt;=30-Projects!$C$9+1))),0)</f>
        <v>2144335.5510390024</v>
      </c>
      <c r="AG12" s="105">
        <f>IF(AND(Projects!$G$9="Yes",Projects!$F$9="Yes",31&gt;=Projects!$C$9,31&lt;Projects!$C$9+Projects!$D$9),Projects!$B$9*(1-SUMPRODUCT((Curves!$B$2:$AO$2)*(COLUMN(Curves!$B$2:$AO$2)-COLUMN(Curves!$B$2)+1&lt;=31-Projects!$C$9+1))),0)</f>
        <v>1679716.0468300025</v>
      </c>
      <c r="AH12" s="105">
        <f>IF(AND(Projects!$G$9="Yes",Projects!$F$9="Yes",32&gt;=Projects!$C$9,32&lt;Projects!$C$9+Projects!$D$9),Projects!$B$9*(1-SUMPRODUCT((Curves!$B$2:$AO$2)*(COLUMN(Curves!$B$2:$AO$2)-COLUMN(Curves!$B$2)+1&lt;=32-Projects!$C$9+1))),0)</f>
        <v>1259272.0764250029</v>
      </c>
      <c r="AI12" s="105">
        <f>IF(AND(Projects!$G$9="Yes",Projects!$F$9="Yes",33&gt;=Projects!$C$9,33&lt;Projects!$C$9+Projects!$D$9),Projects!$B$9*(1-SUMPRODUCT((Curves!$B$2:$AO$2)*(COLUMN(Curves!$B$2:$AO$2)-COLUMN(Curves!$B$2)+1&lt;=33-Projects!$C$9+1))),0)</f>
        <v>882591.67286600219</v>
      </c>
      <c r="AJ12" s="105">
        <f>IF(AND(Projects!$G$9="Yes",Projects!$F$9="Yes",34&gt;=Projects!$C$9,34&lt;Projects!$C$9+Projects!$D$9),Projects!$B$9*(1-SUMPRODUCT((Curves!$B$2:$AO$2)*(COLUMN(Curves!$B$2:$AO$2)-COLUMN(Curves!$B$2)+1&lt;=34-Projects!$C$9+1))),0)</f>
        <v>548470.62504500279</v>
      </c>
      <c r="AK12" s="105">
        <f>IF(AND(Projects!$G$9="Yes",Projects!$F$9="Yes",35&gt;=Projects!$C$9,35&lt;Projects!$C$9+Projects!$D$9),Projects!$B$9*(1-SUMPRODUCT((Curves!$B$2:$AO$2)*(COLUMN(Curves!$B$2:$AO$2)-COLUMN(Curves!$B$2)+1&lt;=35-Projects!$C$9+1))),0)</f>
        <v>255055.0816510022</v>
      </c>
      <c r="AL12" s="105">
        <f>IF(AND(Projects!$G$9="Yes",Projects!$F$9="Yes",36&gt;=Projects!$C$9,36&lt;Projects!$C$9+Projects!$D$9),Projects!$B$9*(1-SUMPRODUCT((Curves!$B$2:$AO$2)*(COLUMN(Curves!$B$2:$AO$2)-COLUMN(Curves!$B$2)+1&lt;=36-Projects!$C$9+1))),0)</f>
        <v>-63.379531998304252</v>
      </c>
      <c r="AM12" s="105">
        <f>IF(AND(Projects!$G$9="Yes",Projects!$F$9="Yes",37&gt;=Projects!$C$9,37&lt;Projects!$C$9+Projects!$D$9),Projects!$B$9*(1-SUMPRODUCT((Curves!$B$2:$AO$2)*(COLUMN(Curves!$B$2:$AO$2)-COLUMN(Curves!$B$2)+1&lt;=37-Projects!$C$9+1))),0)</f>
        <v>0</v>
      </c>
      <c r="AN12" s="105">
        <f>IF(AND(Projects!$G$9="Yes",Projects!$F$9="Yes",38&gt;=Projects!$C$9,38&lt;Projects!$C$9+Projects!$D$9),Projects!$B$9*(1-SUMPRODUCT((Curves!$B$2:$AO$2)*(COLUMN(Curves!$B$2:$AO$2)-COLUMN(Curves!$B$2)+1&lt;=38-Projects!$C$9+1))),0)</f>
        <v>0</v>
      </c>
      <c r="AO12" s="105">
        <f>IF(AND(Projects!$G$9="Yes",Projects!$F$9="Yes",39&gt;=Projects!$C$9,39&lt;Projects!$C$9+Projects!$D$9),Projects!$B$9*(1-SUMPRODUCT((Curves!$B$2:$AO$2)*(COLUMN(Curves!$B$2:$AO$2)-COLUMN(Curves!$B$2)+1&lt;=39-Projects!$C$9+1))),0)</f>
        <v>0</v>
      </c>
      <c r="AP12" s="105">
        <f>IF(AND(Projects!$G$9="Yes",Projects!$F$9="Yes",40&gt;=Projects!$C$9,40&lt;Projects!$C$9+Projects!$D$9),Projects!$B$9*(1-SUMPRODUCT((Curves!$B$2:$AO$2)*(COLUMN(Curves!$B$2:$AO$2)-COLUMN(Curves!$B$2)+1&lt;=40-Projects!$C$9+1))),0)</f>
        <v>0</v>
      </c>
      <c r="AQ12" s="105">
        <f>IF(AND(Projects!$G$9="Yes",Projects!$F$9="Yes",41&gt;=Projects!$C$9,41&lt;Projects!$C$9+Projects!$D$9),Projects!$B$9*(1-SUMPRODUCT((Curves!$B$2:$AO$2)*(COLUMN(Curves!$B$2:$AO$2)-COLUMN(Curves!$B$2)+1&lt;=41-Projects!$C$9+1))),0)</f>
        <v>0</v>
      </c>
      <c r="AR12" s="105">
        <f>IF(AND(Projects!$G$9="Yes",Projects!$F$9="Yes",42&gt;=Projects!$C$9,42&lt;Projects!$C$9+Projects!$D$9),Projects!$B$9*(1-SUMPRODUCT((Curves!$B$2:$AO$2)*(COLUMN(Curves!$B$2:$AO$2)-COLUMN(Curves!$B$2)+1&lt;=42-Projects!$C$9+1))),0)</f>
        <v>0</v>
      </c>
      <c r="AS12" s="105">
        <f>IF(AND(Projects!$G$9="Yes",Projects!$F$9="Yes",43&gt;=Projects!$C$9,43&lt;Projects!$C$9+Projects!$D$9),Projects!$B$9*(1-SUMPRODUCT((Curves!$B$2:$AO$2)*(COLUMN(Curves!$B$2:$AO$2)-COLUMN(Curves!$B$2)+1&lt;=43-Projects!$C$9+1))),0)</f>
        <v>0</v>
      </c>
      <c r="AT12" s="105">
        <f>IF(AND(Projects!$G$9="Yes",Projects!$F$9="Yes",44&gt;=Projects!$C$9,44&lt;Projects!$C$9+Projects!$D$9),Projects!$B$9*(1-SUMPRODUCT((Curves!$B$2:$AO$2)*(COLUMN(Curves!$B$2:$AO$2)-COLUMN(Curves!$B$2)+1&lt;=44-Projects!$C$9+1))),0)</f>
        <v>0</v>
      </c>
      <c r="AU12" s="105">
        <f>IF(AND(Projects!$G$9="Yes",Projects!$F$9="Yes",45&gt;=Projects!$C$9,45&lt;Projects!$C$9+Projects!$D$9),Projects!$B$9*(1-SUMPRODUCT((Curves!$B$2:$AO$2)*(COLUMN(Curves!$B$2:$AO$2)-COLUMN(Curves!$B$2)+1&lt;=45-Projects!$C$9+1))),0)</f>
        <v>0</v>
      </c>
      <c r="AV12" s="105">
        <f>IF(AND(Projects!$G$9="Yes",Projects!$F$9="Yes",46&gt;=Projects!$C$9,46&lt;Projects!$C$9+Projects!$D$9),Projects!$B$9*(1-SUMPRODUCT((Curves!$B$2:$AO$2)*(COLUMN(Curves!$B$2:$AO$2)-COLUMN(Curves!$B$2)+1&lt;=46-Projects!$C$9+1))),0)</f>
        <v>0</v>
      </c>
      <c r="AW12" s="105">
        <f>IF(AND(Projects!$G$9="Yes",Projects!$F$9="Yes",47&gt;=Projects!$C$9,47&lt;Projects!$C$9+Projects!$D$9),Projects!$B$9*(1-SUMPRODUCT((Curves!$B$2:$AO$2)*(COLUMN(Curves!$B$2:$AO$2)-COLUMN(Curves!$B$2)+1&lt;=47-Projects!$C$9+1))),0)</f>
        <v>0</v>
      </c>
      <c r="AX12" s="105">
        <f>IF(AND(Projects!$G$9="Yes",Projects!$F$9="Yes",48&gt;=Projects!$C$9,48&lt;Projects!$C$9+Projects!$D$9),Projects!$B$9*(1-SUMPRODUCT((Curves!$B$2:$AO$2)*(COLUMN(Curves!$B$2:$AO$2)-COLUMN(Curves!$B$2)+1&lt;=48-Projects!$C$9+1))),0)</f>
        <v>0</v>
      </c>
      <c r="AY12" s="105">
        <f>IF(AND(Projects!$G$9="Yes",Projects!$F$9="Yes",49&gt;=Projects!$C$9,49&lt;Projects!$C$9+Projects!$D$9),Projects!$B$9*(1-SUMPRODUCT((Curves!$B$2:$AO$2)*(COLUMN(Curves!$B$2:$AO$2)-COLUMN(Curves!$B$2)+1&lt;=49-Projects!$C$9+1))),0)</f>
        <v>0</v>
      </c>
      <c r="AZ12" s="105">
        <f>IF(AND(Projects!$G$9="Yes",Projects!$F$9="Yes",50&gt;=Projects!$C$9,50&lt;Projects!$C$9+Projects!$D$9),Projects!$B$9*(1-SUMPRODUCT((Curves!$B$2:$AO$2)*(COLUMN(Curves!$B$2:$AO$2)-COLUMN(Curves!$B$2)+1&lt;=50-Projects!$C$9+1))),0)</f>
        <v>0</v>
      </c>
      <c r="BA12" s="105">
        <f>IF(AND(Projects!$G$9="Yes",Projects!$F$9="Yes",51&gt;=Projects!$C$9,51&lt;Projects!$C$9+Projects!$D$9),Projects!$B$9*(1-SUMPRODUCT((Curves!$B$2:$AO$2)*(COLUMN(Curves!$B$2:$AO$2)-COLUMN(Curves!$B$2)+1&lt;=51-Projects!$C$9+1))),0)</f>
        <v>0</v>
      </c>
      <c r="BB12" s="105">
        <f>IF(AND(Projects!$G$9="Yes",Projects!$F$9="Yes",52&gt;=Projects!$C$9,52&lt;Projects!$C$9+Projects!$D$9),Projects!$B$9*(1-SUMPRODUCT((Curves!$B$2:$AO$2)*(COLUMN(Curves!$B$2:$AO$2)-COLUMN(Curves!$B$2)+1&lt;=52-Projects!$C$9+1))),0)</f>
        <v>0</v>
      </c>
      <c r="BC12" s="105">
        <f>IF(AND(Projects!$G$9="Yes",Projects!$F$9="Yes",53&gt;=Projects!$C$9,53&lt;Projects!$C$9+Projects!$D$9),Projects!$B$9*(1-SUMPRODUCT((Curves!$B$2:$AO$2)*(COLUMN(Curves!$B$2:$AO$2)-COLUMN(Curves!$B$2)+1&lt;=53-Projects!$C$9+1))),0)</f>
        <v>0</v>
      </c>
      <c r="BD12" s="105">
        <f>IF(AND(Projects!$G$9="Yes",Projects!$F$9="Yes",54&gt;=Projects!$C$9,54&lt;Projects!$C$9+Projects!$D$9),Projects!$B$9*(1-SUMPRODUCT((Curves!$B$2:$AO$2)*(COLUMN(Curves!$B$2:$AO$2)-COLUMN(Curves!$B$2)+1&lt;=54-Projects!$C$9+1))),0)</f>
        <v>0</v>
      </c>
      <c r="BE12" s="105">
        <f>IF(AND(Projects!$G$9="Yes",Projects!$F$9="Yes",55&gt;=Projects!$C$9,55&lt;Projects!$C$9+Projects!$D$9),Projects!$B$9*(1-SUMPRODUCT((Curves!$B$2:$AO$2)*(COLUMN(Curves!$B$2:$AO$2)-COLUMN(Curves!$B$2)+1&lt;=55-Projects!$C$9+1))),0)</f>
        <v>0</v>
      </c>
      <c r="BF12" s="105">
        <f>IF(AND(Projects!$G$9="Yes",Projects!$F$9="Yes",56&gt;=Projects!$C$9,56&lt;Projects!$C$9+Projects!$D$9),Projects!$B$9*(1-SUMPRODUCT((Curves!$B$2:$AO$2)*(COLUMN(Curves!$B$2:$AO$2)-COLUMN(Curves!$B$2)+1&lt;=56-Projects!$C$9+1))),0)</f>
        <v>0</v>
      </c>
      <c r="BG12" s="105">
        <f>IF(AND(Projects!$G$9="Yes",Projects!$F$9="Yes",57&gt;=Projects!$C$9,57&lt;Projects!$C$9+Projects!$D$9),Projects!$B$9*(1-SUMPRODUCT((Curves!$B$2:$AO$2)*(COLUMN(Curves!$B$2:$AO$2)-COLUMN(Curves!$B$2)+1&lt;=57-Projects!$C$9+1))),0)</f>
        <v>0</v>
      </c>
      <c r="BH12" s="105">
        <f>IF(AND(Projects!$G$9="Yes",Projects!$F$9="Yes",58&gt;=Projects!$C$9,58&lt;Projects!$C$9+Projects!$D$9),Projects!$B$9*(1-SUMPRODUCT((Curves!$B$2:$AO$2)*(COLUMN(Curves!$B$2:$AO$2)-COLUMN(Curves!$B$2)+1&lt;=58-Projects!$C$9+1))),0)</f>
        <v>0</v>
      </c>
      <c r="BI12" s="105">
        <f>IF(AND(Projects!$G$9="Yes",Projects!$F$9="Yes",59&gt;=Projects!$C$9,59&lt;Projects!$C$9+Projects!$D$9),Projects!$B$9*(1-SUMPRODUCT((Curves!$B$2:$AO$2)*(COLUMN(Curves!$B$2:$AO$2)-COLUMN(Curves!$B$2)+1&lt;=59-Projects!$C$9+1))),0)</f>
        <v>0</v>
      </c>
      <c r="BJ12" s="105">
        <f>IF(AND(Projects!$G$9="Yes",Projects!$F$9="Yes",60&gt;=Projects!$C$9,60&lt;Projects!$C$9+Projects!$D$9),Projects!$B$9*(1-SUMPRODUCT((Curves!$B$2:$AO$2)*(COLUMN(Curves!$B$2:$AO$2)-COLUMN(Curves!$B$2)+1&lt;=60-Projects!$C$9+1))),0)</f>
        <v>0</v>
      </c>
      <c r="BK12" s="105">
        <f>IF(AND(Projects!$G$9="Yes",Projects!$F$9="Yes",61&gt;=Projects!$C$9,61&lt;Projects!$C$9+Projects!$D$9),Projects!$B$9*(1-SUMPRODUCT((Curves!$B$2:$AO$2)*(COLUMN(Curves!$B$2:$AO$2)-COLUMN(Curves!$B$2)+1&lt;=61-Projects!$C$9+1))),0)</f>
        <v>0</v>
      </c>
      <c r="BL12" s="105">
        <f>IF(AND(Projects!$G$9="Yes",Projects!$F$9="Yes",62&gt;=Projects!$C$9,62&lt;Projects!$C$9+Projects!$D$9),Projects!$B$9*(1-SUMPRODUCT((Curves!$B$2:$AO$2)*(COLUMN(Curves!$B$2:$AO$2)-COLUMN(Curves!$B$2)+1&lt;=62-Projects!$C$9+1))),0)</f>
        <v>0</v>
      </c>
      <c r="BM12" s="105">
        <f>IF(AND(Projects!$G$9="Yes",Projects!$F$9="Yes",63&gt;=Projects!$C$9,63&lt;Projects!$C$9+Projects!$D$9),Projects!$B$9*(1-SUMPRODUCT((Curves!$B$2:$AO$2)*(COLUMN(Curves!$B$2:$AO$2)-COLUMN(Curves!$B$2)+1&lt;=63-Projects!$C$9+1))),0)</f>
        <v>0</v>
      </c>
      <c r="BN12" s="105">
        <f>IF(AND(Projects!$G$9="Yes",Projects!$F$9="Yes",64&gt;=Projects!$C$9,64&lt;Projects!$C$9+Projects!$D$9),Projects!$B$9*(1-SUMPRODUCT((Curves!$B$2:$AO$2)*(COLUMN(Curves!$B$2:$AO$2)-COLUMN(Curves!$B$2)+1&lt;=64-Projects!$C$9+1))),0)</f>
        <v>0</v>
      </c>
      <c r="BO12" s="105">
        <f>IF(AND(Projects!$G$9="Yes",Projects!$F$9="Yes",65&gt;=Projects!$C$9,65&lt;Projects!$C$9+Projects!$D$9),Projects!$B$9*(1-SUMPRODUCT((Curves!$B$2:$AO$2)*(COLUMN(Curves!$B$2:$AO$2)-COLUMN(Curves!$B$2)+1&lt;=65-Projects!$C$9+1))),0)</f>
        <v>0</v>
      </c>
      <c r="BP12" s="105">
        <f>IF(AND(Projects!$G$9="Yes",Projects!$F$9="Yes",66&gt;=Projects!$C$9,66&lt;Projects!$C$9+Projects!$D$9),Projects!$B$9*(1-SUMPRODUCT((Curves!$B$2:$AO$2)*(COLUMN(Curves!$B$2:$AO$2)-COLUMN(Curves!$B$2)+1&lt;=66-Projects!$C$9+1))),0)</f>
        <v>0</v>
      </c>
      <c r="BQ12" s="105">
        <f>IF(AND(Projects!$G$9="Yes",Projects!$F$9="Yes",67&gt;=Projects!$C$9,67&lt;Projects!$C$9+Projects!$D$9),Projects!$B$9*(1-SUMPRODUCT((Curves!$B$2:$AO$2)*(COLUMN(Curves!$B$2:$AO$2)-COLUMN(Curves!$B$2)+1&lt;=67-Projects!$C$9+1))),0)</f>
        <v>0</v>
      </c>
      <c r="BR12" s="105">
        <f>IF(AND(Projects!$G$9="Yes",Projects!$F$9="Yes",68&gt;=Projects!$C$9,68&lt;Projects!$C$9+Projects!$D$9),Projects!$B$9*(1-SUMPRODUCT((Curves!$B$2:$AO$2)*(COLUMN(Curves!$B$2:$AO$2)-COLUMN(Curves!$B$2)+1&lt;=68-Projects!$C$9+1))),0)</f>
        <v>0</v>
      </c>
      <c r="BS12" s="105">
        <f>IF(AND(Projects!$G$9="Yes",Projects!$F$9="Yes",69&gt;=Projects!$C$9,69&lt;Projects!$C$9+Projects!$D$9),Projects!$B$9*(1-SUMPRODUCT((Curves!$B$2:$AO$2)*(COLUMN(Curves!$B$2:$AO$2)-COLUMN(Curves!$B$2)+1&lt;=69-Projects!$C$9+1))),0)</f>
        <v>0</v>
      </c>
      <c r="BT12" s="105">
        <f>IF(AND(Projects!$G$9="Yes",Projects!$F$9="Yes",70&gt;=Projects!$C$9,70&lt;Projects!$C$9+Projects!$D$9),Projects!$B$9*(1-SUMPRODUCT((Curves!$B$2:$AO$2)*(COLUMN(Curves!$B$2:$AO$2)-COLUMN(Curves!$B$2)+1&lt;=70-Projects!$C$9+1))),0)</f>
        <v>0</v>
      </c>
      <c r="BU12" s="105">
        <f>IF(AND(Projects!$G$9="Yes",Projects!$F$9="Yes",71&gt;=Projects!$C$9,71&lt;Projects!$C$9+Projects!$D$9),Projects!$B$9*(1-SUMPRODUCT((Curves!$B$2:$AO$2)*(COLUMN(Curves!$B$2:$AO$2)-COLUMN(Curves!$B$2)+1&lt;=71-Projects!$C$9+1))),0)</f>
        <v>0</v>
      </c>
      <c r="BV12" s="105">
        <f>IF(AND(Projects!$G$9="Yes",Projects!$F$9="Yes",72&gt;=Projects!$C$9,72&lt;Projects!$C$9+Projects!$D$9),Projects!$B$9*(1-SUMPRODUCT((Curves!$B$2:$AO$2)*(COLUMN(Curves!$B$2:$AO$2)-COLUMN(Curves!$B$2)+1&lt;=72-Projects!$C$9+1))),0)</f>
        <v>0</v>
      </c>
      <c r="BW12" s="105">
        <f>IF(AND(Projects!$G$9="Yes",Projects!$F$9="Yes",73&gt;=Projects!$C$9,73&lt;Projects!$C$9+Projects!$D$9),Projects!$B$9*(1-SUMPRODUCT((Curves!$B$2:$AO$2)*(COLUMN(Curves!$B$2:$AO$2)-COLUMN(Curves!$B$2)+1&lt;=73-Projects!$C$9+1))),0)</f>
        <v>0</v>
      </c>
      <c r="BX12" s="105">
        <f>IF(AND(Projects!$G$9="Yes",Projects!$F$9="Yes",74&gt;=Projects!$C$9,74&lt;Projects!$C$9+Projects!$D$9),Projects!$B$9*(1-SUMPRODUCT((Curves!$B$2:$AO$2)*(COLUMN(Curves!$B$2:$AO$2)-COLUMN(Curves!$B$2)+1&lt;=74-Projects!$C$9+1))),0)</f>
        <v>0</v>
      </c>
      <c r="BY12" s="105">
        <f>IF(AND(Projects!$G$9="Yes",Projects!$F$9="Yes",75&gt;=Projects!$C$9,75&lt;Projects!$C$9+Projects!$D$9),Projects!$B$9*(1-SUMPRODUCT((Curves!$B$2:$AO$2)*(COLUMN(Curves!$B$2:$AO$2)-COLUMN(Curves!$B$2)+1&lt;=75-Projects!$C$9+1))),0)</f>
        <v>0</v>
      </c>
      <c r="BZ12" s="105">
        <f>IF(AND(Projects!$G$9="Yes",Projects!$F$9="Yes",76&gt;=Projects!$C$9,76&lt;Projects!$C$9+Projects!$D$9),Projects!$B$9*(1-SUMPRODUCT((Curves!$B$2:$AO$2)*(COLUMN(Curves!$B$2:$AO$2)-COLUMN(Curves!$B$2)+1&lt;=76-Projects!$C$9+1))),0)</f>
        <v>0</v>
      </c>
      <c r="CA12" s="105">
        <f>IF(AND(Projects!$G$9="Yes",Projects!$F$9="Yes",77&gt;=Projects!$C$9,77&lt;Projects!$C$9+Projects!$D$9),Projects!$B$9*(1-SUMPRODUCT((Curves!$B$2:$AO$2)*(COLUMN(Curves!$B$2:$AO$2)-COLUMN(Curves!$B$2)+1&lt;=77-Projects!$C$9+1))),0)</f>
        <v>0</v>
      </c>
      <c r="CB12" s="105">
        <f>IF(AND(Projects!$G$9="Yes",Projects!$F$9="Yes",78&gt;=Projects!$C$9,78&lt;Projects!$C$9+Projects!$D$9),Projects!$B$9*(1-SUMPRODUCT((Curves!$B$2:$AO$2)*(COLUMN(Curves!$B$2:$AO$2)-COLUMN(Curves!$B$2)+1&lt;=78-Projects!$C$9+1))),0)</f>
        <v>0</v>
      </c>
      <c r="CC12" s="105">
        <f>IF(AND(Projects!$G$9="Yes",Projects!$F$9="Yes",79&gt;=Projects!$C$9,79&lt;Projects!$C$9+Projects!$D$9),Projects!$B$9*(1-SUMPRODUCT((Curves!$B$2:$AO$2)*(COLUMN(Curves!$B$2:$AO$2)-COLUMN(Curves!$B$2)+1&lt;=79-Projects!$C$9+1))),0)</f>
        <v>0</v>
      </c>
      <c r="CD12" s="105">
        <f>IF(AND(Projects!$G$9="Yes",Projects!$F$9="Yes",80&gt;=Projects!$C$9,80&lt;Projects!$C$9+Projects!$D$9),Projects!$B$9*(1-SUMPRODUCT((Curves!$B$2:$AO$2)*(COLUMN(Curves!$B$2:$AO$2)-COLUMN(Curves!$B$2)+1&lt;=80-Projects!$C$9+1))),0)</f>
        <v>0</v>
      </c>
      <c r="CE12" s="105">
        <f>IF(AND(Projects!$G$9="Yes",Projects!$F$9="Yes",81&gt;=Projects!$C$9,81&lt;Projects!$C$9+Projects!$D$9),Projects!$B$9*(1-SUMPRODUCT((Curves!$B$2:$AO$2)*(COLUMN(Curves!$B$2:$AO$2)-COLUMN(Curves!$B$2)+1&lt;=81-Projects!$C$9+1))),0)</f>
        <v>0</v>
      </c>
      <c r="CF12" s="105">
        <f>IF(AND(Projects!$G$9="Yes",Projects!$F$9="Yes",82&gt;=Projects!$C$9,82&lt;Projects!$C$9+Projects!$D$9),Projects!$B$9*(1-SUMPRODUCT((Curves!$B$2:$AO$2)*(COLUMN(Curves!$B$2:$AO$2)-COLUMN(Curves!$B$2)+1&lt;=82-Projects!$C$9+1))),0)</f>
        <v>0</v>
      </c>
      <c r="CG12" s="105">
        <f>IF(AND(Projects!$G$9="Yes",Projects!$F$9="Yes",83&gt;=Projects!$C$9,83&lt;Projects!$C$9+Projects!$D$9),Projects!$B$9*(1-SUMPRODUCT((Curves!$B$2:$AO$2)*(COLUMN(Curves!$B$2:$AO$2)-COLUMN(Curves!$B$2)+1&lt;=83-Projects!$C$9+1))),0)</f>
        <v>0</v>
      </c>
      <c r="CH12" s="105">
        <f>IF(AND(Projects!$G$9="Yes",Projects!$F$9="Yes",84&gt;=Projects!$C$9,84&lt;Projects!$C$9+Projects!$D$9),Projects!$B$9*(1-SUMPRODUCT((Curves!$B$2:$AO$2)*(COLUMN(Curves!$B$2:$AO$2)-COLUMN(Curves!$B$2)+1&lt;=84-Projects!$C$9+1))),0)</f>
        <v>0</v>
      </c>
    </row>
    <row r="13" spans="1:86" ht="15" customHeight="1" x14ac:dyDescent="0.25">
      <c r="A13" s="99" t="s">
        <v>119</v>
      </c>
      <c r="C13" s="105">
        <f>IF(AND(Projects!$G$10="Yes",Projects!$F$10="Yes",1&gt;=Projects!$C$10,1&lt;Projects!$C$10+Projects!$D$10),Projects!$B$10*(1-SUMPRODUCT((Curves!$B$4:$AO$4)*(COLUMN(Curves!$B$4:$AO$4)-COLUMN(Curves!$B$4)+1&lt;=1-Projects!$C$10+1))),0)</f>
        <v>0</v>
      </c>
      <c r="D13" s="105">
        <f>IF(AND(Projects!$G$10="Yes",Projects!$F$10="Yes",2&gt;=Projects!$C$10,2&lt;Projects!$C$10+Projects!$D$10),Projects!$B$10*(1-SUMPRODUCT((Curves!$B$4:$AO$4)*(COLUMN(Curves!$B$4:$AO$4)-COLUMN(Curves!$B$4)+1&lt;=2-Projects!$C$10+1))),0)</f>
        <v>0</v>
      </c>
      <c r="E13" s="105">
        <f>IF(AND(Projects!$G$10="Yes",Projects!$F$10="Yes",3&gt;=Projects!$C$10,3&lt;Projects!$C$10+Projects!$D$10),Projects!$B$10*(1-SUMPRODUCT((Curves!$B$4:$AO$4)*(COLUMN(Curves!$B$4:$AO$4)-COLUMN(Curves!$B$4)+1&lt;=3-Projects!$C$10+1))),0)</f>
        <v>0</v>
      </c>
      <c r="F13" s="105">
        <f>IF(AND(Projects!$G$10="Yes",Projects!$F$10="Yes",4&gt;=Projects!$C$10,4&lt;Projects!$C$10+Projects!$D$10),Projects!$B$10*(1-SUMPRODUCT((Curves!$B$4:$AO$4)*(COLUMN(Curves!$B$4:$AO$4)-COLUMN(Curves!$B$4)+1&lt;=4-Projects!$C$10+1))),0)</f>
        <v>0</v>
      </c>
      <c r="G13" s="105">
        <f>IF(AND(Projects!$G$10="Yes",Projects!$F$10="Yes",5&gt;=Projects!$C$10,5&lt;Projects!$C$10+Projects!$D$10),Projects!$B$10*(1-SUMPRODUCT((Curves!$B$4:$AO$4)*(COLUMN(Curves!$B$4:$AO$4)-COLUMN(Curves!$B$4)+1&lt;=5-Projects!$C$10+1))),0)</f>
        <v>0</v>
      </c>
      <c r="H13" s="105">
        <f>IF(AND(Projects!$G$10="Yes",Projects!$F$10="Yes",6&gt;=Projects!$C$10,6&lt;Projects!$C$10+Projects!$D$10),Projects!$B$10*(1-SUMPRODUCT((Curves!$B$4:$AO$4)*(COLUMN(Curves!$B$4:$AO$4)-COLUMN(Curves!$B$4)+1&lt;=6-Projects!$C$10+1))),0)</f>
        <v>0</v>
      </c>
      <c r="I13" s="105">
        <f>IF(AND(Projects!$G$10="Yes",Projects!$F$10="Yes",7&gt;=Projects!$C$10,7&lt;Projects!$C$10+Projects!$D$10),Projects!$B$10*(1-SUMPRODUCT((Curves!$B$4:$AO$4)*(COLUMN(Curves!$B$4:$AO$4)-COLUMN(Curves!$B$4)+1&lt;=7-Projects!$C$10+1))),0)</f>
        <v>0</v>
      </c>
      <c r="J13" s="105">
        <f>IF(AND(Projects!$G$10="Yes",Projects!$F$10="Yes",8&gt;=Projects!$C$10,8&lt;Projects!$C$10+Projects!$D$10),Projects!$B$10*(1-SUMPRODUCT((Curves!$B$4:$AO$4)*(COLUMN(Curves!$B$4:$AO$4)-COLUMN(Curves!$B$4)+1&lt;=8-Projects!$C$10+1))),0)</f>
        <v>20699563.289615002</v>
      </c>
      <c r="K13" s="105">
        <f>IF(AND(Projects!$G$10="Yes",Projects!$F$10="Yes",9&gt;=Projects!$C$10,9&lt;Projects!$C$10+Projects!$D$10),Projects!$B$10*(1-SUMPRODUCT((Curves!$B$4:$AO$4)*(COLUMN(Curves!$B$4:$AO$4)-COLUMN(Curves!$B$4)+1&lt;=9-Projects!$C$10+1))),0)</f>
        <v>20002952.87841</v>
      </c>
      <c r="L13" s="105">
        <f>IF(AND(Projects!$G$10="Yes",Projects!$F$10="Yes",10&gt;=Projects!$C$10,10&lt;Projects!$C$10+Projects!$D$10),Projects!$B$10*(1-SUMPRODUCT((Curves!$B$4:$AO$4)*(COLUMN(Curves!$B$4:$AO$4)-COLUMN(Curves!$B$4)+1&lt;=10-Projects!$C$10+1))),0)</f>
        <v>19163431.122200001</v>
      </c>
      <c r="M13" s="105">
        <f>IF(AND(Projects!$G$10="Yes",Projects!$F$10="Yes",11&gt;=Projects!$C$10,11&lt;Projects!$C$10+Projects!$D$10),Projects!$B$10*(1-SUMPRODUCT((Curves!$B$4:$AO$4)*(COLUMN(Curves!$B$4:$AO$4)-COLUMN(Curves!$B$4)+1&lt;=11-Projects!$C$10+1))),0)</f>
        <v>18176553.96934</v>
      </c>
      <c r="N13" s="105">
        <f>IF(AND(Projects!$G$10="Yes",Projects!$F$10="Yes",12&gt;=Projects!$C$10,12&lt;Projects!$C$10+Projects!$D$10),Projects!$B$10*(1-SUMPRODUCT((Curves!$B$4:$AO$4)*(COLUMN(Curves!$B$4:$AO$4)-COLUMN(Curves!$B$4)+1&lt;=12-Projects!$C$10+1))),0)</f>
        <v>17044958.082049999</v>
      </c>
      <c r="O13" s="105">
        <f>IF(AND(Projects!$G$10="Yes",Projects!$F$10="Yes",13&gt;=Projects!$C$10,13&lt;Projects!$C$10+Projects!$D$10),Projects!$B$10*(1-SUMPRODUCT((Curves!$B$4:$AO$4)*(COLUMN(Curves!$B$4:$AO$4)-COLUMN(Curves!$B$4)+1&lt;=13-Projects!$C$10+1))),0)</f>
        <v>15779317.689639999</v>
      </c>
      <c r="P13" s="105">
        <f>IF(AND(Projects!$G$10="Yes",Projects!$F$10="Yes",14&gt;=Projects!$C$10,14&lt;Projects!$C$10+Projects!$D$10),Projects!$B$10*(1-SUMPRODUCT((Curves!$B$4:$AO$4)*(COLUMN(Curves!$B$4:$AO$4)-COLUMN(Curves!$B$4)+1&lt;=14-Projects!$C$10+1))),0)</f>
        <v>14398535.959154999</v>
      </c>
      <c r="Q13" s="105">
        <f>IF(AND(Projects!$G$10="Yes",Projects!$F$10="Yes",15&gt;=Projects!$C$10,15&lt;Projects!$C$10+Projects!$D$10),Projects!$B$10*(1-SUMPRODUCT((Curves!$B$4:$AO$4)*(COLUMN(Curves!$B$4:$AO$4)-COLUMN(Curves!$B$4)+1&lt;=15-Projects!$C$10+1))),0)</f>
        <v>12929149.620035</v>
      </c>
      <c r="R13" s="105">
        <f>IF(AND(Projects!$G$10="Yes",Projects!$F$10="Yes",16&gt;=Projects!$C$10,16&lt;Projects!$C$10+Projects!$D$10),Projects!$B$10*(1-SUMPRODUCT((Curves!$B$4:$AO$4)*(COLUMN(Curves!$B$4:$AO$4)-COLUMN(Curves!$B$4)+1&lt;=16-Projects!$C$10+1))),0)</f>
        <v>11403883.052574998</v>
      </c>
      <c r="S13" s="105">
        <f>IF(AND(Projects!$G$10="Yes",Projects!$F$10="Yes",17&gt;=Projects!$C$10,17&lt;Projects!$C$10+Projects!$D$10),Projects!$B$10*(1-SUMPRODUCT((Curves!$B$4:$AO$4)*(COLUMN(Curves!$B$4:$AO$4)-COLUMN(Curves!$B$4)+1&lt;=17-Projects!$C$10+1))),0)</f>
        <v>9859521.9474249985</v>
      </c>
      <c r="T13" s="105">
        <f>IF(AND(Projects!$G$10="Yes",Projects!$F$10="Yes",18&gt;=Projects!$C$10,18&lt;Projects!$C$10+Projects!$D$10),Projects!$B$10*(1-SUMPRODUCT((Curves!$B$4:$AO$4)*(COLUMN(Curves!$B$4:$AO$4)-COLUMN(Curves!$B$4)+1&lt;=18-Projects!$C$10+1))),0)</f>
        <v>8334255.379964998</v>
      </c>
      <c r="U13" s="105">
        <f>IF(AND(Projects!$G$10="Yes",Projects!$F$10="Yes",19&gt;=Projects!$C$10,19&lt;Projects!$C$10+Projects!$D$10),Projects!$B$10*(1-SUMPRODUCT((Curves!$B$4:$AO$4)*(COLUMN(Curves!$B$4:$AO$4)-COLUMN(Curves!$B$4)+1&lt;=19-Projects!$C$10+1))),0)</f>
        <v>6864869.0408449983</v>
      </c>
      <c r="V13" s="105">
        <f>IF(AND(Projects!$G$10="Yes",Projects!$F$10="Yes",20&gt;=Projects!$C$10,20&lt;Projects!$C$10+Projects!$D$10),Projects!$B$10*(1-SUMPRODUCT((Curves!$B$4:$AO$4)*(COLUMN(Curves!$B$4:$AO$4)-COLUMN(Curves!$B$4)+1&lt;=20-Projects!$C$10+1))),0)</f>
        <v>5484087.3103599986</v>
      </c>
      <c r="W13" s="105">
        <f>IF(AND(Projects!$G$10="Yes",Projects!$F$10="Yes",21&gt;=Projects!$C$10,21&lt;Projects!$C$10+Projects!$D$10),Projects!$B$10*(1-SUMPRODUCT((Curves!$B$4:$AO$4)*(COLUMN(Curves!$B$4:$AO$4)-COLUMN(Curves!$B$4)+1&lt;=21-Projects!$C$10+1))),0)</f>
        <v>4218446.9179499988</v>
      </c>
      <c r="X13" s="105">
        <f>IF(AND(Projects!$G$10="Yes",Projects!$F$10="Yes",22&gt;=Projects!$C$10,22&lt;Projects!$C$10+Projects!$D$10),Projects!$B$10*(1-SUMPRODUCT((Curves!$B$4:$AO$4)*(COLUMN(Curves!$B$4:$AO$4)-COLUMN(Curves!$B$4)+1&lt;=22-Projects!$C$10+1))),0)</f>
        <v>3086851.0306599992</v>
      </c>
      <c r="Y13" s="105">
        <f>IF(AND(Projects!$G$10="Yes",Projects!$F$10="Yes",23&gt;=Projects!$C$10,23&lt;Projects!$C$10+Projects!$D$10),Projects!$B$10*(1-SUMPRODUCT((Curves!$B$4:$AO$4)*(COLUMN(Curves!$B$4:$AO$4)-COLUMN(Curves!$B$4)+1&lt;=23-Projects!$C$10+1))),0)</f>
        <v>2099973.877799999</v>
      </c>
      <c r="Z13" s="105">
        <f>IF(AND(Projects!$G$10="Yes",Projects!$F$10="Yes",24&gt;=Projects!$C$10,24&lt;Projects!$C$10+Projects!$D$10),Projects!$B$10*(1-SUMPRODUCT((Curves!$B$4:$AO$4)*(COLUMN(Curves!$B$4:$AO$4)-COLUMN(Curves!$B$4)+1&lt;=24-Projects!$C$10+1))),0)</f>
        <v>1260452.1215899987</v>
      </c>
      <c r="AA13" s="105">
        <f>IF(AND(Projects!$G$10="Yes",Projects!$F$10="Yes",25&gt;=Projects!$C$10,25&lt;Projects!$C$10+Projects!$D$10),Projects!$B$10*(1-SUMPRODUCT((Curves!$B$4:$AO$4)*(COLUMN(Curves!$B$4:$AO$4)-COLUMN(Curves!$B$4)+1&lt;=25-Projects!$C$10+1))),0)</f>
        <v>563841.71038499789</v>
      </c>
      <c r="AB13" s="105">
        <f>IF(AND(Projects!$G$10="Yes",Projects!$F$10="Yes",26&gt;=Projects!$C$10,26&lt;Projects!$C$10+Projects!$D$10),Projects!$B$10*(1-SUMPRODUCT((Curves!$B$4:$AO$4)*(COLUMN(Curves!$B$4:$AO$4)-COLUMN(Curves!$B$4)+1&lt;=26-Projects!$C$10+1))),0)</f>
        <v>0</v>
      </c>
      <c r="AC13" s="105">
        <f>IF(AND(Projects!$G$10="Yes",Projects!$F$10="Yes",27&gt;=Projects!$C$10,27&lt;Projects!$C$10+Projects!$D$10),Projects!$B$10*(1-SUMPRODUCT((Curves!$B$4:$AO$4)*(COLUMN(Curves!$B$4:$AO$4)-COLUMN(Curves!$B$4)+1&lt;=27-Projects!$C$10+1))),0)</f>
        <v>0</v>
      </c>
      <c r="AD13" s="105">
        <f>IF(AND(Projects!$G$10="Yes",Projects!$F$10="Yes",28&gt;=Projects!$C$10,28&lt;Projects!$C$10+Projects!$D$10),Projects!$B$10*(1-SUMPRODUCT((Curves!$B$4:$AO$4)*(COLUMN(Curves!$B$4:$AO$4)-COLUMN(Curves!$B$4)+1&lt;=28-Projects!$C$10+1))),0)</f>
        <v>0</v>
      </c>
      <c r="AE13" s="105">
        <f>IF(AND(Projects!$G$10="Yes",Projects!$F$10="Yes",29&gt;=Projects!$C$10,29&lt;Projects!$C$10+Projects!$D$10),Projects!$B$10*(1-SUMPRODUCT((Curves!$B$4:$AO$4)*(COLUMN(Curves!$B$4:$AO$4)-COLUMN(Curves!$B$4)+1&lt;=29-Projects!$C$10+1))),0)</f>
        <v>0</v>
      </c>
      <c r="AF13" s="105">
        <f>IF(AND(Projects!$G$10="Yes",Projects!$F$10="Yes",30&gt;=Projects!$C$10,30&lt;Projects!$C$10+Projects!$D$10),Projects!$B$10*(1-SUMPRODUCT((Curves!$B$4:$AO$4)*(COLUMN(Curves!$B$4:$AO$4)-COLUMN(Curves!$B$4)+1&lt;=30-Projects!$C$10+1))),0)</f>
        <v>0</v>
      </c>
      <c r="AG13" s="105">
        <f>IF(AND(Projects!$G$10="Yes",Projects!$F$10="Yes",31&gt;=Projects!$C$10,31&lt;Projects!$C$10+Projects!$D$10),Projects!$B$10*(1-SUMPRODUCT((Curves!$B$4:$AO$4)*(COLUMN(Curves!$B$4:$AO$4)-COLUMN(Curves!$B$4)+1&lt;=31-Projects!$C$10+1))),0)</f>
        <v>0</v>
      </c>
      <c r="AH13" s="105">
        <f>IF(AND(Projects!$G$10="Yes",Projects!$F$10="Yes",32&gt;=Projects!$C$10,32&lt;Projects!$C$10+Projects!$D$10),Projects!$B$10*(1-SUMPRODUCT((Curves!$B$4:$AO$4)*(COLUMN(Curves!$B$4:$AO$4)-COLUMN(Curves!$B$4)+1&lt;=32-Projects!$C$10+1))),0)</f>
        <v>0</v>
      </c>
      <c r="AI13" s="105">
        <f>IF(AND(Projects!$G$10="Yes",Projects!$F$10="Yes",33&gt;=Projects!$C$10,33&lt;Projects!$C$10+Projects!$D$10),Projects!$B$10*(1-SUMPRODUCT((Curves!$B$4:$AO$4)*(COLUMN(Curves!$B$4:$AO$4)-COLUMN(Curves!$B$4)+1&lt;=33-Projects!$C$10+1))),0)</f>
        <v>0</v>
      </c>
      <c r="AJ13" s="105">
        <f>IF(AND(Projects!$G$10="Yes",Projects!$F$10="Yes",34&gt;=Projects!$C$10,34&lt;Projects!$C$10+Projects!$D$10),Projects!$B$10*(1-SUMPRODUCT((Curves!$B$4:$AO$4)*(COLUMN(Curves!$B$4:$AO$4)-COLUMN(Curves!$B$4)+1&lt;=34-Projects!$C$10+1))),0)</f>
        <v>0</v>
      </c>
      <c r="AK13" s="105">
        <f>IF(AND(Projects!$G$10="Yes",Projects!$F$10="Yes",35&gt;=Projects!$C$10,35&lt;Projects!$C$10+Projects!$D$10),Projects!$B$10*(1-SUMPRODUCT((Curves!$B$4:$AO$4)*(COLUMN(Curves!$B$4:$AO$4)-COLUMN(Curves!$B$4)+1&lt;=35-Projects!$C$10+1))),0)</f>
        <v>0</v>
      </c>
      <c r="AL13" s="105">
        <f>IF(AND(Projects!$G$10="Yes",Projects!$F$10="Yes",36&gt;=Projects!$C$10,36&lt;Projects!$C$10+Projects!$D$10),Projects!$B$10*(1-SUMPRODUCT((Curves!$B$4:$AO$4)*(COLUMN(Curves!$B$4:$AO$4)-COLUMN(Curves!$B$4)+1&lt;=36-Projects!$C$10+1))),0)</f>
        <v>0</v>
      </c>
      <c r="AM13" s="105">
        <f>IF(AND(Projects!$G$10="Yes",Projects!$F$10="Yes",37&gt;=Projects!$C$10,37&lt;Projects!$C$10+Projects!$D$10),Projects!$B$10*(1-SUMPRODUCT((Curves!$B$4:$AO$4)*(COLUMN(Curves!$B$4:$AO$4)-COLUMN(Curves!$B$4)+1&lt;=37-Projects!$C$10+1))),0)</f>
        <v>0</v>
      </c>
      <c r="AN13" s="105">
        <f>IF(AND(Projects!$G$10="Yes",Projects!$F$10="Yes",38&gt;=Projects!$C$10,38&lt;Projects!$C$10+Projects!$D$10),Projects!$B$10*(1-SUMPRODUCT((Curves!$B$4:$AO$4)*(COLUMN(Curves!$B$4:$AO$4)-COLUMN(Curves!$B$4)+1&lt;=38-Projects!$C$10+1))),0)</f>
        <v>0</v>
      </c>
      <c r="AO13" s="105">
        <f>IF(AND(Projects!$G$10="Yes",Projects!$F$10="Yes",39&gt;=Projects!$C$10,39&lt;Projects!$C$10+Projects!$D$10),Projects!$B$10*(1-SUMPRODUCT((Curves!$B$4:$AO$4)*(COLUMN(Curves!$B$4:$AO$4)-COLUMN(Curves!$B$4)+1&lt;=39-Projects!$C$10+1))),0)</f>
        <v>0</v>
      </c>
      <c r="AP13" s="105">
        <f>IF(AND(Projects!$G$10="Yes",Projects!$F$10="Yes",40&gt;=Projects!$C$10,40&lt;Projects!$C$10+Projects!$D$10),Projects!$B$10*(1-SUMPRODUCT((Curves!$B$4:$AO$4)*(COLUMN(Curves!$B$4:$AO$4)-COLUMN(Curves!$B$4)+1&lt;=40-Projects!$C$10+1))),0)</f>
        <v>0</v>
      </c>
      <c r="AQ13" s="105">
        <f>IF(AND(Projects!$G$10="Yes",Projects!$F$10="Yes",41&gt;=Projects!$C$10,41&lt;Projects!$C$10+Projects!$D$10),Projects!$B$10*(1-SUMPRODUCT((Curves!$B$4:$AO$4)*(COLUMN(Curves!$B$4:$AO$4)-COLUMN(Curves!$B$4)+1&lt;=41-Projects!$C$10+1))),0)</f>
        <v>0</v>
      </c>
      <c r="AR13" s="105">
        <f>IF(AND(Projects!$G$10="Yes",Projects!$F$10="Yes",42&gt;=Projects!$C$10,42&lt;Projects!$C$10+Projects!$D$10),Projects!$B$10*(1-SUMPRODUCT((Curves!$B$4:$AO$4)*(COLUMN(Curves!$B$4:$AO$4)-COLUMN(Curves!$B$4)+1&lt;=42-Projects!$C$10+1))),0)</f>
        <v>0</v>
      </c>
      <c r="AS13" s="105">
        <f>IF(AND(Projects!$G$10="Yes",Projects!$F$10="Yes",43&gt;=Projects!$C$10,43&lt;Projects!$C$10+Projects!$D$10),Projects!$B$10*(1-SUMPRODUCT((Curves!$B$4:$AO$4)*(COLUMN(Curves!$B$4:$AO$4)-COLUMN(Curves!$B$4)+1&lt;=43-Projects!$C$10+1))),0)</f>
        <v>0</v>
      </c>
      <c r="AT13" s="105">
        <f>IF(AND(Projects!$G$10="Yes",Projects!$F$10="Yes",44&gt;=Projects!$C$10,44&lt;Projects!$C$10+Projects!$D$10),Projects!$B$10*(1-SUMPRODUCT((Curves!$B$4:$AO$4)*(COLUMN(Curves!$B$4:$AO$4)-COLUMN(Curves!$B$4)+1&lt;=44-Projects!$C$10+1))),0)</f>
        <v>0</v>
      </c>
      <c r="AU13" s="105">
        <f>IF(AND(Projects!$G$10="Yes",Projects!$F$10="Yes",45&gt;=Projects!$C$10,45&lt;Projects!$C$10+Projects!$D$10),Projects!$B$10*(1-SUMPRODUCT((Curves!$B$4:$AO$4)*(COLUMN(Curves!$B$4:$AO$4)-COLUMN(Curves!$B$4)+1&lt;=45-Projects!$C$10+1))),0)</f>
        <v>0</v>
      </c>
      <c r="AV13" s="105">
        <f>IF(AND(Projects!$G$10="Yes",Projects!$F$10="Yes",46&gt;=Projects!$C$10,46&lt;Projects!$C$10+Projects!$D$10),Projects!$B$10*(1-SUMPRODUCT((Curves!$B$4:$AO$4)*(COLUMN(Curves!$B$4:$AO$4)-COLUMN(Curves!$B$4)+1&lt;=46-Projects!$C$10+1))),0)</f>
        <v>0</v>
      </c>
      <c r="AW13" s="105">
        <f>IF(AND(Projects!$G$10="Yes",Projects!$F$10="Yes",47&gt;=Projects!$C$10,47&lt;Projects!$C$10+Projects!$D$10),Projects!$B$10*(1-SUMPRODUCT((Curves!$B$4:$AO$4)*(COLUMN(Curves!$B$4:$AO$4)-COLUMN(Curves!$B$4)+1&lt;=47-Projects!$C$10+1))),0)</f>
        <v>0</v>
      </c>
      <c r="AX13" s="105">
        <f>IF(AND(Projects!$G$10="Yes",Projects!$F$10="Yes",48&gt;=Projects!$C$10,48&lt;Projects!$C$10+Projects!$D$10),Projects!$B$10*(1-SUMPRODUCT((Curves!$B$4:$AO$4)*(COLUMN(Curves!$B$4:$AO$4)-COLUMN(Curves!$B$4)+1&lt;=48-Projects!$C$10+1))),0)</f>
        <v>0</v>
      </c>
      <c r="AY13" s="105">
        <f>IF(AND(Projects!$G$10="Yes",Projects!$F$10="Yes",49&gt;=Projects!$C$10,49&lt;Projects!$C$10+Projects!$D$10),Projects!$B$10*(1-SUMPRODUCT((Curves!$B$4:$AO$4)*(COLUMN(Curves!$B$4:$AO$4)-COLUMN(Curves!$B$4)+1&lt;=49-Projects!$C$10+1))),0)</f>
        <v>0</v>
      </c>
      <c r="AZ13" s="105">
        <f>IF(AND(Projects!$G$10="Yes",Projects!$F$10="Yes",50&gt;=Projects!$C$10,50&lt;Projects!$C$10+Projects!$D$10),Projects!$B$10*(1-SUMPRODUCT((Curves!$B$4:$AO$4)*(COLUMN(Curves!$B$4:$AO$4)-COLUMN(Curves!$B$4)+1&lt;=50-Projects!$C$10+1))),0)</f>
        <v>0</v>
      </c>
      <c r="BA13" s="105">
        <f>IF(AND(Projects!$G$10="Yes",Projects!$F$10="Yes",51&gt;=Projects!$C$10,51&lt;Projects!$C$10+Projects!$D$10),Projects!$B$10*(1-SUMPRODUCT((Curves!$B$4:$AO$4)*(COLUMN(Curves!$B$4:$AO$4)-COLUMN(Curves!$B$4)+1&lt;=51-Projects!$C$10+1))),0)</f>
        <v>0</v>
      </c>
      <c r="BB13" s="105">
        <f>IF(AND(Projects!$G$10="Yes",Projects!$F$10="Yes",52&gt;=Projects!$C$10,52&lt;Projects!$C$10+Projects!$D$10),Projects!$B$10*(1-SUMPRODUCT((Curves!$B$4:$AO$4)*(COLUMN(Curves!$B$4:$AO$4)-COLUMN(Curves!$B$4)+1&lt;=52-Projects!$C$10+1))),0)</f>
        <v>0</v>
      </c>
      <c r="BC13" s="105">
        <f>IF(AND(Projects!$G$10="Yes",Projects!$F$10="Yes",53&gt;=Projects!$C$10,53&lt;Projects!$C$10+Projects!$D$10),Projects!$B$10*(1-SUMPRODUCT((Curves!$B$4:$AO$4)*(COLUMN(Curves!$B$4:$AO$4)-COLUMN(Curves!$B$4)+1&lt;=53-Projects!$C$10+1))),0)</f>
        <v>0</v>
      </c>
      <c r="BD13" s="105">
        <f>IF(AND(Projects!$G$10="Yes",Projects!$F$10="Yes",54&gt;=Projects!$C$10,54&lt;Projects!$C$10+Projects!$D$10),Projects!$B$10*(1-SUMPRODUCT((Curves!$B$4:$AO$4)*(COLUMN(Curves!$B$4:$AO$4)-COLUMN(Curves!$B$4)+1&lt;=54-Projects!$C$10+1))),0)</f>
        <v>0</v>
      </c>
      <c r="BE13" s="105">
        <f>IF(AND(Projects!$G$10="Yes",Projects!$F$10="Yes",55&gt;=Projects!$C$10,55&lt;Projects!$C$10+Projects!$D$10),Projects!$B$10*(1-SUMPRODUCT((Curves!$B$4:$AO$4)*(COLUMN(Curves!$B$4:$AO$4)-COLUMN(Curves!$B$4)+1&lt;=55-Projects!$C$10+1))),0)</f>
        <v>0</v>
      </c>
      <c r="BF13" s="105">
        <f>IF(AND(Projects!$G$10="Yes",Projects!$F$10="Yes",56&gt;=Projects!$C$10,56&lt;Projects!$C$10+Projects!$D$10),Projects!$B$10*(1-SUMPRODUCT((Curves!$B$4:$AO$4)*(COLUMN(Curves!$B$4:$AO$4)-COLUMN(Curves!$B$4)+1&lt;=56-Projects!$C$10+1))),0)</f>
        <v>0</v>
      </c>
      <c r="BG13" s="105">
        <f>IF(AND(Projects!$G$10="Yes",Projects!$F$10="Yes",57&gt;=Projects!$C$10,57&lt;Projects!$C$10+Projects!$D$10),Projects!$B$10*(1-SUMPRODUCT((Curves!$B$4:$AO$4)*(COLUMN(Curves!$B$4:$AO$4)-COLUMN(Curves!$B$4)+1&lt;=57-Projects!$C$10+1))),0)</f>
        <v>0</v>
      </c>
      <c r="BH13" s="105">
        <f>IF(AND(Projects!$G$10="Yes",Projects!$F$10="Yes",58&gt;=Projects!$C$10,58&lt;Projects!$C$10+Projects!$D$10),Projects!$B$10*(1-SUMPRODUCT((Curves!$B$4:$AO$4)*(COLUMN(Curves!$B$4:$AO$4)-COLUMN(Curves!$B$4)+1&lt;=58-Projects!$C$10+1))),0)</f>
        <v>0</v>
      </c>
      <c r="BI13" s="105">
        <f>IF(AND(Projects!$G$10="Yes",Projects!$F$10="Yes",59&gt;=Projects!$C$10,59&lt;Projects!$C$10+Projects!$D$10),Projects!$B$10*(1-SUMPRODUCT((Curves!$B$4:$AO$4)*(COLUMN(Curves!$B$4:$AO$4)-COLUMN(Curves!$B$4)+1&lt;=59-Projects!$C$10+1))),0)</f>
        <v>0</v>
      </c>
      <c r="BJ13" s="105">
        <f>IF(AND(Projects!$G$10="Yes",Projects!$F$10="Yes",60&gt;=Projects!$C$10,60&lt;Projects!$C$10+Projects!$D$10),Projects!$B$10*(1-SUMPRODUCT((Curves!$B$4:$AO$4)*(COLUMN(Curves!$B$4:$AO$4)-COLUMN(Curves!$B$4)+1&lt;=60-Projects!$C$10+1))),0)</f>
        <v>0</v>
      </c>
      <c r="BK13" s="105">
        <f>IF(AND(Projects!$G$10="Yes",Projects!$F$10="Yes",61&gt;=Projects!$C$10,61&lt;Projects!$C$10+Projects!$D$10),Projects!$B$10*(1-SUMPRODUCT((Curves!$B$4:$AO$4)*(COLUMN(Curves!$B$4:$AO$4)-COLUMN(Curves!$B$4)+1&lt;=61-Projects!$C$10+1))),0)</f>
        <v>0</v>
      </c>
      <c r="BL13" s="105">
        <f>IF(AND(Projects!$G$10="Yes",Projects!$F$10="Yes",62&gt;=Projects!$C$10,62&lt;Projects!$C$10+Projects!$D$10),Projects!$B$10*(1-SUMPRODUCT((Curves!$B$4:$AO$4)*(COLUMN(Curves!$B$4:$AO$4)-COLUMN(Curves!$B$4)+1&lt;=62-Projects!$C$10+1))),0)</f>
        <v>0</v>
      </c>
      <c r="BM13" s="105">
        <f>IF(AND(Projects!$G$10="Yes",Projects!$F$10="Yes",63&gt;=Projects!$C$10,63&lt;Projects!$C$10+Projects!$D$10),Projects!$B$10*(1-SUMPRODUCT((Curves!$B$4:$AO$4)*(COLUMN(Curves!$B$4:$AO$4)-COLUMN(Curves!$B$4)+1&lt;=63-Projects!$C$10+1))),0)</f>
        <v>0</v>
      </c>
      <c r="BN13" s="105">
        <f>IF(AND(Projects!$G$10="Yes",Projects!$F$10="Yes",64&gt;=Projects!$C$10,64&lt;Projects!$C$10+Projects!$D$10),Projects!$B$10*(1-SUMPRODUCT((Curves!$B$4:$AO$4)*(COLUMN(Curves!$B$4:$AO$4)-COLUMN(Curves!$B$4)+1&lt;=64-Projects!$C$10+1))),0)</f>
        <v>0</v>
      </c>
      <c r="BO13" s="105">
        <f>IF(AND(Projects!$G$10="Yes",Projects!$F$10="Yes",65&gt;=Projects!$C$10,65&lt;Projects!$C$10+Projects!$D$10),Projects!$B$10*(1-SUMPRODUCT((Curves!$B$4:$AO$4)*(COLUMN(Curves!$B$4:$AO$4)-COLUMN(Curves!$B$4)+1&lt;=65-Projects!$C$10+1))),0)</f>
        <v>0</v>
      </c>
      <c r="BP13" s="105">
        <f>IF(AND(Projects!$G$10="Yes",Projects!$F$10="Yes",66&gt;=Projects!$C$10,66&lt;Projects!$C$10+Projects!$D$10),Projects!$B$10*(1-SUMPRODUCT((Curves!$B$4:$AO$4)*(COLUMN(Curves!$B$4:$AO$4)-COLUMN(Curves!$B$4)+1&lt;=66-Projects!$C$10+1))),0)</f>
        <v>0</v>
      </c>
      <c r="BQ13" s="105">
        <f>IF(AND(Projects!$G$10="Yes",Projects!$F$10="Yes",67&gt;=Projects!$C$10,67&lt;Projects!$C$10+Projects!$D$10),Projects!$B$10*(1-SUMPRODUCT((Curves!$B$4:$AO$4)*(COLUMN(Curves!$B$4:$AO$4)-COLUMN(Curves!$B$4)+1&lt;=67-Projects!$C$10+1))),0)</f>
        <v>0</v>
      </c>
      <c r="BR13" s="105">
        <f>IF(AND(Projects!$G$10="Yes",Projects!$F$10="Yes",68&gt;=Projects!$C$10,68&lt;Projects!$C$10+Projects!$D$10),Projects!$B$10*(1-SUMPRODUCT((Curves!$B$4:$AO$4)*(COLUMN(Curves!$B$4:$AO$4)-COLUMN(Curves!$B$4)+1&lt;=68-Projects!$C$10+1))),0)</f>
        <v>0</v>
      </c>
      <c r="BS13" s="105">
        <f>IF(AND(Projects!$G$10="Yes",Projects!$F$10="Yes",69&gt;=Projects!$C$10,69&lt;Projects!$C$10+Projects!$D$10),Projects!$B$10*(1-SUMPRODUCT((Curves!$B$4:$AO$4)*(COLUMN(Curves!$B$4:$AO$4)-COLUMN(Curves!$B$4)+1&lt;=69-Projects!$C$10+1))),0)</f>
        <v>0</v>
      </c>
      <c r="BT13" s="105">
        <f>IF(AND(Projects!$G$10="Yes",Projects!$F$10="Yes",70&gt;=Projects!$C$10,70&lt;Projects!$C$10+Projects!$D$10),Projects!$B$10*(1-SUMPRODUCT((Curves!$B$4:$AO$4)*(COLUMN(Curves!$B$4:$AO$4)-COLUMN(Curves!$B$4)+1&lt;=70-Projects!$C$10+1))),0)</f>
        <v>0</v>
      </c>
      <c r="BU13" s="105">
        <f>IF(AND(Projects!$G$10="Yes",Projects!$F$10="Yes",71&gt;=Projects!$C$10,71&lt;Projects!$C$10+Projects!$D$10),Projects!$B$10*(1-SUMPRODUCT((Curves!$B$4:$AO$4)*(COLUMN(Curves!$B$4:$AO$4)-COLUMN(Curves!$B$4)+1&lt;=71-Projects!$C$10+1))),0)</f>
        <v>0</v>
      </c>
      <c r="BV13" s="105">
        <f>IF(AND(Projects!$G$10="Yes",Projects!$F$10="Yes",72&gt;=Projects!$C$10,72&lt;Projects!$C$10+Projects!$D$10),Projects!$B$10*(1-SUMPRODUCT((Curves!$B$4:$AO$4)*(COLUMN(Curves!$B$4:$AO$4)-COLUMN(Curves!$B$4)+1&lt;=72-Projects!$C$10+1))),0)</f>
        <v>0</v>
      </c>
      <c r="BW13" s="105">
        <f>IF(AND(Projects!$G$10="Yes",Projects!$F$10="Yes",73&gt;=Projects!$C$10,73&lt;Projects!$C$10+Projects!$D$10),Projects!$B$10*(1-SUMPRODUCT((Curves!$B$4:$AO$4)*(COLUMN(Curves!$B$4:$AO$4)-COLUMN(Curves!$B$4)+1&lt;=73-Projects!$C$10+1))),0)</f>
        <v>0</v>
      </c>
      <c r="BX13" s="105">
        <f>IF(AND(Projects!$G$10="Yes",Projects!$F$10="Yes",74&gt;=Projects!$C$10,74&lt;Projects!$C$10+Projects!$D$10),Projects!$B$10*(1-SUMPRODUCT((Curves!$B$4:$AO$4)*(COLUMN(Curves!$B$4:$AO$4)-COLUMN(Curves!$B$4)+1&lt;=74-Projects!$C$10+1))),0)</f>
        <v>0</v>
      </c>
      <c r="BY13" s="105">
        <f>IF(AND(Projects!$G$10="Yes",Projects!$F$10="Yes",75&gt;=Projects!$C$10,75&lt;Projects!$C$10+Projects!$D$10),Projects!$B$10*(1-SUMPRODUCT((Curves!$B$4:$AO$4)*(COLUMN(Curves!$B$4:$AO$4)-COLUMN(Curves!$B$4)+1&lt;=75-Projects!$C$10+1))),0)</f>
        <v>0</v>
      </c>
      <c r="BZ13" s="105">
        <f>IF(AND(Projects!$G$10="Yes",Projects!$F$10="Yes",76&gt;=Projects!$C$10,76&lt;Projects!$C$10+Projects!$D$10),Projects!$B$10*(1-SUMPRODUCT((Curves!$B$4:$AO$4)*(COLUMN(Curves!$B$4:$AO$4)-COLUMN(Curves!$B$4)+1&lt;=76-Projects!$C$10+1))),0)</f>
        <v>0</v>
      </c>
      <c r="CA13" s="105">
        <f>IF(AND(Projects!$G$10="Yes",Projects!$F$10="Yes",77&gt;=Projects!$C$10,77&lt;Projects!$C$10+Projects!$D$10),Projects!$B$10*(1-SUMPRODUCT((Curves!$B$4:$AO$4)*(COLUMN(Curves!$B$4:$AO$4)-COLUMN(Curves!$B$4)+1&lt;=77-Projects!$C$10+1))),0)</f>
        <v>0</v>
      </c>
      <c r="CB13" s="105">
        <f>IF(AND(Projects!$G$10="Yes",Projects!$F$10="Yes",78&gt;=Projects!$C$10,78&lt;Projects!$C$10+Projects!$D$10),Projects!$B$10*(1-SUMPRODUCT((Curves!$B$4:$AO$4)*(COLUMN(Curves!$B$4:$AO$4)-COLUMN(Curves!$B$4)+1&lt;=78-Projects!$C$10+1))),0)</f>
        <v>0</v>
      </c>
      <c r="CC13" s="105">
        <f>IF(AND(Projects!$G$10="Yes",Projects!$F$10="Yes",79&gt;=Projects!$C$10,79&lt;Projects!$C$10+Projects!$D$10),Projects!$B$10*(1-SUMPRODUCT((Curves!$B$4:$AO$4)*(COLUMN(Curves!$B$4:$AO$4)-COLUMN(Curves!$B$4)+1&lt;=79-Projects!$C$10+1))),0)</f>
        <v>0</v>
      </c>
      <c r="CD13" s="105">
        <f>IF(AND(Projects!$G$10="Yes",Projects!$F$10="Yes",80&gt;=Projects!$C$10,80&lt;Projects!$C$10+Projects!$D$10),Projects!$B$10*(1-SUMPRODUCT((Curves!$B$4:$AO$4)*(COLUMN(Curves!$B$4:$AO$4)-COLUMN(Curves!$B$4)+1&lt;=80-Projects!$C$10+1))),0)</f>
        <v>0</v>
      </c>
      <c r="CE13" s="105">
        <f>IF(AND(Projects!$G$10="Yes",Projects!$F$10="Yes",81&gt;=Projects!$C$10,81&lt;Projects!$C$10+Projects!$D$10),Projects!$B$10*(1-SUMPRODUCT((Curves!$B$4:$AO$4)*(COLUMN(Curves!$B$4:$AO$4)-COLUMN(Curves!$B$4)+1&lt;=81-Projects!$C$10+1))),0)</f>
        <v>0</v>
      </c>
      <c r="CF13" s="105">
        <f>IF(AND(Projects!$G$10="Yes",Projects!$F$10="Yes",82&gt;=Projects!$C$10,82&lt;Projects!$C$10+Projects!$D$10),Projects!$B$10*(1-SUMPRODUCT((Curves!$B$4:$AO$4)*(COLUMN(Curves!$B$4:$AO$4)-COLUMN(Curves!$B$4)+1&lt;=82-Projects!$C$10+1))),0)</f>
        <v>0</v>
      </c>
      <c r="CG13" s="105">
        <f>IF(AND(Projects!$G$10="Yes",Projects!$F$10="Yes",83&gt;=Projects!$C$10,83&lt;Projects!$C$10+Projects!$D$10),Projects!$B$10*(1-SUMPRODUCT((Curves!$B$4:$AO$4)*(COLUMN(Curves!$B$4:$AO$4)-COLUMN(Curves!$B$4)+1&lt;=83-Projects!$C$10+1))),0)</f>
        <v>0</v>
      </c>
      <c r="CH13" s="105">
        <f>IF(AND(Projects!$G$10="Yes",Projects!$F$10="Yes",84&gt;=Projects!$C$10,84&lt;Projects!$C$10+Projects!$D$10),Projects!$B$10*(1-SUMPRODUCT((Curves!$B$4:$AO$4)*(COLUMN(Curves!$B$4:$AO$4)-COLUMN(Curves!$B$4)+1&lt;=84-Projects!$C$10+1))),0)</f>
        <v>0</v>
      </c>
    </row>
    <row r="14" spans="1:86" ht="15" customHeight="1" x14ac:dyDescent="0.25">
      <c r="A14" s="99" t="s">
        <v>120</v>
      </c>
      <c r="C14" s="105">
        <f>IF(AND(Projects!$G$13="Yes",Projects!$F$13="Yes",1&gt;=Projects!$C$13,1&lt;Projects!$C$13+Projects!$D$13),Projects!$B$13*(1-SUMPRODUCT((Curves!$B$2:$AO$2)*(COLUMN(Curves!$B$2:$AO$2)-COLUMN(Curves!$B$2)+1&lt;=1-Projects!$C$13+1))),0)</f>
        <v>0</v>
      </c>
      <c r="D14" s="105">
        <f>IF(AND(Projects!$G$13="Yes",Projects!$F$13="Yes",2&gt;=Projects!$C$13,2&lt;Projects!$C$13+Projects!$D$13),Projects!$B$13*(1-SUMPRODUCT((Curves!$B$2:$AO$2)*(COLUMN(Curves!$B$2:$AO$2)-COLUMN(Curves!$B$2)+1&lt;=2-Projects!$C$13+1))),0)</f>
        <v>0</v>
      </c>
      <c r="E14" s="105">
        <f>IF(AND(Projects!$G$13="Yes",Projects!$F$13="Yes",3&gt;=Projects!$C$13,3&lt;Projects!$C$13+Projects!$D$13),Projects!$B$13*(1-SUMPRODUCT((Curves!$B$2:$AO$2)*(COLUMN(Curves!$B$2:$AO$2)-COLUMN(Curves!$B$2)+1&lt;=3-Projects!$C$13+1))),0)</f>
        <v>0</v>
      </c>
      <c r="F14" s="105">
        <f>IF(AND(Projects!$G$13="Yes",Projects!$F$13="Yes",4&gt;=Projects!$C$13,4&lt;Projects!$C$13+Projects!$D$13),Projects!$B$13*(1-SUMPRODUCT((Curves!$B$2:$AO$2)*(COLUMN(Curves!$B$2:$AO$2)-COLUMN(Curves!$B$2)+1&lt;=4-Projects!$C$13+1))),0)</f>
        <v>0</v>
      </c>
      <c r="G14" s="105">
        <f>IF(AND(Projects!$G$13="Yes",Projects!$F$13="Yes",5&gt;=Projects!$C$13,5&lt;Projects!$C$13+Projects!$D$13),Projects!$B$13*(1-SUMPRODUCT((Curves!$B$2:$AO$2)*(COLUMN(Curves!$B$2:$AO$2)-COLUMN(Curves!$B$2)+1&lt;=5-Projects!$C$13+1))),0)</f>
        <v>0</v>
      </c>
      <c r="H14" s="105">
        <f>IF(AND(Projects!$G$13="Yes",Projects!$F$13="Yes",6&gt;=Projects!$C$13,6&lt;Projects!$C$13+Projects!$D$13),Projects!$B$13*(1-SUMPRODUCT((Curves!$B$2:$AO$2)*(COLUMN(Curves!$B$2:$AO$2)-COLUMN(Curves!$B$2)+1&lt;=6-Projects!$C$13+1))),0)</f>
        <v>0</v>
      </c>
      <c r="I14" s="105">
        <f>IF(AND(Projects!$G$13="Yes",Projects!$F$13="Yes",7&gt;=Projects!$C$13,7&lt;Projects!$C$13+Projects!$D$13),Projects!$B$13*(1-SUMPRODUCT((Curves!$B$2:$AO$2)*(COLUMN(Curves!$B$2:$AO$2)-COLUMN(Curves!$B$2)+1&lt;=7-Projects!$C$13+1))),0)</f>
        <v>0</v>
      </c>
      <c r="J14" s="105">
        <f>IF(AND(Projects!$G$13="Yes",Projects!$F$13="Yes",8&gt;=Projects!$C$13,8&lt;Projects!$C$13+Projects!$D$13),Projects!$B$13*(1-SUMPRODUCT((Curves!$B$2:$AO$2)*(COLUMN(Curves!$B$2:$AO$2)-COLUMN(Curves!$B$2)+1&lt;=8-Projects!$C$13+1))),0)</f>
        <v>0</v>
      </c>
      <c r="K14" s="105">
        <f>IF(AND(Projects!$G$13="Yes",Projects!$F$13="Yes",9&gt;=Projects!$C$13,9&lt;Projects!$C$13+Projects!$D$13),Projects!$B$13*(1-SUMPRODUCT((Curves!$B$2:$AO$2)*(COLUMN(Curves!$B$2:$AO$2)-COLUMN(Curves!$B$2)+1&lt;=9-Projects!$C$13+1))),0)</f>
        <v>0</v>
      </c>
      <c r="L14" s="105">
        <f>IF(AND(Projects!$G$13="Yes",Projects!$F$13="Yes",10&gt;=Projects!$C$13,10&lt;Projects!$C$13+Projects!$D$13),Projects!$B$13*(1-SUMPRODUCT((Curves!$B$2:$AO$2)*(COLUMN(Curves!$B$2:$AO$2)-COLUMN(Curves!$B$2)+1&lt;=10-Projects!$C$13+1))),0)</f>
        <v>0</v>
      </c>
      <c r="M14" s="105">
        <f>IF(AND(Projects!$G$13="Yes",Projects!$F$13="Yes",11&gt;=Projects!$C$13,11&lt;Projects!$C$13+Projects!$D$13),Projects!$B$13*(1-SUMPRODUCT((Curves!$B$2:$AO$2)*(COLUMN(Curves!$B$2:$AO$2)-COLUMN(Curves!$B$2)+1&lt;=11-Projects!$C$13+1))),0)</f>
        <v>0</v>
      </c>
      <c r="N14" s="105">
        <f>IF(AND(Projects!$G$13="Yes",Projects!$F$13="Yes",12&gt;=Projects!$C$13,12&lt;Projects!$C$13+Projects!$D$13),Projects!$B$13*(1-SUMPRODUCT((Curves!$B$2:$AO$2)*(COLUMN(Curves!$B$2:$AO$2)-COLUMN(Curves!$B$2)+1&lt;=12-Projects!$C$13+1))),0)</f>
        <v>0</v>
      </c>
      <c r="O14" s="105">
        <f>IF(AND(Projects!$G$13="Yes",Projects!$F$13="Yes",13&gt;=Projects!$C$13,13&lt;Projects!$C$13+Projects!$D$13),Projects!$B$13*(1-SUMPRODUCT((Curves!$B$2:$AO$2)*(COLUMN(Curves!$B$2:$AO$2)-COLUMN(Curves!$B$2)+1&lt;=13-Projects!$C$13+1))),0)</f>
        <v>44537929.736230001</v>
      </c>
      <c r="P14" s="105">
        <f>IF(AND(Projects!$G$13="Yes",Projects!$F$13="Yes",14&gt;=Projects!$C$13,14&lt;Projects!$C$13+Projects!$D$13),Projects!$B$13*(1-SUMPRODUCT((Curves!$B$2:$AO$2)*(COLUMN(Curves!$B$2:$AO$2)-COLUMN(Curves!$B$2)+1&lt;=14-Projects!$C$13+1))),0)</f>
        <v>43699679.689369999</v>
      </c>
      <c r="Q14" s="105">
        <f>IF(AND(Projects!$G$13="Yes",Projects!$F$13="Yes",15&gt;=Projects!$C$13,15&lt;Projects!$C$13+Projects!$D$13),Projects!$B$13*(1-SUMPRODUCT((Curves!$B$2:$AO$2)*(COLUMN(Curves!$B$2:$AO$2)-COLUMN(Curves!$B$2)+1&lt;=15-Projects!$C$13+1))),0)</f>
        <v>42745139.310379997</v>
      </c>
      <c r="R14" s="105">
        <f>IF(AND(Projects!$G$13="Yes",Projects!$F$13="Yes",16&gt;=Projects!$C$13,16&lt;Projects!$C$13+Projects!$D$13),Projects!$B$13*(1-SUMPRODUCT((Curves!$B$2:$AO$2)*(COLUMN(Curves!$B$2:$AO$2)-COLUMN(Curves!$B$2)+1&lt;=16-Projects!$C$13+1))),0)</f>
        <v>41669012.387170002</v>
      </c>
      <c r="S14" s="105">
        <f>IF(AND(Projects!$G$13="Yes",Projects!$F$13="Yes",17&gt;=Projects!$C$13,17&lt;Projects!$C$13+Projects!$D$13),Projects!$B$13*(1-SUMPRODUCT((Curves!$B$2:$AO$2)*(COLUMN(Curves!$B$2:$AO$2)-COLUMN(Curves!$B$2)+1&lt;=17-Projects!$C$13+1))),0)</f>
        <v>40467858.645219997</v>
      </c>
      <c r="T14" s="105">
        <f>IF(AND(Projects!$G$13="Yes",Projects!$F$13="Yes",18&gt;=Projects!$C$13,18&lt;Projects!$C$13+Projects!$D$13),Projects!$B$13*(1-SUMPRODUCT((Curves!$B$2:$AO$2)*(COLUMN(Curves!$B$2:$AO$2)-COLUMN(Curves!$B$2)+1&lt;=18-Projects!$C$13+1))),0)</f>
        <v>39140501.148510002</v>
      </c>
      <c r="U14" s="105">
        <f>IF(AND(Projects!$G$13="Yes",Projects!$F$13="Yes",19&gt;=Projects!$C$13,19&lt;Projects!$C$13+Projects!$D$13),Projects!$B$13*(1-SUMPRODUCT((Curves!$B$2:$AO$2)*(COLUMN(Curves!$B$2:$AO$2)-COLUMN(Curves!$B$2)+1&lt;=19-Projects!$C$13+1))),0)</f>
        <v>37688252.633369997</v>
      </c>
      <c r="V14" s="105">
        <f>IF(AND(Projects!$G$13="Yes",Projects!$F$13="Yes",20&gt;=Projects!$C$13,20&lt;Projects!$C$13+Projects!$D$13),Projects!$B$13*(1-SUMPRODUCT((Curves!$B$2:$AO$2)*(COLUMN(Curves!$B$2:$AO$2)-COLUMN(Curves!$B$2)+1&lt;=20-Projects!$C$13+1))),0)</f>
        <v>36115141.842330001</v>
      </c>
      <c r="W14" s="105">
        <f>IF(AND(Projects!$G$13="Yes",Projects!$F$13="Yes",21&gt;=Projects!$C$13,21&lt;Projects!$C$13+Projects!$D$13),Projects!$B$13*(1-SUMPRODUCT((Curves!$B$2:$AO$2)*(COLUMN(Curves!$B$2:$AO$2)-COLUMN(Curves!$B$2)+1&lt;=21-Projects!$C$13+1))),0)</f>
        <v>34428094.591200002</v>
      </c>
      <c r="X14" s="105">
        <f>IF(AND(Projects!$G$13="Yes",Projects!$F$13="Yes",22&gt;=Projects!$C$13,22&lt;Projects!$C$13+Projects!$D$13),Projects!$B$13*(1-SUMPRODUCT((Curves!$B$2:$AO$2)*(COLUMN(Curves!$B$2:$AO$2)-COLUMN(Curves!$B$2)+1&lt;=22-Projects!$C$13+1))),0)</f>
        <v>32636797.968759999</v>
      </c>
      <c r="Y14" s="105">
        <f>IF(AND(Projects!$G$13="Yes",Projects!$F$13="Yes",23&gt;=Projects!$C$13,23&lt;Projects!$C$13+Projects!$D$13),Projects!$B$13*(1-SUMPRODUCT((Curves!$B$2:$AO$2)*(COLUMN(Curves!$B$2:$AO$2)-COLUMN(Curves!$B$2)+1&lt;=23-Projects!$C$13+1))),0)</f>
        <v>30753745.603530001</v>
      </c>
      <c r="Z14" s="105">
        <f>IF(AND(Projects!$G$13="Yes",Projects!$F$13="Yes",24&gt;=Projects!$C$13,24&lt;Projects!$C$13+Projects!$D$13),Projects!$B$13*(1-SUMPRODUCT((Curves!$B$2:$AO$2)*(COLUMN(Curves!$B$2:$AO$2)-COLUMN(Curves!$B$2)+1&lt;=24-Projects!$C$13+1))),0)</f>
        <v>28793920.796380002</v>
      </c>
      <c r="AA14" s="105">
        <f>IF(AND(Projects!$G$13="Yes",Projects!$F$13="Yes",25&gt;=Projects!$C$13,25&lt;Projects!$C$13+Projects!$D$13),Projects!$B$13*(1-SUMPRODUCT((Curves!$B$2:$AO$2)*(COLUMN(Curves!$B$2:$AO$2)-COLUMN(Curves!$B$2)+1&lt;=25-Projects!$C$13+1))),0)</f>
        <v>26774434.386370003</v>
      </c>
      <c r="AB14" s="105">
        <f>IF(AND(Projects!$G$13="Yes",Projects!$F$13="Yes",26&gt;=Projects!$C$13,26&lt;Projects!$C$13+Projects!$D$13),Projects!$B$13*(1-SUMPRODUCT((Curves!$B$2:$AO$2)*(COLUMN(Curves!$B$2:$AO$2)-COLUMN(Curves!$B$2)+1&lt;=26-Projects!$C$13+1))),0)</f>
        <v>24714207.883360002</v>
      </c>
      <c r="AC14" s="105">
        <f>IF(AND(Projects!$G$13="Yes",Projects!$F$13="Yes",27&gt;=Projects!$C$13,27&lt;Projects!$C$13+Projects!$D$13),Projects!$B$13*(1-SUMPRODUCT((Curves!$B$2:$AO$2)*(COLUMN(Curves!$B$2:$AO$2)-COLUMN(Curves!$B$2)+1&lt;=27-Projects!$C$13+1))),0)</f>
        <v>22633294.466460001</v>
      </c>
      <c r="AD14" s="105">
        <f>IF(AND(Projects!$G$13="Yes",Projects!$F$13="Yes",28&gt;=Projects!$C$13,28&lt;Projects!$C$13+Projects!$D$13),Projects!$B$13*(1-SUMPRODUCT((Curves!$B$2:$AO$2)*(COLUMN(Curves!$B$2:$AO$2)-COLUMN(Curves!$B$2)+1&lt;=28-Projects!$C$13+1))),0)</f>
        <v>20552381.049560003</v>
      </c>
      <c r="AE14" s="105">
        <f>IF(AND(Projects!$G$13="Yes",Projects!$F$13="Yes",29&gt;=Projects!$C$13,29&lt;Projects!$C$13+Projects!$D$13),Projects!$B$13*(1-SUMPRODUCT((Curves!$B$2:$AO$2)*(COLUMN(Curves!$B$2:$AO$2)-COLUMN(Curves!$B$2)+1&lt;=29-Projects!$C$13+1))),0)</f>
        <v>18492154.546550002</v>
      </c>
      <c r="AF14" s="105">
        <f>IF(AND(Projects!$G$13="Yes",Projects!$F$13="Yes",30&gt;=Projects!$C$13,30&lt;Projects!$C$13+Projects!$D$13),Projects!$B$13*(1-SUMPRODUCT((Curves!$B$2:$AO$2)*(COLUMN(Curves!$B$2:$AO$2)-COLUMN(Curves!$B$2)+1&lt;=30-Projects!$C$13+1))),0)</f>
        <v>16472668.136540003</v>
      </c>
      <c r="AG14" s="105">
        <f>IF(AND(Projects!$G$13="Yes",Projects!$F$13="Yes",31&gt;=Projects!$C$13,31&lt;Projects!$C$13+Projects!$D$13),Projects!$B$13*(1-SUMPRODUCT((Curves!$B$2:$AO$2)*(COLUMN(Curves!$B$2:$AO$2)-COLUMN(Curves!$B$2)+1&lt;=31-Projects!$C$13+1))),0)</f>
        <v>14512843.329390004</v>
      </c>
      <c r="AH14" s="105">
        <f>IF(AND(Projects!$G$13="Yes",Projects!$F$13="Yes",32&gt;=Projects!$C$13,32&lt;Projects!$C$13+Projects!$D$13),Projects!$B$13*(1-SUMPRODUCT((Curves!$B$2:$AO$2)*(COLUMN(Curves!$B$2:$AO$2)-COLUMN(Curves!$B$2)+1&lt;=32-Projects!$C$13+1))),0)</f>
        <v>12629790.964160006</v>
      </c>
      <c r="AI14" s="105">
        <f>IF(AND(Projects!$G$13="Yes",Projects!$F$13="Yes",33&gt;=Projects!$C$13,33&lt;Projects!$C$13+Projects!$D$13),Projects!$B$13*(1-SUMPRODUCT((Curves!$B$2:$AO$2)*(COLUMN(Curves!$B$2:$AO$2)-COLUMN(Curves!$B$2)+1&lt;=33-Projects!$C$13+1))),0)</f>
        <v>10838494.341720004</v>
      </c>
      <c r="AJ14" s="105">
        <f>IF(AND(Projects!$G$13="Yes",Projects!$F$13="Yes",34&gt;=Projects!$C$13,34&lt;Projects!$C$13+Projects!$D$13),Projects!$B$13*(1-SUMPRODUCT((Curves!$B$2:$AO$2)*(COLUMN(Curves!$B$2:$AO$2)-COLUMN(Curves!$B$2)+1&lt;=34-Projects!$C$13+1))),0)</f>
        <v>9151447.0905900039</v>
      </c>
      <c r="AK14" s="105">
        <f>IF(AND(Projects!$G$13="Yes",Projects!$F$13="Yes",35&gt;=Projects!$C$13,35&lt;Projects!$C$13+Projects!$D$13),Projects!$B$13*(1-SUMPRODUCT((Curves!$B$2:$AO$2)*(COLUMN(Curves!$B$2:$AO$2)-COLUMN(Curves!$B$2)+1&lt;=35-Projects!$C$13+1))),0)</f>
        <v>7578336.2995500043</v>
      </c>
      <c r="AL14" s="105">
        <f>IF(AND(Projects!$G$13="Yes",Projects!$F$13="Yes",36&gt;=Projects!$C$13,36&lt;Projects!$C$13+Projects!$D$13),Projects!$B$13*(1-SUMPRODUCT((Curves!$B$2:$AO$2)*(COLUMN(Curves!$B$2:$AO$2)-COLUMN(Curves!$B$2)+1&lt;=36-Projects!$C$13+1))),0)</f>
        <v>6126087.7844100064</v>
      </c>
      <c r="AM14" s="105">
        <f>IF(AND(Projects!$G$13="Yes",Projects!$F$13="Yes",37&gt;=Projects!$C$13,37&lt;Projects!$C$13+Projects!$D$13),Projects!$B$13*(1-SUMPRODUCT((Curves!$B$2:$AO$2)*(COLUMN(Curves!$B$2:$AO$2)-COLUMN(Curves!$B$2)+1&lt;=37-Projects!$C$13+1))),0)</f>
        <v>4798730.2877000077</v>
      </c>
      <c r="AN14" s="105">
        <f>IF(AND(Projects!$G$13="Yes",Projects!$F$13="Yes",38&gt;=Projects!$C$13,38&lt;Projects!$C$13+Projects!$D$13),Projects!$B$13*(1-SUMPRODUCT((Curves!$B$2:$AO$2)*(COLUMN(Curves!$B$2:$AO$2)-COLUMN(Curves!$B$2)+1&lt;=38-Projects!$C$13+1))),0)</f>
        <v>3597576.5457500084</v>
      </c>
      <c r="AO14" s="105">
        <f>IF(AND(Projects!$G$13="Yes",Projects!$F$13="Yes",39&gt;=Projects!$C$13,39&lt;Projects!$C$13+Projects!$D$13),Projects!$B$13*(1-SUMPRODUCT((Curves!$B$2:$AO$2)*(COLUMN(Curves!$B$2:$AO$2)-COLUMN(Curves!$B$2)+1&lt;=39-Projects!$C$13+1))),0)</f>
        <v>2521449.6225400064</v>
      </c>
      <c r="AP14" s="105">
        <f>IF(AND(Projects!$G$13="Yes",Projects!$F$13="Yes",40&gt;=Projects!$C$13,40&lt;Projects!$C$13+Projects!$D$13),Projects!$B$13*(1-SUMPRODUCT((Curves!$B$2:$AO$2)*(COLUMN(Curves!$B$2:$AO$2)-COLUMN(Curves!$B$2)+1&lt;=40-Projects!$C$13+1))),0)</f>
        <v>1566909.2435500079</v>
      </c>
      <c r="AQ14" s="105">
        <f>IF(AND(Projects!$G$13="Yes",Projects!$F$13="Yes",41&gt;=Projects!$C$13,41&lt;Projects!$C$13+Projects!$D$13),Projects!$B$13*(1-SUMPRODUCT((Curves!$B$2:$AO$2)*(COLUMN(Curves!$B$2:$AO$2)-COLUMN(Curves!$B$2)+1&lt;=41-Projects!$C$13+1))),0)</f>
        <v>728659.1966900063</v>
      </c>
      <c r="AR14" s="105">
        <f>IF(AND(Projects!$G$13="Yes",Projects!$F$13="Yes",42&gt;=Projects!$C$13,42&lt;Projects!$C$13+Projects!$D$13),Projects!$B$13*(1-SUMPRODUCT((Curves!$B$2:$AO$2)*(COLUMN(Curves!$B$2:$AO$2)-COLUMN(Curves!$B$2)+1&lt;=42-Projects!$C$13+1))),0)</f>
        <v>-181.06707999515547</v>
      </c>
      <c r="AS14" s="105">
        <f>IF(AND(Projects!$G$13="Yes",Projects!$F$13="Yes",43&gt;=Projects!$C$13,43&lt;Projects!$C$13+Projects!$D$13),Projects!$B$13*(1-SUMPRODUCT((Curves!$B$2:$AO$2)*(COLUMN(Curves!$B$2:$AO$2)-COLUMN(Curves!$B$2)+1&lt;=43-Projects!$C$13+1))),0)</f>
        <v>0</v>
      </c>
      <c r="AT14" s="105">
        <f>IF(AND(Projects!$G$13="Yes",Projects!$F$13="Yes",44&gt;=Projects!$C$13,44&lt;Projects!$C$13+Projects!$D$13),Projects!$B$13*(1-SUMPRODUCT((Curves!$B$2:$AO$2)*(COLUMN(Curves!$B$2:$AO$2)-COLUMN(Curves!$B$2)+1&lt;=44-Projects!$C$13+1))),0)</f>
        <v>0</v>
      </c>
      <c r="AU14" s="105">
        <f>IF(AND(Projects!$G$13="Yes",Projects!$F$13="Yes",45&gt;=Projects!$C$13,45&lt;Projects!$C$13+Projects!$D$13),Projects!$B$13*(1-SUMPRODUCT((Curves!$B$2:$AO$2)*(COLUMN(Curves!$B$2:$AO$2)-COLUMN(Curves!$B$2)+1&lt;=45-Projects!$C$13+1))),0)</f>
        <v>0</v>
      </c>
      <c r="AV14" s="105">
        <f>IF(AND(Projects!$G$13="Yes",Projects!$F$13="Yes",46&gt;=Projects!$C$13,46&lt;Projects!$C$13+Projects!$D$13),Projects!$B$13*(1-SUMPRODUCT((Curves!$B$2:$AO$2)*(COLUMN(Curves!$B$2:$AO$2)-COLUMN(Curves!$B$2)+1&lt;=46-Projects!$C$13+1))),0)</f>
        <v>0</v>
      </c>
      <c r="AW14" s="105">
        <f>IF(AND(Projects!$G$13="Yes",Projects!$F$13="Yes",47&gt;=Projects!$C$13,47&lt;Projects!$C$13+Projects!$D$13),Projects!$B$13*(1-SUMPRODUCT((Curves!$B$2:$AO$2)*(COLUMN(Curves!$B$2:$AO$2)-COLUMN(Curves!$B$2)+1&lt;=47-Projects!$C$13+1))),0)</f>
        <v>0</v>
      </c>
      <c r="AX14" s="105">
        <f>IF(AND(Projects!$G$13="Yes",Projects!$F$13="Yes",48&gt;=Projects!$C$13,48&lt;Projects!$C$13+Projects!$D$13),Projects!$B$13*(1-SUMPRODUCT((Curves!$B$2:$AO$2)*(COLUMN(Curves!$B$2:$AO$2)-COLUMN(Curves!$B$2)+1&lt;=48-Projects!$C$13+1))),0)</f>
        <v>0</v>
      </c>
      <c r="AY14" s="105">
        <f>IF(AND(Projects!$G$13="Yes",Projects!$F$13="Yes",49&gt;=Projects!$C$13,49&lt;Projects!$C$13+Projects!$D$13),Projects!$B$13*(1-SUMPRODUCT((Curves!$B$2:$AO$2)*(COLUMN(Curves!$B$2:$AO$2)-COLUMN(Curves!$B$2)+1&lt;=49-Projects!$C$13+1))),0)</f>
        <v>0</v>
      </c>
      <c r="AZ14" s="105">
        <f>IF(AND(Projects!$G$13="Yes",Projects!$F$13="Yes",50&gt;=Projects!$C$13,50&lt;Projects!$C$13+Projects!$D$13),Projects!$B$13*(1-SUMPRODUCT((Curves!$B$2:$AO$2)*(COLUMN(Curves!$B$2:$AO$2)-COLUMN(Curves!$B$2)+1&lt;=50-Projects!$C$13+1))),0)</f>
        <v>0</v>
      </c>
      <c r="BA14" s="105">
        <f>IF(AND(Projects!$G$13="Yes",Projects!$F$13="Yes",51&gt;=Projects!$C$13,51&lt;Projects!$C$13+Projects!$D$13),Projects!$B$13*(1-SUMPRODUCT((Curves!$B$2:$AO$2)*(COLUMN(Curves!$B$2:$AO$2)-COLUMN(Curves!$B$2)+1&lt;=51-Projects!$C$13+1))),0)</f>
        <v>0</v>
      </c>
      <c r="BB14" s="105">
        <f>IF(AND(Projects!$G$13="Yes",Projects!$F$13="Yes",52&gt;=Projects!$C$13,52&lt;Projects!$C$13+Projects!$D$13),Projects!$B$13*(1-SUMPRODUCT((Curves!$B$2:$AO$2)*(COLUMN(Curves!$B$2:$AO$2)-COLUMN(Curves!$B$2)+1&lt;=52-Projects!$C$13+1))),0)</f>
        <v>0</v>
      </c>
      <c r="BC14" s="105">
        <f>IF(AND(Projects!$G$13="Yes",Projects!$F$13="Yes",53&gt;=Projects!$C$13,53&lt;Projects!$C$13+Projects!$D$13),Projects!$B$13*(1-SUMPRODUCT((Curves!$B$2:$AO$2)*(COLUMN(Curves!$B$2:$AO$2)-COLUMN(Curves!$B$2)+1&lt;=53-Projects!$C$13+1))),0)</f>
        <v>0</v>
      </c>
      <c r="BD14" s="105">
        <f>IF(AND(Projects!$G$13="Yes",Projects!$F$13="Yes",54&gt;=Projects!$C$13,54&lt;Projects!$C$13+Projects!$D$13),Projects!$B$13*(1-SUMPRODUCT((Curves!$B$2:$AO$2)*(COLUMN(Curves!$B$2:$AO$2)-COLUMN(Curves!$B$2)+1&lt;=54-Projects!$C$13+1))),0)</f>
        <v>0</v>
      </c>
      <c r="BE14" s="105">
        <f>IF(AND(Projects!$G$13="Yes",Projects!$F$13="Yes",55&gt;=Projects!$C$13,55&lt;Projects!$C$13+Projects!$D$13),Projects!$B$13*(1-SUMPRODUCT((Curves!$B$2:$AO$2)*(COLUMN(Curves!$B$2:$AO$2)-COLUMN(Curves!$B$2)+1&lt;=55-Projects!$C$13+1))),0)</f>
        <v>0</v>
      </c>
      <c r="BF14" s="105">
        <f>IF(AND(Projects!$G$13="Yes",Projects!$F$13="Yes",56&gt;=Projects!$C$13,56&lt;Projects!$C$13+Projects!$D$13),Projects!$B$13*(1-SUMPRODUCT((Curves!$B$2:$AO$2)*(COLUMN(Curves!$B$2:$AO$2)-COLUMN(Curves!$B$2)+1&lt;=56-Projects!$C$13+1))),0)</f>
        <v>0</v>
      </c>
      <c r="BG14" s="105">
        <f>IF(AND(Projects!$G$13="Yes",Projects!$F$13="Yes",57&gt;=Projects!$C$13,57&lt;Projects!$C$13+Projects!$D$13),Projects!$B$13*(1-SUMPRODUCT((Curves!$B$2:$AO$2)*(COLUMN(Curves!$B$2:$AO$2)-COLUMN(Curves!$B$2)+1&lt;=57-Projects!$C$13+1))),0)</f>
        <v>0</v>
      </c>
      <c r="BH14" s="105">
        <f>IF(AND(Projects!$G$13="Yes",Projects!$F$13="Yes",58&gt;=Projects!$C$13,58&lt;Projects!$C$13+Projects!$D$13),Projects!$B$13*(1-SUMPRODUCT((Curves!$B$2:$AO$2)*(COLUMN(Curves!$B$2:$AO$2)-COLUMN(Curves!$B$2)+1&lt;=58-Projects!$C$13+1))),0)</f>
        <v>0</v>
      </c>
      <c r="BI14" s="105">
        <f>IF(AND(Projects!$G$13="Yes",Projects!$F$13="Yes",59&gt;=Projects!$C$13,59&lt;Projects!$C$13+Projects!$D$13),Projects!$B$13*(1-SUMPRODUCT((Curves!$B$2:$AO$2)*(COLUMN(Curves!$B$2:$AO$2)-COLUMN(Curves!$B$2)+1&lt;=59-Projects!$C$13+1))),0)</f>
        <v>0</v>
      </c>
      <c r="BJ14" s="105">
        <f>IF(AND(Projects!$G$13="Yes",Projects!$F$13="Yes",60&gt;=Projects!$C$13,60&lt;Projects!$C$13+Projects!$D$13),Projects!$B$13*(1-SUMPRODUCT((Curves!$B$2:$AO$2)*(COLUMN(Curves!$B$2:$AO$2)-COLUMN(Curves!$B$2)+1&lt;=60-Projects!$C$13+1))),0)</f>
        <v>0</v>
      </c>
      <c r="BK14" s="105">
        <f>IF(AND(Projects!$G$13="Yes",Projects!$F$13="Yes",61&gt;=Projects!$C$13,61&lt;Projects!$C$13+Projects!$D$13),Projects!$B$13*(1-SUMPRODUCT((Curves!$B$2:$AO$2)*(COLUMN(Curves!$B$2:$AO$2)-COLUMN(Curves!$B$2)+1&lt;=61-Projects!$C$13+1))),0)</f>
        <v>0</v>
      </c>
      <c r="BL14" s="105">
        <f>IF(AND(Projects!$G$13="Yes",Projects!$F$13="Yes",62&gt;=Projects!$C$13,62&lt;Projects!$C$13+Projects!$D$13),Projects!$B$13*(1-SUMPRODUCT((Curves!$B$2:$AO$2)*(COLUMN(Curves!$B$2:$AO$2)-COLUMN(Curves!$B$2)+1&lt;=62-Projects!$C$13+1))),0)</f>
        <v>0</v>
      </c>
      <c r="BM14" s="105">
        <f>IF(AND(Projects!$G$13="Yes",Projects!$F$13="Yes",63&gt;=Projects!$C$13,63&lt;Projects!$C$13+Projects!$D$13),Projects!$B$13*(1-SUMPRODUCT((Curves!$B$2:$AO$2)*(COLUMN(Curves!$B$2:$AO$2)-COLUMN(Curves!$B$2)+1&lt;=63-Projects!$C$13+1))),0)</f>
        <v>0</v>
      </c>
      <c r="BN14" s="105">
        <f>IF(AND(Projects!$G$13="Yes",Projects!$F$13="Yes",64&gt;=Projects!$C$13,64&lt;Projects!$C$13+Projects!$D$13),Projects!$B$13*(1-SUMPRODUCT((Curves!$B$2:$AO$2)*(COLUMN(Curves!$B$2:$AO$2)-COLUMN(Curves!$B$2)+1&lt;=64-Projects!$C$13+1))),0)</f>
        <v>0</v>
      </c>
      <c r="BO14" s="105">
        <f>IF(AND(Projects!$G$13="Yes",Projects!$F$13="Yes",65&gt;=Projects!$C$13,65&lt;Projects!$C$13+Projects!$D$13),Projects!$B$13*(1-SUMPRODUCT((Curves!$B$2:$AO$2)*(COLUMN(Curves!$B$2:$AO$2)-COLUMN(Curves!$B$2)+1&lt;=65-Projects!$C$13+1))),0)</f>
        <v>0</v>
      </c>
      <c r="BP14" s="105">
        <f>IF(AND(Projects!$G$13="Yes",Projects!$F$13="Yes",66&gt;=Projects!$C$13,66&lt;Projects!$C$13+Projects!$D$13),Projects!$B$13*(1-SUMPRODUCT((Curves!$B$2:$AO$2)*(COLUMN(Curves!$B$2:$AO$2)-COLUMN(Curves!$B$2)+1&lt;=66-Projects!$C$13+1))),0)</f>
        <v>0</v>
      </c>
      <c r="BQ14" s="105">
        <f>IF(AND(Projects!$G$13="Yes",Projects!$F$13="Yes",67&gt;=Projects!$C$13,67&lt;Projects!$C$13+Projects!$D$13),Projects!$B$13*(1-SUMPRODUCT((Curves!$B$2:$AO$2)*(COLUMN(Curves!$B$2:$AO$2)-COLUMN(Curves!$B$2)+1&lt;=67-Projects!$C$13+1))),0)</f>
        <v>0</v>
      </c>
      <c r="BR14" s="105">
        <f>IF(AND(Projects!$G$13="Yes",Projects!$F$13="Yes",68&gt;=Projects!$C$13,68&lt;Projects!$C$13+Projects!$D$13),Projects!$B$13*(1-SUMPRODUCT((Curves!$B$2:$AO$2)*(COLUMN(Curves!$B$2:$AO$2)-COLUMN(Curves!$B$2)+1&lt;=68-Projects!$C$13+1))),0)</f>
        <v>0</v>
      </c>
      <c r="BS14" s="105">
        <f>IF(AND(Projects!$G$13="Yes",Projects!$F$13="Yes",69&gt;=Projects!$C$13,69&lt;Projects!$C$13+Projects!$D$13),Projects!$B$13*(1-SUMPRODUCT((Curves!$B$2:$AO$2)*(COLUMN(Curves!$B$2:$AO$2)-COLUMN(Curves!$B$2)+1&lt;=69-Projects!$C$13+1))),0)</f>
        <v>0</v>
      </c>
      <c r="BT14" s="105">
        <f>IF(AND(Projects!$G$13="Yes",Projects!$F$13="Yes",70&gt;=Projects!$C$13,70&lt;Projects!$C$13+Projects!$D$13),Projects!$B$13*(1-SUMPRODUCT((Curves!$B$2:$AO$2)*(COLUMN(Curves!$B$2:$AO$2)-COLUMN(Curves!$B$2)+1&lt;=70-Projects!$C$13+1))),0)</f>
        <v>0</v>
      </c>
      <c r="BU14" s="105">
        <f>IF(AND(Projects!$G$13="Yes",Projects!$F$13="Yes",71&gt;=Projects!$C$13,71&lt;Projects!$C$13+Projects!$D$13),Projects!$B$13*(1-SUMPRODUCT((Curves!$B$2:$AO$2)*(COLUMN(Curves!$B$2:$AO$2)-COLUMN(Curves!$B$2)+1&lt;=71-Projects!$C$13+1))),0)</f>
        <v>0</v>
      </c>
      <c r="BV14" s="105">
        <f>IF(AND(Projects!$G$13="Yes",Projects!$F$13="Yes",72&gt;=Projects!$C$13,72&lt;Projects!$C$13+Projects!$D$13),Projects!$B$13*(1-SUMPRODUCT((Curves!$B$2:$AO$2)*(COLUMN(Curves!$B$2:$AO$2)-COLUMN(Curves!$B$2)+1&lt;=72-Projects!$C$13+1))),0)</f>
        <v>0</v>
      </c>
      <c r="BW14" s="105">
        <f>IF(AND(Projects!$G$13="Yes",Projects!$F$13="Yes",73&gt;=Projects!$C$13,73&lt;Projects!$C$13+Projects!$D$13),Projects!$B$13*(1-SUMPRODUCT((Curves!$B$2:$AO$2)*(COLUMN(Curves!$B$2:$AO$2)-COLUMN(Curves!$B$2)+1&lt;=73-Projects!$C$13+1))),0)</f>
        <v>0</v>
      </c>
      <c r="BX14" s="105">
        <f>IF(AND(Projects!$G$13="Yes",Projects!$F$13="Yes",74&gt;=Projects!$C$13,74&lt;Projects!$C$13+Projects!$D$13),Projects!$B$13*(1-SUMPRODUCT((Curves!$B$2:$AO$2)*(COLUMN(Curves!$B$2:$AO$2)-COLUMN(Curves!$B$2)+1&lt;=74-Projects!$C$13+1))),0)</f>
        <v>0</v>
      </c>
      <c r="BY14" s="105">
        <f>IF(AND(Projects!$G$13="Yes",Projects!$F$13="Yes",75&gt;=Projects!$C$13,75&lt;Projects!$C$13+Projects!$D$13),Projects!$B$13*(1-SUMPRODUCT((Curves!$B$2:$AO$2)*(COLUMN(Curves!$B$2:$AO$2)-COLUMN(Curves!$B$2)+1&lt;=75-Projects!$C$13+1))),0)</f>
        <v>0</v>
      </c>
      <c r="BZ14" s="105">
        <f>IF(AND(Projects!$G$13="Yes",Projects!$F$13="Yes",76&gt;=Projects!$C$13,76&lt;Projects!$C$13+Projects!$D$13),Projects!$B$13*(1-SUMPRODUCT((Curves!$B$2:$AO$2)*(COLUMN(Curves!$B$2:$AO$2)-COLUMN(Curves!$B$2)+1&lt;=76-Projects!$C$13+1))),0)</f>
        <v>0</v>
      </c>
      <c r="CA14" s="105">
        <f>IF(AND(Projects!$G$13="Yes",Projects!$F$13="Yes",77&gt;=Projects!$C$13,77&lt;Projects!$C$13+Projects!$D$13),Projects!$B$13*(1-SUMPRODUCT((Curves!$B$2:$AO$2)*(COLUMN(Curves!$B$2:$AO$2)-COLUMN(Curves!$B$2)+1&lt;=77-Projects!$C$13+1))),0)</f>
        <v>0</v>
      </c>
      <c r="CB14" s="105">
        <f>IF(AND(Projects!$G$13="Yes",Projects!$F$13="Yes",78&gt;=Projects!$C$13,78&lt;Projects!$C$13+Projects!$D$13),Projects!$B$13*(1-SUMPRODUCT((Curves!$B$2:$AO$2)*(COLUMN(Curves!$B$2:$AO$2)-COLUMN(Curves!$B$2)+1&lt;=78-Projects!$C$13+1))),0)</f>
        <v>0</v>
      </c>
      <c r="CC14" s="105">
        <f>IF(AND(Projects!$G$13="Yes",Projects!$F$13="Yes",79&gt;=Projects!$C$13,79&lt;Projects!$C$13+Projects!$D$13),Projects!$B$13*(1-SUMPRODUCT((Curves!$B$2:$AO$2)*(COLUMN(Curves!$B$2:$AO$2)-COLUMN(Curves!$B$2)+1&lt;=79-Projects!$C$13+1))),0)</f>
        <v>0</v>
      </c>
      <c r="CD14" s="105">
        <f>IF(AND(Projects!$G$13="Yes",Projects!$F$13="Yes",80&gt;=Projects!$C$13,80&lt;Projects!$C$13+Projects!$D$13),Projects!$B$13*(1-SUMPRODUCT((Curves!$B$2:$AO$2)*(COLUMN(Curves!$B$2:$AO$2)-COLUMN(Curves!$B$2)+1&lt;=80-Projects!$C$13+1))),0)</f>
        <v>0</v>
      </c>
      <c r="CE14" s="105">
        <f>IF(AND(Projects!$G$13="Yes",Projects!$F$13="Yes",81&gt;=Projects!$C$13,81&lt;Projects!$C$13+Projects!$D$13),Projects!$B$13*(1-SUMPRODUCT((Curves!$B$2:$AO$2)*(COLUMN(Curves!$B$2:$AO$2)-COLUMN(Curves!$B$2)+1&lt;=81-Projects!$C$13+1))),0)</f>
        <v>0</v>
      </c>
      <c r="CF14" s="105">
        <f>IF(AND(Projects!$G$13="Yes",Projects!$F$13="Yes",82&gt;=Projects!$C$13,82&lt;Projects!$C$13+Projects!$D$13),Projects!$B$13*(1-SUMPRODUCT((Curves!$B$2:$AO$2)*(COLUMN(Curves!$B$2:$AO$2)-COLUMN(Curves!$B$2)+1&lt;=82-Projects!$C$13+1))),0)</f>
        <v>0</v>
      </c>
      <c r="CG14" s="105">
        <f>IF(AND(Projects!$G$13="Yes",Projects!$F$13="Yes",83&gt;=Projects!$C$13,83&lt;Projects!$C$13+Projects!$D$13),Projects!$B$13*(1-SUMPRODUCT((Curves!$B$2:$AO$2)*(COLUMN(Curves!$B$2:$AO$2)-COLUMN(Curves!$B$2)+1&lt;=83-Projects!$C$13+1))),0)</f>
        <v>0</v>
      </c>
      <c r="CH14" s="105">
        <f>IF(AND(Projects!$G$13="Yes",Projects!$F$13="Yes",84&gt;=Projects!$C$13,84&lt;Projects!$C$13+Projects!$D$13),Projects!$B$13*(1-SUMPRODUCT((Curves!$B$2:$AO$2)*(COLUMN(Curves!$B$2:$AO$2)-COLUMN(Curves!$B$2)+1&lt;=84-Projects!$C$13+1))),0)</f>
        <v>0</v>
      </c>
    </row>
    <row r="15" spans="1:86" ht="15" customHeight="1" x14ac:dyDescent="0.25">
      <c r="A15" s="99" t="s">
        <v>123</v>
      </c>
      <c r="C15" s="105">
        <f>IF(AND(Projects!$G$14="Yes",Projects!$F$14="Yes",1&gt;=Projects!$C$14,1&lt;Projects!$C$14+Projects!$D$14),Projects!$B$14*(1-SUMPRODUCT((Curves!$B$2:$AO$2)*(COLUMN(Curves!$B$2:$AO$2)-COLUMN(Curves!$B$2)+1&lt;=1-Projects!$C$14+1))),0)</f>
        <v>0</v>
      </c>
      <c r="D15" s="105">
        <f>IF(AND(Projects!$G$14="Yes",Projects!$F$14="Yes",2&gt;=Projects!$C$14,2&lt;Projects!$C$14+Projects!$D$14),Projects!$B$14*(1-SUMPRODUCT((Curves!$B$2:$AO$2)*(COLUMN(Curves!$B$2:$AO$2)-COLUMN(Curves!$B$2)+1&lt;=2-Projects!$C$14+1))),0)</f>
        <v>0</v>
      </c>
      <c r="E15" s="105">
        <f>IF(AND(Projects!$G$14="Yes",Projects!$F$14="Yes",3&gt;=Projects!$C$14,3&lt;Projects!$C$14+Projects!$D$14),Projects!$B$14*(1-SUMPRODUCT((Curves!$B$2:$AO$2)*(COLUMN(Curves!$B$2:$AO$2)-COLUMN(Curves!$B$2)+1&lt;=3-Projects!$C$14+1))),0)</f>
        <v>0</v>
      </c>
      <c r="F15" s="105">
        <f>IF(AND(Projects!$G$14="Yes",Projects!$F$14="Yes",4&gt;=Projects!$C$14,4&lt;Projects!$C$14+Projects!$D$14),Projects!$B$14*(1-SUMPRODUCT((Curves!$B$2:$AO$2)*(COLUMN(Curves!$B$2:$AO$2)-COLUMN(Curves!$B$2)+1&lt;=4-Projects!$C$14+1))),0)</f>
        <v>0</v>
      </c>
      <c r="G15" s="105">
        <f>IF(AND(Projects!$G$14="Yes",Projects!$F$14="Yes",5&gt;=Projects!$C$14,5&lt;Projects!$C$14+Projects!$D$14),Projects!$B$14*(1-SUMPRODUCT((Curves!$B$2:$AO$2)*(COLUMN(Curves!$B$2:$AO$2)-COLUMN(Curves!$B$2)+1&lt;=5-Projects!$C$14+1))),0)</f>
        <v>0</v>
      </c>
      <c r="H15" s="105">
        <f>IF(AND(Projects!$G$14="Yes",Projects!$F$14="Yes",6&gt;=Projects!$C$14,6&lt;Projects!$C$14+Projects!$D$14),Projects!$B$14*(1-SUMPRODUCT((Curves!$B$2:$AO$2)*(COLUMN(Curves!$B$2:$AO$2)-COLUMN(Curves!$B$2)+1&lt;=6-Projects!$C$14+1))),0)</f>
        <v>0</v>
      </c>
      <c r="I15" s="105">
        <f>IF(AND(Projects!$G$14="Yes",Projects!$F$14="Yes",7&gt;=Projects!$C$14,7&lt;Projects!$C$14+Projects!$D$14),Projects!$B$14*(1-SUMPRODUCT((Curves!$B$2:$AO$2)*(COLUMN(Curves!$B$2:$AO$2)-COLUMN(Curves!$B$2)+1&lt;=7-Projects!$C$14+1))),0)</f>
        <v>0</v>
      </c>
      <c r="J15" s="105">
        <f>IF(AND(Projects!$G$14="Yes",Projects!$F$14="Yes",8&gt;=Projects!$C$14,8&lt;Projects!$C$14+Projects!$D$14),Projects!$B$14*(1-SUMPRODUCT((Curves!$B$2:$AO$2)*(COLUMN(Curves!$B$2:$AO$2)-COLUMN(Curves!$B$2)+1&lt;=8-Projects!$C$14+1))),0)</f>
        <v>0</v>
      </c>
      <c r="K15" s="105">
        <f>IF(AND(Projects!$G$14="Yes",Projects!$F$14="Yes",9&gt;=Projects!$C$14,9&lt;Projects!$C$14+Projects!$D$14),Projects!$B$14*(1-SUMPRODUCT((Curves!$B$2:$AO$2)*(COLUMN(Curves!$B$2:$AO$2)-COLUMN(Curves!$B$2)+1&lt;=9-Projects!$C$14+1))),0)</f>
        <v>0</v>
      </c>
      <c r="L15" s="105">
        <f>IF(AND(Projects!$G$14="Yes",Projects!$F$14="Yes",10&gt;=Projects!$C$14,10&lt;Projects!$C$14+Projects!$D$14),Projects!$B$14*(1-SUMPRODUCT((Curves!$B$2:$AO$2)*(COLUMN(Curves!$B$2:$AO$2)-COLUMN(Curves!$B$2)+1&lt;=10-Projects!$C$14+1))),0)</f>
        <v>0</v>
      </c>
      <c r="M15" s="105">
        <f>IF(AND(Projects!$G$14="Yes",Projects!$F$14="Yes",11&gt;=Projects!$C$14,11&lt;Projects!$C$14+Projects!$D$14),Projects!$B$14*(1-SUMPRODUCT((Curves!$B$2:$AO$2)*(COLUMN(Curves!$B$2:$AO$2)-COLUMN(Curves!$B$2)+1&lt;=11-Projects!$C$14+1))),0)</f>
        <v>0</v>
      </c>
      <c r="N15" s="105">
        <f>IF(AND(Projects!$G$14="Yes",Projects!$F$14="Yes",12&gt;=Projects!$C$14,12&lt;Projects!$C$14+Projects!$D$14),Projects!$B$14*(1-SUMPRODUCT((Curves!$B$2:$AO$2)*(COLUMN(Curves!$B$2:$AO$2)-COLUMN(Curves!$B$2)+1&lt;=12-Projects!$C$14+1))),0)</f>
        <v>0</v>
      </c>
      <c r="O15" s="105">
        <f>IF(AND(Projects!$G$14="Yes",Projects!$F$14="Yes",13&gt;=Projects!$C$14,13&lt;Projects!$C$14+Projects!$D$14),Projects!$B$14*(1-SUMPRODUCT((Curves!$B$2:$AO$2)*(COLUMN(Curves!$B$2:$AO$2)-COLUMN(Curves!$B$2)+1&lt;=13-Projects!$C$14+1))),0)</f>
        <v>0</v>
      </c>
      <c r="P15" s="105">
        <f>IF(AND(Projects!$G$14="Yes",Projects!$F$14="Yes",14&gt;=Projects!$C$14,14&lt;Projects!$C$14+Projects!$D$14),Projects!$B$14*(1-SUMPRODUCT((Curves!$B$2:$AO$2)*(COLUMN(Curves!$B$2:$AO$2)-COLUMN(Curves!$B$2)+1&lt;=14-Projects!$C$14+1))),0)</f>
        <v>0</v>
      </c>
      <c r="Q15" s="105">
        <f>IF(AND(Projects!$G$14="Yes",Projects!$F$14="Yes",15&gt;=Projects!$C$14,15&lt;Projects!$C$14+Projects!$D$14),Projects!$B$14*(1-SUMPRODUCT((Curves!$B$2:$AO$2)*(COLUMN(Curves!$B$2:$AO$2)-COLUMN(Curves!$B$2)+1&lt;=15-Projects!$C$14+1))),0)</f>
        <v>0</v>
      </c>
      <c r="R15" s="105">
        <f>IF(AND(Projects!$G$14="Yes",Projects!$F$14="Yes",16&gt;=Projects!$C$14,16&lt;Projects!$C$14+Projects!$D$14),Projects!$B$14*(1-SUMPRODUCT((Curves!$B$2:$AO$2)*(COLUMN(Curves!$B$2:$AO$2)-COLUMN(Curves!$B$2)+1&lt;=16-Projects!$C$14+1))),0)</f>
        <v>0</v>
      </c>
      <c r="S15" s="105">
        <f>IF(AND(Projects!$G$14="Yes",Projects!$F$14="Yes",17&gt;=Projects!$C$14,17&lt;Projects!$C$14+Projects!$D$14),Projects!$B$14*(1-SUMPRODUCT((Curves!$B$2:$AO$2)*(COLUMN(Curves!$B$2:$AO$2)-COLUMN(Curves!$B$2)+1&lt;=17-Projects!$C$14+1))),0)</f>
        <v>0</v>
      </c>
      <c r="T15" s="105">
        <f>IF(AND(Projects!$G$14="Yes",Projects!$F$14="Yes",18&gt;=Projects!$C$14,18&lt;Projects!$C$14+Projects!$D$14),Projects!$B$14*(1-SUMPRODUCT((Curves!$B$2:$AO$2)*(COLUMN(Curves!$B$2:$AO$2)-COLUMN(Curves!$B$2)+1&lt;=18-Projects!$C$14+1))),0)</f>
        <v>0</v>
      </c>
      <c r="U15" s="105">
        <f>IF(AND(Projects!$G$14="Yes",Projects!$F$14="Yes",19&gt;=Projects!$C$14,19&lt;Projects!$C$14+Projects!$D$14),Projects!$B$14*(1-SUMPRODUCT((Curves!$B$2:$AO$2)*(COLUMN(Curves!$B$2:$AO$2)-COLUMN(Curves!$B$2)+1&lt;=19-Projects!$C$14+1))),0)</f>
        <v>0</v>
      </c>
      <c r="V15" s="105">
        <f>IF(AND(Projects!$G$14="Yes",Projects!$F$14="Yes",20&gt;=Projects!$C$14,20&lt;Projects!$C$14+Projects!$D$14),Projects!$B$14*(1-SUMPRODUCT((Curves!$B$2:$AO$2)*(COLUMN(Curves!$B$2:$AO$2)-COLUMN(Curves!$B$2)+1&lt;=20-Projects!$C$14+1))),0)</f>
        <v>0</v>
      </c>
      <c r="W15" s="105">
        <f>IF(AND(Projects!$G$14="Yes",Projects!$F$14="Yes",21&gt;=Projects!$C$14,21&lt;Projects!$C$14+Projects!$D$14),Projects!$B$14*(1-SUMPRODUCT((Curves!$B$2:$AO$2)*(COLUMN(Curves!$B$2:$AO$2)-COLUMN(Curves!$B$2)+1&lt;=21-Projects!$C$14+1))),0)</f>
        <v>0</v>
      </c>
      <c r="X15" s="105">
        <f>IF(AND(Projects!$G$14="Yes",Projects!$F$14="Yes",22&gt;=Projects!$C$14,22&lt;Projects!$C$14+Projects!$D$14),Projects!$B$14*(1-SUMPRODUCT((Curves!$B$2:$AO$2)*(COLUMN(Curves!$B$2:$AO$2)-COLUMN(Curves!$B$2)+1&lt;=22-Projects!$C$14+1))),0)</f>
        <v>0</v>
      </c>
      <c r="Y15" s="105">
        <f>IF(AND(Projects!$G$14="Yes",Projects!$F$14="Yes",23&gt;=Projects!$C$14,23&lt;Projects!$C$14+Projects!$D$14),Projects!$B$14*(1-SUMPRODUCT((Curves!$B$2:$AO$2)*(COLUMN(Curves!$B$2:$AO$2)-COLUMN(Curves!$B$2)+1&lt;=23-Projects!$C$14+1))),0)</f>
        <v>0</v>
      </c>
      <c r="Z15" s="105">
        <f>IF(AND(Projects!$G$14="Yes",Projects!$F$14="Yes",24&gt;=Projects!$C$14,24&lt;Projects!$C$14+Projects!$D$14),Projects!$B$14*(1-SUMPRODUCT((Curves!$B$2:$AO$2)*(COLUMN(Curves!$B$2:$AO$2)-COLUMN(Curves!$B$2)+1&lt;=24-Projects!$C$14+1))),0)</f>
        <v>0</v>
      </c>
      <c r="AA15" s="105">
        <f>IF(AND(Projects!$G$14="Yes",Projects!$F$14="Yes",25&gt;=Projects!$C$14,25&lt;Projects!$C$14+Projects!$D$14),Projects!$B$14*(1-SUMPRODUCT((Curves!$B$2:$AO$2)*(COLUMN(Curves!$B$2:$AO$2)-COLUMN(Curves!$B$2)+1&lt;=25-Projects!$C$14+1))),0)</f>
        <v>0</v>
      </c>
      <c r="AB15" s="105">
        <f>IF(AND(Projects!$G$14="Yes",Projects!$F$14="Yes",26&gt;=Projects!$C$14,26&lt;Projects!$C$14+Projects!$D$14),Projects!$B$14*(1-SUMPRODUCT((Curves!$B$2:$AO$2)*(COLUMN(Curves!$B$2:$AO$2)-COLUMN(Curves!$B$2)+1&lt;=26-Projects!$C$14+1))),0)</f>
        <v>0</v>
      </c>
      <c r="AC15" s="105">
        <f>IF(AND(Projects!$G$14="Yes",Projects!$F$14="Yes",27&gt;=Projects!$C$14,27&lt;Projects!$C$14+Projects!$D$14),Projects!$B$14*(1-SUMPRODUCT((Curves!$B$2:$AO$2)*(COLUMN(Curves!$B$2:$AO$2)-COLUMN(Curves!$B$2)+1&lt;=27-Projects!$C$14+1))),0)</f>
        <v>40688781.070167996</v>
      </c>
      <c r="AD15" s="105">
        <f>IF(AND(Projects!$G$14="Yes",Projects!$F$14="Yes",28&gt;=Projects!$C$14,28&lt;Projects!$C$14+Projects!$D$14),Projects!$B$14*(1-SUMPRODUCT((Curves!$B$2:$AO$2)*(COLUMN(Curves!$B$2:$AO$2)-COLUMN(Curves!$B$2)+1&lt;=28-Projects!$C$14+1))),0)</f>
        <v>39922975.994791999</v>
      </c>
      <c r="AE15" s="105">
        <f>IF(AND(Projects!$G$14="Yes",Projects!$F$14="Yes",29&gt;=Projects!$C$14,29&lt;Projects!$C$14+Projects!$D$14),Projects!$B$14*(1-SUMPRODUCT((Curves!$B$2:$AO$2)*(COLUMN(Curves!$B$2:$AO$2)-COLUMN(Curves!$B$2)+1&lt;=29-Projects!$C$14+1))),0)</f>
        <v>39050930.869807996</v>
      </c>
      <c r="AF15" s="105">
        <f>IF(AND(Projects!$G$14="Yes",Projects!$F$14="Yes",30&gt;=Projects!$C$14,30&lt;Projects!$C$14+Projects!$D$14),Projects!$B$14*(1-SUMPRODUCT((Curves!$B$2:$AO$2)*(COLUMN(Curves!$B$2:$AO$2)-COLUMN(Curves!$B$2)+1&lt;=30-Projects!$C$14+1))),0)</f>
        <v>38067807.203272</v>
      </c>
      <c r="AG15" s="105">
        <f>IF(AND(Projects!$G$14="Yes",Projects!$F$14="Yes",31&gt;=Projects!$C$14,31&lt;Projects!$C$14+Projects!$D$14),Projects!$B$14*(1-SUMPRODUCT((Curves!$B$2:$AO$2)*(COLUMN(Curves!$B$2:$AO$2)-COLUMN(Curves!$B$2)+1&lt;=31-Projects!$C$14+1))),0)</f>
        <v>36970462.043151997</v>
      </c>
      <c r="AH15" s="105">
        <f>IF(AND(Projects!$G$14="Yes",Projects!$F$14="Yes",32&gt;=Projects!$C$14,32&lt;Projects!$C$14+Projects!$D$14),Projects!$B$14*(1-SUMPRODUCT((Curves!$B$2:$AO$2)*(COLUMN(Curves!$B$2:$AO$2)-COLUMN(Curves!$B$2)+1&lt;=32-Projects!$C$14+1))),0)</f>
        <v>35757820.169015996</v>
      </c>
      <c r="AI15" s="105">
        <f>IF(AND(Projects!$G$14="Yes",Projects!$F$14="Yes",33&gt;=Projects!$C$14,33&lt;Projects!$C$14+Projects!$D$14),Projects!$B$14*(1-SUMPRODUCT((Curves!$B$2:$AO$2)*(COLUMN(Curves!$B$2:$AO$2)-COLUMN(Curves!$B$2)+1&lt;=33-Projects!$C$14+1))),0)</f>
        <v>34431080.865192004</v>
      </c>
      <c r="AJ15" s="105">
        <f>IF(AND(Projects!$G$14="Yes",Projects!$F$14="Yes",34&gt;=Projects!$C$14,34&lt;Projects!$C$14+Projects!$D$14),Projects!$B$14*(1-SUMPRODUCT((Curves!$B$2:$AO$2)*(COLUMN(Curves!$B$2:$AO$2)-COLUMN(Curves!$B$2)+1&lt;=34-Projects!$C$14+1))),0)</f>
        <v>32993924.693928</v>
      </c>
      <c r="AK15" s="105">
        <f>IF(AND(Projects!$G$14="Yes",Projects!$F$14="Yes",35&gt;=Projects!$C$14,35&lt;Projects!$C$14+Projects!$D$14),Projects!$B$14*(1-SUMPRODUCT((Curves!$B$2:$AO$2)*(COLUMN(Curves!$B$2:$AO$2)-COLUMN(Curves!$B$2)+1&lt;=35-Projects!$C$14+1))),0)</f>
        <v>31452678.91392</v>
      </c>
      <c r="AL15" s="105">
        <f>IF(AND(Projects!$G$14="Yes",Projects!$F$14="Yes",36&gt;=Projects!$C$14,36&lt;Projects!$C$14+Projects!$D$14),Projects!$B$14*(1-SUMPRODUCT((Curves!$B$2:$AO$2)*(COLUMN(Curves!$B$2:$AO$2)-COLUMN(Curves!$B$2)+1&lt;=36-Projects!$C$14+1))),0)</f>
        <v>29816193.416415997</v>
      </c>
      <c r="AM15" s="105">
        <f>IF(AND(Projects!$G$14="Yes",Projects!$F$14="Yes",37&gt;=Projects!$C$14,37&lt;Projects!$C$14+Projects!$D$14),Projects!$B$14*(1-SUMPRODUCT((Curves!$B$2:$AO$2)*(COLUMN(Curves!$B$2:$AO$2)-COLUMN(Curves!$B$2)+1&lt;=37-Projects!$C$14+1))),0)</f>
        <v>28095882.079848003</v>
      </c>
      <c r="AN15" s="105">
        <f>IF(AND(Projects!$G$14="Yes",Projects!$F$14="Yes",38&gt;=Projects!$C$14,38&lt;Projects!$C$14+Projects!$D$14),Projects!$B$14*(1-SUMPRODUCT((Curves!$B$2:$AO$2)*(COLUMN(Curves!$B$2:$AO$2)-COLUMN(Curves!$B$2)+1&lt;=38-Projects!$C$14+1))),0)</f>
        <v>26305433.287408002</v>
      </c>
      <c r="AO15" s="105">
        <f>IF(AND(Projects!$G$14="Yes",Projects!$F$14="Yes",39&gt;=Projects!$C$14,39&lt;Projects!$C$14+Projects!$D$14),Projects!$B$14*(1-SUMPRODUCT((Curves!$B$2:$AO$2)*(COLUMN(Curves!$B$2:$AO$2)-COLUMN(Curves!$B$2)+1&lt;=39-Projects!$C$14+1))),0)</f>
        <v>24460479.089992002</v>
      </c>
      <c r="AP15" s="105">
        <f>IF(AND(Projects!$G$14="Yes",Projects!$F$14="Yes",40&gt;=Projects!$C$14,40&lt;Projects!$C$14+Projects!$D$14),Projects!$B$14*(1-SUMPRODUCT((Curves!$B$2:$AO$2)*(COLUMN(Curves!$B$2:$AO$2)-COLUMN(Curves!$B$2)+1&lt;=40-Projects!$C$14+1))),0)</f>
        <v>22578305.723776001</v>
      </c>
      <c r="AQ15" s="105">
        <f>IF(AND(Projects!$G$14="Yes",Projects!$F$14="Yes",41&gt;=Projects!$C$14,41&lt;Projects!$C$14+Projects!$D$14),Projects!$B$14*(1-SUMPRODUCT((Curves!$B$2:$AO$2)*(COLUMN(Curves!$B$2:$AO$2)-COLUMN(Curves!$B$2)+1&lt;=41-Projects!$C$14+1))),0)</f>
        <v>20677233.290736001</v>
      </c>
      <c r="AR15" s="105">
        <f>IF(AND(Projects!$G$14="Yes",Projects!$F$14="Yes",42&gt;=Projects!$C$14,42&lt;Projects!$C$14+Projects!$D$14),Projects!$B$14*(1-SUMPRODUCT((Curves!$B$2:$AO$2)*(COLUMN(Curves!$B$2:$AO$2)-COLUMN(Curves!$B$2)+1&lt;=42-Projects!$C$14+1))),0)</f>
        <v>18776160.857696004</v>
      </c>
      <c r="AS15" s="105">
        <f>IF(AND(Projects!$G$14="Yes",Projects!$F$14="Yes",43&gt;=Projects!$C$14,43&lt;Projects!$C$14+Projects!$D$14),Projects!$B$14*(1-SUMPRODUCT((Curves!$B$2:$AO$2)*(COLUMN(Curves!$B$2:$AO$2)-COLUMN(Curves!$B$2)+1&lt;=43-Projects!$C$14+1))),0)</f>
        <v>16893987.491480004</v>
      </c>
      <c r="AT15" s="105">
        <f>IF(AND(Projects!$G$14="Yes",Projects!$F$14="Yes",44&gt;=Projects!$C$14,44&lt;Projects!$C$14+Projects!$D$14),Projects!$B$14*(1-SUMPRODUCT((Curves!$B$2:$AO$2)*(COLUMN(Curves!$B$2:$AO$2)-COLUMN(Curves!$B$2)+1&lt;=44-Projects!$C$14+1))),0)</f>
        <v>15049033.294064002</v>
      </c>
      <c r="AU15" s="105">
        <f>IF(AND(Projects!$G$14="Yes",Projects!$F$14="Yes",45&gt;=Projects!$C$14,45&lt;Projects!$C$14+Projects!$D$14),Projects!$B$14*(1-SUMPRODUCT((Curves!$B$2:$AO$2)*(COLUMN(Curves!$B$2:$AO$2)-COLUMN(Curves!$B$2)+1&lt;=45-Projects!$C$14+1))),0)</f>
        <v>13258584.501624003</v>
      </c>
      <c r="AV15" s="105">
        <f>IF(AND(Projects!$G$14="Yes",Projects!$F$14="Yes",46&gt;=Projects!$C$14,46&lt;Projects!$C$14+Projects!$D$14),Projects!$B$14*(1-SUMPRODUCT((Curves!$B$2:$AO$2)*(COLUMN(Curves!$B$2:$AO$2)-COLUMN(Curves!$B$2)+1&lt;=46-Projects!$C$14+1))),0)</f>
        <v>11538273.165056005</v>
      </c>
      <c r="AW15" s="105">
        <f>IF(AND(Projects!$G$14="Yes",Projects!$F$14="Yes",47&gt;=Projects!$C$14,47&lt;Projects!$C$14+Projects!$D$14),Projects!$B$14*(1-SUMPRODUCT((Curves!$B$2:$AO$2)*(COLUMN(Curves!$B$2:$AO$2)-COLUMN(Curves!$B$2)+1&lt;=47-Projects!$C$14+1))),0)</f>
        <v>9901787.6675520036</v>
      </c>
      <c r="AX15" s="105">
        <f>IF(AND(Projects!$G$14="Yes",Projects!$F$14="Yes",48&gt;=Projects!$C$14,48&lt;Projects!$C$14+Projects!$D$14),Projects!$B$14*(1-SUMPRODUCT((Curves!$B$2:$AO$2)*(COLUMN(Curves!$B$2:$AO$2)-COLUMN(Curves!$B$2)+1&lt;=48-Projects!$C$14+1))),0)</f>
        <v>8360541.8875440042</v>
      </c>
      <c r="AY15" s="105">
        <f>IF(AND(Projects!$G$14="Yes",Projects!$F$14="Yes",49&gt;=Projects!$C$14,49&lt;Projects!$C$14+Projects!$D$14),Projects!$B$14*(1-SUMPRODUCT((Curves!$B$2:$AO$2)*(COLUMN(Curves!$B$2:$AO$2)-COLUMN(Curves!$B$2)+1&lt;=49-Projects!$C$14+1))),0)</f>
        <v>6923385.716280004</v>
      </c>
      <c r="AZ15" s="105">
        <f>IF(AND(Projects!$G$14="Yes",Projects!$F$14="Yes",50&gt;=Projects!$C$14,50&lt;Projects!$C$14+Projects!$D$14),Projects!$B$14*(1-SUMPRODUCT((Curves!$B$2:$AO$2)*(COLUMN(Curves!$B$2:$AO$2)-COLUMN(Curves!$B$2)+1&lt;=50-Projects!$C$14+1))),0)</f>
        <v>5596646.4124560058</v>
      </c>
      <c r="BA15" s="105">
        <f>IF(AND(Projects!$G$14="Yes",Projects!$F$14="Yes",51&gt;=Projects!$C$14,51&lt;Projects!$C$14+Projects!$D$14),Projects!$B$14*(1-SUMPRODUCT((Curves!$B$2:$AO$2)*(COLUMN(Curves!$B$2:$AO$2)-COLUMN(Curves!$B$2)+1&lt;=51-Projects!$C$14+1))),0)</f>
        <v>4384004.5383200068</v>
      </c>
      <c r="BB15" s="105">
        <f>IF(AND(Projects!$G$14="Yes",Projects!$F$14="Yes",52&gt;=Projects!$C$14,52&lt;Projects!$C$14+Projects!$D$14),Projects!$B$14*(1-SUMPRODUCT((Curves!$B$2:$AO$2)*(COLUMN(Curves!$B$2:$AO$2)-COLUMN(Curves!$B$2)+1&lt;=52-Projects!$C$14+1))),0)</f>
        <v>3286659.3782000076</v>
      </c>
      <c r="BC15" s="105">
        <f>IF(AND(Projects!$G$14="Yes",Projects!$F$14="Yes",53&gt;=Projects!$C$14,53&lt;Projects!$C$14+Projects!$D$14),Projects!$B$14*(1-SUMPRODUCT((Curves!$B$2:$AO$2)*(COLUMN(Curves!$B$2:$AO$2)-COLUMN(Curves!$B$2)+1&lt;=53-Projects!$C$14+1))),0)</f>
        <v>2303535.7116640056</v>
      </c>
      <c r="BD15" s="105">
        <f>IF(AND(Projects!$G$14="Yes",Projects!$F$14="Yes",54&gt;=Projects!$C$14,54&lt;Projects!$C$14+Projects!$D$14),Projects!$B$14*(1-SUMPRODUCT((Curves!$B$2:$AO$2)*(COLUMN(Curves!$B$2:$AO$2)-COLUMN(Curves!$B$2)+1&lt;=54-Projects!$C$14+1))),0)</f>
        <v>1431490.5866800072</v>
      </c>
      <c r="BE15" s="105">
        <f>IF(AND(Projects!$G$14="Yes",Projects!$F$14="Yes",55&gt;=Projects!$C$14,55&lt;Projects!$C$14+Projects!$D$14),Projects!$B$14*(1-SUMPRODUCT((Curves!$B$2:$AO$2)*(COLUMN(Curves!$B$2:$AO$2)-COLUMN(Curves!$B$2)+1&lt;=55-Projects!$C$14+1))),0)</f>
        <v>665685.51130400575</v>
      </c>
      <c r="BF15" s="105">
        <f>IF(AND(Projects!$G$14="Yes",Projects!$F$14="Yes",56&gt;=Projects!$C$14,56&lt;Projects!$C$14+Projects!$D$14),Projects!$B$14*(1-SUMPRODUCT((Curves!$B$2:$AO$2)*(COLUMN(Curves!$B$2:$AO$2)-COLUMN(Curves!$B$2)+1&lt;=56-Projects!$C$14+1))),0)</f>
        <v>-165.41852799557415</v>
      </c>
      <c r="BG15" s="105">
        <f>IF(AND(Projects!$G$14="Yes",Projects!$F$14="Yes",57&gt;=Projects!$C$14,57&lt;Projects!$C$14+Projects!$D$14),Projects!$B$14*(1-SUMPRODUCT((Curves!$B$2:$AO$2)*(COLUMN(Curves!$B$2:$AO$2)-COLUMN(Curves!$B$2)+1&lt;=57-Projects!$C$14+1))),0)</f>
        <v>0</v>
      </c>
      <c r="BH15" s="105">
        <f>IF(AND(Projects!$G$14="Yes",Projects!$F$14="Yes",58&gt;=Projects!$C$14,58&lt;Projects!$C$14+Projects!$D$14),Projects!$B$14*(1-SUMPRODUCT((Curves!$B$2:$AO$2)*(COLUMN(Curves!$B$2:$AO$2)-COLUMN(Curves!$B$2)+1&lt;=58-Projects!$C$14+1))),0)</f>
        <v>0</v>
      </c>
      <c r="BI15" s="105">
        <f>IF(AND(Projects!$G$14="Yes",Projects!$F$14="Yes",59&gt;=Projects!$C$14,59&lt;Projects!$C$14+Projects!$D$14),Projects!$B$14*(1-SUMPRODUCT((Curves!$B$2:$AO$2)*(COLUMN(Curves!$B$2:$AO$2)-COLUMN(Curves!$B$2)+1&lt;=59-Projects!$C$14+1))),0)</f>
        <v>0</v>
      </c>
      <c r="BJ15" s="105">
        <f>IF(AND(Projects!$G$14="Yes",Projects!$F$14="Yes",60&gt;=Projects!$C$14,60&lt;Projects!$C$14+Projects!$D$14),Projects!$B$14*(1-SUMPRODUCT((Curves!$B$2:$AO$2)*(COLUMN(Curves!$B$2:$AO$2)-COLUMN(Curves!$B$2)+1&lt;=60-Projects!$C$14+1))),0)</f>
        <v>0</v>
      </c>
      <c r="BK15" s="105">
        <f>IF(AND(Projects!$G$14="Yes",Projects!$F$14="Yes",61&gt;=Projects!$C$14,61&lt;Projects!$C$14+Projects!$D$14),Projects!$B$14*(1-SUMPRODUCT((Curves!$B$2:$AO$2)*(COLUMN(Curves!$B$2:$AO$2)-COLUMN(Curves!$B$2)+1&lt;=61-Projects!$C$14+1))),0)</f>
        <v>0</v>
      </c>
      <c r="BL15" s="105">
        <f>IF(AND(Projects!$G$14="Yes",Projects!$F$14="Yes",62&gt;=Projects!$C$14,62&lt;Projects!$C$14+Projects!$D$14),Projects!$B$14*(1-SUMPRODUCT((Curves!$B$2:$AO$2)*(COLUMN(Curves!$B$2:$AO$2)-COLUMN(Curves!$B$2)+1&lt;=62-Projects!$C$14+1))),0)</f>
        <v>0</v>
      </c>
      <c r="BM15" s="105">
        <f>IF(AND(Projects!$G$14="Yes",Projects!$F$14="Yes",63&gt;=Projects!$C$14,63&lt;Projects!$C$14+Projects!$D$14),Projects!$B$14*(1-SUMPRODUCT((Curves!$B$2:$AO$2)*(COLUMN(Curves!$B$2:$AO$2)-COLUMN(Curves!$B$2)+1&lt;=63-Projects!$C$14+1))),0)</f>
        <v>0</v>
      </c>
      <c r="BN15" s="105">
        <f>IF(AND(Projects!$G$14="Yes",Projects!$F$14="Yes",64&gt;=Projects!$C$14,64&lt;Projects!$C$14+Projects!$D$14),Projects!$B$14*(1-SUMPRODUCT((Curves!$B$2:$AO$2)*(COLUMN(Curves!$B$2:$AO$2)-COLUMN(Curves!$B$2)+1&lt;=64-Projects!$C$14+1))),0)</f>
        <v>0</v>
      </c>
      <c r="BO15" s="105">
        <f>IF(AND(Projects!$G$14="Yes",Projects!$F$14="Yes",65&gt;=Projects!$C$14,65&lt;Projects!$C$14+Projects!$D$14),Projects!$B$14*(1-SUMPRODUCT((Curves!$B$2:$AO$2)*(COLUMN(Curves!$B$2:$AO$2)-COLUMN(Curves!$B$2)+1&lt;=65-Projects!$C$14+1))),0)</f>
        <v>0</v>
      </c>
      <c r="BP15" s="105">
        <f>IF(AND(Projects!$G$14="Yes",Projects!$F$14="Yes",66&gt;=Projects!$C$14,66&lt;Projects!$C$14+Projects!$D$14),Projects!$B$14*(1-SUMPRODUCT((Curves!$B$2:$AO$2)*(COLUMN(Curves!$B$2:$AO$2)-COLUMN(Curves!$B$2)+1&lt;=66-Projects!$C$14+1))),0)</f>
        <v>0</v>
      </c>
      <c r="BQ15" s="105">
        <f>IF(AND(Projects!$G$14="Yes",Projects!$F$14="Yes",67&gt;=Projects!$C$14,67&lt;Projects!$C$14+Projects!$D$14),Projects!$B$14*(1-SUMPRODUCT((Curves!$B$2:$AO$2)*(COLUMN(Curves!$B$2:$AO$2)-COLUMN(Curves!$B$2)+1&lt;=67-Projects!$C$14+1))),0)</f>
        <v>0</v>
      </c>
      <c r="BR15" s="105">
        <f>IF(AND(Projects!$G$14="Yes",Projects!$F$14="Yes",68&gt;=Projects!$C$14,68&lt;Projects!$C$14+Projects!$D$14),Projects!$B$14*(1-SUMPRODUCT((Curves!$B$2:$AO$2)*(COLUMN(Curves!$B$2:$AO$2)-COLUMN(Curves!$B$2)+1&lt;=68-Projects!$C$14+1))),0)</f>
        <v>0</v>
      </c>
      <c r="BS15" s="105">
        <f>IF(AND(Projects!$G$14="Yes",Projects!$F$14="Yes",69&gt;=Projects!$C$14,69&lt;Projects!$C$14+Projects!$D$14),Projects!$B$14*(1-SUMPRODUCT((Curves!$B$2:$AO$2)*(COLUMN(Curves!$B$2:$AO$2)-COLUMN(Curves!$B$2)+1&lt;=69-Projects!$C$14+1))),0)</f>
        <v>0</v>
      </c>
      <c r="BT15" s="105">
        <f>IF(AND(Projects!$G$14="Yes",Projects!$F$14="Yes",70&gt;=Projects!$C$14,70&lt;Projects!$C$14+Projects!$D$14),Projects!$B$14*(1-SUMPRODUCT((Curves!$B$2:$AO$2)*(COLUMN(Curves!$B$2:$AO$2)-COLUMN(Curves!$B$2)+1&lt;=70-Projects!$C$14+1))),0)</f>
        <v>0</v>
      </c>
      <c r="BU15" s="105">
        <f>IF(AND(Projects!$G$14="Yes",Projects!$F$14="Yes",71&gt;=Projects!$C$14,71&lt;Projects!$C$14+Projects!$D$14),Projects!$B$14*(1-SUMPRODUCT((Curves!$B$2:$AO$2)*(COLUMN(Curves!$B$2:$AO$2)-COLUMN(Curves!$B$2)+1&lt;=71-Projects!$C$14+1))),0)</f>
        <v>0</v>
      </c>
      <c r="BV15" s="105">
        <f>IF(AND(Projects!$G$14="Yes",Projects!$F$14="Yes",72&gt;=Projects!$C$14,72&lt;Projects!$C$14+Projects!$D$14),Projects!$B$14*(1-SUMPRODUCT((Curves!$B$2:$AO$2)*(COLUMN(Curves!$B$2:$AO$2)-COLUMN(Curves!$B$2)+1&lt;=72-Projects!$C$14+1))),0)</f>
        <v>0</v>
      </c>
      <c r="BW15" s="105">
        <f>IF(AND(Projects!$G$14="Yes",Projects!$F$14="Yes",73&gt;=Projects!$C$14,73&lt;Projects!$C$14+Projects!$D$14),Projects!$B$14*(1-SUMPRODUCT((Curves!$B$2:$AO$2)*(COLUMN(Curves!$B$2:$AO$2)-COLUMN(Curves!$B$2)+1&lt;=73-Projects!$C$14+1))),0)</f>
        <v>0</v>
      </c>
      <c r="BX15" s="105">
        <f>IF(AND(Projects!$G$14="Yes",Projects!$F$14="Yes",74&gt;=Projects!$C$14,74&lt;Projects!$C$14+Projects!$D$14),Projects!$B$14*(1-SUMPRODUCT((Curves!$B$2:$AO$2)*(COLUMN(Curves!$B$2:$AO$2)-COLUMN(Curves!$B$2)+1&lt;=74-Projects!$C$14+1))),0)</f>
        <v>0</v>
      </c>
      <c r="BY15" s="105">
        <f>IF(AND(Projects!$G$14="Yes",Projects!$F$14="Yes",75&gt;=Projects!$C$14,75&lt;Projects!$C$14+Projects!$D$14),Projects!$B$14*(1-SUMPRODUCT((Curves!$B$2:$AO$2)*(COLUMN(Curves!$B$2:$AO$2)-COLUMN(Curves!$B$2)+1&lt;=75-Projects!$C$14+1))),0)</f>
        <v>0</v>
      </c>
      <c r="BZ15" s="105">
        <f>IF(AND(Projects!$G$14="Yes",Projects!$F$14="Yes",76&gt;=Projects!$C$14,76&lt;Projects!$C$14+Projects!$D$14),Projects!$B$14*(1-SUMPRODUCT((Curves!$B$2:$AO$2)*(COLUMN(Curves!$B$2:$AO$2)-COLUMN(Curves!$B$2)+1&lt;=76-Projects!$C$14+1))),0)</f>
        <v>0</v>
      </c>
      <c r="CA15" s="105">
        <f>IF(AND(Projects!$G$14="Yes",Projects!$F$14="Yes",77&gt;=Projects!$C$14,77&lt;Projects!$C$14+Projects!$D$14),Projects!$B$14*(1-SUMPRODUCT((Curves!$B$2:$AO$2)*(COLUMN(Curves!$B$2:$AO$2)-COLUMN(Curves!$B$2)+1&lt;=77-Projects!$C$14+1))),0)</f>
        <v>0</v>
      </c>
      <c r="CB15" s="105">
        <f>IF(AND(Projects!$G$14="Yes",Projects!$F$14="Yes",78&gt;=Projects!$C$14,78&lt;Projects!$C$14+Projects!$D$14),Projects!$B$14*(1-SUMPRODUCT((Curves!$B$2:$AO$2)*(COLUMN(Curves!$B$2:$AO$2)-COLUMN(Curves!$B$2)+1&lt;=78-Projects!$C$14+1))),0)</f>
        <v>0</v>
      </c>
      <c r="CC15" s="105">
        <f>IF(AND(Projects!$G$14="Yes",Projects!$F$14="Yes",79&gt;=Projects!$C$14,79&lt;Projects!$C$14+Projects!$D$14),Projects!$B$14*(1-SUMPRODUCT((Curves!$B$2:$AO$2)*(COLUMN(Curves!$B$2:$AO$2)-COLUMN(Curves!$B$2)+1&lt;=79-Projects!$C$14+1))),0)</f>
        <v>0</v>
      </c>
      <c r="CD15" s="105">
        <f>IF(AND(Projects!$G$14="Yes",Projects!$F$14="Yes",80&gt;=Projects!$C$14,80&lt;Projects!$C$14+Projects!$D$14),Projects!$B$14*(1-SUMPRODUCT((Curves!$B$2:$AO$2)*(COLUMN(Curves!$B$2:$AO$2)-COLUMN(Curves!$B$2)+1&lt;=80-Projects!$C$14+1))),0)</f>
        <v>0</v>
      </c>
      <c r="CE15" s="105">
        <f>IF(AND(Projects!$G$14="Yes",Projects!$F$14="Yes",81&gt;=Projects!$C$14,81&lt;Projects!$C$14+Projects!$D$14),Projects!$B$14*(1-SUMPRODUCT((Curves!$B$2:$AO$2)*(COLUMN(Curves!$B$2:$AO$2)-COLUMN(Curves!$B$2)+1&lt;=81-Projects!$C$14+1))),0)</f>
        <v>0</v>
      </c>
      <c r="CF15" s="105">
        <f>IF(AND(Projects!$G$14="Yes",Projects!$F$14="Yes",82&gt;=Projects!$C$14,82&lt;Projects!$C$14+Projects!$D$14),Projects!$B$14*(1-SUMPRODUCT((Curves!$B$2:$AO$2)*(COLUMN(Curves!$B$2:$AO$2)-COLUMN(Curves!$B$2)+1&lt;=82-Projects!$C$14+1))),0)</f>
        <v>0</v>
      </c>
      <c r="CG15" s="105">
        <f>IF(AND(Projects!$G$14="Yes",Projects!$F$14="Yes",83&gt;=Projects!$C$14,83&lt;Projects!$C$14+Projects!$D$14),Projects!$B$14*(1-SUMPRODUCT((Curves!$B$2:$AO$2)*(COLUMN(Curves!$B$2:$AO$2)-COLUMN(Curves!$B$2)+1&lt;=83-Projects!$C$14+1))),0)</f>
        <v>0</v>
      </c>
      <c r="CH15" s="105">
        <f>IF(AND(Projects!$G$14="Yes",Projects!$F$14="Yes",84&gt;=Projects!$C$14,84&lt;Projects!$C$14+Projects!$D$14),Projects!$B$14*(1-SUMPRODUCT((Curves!$B$2:$AO$2)*(COLUMN(Curves!$B$2:$AO$2)-COLUMN(Curves!$B$2)+1&lt;=84-Projects!$C$14+1))),0)</f>
        <v>0</v>
      </c>
    </row>
    <row r="16" spans="1:86" ht="15" customHeight="1" x14ac:dyDescent="0.25">
      <c r="A16" s="120" t="s">
        <v>227</v>
      </c>
      <c r="C16" s="121">
        <f t="shared" ref="C16:AH16" si="0">SUM(C8:C15)</f>
        <v>24716840.3468768</v>
      </c>
      <c r="D16" s="121">
        <f t="shared" si="0"/>
        <v>22881539.176573537</v>
      </c>
      <c r="E16" s="121">
        <f t="shared" si="0"/>
        <v>20879271.912436187</v>
      </c>
      <c r="F16" s="121">
        <f t="shared" si="0"/>
        <v>60836243.104082987</v>
      </c>
      <c r="G16" s="121">
        <f t="shared" si="0"/>
        <v>57578778.6797034</v>
      </c>
      <c r="H16" s="121">
        <f t="shared" si="0"/>
        <v>54117067.973172709</v>
      </c>
      <c r="I16" s="121">
        <f t="shared" si="0"/>
        <v>79352933.496734113</v>
      </c>
      <c r="J16" s="121">
        <f t="shared" si="0"/>
        <v>95588363.965789929</v>
      </c>
      <c r="K16" s="121">
        <f t="shared" si="0"/>
        <v>90239873.755658567</v>
      </c>
      <c r="L16" s="121">
        <f t="shared" si="0"/>
        <v>84604000.439778298</v>
      </c>
      <c r="M16" s="121">
        <f t="shared" si="0"/>
        <v>78720266.974022105</v>
      </c>
      <c r="N16" s="121">
        <f t="shared" si="0"/>
        <v>72635646.38755329</v>
      </c>
      <c r="O16" s="121">
        <f t="shared" si="0"/>
        <v>110943455.0816887</v>
      </c>
      <c r="P16" s="121">
        <f t="shared" si="0"/>
        <v>103793457.32488425</v>
      </c>
      <c r="Q16" s="121">
        <f t="shared" si="0"/>
        <v>96517203.05507499</v>
      </c>
      <c r="R16" s="121">
        <f t="shared" si="0"/>
        <v>89832380.402736992</v>
      </c>
      <c r="S16" s="121">
        <f t="shared" si="0"/>
        <v>83021753.709655985</v>
      </c>
      <c r="T16" s="121">
        <f t="shared" si="0"/>
        <v>76187589.600928992</v>
      </c>
      <c r="U16" s="121">
        <f t="shared" si="0"/>
        <v>69427945.700481981</v>
      </c>
      <c r="V16" s="121">
        <f t="shared" si="0"/>
        <v>62831519.462921992</v>
      </c>
      <c r="W16" s="121">
        <f t="shared" si="0"/>
        <v>56473335.557831988</v>
      </c>
      <c r="X16" s="121">
        <f t="shared" si="0"/>
        <v>50412135.689663991</v>
      </c>
      <c r="Y16" s="121">
        <f t="shared" si="0"/>
        <v>44689514.450514987</v>
      </c>
      <c r="Z16" s="121">
        <f t="shared" si="0"/>
        <v>39330314.060103998</v>
      </c>
      <c r="AA16" s="121">
        <f t="shared" si="0"/>
        <v>34344660.929919995</v>
      </c>
      <c r="AB16" s="121">
        <f t="shared" si="0"/>
        <v>30015781.278079994</v>
      </c>
      <c r="AC16" s="121">
        <f t="shared" si="0"/>
        <v>67115910.942615986</v>
      </c>
      <c r="AD16" s="121">
        <f t="shared" si="0"/>
        <v>63678669.505812995</v>
      </c>
      <c r="AE16" s="121">
        <f t="shared" si="0"/>
        <v>60195756.503802985</v>
      </c>
      <c r="AF16" s="121">
        <f t="shared" si="0"/>
        <v>56684810.890850991</v>
      </c>
      <c r="AG16" s="121">
        <f t="shared" si="0"/>
        <v>53163021.419371992</v>
      </c>
      <c r="AH16" s="121">
        <f t="shared" si="0"/>
        <v>49646883.209601</v>
      </c>
      <c r="AI16" s="121">
        <f t="shared" ref="AI16:BN16" si="1">SUM(AI8:AI15)</f>
        <v>46152166.879777998</v>
      </c>
      <c r="AJ16" s="121">
        <f t="shared" si="1"/>
        <v>42693842.409563005</v>
      </c>
      <c r="AK16" s="121">
        <f t="shared" si="1"/>
        <v>39286070.295121007</v>
      </c>
      <c r="AL16" s="121">
        <f t="shared" si="1"/>
        <v>35942217.821294002</v>
      </c>
      <c r="AM16" s="121">
        <f t="shared" si="1"/>
        <v>32894612.367548011</v>
      </c>
      <c r="AN16" s="121">
        <f t="shared" si="1"/>
        <v>29903009.833158009</v>
      </c>
      <c r="AO16" s="121">
        <f t="shared" si="1"/>
        <v>26981928.712532006</v>
      </c>
      <c r="AP16" s="121">
        <f t="shared" si="1"/>
        <v>24145214.967326008</v>
      </c>
      <c r="AQ16" s="121">
        <f t="shared" si="1"/>
        <v>21405892.487426009</v>
      </c>
      <c r="AR16" s="121">
        <f t="shared" si="1"/>
        <v>18775979.790616009</v>
      </c>
      <c r="AS16" s="121">
        <f t="shared" si="1"/>
        <v>16893987.491480004</v>
      </c>
      <c r="AT16" s="121">
        <f t="shared" si="1"/>
        <v>15049033.294064002</v>
      </c>
      <c r="AU16" s="121">
        <f t="shared" si="1"/>
        <v>13258584.501624003</v>
      </c>
      <c r="AV16" s="121">
        <f t="shared" si="1"/>
        <v>11538273.165056005</v>
      </c>
      <c r="AW16" s="121">
        <f t="shared" si="1"/>
        <v>9901787.6675520036</v>
      </c>
      <c r="AX16" s="121">
        <f t="shared" si="1"/>
        <v>8360541.8875440042</v>
      </c>
      <c r="AY16" s="121">
        <f t="shared" si="1"/>
        <v>6923385.716280004</v>
      </c>
      <c r="AZ16" s="121">
        <f t="shared" si="1"/>
        <v>5596646.4124560058</v>
      </c>
      <c r="BA16" s="121">
        <f t="shared" si="1"/>
        <v>4384004.5383200068</v>
      </c>
      <c r="BB16" s="121">
        <f t="shared" si="1"/>
        <v>3286659.3782000076</v>
      </c>
      <c r="BC16" s="121">
        <f t="shared" si="1"/>
        <v>2303535.7116640056</v>
      </c>
      <c r="BD16" s="121">
        <f t="shared" si="1"/>
        <v>1431490.5866800072</v>
      </c>
      <c r="BE16" s="121">
        <f t="shared" si="1"/>
        <v>665685.51130400575</v>
      </c>
      <c r="BF16" s="121">
        <f t="shared" si="1"/>
        <v>-165.41852799557415</v>
      </c>
      <c r="BG16" s="121">
        <f t="shared" si="1"/>
        <v>0</v>
      </c>
      <c r="BH16" s="121">
        <f t="shared" si="1"/>
        <v>0</v>
      </c>
      <c r="BI16" s="121">
        <f t="shared" si="1"/>
        <v>0</v>
      </c>
      <c r="BJ16" s="121">
        <f t="shared" si="1"/>
        <v>0</v>
      </c>
      <c r="BK16" s="121">
        <f t="shared" si="1"/>
        <v>0</v>
      </c>
      <c r="BL16" s="121">
        <f t="shared" si="1"/>
        <v>0</v>
      </c>
      <c r="BM16" s="121">
        <f t="shared" si="1"/>
        <v>0</v>
      </c>
      <c r="BN16" s="121">
        <f t="shared" si="1"/>
        <v>0</v>
      </c>
      <c r="BO16" s="121">
        <f t="shared" ref="BO16:CT16" si="2">SUM(BO8:BO15)</f>
        <v>0</v>
      </c>
      <c r="BP16" s="121">
        <f t="shared" si="2"/>
        <v>0</v>
      </c>
      <c r="BQ16" s="121">
        <f t="shared" si="2"/>
        <v>0</v>
      </c>
      <c r="BR16" s="121">
        <f t="shared" si="2"/>
        <v>0</v>
      </c>
      <c r="BS16" s="121">
        <f t="shared" si="2"/>
        <v>0</v>
      </c>
      <c r="BT16" s="121">
        <f t="shared" si="2"/>
        <v>0</v>
      </c>
      <c r="BU16" s="121">
        <f t="shared" si="2"/>
        <v>0</v>
      </c>
      <c r="BV16" s="121">
        <f t="shared" si="2"/>
        <v>0</v>
      </c>
      <c r="BW16" s="121">
        <f t="shared" si="2"/>
        <v>0</v>
      </c>
      <c r="BX16" s="121">
        <f t="shared" si="2"/>
        <v>0</v>
      </c>
      <c r="BY16" s="121">
        <f t="shared" si="2"/>
        <v>0</v>
      </c>
      <c r="BZ16" s="121">
        <f t="shared" si="2"/>
        <v>0</v>
      </c>
      <c r="CA16" s="121">
        <f t="shared" si="2"/>
        <v>0</v>
      </c>
      <c r="CB16" s="121">
        <f t="shared" si="2"/>
        <v>0</v>
      </c>
      <c r="CC16" s="121">
        <f t="shared" si="2"/>
        <v>0</v>
      </c>
      <c r="CD16" s="121">
        <f t="shared" si="2"/>
        <v>0</v>
      </c>
      <c r="CE16" s="121">
        <f t="shared" si="2"/>
        <v>0</v>
      </c>
      <c r="CF16" s="121">
        <f t="shared" si="2"/>
        <v>0</v>
      </c>
      <c r="CG16" s="121">
        <f t="shared" si="2"/>
        <v>0</v>
      </c>
      <c r="CH16" s="121">
        <f t="shared" si="2"/>
        <v>0</v>
      </c>
    </row>
    <row r="18" spans="1:86" ht="15" customHeight="1" x14ac:dyDescent="0.25">
      <c r="A18" s="6" t="s">
        <v>542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</row>
    <row r="19" spans="1:86" ht="15" customHeight="1" x14ac:dyDescent="0.25">
      <c r="A19" s="99" t="s">
        <v>543</v>
      </c>
      <c r="C19" s="105">
        <f>IF(Projects!$G$7="Yes",Projects!$B$7*Assumptions!$B$47+Assumptions!$B$53*Assumptions!$B$48,0)</f>
        <v>579684.48</v>
      </c>
      <c r="D19" s="105">
        <f t="shared" ref="D19:AI19" si="3">C21</f>
        <v>579684.48</v>
      </c>
      <c r="E19" s="105">
        <f t="shared" si="3"/>
        <v>579684.48</v>
      </c>
      <c r="F19" s="105">
        <f t="shared" si="3"/>
        <v>579684.48</v>
      </c>
      <c r="G19" s="105">
        <f t="shared" si="3"/>
        <v>579684.48</v>
      </c>
      <c r="H19" s="105">
        <f t="shared" si="3"/>
        <v>579684.48</v>
      </c>
      <c r="I19" s="105">
        <f t="shared" si="3"/>
        <v>579684.48</v>
      </c>
      <c r="J19" s="105">
        <f t="shared" si="3"/>
        <v>579684.48</v>
      </c>
      <c r="K19" s="105">
        <f t="shared" si="3"/>
        <v>579684.48</v>
      </c>
      <c r="L19" s="105">
        <f t="shared" si="3"/>
        <v>579684.48</v>
      </c>
      <c r="M19" s="105">
        <f t="shared" si="3"/>
        <v>579684.48</v>
      </c>
      <c r="N19" s="105">
        <f t="shared" si="3"/>
        <v>579684.48</v>
      </c>
      <c r="O19" s="105">
        <f t="shared" si="3"/>
        <v>579684.48</v>
      </c>
      <c r="P19" s="105">
        <f t="shared" si="3"/>
        <v>579684.48</v>
      </c>
      <c r="Q19" s="105">
        <f t="shared" si="3"/>
        <v>579684.48</v>
      </c>
      <c r="R19" s="105">
        <f t="shared" si="3"/>
        <v>579684.48</v>
      </c>
      <c r="S19" s="105">
        <f t="shared" si="3"/>
        <v>579684.48</v>
      </c>
      <c r="T19" s="105">
        <f t="shared" si="3"/>
        <v>579684.48</v>
      </c>
      <c r="U19" s="105">
        <f t="shared" si="3"/>
        <v>579684.48</v>
      </c>
      <c r="V19" s="105">
        <f t="shared" si="3"/>
        <v>579684.48</v>
      </c>
      <c r="W19" s="105">
        <f t="shared" si="3"/>
        <v>579684.48</v>
      </c>
      <c r="X19" s="105">
        <f t="shared" si="3"/>
        <v>579684.48</v>
      </c>
      <c r="Y19" s="105">
        <f t="shared" si="3"/>
        <v>579684.48</v>
      </c>
      <c r="Z19" s="105">
        <f t="shared" si="3"/>
        <v>579684.48</v>
      </c>
      <c r="AA19" s="105">
        <f t="shared" si="3"/>
        <v>579684.48</v>
      </c>
      <c r="AB19" s="105">
        <f t="shared" si="3"/>
        <v>579684.48</v>
      </c>
      <c r="AC19" s="105">
        <f t="shared" si="3"/>
        <v>579684.48</v>
      </c>
      <c r="AD19" s="105">
        <f t="shared" si="3"/>
        <v>579684.48</v>
      </c>
      <c r="AE19" s="105">
        <f t="shared" si="3"/>
        <v>579684.48</v>
      </c>
      <c r="AF19" s="105">
        <f t="shared" si="3"/>
        <v>579684.48</v>
      </c>
      <c r="AG19" s="105">
        <f t="shared" si="3"/>
        <v>579684.48</v>
      </c>
      <c r="AH19" s="105">
        <f t="shared" si="3"/>
        <v>579684.48</v>
      </c>
      <c r="AI19" s="105">
        <f t="shared" si="3"/>
        <v>579684.48</v>
      </c>
      <c r="AJ19" s="105">
        <f t="shared" ref="AJ19:BO19" si="4">AI21</f>
        <v>579684.48</v>
      </c>
      <c r="AK19" s="105">
        <f t="shared" si="4"/>
        <v>579684.48</v>
      </c>
      <c r="AL19" s="105">
        <f t="shared" si="4"/>
        <v>579684.48</v>
      </c>
      <c r="AM19" s="105">
        <f t="shared" si="4"/>
        <v>579684.48</v>
      </c>
      <c r="AN19" s="105">
        <f t="shared" si="4"/>
        <v>579684.48</v>
      </c>
      <c r="AO19" s="105">
        <f t="shared" si="4"/>
        <v>579684.48</v>
      </c>
      <c r="AP19" s="105">
        <f t="shared" si="4"/>
        <v>579684.48</v>
      </c>
      <c r="AQ19" s="105">
        <f t="shared" si="4"/>
        <v>579684.48</v>
      </c>
      <c r="AR19" s="105">
        <f t="shared" si="4"/>
        <v>579684.48</v>
      </c>
      <c r="AS19" s="105">
        <f t="shared" si="4"/>
        <v>498001.48</v>
      </c>
      <c r="AT19" s="105">
        <f t="shared" si="4"/>
        <v>498001.48</v>
      </c>
      <c r="AU19" s="105">
        <f t="shared" si="4"/>
        <v>498001.48</v>
      </c>
      <c r="AV19" s="105">
        <f t="shared" si="4"/>
        <v>416319.48</v>
      </c>
      <c r="AW19" s="105">
        <f t="shared" si="4"/>
        <v>416319.48</v>
      </c>
      <c r="AX19" s="105">
        <f t="shared" si="4"/>
        <v>416319.48</v>
      </c>
      <c r="AY19" s="105">
        <f t="shared" si="4"/>
        <v>334637.48</v>
      </c>
      <c r="AZ19" s="105">
        <f t="shared" si="4"/>
        <v>334637.48</v>
      </c>
      <c r="BA19" s="105">
        <f t="shared" si="4"/>
        <v>334637.48</v>
      </c>
      <c r="BB19" s="105">
        <f t="shared" si="4"/>
        <v>252955.47999999998</v>
      </c>
      <c r="BC19" s="105">
        <f t="shared" si="4"/>
        <v>252955.47999999998</v>
      </c>
      <c r="BD19" s="105">
        <f t="shared" si="4"/>
        <v>252955.47999999998</v>
      </c>
      <c r="BE19" s="105">
        <f t="shared" si="4"/>
        <v>193777.47999999998</v>
      </c>
      <c r="BF19" s="105">
        <f t="shared" si="4"/>
        <v>193777.47999999998</v>
      </c>
      <c r="BG19" s="105">
        <f t="shared" si="4"/>
        <v>193777.47999999998</v>
      </c>
      <c r="BH19" s="105">
        <f t="shared" si="4"/>
        <v>134601.47999999998</v>
      </c>
      <c r="BI19" s="105">
        <f t="shared" si="4"/>
        <v>134601.47999999998</v>
      </c>
      <c r="BJ19" s="105">
        <f t="shared" si="4"/>
        <v>134601.47999999998</v>
      </c>
      <c r="BK19" s="105">
        <f t="shared" si="4"/>
        <v>75425.479999999981</v>
      </c>
      <c r="BL19" s="105">
        <f t="shared" si="4"/>
        <v>75425.479999999981</v>
      </c>
      <c r="BM19" s="105">
        <f t="shared" si="4"/>
        <v>75425.479999999981</v>
      </c>
      <c r="BN19" s="105">
        <f t="shared" si="4"/>
        <v>16249.479999999981</v>
      </c>
      <c r="BO19" s="105">
        <f t="shared" si="4"/>
        <v>16249.479999999981</v>
      </c>
      <c r="BP19" s="105">
        <f t="shared" ref="BP19:CH19" si="5">BO21</f>
        <v>16249.479999999981</v>
      </c>
      <c r="BQ19" s="105">
        <f t="shared" si="5"/>
        <v>0</v>
      </c>
      <c r="BR19" s="105">
        <f t="shared" si="5"/>
        <v>0</v>
      </c>
      <c r="BS19" s="105">
        <f t="shared" si="5"/>
        <v>0</v>
      </c>
      <c r="BT19" s="105">
        <f t="shared" si="5"/>
        <v>0</v>
      </c>
      <c r="BU19" s="105">
        <f t="shared" si="5"/>
        <v>0</v>
      </c>
      <c r="BV19" s="105">
        <f t="shared" si="5"/>
        <v>0</v>
      </c>
      <c r="BW19" s="105">
        <f t="shared" si="5"/>
        <v>0</v>
      </c>
      <c r="BX19" s="105">
        <f t="shared" si="5"/>
        <v>0</v>
      </c>
      <c r="BY19" s="105">
        <f t="shared" si="5"/>
        <v>0</v>
      </c>
      <c r="BZ19" s="105">
        <f t="shared" si="5"/>
        <v>0</v>
      </c>
      <c r="CA19" s="105">
        <f t="shared" si="5"/>
        <v>0</v>
      </c>
      <c r="CB19" s="105">
        <f t="shared" si="5"/>
        <v>0</v>
      </c>
      <c r="CC19" s="105">
        <f t="shared" si="5"/>
        <v>0</v>
      </c>
      <c r="CD19" s="105">
        <f t="shared" si="5"/>
        <v>0</v>
      </c>
      <c r="CE19" s="105">
        <f t="shared" si="5"/>
        <v>0</v>
      </c>
      <c r="CF19" s="105">
        <f t="shared" si="5"/>
        <v>0</v>
      </c>
      <c r="CG19" s="105">
        <f t="shared" si="5"/>
        <v>0</v>
      </c>
      <c r="CH19" s="105">
        <f t="shared" si="5"/>
        <v>0</v>
      </c>
    </row>
    <row r="20" spans="1:86" ht="15" customHeight="1" x14ac:dyDescent="0.25">
      <c r="A20" s="122" t="s">
        <v>544</v>
      </c>
      <c r="C20" s="123">
        <f>MIN(C19,Model!C60)</f>
        <v>0</v>
      </c>
      <c r="D20" s="123">
        <f>MIN(D19,Model!D60)</f>
        <v>0</v>
      </c>
      <c r="E20" s="123">
        <f>MIN(E19,Model!E60)</f>
        <v>0</v>
      </c>
      <c r="F20" s="123">
        <f>MIN(F19,Model!F60)</f>
        <v>0</v>
      </c>
      <c r="G20" s="123">
        <f>MIN(G19,Model!G60)</f>
        <v>0</v>
      </c>
      <c r="H20" s="123">
        <f>MIN(H19,Model!H60)</f>
        <v>0</v>
      </c>
      <c r="I20" s="123">
        <f>MIN(I19,Model!I60)</f>
        <v>0</v>
      </c>
      <c r="J20" s="123">
        <f>MIN(J19,Model!J60)</f>
        <v>0</v>
      </c>
      <c r="K20" s="123">
        <f>MIN(K19,Model!K60)</f>
        <v>0</v>
      </c>
      <c r="L20" s="123">
        <f>MIN(L19,Model!L60)</f>
        <v>0</v>
      </c>
      <c r="M20" s="123">
        <f>MIN(M19,Model!M60)</f>
        <v>0</v>
      </c>
      <c r="N20" s="123">
        <f>MIN(N19,Model!N60)</f>
        <v>0</v>
      </c>
      <c r="O20" s="123">
        <f>MIN(O19,Model!O60)</f>
        <v>0</v>
      </c>
      <c r="P20" s="123">
        <f>MIN(P19,Model!P60)</f>
        <v>0</v>
      </c>
      <c r="Q20" s="123">
        <f>MIN(Q19,Model!Q60)</f>
        <v>0</v>
      </c>
      <c r="R20" s="123">
        <f>MIN(R19,Model!R60)</f>
        <v>0</v>
      </c>
      <c r="S20" s="123">
        <f>MIN(S19,Model!S60)</f>
        <v>0</v>
      </c>
      <c r="T20" s="123">
        <f>MIN(T19,Model!T60)</f>
        <v>0</v>
      </c>
      <c r="U20" s="123">
        <f>MIN(U19,Model!U60)</f>
        <v>0</v>
      </c>
      <c r="V20" s="123">
        <f>MIN(V19,Model!V60)</f>
        <v>0</v>
      </c>
      <c r="W20" s="123">
        <f>MIN(W19,Model!W60)</f>
        <v>0</v>
      </c>
      <c r="X20" s="123">
        <f>MIN(X19,Model!X60)</f>
        <v>0</v>
      </c>
      <c r="Y20" s="123">
        <f>MIN(Y19,Model!Y60)</f>
        <v>0</v>
      </c>
      <c r="Z20" s="123">
        <f>MIN(Z19,Model!Z60)</f>
        <v>0</v>
      </c>
      <c r="AA20" s="123">
        <f>MIN(AA19,Model!AA60)</f>
        <v>0</v>
      </c>
      <c r="AB20" s="123">
        <f>MIN(AB19,Model!AB60)</f>
        <v>0</v>
      </c>
      <c r="AC20" s="123">
        <f>MIN(AC19,Model!AC60)</f>
        <v>0</v>
      </c>
      <c r="AD20" s="123">
        <f>MIN(AD19,Model!AD60)</f>
        <v>0</v>
      </c>
      <c r="AE20" s="123">
        <f>MIN(AE19,Model!AE60)</f>
        <v>0</v>
      </c>
      <c r="AF20" s="123">
        <f>MIN(AF19,Model!AF60)</f>
        <v>0</v>
      </c>
      <c r="AG20" s="123">
        <f>MIN(AG19,Model!AG60)</f>
        <v>0</v>
      </c>
      <c r="AH20" s="123">
        <f>MIN(AH19,Model!AH60)</f>
        <v>0</v>
      </c>
      <c r="AI20" s="123">
        <f>MIN(AI19,Model!AI60)</f>
        <v>0</v>
      </c>
      <c r="AJ20" s="123">
        <f>MIN(AJ19,Model!AJ60)</f>
        <v>0</v>
      </c>
      <c r="AK20" s="123">
        <f>MIN(AK19,Model!AK60)</f>
        <v>0</v>
      </c>
      <c r="AL20" s="123">
        <f>MIN(AL19,Model!AL60)</f>
        <v>0</v>
      </c>
      <c r="AM20" s="123">
        <f>MIN(AM19,Model!AM60)</f>
        <v>0</v>
      </c>
      <c r="AN20" s="123">
        <f>MIN(AN19,Model!AN60)</f>
        <v>0</v>
      </c>
      <c r="AO20" s="123">
        <f>MIN(AO19,Model!AO60)</f>
        <v>0</v>
      </c>
      <c r="AP20" s="123">
        <f>MIN(AP19,Model!AP60)</f>
        <v>0</v>
      </c>
      <c r="AQ20" s="123">
        <f>MIN(AQ19,Model!AQ60)</f>
        <v>0</v>
      </c>
      <c r="AR20" s="123">
        <f>MIN(AR19,Model!AR60)</f>
        <v>81683</v>
      </c>
      <c r="AS20" s="123">
        <f>MIN(AS19,Model!AS60)</f>
        <v>0</v>
      </c>
      <c r="AT20" s="123">
        <f>MIN(AT19,Model!AT60)</f>
        <v>0</v>
      </c>
      <c r="AU20" s="123">
        <f>MIN(AU19,Model!AU60)</f>
        <v>81682</v>
      </c>
      <c r="AV20" s="123">
        <f>MIN(AV19,Model!AV60)</f>
        <v>0</v>
      </c>
      <c r="AW20" s="123">
        <f>MIN(AW19,Model!AW60)</f>
        <v>0</v>
      </c>
      <c r="AX20" s="123">
        <f>MIN(AX19,Model!AX60)</f>
        <v>81682</v>
      </c>
      <c r="AY20" s="123">
        <f>MIN(AY19,Model!AY60)</f>
        <v>0</v>
      </c>
      <c r="AZ20" s="123">
        <f>MIN(AZ19,Model!AZ60)</f>
        <v>0</v>
      </c>
      <c r="BA20" s="123">
        <f>MIN(BA19,Model!BA60)</f>
        <v>81682</v>
      </c>
      <c r="BB20" s="123">
        <f>MIN(BB19,Model!BB60)</f>
        <v>0</v>
      </c>
      <c r="BC20" s="123">
        <f>MIN(BC19,Model!BC60)</f>
        <v>0</v>
      </c>
      <c r="BD20" s="123">
        <f>MIN(BD19,Model!BD60)</f>
        <v>59178</v>
      </c>
      <c r="BE20" s="123">
        <f>MIN(BE19,Model!BE60)</f>
        <v>0</v>
      </c>
      <c r="BF20" s="123">
        <f>MIN(BF19,Model!BF60)</f>
        <v>0</v>
      </c>
      <c r="BG20" s="123">
        <f>MIN(BG19,Model!BG60)</f>
        <v>59176</v>
      </c>
      <c r="BH20" s="123">
        <f>MIN(BH19,Model!BH60)</f>
        <v>0</v>
      </c>
      <c r="BI20" s="123">
        <f>MIN(BI19,Model!BI60)</f>
        <v>0</v>
      </c>
      <c r="BJ20" s="123">
        <f>MIN(BJ19,Model!BJ60)</f>
        <v>59176</v>
      </c>
      <c r="BK20" s="123">
        <f>MIN(BK19,Model!BK60)</f>
        <v>0</v>
      </c>
      <c r="BL20" s="123">
        <f>MIN(BL19,Model!BL60)</f>
        <v>0</v>
      </c>
      <c r="BM20" s="123">
        <f>MIN(BM19,Model!BM60)</f>
        <v>59176</v>
      </c>
      <c r="BN20" s="123">
        <f>MIN(BN19,Model!BN60)</f>
        <v>0</v>
      </c>
      <c r="BO20" s="123">
        <f>MIN(BO19,Model!BO60)</f>
        <v>0</v>
      </c>
      <c r="BP20" s="123">
        <f>MIN(BP19,Model!BP60)</f>
        <v>16249.479999999981</v>
      </c>
      <c r="BQ20" s="123">
        <f>MIN(BQ19,Model!BQ60)</f>
        <v>0</v>
      </c>
      <c r="BR20" s="123">
        <f>MIN(BR19,Model!BR60)</f>
        <v>0</v>
      </c>
      <c r="BS20" s="123">
        <f>MIN(BS19,Model!BS60)</f>
        <v>0</v>
      </c>
      <c r="BT20" s="123">
        <f>MIN(BT19,Model!BT60)</f>
        <v>0</v>
      </c>
      <c r="BU20" s="123">
        <f>MIN(BU19,Model!BU60)</f>
        <v>0</v>
      </c>
      <c r="BV20" s="123">
        <f>MIN(BV19,Model!BV60)</f>
        <v>0</v>
      </c>
      <c r="BW20" s="123">
        <f>MIN(BW19,Model!BW60)</f>
        <v>0</v>
      </c>
      <c r="BX20" s="123">
        <f>MIN(BX19,Model!BX60)</f>
        <v>0</v>
      </c>
      <c r="BY20" s="123">
        <f>MIN(BY19,Model!BY60)</f>
        <v>0</v>
      </c>
      <c r="BZ20" s="123">
        <f>MIN(BZ19,Model!BZ60)</f>
        <v>0</v>
      </c>
      <c r="CA20" s="123">
        <f>MIN(CA19,Model!CA60)</f>
        <v>0</v>
      </c>
      <c r="CB20" s="123">
        <f>MIN(CB19,Model!CB60)</f>
        <v>0</v>
      </c>
      <c r="CC20" s="123">
        <f>MIN(CC19,Model!CC60)</f>
        <v>0</v>
      </c>
      <c r="CD20" s="123">
        <f>MIN(CD19,Model!CD60)</f>
        <v>0</v>
      </c>
      <c r="CE20" s="123">
        <f>MIN(CE19,Model!CE60)</f>
        <v>0</v>
      </c>
      <c r="CF20" s="123">
        <f>MIN(CF19,Model!CF60)</f>
        <v>0</v>
      </c>
      <c r="CG20" s="123">
        <f>MIN(CG19,Model!CG60)</f>
        <v>0</v>
      </c>
      <c r="CH20" s="123">
        <f>MIN(CH19,Model!CH60)</f>
        <v>0</v>
      </c>
    </row>
    <row r="21" spans="1:86" ht="15" customHeight="1" x14ac:dyDescent="0.25">
      <c r="A21" s="120" t="s">
        <v>545</v>
      </c>
      <c r="C21" s="121">
        <f t="shared" ref="C21:AH21" si="6">MAX(0,C19-C20)</f>
        <v>579684.48</v>
      </c>
      <c r="D21" s="121">
        <f t="shared" si="6"/>
        <v>579684.48</v>
      </c>
      <c r="E21" s="121">
        <f t="shared" si="6"/>
        <v>579684.48</v>
      </c>
      <c r="F21" s="121">
        <f t="shared" si="6"/>
        <v>579684.48</v>
      </c>
      <c r="G21" s="121">
        <f t="shared" si="6"/>
        <v>579684.48</v>
      </c>
      <c r="H21" s="121">
        <f t="shared" si="6"/>
        <v>579684.48</v>
      </c>
      <c r="I21" s="121">
        <f t="shared" si="6"/>
        <v>579684.48</v>
      </c>
      <c r="J21" s="121">
        <f t="shared" si="6"/>
        <v>579684.48</v>
      </c>
      <c r="K21" s="121">
        <f t="shared" si="6"/>
        <v>579684.48</v>
      </c>
      <c r="L21" s="121">
        <f t="shared" si="6"/>
        <v>579684.48</v>
      </c>
      <c r="M21" s="121">
        <f t="shared" si="6"/>
        <v>579684.48</v>
      </c>
      <c r="N21" s="121">
        <f t="shared" si="6"/>
        <v>579684.48</v>
      </c>
      <c r="O21" s="121">
        <f t="shared" si="6"/>
        <v>579684.48</v>
      </c>
      <c r="P21" s="121">
        <f t="shared" si="6"/>
        <v>579684.48</v>
      </c>
      <c r="Q21" s="121">
        <f t="shared" si="6"/>
        <v>579684.48</v>
      </c>
      <c r="R21" s="121">
        <f t="shared" si="6"/>
        <v>579684.48</v>
      </c>
      <c r="S21" s="121">
        <f t="shared" si="6"/>
        <v>579684.48</v>
      </c>
      <c r="T21" s="121">
        <f t="shared" si="6"/>
        <v>579684.48</v>
      </c>
      <c r="U21" s="121">
        <f t="shared" si="6"/>
        <v>579684.48</v>
      </c>
      <c r="V21" s="121">
        <f t="shared" si="6"/>
        <v>579684.48</v>
      </c>
      <c r="W21" s="121">
        <f t="shared" si="6"/>
        <v>579684.48</v>
      </c>
      <c r="X21" s="121">
        <f t="shared" si="6"/>
        <v>579684.48</v>
      </c>
      <c r="Y21" s="121">
        <f t="shared" si="6"/>
        <v>579684.48</v>
      </c>
      <c r="Z21" s="121">
        <f t="shared" si="6"/>
        <v>579684.48</v>
      </c>
      <c r="AA21" s="121">
        <f t="shared" si="6"/>
        <v>579684.48</v>
      </c>
      <c r="AB21" s="121">
        <f t="shared" si="6"/>
        <v>579684.48</v>
      </c>
      <c r="AC21" s="121">
        <f t="shared" si="6"/>
        <v>579684.48</v>
      </c>
      <c r="AD21" s="121">
        <f t="shared" si="6"/>
        <v>579684.48</v>
      </c>
      <c r="AE21" s="121">
        <f t="shared" si="6"/>
        <v>579684.48</v>
      </c>
      <c r="AF21" s="121">
        <f t="shared" si="6"/>
        <v>579684.48</v>
      </c>
      <c r="AG21" s="121">
        <f t="shared" si="6"/>
        <v>579684.48</v>
      </c>
      <c r="AH21" s="121">
        <f t="shared" si="6"/>
        <v>579684.48</v>
      </c>
      <c r="AI21" s="121">
        <f t="shared" ref="AI21:BN21" si="7">MAX(0,AI19-AI20)</f>
        <v>579684.48</v>
      </c>
      <c r="AJ21" s="121">
        <f t="shared" si="7"/>
        <v>579684.48</v>
      </c>
      <c r="AK21" s="121">
        <f t="shared" si="7"/>
        <v>579684.48</v>
      </c>
      <c r="AL21" s="121">
        <f t="shared" si="7"/>
        <v>579684.48</v>
      </c>
      <c r="AM21" s="121">
        <f t="shared" si="7"/>
        <v>579684.48</v>
      </c>
      <c r="AN21" s="121">
        <f t="shared" si="7"/>
        <v>579684.48</v>
      </c>
      <c r="AO21" s="121">
        <f t="shared" si="7"/>
        <v>579684.48</v>
      </c>
      <c r="AP21" s="121">
        <f t="shared" si="7"/>
        <v>579684.48</v>
      </c>
      <c r="AQ21" s="121">
        <f t="shared" si="7"/>
        <v>579684.48</v>
      </c>
      <c r="AR21" s="121">
        <f t="shared" si="7"/>
        <v>498001.48</v>
      </c>
      <c r="AS21" s="121">
        <f t="shared" si="7"/>
        <v>498001.48</v>
      </c>
      <c r="AT21" s="121">
        <f t="shared" si="7"/>
        <v>498001.48</v>
      </c>
      <c r="AU21" s="121">
        <f t="shared" si="7"/>
        <v>416319.48</v>
      </c>
      <c r="AV21" s="121">
        <f t="shared" si="7"/>
        <v>416319.48</v>
      </c>
      <c r="AW21" s="121">
        <f t="shared" si="7"/>
        <v>416319.48</v>
      </c>
      <c r="AX21" s="121">
        <f t="shared" si="7"/>
        <v>334637.48</v>
      </c>
      <c r="AY21" s="121">
        <f t="shared" si="7"/>
        <v>334637.48</v>
      </c>
      <c r="AZ21" s="121">
        <f t="shared" si="7"/>
        <v>334637.48</v>
      </c>
      <c r="BA21" s="121">
        <f t="shared" si="7"/>
        <v>252955.47999999998</v>
      </c>
      <c r="BB21" s="121">
        <f t="shared" si="7"/>
        <v>252955.47999999998</v>
      </c>
      <c r="BC21" s="121">
        <f t="shared" si="7"/>
        <v>252955.47999999998</v>
      </c>
      <c r="BD21" s="121">
        <f t="shared" si="7"/>
        <v>193777.47999999998</v>
      </c>
      <c r="BE21" s="121">
        <f t="shared" si="7"/>
        <v>193777.47999999998</v>
      </c>
      <c r="BF21" s="121">
        <f t="shared" si="7"/>
        <v>193777.47999999998</v>
      </c>
      <c r="BG21" s="121">
        <f t="shared" si="7"/>
        <v>134601.47999999998</v>
      </c>
      <c r="BH21" s="121">
        <f t="shared" si="7"/>
        <v>134601.47999999998</v>
      </c>
      <c r="BI21" s="121">
        <f t="shared" si="7"/>
        <v>134601.47999999998</v>
      </c>
      <c r="BJ21" s="121">
        <f t="shared" si="7"/>
        <v>75425.479999999981</v>
      </c>
      <c r="BK21" s="121">
        <f t="shared" si="7"/>
        <v>75425.479999999981</v>
      </c>
      <c r="BL21" s="121">
        <f t="shared" si="7"/>
        <v>75425.479999999981</v>
      </c>
      <c r="BM21" s="121">
        <f t="shared" si="7"/>
        <v>16249.479999999981</v>
      </c>
      <c r="BN21" s="121">
        <f t="shared" si="7"/>
        <v>16249.479999999981</v>
      </c>
      <c r="BO21" s="121">
        <f t="shared" ref="BO21:CT21" si="8">MAX(0,BO19-BO20)</f>
        <v>16249.479999999981</v>
      </c>
      <c r="BP21" s="121">
        <f t="shared" si="8"/>
        <v>0</v>
      </c>
      <c r="BQ21" s="121">
        <f t="shared" si="8"/>
        <v>0</v>
      </c>
      <c r="BR21" s="121">
        <f t="shared" si="8"/>
        <v>0</v>
      </c>
      <c r="BS21" s="121">
        <f t="shared" si="8"/>
        <v>0</v>
      </c>
      <c r="BT21" s="121">
        <f t="shared" si="8"/>
        <v>0</v>
      </c>
      <c r="BU21" s="121">
        <f t="shared" si="8"/>
        <v>0</v>
      </c>
      <c r="BV21" s="121">
        <f t="shared" si="8"/>
        <v>0</v>
      </c>
      <c r="BW21" s="121">
        <f t="shared" si="8"/>
        <v>0</v>
      </c>
      <c r="BX21" s="121">
        <f t="shared" si="8"/>
        <v>0</v>
      </c>
      <c r="BY21" s="121">
        <f t="shared" si="8"/>
        <v>0</v>
      </c>
      <c r="BZ21" s="121">
        <f t="shared" si="8"/>
        <v>0</v>
      </c>
      <c r="CA21" s="121">
        <f t="shared" si="8"/>
        <v>0</v>
      </c>
      <c r="CB21" s="121">
        <f t="shared" si="8"/>
        <v>0</v>
      </c>
      <c r="CC21" s="121">
        <f t="shared" si="8"/>
        <v>0</v>
      </c>
      <c r="CD21" s="121">
        <f t="shared" si="8"/>
        <v>0</v>
      </c>
      <c r="CE21" s="121">
        <f t="shared" si="8"/>
        <v>0</v>
      </c>
      <c r="CF21" s="121">
        <f t="shared" si="8"/>
        <v>0</v>
      </c>
      <c r="CG21" s="121">
        <f t="shared" si="8"/>
        <v>0</v>
      </c>
      <c r="CH21" s="121">
        <f t="shared" si="8"/>
        <v>0</v>
      </c>
    </row>
    <row r="22" spans="1:86" ht="15" customHeight="1" x14ac:dyDescent="0.25">
      <c r="A22" s="99" t="s">
        <v>546</v>
      </c>
      <c r="C22" s="105">
        <f>IF(Projects!$G$13="Yes",Projects!$B$13*Assumptions!$B$47+Assumptions!$B$54*Assumptions!$B$48,0)</f>
        <v>602667.69999999995</v>
      </c>
      <c r="D22" s="105">
        <f t="shared" ref="D22:AI22" si="9">C24</f>
        <v>602667.69999999995</v>
      </c>
      <c r="E22" s="105">
        <f t="shared" si="9"/>
        <v>602667.69999999995</v>
      </c>
      <c r="F22" s="105">
        <f t="shared" si="9"/>
        <v>602667.69999999995</v>
      </c>
      <c r="G22" s="105">
        <f t="shared" si="9"/>
        <v>602667.69999999995</v>
      </c>
      <c r="H22" s="105">
        <f t="shared" si="9"/>
        <v>602667.69999999995</v>
      </c>
      <c r="I22" s="105">
        <f t="shared" si="9"/>
        <v>602667.69999999995</v>
      </c>
      <c r="J22" s="105">
        <f t="shared" si="9"/>
        <v>602667.69999999995</v>
      </c>
      <c r="K22" s="105">
        <f t="shared" si="9"/>
        <v>602667.69999999995</v>
      </c>
      <c r="L22" s="105">
        <f t="shared" si="9"/>
        <v>602667.69999999995</v>
      </c>
      <c r="M22" s="105">
        <f t="shared" si="9"/>
        <v>602667.69999999995</v>
      </c>
      <c r="N22" s="105">
        <f t="shared" si="9"/>
        <v>602667.69999999995</v>
      </c>
      <c r="O22" s="105">
        <f t="shared" si="9"/>
        <v>602667.69999999995</v>
      </c>
      <c r="P22" s="105">
        <f t="shared" si="9"/>
        <v>602667.69999999995</v>
      </c>
      <c r="Q22" s="105">
        <f t="shared" si="9"/>
        <v>602667.69999999995</v>
      </c>
      <c r="R22" s="105">
        <f t="shared" si="9"/>
        <v>602667.69999999995</v>
      </c>
      <c r="S22" s="105">
        <f t="shared" si="9"/>
        <v>602667.69999999995</v>
      </c>
      <c r="T22" s="105">
        <f t="shared" si="9"/>
        <v>602667.69999999995</v>
      </c>
      <c r="U22" s="105">
        <f t="shared" si="9"/>
        <v>602667.69999999995</v>
      </c>
      <c r="V22" s="105">
        <f t="shared" si="9"/>
        <v>602667.69999999995</v>
      </c>
      <c r="W22" s="105">
        <f t="shared" si="9"/>
        <v>602667.69999999995</v>
      </c>
      <c r="X22" s="105">
        <f t="shared" si="9"/>
        <v>602667.69999999995</v>
      </c>
      <c r="Y22" s="105">
        <f t="shared" si="9"/>
        <v>602667.69999999995</v>
      </c>
      <c r="Z22" s="105">
        <f t="shared" si="9"/>
        <v>602667.69999999995</v>
      </c>
      <c r="AA22" s="105">
        <f t="shared" si="9"/>
        <v>602667.69999999995</v>
      </c>
      <c r="AB22" s="105">
        <f t="shared" si="9"/>
        <v>602667.69999999995</v>
      </c>
      <c r="AC22" s="105">
        <f t="shared" si="9"/>
        <v>602667.69999999995</v>
      </c>
      <c r="AD22" s="105">
        <f t="shared" si="9"/>
        <v>602667.69999999995</v>
      </c>
      <c r="AE22" s="105">
        <f t="shared" si="9"/>
        <v>602667.69999999995</v>
      </c>
      <c r="AF22" s="105">
        <f t="shared" si="9"/>
        <v>602667.69999999995</v>
      </c>
      <c r="AG22" s="105">
        <f t="shared" si="9"/>
        <v>602667.69999999995</v>
      </c>
      <c r="AH22" s="105">
        <f t="shared" si="9"/>
        <v>602667.69999999995</v>
      </c>
      <c r="AI22" s="105">
        <f t="shared" si="9"/>
        <v>602667.69999999995</v>
      </c>
      <c r="AJ22" s="105">
        <f t="shared" ref="AJ22:BO22" si="10">AI24</f>
        <v>602667.69999999995</v>
      </c>
      <c r="AK22" s="105">
        <f t="shared" si="10"/>
        <v>602667.69999999995</v>
      </c>
      <c r="AL22" s="105">
        <f t="shared" si="10"/>
        <v>602667.69999999995</v>
      </c>
      <c r="AM22" s="105">
        <f t="shared" si="10"/>
        <v>602667.69999999995</v>
      </c>
      <c r="AN22" s="105">
        <f t="shared" si="10"/>
        <v>602667.69999999995</v>
      </c>
      <c r="AO22" s="105">
        <f t="shared" si="10"/>
        <v>602667.69999999995</v>
      </c>
      <c r="AP22" s="105">
        <f t="shared" si="10"/>
        <v>602667.69999999995</v>
      </c>
      <c r="AQ22" s="105">
        <f t="shared" si="10"/>
        <v>602667.69999999995</v>
      </c>
      <c r="AR22" s="105">
        <f t="shared" si="10"/>
        <v>602667.69999999995</v>
      </c>
      <c r="AS22" s="105">
        <f t="shared" si="10"/>
        <v>602667.69999999995</v>
      </c>
      <c r="AT22" s="105">
        <f t="shared" si="10"/>
        <v>602667.69999999995</v>
      </c>
      <c r="AU22" s="105">
        <f t="shared" si="10"/>
        <v>602667.69999999995</v>
      </c>
      <c r="AV22" s="105">
        <f t="shared" si="10"/>
        <v>602667.69999999995</v>
      </c>
      <c r="AW22" s="105">
        <f t="shared" si="10"/>
        <v>602667.69999999995</v>
      </c>
      <c r="AX22" s="105">
        <f t="shared" si="10"/>
        <v>602667.69999999995</v>
      </c>
      <c r="AY22" s="105">
        <f t="shared" si="10"/>
        <v>602667.69999999995</v>
      </c>
      <c r="AZ22" s="105">
        <f t="shared" si="10"/>
        <v>602667.69999999995</v>
      </c>
      <c r="BA22" s="105">
        <f t="shared" si="10"/>
        <v>602667.69999999995</v>
      </c>
      <c r="BB22" s="105">
        <f t="shared" si="10"/>
        <v>0</v>
      </c>
      <c r="BC22" s="105">
        <f t="shared" si="10"/>
        <v>0</v>
      </c>
      <c r="BD22" s="105">
        <f t="shared" si="10"/>
        <v>0</v>
      </c>
      <c r="BE22" s="105">
        <f t="shared" si="10"/>
        <v>0</v>
      </c>
      <c r="BF22" s="105">
        <f t="shared" si="10"/>
        <v>0</v>
      </c>
      <c r="BG22" s="105">
        <f t="shared" si="10"/>
        <v>0</v>
      </c>
      <c r="BH22" s="105">
        <f t="shared" si="10"/>
        <v>0</v>
      </c>
      <c r="BI22" s="105">
        <f t="shared" si="10"/>
        <v>0</v>
      </c>
      <c r="BJ22" s="105">
        <f t="shared" si="10"/>
        <v>0</v>
      </c>
      <c r="BK22" s="105">
        <f t="shared" si="10"/>
        <v>0</v>
      </c>
      <c r="BL22" s="105">
        <f t="shared" si="10"/>
        <v>0</v>
      </c>
      <c r="BM22" s="105">
        <f t="shared" si="10"/>
        <v>0</v>
      </c>
      <c r="BN22" s="105">
        <f t="shared" si="10"/>
        <v>0</v>
      </c>
      <c r="BO22" s="105">
        <f t="shared" si="10"/>
        <v>0</v>
      </c>
      <c r="BP22" s="105">
        <f t="shared" ref="BP22:CH22" si="11">BO24</f>
        <v>0</v>
      </c>
      <c r="BQ22" s="105">
        <f t="shared" si="11"/>
        <v>0</v>
      </c>
      <c r="BR22" s="105">
        <f t="shared" si="11"/>
        <v>0</v>
      </c>
      <c r="BS22" s="105">
        <f t="shared" si="11"/>
        <v>0</v>
      </c>
      <c r="BT22" s="105">
        <f t="shared" si="11"/>
        <v>0</v>
      </c>
      <c r="BU22" s="105">
        <f t="shared" si="11"/>
        <v>0</v>
      </c>
      <c r="BV22" s="105">
        <f t="shared" si="11"/>
        <v>0</v>
      </c>
      <c r="BW22" s="105">
        <f t="shared" si="11"/>
        <v>0</v>
      </c>
      <c r="BX22" s="105">
        <f t="shared" si="11"/>
        <v>0</v>
      </c>
      <c r="BY22" s="105">
        <f t="shared" si="11"/>
        <v>0</v>
      </c>
      <c r="BZ22" s="105">
        <f t="shared" si="11"/>
        <v>0</v>
      </c>
      <c r="CA22" s="105">
        <f t="shared" si="11"/>
        <v>0</v>
      </c>
      <c r="CB22" s="105">
        <f t="shared" si="11"/>
        <v>0</v>
      </c>
      <c r="CC22" s="105">
        <f t="shared" si="11"/>
        <v>0</v>
      </c>
      <c r="CD22" s="105">
        <f t="shared" si="11"/>
        <v>0</v>
      </c>
      <c r="CE22" s="105">
        <f t="shared" si="11"/>
        <v>0</v>
      </c>
      <c r="CF22" s="105">
        <f t="shared" si="11"/>
        <v>0</v>
      </c>
      <c r="CG22" s="105">
        <f t="shared" si="11"/>
        <v>0</v>
      </c>
      <c r="CH22" s="105">
        <f t="shared" si="11"/>
        <v>0</v>
      </c>
    </row>
    <row r="23" spans="1:86" ht="15" customHeight="1" x14ac:dyDescent="0.25">
      <c r="A23" s="122" t="s">
        <v>547</v>
      </c>
      <c r="C23" s="123">
        <f>MIN(C22,Model!C61)</f>
        <v>0</v>
      </c>
      <c r="D23" s="123">
        <f>MIN(D22,Model!D61)</f>
        <v>0</v>
      </c>
      <c r="E23" s="123">
        <f>MIN(E22,Model!E61)</f>
        <v>0</v>
      </c>
      <c r="F23" s="123">
        <f>MIN(F22,Model!F61)</f>
        <v>0</v>
      </c>
      <c r="G23" s="123">
        <f>MIN(G22,Model!G61)</f>
        <v>0</v>
      </c>
      <c r="H23" s="123">
        <f>MIN(H22,Model!H61)</f>
        <v>0</v>
      </c>
      <c r="I23" s="123">
        <f>MIN(I22,Model!I61)</f>
        <v>0</v>
      </c>
      <c r="J23" s="123">
        <f>MIN(J22,Model!J61)</f>
        <v>0</v>
      </c>
      <c r="K23" s="123">
        <f>MIN(K22,Model!K61)</f>
        <v>0</v>
      </c>
      <c r="L23" s="123">
        <f>MIN(L22,Model!L61)</f>
        <v>0</v>
      </c>
      <c r="M23" s="123">
        <f>MIN(M22,Model!M61)</f>
        <v>0</v>
      </c>
      <c r="N23" s="123">
        <f>MIN(N22,Model!N61)</f>
        <v>0</v>
      </c>
      <c r="O23" s="123">
        <f>MIN(O22,Model!O61)</f>
        <v>0</v>
      </c>
      <c r="P23" s="123">
        <f>MIN(P22,Model!P61)</f>
        <v>0</v>
      </c>
      <c r="Q23" s="123">
        <f>MIN(Q22,Model!Q61)</f>
        <v>0</v>
      </c>
      <c r="R23" s="123">
        <f>MIN(R22,Model!R61)</f>
        <v>0</v>
      </c>
      <c r="S23" s="123">
        <f>MIN(S22,Model!S61)</f>
        <v>0</v>
      </c>
      <c r="T23" s="123">
        <f>MIN(T22,Model!T61)</f>
        <v>0</v>
      </c>
      <c r="U23" s="123">
        <f>MIN(U22,Model!U61)</f>
        <v>0</v>
      </c>
      <c r="V23" s="123">
        <f>MIN(V22,Model!V61)</f>
        <v>0</v>
      </c>
      <c r="W23" s="123">
        <f>MIN(W22,Model!W61)</f>
        <v>0</v>
      </c>
      <c r="X23" s="123">
        <f>MIN(X22,Model!X61)</f>
        <v>0</v>
      </c>
      <c r="Y23" s="123">
        <f>MIN(Y22,Model!Y61)</f>
        <v>0</v>
      </c>
      <c r="Z23" s="123">
        <f>MIN(Z22,Model!Z61)</f>
        <v>0</v>
      </c>
      <c r="AA23" s="123">
        <f>MIN(AA22,Model!AA61)</f>
        <v>0</v>
      </c>
      <c r="AB23" s="123">
        <f>MIN(AB22,Model!AB61)</f>
        <v>0</v>
      </c>
      <c r="AC23" s="123">
        <f>MIN(AC22,Model!AC61)</f>
        <v>0</v>
      </c>
      <c r="AD23" s="123">
        <f>MIN(AD22,Model!AD61)</f>
        <v>0</v>
      </c>
      <c r="AE23" s="123">
        <f>MIN(AE22,Model!AE61)</f>
        <v>0</v>
      </c>
      <c r="AF23" s="123">
        <f>MIN(AF22,Model!AF61)</f>
        <v>0</v>
      </c>
      <c r="AG23" s="123">
        <f>MIN(AG22,Model!AG61)</f>
        <v>0</v>
      </c>
      <c r="AH23" s="123">
        <f>MIN(AH22,Model!AH61)</f>
        <v>0</v>
      </c>
      <c r="AI23" s="123">
        <f>MIN(AI22,Model!AI61)</f>
        <v>0</v>
      </c>
      <c r="AJ23" s="123">
        <f>MIN(AJ22,Model!AJ61)</f>
        <v>0</v>
      </c>
      <c r="AK23" s="123">
        <f>MIN(AK22,Model!AK61)</f>
        <v>0</v>
      </c>
      <c r="AL23" s="123">
        <f>MIN(AL22,Model!AL61)</f>
        <v>0</v>
      </c>
      <c r="AM23" s="123">
        <f>MIN(AM22,Model!AM61)</f>
        <v>0</v>
      </c>
      <c r="AN23" s="123">
        <f>MIN(AN22,Model!AN61)</f>
        <v>0</v>
      </c>
      <c r="AO23" s="123">
        <f>MIN(AO22,Model!AO61)</f>
        <v>0</v>
      </c>
      <c r="AP23" s="123">
        <f>MIN(AP22,Model!AP61)</f>
        <v>0</v>
      </c>
      <c r="AQ23" s="123">
        <f>MIN(AQ22,Model!AQ61)</f>
        <v>0</v>
      </c>
      <c r="AR23" s="123">
        <f>MIN(AR22,Model!AR61)</f>
        <v>0</v>
      </c>
      <c r="AS23" s="123">
        <f>MIN(AS22,Model!AS61)</f>
        <v>0</v>
      </c>
      <c r="AT23" s="123">
        <f>MIN(AT22,Model!AT61)</f>
        <v>0</v>
      </c>
      <c r="AU23" s="123">
        <f>MIN(AU22,Model!AU61)</f>
        <v>0</v>
      </c>
      <c r="AV23" s="123">
        <f>MIN(AV22,Model!AV61)</f>
        <v>0</v>
      </c>
      <c r="AW23" s="123">
        <f>MIN(AW22,Model!AW61)</f>
        <v>0</v>
      </c>
      <c r="AX23" s="123">
        <f>MIN(AX22,Model!AX61)</f>
        <v>0</v>
      </c>
      <c r="AY23" s="123">
        <f>MIN(AY22,Model!AY61)</f>
        <v>0</v>
      </c>
      <c r="AZ23" s="123">
        <f>MIN(AZ22,Model!AZ61)</f>
        <v>0</v>
      </c>
      <c r="BA23" s="123">
        <f>MIN(BA22,Model!BA61)</f>
        <v>602667.69999999995</v>
      </c>
      <c r="BB23" s="123">
        <f>MIN(BB22,Model!BB61)</f>
        <v>0</v>
      </c>
      <c r="BC23" s="123">
        <f>MIN(BC22,Model!BC61)</f>
        <v>0</v>
      </c>
      <c r="BD23" s="123">
        <f>MIN(BD22,Model!BD61)</f>
        <v>0</v>
      </c>
      <c r="BE23" s="123">
        <f>MIN(BE22,Model!BE61)</f>
        <v>0</v>
      </c>
      <c r="BF23" s="123">
        <f>MIN(BF22,Model!BF61)</f>
        <v>0</v>
      </c>
      <c r="BG23" s="123">
        <f>MIN(BG22,Model!BG61)</f>
        <v>0</v>
      </c>
      <c r="BH23" s="123">
        <f>MIN(BH22,Model!BH61)</f>
        <v>0</v>
      </c>
      <c r="BI23" s="123">
        <f>MIN(BI22,Model!BI61)</f>
        <v>0</v>
      </c>
      <c r="BJ23" s="123">
        <f>MIN(BJ22,Model!BJ61)</f>
        <v>0</v>
      </c>
      <c r="BK23" s="123">
        <f>MIN(BK22,Model!BK61)</f>
        <v>0</v>
      </c>
      <c r="BL23" s="123">
        <f>MIN(BL22,Model!BL61)</f>
        <v>0</v>
      </c>
      <c r="BM23" s="123">
        <f>MIN(BM22,Model!BM61)</f>
        <v>0</v>
      </c>
      <c r="BN23" s="123">
        <f>MIN(BN22,Model!BN61)</f>
        <v>0</v>
      </c>
      <c r="BO23" s="123">
        <f>MIN(BO22,Model!BO61)</f>
        <v>0</v>
      </c>
      <c r="BP23" s="123">
        <f>MIN(BP22,Model!BP61)</f>
        <v>0</v>
      </c>
      <c r="BQ23" s="123">
        <f>MIN(BQ22,Model!BQ61)</f>
        <v>0</v>
      </c>
      <c r="BR23" s="123">
        <f>MIN(BR22,Model!BR61)</f>
        <v>0</v>
      </c>
      <c r="BS23" s="123">
        <f>MIN(BS22,Model!BS61)</f>
        <v>0</v>
      </c>
      <c r="BT23" s="123">
        <f>MIN(BT22,Model!BT61)</f>
        <v>0</v>
      </c>
      <c r="BU23" s="123">
        <f>MIN(BU22,Model!BU61)</f>
        <v>0</v>
      </c>
      <c r="BV23" s="123">
        <f>MIN(BV22,Model!BV61)</f>
        <v>0</v>
      </c>
      <c r="BW23" s="123">
        <f>MIN(BW22,Model!BW61)</f>
        <v>0</v>
      </c>
      <c r="BX23" s="123">
        <f>MIN(BX22,Model!BX61)</f>
        <v>0</v>
      </c>
      <c r="BY23" s="123">
        <f>MIN(BY22,Model!BY61)</f>
        <v>0</v>
      </c>
      <c r="BZ23" s="123">
        <f>MIN(BZ22,Model!BZ61)</f>
        <v>0</v>
      </c>
      <c r="CA23" s="123">
        <f>MIN(CA22,Model!CA61)</f>
        <v>0</v>
      </c>
      <c r="CB23" s="123">
        <f>MIN(CB22,Model!CB61)</f>
        <v>0</v>
      </c>
      <c r="CC23" s="123">
        <f>MIN(CC22,Model!CC61)</f>
        <v>0</v>
      </c>
      <c r="CD23" s="123">
        <f>MIN(CD22,Model!CD61)</f>
        <v>0</v>
      </c>
      <c r="CE23" s="123">
        <f>MIN(CE22,Model!CE61)</f>
        <v>0</v>
      </c>
      <c r="CF23" s="123">
        <f>MIN(CF22,Model!CF61)</f>
        <v>0</v>
      </c>
      <c r="CG23" s="123">
        <f>MIN(CG22,Model!CG61)</f>
        <v>0</v>
      </c>
      <c r="CH23" s="123">
        <f>MIN(CH22,Model!CH61)</f>
        <v>0</v>
      </c>
    </row>
    <row r="24" spans="1:86" ht="15" customHeight="1" x14ac:dyDescent="0.25">
      <c r="A24" s="120" t="s">
        <v>548</v>
      </c>
      <c r="C24" s="121">
        <f t="shared" ref="C24:AH24" si="12">MAX(0,C22-C23)</f>
        <v>602667.69999999995</v>
      </c>
      <c r="D24" s="121">
        <f t="shared" si="12"/>
        <v>602667.69999999995</v>
      </c>
      <c r="E24" s="121">
        <f t="shared" si="12"/>
        <v>602667.69999999995</v>
      </c>
      <c r="F24" s="121">
        <f t="shared" si="12"/>
        <v>602667.69999999995</v>
      </c>
      <c r="G24" s="121">
        <f t="shared" si="12"/>
        <v>602667.69999999995</v>
      </c>
      <c r="H24" s="121">
        <f t="shared" si="12"/>
        <v>602667.69999999995</v>
      </c>
      <c r="I24" s="121">
        <f t="shared" si="12"/>
        <v>602667.69999999995</v>
      </c>
      <c r="J24" s="121">
        <f t="shared" si="12"/>
        <v>602667.69999999995</v>
      </c>
      <c r="K24" s="121">
        <f t="shared" si="12"/>
        <v>602667.69999999995</v>
      </c>
      <c r="L24" s="121">
        <f t="shared" si="12"/>
        <v>602667.69999999995</v>
      </c>
      <c r="M24" s="121">
        <f t="shared" si="12"/>
        <v>602667.69999999995</v>
      </c>
      <c r="N24" s="121">
        <f t="shared" si="12"/>
        <v>602667.69999999995</v>
      </c>
      <c r="O24" s="121">
        <f t="shared" si="12"/>
        <v>602667.69999999995</v>
      </c>
      <c r="P24" s="121">
        <f t="shared" si="12"/>
        <v>602667.69999999995</v>
      </c>
      <c r="Q24" s="121">
        <f t="shared" si="12"/>
        <v>602667.69999999995</v>
      </c>
      <c r="R24" s="121">
        <f t="shared" si="12"/>
        <v>602667.69999999995</v>
      </c>
      <c r="S24" s="121">
        <f t="shared" si="12"/>
        <v>602667.69999999995</v>
      </c>
      <c r="T24" s="121">
        <f t="shared" si="12"/>
        <v>602667.69999999995</v>
      </c>
      <c r="U24" s="121">
        <f t="shared" si="12"/>
        <v>602667.69999999995</v>
      </c>
      <c r="V24" s="121">
        <f t="shared" si="12"/>
        <v>602667.69999999995</v>
      </c>
      <c r="W24" s="121">
        <f t="shared" si="12"/>
        <v>602667.69999999995</v>
      </c>
      <c r="X24" s="121">
        <f t="shared" si="12"/>
        <v>602667.69999999995</v>
      </c>
      <c r="Y24" s="121">
        <f t="shared" si="12"/>
        <v>602667.69999999995</v>
      </c>
      <c r="Z24" s="121">
        <f t="shared" si="12"/>
        <v>602667.69999999995</v>
      </c>
      <c r="AA24" s="121">
        <f t="shared" si="12"/>
        <v>602667.69999999995</v>
      </c>
      <c r="AB24" s="121">
        <f t="shared" si="12"/>
        <v>602667.69999999995</v>
      </c>
      <c r="AC24" s="121">
        <f t="shared" si="12"/>
        <v>602667.69999999995</v>
      </c>
      <c r="AD24" s="121">
        <f t="shared" si="12"/>
        <v>602667.69999999995</v>
      </c>
      <c r="AE24" s="121">
        <f t="shared" si="12"/>
        <v>602667.69999999995</v>
      </c>
      <c r="AF24" s="121">
        <f t="shared" si="12"/>
        <v>602667.69999999995</v>
      </c>
      <c r="AG24" s="121">
        <f t="shared" si="12"/>
        <v>602667.69999999995</v>
      </c>
      <c r="AH24" s="121">
        <f t="shared" si="12"/>
        <v>602667.69999999995</v>
      </c>
      <c r="AI24" s="121">
        <f t="shared" ref="AI24:BN24" si="13">MAX(0,AI22-AI23)</f>
        <v>602667.69999999995</v>
      </c>
      <c r="AJ24" s="121">
        <f t="shared" si="13"/>
        <v>602667.69999999995</v>
      </c>
      <c r="AK24" s="121">
        <f t="shared" si="13"/>
        <v>602667.69999999995</v>
      </c>
      <c r="AL24" s="121">
        <f t="shared" si="13"/>
        <v>602667.69999999995</v>
      </c>
      <c r="AM24" s="121">
        <f t="shared" si="13"/>
        <v>602667.69999999995</v>
      </c>
      <c r="AN24" s="121">
        <f t="shared" si="13"/>
        <v>602667.69999999995</v>
      </c>
      <c r="AO24" s="121">
        <f t="shared" si="13"/>
        <v>602667.69999999995</v>
      </c>
      <c r="AP24" s="121">
        <f t="shared" si="13"/>
        <v>602667.69999999995</v>
      </c>
      <c r="AQ24" s="121">
        <f t="shared" si="13"/>
        <v>602667.69999999995</v>
      </c>
      <c r="AR24" s="121">
        <f t="shared" si="13"/>
        <v>602667.69999999995</v>
      </c>
      <c r="AS24" s="121">
        <f t="shared" si="13"/>
        <v>602667.69999999995</v>
      </c>
      <c r="AT24" s="121">
        <f t="shared" si="13"/>
        <v>602667.69999999995</v>
      </c>
      <c r="AU24" s="121">
        <f t="shared" si="13"/>
        <v>602667.69999999995</v>
      </c>
      <c r="AV24" s="121">
        <f t="shared" si="13"/>
        <v>602667.69999999995</v>
      </c>
      <c r="AW24" s="121">
        <f t="shared" si="13"/>
        <v>602667.69999999995</v>
      </c>
      <c r="AX24" s="121">
        <f t="shared" si="13"/>
        <v>602667.69999999995</v>
      </c>
      <c r="AY24" s="121">
        <f t="shared" si="13"/>
        <v>602667.69999999995</v>
      </c>
      <c r="AZ24" s="121">
        <f t="shared" si="13"/>
        <v>602667.69999999995</v>
      </c>
      <c r="BA24" s="121">
        <f t="shared" si="13"/>
        <v>0</v>
      </c>
      <c r="BB24" s="121">
        <f t="shared" si="13"/>
        <v>0</v>
      </c>
      <c r="BC24" s="121">
        <f t="shared" si="13"/>
        <v>0</v>
      </c>
      <c r="BD24" s="121">
        <f t="shared" si="13"/>
        <v>0</v>
      </c>
      <c r="BE24" s="121">
        <f t="shared" si="13"/>
        <v>0</v>
      </c>
      <c r="BF24" s="121">
        <f t="shared" si="13"/>
        <v>0</v>
      </c>
      <c r="BG24" s="121">
        <f t="shared" si="13"/>
        <v>0</v>
      </c>
      <c r="BH24" s="121">
        <f t="shared" si="13"/>
        <v>0</v>
      </c>
      <c r="BI24" s="121">
        <f t="shared" si="13"/>
        <v>0</v>
      </c>
      <c r="BJ24" s="121">
        <f t="shared" si="13"/>
        <v>0</v>
      </c>
      <c r="BK24" s="121">
        <f t="shared" si="13"/>
        <v>0</v>
      </c>
      <c r="BL24" s="121">
        <f t="shared" si="13"/>
        <v>0</v>
      </c>
      <c r="BM24" s="121">
        <f t="shared" si="13"/>
        <v>0</v>
      </c>
      <c r="BN24" s="121">
        <f t="shared" si="13"/>
        <v>0</v>
      </c>
      <c r="BO24" s="121">
        <f t="shared" ref="BO24:CT24" si="14">MAX(0,BO22-BO23)</f>
        <v>0</v>
      </c>
      <c r="BP24" s="121">
        <f t="shared" si="14"/>
        <v>0</v>
      </c>
      <c r="BQ24" s="121">
        <f t="shared" si="14"/>
        <v>0</v>
      </c>
      <c r="BR24" s="121">
        <f t="shared" si="14"/>
        <v>0</v>
      </c>
      <c r="BS24" s="121">
        <f t="shared" si="14"/>
        <v>0</v>
      </c>
      <c r="BT24" s="121">
        <f t="shared" si="14"/>
        <v>0</v>
      </c>
      <c r="BU24" s="121">
        <f t="shared" si="14"/>
        <v>0</v>
      </c>
      <c r="BV24" s="121">
        <f t="shared" si="14"/>
        <v>0</v>
      </c>
      <c r="BW24" s="121">
        <f t="shared" si="14"/>
        <v>0</v>
      </c>
      <c r="BX24" s="121">
        <f t="shared" si="14"/>
        <v>0</v>
      </c>
      <c r="BY24" s="121">
        <f t="shared" si="14"/>
        <v>0</v>
      </c>
      <c r="BZ24" s="121">
        <f t="shared" si="14"/>
        <v>0</v>
      </c>
      <c r="CA24" s="121">
        <f t="shared" si="14"/>
        <v>0</v>
      </c>
      <c r="CB24" s="121">
        <f t="shared" si="14"/>
        <v>0</v>
      </c>
      <c r="CC24" s="121">
        <f t="shared" si="14"/>
        <v>0</v>
      </c>
      <c r="CD24" s="121">
        <f t="shared" si="14"/>
        <v>0</v>
      </c>
      <c r="CE24" s="121">
        <f t="shared" si="14"/>
        <v>0</v>
      </c>
      <c r="CF24" s="121">
        <f t="shared" si="14"/>
        <v>0</v>
      </c>
      <c r="CG24" s="121">
        <f t="shared" si="14"/>
        <v>0</v>
      </c>
      <c r="CH24" s="121">
        <f t="shared" si="14"/>
        <v>0</v>
      </c>
    </row>
    <row r="25" spans="1:86" ht="15" customHeight="1" x14ac:dyDescent="0.25">
      <c r="A25" t="s">
        <v>549</v>
      </c>
      <c r="B25" t="s">
        <v>550</v>
      </c>
      <c r="C25" s="124">
        <f>IF(Projects!$G$14="Yes",Projects!$B$14*Assumptions!$B$47+Assumptions!$B$55*Assumptions!$B$48,0)</f>
        <v>563546.32000000007</v>
      </c>
      <c r="D25">
        <f t="shared" ref="D25:AI25" si="15">C27</f>
        <v>563546.32000000007</v>
      </c>
      <c r="E25">
        <f t="shared" si="15"/>
        <v>563546.32000000007</v>
      </c>
      <c r="F25">
        <f t="shared" si="15"/>
        <v>563546.32000000007</v>
      </c>
      <c r="G25">
        <f t="shared" si="15"/>
        <v>563546.32000000007</v>
      </c>
      <c r="H25">
        <f t="shared" si="15"/>
        <v>563546.32000000007</v>
      </c>
      <c r="I25">
        <f t="shared" si="15"/>
        <v>563546.32000000007</v>
      </c>
      <c r="J25">
        <f t="shared" si="15"/>
        <v>563546.32000000007</v>
      </c>
      <c r="K25">
        <f t="shared" si="15"/>
        <v>563546.32000000007</v>
      </c>
      <c r="L25">
        <f t="shared" si="15"/>
        <v>563546.32000000007</v>
      </c>
      <c r="M25">
        <f t="shared" si="15"/>
        <v>563546.32000000007</v>
      </c>
      <c r="N25">
        <f t="shared" si="15"/>
        <v>563546.32000000007</v>
      </c>
      <c r="O25">
        <f t="shared" si="15"/>
        <v>563546.32000000007</v>
      </c>
      <c r="P25">
        <f t="shared" si="15"/>
        <v>563546.32000000007</v>
      </c>
      <c r="Q25">
        <f t="shared" si="15"/>
        <v>563546.32000000007</v>
      </c>
      <c r="R25">
        <f t="shared" si="15"/>
        <v>563546.32000000007</v>
      </c>
      <c r="S25">
        <f t="shared" si="15"/>
        <v>563546.32000000007</v>
      </c>
      <c r="T25">
        <f t="shared" si="15"/>
        <v>563546.32000000007</v>
      </c>
      <c r="U25">
        <f t="shared" si="15"/>
        <v>563546.32000000007</v>
      </c>
      <c r="V25">
        <f t="shared" si="15"/>
        <v>563546.32000000007</v>
      </c>
      <c r="W25">
        <f t="shared" si="15"/>
        <v>563546.32000000007</v>
      </c>
      <c r="X25">
        <f t="shared" si="15"/>
        <v>563546.32000000007</v>
      </c>
      <c r="Y25">
        <f t="shared" si="15"/>
        <v>563546.32000000007</v>
      </c>
      <c r="Z25">
        <f t="shared" si="15"/>
        <v>563546.32000000007</v>
      </c>
      <c r="AA25">
        <f t="shared" si="15"/>
        <v>563546.32000000007</v>
      </c>
      <c r="AB25">
        <f t="shared" si="15"/>
        <v>563546.32000000007</v>
      </c>
      <c r="AC25">
        <f t="shared" si="15"/>
        <v>563546.32000000007</v>
      </c>
      <c r="AD25">
        <f t="shared" si="15"/>
        <v>563546.32000000007</v>
      </c>
      <c r="AE25">
        <f t="shared" si="15"/>
        <v>563546.32000000007</v>
      </c>
      <c r="AF25">
        <f t="shared" si="15"/>
        <v>563546.32000000007</v>
      </c>
      <c r="AG25">
        <f t="shared" si="15"/>
        <v>563546.32000000007</v>
      </c>
      <c r="AH25">
        <f t="shared" si="15"/>
        <v>563546.32000000007</v>
      </c>
      <c r="AI25">
        <f t="shared" si="15"/>
        <v>563546.32000000007</v>
      </c>
      <c r="AJ25">
        <f t="shared" ref="AJ25:BO25" si="16">AI27</f>
        <v>563546.32000000007</v>
      </c>
      <c r="AK25">
        <f t="shared" si="16"/>
        <v>563546.32000000007</v>
      </c>
      <c r="AL25">
        <f t="shared" si="16"/>
        <v>563546.32000000007</v>
      </c>
      <c r="AM25">
        <f t="shared" si="16"/>
        <v>563546.32000000007</v>
      </c>
      <c r="AN25">
        <f t="shared" si="16"/>
        <v>563546.32000000007</v>
      </c>
      <c r="AO25">
        <f t="shared" si="16"/>
        <v>563546.32000000007</v>
      </c>
      <c r="AP25">
        <f t="shared" si="16"/>
        <v>563546.32000000007</v>
      </c>
      <c r="AQ25">
        <f t="shared" si="16"/>
        <v>563546.32000000007</v>
      </c>
      <c r="AR25">
        <f t="shared" si="16"/>
        <v>563546.32000000007</v>
      </c>
      <c r="AS25">
        <f t="shared" si="16"/>
        <v>563546.32000000007</v>
      </c>
      <c r="AT25">
        <f t="shared" si="16"/>
        <v>563546.32000000007</v>
      </c>
      <c r="AU25">
        <f t="shared" si="16"/>
        <v>563546.32000000007</v>
      </c>
      <c r="AV25">
        <f t="shared" si="16"/>
        <v>563546.32000000007</v>
      </c>
      <c r="AW25">
        <f t="shared" si="16"/>
        <v>563546.32000000007</v>
      </c>
      <c r="AX25">
        <f t="shared" si="16"/>
        <v>563546.32000000007</v>
      </c>
      <c r="AY25">
        <f t="shared" si="16"/>
        <v>563546.32000000007</v>
      </c>
      <c r="AZ25">
        <f t="shared" si="16"/>
        <v>563546.32000000007</v>
      </c>
      <c r="BA25">
        <f t="shared" si="16"/>
        <v>563546.32000000007</v>
      </c>
      <c r="BB25">
        <f t="shared" si="16"/>
        <v>563546.32000000007</v>
      </c>
      <c r="BC25">
        <f t="shared" si="16"/>
        <v>563546.32000000007</v>
      </c>
      <c r="BD25">
        <f t="shared" si="16"/>
        <v>563546.32000000007</v>
      </c>
      <c r="BE25">
        <f t="shared" si="16"/>
        <v>563546.32000000007</v>
      </c>
      <c r="BF25">
        <f t="shared" si="16"/>
        <v>563546.32000000007</v>
      </c>
      <c r="BG25">
        <f t="shared" si="16"/>
        <v>563546.32000000007</v>
      </c>
      <c r="BH25">
        <f t="shared" si="16"/>
        <v>563546.32000000007</v>
      </c>
      <c r="BI25">
        <f t="shared" si="16"/>
        <v>563546.32000000007</v>
      </c>
      <c r="BJ25">
        <f t="shared" si="16"/>
        <v>563546.32000000007</v>
      </c>
      <c r="BK25">
        <f t="shared" si="16"/>
        <v>563546.32000000007</v>
      </c>
      <c r="BL25">
        <f t="shared" si="16"/>
        <v>563546.32000000007</v>
      </c>
      <c r="BM25">
        <f t="shared" si="16"/>
        <v>563546.32000000007</v>
      </c>
      <c r="BN25">
        <f t="shared" si="16"/>
        <v>563546.32000000007</v>
      </c>
      <c r="BO25">
        <f t="shared" si="16"/>
        <v>563546.32000000007</v>
      </c>
      <c r="BP25">
        <f t="shared" ref="BP25:CH25" si="17">BO27</f>
        <v>563546.32000000007</v>
      </c>
      <c r="BQ25">
        <f t="shared" si="17"/>
        <v>563546.32000000007</v>
      </c>
      <c r="BR25">
        <f t="shared" si="17"/>
        <v>563546.32000000007</v>
      </c>
      <c r="BS25">
        <f t="shared" si="17"/>
        <v>563546.32000000007</v>
      </c>
      <c r="BT25">
        <f t="shared" si="17"/>
        <v>563546.32000000007</v>
      </c>
      <c r="BU25">
        <f t="shared" si="17"/>
        <v>563546.32000000007</v>
      </c>
      <c r="BV25">
        <f t="shared" si="17"/>
        <v>563546.32000000007</v>
      </c>
      <c r="BW25">
        <f t="shared" si="17"/>
        <v>563546.32000000007</v>
      </c>
      <c r="BX25">
        <f t="shared" si="17"/>
        <v>563546.32000000007</v>
      </c>
      <c r="BY25">
        <f t="shared" si="17"/>
        <v>563546.32000000007</v>
      </c>
      <c r="BZ25">
        <f t="shared" si="17"/>
        <v>490390.32000000007</v>
      </c>
      <c r="CA25">
        <f t="shared" si="17"/>
        <v>490390.32000000007</v>
      </c>
      <c r="CB25">
        <f t="shared" si="17"/>
        <v>490390.32000000007</v>
      </c>
      <c r="CC25">
        <f t="shared" si="17"/>
        <v>417235.32000000007</v>
      </c>
      <c r="CD25">
        <f t="shared" si="17"/>
        <v>417235.32000000007</v>
      </c>
      <c r="CE25">
        <f t="shared" si="17"/>
        <v>417235.32000000007</v>
      </c>
      <c r="CF25">
        <f t="shared" si="17"/>
        <v>344080.32000000007</v>
      </c>
      <c r="CG25">
        <f t="shared" si="17"/>
        <v>344080.32000000007</v>
      </c>
      <c r="CH25">
        <f t="shared" si="17"/>
        <v>344080.32000000007</v>
      </c>
    </row>
    <row r="26" spans="1:86" ht="15" customHeight="1" x14ac:dyDescent="0.25">
      <c r="B26" t="s">
        <v>551</v>
      </c>
      <c r="C26" s="124">
        <f>MIN(C25,Model!C62)</f>
        <v>0</v>
      </c>
      <c r="D26">
        <f>MIN(D25,Model!D62)</f>
        <v>0</v>
      </c>
      <c r="E26">
        <f>MIN(E25,Model!E62)</f>
        <v>0</v>
      </c>
      <c r="F26">
        <f>MIN(F25,Model!F62)</f>
        <v>0</v>
      </c>
      <c r="G26">
        <f>MIN(G25,Model!G62)</f>
        <v>0</v>
      </c>
      <c r="H26">
        <f>MIN(H25,Model!H62)</f>
        <v>0</v>
      </c>
      <c r="I26">
        <f>MIN(I25,Model!I62)</f>
        <v>0</v>
      </c>
      <c r="J26">
        <f>MIN(J25,Model!J62)</f>
        <v>0</v>
      </c>
      <c r="K26">
        <f>MIN(K25,Model!K62)</f>
        <v>0</v>
      </c>
      <c r="L26">
        <f>MIN(L25,Model!L62)</f>
        <v>0</v>
      </c>
      <c r="M26">
        <f>MIN(M25,Model!M62)</f>
        <v>0</v>
      </c>
      <c r="N26">
        <f>MIN(N25,Model!N62)</f>
        <v>0</v>
      </c>
      <c r="O26">
        <f>MIN(O25,Model!O62)</f>
        <v>0</v>
      </c>
      <c r="P26">
        <f>MIN(P25,Model!P62)</f>
        <v>0</v>
      </c>
      <c r="Q26">
        <f>MIN(Q25,Model!Q62)</f>
        <v>0</v>
      </c>
      <c r="R26">
        <f>MIN(R25,Model!R62)</f>
        <v>0</v>
      </c>
      <c r="S26">
        <f>MIN(S25,Model!S62)</f>
        <v>0</v>
      </c>
      <c r="T26">
        <f>MIN(T25,Model!T62)</f>
        <v>0</v>
      </c>
      <c r="U26">
        <f>MIN(U25,Model!U62)</f>
        <v>0</v>
      </c>
      <c r="V26">
        <f>MIN(V25,Model!V62)</f>
        <v>0</v>
      </c>
      <c r="W26">
        <f>MIN(W25,Model!W62)</f>
        <v>0</v>
      </c>
      <c r="X26">
        <f>MIN(X25,Model!X62)</f>
        <v>0</v>
      </c>
      <c r="Y26">
        <f>MIN(Y25,Model!Y62)</f>
        <v>0</v>
      </c>
      <c r="Z26">
        <f>MIN(Z25,Model!Z62)</f>
        <v>0</v>
      </c>
      <c r="AA26">
        <f>MIN(AA25,Model!AA62)</f>
        <v>0</v>
      </c>
      <c r="AB26">
        <f>MIN(AB25,Model!AB62)</f>
        <v>0</v>
      </c>
      <c r="AC26">
        <f>MIN(AC25,Model!AC62)</f>
        <v>0</v>
      </c>
      <c r="AD26">
        <f>MIN(AD25,Model!AD62)</f>
        <v>0</v>
      </c>
      <c r="AE26">
        <f>MIN(AE25,Model!AE62)</f>
        <v>0</v>
      </c>
      <c r="AF26">
        <f>MIN(AF25,Model!AF62)</f>
        <v>0</v>
      </c>
      <c r="AG26">
        <f>MIN(AG25,Model!AG62)</f>
        <v>0</v>
      </c>
      <c r="AH26">
        <f>MIN(AH25,Model!AH62)</f>
        <v>0</v>
      </c>
      <c r="AI26">
        <f>MIN(AI25,Model!AI62)</f>
        <v>0</v>
      </c>
      <c r="AJ26">
        <f>MIN(AJ25,Model!AJ62)</f>
        <v>0</v>
      </c>
      <c r="AK26">
        <f>MIN(AK25,Model!AK62)</f>
        <v>0</v>
      </c>
      <c r="AL26">
        <f>MIN(AL25,Model!AL62)</f>
        <v>0</v>
      </c>
      <c r="AM26">
        <f>MIN(AM25,Model!AM62)</f>
        <v>0</v>
      </c>
      <c r="AN26">
        <f>MIN(AN25,Model!AN62)</f>
        <v>0</v>
      </c>
      <c r="AO26">
        <f>MIN(AO25,Model!AO62)</f>
        <v>0</v>
      </c>
      <c r="AP26">
        <f>MIN(AP25,Model!AP62)</f>
        <v>0</v>
      </c>
      <c r="AQ26">
        <f>MIN(AQ25,Model!AQ62)</f>
        <v>0</v>
      </c>
      <c r="AR26">
        <f>MIN(AR25,Model!AR62)</f>
        <v>0</v>
      </c>
      <c r="AS26">
        <f>MIN(AS25,Model!AS62)</f>
        <v>0</v>
      </c>
      <c r="AT26">
        <f>MIN(AT25,Model!AT62)</f>
        <v>0</v>
      </c>
      <c r="AU26">
        <f>MIN(AU25,Model!AU62)</f>
        <v>0</v>
      </c>
      <c r="AV26">
        <f>MIN(AV25,Model!AV62)</f>
        <v>0</v>
      </c>
      <c r="AW26">
        <f>MIN(AW25,Model!AW62)</f>
        <v>0</v>
      </c>
      <c r="AX26">
        <f>MIN(AX25,Model!AX62)</f>
        <v>0</v>
      </c>
      <c r="AY26">
        <f>MIN(AY25,Model!AY62)</f>
        <v>0</v>
      </c>
      <c r="AZ26">
        <f>MIN(AZ25,Model!AZ62)</f>
        <v>0</v>
      </c>
      <c r="BA26">
        <f>MIN(BA25,Model!BA62)</f>
        <v>0</v>
      </c>
      <c r="BB26">
        <f>MIN(BB25,Model!BB62)</f>
        <v>0</v>
      </c>
      <c r="BC26">
        <f>MIN(BC25,Model!BC62)</f>
        <v>0</v>
      </c>
      <c r="BD26">
        <f>MIN(BD25,Model!BD62)</f>
        <v>0</v>
      </c>
      <c r="BE26">
        <f>MIN(BE25,Model!BE62)</f>
        <v>0</v>
      </c>
      <c r="BF26">
        <f>MIN(BF25,Model!BF62)</f>
        <v>0</v>
      </c>
      <c r="BG26">
        <f>MIN(BG25,Model!BG62)</f>
        <v>0</v>
      </c>
      <c r="BH26">
        <f>MIN(BH25,Model!BH62)</f>
        <v>0</v>
      </c>
      <c r="BI26">
        <f>MIN(BI25,Model!BI62)</f>
        <v>0</v>
      </c>
      <c r="BJ26">
        <f>MIN(BJ25,Model!BJ62)</f>
        <v>0</v>
      </c>
      <c r="BK26">
        <f>MIN(BK25,Model!BK62)</f>
        <v>0</v>
      </c>
      <c r="BL26">
        <f>MIN(BL25,Model!BL62)</f>
        <v>0</v>
      </c>
      <c r="BM26">
        <f>MIN(BM25,Model!BM62)</f>
        <v>0</v>
      </c>
      <c r="BN26">
        <f>MIN(BN25,Model!BN62)</f>
        <v>0</v>
      </c>
      <c r="BO26">
        <f>MIN(BO25,Model!BO62)</f>
        <v>0</v>
      </c>
      <c r="BP26">
        <f>MIN(BP25,Model!BP62)</f>
        <v>0</v>
      </c>
      <c r="BQ26">
        <f>MIN(BQ25,Model!BQ62)</f>
        <v>0</v>
      </c>
      <c r="BR26">
        <f>MIN(BR25,Model!BR62)</f>
        <v>0</v>
      </c>
      <c r="BS26">
        <f>MIN(BS25,Model!BS62)</f>
        <v>0</v>
      </c>
      <c r="BT26">
        <f>MIN(BT25,Model!BT62)</f>
        <v>0</v>
      </c>
      <c r="BU26">
        <f>MIN(BU25,Model!BU62)</f>
        <v>0</v>
      </c>
      <c r="BV26">
        <f>MIN(BV25,Model!BV62)</f>
        <v>0</v>
      </c>
      <c r="BW26">
        <f>MIN(BW25,Model!BW62)</f>
        <v>0</v>
      </c>
      <c r="BX26">
        <f>MIN(BX25,Model!BX62)</f>
        <v>0</v>
      </c>
      <c r="BY26">
        <f>MIN(BY25,Model!BY62)</f>
        <v>73156</v>
      </c>
      <c r="BZ26">
        <f>MIN(BZ25,Model!BZ62)</f>
        <v>0</v>
      </c>
      <c r="CA26">
        <f>MIN(CA25,Model!CA62)</f>
        <v>0</v>
      </c>
      <c r="CB26">
        <f>MIN(CB25,Model!CB62)</f>
        <v>73155</v>
      </c>
      <c r="CC26">
        <f>MIN(CC25,Model!CC62)</f>
        <v>0</v>
      </c>
      <c r="CD26">
        <f>MIN(CD25,Model!CD62)</f>
        <v>0</v>
      </c>
      <c r="CE26">
        <f>MIN(CE25,Model!CE62)</f>
        <v>73155</v>
      </c>
      <c r="CF26">
        <f>MIN(CF25,Model!CF62)</f>
        <v>0</v>
      </c>
      <c r="CG26">
        <f>MIN(CG25,Model!CG62)</f>
        <v>0</v>
      </c>
      <c r="CH26">
        <f>MIN(CH25,Model!CH62)</f>
        <v>73155</v>
      </c>
    </row>
    <row r="27" spans="1:86" ht="15" customHeight="1" x14ac:dyDescent="0.25">
      <c r="B27" t="s">
        <v>552</v>
      </c>
      <c r="C27">
        <f t="shared" ref="C27:AH27" si="18">MAX(0,C25-C26)</f>
        <v>563546.32000000007</v>
      </c>
      <c r="D27">
        <f t="shared" si="18"/>
        <v>563546.32000000007</v>
      </c>
      <c r="E27">
        <f t="shared" si="18"/>
        <v>563546.32000000007</v>
      </c>
      <c r="F27">
        <f t="shared" si="18"/>
        <v>563546.32000000007</v>
      </c>
      <c r="G27">
        <f t="shared" si="18"/>
        <v>563546.32000000007</v>
      </c>
      <c r="H27">
        <f t="shared" si="18"/>
        <v>563546.32000000007</v>
      </c>
      <c r="I27">
        <f t="shared" si="18"/>
        <v>563546.32000000007</v>
      </c>
      <c r="J27">
        <f t="shared" si="18"/>
        <v>563546.32000000007</v>
      </c>
      <c r="K27">
        <f t="shared" si="18"/>
        <v>563546.32000000007</v>
      </c>
      <c r="L27">
        <f t="shared" si="18"/>
        <v>563546.32000000007</v>
      </c>
      <c r="M27">
        <f t="shared" si="18"/>
        <v>563546.32000000007</v>
      </c>
      <c r="N27">
        <f t="shared" si="18"/>
        <v>563546.32000000007</v>
      </c>
      <c r="O27">
        <f t="shared" si="18"/>
        <v>563546.32000000007</v>
      </c>
      <c r="P27">
        <f t="shared" si="18"/>
        <v>563546.32000000007</v>
      </c>
      <c r="Q27">
        <f t="shared" si="18"/>
        <v>563546.32000000007</v>
      </c>
      <c r="R27">
        <f t="shared" si="18"/>
        <v>563546.32000000007</v>
      </c>
      <c r="S27">
        <f t="shared" si="18"/>
        <v>563546.32000000007</v>
      </c>
      <c r="T27">
        <f t="shared" si="18"/>
        <v>563546.32000000007</v>
      </c>
      <c r="U27">
        <f t="shared" si="18"/>
        <v>563546.32000000007</v>
      </c>
      <c r="V27">
        <f t="shared" si="18"/>
        <v>563546.32000000007</v>
      </c>
      <c r="W27">
        <f t="shared" si="18"/>
        <v>563546.32000000007</v>
      </c>
      <c r="X27">
        <f t="shared" si="18"/>
        <v>563546.32000000007</v>
      </c>
      <c r="Y27">
        <f t="shared" si="18"/>
        <v>563546.32000000007</v>
      </c>
      <c r="Z27">
        <f t="shared" si="18"/>
        <v>563546.32000000007</v>
      </c>
      <c r="AA27">
        <f t="shared" si="18"/>
        <v>563546.32000000007</v>
      </c>
      <c r="AB27">
        <f t="shared" si="18"/>
        <v>563546.32000000007</v>
      </c>
      <c r="AC27">
        <f t="shared" si="18"/>
        <v>563546.32000000007</v>
      </c>
      <c r="AD27">
        <f t="shared" si="18"/>
        <v>563546.32000000007</v>
      </c>
      <c r="AE27">
        <f t="shared" si="18"/>
        <v>563546.32000000007</v>
      </c>
      <c r="AF27">
        <f t="shared" si="18"/>
        <v>563546.32000000007</v>
      </c>
      <c r="AG27">
        <f t="shared" si="18"/>
        <v>563546.32000000007</v>
      </c>
      <c r="AH27">
        <f t="shared" si="18"/>
        <v>563546.32000000007</v>
      </c>
      <c r="AI27">
        <f t="shared" ref="AI27:BN27" si="19">MAX(0,AI25-AI26)</f>
        <v>563546.32000000007</v>
      </c>
      <c r="AJ27">
        <f t="shared" si="19"/>
        <v>563546.32000000007</v>
      </c>
      <c r="AK27">
        <f t="shared" si="19"/>
        <v>563546.32000000007</v>
      </c>
      <c r="AL27">
        <f t="shared" si="19"/>
        <v>563546.32000000007</v>
      </c>
      <c r="AM27">
        <f t="shared" si="19"/>
        <v>563546.32000000007</v>
      </c>
      <c r="AN27">
        <f t="shared" si="19"/>
        <v>563546.32000000007</v>
      </c>
      <c r="AO27">
        <f t="shared" si="19"/>
        <v>563546.32000000007</v>
      </c>
      <c r="AP27">
        <f t="shared" si="19"/>
        <v>563546.32000000007</v>
      </c>
      <c r="AQ27">
        <f t="shared" si="19"/>
        <v>563546.32000000007</v>
      </c>
      <c r="AR27">
        <f t="shared" si="19"/>
        <v>563546.32000000007</v>
      </c>
      <c r="AS27">
        <f t="shared" si="19"/>
        <v>563546.32000000007</v>
      </c>
      <c r="AT27">
        <f t="shared" si="19"/>
        <v>563546.32000000007</v>
      </c>
      <c r="AU27">
        <f t="shared" si="19"/>
        <v>563546.32000000007</v>
      </c>
      <c r="AV27">
        <f t="shared" si="19"/>
        <v>563546.32000000007</v>
      </c>
      <c r="AW27">
        <f t="shared" si="19"/>
        <v>563546.32000000007</v>
      </c>
      <c r="AX27">
        <f t="shared" si="19"/>
        <v>563546.32000000007</v>
      </c>
      <c r="AY27">
        <f t="shared" si="19"/>
        <v>563546.32000000007</v>
      </c>
      <c r="AZ27">
        <f t="shared" si="19"/>
        <v>563546.32000000007</v>
      </c>
      <c r="BA27">
        <f t="shared" si="19"/>
        <v>563546.32000000007</v>
      </c>
      <c r="BB27">
        <f t="shared" si="19"/>
        <v>563546.32000000007</v>
      </c>
      <c r="BC27">
        <f t="shared" si="19"/>
        <v>563546.32000000007</v>
      </c>
      <c r="BD27">
        <f t="shared" si="19"/>
        <v>563546.32000000007</v>
      </c>
      <c r="BE27">
        <f t="shared" si="19"/>
        <v>563546.32000000007</v>
      </c>
      <c r="BF27">
        <f t="shared" si="19"/>
        <v>563546.32000000007</v>
      </c>
      <c r="BG27">
        <f t="shared" si="19"/>
        <v>563546.32000000007</v>
      </c>
      <c r="BH27">
        <f t="shared" si="19"/>
        <v>563546.32000000007</v>
      </c>
      <c r="BI27">
        <f t="shared" si="19"/>
        <v>563546.32000000007</v>
      </c>
      <c r="BJ27">
        <f t="shared" si="19"/>
        <v>563546.32000000007</v>
      </c>
      <c r="BK27">
        <f t="shared" si="19"/>
        <v>563546.32000000007</v>
      </c>
      <c r="BL27">
        <f t="shared" si="19"/>
        <v>563546.32000000007</v>
      </c>
      <c r="BM27">
        <f t="shared" si="19"/>
        <v>563546.32000000007</v>
      </c>
      <c r="BN27">
        <f t="shared" si="19"/>
        <v>563546.32000000007</v>
      </c>
      <c r="BO27">
        <f t="shared" ref="BO27:CT27" si="20">MAX(0,BO25-BO26)</f>
        <v>563546.32000000007</v>
      </c>
      <c r="BP27">
        <f t="shared" si="20"/>
        <v>563546.32000000007</v>
      </c>
      <c r="BQ27">
        <f t="shared" si="20"/>
        <v>563546.32000000007</v>
      </c>
      <c r="BR27">
        <f t="shared" si="20"/>
        <v>563546.32000000007</v>
      </c>
      <c r="BS27">
        <f t="shared" si="20"/>
        <v>563546.32000000007</v>
      </c>
      <c r="BT27">
        <f t="shared" si="20"/>
        <v>563546.32000000007</v>
      </c>
      <c r="BU27">
        <f t="shared" si="20"/>
        <v>563546.32000000007</v>
      </c>
      <c r="BV27">
        <f t="shared" si="20"/>
        <v>563546.32000000007</v>
      </c>
      <c r="BW27">
        <f t="shared" si="20"/>
        <v>563546.32000000007</v>
      </c>
      <c r="BX27">
        <f t="shared" si="20"/>
        <v>563546.32000000007</v>
      </c>
      <c r="BY27">
        <f t="shared" si="20"/>
        <v>490390.32000000007</v>
      </c>
      <c r="BZ27">
        <f t="shared" si="20"/>
        <v>490390.32000000007</v>
      </c>
      <c r="CA27">
        <f t="shared" si="20"/>
        <v>490390.32000000007</v>
      </c>
      <c r="CB27">
        <f t="shared" si="20"/>
        <v>417235.32000000007</v>
      </c>
      <c r="CC27">
        <f t="shared" si="20"/>
        <v>417235.32000000007</v>
      </c>
      <c r="CD27">
        <f t="shared" si="20"/>
        <v>417235.32000000007</v>
      </c>
      <c r="CE27">
        <f t="shared" si="20"/>
        <v>344080.32000000007</v>
      </c>
      <c r="CF27">
        <f t="shared" si="20"/>
        <v>344080.32000000007</v>
      </c>
      <c r="CG27">
        <f t="shared" si="20"/>
        <v>344080.32000000007</v>
      </c>
      <c r="CH27">
        <f t="shared" si="20"/>
        <v>270925.32000000007</v>
      </c>
    </row>
    <row r="30" spans="1:86" ht="15" customHeight="1" x14ac:dyDescent="0.25">
      <c r="A30" s="109" t="s">
        <v>553</v>
      </c>
      <c r="B30" s="109"/>
      <c r="C30" s="109"/>
      <c r="D30" s="109"/>
      <c r="E30" s="109"/>
      <c r="F30" s="109"/>
      <c r="G30" s="109"/>
      <c r="H30" s="109"/>
      <c r="I30" s="109"/>
    </row>
    <row r="31" spans="1:86" ht="15" customHeight="1" x14ac:dyDescent="0.25">
      <c r="A31" s="125" t="s">
        <v>554</v>
      </c>
    </row>
    <row r="32" spans="1:86" ht="15" customHeight="1" x14ac:dyDescent="0.25">
      <c r="A32" s="126" t="s">
        <v>115</v>
      </c>
      <c r="B32" s="63">
        <f>LOOKUP(2,1/(Model!C60:CH60&gt;0),Model!C60:CH60)</f>
        <v>76499</v>
      </c>
    </row>
    <row r="33" spans="1:2" ht="15" customHeight="1" x14ac:dyDescent="0.25">
      <c r="A33" s="126" t="s">
        <v>123</v>
      </c>
      <c r="B33" s="63">
        <f>LOOKUP(2,1/(Model!C62:CH62&gt;0),Model!C62:CH62)</f>
        <v>73155</v>
      </c>
    </row>
    <row r="34" spans="1:2" ht="15" customHeight="1" x14ac:dyDescent="0.25">
      <c r="A34" s="126" t="s">
        <v>120</v>
      </c>
      <c r="B34" s="63">
        <f>LOOKUP(2,1/(Model!C61:CH61&gt;0),Model!C61:CH61)</f>
        <v>81362</v>
      </c>
    </row>
    <row r="36" spans="1:2" ht="15" customHeight="1" x14ac:dyDescent="0.25">
      <c r="A36" s="125" t="s">
        <v>555</v>
      </c>
    </row>
    <row r="37" spans="1:2" ht="15" customHeight="1" x14ac:dyDescent="0.25">
      <c r="A37" s="126" t="s">
        <v>115</v>
      </c>
      <c r="B37" s="107">
        <f>SUMPRODUCT((Model!C60:CH60&gt;0)*1)</f>
        <v>15</v>
      </c>
    </row>
    <row r="38" spans="1:2" ht="15" customHeight="1" x14ac:dyDescent="0.25">
      <c r="A38" s="126" t="s">
        <v>123</v>
      </c>
      <c r="B38" s="107">
        <f>SUMPRODUCT((Model!C62:CH62&gt;0)*1)</f>
        <v>4</v>
      </c>
    </row>
    <row r="39" spans="1:2" ht="15" customHeight="1" x14ac:dyDescent="0.25">
      <c r="A39" s="126" t="s">
        <v>120</v>
      </c>
      <c r="B39" s="107">
        <f>SUMPRODUCT((Model!C61:CH61&gt;0)*1)</f>
        <v>12</v>
      </c>
    </row>
    <row r="41" spans="1:2" ht="15" customHeight="1" x14ac:dyDescent="0.25">
      <c r="A41" s="125" t="s">
        <v>556</v>
      </c>
    </row>
    <row r="42" spans="1:2" ht="15" customHeight="1" x14ac:dyDescent="0.25">
      <c r="A42" s="126" t="s">
        <v>115</v>
      </c>
      <c r="B42" s="107">
        <f>40-B37</f>
        <v>25</v>
      </c>
    </row>
    <row r="43" spans="1:2" ht="15" customHeight="1" x14ac:dyDescent="0.25">
      <c r="A43" s="126" t="s">
        <v>123</v>
      </c>
      <c r="B43" s="107">
        <f>40-B38</f>
        <v>36</v>
      </c>
    </row>
    <row r="44" spans="1:2" ht="15" customHeight="1" x14ac:dyDescent="0.25">
      <c r="A44" s="126" t="s">
        <v>120</v>
      </c>
      <c r="B44" s="107">
        <f>40-B39</f>
        <v>28</v>
      </c>
    </row>
    <row r="46" spans="1:2" ht="15" customHeight="1" x14ac:dyDescent="0.25">
      <c r="A46" s="125" t="s">
        <v>557</v>
      </c>
    </row>
    <row r="47" spans="1:2" ht="15" customHeight="1" x14ac:dyDescent="0.25">
      <c r="A47" s="126" t="s">
        <v>115</v>
      </c>
      <c r="B47" s="63">
        <f>B32*B42</f>
        <v>1912475</v>
      </c>
    </row>
    <row r="48" spans="1:2" ht="15" customHeight="1" x14ac:dyDescent="0.25">
      <c r="A48" s="126" t="s">
        <v>123</v>
      </c>
      <c r="B48" s="63">
        <f>B33*B43</f>
        <v>2633580</v>
      </c>
    </row>
    <row r="49" spans="1:7" ht="15" customHeight="1" x14ac:dyDescent="0.25">
      <c r="A49" s="126" t="s">
        <v>120</v>
      </c>
      <c r="B49" s="63">
        <f>B34*B44</f>
        <v>2278136</v>
      </c>
    </row>
    <row r="51" spans="1:7" ht="15" customHeight="1" x14ac:dyDescent="0.25">
      <c r="A51" s="109" t="s">
        <v>558</v>
      </c>
      <c r="B51" s="109"/>
      <c r="C51" s="109"/>
      <c r="D51" s="109"/>
      <c r="E51" s="109"/>
      <c r="F51" s="109"/>
      <c r="G51" s="109"/>
    </row>
    <row r="52" spans="1:7" ht="15" customHeight="1" x14ac:dyDescent="0.25">
      <c r="A52" s="125" t="s">
        <v>559</v>
      </c>
      <c r="B52" s="125" t="s">
        <v>560</v>
      </c>
      <c r="C52" s="125" t="s">
        <v>561</v>
      </c>
      <c r="D52" s="125" t="s">
        <v>562</v>
      </c>
      <c r="E52" s="125" t="s">
        <v>563</v>
      </c>
      <c r="F52" s="125" t="s">
        <v>564</v>
      </c>
      <c r="G52" s="125" t="s">
        <v>565</v>
      </c>
    </row>
    <row r="53" spans="1:7" ht="15" customHeight="1" x14ac:dyDescent="0.25">
      <c r="A53" s="107">
        <v>1</v>
      </c>
      <c r="B53" s="63">
        <f t="shared" ref="B53:B92" si="21">$B$33</f>
        <v>73155</v>
      </c>
      <c r="C53" s="63">
        <f>CH27</f>
        <v>270925.32000000007</v>
      </c>
      <c r="D53" s="63">
        <f t="shared" ref="D53:D92" si="22">MIN(C53,B53)</f>
        <v>73155</v>
      </c>
      <c r="E53" s="63">
        <f>Model!CH125</f>
        <v>570021.54700517189</v>
      </c>
      <c r="F53" s="63">
        <f>E53*Assumptions!$B$59</f>
        <v>21375.808012693946</v>
      </c>
      <c r="G53" s="63">
        <f t="shared" ref="G53:G92" si="23">MIN(E53+F53,MAX(0,B53-D53))</f>
        <v>0</v>
      </c>
    </row>
    <row r="54" spans="1:7" ht="15" customHeight="1" x14ac:dyDescent="0.25">
      <c r="A54" s="107">
        <v>2</v>
      </c>
      <c r="B54" s="63">
        <f t="shared" si="21"/>
        <v>73155</v>
      </c>
      <c r="C54" s="63">
        <f t="shared" ref="C54:C92" si="24">MAX(0,C53-D53)</f>
        <v>197770.32000000007</v>
      </c>
      <c r="D54" s="63">
        <f t="shared" si="22"/>
        <v>73155</v>
      </c>
      <c r="E54" s="63">
        <f t="shared" ref="E54:E92" si="25">MAX(0,E53+F53-G53)</f>
        <v>591397.35501786578</v>
      </c>
      <c r="F54" s="63">
        <f>E54*Assumptions!$B$59</f>
        <v>22177.400813169967</v>
      </c>
      <c r="G54" s="63">
        <f t="shared" si="23"/>
        <v>0</v>
      </c>
    </row>
    <row r="55" spans="1:7" ht="15" customHeight="1" x14ac:dyDescent="0.25">
      <c r="A55" s="107">
        <v>3</v>
      </c>
      <c r="B55" s="63">
        <f t="shared" si="21"/>
        <v>73155</v>
      </c>
      <c r="C55" s="63">
        <f t="shared" si="24"/>
        <v>124615.32000000007</v>
      </c>
      <c r="D55" s="63">
        <f t="shared" si="22"/>
        <v>73155</v>
      </c>
      <c r="E55" s="63">
        <f t="shared" si="25"/>
        <v>613574.75583103579</v>
      </c>
      <c r="F55" s="63">
        <f>E55*Assumptions!$B$59</f>
        <v>23009.05334366384</v>
      </c>
      <c r="G55" s="63">
        <f t="shared" si="23"/>
        <v>0</v>
      </c>
    </row>
    <row r="56" spans="1:7" ht="15" customHeight="1" x14ac:dyDescent="0.25">
      <c r="A56" s="107">
        <v>4</v>
      </c>
      <c r="B56" s="63">
        <f t="shared" si="21"/>
        <v>73155</v>
      </c>
      <c r="C56" s="63">
        <f t="shared" si="24"/>
        <v>51460.320000000065</v>
      </c>
      <c r="D56" s="63">
        <f t="shared" si="22"/>
        <v>51460.320000000065</v>
      </c>
      <c r="E56" s="63">
        <f t="shared" si="25"/>
        <v>636583.80917469959</v>
      </c>
      <c r="F56" s="63">
        <f>E56*Assumptions!$B$59</f>
        <v>23871.892844051235</v>
      </c>
      <c r="G56" s="63">
        <f t="shared" si="23"/>
        <v>21694.679999999935</v>
      </c>
    </row>
    <row r="57" spans="1:7" ht="15" customHeight="1" x14ac:dyDescent="0.25">
      <c r="A57" s="107">
        <v>5</v>
      </c>
      <c r="B57" s="63">
        <f t="shared" si="21"/>
        <v>73155</v>
      </c>
      <c r="C57" s="63">
        <f t="shared" si="24"/>
        <v>0</v>
      </c>
      <c r="D57" s="63">
        <f t="shared" si="22"/>
        <v>0</v>
      </c>
      <c r="E57" s="63">
        <f t="shared" si="25"/>
        <v>638761.0220187509</v>
      </c>
      <c r="F57" s="63">
        <f>E57*Assumptions!$B$59</f>
        <v>23953.538325703157</v>
      </c>
      <c r="G57" s="63">
        <f t="shared" si="23"/>
        <v>73155</v>
      </c>
    </row>
    <row r="58" spans="1:7" ht="15" customHeight="1" x14ac:dyDescent="0.25">
      <c r="A58" s="107">
        <v>6</v>
      </c>
      <c r="B58" s="63">
        <f t="shared" si="21"/>
        <v>73155</v>
      </c>
      <c r="C58" s="63">
        <f t="shared" si="24"/>
        <v>0</v>
      </c>
      <c r="D58" s="63">
        <f t="shared" si="22"/>
        <v>0</v>
      </c>
      <c r="E58" s="63">
        <f t="shared" si="25"/>
        <v>589559.56034445402</v>
      </c>
      <c r="F58" s="63">
        <f>E58*Assumptions!$B$59</f>
        <v>22108.483512917024</v>
      </c>
      <c r="G58" s="63">
        <f t="shared" si="23"/>
        <v>73155</v>
      </c>
    </row>
    <row r="59" spans="1:7" ht="15" customHeight="1" x14ac:dyDescent="0.25">
      <c r="A59" s="107">
        <v>7</v>
      </c>
      <c r="B59" s="63">
        <f t="shared" si="21"/>
        <v>73155</v>
      </c>
      <c r="C59" s="63">
        <f t="shared" si="24"/>
        <v>0</v>
      </c>
      <c r="D59" s="63">
        <f t="shared" si="22"/>
        <v>0</v>
      </c>
      <c r="E59" s="63">
        <f t="shared" si="25"/>
        <v>538513.04385737109</v>
      </c>
      <c r="F59" s="63">
        <f>E59*Assumptions!$B$59</f>
        <v>20194.239144651416</v>
      </c>
      <c r="G59" s="63">
        <f t="shared" si="23"/>
        <v>73155</v>
      </c>
    </row>
    <row r="60" spans="1:7" ht="15" customHeight="1" x14ac:dyDescent="0.25">
      <c r="A60" s="107">
        <v>8</v>
      </c>
      <c r="B60" s="63">
        <f t="shared" si="21"/>
        <v>73155</v>
      </c>
      <c r="C60" s="63">
        <f t="shared" si="24"/>
        <v>0</v>
      </c>
      <c r="D60" s="63">
        <f t="shared" si="22"/>
        <v>0</v>
      </c>
      <c r="E60" s="63">
        <f t="shared" si="25"/>
        <v>485552.28300202254</v>
      </c>
      <c r="F60" s="63">
        <f>E60*Assumptions!$B$59</f>
        <v>18208.210612575844</v>
      </c>
      <c r="G60" s="63">
        <f t="shared" si="23"/>
        <v>73155</v>
      </c>
    </row>
    <row r="61" spans="1:7" ht="15" customHeight="1" x14ac:dyDescent="0.25">
      <c r="A61" s="107">
        <v>9</v>
      </c>
      <c r="B61" s="63">
        <f t="shared" si="21"/>
        <v>73155</v>
      </c>
      <c r="C61" s="63">
        <f t="shared" si="24"/>
        <v>0</v>
      </c>
      <c r="D61" s="63">
        <f t="shared" si="22"/>
        <v>0</v>
      </c>
      <c r="E61" s="63">
        <f t="shared" si="25"/>
        <v>430605.49361459841</v>
      </c>
      <c r="F61" s="63">
        <f>E61*Assumptions!$B$59</f>
        <v>16147.706010547439</v>
      </c>
      <c r="G61" s="63">
        <f t="shared" si="23"/>
        <v>73155</v>
      </c>
    </row>
    <row r="62" spans="1:7" ht="15" customHeight="1" x14ac:dyDescent="0.25">
      <c r="A62" s="107">
        <v>10</v>
      </c>
      <c r="B62" s="63">
        <f t="shared" si="21"/>
        <v>73155</v>
      </c>
      <c r="C62" s="63">
        <f t="shared" si="24"/>
        <v>0</v>
      </c>
      <c r="D62" s="63">
        <f t="shared" si="22"/>
        <v>0</v>
      </c>
      <c r="E62" s="63">
        <f t="shared" si="25"/>
        <v>373598.19962514588</v>
      </c>
      <c r="F62" s="63">
        <f>E62*Assumptions!$B$59</f>
        <v>14009.932485942971</v>
      </c>
      <c r="G62" s="63">
        <f t="shared" si="23"/>
        <v>73155</v>
      </c>
    </row>
    <row r="63" spans="1:7" ht="15" customHeight="1" x14ac:dyDescent="0.25">
      <c r="A63" s="107">
        <v>11</v>
      </c>
      <c r="B63" s="63">
        <f t="shared" si="21"/>
        <v>73155</v>
      </c>
      <c r="C63" s="63">
        <f t="shared" si="24"/>
        <v>0</v>
      </c>
      <c r="D63" s="63">
        <f t="shared" si="22"/>
        <v>0</v>
      </c>
      <c r="E63" s="63">
        <f t="shared" si="25"/>
        <v>314453.13211108884</v>
      </c>
      <c r="F63" s="63">
        <f>E63*Assumptions!$B$59</f>
        <v>11791.992454165831</v>
      </c>
      <c r="G63" s="63">
        <f t="shared" si="23"/>
        <v>73155</v>
      </c>
    </row>
    <row r="64" spans="1:7" ht="15" customHeight="1" x14ac:dyDescent="0.25">
      <c r="A64" s="107">
        <v>12</v>
      </c>
      <c r="B64" s="63">
        <f t="shared" si="21"/>
        <v>73155</v>
      </c>
      <c r="C64" s="63">
        <f t="shared" si="24"/>
        <v>0</v>
      </c>
      <c r="D64" s="63">
        <f t="shared" si="22"/>
        <v>0</v>
      </c>
      <c r="E64" s="63">
        <f t="shared" si="25"/>
        <v>253090.12456525466</v>
      </c>
      <c r="F64" s="63">
        <f>E64*Assumptions!$B$59</f>
        <v>9490.8796711970499</v>
      </c>
      <c r="G64" s="63">
        <f t="shared" si="23"/>
        <v>73155</v>
      </c>
    </row>
    <row r="65" spans="1:7" ht="15" customHeight="1" x14ac:dyDescent="0.25">
      <c r="A65" s="107">
        <v>13</v>
      </c>
      <c r="B65" s="63">
        <f t="shared" si="21"/>
        <v>73155</v>
      </c>
      <c r="C65" s="63">
        <f t="shared" si="24"/>
        <v>0</v>
      </c>
      <c r="D65" s="63">
        <f t="shared" si="22"/>
        <v>0</v>
      </c>
      <c r="E65" s="63">
        <f t="shared" si="25"/>
        <v>189426.0042364517</v>
      </c>
      <c r="F65" s="63">
        <f>E65*Assumptions!$B$59</f>
        <v>7103.4751588669387</v>
      </c>
      <c r="G65" s="63">
        <f t="shared" si="23"/>
        <v>73155</v>
      </c>
    </row>
    <row r="66" spans="1:7" ht="15" customHeight="1" x14ac:dyDescent="0.25">
      <c r="A66" s="107">
        <v>14</v>
      </c>
      <c r="B66" s="63">
        <f t="shared" si="21"/>
        <v>73155</v>
      </c>
      <c r="C66" s="63">
        <f t="shared" si="24"/>
        <v>0</v>
      </c>
      <c r="D66" s="63">
        <f t="shared" si="22"/>
        <v>0</v>
      </c>
      <c r="E66" s="63">
        <f t="shared" si="25"/>
        <v>123374.47939531863</v>
      </c>
      <c r="F66" s="63">
        <f>E66*Assumptions!$B$59</f>
        <v>4626.5429773244487</v>
      </c>
      <c r="G66" s="63">
        <f t="shared" si="23"/>
        <v>73155</v>
      </c>
    </row>
    <row r="67" spans="1:7" ht="15" customHeight="1" x14ac:dyDescent="0.25">
      <c r="A67" s="107">
        <v>15</v>
      </c>
      <c r="B67" s="63">
        <f t="shared" si="21"/>
        <v>73155</v>
      </c>
      <c r="C67" s="63">
        <f t="shared" si="24"/>
        <v>0</v>
      </c>
      <c r="D67" s="63">
        <f t="shared" si="22"/>
        <v>0</v>
      </c>
      <c r="E67" s="63">
        <f t="shared" si="25"/>
        <v>54846.022372643085</v>
      </c>
      <c r="F67" s="63">
        <f>E67*Assumptions!$B$59</f>
        <v>2056.7258389741155</v>
      </c>
      <c r="G67" s="63">
        <f t="shared" si="23"/>
        <v>56902.748211617203</v>
      </c>
    </row>
    <row r="68" spans="1:7" ht="15" customHeight="1" x14ac:dyDescent="0.25">
      <c r="A68" s="107">
        <v>16</v>
      </c>
      <c r="B68" s="63">
        <f t="shared" si="21"/>
        <v>73155</v>
      </c>
      <c r="C68" s="63">
        <f t="shared" si="24"/>
        <v>0</v>
      </c>
      <c r="D68" s="63">
        <f t="shared" si="22"/>
        <v>0</v>
      </c>
      <c r="E68" s="63">
        <f t="shared" si="25"/>
        <v>0</v>
      </c>
      <c r="F68" s="63">
        <f>E68*Assumptions!$B$59</f>
        <v>0</v>
      </c>
      <c r="G68" s="63">
        <f t="shared" si="23"/>
        <v>0</v>
      </c>
    </row>
    <row r="69" spans="1:7" ht="15" customHeight="1" x14ac:dyDescent="0.25">
      <c r="A69" s="107">
        <v>17</v>
      </c>
      <c r="B69" s="63">
        <f t="shared" si="21"/>
        <v>73155</v>
      </c>
      <c r="C69" s="63">
        <f t="shared" si="24"/>
        <v>0</v>
      </c>
      <c r="D69" s="63">
        <f t="shared" si="22"/>
        <v>0</v>
      </c>
      <c r="E69" s="63">
        <f t="shared" si="25"/>
        <v>0</v>
      </c>
      <c r="F69" s="63">
        <f>E69*Assumptions!$B$59</f>
        <v>0</v>
      </c>
      <c r="G69" s="63">
        <f t="shared" si="23"/>
        <v>0</v>
      </c>
    </row>
    <row r="70" spans="1:7" ht="15" customHeight="1" x14ac:dyDescent="0.25">
      <c r="A70" s="107">
        <v>18</v>
      </c>
      <c r="B70" s="63">
        <f t="shared" si="21"/>
        <v>73155</v>
      </c>
      <c r="C70" s="63">
        <f t="shared" si="24"/>
        <v>0</v>
      </c>
      <c r="D70" s="63">
        <f t="shared" si="22"/>
        <v>0</v>
      </c>
      <c r="E70" s="63">
        <f t="shared" si="25"/>
        <v>0</v>
      </c>
      <c r="F70" s="63">
        <f>E70*Assumptions!$B$59</f>
        <v>0</v>
      </c>
      <c r="G70" s="63">
        <f t="shared" si="23"/>
        <v>0</v>
      </c>
    </row>
    <row r="71" spans="1:7" ht="15" customHeight="1" x14ac:dyDescent="0.25">
      <c r="A71" s="107">
        <v>19</v>
      </c>
      <c r="B71" s="63">
        <f t="shared" si="21"/>
        <v>73155</v>
      </c>
      <c r="C71" s="63">
        <f t="shared" si="24"/>
        <v>0</v>
      </c>
      <c r="D71" s="63">
        <f t="shared" si="22"/>
        <v>0</v>
      </c>
      <c r="E71" s="63">
        <f t="shared" si="25"/>
        <v>0</v>
      </c>
      <c r="F71" s="63">
        <f>E71*Assumptions!$B$59</f>
        <v>0</v>
      </c>
      <c r="G71" s="63">
        <f t="shared" si="23"/>
        <v>0</v>
      </c>
    </row>
    <row r="72" spans="1:7" ht="15" customHeight="1" x14ac:dyDescent="0.25">
      <c r="A72" s="107">
        <v>20</v>
      </c>
      <c r="B72" s="63">
        <f t="shared" si="21"/>
        <v>73155</v>
      </c>
      <c r="C72" s="63">
        <f t="shared" si="24"/>
        <v>0</v>
      </c>
      <c r="D72" s="63">
        <f t="shared" si="22"/>
        <v>0</v>
      </c>
      <c r="E72" s="63">
        <f t="shared" si="25"/>
        <v>0</v>
      </c>
      <c r="F72" s="63">
        <f>E72*Assumptions!$B$59</f>
        <v>0</v>
      </c>
      <c r="G72" s="63">
        <f t="shared" si="23"/>
        <v>0</v>
      </c>
    </row>
    <row r="73" spans="1:7" ht="15" customHeight="1" x14ac:dyDescent="0.25">
      <c r="A73" s="107">
        <v>21</v>
      </c>
      <c r="B73" s="63">
        <f t="shared" si="21"/>
        <v>73155</v>
      </c>
      <c r="C73" s="63">
        <f t="shared" si="24"/>
        <v>0</v>
      </c>
      <c r="D73" s="63">
        <f t="shared" si="22"/>
        <v>0</v>
      </c>
      <c r="E73" s="63">
        <f t="shared" si="25"/>
        <v>0</v>
      </c>
      <c r="F73" s="63">
        <f>E73*Assumptions!$B$59</f>
        <v>0</v>
      </c>
      <c r="G73" s="63">
        <f t="shared" si="23"/>
        <v>0</v>
      </c>
    </row>
    <row r="74" spans="1:7" ht="15" customHeight="1" x14ac:dyDescent="0.25">
      <c r="A74" s="107">
        <v>22</v>
      </c>
      <c r="B74" s="63">
        <f t="shared" si="21"/>
        <v>73155</v>
      </c>
      <c r="C74" s="63">
        <f t="shared" si="24"/>
        <v>0</v>
      </c>
      <c r="D74" s="63">
        <f t="shared" si="22"/>
        <v>0</v>
      </c>
      <c r="E74" s="63">
        <f t="shared" si="25"/>
        <v>0</v>
      </c>
      <c r="F74" s="63">
        <f>E74*Assumptions!$B$59</f>
        <v>0</v>
      </c>
      <c r="G74" s="63">
        <f t="shared" si="23"/>
        <v>0</v>
      </c>
    </row>
    <row r="75" spans="1:7" ht="15" customHeight="1" x14ac:dyDescent="0.25">
      <c r="A75" s="107">
        <v>23</v>
      </c>
      <c r="B75" s="63">
        <f t="shared" si="21"/>
        <v>73155</v>
      </c>
      <c r="C75" s="63">
        <f t="shared" si="24"/>
        <v>0</v>
      </c>
      <c r="D75" s="63">
        <f t="shared" si="22"/>
        <v>0</v>
      </c>
      <c r="E75" s="63">
        <f t="shared" si="25"/>
        <v>0</v>
      </c>
      <c r="F75" s="63">
        <f>E75*Assumptions!$B$59</f>
        <v>0</v>
      </c>
      <c r="G75" s="63">
        <f t="shared" si="23"/>
        <v>0</v>
      </c>
    </row>
    <row r="76" spans="1:7" ht="15" customHeight="1" x14ac:dyDescent="0.25">
      <c r="A76" s="107">
        <v>24</v>
      </c>
      <c r="B76" s="63">
        <f t="shared" si="21"/>
        <v>73155</v>
      </c>
      <c r="C76" s="63">
        <f t="shared" si="24"/>
        <v>0</v>
      </c>
      <c r="D76" s="63">
        <f t="shared" si="22"/>
        <v>0</v>
      </c>
      <c r="E76" s="63">
        <f t="shared" si="25"/>
        <v>0</v>
      </c>
      <c r="F76" s="63">
        <f>E76*Assumptions!$B$59</f>
        <v>0</v>
      </c>
      <c r="G76" s="63">
        <f t="shared" si="23"/>
        <v>0</v>
      </c>
    </row>
    <row r="77" spans="1:7" ht="15" customHeight="1" x14ac:dyDescent="0.25">
      <c r="A77" s="107">
        <v>25</v>
      </c>
      <c r="B77" s="63">
        <f t="shared" si="21"/>
        <v>73155</v>
      </c>
      <c r="C77" s="63">
        <f t="shared" si="24"/>
        <v>0</v>
      </c>
      <c r="D77" s="63">
        <f t="shared" si="22"/>
        <v>0</v>
      </c>
      <c r="E77" s="63">
        <f t="shared" si="25"/>
        <v>0</v>
      </c>
      <c r="F77" s="63">
        <f>E77*Assumptions!$B$59</f>
        <v>0</v>
      </c>
      <c r="G77" s="63">
        <f t="shared" si="23"/>
        <v>0</v>
      </c>
    </row>
    <row r="78" spans="1:7" ht="15" customHeight="1" x14ac:dyDescent="0.25">
      <c r="A78" s="107">
        <v>26</v>
      </c>
      <c r="B78" s="63">
        <f t="shared" si="21"/>
        <v>73155</v>
      </c>
      <c r="C78" s="63">
        <f t="shared" si="24"/>
        <v>0</v>
      </c>
      <c r="D78" s="63">
        <f t="shared" si="22"/>
        <v>0</v>
      </c>
      <c r="E78" s="63">
        <f t="shared" si="25"/>
        <v>0</v>
      </c>
      <c r="F78" s="63">
        <f>E78*Assumptions!$B$59</f>
        <v>0</v>
      </c>
      <c r="G78" s="63">
        <f t="shared" si="23"/>
        <v>0</v>
      </c>
    </row>
    <row r="79" spans="1:7" ht="15" customHeight="1" x14ac:dyDescent="0.25">
      <c r="A79" s="107">
        <v>27</v>
      </c>
      <c r="B79" s="63">
        <f t="shared" si="21"/>
        <v>73155</v>
      </c>
      <c r="C79" s="63">
        <f t="shared" si="24"/>
        <v>0</v>
      </c>
      <c r="D79" s="63">
        <f t="shared" si="22"/>
        <v>0</v>
      </c>
      <c r="E79" s="63">
        <f t="shared" si="25"/>
        <v>0</v>
      </c>
      <c r="F79" s="63">
        <f>E79*Assumptions!$B$59</f>
        <v>0</v>
      </c>
      <c r="G79" s="63">
        <f t="shared" si="23"/>
        <v>0</v>
      </c>
    </row>
    <row r="80" spans="1:7" ht="15" customHeight="1" x14ac:dyDescent="0.25">
      <c r="A80" s="107">
        <v>28</v>
      </c>
      <c r="B80" s="63">
        <f t="shared" si="21"/>
        <v>73155</v>
      </c>
      <c r="C80" s="63">
        <f t="shared" si="24"/>
        <v>0</v>
      </c>
      <c r="D80" s="63">
        <f t="shared" si="22"/>
        <v>0</v>
      </c>
      <c r="E80" s="63">
        <f t="shared" si="25"/>
        <v>0</v>
      </c>
      <c r="F80" s="63">
        <f>E80*Assumptions!$B$59</f>
        <v>0</v>
      </c>
      <c r="G80" s="63">
        <f t="shared" si="23"/>
        <v>0</v>
      </c>
    </row>
    <row r="81" spans="1:7" ht="15" customHeight="1" x14ac:dyDescent="0.25">
      <c r="A81" s="107">
        <v>29</v>
      </c>
      <c r="B81" s="63">
        <f t="shared" si="21"/>
        <v>73155</v>
      </c>
      <c r="C81" s="63">
        <f t="shared" si="24"/>
        <v>0</v>
      </c>
      <c r="D81" s="63">
        <f t="shared" si="22"/>
        <v>0</v>
      </c>
      <c r="E81" s="63">
        <f t="shared" si="25"/>
        <v>0</v>
      </c>
      <c r="F81" s="63">
        <f>E81*Assumptions!$B$59</f>
        <v>0</v>
      </c>
      <c r="G81" s="63">
        <f t="shared" si="23"/>
        <v>0</v>
      </c>
    </row>
    <row r="82" spans="1:7" ht="15" customHeight="1" x14ac:dyDescent="0.25">
      <c r="A82" s="107">
        <v>30</v>
      </c>
      <c r="B82" s="63">
        <f t="shared" si="21"/>
        <v>73155</v>
      </c>
      <c r="C82" s="63">
        <f t="shared" si="24"/>
        <v>0</v>
      </c>
      <c r="D82" s="63">
        <f t="shared" si="22"/>
        <v>0</v>
      </c>
      <c r="E82" s="63">
        <f t="shared" si="25"/>
        <v>0</v>
      </c>
      <c r="F82" s="63">
        <f>E82*Assumptions!$B$59</f>
        <v>0</v>
      </c>
      <c r="G82" s="63">
        <f t="shared" si="23"/>
        <v>0</v>
      </c>
    </row>
    <row r="83" spans="1:7" ht="15" customHeight="1" x14ac:dyDescent="0.25">
      <c r="A83" s="107">
        <v>31</v>
      </c>
      <c r="B83" s="63">
        <f t="shared" si="21"/>
        <v>73155</v>
      </c>
      <c r="C83" s="63">
        <f t="shared" si="24"/>
        <v>0</v>
      </c>
      <c r="D83" s="63">
        <f t="shared" si="22"/>
        <v>0</v>
      </c>
      <c r="E83" s="63">
        <f t="shared" si="25"/>
        <v>0</v>
      </c>
      <c r="F83" s="63">
        <f>E83*Assumptions!$B$59</f>
        <v>0</v>
      </c>
      <c r="G83" s="63">
        <f t="shared" si="23"/>
        <v>0</v>
      </c>
    </row>
    <row r="84" spans="1:7" ht="15" customHeight="1" x14ac:dyDescent="0.25">
      <c r="A84" s="107">
        <v>32</v>
      </c>
      <c r="B84" s="63">
        <f t="shared" si="21"/>
        <v>73155</v>
      </c>
      <c r="C84" s="63">
        <f t="shared" si="24"/>
        <v>0</v>
      </c>
      <c r="D84" s="63">
        <f t="shared" si="22"/>
        <v>0</v>
      </c>
      <c r="E84" s="63">
        <f t="shared" si="25"/>
        <v>0</v>
      </c>
      <c r="F84" s="63">
        <f>E84*Assumptions!$B$59</f>
        <v>0</v>
      </c>
      <c r="G84" s="63">
        <f t="shared" si="23"/>
        <v>0</v>
      </c>
    </row>
    <row r="85" spans="1:7" ht="15" customHeight="1" x14ac:dyDescent="0.25">
      <c r="A85" s="107">
        <v>33</v>
      </c>
      <c r="B85" s="63">
        <f t="shared" si="21"/>
        <v>73155</v>
      </c>
      <c r="C85" s="63">
        <f t="shared" si="24"/>
        <v>0</v>
      </c>
      <c r="D85" s="63">
        <f t="shared" si="22"/>
        <v>0</v>
      </c>
      <c r="E85" s="63">
        <f t="shared" si="25"/>
        <v>0</v>
      </c>
      <c r="F85" s="63">
        <f>E85*Assumptions!$B$59</f>
        <v>0</v>
      </c>
      <c r="G85" s="63">
        <f t="shared" si="23"/>
        <v>0</v>
      </c>
    </row>
    <row r="86" spans="1:7" ht="15" customHeight="1" x14ac:dyDescent="0.25">
      <c r="A86" s="107">
        <v>34</v>
      </c>
      <c r="B86" s="63">
        <f t="shared" si="21"/>
        <v>73155</v>
      </c>
      <c r="C86" s="63">
        <f t="shared" si="24"/>
        <v>0</v>
      </c>
      <c r="D86" s="63">
        <f t="shared" si="22"/>
        <v>0</v>
      </c>
      <c r="E86" s="63">
        <f t="shared" si="25"/>
        <v>0</v>
      </c>
      <c r="F86" s="63">
        <f>E86*Assumptions!$B$59</f>
        <v>0</v>
      </c>
      <c r="G86" s="63">
        <f t="shared" si="23"/>
        <v>0</v>
      </c>
    </row>
    <row r="87" spans="1:7" ht="15" customHeight="1" x14ac:dyDescent="0.25">
      <c r="A87" s="107">
        <v>35</v>
      </c>
      <c r="B87" s="63">
        <f t="shared" si="21"/>
        <v>73155</v>
      </c>
      <c r="C87" s="63">
        <f t="shared" si="24"/>
        <v>0</v>
      </c>
      <c r="D87" s="63">
        <f t="shared" si="22"/>
        <v>0</v>
      </c>
      <c r="E87" s="63">
        <f t="shared" si="25"/>
        <v>0</v>
      </c>
      <c r="F87" s="63">
        <f>E87*Assumptions!$B$59</f>
        <v>0</v>
      </c>
      <c r="G87" s="63">
        <f t="shared" si="23"/>
        <v>0</v>
      </c>
    </row>
    <row r="88" spans="1:7" ht="15" customHeight="1" x14ac:dyDescent="0.25">
      <c r="A88" s="107">
        <v>36</v>
      </c>
      <c r="B88" s="63">
        <f t="shared" si="21"/>
        <v>73155</v>
      </c>
      <c r="C88" s="63">
        <f t="shared" si="24"/>
        <v>0</v>
      </c>
      <c r="D88" s="63">
        <f t="shared" si="22"/>
        <v>0</v>
      </c>
      <c r="E88" s="63">
        <f t="shared" si="25"/>
        <v>0</v>
      </c>
      <c r="F88" s="63">
        <f>E88*Assumptions!$B$59</f>
        <v>0</v>
      </c>
      <c r="G88" s="63">
        <f t="shared" si="23"/>
        <v>0</v>
      </c>
    </row>
    <row r="89" spans="1:7" ht="15" customHeight="1" x14ac:dyDescent="0.25">
      <c r="A89" s="107">
        <v>37</v>
      </c>
      <c r="B89" s="63">
        <f t="shared" si="21"/>
        <v>73155</v>
      </c>
      <c r="C89" s="63">
        <f t="shared" si="24"/>
        <v>0</v>
      </c>
      <c r="D89" s="63">
        <f t="shared" si="22"/>
        <v>0</v>
      </c>
      <c r="E89" s="63">
        <f t="shared" si="25"/>
        <v>0</v>
      </c>
      <c r="F89" s="63">
        <f>E89*Assumptions!$B$59</f>
        <v>0</v>
      </c>
      <c r="G89" s="63">
        <f t="shared" si="23"/>
        <v>0</v>
      </c>
    </row>
    <row r="90" spans="1:7" ht="15" customHeight="1" x14ac:dyDescent="0.25">
      <c r="A90" s="107">
        <v>38</v>
      </c>
      <c r="B90" s="63">
        <f t="shared" si="21"/>
        <v>73155</v>
      </c>
      <c r="C90" s="63">
        <f t="shared" si="24"/>
        <v>0</v>
      </c>
      <c r="D90" s="63">
        <f t="shared" si="22"/>
        <v>0</v>
      </c>
      <c r="E90" s="63">
        <f t="shared" si="25"/>
        <v>0</v>
      </c>
      <c r="F90" s="63">
        <f>E90*Assumptions!$B$59</f>
        <v>0</v>
      </c>
      <c r="G90" s="63">
        <f t="shared" si="23"/>
        <v>0</v>
      </c>
    </row>
    <row r="91" spans="1:7" ht="15" customHeight="1" x14ac:dyDescent="0.25">
      <c r="A91" s="107">
        <v>39</v>
      </c>
      <c r="B91" s="63">
        <f t="shared" si="21"/>
        <v>73155</v>
      </c>
      <c r="C91" s="63">
        <f t="shared" si="24"/>
        <v>0</v>
      </c>
      <c r="D91" s="63">
        <f t="shared" si="22"/>
        <v>0</v>
      </c>
      <c r="E91" s="63">
        <f t="shared" si="25"/>
        <v>0</v>
      </c>
      <c r="F91" s="63">
        <f>E91*Assumptions!$B$59</f>
        <v>0</v>
      </c>
      <c r="G91" s="63">
        <f t="shared" si="23"/>
        <v>0</v>
      </c>
    </row>
    <row r="92" spans="1:7" ht="15" customHeight="1" x14ac:dyDescent="0.25">
      <c r="A92" s="107">
        <v>40</v>
      </c>
      <c r="B92" s="63">
        <f t="shared" si="21"/>
        <v>73155</v>
      </c>
      <c r="C92" s="63">
        <f t="shared" si="24"/>
        <v>0</v>
      </c>
      <c r="D92" s="63">
        <f t="shared" si="22"/>
        <v>0</v>
      </c>
      <c r="E92" s="63">
        <f t="shared" si="25"/>
        <v>0</v>
      </c>
      <c r="F92" s="63">
        <f>E92*Assumptions!$B$59</f>
        <v>0</v>
      </c>
      <c r="G92" s="63">
        <f t="shared" si="23"/>
        <v>0</v>
      </c>
    </row>
    <row r="93" spans="1:7" ht="15" customHeight="1" x14ac:dyDescent="0.25">
      <c r="A93" s="125" t="s">
        <v>566</v>
      </c>
      <c r="D93" s="127">
        <f>SUM(D53:D92)</f>
        <v>270925.32000000007</v>
      </c>
      <c r="F93" s="127">
        <f>SUM(F53:F92)</f>
        <v>240125.88120644525</v>
      </c>
      <c r="G93" s="127">
        <f>SUM(G53:G92)</f>
        <v>810147.42821161717</v>
      </c>
    </row>
  </sheetData>
  <mergeCells count="1">
    <mergeCell ref="A1:D1"/>
  </mergeCells>
  <pageMargins left="0.75" right="0.75" top="1" bottom="1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C4581A"/>
  </sheetPr>
  <dimension ref="A1:CH107"/>
  <sheetViews>
    <sheetView zoomScaleNormal="100" workbookViewId="0"/>
  </sheetViews>
  <sheetFormatPr defaultColWidth="8.7109375" defaultRowHeight="15" customHeight="1" x14ac:dyDescent="0.25"/>
  <cols>
    <col min="1" max="1" width="40" customWidth="1"/>
    <col min="2" max="86" width="27" customWidth="1"/>
  </cols>
  <sheetData>
    <row r="1" spans="1:11" ht="15" customHeight="1" x14ac:dyDescent="0.25">
      <c r="A1" s="128" t="s">
        <v>567</v>
      </c>
    </row>
    <row r="2" spans="1:11" ht="15" customHeight="1" x14ac:dyDescent="0.25">
      <c r="A2" s="107" t="s">
        <v>6</v>
      </c>
      <c r="B2" s="4" t="s">
        <v>343</v>
      </c>
    </row>
    <row r="4" spans="1:11" ht="15" customHeight="1" x14ac:dyDescent="0.25">
      <c r="A4" s="129" t="s">
        <v>568</v>
      </c>
      <c r="B4" s="129"/>
      <c r="C4" s="129"/>
      <c r="D4" s="129"/>
      <c r="E4" s="129"/>
      <c r="F4" s="129"/>
      <c r="G4" s="129"/>
      <c r="H4" s="129"/>
      <c r="I4" s="129"/>
      <c r="J4" s="129"/>
      <c r="K4" s="129"/>
    </row>
    <row r="5" spans="1:11" ht="15" customHeight="1" x14ac:dyDescent="0.25">
      <c r="A5" s="107" t="s">
        <v>569</v>
      </c>
      <c r="B5" s="107" t="s">
        <v>567</v>
      </c>
    </row>
    <row r="6" spans="1:11" ht="15" customHeight="1" x14ac:dyDescent="0.25">
      <c r="A6" s="107" t="s">
        <v>570</v>
      </c>
      <c r="B6" s="107" t="s">
        <v>571</v>
      </c>
    </row>
    <row r="7" spans="1:11" ht="15" customHeight="1" x14ac:dyDescent="0.25">
      <c r="A7" s="107" t="s">
        <v>572</v>
      </c>
      <c r="B7" s="130">
        <v>60</v>
      </c>
    </row>
    <row r="8" spans="1:11" ht="15" customHeight="1" x14ac:dyDescent="0.25">
      <c r="A8" s="107" t="s">
        <v>573</v>
      </c>
      <c r="B8" s="107" t="s">
        <v>574</v>
      </c>
    </row>
    <row r="9" spans="1:11" ht="15" customHeight="1" x14ac:dyDescent="0.25">
      <c r="A9" s="107" t="s">
        <v>575</v>
      </c>
      <c r="B9" s="63">
        <v>1400000</v>
      </c>
    </row>
    <row r="10" spans="1:11" ht="15" customHeight="1" x14ac:dyDescent="0.25">
      <c r="A10" s="107" t="s">
        <v>576</v>
      </c>
      <c r="B10" s="63">
        <v>1609391</v>
      </c>
    </row>
    <row r="11" spans="1:11" ht="15" customHeight="1" x14ac:dyDescent="0.25">
      <c r="A11" s="107" t="s">
        <v>577</v>
      </c>
      <c r="B11" s="63">
        <v>3419763</v>
      </c>
    </row>
    <row r="12" spans="1:11" ht="15" customHeight="1" x14ac:dyDescent="0.25">
      <c r="A12" s="107" t="s">
        <v>531</v>
      </c>
      <c r="B12" s="5">
        <f>B16</f>
        <v>9009665</v>
      </c>
    </row>
    <row r="14" spans="1:11" ht="15" customHeight="1" x14ac:dyDescent="0.25">
      <c r="A14" s="131" t="s">
        <v>578</v>
      </c>
      <c r="B14" s="131"/>
      <c r="C14" s="131"/>
      <c r="D14" s="131"/>
      <c r="E14" s="131"/>
      <c r="F14" s="131"/>
      <c r="G14" s="131"/>
      <c r="H14" s="131"/>
      <c r="I14" s="131"/>
      <c r="J14" s="131"/>
      <c r="K14" s="131"/>
    </row>
    <row r="15" spans="1:11" ht="15" customHeight="1" x14ac:dyDescent="0.25">
      <c r="B15" s="132" t="s">
        <v>381</v>
      </c>
      <c r="C15" s="132" t="s">
        <v>67</v>
      </c>
      <c r="D15" s="132" t="s">
        <v>68</v>
      </c>
      <c r="E15" s="132" t="s">
        <v>69</v>
      </c>
      <c r="F15" s="132" t="s">
        <v>70</v>
      </c>
      <c r="G15" s="132" t="s">
        <v>71</v>
      </c>
      <c r="H15" s="132" t="s">
        <v>72</v>
      </c>
      <c r="I15" s="132" t="s">
        <v>73</v>
      </c>
      <c r="J15" s="132" t="s">
        <v>74</v>
      </c>
    </row>
    <row r="16" spans="1:11" ht="15" customHeight="1" x14ac:dyDescent="0.25">
      <c r="A16" s="107" t="s">
        <v>531</v>
      </c>
      <c r="B16" s="5">
        <f t="shared" ref="B16:B24" si="0">C16+D16+E16+F16+G16+H16+I16+J16</f>
        <v>9009665</v>
      </c>
      <c r="C16" s="63">
        <f t="shared" ref="C16:C24" si="1">SUM(C99:K99)</f>
        <v>0</v>
      </c>
      <c r="D16" s="63">
        <f t="shared" ref="D16:D24" si="2">SUM(L99:W99)</f>
        <v>1084381.6599999999</v>
      </c>
      <c r="E16" s="63">
        <f t="shared" ref="E16:E24" si="3">SUM(X99:AI99)</f>
        <v>3698017.3899999997</v>
      </c>
      <c r="F16" s="63">
        <f t="shared" ref="F16:F24" si="4">SUM(AJ99:AU99)</f>
        <v>2427299.0100000002</v>
      </c>
      <c r="G16" s="63">
        <f t="shared" ref="G16:G24" si="5">SUM(AV99:BG99)</f>
        <v>1369332.42</v>
      </c>
      <c r="H16" s="63">
        <f t="shared" ref="H16:H24" si="6">SUM(BH99:BS99)</f>
        <v>430634.52</v>
      </c>
      <c r="I16" s="63">
        <f t="shared" ref="I16:I24" si="7">SUM(BT99:CE99)</f>
        <v>0</v>
      </c>
      <c r="J16" s="63">
        <f t="shared" ref="J16:J24" si="8">SUM(CF99:CH99)</f>
        <v>0</v>
      </c>
    </row>
    <row r="17" spans="1:11" ht="15" customHeight="1" x14ac:dyDescent="0.25">
      <c r="A17" s="107" t="s">
        <v>579</v>
      </c>
      <c r="B17" s="5">
        <f t="shared" si="0"/>
        <v>-1500039</v>
      </c>
      <c r="C17" s="63">
        <f t="shared" si="1"/>
        <v>0</v>
      </c>
      <c r="D17" s="63">
        <f t="shared" si="2"/>
        <v>-202088</v>
      </c>
      <c r="E17" s="63">
        <f t="shared" si="3"/>
        <v>-397927</v>
      </c>
      <c r="F17" s="63">
        <f t="shared" si="4"/>
        <v>-450012</v>
      </c>
      <c r="G17" s="63">
        <f t="shared" si="5"/>
        <v>-450012</v>
      </c>
      <c r="H17" s="63">
        <f t="shared" si="6"/>
        <v>0</v>
      </c>
      <c r="I17" s="63">
        <f t="shared" si="7"/>
        <v>0</v>
      </c>
      <c r="J17" s="63">
        <f t="shared" si="8"/>
        <v>0</v>
      </c>
    </row>
    <row r="18" spans="1:11" ht="15" customHeight="1" x14ac:dyDescent="0.25">
      <c r="A18" s="107" t="s">
        <v>580</v>
      </c>
      <c r="B18" s="5">
        <f t="shared" si="0"/>
        <v>-456000</v>
      </c>
      <c r="C18" s="63">
        <f t="shared" si="1"/>
        <v>0</v>
      </c>
      <c r="D18" s="63">
        <f t="shared" si="2"/>
        <v>-114000</v>
      </c>
      <c r="E18" s="63">
        <f t="shared" si="3"/>
        <v>-114000</v>
      </c>
      <c r="F18" s="63">
        <f t="shared" si="4"/>
        <v>-114000</v>
      </c>
      <c r="G18" s="63">
        <f t="shared" si="5"/>
        <v>-114000</v>
      </c>
      <c r="H18" s="63">
        <f t="shared" si="6"/>
        <v>0</v>
      </c>
      <c r="I18" s="63">
        <f t="shared" si="7"/>
        <v>0</v>
      </c>
      <c r="J18" s="63">
        <f t="shared" si="8"/>
        <v>0</v>
      </c>
    </row>
    <row r="19" spans="1:11" ht="15" customHeight="1" x14ac:dyDescent="0.25">
      <c r="A19" s="133" t="s">
        <v>581</v>
      </c>
      <c r="B19" s="134">
        <f t="shared" si="0"/>
        <v>7053626</v>
      </c>
      <c r="C19" s="134">
        <f t="shared" si="1"/>
        <v>0</v>
      </c>
      <c r="D19" s="134">
        <f t="shared" si="2"/>
        <v>768293.65999999992</v>
      </c>
      <c r="E19" s="134">
        <f t="shared" si="3"/>
        <v>3186090.3899999997</v>
      </c>
      <c r="F19" s="134">
        <f t="shared" si="4"/>
        <v>1863287.0100000002</v>
      </c>
      <c r="G19" s="134">
        <f t="shared" si="5"/>
        <v>805320.42000000016</v>
      </c>
      <c r="H19" s="134">
        <f t="shared" si="6"/>
        <v>430634.52</v>
      </c>
      <c r="I19" s="134">
        <f t="shared" si="7"/>
        <v>0</v>
      </c>
      <c r="J19" s="134">
        <f t="shared" si="8"/>
        <v>0</v>
      </c>
    </row>
    <row r="20" spans="1:11" ht="15" customHeight="1" x14ac:dyDescent="0.25">
      <c r="A20" s="107" t="s">
        <v>582</v>
      </c>
      <c r="B20" s="5">
        <f t="shared" si="0"/>
        <v>563192.61699999997</v>
      </c>
      <c r="C20" s="63">
        <f t="shared" si="1"/>
        <v>0</v>
      </c>
      <c r="D20" s="63">
        <f t="shared" si="2"/>
        <v>93581.82</v>
      </c>
      <c r="E20" s="63">
        <f t="shared" si="3"/>
        <v>150000</v>
      </c>
      <c r="F20" s="63">
        <f t="shared" si="4"/>
        <v>148450.302</v>
      </c>
      <c r="G20" s="63">
        <f t="shared" si="5"/>
        <v>136933.242</v>
      </c>
      <c r="H20" s="63">
        <f t="shared" si="6"/>
        <v>34227.253000000004</v>
      </c>
      <c r="I20" s="63">
        <f t="shared" si="7"/>
        <v>0</v>
      </c>
      <c r="J20" s="63">
        <f t="shared" si="8"/>
        <v>0</v>
      </c>
    </row>
    <row r="21" spans="1:11" ht="15" customHeight="1" x14ac:dyDescent="0.25">
      <c r="A21" s="133" t="s">
        <v>583</v>
      </c>
      <c r="B21" s="134">
        <f t="shared" si="0"/>
        <v>6490433.3829999994</v>
      </c>
      <c r="C21" s="134">
        <f t="shared" si="1"/>
        <v>0</v>
      </c>
      <c r="D21" s="134">
        <f t="shared" si="2"/>
        <v>674711.83999999985</v>
      </c>
      <c r="E21" s="134">
        <f t="shared" si="3"/>
        <v>3036090.3899999997</v>
      </c>
      <c r="F21" s="134">
        <f t="shared" si="4"/>
        <v>1714836.7080000001</v>
      </c>
      <c r="G21" s="134">
        <f t="shared" si="5"/>
        <v>668387.17799999996</v>
      </c>
      <c r="H21" s="134">
        <f t="shared" si="6"/>
        <v>396407.26699999999</v>
      </c>
      <c r="I21" s="134">
        <f t="shared" si="7"/>
        <v>0</v>
      </c>
      <c r="J21" s="134">
        <f t="shared" si="8"/>
        <v>0</v>
      </c>
    </row>
    <row r="22" spans="1:11" ht="15" customHeight="1" x14ac:dyDescent="0.25">
      <c r="A22" s="107" t="s">
        <v>584</v>
      </c>
      <c r="B22" s="5">
        <f t="shared" si="0"/>
        <v>2951665.926</v>
      </c>
      <c r="C22" s="63">
        <f t="shared" si="1"/>
        <v>0</v>
      </c>
      <c r="D22" s="63">
        <f t="shared" si="2"/>
        <v>269884.73600000003</v>
      </c>
      <c r="E22" s="63">
        <f t="shared" si="3"/>
        <v>1335772.7319999998</v>
      </c>
      <c r="F22" s="63">
        <f t="shared" si="4"/>
        <v>813611.23549999995</v>
      </c>
      <c r="G22" s="63">
        <f t="shared" si="5"/>
        <v>334193.58899999998</v>
      </c>
      <c r="H22" s="63">
        <f t="shared" si="6"/>
        <v>198203.6335</v>
      </c>
      <c r="I22" s="63">
        <f t="shared" si="7"/>
        <v>0</v>
      </c>
      <c r="J22" s="63">
        <f t="shared" si="8"/>
        <v>0</v>
      </c>
    </row>
    <row r="23" spans="1:11" ht="15" customHeight="1" x14ac:dyDescent="0.25">
      <c r="A23" s="107" t="s">
        <v>585</v>
      </c>
      <c r="B23" s="5">
        <f t="shared" si="0"/>
        <v>3538767.4570000004</v>
      </c>
      <c r="C23" s="63">
        <f t="shared" si="1"/>
        <v>0</v>
      </c>
      <c r="D23" s="63">
        <f t="shared" si="2"/>
        <v>404827.10399999993</v>
      </c>
      <c r="E23" s="63">
        <f t="shared" si="3"/>
        <v>1700317.6580000001</v>
      </c>
      <c r="F23" s="63">
        <f t="shared" si="4"/>
        <v>901225.47249999992</v>
      </c>
      <c r="G23" s="63">
        <f t="shared" si="5"/>
        <v>334193.58899999998</v>
      </c>
      <c r="H23" s="63">
        <f t="shared" si="6"/>
        <v>198203.6335</v>
      </c>
      <c r="I23" s="63">
        <f t="shared" si="7"/>
        <v>0</v>
      </c>
      <c r="J23" s="63">
        <f t="shared" si="8"/>
        <v>0</v>
      </c>
    </row>
    <row r="24" spans="1:11" ht="15" customHeight="1" x14ac:dyDescent="0.25">
      <c r="A24" s="135" t="s">
        <v>586</v>
      </c>
      <c r="B24" s="136">
        <f t="shared" si="0"/>
        <v>4101960.074</v>
      </c>
      <c r="C24" s="136">
        <f t="shared" si="1"/>
        <v>0</v>
      </c>
      <c r="D24" s="136">
        <f t="shared" si="2"/>
        <v>498408.924</v>
      </c>
      <c r="E24" s="136">
        <f t="shared" si="3"/>
        <v>1850317.6580000001</v>
      </c>
      <c r="F24" s="136">
        <f t="shared" si="4"/>
        <v>1049675.7745000001</v>
      </c>
      <c r="G24" s="136">
        <f t="shared" si="5"/>
        <v>471126.83100000001</v>
      </c>
      <c r="H24" s="136">
        <f t="shared" si="6"/>
        <v>232430.88650000002</v>
      </c>
      <c r="I24" s="136">
        <f t="shared" si="7"/>
        <v>0</v>
      </c>
      <c r="J24" s="136">
        <f t="shared" si="8"/>
        <v>0</v>
      </c>
    </row>
    <row r="26" spans="1:11" ht="15" customHeight="1" x14ac:dyDescent="0.25">
      <c r="A26" s="137" t="s">
        <v>587</v>
      </c>
      <c r="B26" s="137"/>
      <c r="C26" s="137"/>
      <c r="D26" s="137"/>
      <c r="E26" s="137"/>
      <c r="F26" s="137"/>
      <c r="G26" s="137"/>
      <c r="H26" s="137"/>
      <c r="I26" s="137"/>
      <c r="J26" s="137"/>
      <c r="K26" s="137"/>
    </row>
    <row r="27" spans="1:11" ht="15" customHeight="1" x14ac:dyDescent="0.25">
      <c r="A27" s="138" t="s">
        <v>588</v>
      </c>
      <c r="B27" s="138" t="s">
        <v>589</v>
      </c>
      <c r="C27" s="138" t="s">
        <v>590</v>
      </c>
      <c r="D27" s="138" t="s">
        <v>575</v>
      </c>
      <c r="E27" s="138" t="s">
        <v>591</v>
      </c>
    </row>
    <row r="28" spans="1:11" ht="15" customHeight="1" x14ac:dyDescent="0.25">
      <c r="A28" s="107" t="s">
        <v>592</v>
      </c>
      <c r="B28" s="130">
        <v>6</v>
      </c>
      <c r="C28" s="107" t="s">
        <v>593</v>
      </c>
      <c r="D28" s="63">
        <v>1400000</v>
      </c>
      <c r="E28" s="139" t="s">
        <v>594</v>
      </c>
    </row>
    <row r="29" spans="1:11" ht="15" customHeight="1" x14ac:dyDescent="0.25">
      <c r="A29" s="107" t="s">
        <v>595</v>
      </c>
      <c r="B29" s="130">
        <v>18</v>
      </c>
      <c r="C29" s="107" t="s">
        <v>596</v>
      </c>
      <c r="D29" s="63">
        <v>1400000</v>
      </c>
      <c r="E29" s="139" t="s">
        <v>597</v>
      </c>
    </row>
    <row r="30" spans="1:11" ht="15" customHeight="1" x14ac:dyDescent="0.25">
      <c r="A30" s="107" t="s">
        <v>598</v>
      </c>
      <c r="B30" s="130">
        <v>18</v>
      </c>
      <c r="C30" s="107" t="s">
        <v>599</v>
      </c>
      <c r="D30" s="63">
        <v>1400000</v>
      </c>
      <c r="E30" s="139" t="s">
        <v>600</v>
      </c>
    </row>
    <row r="31" spans="1:11" ht="15" customHeight="1" x14ac:dyDescent="0.25">
      <c r="A31" s="107" t="s">
        <v>601</v>
      </c>
      <c r="B31" s="130">
        <v>18</v>
      </c>
      <c r="C31" s="107" t="s">
        <v>602</v>
      </c>
      <c r="D31" s="63">
        <v>1400000</v>
      </c>
      <c r="E31" s="139" t="s">
        <v>603</v>
      </c>
    </row>
    <row r="32" spans="1:11" ht="15" customHeight="1" x14ac:dyDescent="0.25">
      <c r="A32" s="138" t="s">
        <v>381</v>
      </c>
      <c r="B32" s="140">
        <v>60</v>
      </c>
      <c r="C32" s="138" t="s">
        <v>604</v>
      </c>
      <c r="D32" s="141">
        <v>1400000</v>
      </c>
    </row>
    <row r="34" spans="1:11" ht="15" customHeight="1" x14ac:dyDescent="0.25">
      <c r="A34" s="142" t="s">
        <v>605</v>
      </c>
      <c r="B34" s="142"/>
      <c r="C34" s="142"/>
      <c r="D34" s="142"/>
      <c r="E34" s="142"/>
      <c r="F34" s="142"/>
      <c r="G34" s="142"/>
      <c r="H34" s="142"/>
      <c r="I34" s="142"/>
      <c r="J34" s="142"/>
      <c r="K34" s="142"/>
    </row>
    <row r="35" spans="1:11" ht="15" customHeight="1" x14ac:dyDescent="0.25">
      <c r="A35" s="143" t="s">
        <v>606</v>
      </c>
      <c r="B35" s="143" t="s">
        <v>607</v>
      </c>
      <c r="C35" s="143" t="s">
        <v>608</v>
      </c>
      <c r="D35" s="143" t="s">
        <v>609</v>
      </c>
      <c r="E35" s="143" t="s">
        <v>610</v>
      </c>
      <c r="F35" s="143" t="s">
        <v>302</v>
      </c>
    </row>
    <row r="36" spans="1:11" ht="15" customHeight="1" x14ac:dyDescent="0.25">
      <c r="A36" s="107" t="s">
        <v>611</v>
      </c>
      <c r="B36" s="107" t="s">
        <v>612</v>
      </c>
      <c r="C36" s="107" t="s">
        <v>613</v>
      </c>
      <c r="D36" s="63">
        <v>14000</v>
      </c>
      <c r="E36" s="63">
        <v>840000</v>
      </c>
      <c r="F36" s="144" t="s">
        <v>614</v>
      </c>
    </row>
    <row r="37" spans="1:11" ht="15" customHeight="1" x14ac:dyDescent="0.25">
      <c r="A37" s="107" t="s">
        <v>615</v>
      </c>
      <c r="B37" s="107" t="s">
        <v>616</v>
      </c>
      <c r="C37" s="107" t="s">
        <v>617</v>
      </c>
      <c r="D37" s="63">
        <v>96563</v>
      </c>
      <c r="E37" s="63">
        <v>5793808</v>
      </c>
      <c r="F37" s="144" t="s">
        <v>618</v>
      </c>
    </row>
    <row r="38" spans="1:11" ht="15" customHeight="1" x14ac:dyDescent="0.25">
      <c r="A38" s="107" t="s">
        <v>619</v>
      </c>
      <c r="B38" s="107" t="s">
        <v>620</v>
      </c>
      <c r="C38" s="107" t="s">
        <v>621</v>
      </c>
      <c r="D38" s="63">
        <v>5400</v>
      </c>
      <c r="E38" s="63">
        <v>324000</v>
      </c>
      <c r="F38" s="144" t="s">
        <v>622</v>
      </c>
    </row>
    <row r="39" spans="1:11" ht="15" customHeight="1" x14ac:dyDescent="0.25">
      <c r="A39" s="107" t="s">
        <v>623</v>
      </c>
      <c r="B39" s="107" t="s">
        <v>612</v>
      </c>
      <c r="C39" s="107" t="s">
        <v>624</v>
      </c>
      <c r="D39" s="63">
        <v>34198</v>
      </c>
      <c r="E39" s="63">
        <v>2051858</v>
      </c>
      <c r="F39" s="144" t="s">
        <v>625</v>
      </c>
    </row>
    <row r="40" spans="1:11" ht="15" customHeight="1" x14ac:dyDescent="0.25">
      <c r="A40" s="143" t="s">
        <v>531</v>
      </c>
      <c r="D40" s="145">
        <v>150161</v>
      </c>
      <c r="E40" s="145">
        <v>9009665</v>
      </c>
    </row>
    <row r="42" spans="1:11" ht="15" customHeight="1" x14ac:dyDescent="0.25">
      <c r="A42" s="146" t="s">
        <v>626</v>
      </c>
      <c r="B42" s="146"/>
      <c r="C42" s="146"/>
      <c r="D42" s="146"/>
      <c r="E42" s="146"/>
      <c r="F42" s="146"/>
      <c r="G42" s="146"/>
      <c r="H42" s="146"/>
      <c r="I42" s="146"/>
      <c r="J42" s="146"/>
      <c r="K42" s="146"/>
    </row>
    <row r="43" spans="1:11" ht="15" customHeight="1" x14ac:dyDescent="0.25">
      <c r="A43" s="147" t="s">
        <v>1</v>
      </c>
      <c r="B43" s="147" t="s">
        <v>627</v>
      </c>
      <c r="C43" s="147" t="s">
        <v>628</v>
      </c>
      <c r="D43" s="147" t="s">
        <v>629</v>
      </c>
      <c r="E43" s="147" t="s">
        <v>630</v>
      </c>
      <c r="F43" s="147" t="s">
        <v>631</v>
      </c>
      <c r="G43" s="147" t="s">
        <v>632</v>
      </c>
    </row>
    <row r="44" spans="1:11" ht="15" customHeight="1" x14ac:dyDescent="0.25">
      <c r="A44" s="107" t="s">
        <v>633</v>
      </c>
      <c r="B44" s="63">
        <v>125000</v>
      </c>
      <c r="C44" s="63">
        <v>10417</v>
      </c>
      <c r="D44" s="107" t="s">
        <v>437</v>
      </c>
      <c r="E44" s="107" t="s">
        <v>634</v>
      </c>
      <c r="F44" s="107">
        <v>47</v>
      </c>
      <c r="G44" s="63">
        <f>C44*F44</f>
        <v>489599</v>
      </c>
    </row>
    <row r="45" spans="1:11" ht="15" customHeight="1" x14ac:dyDescent="0.25">
      <c r="A45" s="107" t="s">
        <v>635</v>
      </c>
      <c r="B45" s="63">
        <v>90000</v>
      </c>
      <c r="C45" s="63">
        <v>7500</v>
      </c>
      <c r="D45" s="107" t="s">
        <v>440</v>
      </c>
      <c r="E45" s="107" t="s">
        <v>634</v>
      </c>
      <c r="F45" s="107">
        <v>44</v>
      </c>
      <c r="G45" s="63">
        <f>C45*F45</f>
        <v>330000</v>
      </c>
    </row>
    <row r="46" spans="1:11" ht="15" customHeight="1" x14ac:dyDescent="0.25">
      <c r="A46" s="107" t="s">
        <v>636</v>
      </c>
      <c r="B46" s="63">
        <v>110000</v>
      </c>
      <c r="C46" s="63">
        <v>9167</v>
      </c>
      <c r="D46" s="107" t="s">
        <v>445</v>
      </c>
      <c r="E46" s="107" t="s">
        <v>634</v>
      </c>
      <c r="F46" s="107">
        <v>39</v>
      </c>
      <c r="G46" s="63">
        <f>C46*F46</f>
        <v>357513</v>
      </c>
    </row>
    <row r="47" spans="1:11" ht="15" customHeight="1" x14ac:dyDescent="0.25">
      <c r="A47" s="107" t="s">
        <v>637</v>
      </c>
      <c r="B47" s="63">
        <v>125000</v>
      </c>
      <c r="C47" s="63">
        <v>10417</v>
      </c>
      <c r="D47" s="107" t="s">
        <v>453</v>
      </c>
      <c r="E47" s="107" t="s">
        <v>634</v>
      </c>
      <c r="F47" s="107">
        <v>31</v>
      </c>
      <c r="G47" s="63">
        <f>C47*F47</f>
        <v>322927</v>
      </c>
    </row>
    <row r="48" spans="1:11" ht="15" customHeight="1" x14ac:dyDescent="0.25">
      <c r="A48" s="147" t="s">
        <v>638</v>
      </c>
      <c r="G48" s="148">
        <f>SUM(G44:G47)</f>
        <v>1500039</v>
      </c>
    </row>
    <row r="50" spans="1:11" ht="15" customHeight="1" x14ac:dyDescent="0.25">
      <c r="A50" s="149" t="s">
        <v>639</v>
      </c>
      <c r="B50" s="149"/>
      <c r="C50" s="149"/>
      <c r="D50" s="149"/>
      <c r="E50" s="149"/>
      <c r="F50" s="149"/>
      <c r="G50" s="149"/>
      <c r="H50" s="149"/>
      <c r="I50" s="149"/>
      <c r="J50" s="149"/>
      <c r="K50" s="149"/>
    </row>
    <row r="51" spans="1:11" ht="15" customHeight="1" x14ac:dyDescent="0.25">
      <c r="A51" s="150" t="s">
        <v>640</v>
      </c>
      <c r="B51" s="150" t="s">
        <v>641</v>
      </c>
      <c r="C51" s="150" t="s">
        <v>628</v>
      </c>
      <c r="D51" s="150" t="s">
        <v>642</v>
      </c>
      <c r="E51" s="150" t="s">
        <v>381</v>
      </c>
    </row>
    <row r="52" spans="1:11" ht="15" customHeight="1" x14ac:dyDescent="0.25">
      <c r="A52" s="107" t="s">
        <v>643</v>
      </c>
      <c r="B52" s="63">
        <v>40000</v>
      </c>
      <c r="C52" s="63">
        <v>3333</v>
      </c>
      <c r="D52" s="107">
        <v>4</v>
      </c>
      <c r="E52" s="63">
        <v>160000</v>
      </c>
    </row>
    <row r="53" spans="1:11" ht="15" customHeight="1" x14ac:dyDescent="0.25">
      <c r="A53" s="107" t="s">
        <v>181</v>
      </c>
      <c r="B53" s="63">
        <v>20000</v>
      </c>
      <c r="C53" s="63">
        <v>1667</v>
      </c>
      <c r="D53" s="107">
        <v>4</v>
      </c>
      <c r="E53" s="63">
        <v>80000</v>
      </c>
    </row>
    <row r="54" spans="1:11" ht="15" customHeight="1" x14ac:dyDescent="0.25">
      <c r="A54" s="107" t="s">
        <v>644</v>
      </c>
      <c r="B54" s="63">
        <v>30000</v>
      </c>
      <c r="C54" s="63">
        <v>2500</v>
      </c>
      <c r="D54" s="107">
        <v>4</v>
      </c>
      <c r="E54" s="63">
        <v>120000</v>
      </c>
    </row>
    <row r="55" spans="1:11" ht="15" customHeight="1" x14ac:dyDescent="0.25">
      <c r="A55" s="107" t="s">
        <v>645</v>
      </c>
      <c r="B55" s="63">
        <v>24000</v>
      </c>
      <c r="C55" s="63">
        <v>2000</v>
      </c>
      <c r="D55" s="107">
        <v>4</v>
      </c>
      <c r="E55" s="63">
        <v>96000</v>
      </c>
    </row>
    <row r="56" spans="1:11" ht="15" customHeight="1" x14ac:dyDescent="0.25">
      <c r="A56" s="150" t="s">
        <v>646</v>
      </c>
      <c r="E56" s="151">
        <v>456000</v>
      </c>
    </row>
    <row r="57" spans="1:11" ht="15" customHeight="1" x14ac:dyDescent="0.25">
      <c r="A57" s="152" t="s">
        <v>647</v>
      </c>
    </row>
    <row r="59" spans="1:11" ht="15" customHeight="1" x14ac:dyDescent="0.25">
      <c r="A59" s="153" t="s">
        <v>648</v>
      </c>
      <c r="B59" s="153"/>
      <c r="C59" s="153"/>
      <c r="D59" s="153"/>
      <c r="E59" s="153"/>
      <c r="F59" s="153"/>
      <c r="G59" s="153"/>
      <c r="H59" s="153"/>
      <c r="I59" s="153"/>
      <c r="J59" s="153"/>
      <c r="K59" s="153"/>
    </row>
    <row r="60" spans="1:11" ht="15" customHeight="1" x14ac:dyDescent="0.25">
      <c r="A60" s="107" t="s">
        <v>649</v>
      </c>
      <c r="B60" s="63">
        <f>B16</f>
        <v>9009665</v>
      </c>
    </row>
    <row r="61" spans="1:11" ht="15" customHeight="1" x14ac:dyDescent="0.25">
      <c r="A61" s="107" t="s">
        <v>579</v>
      </c>
      <c r="B61" s="63">
        <f>B17</f>
        <v>-1500039</v>
      </c>
    </row>
    <row r="62" spans="1:11" ht="15" customHeight="1" x14ac:dyDescent="0.25">
      <c r="A62" s="107" t="s">
        <v>580</v>
      </c>
      <c r="B62" s="63">
        <f>B18</f>
        <v>-456000</v>
      </c>
    </row>
    <row r="63" spans="1:11" ht="15" customHeight="1" x14ac:dyDescent="0.25">
      <c r="A63" s="138" t="s">
        <v>581</v>
      </c>
      <c r="B63" s="141">
        <f>B60+B61+B62</f>
        <v>7053626</v>
      </c>
    </row>
    <row r="64" spans="1:11" ht="15" customHeight="1" x14ac:dyDescent="0.25">
      <c r="A64" s="107" t="s">
        <v>650</v>
      </c>
      <c r="B64" s="63">
        <f>-B20</f>
        <v>-563192.61699999997</v>
      </c>
    </row>
    <row r="65" spans="1:11" ht="15" customHeight="1" x14ac:dyDescent="0.25">
      <c r="A65" s="138" t="s">
        <v>583</v>
      </c>
      <c r="B65" s="141">
        <f>B63+B64</f>
        <v>6490433.3830000004</v>
      </c>
    </row>
    <row r="66" spans="1:11" ht="15" customHeight="1" x14ac:dyDescent="0.25">
      <c r="A66" s="107" t="s">
        <v>651</v>
      </c>
      <c r="B66" s="63">
        <f>-B22</f>
        <v>-2951665.926</v>
      </c>
    </row>
    <row r="67" spans="1:11" ht="15" customHeight="1" x14ac:dyDescent="0.25">
      <c r="A67" s="138" t="s">
        <v>585</v>
      </c>
      <c r="B67" s="141">
        <f>B65+B66</f>
        <v>3538767.4570000004</v>
      </c>
    </row>
    <row r="68" spans="1:11" ht="15" customHeight="1" x14ac:dyDescent="0.25">
      <c r="A68" s="107" t="s">
        <v>582</v>
      </c>
      <c r="B68" s="63">
        <f>B20</f>
        <v>563192.61699999997</v>
      </c>
    </row>
    <row r="69" spans="1:11" ht="15" customHeight="1" x14ac:dyDescent="0.25">
      <c r="A69" s="138" t="s">
        <v>586</v>
      </c>
      <c r="B69" s="141">
        <f>B67+B68</f>
        <v>4101960.0740000005</v>
      </c>
    </row>
    <row r="71" spans="1:11" ht="15" customHeight="1" x14ac:dyDescent="0.25">
      <c r="A71" s="142" t="s">
        <v>652</v>
      </c>
      <c r="B71" s="142"/>
      <c r="C71" s="142"/>
      <c r="D71" s="142"/>
      <c r="E71" s="142"/>
      <c r="F71" s="142"/>
      <c r="G71" s="142"/>
      <c r="H71" s="142"/>
      <c r="I71" s="142"/>
      <c r="J71" s="142"/>
      <c r="K71" s="142"/>
    </row>
    <row r="72" spans="1:11" ht="15" customHeight="1" x14ac:dyDescent="0.25">
      <c r="A72" s="143" t="s">
        <v>0</v>
      </c>
      <c r="B72" s="143" t="s">
        <v>1</v>
      </c>
      <c r="C72" s="143" t="s">
        <v>653</v>
      </c>
    </row>
    <row r="73" spans="1:11" ht="31.5" customHeight="1" x14ac:dyDescent="0.25">
      <c r="A73" s="4" t="s">
        <v>58</v>
      </c>
      <c r="B73" s="107" t="s">
        <v>654</v>
      </c>
      <c r="C73" s="199" t="s">
        <v>655</v>
      </c>
      <c r="D73" s="197"/>
      <c r="E73" s="197"/>
      <c r="F73" s="197"/>
      <c r="G73" s="197"/>
    </row>
    <row r="74" spans="1:11" ht="31.5" customHeight="1" x14ac:dyDescent="0.25">
      <c r="A74" s="4" t="s">
        <v>51</v>
      </c>
      <c r="B74" s="107" t="s">
        <v>656</v>
      </c>
      <c r="C74" s="199" t="s">
        <v>657</v>
      </c>
      <c r="D74" s="197"/>
      <c r="E74" s="197"/>
      <c r="F74" s="197"/>
      <c r="G74" s="197"/>
    </row>
    <row r="75" spans="1:11" ht="31.5" customHeight="1" x14ac:dyDescent="0.25">
      <c r="A75" s="4" t="s">
        <v>60</v>
      </c>
      <c r="B75" s="107" t="s">
        <v>658</v>
      </c>
      <c r="C75" s="199" t="s">
        <v>659</v>
      </c>
      <c r="D75" s="197"/>
      <c r="E75" s="197"/>
      <c r="F75" s="197"/>
      <c r="G75" s="197"/>
    </row>
    <row r="76" spans="1:11" ht="31.5" customHeight="1" x14ac:dyDescent="0.25">
      <c r="A76" s="4" t="s">
        <v>64</v>
      </c>
      <c r="B76" s="107" t="s">
        <v>660</v>
      </c>
      <c r="C76" s="199" t="s">
        <v>661</v>
      </c>
      <c r="D76" s="197"/>
      <c r="E76" s="197"/>
      <c r="F76" s="197"/>
      <c r="G76" s="197"/>
    </row>
    <row r="77" spans="1:11" ht="31.5" customHeight="1" x14ac:dyDescent="0.25">
      <c r="A77" s="4" t="s">
        <v>62</v>
      </c>
      <c r="B77" s="107" t="s">
        <v>660</v>
      </c>
      <c r="C77" s="199" t="s">
        <v>662</v>
      </c>
      <c r="D77" s="197"/>
      <c r="E77" s="197"/>
      <c r="F77" s="197"/>
      <c r="G77" s="197"/>
    </row>
    <row r="78" spans="1:11" ht="31.5" customHeight="1" x14ac:dyDescent="0.25">
      <c r="A78" s="4" t="s">
        <v>56</v>
      </c>
      <c r="B78" s="107" t="s">
        <v>663</v>
      </c>
      <c r="C78" s="199" t="s">
        <v>664</v>
      </c>
      <c r="D78" s="197"/>
      <c r="E78" s="197"/>
      <c r="F78" s="197"/>
      <c r="G78" s="197"/>
    </row>
    <row r="80" spans="1:11" ht="15" customHeight="1" x14ac:dyDescent="0.25">
      <c r="A80" s="154" t="s">
        <v>665</v>
      </c>
      <c r="B80" s="154"/>
      <c r="C80" s="154"/>
      <c r="D80" s="154"/>
      <c r="E80" s="154"/>
      <c r="F80" s="154"/>
      <c r="G80" s="154"/>
      <c r="H80" s="154"/>
      <c r="I80" s="154"/>
      <c r="J80" s="154"/>
      <c r="K80" s="154"/>
    </row>
    <row r="81" spans="1:11" ht="27.75" customHeight="1" x14ac:dyDescent="0.25">
      <c r="A81" s="4" t="s">
        <v>666</v>
      </c>
      <c r="B81" s="199" t="s">
        <v>667</v>
      </c>
      <c r="C81" s="197"/>
      <c r="D81" s="197"/>
      <c r="E81" s="197"/>
      <c r="F81" s="197"/>
      <c r="G81" s="197"/>
    </row>
    <row r="82" spans="1:11" ht="27.75" customHeight="1" x14ac:dyDescent="0.25">
      <c r="A82" s="4" t="s">
        <v>668</v>
      </c>
      <c r="B82" s="199" t="s">
        <v>669</v>
      </c>
      <c r="C82" s="197"/>
      <c r="D82" s="197"/>
      <c r="E82" s="197"/>
      <c r="F82" s="197"/>
      <c r="G82" s="197"/>
    </row>
    <row r="83" spans="1:11" ht="27.75" customHeight="1" x14ac:dyDescent="0.25">
      <c r="A83" s="4" t="s">
        <v>670</v>
      </c>
      <c r="B83" s="199" t="s">
        <v>671</v>
      </c>
      <c r="C83" s="197"/>
      <c r="D83" s="197"/>
      <c r="E83" s="197"/>
      <c r="F83" s="197"/>
      <c r="G83" s="197"/>
    </row>
    <row r="84" spans="1:11" ht="27.75" customHeight="1" x14ac:dyDescent="0.25">
      <c r="A84" s="4" t="s">
        <v>672</v>
      </c>
      <c r="B84" s="199" t="s">
        <v>673</v>
      </c>
      <c r="C84" s="197"/>
      <c r="D84" s="197"/>
      <c r="E84" s="197"/>
      <c r="F84" s="197"/>
      <c r="G84" s="197"/>
    </row>
    <row r="85" spans="1:11" ht="27.75" customHeight="1" x14ac:dyDescent="0.25">
      <c r="A85" s="4" t="s">
        <v>674</v>
      </c>
      <c r="B85" s="199" t="s">
        <v>675</v>
      </c>
      <c r="C85" s="197"/>
      <c r="D85" s="197"/>
      <c r="E85" s="197"/>
      <c r="F85" s="197"/>
      <c r="G85" s="197"/>
    </row>
    <row r="86" spans="1:11" ht="27.75" customHeight="1" x14ac:dyDescent="0.25">
      <c r="A86" s="4" t="s">
        <v>676</v>
      </c>
      <c r="B86" s="199" t="s">
        <v>677</v>
      </c>
      <c r="C86" s="197"/>
      <c r="D86" s="197"/>
      <c r="E86" s="197"/>
      <c r="F86" s="197"/>
      <c r="G86" s="197"/>
    </row>
    <row r="87" spans="1:11" ht="27.75" customHeight="1" x14ac:dyDescent="0.25">
      <c r="A87" s="4" t="s">
        <v>678</v>
      </c>
      <c r="B87" s="199" t="s">
        <v>679</v>
      </c>
      <c r="C87" s="197"/>
      <c r="D87" s="197"/>
      <c r="E87" s="197"/>
      <c r="F87" s="197"/>
      <c r="G87" s="197"/>
    </row>
    <row r="88" spans="1:11" ht="27.75" customHeight="1" x14ac:dyDescent="0.25">
      <c r="A88" s="4" t="s">
        <v>680</v>
      </c>
      <c r="B88" s="199" t="s">
        <v>681</v>
      </c>
      <c r="C88" s="197"/>
      <c r="D88" s="197"/>
      <c r="E88" s="197"/>
      <c r="F88" s="197"/>
      <c r="G88" s="197"/>
    </row>
    <row r="89" spans="1:11" ht="27.75" customHeight="1" x14ac:dyDescent="0.25">
      <c r="A89" s="4" t="s">
        <v>682</v>
      </c>
      <c r="B89" s="199" t="s">
        <v>683</v>
      </c>
      <c r="C89" s="197"/>
      <c r="D89" s="197"/>
      <c r="E89" s="197"/>
      <c r="F89" s="197"/>
      <c r="G89" s="197"/>
    </row>
    <row r="90" spans="1:11" ht="27.75" customHeight="1" x14ac:dyDescent="0.25">
      <c r="A90" s="4" t="s">
        <v>684</v>
      </c>
      <c r="B90" s="199" t="s">
        <v>685</v>
      </c>
      <c r="C90" s="197"/>
      <c r="D90" s="197"/>
      <c r="E90" s="197"/>
      <c r="F90" s="197"/>
      <c r="G90" s="197"/>
    </row>
    <row r="91" spans="1:11" x14ac:dyDescent="0.25">
      <c r="A91" t="s">
        <v>686</v>
      </c>
      <c r="B91" t="s">
        <v>687</v>
      </c>
    </row>
    <row r="93" spans="1:11" ht="15" customHeight="1" x14ac:dyDescent="0.25">
      <c r="A93" s="137" t="s">
        <v>688</v>
      </c>
      <c r="B93" s="137"/>
      <c r="C93" s="137"/>
      <c r="D93" s="137"/>
      <c r="E93" s="137"/>
      <c r="F93" s="137"/>
      <c r="G93" s="137"/>
      <c r="H93" s="137"/>
      <c r="I93" s="137"/>
      <c r="J93" s="137"/>
      <c r="K93" s="137"/>
    </row>
    <row r="94" spans="1:11" ht="15" customHeight="1" x14ac:dyDescent="0.25">
      <c r="A94" s="107" t="s">
        <v>689</v>
      </c>
      <c r="B94" s="155">
        <v>0.1</v>
      </c>
    </row>
    <row r="95" spans="1:11" ht="15" customHeight="1" x14ac:dyDescent="0.25">
      <c r="A95" s="107" t="s">
        <v>690</v>
      </c>
      <c r="B95" s="155">
        <v>150000</v>
      </c>
    </row>
    <row r="96" spans="1:11" x14ac:dyDescent="0.25">
      <c r="A96" t="s">
        <v>691</v>
      </c>
      <c r="B96" t="s">
        <v>692</v>
      </c>
    </row>
    <row r="97" spans="1:86" ht="15" customHeight="1" x14ac:dyDescent="0.25">
      <c r="A97" s="156" t="s">
        <v>693</v>
      </c>
      <c r="B97" s="156"/>
      <c r="C97" s="156"/>
      <c r="D97" s="156"/>
      <c r="E97" s="156"/>
      <c r="F97" s="156"/>
      <c r="G97" s="156"/>
      <c r="H97" s="156"/>
      <c r="I97" s="156"/>
      <c r="J97" s="156"/>
      <c r="K97" s="156"/>
      <c r="L97" s="157"/>
      <c r="M97" s="157"/>
      <c r="N97" s="157"/>
      <c r="O97" s="157"/>
      <c r="P97" s="157"/>
      <c r="Q97" s="157"/>
      <c r="R97" s="157"/>
      <c r="S97" s="157"/>
      <c r="T97" s="157"/>
      <c r="U97" s="157"/>
      <c r="V97" s="157"/>
      <c r="W97" s="157"/>
      <c r="X97" s="157"/>
      <c r="Y97" s="157"/>
      <c r="Z97" s="157"/>
      <c r="AA97" s="157"/>
      <c r="AB97" s="157"/>
      <c r="AC97" s="157"/>
      <c r="AD97" s="157"/>
      <c r="AE97" s="157"/>
      <c r="AF97" s="157"/>
      <c r="AG97" s="157"/>
      <c r="AH97" s="157"/>
      <c r="AI97" s="157"/>
      <c r="AJ97" s="157"/>
      <c r="AK97" s="157"/>
      <c r="AL97" s="157"/>
      <c r="AM97" s="157"/>
      <c r="AN97" s="157"/>
      <c r="AO97" s="157"/>
      <c r="AP97" s="157"/>
      <c r="AQ97" s="157"/>
      <c r="AR97" s="157"/>
      <c r="AS97" s="157"/>
      <c r="AT97" s="157"/>
      <c r="AU97" s="157"/>
      <c r="AV97" s="157"/>
      <c r="AW97" s="157"/>
      <c r="AX97" s="157"/>
      <c r="AY97" s="157"/>
      <c r="AZ97" s="157"/>
      <c r="BA97" s="157"/>
      <c r="BB97" s="157"/>
      <c r="BC97" s="157"/>
      <c r="BD97" s="157"/>
      <c r="BE97" s="157"/>
      <c r="BF97" s="157"/>
      <c r="BG97" s="157"/>
      <c r="BH97" s="157"/>
      <c r="BI97" s="157"/>
      <c r="BJ97" s="157"/>
      <c r="BK97" s="157"/>
      <c r="BL97" s="157"/>
      <c r="BM97" s="157"/>
      <c r="BN97" s="157"/>
      <c r="BO97" s="157"/>
      <c r="BP97" s="157"/>
      <c r="BQ97" s="157"/>
      <c r="BR97" s="157"/>
      <c r="BS97" s="157"/>
      <c r="BT97" s="157"/>
      <c r="BU97" s="157"/>
      <c r="BV97" s="157"/>
      <c r="BW97" s="157"/>
      <c r="BX97" s="157"/>
      <c r="BY97" s="157"/>
      <c r="BZ97" s="157"/>
      <c r="CA97" s="157"/>
      <c r="CB97" s="157"/>
      <c r="CC97" s="157"/>
      <c r="CD97" s="157"/>
      <c r="CE97" s="157"/>
      <c r="CF97" s="157"/>
      <c r="CG97" s="157"/>
      <c r="CH97" s="157"/>
    </row>
    <row r="98" spans="1:86" ht="15" customHeight="1" x14ac:dyDescent="0.25">
      <c r="A98" s="157"/>
      <c r="C98" s="158">
        <v>1</v>
      </c>
      <c r="D98" s="158">
        <v>2</v>
      </c>
      <c r="E98" s="158">
        <v>3</v>
      </c>
      <c r="F98" s="158">
        <v>4</v>
      </c>
      <c r="G98" s="158">
        <v>5</v>
      </c>
      <c r="H98" s="158">
        <v>6</v>
      </c>
      <c r="I98" s="158">
        <v>7</v>
      </c>
      <c r="J98" s="158">
        <v>8</v>
      </c>
      <c r="K98" s="158">
        <v>9</v>
      </c>
      <c r="L98" s="158">
        <v>10</v>
      </c>
      <c r="M98" s="158">
        <v>11</v>
      </c>
      <c r="N98" s="158">
        <v>12</v>
      </c>
      <c r="O98" s="158">
        <v>13</v>
      </c>
      <c r="P98" s="158">
        <v>14</v>
      </c>
      <c r="Q98" s="158">
        <v>15</v>
      </c>
      <c r="R98" s="158">
        <v>16</v>
      </c>
      <c r="S98" s="158">
        <v>17</v>
      </c>
      <c r="T98" s="158">
        <v>18</v>
      </c>
      <c r="U98" s="158">
        <v>19</v>
      </c>
      <c r="V98" s="158">
        <v>20</v>
      </c>
      <c r="W98" s="158">
        <v>21</v>
      </c>
      <c r="X98" s="158">
        <v>22</v>
      </c>
      <c r="Y98" s="158">
        <v>23</v>
      </c>
      <c r="Z98" s="158">
        <v>24</v>
      </c>
      <c r="AA98" s="158">
        <v>25</v>
      </c>
      <c r="AB98" s="158">
        <v>26</v>
      </c>
      <c r="AC98" s="158">
        <v>27</v>
      </c>
      <c r="AD98" s="158">
        <v>28</v>
      </c>
      <c r="AE98" s="158">
        <v>29</v>
      </c>
      <c r="AF98" s="158">
        <v>30</v>
      </c>
      <c r="AG98" s="158">
        <v>31</v>
      </c>
      <c r="AH98" s="158">
        <v>32</v>
      </c>
      <c r="AI98" s="158">
        <v>33</v>
      </c>
      <c r="AJ98" s="158">
        <v>34</v>
      </c>
      <c r="AK98" s="158">
        <v>35</v>
      </c>
      <c r="AL98" s="158">
        <v>36</v>
      </c>
      <c r="AM98" s="158">
        <v>37</v>
      </c>
      <c r="AN98" s="158">
        <v>38</v>
      </c>
      <c r="AO98" s="158">
        <v>39</v>
      </c>
      <c r="AP98" s="158">
        <v>40</v>
      </c>
      <c r="AQ98" s="158">
        <v>41</v>
      </c>
      <c r="AR98" s="158">
        <v>42</v>
      </c>
      <c r="AS98" s="158">
        <v>43</v>
      </c>
      <c r="AT98" s="158">
        <v>44</v>
      </c>
      <c r="AU98" s="158">
        <v>45</v>
      </c>
      <c r="AV98" s="158">
        <v>46</v>
      </c>
      <c r="AW98" s="158">
        <v>47</v>
      </c>
      <c r="AX98" s="158">
        <v>48</v>
      </c>
      <c r="AY98" s="158">
        <v>49</v>
      </c>
      <c r="AZ98" s="158">
        <v>50</v>
      </c>
      <c r="BA98" s="158">
        <v>51</v>
      </c>
      <c r="BB98" s="158">
        <v>52</v>
      </c>
      <c r="BC98" s="158">
        <v>53</v>
      </c>
      <c r="BD98" s="158">
        <v>54</v>
      </c>
      <c r="BE98" s="158">
        <v>55</v>
      </c>
      <c r="BF98" s="158">
        <v>56</v>
      </c>
      <c r="BG98" s="158">
        <v>57</v>
      </c>
      <c r="BH98" s="158">
        <v>58</v>
      </c>
      <c r="BI98" s="158">
        <v>59</v>
      </c>
      <c r="BJ98" s="158">
        <v>60</v>
      </c>
      <c r="BK98" s="158">
        <v>61</v>
      </c>
      <c r="BL98" s="158">
        <v>62</v>
      </c>
      <c r="BM98" s="158">
        <v>63</v>
      </c>
      <c r="BN98" s="158">
        <v>64</v>
      </c>
      <c r="BO98" s="158">
        <v>65</v>
      </c>
      <c r="BP98" s="158">
        <v>66</v>
      </c>
      <c r="BQ98" s="158">
        <v>67</v>
      </c>
      <c r="BR98" s="158">
        <v>68</v>
      </c>
      <c r="BS98" s="158">
        <v>69</v>
      </c>
      <c r="BT98" s="158">
        <v>70</v>
      </c>
      <c r="BU98" s="158">
        <v>71</v>
      </c>
      <c r="BV98" s="158">
        <v>72</v>
      </c>
      <c r="BW98" s="158">
        <v>73</v>
      </c>
      <c r="BX98" s="158">
        <v>74</v>
      </c>
      <c r="BY98" s="158">
        <v>75</v>
      </c>
      <c r="BZ98" s="158">
        <v>76</v>
      </c>
      <c r="CA98" s="158">
        <v>77</v>
      </c>
      <c r="CB98" s="158">
        <v>78</v>
      </c>
      <c r="CC98" s="158">
        <v>79</v>
      </c>
      <c r="CD98" s="158">
        <v>80</v>
      </c>
      <c r="CE98" s="158">
        <v>81</v>
      </c>
      <c r="CF98" s="158">
        <v>82</v>
      </c>
      <c r="CG98" s="158">
        <v>83</v>
      </c>
      <c r="CH98" s="158">
        <v>84</v>
      </c>
    </row>
    <row r="99" spans="1:86" ht="15" customHeight="1" x14ac:dyDescent="0.25">
      <c r="A99" s="158" t="s">
        <v>531</v>
      </c>
      <c r="B99" s="159">
        <f t="shared" ref="B99:B105" si="9">SUM(C99:CH99)</f>
        <v>9009664.9999999981</v>
      </c>
      <c r="C99" s="157"/>
      <c r="D99" s="157"/>
      <c r="E99" s="157"/>
      <c r="F99" s="157"/>
      <c r="G99" s="157"/>
      <c r="H99" s="157"/>
      <c r="I99" s="157"/>
      <c r="J99" s="157"/>
      <c r="K99" s="157"/>
      <c r="L99" s="160">
        <v>45050.36</v>
      </c>
      <c r="M99" s="160">
        <v>45050.36</v>
      </c>
      <c r="N99" s="160">
        <v>45050.36</v>
      </c>
      <c r="O99" s="160">
        <v>45050.36</v>
      </c>
      <c r="P99" s="160">
        <v>45050.36</v>
      </c>
      <c r="Q99" s="160">
        <v>45050.36</v>
      </c>
      <c r="R99" s="160">
        <v>70944.52</v>
      </c>
      <c r="S99" s="160">
        <v>96838.68</v>
      </c>
      <c r="T99" s="160">
        <v>122732.84</v>
      </c>
      <c r="U99" s="160">
        <v>148626.99</v>
      </c>
      <c r="V99" s="160">
        <v>174521.16</v>
      </c>
      <c r="W99" s="160">
        <v>200415.31</v>
      </c>
      <c r="X99" s="160">
        <v>226309.46</v>
      </c>
      <c r="Y99" s="160">
        <v>252203.62</v>
      </c>
      <c r="Z99" s="160">
        <v>278097.78999999998</v>
      </c>
      <c r="AA99" s="160">
        <v>303991.94</v>
      </c>
      <c r="AB99" s="160">
        <v>329886.11</v>
      </c>
      <c r="AC99" s="160">
        <v>400830.61</v>
      </c>
      <c r="AD99" s="160">
        <v>311512.01</v>
      </c>
      <c r="AE99" s="160">
        <v>312294.13</v>
      </c>
      <c r="AF99" s="160">
        <v>313076.23</v>
      </c>
      <c r="AG99" s="160">
        <v>313858.34000000003</v>
      </c>
      <c r="AH99" s="160">
        <v>314640.44</v>
      </c>
      <c r="AI99" s="160">
        <v>341316.71</v>
      </c>
      <c r="AJ99" s="160">
        <v>316204.67</v>
      </c>
      <c r="AK99" s="160">
        <v>291092.62</v>
      </c>
      <c r="AL99" s="160">
        <v>265980.57</v>
      </c>
      <c r="AM99" s="160">
        <v>240868.51</v>
      </c>
      <c r="AN99" s="160">
        <v>215756.47</v>
      </c>
      <c r="AO99" s="160">
        <v>190644.42</v>
      </c>
      <c r="AP99" s="160">
        <v>165532.35999999999</v>
      </c>
      <c r="AQ99" s="160">
        <v>140420.32</v>
      </c>
      <c r="AR99" s="160">
        <v>115308.27</v>
      </c>
      <c r="AS99" s="160">
        <v>196095.1</v>
      </c>
      <c r="AT99" s="160">
        <v>170200.95</v>
      </c>
      <c r="AU99" s="160">
        <v>119194.75</v>
      </c>
      <c r="AV99" s="160">
        <v>118412.64</v>
      </c>
      <c r="AW99" s="160">
        <v>117630.52</v>
      </c>
      <c r="AX99" s="160">
        <v>116848.42</v>
      </c>
      <c r="AY99" s="160">
        <v>116066.31</v>
      </c>
      <c r="AZ99" s="160">
        <v>115284.2</v>
      </c>
      <c r="BA99" s="160">
        <v>114502.09</v>
      </c>
      <c r="BB99" s="160">
        <v>113719.98</v>
      </c>
      <c r="BC99" s="160">
        <v>112937.87</v>
      </c>
      <c r="BD99" s="160">
        <v>112155.76</v>
      </c>
      <c r="BE99" s="160">
        <v>111373.65</v>
      </c>
      <c r="BF99" s="160">
        <v>110591.54</v>
      </c>
      <c r="BG99" s="160">
        <v>109809.44</v>
      </c>
      <c r="BH99" s="160">
        <v>109027.32</v>
      </c>
      <c r="BI99" s="160">
        <v>108245.21</v>
      </c>
      <c r="BJ99" s="160">
        <v>213361.99</v>
      </c>
      <c r="BK99" s="157"/>
      <c r="BL99" s="157"/>
      <c r="BM99" s="157"/>
      <c r="BN99" s="157"/>
      <c r="BO99" s="157"/>
      <c r="BP99" s="157"/>
      <c r="BQ99" s="157"/>
      <c r="BR99" s="157"/>
      <c r="BS99" s="157"/>
      <c r="BT99" s="157"/>
      <c r="BU99" s="157"/>
      <c r="BV99" s="157"/>
      <c r="BW99" s="157"/>
      <c r="BX99" s="157"/>
      <c r="BY99" s="157"/>
      <c r="BZ99" s="157"/>
      <c r="CA99" s="157"/>
      <c r="CB99" s="157"/>
      <c r="CC99" s="157"/>
      <c r="CD99" s="157"/>
      <c r="CE99" s="157"/>
      <c r="CF99" s="157"/>
      <c r="CG99" s="157"/>
      <c r="CH99" s="157"/>
    </row>
    <row r="100" spans="1:86" ht="15" customHeight="1" x14ac:dyDescent="0.25">
      <c r="A100" s="158" t="s">
        <v>579</v>
      </c>
      <c r="B100" s="159">
        <f t="shared" si="9"/>
        <v>-1500039</v>
      </c>
      <c r="C100" s="157">
        <v>0</v>
      </c>
      <c r="D100" s="157">
        <v>0</v>
      </c>
      <c r="E100" s="157">
        <v>0</v>
      </c>
      <c r="F100" s="157">
        <v>0</v>
      </c>
      <c r="G100" s="157">
        <v>0</v>
      </c>
      <c r="H100" s="157">
        <v>0</v>
      </c>
      <c r="I100" s="157">
        <v>0</v>
      </c>
      <c r="J100" s="157">
        <v>0</v>
      </c>
      <c r="K100" s="157">
        <v>0</v>
      </c>
      <c r="L100" s="160">
        <v>0</v>
      </c>
      <c r="M100" s="160">
        <v>-10417</v>
      </c>
      <c r="N100" s="160">
        <v>-10417</v>
      </c>
      <c r="O100" s="160">
        <v>-10417</v>
      </c>
      <c r="P100" s="160">
        <v>-17917</v>
      </c>
      <c r="Q100" s="160">
        <v>-17917</v>
      </c>
      <c r="R100" s="160">
        <v>-17917</v>
      </c>
      <c r="S100" s="160">
        <v>-17917</v>
      </c>
      <c r="T100" s="160">
        <v>-17917</v>
      </c>
      <c r="U100" s="160">
        <v>-27084</v>
      </c>
      <c r="V100" s="160">
        <v>-27084</v>
      </c>
      <c r="W100" s="160">
        <v>-27084</v>
      </c>
      <c r="X100" s="160">
        <v>-27084</v>
      </c>
      <c r="Y100" s="160">
        <v>-27084</v>
      </c>
      <c r="Z100" s="160">
        <v>-27084</v>
      </c>
      <c r="AA100" s="160">
        <v>-27084</v>
      </c>
      <c r="AB100" s="160">
        <v>-27084</v>
      </c>
      <c r="AC100" s="160">
        <v>-37501</v>
      </c>
      <c r="AD100" s="160">
        <v>-37501</v>
      </c>
      <c r="AE100" s="160">
        <v>-37501</v>
      </c>
      <c r="AF100" s="160">
        <v>-37501</v>
      </c>
      <c r="AG100" s="160">
        <v>-37501</v>
      </c>
      <c r="AH100" s="160">
        <v>-37501</v>
      </c>
      <c r="AI100" s="160">
        <v>-37501</v>
      </c>
      <c r="AJ100" s="160">
        <v>-37501</v>
      </c>
      <c r="AK100" s="160">
        <v>-37501</v>
      </c>
      <c r="AL100" s="160">
        <v>-37501</v>
      </c>
      <c r="AM100" s="160">
        <v>-37501</v>
      </c>
      <c r="AN100" s="160">
        <v>-37501</v>
      </c>
      <c r="AO100" s="160">
        <v>-37501</v>
      </c>
      <c r="AP100" s="160">
        <v>-37501</v>
      </c>
      <c r="AQ100" s="160">
        <v>-37501</v>
      </c>
      <c r="AR100" s="160">
        <v>-37501</v>
      </c>
      <c r="AS100" s="160">
        <v>-37501</v>
      </c>
      <c r="AT100" s="160">
        <v>-37501</v>
      </c>
      <c r="AU100" s="160">
        <v>-37501</v>
      </c>
      <c r="AV100" s="160">
        <v>-37501</v>
      </c>
      <c r="AW100" s="160">
        <v>-37501</v>
      </c>
      <c r="AX100" s="160">
        <v>-37501</v>
      </c>
      <c r="AY100" s="160">
        <v>-37501</v>
      </c>
      <c r="AZ100" s="160">
        <v>-37501</v>
      </c>
      <c r="BA100" s="160">
        <v>-37501</v>
      </c>
      <c r="BB100" s="160">
        <v>-37501</v>
      </c>
      <c r="BC100" s="160">
        <v>-37501</v>
      </c>
      <c r="BD100" s="160">
        <v>-37501</v>
      </c>
      <c r="BE100" s="160">
        <v>-37501</v>
      </c>
      <c r="BF100" s="160">
        <v>-37501</v>
      </c>
      <c r="BG100" s="160">
        <v>-37501</v>
      </c>
      <c r="BH100" s="157">
        <v>0</v>
      </c>
      <c r="BI100" s="157">
        <v>0</v>
      </c>
      <c r="BJ100" s="157">
        <v>0</v>
      </c>
      <c r="BK100" s="157">
        <v>0</v>
      </c>
      <c r="BL100" s="157">
        <v>0</v>
      </c>
      <c r="BM100" s="157">
        <v>0</v>
      </c>
      <c r="BN100" s="157">
        <v>0</v>
      </c>
      <c r="BO100" s="157">
        <v>0</v>
      </c>
      <c r="BP100" s="157">
        <v>0</v>
      </c>
      <c r="BQ100" s="157">
        <v>0</v>
      </c>
      <c r="BR100" s="157">
        <v>0</v>
      </c>
      <c r="BS100" s="157">
        <v>0</v>
      </c>
      <c r="BT100" s="157">
        <v>0</v>
      </c>
      <c r="BU100" s="157">
        <v>0</v>
      </c>
      <c r="BV100" s="157">
        <v>0</v>
      </c>
      <c r="BW100" s="157">
        <v>0</v>
      </c>
      <c r="BX100" s="157">
        <v>0</v>
      </c>
      <c r="BY100" s="157">
        <v>0</v>
      </c>
      <c r="BZ100" s="157">
        <v>0</v>
      </c>
      <c r="CA100" s="157">
        <v>0</v>
      </c>
      <c r="CB100" s="157">
        <v>0</v>
      </c>
      <c r="CC100" s="157">
        <v>0</v>
      </c>
      <c r="CD100" s="157">
        <v>0</v>
      </c>
      <c r="CE100" s="157">
        <v>0</v>
      </c>
      <c r="CF100" s="157">
        <v>0</v>
      </c>
      <c r="CG100" s="157">
        <v>0</v>
      </c>
      <c r="CH100" s="157"/>
    </row>
    <row r="101" spans="1:86" ht="15" customHeight="1" x14ac:dyDescent="0.25">
      <c r="A101" s="158" t="s">
        <v>580</v>
      </c>
      <c r="B101" s="159">
        <f t="shared" si="9"/>
        <v>-456000</v>
      </c>
      <c r="C101" s="157"/>
      <c r="D101" s="157"/>
      <c r="E101" s="157"/>
      <c r="F101" s="157"/>
      <c r="G101" s="157"/>
      <c r="H101" s="157"/>
      <c r="I101" s="157"/>
      <c r="J101" s="157"/>
      <c r="K101" s="157"/>
      <c r="L101" s="160">
        <v>-9500</v>
      </c>
      <c r="M101" s="160">
        <v>-9500</v>
      </c>
      <c r="N101" s="160">
        <v>-9500</v>
      </c>
      <c r="O101" s="160">
        <v>-9500</v>
      </c>
      <c r="P101" s="160">
        <v>-9500</v>
      </c>
      <c r="Q101" s="160">
        <v>-9500</v>
      </c>
      <c r="R101" s="160">
        <v>-9500</v>
      </c>
      <c r="S101" s="160">
        <v>-9500</v>
      </c>
      <c r="T101" s="160">
        <v>-9500</v>
      </c>
      <c r="U101" s="160">
        <v>-9500</v>
      </c>
      <c r="V101" s="160">
        <v>-9500</v>
      </c>
      <c r="W101" s="160">
        <v>-9500</v>
      </c>
      <c r="X101" s="160">
        <v>-9500</v>
      </c>
      <c r="Y101" s="160">
        <v>-9500</v>
      </c>
      <c r="Z101" s="160">
        <v>-9500</v>
      </c>
      <c r="AA101" s="160">
        <v>-9500</v>
      </c>
      <c r="AB101" s="160">
        <v>-9500</v>
      </c>
      <c r="AC101" s="160">
        <v>-9500</v>
      </c>
      <c r="AD101" s="160">
        <v>-9500</v>
      </c>
      <c r="AE101" s="160">
        <v>-9500</v>
      </c>
      <c r="AF101" s="160">
        <v>-9500</v>
      </c>
      <c r="AG101" s="160">
        <v>-9500</v>
      </c>
      <c r="AH101" s="160">
        <v>-9500</v>
      </c>
      <c r="AI101" s="160">
        <v>-9500</v>
      </c>
      <c r="AJ101" s="160">
        <v>-9500</v>
      </c>
      <c r="AK101" s="160">
        <v>-9500</v>
      </c>
      <c r="AL101" s="160">
        <v>-9500</v>
      </c>
      <c r="AM101" s="160">
        <v>-9500</v>
      </c>
      <c r="AN101" s="160">
        <v>-9500</v>
      </c>
      <c r="AO101" s="160">
        <v>-9500</v>
      </c>
      <c r="AP101" s="160">
        <v>-9500</v>
      </c>
      <c r="AQ101" s="160">
        <v>-9500</v>
      </c>
      <c r="AR101" s="160">
        <v>-9500</v>
      </c>
      <c r="AS101" s="160">
        <v>-9500</v>
      </c>
      <c r="AT101" s="160">
        <v>-9500</v>
      </c>
      <c r="AU101" s="160">
        <v>-9500</v>
      </c>
      <c r="AV101" s="160">
        <v>-9500</v>
      </c>
      <c r="AW101" s="160">
        <v>-9500</v>
      </c>
      <c r="AX101" s="160">
        <v>-9500</v>
      </c>
      <c r="AY101" s="160">
        <v>-9500</v>
      </c>
      <c r="AZ101" s="160">
        <v>-9500</v>
      </c>
      <c r="BA101" s="160">
        <v>-9500</v>
      </c>
      <c r="BB101" s="160">
        <v>-9500</v>
      </c>
      <c r="BC101" s="160">
        <v>-9500</v>
      </c>
      <c r="BD101" s="160">
        <v>-9500</v>
      </c>
      <c r="BE101" s="160">
        <v>-9500</v>
      </c>
      <c r="BF101" s="160">
        <v>-9500</v>
      </c>
      <c r="BG101" s="160">
        <v>-9500</v>
      </c>
      <c r="BH101" s="157"/>
      <c r="BI101" s="157"/>
      <c r="BJ101" s="157"/>
      <c r="BK101" s="157"/>
      <c r="BL101" s="157"/>
      <c r="BM101" s="157"/>
      <c r="BN101" s="157"/>
      <c r="BO101" s="157"/>
      <c r="BP101" s="157"/>
      <c r="BQ101" s="157"/>
      <c r="BR101" s="157"/>
      <c r="BS101" s="157"/>
      <c r="BT101" s="157"/>
      <c r="BU101" s="157"/>
      <c r="BV101" s="157"/>
      <c r="BW101" s="157"/>
      <c r="BX101" s="157"/>
      <c r="BY101" s="157"/>
      <c r="BZ101" s="157"/>
      <c r="CA101" s="157"/>
      <c r="CB101" s="157"/>
      <c r="CC101" s="157"/>
      <c r="CD101" s="157"/>
      <c r="CE101" s="157"/>
      <c r="CF101" s="157"/>
      <c r="CG101" s="157"/>
      <c r="CH101" s="157"/>
    </row>
    <row r="102" spans="1:86" ht="15" customHeight="1" x14ac:dyDescent="0.25">
      <c r="A102" s="158" t="s">
        <v>581</v>
      </c>
      <c r="B102" s="159">
        <f t="shared" si="9"/>
        <v>7053625.9999999991</v>
      </c>
      <c r="C102" s="161">
        <f t="shared" ref="C102:AH102" si="10">C99+C100+C101</f>
        <v>0</v>
      </c>
      <c r="D102" s="161">
        <f t="shared" si="10"/>
        <v>0</v>
      </c>
      <c r="E102" s="161">
        <f t="shared" si="10"/>
        <v>0</v>
      </c>
      <c r="F102" s="161">
        <f t="shared" si="10"/>
        <v>0</v>
      </c>
      <c r="G102" s="161">
        <f t="shared" si="10"/>
        <v>0</v>
      </c>
      <c r="H102" s="161">
        <f t="shared" si="10"/>
        <v>0</v>
      </c>
      <c r="I102" s="161">
        <f t="shared" si="10"/>
        <v>0</v>
      </c>
      <c r="J102" s="161">
        <f t="shared" si="10"/>
        <v>0</v>
      </c>
      <c r="K102" s="161">
        <f t="shared" si="10"/>
        <v>0</v>
      </c>
      <c r="L102" s="161">
        <f t="shared" si="10"/>
        <v>35550.36</v>
      </c>
      <c r="M102" s="161">
        <f t="shared" si="10"/>
        <v>25133.360000000001</v>
      </c>
      <c r="N102" s="161">
        <f t="shared" si="10"/>
        <v>25133.360000000001</v>
      </c>
      <c r="O102" s="161">
        <f t="shared" si="10"/>
        <v>25133.360000000001</v>
      </c>
      <c r="P102" s="161">
        <f t="shared" si="10"/>
        <v>17633.36</v>
      </c>
      <c r="Q102" s="161">
        <f t="shared" si="10"/>
        <v>17633.36</v>
      </c>
      <c r="R102" s="161">
        <f t="shared" si="10"/>
        <v>43527.520000000004</v>
      </c>
      <c r="S102" s="161">
        <f t="shared" si="10"/>
        <v>69421.679999999993</v>
      </c>
      <c r="T102" s="161">
        <f t="shared" si="10"/>
        <v>95315.839999999997</v>
      </c>
      <c r="U102" s="161">
        <f t="shared" si="10"/>
        <v>112042.98999999999</v>
      </c>
      <c r="V102" s="161">
        <f t="shared" si="10"/>
        <v>137937.16</v>
      </c>
      <c r="W102" s="161">
        <f t="shared" si="10"/>
        <v>163831.31</v>
      </c>
      <c r="X102" s="161">
        <f t="shared" si="10"/>
        <v>189725.46</v>
      </c>
      <c r="Y102" s="161">
        <f t="shared" si="10"/>
        <v>215619.62</v>
      </c>
      <c r="Z102" s="161">
        <f t="shared" si="10"/>
        <v>241513.78999999998</v>
      </c>
      <c r="AA102" s="161">
        <f t="shared" si="10"/>
        <v>267407.94</v>
      </c>
      <c r="AB102" s="161">
        <f t="shared" si="10"/>
        <v>293302.11</v>
      </c>
      <c r="AC102" s="161">
        <f t="shared" si="10"/>
        <v>353829.61</v>
      </c>
      <c r="AD102" s="161">
        <f t="shared" si="10"/>
        <v>264511.01</v>
      </c>
      <c r="AE102" s="161">
        <f t="shared" si="10"/>
        <v>265293.13</v>
      </c>
      <c r="AF102" s="161">
        <f t="shared" si="10"/>
        <v>266075.23</v>
      </c>
      <c r="AG102" s="161">
        <f t="shared" si="10"/>
        <v>266857.34000000003</v>
      </c>
      <c r="AH102" s="161">
        <f t="shared" si="10"/>
        <v>267639.44</v>
      </c>
      <c r="AI102" s="161">
        <f t="shared" ref="AI102:BN102" si="11">AI99+AI100+AI101</f>
        <v>294315.71000000002</v>
      </c>
      <c r="AJ102" s="161">
        <f t="shared" si="11"/>
        <v>269203.67</v>
      </c>
      <c r="AK102" s="161">
        <f t="shared" si="11"/>
        <v>244091.62</v>
      </c>
      <c r="AL102" s="161">
        <f t="shared" si="11"/>
        <v>218979.57</v>
      </c>
      <c r="AM102" s="161">
        <f t="shared" si="11"/>
        <v>193867.51</v>
      </c>
      <c r="AN102" s="161">
        <f t="shared" si="11"/>
        <v>168755.47</v>
      </c>
      <c r="AO102" s="161">
        <f t="shared" si="11"/>
        <v>143643.42000000001</v>
      </c>
      <c r="AP102" s="161">
        <f t="shared" si="11"/>
        <v>118531.35999999999</v>
      </c>
      <c r="AQ102" s="161">
        <f t="shared" si="11"/>
        <v>93419.32</v>
      </c>
      <c r="AR102" s="161">
        <f t="shared" si="11"/>
        <v>68307.27</v>
      </c>
      <c r="AS102" s="161">
        <f t="shared" si="11"/>
        <v>149094.1</v>
      </c>
      <c r="AT102" s="161">
        <f t="shared" si="11"/>
        <v>123199.95000000001</v>
      </c>
      <c r="AU102" s="161">
        <f t="shared" si="11"/>
        <v>72193.75</v>
      </c>
      <c r="AV102" s="161">
        <f t="shared" si="11"/>
        <v>71411.64</v>
      </c>
      <c r="AW102" s="161">
        <f t="shared" si="11"/>
        <v>70629.52</v>
      </c>
      <c r="AX102" s="161">
        <f t="shared" si="11"/>
        <v>69847.42</v>
      </c>
      <c r="AY102" s="161">
        <f t="shared" si="11"/>
        <v>69065.31</v>
      </c>
      <c r="AZ102" s="161">
        <f t="shared" si="11"/>
        <v>68283.199999999997</v>
      </c>
      <c r="BA102" s="161">
        <f t="shared" si="11"/>
        <v>67501.09</v>
      </c>
      <c r="BB102" s="161">
        <f t="shared" si="11"/>
        <v>66718.98</v>
      </c>
      <c r="BC102" s="161">
        <f t="shared" si="11"/>
        <v>65936.87</v>
      </c>
      <c r="BD102" s="161">
        <f t="shared" si="11"/>
        <v>65154.759999999995</v>
      </c>
      <c r="BE102" s="161">
        <f t="shared" si="11"/>
        <v>64372.649999999994</v>
      </c>
      <c r="BF102" s="161">
        <f t="shared" si="11"/>
        <v>63590.539999999994</v>
      </c>
      <c r="BG102" s="161">
        <f t="shared" si="11"/>
        <v>62808.44</v>
      </c>
      <c r="BH102" s="161">
        <f t="shared" si="11"/>
        <v>109027.32</v>
      </c>
      <c r="BI102" s="161">
        <f t="shared" si="11"/>
        <v>108245.21</v>
      </c>
      <c r="BJ102" s="161">
        <f t="shared" si="11"/>
        <v>213361.99</v>
      </c>
      <c r="BK102" s="161">
        <f t="shared" si="11"/>
        <v>0</v>
      </c>
      <c r="BL102" s="161">
        <f t="shared" si="11"/>
        <v>0</v>
      </c>
      <c r="BM102" s="161">
        <f t="shared" si="11"/>
        <v>0</v>
      </c>
      <c r="BN102" s="161">
        <f t="shared" si="11"/>
        <v>0</v>
      </c>
      <c r="BO102" s="161">
        <f t="shared" ref="BO102:CT102" si="12">BO99+BO100+BO101</f>
        <v>0</v>
      </c>
      <c r="BP102" s="161">
        <f t="shared" si="12"/>
        <v>0</v>
      </c>
      <c r="BQ102" s="161">
        <f t="shared" si="12"/>
        <v>0</v>
      </c>
      <c r="BR102" s="161">
        <f t="shared" si="12"/>
        <v>0</v>
      </c>
      <c r="BS102" s="161">
        <f t="shared" si="12"/>
        <v>0</v>
      </c>
      <c r="BT102" s="161">
        <f t="shared" si="12"/>
        <v>0</v>
      </c>
      <c r="BU102" s="161">
        <f t="shared" si="12"/>
        <v>0</v>
      </c>
      <c r="BV102" s="161">
        <f t="shared" si="12"/>
        <v>0</v>
      </c>
      <c r="BW102" s="161">
        <f t="shared" si="12"/>
        <v>0</v>
      </c>
      <c r="BX102" s="161">
        <f t="shared" si="12"/>
        <v>0</v>
      </c>
      <c r="BY102" s="161">
        <f t="shared" si="12"/>
        <v>0</v>
      </c>
      <c r="BZ102" s="161">
        <f t="shared" si="12"/>
        <v>0</v>
      </c>
      <c r="CA102" s="161">
        <f t="shared" si="12"/>
        <v>0</v>
      </c>
      <c r="CB102" s="161">
        <f t="shared" si="12"/>
        <v>0</v>
      </c>
      <c r="CC102" s="161">
        <f t="shared" si="12"/>
        <v>0</v>
      </c>
      <c r="CD102" s="161">
        <f t="shared" si="12"/>
        <v>0</v>
      </c>
      <c r="CE102" s="161">
        <f t="shared" si="12"/>
        <v>0</v>
      </c>
      <c r="CF102" s="161">
        <f t="shared" si="12"/>
        <v>0</v>
      </c>
      <c r="CG102" s="161">
        <f t="shared" si="12"/>
        <v>0</v>
      </c>
      <c r="CH102" s="161">
        <f t="shared" si="12"/>
        <v>0</v>
      </c>
    </row>
    <row r="103" spans="1:86" ht="15" customHeight="1" x14ac:dyDescent="0.25">
      <c r="A103" s="158" t="s">
        <v>582</v>
      </c>
      <c r="B103" s="159">
        <f t="shared" si="9"/>
        <v>563192.61699999985</v>
      </c>
      <c r="C103" s="161">
        <f t="shared" ref="C103:K103" si="13">C99*$B$94</f>
        <v>0</v>
      </c>
      <c r="D103" s="161">
        <f t="shared" si="13"/>
        <v>0</v>
      </c>
      <c r="E103" s="161">
        <f t="shared" si="13"/>
        <v>0</v>
      </c>
      <c r="F103" s="161">
        <f t="shared" si="13"/>
        <v>0</v>
      </c>
      <c r="G103" s="161">
        <f t="shared" si="13"/>
        <v>0</v>
      </c>
      <c r="H103" s="161">
        <f t="shared" si="13"/>
        <v>0</v>
      </c>
      <c r="I103" s="161">
        <f t="shared" si="13"/>
        <v>0</v>
      </c>
      <c r="J103" s="161">
        <f t="shared" si="13"/>
        <v>0</v>
      </c>
      <c r="K103" s="161">
        <f t="shared" si="13"/>
        <v>0</v>
      </c>
      <c r="L103" s="161">
        <f t="shared" ref="L103:AQ103" si="14">MIN(L99*$B$94,12500)</f>
        <v>4505.0360000000001</v>
      </c>
      <c r="M103" s="161">
        <f t="shared" si="14"/>
        <v>4505.0360000000001</v>
      </c>
      <c r="N103" s="161">
        <f t="shared" si="14"/>
        <v>4505.0360000000001</v>
      </c>
      <c r="O103" s="161">
        <f t="shared" si="14"/>
        <v>4505.0360000000001</v>
      </c>
      <c r="P103" s="161">
        <f t="shared" si="14"/>
        <v>4505.0360000000001</v>
      </c>
      <c r="Q103" s="161">
        <f t="shared" si="14"/>
        <v>4505.0360000000001</v>
      </c>
      <c r="R103" s="161">
        <f t="shared" si="14"/>
        <v>7094.4520000000011</v>
      </c>
      <c r="S103" s="161">
        <f t="shared" si="14"/>
        <v>9683.8680000000004</v>
      </c>
      <c r="T103" s="161">
        <f t="shared" si="14"/>
        <v>12273.284</v>
      </c>
      <c r="U103" s="161">
        <f t="shared" si="14"/>
        <v>12500</v>
      </c>
      <c r="V103" s="161">
        <f t="shared" si="14"/>
        <v>12500</v>
      </c>
      <c r="W103" s="161">
        <f t="shared" si="14"/>
        <v>12500</v>
      </c>
      <c r="X103" s="161">
        <f t="shared" si="14"/>
        <v>12500</v>
      </c>
      <c r="Y103" s="161">
        <f t="shared" si="14"/>
        <v>12500</v>
      </c>
      <c r="Z103" s="161">
        <f t="shared" si="14"/>
        <v>12500</v>
      </c>
      <c r="AA103" s="161">
        <f t="shared" si="14"/>
        <v>12500</v>
      </c>
      <c r="AB103" s="161">
        <f t="shared" si="14"/>
        <v>12500</v>
      </c>
      <c r="AC103" s="161">
        <f t="shared" si="14"/>
        <v>12500</v>
      </c>
      <c r="AD103" s="161">
        <f t="shared" si="14"/>
        <v>12500</v>
      </c>
      <c r="AE103" s="161">
        <f t="shared" si="14"/>
        <v>12500</v>
      </c>
      <c r="AF103" s="161">
        <f t="shared" si="14"/>
        <v>12500</v>
      </c>
      <c r="AG103" s="161">
        <f t="shared" si="14"/>
        <v>12500</v>
      </c>
      <c r="AH103" s="161">
        <f t="shared" si="14"/>
        <v>12500</v>
      </c>
      <c r="AI103" s="161">
        <f t="shared" si="14"/>
        <v>12500</v>
      </c>
      <c r="AJ103" s="161">
        <f t="shared" si="14"/>
        <v>12500</v>
      </c>
      <c r="AK103" s="161">
        <f t="shared" si="14"/>
        <v>12500</v>
      </c>
      <c r="AL103" s="161">
        <f t="shared" si="14"/>
        <v>12500</v>
      </c>
      <c r="AM103" s="161">
        <f t="shared" si="14"/>
        <v>12500</v>
      </c>
      <c r="AN103" s="161">
        <f t="shared" si="14"/>
        <v>12500</v>
      </c>
      <c r="AO103" s="161">
        <f t="shared" si="14"/>
        <v>12500</v>
      </c>
      <c r="AP103" s="161">
        <f t="shared" si="14"/>
        <v>12500</v>
      </c>
      <c r="AQ103" s="161">
        <f t="shared" si="14"/>
        <v>12500</v>
      </c>
      <c r="AR103" s="161">
        <f t="shared" ref="AR103:BW103" si="15">MIN(AR99*$B$94,12500)</f>
        <v>11530.827000000001</v>
      </c>
      <c r="AS103" s="161">
        <f t="shared" si="15"/>
        <v>12500</v>
      </c>
      <c r="AT103" s="161">
        <f t="shared" si="15"/>
        <v>12500</v>
      </c>
      <c r="AU103" s="161">
        <f t="shared" si="15"/>
        <v>11919.475</v>
      </c>
      <c r="AV103" s="161">
        <f t="shared" si="15"/>
        <v>11841.264000000001</v>
      </c>
      <c r="AW103" s="161">
        <f t="shared" si="15"/>
        <v>11763.052000000001</v>
      </c>
      <c r="AX103" s="161">
        <f t="shared" si="15"/>
        <v>11684.842000000001</v>
      </c>
      <c r="AY103" s="161">
        <f t="shared" si="15"/>
        <v>11606.631000000001</v>
      </c>
      <c r="AZ103" s="161">
        <f t="shared" si="15"/>
        <v>11528.42</v>
      </c>
      <c r="BA103" s="161">
        <f t="shared" si="15"/>
        <v>11450.209000000001</v>
      </c>
      <c r="BB103" s="161">
        <f t="shared" si="15"/>
        <v>11371.998</v>
      </c>
      <c r="BC103" s="161">
        <f t="shared" si="15"/>
        <v>11293.787</v>
      </c>
      <c r="BD103" s="161">
        <f t="shared" si="15"/>
        <v>11215.576000000001</v>
      </c>
      <c r="BE103" s="161">
        <f t="shared" si="15"/>
        <v>11137.365</v>
      </c>
      <c r="BF103" s="161">
        <f t="shared" si="15"/>
        <v>11059.154</v>
      </c>
      <c r="BG103" s="161">
        <f t="shared" si="15"/>
        <v>10980.944000000001</v>
      </c>
      <c r="BH103" s="161">
        <f t="shared" si="15"/>
        <v>10902.732000000002</v>
      </c>
      <c r="BI103" s="161">
        <f t="shared" si="15"/>
        <v>10824.521000000001</v>
      </c>
      <c r="BJ103" s="161">
        <f t="shared" si="15"/>
        <v>12500</v>
      </c>
      <c r="BK103" s="161">
        <f t="shared" si="15"/>
        <v>0</v>
      </c>
      <c r="BL103" s="161">
        <f t="shared" si="15"/>
        <v>0</v>
      </c>
      <c r="BM103" s="161">
        <f t="shared" si="15"/>
        <v>0</v>
      </c>
      <c r="BN103" s="161">
        <f t="shared" si="15"/>
        <v>0</v>
      </c>
      <c r="BO103" s="161">
        <f t="shared" si="15"/>
        <v>0</v>
      </c>
      <c r="BP103" s="161">
        <f t="shared" si="15"/>
        <v>0</v>
      </c>
      <c r="BQ103" s="161">
        <f t="shared" si="15"/>
        <v>0</v>
      </c>
      <c r="BR103" s="161">
        <f t="shared" si="15"/>
        <v>0</v>
      </c>
      <c r="BS103" s="161">
        <f t="shared" si="15"/>
        <v>0</v>
      </c>
      <c r="BT103" s="161">
        <f t="shared" si="15"/>
        <v>0</v>
      </c>
      <c r="BU103" s="161">
        <f t="shared" si="15"/>
        <v>0</v>
      </c>
      <c r="BV103" s="161">
        <f t="shared" si="15"/>
        <v>0</v>
      </c>
      <c r="BW103" s="161">
        <f t="shared" si="15"/>
        <v>0</v>
      </c>
      <c r="BX103" s="161">
        <f t="shared" ref="BX103:CG103" si="16">MIN(BX99*$B$94,12500)</f>
        <v>0</v>
      </c>
      <c r="BY103" s="161">
        <f t="shared" si="16"/>
        <v>0</v>
      </c>
      <c r="BZ103" s="161">
        <f t="shared" si="16"/>
        <v>0</v>
      </c>
      <c r="CA103" s="161">
        <f t="shared" si="16"/>
        <v>0</v>
      </c>
      <c r="CB103" s="161">
        <f t="shared" si="16"/>
        <v>0</v>
      </c>
      <c r="CC103" s="161">
        <f t="shared" si="16"/>
        <v>0</v>
      </c>
      <c r="CD103" s="161">
        <f t="shared" si="16"/>
        <v>0</v>
      </c>
      <c r="CE103" s="161">
        <f t="shared" si="16"/>
        <v>0</v>
      </c>
      <c r="CF103" s="161">
        <f t="shared" si="16"/>
        <v>0</v>
      </c>
      <c r="CG103" s="161">
        <f t="shared" si="16"/>
        <v>0</v>
      </c>
      <c r="CH103" s="161">
        <f>CH99*$B$94</f>
        <v>0</v>
      </c>
    </row>
    <row r="104" spans="1:86" ht="15" customHeight="1" x14ac:dyDescent="0.25">
      <c r="A104" s="158" t="s">
        <v>583</v>
      </c>
      <c r="B104" s="159">
        <f t="shared" si="9"/>
        <v>6490433.3830000013</v>
      </c>
      <c r="C104" s="161">
        <f t="shared" ref="C104:AH104" si="17">C102-C103</f>
        <v>0</v>
      </c>
      <c r="D104" s="161">
        <f t="shared" si="17"/>
        <v>0</v>
      </c>
      <c r="E104" s="161">
        <f t="shared" si="17"/>
        <v>0</v>
      </c>
      <c r="F104" s="161">
        <f t="shared" si="17"/>
        <v>0</v>
      </c>
      <c r="G104" s="161">
        <f t="shared" si="17"/>
        <v>0</v>
      </c>
      <c r="H104" s="161">
        <f t="shared" si="17"/>
        <v>0</v>
      </c>
      <c r="I104" s="161">
        <f t="shared" si="17"/>
        <v>0</v>
      </c>
      <c r="J104" s="161">
        <f t="shared" si="17"/>
        <v>0</v>
      </c>
      <c r="K104" s="161">
        <f t="shared" si="17"/>
        <v>0</v>
      </c>
      <c r="L104" s="161">
        <f t="shared" si="17"/>
        <v>31045.324000000001</v>
      </c>
      <c r="M104" s="161">
        <f t="shared" si="17"/>
        <v>20628.324000000001</v>
      </c>
      <c r="N104" s="161">
        <f t="shared" si="17"/>
        <v>20628.324000000001</v>
      </c>
      <c r="O104" s="161">
        <f t="shared" si="17"/>
        <v>20628.324000000001</v>
      </c>
      <c r="P104" s="161">
        <f t="shared" si="17"/>
        <v>13128.324000000001</v>
      </c>
      <c r="Q104" s="161">
        <f t="shared" si="17"/>
        <v>13128.324000000001</v>
      </c>
      <c r="R104" s="161">
        <f t="shared" si="17"/>
        <v>36433.067999999999</v>
      </c>
      <c r="S104" s="161">
        <f t="shared" si="17"/>
        <v>59737.811999999991</v>
      </c>
      <c r="T104" s="161">
        <f t="shared" si="17"/>
        <v>83042.555999999997</v>
      </c>
      <c r="U104" s="161">
        <f t="shared" si="17"/>
        <v>99542.989999999991</v>
      </c>
      <c r="V104" s="161">
        <f t="shared" si="17"/>
        <v>125437.16</v>
      </c>
      <c r="W104" s="161">
        <f t="shared" si="17"/>
        <v>151331.31</v>
      </c>
      <c r="X104" s="161">
        <f t="shared" si="17"/>
        <v>177225.46</v>
      </c>
      <c r="Y104" s="161">
        <f t="shared" si="17"/>
        <v>203119.62</v>
      </c>
      <c r="Z104" s="161">
        <f t="shared" si="17"/>
        <v>229013.78999999998</v>
      </c>
      <c r="AA104" s="161">
        <f t="shared" si="17"/>
        <v>254907.94</v>
      </c>
      <c r="AB104" s="161">
        <f t="shared" si="17"/>
        <v>280802.11</v>
      </c>
      <c r="AC104" s="161">
        <f t="shared" si="17"/>
        <v>341329.61</v>
      </c>
      <c r="AD104" s="161">
        <f t="shared" si="17"/>
        <v>252011.01</v>
      </c>
      <c r="AE104" s="161">
        <f t="shared" si="17"/>
        <v>252793.13</v>
      </c>
      <c r="AF104" s="161">
        <f t="shared" si="17"/>
        <v>253575.22999999998</v>
      </c>
      <c r="AG104" s="161">
        <f t="shared" si="17"/>
        <v>254357.34000000003</v>
      </c>
      <c r="AH104" s="161">
        <f t="shared" si="17"/>
        <v>255139.44</v>
      </c>
      <c r="AI104" s="161">
        <f t="shared" ref="AI104:BN104" si="18">AI102-AI103</f>
        <v>281815.71000000002</v>
      </c>
      <c r="AJ104" s="161">
        <f t="shared" si="18"/>
        <v>256703.66999999998</v>
      </c>
      <c r="AK104" s="161">
        <f t="shared" si="18"/>
        <v>231591.62</v>
      </c>
      <c r="AL104" s="161">
        <f t="shared" si="18"/>
        <v>206479.57</v>
      </c>
      <c r="AM104" s="161">
        <f t="shared" si="18"/>
        <v>181367.51</v>
      </c>
      <c r="AN104" s="161">
        <f t="shared" si="18"/>
        <v>156255.47</v>
      </c>
      <c r="AO104" s="161">
        <f t="shared" si="18"/>
        <v>131143.42000000001</v>
      </c>
      <c r="AP104" s="161">
        <f t="shared" si="18"/>
        <v>106031.35999999999</v>
      </c>
      <c r="AQ104" s="161">
        <f t="shared" si="18"/>
        <v>80919.320000000007</v>
      </c>
      <c r="AR104" s="161">
        <f t="shared" si="18"/>
        <v>56776.442999999999</v>
      </c>
      <c r="AS104" s="161">
        <f t="shared" si="18"/>
        <v>136594.1</v>
      </c>
      <c r="AT104" s="161">
        <f t="shared" si="18"/>
        <v>110699.95000000001</v>
      </c>
      <c r="AU104" s="161">
        <f t="shared" si="18"/>
        <v>60274.275000000001</v>
      </c>
      <c r="AV104" s="161">
        <f t="shared" si="18"/>
        <v>59570.375999999997</v>
      </c>
      <c r="AW104" s="161">
        <f t="shared" si="18"/>
        <v>58866.468000000001</v>
      </c>
      <c r="AX104" s="161">
        <f t="shared" si="18"/>
        <v>58162.577999999994</v>
      </c>
      <c r="AY104" s="161">
        <f t="shared" si="18"/>
        <v>57458.678999999996</v>
      </c>
      <c r="AZ104" s="161">
        <f t="shared" si="18"/>
        <v>56754.78</v>
      </c>
      <c r="BA104" s="161">
        <f t="shared" si="18"/>
        <v>56050.880999999994</v>
      </c>
      <c r="BB104" s="161">
        <f t="shared" si="18"/>
        <v>55346.981999999996</v>
      </c>
      <c r="BC104" s="161">
        <f t="shared" si="18"/>
        <v>54643.082999999999</v>
      </c>
      <c r="BD104" s="161">
        <f t="shared" si="18"/>
        <v>53939.183999999994</v>
      </c>
      <c r="BE104" s="161">
        <f t="shared" si="18"/>
        <v>53235.284999999996</v>
      </c>
      <c r="BF104" s="161">
        <f t="shared" si="18"/>
        <v>52531.385999999991</v>
      </c>
      <c r="BG104" s="161">
        <f t="shared" si="18"/>
        <v>51827.495999999999</v>
      </c>
      <c r="BH104" s="161">
        <f t="shared" si="18"/>
        <v>98124.588000000003</v>
      </c>
      <c r="BI104" s="161">
        <f t="shared" si="18"/>
        <v>97420.689000000013</v>
      </c>
      <c r="BJ104" s="161">
        <f t="shared" si="18"/>
        <v>200861.99</v>
      </c>
      <c r="BK104" s="161">
        <f t="shared" si="18"/>
        <v>0</v>
      </c>
      <c r="BL104" s="161">
        <f t="shared" si="18"/>
        <v>0</v>
      </c>
      <c r="BM104" s="161">
        <f t="shared" si="18"/>
        <v>0</v>
      </c>
      <c r="BN104" s="161">
        <f t="shared" si="18"/>
        <v>0</v>
      </c>
      <c r="BO104" s="161">
        <f t="shared" ref="BO104:CT104" si="19">BO102-BO103</f>
        <v>0</v>
      </c>
      <c r="BP104" s="161">
        <f t="shared" si="19"/>
        <v>0</v>
      </c>
      <c r="BQ104" s="161">
        <f t="shared" si="19"/>
        <v>0</v>
      </c>
      <c r="BR104" s="161">
        <f t="shared" si="19"/>
        <v>0</v>
      </c>
      <c r="BS104" s="161">
        <f t="shared" si="19"/>
        <v>0</v>
      </c>
      <c r="BT104" s="161">
        <f t="shared" si="19"/>
        <v>0</v>
      </c>
      <c r="BU104" s="161">
        <f t="shared" si="19"/>
        <v>0</v>
      </c>
      <c r="BV104" s="161">
        <f t="shared" si="19"/>
        <v>0</v>
      </c>
      <c r="BW104" s="161">
        <f t="shared" si="19"/>
        <v>0</v>
      </c>
      <c r="BX104" s="161">
        <f t="shared" si="19"/>
        <v>0</v>
      </c>
      <c r="BY104" s="161">
        <f t="shared" si="19"/>
        <v>0</v>
      </c>
      <c r="BZ104" s="161">
        <f t="shared" si="19"/>
        <v>0</v>
      </c>
      <c r="CA104" s="161">
        <f t="shared" si="19"/>
        <v>0</v>
      </c>
      <c r="CB104" s="161">
        <f t="shared" si="19"/>
        <v>0</v>
      </c>
      <c r="CC104" s="161">
        <f t="shared" si="19"/>
        <v>0</v>
      </c>
      <c r="CD104" s="161">
        <f t="shared" si="19"/>
        <v>0</v>
      </c>
      <c r="CE104" s="161">
        <f t="shared" si="19"/>
        <v>0</v>
      </c>
      <c r="CF104" s="161">
        <f t="shared" si="19"/>
        <v>0</v>
      </c>
      <c r="CG104" s="161">
        <f t="shared" si="19"/>
        <v>0</v>
      </c>
      <c r="CH104" s="161">
        <f t="shared" si="19"/>
        <v>0</v>
      </c>
    </row>
    <row r="105" spans="1:86" ht="15" customHeight="1" x14ac:dyDescent="0.25">
      <c r="A105" s="158" t="s">
        <v>584</v>
      </c>
      <c r="B105" s="159">
        <f t="shared" si="9"/>
        <v>2951665.9260000009</v>
      </c>
      <c r="C105" s="161">
        <v>0</v>
      </c>
      <c r="D105" s="161">
        <v>0</v>
      </c>
      <c r="E105" s="161">
        <v>0</v>
      </c>
      <c r="F105" s="161">
        <v>0</v>
      </c>
      <c r="G105" s="161">
        <v>0</v>
      </c>
      <c r="H105" s="161">
        <v>0</v>
      </c>
      <c r="I105" s="161">
        <v>0</v>
      </c>
      <c r="J105" s="161">
        <v>0</v>
      </c>
      <c r="K105" s="161">
        <v>0</v>
      </c>
      <c r="L105" s="161">
        <f t="shared" ref="L105:Z105" si="20">MAX(0,L104)*0.4</f>
        <v>12418.1296</v>
      </c>
      <c r="M105" s="161">
        <f t="shared" si="20"/>
        <v>8251.3296000000009</v>
      </c>
      <c r="N105" s="161">
        <f t="shared" si="20"/>
        <v>8251.3296000000009</v>
      </c>
      <c r="O105" s="161">
        <f t="shared" si="20"/>
        <v>8251.3296000000009</v>
      </c>
      <c r="P105" s="161">
        <f t="shared" si="20"/>
        <v>5251.3296000000009</v>
      </c>
      <c r="Q105" s="161">
        <f t="shared" si="20"/>
        <v>5251.3296000000009</v>
      </c>
      <c r="R105" s="161">
        <f t="shared" si="20"/>
        <v>14573.227200000001</v>
      </c>
      <c r="S105" s="161">
        <f t="shared" si="20"/>
        <v>23895.124799999998</v>
      </c>
      <c r="T105" s="161">
        <f t="shared" si="20"/>
        <v>33217.022400000002</v>
      </c>
      <c r="U105" s="161">
        <f t="shared" si="20"/>
        <v>39817.195999999996</v>
      </c>
      <c r="V105" s="161">
        <f t="shared" si="20"/>
        <v>50174.864000000001</v>
      </c>
      <c r="W105" s="161">
        <f t="shared" si="20"/>
        <v>60532.524000000005</v>
      </c>
      <c r="X105" s="161">
        <f t="shared" si="20"/>
        <v>70890.183999999994</v>
      </c>
      <c r="Y105" s="161">
        <f t="shared" si="20"/>
        <v>81247.847999999998</v>
      </c>
      <c r="Z105" s="161">
        <f t="shared" si="20"/>
        <v>91605.516000000003</v>
      </c>
      <c r="AA105" s="161">
        <f t="shared" ref="AA105:AM105" si="21">MAX(0,AA104)*0.45</f>
        <v>114708.573</v>
      </c>
      <c r="AB105" s="161">
        <f t="shared" si="21"/>
        <v>126360.9495</v>
      </c>
      <c r="AC105" s="161">
        <f t="shared" si="21"/>
        <v>153598.32449999999</v>
      </c>
      <c r="AD105" s="161">
        <f t="shared" si="21"/>
        <v>113404.95450000001</v>
      </c>
      <c r="AE105" s="161">
        <f t="shared" si="21"/>
        <v>113756.90850000001</v>
      </c>
      <c r="AF105" s="161">
        <f t="shared" si="21"/>
        <v>114108.8535</v>
      </c>
      <c r="AG105" s="161">
        <f t="shared" si="21"/>
        <v>114460.80300000001</v>
      </c>
      <c r="AH105" s="161">
        <f t="shared" si="21"/>
        <v>114812.74800000001</v>
      </c>
      <c r="AI105" s="161">
        <f t="shared" si="21"/>
        <v>126817.06950000001</v>
      </c>
      <c r="AJ105" s="161">
        <f t="shared" si="21"/>
        <v>115516.65149999999</v>
      </c>
      <c r="AK105" s="161">
        <f t="shared" si="21"/>
        <v>104216.22900000001</v>
      </c>
      <c r="AL105" s="161">
        <f t="shared" si="21"/>
        <v>92915.806500000006</v>
      </c>
      <c r="AM105" s="161">
        <f t="shared" si="21"/>
        <v>81615.37950000001</v>
      </c>
      <c r="AN105" s="161">
        <f t="shared" ref="AN105:CG105" si="22">MAX(0,AN104)*0.5</f>
        <v>78127.735000000001</v>
      </c>
      <c r="AO105" s="161">
        <f t="shared" si="22"/>
        <v>65571.710000000006</v>
      </c>
      <c r="AP105" s="161">
        <f t="shared" si="22"/>
        <v>53015.679999999993</v>
      </c>
      <c r="AQ105" s="161">
        <f t="shared" si="22"/>
        <v>40459.660000000003</v>
      </c>
      <c r="AR105" s="161">
        <f t="shared" si="22"/>
        <v>28388.2215</v>
      </c>
      <c r="AS105" s="161">
        <f t="shared" si="22"/>
        <v>68297.05</v>
      </c>
      <c r="AT105" s="161">
        <f t="shared" si="22"/>
        <v>55349.975000000006</v>
      </c>
      <c r="AU105" s="161">
        <f t="shared" si="22"/>
        <v>30137.137500000001</v>
      </c>
      <c r="AV105" s="161">
        <f t="shared" si="22"/>
        <v>29785.187999999998</v>
      </c>
      <c r="AW105" s="161">
        <f t="shared" si="22"/>
        <v>29433.234</v>
      </c>
      <c r="AX105" s="161">
        <f t="shared" si="22"/>
        <v>29081.288999999997</v>
      </c>
      <c r="AY105" s="161">
        <f t="shared" si="22"/>
        <v>28729.339499999998</v>
      </c>
      <c r="AZ105" s="161">
        <f t="shared" si="22"/>
        <v>28377.39</v>
      </c>
      <c r="BA105" s="161">
        <f t="shared" si="22"/>
        <v>28025.440499999997</v>
      </c>
      <c r="BB105" s="161">
        <f t="shared" si="22"/>
        <v>27673.490999999998</v>
      </c>
      <c r="BC105" s="161">
        <f t="shared" si="22"/>
        <v>27321.541499999999</v>
      </c>
      <c r="BD105" s="161">
        <f t="shared" si="22"/>
        <v>26969.591999999997</v>
      </c>
      <c r="BE105" s="161">
        <f t="shared" si="22"/>
        <v>26617.642499999998</v>
      </c>
      <c r="BF105" s="161">
        <f t="shared" si="22"/>
        <v>26265.692999999996</v>
      </c>
      <c r="BG105" s="161">
        <f t="shared" si="22"/>
        <v>25913.748</v>
      </c>
      <c r="BH105" s="161">
        <f t="shared" si="22"/>
        <v>49062.294000000002</v>
      </c>
      <c r="BI105" s="161">
        <f t="shared" si="22"/>
        <v>48710.344500000007</v>
      </c>
      <c r="BJ105" s="161">
        <f t="shared" si="22"/>
        <v>100430.995</v>
      </c>
      <c r="BK105" s="161">
        <f t="shared" si="22"/>
        <v>0</v>
      </c>
      <c r="BL105" s="161">
        <f t="shared" si="22"/>
        <v>0</v>
      </c>
      <c r="BM105" s="161">
        <f t="shared" si="22"/>
        <v>0</v>
      </c>
      <c r="BN105" s="161">
        <f t="shared" si="22"/>
        <v>0</v>
      </c>
      <c r="BO105" s="161">
        <f t="shared" si="22"/>
        <v>0</v>
      </c>
      <c r="BP105" s="161">
        <f t="shared" si="22"/>
        <v>0</v>
      </c>
      <c r="BQ105" s="161">
        <f t="shared" si="22"/>
        <v>0</v>
      </c>
      <c r="BR105" s="161">
        <f t="shared" si="22"/>
        <v>0</v>
      </c>
      <c r="BS105" s="161">
        <f t="shared" si="22"/>
        <v>0</v>
      </c>
      <c r="BT105" s="161">
        <f t="shared" si="22"/>
        <v>0</v>
      </c>
      <c r="BU105" s="161">
        <f t="shared" si="22"/>
        <v>0</v>
      </c>
      <c r="BV105" s="161">
        <f t="shared" si="22"/>
        <v>0</v>
      </c>
      <c r="BW105" s="161">
        <f t="shared" si="22"/>
        <v>0</v>
      </c>
      <c r="BX105" s="161">
        <f t="shared" si="22"/>
        <v>0</v>
      </c>
      <c r="BY105" s="161">
        <f t="shared" si="22"/>
        <v>0</v>
      </c>
      <c r="BZ105" s="161">
        <f t="shared" si="22"/>
        <v>0</v>
      </c>
      <c r="CA105" s="161">
        <f t="shared" si="22"/>
        <v>0</v>
      </c>
      <c r="CB105" s="161">
        <f t="shared" si="22"/>
        <v>0</v>
      </c>
      <c r="CC105" s="161">
        <f t="shared" si="22"/>
        <v>0</v>
      </c>
      <c r="CD105" s="161">
        <f t="shared" si="22"/>
        <v>0</v>
      </c>
      <c r="CE105" s="161">
        <f t="shared" si="22"/>
        <v>0</v>
      </c>
      <c r="CF105" s="161">
        <f t="shared" si="22"/>
        <v>0</v>
      </c>
      <c r="CG105" s="161">
        <f t="shared" si="22"/>
        <v>0</v>
      </c>
      <c r="CH105" s="161">
        <f>MAX(0,CH104)*$B$95</f>
        <v>0</v>
      </c>
    </row>
    <row r="106" spans="1:86" ht="15" customHeight="1" x14ac:dyDescent="0.25">
      <c r="A106" s="158" t="s">
        <v>585</v>
      </c>
      <c r="B106" s="159">
        <f t="shared" ref="B106:AG106" si="23">B104-B105</f>
        <v>3538767.4570000004</v>
      </c>
      <c r="C106" s="161">
        <f t="shared" si="23"/>
        <v>0</v>
      </c>
      <c r="D106" s="161">
        <f t="shared" si="23"/>
        <v>0</v>
      </c>
      <c r="E106" s="161">
        <f t="shared" si="23"/>
        <v>0</v>
      </c>
      <c r="F106" s="161">
        <f t="shared" si="23"/>
        <v>0</v>
      </c>
      <c r="G106" s="161">
        <f t="shared" si="23"/>
        <v>0</v>
      </c>
      <c r="H106" s="161">
        <f t="shared" si="23"/>
        <v>0</v>
      </c>
      <c r="I106" s="161">
        <f t="shared" si="23"/>
        <v>0</v>
      </c>
      <c r="J106" s="161">
        <f t="shared" si="23"/>
        <v>0</v>
      </c>
      <c r="K106" s="161">
        <f t="shared" si="23"/>
        <v>0</v>
      </c>
      <c r="L106" s="161">
        <f t="shared" si="23"/>
        <v>18627.1944</v>
      </c>
      <c r="M106" s="161">
        <f t="shared" si="23"/>
        <v>12376.9944</v>
      </c>
      <c r="N106" s="161">
        <f t="shared" si="23"/>
        <v>12376.9944</v>
      </c>
      <c r="O106" s="161">
        <f t="shared" si="23"/>
        <v>12376.9944</v>
      </c>
      <c r="P106" s="161">
        <f t="shared" si="23"/>
        <v>7876.9943999999996</v>
      </c>
      <c r="Q106" s="161">
        <f t="shared" si="23"/>
        <v>7876.9943999999996</v>
      </c>
      <c r="R106" s="161">
        <f t="shared" si="23"/>
        <v>21859.840799999998</v>
      </c>
      <c r="S106" s="161">
        <f t="shared" si="23"/>
        <v>35842.687199999993</v>
      </c>
      <c r="T106" s="161">
        <f t="shared" si="23"/>
        <v>49825.533599999995</v>
      </c>
      <c r="U106" s="161">
        <f t="shared" si="23"/>
        <v>59725.793999999994</v>
      </c>
      <c r="V106" s="161">
        <f t="shared" si="23"/>
        <v>75262.296000000002</v>
      </c>
      <c r="W106" s="161">
        <f t="shared" si="23"/>
        <v>90798.785999999993</v>
      </c>
      <c r="X106" s="161">
        <f t="shared" si="23"/>
        <v>106335.276</v>
      </c>
      <c r="Y106" s="161">
        <f t="shared" si="23"/>
        <v>121871.772</v>
      </c>
      <c r="Z106" s="161">
        <f t="shared" si="23"/>
        <v>137408.27399999998</v>
      </c>
      <c r="AA106" s="161">
        <f t="shared" si="23"/>
        <v>140199.367</v>
      </c>
      <c r="AB106" s="161">
        <f t="shared" si="23"/>
        <v>154441.1605</v>
      </c>
      <c r="AC106" s="161">
        <f t="shared" si="23"/>
        <v>187731.2855</v>
      </c>
      <c r="AD106" s="161">
        <f t="shared" si="23"/>
        <v>138606.05550000002</v>
      </c>
      <c r="AE106" s="161">
        <f t="shared" si="23"/>
        <v>139036.22149999999</v>
      </c>
      <c r="AF106" s="161">
        <f t="shared" si="23"/>
        <v>139466.37649999998</v>
      </c>
      <c r="AG106" s="161">
        <f t="shared" si="23"/>
        <v>139896.53700000001</v>
      </c>
      <c r="AH106" s="161">
        <f t="shared" ref="AH106:BM106" si="24">AH104-AH105</f>
        <v>140326.69199999998</v>
      </c>
      <c r="AI106" s="161">
        <f t="shared" si="24"/>
        <v>154998.64050000001</v>
      </c>
      <c r="AJ106" s="161">
        <f t="shared" si="24"/>
        <v>141187.01850000001</v>
      </c>
      <c r="AK106" s="161">
        <f t="shared" si="24"/>
        <v>127375.39099999999</v>
      </c>
      <c r="AL106" s="161">
        <f t="shared" si="24"/>
        <v>113563.7635</v>
      </c>
      <c r="AM106" s="161">
        <f t="shared" si="24"/>
        <v>99752.130499999999</v>
      </c>
      <c r="AN106" s="161">
        <f t="shared" si="24"/>
        <v>78127.735000000001</v>
      </c>
      <c r="AO106" s="161">
        <f t="shared" si="24"/>
        <v>65571.710000000006</v>
      </c>
      <c r="AP106" s="161">
        <f t="shared" si="24"/>
        <v>53015.679999999993</v>
      </c>
      <c r="AQ106" s="161">
        <f t="shared" si="24"/>
        <v>40459.660000000003</v>
      </c>
      <c r="AR106" s="161">
        <f t="shared" si="24"/>
        <v>28388.2215</v>
      </c>
      <c r="AS106" s="161">
        <f t="shared" si="24"/>
        <v>68297.05</v>
      </c>
      <c r="AT106" s="161">
        <f t="shared" si="24"/>
        <v>55349.975000000006</v>
      </c>
      <c r="AU106" s="161">
        <f t="shared" si="24"/>
        <v>30137.137500000001</v>
      </c>
      <c r="AV106" s="161">
        <f t="shared" si="24"/>
        <v>29785.187999999998</v>
      </c>
      <c r="AW106" s="161">
        <f t="shared" si="24"/>
        <v>29433.234</v>
      </c>
      <c r="AX106" s="161">
        <f t="shared" si="24"/>
        <v>29081.288999999997</v>
      </c>
      <c r="AY106" s="161">
        <f t="shared" si="24"/>
        <v>28729.339499999998</v>
      </c>
      <c r="AZ106" s="161">
        <f t="shared" si="24"/>
        <v>28377.39</v>
      </c>
      <c r="BA106" s="161">
        <f t="shared" si="24"/>
        <v>28025.440499999997</v>
      </c>
      <c r="BB106" s="161">
        <f t="shared" si="24"/>
        <v>27673.490999999998</v>
      </c>
      <c r="BC106" s="161">
        <f t="shared" si="24"/>
        <v>27321.541499999999</v>
      </c>
      <c r="BD106" s="161">
        <f t="shared" si="24"/>
        <v>26969.591999999997</v>
      </c>
      <c r="BE106" s="161">
        <f t="shared" si="24"/>
        <v>26617.642499999998</v>
      </c>
      <c r="BF106" s="161">
        <f t="shared" si="24"/>
        <v>26265.692999999996</v>
      </c>
      <c r="BG106" s="161">
        <f t="shared" si="24"/>
        <v>25913.748</v>
      </c>
      <c r="BH106" s="161">
        <f t="shared" si="24"/>
        <v>49062.294000000002</v>
      </c>
      <c r="BI106" s="161">
        <f t="shared" si="24"/>
        <v>48710.344500000007</v>
      </c>
      <c r="BJ106" s="161">
        <f t="shared" si="24"/>
        <v>100430.995</v>
      </c>
      <c r="BK106" s="161">
        <f t="shared" si="24"/>
        <v>0</v>
      </c>
      <c r="BL106" s="161">
        <f t="shared" si="24"/>
        <v>0</v>
      </c>
      <c r="BM106" s="161">
        <f t="shared" si="24"/>
        <v>0</v>
      </c>
      <c r="BN106" s="161">
        <f t="shared" ref="BN106:CS106" si="25">BN104-BN105</f>
        <v>0</v>
      </c>
      <c r="BO106" s="161">
        <f t="shared" si="25"/>
        <v>0</v>
      </c>
      <c r="BP106" s="161">
        <f t="shared" si="25"/>
        <v>0</v>
      </c>
      <c r="BQ106" s="161">
        <f t="shared" si="25"/>
        <v>0</v>
      </c>
      <c r="BR106" s="161">
        <f t="shared" si="25"/>
        <v>0</v>
      </c>
      <c r="BS106" s="161">
        <f t="shared" si="25"/>
        <v>0</v>
      </c>
      <c r="BT106" s="161">
        <f t="shared" si="25"/>
        <v>0</v>
      </c>
      <c r="BU106" s="161">
        <f t="shared" si="25"/>
        <v>0</v>
      </c>
      <c r="BV106" s="161">
        <f t="shared" si="25"/>
        <v>0</v>
      </c>
      <c r="BW106" s="161">
        <f t="shared" si="25"/>
        <v>0</v>
      </c>
      <c r="BX106" s="161">
        <f t="shared" si="25"/>
        <v>0</v>
      </c>
      <c r="BY106" s="161">
        <f t="shared" si="25"/>
        <v>0</v>
      </c>
      <c r="BZ106" s="161">
        <f t="shared" si="25"/>
        <v>0</v>
      </c>
      <c r="CA106" s="161">
        <f t="shared" si="25"/>
        <v>0</v>
      </c>
      <c r="CB106" s="161">
        <f t="shared" si="25"/>
        <v>0</v>
      </c>
      <c r="CC106" s="161">
        <f t="shared" si="25"/>
        <v>0</v>
      </c>
      <c r="CD106" s="161">
        <f t="shared" si="25"/>
        <v>0</v>
      </c>
      <c r="CE106" s="161">
        <f t="shared" si="25"/>
        <v>0</v>
      </c>
      <c r="CF106" s="161">
        <f t="shared" si="25"/>
        <v>0</v>
      </c>
      <c r="CG106" s="161">
        <f t="shared" si="25"/>
        <v>0</v>
      </c>
      <c r="CH106" s="161">
        <f t="shared" si="25"/>
        <v>0</v>
      </c>
    </row>
    <row r="107" spans="1:86" ht="15" customHeight="1" x14ac:dyDescent="0.25">
      <c r="A107" s="158" t="s">
        <v>586</v>
      </c>
      <c r="B107" s="159">
        <f t="shared" ref="B107:AG107" si="26">B103+B106</f>
        <v>4101960.074</v>
      </c>
      <c r="C107" s="161">
        <f t="shared" si="26"/>
        <v>0</v>
      </c>
      <c r="D107" s="161">
        <f t="shared" si="26"/>
        <v>0</v>
      </c>
      <c r="E107" s="161">
        <f t="shared" si="26"/>
        <v>0</v>
      </c>
      <c r="F107" s="161">
        <f t="shared" si="26"/>
        <v>0</v>
      </c>
      <c r="G107" s="161">
        <f t="shared" si="26"/>
        <v>0</v>
      </c>
      <c r="H107" s="161">
        <f t="shared" si="26"/>
        <v>0</v>
      </c>
      <c r="I107" s="161">
        <f t="shared" si="26"/>
        <v>0</v>
      </c>
      <c r="J107" s="161">
        <f t="shared" si="26"/>
        <v>0</v>
      </c>
      <c r="K107" s="161">
        <f t="shared" si="26"/>
        <v>0</v>
      </c>
      <c r="L107" s="161">
        <f t="shared" si="26"/>
        <v>23132.2304</v>
      </c>
      <c r="M107" s="161">
        <f t="shared" si="26"/>
        <v>16882.0304</v>
      </c>
      <c r="N107" s="161">
        <f t="shared" si="26"/>
        <v>16882.0304</v>
      </c>
      <c r="O107" s="161">
        <f t="shared" si="26"/>
        <v>16882.0304</v>
      </c>
      <c r="P107" s="161">
        <f t="shared" si="26"/>
        <v>12382.0304</v>
      </c>
      <c r="Q107" s="161">
        <f t="shared" si="26"/>
        <v>12382.0304</v>
      </c>
      <c r="R107" s="161">
        <f t="shared" si="26"/>
        <v>28954.292799999999</v>
      </c>
      <c r="S107" s="161">
        <f t="shared" si="26"/>
        <v>45526.555199999995</v>
      </c>
      <c r="T107" s="161">
        <f t="shared" si="26"/>
        <v>62098.817599999995</v>
      </c>
      <c r="U107" s="161">
        <f t="shared" si="26"/>
        <v>72225.793999999994</v>
      </c>
      <c r="V107" s="161">
        <f t="shared" si="26"/>
        <v>87762.296000000002</v>
      </c>
      <c r="W107" s="161">
        <f t="shared" si="26"/>
        <v>103298.78599999999</v>
      </c>
      <c r="X107" s="161">
        <f t="shared" si="26"/>
        <v>118835.276</v>
      </c>
      <c r="Y107" s="161">
        <f t="shared" si="26"/>
        <v>134371.772</v>
      </c>
      <c r="Z107" s="161">
        <f t="shared" si="26"/>
        <v>149908.27399999998</v>
      </c>
      <c r="AA107" s="161">
        <f t="shared" si="26"/>
        <v>152699.367</v>
      </c>
      <c r="AB107" s="161">
        <f t="shared" si="26"/>
        <v>166941.1605</v>
      </c>
      <c r="AC107" s="161">
        <f t="shared" si="26"/>
        <v>200231.2855</v>
      </c>
      <c r="AD107" s="161">
        <f t="shared" si="26"/>
        <v>151106.05550000002</v>
      </c>
      <c r="AE107" s="161">
        <f t="shared" si="26"/>
        <v>151536.22149999999</v>
      </c>
      <c r="AF107" s="161">
        <f t="shared" si="26"/>
        <v>151966.37649999998</v>
      </c>
      <c r="AG107" s="161">
        <f t="shared" si="26"/>
        <v>152396.53700000001</v>
      </c>
      <c r="AH107" s="161">
        <f t="shared" ref="AH107:BM107" si="27">AH103+AH106</f>
        <v>152826.69199999998</v>
      </c>
      <c r="AI107" s="161">
        <f t="shared" si="27"/>
        <v>167498.64050000001</v>
      </c>
      <c r="AJ107" s="161">
        <f t="shared" si="27"/>
        <v>153687.01850000001</v>
      </c>
      <c r="AK107" s="161">
        <f t="shared" si="27"/>
        <v>139875.391</v>
      </c>
      <c r="AL107" s="161">
        <f t="shared" si="27"/>
        <v>126063.7635</v>
      </c>
      <c r="AM107" s="161">
        <f t="shared" si="27"/>
        <v>112252.1305</v>
      </c>
      <c r="AN107" s="161">
        <f t="shared" si="27"/>
        <v>90627.735000000001</v>
      </c>
      <c r="AO107" s="161">
        <f t="shared" si="27"/>
        <v>78071.710000000006</v>
      </c>
      <c r="AP107" s="161">
        <f t="shared" si="27"/>
        <v>65515.679999999993</v>
      </c>
      <c r="AQ107" s="161">
        <f t="shared" si="27"/>
        <v>52959.66</v>
      </c>
      <c r="AR107" s="161">
        <f t="shared" si="27"/>
        <v>39919.048500000004</v>
      </c>
      <c r="AS107" s="161">
        <f t="shared" si="27"/>
        <v>80797.05</v>
      </c>
      <c r="AT107" s="161">
        <f t="shared" si="27"/>
        <v>67849.975000000006</v>
      </c>
      <c r="AU107" s="161">
        <f t="shared" si="27"/>
        <v>42056.612500000003</v>
      </c>
      <c r="AV107" s="161">
        <f t="shared" si="27"/>
        <v>41626.451999999997</v>
      </c>
      <c r="AW107" s="161">
        <f t="shared" si="27"/>
        <v>41196.286</v>
      </c>
      <c r="AX107" s="161">
        <f t="shared" si="27"/>
        <v>40766.130999999994</v>
      </c>
      <c r="AY107" s="161">
        <f t="shared" si="27"/>
        <v>40335.970499999996</v>
      </c>
      <c r="AZ107" s="161">
        <f t="shared" si="27"/>
        <v>39905.81</v>
      </c>
      <c r="BA107" s="161">
        <f t="shared" si="27"/>
        <v>39475.6495</v>
      </c>
      <c r="BB107" s="161">
        <f t="shared" si="27"/>
        <v>39045.489000000001</v>
      </c>
      <c r="BC107" s="161">
        <f t="shared" si="27"/>
        <v>38615.328500000003</v>
      </c>
      <c r="BD107" s="161">
        <f t="shared" si="27"/>
        <v>38185.167999999998</v>
      </c>
      <c r="BE107" s="161">
        <f t="shared" si="27"/>
        <v>37755.0075</v>
      </c>
      <c r="BF107" s="161">
        <f t="shared" si="27"/>
        <v>37324.846999999994</v>
      </c>
      <c r="BG107" s="161">
        <f t="shared" si="27"/>
        <v>36894.692000000003</v>
      </c>
      <c r="BH107" s="161">
        <f t="shared" si="27"/>
        <v>59965.026000000005</v>
      </c>
      <c r="BI107" s="161">
        <f t="shared" si="27"/>
        <v>59534.865500000007</v>
      </c>
      <c r="BJ107" s="161">
        <f t="shared" si="27"/>
        <v>112930.995</v>
      </c>
      <c r="BK107" s="161">
        <f t="shared" si="27"/>
        <v>0</v>
      </c>
      <c r="BL107" s="161">
        <f t="shared" si="27"/>
        <v>0</v>
      </c>
      <c r="BM107" s="161">
        <f t="shared" si="27"/>
        <v>0</v>
      </c>
      <c r="BN107" s="161">
        <f t="shared" ref="BN107:CS107" si="28">BN103+BN106</f>
        <v>0</v>
      </c>
      <c r="BO107" s="161">
        <f t="shared" si="28"/>
        <v>0</v>
      </c>
      <c r="BP107" s="161">
        <f t="shared" si="28"/>
        <v>0</v>
      </c>
      <c r="BQ107" s="161">
        <f t="shared" si="28"/>
        <v>0</v>
      </c>
      <c r="BR107" s="161">
        <f t="shared" si="28"/>
        <v>0</v>
      </c>
      <c r="BS107" s="161">
        <f t="shared" si="28"/>
        <v>0</v>
      </c>
      <c r="BT107" s="161">
        <f t="shared" si="28"/>
        <v>0</v>
      </c>
      <c r="BU107" s="161">
        <f t="shared" si="28"/>
        <v>0</v>
      </c>
      <c r="BV107" s="161">
        <f t="shared" si="28"/>
        <v>0</v>
      </c>
      <c r="BW107" s="161">
        <f t="shared" si="28"/>
        <v>0</v>
      </c>
      <c r="BX107" s="161">
        <f t="shared" si="28"/>
        <v>0</v>
      </c>
      <c r="BY107" s="161">
        <f t="shared" si="28"/>
        <v>0</v>
      </c>
      <c r="BZ107" s="161">
        <f t="shared" si="28"/>
        <v>0</v>
      </c>
      <c r="CA107" s="161">
        <f t="shared" si="28"/>
        <v>0</v>
      </c>
      <c r="CB107" s="161">
        <f t="shared" si="28"/>
        <v>0</v>
      </c>
      <c r="CC107" s="161">
        <f t="shared" si="28"/>
        <v>0</v>
      </c>
      <c r="CD107" s="161">
        <f t="shared" si="28"/>
        <v>0</v>
      </c>
      <c r="CE107" s="161">
        <f t="shared" si="28"/>
        <v>0</v>
      </c>
      <c r="CF107" s="161">
        <f t="shared" si="28"/>
        <v>0</v>
      </c>
      <c r="CG107" s="161">
        <f t="shared" si="28"/>
        <v>0</v>
      </c>
      <c r="CH107" s="161">
        <f t="shared" si="28"/>
        <v>0</v>
      </c>
    </row>
  </sheetData>
  <mergeCells count="16">
    <mergeCell ref="C73:G73"/>
    <mergeCell ref="B81:G81"/>
    <mergeCell ref="C77:G77"/>
    <mergeCell ref="B89:G89"/>
    <mergeCell ref="B90:G90"/>
    <mergeCell ref="B85:G85"/>
    <mergeCell ref="B84:G84"/>
    <mergeCell ref="C76:G76"/>
    <mergeCell ref="B83:G83"/>
    <mergeCell ref="B88:G88"/>
    <mergeCell ref="C75:G75"/>
    <mergeCell ref="C74:G74"/>
    <mergeCell ref="B82:G82"/>
    <mergeCell ref="B86:G86"/>
    <mergeCell ref="C78:G78"/>
    <mergeCell ref="B87:G87"/>
  </mergeCells>
  <pageMargins left="0.75" right="0.75" top="1" bottom="1" header="0.511811023622047" footer="0.511811023622047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2C3A51"/>
  </sheetPr>
  <dimension ref="A1:CH44"/>
  <sheetViews>
    <sheetView zoomScaleNormal="100" workbookViewId="0">
      <pane xSplit="2" ySplit="2" topLeftCell="C3" activePane="bottomRight" state="frozen"/>
      <selection pane="topRight" activeCell="C1" sqref="C1"/>
      <selection pane="bottomLeft" activeCell="A3" sqref="A3"/>
      <selection pane="bottomRight"/>
    </sheetView>
  </sheetViews>
  <sheetFormatPr defaultColWidth="8.7109375" defaultRowHeight="15" customHeight="1" x14ac:dyDescent="0.25"/>
  <cols>
    <col min="1" max="1" width="30" customWidth="1"/>
    <col min="2" max="4" width="16" customWidth="1"/>
    <col min="5" max="86" width="12" customWidth="1"/>
  </cols>
  <sheetData>
    <row r="1" spans="1:86" ht="15.75" customHeight="1" x14ac:dyDescent="0.3">
      <c r="A1" s="162" t="s">
        <v>694</v>
      </c>
      <c r="B1" s="107"/>
      <c r="C1" s="107"/>
      <c r="D1" s="107"/>
      <c r="E1" s="107"/>
      <c r="F1" s="107"/>
      <c r="G1" s="107"/>
      <c r="H1" s="107"/>
      <c r="I1" s="107"/>
      <c r="J1" s="107"/>
      <c r="K1" s="107"/>
      <c r="L1" s="107"/>
      <c r="M1" s="107"/>
      <c r="N1" s="107"/>
      <c r="O1" s="107"/>
      <c r="P1" s="107"/>
      <c r="Q1" s="107"/>
      <c r="R1" s="107"/>
      <c r="S1" s="107"/>
      <c r="T1" s="107"/>
      <c r="U1" s="107"/>
      <c r="V1" s="107"/>
      <c r="W1" s="107"/>
      <c r="X1" s="107"/>
      <c r="Y1" s="107"/>
      <c r="Z1" s="107"/>
      <c r="AA1" s="107"/>
      <c r="AB1" s="107"/>
      <c r="AC1" s="107"/>
      <c r="AD1" s="107"/>
      <c r="AE1" s="107"/>
      <c r="AF1" s="107"/>
      <c r="AG1" s="107"/>
      <c r="AH1" s="107"/>
      <c r="AI1" s="107"/>
      <c r="AJ1" s="107"/>
      <c r="AK1" s="107"/>
      <c r="AL1" s="107"/>
      <c r="AM1" s="107"/>
      <c r="AN1" s="107"/>
      <c r="AO1" s="107"/>
      <c r="AP1" s="107"/>
      <c r="AQ1" s="107"/>
      <c r="AR1" s="107"/>
      <c r="AS1" s="107"/>
      <c r="AT1" s="107"/>
      <c r="AU1" s="107"/>
      <c r="AV1" s="107"/>
      <c r="AW1" s="107"/>
      <c r="AX1" s="107"/>
      <c r="AY1" s="107"/>
      <c r="AZ1" s="107"/>
      <c r="BA1" s="107"/>
      <c r="BB1" s="107"/>
      <c r="BC1" s="107"/>
      <c r="BD1" s="107"/>
      <c r="BE1" s="107"/>
      <c r="BF1" s="107"/>
      <c r="BG1" s="107"/>
      <c r="BH1" s="107"/>
      <c r="BI1" s="107"/>
      <c r="BJ1" s="107"/>
      <c r="BK1" s="107"/>
      <c r="BL1" s="107"/>
      <c r="BM1" s="107"/>
      <c r="BN1" s="107"/>
      <c r="BO1" s="107"/>
      <c r="BP1" s="107"/>
      <c r="BQ1" s="107"/>
      <c r="BR1" s="107"/>
      <c r="BS1" s="107"/>
      <c r="BT1" s="107"/>
      <c r="BU1" s="107"/>
      <c r="BV1" s="107"/>
      <c r="BW1" s="107"/>
      <c r="BX1" s="107"/>
      <c r="BY1" s="107"/>
      <c r="BZ1" s="107"/>
      <c r="CA1" s="107"/>
      <c r="CB1" s="107"/>
      <c r="CC1" s="107"/>
      <c r="CD1" s="107"/>
      <c r="CE1" s="107"/>
      <c r="CF1" s="107"/>
      <c r="CG1" s="107"/>
      <c r="CH1" s="107"/>
    </row>
    <row r="2" spans="1:86" ht="15" customHeight="1" x14ac:dyDescent="0.25">
      <c r="A2" s="107"/>
      <c r="B2" s="107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P2" s="163"/>
      <c r="Q2" s="163"/>
      <c r="R2" s="163"/>
      <c r="S2" s="163"/>
      <c r="T2" s="163"/>
      <c r="U2" s="163"/>
      <c r="V2" s="163"/>
      <c r="W2" s="163"/>
      <c r="X2" s="163"/>
      <c r="Y2" s="163"/>
      <c r="Z2" s="163"/>
      <c r="AA2" s="163"/>
      <c r="AB2" s="163"/>
      <c r="AC2" s="163"/>
      <c r="AD2" s="163"/>
      <c r="AE2" s="163"/>
      <c r="AF2" s="163"/>
      <c r="AG2" s="163"/>
      <c r="AH2" s="163"/>
      <c r="AI2" s="163"/>
      <c r="AJ2" s="163"/>
      <c r="AK2" s="163"/>
      <c r="AL2" s="163"/>
      <c r="AM2" s="163"/>
      <c r="AN2" s="163"/>
      <c r="AO2" s="163"/>
      <c r="AP2" s="163"/>
      <c r="AQ2" s="163"/>
      <c r="AR2" s="163"/>
      <c r="AS2" s="163"/>
      <c r="AT2" s="163"/>
      <c r="AU2" s="163"/>
      <c r="AV2" s="163"/>
      <c r="AW2" s="163"/>
      <c r="AX2" s="163"/>
      <c r="AY2" s="163"/>
      <c r="AZ2" s="163"/>
      <c r="BA2" s="163"/>
      <c r="BB2" s="163"/>
      <c r="BC2" s="163"/>
      <c r="BD2" s="163"/>
      <c r="BE2" s="163"/>
      <c r="BF2" s="163"/>
      <c r="BG2" s="163"/>
      <c r="BH2" s="163"/>
      <c r="BI2" s="163"/>
      <c r="BJ2" s="163"/>
      <c r="BK2" s="163"/>
      <c r="BL2" s="163"/>
      <c r="BM2" s="163"/>
      <c r="BN2" s="163"/>
      <c r="BO2" s="163"/>
      <c r="BP2" s="163"/>
      <c r="BQ2" s="163"/>
      <c r="BR2" s="163"/>
      <c r="BS2" s="163"/>
      <c r="BT2" s="163"/>
      <c r="BU2" s="163"/>
      <c r="BV2" s="163"/>
      <c r="BW2" s="163"/>
      <c r="BX2" s="163"/>
      <c r="BY2" s="163"/>
      <c r="BZ2" s="163"/>
      <c r="CA2" s="163"/>
      <c r="CB2" s="163"/>
      <c r="CC2" s="163"/>
      <c r="CD2" s="163"/>
      <c r="CE2" s="163"/>
      <c r="CF2" s="163"/>
      <c r="CG2" s="163"/>
      <c r="CH2" s="163"/>
    </row>
    <row r="3" spans="1:86" ht="15" customHeight="1" x14ac:dyDescent="0.25">
      <c r="A3" s="164"/>
      <c r="B3" s="165" t="s">
        <v>695</v>
      </c>
      <c r="C3" s="165" t="s">
        <v>696</v>
      </c>
      <c r="D3" s="165" t="s">
        <v>697</v>
      </c>
      <c r="E3" s="107"/>
      <c r="F3" s="107"/>
      <c r="G3" s="107"/>
      <c r="H3" s="107"/>
      <c r="I3" s="107"/>
      <c r="J3" s="107"/>
      <c r="K3" s="107"/>
      <c r="L3" s="107"/>
      <c r="M3" s="107"/>
      <c r="N3" s="107"/>
      <c r="O3" s="107"/>
      <c r="P3" s="107"/>
      <c r="Q3" s="107"/>
      <c r="R3" s="107"/>
      <c r="S3" s="107"/>
      <c r="T3" s="107"/>
      <c r="U3" s="107"/>
      <c r="V3" s="107"/>
      <c r="W3" s="107"/>
      <c r="X3" s="107"/>
      <c r="Y3" s="107"/>
      <c r="Z3" s="107"/>
      <c r="AA3" s="107"/>
      <c r="AB3" s="107"/>
      <c r="AC3" s="107"/>
      <c r="AD3" s="107"/>
      <c r="AE3" s="107"/>
      <c r="AF3" s="107"/>
      <c r="AG3" s="107"/>
      <c r="AH3" s="107"/>
      <c r="AI3" s="107"/>
      <c r="AJ3" s="107"/>
      <c r="AK3" s="107"/>
      <c r="AL3" s="107"/>
      <c r="AM3" s="107"/>
      <c r="AN3" s="107"/>
      <c r="AO3" s="107"/>
      <c r="AP3" s="107"/>
      <c r="AQ3" s="107"/>
      <c r="AR3" s="107"/>
      <c r="AS3" s="107"/>
      <c r="AT3" s="107"/>
      <c r="AU3" s="107"/>
      <c r="AV3" s="107"/>
      <c r="AW3" s="107"/>
      <c r="AX3" s="107"/>
      <c r="AY3" s="107"/>
      <c r="AZ3" s="107"/>
      <c r="BA3" s="107"/>
      <c r="BB3" s="107"/>
      <c r="BC3" s="107"/>
      <c r="BD3" s="107"/>
      <c r="BE3" s="107"/>
      <c r="BF3" s="107"/>
      <c r="BG3" s="107"/>
      <c r="BH3" s="107"/>
      <c r="BI3" s="107"/>
      <c r="BJ3" s="107"/>
      <c r="BK3" s="107"/>
      <c r="BL3" s="107"/>
      <c r="BM3" s="107"/>
      <c r="BN3" s="107"/>
      <c r="BO3" s="107"/>
      <c r="BP3" s="107"/>
      <c r="BQ3" s="107"/>
      <c r="BR3" s="107"/>
      <c r="BS3" s="107"/>
      <c r="BT3" s="107"/>
      <c r="BU3" s="107"/>
      <c r="BV3" s="107"/>
      <c r="BW3" s="107"/>
      <c r="BX3" s="107"/>
      <c r="BY3" s="107"/>
      <c r="BZ3" s="107"/>
      <c r="CA3" s="107"/>
      <c r="CB3" s="107"/>
      <c r="CC3" s="107"/>
      <c r="CD3" s="107"/>
      <c r="CE3" s="107"/>
      <c r="CF3" s="107"/>
      <c r="CG3" s="107"/>
      <c r="CH3" s="107"/>
    </row>
    <row r="4" spans="1:86" ht="15" customHeight="1" x14ac:dyDescent="0.25">
      <c r="A4" s="107"/>
      <c r="B4" s="63"/>
      <c r="C4" s="63"/>
      <c r="D4" s="63"/>
      <c r="E4" s="107"/>
      <c r="F4" s="107"/>
      <c r="G4" s="107"/>
      <c r="H4" s="107"/>
      <c r="I4" s="107"/>
      <c r="J4" s="107"/>
      <c r="K4" s="107"/>
      <c r="L4" s="107"/>
      <c r="M4" s="107"/>
      <c r="N4" s="107"/>
      <c r="O4" s="107"/>
      <c r="P4" s="107"/>
      <c r="Q4" s="107"/>
      <c r="R4" s="107"/>
      <c r="S4" s="107"/>
      <c r="T4" s="107"/>
      <c r="U4" s="107"/>
      <c r="V4" s="107"/>
      <c r="W4" s="107"/>
      <c r="X4" s="107"/>
      <c r="Y4" s="107"/>
      <c r="Z4" s="107"/>
      <c r="AA4" s="107"/>
      <c r="AB4" s="107"/>
      <c r="AC4" s="107"/>
      <c r="AD4" s="107"/>
      <c r="AE4" s="107"/>
      <c r="AF4" s="107"/>
      <c r="AG4" s="107"/>
      <c r="AH4" s="107"/>
      <c r="AI4" s="107"/>
      <c r="AJ4" s="107"/>
      <c r="AK4" s="107"/>
      <c r="AL4" s="107"/>
      <c r="AM4" s="107"/>
      <c r="AN4" s="107"/>
      <c r="AO4" s="107"/>
      <c r="AP4" s="107"/>
      <c r="AQ4" s="107"/>
      <c r="AR4" s="107"/>
      <c r="AS4" s="107"/>
      <c r="AT4" s="107"/>
      <c r="AU4" s="107"/>
      <c r="AV4" s="107"/>
      <c r="AW4" s="107"/>
      <c r="AX4" s="107"/>
      <c r="AY4" s="107"/>
      <c r="AZ4" s="107"/>
      <c r="BA4" s="107"/>
      <c r="BB4" s="107"/>
      <c r="BC4" s="107"/>
      <c r="BD4" s="107"/>
      <c r="BE4" s="107"/>
      <c r="BF4" s="107"/>
      <c r="BG4" s="107"/>
      <c r="BH4" s="107"/>
      <c r="BI4" s="107"/>
      <c r="BJ4" s="107"/>
      <c r="BK4" s="107"/>
      <c r="BL4" s="107"/>
      <c r="BM4" s="107"/>
      <c r="BN4" s="107"/>
      <c r="BO4" s="107"/>
      <c r="BP4" s="107"/>
      <c r="BQ4" s="107"/>
      <c r="BR4" s="107"/>
      <c r="BS4" s="107"/>
      <c r="BT4" s="107"/>
      <c r="BU4" s="107"/>
      <c r="BV4" s="107"/>
      <c r="BW4" s="107"/>
      <c r="BX4" s="107"/>
      <c r="BY4" s="107"/>
      <c r="BZ4" s="107"/>
      <c r="CA4" s="107"/>
      <c r="CB4" s="107"/>
      <c r="CC4" s="107"/>
      <c r="CD4" s="107"/>
      <c r="CE4" s="107"/>
      <c r="CF4" s="107"/>
      <c r="CG4" s="107"/>
      <c r="CH4" s="107"/>
    </row>
    <row r="5" spans="1:86" ht="15" customHeight="1" x14ac:dyDescent="0.25">
      <c r="A5" s="166" t="s">
        <v>115</v>
      </c>
      <c r="B5" s="167"/>
      <c r="C5" s="167"/>
      <c r="D5" s="167"/>
      <c r="E5" s="63"/>
      <c r="F5" s="63"/>
      <c r="G5" s="63"/>
      <c r="H5" s="63"/>
      <c r="I5" s="63"/>
      <c r="J5" s="63"/>
      <c r="K5" s="63"/>
      <c r="L5" s="63"/>
      <c r="M5" s="63"/>
      <c r="N5" s="63"/>
      <c r="O5" s="63"/>
      <c r="P5" s="63"/>
      <c r="Q5" s="63"/>
      <c r="R5" s="63"/>
      <c r="S5" s="63"/>
      <c r="T5" s="63"/>
      <c r="U5" s="63"/>
      <c r="V5" s="63"/>
      <c r="W5" s="63"/>
      <c r="X5" s="63"/>
      <c r="Y5" s="63"/>
      <c r="Z5" s="63"/>
      <c r="AA5" s="63"/>
      <c r="AB5" s="63"/>
      <c r="AC5" s="63"/>
      <c r="AD5" s="63"/>
      <c r="AE5" s="63"/>
      <c r="AF5" s="63"/>
      <c r="AG5" s="63"/>
      <c r="AH5" s="63"/>
      <c r="AI5" s="63"/>
      <c r="AJ5" s="63"/>
      <c r="AK5" s="63"/>
      <c r="AL5" s="63"/>
      <c r="AM5" s="63"/>
      <c r="AN5" s="63"/>
      <c r="AO5" s="63"/>
      <c r="AP5" s="63"/>
      <c r="AQ5" s="63"/>
      <c r="AR5" s="63"/>
      <c r="AS5" s="63"/>
      <c r="AT5" s="63"/>
      <c r="AU5" s="63"/>
      <c r="AV5" s="63"/>
      <c r="AW5" s="63"/>
      <c r="AX5" s="63"/>
      <c r="AY5" s="63"/>
      <c r="AZ5" s="63"/>
      <c r="BA5" s="63"/>
      <c r="BB5" s="63"/>
      <c r="BC5" s="63"/>
      <c r="BD5" s="63"/>
      <c r="BE5" s="63"/>
      <c r="BF5" s="63"/>
      <c r="BG5" s="63"/>
      <c r="BH5" s="63"/>
      <c r="BI5" s="63"/>
      <c r="BJ5" s="63"/>
      <c r="BK5" s="63"/>
      <c r="BL5" s="63"/>
      <c r="BM5" s="63"/>
      <c r="BN5" s="63"/>
      <c r="BO5" s="63"/>
      <c r="BP5" s="63"/>
      <c r="BQ5" s="63"/>
      <c r="BR5" s="63"/>
      <c r="BS5" s="63"/>
      <c r="BT5" s="63"/>
      <c r="BU5" s="63"/>
      <c r="BV5" s="63"/>
      <c r="BW5" s="63"/>
      <c r="BX5" s="63"/>
      <c r="BY5" s="63"/>
      <c r="BZ5" s="63"/>
      <c r="CA5" s="63"/>
      <c r="CB5" s="63"/>
      <c r="CC5" s="63"/>
      <c r="CD5" s="63"/>
      <c r="CE5" s="63"/>
      <c r="CF5" s="63"/>
      <c r="CG5" s="63"/>
      <c r="CH5" s="63"/>
    </row>
    <row r="6" spans="1:86" ht="15" customHeight="1" x14ac:dyDescent="0.25">
      <c r="A6" s="168" t="s">
        <v>698</v>
      </c>
      <c r="B6" s="169">
        <f>SUM(Model!C60:CH60)</f>
        <v>1063981</v>
      </c>
      <c r="C6" s="169">
        <f>Helpers!B47</f>
        <v>1912475</v>
      </c>
      <c r="D6" s="169">
        <f>B6+C6</f>
        <v>2976456</v>
      </c>
      <c r="E6" s="63"/>
      <c r="F6" s="63"/>
      <c r="G6" s="63"/>
      <c r="H6" s="63"/>
      <c r="I6" s="63"/>
      <c r="J6" s="63"/>
      <c r="K6" s="63"/>
      <c r="L6" s="63"/>
      <c r="M6" s="63"/>
      <c r="N6" s="63"/>
      <c r="O6" s="63"/>
      <c r="P6" s="63"/>
      <c r="Q6" s="63"/>
      <c r="R6" s="63"/>
      <c r="S6" s="63"/>
      <c r="T6" s="63"/>
      <c r="U6" s="63"/>
      <c r="V6" s="63"/>
      <c r="W6" s="63"/>
      <c r="X6" s="63"/>
      <c r="Y6" s="63"/>
      <c r="Z6" s="63"/>
      <c r="AA6" s="63"/>
      <c r="AB6" s="63"/>
      <c r="AC6" s="63"/>
      <c r="AD6" s="63"/>
      <c r="AE6" s="63"/>
      <c r="AF6" s="63"/>
      <c r="AG6" s="63"/>
      <c r="AH6" s="63"/>
      <c r="AI6" s="63"/>
      <c r="AJ6" s="63"/>
      <c r="AK6" s="63"/>
      <c r="AL6" s="63"/>
      <c r="AM6" s="63"/>
      <c r="AN6" s="63"/>
      <c r="AO6" s="63"/>
      <c r="AP6" s="63"/>
      <c r="AQ6" s="63"/>
      <c r="AR6" s="63"/>
      <c r="AS6" s="63"/>
      <c r="AT6" s="63"/>
      <c r="AU6" s="63"/>
      <c r="AV6" s="63"/>
      <c r="AW6" s="63"/>
      <c r="AX6" s="63"/>
      <c r="AY6" s="63"/>
      <c r="AZ6" s="63"/>
      <c r="BA6" s="63"/>
      <c r="BB6" s="63"/>
      <c r="BC6" s="63"/>
      <c r="BD6" s="63"/>
      <c r="BE6" s="63"/>
      <c r="BF6" s="63"/>
      <c r="BG6" s="63"/>
      <c r="BH6" s="63"/>
      <c r="BI6" s="63"/>
      <c r="BJ6" s="63"/>
      <c r="BK6" s="63"/>
      <c r="BL6" s="63"/>
      <c r="BM6" s="63"/>
      <c r="BN6" s="63"/>
      <c r="BO6" s="63"/>
      <c r="BP6" s="63"/>
      <c r="BQ6" s="63"/>
      <c r="BR6" s="63"/>
      <c r="BS6" s="63"/>
      <c r="BT6" s="63"/>
      <c r="BU6" s="63"/>
      <c r="BV6" s="63"/>
      <c r="BW6" s="63"/>
      <c r="BX6" s="63"/>
      <c r="BY6" s="63"/>
      <c r="BZ6" s="63"/>
      <c r="CA6" s="63"/>
      <c r="CB6" s="63"/>
      <c r="CC6" s="63"/>
      <c r="CD6" s="63"/>
      <c r="CE6" s="63"/>
      <c r="CF6" s="63"/>
      <c r="CG6" s="63"/>
      <c r="CH6" s="63"/>
    </row>
    <row r="7" spans="1:86" ht="15" customHeight="1" x14ac:dyDescent="0.25">
      <c r="A7" s="107" t="s">
        <v>699</v>
      </c>
      <c r="B7" s="63">
        <f>-Projects!$B$7*Assumptions!$B$47</f>
        <v>-429684.47999999998</v>
      </c>
      <c r="C7" s="63">
        <v>0</v>
      </c>
      <c r="D7" s="63">
        <f>B7+C7</f>
        <v>-429684.47999999998</v>
      </c>
      <c r="E7" s="63"/>
      <c r="F7" s="63"/>
      <c r="G7" s="63"/>
      <c r="H7" s="63"/>
      <c r="I7" s="63"/>
      <c r="J7" s="63"/>
      <c r="K7" s="63"/>
      <c r="L7" s="63"/>
      <c r="M7" s="63"/>
      <c r="N7" s="63"/>
      <c r="O7" s="63"/>
      <c r="P7" s="63"/>
      <c r="Q7" s="63"/>
      <c r="R7" s="63"/>
      <c r="S7" s="63"/>
      <c r="T7" s="63"/>
      <c r="U7" s="63"/>
      <c r="V7" s="63"/>
      <c r="W7" s="63"/>
      <c r="X7" s="63"/>
      <c r="Y7" s="63"/>
      <c r="Z7" s="63"/>
      <c r="AA7" s="63"/>
      <c r="AB7" s="63"/>
      <c r="AC7" s="63"/>
      <c r="AD7" s="63"/>
      <c r="AE7" s="63"/>
      <c r="AF7" s="63"/>
      <c r="AG7" s="63"/>
      <c r="AH7" s="63"/>
      <c r="AI7" s="63"/>
      <c r="AJ7" s="63"/>
      <c r="AK7" s="63"/>
      <c r="AL7" s="63"/>
      <c r="AM7" s="63"/>
      <c r="AN7" s="63"/>
      <c r="AO7" s="63"/>
      <c r="AP7" s="63"/>
      <c r="AQ7" s="63"/>
      <c r="AR7" s="63"/>
      <c r="AS7" s="63"/>
      <c r="AT7" s="63"/>
      <c r="AU7" s="63"/>
      <c r="AV7" s="63"/>
      <c r="AW7" s="63"/>
      <c r="AX7" s="63"/>
      <c r="AY7" s="63"/>
      <c r="AZ7" s="63"/>
      <c r="BA7" s="63"/>
      <c r="BB7" s="63"/>
      <c r="BC7" s="63"/>
      <c r="BD7" s="63"/>
      <c r="BE7" s="63"/>
      <c r="BF7" s="63"/>
      <c r="BG7" s="63"/>
      <c r="BH7" s="63"/>
      <c r="BI7" s="63"/>
      <c r="BJ7" s="63"/>
      <c r="BK7" s="63"/>
      <c r="BL7" s="63"/>
      <c r="BM7" s="63"/>
      <c r="BN7" s="63"/>
      <c r="BO7" s="63"/>
      <c r="BP7" s="63"/>
      <c r="BQ7" s="63"/>
      <c r="BR7" s="63"/>
      <c r="BS7" s="63"/>
      <c r="BT7" s="63"/>
      <c r="BU7" s="63"/>
      <c r="BV7" s="63"/>
      <c r="BW7" s="63"/>
      <c r="BX7" s="63"/>
      <c r="BY7" s="63"/>
      <c r="BZ7" s="63"/>
      <c r="CA7" s="63"/>
      <c r="CB7" s="63"/>
      <c r="CC7" s="63"/>
      <c r="CD7" s="63"/>
      <c r="CE7" s="63"/>
      <c r="CF7" s="63"/>
      <c r="CG7" s="63"/>
      <c r="CH7" s="63"/>
    </row>
    <row r="8" spans="1:86" ht="15" customHeight="1" x14ac:dyDescent="0.25">
      <c r="A8" s="168" t="s">
        <v>700</v>
      </c>
      <c r="B8" s="169">
        <f>-Assumptions!$B$53*Assumptions!$B$48</f>
        <v>-150000</v>
      </c>
      <c r="C8" s="169">
        <v>0</v>
      </c>
      <c r="D8" s="169">
        <f>B8+C8</f>
        <v>-150000</v>
      </c>
      <c r="E8" s="107"/>
      <c r="F8" s="107"/>
      <c r="G8" s="107"/>
      <c r="H8" s="107"/>
      <c r="I8" s="107"/>
      <c r="J8" s="107"/>
      <c r="K8" s="107"/>
      <c r="L8" s="107"/>
      <c r="M8" s="107"/>
      <c r="N8" s="107"/>
      <c r="O8" s="107"/>
      <c r="P8" s="107"/>
      <c r="Q8" s="107"/>
      <c r="R8" s="107"/>
      <c r="S8" s="107"/>
      <c r="T8" s="107"/>
      <c r="U8" s="107"/>
      <c r="V8" s="107"/>
      <c r="W8" s="107"/>
      <c r="X8" s="107"/>
      <c r="Y8" s="107"/>
      <c r="Z8" s="107"/>
      <c r="AA8" s="107"/>
      <c r="AB8" s="107"/>
      <c r="AC8" s="107"/>
      <c r="AD8" s="107"/>
      <c r="AE8" s="107"/>
      <c r="AF8" s="107"/>
      <c r="AG8" s="107"/>
      <c r="AH8" s="107"/>
      <c r="AI8" s="107"/>
      <c r="AJ8" s="107"/>
      <c r="AK8" s="107"/>
      <c r="AL8" s="107"/>
      <c r="AM8" s="107"/>
      <c r="AN8" s="107"/>
      <c r="AO8" s="107"/>
      <c r="AP8" s="107"/>
      <c r="AQ8" s="107"/>
      <c r="AR8" s="107"/>
      <c r="AS8" s="107"/>
      <c r="AT8" s="107"/>
      <c r="AU8" s="107"/>
      <c r="AV8" s="107"/>
      <c r="AW8" s="107"/>
      <c r="AX8" s="107"/>
      <c r="AY8" s="107"/>
      <c r="AZ8" s="107"/>
      <c r="BA8" s="107"/>
      <c r="BB8" s="107"/>
      <c r="BC8" s="107"/>
      <c r="BD8" s="107"/>
      <c r="BE8" s="107"/>
      <c r="BF8" s="107"/>
      <c r="BG8" s="107"/>
      <c r="BH8" s="107"/>
      <c r="BI8" s="107"/>
      <c r="BJ8" s="107"/>
      <c r="BK8" s="107"/>
      <c r="BL8" s="107"/>
      <c r="BM8" s="107"/>
      <c r="BN8" s="107"/>
      <c r="BO8" s="107"/>
      <c r="BP8" s="107"/>
      <c r="BQ8" s="107"/>
      <c r="BR8" s="107"/>
      <c r="BS8" s="107"/>
      <c r="BT8" s="107"/>
      <c r="BU8" s="107"/>
      <c r="BV8" s="107"/>
      <c r="BW8" s="107"/>
      <c r="BX8" s="107"/>
      <c r="BY8" s="107"/>
      <c r="BZ8" s="107"/>
      <c r="CA8" s="107"/>
      <c r="CB8" s="107"/>
      <c r="CC8" s="107"/>
      <c r="CD8" s="107"/>
      <c r="CE8" s="107"/>
      <c r="CF8" s="107"/>
      <c r="CG8" s="107"/>
      <c r="CH8" s="107"/>
    </row>
    <row r="9" spans="1:86" ht="15" customHeight="1" x14ac:dyDescent="0.25">
      <c r="A9" s="107" t="s">
        <v>564</v>
      </c>
      <c r="B9" s="63">
        <v>0</v>
      </c>
      <c r="C9" s="63">
        <v>0</v>
      </c>
      <c r="D9" s="63">
        <f>B9+C9</f>
        <v>0</v>
      </c>
      <c r="E9" s="107"/>
      <c r="F9" s="107"/>
      <c r="G9" s="107"/>
      <c r="H9" s="107"/>
      <c r="I9" s="107"/>
      <c r="J9" s="107"/>
      <c r="K9" s="107"/>
      <c r="L9" s="107"/>
      <c r="M9" s="107"/>
      <c r="N9" s="107"/>
      <c r="O9" s="107"/>
      <c r="P9" s="107"/>
      <c r="Q9" s="107"/>
      <c r="R9" s="107"/>
      <c r="S9" s="107"/>
      <c r="T9" s="107"/>
      <c r="U9" s="107"/>
      <c r="V9" s="107"/>
      <c r="W9" s="107"/>
      <c r="X9" s="107"/>
      <c r="Y9" s="107"/>
      <c r="Z9" s="107"/>
      <c r="AA9" s="107"/>
      <c r="AB9" s="107"/>
      <c r="AC9" s="107"/>
      <c r="AD9" s="107"/>
      <c r="AE9" s="107"/>
      <c r="AF9" s="107"/>
      <c r="AG9" s="107"/>
      <c r="AH9" s="107"/>
      <c r="AI9" s="107"/>
      <c r="AJ9" s="107"/>
      <c r="AK9" s="107"/>
      <c r="AL9" s="107"/>
      <c r="AM9" s="107"/>
      <c r="AN9" s="107"/>
      <c r="AO9" s="107"/>
      <c r="AP9" s="107"/>
      <c r="AQ9" s="107"/>
      <c r="AR9" s="107"/>
      <c r="AS9" s="107"/>
      <c r="AT9" s="107"/>
      <c r="AU9" s="107"/>
      <c r="AV9" s="107"/>
      <c r="AW9" s="107"/>
      <c r="AX9" s="107"/>
      <c r="AY9" s="107"/>
      <c r="AZ9" s="107"/>
      <c r="BA9" s="107"/>
      <c r="BB9" s="107"/>
      <c r="BC9" s="107"/>
      <c r="BD9" s="107"/>
      <c r="BE9" s="107"/>
      <c r="BF9" s="107"/>
      <c r="BG9" s="107"/>
      <c r="BH9" s="107"/>
      <c r="BI9" s="107"/>
      <c r="BJ9" s="107"/>
      <c r="BK9" s="107"/>
      <c r="BL9" s="107"/>
      <c r="BM9" s="107"/>
      <c r="BN9" s="107"/>
      <c r="BO9" s="107"/>
      <c r="BP9" s="107"/>
      <c r="BQ9" s="107"/>
      <c r="BR9" s="107"/>
      <c r="BS9" s="107"/>
      <c r="BT9" s="107"/>
      <c r="BU9" s="107"/>
      <c r="BV9" s="107"/>
      <c r="BW9" s="107"/>
      <c r="BX9" s="107"/>
      <c r="BY9" s="107"/>
      <c r="BZ9" s="107"/>
      <c r="CA9" s="107"/>
      <c r="CB9" s="107"/>
      <c r="CC9" s="107"/>
      <c r="CD9" s="107"/>
      <c r="CE9" s="107"/>
      <c r="CF9" s="107"/>
      <c r="CG9" s="107"/>
      <c r="CH9" s="107"/>
    </row>
    <row r="10" spans="1:86" ht="15" customHeight="1" x14ac:dyDescent="0.25">
      <c r="A10" s="138" t="s">
        <v>701</v>
      </c>
      <c r="B10" s="141">
        <f>SUM(B6:B9)</f>
        <v>484296.52</v>
      </c>
      <c r="C10" s="141">
        <f>SUM(C6:C9)</f>
        <v>1912475</v>
      </c>
      <c r="D10" s="141">
        <f>SUM(D6:D9)</f>
        <v>2396771.52</v>
      </c>
      <c r="E10" s="63"/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  <c r="AB10" s="63"/>
      <c r="AC10" s="63"/>
      <c r="AD10" s="63"/>
      <c r="AE10" s="63"/>
      <c r="AF10" s="63"/>
      <c r="AG10" s="63"/>
      <c r="AH10" s="63"/>
      <c r="AI10" s="63"/>
      <c r="AJ10" s="63"/>
      <c r="AK10" s="63"/>
      <c r="AL10" s="63"/>
      <c r="AM10" s="63"/>
      <c r="AN10" s="63"/>
      <c r="AO10" s="63"/>
      <c r="AP10" s="63"/>
      <c r="AQ10" s="63"/>
      <c r="AR10" s="63"/>
      <c r="AS10" s="63"/>
      <c r="AT10" s="63"/>
      <c r="AU10" s="63"/>
      <c r="AV10" s="63"/>
      <c r="AW10" s="63"/>
      <c r="AX10" s="63"/>
      <c r="AY10" s="63"/>
      <c r="AZ10" s="63"/>
      <c r="BA10" s="63"/>
      <c r="BB10" s="63"/>
      <c r="BC10" s="63"/>
      <c r="BD10" s="63"/>
      <c r="BE10" s="63"/>
      <c r="BF10" s="63"/>
      <c r="BG10" s="63"/>
      <c r="BH10" s="63"/>
      <c r="BI10" s="63"/>
      <c r="BJ10" s="63"/>
      <c r="BK10" s="63"/>
      <c r="BL10" s="63"/>
      <c r="BM10" s="63"/>
      <c r="BN10" s="63"/>
      <c r="BO10" s="63"/>
      <c r="BP10" s="63"/>
      <c r="BQ10" s="63"/>
      <c r="BR10" s="63"/>
      <c r="BS10" s="63"/>
      <c r="BT10" s="63"/>
      <c r="BU10" s="63"/>
      <c r="BV10" s="63"/>
      <c r="BW10" s="63"/>
      <c r="BX10" s="63"/>
      <c r="BY10" s="63"/>
      <c r="BZ10" s="63"/>
      <c r="CA10" s="63"/>
      <c r="CB10" s="63"/>
      <c r="CC10" s="63"/>
      <c r="CD10" s="63"/>
      <c r="CE10" s="63"/>
      <c r="CF10" s="63"/>
      <c r="CG10" s="63"/>
      <c r="CH10" s="63"/>
    </row>
    <row r="11" spans="1:86" ht="15" customHeight="1" x14ac:dyDescent="0.25">
      <c r="A11" s="170"/>
      <c r="B11" s="171"/>
      <c r="C11" s="171"/>
      <c r="D11" s="171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3"/>
      <c r="AC11" s="63"/>
      <c r="AD11" s="63"/>
      <c r="AE11" s="63"/>
      <c r="AF11" s="63"/>
      <c r="AG11" s="63"/>
      <c r="AH11" s="63"/>
      <c r="AI11" s="63"/>
      <c r="AJ11" s="63"/>
      <c r="AK11" s="63"/>
      <c r="AL11" s="63"/>
      <c r="AM11" s="63"/>
      <c r="AN11" s="63"/>
      <c r="AO11" s="63"/>
      <c r="AP11" s="63"/>
      <c r="AQ11" s="63"/>
      <c r="AR11" s="63"/>
      <c r="AS11" s="63"/>
      <c r="AT11" s="63"/>
      <c r="AU11" s="63"/>
      <c r="AV11" s="63"/>
      <c r="AW11" s="63"/>
      <c r="AX11" s="63"/>
      <c r="AY11" s="63"/>
      <c r="AZ11" s="63"/>
      <c r="BA11" s="63"/>
      <c r="BB11" s="63"/>
      <c r="BC11" s="63"/>
      <c r="BD11" s="63"/>
      <c r="BE11" s="63"/>
      <c r="BF11" s="63"/>
      <c r="BG11" s="63"/>
      <c r="BH11" s="63"/>
      <c r="BI11" s="63"/>
      <c r="BJ11" s="63"/>
      <c r="BK11" s="63"/>
      <c r="BL11" s="63"/>
      <c r="BM11" s="63"/>
      <c r="BN11" s="63"/>
      <c r="BO11" s="63"/>
      <c r="BP11" s="63"/>
      <c r="BQ11" s="63"/>
      <c r="BR11" s="63"/>
      <c r="BS11" s="63"/>
      <c r="BT11" s="63"/>
      <c r="BU11" s="63"/>
      <c r="BV11" s="63"/>
      <c r="BW11" s="63"/>
      <c r="BX11" s="63"/>
      <c r="BY11" s="63"/>
      <c r="BZ11" s="63"/>
      <c r="CA11" s="63"/>
      <c r="CB11" s="63"/>
      <c r="CC11" s="63"/>
      <c r="CD11" s="63"/>
      <c r="CE11" s="63"/>
      <c r="CF11" s="63"/>
      <c r="CG11" s="63"/>
      <c r="CH11" s="63"/>
    </row>
    <row r="12" spans="1:86" ht="15" customHeight="1" x14ac:dyDescent="0.25">
      <c r="A12" s="109" t="s">
        <v>702</v>
      </c>
      <c r="B12" s="109"/>
      <c r="C12" s="172"/>
      <c r="D12" s="172"/>
      <c r="E12" s="63"/>
      <c r="F12" s="63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3"/>
      <c r="AC12" s="63"/>
      <c r="AD12" s="63"/>
      <c r="AE12" s="63"/>
      <c r="AF12" s="63"/>
      <c r="AG12" s="63"/>
      <c r="AH12" s="63"/>
      <c r="AI12" s="63"/>
      <c r="AJ12" s="63"/>
      <c r="AK12" s="63"/>
      <c r="AL12" s="63"/>
      <c r="AM12" s="63"/>
      <c r="AN12" s="63"/>
      <c r="AO12" s="63"/>
      <c r="AP12" s="63"/>
      <c r="AQ12" s="63"/>
      <c r="AR12" s="63"/>
      <c r="AS12" s="63"/>
      <c r="AT12" s="63"/>
      <c r="AU12" s="63"/>
      <c r="AV12" s="63"/>
      <c r="AW12" s="63"/>
      <c r="AX12" s="63"/>
      <c r="AY12" s="63"/>
      <c r="AZ12" s="63"/>
      <c r="BA12" s="63"/>
      <c r="BB12" s="63"/>
      <c r="BC12" s="63"/>
      <c r="BD12" s="63"/>
      <c r="BE12" s="63"/>
      <c r="BF12" s="63"/>
      <c r="BG12" s="63"/>
      <c r="BH12" s="63"/>
      <c r="BI12" s="63"/>
      <c r="BJ12" s="63"/>
      <c r="BK12" s="63"/>
      <c r="BL12" s="63"/>
      <c r="BM12" s="63"/>
      <c r="BN12" s="63"/>
      <c r="BO12" s="63"/>
      <c r="BP12" s="63"/>
      <c r="BQ12" s="63"/>
      <c r="BR12" s="63"/>
      <c r="BS12" s="63"/>
      <c r="BT12" s="63"/>
      <c r="BU12" s="63"/>
      <c r="BV12" s="63"/>
      <c r="BW12" s="63"/>
      <c r="BX12" s="63"/>
      <c r="BY12" s="63"/>
      <c r="BZ12" s="63"/>
      <c r="CA12" s="63"/>
      <c r="CB12" s="63"/>
      <c r="CC12" s="63"/>
      <c r="CD12" s="63"/>
      <c r="CE12" s="63"/>
      <c r="CF12" s="63"/>
      <c r="CG12" s="63"/>
      <c r="CH12" s="63"/>
    </row>
    <row r="13" spans="1:86" ht="15" customHeight="1" x14ac:dyDescent="0.25">
      <c r="A13" s="168" t="s">
        <v>698</v>
      </c>
      <c r="B13" s="169">
        <f>SUM(Model!C62:CH62)</f>
        <v>292621</v>
      </c>
      <c r="C13" s="169">
        <f>Helpers!B48</f>
        <v>2633580</v>
      </c>
      <c r="D13" s="169">
        <f>B13+C13</f>
        <v>2926201</v>
      </c>
      <c r="E13" s="63"/>
      <c r="F13" s="63"/>
      <c r="G13" s="63"/>
      <c r="H13" s="63"/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  <c r="AB13" s="63"/>
      <c r="AC13" s="63"/>
      <c r="AD13" s="63"/>
      <c r="AE13" s="63"/>
      <c r="AF13" s="63"/>
      <c r="AG13" s="63"/>
      <c r="AH13" s="63"/>
      <c r="AI13" s="63"/>
      <c r="AJ13" s="63"/>
      <c r="AK13" s="63"/>
      <c r="AL13" s="63"/>
      <c r="AM13" s="63"/>
      <c r="AN13" s="63"/>
      <c r="AO13" s="63"/>
      <c r="AP13" s="63"/>
      <c r="AQ13" s="63"/>
      <c r="AR13" s="63"/>
      <c r="AS13" s="63"/>
      <c r="AT13" s="63"/>
      <c r="AU13" s="63"/>
      <c r="AV13" s="63"/>
      <c r="AW13" s="63"/>
      <c r="AX13" s="63"/>
      <c r="AY13" s="63"/>
      <c r="AZ13" s="63"/>
      <c r="BA13" s="63"/>
      <c r="BB13" s="63"/>
      <c r="BC13" s="63"/>
      <c r="BD13" s="63"/>
      <c r="BE13" s="63"/>
      <c r="BF13" s="63"/>
      <c r="BG13" s="63"/>
      <c r="BH13" s="63"/>
      <c r="BI13" s="63"/>
      <c r="BJ13" s="63"/>
      <c r="BK13" s="63"/>
      <c r="BL13" s="63"/>
      <c r="BM13" s="63"/>
      <c r="BN13" s="63"/>
      <c r="BO13" s="63"/>
      <c r="BP13" s="63"/>
      <c r="BQ13" s="63"/>
      <c r="BR13" s="63"/>
      <c r="BS13" s="63"/>
      <c r="BT13" s="63"/>
      <c r="BU13" s="63"/>
      <c r="BV13" s="63"/>
      <c r="BW13" s="63"/>
      <c r="BX13" s="63"/>
      <c r="BY13" s="63"/>
      <c r="BZ13" s="63"/>
      <c r="CA13" s="63"/>
      <c r="CB13" s="63"/>
      <c r="CC13" s="63"/>
      <c r="CD13" s="63"/>
      <c r="CE13" s="63"/>
      <c r="CF13" s="63"/>
      <c r="CG13" s="63"/>
      <c r="CH13" s="63"/>
    </row>
    <row r="14" spans="1:86" ht="15" customHeight="1" x14ac:dyDescent="0.25">
      <c r="A14" s="173" t="s">
        <v>699</v>
      </c>
      <c r="B14" s="174">
        <f>-Projects!$B$14*Assumptions!$B$47</f>
        <v>-413546.32</v>
      </c>
      <c r="C14" s="174">
        <v>0</v>
      </c>
      <c r="D14" s="174">
        <f>B14+C14</f>
        <v>-413546.32</v>
      </c>
      <c r="E14" s="63"/>
      <c r="F14" s="63"/>
      <c r="G14" s="63"/>
      <c r="H14" s="63"/>
      <c r="I14" s="63"/>
      <c r="J14" s="63"/>
      <c r="K14" s="63"/>
      <c r="L14" s="63"/>
      <c r="M14" s="63"/>
      <c r="N14" s="63"/>
      <c r="O14" s="63"/>
      <c r="P14" s="63"/>
      <c r="Q14" s="63"/>
      <c r="R14" s="63"/>
      <c r="S14" s="63"/>
      <c r="T14" s="63"/>
      <c r="U14" s="63"/>
      <c r="V14" s="63"/>
      <c r="W14" s="63"/>
      <c r="X14" s="63"/>
      <c r="Y14" s="63"/>
      <c r="Z14" s="63"/>
      <c r="AA14" s="63"/>
      <c r="AB14" s="63"/>
      <c r="AC14" s="63"/>
      <c r="AD14" s="63"/>
      <c r="AE14" s="63"/>
      <c r="AF14" s="63"/>
      <c r="AG14" s="63"/>
      <c r="AH14" s="63"/>
      <c r="AI14" s="63"/>
      <c r="AJ14" s="63"/>
      <c r="AK14" s="63"/>
      <c r="AL14" s="63"/>
      <c r="AM14" s="63"/>
      <c r="AN14" s="63"/>
      <c r="AO14" s="63"/>
      <c r="AP14" s="63"/>
      <c r="AQ14" s="63"/>
      <c r="AR14" s="63"/>
      <c r="AS14" s="63"/>
      <c r="AT14" s="63"/>
      <c r="AU14" s="63"/>
      <c r="AV14" s="63"/>
      <c r="AW14" s="63"/>
      <c r="AX14" s="63"/>
      <c r="AY14" s="63"/>
      <c r="AZ14" s="63"/>
      <c r="BA14" s="63"/>
      <c r="BB14" s="63"/>
      <c r="BC14" s="63"/>
      <c r="BD14" s="63"/>
      <c r="BE14" s="63"/>
      <c r="BF14" s="63"/>
      <c r="BG14" s="63"/>
      <c r="BH14" s="63"/>
      <c r="BI14" s="63"/>
      <c r="BJ14" s="63"/>
      <c r="BK14" s="63"/>
      <c r="BL14" s="63"/>
      <c r="BM14" s="63"/>
      <c r="BN14" s="63"/>
      <c r="BO14" s="63"/>
      <c r="BP14" s="63"/>
      <c r="BQ14" s="63"/>
      <c r="BR14" s="63"/>
      <c r="BS14" s="63"/>
      <c r="BT14" s="63"/>
      <c r="BU14" s="63"/>
      <c r="BV14" s="63"/>
      <c r="BW14" s="63"/>
      <c r="BX14" s="63"/>
      <c r="BY14" s="63"/>
      <c r="BZ14" s="63"/>
      <c r="CA14" s="63"/>
      <c r="CB14" s="63"/>
      <c r="CC14" s="63"/>
      <c r="CD14" s="63"/>
      <c r="CE14" s="63"/>
      <c r="CF14" s="63"/>
      <c r="CG14" s="63"/>
      <c r="CH14" s="63"/>
    </row>
    <row r="15" spans="1:86" ht="15" customHeight="1" x14ac:dyDescent="0.25">
      <c r="A15" s="168" t="s">
        <v>700</v>
      </c>
      <c r="B15" s="169">
        <f>-Assumptions!$B$55*Assumptions!$B$48</f>
        <v>-150000</v>
      </c>
      <c r="C15" s="169">
        <v>0</v>
      </c>
      <c r="D15" s="169">
        <f>B15+C15</f>
        <v>-150000</v>
      </c>
      <c r="E15" s="107"/>
      <c r="F15" s="107"/>
      <c r="G15" s="107"/>
      <c r="H15" s="107"/>
      <c r="I15" s="107"/>
      <c r="J15" s="107"/>
      <c r="K15" s="107"/>
      <c r="L15" s="107"/>
      <c r="M15" s="107"/>
      <c r="N15" s="107"/>
      <c r="O15" s="107"/>
      <c r="P15" s="107"/>
      <c r="Q15" s="107"/>
      <c r="R15" s="107"/>
      <c r="S15" s="107"/>
      <c r="T15" s="107"/>
      <c r="U15" s="107"/>
      <c r="V15" s="107"/>
      <c r="W15" s="107"/>
      <c r="X15" s="107"/>
      <c r="Y15" s="107"/>
      <c r="Z15" s="107"/>
      <c r="AA15" s="107"/>
      <c r="AB15" s="107"/>
      <c r="AC15" s="107"/>
      <c r="AD15" s="107"/>
      <c r="AE15" s="107"/>
      <c r="AF15" s="107"/>
      <c r="AG15" s="107"/>
      <c r="AH15" s="107"/>
      <c r="AI15" s="107"/>
      <c r="AJ15" s="107"/>
      <c r="AK15" s="107"/>
      <c r="AL15" s="107"/>
      <c r="AM15" s="107"/>
      <c r="AN15" s="107"/>
      <c r="AO15" s="107"/>
      <c r="AP15" s="107"/>
      <c r="AQ15" s="107"/>
      <c r="AR15" s="107"/>
      <c r="AS15" s="107"/>
      <c r="AT15" s="107"/>
      <c r="AU15" s="107"/>
      <c r="AV15" s="107"/>
      <c r="AW15" s="107"/>
      <c r="AX15" s="107"/>
      <c r="AY15" s="107"/>
      <c r="AZ15" s="107"/>
      <c r="BA15" s="107"/>
      <c r="BB15" s="107"/>
      <c r="BC15" s="107"/>
      <c r="BD15" s="107"/>
      <c r="BE15" s="107"/>
      <c r="BF15" s="107"/>
      <c r="BG15" s="107"/>
      <c r="BH15" s="107"/>
      <c r="BI15" s="107"/>
      <c r="BJ15" s="107"/>
      <c r="BK15" s="107"/>
      <c r="BL15" s="107"/>
      <c r="BM15" s="107"/>
      <c r="BN15" s="107"/>
      <c r="BO15" s="107"/>
      <c r="BP15" s="107"/>
      <c r="BQ15" s="107"/>
      <c r="BR15" s="107"/>
      <c r="BS15" s="107"/>
      <c r="BT15" s="107"/>
      <c r="BU15" s="107"/>
      <c r="BV15" s="107"/>
      <c r="BW15" s="107"/>
      <c r="BX15" s="107"/>
      <c r="BY15" s="107"/>
      <c r="BZ15" s="107"/>
      <c r="CA15" s="107"/>
      <c r="CB15" s="107"/>
      <c r="CC15" s="107"/>
      <c r="CD15" s="107"/>
      <c r="CE15" s="107"/>
      <c r="CF15" s="107"/>
      <c r="CG15" s="107"/>
      <c r="CH15" s="107"/>
    </row>
    <row r="16" spans="1:86" ht="15" customHeight="1" x14ac:dyDescent="0.25">
      <c r="A16" s="173" t="s">
        <v>564</v>
      </c>
      <c r="B16" s="174">
        <f>-SUM(Model!C122:CH122)</f>
        <v>-603840.54700517165</v>
      </c>
      <c r="C16" s="174">
        <f>-Helpers!F93</f>
        <v>-240125.88120644525</v>
      </c>
      <c r="D16" s="174">
        <f>B16+C16</f>
        <v>-843966.42821161693</v>
      </c>
      <c r="E16" s="107"/>
      <c r="F16" s="107"/>
      <c r="G16" s="107"/>
      <c r="H16" s="107"/>
      <c r="I16" s="107"/>
      <c r="J16" s="107"/>
      <c r="K16" s="107"/>
      <c r="L16" s="107"/>
      <c r="M16" s="107"/>
      <c r="N16" s="107"/>
      <c r="O16" s="107"/>
      <c r="P16" s="107"/>
      <c r="Q16" s="107"/>
      <c r="R16" s="107"/>
      <c r="S16" s="107"/>
      <c r="T16" s="107"/>
      <c r="U16" s="107"/>
      <c r="V16" s="107"/>
      <c r="W16" s="107"/>
      <c r="X16" s="107"/>
      <c r="Y16" s="107"/>
      <c r="Z16" s="107"/>
      <c r="AA16" s="107"/>
      <c r="AB16" s="107"/>
      <c r="AC16" s="107"/>
      <c r="AD16" s="107"/>
      <c r="AE16" s="107"/>
      <c r="AF16" s="107"/>
      <c r="AG16" s="107"/>
      <c r="AH16" s="107"/>
      <c r="AI16" s="107"/>
      <c r="AJ16" s="107"/>
      <c r="AK16" s="107"/>
      <c r="AL16" s="107"/>
      <c r="AM16" s="107"/>
      <c r="AN16" s="107"/>
      <c r="AO16" s="107"/>
      <c r="AP16" s="107"/>
      <c r="AQ16" s="107"/>
      <c r="AR16" s="107"/>
      <c r="AS16" s="107"/>
      <c r="AT16" s="107"/>
      <c r="AU16" s="107"/>
      <c r="AV16" s="107"/>
      <c r="AW16" s="107"/>
      <c r="AX16" s="107"/>
      <c r="AY16" s="107"/>
      <c r="AZ16" s="107"/>
      <c r="BA16" s="107"/>
      <c r="BB16" s="107"/>
      <c r="BC16" s="107"/>
      <c r="BD16" s="107"/>
      <c r="BE16" s="107"/>
      <c r="BF16" s="107"/>
      <c r="BG16" s="107"/>
      <c r="BH16" s="107"/>
      <c r="BI16" s="107"/>
      <c r="BJ16" s="107"/>
      <c r="BK16" s="107"/>
      <c r="BL16" s="107"/>
      <c r="BM16" s="107"/>
      <c r="BN16" s="107"/>
      <c r="BO16" s="107"/>
      <c r="BP16" s="107"/>
      <c r="BQ16" s="107"/>
      <c r="BR16" s="107"/>
      <c r="BS16" s="107"/>
      <c r="BT16" s="107"/>
      <c r="BU16" s="107"/>
      <c r="BV16" s="107"/>
      <c r="BW16" s="107"/>
      <c r="BX16" s="107"/>
      <c r="BY16" s="107"/>
      <c r="BZ16" s="107"/>
      <c r="CA16" s="107"/>
      <c r="CB16" s="107"/>
      <c r="CC16" s="107"/>
      <c r="CD16" s="107"/>
      <c r="CE16" s="107"/>
      <c r="CF16" s="107"/>
      <c r="CG16" s="107"/>
      <c r="CH16" s="107"/>
    </row>
    <row r="17" spans="1:86" ht="15" customHeight="1" x14ac:dyDescent="0.25">
      <c r="A17" s="4" t="s">
        <v>701</v>
      </c>
      <c r="B17" s="5">
        <f>SUM(B13:B16)</f>
        <v>-874765.86700517172</v>
      </c>
      <c r="C17" s="5">
        <f>SUM(C13:C16)</f>
        <v>2393454.1187935546</v>
      </c>
      <c r="D17" s="5">
        <f>SUM(D13:D16)</f>
        <v>1518688.2517883833</v>
      </c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3"/>
      <c r="AC17" s="63"/>
      <c r="AD17" s="63"/>
      <c r="AE17" s="63"/>
      <c r="AF17" s="63"/>
      <c r="AG17" s="63"/>
      <c r="AH17" s="63"/>
      <c r="AI17" s="63"/>
      <c r="AJ17" s="63"/>
      <c r="AK17" s="63"/>
      <c r="AL17" s="63"/>
      <c r="AM17" s="63"/>
      <c r="AN17" s="63"/>
      <c r="AO17" s="63"/>
      <c r="AP17" s="63"/>
      <c r="AQ17" s="63"/>
      <c r="AR17" s="63"/>
      <c r="AS17" s="63"/>
      <c r="AT17" s="63"/>
      <c r="AU17" s="63"/>
      <c r="AV17" s="63"/>
      <c r="AW17" s="63"/>
      <c r="AX17" s="63"/>
      <c r="AY17" s="63"/>
      <c r="AZ17" s="63"/>
      <c r="BA17" s="63"/>
      <c r="BB17" s="63"/>
      <c r="BC17" s="63"/>
      <c r="BD17" s="63"/>
      <c r="BE17" s="63"/>
      <c r="BF17" s="63"/>
      <c r="BG17" s="63"/>
      <c r="BH17" s="63"/>
      <c r="BI17" s="63"/>
      <c r="BJ17" s="63"/>
      <c r="BK17" s="63"/>
      <c r="BL17" s="63"/>
      <c r="BM17" s="63"/>
      <c r="BN17" s="63"/>
      <c r="BO17" s="63"/>
      <c r="BP17" s="63"/>
      <c r="BQ17" s="63"/>
      <c r="BR17" s="63"/>
      <c r="BS17" s="63"/>
      <c r="BT17" s="63"/>
      <c r="BU17" s="63"/>
      <c r="BV17" s="63"/>
      <c r="BW17" s="63"/>
      <c r="BX17" s="63"/>
      <c r="BY17" s="63"/>
      <c r="BZ17" s="63"/>
      <c r="CA17" s="63"/>
      <c r="CB17" s="63"/>
      <c r="CC17" s="63"/>
      <c r="CD17" s="63"/>
      <c r="CE17" s="63"/>
      <c r="CF17" s="63"/>
      <c r="CG17" s="63"/>
      <c r="CH17" s="63"/>
    </row>
    <row r="18" spans="1:86" ht="15" customHeight="1" x14ac:dyDescent="0.25">
      <c r="A18" s="175"/>
      <c r="B18" s="176"/>
      <c r="C18" s="176"/>
      <c r="D18" s="176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  <c r="AA18" s="63"/>
      <c r="AB18" s="63"/>
      <c r="AC18" s="63"/>
      <c r="AD18" s="63"/>
      <c r="AE18" s="63"/>
      <c r="AF18" s="63"/>
      <c r="AG18" s="63"/>
      <c r="AH18" s="63"/>
      <c r="AI18" s="63"/>
      <c r="AJ18" s="63"/>
      <c r="AK18" s="63"/>
      <c r="AL18" s="63"/>
      <c r="AM18" s="63"/>
      <c r="AN18" s="63"/>
      <c r="AO18" s="63"/>
      <c r="AP18" s="63"/>
      <c r="AQ18" s="63"/>
      <c r="AR18" s="63"/>
      <c r="AS18" s="63"/>
      <c r="AT18" s="63"/>
      <c r="AU18" s="63"/>
      <c r="AV18" s="63"/>
      <c r="AW18" s="63"/>
      <c r="AX18" s="63"/>
      <c r="AY18" s="63"/>
      <c r="AZ18" s="63"/>
      <c r="BA18" s="63"/>
      <c r="BB18" s="63"/>
      <c r="BC18" s="63"/>
      <c r="BD18" s="63"/>
      <c r="BE18" s="63"/>
      <c r="BF18" s="63"/>
      <c r="BG18" s="63"/>
      <c r="BH18" s="63"/>
      <c r="BI18" s="63"/>
      <c r="BJ18" s="63"/>
      <c r="BK18" s="63"/>
      <c r="BL18" s="63"/>
      <c r="BM18" s="63"/>
      <c r="BN18" s="63"/>
      <c r="BO18" s="63"/>
      <c r="BP18" s="63"/>
      <c r="BQ18" s="63"/>
      <c r="BR18" s="63"/>
      <c r="BS18" s="63"/>
      <c r="BT18" s="63"/>
      <c r="BU18" s="63"/>
      <c r="BV18" s="63"/>
      <c r="BW18" s="63"/>
      <c r="BX18" s="63"/>
      <c r="BY18" s="63"/>
      <c r="BZ18" s="63"/>
      <c r="CA18" s="63"/>
      <c r="CB18" s="63"/>
      <c r="CC18" s="63"/>
      <c r="CD18" s="63"/>
      <c r="CE18" s="63"/>
      <c r="CF18" s="63"/>
      <c r="CG18" s="63"/>
      <c r="CH18" s="63"/>
    </row>
    <row r="19" spans="1:86" ht="15" customHeight="1" x14ac:dyDescent="0.25">
      <c r="A19" s="177" t="s">
        <v>120</v>
      </c>
      <c r="B19" s="178"/>
      <c r="C19" s="178"/>
      <c r="D19" s="178"/>
      <c r="E19" s="63"/>
      <c r="F19" s="63"/>
      <c r="G19" s="63"/>
      <c r="H19" s="63"/>
      <c r="I19" s="63"/>
      <c r="J19" s="63"/>
      <c r="K19" s="63"/>
      <c r="L19" s="63"/>
      <c r="M19" s="63"/>
      <c r="N19" s="63"/>
      <c r="O19" s="63"/>
      <c r="P19" s="63"/>
      <c r="Q19" s="63"/>
      <c r="R19" s="63"/>
      <c r="S19" s="63"/>
      <c r="T19" s="63"/>
      <c r="U19" s="63"/>
      <c r="V19" s="63"/>
      <c r="W19" s="63"/>
      <c r="X19" s="63"/>
      <c r="Y19" s="63"/>
      <c r="Z19" s="63"/>
      <c r="AA19" s="63"/>
      <c r="AB19" s="63"/>
      <c r="AC19" s="63"/>
      <c r="AD19" s="63"/>
      <c r="AE19" s="63"/>
      <c r="AF19" s="63"/>
      <c r="AG19" s="63"/>
      <c r="AH19" s="63"/>
      <c r="AI19" s="63"/>
      <c r="AJ19" s="63"/>
      <c r="AK19" s="63"/>
      <c r="AL19" s="63"/>
      <c r="AM19" s="63"/>
      <c r="AN19" s="63"/>
      <c r="AO19" s="63"/>
      <c r="AP19" s="63"/>
      <c r="AQ19" s="63"/>
      <c r="AR19" s="63"/>
      <c r="AS19" s="63"/>
      <c r="AT19" s="63"/>
      <c r="AU19" s="63"/>
      <c r="AV19" s="63"/>
      <c r="AW19" s="63"/>
      <c r="AX19" s="63"/>
      <c r="AY19" s="63"/>
      <c r="AZ19" s="63"/>
      <c r="BA19" s="63"/>
      <c r="BB19" s="63"/>
      <c r="BC19" s="63"/>
      <c r="BD19" s="63"/>
      <c r="BE19" s="63"/>
      <c r="BF19" s="63"/>
      <c r="BG19" s="63"/>
      <c r="BH19" s="63"/>
      <c r="BI19" s="63"/>
      <c r="BJ19" s="63"/>
      <c r="BK19" s="63"/>
      <c r="BL19" s="63"/>
      <c r="BM19" s="63"/>
      <c r="BN19" s="63"/>
      <c r="BO19" s="63"/>
      <c r="BP19" s="63"/>
      <c r="BQ19" s="63"/>
      <c r="BR19" s="63"/>
      <c r="BS19" s="63"/>
      <c r="BT19" s="63"/>
      <c r="BU19" s="63"/>
      <c r="BV19" s="63"/>
      <c r="BW19" s="63"/>
      <c r="BX19" s="63"/>
      <c r="BY19" s="63"/>
      <c r="BZ19" s="63"/>
      <c r="CA19" s="63"/>
      <c r="CB19" s="63"/>
      <c r="CC19" s="63"/>
      <c r="CD19" s="63"/>
      <c r="CE19" s="63"/>
      <c r="CF19" s="63"/>
      <c r="CG19" s="63"/>
      <c r="CH19" s="63"/>
    </row>
    <row r="20" spans="1:86" ht="15" customHeight="1" x14ac:dyDescent="0.25">
      <c r="A20" s="179" t="s">
        <v>698</v>
      </c>
      <c r="B20" s="180">
        <f>SUM(Model!C61:CH61)</f>
        <v>1681289</v>
      </c>
      <c r="C20" s="180">
        <f>Helpers!B49</f>
        <v>2278136</v>
      </c>
      <c r="D20" s="180">
        <f>B20+C20</f>
        <v>3959425</v>
      </c>
      <c r="E20" s="107"/>
      <c r="F20" s="107"/>
      <c r="G20" s="107"/>
      <c r="H20" s="107"/>
      <c r="I20" s="107"/>
      <c r="J20" s="107"/>
      <c r="K20" s="107"/>
      <c r="L20" s="107"/>
      <c r="M20" s="107"/>
      <c r="N20" s="107"/>
      <c r="O20" s="107"/>
      <c r="P20" s="107"/>
      <c r="Q20" s="107"/>
      <c r="R20" s="107"/>
      <c r="S20" s="107"/>
      <c r="T20" s="107"/>
      <c r="U20" s="107"/>
      <c r="V20" s="107"/>
      <c r="W20" s="107"/>
      <c r="X20" s="107"/>
      <c r="Y20" s="107"/>
      <c r="Z20" s="107"/>
      <c r="AA20" s="107"/>
      <c r="AB20" s="107"/>
      <c r="AC20" s="107"/>
      <c r="AD20" s="107"/>
      <c r="AE20" s="107"/>
      <c r="AF20" s="107"/>
      <c r="AG20" s="107"/>
      <c r="AH20" s="107"/>
      <c r="AI20" s="107"/>
      <c r="AJ20" s="107"/>
      <c r="AK20" s="107"/>
      <c r="AL20" s="107"/>
      <c r="AM20" s="107"/>
      <c r="AN20" s="107"/>
      <c r="AO20" s="107"/>
      <c r="AP20" s="107"/>
      <c r="AQ20" s="107"/>
      <c r="AR20" s="107"/>
      <c r="AS20" s="107"/>
      <c r="AT20" s="107"/>
      <c r="AU20" s="107"/>
      <c r="AV20" s="107"/>
      <c r="AW20" s="107"/>
      <c r="AX20" s="107"/>
      <c r="AY20" s="107"/>
      <c r="AZ20" s="107"/>
      <c r="BA20" s="107"/>
      <c r="BB20" s="107"/>
      <c r="BC20" s="107"/>
      <c r="BD20" s="107"/>
      <c r="BE20" s="107"/>
      <c r="BF20" s="107"/>
      <c r="BG20" s="107"/>
      <c r="BH20" s="107"/>
      <c r="BI20" s="107"/>
      <c r="BJ20" s="107"/>
      <c r="BK20" s="107"/>
      <c r="BL20" s="107"/>
      <c r="BM20" s="107"/>
      <c r="BN20" s="107"/>
      <c r="BO20" s="107"/>
      <c r="BP20" s="107"/>
      <c r="BQ20" s="107"/>
      <c r="BR20" s="107"/>
      <c r="BS20" s="107"/>
      <c r="BT20" s="107"/>
      <c r="BU20" s="107"/>
      <c r="BV20" s="107"/>
      <c r="BW20" s="107"/>
      <c r="BX20" s="107"/>
      <c r="BY20" s="107"/>
      <c r="BZ20" s="107"/>
      <c r="CA20" s="107"/>
      <c r="CB20" s="107"/>
      <c r="CC20" s="107"/>
      <c r="CD20" s="107"/>
      <c r="CE20" s="107"/>
      <c r="CF20" s="107"/>
      <c r="CG20" s="107"/>
      <c r="CH20" s="107"/>
    </row>
    <row r="21" spans="1:86" ht="15" customHeight="1" x14ac:dyDescent="0.25">
      <c r="A21" s="181" t="s">
        <v>699</v>
      </c>
      <c r="B21" s="182">
        <f>-Projects!$B$13*Assumptions!$B$47</f>
        <v>-452667.7</v>
      </c>
      <c r="C21" s="182">
        <v>0</v>
      </c>
      <c r="D21" s="182">
        <f>B21+C21</f>
        <v>-452667.7</v>
      </c>
      <c r="E21" s="107"/>
      <c r="F21" s="107"/>
      <c r="G21" s="107"/>
      <c r="H21" s="107"/>
      <c r="I21" s="107"/>
      <c r="J21" s="107"/>
      <c r="K21" s="107"/>
      <c r="L21" s="107"/>
      <c r="M21" s="107"/>
      <c r="N21" s="107"/>
      <c r="O21" s="107"/>
      <c r="P21" s="107"/>
      <c r="Q21" s="107"/>
      <c r="R21" s="107"/>
      <c r="S21" s="107"/>
      <c r="T21" s="107"/>
      <c r="U21" s="107"/>
      <c r="V21" s="107"/>
      <c r="W21" s="107"/>
      <c r="X21" s="107"/>
      <c r="Y21" s="107"/>
      <c r="Z21" s="107"/>
      <c r="AA21" s="107"/>
      <c r="AB21" s="107"/>
      <c r="AC21" s="107"/>
      <c r="AD21" s="107"/>
      <c r="AE21" s="107"/>
      <c r="AF21" s="107"/>
      <c r="AG21" s="107"/>
      <c r="AH21" s="107"/>
      <c r="AI21" s="107"/>
      <c r="AJ21" s="107"/>
      <c r="AK21" s="107"/>
      <c r="AL21" s="107"/>
      <c r="AM21" s="107"/>
      <c r="AN21" s="107"/>
      <c r="AO21" s="107"/>
      <c r="AP21" s="107"/>
      <c r="AQ21" s="107"/>
      <c r="AR21" s="107"/>
      <c r="AS21" s="107"/>
      <c r="AT21" s="107"/>
      <c r="AU21" s="107"/>
      <c r="AV21" s="107"/>
      <c r="AW21" s="107"/>
      <c r="AX21" s="107"/>
      <c r="AY21" s="107"/>
      <c r="AZ21" s="107"/>
      <c r="BA21" s="107"/>
      <c r="BB21" s="107"/>
      <c r="BC21" s="107"/>
      <c r="BD21" s="107"/>
      <c r="BE21" s="107"/>
      <c r="BF21" s="107"/>
      <c r="BG21" s="107"/>
      <c r="BH21" s="107"/>
      <c r="BI21" s="107"/>
      <c r="BJ21" s="107"/>
      <c r="BK21" s="107"/>
      <c r="BL21" s="107"/>
      <c r="BM21" s="107"/>
      <c r="BN21" s="107"/>
      <c r="BO21" s="107"/>
      <c r="BP21" s="107"/>
      <c r="BQ21" s="107"/>
      <c r="BR21" s="107"/>
      <c r="BS21" s="107"/>
      <c r="BT21" s="107"/>
      <c r="BU21" s="107"/>
      <c r="BV21" s="107"/>
      <c r="BW21" s="107"/>
      <c r="BX21" s="107"/>
      <c r="BY21" s="107"/>
      <c r="BZ21" s="107"/>
      <c r="CA21" s="107"/>
      <c r="CB21" s="107"/>
      <c r="CC21" s="107"/>
      <c r="CD21" s="107"/>
      <c r="CE21" s="107"/>
      <c r="CF21" s="107"/>
      <c r="CG21" s="107"/>
      <c r="CH21" s="107"/>
    </row>
    <row r="22" spans="1:86" ht="15" customHeight="1" x14ac:dyDescent="0.25">
      <c r="A22" s="179" t="s">
        <v>700</v>
      </c>
      <c r="B22" s="180">
        <f>-Assumptions!$B$54*Assumptions!$B$48</f>
        <v>-150000</v>
      </c>
      <c r="C22" s="180">
        <v>0</v>
      </c>
      <c r="D22" s="180">
        <f>B22+C22</f>
        <v>-150000</v>
      </c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  <c r="AA22" s="63"/>
      <c r="AB22" s="63"/>
      <c r="AC22" s="63"/>
      <c r="AD22" s="63"/>
      <c r="AE22" s="63"/>
      <c r="AF22" s="63"/>
      <c r="AG22" s="63"/>
      <c r="AH22" s="63"/>
      <c r="AI22" s="63"/>
      <c r="AJ22" s="63"/>
      <c r="AK22" s="63"/>
      <c r="AL22" s="63"/>
      <c r="AM22" s="63"/>
      <c r="AN22" s="63"/>
      <c r="AO22" s="63"/>
      <c r="AP22" s="63"/>
      <c r="AQ22" s="63"/>
      <c r="AR22" s="63"/>
      <c r="AS22" s="63"/>
      <c r="AT22" s="63"/>
      <c r="AU22" s="63"/>
      <c r="AV22" s="63"/>
      <c r="AW22" s="63"/>
      <c r="AX22" s="63"/>
      <c r="AY22" s="63"/>
      <c r="AZ22" s="63"/>
      <c r="BA22" s="63"/>
      <c r="BB22" s="63"/>
      <c r="BC22" s="63"/>
      <c r="BD22" s="63"/>
      <c r="BE22" s="63"/>
      <c r="BF22" s="63"/>
      <c r="BG22" s="63"/>
      <c r="BH22" s="63"/>
      <c r="BI22" s="63"/>
      <c r="BJ22" s="63"/>
      <c r="BK22" s="63"/>
      <c r="BL22" s="63"/>
      <c r="BM22" s="63"/>
      <c r="BN22" s="63"/>
      <c r="BO22" s="63"/>
      <c r="BP22" s="63"/>
      <c r="BQ22" s="63"/>
      <c r="BR22" s="63"/>
      <c r="BS22" s="63"/>
      <c r="BT22" s="63"/>
      <c r="BU22" s="63"/>
      <c r="BV22" s="63"/>
      <c r="BW22" s="63"/>
      <c r="BX22" s="63"/>
      <c r="BY22" s="63"/>
      <c r="BZ22" s="63"/>
      <c r="CA22" s="63"/>
      <c r="CB22" s="63"/>
      <c r="CC22" s="63"/>
      <c r="CD22" s="63"/>
      <c r="CE22" s="63"/>
      <c r="CF22" s="63"/>
      <c r="CG22" s="63"/>
      <c r="CH22" s="63"/>
    </row>
    <row r="23" spans="1:86" ht="15" customHeight="1" x14ac:dyDescent="0.25">
      <c r="A23" s="107" t="s">
        <v>564</v>
      </c>
      <c r="B23" s="63">
        <f>-SUM(Model!C127:CH127)</f>
        <v>-738013.27339352097</v>
      </c>
      <c r="C23" s="63">
        <v>0</v>
      </c>
      <c r="D23" s="63">
        <f>B23+C23</f>
        <v>-738013.27339352097</v>
      </c>
      <c r="E23" s="63"/>
      <c r="F23" s="63"/>
      <c r="G23" s="63"/>
      <c r="H23" s="63"/>
      <c r="I23" s="63"/>
      <c r="J23" s="63"/>
      <c r="K23" s="63"/>
      <c r="L23" s="63"/>
      <c r="M23" s="63"/>
      <c r="N23" s="63"/>
      <c r="O23" s="63"/>
      <c r="P23" s="63"/>
      <c r="Q23" s="63"/>
      <c r="R23" s="63"/>
      <c r="S23" s="63"/>
      <c r="T23" s="63"/>
      <c r="U23" s="63"/>
      <c r="V23" s="63"/>
      <c r="W23" s="63"/>
      <c r="X23" s="63"/>
      <c r="Y23" s="63"/>
      <c r="Z23" s="63"/>
      <c r="AA23" s="63"/>
      <c r="AB23" s="63"/>
      <c r="AC23" s="63"/>
      <c r="AD23" s="63"/>
      <c r="AE23" s="63"/>
      <c r="AF23" s="63"/>
      <c r="AG23" s="63"/>
      <c r="AH23" s="63"/>
      <c r="AI23" s="63"/>
      <c r="AJ23" s="63"/>
      <c r="AK23" s="63"/>
      <c r="AL23" s="63"/>
      <c r="AM23" s="63"/>
      <c r="AN23" s="63"/>
      <c r="AO23" s="63"/>
      <c r="AP23" s="63"/>
      <c r="AQ23" s="63"/>
      <c r="AR23" s="63"/>
      <c r="AS23" s="63"/>
      <c r="AT23" s="63"/>
      <c r="AU23" s="63"/>
      <c r="AV23" s="63"/>
      <c r="AW23" s="63"/>
      <c r="AX23" s="63"/>
      <c r="AY23" s="63"/>
      <c r="AZ23" s="63"/>
      <c r="BA23" s="63"/>
      <c r="BB23" s="63"/>
      <c r="BC23" s="63"/>
      <c r="BD23" s="63"/>
      <c r="BE23" s="63"/>
      <c r="BF23" s="63"/>
      <c r="BG23" s="63"/>
      <c r="BH23" s="63"/>
      <c r="BI23" s="63"/>
      <c r="BJ23" s="63"/>
      <c r="BK23" s="63"/>
      <c r="BL23" s="63"/>
      <c r="BM23" s="63"/>
      <c r="BN23" s="63"/>
      <c r="BO23" s="63"/>
      <c r="BP23" s="63"/>
      <c r="BQ23" s="63"/>
      <c r="BR23" s="63"/>
      <c r="BS23" s="63"/>
      <c r="BT23" s="63"/>
      <c r="BU23" s="63"/>
      <c r="BV23" s="63"/>
      <c r="BW23" s="63"/>
      <c r="BX23" s="63"/>
      <c r="BY23" s="63"/>
      <c r="BZ23" s="63"/>
      <c r="CA23" s="63"/>
      <c r="CB23" s="63"/>
      <c r="CC23" s="63"/>
      <c r="CD23" s="63"/>
      <c r="CE23" s="63"/>
      <c r="CF23" s="63"/>
      <c r="CG23" s="63"/>
      <c r="CH23" s="63"/>
    </row>
    <row r="24" spans="1:86" ht="15" customHeight="1" x14ac:dyDescent="0.25">
      <c r="A24" s="143" t="s">
        <v>701</v>
      </c>
      <c r="B24" s="145">
        <f>SUM(B20:B23)</f>
        <v>340608.02660647908</v>
      </c>
      <c r="C24" s="145">
        <f>SUM(C20:C23)</f>
        <v>2278136</v>
      </c>
      <c r="D24" s="145">
        <f>SUM(D20:D23)</f>
        <v>2618744.0266064787</v>
      </c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  <c r="AA24" s="63"/>
      <c r="AB24" s="63"/>
      <c r="AC24" s="63"/>
      <c r="AD24" s="63"/>
      <c r="AE24" s="63"/>
      <c r="AF24" s="63"/>
      <c r="AG24" s="63"/>
      <c r="AH24" s="63"/>
      <c r="AI24" s="63"/>
      <c r="AJ24" s="63"/>
      <c r="AK24" s="63"/>
      <c r="AL24" s="63"/>
      <c r="AM24" s="63"/>
      <c r="AN24" s="63"/>
      <c r="AO24" s="63"/>
      <c r="AP24" s="63"/>
      <c r="AQ24" s="63"/>
      <c r="AR24" s="63"/>
      <c r="AS24" s="63"/>
      <c r="AT24" s="63"/>
      <c r="AU24" s="63"/>
      <c r="AV24" s="63"/>
      <c r="AW24" s="63"/>
      <c r="AX24" s="63"/>
      <c r="AY24" s="63"/>
      <c r="AZ24" s="63"/>
      <c r="BA24" s="63"/>
      <c r="BB24" s="63"/>
      <c r="BC24" s="63"/>
      <c r="BD24" s="63"/>
      <c r="BE24" s="63"/>
      <c r="BF24" s="63"/>
      <c r="BG24" s="63"/>
      <c r="BH24" s="63"/>
      <c r="BI24" s="63"/>
      <c r="BJ24" s="63"/>
      <c r="BK24" s="63"/>
      <c r="BL24" s="63"/>
      <c r="BM24" s="63"/>
      <c r="BN24" s="63"/>
      <c r="BO24" s="63"/>
      <c r="BP24" s="63"/>
      <c r="BQ24" s="63"/>
      <c r="BR24" s="63"/>
      <c r="BS24" s="63"/>
      <c r="BT24" s="63"/>
      <c r="BU24" s="63"/>
      <c r="BV24" s="63"/>
      <c r="BW24" s="63"/>
      <c r="BX24" s="63"/>
      <c r="BY24" s="63"/>
      <c r="BZ24" s="63"/>
      <c r="CA24" s="63"/>
      <c r="CB24" s="63"/>
      <c r="CC24" s="63"/>
      <c r="CD24" s="63"/>
      <c r="CE24" s="63"/>
      <c r="CF24" s="63"/>
      <c r="CG24" s="63"/>
      <c r="CH24" s="63"/>
    </row>
    <row r="25" spans="1:86" ht="15" customHeight="1" x14ac:dyDescent="0.25">
      <c r="A25" s="126"/>
      <c r="B25" s="183"/>
      <c r="C25" s="183"/>
      <c r="D25" s="18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3"/>
      <c r="AA25" s="63"/>
      <c r="AB25" s="63"/>
      <c r="AC25" s="63"/>
      <c r="AD25" s="63"/>
      <c r="AE25" s="63"/>
      <c r="AF25" s="63"/>
      <c r="AG25" s="63"/>
      <c r="AH25" s="63"/>
      <c r="AI25" s="63"/>
      <c r="AJ25" s="63"/>
      <c r="AK25" s="63"/>
      <c r="AL25" s="63"/>
      <c r="AM25" s="63"/>
      <c r="AN25" s="63"/>
      <c r="AO25" s="63"/>
      <c r="AP25" s="63"/>
      <c r="AQ25" s="63"/>
      <c r="AR25" s="63"/>
      <c r="AS25" s="63"/>
      <c r="AT25" s="63"/>
      <c r="AU25" s="63"/>
      <c r="AV25" s="63"/>
      <c r="AW25" s="63"/>
      <c r="AX25" s="63"/>
      <c r="AY25" s="63"/>
      <c r="AZ25" s="63"/>
      <c r="BA25" s="63"/>
      <c r="BB25" s="63"/>
      <c r="BC25" s="63"/>
      <c r="BD25" s="63"/>
      <c r="BE25" s="63"/>
      <c r="BF25" s="63"/>
      <c r="BG25" s="63"/>
      <c r="BH25" s="63"/>
      <c r="BI25" s="63"/>
      <c r="BJ25" s="63"/>
      <c r="BK25" s="63"/>
      <c r="BL25" s="63"/>
      <c r="BM25" s="63"/>
      <c r="BN25" s="63"/>
      <c r="BO25" s="63"/>
      <c r="BP25" s="63"/>
      <c r="BQ25" s="63"/>
      <c r="BR25" s="63"/>
      <c r="BS25" s="63"/>
      <c r="BT25" s="63"/>
      <c r="BU25" s="63"/>
      <c r="BV25" s="63"/>
      <c r="BW25" s="63"/>
      <c r="BX25" s="63"/>
      <c r="BY25" s="63"/>
      <c r="BZ25" s="63"/>
      <c r="CA25" s="63"/>
      <c r="CB25" s="63"/>
      <c r="CC25" s="63"/>
      <c r="CD25" s="63"/>
      <c r="CE25" s="63"/>
      <c r="CF25" s="63"/>
      <c r="CG25" s="63"/>
      <c r="CH25" s="63"/>
    </row>
    <row r="26" spans="1:86" ht="15" customHeight="1" x14ac:dyDescent="0.25">
      <c r="A26" s="184" t="s">
        <v>703</v>
      </c>
      <c r="B26" s="185"/>
      <c r="C26" s="185"/>
      <c r="D26" s="185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  <c r="AA26" s="63"/>
      <c r="AB26" s="63"/>
      <c r="AC26" s="63"/>
      <c r="AD26" s="63"/>
      <c r="AE26" s="63"/>
      <c r="AF26" s="63"/>
      <c r="AG26" s="63"/>
      <c r="AH26" s="63"/>
      <c r="AI26" s="63"/>
      <c r="AJ26" s="63"/>
      <c r="AK26" s="63"/>
      <c r="AL26" s="63"/>
      <c r="AM26" s="63"/>
      <c r="AN26" s="63"/>
      <c r="AO26" s="63"/>
      <c r="AP26" s="63"/>
      <c r="AQ26" s="63"/>
      <c r="AR26" s="63"/>
      <c r="AS26" s="63"/>
      <c r="AT26" s="63"/>
      <c r="AU26" s="63"/>
      <c r="AV26" s="63"/>
      <c r="AW26" s="63"/>
      <c r="AX26" s="63"/>
      <c r="AY26" s="63"/>
      <c r="AZ26" s="63"/>
      <c r="BA26" s="63"/>
      <c r="BB26" s="63"/>
      <c r="BC26" s="63"/>
      <c r="BD26" s="63"/>
      <c r="BE26" s="63"/>
      <c r="BF26" s="63"/>
      <c r="BG26" s="63"/>
      <c r="BH26" s="63"/>
      <c r="BI26" s="63"/>
      <c r="BJ26" s="63"/>
      <c r="BK26" s="63"/>
      <c r="BL26" s="63"/>
      <c r="BM26" s="63"/>
      <c r="BN26" s="63"/>
      <c r="BO26" s="63"/>
      <c r="BP26" s="63"/>
      <c r="BQ26" s="63"/>
      <c r="BR26" s="63"/>
      <c r="BS26" s="63"/>
      <c r="BT26" s="63"/>
      <c r="BU26" s="63"/>
      <c r="BV26" s="63"/>
      <c r="BW26" s="63"/>
      <c r="BX26" s="63"/>
      <c r="BY26" s="63"/>
      <c r="BZ26" s="63"/>
      <c r="CA26" s="63"/>
      <c r="CB26" s="63"/>
      <c r="CC26" s="63"/>
      <c r="CD26" s="63"/>
      <c r="CE26" s="63"/>
      <c r="CF26" s="63"/>
      <c r="CG26" s="63"/>
      <c r="CH26" s="63"/>
    </row>
    <row r="27" spans="1:86" ht="15" customHeight="1" x14ac:dyDescent="0.25">
      <c r="A27" s="186" t="s">
        <v>704</v>
      </c>
      <c r="B27" s="187">
        <f t="shared" ref="B27:D31" si="0">B6+B13+B20</f>
        <v>3037891</v>
      </c>
      <c r="C27" s="187">
        <f t="shared" si="0"/>
        <v>6824191</v>
      </c>
      <c r="D27" s="187">
        <f t="shared" si="0"/>
        <v>9862082</v>
      </c>
      <c r="E27" s="107"/>
      <c r="F27" s="107"/>
      <c r="G27" s="107"/>
      <c r="H27" s="107"/>
      <c r="I27" s="107"/>
      <c r="J27" s="107"/>
      <c r="K27" s="107"/>
      <c r="L27" s="107"/>
      <c r="M27" s="107"/>
      <c r="N27" s="107"/>
      <c r="O27" s="107"/>
      <c r="P27" s="107"/>
      <c r="Q27" s="107"/>
      <c r="R27" s="107"/>
      <c r="S27" s="107"/>
      <c r="T27" s="107"/>
      <c r="U27" s="107"/>
      <c r="V27" s="107"/>
      <c r="W27" s="107"/>
      <c r="X27" s="107"/>
      <c r="Y27" s="107"/>
      <c r="Z27" s="107"/>
      <c r="AA27" s="107"/>
      <c r="AB27" s="107"/>
      <c r="AC27" s="107"/>
      <c r="AD27" s="107"/>
      <c r="AE27" s="107"/>
      <c r="AF27" s="107"/>
      <c r="AG27" s="107"/>
      <c r="AH27" s="107"/>
      <c r="AI27" s="107"/>
      <c r="AJ27" s="107"/>
      <c r="AK27" s="107"/>
      <c r="AL27" s="107"/>
      <c r="AM27" s="107"/>
      <c r="AN27" s="107"/>
      <c r="AO27" s="107"/>
      <c r="AP27" s="107"/>
      <c r="AQ27" s="107"/>
      <c r="AR27" s="107"/>
      <c r="AS27" s="107"/>
      <c r="AT27" s="107"/>
      <c r="AU27" s="107"/>
      <c r="AV27" s="107"/>
      <c r="AW27" s="107"/>
      <c r="AX27" s="107"/>
      <c r="AY27" s="107"/>
      <c r="AZ27" s="107"/>
      <c r="BA27" s="107"/>
      <c r="BB27" s="107"/>
      <c r="BC27" s="107"/>
      <c r="BD27" s="107"/>
      <c r="BE27" s="107"/>
      <c r="BF27" s="107"/>
      <c r="BG27" s="107"/>
      <c r="BH27" s="107"/>
      <c r="BI27" s="107"/>
      <c r="BJ27" s="107"/>
      <c r="BK27" s="107"/>
      <c r="BL27" s="107"/>
      <c r="BM27" s="107"/>
      <c r="BN27" s="107"/>
      <c r="BO27" s="107"/>
      <c r="BP27" s="107"/>
      <c r="BQ27" s="107"/>
      <c r="BR27" s="107"/>
      <c r="BS27" s="107"/>
      <c r="BT27" s="107"/>
      <c r="BU27" s="107"/>
      <c r="BV27" s="107"/>
      <c r="BW27" s="107"/>
      <c r="BX27" s="107"/>
      <c r="BY27" s="107"/>
      <c r="BZ27" s="107"/>
      <c r="CA27" s="107"/>
      <c r="CB27" s="107"/>
      <c r="CC27" s="107"/>
      <c r="CD27" s="107"/>
      <c r="CE27" s="107"/>
      <c r="CF27" s="107"/>
      <c r="CG27" s="107"/>
      <c r="CH27" s="107"/>
    </row>
    <row r="28" spans="1:86" ht="15" customHeight="1" x14ac:dyDescent="0.25">
      <c r="A28" s="107" t="s">
        <v>705</v>
      </c>
      <c r="B28" s="63">
        <f t="shared" si="0"/>
        <v>-1295898.5</v>
      </c>
      <c r="C28" s="63">
        <f t="shared" si="0"/>
        <v>0</v>
      </c>
      <c r="D28" s="63">
        <f t="shared" si="0"/>
        <v>-1295898.5</v>
      </c>
      <c r="E28" s="107"/>
      <c r="F28" s="107"/>
      <c r="G28" s="107"/>
      <c r="H28" s="107"/>
      <c r="I28" s="107"/>
      <c r="J28" s="107"/>
      <c r="K28" s="107"/>
      <c r="L28" s="107"/>
      <c r="M28" s="107"/>
      <c r="N28" s="107"/>
      <c r="O28" s="107"/>
      <c r="P28" s="107"/>
      <c r="Q28" s="107"/>
      <c r="R28" s="107"/>
      <c r="S28" s="107"/>
      <c r="T28" s="107"/>
      <c r="U28" s="107"/>
      <c r="V28" s="107"/>
      <c r="W28" s="107"/>
      <c r="X28" s="107"/>
      <c r="Y28" s="107"/>
      <c r="Z28" s="107"/>
      <c r="AA28" s="107"/>
      <c r="AB28" s="107"/>
      <c r="AC28" s="107"/>
      <c r="AD28" s="107"/>
      <c r="AE28" s="107"/>
      <c r="AF28" s="107"/>
      <c r="AG28" s="107"/>
      <c r="AH28" s="107"/>
      <c r="AI28" s="107"/>
      <c r="AJ28" s="107"/>
      <c r="AK28" s="107"/>
      <c r="AL28" s="107"/>
      <c r="AM28" s="107"/>
      <c r="AN28" s="107"/>
      <c r="AO28" s="107"/>
      <c r="AP28" s="107"/>
      <c r="AQ28" s="107"/>
      <c r="AR28" s="107"/>
      <c r="AS28" s="107"/>
      <c r="AT28" s="107"/>
      <c r="AU28" s="107"/>
      <c r="AV28" s="107"/>
      <c r="AW28" s="107"/>
      <c r="AX28" s="107"/>
      <c r="AY28" s="107"/>
      <c r="AZ28" s="107"/>
      <c r="BA28" s="107"/>
      <c r="BB28" s="107"/>
      <c r="BC28" s="107"/>
      <c r="BD28" s="107"/>
      <c r="BE28" s="107"/>
      <c r="BF28" s="107"/>
      <c r="BG28" s="107"/>
      <c r="BH28" s="107"/>
      <c r="BI28" s="107"/>
      <c r="BJ28" s="107"/>
      <c r="BK28" s="107"/>
      <c r="BL28" s="107"/>
      <c r="BM28" s="107"/>
      <c r="BN28" s="107"/>
      <c r="BO28" s="107"/>
      <c r="BP28" s="107"/>
      <c r="BQ28" s="107"/>
      <c r="BR28" s="107"/>
      <c r="BS28" s="107"/>
      <c r="BT28" s="107"/>
      <c r="BU28" s="107"/>
      <c r="BV28" s="107"/>
      <c r="BW28" s="107"/>
      <c r="BX28" s="107"/>
      <c r="BY28" s="107"/>
      <c r="BZ28" s="107"/>
      <c r="CA28" s="107"/>
      <c r="CB28" s="107"/>
      <c r="CC28" s="107"/>
      <c r="CD28" s="107"/>
      <c r="CE28" s="107"/>
      <c r="CF28" s="107"/>
      <c r="CG28" s="107"/>
      <c r="CH28" s="107"/>
    </row>
    <row r="29" spans="1:86" ht="15" customHeight="1" x14ac:dyDescent="0.25">
      <c r="A29" s="188" t="s">
        <v>706</v>
      </c>
      <c r="B29" s="189">
        <f t="shared" si="0"/>
        <v>-450000</v>
      </c>
      <c r="C29" s="189">
        <f t="shared" si="0"/>
        <v>0</v>
      </c>
      <c r="D29" s="189">
        <f t="shared" si="0"/>
        <v>-450000</v>
      </c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63"/>
      <c r="AB29" s="63"/>
      <c r="AC29" s="63"/>
      <c r="AD29" s="63"/>
      <c r="AE29" s="63"/>
      <c r="AF29" s="63"/>
      <c r="AG29" s="63"/>
      <c r="AH29" s="63"/>
      <c r="AI29" s="63"/>
      <c r="AJ29" s="63"/>
      <c r="AK29" s="63"/>
      <c r="AL29" s="63"/>
      <c r="AM29" s="63"/>
      <c r="AN29" s="63"/>
      <c r="AO29" s="63"/>
      <c r="AP29" s="63"/>
      <c r="AQ29" s="63"/>
      <c r="AR29" s="63"/>
      <c r="AS29" s="63"/>
      <c r="AT29" s="63"/>
      <c r="AU29" s="63"/>
      <c r="AV29" s="63"/>
      <c r="AW29" s="63"/>
      <c r="AX29" s="63"/>
      <c r="AY29" s="63"/>
      <c r="AZ29" s="63"/>
      <c r="BA29" s="63"/>
      <c r="BB29" s="63"/>
      <c r="BC29" s="63"/>
      <c r="BD29" s="63"/>
      <c r="BE29" s="63"/>
      <c r="BF29" s="63"/>
      <c r="BG29" s="63"/>
      <c r="BH29" s="63"/>
      <c r="BI29" s="63"/>
      <c r="BJ29" s="63"/>
      <c r="BK29" s="63"/>
      <c r="BL29" s="63"/>
      <c r="BM29" s="63"/>
      <c r="BN29" s="63"/>
      <c r="BO29" s="63"/>
      <c r="BP29" s="63"/>
      <c r="BQ29" s="63"/>
      <c r="BR29" s="63"/>
      <c r="BS29" s="63"/>
      <c r="BT29" s="63"/>
      <c r="BU29" s="63"/>
      <c r="BV29" s="63"/>
      <c r="BW29" s="63"/>
      <c r="BX29" s="63"/>
      <c r="BY29" s="63"/>
      <c r="BZ29" s="63"/>
      <c r="CA29" s="63"/>
      <c r="CB29" s="63"/>
      <c r="CC29" s="63"/>
      <c r="CD29" s="63"/>
      <c r="CE29" s="63"/>
      <c r="CF29" s="63"/>
      <c r="CG29" s="63"/>
      <c r="CH29" s="63"/>
    </row>
    <row r="30" spans="1:86" ht="15" customHeight="1" x14ac:dyDescent="0.25">
      <c r="A30" s="190" t="s">
        <v>707</v>
      </c>
      <c r="B30" s="191">
        <f t="shared" si="0"/>
        <v>-1341853.8203986925</v>
      </c>
      <c r="C30" s="191">
        <f t="shared" si="0"/>
        <v>-240125.88120644525</v>
      </c>
      <c r="D30" s="191">
        <f t="shared" si="0"/>
        <v>-1581979.7016051379</v>
      </c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  <c r="AA30" s="63"/>
      <c r="AB30" s="63"/>
      <c r="AC30" s="63"/>
      <c r="AD30" s="63"/>
      <c r="AE30" s="63"/>
      <c r="AF30" s="63"/>
      <c r="AG30" s="63"/>
      <c r="AH30" s="63"/>
      <c r="AI30" s="63"/>
      <c r="AJ30" s="63"/>
      <c r="AK30" s="63"/>
      <c r="AL30" s="63"/>
      <c r="AM30" s="63"/>
      <c r="AN30" s="63"/>
      <c r="AO30" s="63"/>
      <c r="AP30" s="63"/>
      <c r="AQ30" s="63"/>
      <c r="AR30" s="63"/>
      <c r="AS30" s="63"/>
      <c r="AT30" s="63"/>
      <c r="AU30" s="63"/>
      <c r="AV30" s="63"/>
      <c r="AW30" s="63"/>
      <c r="AX30" s="63"/>
      <c r="AY30" s="63"/>
      <c r="AZ30" s="63"/>
      <c r="BA30" s="63"/>
      <c r="BB30" s="63"/>
      <c r="BC30" s="63"/>
      <c r="BD30" s="63"/>
      <c r="BE30" s="63"/>
      <c r="BF30" s="63"/>
      <c r="BG30" s="63"/>
      <c r="BH30" s="63"/>
      <c r="BI30" s="63"/>
      <c r="BJ30" s="63"/>
      <c r="BK30" s="63"/>
      <c r="BL30" s="63"/>
      <c r="BM30" s="63"/>
      <c r="BN30" s="63"/>
      <c r="BO30" s="63"/>
      <c r="BP30" s="63"/>
      <c r="BQ30" s="63"/>
      <c r="BR30" s="63"/>
      <c r="BS30" s="63"/>
      <c r="BT30" s="63"/>
      <c r="BU30" s="63"/>
      <c r="BV30" s="63"/>
      <c r="BW30" s="63"/>
      <c r="BX30" s="63"/>
      <c r="BY30" s="63"/>
      <c r="BZ30" s="63"/>
      <c r="CA30" s="63"/>
      <c r="CB30" s="63"/>
      <c r="CC30" s="63"/>
      <c r="CD30" s="63"/>
      <c r="CE30" s="63"/>
      <c r="CF30" s="63"/>
      <c r="CG30" s="63"/>
      <c r="CH30" s="63"/>
    </row>
    <row r="31" spans="1:86" ht="15" customHeight="1" x14ac:dyDescent="0.25">
      <c r="A31" s="4" t="s">
        <v>708</v>
      </c>
      <c r="B31" s="5">
        <f t="shared" si="0"/>
        <v>-49861.320398692624</v>
      </c>
      <c r="C31" s="5">
        <f t="shared" si="0"/>
        <v>6584065.1187935546</v>
      </c>
      <c r="D31" s="5">
        <f t="shared" si="0"/>
        <v>6534203.7983948626</v>
      </c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  <c r="AA31" s="63"/>
      <c r="AB31" s="63"/>
      <c r="AC31" s="63"/>
      <c r="AD31" s="63"/>
      <c r="AE31" s="63"/>
      <c r="AF31" s="63"/>
      <c r="AG31" s="63"/>
      <c r="AH31" s="63"/>
      <c r="AI31" s="63"/>
      <c r="AJ31" s="63"/>
      <c r="AK31" s="63"/>
      <c r="AL31" s="63"/>
      <c r="AM31" s="63"/>
      <c r="AN31" s="63"/>
      <c r="AO31" s="63"/>
      <c r="AP31" s="63"/>
      <c r="AQ31" s="63"/>
      <c r="AR31" s="63"/>
      <c r="AS31" s="63"/>
      <c r="AT31" s="63"/>
      <c r="AU31" s="63"/>
      <c r="AV31" s="63"/>
      <c r="AW31" s="63"/>
      <c r="AX31" s="63"/>
      <c r="AY31" s="63"/>
      <c r="AZ31" s="63"/>
      <c r="BA31" s="63"/>
      <c r="BB31" s="63"/>
      <c r="BC31" s="63"/>
      <c r="BD31" s="63"/>
      <c r="BE31" s="63"/>
      <c r="BF31" s="63"/>
      <c r="BG31" s="63"/>
      <c r="BH31" s="63"/>
      <c r="BI31" s="63"/>
      <c r="BJ31" s="63"/>
      <c r="BK31" s="63"/>
      <c r="BL31" s="63"/>
      <c r="BM31" s="63"/>
      <c r="BN31" s="63"/>
      <c r="BO31" s="63"/>
      <c r="BP31" s="63"/>
      <c r="BQ31" s="63"/>
      <c r="BR31" s="63"/>
      <c r="BS31" s="63"/>
      <c r="BT31" s="63"/>
      <c r="BU31" s="63"/>
      <c r="BV31" s="63"/>
      <c r="BW31" s="63"/>
      <c r="BX31" s="63"/>
      <c r="BY31" s="63"/>
      <c r="BZ31" s="63"/>
      <c r="CA31" s="63"/>
      <c r="CB31" s="63"/>
      <c r="CC31" s="63"/>
      <c r="CD31" s="63"/>
      <c r="CE31" s="63"/>
      <c r="CF31" s="63"/>
      <c r="CG31" s="63"/>
      <c r="CH31" s="63"/>
    </row>
    <row r="32" spans="1:86" ht="15" customHeight="1" x14ac:dyDescent="0.25">
      <c r="A32" s="192"/>
      <c r="B32" s="193"/>
      <c r="C32" s="193"/>
      <c r="D32" s="193"/>
      <c r="E32" s="107"/>
      <c r="F32" s="107"/>
      <c r="G32" s="107"/>
      <c r="H32" s="107"/>
      <c r="I32" s="107"/>
      <c r="J32" s="107"/>
      <c r="K32" s="107"/>
      <c r="L32" s="107"/>
      <c r="M32" s="107"/>
      <c r="N32" s="107"/>
      <c r="O32" s="107"/>
      <c r="P32" s="107"/>
      <c r="Q32" s="107"/>
      <c r="R32" s="107"/>
      <c r="S32" s="107"/>
      <c r="T32" s="107"/>
      <c r="U32" s="107"/>
      <c r="V32" s="107"/>
      <c r="W32" s="107"/>
      <c r="X32" s="107"/>
      <c r="Y32" s="107"/>
      <c r="Z32" s="107"/>
      <c r="AA32" s="107"/>
      <c r="AB32" s="107"/>
      <c r="AC32" s="107"/>
      <c r="AD32" s="107"/>
      <c r="AE32" s="107"/>
      <c r="AF32" s="107"/>
      <c r="AG32" s="107"/>
      <c r="AH32" s="107"/>
      <c r="AI32" s="107"/>
      <c r="AJ32" s="107"/>
      <c r="AK32" s="107"/>
      <c r="AL32" s="107"/>
      <c r="AM32" s="107"/>
      <c r="AN32" s="107"/>
      <c r="AO32" s="107"/>
      <c r="AP32" s="107"/>
      <c r="AQ32" s="107"/>
      <c r="AR32" s="107"/>
      <c r="AS32" s="107"/>
      <c r="AT32" s="107"/>
      <c r="AU32" s="107"/>
      <c r="AV32" s="107"/>
      <c r="AW32" s="107"/>
      <c r="AX32" s="107"/>
      <c r="AY32" s="107"/>
      <c r="AZ32" s="107"/>
      <c r="BA32" s="107"/>
      <c r="BB32" s="107"/>
      <c r="BC32" s="107"/>
      <c r="BD32" s="107"/>
      <c r="BE32" s="107"/>
      <c r="BF32" s="107"/>
      <c r="BG32" s="107"/>
      <c r="BH32" s="107"/>
      <c r="BI32" s="107"/>
      <c r="BJ32" s="107"/>
      <c r="BK32" s="107"/>
      <c r="BL32" s="107"/>
      <c r="BM32" s="107"/>
      <c r="BN32" s="107"/>
      <c r="BO32" s="107"/>
      <c r="BP32" s="107"/>
      <c r="BQ32" s="107"/>
      <c r="BR32" s="107"/>
      <c r="BS32" s="107"/>
      <c r="BT32" s="107"/>
      <c r="BU32" s="107"/>
      <c r="BV32" s="107"/>
      <c r="BW32" s="107"/>
      <c r="BX32" s="107"/>
      <c r="BY32" s="107"/>
      <c r="BZ32" s="107"/>
      <c r="CA32" s="107"/>
      <c r="CB32" s="107"/>
      <c r="CC32" s="107"/>
      <c r="CD32" s="107"/>
      <c r="CE32" s="107"/>
      <c r="CF32" s="107"/>
      <c r="CG32" s="107"/>
      <c r="CH32" s="107"/>
    </row>
    <row r="33" spans="1:86" ht="15" customHeight="1" x14ac:dyDescent="0.25">
      <c r="A33" s="126"/>
      <c r="B33" s="183"/>
      <c r="C33" s="183"/>
      <c r="D33" s="183"/>
      <c r="E33" s="63"/>
      <c r="F33" s="63"/>
      <c r="G33" s="63"/>
      <c r="H33" s="63"/>
      <c r="I33" s="63"/>
      <c r="J33" s="63"/>
      <c r="K33" s="63"/>
      <c r="L33" s="63"/>
      <c r="M33" s="63"/>
      <c r="N33" s="63"/>
      <c r="O33" s="63"/>
      <c r="P33" s="63"/>
      <c r="Q33" s="63"/>
      <c r="R33" s="63"/>
      <c r="S33" s="63"/>
      <c r="T33" s="63"/>
      <c r="U33" s="63"/>
      <c r="V33" s="63"/>
      <c r="W33" s="63"/>
      <c r="X33" s="63"/>
      <c r="Y33" s="63"/>
      <c r="Z33" s="63"/>
      <c r="AA33" s="63"/>
      <c r="AB33" s="63"/>
      <c r="AC33" s="63"/>
      <c r="AD33" s="63"/>
      <c r="AE33" s="63"/>
      <c r="AF33" s="63"/>
      <c r="AG33" s="63"/>
      <c r="AH33" s="63"/>
      <c r="AI33" s="63"/>
      <c r="AJ33" s="63"/>
      <c r="AK33" s="63"/>
      <c r="AL33" s="63"/>
      <c r="AM33" s="63"/>
      <c r="AN33" s="63"/>
      <c r="AO33" s="63"/>
      <c r="AP33" s="63"/>
      <c r="AQ33" s="63"/>
      <c r="AR33" s="63"/>
      <c r="AS33" s="63"/>
      <c r="AT33" s="63"/>
      <c r="AU33" s="63"/>
      <c r="AV33" s="63"/>
      <c r="AW33" s="63"/>
      <c r="AX33" s="63"/>
      <c r="AY33" s="63"/>
      <c r="AZ33" s="63"/>
      <c r="BA33" s="63"/>
      <c r="BB33" s="63"/>
      <c r="BC33" s="63"/>
      <c r="BD33" s="63"/>
      <c r="BE33" s="63"/>
      <c r="BF33" s="63"/>
      <c r="BG33" s="63"/>
      <c r="BH33" s="63"/>
      <c r="BI33" s="63"/>
      <c r="BJ33" s="63"/>
      <c r="BK33" s="63"/>
      <c r="BL33" s="63"/>
      <c r="BM33" s="63"/>
      <c r="BN33" s="63"/>
      <c r="BO33" s="63"/>
      <c r="BP33" s="63"/>
      <c r="BQ33" s="63"/>
      <c r="BR33" s="63"/>
      <c r="BS33" s="63"/>
      <c r="BT33" s="63"/>
      <c r="BU33" s="63"/>
      <c r="BV33" s="63"/>
      <c r="BW33" s="63"/>
      <c r="BX33" s="63"/>
      <c r="BY33" s="63"/>
      <c r="BZ33" s="63"/>
      <c r="CA33" s="63"/>
      <c r="CB33" s="63"/>
      <c r="CC33" s="63"/>
      <c r="CD33" s="63"/>
      <c r="CE33" s="63"/>
      <c r="CF33" s="63"/>
      <c r="CG33" s="63"/>
      <c r="CH33" s="63"/>
    </row>
    <row r="34" spans="1:86" ht="15" customHeight="1" x14ac:dyDescent="0.25">
      <c r="A34" s="192"/>
      <c r="B34" s="193"/>
      <c r="C34" s="193"/>
      <c r="D34" s="193"/>
    </row>
    <row r="35" spans="1:86" ht="15" customHeight="1" x14ac:dyDescent="0.25">
      <c r="A35" s="170"/>
      <c r="B35" s="171"/>
      <c r="C35" s="171"/>
      <c r="D35" s="171"/>
    </row>
    <row r="37" spans="1:86" ht="15" customHeight="1" x14ac:dyDescent="0.25">
      <c r="A37" s="194"/>
    </row>
    <row r="38" spans="1:86" ht="15" customHeight="1" x14ac:dyDescent="0.25">
      <c r="A38" s="195"/>
    </row>
    <row r="39" spans="1:86" ht="15" customHeight="1" x14ac:dyDescent="0.25">
      <c r="A39" s="195"/>
    </row>
    <row r="40" spans="1:86" ht="15" customHeight="1" x14ac:dyDescent="0.25">
      <c r="A40" s="195" t="s">
        <v>709</v>
      </c>
    </row>
    <row r="41" spans="1:86" ht="15" customHeight="1" x14ac:dyDescent="0.25">
      <c r="A41" s="195" t="s">
        <v>710</v>
      </c>
    </row>
    <row r="42" spans="1:86" ht="15" customHeight="1" x14ac:dyDescent="0.25">
      <c r="A42" s="195" t="s">
        <v>711</v>
      </c>
    </row>
    <row r="43" spans="1:86" ht="15" customHeight="1" x14ac:dyDescent="0.25">
      <c r="A43" s="195" t="s">
        <v>712</v>
      </c>
    </row>
    <row r="44" spans="1:86" ht="15" customHeight="1" x14ac:dyDescent="0.25">
      <c r="A44" s="195" t="s">
        <v>713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Annual Summary</vt:lpstr>
      <vt:lpstr>Model</vt:lpstr>
      <vt:lpstr>QTR Summary</vt:lpstr>
      <vt:lpstr>Appendix</vt:lpstr>
      <vt:lpstr>Sensitivity</vt:lpstr>
      <vt:lpstr>Curves</vt:lpstr>
      <vt:lpstr>Assumptions</vt:lpstr>
      <vt:lpstr>Projects</vt:lpstr>
      <vt:lpstr>Personnel</vt:lpstr>
      <vt:lpstr>Escalation</vt:lpstr>
      <vt:lpstr>Helpers</vt:lpstr>
      <vt:lpstr>Uplifters</vt:lpstr>
      <vt:lpstr>LIHTC Project P&amp;L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 Aiello</cp:lastModifiedBy>
  <cp:revision>0</cp:revision>
  <dcterms:created xsi:type="dcterms:W3CDTF">2026-03-23T03:32:22Z</dcterms:created>
  <dcterms:modified xsi:type="dcterms:W3CDTF">2026-04-24T12:29:30Z</dcterms:modified>
  <dc:language>en-US</dc:language>
</cp:coreProperties>
</file>