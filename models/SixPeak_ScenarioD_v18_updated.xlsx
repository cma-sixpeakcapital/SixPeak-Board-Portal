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8" autoFilterDateGrouping="1"/>
  </bookViews>
  <sheets>
    <sheet name="Annual Summary" sheetId="1" state="visible" r:id="rId1"/>
    <sheet name="Model" sheetId="2" state="visible" r:id="rId2"/>
    <sheet name="QTR Summary" sheetId="3" state="visible" r:id="rId3"/>
    <sheet name="Appendix" sheetId="4" state="hidden" r:id="rId4"/>
    <sheet name="Sensitivity" sheetId="5" state="hidden" r:id="rId5"/>
    <sheet name="Curves" sheetId="6" state="hidden" r:id="rId6"/>
    <sheet name="Assumptions" sheetId="7" state="visible" r:id="rId7"/>
    <sheet name="Projects" sheetId="8" state="visible" r:id="rId8"/>
    <sheet name="Personnel" sheetId="9" state="visible" r:id="rId9"/>
    <sheet name="Escalation" sheetId="10" state="hidden" r:id="rId10"/>
    <sheet name="Helpers" sheetId="11" state="hidden" r:id="rId11"/>
    <sheet name="Uplifters" sheetId="12" state="visible" r:id="rId12"/>
    <sheet name="LIHTC Project P&amp;L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(\$* #,##0_);[RED]_(\$* \(#,##0\);_(\$* \-_);_(@_)"/>
    <numFmt numFmtId="165" formatCode="0.0%"/>
    <numFmt numFmtId="166" formatCode="mmm\-yy"/>
    <numFmt numFmtId="167" formatCode="0.0000"/>
    <numFmt numFmtId="168" formatCode="[$$-409]#,##0.00;[RED]\-[$$-409]#,##0.00"/>
  </numFmts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0"/>
      <b val="1"/>
      <color rgb="FF0B1833"/>
      <sz val="14"/>
    </font>
    <font>
      <name val="Aptos"/>
      <charset val="1"/>
      <family val="0"/>
      <b val="1"/>
      <color rgb="FFF8FAFC"/>
      <sz val="11"/>
    </font>
    <font>
      <name val="Aptos"/>
      <charset val="1"/>
      <family val="0"/>
      <b val="1"/>
      <sz val="10"/>
    </font>
    <font>
      <name val="Aptos"/>
      <charset val="1"/>
      <family val="0"/>
      <color rgb="FF000000"/>
      <sz val="10"/>
    </font>
    <font>
      <name val="Aptos"/>
      <charset val="1"/>
      <family val="0"/>
      <b val="1"/>
      <color rgb="FF000000"/>
      <sz val="10"/>
    </font>
    <font>
      <name val="Calibri"/>
      <charset val="1"/>
      <family val="0"/>
      <color rgb="FF000000"/>
      <sz val="11"/>
    </font>
    <font>
      <name val="Aptos"/>
      <charset val="1"/>
      <family val="0"/>
      <b val="1"/>
      <color rgb="FF000000"/>
      <sz val="11"/>
    </font>
    <font>
      <name val="Aptos"/>
      <charset val="1"/>
      <family val="0"/>
      <color rgb="FF2C3A51"/>
      <sz val="10"/>
    </font>
    <font>
      <name val="Aptos"/>
      <charset val="1"/>
      <family val="2"/>
      <sz val="10"/>
    </font>
    <font>
      <name val="Aptos"/>
      <charset val="1"/>
      <family val="0"/>
      <color theme="1"/>
      <sz val="11"/>
    </font>
    <font>
      <name val="Aptos"/>
      <charset val="1"/>
      <family val="0"/>
      <color rgb="FF0B1833"/>
      <sz val="10"/>
    </font>
    <font>
      <name val="Aptos"/>
      <charset val="1"/>
      <family val="0"/>
      <i val="1"/>
      <color rgb="FFF8FAFC"/>
      <sz val="8"/>
    </font>
    <font>
      <name val="Aptos"/>
      <charset val="1"/>
      <family val="0"/>
      <b val="1"/>
      <color rgb="FF0B1833"/>
      <sz val="10"/>
    </font>
    <font>
      <name val="Aptos"/>
      <charset val="1"/>
      <family val="0"/>
      <color rgb="FF000000"/>
      <sz val="11"/>
    </font>
    <font>
      <name val="Cambria"/>
      <charset val="1"/>
      <family val="0"/>
      <sz val="11"/>
    </font>
    <font>
      <name val="Aptos"/>
      <charset val="1"/>
      <family val="0"/>
      <i val="1"/>
      <color rgb="FF666666"/>
      <sz val="9"/>
    </font>
    <font>
      <name val="Aptos"/>
      <charset val="1"/>
      <family val="0"/>
      <color rgb="FF666666"/>
      <sz val="9"/>
    </font>
    <font>
      <name val="Aptos"/>
      <charset val="1"/>
      <family val="0"/>
      <sz val="10"/>
    </font>
    <font>
      <name val="Calibri"/>
      <charset val="1"/>
      <family val="2"/>
      <sz val="11"/>
    </font>
    <font>
      <name val="Aptos"/>
      <charset val="1"/>
      <family val="0"/>
      <color rgb="FF717F4B"/>
      <sz val="10"/>
    </font>
    <font>
      <name val="Aptos"/>
      <charset val="1"/>
      <family val="0"/>
      <color rgb="FFEF4444"/>
      <sz val="10"/>
    </font>
    <font>
      <name val="Aptos"/>
      <charset val="1"/>
      <family val="0"/>
      <b val="1"/>
      <color rgb="FF0B1833"/>
      <sz val="11"/>
    </font>
    <font>
      <name val="Aptos"/>
      <charset val="1"/>
      <family val="0"/>
      <i val="1"/>
      <color rgb="FF999999"/>
      <sz val="10"/>
    </font>
    <font>
      <name val="Aptos"/>
      <charset val="1"/>
      <family val="0"/>
      <color rgb="FF0000FF"/>
      <sz val="10"/>
    </font>
    <font>
      <name val="Aptos"/>
      <charset val="1"/>
      <family val="0"/>
      <b val="1"/>
      <color rgb="FFC4581A"/>
      <sz val="10"/>
    </font>
    <font>
      <name val="Aptos"/>
      <charset val="1"/>
      <family val="0"/>
      <i val="1"/>
      <color rgb="FF999999"/>
      <sz val="9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1F3864"/>
      <sz val="10"/>
    </font>
    <font>
      <name val="Aptos"/>
      <charset val="1"/>
      <family val="0"/>
      <color rgb="FF333333"/>
      <sz val="10"/>
    </font>
    <font>
      <name val="Aptos"/>
      <charset val="1"/>
      <family val="0"/>
      <b val="1"/>
      <sz val="12"/>
    </font>
    <font>
      <name val="Aptos"/>
      <charset val="1"/>
      <family val="0"/>
      <b val="1"/>
      <color rgb="FFFFFFFF"/>
      <sz val="11"/>
    </font>
    <font>
      <name val="Aptos"/>
      <charset val="1"/>
      <family val="0"/>
      <i val="1"/>
      <sz val="10"/>
    </font>
    <font>
      <name val="Aptos"/>
      <charset val="1"/>
      <family val="0"/>
      <sz val="9"/>
    </font>
    <font>
      <name val="Aptos"/>
      <charset val="1"/>
      <family val="0"/>
      <color theme="1"/>
      <sz val="10"/>
    </font>
    <font>
      <name val="Aptos"/>
      <charset val="1"/>
      <family val="0"/>
      <b val="1"/>
      <sz val="13"/>
    </font>
    <font>
      <name val="Aptos"/>
      <charset val="1"/>
      <family val="0"/>
      <b val="1"/>
      <color rgb="FF666666"/>
      <sz val="9"/>
    </font>
    <font>
      <name val="Aptos"/>
      <charset val="1"/>
      <family val="0"/>
      <color rgb="FF888888"/>
      <sz val="9"/>
    </font>
  </fonts>
  <fills count="27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/>
      <diagonal/>
    </border>
    <border>
      <left/>
      <right/>
      <top/>
      <bottom style="medium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4" fontId="12" fillId="2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164" fontId="7" fillId="7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15" fillId="3" borderId="0" applyAlignment="1" pivotButton="0" quotePrefix="0" xfId="0">
      <alignment horizontal="center" vertical="bottom" wrapText="1"/>
    </xf>
    <xf numFmtId="0" fontId="16" fillId="5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10" fontId="7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right" vertical="bottom"/>
    </xf>
    <xf numFmtId="0" fontId="7" fillId="2" borderId="2" applyAlignment="1" pivotButton="0" quotePrefix="0" xfId="0">
      <alignment horizontal="general" vertical="bottom"/>
    </xf>
    <xf numFmtId="164" fontId="7" fillId="2" borderId="2" applyAlignment="1" pivotButton="0" quotePrefix="0" xfId="0">
      <alignment horizontal="right" vertical="bottom"/>
    </xf>
    <xf numFmtId="0" fontId="8" fillId="9" borderId="3" applyAlignment="1" pivotButton="0" quotePrefix="0" xfId="0">
      <alignment horizontal="general" vertical="bottom"/>
    </xf>
    <xf numFmtId="0" fontId="7" fillId="9" borderId="3" applyAlignment="1" pivotButton="0" quotePrefix="0" xfId="0">
      <alignment horizontal="general" vertical="bottom"/>
    </xf>
    <xf numFmtId="164" fontId="8" fillId="9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4" fontId="7" fillId="5" borderId="2" applyAlignment="1" pivotButton="0" quotePrefix="0" xfId="0">
      <alignment horizontal="right" vertical="bottom"/>
    </xf>
    <xf numFmtId="0" fontId="8" fillId="9" borderId="2" applyAlignment="1" pivotButton="0" quotePrefix="0" xfId="0">
      <alignment horizontal="general" vertical="bottom"/>
    </xf>
    <xf numFmtId="0" fontId="7" fillId="9" borderId="2" applyAlignment="1" pivotButton="0" quotePrefix="0" xfId="0">
      <alignment horizontal="general" vertical="bottom"/>
    </xf>
    <xf numFmtId="164" fontId="8" fillId="9" borderId="2" applyAlignment="1" pivotButton="0" quotePrefix="0" xfId="0">
      <alignment horizontal="right" vertical="bottom"/>
    </xf>
    <xf numFmtId="0" fontId="8" fillId="8" borderId="0" applyAlignment="1" pivotButton="0" quotePrefix="0" xfId="0">
      <alignment horizontal="general" vertical="bottom"/>
    </xf>
    <xf numFmtId="164" fontId="8" fillId="8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0" fontId="0" fillId="0" borderId="5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center" vertical="bottom" wrapText="1"/>
    </xf>
    <xf numFmtId="0" fontId="18" fillId="8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164" fontId="8" fillId="7" borderId="1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164" fontId="23" fillId="2" borderId="0" applyAlignment="1" pivotButton="0" quotePrefix="0" xfId="0">
      <alignment horizontal="general" vertical="bottom"/>
    </xf>
    <xf numFmtId="164" fontId="16" fillId="5" borderId="1" applyAlignment="1" pivotButton="0" quotePrefix="0" xfId="0">
      <alignment horizontal="general" vertical="bottom"/>
    </xf>
    <xf numFmtId="164" fontId="16" fillId="2" borderId="0" applyAlignment="1" pivotButton="0" quotePrefix="0" xfId="0">
      <alignment horizontal="general" vertical="bottom"/>
    </xf>
    <xf numFmtId="0" fontId="24" fillId="2" borderId="0" applyAlignment="1" pivotButton="0" quotePrefix="0" xfId="0">
      <alignment horizontal="general" vertical="bottom"/>
    </xf>
    <xf numFmtId="164" fontId="24" fillId="2" borderId="0" applyAlignment="1" pivotButton="0" quotePrefix="0" xfId="0">
      <alignment horizontal="general" vertical="bottom"/>
    </xf>
    <xf numFmtId="0" fontId="25" fillId="2" borderId="0" applyAlignment="1" pivotButton="0" quotePrefix="0" xfId="0">
      <alignment horizontal="general" vertical="bottom"/>
    </xf>
    <xf numFmtId="166" fontId="14" fillId="2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166" fontId="16" fillId="2" borderId="0" applyAlignment="1" pivotButton="0" quotePrefix="0" xfId="0">
      <alignment horizontal="general" vertical="bottom"/>
    </xf>
    <xf numFmtId="10" fontId="23" fillId="2" borderId="0" applyAlignment="1" pivotButton="0" quotePrefix="0" xfId="0">
      <alignment horizontal="general" vertical="bottom"/>
    </xf>
    <xf numFmtId="10" fontId="27" fillId="10" borderId="0" applyAlignment="1" pivotButton="0" quotePrefix="0" xfId="0">
      <alignment horizontal="general" vertical="bottom"/>
    </xf>
    <xf numFmtId="10" fontId="14" fillId="2" borderId="0" applyAlignment="1" pivotButton="0" quotePrefix="0" xfId="0">
      <alignment horizontal="general" vertical="bottom"/>
    </xf>
    <xf numFmtId="164" fontId="27" fillId="10" borderId="0" applyAlignment="1" pivotButton="0" quotePrefix="0" xfId="0">
      <alignment horizontal="general" vertical="bottom"/>
    </xf>
    <xf numFmtId="164" fontId="14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10" borderId="0" applyAlignment="1" pivotButton="0" quotePrefix="0" xfId="0">
      <alignment horizontal="general" vertical="bottom"/>
    </xf>
    <xf numFmtId="3" fontId="14" fillId="2" borderId="0" applyAlignment="1" pivotButton="0" quotePrefix="0" xfId="0">
      <alignment horizontal="general" vertical="bottom"/>
    </xf>
    <xf numFmtId="164" fontId="27" fillId="2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0" fontId="28" fillId="6" borderId="1" applyAlignment="1" pivotButton="0" quotePrefix="0" xfId="0">
      <alignment horizontal="general" vertical="bottom"/>
    </xf>
    <xf numFmtId="164" fontId="28" fillId="6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164" fontId="16" fillId="7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11" fillId="2" borderId="0" applyAlignment="1" pivotButton="0" quotePrefix="0" xfId="0">
      <alignment horizontal="general" vertical="bottom"/>
    </xf>
    <xf numFmtId="164" fontId="16" fillId="10" borderId="0" applyAlignment="1" pivotButton="0" quotePrefix="0" xfId="0">
      <alignment horizontal="general" vertical="bottom"/>
    </xf>
    <xf numFmtId="164" fontId="27" fillId="7" borderId="1" applyAlignment="1" pivotButton="0" quotePrefix="0" xfId="0">
      <alignment horizontal="general" vertical="bottom"/>
    </xf>
    <xf numFmtId="164" fontId="14" fillId="7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164" fontId="28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0" fontId="27" fillId="1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4" fontId="21" fillId="0" borderId="0" applyAlignment="1" pivotButton="0" quotePrefix="0" xfId="0">
      <alignment horizontal="general" vertical="bottom"/>
    </xf>
    <xf numFmtId="0" fontId="30" fillId="11" borderId="0" applyAlignment="1" pivotButton="0" quotePrefix="0" xfId="0">
      <alignment horizontal="general" vertical="bottom"/>
    </xf>
    <xf numFmtId="0" fontId="21" fillId="12" borderId="6" applyAlignment="1" pivotButton="0" quotePrefix="0" xfId="0">
      <alignment horizontal="general" vertical="bottom"/>
    </xf>
    <xf numFmtId="164" fontId="21" fillId="12" borderId="6" applyAlignment="1" pivotButton="0" quotePrefix="0" xfId="0">
      <alignment horizontal="right" vertical="bottom"/>
    </xf>
    <xf numFmtId="0" fontId="21" fillId="8" borderId="6" applyAlignment="1" pivotButton="0" quotePrefix="0" xfId="0">
      <alignment horizontal="general" vertical="bottom"/>
    </xf>
    <xf numFmtId="164" fontId="21" fillId="8" borderId="6" applyAlignment="1" pivotButton="0" quotePrefix="0" xfId="0">
      <alignment horizontal="right" vertical="bottom"/>
    </xf>
    <xf numFmtId="3" fontId="21" fillId="12" borderId="6" applyAlignment="1" pivotButton="0" quotePrefix="0" xfId="0">
      <alignment horizontal="right" vertical="bottom"/>
    </xf>
    <xf numFmtId="164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64" fontId="6" fillId="0" borderId="7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3" fontId="21" fillId="0" borderId="0" applyAlignment="1" pivotButton="0" quotePrefix="0" xfId="0">
      <alignment horizontal="general" vertical="bottom"/>
    </xf>
    <xf numFmtId="0" fontId="34" fillId="13" borderId="0" applyAlignment="1" pivotButton="0" quotePrefix="0" xfId="0">
      <alignment horizontal="general" vertical="bottom"/>
    </xf>
    <xf numFmtId="0" fontId="31" fillId="14" borderId="0" applyAlignment="1" pivotButton="0" quotePrefix="0" xfId="0">
      <alignment horizontal="general" vertical="bottom"/>
    </xf>
    <xf numFmtId="0" fontId="6" fillId="15" borderId="2" applyAlignment="1" pivotButton="0" quotePrefix="0" xfId="0">
      <alignment horizontal="general" vertical="bottom"/>
    </xf>
    <xf numFmtId="164" fontId="6" fillId="16" borderId="2" applyAlignment="1" pivotButton="0" quotePrefix="0" xfId="0">
      <alignment horizontal="general" vertical="bottom"/>
    </xf>
    <xf numFmtId="0" fontId="6" fillId="15" borderId="8" applyAlignment="1" pivotButton="0" quotePrefix="0" xfId="0">
      <alignment horizontal="general" vertical="bottom"/>
    </xf>
    <xf numFmtId="164" fontId="6" fillId="16" borderId="8" applyAlignment="1" pivotButton="0" quotePrefix="0" xfId="0">
      <alignment horizontal="general" vertical="bottom"/>
    </xf>
    <xf numFmtId="0" fontId="34" fillId="17" borderId="0" applyAlignment="1" pivotButton="0" quotePrefix="0" xfId="0">
      <alignment horizontal="general" vertical="bottom"/>
    </xf>
    <xf numFmtId="0" fontId="6" fillId="15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6" fillId="15" borderId="0" applyAlignment="1" pivotButton="0" quotePrefix="0" xfId="0">
      <alignment horizontal="general" vertical="bottom"/>
    </xf>
    <xf numFmtId="164" fontId="6" fillId="15" borderId="0" applyAlignment="1" pivotButton="0" quotePrefix="0" xfId="0">
      <alignment horizontal="general" vertical="bottom"/>
    </xf>
    <xf numFmtId="0" fontId="34" fillId="18" borderId="0" applyAlignment="1" pivotButton="0" quotePrefix="0" xfId="0">
      <alignment horizontal="general" vertical="bottom"/>
    </xf>
    <xf numFmtId="0" fontId="6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4" fontId="6" fillId="19" borderId="0" applyAlignment="1" pivotButton="0" quotePrefix="0" xfId="0">
      <alignment horizontal="general" vertical="bottom"/>
    </xf>
    <xf numFmtId="0" fontId="34" fillId="20" borderId="0" applyAlignment="1" pivotButton="0" quotePrefix="0" xfId="0">
      <alignment horizontal="general" vertical="bottom"/>
    </xf>
    <xf numFmtId="0" fontId="6" fillId="21" borderId="0" applyAlignment="1" pivotButton="0" quotePrefix="0" xfId="0">
      <alignment horizontal="general" vertical="bottom"/>
    </xf>
    <xf numFmtId="164" fontId="6" fillId="21" borderId="0" applyAlignment="1" pivotButton="0" quotePrefix="0" xfId="0">
      <alignment horizontal="general" vertical="bottom"/>
    </xf>
    <xf numFmtId="0" fontId="34" fillId="22" borderId="0" applyAlignment="1" pivotButton="0" quotePrefix="0" xfId="0">
      <alignment horizontal="general" vertical="bottom"/>
    </xf>
    <xf numFmtId="0" fontId="6" fillId="16" borderId="0" applyAlignment="1" pivotButton="0" quotePrefix="0" xfId="0">
      <alignment horizontal="general" vertical="bottom"/>
    </xf>
    <xf numFmtId="164" fontId="6" fillId="16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34" fillId="23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0" fontId="30" fillId="3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3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1" fillId="0" borderId="9" applyAlignment="1" pivotButton="0" quotePrefix="0" xfId="0">
      <alignment horizontal="general" vertical="bottom"/>
    </xf>
    <xf numFmtId="0" fontId="6" fillId="0" borderId="9" applyAlignment="1" pivotButton="0" quotePrefix="0" xfId="0">
      <alignment horizontal="center" vertical="bottom"/>
    </xf>
    <xf numFmtId="0" fontId="30" fillId="24" borderId="0" applyAlignment="1" pivotButton="0" quotePrefix="0" xfId="0">
      <alignment horizontal="general" vertical="bottom"/>
    </xf>
    <xf numFmtId="164" fontId="30" fillId="24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64" fontId="21" fillId="12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164" fontId="8" fillId="0" borderId="7" applyAlignment="1" pivotButton="0" quotePrefix="0" xfId="0">
      <alignment horizontal="general" vertical="bottom"/>
    </xf>
    <xf numFmtId="164" fontId="30" fillId="11" borderId="0" applyAlignment="1" pivotButton="0" quotePrefix="0" xfId="0">
      <alignment horizontal="general" vertical="bottom"/>
    </xf>
    <xf numFmtId="0" fontId="21" fillId="15" borderId="0" applyAlignment="1" pivotButton="0" quotePrefix="0" xfId="0">
      <alignment horizontal="general" vertical="bottom"/>
    </xf>
    <xf numFmtId="164" fontId="21" fillId="15" borderId="0" applyAlignment="1" pivotButton="0" quotePrefix="0" xfId="0">
      <alignment horizontal="general" vertical="bottom"/>
    </xf>
    <xf numFmtId="0" fontId="32" fillId="15" borderId="0" applyAlignment="1" pivotButton="0" quotePrefix="0" xfId="0">
      <alignment horizontal="general" vertical="bottom"/>
    </xf>
    <xf numFmtId="164" fontId="32" fillId="15" borderId="0" applyAlignment="1" pivotButton="0" quotePrefix="0" xfId="0">
      <alignment horizontal="general" vertical="bottom"/>
    </xf>
    <xf numFmtId="0" fontId="30" fillId="25" borderId="7" applyAlignment="1" pivotButton="0" quotePrefix="0" xfId="0">
      <alignment horizontal="general" vertical="bottom"/>
    </xf>
    <xf numFmtId="164" fontId="30" fillId="25" borderId="7" applyAlignment="1" pivotButton="0" quotePrefix="0" xfId="0">
      <alignment horizontal="general" vertical="bottom"/>
    </xf>
    <xf numFmtId="0" fontId="21" fillId="19" borderId="0" applyAlignment="1" pivotButton="0" quotePrefix="0" xfId="0">
      <alignment horizontal="general" vertical="bottom"/>
    </xf>
    <xf numFmtId="164" fontId="21" fillId="19" borderId="0" applyAlignment="1" pivotButton="0" quotePrefix="0" xfId="0">
      <alignment horizontal="general" vertical="bottom"/>
    </xf>
    <xf numFmtId="0" fontId="21" fillId="25" borderId="0" applyAlignment="1" pivotButton="0" quotePrefix="0" xfId="0">
      <alignment horizontal="general" vertical="bottom"/>
    </xf>
    <xf numFmtId="164" fontId="21" fillId="25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general" vertical="bottom"/>
    </xf>
    <xf numFmtId="0" fontId="30" fillId="26" borderId="0" applyAlignment="1" pivotButton="0" quotePrefix="0" xfId="0">
      <alignment horizontal="general" vertical="bottom"/>
    </xf>
    <xf numFmtId="164" fontId="30" fillId="26" borderId="0" applyAlignment="1" pivotButton="0" quotePrefix="0" xfId="0">
      <alignment horizontal="general" vertical="bottom"/>
    </xf>
    <xf numFmtId="0" fontId="21" fillId="0" borderId="7" applyAlignment="1" pivotButton="0" quotePrefix="0" xfId="0">
      <alignment horizontal="general" vertical="bottom"/>
    </xf>
    <xf numFmtId="164" fontId="21" fillId="0" borderId="7" applyAlignment="1" pivotButton="0" quotePrefix="0" xfId="0">
      <alignment horizontal="general" vertical="bottom"/>
    </xf>
    <xf numFmtId="0" fontId="21" fillId="26" borderId="0" applyAlignment="1" pivotButton="0" quotePrefix="0" xfId="0">
      <alignment horizontal="general" vertical="bottom"/>
    </xf>
    <xf numFmtId="164" fontId="21" fillId="26" borderId="0" applyAlignment="1" pivotButton="0" quotePrefix="0" xfId="0">
      <alignment horizontal="general" vertical="bottom"/>
    </xf>
    <xf numFmtId="0" fontId="21" fillId="21" borderId="0" applyAlignment="1" pivotButton="0" quotePrefix="0" xfId="0">
      <alignment horizontal="general" vertical="bottom"/>
    </xf>
    <xf numFmtId="164" fontId="21" fillId="21" borderId="0" applyAlignment="1" pivotButton="0" quotePrefix="0" xfId="0">
      <alignment horizontal="general" vertical="bottom"/>
    </xf>
    <xf numFmtId="0" fontId="32" fillId="21" borderId="0" applyAlignment="1" pivotButton="0" quotePrefix="0" xfId="0">
      <alignment horizontal="general" vertical="bottom"/>
    </xf>
    <xf numFmtId="164" fontId="32" fillId="21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164" fontId="8" fillId="6" borderId="1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4" fontId="12" fillId="2" borderId="0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164" fontId="7" fillId="7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center" vertical="bottom"/>
    </xf>
    <xf numFmtId="0" fontId="1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15" fillId="3" borderId="0" applyAlignment="1" pivotButton="0" quotePrefix="0" xfId="0">
      <alignment horizontal="center" vertical="bottom" wrapText="1"/>
    </xf>
    <xf numFmtId="0" fontId="16" fillId="5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10" fontId="7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13" fillId="8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right" vertical="bottom"/>
    </xf>
    <xf numFmtId="0" fontId="7" fillId="2" borderId="2" applyAlignment="1" pivotButton="0" quotePrefix="0" xfId="0">
      <alignment horizontal="general" vertical="bottom"/>
    </xf>
    <xf numFmtId="164" fontId="7" fillId="2" borderId="2" applyAlignment="1" pivotButton="0" quotePrefix="0" xfId="0">
      <alignment horizontal="right" vertical="bottom"/>
    </xf>
    <xf numFmtId="0" fontId="8" fillId="9" borderId="3" applyAlignment="1" pivotButton="0" quotePrefix="0" xfId="0">
      <alignment horizontal="general" vertical="bottom"/>
    </xf>
    <xf numFmtId="0" fontId="7" fillId="9" borderId="3" applyAlignment="1" pivotButton="0" quotePrefix="0" xfId="0">
      <alignment horizontal="general" vertical="bottom"/>
    </xf>
    <xf numFmtId="164" fontId="8" fillId="9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4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4" fontId="7" fillId="5" borderId="2" applyAlignment="1" pivotButton="0" quotePrefix="0" xfId="0">
      <alignment horizontal="right" vertical="bottom"/>
    </xf>
    <xf numFmtId="0" fontId="8" fillId="9" borderId="2" applyAlignment="1" pivotButton="0" quotePrefix="0" xfId="0">
      <alignment horizontal="general" vertical="bottom"/>
    </xf>
    <xf numFmtId="0" fontId="7" fillId="9" borderId="2" applyAlignment="1" pivotButton="0" quotePrefix="0" xfId="0">
      <alignment horizontal="general" vertical="bottom"/>
    </xf>
    <xf numFmtId="164" fontId="8" fillId="9" borderId="2" applyAlignment="1" pivotButton="0" quotePrefix="0" xfId="0">
      <alignment horizontal="right" vertical="bottom"/>
    </xf>
    <xf numFmtId="0" fontId="8" fillId="8" borderId="0" applyAlignment="1" pivotButton="0" quotePrefix="0" xfId="0">
      <alignment horizontal="general" vertical="bottom"/>
    </xf>
    <xf numFmtId="164" fontId="8" fillId="8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0" fontId="0" fillId="0" borderId="5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center" vertical="bottom" wrapText="1"/>
    </xf>
    <xf numFmtId="0" fontId="18" fillId="8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bottom"/>
    </xf>
    <xf numFmtId="164" fontId="8" fillId="7" borderId="1" applyAlignment="1" pivotButton="0" quotePrefix="0" xfId="0">
      <alignment horizontal="general" vertical="bottom"/>
    </xf>
    <xf numFmtId="0" fontId="16" fillId="2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164" fontId="23" fillId="2" borderId="0" applyAlignment="1" pivotButton="0" quotePrefix="0" xfId="0">
      <alignment horizontal="general" vertical="bottom"/>
    </xf>
    <xf numFmtId="164" fontId="16" fillId="5" borderId="1" applyAlignment="1" pivotButton="0" quotePrefix="0" xfId="0">
      <alignment horizontal="general" vertical="bottom"/>
    </xf>
    <xf numFmtId="164" fontId="16" fillId="2" borderId="0" applyAlignment="1" pivotButton="0" quotePrefix="0" xfId="0">
      <alignment horizontal="general" vertical="bottom"/>
    </xf>
    <xf numFmtId="0" fontId="24" fillId="2" borderId="0" applyAlignment="1" pivotButton="0" quotePrefix="0" xfId="0">
      <alignment horizontal="general" vertical="bottom"/>
    </xf>
    <xf numFmtId="164" fontId="24" fillId="2" borderId="0" applyAlignment="1" pivotButton="0" quotePrefix="0" xfId="0">
      <alignment horizontal="general" vertical="bottom"/>
    </xf>
    <xf numFmtId="0" fontId="25" fillId="2" borderId="0" applyAlignment="1" pivotButton="0" quotePrefix="0" xfId="0">
      <alignment horizontal="general" vertical="bottom"/>
    </xf>
    <xf numFmtId="166" fontId="14" fillId="2" borderId="0" applyAlignment="1" pivotButton="0" quotePrefix="0" xfId="0">
      <alignment horizontal="general" vertical="bottom"/>
    </xf>
    <xf numFmtId="0" fontId="26" fillId="2" borderId="0" applyAlignment="1" pivotButton="0" quotePrefix="0" xfId="0">
      <alignment horizontal="general" vertical="bottom"/>
    </xf>
    <xf numFmtId="166" fontId="16" fillId="2" borderId="0" applyAlignment="1" pivotButton="0" quotePrefix="0" xfId="0">
      <alignment horizontal="general" vertical="bottom"/>
    </xf>
    <xf numFmtId="10" fontId="23" fillId="2" borderId="0" applyAlignment="1" pivotButton="0" quotePrefix="0" xfId="0">
      <alignment horizontal="general" vertical="bottom"/>
    </xf>
    <xf numFmtId="10" fontId="27" fillId="10" borderId="0" applyAlignment="1" pivotButton="0" quotePrefix="0" xfId="0">
      <alignment horizontal="general" vertical="bottom"/>
    </xf>
    <xf numFmtId="10" fontId="14" fillId="2" borderId="0" applyAlignment="1" pivotButton="0" quotePrefix="0" xfId="0">
      <alignment horizontal="general" vertical="bottom"/>
    </xf>
    <xf numFmtId="164" fontId="27" fillId="10" borderId="0" applyAlignment="1" pivotButton="0" quotePrefix="0" xfId="0">
      <alignment horizontal="general" vertical="bottom"/>
    </xf>
    <xf numFmtId="164" fontId="14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10" borderId="0" applyAlignment="1" pivotButton="0" quotePrefix="0" xfId="0">
      <alignment horizontal="general" vertical="bottom"/>
    </xf>
    <xf numFmtId="3" fontId="14" fillId="2" borderId="0" applyAlignment="1" pivotButton="0" quotePrefix="0" xfId="0">
      <alignment horizontal="general" vertical="bottom"/>
    </xf>
    <xf numFmtId="164" fontId="27" fillId="2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0" fontId="28" fillId="6" borderId="1" applyAlignment="1" pivotButton="0" quotePrefix="0" xfId="0">
      <alignment horizontal="general" vertical="bottom"/>
    </xf>
    <xf numFmtId="164" fontId="28" fillId="6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164" fontId="16" fillId="7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11" fillId="2" borderId="0" applyAlignment="1" pivotButton="0" quotePrefix="0" xfId="0">
      <alignment horizontal="general" vertical="bottom"/>
    </xf>
    <xf numFmtId="164" fontId="16" fillId="10" borderId="0" applyAlignment="1" pivotButton="0" quotePrefix="0" xfId="0">
      <alignment horizontal="general" vertical="bottom"/>
    </xf>
    <xf numFmtId="164" fontId="27" fillId="7" borderId="1" applyAlignment="1" pivotButton="0" quotePrefix="0" xfId="0">
      <alignment horizontal="general" vertical="bottom"/>
    </xf>
    <xf numFmtId="164" fontId="14" fillId="7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164" fontId="28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0" fontId="27" fillId="1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4" fontId="21" fillId="0" borderId="0" applyAlignment="1" pivotButton="0" quotePrefix="0" xfId="0">
      <alignment horizontal="general" vertical="bottom"/>
    </xf>
    <xf numFmtId="0" fontId="30" fillId="11" borderId="0" applyAlignment="1" pivotButton="0" quotePrefix="0" xfId="0">
      <alignment horizontal="general" vertical="bottom"/>
    </xf>
    <xf numFmtId="0" fontId="21" fillId="12" borderId="6" applyAlignment="1" pivotButton="0" quotePrefix="0" xfId="0">
      <alignment horizontal="general" vertical="bottom"/>
    </xf>
    <xf numFmtId="164" fontId="21" fillId="12" borderId="6" applyAlignment="1" pivotButton="0" quotePrefix="0" xfId="0">
      <alignment horizontal="right" vertical="bottom"/>
    </xf>
    <xf numFmtId="0" fontId="21" fillId="8" borderId="6" applyAlignment="1" pivotButton="0" quotePrefix="0" xfId="0">
      <alignment horizontal="general" vertical="bottom"/>
    </xf>
    <xf numFmtId="164" fontId="21" fillId="8" borderId="6" applyAlignment="1" pivotButton="0" quotePrefix="0" xfId="0">
      <alignment horizontal="right" vertical="bottom"/>
    </xf>
    <xf numFmtId="3" fontId="21" fillId="12" borderId="6" applyAlignment="1" pivotButton="0" quotePrefix="0" xfId="0">
      <alignment horizontal="right" vertical="bottom"/>
    </xf>
    <xf numFmtId="164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64" fontId="6" fillId="0" borderId="7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3" fontId="21" fillId="0" borderId="0" applyAlignment="1" pivotButton="0" quotePrefix="0" xfId="0">
      <alignment horizontal="general" vertical="bottom"/>
    </xf>
    <xf numFmtId="0" fontId="34" fillId="13" borderId="0" applyAlignment="1" pivotButton="0" quotePrefix="0" xfId="0">
      <alignment horizontal="general" vertical="bottom"/>
    </xf>
    <xf numFmtId="0" fontId="31" fillId="14" borderId="0" applyAlignment="1" pivotButton="0" quotePrefix="0" xfId="0">
      <alignment horizontal="general" vertical="bottom"/>
    </xf>
    <xf numFmtId="0" fontId="6" fillId="15" borderId="2" applyAlignment="1" pivotButton="0" quotePrefix="0" xfId="0">
      <alignment horizontal="general" vertical="bottom"/>
    </xf>
    <xf numFmtId="164" fontId="6" fillId="16" borderId="2" applyAlignment="1" pivotButton="0" quotePrefix="0" xfId="0">
      <alignment horizontal="general" vertical="bottom"/>
    </xf>
    <xf numFmtId="0" fontId="6" fillId="15" borderId="8" applyAlignment="1" pivotButton="0" quotePrefix="0" xfId="0">
      <alignment horizontal="general" vertical="bottom"/>
    </xf>
    <xf numFmtId="164" fontId="6" fillId="16" borderId="8" applyAlignment="1" pivotButton="0" quotePrefix="0" xfId="0">
      <alignment horizontal="general" vertical="bottom"/>
    </xf>
    <xf numFmtId="0" fontId="34" fillId="17" borderId="0" applyAlignment="1" pivotButton="0" quotePrefix="0" xfId="0">
      <alignment horizontal="general" vertical="bottom"/>
    </xf>
    <xf numFmtId="0" fontId="6" fillId="15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6" fillId="15" borderId="0" applyAlignment="1" pivotButton="0" quotePrefix="0" xfId="0">
      <alignment horizontal="general" vertical="bottom"/>
    </xf>
    <xf numFmtId="164" fontId="6" fillId="15" borderId="0" applyAlignment="1" pivotButton="0" quotePrefix="0" xfId="0">
      <alignment horizontal="general" vertical="bottom"/>
    </xf>
    <xf numFmtId="0" fontId="34" fillId="18" borderId="0" applyAlignment="1" pivotButton="0" quotePrefix="0" xfId="0">
      <alignment horizontal="general" vertical="bottom"/>
    </xf>
    <xf numFmtId="0" fontId="6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4" fontId="6" fillId="19" borderId="0" applyAlignment="1" pivotButton="0" quotePrefix="0" xfId="0">
      <alignment horizontal="general" vertical="bottom"/>
    </xf>
    <xf numFmtId="0" fontId="34" fillId="20" borderId="0" applyAlignment="1" pivotButton="0" quotePrefix="0" xfId="0">
      <alignment horizontal="general" vertical="bottom"/>
    </xf>
    <xf numFmtId="0" fontId="6" fillId="21" borderId="0" applyAlignment="1" pivotButton="0" quotePrefix="0" xfId="0">
      <alignment horizontal="general" vertical="bottom"/>
    </xf>
    <xf numFmtId="164" fontId="6" fillId="21" borderId="0" applyAlignment="1" pivotButton="0" quotePrefix="0" xfId="0">
      <alignment horizontal="general" vertical="bottom"/>
    </xf>
    <xf numFmtId="0" fontId="34" fillId="22" borderId="0" applyAlignment="1" pivotButton="0" quotePrefix="0" xfId="0">
      <alignment horizontal="general" vertical="bottom"/>
    </xf>
    <xf numFmtId="0" fontId="6" fillId="16" borderId="0" applyAlignment="1" pivotButton="0" quotePrefix="0" xfId="0">
      <alignment horizontal="general" vertical="bottom"/>
    </xf>
    <xf numFmtId="164" fontId="6" fillId="16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34" fillId="23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0" fontId="30" fillId="3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3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1" fillId="0" borderId="9" applyAlignment="1" pivotButton="0" quotePrefix="0" xfId="0">
      <alignment horizontal="general" vertical="bottom"/>
    </xf>
    <xf numFmtId="0" fontId="6" fillId="0" borderId="9" applyAlignment="1" pivotButton="0" quotePrefix="0" xfId="0">
      <alignment horizontal="center" vertical="bottom"/>
    </xf>
    <xf numFmtId="0" fontId="30" fillId="24" borderId="0" applyAlignment="1" pivotButton="0" quotePrefix="0" xfId="0">
      <alignment horizontal="general" vertical="bottom"/>
    </xf>
    <xf numFmtId="164" fontId="30" fillId="24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64" fontId="21" fillId="12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164" fontId="8" fillId="0" borderId="7" applyAlignment="1" pivotButton="0" quotePrefix="0" xfId="0">
      <alignment horizontal="general" vertical="bottom"/>
    </xf>
    <xf numFmtId="164" fontId="30" fillId="11" borderId="0" applyAlignment="1" pivotButton="0" quotePrefix="0" xfId="0">
      <alignment horizontal="general" vertical="bottom"/>
    </xf>
    <xf numFmtId="0" fontId="21" fillId="15" borderId="0" applyAlignment="1" pivotButton="0" quotePrefix="0" xfId="0">
      <alignment horizontal="general" vertical="bottom"/>
    </xf>
    <xf numFmtId="164" fontId="21" fillId="15" borderId="0" applyAlignment="1" pivotButton="0" quotePrefix="0" xfId="0">
      <alignment horizontal="general" vertical="bottom"/>
    </xf>
    <xf numFmtId="0" fontId="32" fillId="15" borderId="0" applyAlignment="1" pivotButton="0" quotePrefix="0" xfId="0">
      <alignment horizontal="general" vertical="bottom"/>
    </xf>
    <xf numFmtId="164" fontId="32" fillId="15" borderId="0" applyAlignment="1" pivotButton="0" quotePrefix="0" xfId="0">
      <alignment horizontal="general" vertical="bottom"/>
    </xf>
    <xf numFmtId="0" fontId="30" fillId="25" borderId="7" applyAlignment="1" pivotButton="0" quotePrefix="0" xfId="0">
      <alignment horizontal="general" vertical="bottom"/>
    </xf>
    <xf numFmtId="164" fontId="30" fillId="25" borderId="7" applyAlignment="1" pivotButton="0" quotePrefix="0" xfId="0">
      <alignment horizontal="general" vertical="bottom"/>
    </xf>
    <xf numFmtId="0" fontId="21" fillId="19" borderId="0" applyAlignment="1" pivotButton="0" quotePrefix="0" xfId="0">
      <alignment horizontal="general" vertical="bottom"/>
    </xf>
    <xf numFmtId="164" fontId="21" fillId="19" borderId="0" applyAlignment="1" pivotButton="0" quotePrefix="0" xfId="0">
      <alignment horizontal="general" vertical="bottom"/>
    </xf>
    <xf numFmtId="0" fontId="21" fillId="25" borderId="0" applyAlignment="1" pivotButton="0" quotePrefix="0" xfId="0">
      <alignment horizontal="general" vertical="bottom"/>
    </xf>
    <xf numFmtId="164" fontId="21" fillId="25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general" vertical="bottom"/>
    </xf>
    <xf numFmtId="0" fontId="30" fillId="26" borderId="0" applyAlignment="1" pivotButton="0" quotePrefix="0" xfId="0">
      <alignment horizontal="general" vertical="bottom"/>
    </xf>
    <xf numFmtId="164" fontId="30" fillId="26" borderId="0" applyAlignment="1" pivotButton="0" quotePrefix="0" xfId="0">
      <alignment horizontal="general" vertical="bottom"/>
    </xf>
    <xf numFmtId="0" fontId="21" fillId="0" borderId="7" applyAlignment="1" pivotButton="0" quotePrefix="0" xfId="0">
      <alignment horizontal="general" vertical="bottom"/>
    </xf>
    <xf numFmtId="164" fontId="21" fillId="0" borderId="7" applyAlignment="1" pivotButton="0" quotePrefix="0" xfId="0">
      <alignment horizontal="general" vertical="bottom"/>
    </xf>
    <xf numFmtId="0" fontId="21" fillId="26" borderId="0" applyAlignment="1" pivotButton="0" quotePrefix="0" xfId="0">
      <alignment horizontal="general" vertical="bottom"/>
    </xf>
    <xf numFmtId="164" fontId="21" fillId="26" borderId="0" applyAlignment="1" pivotButton="0" quotePrefix="0" xfId="0">
      <alignment horizontal="general" vertical="bottom"/>
    </xf>
    <xf numFmtId="0" fontId="21" fillId="21" borderId="0" applyAlignment="1" pivotButton="0" quotePrefix="0" xfId="0">
      <alignment horizontal="general" vertical="bottom"/>
    </xf>
    <xf numFmtId="164" fontId="21" fillId="21" borderId="0" applyAlignment="1" pivotButton="0" quotePrefix="0" xfId="0">
      <alignment horizontal="general" vertical="bottom"/>
    </xf>
    <xf numFmtId="0" fontId="32" fillId="21" borderId="0" applyAlignment="1" pivotButton="0" quotePrefix="0" xfId="0">
      <alignment horizontal="general" vertical="bottom"/>
    </xf>
    <xf numFmtId="164" fontId="32" fillId="21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I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baseColWidth="8" defaultColWidth="8.71484375" defaultRowHeight="15" customHeight="1" zeroHeight="0" outlineLevelRow="0"/>
  <cols>
    <col width="30" customWidth="1" style="201" min="1" max="1"/>
    <col width="16" customWidth="1" style="201" min="2" max="9"/>
  </cols>
  <sheetData>
    <row r="1" ht="17.25" customHeight="1" s="202">
      <c r="A1" s="203" t="inlineStr">
        <is>
          <t>Six Peak Capital - Annual Summary</t>
        </is>
      </c>
      <c r="F1" s="204" t="n"/>
      <c r="G1" s="204" t="n"/>
      <c r="H1" s="204" t="n"/>
      <c r="I1" s="204" t="n"/>
    </row>
    <row r="2" ht="15" customHeight="1" s="202">
      <c r="A2" s="205" t="n"/>
      <c r="B2" s="206" t="inlineStr">
        <is>
          <t>FY 2026</t>
        </is>
      </c>
      <c r="C2" s="206" t="inlineStr">
        <is>
          <t>FY 2027</t>
        </is>
      </c>
      <c r="D2" s="206" t="inlineStr">
        <is>
          <t>FY 2028</t>
        </is>
      </c>
      <c r="E2" s="206" t="inlineStr">
        <is>
          <t>FY 2029</t>
        </is>
      </c>
      <c r="F2" s="206" t="inlineStr">
        <is>
          <t>FY 2030</t>
        </is>
      </c>
      <c r="G2" s="206" t="inlineStr">
        <is>
          <t>FY 2031</t>
        </is>
      </c>
      <c r="H2" s="206" t="inlineStr">
        <is>
          <t>FY 2032</t>
        </is>
      </c>
      <c r="I2" s="206" t="inlineStr">
        <is>
          <t>FY 2033</t>
        </is>
      </c>
    </row>
    <row r="3" ht="15" customHeight="1" s="202">
      <c r="A3" s="207" t="inlineStr">
        <is>
          <t>Construction Billing</t>
        </is>
      </c>
      <c r="B3" s="208">
        <f>Model!C7+Model!D7+Model!E7+Model!F7+Model!G7+Model!H7+Model!I7+Model!J7+Model!K7</f>
        <v/>
      </c>
      <c r="C3" s="208">
        <f>Model!L7+Model!M7+Model!N7+Model!O7+Model!P7+Model!Q7+Model!R7+Model!S7+Model!T7+Model!U7+Model!V7+Model!W7</f>
        <v/>
      </c>
      <c r="D3" s="208">
        <f>Model!X7+Model!Y7+Model!Z7+Model!AA7+Model!AB7+Model!AC7+Model!AD7+Model!AE7+Model!AF7+Model!AG7+Model!AH7+Model!AI7</f>
        <v/>
      </c>
      <c r="E3" s="208">
        <f>Model!AJ7+Model!AK7+Model!AL7+Model!AM7+Model!AN7+Model!AO7+Model!AP7+Model!AQ7+Model!AR7+Model!AS7+Model!AT7+Model!AU7</f>
        <v/>
      </c>
      <c r="F3" s="208">
        <f>Model!AV7+Model!AW7+Model!AX7+Model!AY7+Model!AZ7+Model!BA7+Model!BB7+Model!BC7+Model!BD7+Model!BE7+Model!BF7+Model!BG7</f>
        <v/>
      </c>
      <c r="G3" s="208">
        <f>Model!BH7+Model!BI7+Model!BJ7+Model!BK7+Model!BL7+Model!BM7+Model!BN7+Model!BO7+Model!BP7+Model!BQ7+Model!BR7+Model!BS7</f>
        <v/>
      </c>
      <c r="H3" s="208">
        <f>Model!BT7+Model!BU7+Model!BV7+Model!BW7+Model!BX7+Model!BY7+Model!BZ7+Model!CA7+Model!CB7+Model!CC7+Model!CD7+Model!CE7</f>
        <v/>
      </c>
      <c r="I3" s="208">
        <f>Model!CF7+Model!CG7+Model!CH7</f>
        <v/>
      </c>
    </row>
    <row r="4" ht="15" customHeight="1" s="202">
      <c r="A4" s="209" t="inlineStr">
        <is>
          <t>GC Revenue</t>
        </is>
      </c>
      <c r="B4" s="209" t="n"/>
      <c r="C4" s="209" t="n"/>
      <c r="D4" s="209" t="n"/>
      <c r="E4" s="209" t="n"/>
      <c r="F4" s="209" t="n"/>
      <c r="G4" s="209" t="n"/>
      <c r="H4" s="209" t="n"/>
      <c r="I4" s="209" t="n"/>
    </row>
    <row r="5" ht="15" customHeight="1" s="202">
      <c r="A5" s="210" t="inlineStr">
        <is>
          <t xml:space="preserve">  Project Supervision</t>
        </is>
      </c>
      <c r="B5" s="211">
        <f>Model!C8+Model!D8+Model!E8+Model!F8+Model!G8+Model!H8+Model!I8+Model!J8+Model!K8</f>
        <v/>
      </c>
      <c r="C5" s="211">
        <f>Model!L8+Model!M8+Model!N8+Model!O8+Model!P8+Model!Q8+Model!R8+Model!S8+Model!T8+Model!U8+Model!V8+Model!W8</f>
        <v/>
      </c>
      <c r="D5" s="211">
        <f>Model!X8+Model!Y8+Model!Z8+Model!AA8+Model!AB8+Model!AC8+Model!AD8+Model!AE8+Model!AF8+Model!AG8+Model!AH8+Model!AI8</f>
        <v/>
      </c>
      <c r="E5" s="211">
        <f>Model!AJ8+Model!AK8+Model!AL8+Model!AM8+Model!AN8+Model!AO8+Model!AP8+Model!AQ8+Model!AR8+Model!AS8+Model!AT8+Model!AU8</f>
        <v/>
      </c>
      <c r="F5" s="211">
        <f>Model!AV8+Model!AW8+Model!AX8+Model!AY8+Model!AZ8+Model!BA8+Model!BB8+Model!BC8+Model!BD8+Model!BE8+Model!BF8+Model!BG8</f>
        <v/>
      </c>
      <c r="G5" s="211">
        <f>Model!BH8+Model!BI8+Model!BJ8+Model!BK8+Model!BL8+Model!BM8+Model!BN8+Model!BO8+Model!BP8+Model!BQ8+Model!BR8+Model!BS8</f>
        <v/>
      </c>
      <c r="H5" s="211">
        <f>Model!BT8+Model!BU8+Model!BV8+Model!BW8+Model!BX8+Model!BY8+Model!BZ8+Model!CA8+Model!CB8+Model!CC8+Model!CD8+Model!CE8</f>
        <v/>
      </c>
      <c r="I5" s="211">
        <f>Model!CF8+Model!CG8+Model!CH8</f>
        <v/>
      </c>
    </row>
    <row r="6" ht="15" customHeight="1" s="202">
      <c r="A6" s="210" t="inlineStr">
        <is>
          <t xml:space="preserve">  GC-CM Fee</t>
        </is>
      </c>
      <c r="B6" s="211">
        <f>Model!C9+Model!D9+Model!E9+Model!F9+Model!G9+Model!H9+Model!I9+Model!J9+Model!K9</f>
        <v/>
      </c>
      <c r="C6" s="211">
        <f>Model!L9+Model!M9+Model!N9+Model!O9+Model!P9+Model!Q9+Model!R9+Model!S9+Model!T9+Model!U9+Model!V9+Model!W9</f>
        <v/>
      </c>
      <c r="D6" s="211">
        <f>Model!X9+Model!Y9+Model!Z9+Model!AA9+Model!AB9+Model!AC9+Model!AD9+Model!AE9+Model!AF9+Model!AG9+Model!AH9+Model!AI9</f>
        <v/>
      </c>
      <c r="E6" s="211">
        <f>Model!AJ9+Model!AK9+Model!AL9+Model!AM9+Model!AN9+Model!AO9+Model!AP9+Model!AQ9+Model!AR9+Model!AS9+Model!AT9+Model!AU9</f>
        <v/>
      </c>
      <c r="F6" s="211">
        <f>Model!AV9+Model!AW9+Model!AX9+Model!AY9+Model!AZ9+Model!BA9+Model!BB9+Model!BC9+Model!BD9+Model!BE9+Model!BF9+Model!BG9</f>
        <v/>
      </c>
      <c r="G6" s="211">
        <f>Model!BH9+Model!BI9+Model!BJ9+Model!BK9+Model!BL9+Model!BM9+Model!BN9+Model!BO9+Model!BP9+Model!BQ9+Model!BR9+Model!BS9</f>
        <v/>
      </c>
      <c r="H6" s="211">
        <f>Model!BT9+Model!BU9+Model!BV9+Model!BW9+Model!BX9+Model!BY9+Model!BZ9+Model!CA9+Model!CB9+Model!CC9+Model!CD9+Model!CE9</f>
        <v/>
      </c>
      <c r="I6" s="211">
        <f>Model!CF9+Model!CG9+Model!CH9</f>
        <v/>
      </c>
    </row>
    <row r="7" ht="15" customHeight="1" s="202">
      <c r="A7" s="210" t="inlineStr">
        <is>
          <t xml:space="preserve">  Project Administration</t>
        </is>
      </c>
      <c r="B7" s="211">
        <f>Model!C10+Model!D10+Model!E10+Model!F10+Model!G10+Model!H10+Model!I10+Model!J10+Model!K10</f>
        <v/>
      </c>
      <c r="C7" s="211">
        <f>Model!L10+Model!M10+Model!N10+Model!O10+Model!P10+Model!Q10+Model!R10+Model!S10+Model!T10+Model!U10+Model!V10+Model!W10</f>
        <v/>
      </c>
      <c r="D7" s="211">
        <f>Model!X10+Model!Y10+Model!Z10+Model!AA10+Model!AB10+Model!AC10+Model!AD10+Model!AE10+Model!AF10+Model!AG10+Model!AH10+Model!AI10</f>
        <v/>
      </c>
      <c r="E7" s="211">
        <f>Model!AJ10+Model!AK10+Model!AL10+Model!AM10+Model!AN10+Model!AO10+Model!AP10+Model!AQ10+Model!AR10+Model!AS10+Model!AT10+Model!AU10</f>
        <v/>
      </c>
      <c r="F7" s="211">
        <f>Model!AV10+Model!AW10+Model!AX10+Model!AY10+Model!AZ10+Model!BA10+Model!BB10+Model!BC10+Model!BD10+Model!BE10+Model!BF10+Model!BG10</f>
        <v/>
      </c>
      <c r="G7" s="211">
        <f>Model!BH10+Model!BI10+Model!BJ10+Model!BK10+Model!BL10+Model!BM10+Model!BN10+Model!BO10+Model!BP10+Model!BQ10+Model!BR10+Model!BS10</f>
        <v/>
      </c>
      <c r="H7" s="211">
        <f>Model!BT10+Model!BU10+Model!BV10+Model!BW10+Model!BX10+Model!BY10+Model!BZ10+Model!CA10+Model!CB10+Model!CC10+Model!CD10+Model!CE10</f>
        <v/>
      </c>
      <c r="I7" s="211">
        <f>Model!CF10+Model!CG10+Model!CH10</f>
        <v/>
      </c>
    </row>
    <row r="8" ht="15" customHeight="1" s="202">
      <c r="A8" s="210" t="inlineStr">
        <is>
          <t xml:space="preserve">  Bonding Revenue</t>
        </is>
      </c>
      <c r="B8" s="211">
        <f>Model!C11+Model!D11+Model!E11+Model!F11+Model!G11+Model!H11+Model!I11+Model!J11+Model!K11</f>
        <v/>
      </c>
      <c r="C8" s="211">
        <f>Model!L11+Model!M11+Model!N11+Model!O11+Model!P11+Model!Q11+Model!R11+Model!S11+Model!T11+Model!U11+Model!V11+Model!W11</f>
        <v/>
      </c>
      <c r="D8" s="211">
        <f>Model!X11+Model!Y11+Model!Z11+Model!AA11+Model!AB11+Model!AC11+Model!AD11+Model!AE11+Model!AF11+Model!AG11+Model!AH11+Model!AI11</f>
        <v/>
      </c>
      <c r="E8" s="211">
        <f>Model!AJ11+Model!AK11+Model!AL11+Model!AM11+Model!AN11+Model!AO11+Model!AP11+Model!AQ11+Model!AR11+Model!AS11+Model!AT11+Model!AU11</f>
        <v/>
      </c>
      <c r="F8" s="211">
        <f>Model!AV11+Model!AW11+Model!AX11+Model!AY11+Model!AZ11+Model!BA11+Model!BB11+Model!BC11+Model!BD11+Model!BE11+Model!BF11+Model!BG11</f>
        <v/>
      </c>
      <c r="G8" s="211">
        <f>Model!BH11+Model!BI11+Model!BJ11+Model!BK11+Model!BL11+Model!BM11+Model!BN11+Model!BO11+Model!BP11+Model!BQ11+Model!BR11+Model!BS11</f>
        <v/>
      </c>
      <c r="H8" s="211">
        <f>Model!BT11+Model!BU11+Model!BV11+Model!BW11+Model!BX11+Model!BY11+Model!BZ11+Model!CA11+Model!CB11+Model!CC11+Model!CD11+Model!CE11</f>
        <v/>
      </c>
      <c r="I8" s="211">
        <f>Model!CF11+Model!CG11+Model!CH11</f>
        <v/>
      </c>
    </row>
    <row r="9" ht="15" customHeight="1" s="202">
      <c r="A9" s="212" t="inlineStr">
        <is>
          <t>Total GC Revenue</t>
        </is>
      </c>
      <c r="B9" s="213">
        <f>Model!C12+Model!D12+Model!E12+Model!F12+Model!G12+Model!H12+Model!I12+Model!J12+Model!K12</f>
        <v/>
      </c>
      <c r="C9" s="213">
        <f>Model!L12+Model!M12+Model!N12+Model!O12+Model!P12+Model!Q12+Model!R12+Model!S12+Model!T12+Model!U12+Model!V12+Model!W12</f>
        <v/>
      </c>
      <c r="D9" s="213">
        <f>Model!X12+Model!Y12+Model!Z12+Model!AA12+Model!AB12+Model!AC12+Model!AD12+Model!AE12+Model!AF12+Model!AG12+Model!AH12+Model!AI12</f>
        <v/>
      </c>
      <c r="E9" s="213">
        <f>Model!AJ12+Model!AK12+Model!AL12+Model!AM12+Model!AN12+Model!AO12+Model!AP12+Model!AQ12+Model!AR12+Model!AS12+Model!AT12+Model!AU12</f>
        <v/>
      </c>
      <c r="F9" s="213">
        <f>Model!AV12+Model!AW12+Model!AX12+Model!AY12+Model!AZ12+Model!BA12+Model!BB12+Model!BC12+Model!BD12+Model!BE12+Model!BF12+Model!BG12</f>
        <v/>
      </c>
      <c r="G9" s="213">
        <f>Model!BH12+Model!BI12+Model!BJ12+Model!BK12+Model!BL12+Model!BM12+Model!BN12+Model!BO12+Model!BP12+Model!BQ12+Model!BR12+Model!BS12</f>
        <v/>
      </c>
      <c r="H9" s="213">
        <f>Model!BT12+Model!BU12+Model!BV12+Model!BW12+Model!BX12+Model!BY12+Model!BZ12+Model!CA12+Model!CB12+Model!CC12+Model!CD12+Model!CE12</f>
        <v/>
      </c>
      <c r="I9" s="213">
        <f>Model!CF12+Model!CG12+Model!CH12</f>
        <v/>
      </c>
    </row>
    <row r="10" ht="15" customHeight="1" s="202">
      <c r="A10" s="204" t="n"/>
      <c r="B10" s="214" t="n"/>
      <c r="C10" s="214" t="n"/>
      <c r="D10" s="214" t="n"/>
      <c r="E10" s="214" t="n"/>
      <c r="F10" s="214" t="n"/>
      <c r="G10" s="214" t="n"/>
      <c r="H10" s="214" t="n"/>
      <c r="I10" s="204" t="n"/>
    </row>
    <row r="11" ht="15" customHeight="1" s="202">
      <c r="A11" s="209" t="inlineStr">
        <is>
          <t>GC Costs</t>
        </is>
      </c>
      <c r="B11" s="215" t="n"/>
      <c r="C11" s="215" t="n"/>
      <c r="D11" s="215" t="n"/>
      <c r="E11" s="215" t="n"/>
      <c r="F11" s="215" t="n"/>
      <c r="G11" s="215" t="n"/>
      <c r="H11" s="215" t="n"/>
      <c r="I11" s="209" t="n"/>
    </row>
    <row r="12" ht="15" customHeight="1" s="202">
      <c r="A12" s="210" t="inlineStr">
        <is>
          <t xml:space="preserve">  Bonding Costs</t>
        </is>
      </c>
      <c r="B12" s="211">
        <f>Model!C15+Model!D15+Model!E15+Model!F15+Model!G15+Model!H15+Model!I15+Model!J15+Model!K15</f>
        <v/>
      </c>
      <c r="C12" s="211">
        <f>Model!L15+Model!M15+Model!N15+Model!O15+Model!P15+Model!Q15+Model!R15+Model!S15+Model!T15+Model!U15+Model!V15+Model!W15</f>
        <v/>
      </c>
      <c r="D12" s="211">
        <f>Model!X15+Model!Y15+Model!Z15+Model!AA15+Model!AB15+Model!AC15+Model!AD15+Model!AE15+Model!AF15+Model!AG15+Model!AH15+Model!AI15</f>
        <v/>
      </c>
      <c r="E12" s="211">
        <f>Model!AJ15+Model!AK15+Model!AL15+Model!AM15+Model!AN15+Model!AO15+Model!AP15+Model!AQ15+Model!AR15+Model!AS15+Model!AT15+Model!AU15</f>
        <v/>
      </c>
      <c r="F12" s="211">
        <f>Model!AV15+Model!AW15+Model!AX15+Model!AY15+Model!AZ15+Model!BA15+Model!BB15+Model!BC15+Model!BD15+Model!BE15+Model!BF15+Model!BG15</f>
        <v/>
      </c>
      <c r="G12" s="211">
        <f>Model!BH15+Model!BI15+Model!BJ15+Model!BK15+Model!BL15+Model!BM15+Model!BN15+Model!BO15+Model!BP15+Model!BQ15+Model!BR15+Model!BS15</f>
        <v/>
      </c>
      <c r="H12" s="211">
        <f>Model!BT15+Model!BU15+Model!BV15+Model!BW15+Model!BX15+Model!BY15+Model!BZ15+Model!CA15+Model!CB15+Model!CC15+Model!CD15+Model!CE15</f>
        <v/>
      </c>
      <c r="I12" s="211">
        <f>Model!CF15+Model!CG15+Model!CH15</f>
        <v/>
      </c>
    </row>
    <row r="13" ht="15" customHeight="1" s="202">
      <c r="A13" s="210" t="inlineStr">
        <is>
          <t xml:space="preserve">  GC Personnel</t>
        </is>
      </c>
      <c r="B13" s="211">
        <f>Model!C16+Model!D16+Model!E16+Model!F16+Model!G16+Model!H16+Model!I16+Model!J16+Model!K16</f>
        <v/>
      </c>
      <c r="C13" s="211">
        <f>Model!L16+Model!M16+Model!N16+Model!O16+Model!P16+Model!Q16+Model!R16+Model!S16+Model!T16+Model!U16+Model!V16+Model!W16</f>
        <v/>
      </c>
      <c r="D13" s="211">
        <f>Model!X16+Model!Y16+Model!Z16+Model!AA16+Model!AB16+Model!AC16+Model!AD16+Model!AE16+Model!AF16+Model!AG16+Model!AH16+Model!AI16</f>
        <v/>
      </c>
      <c r="E13" s="211">
        <f>Model!AJ16+Model!AK16+Model!AL16+Model!AM16+Model!AN16+Model!AO16+Model!AP16+Model!AQ16+Model!AR16+Model!AS16+Model!AT16+Model!AU16</f>
        <v/>
      </c>
      <c r="F13" s="211">
        <f>Model!AV16+Model!AW16+Model!AX16+Model!AY16+Model!AZ16+Model!BA16+Model!BB16+Model!BC16+Model!BD16+Model!BE16+Model!BF16+Model!BG16</f>
        <v/>
      </c>
      <c r="G13" s="211">
        <f>Model!BH16+Model!BI16+Model!BJ16+Model!BK16+Model!BL16+Model!BM16+Model!BN16+Model!BO16+Model!BP16+Model!BQ16+Model!BR16+Model!BS16</f>
        <v/>
      </c>
      <c r="H13" s="211">
        <f>Model!BT16+Model!BU16+Model!BV16+Model!BW16+Model!BX16+Model!BY16+Model!BZ16+Model!CA16+Model!CB16+Model!CC16+Model!CD16+Model!CE16</f>
        <v/>
      </c>
      <c r="I13" s="211">
        <f>Model!CF16+Model!CG16+Model!CH16</f>
        <v/>
      </c>
    </row>
    <row r="14" ht="15" customHeight="1" s="202">
      <c r="A14" s="210" t="inlineStr">
        <is>
          <t xml:space="preserve">  SP Allocated to LV</t>
        </is>
      </c>
      <c r="B14" s="211">
        <f>Model!C17+Model!D17+Model!E17+Model!F17+Model!G17+Model!H17+Model!I17+Model!J17+Model!K17</f>
        <v/>
      </c>
      <c r="C14" s="211">
        <f>Model!L17+Model!M17+Model!N17+Model!O17+Model!P17+Model!Q17+Model!R17+Model!S17+Model!T17+Model!U17+Model!V17+Model!W17</f>
        <v/>
      </c>
      <c r="D14" s="211">
        <f>Model!X17+Model!Y17+Model!Z17+Model!AA17+Model!AB17+Model!AC17+Model!AD17+Model!AE17+Model!AF17+Model!AG17+Model!AH17+Model!AI17</f>
        <v/>
      </c>
      <c r="E14" s="211">
        <f>Model!AJ17+Model!AK17+Model!AL17+Model!AM17+Model!AN17+Model!AO17+Model!AP17+Model!AQ17+Model!AR17+Model!AS17+Model!AT17+Model!AU17</f>
        <v/>
      </c>
      <c r="F14" s="211">
        <f>Model!AV17+Model!AW17+Model!AX17+Model!AY17+Model!AZ17+Model!BA17+Model!BB17+Model!BC17+Model!BD17+Model!BE17+Model!BF17+Model!BG17</f>
        <v/>
      </c>
      <c r="G14" s="211">
        <f>Model!BH17+Model!BI17+Model!BJ17+Model!BK17+Model!BL17+Model!BM17+Model!BN17+Model!BO17+Model!BP17+Model!BQ17+Model!BR17+Model!BS17</f>
        <v/>
      </c>
      <c r="H14" s="211">
        <f>Model!BT17+Model!BU17+Model!BV17+Model!BW17+Model!BX17+Model!BY17+Model!BZ17+Model!CA17+Model!CB17+Model!CC17+Model!CD17+Model!CE17</f>
        <v/>
      </c>
      <c r="I14" s="211">
        <f>Model!CF17+Model!CG17+Model!CH17</f>
        <v/>
      </c>
    </row>
    <row r="15" ht="15" customHeight="1" s="202">
      <c r="A15" s="212" t="inlineStr">
        <is>
          <t>Total GC Costs</t>
        </is>
      </c>
      <c r="B15" s="213">
        <f>Model!C38+Model!D38+Model!E38+Model!F38+Model!G38+Model!H38+Model!I38+Model!J38+Model!K38</f>
        <v/>
      </c>
      <c r="C15" s="213">
        <f>Model!L38+Model!M38+Model!N38+Model!O38+Model!P38+Model!Q38+Model!R38+Model!S38+Model!T38+Model!U38+Model!V38+Model!W38</f>
        <v/>
      </c>
      <c r="D15" s="213">
        <f>Model!X38+Model!Y38+Model!Z38+Model!AA38+Model!AB38+Model!AC38+Model!AD38+Model!AE38+Model!AF38+Model!AG38+Model!AH38+Model!AI38</f>
        <v/>
      </c>
      <c r="E15" s="213">
        <f>Model!AJ38+Model!AK38+Model!AL38+Model!AM38+Model!AN38+Model!AO38+Model!AP38+Model!AQ38+Model!AR38+Model!AS38+Model!AT38+Model!AU38</f>
        <v/>
      </c>
      <c r="F15" s="213">
        <f>Model!AV38+Model!AW38+Model!AX38+Model!AY38+Model!AZ38+Model!BA38+Model!BB38+Model!BC38+Model!BD38+Model!BE38+Model!BF38+Model!BG38</f>
        <v/>
      </c>
      <c r="G15" s="213">
        <f>Model!BH38+Model!BI38+Model!BJ38+Model!BK38+Model!BL38+Model!BM38+Model!BN38+Model!BO38+Model!BP38+Model!BQ38+Model!BR38+Model!BS38</f>
        <v/>
      </c>
      <c r="H15" s="213">
        <f>Model!BT38+Model!BU38+Model!BV38+Model!BW38+Model!BX38+Model!BY38+Model!BZ38+Model!CA38+Model!CB38+Model!CC38+Model!CD38+Model!CE38</f>
        <v/>
      </c>
      <c r="I15" s="213">
        <f>Model!CF38+Model!CG38+Model!CH38</f>
        <v/>
      </c>
    </row>
    <row r="16" ht="15" customHeight="1" s="202">
      <c r="A16" s="216" t="inlineStr">
        <is>
          <t>GC Net Income</t>
        </is>
      </c>
      <c r="B16" s="217">
        <f>Model!C40+Model!D40+Model!E40+Model!F40+Model!G40+Model!H40+Model!I40+Model!J40+Model!K40</f>
        <v/>
      </c>
      <c r="C16" s="217">
        <f>Model!L40+Model!M40+Model!N40+Model!O40+Model!P40+Model!Q40+Model!R40+Model!S40+Model!T40+Model!U40+Model!V40+Model!W40</f>
        <v/>
      </c>
      <c r="D16" s="217">
        <f>Model!X40+Model!Y40+Model!Z40+Model!AA40+Model!AB40+Model!AC40+Model!AD40+Model!AE40+Model!AF40+Model!AG40+Model!AH40+Model!AI40</f>
        <v/>
      </c>
      <c r="E16" s="217">
        <f>Model!AJ40+Model!AK40+Model!AL40+Model!AM40+Model!AN40+Model!AO40+Model!AP40+Model!AQ40+Model!AR40+Model!AS40+Model!AT40+Model!AU40</f>
        <v/>
      </c>
      <c r="F16" s="217">
        <f>Model!AV40+Model!AW40+Model!AX40+Model!AY40+Model!AZ40+Model!BA40+Model!BB40+Model!BC40+Model!BD40+Model!BE40+Model!BF40+Model!BG40</f>
        <v/>
      </c>
      <c r="G16" s="217">
        <f>Model!BH40+Model!BI40+Model!BJ40+Model!BK40+Model!BL40+Model!BM40+Model!BN40+Model!BO40+Model!BP40+Model!BQ40+Model!BR40+Model!BS40</f>
        <v/>
      </c>
      <c r="H16" s="217">
        <f>Model!BT40+Model!BU40+Model!BV40+Model!BW40+Model!BX40+Model!BY40+Model!BZ40+Model!CA40+Model!CB40+Model!CC40+Model!CD40+Model!CE40</f>
        <v/>
      </c>
      <c r="I16" s="217">
        <f>Model!CF40+Model!CG40+Model!CH40</f>
        <v/>
      </c>
    </row>
    <row r="17" ht="15" customHeight="1" s="202">
      <c r="A17" s="210" t="inlineStr">
        <is>
          <t>GC Profit Margin %</t>
        </is>
      </c>
      <c r="B17" s="218">
        <f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/>
      </c>
      <c r="C17" s="218">
        <f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/>
      </c>
      <c r="D17" s="218">
        <f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/>
      </c>
      <c r="E17" s="218">
        <f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/>
      </c>
      <c r="F17" s="218">
        <f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/>
      </c>
      <c r="G17" s="218">
        <f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/>
      </c>
      <c r="H17" s="218">
        <f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/>
      </c>
      <c r="I17" s="218">
        <f>IF((Model!CF12+Model!CG12+Model!CH12)&lt;&gt;0,(Model!CF40+Model!CG40+Model!CH40)/(Model!CF12+Model!CG12+Model!CH12),0)</f>
        <v/>
      </c>
    </row>
    <row r="18" ht="15" customHeight="1" s="202">
      <c r="A18" s="204" t="n"/>
      <c r="B18" s="214" t="n"/>
      <c r="C18" s="214" t="n"/>
      <c r="D18" s="214" t="n"/>
      <c r="E18" s="214" t="n"/>
      <c r="F18" s="214" t="n"/>
      <c r="G18" s="214" t="n"/>
      <c r="H18" s="214" t="n"/>
      <c r="I18" s="204" t="n"/>
    </row>
    <row r="19" ht="15" customHeight="1" s="202">
      <c r="A19" s="219" t="inlineStr">
        <is>
          <t>Six Peak Revenue</t>
        </is>
      </c>
      <c r="B19" s="220">
        <f>Model!C63+Model!D63+Model!E63+Model!F63+Model!G63+Model!H63+Model!I63+Model!J63+Model!K63</f>
        <v/>
      </c>
      <c r="C19" s="220">
        <f>Model!L63+Model!M63+Model!N63+Model!O63+Model!P63+Model!Q63+Model!R63+Model!S63+Model!T63+Model!U63+Model!V63+Model!W63</f>
        <v/>
      </c>
      <c r="D19" s="220">
        <f>Model!X63+Model!Y63+Model!Z63+Model!AA63+Model!AB63+Model!AC63+Model!AD63+Model!AE63+Model!AF63+Model!AG63+Model!AH63+Model!AI63</f>
        <v/>
      </c>
      <c r="E19" s="220">
        <f>Model!AJ63+Model!AK63+Model!AL63+Model!AM63+Model!AN63+Model!AO63+Model!AP63+Model!AQ63+Model!AR63+Model!AS63+Model!AT63+Model!AU63</f>
        <v/>
      </c>
      <c r="F19" s="220">
        <f>Model!AV63+Model!AW63+Model!AX63+Model!AY63+Model!AZ63+Model!BA63+Model!BB63+Model!BC63+Model!BD63+Model!BE63+Model!BF63+Model!BG63</f>
        <v/>
      </c>
      <c r="G19" s="220">
        <f>Model!BH63+Model!BI63+Model!BJ63+Model!BK63+Model!BL63+Model!BM63+Model!BN63+Model!BO63+Model!BP63+Model!BQ63+Model!BR63+Model!BS63</f>
        <v/>
      </c>
      <c r="H19" s="220">
        <f>Model!BT63+Model!BU63+Model!BV63+Model!BW63+Model!BX63+Model!BY63+Model!BZ63+Model!CA63+Model!CB63+Model!CC63+Model!CD63+Model!CE63</f>
        <v/>
      </c>
      <c r="I19" s="220">
        <f>Model!CF63+Model!CG63+Model!CH63</f>
        <v/>
      </c>
    </row>
    <row r="20" ht="15" customHeight="1" s="202">
      <c r="A20" s="210" t="inlineStr">
        <is>
          <t>Six Peak Expenses</t>
        </is>
      </c>
      <c r="B20" s="211">
        <f>Model!C84+Model!D84+Model!E84+Model!F84+Model!G84+Model!H84+Model!I84+Model!J84+Model!K84</f>
        <v/>
      </c>
      <c r="C20" s="211">
        <f>Model!L84+Model!M84+Model!N84+Model!O84+Model!P84+Model!Q84+Model!R84+Model!S84+Model!T84+Model!U84+Model!V84+Model!W84</f>
        <v/>
      </c>
      <c r="D20" s="211">
        <f>Model!X84+Model!Y84+Model!Z84+Model!AA84+Model!AB84+Model!AC84+Model!AD84+Model!AE84+Model!AF84+Model!AG84+Model!AH84+Model!AI84</f>
        <v/>
      </c>
      <c r="E20" s="211">
        <f>Model!AJ84+Model!AK84+Model!AL84+Model!AM84+Model!AN84+Model!AO84+Model!AP84+Model!AQ84+Model!AR84+Model!AS84+Model!AT84+Model!AU84</f>
        <v/>
      </c>
      <c r="F20" s="211">
        <f>Model!AV84+Model!AW84+Model!AX84+Model!AY84+Model!AZ84+Model!BA84+Model!BB84+Model!BC84+Model!BD84+Model!BE84+Model!BF84+Model!BG84</f>
        <v/>
      </c>
      <c r="G20" s="211">
        <f>Model!BH84+Model!BI84+Model!BJ84+Model!BK84+Model!BL84+Model!BM84+Model!BN84+Model!BO84+Model!BP84+Model!BQ84+Model!BR84+Model!BS84</f>
        <v/>
      </c>
      <c r="H20" s="211">
        <f>Model!BT84+Model!BU84+Model!BV84+Model!BW84+Model!BX84+Model!BY84+Model!BZ84+Model!CA84+Model!CB84+Model!CC84+Model!CD84+Model!CE84</f>
        <v/>
      </c>
      <c r="I20" s="211">
        <f>Model!CF84+Model!CG84+Model!CH84</f>
        <v/>
      </c>
    </row>
    <row r="21" ht="15" customHeight="1" s="202">
      <c r="A21" s="216" t="inlineStr">
        <is>
          <t>Six Peak Net Income</t>
        </is>
      </c>
      <c r="B21" s="217">
        <f>Model!C86+Model!D86+Model!E86+Model!F86+Model!G86+Model!H86+Model!I86+Model!J86+Model!K86</f>
        <v/>
      </c>
      <c r="C21" s="217">
        <f>Model!L86+Model!M86+Model!N86+Model!O86+Model!P86+Model!Q86+Model!R86+Model!S86+Model!T86+Model!U86+Model!V86+Model!W86</f>
        <v/>
      </c>
      <c r="D21" s="217">
        <f>Model!X86+Model!Y86+Model!Z86+Model!AA86+Model!AB86+Model!AC86+Model!AD86+Model!AE86+Model!AF86+Model!AG86+Model!AH86+Model!AI86</f>
        <v/>
      </c>
      <c r="E21" s="217">
        <f>Model!AJ86+Model!AK86+Model!AL86+Model!AM86+Model!AN86+Model!AO86+Model!AP86+Model!AQ86+Model!AR86+Model!AS86+Model!AT86+Model!AU86</f>
        <v/>
      </c>
      <c r="F21" s="217">
        <f>Model!AV86+Model!AW86+Model!AX86+Model!AY86+Model!AZ86+Model!BA86+Model!BB86+Model!BC86+Model!BD86+Model!BE86+Model!BF86+Model!BG86</f>
        <v/>
      </c>
      <c r="G21" s="217">
        <f>Model!BH86+Model!BI86+Model!BJ86+Model!BK86+Model!BL86+Model!BM86+Model!BN86+Model!BO86+Model!BP86+Model!BQ86+Model!BR86+Model!BS86</f>
        <v/>
      </c>
      <c r="H21" s="217">
        <f>Model!BT86+Model!BU86+Model!BV86+Model!BW86+Model!BX86+Model!BY86+Model!BZ86+Model!CA86+Model!CB86+Model!CC86+Model!CD86+Model!CE86</f>
        <v/>
      </c>
      <c r="I21" s="217">
        <f>Model!CF86+Model!CG86+Model!CH86</f>
        <v/>
      </c>
    </row>
    <row r="22" ht="15" customHeight="1" s="202">
      <c r="A22" s="204" t="n"/>
      <c r="B22" s="214" t="n"/>
      <c r="C22" s="214" t="n"/>
      <c r="D22" s="214" t="n"/>
      <c r="E22" s="214" t="n"/>
      <c r="F22" s="214" t="n"/>
      <c r="G22" s="214" t="n"/>
      <c r="H22" s="214" t="n"/>
      <c r="I22" s="204" t="n"/>
    </row>
    <row r="23" ht="15" customHeight="1" s="202">
      <c r="A23" s="216" t="inlineStr">
        <is>
          <t>Consolidated Net Income</t>
        </is>
      </c>
      <c r="B23" s="217">
        <f>Model!C95+Model!D95+Model!E95+Model!F95+Model!G95+Model!H95+Model!I95+Model!J95+Model!K95</f>
        <v/>
      </c>
      <c r="C23" s="217">
        <f>Model!L95+Model!M95+Model!N95+Model!O95+Model!P95+Model!Q95+Model!R95+Model!S95+Model!T95+Model!U95+Model!V95+Model!W95</f>
        <v/>
      </c>
      <c r="D23" s="217">
        <f>Model!X95+Model!Y95+Model!Z95+Model!AA95+Model!AB95+Model!AC95+Model!AD95+Model!AE95+Model!AF95+Model!AG95+Model!AH95+Model!AI95</f>
        <v/>
      </c>
      <c r="E23" s="217">
        <f>Model!AJ95+Model!AK95+Model!AL95+Model!AM95+Model!AN95+Model!AO95+Model!AP95+Model!AQ95+Model!AR95+Model!AS95+Model!AT95+Model!AU95</f>
        <v/>
      </c>
      <c r="F23" s="217">
        <f>Model!AV95+Model!AW95+Model!AX95+Model!AY95+Model!AZ95+Model!BA95+Model!BB95+Model!BC95+Model!BD95+Model!BE95+Model!BF95+Model!BG95</f>
        <v/>
      </c>
      <c r="G23" s="217">
        <f>Model!BH95+Model!BI95+Model!BJ95+Model!BK95+Model!BL95+Model!BM95+Model!BN95+Model!BO95+Model!BP95+Model!BQ95+Model!BR95+Model!BS95</f>
        <v/>
      </c>
      <c r="H23" s="217">
        <f>Model!BT95+Model!BU95+Model!BV95+Model!BW95+Model!BX95+Model!BY95+Model!BZ95+Model!CA95+Model!CB95+Model!CC95+Model!CD95+Model!CE95</f>
        <v/>
      </c>
      <c r="I23" s="217">
        <f>Model!CF95+Model!CG95+Model!CH95</f>
        <v/>
      </c>
    </row>
    <row r="24" ht="15" customHeight="1" s="202">
      <c r="A24" s="204" t="n"/>
      <c r="B24" s="214" t="n"/>
      <c r="C24" s="214" t="n"/>
      <c r="D24" s="214" t="n"/>
      <c r="E24" s="214" t="n"/>
      <c r="F24" s="214" t="n"/>
      <c r="G24" s="214" t="n"/>
      <c r="H24" s="214" t="n"/>
      <c r="I24" s="204" t="n"/>
    </row>
    <row r="25" ht="15" customHeight="1" s="202">
      <c r="A25" s="209" t="inlineStr">
        <is>
          <t>Steyn Group Fees</t>
        </is>
      </c>
      <c r="B25" s="215" t="n"/>
      <c r="C25" s="215" t="n"/>
      <c r="D25" s="215" t="n"/>
      <c r="E25" s="215" t="n"/>
      <c r="F25" s="215" t="n"/>
      <c r="G25" s="215" t="n"/>
      <c r="H25" s="215" t="n"/>
      <c r="I25" s="209" t="n"/>
    </row>
    <row r="26" ht="15" customHeight="1" s="202">
      <c r="A26" s="210" t="inlineStr">
        <is>
          <t xml:space="preserve">  Completion Guaranty Fee</t>
        </is>
      </c>
      <c r="B26" s="211">
        <f>Model!C79+Model!D79+Model!E79+Model!F79+Model!G79+Model!H79+Model!I79+Model!J79+Model!K79</f>
        <v/>
      </c>
      <c r="C26" s="211">
        <f>Model!L79+Model!M79+Model!N79+Model!O79+Model!P79+Model!Q79+Model!R79+Model!S79+Model!T79+Model!U79+Model!V79+Model!W79</f>
        <v/>
      </c>
      <c r="D26" s="211">
        <f>Model!X79+Model!Y79+Model!Z79+Model!AA79+Model!AB79+Model!AC79+Model!AD79+Model!AE79+Model!AF79+Model!AG79+Model!AH79+Model!AI79</f>
        <v/>
      </c>
      <c r="E26" s="211">
        <f>Model!AJ79+Model!AK79+Model!AL79+Model!AM79+Model!AN79+Model!AO79+Model!AP79+Model!AQ79+Model!AR79+Model!AS79+Model!AT79+Model!AU79</f>
        <v/>
      </c>
      <c r="F26" s="211">
        <f>Model!AV79+Model!AW79+Model!AX79+Model!AY79+Model!AZ79+Model!BA79+Model!BB79+Model!BC79+Model!BD79+Model!BE79+Model!BF79+Model!BG79</f>
        <v/>
      </c>
      <c r="G26" s="211">
        <f>Model!BH79+Model!BI79+Model!BJ79+Model!BK79+Model!BL79+Model!BM79+Model!BN79+Model!BO79+Model!BP79+Model!BQ79+Model!BR79+Model!BS79</f>
        <v/>
      </c>
      <c r="H26" s="211">
        <f>Model!BT79+Model!BU79+Model!BV79+Model!BW79+Model!BX79+Model!BY79+Model!BZ79+Model!CA79+Model!CB79+Model!CC79+Model!CD79+Model!CE79</f>
        <v/>
      </c>
      <c r="I26" s="211">
        <f>Model!CF79+Model!CG79+Model!CH79</f>
        <v/>
      </c>
    </row>
    <row r="27" ht="15" customHeight="1" s="202">
      <c r="A27" s="210" t="inlineStr">
        <is>
          <t xml:space="preserve">  Liquidity Guarantee Fee</t>
        </is>
      </c>
      <c r="B27" s="211">
        <f>Model!C80+Model!D80+Model!E80+Model!F80+Model!G80+Model!H80+Model!I80+Model!J80+Model!K80</f>
        <v/>
      </c>
      <c r="C27" s="211">
        <f>Model!L80+Model!M80+Model!N80+Model!O80+Model!P80+Model!Q80+Model!R80+Model!S80+Model!T80+Model!U80+Model!V80+Model!W80</f>
        <v/>
      </c>
      <c r="D27" s="211">
        <f>Model!X80+Model!Y80+Model!Z80+Model!AA80+Model!AB80+Model!AC80+Model!AD80+Model!AE80+Model!AF80+Model!AG80+Model!AH80+Model!AI80</f>
        <v/>
      </c>
      <c r="E27" s="211">
        <f>Model!AJ80+Model!AK80+Model!AL80+Model!AM80+Model!AN80+Model!AO80+Model!AP80+Model!AQ80+Model!AR80+Model!AS80+Model!AT80+Model!AU80</f>
        <v/>
      </c>
      <c r="F27" s="211">
        <f>Model!AV80+Model!AW80+Model!AX80+Model!AY80+Model!AZ80+Model!BA80+Model!BB80+Model!BC80+Model!BD80+Model!BE80+Model!BF80+Model!BG80</f>
        <v/>
      </c>
      <c r="G27" s="211">
        <f>Model!BH80+Model!BI80+Model!BJ80+Model!BK80+Model!BL80+Model!BM80+Model!BN80+Model!BO80+Model!BP80+Model!BQ80+Model!BR80+Model!BS80</f>
        <v/>
      </c>
      <c r="H27" s="211">
        <f>Model!BT80+Model!BU80+Model!BV80+Model!BW80+Model!BX80+Model!BY80+Model!BZ80+Model!CA80+Model!CB80+Model!CC80+Model!CD80+Model!CE80</f>
        <v/>
      </c>
      <c r="I27" s="211">
        <f>Model!CF80+Model!CG80+Model!CH80</f>
        <v/>
      </c>
    </row>
    <row r="28" ht="15" customHeight="1" s="202">
      <c r="A28" s="210" t="inlineStr">
        <is>
          <t xml:space="preserve">  Francis Steyn Fee + PIK (LIHTC)</t>
        </is>
      </c>
      <c r="B28" s="211">
        <f>Model!C81+Model!D81+Model!E81+Model!F81+Model!G81+Model!H81+Model!I81+Model!J81+Model!K81</f>
        <v/>
      </c>
      <c r="C28" s="211">
        <f>Model!L81+Model!M81+Model!N81+Model!O81+Model!P81+Model!Q81+Model!R81+Model!S81+Model!T81+Model!U81+Model!V81+Model!W81</f>
        <v/>
      </c>
      <c r="D28" s="211">
        <f>Model!X81+Model!Y81+Model!Z81+Model!AA81+Model!AB81+Model!AC81+Model!AD81+Model!AE81+Model!AF81+Model!AG81+Model!AH81+Model!AI81</f>
        <v/>
      </c>
      <c r="E28" s="211">
        <f>Model!AJ81+Model!AK81+Model!AL81+Model!AM81+Model!AN81+Model!AO81+Model!AP81+Model!AQ81+Model!AR81+Model!AS81+Model!AT81+Model!AU81</f>
        <v/>
      </c>
      <c r="F28" s="211">
        <f>Model!AV81+Model!AW81+Model!AX81+Model!AY81+Model!AZ81+Model!BA81+Model!BB81+Model!BC81+Model!BD81+Model!BE81+Model!BF81+Model!BG81</f>
        <v/>
      </c>
      <c r="G28" s="211">
        <f>Model!BH81+Model!BI81+Model!BJ81+Model!BK81+Model!BL81+Model!BM81+Model!BN81+Model!BO81+Model!BP81+Model!BQ81+Model!BR81+Model!BS81</f>
        <v/>
      </c>
      <c r="H28" s="211">
        <f>Model!BT81+Model!BU81+Model!BV81+Model!BW81+Model!BX81+Model!BY81+Model!BZ81+Model!CA81+Model!CB81+Model!CC81+Model!CD81+Model!CE81</f>
        <v/>
      </c>
      <c r="I28" s="211">
        <f>Model!CF81+Model!CG81+Model!CH81</f>
        <v/>
      </c>
    </row>
    <row r="29" ht="15" customHeight="1" s="202">
      <c r="A29" s="210" t="inlineStr">
        <is>
          <t xml:space="preserve">  Reseda Steyn Fee + PIK (LIHTC)</t>
        </is>
      </c>
      <c r="B29" s="211">
        <f>Model!C82+Model!D82+Model!E82+Model!F82+Model!G82+Model!H82+Model!I82+Model!J82+Model!K82</f>
        <v/>
      </c>
      <c r="C29" s="211">
        <f>Model!L82+Model!M82+Model!N82+Model!O82+Model!P82+Model!Q82+Model!R82+Model!S82+Model!T82+Model!U82+Model!V82+Model!W82</f>
        <v/>
      </c>
      <c r="D29" s="211">
        <f>Model!X82+Model!Y82+Model!Z82+Model!AA82+Model!AB82+Model!AC82+Model!AD82+Model!AE82+Model!AF82+Model!AG82+Model!AH82+Model!AI82</f>
        <v/>
      </c>
      <c r="E29" s="211">
        <f>Model!AJ82+Model!AK82+Model!AL82+Model!AM82+Model!AN82+Model!AO82+Model!AP82+Model!AQ82+Model!AR82+Model!AS82+Model!AT82+Model!AU82</f>
        <v/>
      </c>
      <c r="F29" s="211">
        <f>Model!AV82+Model!AW82+Model!AX82+Model!AY82+Model!AZ82+Model!BA82+Model!BB82+Model!BC82+Model!BD82+Model!BE82+Model!BF82+Model!BG82</f>
        <v/>
      </c>
      <c r="G29" s="211">
        <f>Model!BH82+Model!BI82+Model!BJ82+Model!BK82+Model!BL82+Model!BM82+Model!BN82+Model!BO82+Model!BP82+Model!BQ82+Model!BR82+Model!BS82</f>
        <v/>
      </c>
      <c r="H29" s="211">
        <f>Model!BT82+Model!BU82+Model!BV82+Model!BW82+Model!BX82+Model!BY82+Model!BZ82+Model!CA82+Model!CB82+Model!CC82+Model!CD82+Model!CE82</f>
        <v/>
      </c>
      <c r="I29" s="211">
        <f>Model!CF82+Model!CG82+Model!CH82</f>
        <v/>
      </c>
    </row>
    <row r="30" ht="15" customHeight="1" s="202">
      <c r="A30" s="210" t="inlineStr">
        <is>
          <t xml:space="preserve">  3rd St Steyn Fee + PIK (LIHTC)</t>
        </is>
      </c>
      <c r="B30" s="211">
        <f>Model!C83+Model!D83+Model!E83+Model!F83+Model!G83+Model!H83+Model!I83+Model!J83+Model!K83</f>
        <v/>
      </c>
      <c r="C30" s="211">
        <f>Model!L83+Model!M83+Model!N83+Model!O83+Model!P83+Model!Q83+Model!R83+Model!S83+Model!T83+Model!U83+Model!V83+Model!W83</f>
        <v/>
      </c>
      <c r="D30" s="211">
        <f>Model!X83+Model!Y83+Model!Z83+Model!AA83+Model!AB83+Model!AC83+Model!AD83+Model!AE83+Model!AF83+Model!AG83+Model!AH83+Model!AI83</f>
        <v/>
      </c>
      <c r="E30" s="211">
        <f>Model!AJ83+Model!AK83+Model!AL83+Model!AM83+Model!AN83+Model!AO83+Model!AP83+Model!AQ83+Model!AR83+Model!AS83+Model!AT83+Model!AU83</f>
        <v/>
      </c>
      <c r="F30" s="211">
        <f>Model!AV83+Model!AW83+Model!AX83+Model!AY83+Model!AZ83+Model!BA83+Model!BB83+Model!BC83+Model!BD83+Model!BE83+Model!BF83+Model!BG83</f>
        <v/>
      </c>
      <c r="G30" s="211">
        <f>Model!BH83+Model!BI83+Model!BJ83+Model!BK83+Model!BL83+Model!BM83+Model!BN83+Model!BO83+Model!BP83+Model!BQ83+Model!BR83+Model!BS83</f>
        <v/>
      </c>
      <c r="H30" s="211">
        <f>Model!BT83+Model!BU83+Model!BV83+Model!BW83+Model!BX83+Model!BY83+Model!BZ83+Model!CA83+Model!CB83+Model!CC83+Model!CD83+Model!CE83</f>
        <v/>
      </c>
      <c r="I30" s="211">
        <f>Model!CF83+Model!CG83+Model!CH83</f>
        <v/>
      </c>
    </row>
    <row r="31" ht="15" customHeight="1" s="202">
      <c r="A31" s="204" t="n"/>
      <c r="B31" s="214" t="n"/>
      <c r="C31" s="214" t="n"/>
      <c r="D31" s="214" t="n"/>
      <c r="E31" s="214" t="n"/>
      <c r="F31" s="214" t="n"/>
      <c r="G31" s="214" t="n"/>
      <c r="H31" s="214" t="n"/>
      <c r="I31" s="204" t="n"/>
    </row>
    <row r="32" ht="15" customHeight="1" s="202">
      <c r="A32" s="209" t="inlineStr">
        <is>
          <t>Debt Facilities</t>
        </is>
      </c>
      <c r="B32" s="215" t="n"/>
      <c r="C32" s="215" t="n"/>
      <c r="D32" s="215" t="n"/>
      <c r="E32" s="215" t="n"/>
      <c r="F32" s="215" t="n"/>
      <c r="G32" s="215" t="n"/>
      <c r="H32" s="215" t="n"/>
      <c r="I32" s="209" t="n"/>
    </row>
    <row r="33" ht="15" customHeight="1" s="202">
      <c r="A33" s="210" t="inlineStr">
        <is>
          <t xml:space="preserve">  Debt Facility Payment</t>
        </is>
      </c>
      <c r="B33" s="211">
        <f>Model!C100+Model!D100+Model!E100+Model!F100+Model!G100+Model!H100+Model!I100+Model!J100+Model!K100</f>
        <v/>
      </c>
      <c r="C33" s="211">
        <f>Model!L100+Model!M100+Model!N100+Model!O100+Model!P100+Model!Q100+Model!R100+Model!S100+Model!T100+Model!U100+Model!V100+Model!W100</f>
        <v/>
      </c>
      <c r="D33" s="211">
        <f>Model!X100+Model!Y100+Model!Z100+Model!AA100+Model!AB100+Model!AC100+Model!AD100+Model!AE100+Model!AF100+Model!AG100+Model!AH100+Model!AI100</f>
        <v/>
      </c>
      <c r="E33" s="211">
        <f>Model!AJ100+Model!AK100+Model!AL100+Model!AM100+Model!AN100+Model!AO100+Model!AP100+Model!AQ100+Model!AR100+Model!AS100+Model!AT100+Model!AU100</f>
        <v/>
      </c>
      <c r="F33" s="211">
        <f>Model!AV100+Model!AW100+Model!AX100+Model!AY100+Model!AZ100+Model!BA100+Model!BB100+Model!BC100+Model!BD100+Model!BE100+Model!BF100+Model!BG100</f>
        <v/>
      </c>
      <c r="G33" s="211">
        <f>Model!BH100+Model!BI100+Model!BJ100+Model!BK100+Model!BL100+Model!BM100+Model!BN100+Model!BO100+Model!BP100+Model!BQ100+Model!BR100+Model!BS100</f>
        <v/>
      </c>
      <c r="H33" s="211">
        <f>Model!BT100+Model!BU100+Model!BV100+Model!BW100+Model!BX100+Model!BY100+Model!BZ100+Model!CA100+Model!CB100+Model!CC100+Model!CD100+Model!CE100</f>
        <v/>
      </c>
      <c r="I33" s="211">
        <f>Model!CF100+Model!CG100+Model!CH100</f>
        <v/>
      </c>
    </row>
    <row r="34" ht="15" customHeight="1" s="202">
      <c r="A34" s="210" t="inlineStr">
        <is>
          <t xml:space="preserve">  Debt Facility Balance</t>
        </is>
      </c>
      <c r="B34" s="211">
        <f>Model!K101</f>
        <v/>
      </c>
      <c r="C34" s="211">
        <f>Model!W101</f>
        <v/>
      </c>
      <c r="D34" s="211">
        <f>Model!AI101</f>
        <v/>
      </c>
      <c r="E34" s="211">
        <f>Model!AU101</f>
        <v/>
      </c>
      <c r="F34" s="211">
        <f>Model!BG101</f>
        <v/>
      </c>
      <c r="G34" s="211">
        <f>Model!BS101</f>
        <v/>
      </c>
      <c r="H34" s="211">
        <f>Model!CE101</f>
        <v/>
      </c>
      <c r="I34" s="211">
        <f>Model!CH101</f>
        <v/>
      </c>
    </row>
    <row r="35" ht="15" customHeight="1" s="202">
      <c r="A35" s="210" t="inlineStr">
        <is>
          <t xml:space="preserve">  Row Run Capital Payment</t>
        </is>
      </c>
      <c r="B35" s="211">
        <f>Model!C106+Model!D106+Model!E106+Model!F106+Model!G106+Model!H106+Model!I106+Model!J106+Model!K106</f>
        <v/>
      </c>
      <c r="C35" s="211">
        <f>Model!L106+Model!M106+Model!N106+Model!O106+Model!P106+Model!Q106+Model!R106+Model!S106+Model!T106+Model!U106+Model!V106+Model!W106</f>
        <v/>
      </c>
      <c r="D35" s="211">
        <f>Model!X106+Model!Y106+Model!Z106+Model!AA106+Model!AB106+Model!AC106+Model!AD106+Model!AE106+Model!AF106+Model!AG106+Model!AH106+Model!AI106</f>
        <v/>
      </c>
      <c r="E35" s="211">
        <f>Model!AJ106+Model!AK106+Model!AL106+Model!AM106+Model!AN106+Model!AO106+Model!AP106+Model!AQ106+Model!AR106+Model!AS106+Model!AT106+Model!AU106</f>
        <v/>
      </c>
      <c r="F35" s="211">
        <f>Model!AV106+Model!AW106+Model!AX106+Model!AY106+Model!AZ106+Model!BA106+Model!BB106+Model!BC106+Model!BD106+Model!BE106+Model!BF106+Model!BG106</f>
        <v/>
      </c>
      <c r="G35" s="211">
        <f>Model!BH106+Model!BI106+Model!BJ106+Model!BK106+Model!BL106+Model!BM106+Model!BN106+Model!BO106+Model!BP106+Model!BQ106+Model!BR106+Model!BS106</f>
        <v/>
      </c>
      <c r="H35" s="211">
        <f>Model!BT106+Model!BU106+Model!BV106+Model!BW106+Model!BX106+Model!BY106+Model!BZ106+Model!CA106+Model!CB106+Model!CC106+Model!CD106+Model!CE106</f>
        <v/>
      </c>
      <c r="I35" s="211">
        <f>Model!CF106+Model!CG106+Model!CH106</f>
        <v/>
      </c>
    </row>
    <row r="36" ht="15" customHeight="1" s="202">
      <c r="A36" s="210" t="inlineStr">
        <is>
          <t xml:space="preserve">  Row Run Capital Balance</t>
        </is>
      </c>
      <c r="B36" s="211">
        <f>Model!K107</f>
        <v/>
      </c>
      <c r="C36" s="211">
        <f>Model!W107</f>
        <v/>
      </c>
      <c r="D36" s="211">
        <f>Model!AI107</f>
        <v/>
      </c>
      <c r="E36" s="211">
        <f>Model!AU107</f>
        <v/>
      </c>
      <c r="F36" s="211">
        <f>Model!BG107</f>
        <v/>
      </c>
      <c r="G36" s="211">
        <f>Model!BS107</f>
        <v/>
      </c>
      <c r="H36" s="211">
        <f>Model!CE107</f>
        <v/>
      </c>
      <c r="I36" s="211">
        <f>Model!CH107</f>
        <v/>
      </c>
    </row>
    <row r="37" ht="15" customHeight="1" s="202">
      <c r="A37" s="210" t="inlineStr">
        <is>
          <t xml:space="preserve">  PIK Repayment (in Steyn + PIK above)</t>
        </is>
      </c>
      <c r="B37" s="211">
        <f>Model!C154+Model!D154+Model!E154+Model!F154+Model!G154+Model!H154+Model!I154+Model!J154+Model!K154</f>
        <v/>
      </c>
      <c r="C37" s="211">
        <f>Model!L154+Model!M154+Model!N154+Model!O154+Model!P154+Model!Q154+Model!R154+Model!S154+Model!T154+Model!U154+Model!V154+Model!W154</f>
        <v/>
      </c>
      <c r="D37" s="211">
        <f>Model!X154+Model!Y154+Model!Z154+Model!AA154+Model!AB154+Model!AC154+Model!AD154+Model!AE154+Model!AF154+Model!AG154+Model!AH154+Model!AI154</f>
        <v/>
      </c>
      <c r="E37" s="211">
        <f>Model!AJ154+Model!AK154+Model!AL154+Model!AM154+Model!AN154+Model!AO154+Model!AP154+Model!AQ154+Model!AR154+Model!AS154+Model!AT154+Model!AU154</f>
        <v/>
      </c>
      <c r="F37" s="211">
        <f>Model!AV154+Model!AW154+Model!AX154+Model!AY154+Model!AZ154+Model!BA154+Model!BB154+Model!BC154+Model!BD154+Model!BE154+Model!BF154+Model!BG154</f>
        <v/>
      </c>
      <c r="G37" s="211">
        <f>Model!BH154+Model!BI154+Model!BJ154+Model!BK154+Model!BL154+Model!BM154+Model!BN154+Model!BO154+Model!BP154+Model!BQ154+Model!BR154+Model!BS154</f>
        <v/>
      </c>
      <c r="H37" s="211">
        <f>Model!BT154+Model!BU154+Model!BV154+Model!BW154+Model!BX154+Model!BY154+Model!BZ154+Model!CA154+Model!CB154+Model!CC154+Model!CD154+Model!CE154</f>
        <v/>
      </c>
      <c r="I37" s="211">
        <f>Model!CF154+Model!CG154+Model!CH154</f>
        <v/>
      </c>
    </row>
    <row r="38" ht="15" customHeight="1" s="202">
      <c r="A38" s="210" t="inlineStr">
        <is>
          <t xml:space="preserve">  Investment Capital Outstanding</t>
        </is>
      </c>
      <c r="B38" s="211">
        <f>Model!K114+Model!K119+Model!K124+Model!K129</f>
        <v/>
      </c>
      <c r="C38" s="211">
        <f>Model!W114+Model!W119+Model!W124+Model!W129</f>
        <v/>
      </c>
      <c r="D38" s="211">
        <f>Model!AI114+Model!AI119+Model!AI124+Model!AI129</f>
        <v/>
      </c>
      <c r="E38" s="211">
        <f>Model!AU114+Model!AU119+Model!AU124+Model!AU129</f>
        <v/>
      </c>
      <c r="F38" s="211">
        <f>Model!BG114+Model!BG119+Model!BG124+Model!BG129</f>
        <v/>
      </c>
      <c r="G38" s="211">
        <f>Model!BS114+Model!BS119+Model!BS124+Model!BS129</f>
        <v/>
      </c>
      <c r="H38" s="211">
        <f>Model!CE114+Model!CE119+Model!CE124+Model!CE129</f>
        <v/>
      </c>
      <c r="I38" s="211">
        <f>Model!CH114+Model!CH119+Model!CH124+Model!CH129</f>
        <v/>
      </c>
    </row>
    <row r="39" ht="15" customHeight="1" s="202">
      <c r="A39" s="204" t="n"/>
      <c r="B39" s="214" t="n"/>
      <c r="C39" s="214" t="n"/>
      <c r="D39" s="214" t="n"/>
      <c r="E39" s="214" t="n"/>
      <c r="F39" s="214" t="n"/>
      <c r="G39" s="214" t="n"/>
      <c r="H39" s="214" t="n"/>
      <c r="I39" s="204" t="n"/>
    </row>
    <row r="40" ht="15" customHeight="1" s="202">
      <c r="A40" s="210" t="inlineStr">
        <is>
          <t>Bonding Outstanding</t>
        </is>
      </c>
      <c r="B40" s="211">
        <f>Model!K140</f>
        <v/>
      </c>
      <c r="C40" s="211">
        <f>Model!W140</f>
        <v/>
      </c>
      <c r="D40" s="211">
        <f>Model!AI140</f>
        <v/>
      </c>
      <c r="E40" s="211">
        <f>Model!AU140</f>
        <v/>
      </c>
      <c r="F40" s="211">
        <f>Model!BG140</f>
        <v/>
      </c>
      <c r="G40" s="211">
        <f>Model!BS140</f>
        <v/>
      </c>
      <c r="H40" s="211">
        <f>Model!CE140</f>
        <v/>
      </c>
      <c r="I40" s="211">
        <f>Model!CH140</f>
        <v/>
      </c>
    </row>
    <row r="41" ht="15" customHeight="1" s="202">
      <c r="A41" s="204" t="n"/>
      <c r="B41" s="214" t="n"/>
      <c r="C41" s="214" t="n"/>
      <c r="D41" s="214" t="n"/>
      <c r="E41" s="214" t="n"/>
      <c r="F41" s="214" t="n"/>
      <c r="G41" s="214" t="n"/>
      <c r="H41" s="214" t="n"/>
      <c r="I41" s="204" t="n"/>
    </row>
    <row r="42" ht="15" customHeight="1" s="202">
      <c r="A42" s="221" t="inlineStr">
        <is>
          <t>LV Ending Cash</t>
        </is>
      </c>
      <c r="B42" s="222">
        <f>Model!K147</f>
        <v/>
      </c>
      <c r="C42" s="222">
        <f>Model!W147</f>
        <v/>
      </c>
      <c r="D42" s="222">
        <f>Model!AI147</f>
        <v/>
      </c>
      <c r="E42" s="222">
        <f>Model!AU147</f>
        <v/>
      </c>
      <c r="F42" s="222">
        <f>Model!BG147</f>
        <v/>
      </c>
      <c r="G42" s="222">
        <f>Model!BS147</f>
        <v/>
      </c>
      <c r="H42" s="222">
        <f>Model!CE147</f>
        <v/>
      </c>
      <c r="I42" s="222">
        <f>Model!CH147</f>
        <v/>
      </c>
    </row>
    <row r="43" ht="15" customHeight="1" s="202">
      <c r="A43" s="221" t="inlineStr">
        <is>
          <t>SP Ending Cash</t>
        </is>
      </c>
      <c r="B43" s="222">
        <f>Model!K155</f>
        <v/>
      </c>
      <c r="C43" s="222">
        <f>Model!W155</f>
        <v/>
      </c>
      <c r="D43" s="222">
        <f>Model!AI155</f>
        <v/>
      </c>
      <c r="E43" s="222">
        <f>Model!AU155</f>
        <v/>
      </c>
      <c r="F43" s="222">
        <f>Model!BG155</f>
        <v/>
      </c>
      <c r="G43" s="222">
        <f>Model!BS155</f>
        <v/>
      </c>
      <c r="H43" s="222">
        <f>Model!CE155</f>
        <v/>
      </c>
      <c r="I43" s="222">
        <f>Model!CH155</f>
        <v/>
      </c>
    </row>
    <row r="44" ht="15" customHeight="1" s="202">
      <c r="A44" s="221" t="inlineStr">
        <is>
          <t>Tax Distribution (30% Consol NI)</t>
        </is>
      </c>
      <c r="B44" s="222">
        <f>Model!C159+Model!D159+Model!E159+Model!F159+Model!G159+Model!H159+Model!I159+Model!J159+Model!K159</f>
        <v/>
      </c>
      <c r="C44" s="222">
        <f>Model!L159+Model!M159+Model!N159+Model!O159+Model!P159+Model!Q159+Model!R159+Model!S159+Model!T159+Model!U159+Model!V159+Model!W159</f>
        <v/>
      </c>
      <c r="D44" s="222">
        <f>Model!X159+Model!Y159+Model!Z159+Model!AA159+Model!AB159+Model!AC159+Model!AD159+Model!AE159+Model!AF159+Model!AG159+Model!AH159+Model!AI159</f>
        <v/>
      </c>
      <c r="E44" s="222">
        <f>Model!AJ159+Model!AK159+Model!AL159+Model!AM159+Model!AN159+Model!AO159+Model!AP159+Model!AQ159+Model!AR159+Model!AS159+Model!AT159+Model!AU159</f>
        <v/>
      </c>
      <c r="F44" s="222">
        <f>Model!AV159+Model!AW159+Model!AX159+Model!AY159+Model!AZ159+Model!BA159+Model!BB159+Model!BC159+Model!BD159+Model!BE159+Model!BF159+Model!BG159</f>
        <v/>
      </c>
      <c r="G44" s="222">
        <f>Model!BH159+Model!BI159+Model!BJ159+Model!BK159+Model!BL159+Model!BM159+Model!BN159+Model!BO159+Model!BP159+Model!BQ159+Model!BR159+Model!BS159</f>
        <v/>
      </c>
      <c r="H44" s="222">
        <f>Model!BT159+Model!BU159+Model!BV159+Model!BW159+Model!BX159+Model!BY159+Model!BZ159+Model!CA159+Model!CB159+Model!CC159+Model!CD159+Model!CE159</f>
        <v/>
      </c>
      <c r="I44" s="222">
        <f>Model!CF159+Model!CG159+Model!CH159</f>
        <v/>
      </c>
    </row>
    <row r="45" ht="15" customHeight="1" s="202">
      <c r="A45" s="223" t="inlineStr">
        <is>
          <t>Total Ending Cash</t>
        </is>
      </c>
      <c r="B45" s="224">
        <f>Model!K160</f>
        <v/>
      </c>
      <c r="C45" s="224">
        <f>Model!W160</f>
        <v/>
      </c>
      <c r="D45" s="224">
        <f>Model!AI160</f>
        <v/>
      </c>
      <c r="E45" s="224">
        <f>Model!AU160</f>
        <v/>
      </c>
      <c r="F45" s="224">
        <f>Model!BG160</f>
        <v/>
      </c>
      <c r="G45" s="224">
        <f>Model!BS160</f>
        <v/>
      </c>
      <c r="H45" s="224">
        <f>Model!CE160</f>
        <v/>
      </c>
      <c r="I45" s="224">
        <f>Model!CH160</f>
        <v/>
      </c>
    </row>
  </sheetData>
  <mergeCells count="1">
    <mergeCell ref="A1:E1"/>
  </mergeCells>
  <conditionalFormatting sqref="B8:H44">
    <cfRule type="cellIs" rank="0" priority="2" equalAverage="0" operator="lessThan" aboveAverage="0" dxfId="0" text="" percent="0" bottom="0">
      <formula>0</formula>
    </cfRule>
  </conditionalFormatting>
  <conditionalFormatting sqref="B8:I44">
    <cfRule type="cellIs" rank="0" priority="3" equalAverage="0" operator="lessThan" aboveAverage="0" dxfId="0" text="" percent="0" bottom="0">
      <formula>0</formula>
    </cfRule>
    <cfRule type="cellIs" rank="0" priority="4" equalAverage="0" operator="lessThan" aboveAverage="0" dxfId="0" text="" percent="0" bottom="0">
      <formula>0</formula>
    </cfRule>
    <cfRule type="cellIs" rank="0" priority="5" equalAverage="0" operator="lessThan" aboveAverage="0" dxfId="0" text="" percent="0" bottom="0">
      <formula>0</formula>
    </cfRule>
    <cfRule type="cellIs" rank="0" priority="6" equalAverage="0" operator="lessThan" aboveAverage="0" dxfId="0" text="" percent="0" bottom="0">
      <formula>0</formula>
    </cfRule>
    <cfRule type="cellIs" rank="0" priority="7" equalAverage="0" operator="lessThan" aboveAverage="0" dxfId="0" text="" percent="0" bottom="0">
      <formula>0</formula>
    </cfRule>
    <cfRule type="cellIs" rank="0" priority="8" equalAverage="0" operator="lessThan" aboveAverage="0" dxfId="0" text="" percent="0" bottom="0">
      <formula>0</formula>
    </cfRule>
  </conditionalFormatting>
  <conditionalFormatting sqref="B3:J45">
    <cfRule type="cellIs" rank="0" priority="9" equalAverage="0" operator="lessThan" aboveAverage="0" dxfId="0" text="" percent="0" bottom="0">
      <formula>0</formula>
    </cfRule>
    <cfRule type="cellIs" rank="0" priority="10" equalAverage="0" operator="lessThan" aboveAverage="0" dxfId="0" text="" percent="0" bottom="0">
      <formula>0</formula>
    </cfRule>
    <cfRule type="cellIs" rank="0" priority="11" equalAverage="0" operator="lessThan" aboveAverage="0" dxfId="0" text="" percent="0" bottom="0">
      <formula>0</formula>
    </cfRule>
    <cfRule type="cellIs" rank="0" priority="12" equalAverage="0" operator="lessThan" aboveAverage="0" dxfId="0" text="" percent="0" bottom="0">
      <formula>0</formula>
    </cfRule>
    <cfRule type="cellIs" rank="0" priority="13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CK1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baseColWidth="8" defaultColWidth="8.71484375" defaultRowHeight="15" customHeight="1" zeroHeight="0" outlineLevelRow="0"/>
  <cols>
    <col width="34" customWidth="1" style="201" min="1" max="1"/>
    <col width="4" customWidth="1" style="201" min="2" max="2"/>
    <col width="14" customWidth="1" style="201" min="3" max="86"/>
  </cols>
  <sheetData>
    <row r="1" ht="17.25" customHeight="1" s="202">
      <c r="A1" s="203" t="inlineStr">
        <is>
          <t>Six Peak Capital - Financial Projections</t>
        </is>
      </c>
      <c r="I1" s="225" t="n"/>
      <c r="J1" s="225" t="n"/>
      <c r="K1" s="225" t="n"/>
      <c r="L1" s="225" t="n"/>
      <c r="M1" s="225" t="n"/>
      <c r="N1" s="225" t="n"/>
      <c r="O1" s="225" t="n"/>
      <c r="P1" s="225" t="n"/>
      <c r="Q1" s="225" t="n"/>
      <c r="R1" s="225" t="n"/>
      <c r="S1" s="225" t="n"/>
      <c r="T1" s="225" t="n"/>
      <c r="U1" s="225" t="n"/>
      <c r="V1" s="225" t="n"/>
      <c r="W1" s="225" t="n"/>
      <c r="X1" s="225" t="n"/>
      <c r="Y1" s="225" t="n"/>
      <c r="Z1" s="225" t="n"/>
      <c r="AA1" s="225" t="n"/>
      <c r="AB1" s="225" t="n"/>
      <c r="AC1" s="225" t="n"/>
      <c r="AD1" s="225" t="n"/>
      <c r="AE1" s="225" t="n"/>
      <c r="AF1" s="225" t="n"/>
      <c r="AG1" s="225" t="n"/>
      <c r="AH1" s="225" t="n"/>
      <c r="AI1" s="225" t="n"/>
      <c r="AJ1" s="225" t="n"/>
      <c r="AK1" s="225" t="n"/>
      <c r="AL1" s="225" t="n"/>
      <c r="AM1" s="225" t="n"/>
      <c r="AN1" s="225" t="n"/>
      <c r="AO1" s="225" t="n"/>
      <c r="AP1" s="225" t="n"/>
      <c r="AQ1" s="225" t="n"/>
      <c r="AR1" s="225" t="n"/>
      <c r="AS1" s="225" t="n"/>
      <c r="AT1" s="225" t="n"/>
      <c r="AU1" s="225" t="n"/>
      <c r="AV1" s="225" t="n"/>
      <c r="AW1" s="225" t="n"/>
      <c r="AX1" s="225" t="n"/>
      <c r="AY1" s="225" t="n"/>
      <c r="AZ1" s="225" t="n"/>
      <c r="BA1" s="225" t="n"/>
      <c r="BB1" s="225" t="n"/>
      <c r="BC1" s="225" t="n"/>
      <c r="BD1" s="225" t="n"/>
      <c r="BE1" s="225" t="n"/>
      <c r="BF1" s="225" t="n"/>
      <c r="BG1" s="225" t="n"/>
      <c r="BH1" s="225" t="n"/>
      <c r="BI1" s="225" t="n"/>
      <c r="BJ1" s="225" t="n"/>
      <c r="BK1" s="225" t="n"/>
      <c r="BL1" s="225" t="n"/>
      <c r="BM1" s="225" t="n"/>
      <c r="BN1" s="225" t="n"/>
      <c r="BO1" s="225" t="n"/>
      <c r="BP1" s="225" t="n"/>
      <c r="BQ1" s="225" t="n"/>
      <c r="BR1" s="225" t="n"/>
      <c r="BS1" s="225" t="n"/>
      <c r="BT1" s="225" t="n"/>
      <c r="BU1" s="225" t="n"/>
      <c r="BV1" s="225" t="n"/>
      <c r="BW1" s="225" t="n"/>
      <c r="BX1" s="225" t="n"/>
      <c r="BY1" s="225" t="n"/>
      <c r="BZ1" s="225" t="n"/>
      <c r="CA1" s="225" t="n"/>
      <c r="CB1" s="225" t="n"/>
      <c r="CC1" s="225" t="n"/>
      <c r="CD1" s="225" t="n"/>
      <c r="CE1" s="225" t="n"/>
      <c r="CF1" s="225" t="n"/>
      <c r="CG1" s="225" t="n"/>
      <c r="CH1" s="225" t="n"/>
      <c r="CI1" s="226" t="n"/>
    </row>
    <row r="2" ht="15" customHeight="1" s="202">
      <c r="A2" s="205" t="n"/>
      <c r="B2" s="205" t="n"/>
      <c r="C2" s="227" t="n">
        <v>46113</v>
      </c>
      <c r="D2" s="227" t="n">
        <v>46143</v>
      </c>
      <c r="E2" s="227" t="n">
        <v>46174</v>
      </c>
      <c r="F2" s="227" t="n">
        <v>46204</v>
      </c>
      <c r="G2" s="227" t="n">
        <v>46235</v>
      </c>
      <c r="H2" s="227" t="n">
        <v>46266</v>
      </c>
      <c r="I2" s="227" t="n">
        <v>46296</v>
      </c>
      <c r="J2" s="227" t="n">
        <v>46327</v>
      </c>
      <c r="K2" s="227" t="n">
        <v>46357</v>
      </c>
      <c r="L2" s="227" t="n">
        <v>46388</v>
      </c>
      <c r="M2" s="227" t="n">
        <v>46419</v>
      </c>
      <c r="N2" s="227" t="n">
        <v>46447</v>
      </c>
      <c r="O2" s="227" t="n">
        <v>46478</v>
      </c>
      <c r="P2" s="227" t="n">
        <v>46508</v>
      </c>
      <c r="Q2" s="227" t="n">
        <v>46539</v>
      </c>
      <c r="R2" s="227" t="n">
        <v>46569</v>
      </c>
      <c r="S2" s="227" t="n">
        <v>46600</v>
      </c>
      <c r="T2" s="227" t="n">
        <v>46631</v>
      </c>
      <c r="U2" s="227" t="n">
        <v>46661</v>
      </c>
      <c r="V2" s="227" t="n">
        <v>46692</v>
      </c>
      <c r="W2" s="227" t="n">
        <v>46722</v>
      </c>
      <c r="X2" s="227" t="n">
        <v>46753</v>
      </c>
      <c r="Y2" s="227" t="n">
        <v>46784</v>
      </c>
      <c r="Z2" s="227" t="n">
        <v>46813</v>
      </c>
      <c r="AA2" s="227" t="n">
        <v>46844</v>
      </c>
      <c r="AB2" s="227" t="n">
        <v>46874</v>
      </c>
      <c r="AC2" s="227" t="n">
        <v>46905</v>
      </c>
      <c r="AD2" s="227" t="n">
        <v>46935</v>
      </c>
      <c r="AE2" s="227" t="n">
        <v>46966</v>
      </c>
      <c r="AF2" s="227" t="n">
        <v>46997</v>
      </c>
      <c r="AG2" s="227" t="n">
        <v>47027</v>
      </c>
      <c r="AH2" s="227" t="n">
        <v>47058</v>
      </c>
      <c r="AI2" s="227" t="n">
        <v>47088</v>
      </c>
      <c r="AJ2" s="227" t="n">
        <v>47119</v>
      </c>
      <c r="AK2" s="227" t="n">
        <v>47150</v>
      </c>
      <c r="AL2" s="227" t="n">
        <v>47178</v>
      </c>
      <c r="AM2" s="227" t="n">
        <v>47209</v>
      </c>
      <c r="AN2" s="227" t="n">
        <v>47239</v>
      </c>
      <c r="AO2" s="227" t="n">
        <v>47270</v>
      </c>
      <c r="AP2" s="227" t="n">
        <v>47300</v>
      </c>
      <c r="AQ2" s="227" t="n">
        <v>47331</v>
      </c>
      <c r="AR2" s="227" t="n">
        <v>47362</v>
      </c>
      <c r="AS2" s="227" t="n">
        <v>47392</v>
      </c>
      <c r="AT2" s="227" t="n">
        <v>47423</v>
      </c>
      <c r="AU2" s="227" t="n">
        <v>47453</v>
      </c>
      <c r="AV2" s="227" t="n">
        <v>47484</v>
      </c>
      <c r="AW2" s="227" t="n">
        <v>47515</v>
      </c>
      <c r="AX2" s="227" t="n">
        <v>47543</v>
      </c>
      <c r="AY2" s="227" t="n">
        <v>47574</v>
      </c>
      <c r="AZ2" s="227" t="n">
        <v>47604</v>
      </c>
      <c r="BA2" s="227" t="n">
        <v>47635</v>
      </c>
      <c r="BB2" s="227" t="n">
        <v>47665</v>
      </c>
      <c r="BC2" s="227" t="n">
        <v>47696</v>
      </c>
      <c r="BD2" s="227" t="n">
        <v>47727</v>
      </c>
      <c r="BE2" s="227" t="n">
        <v>47757</v>
      </c>
      <c r="BF2" s="227" t="n">
        <v>47788</v>
      </c>
      <c r="BG2" s="227" t="n">
        <v>47818</v>
      </c>
      <c r="BH2" s="227" t="n">
        <v>47849</v>
      </c>
      <c r="BI2" s="227" t="n">
        <v>47880</v>
      </c>
      <c r="BJ2" s="227" t="n">
        <v>47908</v>
      </c>
      <c r="BK2" s="227" t="n">
        <v>47939</v>
      </c>
      <c r="BL2" s="227" t="n">
        <v>47969</v>
      </c>
      <c r="BM2" s="227" t="n">
        <v>48000</v>
      </c>
      <c r="BN2" s="227" t="n">
        <v>48030</v>
      </c>
      <c r="BO2" s="227" t="n">
        <v>48061</v>
      </c>
      <c r="BP2" s="227" t="n">
        <v>48092</v>
      </c>
      <c r="BQ2" s="227" t="n">
        <v>48122</v>
      </c>
      <c r="BR2" s="227" t="n">
        <v>48153</v>
      </c>
      <c r="BS2" s="227" t="n">
        <v>48183</v>
      </c>
      <c r="BT2" s="227" t="n">
        <v>48214</v>
      </c>
      <c r="BU2" s="227" t="n">
        <v>48245</v>
      </c>
      <c r="BV2" s="227" t="n">
        <v>48274</v>
      </c>
      <c r="BW2" s="227" t="n">
        <v>48305</v>
      </c>
      <c r="BX2" s="227" t="n">
        <v>48335</v>
      </c>
      <c r="BY2" s="227" t="n">
        <v>48366</v>
      </c>
      <c r="BZ2" s="227" t="n">
        <v>48396</v>
      </c>
      <c r="CA2" s="227" t="n">
        <v>48427</v>
      </c>
      <c r="CB2" s="227" t="n">
        <v>48458</v>
      </c>
      <c r="CC2" s="227" t="n">
        <v>48488</v>
      </c>
      <c r="CD2" s="227" t="n">
        <v>48519</v>
      </c>
      <c r="CE2" s="227" t="n">
        <v>48549</v>
      </c>
      <c r="CF2" s="227" t="n">
        <v>48580</v>
      </c>
      <c r="CG2" s="227" t="n">
        <v>48611</v>
      </c>
      <c r="CH2" s="227" t="n">
        <v>48639</v>
      </c>
      <c r="CI2" s="226" t="n"/>
    </row>
    <row r="3" hidden="1" ht="15" customHeight="1" s="202">
      <c r="A3" s="219" t="inlineStr">
        <is>
          <t>Month #</t>
        </is>
      </c>
      <c r="B3" s="225" t="n"/>
      <c r="C3" s="228" t="n">
        <v>1</v>
      </c>
      <c r="D3" s="228" t="n">
        <v>2</v>
      </c>
      <c r="E3" s="228" t="n">
        <v>3</v>
      </c>
      <c r="F3" s="228" t="n">
        <v>4</v>
      </c>
      <c r="G3" s="228" t="n">
        <v>5</v>
      </c>
      <c r="H3" s="228" t="n">
        <v>6</v>
      </c>
      <c r="I3" s="228" t="n">
        <v>7</v>
      </c>
      <c r="J3" s="228" t="n">
        <v>8</v>
      </c>
      <c r="K3" s="228" t="n">
        <v>9</v>
      </c>
      <c r="L3" s="228" t="n">
        <v>10</v>
      </c>
      <c r="M3" s="228" t="n">
        <v>11</v>
      </c>
      <c r="N3" s="228" t="n">
        <v>12</v>
      </c>
      <c r="O3" s="228" t="n">
        <v>13</v>
      </c>
      <c r="P3" s="228" t="n">
        <v>14</v>
      </c>
      <c r="Q3" s="228" t="n">
        <v>15</v>
      </c>
      <c r="R3" s="228" t="n">
        <v>16</v>
      </c>
      <c r="S3" s="228" t="n">
        <v>17</v>
      </c>
      <c r="T3" s="228" t="n">
        <v>18</v>
      </c>
      <c r="U3" s="228" t="n">
        <v>19</v>
      </c>
      <c r="V3" s="228" t="n">
        <v>20</v>
      </c>
      <c r="W3" s="228" t="n">
        <v>21</v>
      </c>
      <c r="X3" s="228" t="n">
        <v>22</v>
      </c>
      <c r="Y3" s="228" t="n">
        <v>23</v>
      </c>
      <c r="Z3" s="228" t="n">
        <v>24</v>
      </c>
      <c r="AA3" s="228" t="n">
        <v>25</v>
      </c>
      <c r="AB3" s="228" t="n">
        <v>26</v>
      </c>
      <c r="AC3" s="228" t="n">
        <v>27</v>
      </c>
      <c r="AD3" s="228" t="n">
        <v>28</v>
      </c>
      <c r="AE3" s="228" t="n">
        <v>29</v>
      </c>
      <c r="AF3" s="228" t="n">
        <v>30</v>
      </c>
      <c r="AG3" s="228" t="n">
        <v>31</v>
      </c>
      <c r="AH3" s="228" t="n">
        <v>32</v>
      </c>
      <c r="AI3" s="228" t="n">
        <v>33</v>
      </c>
      <c r="AJ3" s="228" t="n">
        <v>34</v>
      </c>
      <c r="AK3" s="228" t="n">
        <v>35</v>
      </c>
      <c r="AL3" s="228" t="n">
        <v>36</v>
      </c>
      <c r="AM3" s="228" t="n">
        <v>37</v>
      </c>
      <c r="AN3" s="228" t="n">
        <v>38</v>
      </c>
      <c r="AO3" s="228" t="n">
        <v>39</v>
      </c>
      <c r="AP3" s="228" t="n">
        <v>40</v>
      </c>
      <c r="AQ3" s="228" t="n">
        <v>41</v>
      </c>
      <c r="AR3" s="228" t="n">
        <v>42</v>
      </c>
      <c r="AS3" s="228" t="n">
        <v>43</v>
      </c>
      <c r="AT3" s="228" t="n">
        <v>44</v>
      </c>
      <c r="AU3" s="228" t="n">
        <v>45</v>
      </c>
      <c r="AV3" s="228" t="n">
        <v>46</v>
      </c>
      <c r="AW3" s="228" t="n">
        <v>47</v>
      </c>
      <c r="AX3" s="228" t="n">
        <v>48</v>
      </c>
      <c r="AY3" s="228" t="n">
        <v>49</v>
      </c>
      <c r="AZ3" s="228" t="n">
        <v>50</v>
      </c>
      <c r="BA3" s="228" t="n">
        <v>51</v>
      </c>
      <c r="BB3" s="228" t="n">
        <v>52</v>
      </c>
      <c r="BC3" s="228" t="n">
        <v>53</v>
      </c>
      <c r="BD3" s="228" t="n">
        <v>54</v>
      </c>
      <c r="BE3" s="228" t="n">
        <v>55</v>
      </c>
      <c r="BF3" s="228" t="n">
        <v>56</v>
      </c>
      <c r="BG3" s="228" t="n">
        <v>57</v>
      </c>
      <c r="BH3" s="228" t="n">
        <v>58</v>
      </c>
      <c r="BI3" s="228" t="n">
        <v>59</v>
      </c>
      <c r="BJ3" s="228" t="n">
        <v>60</v>
      </c>
      <c r="BK3" s="228" t="n">
        <v>61</v>
      </c>
      <c r="BL3" s="228" t="n">
        <v>62</v>
      </c>
      <c r="BM3" s="228" t="n">
        <v>63</v>
      </c>
      <c r="BN3" s="228" t="n">
        <v>64</v>
      </c>
      <c r="BO3" s="228" t="n">
        <v>65</v>
      </c>
      <c r="BP3" s="228" t="n">
        <v>66</v>
      </c>
      <c r="BQ3" s="228" t="n">
        <v>67</v>
      </c>
      <c r="BR3" s="228" t="n">
        <v>68</v>
      </c>
      <c r="BS3" s="228" t="n">
        <v>69</v>
      </c>
      <c r="BT3" s="228" t="n">
        <v>70</v>
      </c>
      <c r="BU3" s="228" t="n">
        <v>71</v>
      </c>
      <c r="BV3" s="228" t="n">
        <v>72</v>
      </c>
      <c r="BW3" s="228" t="n">
        <v>73</v>
      </c>
      <c r="BX3" s="228" t="n">
        <v>74</v>
      </c>
      <c r="BY3" s="228" t="n">
        <v>75</v>
      </c>
      <c r="BZ3" s="228" t="n">
        <v>76</v>
      </c>
      <c r="CA3" s="228" t="n">
        <v>77</v>
      </c>
      <c r="CB3" s="228" t="n">
        <v>78</v>
      </c>
      <c r="CC3" s="228" t="n">
        <v>79</v>
      </c>
      <c r="CD3" s="228" t="n">
        <v>80</v>
      </c>
      <c r="CE3" s="228" t="n">
        <v>81</v>
      </c>
      <c r="CF3" s="228" t="n">
        <v>82</v>
      </c>
      <c r="CG3" s="228" t="n">
        <v>83</v>
      </c>
      <c r="CH3" s="228" t="n">
        <v>84</v>
      </c>
      <c r="CI3" s="226" t="n"/>
    </row>
    <row r="4" ht="15" customHeight="1" s="202">
      <c r="A4" s="225" t="n"/>
      <c r="B4" s="225" t="n"/>
      <c r="C4" s="225" t="n"/>
      <c r="D4" s="225" t="n"/>
      <c r="E4" s="225" t="n"/>
      <c r="F4" s="225" t="n"/>
      <c r="G4" s="225" t="n"/>
      <c r="H4" s="225" t="n"/>
      <c r="I4" s="225" t="n"/>
      <c r="J4" s="225" t="n"/>
      <c r="K4" s="225" t="n"/>
      <c r="L4" s="225" t="n"/>
      <c r="M4" s="225" t="n"/>
      <c r="N4" s="225" t="n"/>
      <c r="O4" s="225" t="n"/>
      <c r="P4" s="225" t="n"/>
      <c r="Q4" s="225" t="n"/>
      <c r="R4" s="225" t="n"/>
      <c r="S4" s="225" t="n"/>
      <c r="T4" s="225" t="n"/>
      <c r="U4" s="225" t="n"/>
      <c r="V4" s="225" t="n"/>
      <c r="W4" s="225" t="n"/>
      <c r="X4" s="225" t="n"/>
      <c r="Y4" s="225" t="n"/>
      <c r="Z4" s="225" t="n"/>
      <c r="AA4" s="225" t="n"/>
      <c r="AB4" s="225" t="n"/>
      <c r="AC4" s="225" t="n"/>
      <c r="AD4" s="225" t="n"/>
      <c r="AE4" s="225" t="n"/>
      <c r="AF4" s="225" t="n"/>
      <c r="AG4" s="225" t="n"/>
      <c r="AH4" s="225" t="n"/>
      <c r="AI4" s="225" t="n"/>
      <c r="AJ4" s="225" t="n"/>
      <c r="AK4" s="225" t="n"/>
      <c r="AL4" s="225" t="n"/>
      <c r="AM4" s="225" t="n"/>
      <c r="AN4" s="225" t="n"/>
      <c r="AO4" s="225" t="n"/>
      <c r="AP4" s="225" t="n"/>
      <c r="AQ4" s="225" t="n"/>
      <c r="AR4" s="225" t="n"/>
      <c r="AS4" s="225" t="n"/>
      <c r="AT4" s="225" t="n"/>
      <c r="AU4" s="225" t="n"/>
      <c r="AV4" s="225" t="n"/>
      <c r="AW4" s="225" t="n"/>
      <c r="AX4" s="225" t="n"/>
      <c r="AY4" s="225" t="n"/>
      <c r="AZ4" s="225" t="n"/>
      <c r="BA4" s="225" t="n"/>
      <c r="BB4" s="225" t="n"/>
      <c r="BC4" s="225" t="n"/>
      <c r="BD4" s="225" t="n"/>
      <c r="BE4" s="225" t="n"/>
      <c r="BF4" s="225" t="n"/>
      <c r="BG4" s="225" t="n"/>
      <c r="BH4" s="225" t="n"/>
      <c r="BI4" s="225" t="n"/>
      <c r="BJ4" s="225" t="n"/>
      <c r="BK4" s="225" t="n"/>
      <c r="BL4" s="225" t="n"/>
      <c r="BM4" s="225" t="n"/>
      <c r="BN4" s="225" t="n"/>
      <c r="BO4" s="225" t="n"/>
      <c r="BP4" s="225" t="n"/>
      <c r="BQ4" s="225" t="n"/>
      <c r="BR4" s="225" t="n"/>
      <c r="BS4" s="225" t="n"/>
      <c r="BT4" s="225" t="n"/>
      <c r="BU4" s="225" t="n"/>
      <c r="BV4" s="225" t="n"/>
      <c r="BW4" s="225" t="n"/>
      <c r="BX4" s="225" t="n"/>
      <c r="BY4" s="225" t="n"/>
      <c r="BZ4" s="225" t="n"/>
      <c r="CA4" s="225" t="n"/>
      <c r="CB4" s="225" t="n"/>
      <c r="CC4" s="225" t="n"/>
      <c r="CD4" s="225" t="n"/>
      <c r="CE4" s="225" t="n"/>
      <c r="CF4" s="225" t="n"/>
      <c r="CG4" s="225" t="n"/>
      <c r="CH4" s="225" t="n"/>
      <c r="CI4" s="226" t="n"/>
    </row>
    <row r="5" ht="39.75" customHeight="1" s="202">
      <c r="A5" s="229" t="inlineStr">
        <is>
          <t>GC CONSTRUCTION P&amp;L</t>
        </is>
      </c>
      <c r="B5" s="229" t="n"/>
      <c r="C5" s="230" t="inlineStr">
        <is>
          <t>Crenshaw, Ramsgate, Califa, Whipple, Nelrose</t>
        </is>
      </c>
      <c r="D5" s="229" t="n"/>
      <c r="E5" s="229" t="n"/>
      <c r="F5" s="230" t="inlineStr">
        <is>
          <t>Francis</t>
        </is>
      </c>
      <c r="G5" s="230" t="inlineStr">
        <is>
          <t>Klump</t>
        </is>
      </c>
      <c r="H5" s="230" t="inlineStr">
        <is>
          <t>Scott</t>
        </is>
      </c>
      <c r="I5" s="230" t="inlineStr">
        <is>
          <t>Lexington, Denny</t>
        </is>
      </c>
      <c r="J5" s="230" t="inlineStr">
        <is>
          <t>Acama</t>
        </is>
      </c>
      <c r="K5" s="229" t="n"/>
      <c r="L5" s="229" t="n"/>
      <c r="M5" s="229" t="n"/>
      <c r="N5" s="229" t="n"/>
      <c r="O5" s="230" t="inlineStr">
        <is>
          <t>Reseda</t>
        </is>
      </c>
      <c r="P5" s="229" t="n"/>
      <c r="Q5" s="229" t="n"/>
      <c r="R5" s="230" t="inlineStr">
        <is>
          <t>HVN Pipeline 1</t>
        </is>
      </c>
      <c r="S5" s="229" t="n"/>
      <c r="T5" s="229" t="n"/>
      <c r="U5" s="230" t="inlineStr">
        <is>
          <t>HVN Pipeline 2</t>
        </is>
      </c>
      <c r="V5" s="229" t="n"/>
      <c r="W5" s="229" t="n"/>
      <c r="X5" s="229" t="n"/>
      <c r="Y5" s="229" t="n"/>
      <c r="Z5" s="229" t="n"/>
      <c r="AA5" s="229" t="n"/>
      <c r="AB5" s="229" t="n"/>
      <c r="AC5" s="230" t="inlineStr">
        <is>
          <t>3rd St</t>
        </is>
      </c>
      <c r="AD5" s="229" t="n"/>
      <c r="AE5" s="229" t="n"/>
      <c r="AF5" s="229" t="n"/>
      <c r="AG5" s="229" t="n"/>
      <c r="AH5" s="229" t="n"/>
      <c r="AI5" s="229" t="n"/>
      <c r="AJ5" s="229" t="n"/>
      <c r="AK5" s="229" t="n"/>
      <c r="AL5" s="229" t="n"/>
      <c r="AM5" s="229" t="n"/>
      <c r="AN5" s="229" t="n"/>
      <c r="AO5" s="229" t="n"/>
      <c r="AP5" s="229" t="n"/>
      <c r="AQ5" s="229" t="n"/>
      <c r="AR5" s="229" t="n"/>
      <c r="AS5" s="229" t="n"/>
      <c r="AT5" s="229" t="n"/>
      <c r="AU5" s="229" t="n"/>
      <c r="AV5" s="229" t="n"/>
      <c r="AW5" s="229" t="n"/>
      <c r="AX5" s="229" t="n"/>
      <c r="AY5" s="229" t="n"/>
      <c r="AZ5" s="229" t="n"/>
      <c r="BA5" s="229" t="n"/>
      <c r="BB5" s="229" t="n"/>
      <c r="BC5" s="229" t="n"/>
      <c r="BD5" s="229" t="n"/>
      <c r="BE5" s="229" t="n"/>
      <c r="BF5" s="229" t="n"/>
      <c r="BG5" s="229" t="n"/>
      <c r="BH5" s="229" t="n"/>
      <c r="BI5" s="229" t="n"/>
      <c r="BJ5" s="229" t="n"/>
      <c r="BK5" s="229" t="n"/>
      <c r="BL5" s="229" t="n"/>
      <c r="BM5" s="229" t="n"/>
      <c r="BN5" s="229" t="n"/>
      <c r="BO5" s="229" t="n"/>
      <c r="BP5" s="229" t="n"/>
      <c r="BQ5" s="229" t="n"/>
      <c r="BR5" s="229" t="n"/>
      <c r="BS5" s="229" t="n"/>
      <c r="BT5" s="229" t="n"/>
      <c r="BU5" s="229" t="n"/>
      <c r="BV5" s="229" t="n"/>
      <c r="BW5" s="229" t="n"/>
      <c r="BX5" s="229" t="n"/>
      <c r="BY5" s="229" t="n"/>
      <c r="BZ5" s="229" t="n"/>
      <c r="CA5" s="229" t="n"/>
      <c r="CB5" s="229" t="n"/>
      <c r="CC5" s="229" t="n"/>
      <c r="CD5" s="229" t="n"/>
      <c r="CE5" s="229" t="n"/>
      <c r="CF5" s="229" t="n"/>
      <c r="CG5" s="229" t="n"/>
      <c r="CH5" s="229" t="n"/>
      <c r="CI5" s="226" t="n"/>
    </row>
    <row r="6" ht="15" customHeight="1" s="202">
      <c r="A6" s="209" t="inlineStr">
        <is>
          <t>GC Revenue</t>
        </is>
      </c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  <c r="AO6" s="209" t="n"/>
      <c r="AP6" s="209" t="n"/>
      <c r="AQ6" s="209" t="n"/>
      <c r="AR6" s="209" t="n"/>
      <c r="AS6" s="209" t="n"/>
      <c r="AT6" s="209" t="n"/>
      <c r="AU6" s="209" t="n"/>
      <c r="AV6" s="209" t="n"/>
      <c r="AW6" s="209" t="n"/>
      <c r="AX6" s="209" t="n"/>
      <c r="AY6" s="209" t="n"/>
      <c r="AZ6" s="209" t="n"/>
      <c r="BA6" s="209" t="n"/>
      <c r="BB6" s="209" t="n"/>
      <c r="BC6" s="209" t="n"/>
      <c r="BD6" s="209" t="n"/>
      <c r="BE6" s="209" t="n"/>
      <c r="BF6" s="209" t="n"/>
      <c r="BG6" s="209" t="n"/>
      <c r="BH6" s="209" t="n"/>
      <c r="BI6" s="209" t="n"/>
      <c r="BJ6" s="209" t="n"/>
      <c r="BK6" s="209" t="n"/>
      <c r="BL6" s="209" t="n"/>
      <c r="BM6" s="209" t="n"/>
      <c r="BN6" s="209" t="n"/>
      <c r="BO6" s="209" t="n"/>
      <c r="BP6" s="209" t="n"/>
      <c r="BQ6" s="209" t="n"/>
      <c r="BR6" s="209" t="n"/>
      <c r="BS6" s="209" t="n"/>
      <c r="BT6" s="209" t="n"/>
      <c r="BU6" s="209" t="n"/>
      <c r="BV6" s="209" t="n"/>
      <c r="BW6" s="209" t="n"/>
      <c r="BX6" s="209" t="n"/>
      <c r="BY6" s="209" t="n"/>
      <c r="BZ6" s="209" t="n"/>
      <c r="CA6" s="209" t="n"/>
      <c r="CB6" s="209" t="n"/>
      <c r="CC6" s="209" t="n"/>
      <c r="CD6" s="209" t="n"/>
      <c r="CE6" s="209" t="n"/>
      <c r="CF6" s="209" t="n"/>
      <c r="CG6" s="209" t="n"/>
      <c r="CH6" s="209" t="n"/>
      <c r="CI6" s="226" t="n"/>
    </row>
    <row r="7" ht="15" customHeight="1" s="202">
      <c r="A7" s="210" t="inlineStr">
        <is>
          <t>Construction Billing</t>
        </is>
      </c>
      <c r="B7" s="225" t="n"/>
      <c r="C7" s="211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/>
      </c>
      <c r="D7" s="211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/>
      </c>
      <c r="E7" s="211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/>
      </c>
      <c r="F7" s="211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/>
      </c>
      <c r="G7" s="211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/>
      </c>
      <c r="H7" s="211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/>
      </c>
      <c r="I7" s="211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/>
      </c>
      <c r="J7" s="211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/>
      </c>
      <c r="K7" s="211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/>
      </c>
      <c r="L7" s="211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/>
      </c>
      <c r="M7" s="211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/>
      </c>
      <c r="N7" s="211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/>
      </c>
      <c r="O7" s="211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/>
      </c>
      <c r="P7" s="211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/>
      </c>
      <c r="Q7" s="211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/>
      </c>
      <c r="R7" s="211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/>
      </c>
      <c r="S7" s="211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/>
      </c>
      <c r="T7" s="211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/>
      </c>
      <c r="U7" s="211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/>
      </c>
      <c r="V7" s="211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/>
      </c>
      <c r="W7" s="211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/>
      </c>
      <c r="X7" s="211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/>
      </c>
      <c r="Y7" s="211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/>
      </c>
      <c r="Z7" s="211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/>
      </c>
      <c r="AA7" s="211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/>
      </c>
      <c r="AB7" s="211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/>
      </c>
      <c r="AC7" s="211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/>
      </c>
      <c r="AD7" s="211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/>
      </c>
      <c r="AE7" s="211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/>
      </c>
      <c r="AF7" s="211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/>
      </c>
      <c r="AG7" s="211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/>
      </c>
      <c r="AH7" s="211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/>
      </c>
      <c r="AI7" s="211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/>
      </c>
      <c r="AJ7" s="211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/>
      </c>
      <c r="AK7" s="211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/>
      </c>
      <c r="AL7" s="211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/>
      </c>
      <c r="AM7" s="211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/>
      </c>
      <c r="AN7" s="211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/>
      </c>
      <c r="AO7" s="211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/>
      </c>
      <c r="AP7" s="211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/>
      </c>
      <c r="AQ7" s="211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/>
      </c>
      <c r="AR7" s="211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/>
      </c>
      <c r="AS7" s="211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/>
      </c>
      <c r="AT7" s="211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/>
      </c>
      <c r="AU7" s="211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/>
      </c>
      <c r="AV7" s="211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/>
      </c>
      <c r="AW7" s="211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/>
      </c>
      <c r="AX7" s="211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/>
      </c>
      <c r="AY7" s="211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/>
      </c>
      <c r="AZ7" s="211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/>
      </c>
      <c r="BA7" s="211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/>
      </c>
      <c r="BB7" s="211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/>
      </c>
      <c r="BC7" s="211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/>
      </c>
      <c r="BD7" s="211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/>
      </c>
      <c r="BE7" s="211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/>
      </c>
      <c r="BF7" s="211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/>
      </c>
      <c r="BG7" s="211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/>
      </c>
      <c r="BH7" s="211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/>
      </c>
      <c r="BI7" s="211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/>
      </c>
      <c r="BJ7" s="211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/>
      </c>
      <c r="BK7" s="211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/>
      </c>
      <c r="BL7" s="211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/>
      </c>
      <c r="BM7" s="211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/>
      </c>
      <c r="BN7" s="211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/>
      </c>
      <c r="BO7" s="211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/>
      </c>
      <c r="BP7" s="211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/>
      </c>
      <c r="BQ7" s="211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/>
      </c>
      <c r="BR7" s="211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/>
      </c>
      <c r="BS7" s="211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/>
      </c>
      <c r="BT7" s="211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/>
      </c>
      <c r="BU7" s="211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/>
      </c>
      <c r="BV7" s="211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/>
      </c>
      <c r="BW7" s="211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/>
      </c>
      <c r="BX7" s="211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/>
      </c>
      <c r="BY7" s="211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/>
      </c>
      <c r="BZ7" s="211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/>
      </c>
      <c r="CA7" s="211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/>
      </c>
      <c r="CB7" s="211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/>
      </c>
      <c r="CC7" s="211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/>
      </c>
      <c r="CD7" s="211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/>
      </c>
      <c r="CE7" s="211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/>
      </c>
      <c r="CF7" s="211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/>
      </c>
      <c r="CG7" s="211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/>
      </c>
      <c r="CH7" s="211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/>
      </c>
      <c r="CI7" s="226" t="n"/>
    </row>
    <row r="8" ht="15" customHeight="1" s="202">
      <c r="A8" s="210" t="inlineStr">
        <is>
          <t>Project Supervision Revenue</t>
        </is>
      </c>
      <c r="B8" s="225" t="n"/>
      <c r="C8" s="211">
        <f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/>
      </c>
      <c r="D8" s="211">
        <f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/>
      </c>
      <c r="E8" s="211">
        <f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/>
      </c>
      <c r="F8" s="211">
        <f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/>
      </c>
      <c r="G8" s="211">
        <f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/>
      </c>
      <c r="H8" s="211">
        <f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/>
      </c>
      <c r="I8" s="211">
        <f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/>
      </c>
      <c r="J8" s="211">
        <f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/>
      </c>
      <c r="K8" s="211">
        <f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/>
      </c>
      <c r="L8" s="211">
        <f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/>
      </c>
      <c r="M8" s="211">
        <f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/>
      </c>
      <c r="N8" s="211">
        <f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/>
      </c>
      <c r="O8" s="211">
        <f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/>
      </c>
      <c r="P8" s="211">
        <f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/>
      </c>
      <c r="Q8" s="211">
        <f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/>
      </c>
      <c r="R8" s="211">
        <f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/>
      </c>
      <c r="S8" s="211">
        <f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/>
      </c>
      <c r="T8" s="211">
        <f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/>
      </c>
      <c r="U8" s="211">
        <f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/>
      </c>
      <c r="V8" s="211">
        <f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/>
      </c>
      <c r="W8" s="211">
        <f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/>
      </c>
      <c r="X8" s="211">
        <f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/>
      </c>
      <c r="Y8" s="211">
        <f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/>
      </c>
      <c r="Z8" s="211">
        <f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/>
      </c>
      <c r="AA8" s="211">
        <f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/>
      </c>
      <c r="AB8" s="211">
        <f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/>
      </c>
      <c r="AC8" s="211">
        <f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/>
      </c>
      <c r="AD8" s="211">
        <f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/>
      </c>
      <c r="AE8" s="211">
        <f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/>
      </c>
      <c r="AF8" s="211">
        <f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/>
      </c>
      <c r="AG8" s="211">
        <f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/>
      </c>
      <c r="AH8" s="211">
        <f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/>
      </c>
      <c r="AI8" s="211">
        <f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/>
      </c>
      <c r="AJ8" s="211">
        <f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/>
      </c>
      <c r="AK8" s="211">
        <f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/>
      </c>
      <c r="AL8" s="211">
        <f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/>
      </c>
      <c r="AM8" s="211">
        <f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/>
      </c>
      <c r="AN8" s="211">
        <f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/>
      </c>
      <c r="AO8" s="211">
        <f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/>
      </c>
      <c r="AP8" s="211">
        <f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/>
      </c>
      <c r="AQ8" s="211">
        <f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/>
      </c>
      <c r="AR8" s="211">
        <f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/>
      </c>
      <c r="AS8" s="211">
        <f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/>
      </c>
      <c r="AT8" s="211">
        <f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/>
      </c>
      <c r="AU8" s="211">
        <f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/>
      </c>
      <c r="AV8" s="211">
        <f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/>
      </c>
      <c r="AW8" s="211">
        <f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/>
      </c>
      <c r="AX8" s="211">
        <f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/>
      </c>
      <c r="AY8" s="211">
        <f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/>
      </c>
      <c r="AZ8" s="211">
        <f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/>
      </c>
      <c r="BA8" s="211">
        <f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/>
      </c>
      <c r="BB8" s="211">
        <f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/>
      </c>
      <c r="BC8" s="211">
        <f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/>
      </c>
      <c r="BD8" s="211">
        <f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/>
      </c>
      <c r="BE8" s="211">
        <f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/>
      </c>
      <c r="BF8" s="211">
        <f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/>
      </c>
      <c r="BG8" s="211">
        <f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/>
      </c>
      <c r="BH8" s="211">
        <f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/>
      </c>
      <c r="BI8" s="211">
        <f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/>
      </c>
      <c r="BJ8" s="211">
        <f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/>
      </c>
      <c r="BK8" s="211">
        <f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/>
      </c>
      <c r="BL8" s="211">
        <f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/>
      </c>
      <c r="BM8" s="211">
        <f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/>
      </c>
      <c r="BN8" s="211">
        <f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/>
      </c>
      <c r="BO8" s="211">
        <f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/>
      </c>
      <c r="BP8" s="211">
        <f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/>
      </c>
      <c r="BQ8" s="211">
        <f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/>
      </c>
      <c r="BR8" s="211">
        <f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/>
      </c>
      <c r="BS8" s="211">
        <f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/>
      </c>
      <c r="BT8" s="211">
        <f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/>
      </c>
      <c r="BU8" s="211">
        <f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/>
      </c>
      <c r="BV8" s="211">
        <f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/>
      </c>
      <c r="BW8" s="211">
        <f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/>
      </c>
      <c r="BX8" s="211">
        <f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/>
      </c>
      <c r="BY8" s="211">
        <f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/>
      </c>
      <c r="BZ8" s="211">
        <f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/>
      </c>
      <c r="CA8" s="211">
        <f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/>
      </c>
      <c r="CB8" s="211">
        <f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/>
      </c>
      <c r="CC8" s="211">
        <f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/>
      </c>
      <c r="CD8" s="211">
        <f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/>
      </c>
      <c r="CE8" s="211">
        <f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/>
      </c>
      <c r="CF8" s="211">
        <f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/>
      </c>
      <c r="CG8" s="211">
        <f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/>
      </c>
      <c r="CH8" s="211">
        <f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/>
      </c>
      <c r="CI8" s="226" t="n"/>
    </row>
    <row r="9" ht="15" customHeight="1" s="202">
      <c r="A9" s="210" t="inlineStr">
        <is>
          <t>GC-CM Fee Revenue</t>
        </is>
      </c>
      <c r="B9" s="225" t="n"/>
      <c r="C9" s="211">
        <f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/>
      </c>
      <c r="D9" s="211">
        <f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/>
      </c>
      <c r="E9" s="211">
        <f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/>
      </c>
      <c r="F9" s="211">
        <f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/>
      </c>
      <c r="G9" s="211">
        <f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/>
      </c>
      <c r="H9" s="211">
        <f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/>
      </c>
      <c r="I9" s="211">
        <f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/>
      </c>
      <c r="J9" s="211">
        <f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/>
      </c>
      <c r="K9" s="211">
        <f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/>
      </c>
      <c r="L9" s="211">
        <f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/>
      </c>
      <c r="M9" s="211">
        <f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/>
      </c>
      <c r="N9" s="211">
        <f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/>
      </c>
      <c r="O9" s="211">
        <f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/>
      </c>
      <c r="P9" s="211">
        <f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/>
      </c>
      <c r="Q9" s="211">
        <f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/>
      </c>
      <c r="R9" s="211">
        <f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/>
      </c>
      <c r="S9" s="211">
        <f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/>
      </c>
      <c r="T9" s="211">
        <f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/>
      </c>
      <c r="U9" s="211">
        <f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/>
      </c>
      <c r="V9" s="211">
        <f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/>
      </c>
      <c r="W9" s="211">
        <f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/>
      </c>
      <c r="X9" s="211">
        <f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/>
      </c>
      <c r="Y9" s="211">
        <f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/>
      </c>
      <c r="Z9" s="211">
        <f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/>
      </c>
      <c r="AA9" s="211">
        <f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/>
      </c>
      <c r="AB9" s="211">
        <f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/>
      </c>
      <c r="AC9" s="211">
        <f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/>
      </c>
      <c r="AD9" s="211">
        <f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/>
      </c>
      <c r="AE9" s="211">
        <f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/>
      </c>
      <c r="AF9" s="211">
        <f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/>
      </c>
      <c r="AG9" s="211">
        <f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/>
      </c>
      <c r="AH9" s="211">
        <f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/>
      </c>
      <c r="AI9" s="211">
        <f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/>
      </c>
      <c r="AJ9" s="211">
        <f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/>
      </c>
      <c r="AK9" s="211">
        <f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/>
      </c>
      <c r="AL9" s="211">
        <f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/>
      </c>
      <c r="AM9" s="211">
        <f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/>
      </c>
      <c r="AN9" s="211">
        <f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/>
      </c>
      <c r="AO9" s="211">
        <f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/>
      </c>
      <c r="AP9" s="211">
        <f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/>
      </c>
      <c r="AQ9" s="211">
        <f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/>
      </c>
      <c r="AR9" s="211">
        <f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/>
      </c>
      <c r="AS9" s="211">
        <f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/>
      </c>
      <c r="AT9" s="211">
        <f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/>
      </c>
      <c r="AU9" s="211">
        <f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/>
      </c>
      <c r="AV9" s="211">
        <f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/>
      </c>
      <c r="AW9" s="211">
        <f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/>
      </c>
      <c r="AX9" s="211">
        <f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/>
      </c>
      <c r="AY9" s="211">
        <f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/>
      </c>
      <c r="AZ9" s="211">
        <f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/>
      </c>
      <c r="BA9" s="211">
        <f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/>
      </c>
      <c r="BB9" s="211">
        <f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/>
      </c>
      <c r="BC9" s="211">
        <f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/>
      </c>
      <c r="BD9" s="211">
        <f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/>
      </c>
      <c r="BE9" s="211">
        <f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/>
      </c>
      <c r="BF9" s="211">
        <f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/>
      </c>
      <c r="BG9" s="211">
        <f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/>
      </c>
      <c r="BH9" s="211">
        <f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/>
      </c>
      <c r="BI9" s="211">
        <f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/>
      </c>
      <c r="BJ9" s="211">
        <f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/>
      </c>
      <c r="BK9" s="211">
        <f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/>
      </c>
      <c r="BL9" s="211">
        <f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/>
      </c>
      <c r="BM9" s="211">
        <f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/>
      </c>
      <c r="BN9" s="211">
        <f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/>
      </c>
      <c r="BO9" s="211">
        <f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/>
      </c>
      <c r="BP9" s="211">
        <f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/>
      </c>
      <c r="BQ9" s="211">
        <f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/>
      </c>
      <c r="BR9" s="211">
        <f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/>
      </c>
      <c r="BS9" s="211">
        <f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/>
      </c>
      <c r="BT9" s="211">
        <f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/>
      </c>
      <c r="BU9" s="211">
        <f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/>
      </c>
      <c r="BV9" s="211">
        <f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/>
      </c>
      <c r="BW9" s="211">
        <f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/>
      </c>
      <c r="BX9" s="211">
        <f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/>
      </c>
      <c r="BY9" s="211">
        <f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/>
      </c>
      <c r="BZ9" s="211">
        <f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/>
      </c>
      <c r="CA9" s="211">
        <f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/>
      </c>
      <c r="CB9" s="211">
        <f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/>
      </c>
      <c r="CC9" s="211">
        <f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/>
      </c>
      <c r="CD9" s="211">
        <f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/>
      </c>
      <c r="CE9" s="211">
        <f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/>
      </c>
      <c r="CF9" s="211">
        <f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/>
      </c>
      <c r="CG9" s="211">
        <f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/>
      </c>
      <c r="CH9" s="211">
        <f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/>
      </c>
      <c r="CI9" s="226" t="n"/>
    </row>
    <row r="10" ht="15" customHeight="1" s="202">
      <c r="A10" s="210" t="inlineStr">
        <is>
          <t>Project Administration Revenue</t>
        </is>
      </c>
      <c r="B10" s="225" t="n"/>
      <c r="C10" s="211">
        <f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/>
      </c>
      <c r="D10" s="211">
        <f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/>
      </c>
      <c r="E10" s="211">
        <f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/>
      </c>
      <c r="F10" s="211">
        <f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/>
      </c>
      <c r="G10" s="211">
        <f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/>
      </c>
      <c r="H10" s="211">
        <f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/>
      </c>
      <c r="I10" s="211">
        <f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/>
      </c>
      <c r="J10" s="211">
        <f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/>
      </c>
      <c r="K10" s="211">
        <f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/>
      </c>
      <c r="L10" s="211">
        <f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/>
      </c>
      <c r="M10" s="211">
        <f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/>
      </c>
      <c r="N10" s="211">
        <f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/>
      </c>
      <c r="O10" s="211">
        <f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/>
      </c>
      <c r="P10" s="211">
        <f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/>
      </c>
      <c r="Q10" s="211">
        <f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/>
      </c>
      <c r="R10" s="211">
        <f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/>
      </c>
      <c r="S10" s="211">
        <f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/>
      </c>
      <c r="T10" s="211">
        <f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/>
      </c>
      <c r="U10" s="211">
        <f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/>
      </c>
      <c r="V10" s="211">
        <f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/>
      </c>
      <c r="W10" s="211">
        <f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/>
      </c>
      <c r="X10" s="211">
        <f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/>
      </c>
      <c r="Y10" s="211">
        <f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/>
      </c>
      <c r="Z10" s="211">
        <f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/>
      </c>
      <c r="AA10" s="211">
        <f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/>
      </c>
      <c r="AB10" s="211">
        <f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/>
      </c>
      <c r="AC10" s="211">
        <f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/>
      </c>
      <c r="AD10" s="211">
        <f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/>
      </c>
      <c r="AE10" s="211">
        <f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/>
      </c>
      <c r="AF10" s="211">
        <f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/>
      </c>
      <c r="AG10" s="211">
        <f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/>
      </c>
      <c r="AH10" s="211">
        <f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/>
      </c>
      <c r="AI10" s="211">
        <f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/>
      </c>
      <c r="AJ10" s="211">
        <f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/>
      </c>
      <c r="AK10" s="211">
        <f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/>
      </c>
      <c r="AL10" s="211">
        <f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/>
      </c>
      <c r="AM10" s="211">
        <f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/>
      </c>
      <c r="AN10" s="211">
        <f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/>
      </c>
      <c r="AO10" s="211">
        <f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/>
      </c>
      <c r="AP10" s="211">
        <f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/>
      </c>
      <c r="AQ10" s="211">
        <f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/>
      </c>
      <c r="AR10" s="211">
        <f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/>
      </c>
      <c r="AS10" s="211">
        <f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/>
      </c>
      <c r="AT10" s="211">
        <f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/>
      </c>
      <c r="AU10" s="211">
        <f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/>
      </c>
      <c r="AV10" s="211">
        <f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/>
      </c>
      <c r="AW10" s="211">
        <f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/>
      </c>
      <c r="AX10" s="211">
        <f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/>
      </c>
      <c r="AY10" s="211">
        <f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/>
      </c>
      <c r="AZ10" s="211">
        <f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/>
      </c>
      <c r="BA10" s="211">
        <f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/>
      </c>
      <c r="BB10" s="211">
        <f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/>
      </c>
      <c r="BC10" s="211">
        <f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/>
      </c>
      <c r="BD10" s="211">
        <f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/>
      </c>
      <c r="BE10" s="211">
        <f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/>
      </c>
      <c r="BF10" s="211">
        <f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/>
      </c>
      <c r="BG10" s="211">
        <f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/>
      </c>
      <c r="BH10" s="211">
        <f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/>
      </c>
      <c r="BI10" s="211">
        <f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/>
      </c>
      <c r="BJ10" s="211">
        <f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/>
      </c>
      <c r="BK10" s="211">
        <f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/>
      </c>
      <c r="BL10" s="211">
        <f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/>
      </c>
      <c r="BM10" s="211">
        <f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/>
      </c>
      <c r="BN10" s="211">
        <f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/>
      </c>
      <c r="BO10" s="211">
        <f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/>
      </c>
      <c r="BP10" s="211">
        <f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/>
      </c>
      <c r="BQ10" s="211">
        <f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/>
      </c>
      <c r="BR10" s="211">
        <f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/>
      </c>
      <c r="BS10" s="211">
        <f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/>
      </c>
      <c r="BT10" s="211">
        <f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/>
      </c>
      <c r="BU10" s="211">
        <f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/>
      </c>
      <c r="BV10" s="211">
        <f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/>
      </c>
      <c r="BW10" s="211">
        <f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/>
      </c>
      <c r="BX10" s="211">
        <f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/>
      </c>
      <c r="BY10" s="211">
        <f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/>
      </c>
      <c r="BZ10" s="211">
        <f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/>
      </c>
      <c r="CA10" s="211">
        <f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/>
      </c>
      <c r="CB10" s="211">
        <f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/>
      </c>
      <c r="CC10" s="211">
        <f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/>
      </c>
      <c r="CD10" s="211">
        <f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/>
      </c>
      <c r="CE10" s="211">
        <f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/>
      </c>
      <c r="CF10" s="211">
        <f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/>
      </c>
      <c r="CG10" s="211">
        <f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/>
      </c>
      <c r="CH10" s="211">
        <f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/>
      </c>
      <c r="CI10" s="226" t="n"/>
    </row>
    <row r="11" ht="15" customHeight="1" s="202">
      <c r="A11" s="210" t="inlineStr">
        <is>
          <t>Bonding Revenue</t>
        </is>
      </c>
      <c r="B11" s="225" t="n"/>
      <c r="C11" s="211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/>
      </c>
      <c r="D11" s="211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/>
      </c>
      <c r="E11" s="211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/>
      </c>
      <c r="F11" s="211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/>
      </c>
      <c r="G11" s="211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/>
      </c>
      <c r="H11" s="211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/>
      </c>
      <c r="I11" s="211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/>
      </c>
      <c r="J11" s="211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/>
      </c>
      <c r="K11" s="211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/>
      </c>
      <c r="L11" s="211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/>
      </c>
      <c r="M11" s="211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/>
      </c>
      <c r="N11" s="211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/>
      </c>
      <c r="O11" s="211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/>
      </c>
      <c r="P11" s="211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/>
      </c>
      <c r="Q11" s="211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/>
      </c>
      <c r="R11" s="211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/>
      </c>
      <c r="S11" s="211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/>
      </c>
      <c r="T11" s="211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/>
      </c>
      <c r="U11" s="211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/>
      </c>
      <c r="V11" s="211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/>
      </c>
      <c r="W11" s="211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/>
      </c>
      <c r="X11" s="211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/>
      </c>
      <c r="Y11" s="211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/>
      </c>
      <c r="Z11" s="211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/>
      </c>
      <c r="AA11" s="211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/>
      </c>
      <c r="AB11" s="211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/>
      </c>
      <c r="AC11" s="211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/>
      </c>
      <c r="AD11" s="211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/>
      </c>
      <c r="AE11" s="211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/>
      </c>
      <c r="AF11" s="211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/>
      </c>
      <c r="AG11" s="211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/>
      </c>
      <c r="AH11" s="211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/>
      </c>
      <c r="AI11" s="211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/>
      </c>
      <c r="AJ11" s="211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/>
      </c>
      <c r="AK11" s="211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/>
      </c>
      <c r="AL11" s="211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/>
      </c>
      <c r="AM11" s="211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/>
      </c>
      <c r="AN11" s="211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/>
      </c>
      <c r="AO11" s="211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/>
      </c>
      <c r="AP11" s="211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/>
      </c>
      <c r="AQ11" s="211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/>
      </c>
      <c r="AR11" s="211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/>
      </c>
      <c r="AS11" s="211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/>
      </c>
      <c r="AT11" s="211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/>
      </c>
      <c r="AU11" s="211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/>
      </c>
      <c r="AV11" s="211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/>
      </c>
      <c r="AW11" s="211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/>
      </c>
      <c r="AX11" s="211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/>
      </c>
      <c r="AY11" s="211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/>
      </c>
      <c r="AZ11" s="211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/>
      </c>
      <c r="BA11" s="211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/>
      </c>
      <c r="BB11" s="211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/>
      </c>
      <c r="BC11" s="211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/>
      </c>
      <c r="BD11" s="211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/>
      </c>
      <c r="BE11" s="211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/>
      </c>
      <c r="BF11" s="211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/>
      </c>
      <c r="BG11" s="211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/>
      </c>
      <c r="BH11" s="211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/>
      </c>
      <c r="BI11" s="211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/>
      </c>
      <c r="BJ11" s="211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/>
      </c>
      <c r="BK11" s="211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/>
      </c>
      <c r="BL11" s="211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/>
      </c>
      <c r="BM11" s="211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/>
      </c>
      <c r="BN11" s="211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/>
      </c>
      <c r="BO11" s="211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/>
      </c>
      <c r="BP11" s="211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/>
      </c>
      <c r="BQ11" s="211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/>
      </c>
      <c r="BR11" s="211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/>
      </c>
      <c r="BS11" s="211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/>
      </c>
      <c r="BT11" s="211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/>
      </c>
      <c r="BU11" s="211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/>
      </c>
      <c r="BV11" s="211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/>
      </c>
      <c r="BW11" s="211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/>
      </c>
      <c r="BX11" s="211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/>
      </c>
      <c r="BY11" s="211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/>
      </c>
      <c r="BZ11" s="211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/>
      </c>
      <c r="CA11" s="211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/>
      </c>
      <c r="CB11" s="211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/>
      </c>
      <c r="CC11" s="211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/>
      </c>
      <c r="CD11" s="211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/>
      </c>
      <c r="CE11" s="211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/>
      </c>
      <c r="CF11" s="211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/>
      </c>
      <c r="CG11" s="211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/>
      </c>
      <c r="CH11" s="211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/>
      </c>
      <c r="CI11" s="226" t="n"/>
    </row>
    <row r="12" ht="15" customHeight="1" s="202">
      <c r="A12" s="212" t="inlineStr">
        <is>
          <t>Total GC Revenue</t>
        </is>
      </c>
      <c r="B12" s="231" t="n"/>
      <c r="C12" s="213">
        <f>C8+C9+C10+C11</f>
        <v/>
      </c>
      <c r="D12" s="213">
        <f>D8+D9+D10+D11</f>
        <v/>
      </c>
      <c r="E12" s="213">
        <f>E8+E9+E10+E11</f>
        <v/>
      </c>
      <c r="F12" s="213">
        <f>F8+F9+F10+F11</f>
        <v/>
      </c>
      <c r="G12" s="213">
        <f>G8+G9+G10+G11</f>
        <v/>
      </c>
      <c r="H12" s="213">
        <f>H8+H9+H10+H11</f>
        <v/>
      </c>
      <c r="I12" s="213">
        <f>I8+I9+I10+I11</f>
        <v/>
      </c>
      <c r="J12" s="213">
        <f>J8+J9+J10+J11</f>
        <v/>
      </c>
      <c r="K12" s="213">
        <f>K8+K9+K10+K11</f>
        <v/>
      </c>
      <c r="L12" s="213">
        <f>L8+L9+L10+L11</f>
        <v/>
      </c>
      <c r="M12" s="213">
        <f>M8+M9+M10+M11</f>
        <v/>
      </c>
      <c r="N12" s="213">
        <f>N8+N9+N10+N11</f>
        <v/>
      </c>
      <c r="O12" s="213">
        <f>O8+O9+O10+O11</f>
        <v/>
      </c>
      <c r="P12" s="213">
        <f>P8+P9+P10+P11</f>
        <v/>
      </c>
      <c r="Q12" s="213">
        <f>Q8+Q9+Q10+Q11</f>
        <v/>
      </c>
      <c r="R12" s="213">
        <f>R8+R9+R10+R11</f>
        <v/>
      </c>
      <c r="S12" s="213">
        <f>S8+S9+S10+S11</f>
        <v/>
      </c>
      <c r="T12" s="213">
        <f>T8+T9+T10+T11</f>
        <v/>
      </c>
      <c r="U12" s="213">
        <f>U8+U9+U10+U11</f>
        <v/>
      </c>
      <c r="V12" s="213">
        <f>V8+V9+V10+V11</f>
        <v/>
      </c>
      <c r="W12" s="213">
        <f>W8+W9+W10+W11</f>
        <v/>
      </c>
      <c r="X12" s="213">
        <f>X8+X9+X10+X11</f>
        <v/>
      </c>
      <c r="Y12" s="213">
        <f>Y8+Y9+Y10+Y11</f>
        <v/>
      </c>
      <c r="Z12" s="213">
        <f>Z8+Z9+Z10+Z11</f>
        <v/>
      </c>
      <c r="AA12" s="213">
        <f>AA8+AA9+AA10+AA11</f>
        <v/>
      </c>
      <c r="AB12" s="213">
        <f>AB8+AB9+AB10+AB11</f>
        <v/>
      </c>
      <c r="AC12" s="213">
        <f>AC8+AC9+AC10+AC11</f>
        <v/>
      </c>
      <c r="AD12" s="213">
        <f>AD8+AD9+AD10+AD11</f>
        <v/>
      </c>
      <c r="AE12" s="213">
        <f>AE8+AE9+AE10+AE11</f>
        <v/>
      </c>
      <c r="AF12" s="213">
        <f>AF8+AF9+AF10+AF11</f>
        <v/>
      </c>
      <c r="AG12" s="213">
        <f>AG8+AG9+AG10+AG11</f>
        <v/>
      </c>
      <c r="AH12" s="213">
        <f>AH8+AH9+AH10+AH11</f>
        <v/>
      </c>
      <c r="AI12" s="213">
        <f>AI8+AI9+AI10+AI11</f>
        <v/>
      </c>
      <c r="AJ12" s="213">
        <f>AJ8+AJ9+AJ10+AJ11</f>
        <v/>
      </c>
      <c r="AK12" s="213">
        <f>AK8+AK9+AK10+AK11</f>
        <v/>
      </c>
      <c r="AL12" s="213">
        <f>AL8+AL9+AL10+AL11</f>
        <v/>
      </c>
      <c r="AM12" s="213">
        <f>AM8+AM9+AM10+AM11</f>
        <v/>
      </c>
      <c r="AN12" s="213">
        <f>AN8+AN9+AN10+AN11</f>
        <v/>
      </c>
      <c r="AO12" s="213">
        <f>AO8+AO9+AO10+AO11</f>
        <v/>
      </c>
      <c r="AP12" s="213">
        <f>AP8+AP9+AP10+AP11</f>
        <v/>
      </c>
      <c r="AQ12" s="213">
        <f>AQ8+AQ9+AQ10+AQ11</f>
        <v/>
      </c>
      <c r="AR12" s="213">
        <f>AR8+AR9+AR10+AR11</f>
        <v/>
      </c>
      <c r="AS12" s="213">
        <f>AS8+AS9+AS10+AS11</f>
        <v/>
      </c>
      <c r="AT12" s="213">
        <f>AT8+AT9+AT10+AT11</f>
        <v/>
      </c>
      <c r="AU12" s="213">
        <f>AU8+AU9+AU10+AU11</f>
        <v/>
      </c>
      <c r="AV12" s="213">
        <f>AV8+AV9+AV10+AV11</f>
        <v/>
      </c>
      <c r="AW12" s="213">
        <f>AW8+AW9+AW10+AW11</f>
        <v/>
      </c>
      <c r="AX12" s="213">
        <f>AX8+AX9+AX10+AX11</f>
        <v/>
      </c>
      <c r="AY12" s="213">
        <f>AY8+AY9+AY10+AY11</f>
        <v/>
      </c>
      <c r="AZ12" s="213">
        <f>AZ8+AZ9+AZ10+AZ11</f>
        <v/>
      </c>
      <c r="BA12" s="213">
        <f>BA8+BA9+BA10+BA11</f>
        <v/>
      </c>
      <c r="BB12" s="213">
        <f>BB8+BB9+BB10+BB11</f>
        <v/>
      </c>
      <c r="BC12" s="213">
        <f>BC8+BC9+BC10+BC11</f>
        <v/>
      </c>
      <c r="BD12" s="213">
        <f>BD8+BD9+BD10+BD11</f>
        <v/>
      </c>
      <c r="BE12" s="213">
        <f>BE8+BE9+BE10+BE11</f>
        <v/>
      </c>
      <c r="BF12" s="213">
        <f>BF8+BF9+BF10+BF11</f>
        <v/>
      </c>
      <c r="BG12" s="213">
        <f>BG8+BG9+BG10+BG11</f>
        <v/>
      </c>
      <c r="BH12" s="213">
        <f>BH8+BH9+BH10+BH11</f>
        <v/>
      </c>
      <c r="BI12" s="213">
        <f>BI8+BI9+BI10+BI11</f>
        <v/>
      </c>
      <c r="BJ12" s="213">
        <f>BJ8+BJ9+BJ10+BJ11</f>
        <v/>
      </c>
      <c r="BK12" s="213">
        <f>BK8+BK9+BK10+BK11</f>
        <v/>
      </c>
      <c r="BL12" s="213">
        <f>BL8+BL9+BL10+BL11</f>
        <v/>
      </c>
      <c r="BM12" s="213">
        <f>BM8+BM9+BM10+BM11</f>
        <v/>
      </c>
      <c r="BN12" s="213">
        <f>BN8+BN9+BN10+BN11</f>
        <v/>
      </c>
      <c r="BO12" s="213">
        <f>BO8+BO9+BO10+BO11</f>
        <v/>
      </c>
      <c r="BP12" s="213">
        <f>BP8+BP9+BP10+BP11</f>
        <v/>
      </c>
      <c r="BQ12" s="213">
        <f>BQ8+BQ9+BQ10+BQ11</f>
        <v/>
      </c>
      <c r="BR12" s="213">
        <f>BR8+BR9+BR10+BR11</f>
        <v/>
      </c>
      <c r="BS12" s="213">
        <f>BS8+BS9+BS10+BS11</f>
        <v/>
      </c>
      <c r="BT12" s="213">
        <f>BT8+BT9+BT10+BT11</f>
        <v/>
      </c>
      <c r="BU12" s="213">
        <f>BU8+BU9+BU10+BU11</f>
        <v/>
      </c>
      <c r="BV12" s="213">
        <f>BV8+BV9+BV10+BV11</f>
        <v/>
      </c>
      <c r="BW12" s="213">
        <f>BW8+BW9+BW10+BW11</f>
        <v/>
      </c>
      <c r="BX12" s="213">
        <f>BX8+BX9+BX10+BX11</f>
        <v/>
      </c>
      <c r="BY12" s="213">
        <f>BY8+BY9+BY10+BY11</f>
        <v/>
      </c>
      <c r="BZ12" s="213">
        <f>BZ8+BZ9+BZ10+BZ11</f>
        <v/>
      </c>
      <c r="CA12" s="213">
        <f>CA8+CA9+CA10+CA11</f>
        <v/>
      </c>
      <c r="CB12" s="213">
        <f>CB8+CB9+CB10+CB11</f>
        <v/>
      </c>
      <c r="CC12" s="213">
        <f>CC8+CC9+CC10+CC11</f>
        <v/>
      </c>
      <c r="CD12" s="213">
        <f>CD8+CD9+CD10+CD11</f>
        <v/>
      </c>
      <c r="CE12" s="213">
        <f>CE8+CE9+CE10+CE11</f>
        <v/>
      </c>
      <c r="CF12" s="213">
        <f>CF8+CF9+CF10+CF11</f>
        <v/>
      </c>
      <c r="CG12" s="213">
        <f>CG8+CG9+CG10+CG11</f>
        <v/>
      </c>
      <c r="CH12" s="213">
        <f>CH8+CH9+CH10+CH11</f>
        <v/>
      </c>
      <c r="CI12" s="226" t="n"/>
    </row>
    <row r="13" ht="15" customHeight="1" s="202">
      <c r="A13" s="225" t="n"/>
      <c r="B13" s="225" t="n"/>
      <c r="C13" s="225" t="n"/>
      <c r="D13" s="225" t="n"/>
      <c r="E13" s="225" t="n"/>
      <c r="F13" s="225" t="n"/>
      <c r="G13" s="225" t="n"/>
      <c r="H13" s="225" t="n"/>
      <c r="I13" s="225" t="n"/>
      <c r="J13" s="225" t="n"/>
      <c r="K13" s="225" t="n"/>
      <c r="L13" s="225" t="n"/>
      <c r="M13" s="225" t="n"/>
      <c r="N13" s="225" t="n"/>
      <c r="O13" s="225" t="n"/>
      <c r="P13" s="225" t="n"/>
      <c r="Q13" s="225" t="n"/>
      <c r="R13" s="225" t="n"/>
      <c r="S13" s="225" t="n"/>
      <c r="T13" s="225" t="n"/>
      <c r="U13" s="225" t="n"/>
      <c r="V13" s="225" t="n"/>
      <c r="W13" s="225" t="n"/>
      <c r="X13" s="225" t="n"/>
      <c r="Y13" s="225" t="n"/>
      <c r="Z13" s="225" t="n"/>
      <c r="AA13" s="225" t="n"/>
      <c r="AB13" s="225" t="n"/>
      <c r="AC13" s="225" t="n"/>
      <c r="AD13" s="225" t="n"/>
      <c r="AE13" s="225" t="n"/>
      <c r="AF13" s="225" t="n"/>
      <c r="AG13" s="225" t="n"/>
      <c r="AH13" s="225" t="n"/>
      <c r="AI13" s="225" t="n"/>
      <c r="AJ13" s="225" t="n"/>
      <c r="AK13" s="225" t="n"/>
      <c r="AL13" s="225" t="n"/>
      <c r="AM13" s="225" t="n"/>
      <c r="AN13" s="225" t="n"/>
      <c r="AO13" s="225" t="n"/>
      <c r="AP13" s="225" t="n"/>
      <c r="AQ13" s="225" t="n"/>
      <c r="AR13" s="225" t="n"/>
      <c r="AS13" s="225" t="n"/>
      <c r="AT13" s="225" t="n"/>
      <c r="AU13" s="225" t="n"/>
      <c r="AV13" s="225" t="n"/>
      <c r="AW13" s="225" t="n"/>
      <c r="AX13" s="225" t="n"/>
      <c r="AY13" s="225" t="n"/>
      <c r="AZ13" s="225" t="n"/>
      <c r="BA13" s="225" t="n"/>
      <c r="BB13" s="225" t="n"/>
      <c r="BC13" s="225" t="n"/>
      <c r="BD13" s="225" t="n"/>
      <c r="BE13" s="225" t="n"/>
      <c r="BF13" s="225" t="n"/>
      <c r="BG13" s="225" t="n"/>
      <c r="BH13" s="225" t="n"/>
      <c r="BI13" s="225" t="n"/>
      <c r="BJ13" s="225" t="n"/>
      <c r="BK13" s="225" t="n"/>
      <c r="BL13" s="225" t="n"/>
      <c r="BM13" s="225" t="n"/>
      <c r="BN13" s="225" t="n"/>
      <c r="BO13" s="225" t="n"/>
      <c r="BP13" s="225" t="n"/>
      <c r="BQ13" s="225" t="n"/>
      <c r="BR13" s="225" t="n"/>
      <c r="BS13" s="225" t="n"/>
      <c r="BT13" s="225" t="n"/>
      <c r="BU13" s="225" t="n"/>
      <c r="BV13" s="225" t="n"/>
      <c r="BW13" s="225" t="n"/>
      <c r="BX13" s="225" t="n"/>
      <c r="BY13" s="225" t="n"/>
      <c r="BZ13" s="225" t="n"/>
      <c r="CA13" s="225" t="n"/>
      <c r="CB13" s="225" t="n"/>
      <c r="CC13" s="225" t="n"/>
      <c r="CD13" s="225" t="n"/>
      <c r="CE13" s="225" t="n"/>
      <c r="CF13" s="225" t="n"/>
      <c r="CG13" s="225" t="n"/>
      <c r="CH13" s="225" t="n"/>
      <c r="CI13" s="226" t="n"/>
    </row>
    <row r="14" ht="15" customHeight="1" s="202">
      <c r="A14" s="209" t="inlineStr">
        <is>
          <t>GC Costs</t>
        </is>
      </c>
      <c r="B14" s="209" t="n"/>
      <c r="C14" s="209" t="n"/>
      <c r="D14" s="209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  <c r="AE14" s="209" t="n"/>
      <c r="AF14" s="209" t="n"/>
      <c r="AG14" s="209" t="n"/>
      <c r="AH14" s="209" t="n"/>
      <c r="AI14" s="209" t="n"/>
      <c r="AJ14" s="209" t="n"/>
      <c r="AK14" s="209" t="n"/>
      <c r="AL14" s="209" t="n"/>
      <c r="AM14" s="209" t="n"/>
      <c r="AN14" s="209" t="n"/>
      <c r="AO14" s="209" t="n"/>
      <c r="AP14" s="209" t="n"/>
      <c r="AQ14" s="209" t="n"/>
      <c r="AR14" s="209" t="n"/>
      <c r="AS14" s="209" t="n"/>
      <c r="AT14" s="209" t="n"/>
      <c r="AU14" s="209" t="n"/>
      <c r="AV14" s="209" t="n"/>
      <c r="AW14" s="209" t="n"/>
      <c r="AX14" s="209" t="n"/>
      <c r="AY14" s="209" t="n"/>
      <c r="AZ14" s="209" t="n"/>
      <c r="BA14" s="209" t="n"/>
      <c r="BB14" s="209" t="n"/>
      <c r="BC14" s="209" t="n"/>
      <c r="BD14" s="209" t="n"/>
      <c r="BE14" s="209" t="n"/>
      <c r="BF14" s="209" t="n"/>
      <c r="BG14" s="209" t="n"/>
      <c r="BH14" s="209" t="n"/>
      <c r="BI14" s="209" t="n"/>
      <c r="BJ14" s="209" t="n"/>
      <c r="BK14" s="209" t="n"/>
      <c r="BL14" s="209" t="n"/>
      <c r="BM14" s="209" t="n"/>
      <c r="BN14" s="209" t="n"/>
      <c r="BO14" s="209" t="n"/>
      <c r="BP14" s="209" t="n"/>
      <c r="BQ14" s="209" t="n"/>
      <c r="BR14" s="209" t="n"/>
      <c r="BS14" s="209" t="n"/>
      <c r="BT14" s="209" t="n"/>
      <c r="BU14" s="209" t="n"/>
      <c r="BV14" s="209" t="n"/>
      <c r="BW14" s="209" t="n"/>
      <c r="BX14" s="209" t="n"/>
      <c r="BY14" s="209" t="n"/>
      <c r="BZ14" s="209" t="n"/>
      <c r="CA14" s="209" t="n"/>
      <c r="CB14" s="209" t="n"/>
      <c r="CC14" s="209" t="n"/>
      <c r="CD14" s="209" t="n"/>
      <c r="CE14" s="209" t="n"/>
      <c r="CF14" s="209" t="n"/>
      <c r="CG14" s="209" t="n"/>
      <c r="CH14" s="209" t="n"/>
      <c r="CI14" s="226" t="n"/>
    </row>
    <row r="15" ht="15" customHeight="1" s="202">
      <c r="A15" s="210" t="inlineStr">
        <is>
          <t>Bonding Costs</t>
        </is>
      </c>
      <c r="B15" s="225" t="n"/>
      <c r="C15" s="211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/>
      </c>
      <c r="D15" s="211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/>
      </c>
      <c r="E15" s="211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/>
      </c>
      <c r="F15" s="211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/>
      </c>
      <c r="G15" s="211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/>
      </c>
      <c r="H15" s="211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/>
      </c>
      <c r="I15" s="211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/>
      </c>
      <c r="J15" s="211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/>
      </c>
      <c r="K15" s="211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/>
      </c>
      <c r="L15" s="211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/>
      </c>
      <c r="M15" s="211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/>
      </c>
      <c r="N15" s="211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/>
      </c>
      <c r="O15" s="211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/>
      </c>
      <c r="P15" s="211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/>
      </c>
      <c r="Q15" s="211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/>
      </c>
      <c r="R15" s="211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/>
      </c>
      <c r="S15" s="211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/>
      </c>
      <c r="T15" s="211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/>
      </c>
      <c r="U15" s="211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/>
      </c>
      <c r="V15" s="211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/>
      </c>
      <c r="W15" s="211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/>
      </c>
      <c r="X15" s="211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/>
      </c>
      <c r="Y15" s="211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/>
      </c>
      <c r="Z15" s="211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/>
      </c>
      <c r="AA15" s="211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/>
      </c>
      <c r="AB15" s="211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/>
      </c>
      <c r="AC15" s="211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/>
      </c>
      <c r="AD15" s="211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/>
      </c>
      <c r="AE15" s="211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/>
      </c>
      <c r="AF15" s="211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/>
      </c>
      <c r="AG15" s="211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/>
      </c>
      <c r="AH15" s="211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/>
      </c>
      <c r="AI15" s="211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/>
      </c>
      <c r="AJ15" s="211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/>
      </c>
      <c r="AK15" s="211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/>
      </c>
      <c r="AL15" s="211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/>
      </c>
      <c r="AM15" s="211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/>
      </c>
      <c r="AN15" s="211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/>
      </c>
      <c r="AO15" s="211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/>
      </c>
      <c r="AP15" s="211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/>
      </c>
      <c r="AQ15" s="211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/>
      </c>
      <c r="AR15" s="211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/>
      </c>
      <c r="AS15" s="211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/>
      </c>
      <c r="AT15" s="211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/>
      </c>
      <c r="AU15" s="211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/>
      </c>
      <c r="AV15" s="211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/>
      </c>
      <c r="AW15" s="211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/>
      </c>
      <c r="AX15" s="211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/>
      </c>
      <c r="AY15" s="211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/>
      </c>
      <c r="AZ15" s="211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/>
      </c>
      <c r="BA15" s="211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/>
      </c>
      <c r="BB15" s="211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/>
      </c>
      <c r="BC15" s="211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/>
      </c>
      <c r="BD15" s="211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/>
      </c>
      <c r="BE15" s="211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/>
      </c>
      <c r="BF15" s="211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/>
      </c>
      <c r="BG15" s="211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/>
      </c>
      <c r="BH15" s="211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/>
      </c>
      <c r="BI15" s="211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/>
      </c>
      <c r="BJ15" s="211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/>
      </c>
      <c r="BK15" s="211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/>
      </c>
      <c r="BL15" s="211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/>
      </c>
      <c r="BM15" s="211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/>
      </c>
      <c r="BN15" s="211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/>
      </c>
      <c r="BO15" s="211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/>
      </c>
      <c r="BP15" s="211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/>
      </c>
      <c r="BQ15" s="211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/>
      </c>
      <c r="BR15" s="211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/>
      </c>
      <c r="BS15" s="211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/>
      </c>
      <c r="BT15" s="211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/>
      </c>
      <c r="BU15" s="211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/>
      </c>
      <c r="BV15" s="211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/>
      </c>
      <c r="BW15" s="211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/>
      </c>
      <c r="BX15" s="211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/>
      </c>
      <c r="BY15" s="211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/>
      </c>
      <c r="BZ15" s="211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/>
      </c>
      <c r="CA15" s="211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/>
      </c>
      <c r="CB15" s="211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/>
      </c>
      <c r="CC15" s="211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/>
      </c>
      <c r="CD15" s="211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/>
      </c>
      <c r="CE15" s="211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/>
      </c>
      <c r="CF15" s="211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/>
      </c>
      <c r="CG15" s="211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/>
      </c>
      <c r="CH15" s="211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/>
      </c>
      <c r="CI15" s="226" t="n"/>
    </row>
    <row r="16" ht="15" customHeight="1" s="202">
      <c r="A16" s="210" t="inlineStr">
        <is>
          <t>GC Personnel Costs</t>
        </is>
      </c>
      <c r="B16" s="225" t="n"/>
      <c r="C16" s="211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/>
      </c>
      <c r="D16" s="211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/>
      </c>
      <c r="E16" s="211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/>
      </c>
      <c r="F16" s="211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/>
      </c>
      <c r="G16" s="211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/>
      </c>
      <c r="H16" s="211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/>
      </c>
      <c r="I16" s="211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/>
      </c>
      <c r="J16" s="211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/>
      </c>
      <c r="K16" s="211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/>
      </c>
      <c r="L16" s="211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/>
      </c>
      <c r="M16" s="211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/>
      </c>
      <c r="N16" s="211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/>
      </c>
      <c r="O16" s="211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/>
      </c>
      <c r="P16" s="211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/>
      </c>
      <c r="Q16" s="211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/>
      </c>
      <c r="R16" s="211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/>
      </c>
      <c r="S16" s="211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/>
      </c>
      <c r="T16" s="211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/>
      </c>
      <c r="U16" s="211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/>
      </c>
      <c r="V16" s="211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/>
      </c>
      <c r="W16" s="211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/>
      </c>
      <c r="X16" s="211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/>
      </c>
      <c r="Y16" s="211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/>
      </c>
      <c r="Z16" s="211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/>
      </c>
      <c r="AA16" s="211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/>
      </c>
      <c r="AB16" s="211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/>
      </c>
      <c r="AC16" s="211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/>
      </c>
      <c r="AD16" s="211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/>
      </c>
      <c r="AE16" s="211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/>
      </c>
      <c r="AF16" s="211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/>
      </c>
      <c r="AG16" s="211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/>
      </c>
      <c r="AH16" s="211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/>
      </c>
      <c r="AI16" s="211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/>
      </c>
      <c r="AJ16" s="211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/>
      </c>
      <c r="AK16" s="211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/>
      </c>
      <c r="AL16" s="211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/>
      </c>
      <c r="AM16" s="211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/>
      </c>
      <c r="AN16" s="211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/>
      </c>
      <c r="AO16" s="211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/>
      </c>
      <c r="AP16" s="211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/>
      </c>
      <c r="AQ16" s="211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/>
      </c>
      <c r="AR16" s="211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/>
      </c>
      <c r="AS16" s="211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/>
      </c>
      <c r="AT16" s="211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/>
      </c>
      <c r="AU16" s="211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/>
      </c>
      <c r="AV16" s="211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/>
      </c>
      <c r="AW16" s="211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/>
      </c>
      <c r="AX16" s="211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/>
      </c>
      <c r="AY16" s="211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/>
      </c>
      <c r="AZ16" s="211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/>
      </c>
      <c r="BA16" s="211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/>
      </c>
      <c r="BB16" s="211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/>
      </c>
      <c r="BC16" s="211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/>
      </c>
      <c r="BD16" s="211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/>
      </c>
      <c r="BE16" s="211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/>
      </c>
      <c r="BF16" s="211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/>
      </c>
      <c r="BG16" s="211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/>
      </c>
      <c r="BH16" s="211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/>
      </c>
      <c r="BI16" s="211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/>
      </c>
      <c r="BJ16" s="211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/>
      </c>
      <c r="BK16" s="211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/>
      </c>
      <c r="BL16" s="211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/>
      </c>
      <c r="BM16" s="211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/>
      </c>
      <c r="BN16" s="211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/>
      </c>
      <c r="BO16" s="211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/>
      </c>
      <c r="BP16" s="211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/>
      </c>
      <c r="BQ16" s="211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/>
      </c>
      <c r="BR16" s="211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/>
      </c>
      <c r="BS16" s="211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/>
      </c>
      <c r="BT16" s="211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/>
      </c>
      <c r="BU16" s="211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/>
      </c>
      <c r="BV16" s="211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/>
      </c>
      <c r="BW16" s="211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/>
      </c>
      <c r="BX16" s="211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/>
      </c>
      <c r="BY16" s="211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/>
      </c>
      <c r="BZ16" s="211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/>
      </c>
      <c r="CA16" s="211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/>
      </c>
      <c r="CB16" s="211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/>
      </c>
      <c r="CC16" s="211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/>
      </c>
      <c r="CD16" s="211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/>
      </c>
      <c r="CE16" s="211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/>
      </c>
      <c r="CF16" s="211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/>
      </c>
      <c r="CG16" s="211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/>
      </c>
      <c r="CH16" s="211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/>
      </c>
      <c r="CI16" s="226" t="n"/>
    </row>
    <row r="17" ht="15" customHeight="1" s="202">
      <c r="A17" s="210" t="inlineStr">
        <is>
          <t>SP Allocated to LV</t>
        </is>
      </c>
      <c r="B17" s="225" t="n"/>
      <c r="C17" s="211">
        <f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/>
      </c>
      <c r="D17" s="211">
        <f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/>
      </c>
      <c r="E17" s="211">
        <f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/>
      </c>
      <c r="F17" s="211">
        <f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/>
      </c>
      <c r="G17" s="211">
        <f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/>
      </c>
      <c r="H17" s="211">
        <f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/>
      </c>
      <c r="I17" s="211">
        <f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/>
      </c>
      <c r="J17" s="211">
        <f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/>
      </c>
      <c r="K17" s="211">
        <f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/>
      </c>
      <c r="L17" s="211">
        <f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/>
      </c>
      <c r="M17" s="211">
        <f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/>
      </c>
      <c r="N17" s="211">
        <f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/>
      </c>
      <c r="O17" s="211">
        <f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/>
      </c>
      <c r="P17" s="211">
        <f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/>
      </c>
      <c r="Q17" s="211">
        <f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/>
      </c>
      <c r="R17" s="211">
        <f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/>
      </c>
      <c r="S17" s="211">
        <f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/>
      </c>
      <c r="T17" s="211">
        <f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/>
      </c>
      <c r="U17" s="211">
        <f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/>
      </c>
      <c r="V17" s="211">
        <f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/>
      </c>
      <c r="W17" s="211">
        <f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/>
      </c>
      <c r="X17" s="211">
        <f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/>
      </c>
      <c r="Y17" s="211">
        <f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/>
      </c>
      <c r="Z17" s="211">
        <f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/>
      </c>
      <c r="AA17" s="211">
        <f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/>
      </c>
      <c r="AB17" s="211">
        <f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/>
      </c>
      <c r="AC17" s="211">
        <f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/>
      </c>
      <c r="AD17" s="211">
        <f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/>
      </c>
      <c r="AE17" s="211">
        <f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/>
      </c>
      <c r="AF17" s="211">
        <f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/>
      </c>
      <c r="AG17" s="211">
        <f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/>
      </c>
      <c r="AH17" s="211">
        <f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/>
      </c>
      <c r="AI17" s="211">
        <f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/>
      </c>
      <c r="AJ17" s="211">
        <f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/>
      </c>
      <c r="AK17" s="211">
        <f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/>
      </c>
      <c r="AL17" s="211">
        <f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/>
      </c>
      <c r="AM17" s="211">
        <f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/>
      </c>
      <c r="AN17" s="211">
        <f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/>
      </c>
      <c r="AO17" s="211">
        <f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/>
      </c>
      <c r="AP17" s="211">
        <f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/>
      </c>
      <c r="AQ17" s="211">
        <f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/>
      </c>
      <c r="AR17" s="211">
        <f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/>
      </c>
      <c r="AS17" s="211">
        <f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/>
      </c>
      <c r="AT17" s="211">
        <f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/>
      </c>
      <c r="AU17" s="211">
        <f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/>
      </c>
      <c r="AV17" s="211">
        <f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/>
      </c>
      <c r="AW17" s="211">
        <f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/>
      </c>
      <c r="AX17" s="211">
        <f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/>
      </c>
      <c r="AY17" s="211">
        <f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/>
      </c>
      <c r="AZ17" s="211">
        <f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/>
      </c>
      <c r="BA17" s="211">
        <f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/>
      </c>
      <c r="BB17" s="211">
        <f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/>
      </c>
      <c r="BC17" s="211">
        <f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/>
      </c>
      <c r="BD17" s="211">
        <f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/>
      </c>
      <c r="BE17" s="211">
        <f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/>
      </c>
      <c r="BF17" s="211">
        <f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/>
      </c>
      <c r="BG17" s="211">
        <f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/>
      </c>
      <c r="BH17" s="211">
        <f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/>
      </c>
      <c r="BI17" s="211">
        <f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/>
      </c>
      <c r="BJ17" s="211">
        <f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/>
      </c>
      <c r="BK17" s="211">
        <f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/>
      </c>
      <c r="BL17" s="211">
        <f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/>
      </c>
      <c r="BM17" s="211">
        <f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/>
      </c>
      <c r="BN17" s="211">
        <f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/>
      </c>
      <c r="BO17" s="211">
        <f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/>
      </c>
      <c r="BP17" s="211">
        <f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/>
      </c>
      <c r="BQ17" s="211">
        <f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/>
      </c>
      <c r="BR17" s="211">
        <f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/>
      </c>
      <c r="BS17" s="211">
        <f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/>
      </c>
      <c r="BT17" s="211">
        <f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/>
      </c>
      <c r="BU17" s="211">
        <f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/>
      </c>
      <c r="BV17" s="211">
        <f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/>
      </c>
      <c r="BW17" s="211">
        <f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/>
      </c>
      <c r="BX17" s="211">
        <f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/>
      </c>
      <c r="BY17" s="211">
        <f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/>
      </c>
      <c r="BZ17" s="211">
        <f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/>
      </c>
      <c r="CA17" s="211">
        <f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/>
      </c>
      <c r="CB17" s="211">
        <f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/>
      </c>
      <c r="CC17" s="211">
        <f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/>
      </c>
      <c r="CD17" s="211">
        <f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/>
      </c>
      <c r="CE17" s="211">
        <f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/>
      </c>
      <c r="CF17" s="211">
        <f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/>
      </c>
      <c r="CG17" s="211">
        <f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/>
      </c>
      <c r="CH17" s="211">
        <f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/>
      </c>
      <c r="CI17" s="226" t="n"/>
    </row>
    <row r="18" ht="15" customHeight="1" s="202">
      <c r="A18" s="210" t="inlineStr">
        <is>
          <t>GC Payroll Tax</t>
        </is>
      </c>
      <c r="B18" s="225" t="n"/>
      <c r="C18" s="211">
        <f>-Helpers!C4*Assumptions!$B$20</f>
        <v/>
      </c>
      <c r="D18" s="211">
        <f>-Helpers!D4*Assumptions!$B$20</f>
        <v/>
      </c>
      <c r="E18" s="211">
        <f>-Helpers!E4*Assumptions!$B$20</f>
        <v/>
      </c>
      <c r="F18" s="211">
        <f>-Helpers!F4*Assumptions!$B$20</f>
        <v/>
      </c>
      <c r="G18" s="211">
        <f>-Helpers!G4*Assumptions!$B$20</f>
        <v/>
      </c>
      <c r="H18" s="211">
        <f>-Helpers!H4*Assumptions!$B$20</f>
        <v/>
      </c>
      <c r="I18" s="211">
        <f>-Helpers!I4*Assumptions!$B$20</f>
        <v/>
      </c>
      <c r="J18" s="211">
        <f>-Helpers!J4*Assumptions!$B$20</f>
        <v/>
      </c>
      <c r="K18" s="211">
        <f>-Helpers!K4*Assumptions!$B$20</f>
        <v/>
      </c>
      <c r="L18" s="211">
        <f>-Helpers!L4*Assumptions!$B$20</f>
        <v/>
      </c>
      <c r="M18" s="211">
        <f>-Helpers!M4*Assumptions!$B$20</f>
        <v/>
      </c>
      <c r="N18" s="211">
        <f>-Helpers!N4*Assumptions!$B$20</f>
        <v/>
      </c>
      <c r="O18" s="211">
        <f>-Helpers!O4*Assumptions!$B$20</f>
        <v/>
      </c>
      <c r="P18" s="211">
        <f>-Helpers!P4*Assumptions!$B$20</f>
        <v/>
      </c>
      <c r="Q18" s="211">
        <f>-Helpers!Q4*Assumptions!$B$20</f>
        <v/>
      </c>
      <c r="R18" s="211">
        <f>-Helpers!R4*Assumptions!$B$20</f>
        <v/>
      </c>
      <c r="S18" s="211">
        <f>-Helpers!S4*Assumptions!$B$20</f>
        <v/>
      </c>
      <c r="T18" s="211">
        <f>-Helpers!T4*Assumptions!$B$20</f>
        <v/>
      </c>
      <c r="U18" s="211">
        <f>-Helpers!U4*Assumptions!$B$20</f>
        <v/>
      </c>
      <c r="V18" s="211">
        <f>-Helpers!V4*Assumptions!$B$20</f>
        <v/>
      </c>
      <c r="W18" s="211">
        <f>-Helpers!W4*Assumptions!$B$20</f>
        <v/>
      </c>
      <c r="X18" s="211">
        <f>-Helpers!X4*Assumptions!$B$20</f>
        <v/>
      </c>
      <c r="Y18" s="211">
        <f>-Helpers!Y4*Assumptions!$B$20</f>
        <v/>
      </c>
      <c r="Z18" s="211">
        <f>-Helpers!Z4*Assumptions!$B$20</f>
        <v/>
      </c>
      <c r="AA18" s="211">
        <f>-Helpers!AA4*Assumptions!$B$20</f>
        <v/>
      </c>
      <c r="AB18" s="211">
        <f>-Helpers!AB4*Assumptions!$B$20</f>
        <v/>
      </c>
      <c r="AC18" s="211">
        <f>-Helpers!AC4*Assumptions!$B$20</f>
        <v/>
      </c>
      <c r="AD18" s="211">
        <f>-Helpers!AD4*Assumptions!$B$20</f>
        <v/>
      </c>
      <c r="AE18" s="211">
        <f>-Helpers!AE4*Assumptions!$B$20</f>
        <v/>
      </c>
      <c r="AF18" s="211">
        <f>-Helpers!AF4*Assumptions!$B$20</f>
        <v/>
      </c>
      <c r="AG18" s="211">
        <f>-Helpers!AG4*Assumptions!$B$20</f>
        <v/>
      </c>
      <c r="AH18" s="211">
        <f>-Helpers!AH4*Assumptions!$B$20</f>
        <v/>
      </c>
      <c r="AI18" s="211">
        <f>-Helpers!AI4*Assumptions!$B$20</f>
        <v/>
      </c>
      <c r="AJ18" s="211">
        <f>-Helpers!AJ4*Assumptions!$B$20</f>
        <v/>
      </c>
      <c r="AK18" s="211">
        <f>-Helpers!AK4*Assumptions!$B$20</f>
        <v/>
      </c>
      <c r="AL18" s="211">
        <f>-Helpers!AL4*Assumptions!$B$20</f>
        <v/>
      </c>
      <c r="AM18" s="211">
        <f>-Helpers!AM4*Assumptions!$B$20</f>
        <v/>
      </c>
      <c r="AN18" s="211">
        <f>-Helpers!AN4*Assumptions!$B$20</f>
        <v/>
      </c>
      <c r="AO18" s="211">
        <f>-Helpers!AO4*Assumptions!$B$20</f>
        <v/>
      </c>
      <c r="AP18" s="211">
        <f>-Helpers!AP4*Assumptions!$B$20</f>
        <v/>
      </c>
      <c r="AQ18" s="211">
        <f>-Helpers!AQ4*Assumptions!$B$20</f>
        <v/>
      </c>
      <c r="AR18" s="211">
        <f>-Helpers!AR4*Assumptions!$B$20</f>
        <v/>
      </c>
      <c r="AS18" s="211">
        <f>-Helpers!AS4*Assumptions!$B$20</f>
        <v/>
      </c>
      <c r="AT18" s="211">
        <f>-Helpers!AT4*Assumptions!$B$20</f>
        <v/>
      </c>
      <c r="AU18" s="211">
        <f>-Helpers!AU4*Assumptions!$B$20</f>
        <v/>
      </c>
      <c r="AV18" s="211">
        <f>-Helpers!AV4*Assumptions!$B$20</f>
        <v/>
      </c>
      <c r="AW18" s="211">
        <f>-Helpers!AW4*Assumptions!$B$20</f>
        <v/>
      </c>
      <c r="AX18" s="211">
        <f>-Helpers!AX4*Assumptions!$B$20</f>
        <v/>
      </c>
      <c r="AY18" s="211">
        <f>-Helpers!AY4*Assumptions!$B$20</f>
        <v/>
      </c>
      <c r="AZ18" s="211">
        <f>-Helpers!AZ4*Assumptions!$B$20</f>
        <v/>
      </c>
      <c r="BA18" s="211">
        <f>-Helpers!BA4*Assumptions!$B$20</f>
        <v/>
      </c>
      <c r="BB18" s="211">
        <f>-Helpers!BB4*Assumptions!$B$20</f>
        <v/>
      </c>
      <c r="BC18" s="211">
        <f>-Helpers!BC4*Assumptions!$B$20</f>
        <v/>
      </c>
      <c r="BD18" s="211">
        <f>-Helpers!BD4*Assumptions!$B$20</f>
        <v/>
      </c>
      <c r="BE18" s="211">
        <f>-Helpers!BE4*Assumptions!$B$20</f>
        <v/>
      </c>
      <c r="BF18" s="211">
        <f>-Helpers!BF4*Assumptions!$B$20</f>
        <v/>
      </c>
      <c r="BG18" s="211">
        <f>-Helpers!BG4*Assumptions!$B$20</f>
        <v/>
      </c>
      <c r="BH18" s="211">
        <f>-Helpers!BH4*Assumptions!$B$20</f>
        <v/>
      </c>
      <c r="BI18" s="211">
        <f>-Helpers!BI4*Assumptions!$B$20</f>
        <v/>
      </c>
      <c r="BJ18" s="211">
        <f>-Helpers!BJ4*Assumptions!$B$20</f>
        <v/>
      </c>
      <c r="BK18" s="211">
        <f>-Helpers!BK4*Assumptions!$B$20</f>
        <v/>
      </c>
      <c r="BL18" s="211">
        <f>-Helpers!BL4*Assumptions!$B$20</f>
        <v/>
      </c>
      <c r="BM18" s="211">
        <f>-Helpers!BM4*Assumptions!$B$20</f>
        <v/>
      </c>
      <c r="BN18" s="211">
        <f>-Helpers!BN4*Assumptions!$B$20</f>
        <v/>
      </c>
      <c r="BO18" s="211">
        <f>-Helpers!BO4*Assumptions!$B$20</f>
        <v/>
      </c>
      <c r="BP18" s="211">
        <f>-Helpers!BP4*Assumptions!$B$20</f>
        <v/>
      </c>
      <c r="BQ18" s="211">
        <f>-Helpers!BQ4*Assumptions!$B$20</f>
        <v/>
      </c>
      <c r="BR18" s="211">
        <f>-Helpers!BR4*Assumptions!$B$20</f>
        <v/>
      </c>
      <c r="BS18" s="211">
        <f>-Helpers!BS4*Assumptions!$B$20</f>
        <v/>
      </c>
      <c r="BT18" s="211">
        <f>-Helpers!BT4*Assumptions!$B$20</f>
        <v/>
      </c>
      <c r="BU18" s="211">
        <f>-Helpers!BU4*Assumptions!$B$20</f>
        <v/>
      </c>
      <c r="BV18" s="211">
        <f>-Helpers!BV4*Assumptions!$B$20</f>
        <v/>
      </c>
      <c r="BW18" s="211">
        <f>-Helpers!BW4*Assumptions!$B$20</f>
        <v/>
      </c>
      <c r="BX18" s="211">
        <f>-Helpers!BX4*Assumptions!$B$20</f>
        <v/>
      </c>
      <c r="BY18" s="211">
        <f>-Helpers!BY4*Assumptions!$B$20</f>
        <v/>
      </c>
      <c r="BZ18" s="211">
        <f>-Helpers!BZ4*Assumptions!$B$20</f>
        <v/>
      </c>
      <c r="CA18" s="211">
        <f>-Helpers!CA4*Assumptions!$B$20</f>
        <v/>
      </c>
      <c r="CB18" s="211">
        <f>-Helpers!CB4*Assumptions!$B$20</f>
        <v/>
      </c>
      <c r="CC18" s="211">
        <f>-Helpers!CC4*Assumptions!$B$20</f>
        <v/>
      </c>
      <c r="CD18" s="211">
        <f>-Helpers!CD4*Assumptions!$B$20</f>
        <v/>
      </c>
      <c r="CE18" s="211">
        <f>-Helpers!CE4*Assumptions!$B$20</f>
        <v/>
      </c>
      <c r="CF18" s="211">
        <f>-Helpers!CF4*Assumptions!$B$20</f>
        <v/>
      </c>
      <c r="CG18" s="211">
        <f>-Helpers!CG4*Assumptions!$B$20</f>
        <v/>
      </c>
      <c r="CH18" s="211">
        <f>-Helpers!CH4*Assumptions!$B$20</f>
        <v/>
      </c>
      <c r="CI18" s="226" t="n"/>
    </row>
    <row r="19" ht="15" customHeight="1" s="202">
      <c r="A19" s="210" t="inlineStr">
        <is>
          <t>GC Payroll Servicing</t>
        </is>
      </c>
      <c r="B19" s="225" t="n"/>
      <c r="C19" s="211">
        <f>-Helpers!C4*Assumptions!$B$21</f>
        <v/>
      </c>
      <c r="D19" s="211">
        <f>-Helpers!D4*Assumptions!$B$21</f>
        <v/>
      </c>
      <c r="E19" s="211">
        <f>-Helpers!E4*Assumptions!$B$21</f>
        <v/>
      </c>
      <c r="F19" s="211">
        <f>-Helpers!F4*Assumptions!$B$21</f>
        <v/>
      </c>
      <c r="G19" s="211">
        <f>-Helpers!G4*Assumptions!$B$21</f>
        <v/>
      </c>
      <c r="H19" s="211">
        <f>-Helpers!H4*Assumptions!$B$21</f>
        <v/>
      </c>
      <c r="I19" s="211">
        <f>-Helpers!I4*Assumptions!$B$21</f>
        <v/>
      </c>
      <c r="J19" s="211">
        <f>-Helpers!J4*Assumptions!$B$21</f>
        <v/>
      </c>
      <c r="K19" s="211">
        <f>-Helpers!K4*Assumptions!$B$21</f>
        <v/>
      </c>
      <c r="L19" s="211">
        <f>-Helpers!L4*Assumptions!$B$21</f>
        <v/>
      </c>
      <c r="M19" s="211">
        <f>-Helpers!M4*Assumptions!$B$21</f>
        <v/>
      </c>
      <c r="N19" s="211">
        <f>-Helpers!N4*Assumptions!$B$21</f>
        <v/>
      </c>
      <c r="O19" s="211">
        <f>-Helpers!O4*Assumptions!$B$21</f>
        <v/>
      </c>
      <c r="P19" s="211">
        <f>-Helpers!P4*Assumptions!$B$21</f>
        <v/>
      </c>
      <c r="Q19" s="211">
        <f>-Helpers!Q4*Assumptions!$B$21</f>
        <v/>
      </c>
      <c r="R19" s="211">
        <f>-Helpers!R4*Assumptions!$B$21</f>
        <v/>
      </c>
      <c r="S19" s="211">
        <f>-Helpers!S4*Assumptions!$B$21</f>
        <v/>
      </c>
      <c r="T19" s="211">
        <f>-Helpers!T4*Assumptions!$B$21</f>
        <v/>
      </c>
      <c r="U19" s="211">
        <f>-Helpers!U4*Assumptions!$B$21</f>
        <v/>
      </c>
      <c r="V19" s="211">
        <f>-Helpers!V4*Assumptions!$B$21</f>
        <v/>
      </c>
      <c r="W19" s="211">
        <f>-Helpers!W4*Assumptions!$B$21</f>
        <v/>
      </c>
      <c r="X19" s="211">
        <f>-Helpers!X4*Assumptions!$B$21</f>
        <v/>
      </c>
      <c r="Y19" s="211">
        <f>-Helpers!Y4*Assumptions!$B$21</f>
        <v/>
      </c>
      <c r="Z19" s="211">
        <f>-Helpers!Z4*Assumptions!$B$21</f>
        <v/>
      </c>
      <c r="AA19" s="211">
        <f>-Helpers!AA4*Assumptions!$B$21</f>
        <v/>
      </c>
      <c r="AB19" s="211">
        <f>-Helpers!AB4*Assumptions!$B$21</f>
        <v/>
      </c>
      <c r="AC19" s="211">
        <f>-Helpers!AC4*Assumptions!$B$21</f>
        <v/>
      </c>
      <c r="AD19" s="211">
        <f>-Helpers!AD4*Assumptions!$B$21</f>
        <v/>
      </c>
      <c r="AE19" s="211">
        <f>-Helpers!AE4*Assumptions!$B$21</f>
        <v/>
      </c>
      <c r="AF19" s="211">
        <f>-Helpers!AF4*Assumptions!$B$21</f>
        <v/>
      </c>
      <c r="AG19" s="211">
        <f>-Helpers!AG4*Assumptions!$B$21</f>
        <v/>
      </c>
      <c r="AH19" s="211">
        <f>-Helpers!AH4*Assumptions!$B$21</f>
        <v/>
      </c>
      <c r="AI19" s="211">
        <f>-Helpers!AI4*Assumptions!$B$21</f>
        <v/>
      </c>
      <c r="AJ19" s="211">
        <f>-Helpers!AJ4*Assumptions!$B$21</f>
        <v/>
      </c>
      <c r="AK19" s="211">
        <f>-Helpers!AK4*Assumptions!$B$21</f>
        <v/>
      </c>
      <c r="AL19" s="211">
        <f>-Helpers!AL4*Assumptions!$B$21</f>
        <v/>
      </c>
      <c r="AM19" s="211">
        <f>-Helpers!AM4*Assumptions!$B$21</f>
        <v/>
      </c>
      <c r="AN19" s="211">
        <f>-Helpers!AN4*Assumptions!$B$21</f>
        <v/>
      </c>
      <c r="AO19" s="211">
        <f>-Helpers!AO4*Assumptions!$B$21</f>
        <v/>
      </c>
      <c r="AP19" s="211">
        <f>-Helpers!AP4*Assumptions!$B$21</f>
        <v/>
      </c>
      <c r="AQ19" s="211">
        <f>-Helpers!AQ4*Assumptions!$B$21</f>
        <v/>
      </c>
      <c r="AR19" s="211">
        <f>-Helpers!AR4*Assumptions!$B$21</f>
        <v/>
      </c>
      <c r="AS19" s="211">
        <f>-Helpers!AS4*Assumptions!$B$21</f>
        <v/>
      </c>
      <c r="AT19" s="211">
        <f>-Helpers!AT4*Assumptions!$B$21</f>
        <v/>
      </c>
      <c r="AU19" s="211">
        <f>-Helpers!AU4*Assumptions!$B$21</f>
        <v/>
      </c>
      <c r="AV19" s="211">
        <f>-Helpers!AV4*Assumptions!$B$21</f>
        <v/>
      </c>
      <c r="AW19" s="211">
        <f>-Helpers!AW4*Assumptions!$B$21</f>
        <v/>
      </c>
      <c r="AX19" s="211">
        <f>-Helpers!AX4*Assumptions!$B$21</f>
        <v/>
      </c>
      <c r="AY19" s="211">
        <f>-Helpers!AY4*Assumptions!$B$21</f>
        <v/>
      </c>
      <c r="AZ19" s="211">
        <f>-Helpers!AZ4*Assumptions!$B$21</f>
        <v/>
      </c>
      <c r="BA19" s="211">
        <f>-Helpers!BA4*Assumptions!$B$21</f>
        <v/>
      </c>
      <c r="BB19" s="211">
        <f>-Helpers!BB4*Assumptions!$B$21</f>
        <v/>
      </c>
      <c r="BC19" s="211">
        <f>-Helpers!BC4*Assumptions!$B$21</f>
        <v/>
      </c>
      <c r="BD19" s="211">
        <f>-Helpers!BD4*Assumptions!$B$21</f>
        <v/>
      </c>
      <c r="BE19" s="211">
        <f>-Helpers!BE4*Assumptions!$B$21</f>
        <v/>
      </c>
      <c r="BF19" s="211">
        <f>-Helpers!BF4*Assumptions!$B$21</f>
        <v/>
      </c>
      <c r="BG19" s="211">
        <f>-Helpers!BG4*Assumptions!$B$21</f>
        <v/>
      </c>
      <c r="BH19" s="211">
        <f>-Helpers!BH4*Assumptions!$B$21</f>
        <v/>
      </c>
      <c r="BI19" s="211">
        <f>-Helpers!BI4*Assumptions!$B$21</f>
        <v/>
      </c>
      <c r="BJ19" s="211">
        <f>-Helpers!BJ4*Assumptions!$B$21</f>
        <v/>
      </c>
      <c r="BK19" s="211">
        <f>-Helpers!BK4*Assumptions!$B$21</f>
        <v/>
      </c>
      <c r="BL19" s="211">
        <f>-Helpers!BL4*Assumptions!$B$21</f>
        <v/>
      </c>
      <c r="BM19" s="211">
        <f>-Helpers!BM4*Assumptions!$B$21</f>
        <v/>
      </c>
      <c r="BN19" s="211">
        <f>-Helpers!BN4*Assumptions!$B$21</f>
        <v/>
      </c>
      <c r="BO19" s="211">
        <f>-Helpers!BO4*Assumptions!$B$21</f>
        <v/>
      </c>
      <c r="BP19" s="211">
        <f>-Helpers!BP4*Assumptions!$B$21</f>
        <v/>
      </c>
      <c r="BQ19" s="211">
        <f>-Helpers!BQ4*Assumptions!$B$21</f>
        <v/>
      </c>
      <c r="BR19" s="211">
        <f>-Helpers!BR4*Assumptions!$B$21</f>
        <v/>
      </c>
      <c r="BS19" s="211">
        <f>-Helpers!BS4*Assumptions!$B$21</f>
        <v/>
      </c>
      <c r="BT19" s="211">
        <f>-Helpers!BT4*Assumptions!$B$21</f>
        <v/>
      </c>
      <c r="BU19" s="211">
        <f>-Helpers!BU4*Assumptions!$B$21</f>
        <v/>
      </c>
      <c r="BV19" s="211">
        <f>-Helpers!BV4*Assumptions!$B$21</f>
        <v/>
      </c>
      <c r="BW19" s="211">
        <f>-Helpers!BW4*Assumptions!$B$21</f>
        <v/>
      </c>
      <c r="BX19" s="211">
        <f>-Helpers!BX4*Assumptions!$B$21</f>
        <v/>
      </c>
      <c r="BY19" s="211">
        <f>-Helpers!BY4*Assumptions!$B$21</f>
        <v/>
      </c>
      <c r="BZ19" s="211">
        <f>-Helpers!BZ4*Assumptions!$B$21</f>
        <v/>
      </c>
      <c r="CA19" s="211">
        <f>-Helpers!CA4*Assumptions!$B$21</f>
        <v/>
      </c>
      <c r="CB19" s="211">
        <f>-Helpers!CB4*Assumptions!$B$21</f>
        <v/>
      </c>
      <c r="CC19" s="211">
        <f>-Helpers!CC4*Assumptions!$B$21</f>
        <v/>
      </c>
      <c r="CD19" s="211">
        <f>-Helpers!CD4*Assumptions!$B$21</f>
        <v/>
      </c>
      <c r="CE19" s="211">
        <f>-Helpers!CE4*Assumptions!$B$21</f>
        <v/>
      </c>
      <c r="CF19" s="211">
        <f>-Helpers!CF4*Assumptions!$B$21</f>
        <v/>
      </c>
      <c r="CG19" s="211">
        <f>-Helpers!CG4*Assumptions!$B$21</f>
        <v/>
      </c>
      <c r="CH19" s="211">
        <f>-Helpers!CH4*Assumptions!$B$21</f>
        <v/>
      </c>
      <c r="CI19" s="226" t="n"/>
    </row>
    <row r="20" ht="15" customHeight="1" s="202">
      <c r="A20" s="210" t="inlineStr">
        <is>
          <t>GC Employee Benefits</t>
        </is>
      </c>
      <c r="B20" s="225" t="n"/>
      <c r="C20" s="211">
        <f>-Helpers!C4*Assumptions!$B$22</f>
        <v/>
      </c>
      <c r="D20" s="211">
        <f>-Helpers!D4*Assumptions!$B$22</f>
        <v/>
      </c>
      <c r="E20" s="211">
        <f>-Helpers!E4*Assumptions!$B$22</f>
        <v/>
      </c>
      <c r="F20" s="211">
        <f>-Helpers!F4*Assumptions!$B$22</f>
        <v/>
      </c>
      <c r="G20" s="211">
        <f>-Helpers!G4*Assumptions!$B$22</f>
        <v/>
      </c>
      <c r="H20" s="211">
        <f>-Helpers!H4*Assumptions!$B$22</f>
        <v/>
      </c>
      <c r="I20" s="211">
        <f>-Helpers!I4*Assumptions!$B$22</f>
        <v/>
      </c>
      <c r="J20" s="211">
        <f>-Helpers!J4*Assumptions!$B$22</f>
        <v/>
      </c>
      <c r="K20" s="211">
        <f>-Helpers!K4*Assumptions!$B$22</f>
        <v/>
      </c>
      <c r="L20" s="211">
        <f>-Helpers!L4*Assumptions!$B$22</f>
        <v/>
      </c>
      <c r="M20" s="211">
        <f>-Helpers!M4*Assumptions!$B$22</f>
        <v/>
      </c>
      <c r="N20" s="211">
        <f>-Helpers!N4*Assumptions!$B$22</f>
        <v/>
      </c>
      <c r="O20" s="211">
        <f>-Helpers!O4*Assumptions!$B$22</f>
        <v/>
      </c>
      <c r="P20" s="211">
        <f>-Helpers!P4*Assumptions!$B$22</f>
        <v/>
      </c>
      <c r="Q20" s="211">
        <f>-Helpers!Q4*Assumptions!$B$22</f>
        <v/>
      </c>
      <c r="R20" s="211">
        <f>-Helpers!R4*Assumptions!$B$22</f>
        <v/>
      </c>
      <c r="S20" s="211">
        <f>-Helpers!S4*Assumptions!$B$22</f>
        <v/>
      </c>
      <c r="T20" s="211">
        <f>-Helpers!T4*Assumptions!$B$22</f>
        <v/>
      </c>
      <c r="U20" s="211">
        <f>-Helpers!U4*Assumptions!$B$22</f>
        <v/>
      </c>
      <c r="V20" s="211">
        <f>-Helpers!V4*Assumptions!$B$22</f>
        <v/>
      </c>
      <c r="W20" s="211">
        <f>-Helpers!W4*Assumptions!$B$22</f>
        <v/>
      </c>
      <c r="X20" s="211">
        <f>-Helpers!X4*Assumptions!$B$22</f>
        <v/>
      </c>
      <c r="Y20" s="211">
        <f>-Helpers!Y4*Assumptions!$B$22</f>
        <v/>
      </c>
      <c r="Z20" s="211">
        <f>-Helpers!Z4*Assumptions!$B$22</f>
        <v/>
      </c>
      <c r="AA20" s="211">
        <f>-Helpers!AA4*Assumptions!$B$22</f>
        <v/>
      </c>
      <c r="AB20" s="211">
        <f>-Helpers!AB4*Assumptions!$B$22</f>
        <v/>
      </c>
      <c r="AC20" s="211">
        <f>-Helpers!AC4*Assumptions!$B$22</f>
        <v/>
      </c>
      <c r="AD20" s="211">
        <f>-Helpers!AD4*Assumptions!$B$22</f>
        <v/>
      </c>
      <c r="AE20" s="211">
        <f>-Helpers!AE4*Assumptions!$B$22</f>
        <v/>
      </c>
      <c r="AF20" s="211">
        <f>-Helpers!AF4*Assumptions!$B$22</f>
        <v/>
      </c>
      <c r="AG20" s="211">
        <f>-Helpers!AG4*Assumptions!$B$22</f>
        <v/>
      </c>
      <c r="AH20" s="211">
        <f>-Helpers!AH4*Assumptions!$B$22</f>
        <v/>
      </c>
      <c r="AI20" s="211">
        <f>-Helpers!AI4*Assumptions!$B$22</f>
        <v/>
      </c>
      <c r="AJ20" s="211">
        <f>-Helpers!AJ4*Assumptions!$B$22</f>
        <v/>
      </c>
      <c r="AK20" s="211">
        <f>-Helpers!AK4*Assumptions!$B$22</f>
        <v/>
      </c>
      <c r="AL20" s="211">
        <f>-Helpers!AL4*Assumptions!$B$22</f>
        <v/>
      </c>
      <c r="AM20" s="211">
        <f>-Helpers!AM4*Assumptions!$B$22</f>
        <v/>
      </c>
      <c r="AN20" s="211">
        <f>-Helpers!AN4*Assumptions!$B$22</f>
        <v/>
      </c>
      <c r="AO20" s="211">
        <f>-Helpers!AO4*Assumptions!$B$22</f>
        <v/>
      </c>
      <c r="AP20" s="211">
        <f>-Helpers!AP4*Assumptions!$B$22</f>
        <v/>
      </c>
      <c r="AQ20" s="211">
        <f>-Helpers!AQ4*Assumptions!$B$22</f>
        <v/>
      </c>
      <c r="AR20" s="211">
        <f>-Helpers!AR4*Assumptions!$B$22</f>
        <v/>
      </c>
      <c r="AS20" s="211">
        <f>-Helpers!AS4*Assumptions!$B$22</f>
        <v/>
      </c>
      <c r="AT20" s="211">
        <f>-Helpers!AT4*Assumptions!$B$22</f>
        <v/>
      </c>
      <c r="AU20" s="211">
        <f>-Helpers!AU4*Assumptions!$B$22</f>
        <v/>
      </c>
      <c r="AV20" s="211">
        <f>-Helpers!AV4*Assumptions!$B$22</f>
        <v/>
      </c>
      <c r="AW20" s="211">
        <f>-Helpers!AW4*Assumptions!$B$22</f>
        <v/>
      </c>
      <c r="AX20" s="211">
        <f>-Helpers!AX4*Assumptions!$B$22</f>
        <v/>
      </c>
      <c r="AY20" s="211">
        <f>-Helpers!AY4*Assumptions!$B$22</f>
        <v/>
      </c>
      <c r="AZ20" s="211">
        <f>-Helpers!AZ4*Assumptions!$B$22</f>
        <v/>
      </c>
      <c r="BA20" s="211">
        <f>-Helpers!BA4*Assumptions!$B$22</f>
        <v/>
      </c>
      <c r="BB20" s="211">
        <f>-Helpers!BB4*Assumptions!$B$22</f>
        <v/>
      </c>
      <c r="BC20" s="211">
        <f>-Helpers!BC4*Assumptions!$B$22</f>
        <v/>
      </c>
      <c r="BD20" s="211">
        <f>-Helpers!BD4*Assumptions!$B$22</f>
        <v/>
      </c>
      <c r="BE20" s="211">
        <f>-Helpers!BE4*Assumptions!$B$22</f>
        <v/>
      </c>
      <c r="BF20" s="211">
        <f>-Helpers!BF4*Assumptions!$B$22</f>
        <v/>
      </c>
      <c r="BG20" s="211">
        <f>-Helpers!BG4*Assumptions!$B$22</f>
        <v/>
      </c>
      <c r="BH20" s="211">
        <f>-Helpers!BH4*Assumptions!$B$22</f>
        <v/>
      </c>
      <c r="BI20" s="211">
        <f>-Helpers!BI4*Assumptions!$B$22</f>
        <v/>
      </c>
      <c r="BJ20" s="211">
        <f>-Helpers!BJ4*Assumptions!$B$22</f>
        <v/>
      </c>
      <c r="BK20" s="211">
        <f>-Helpers!BK4*Assumptions!$B$22</f>
        <v/>
      </c>
      <c r="BL20" s="211">
        <f>-Helpers!BL4*Assumptions!$B$22</f>
        <v/>
      </c>
      <c r="BM20" s="211">
        <f>-Helpers!BM4*Assumptions!$B$22</f>
        <v/>
      </c>
      <c r="BN20" s="211">
        <f>-Helpers!BN4*Assumptions!$B$22</f>
        <v/>
      </c>
      <c r="BO20" s="211">
        <f>-Helpers!BO4*Assumptions!$B$22</f>
        <v/>
      </c>
      <c r="BP20" s="211">
        <f>-Helpers!BP4*Assumptions!$B$22</f>
        <v/>
      </c>
      <c r="BQ20" s="211">
        <f>-Helpers!BQ4*Assumptions!$B$22</f>
        <v/>
      </c>
      <c r="BR20" s="211">
        <f>-Helpers!BR4*Assumptions!$B$22</f>
        <v/>
      </c>
      <c r="BS20" s="211">
        <f>-Helpers!BS4*Assumptions!$B$22</f>
        <v/>
      </c>
      <c r="BT20" s="211">
        <f>-Helpers!BT4*Assumptions!$B$22</f>
        <v/>
      </c>
      <c r="BU20" s="211">
        <f>-Helpers!BU4*Assumptions!$B$22</f>
        <v/>
      </c>
      <c r="BV20" s="211">
        <f>-Helpers!BV4*Assumptions!$B$22</f>
        <v/>
      </c>
      <c r="BW20" s="211">
        <f>-Helpers!BW4*Assumptions!$B$22</f>
        <v/>
      </c>
      <c r="BX20" s="211">
        <f>-Helpers!BX4*Assumptions!$B$22</f>
        <v/>
      </c>
      <c r="BY20" s="211">
        <f>-Helpers!BY4*Assumptions!$B$22</f>
        <v/>
      </c>
      <c r="BZ20" s="211">
        <f>-Helpers!BZ4*Assumptions!$B$22</f>
        <v/>
      </c>
      <c r="CA20" s="211">
        <f>-Helpers!CA4*Assumptions!$B$22</f>
        <v/>
      </c>
      <c r="CB20" s="211">
        <f>-Helpers!CB4*Assumptions!$B$22</f>
        <v/>
      </c>
      <c r="CC20" s="211">
        <f>-Helpers!CC4*Assumptions!$B$22</f>
        <v/>
      </c>
      <c r="CD20" s="211">
        <f>-Helpers!CD4*Assumptions!$B$22</f>
        <v/>
      </c>
      <c r="CE20" s="211">
        <f>-Helpers!CE4*Assumptions!$B$22</f>
        <v/>
      </c>
      <c r="CF20" s="211">
        <f>-Helpers!CF4*Assumptions!$B$22</f>
        <v/>
      </c>
      <c r="CG20" s="211">
        <f>-Helpers!CG4*Assumptions!$B$22</f>
        <v/>
      </c>
      <c r="CH20" s="211">
        <f>-Helpers!CH4*Assumptions!$B$22</f>
        <v/>
      </c>
      <c r="CI20" s="226" t="n"/>
    </row>
    <row r="21" ht="15" customHeight="1" s="202">
      <c r="A21" s="210" t="inlineStr">
        <is>
          <t>GC Workers Comp</t>
        </is>
      </c>
      <c r="B21" s="225" t="n"/>
      <c r="C21" s="211">
        <f>-Helpers!C4*Assumptions!$B$23</f>
        <v/>
      </c>
      <c r="D21" s="211">
        <f>-Helpers!D4*Assumptions!$B$23</f>
        <v/>
      </c>
      <c r="E21" s="211">
        <f>-Helpers!E4*Assumptions!$B$23</f>
        <v/>
      </c>
      <c r="F21" s="211">
        <f>-Helpers!F4*Assumptions!$B$23</f>
        <v/>
      </c>
      <c r="G21" s="211">
        <f>-Helpers!G4*Assumptions!$B$23</f>
        <v/>
      </c>
      <c r="H21" s="211">
        <f>-Helpers!H4*Assumptions!$B$23</f>
        <v/>
      </c>
      <c r="I21" s="211">
        <f>-Helpers!I4*Assumptions!$B$23</f>
        <v/>
      </c>
      <c r="J21" s="211">
        <f>-Helpers!J4*Assumptions!$B$23</f>
        <v/>
      </c>
      <c r="K21" s="211">
        <f>-Helpers!K4*Assumptions!$B$23</f>
        <v/>
      </c>
      <c r="L21" s="211">
        <f>-Helpers!L4*Assumptions!$B$23</f>
        <v/>
      </c>
      <c r="M21" s="211">
        <f>-Helpers!M4*Assumptions!$B$23</f>
        <v/>
      </c>
      <c r="N21" s="211">
        <f>-Helpers!N4*Assumptions!$B$23</f>
        <v/>
      </c>
      <c r="O21" s="211">
        <f>-Helpers!O4*Assumptions!$B$23</f>
        <v/>
      </c>
      <c r="P21" s="211">
        <f>-Helpers!P4*Assumptions!$B$23</f>
        <v/>
      </c>
      <c r="Q21" s="211">
        <f>-Helpers!Q4*Assumptions!$B$23</f>
        <v/>
      </c>
      <c r="R21" s="211">
        <f>-Helpers!R4*Assumptions!$B$23</f>
        <v/>
      </c>
      <c r="S21" s="211">
        <f>-Helpers!S4*Assumptions!$B$23</f>
        <v/>
      </c>
      <c r="T21" s="211">
        <f>-Helpers!T4*Assumptions!$B$23</f>
        <v/>
      </c>
      <c r="U21" s="211">
        <f>-Helpers!U4*Assumptions!$B$23</f>
        <v/>
      </c>
      <c r="V21" s="211">
        <f>-Helpers!V4*Assumptions!$B$23</f>
        <v/>
      </c>
      <c r="W21" s="211">
        <f>-Helpers!W4*Assumptions!$B$23</f>
        <v/>
      </c>
      <c r="X21" s="211">
        <f>-Helpers!X4*Assumptions!$B$23</f>
        <v/>
      </c>
      <c r="Y21" s="211">
        <f>-Helpers!Y4*Assumptions!$B$23</f>
        <v/>
      </c>
      <c r="Z21" s="211">
        <f>-Helpers!Z4*Assumptions!$B$23</f>
        <v/>
      </c>
      <c r="AA21" s="211">
        <f>-Helpers!AA4*Assumptions!$B$23</f>
        <v/>
      </c>
      <c r="AB21" s="211">
        <f>-Helpers!AB4*Assumptions!$B$23</f>
        <v/>
      </c>
      <c r="AC21" s="211">
        <f>-Helpers!AC4*Assumptions!$B$23</f>
        <v/>
      </c>
      <c r="AD21" s="211">
        <f>-Helpers!AD4*Assumptions!$B$23</f>
        <v/>
      </c>
      <c r="AE21" s="211">
        <f>-Helpers!AE4*Assumptions!$B$23</f>
        <v/>
      </c>
      <c r="AF21" s="211">
        <f>-Helpers!AF4*Assumptions!$B$23</f>
        <v/>
      </c>
      <c r="AG21" s="211">
        <f>-Helpers!AG4*Assumptions!$B$23</f>
        <v/>
      </c>
      <c r="AH21" s="211">
        <f>-Helpers!AH4*Assumptions!$B$23</f>
        <v/>
      </c>
      <c r="AI21" s="211">
        <f>-Helpers!AI4*Assumptions!$B$23</f>
        <v/>
      </c>
      <c r="AJ21" s="211">
        <f>-Helpers!AJ4*Assumptions!$B$23</f>
        <v/>
      </c>
      <c r="AK21" s="211">
        <f>-Helpers!AK4*Assumptions!$B$23</f>
        <v/>
      </c>
      <c r="AL21" s="211">
        <f>-Helpers!AL4*Assumptions!$B$23</f>
        <v/>
      </c>
      <c r="AM21" s="211">
        <f>-Helpers!AM4*Assumptions!$B$23</f>
        <v/>
      </c>
      <c r="AN21" s="211">
        <f>-Helpers!AN4*Assumptions!$B$23</f>
        <v/>
      </c>
      <c r="AO21" s="211">
        <f>-Helpers!AO4*Assumptions!$B$23</f>
        <v/>
      </c>
      <c r="AP21" s="211">
        <f>-Helpers!AP4*Assumptions!$B$23</f>
        <v/>
      </c>
      <c r="AQ21" s="211">
        <f>-Helpers!AQ4*Assumptions!$B$23</f>
        <v/>
      </c>
      <c r="AR21" s="211">
        <f>-Helpers!AR4*Assumptions!$B$23</f>
        <v/>
      </c>
      <c r="AS21" s="211">
        <f>-Helpers!AS4*Assumptions!$B$23</f>
        <v/>
      </c>
      <c r="AT21" s="211">
        <f>-Helpers!AT4*Assumptions!$B$23</f>
        <v/>
      </c>
      <c r="AU21" s="211">
        <f>-Helpers!AU4*Assumptions!$B$23</f>
        <v/>
      </c>
      <c r="AV21" s="211">
        <f>-Helpers!AV4*Assumptions!$B$23</f>
        <v/>
      </c>
      <c r="AW21" s="211">
        <f>-Helpers!AW4*Assumptions!$B$23</f>
        <v/>
      </c>
      <c r="AX21" s="211">
        <f>-Helpers!AX4*Assumptions!$B$23</f>
        <v/>
      </c>
      <c r="AY21" s="211">
        <f>-Helpers!AY4*Assumptions!$B$23</f>
        <v/>
      </c>
      <c r="AZ21" s="211">
        <f>-Helpers!AZ4*Assumptions!$B$23</f>
        <v/>
      </c>
      <c r="BA21" s="211">
        <f>-Helpers!BA4*Assumptions!$B$23</f>
        <v/>
      </c>
      <c r="BB21" s="211">
        <f>-Helpers!BB4*Assumptions!$B$23</f>
        <v/>
      </c>
      <c r="BC21" s="211">
        <f>-Helpers!BC4*Assumptions!$B$23</f>
        <v/>
      </c>
      <c r="BD21" s="211">
        <f>-Helpers!BD4*Assumptions!$B$23</f>
        <v/>
      </c>
      <c r="BE21" s="211">
        <f>-Helpers!BE4*Assumptions!$B$23</f>
        <v/>
      </c>
      <c r="BF21" s="211">
        <f>-Helpers!BF4*Assumptions!$B$23</f>
        <v/>
      </c>
      <c r="BG21" s="211">
        <f>-Helpers!BG4*Assumptions!$B$23</f>
        <v/>
      </c>
      <c r="BH21" s="211">
        <f>-Helpers!BH4*Assumptions!$B$23</f>
        <v/>
      </c>
      <c r="BI21" s="211">
        <f>-Helpers!BI4*Assumptions!$B$23</f>
        <v/>
      </c>
      <c r="BJ21" s="211">
        <f>-Helpers!BJ4*Assumptions!$B$23</f>
        <v/>
      </c>
      <c r="BK21" s="211">
        <f>-Helpers!BK4*Assumptions!$B$23</f>
        <v/>
      </c>
      <c r="BL21" s="211">
        <f>-Helpers!BL4*Assumptions!$B$23</f>
        <v/>
      </c>
      <c r="BM21" s="211">
        <f>-Helpers!BM4*Assumptions!$B$23</f>
        <v/>
      </c>
      <c r="BN21" s="211">
        <f>-Helpers!BN4*Assumptions!$B$23</f>
        <v/>
      </c>
      <c r="BO21" s="211">
        <f>-Helpers!BO4*Assumptions!$B$23</f>
        <v/>
      </c>
      <c r="BP21" s="211">
        <f>-Helpers!BP4*Assumptions!$B$23</f>
        <v/>
      </c>
      <c r="BQ21" s="211">
        <f>-Helpers!BQ4*Assumptions!$B$23</f>
        <v/>
      </c>
      <c r="BR21" s="211">
        <f>-Helpers!BR4*Assumptions!$B$23</f>
        <v/>
      </c>
      <c r="BS21" s="211">
        <f>-Helpers!BS4*Assumptions!$B$23</f>
        <v/>
      </c>
      <c r="BT21" s="211">
        <f>-Helpers!BT4*Assumptions!$B$23</f>
        <v/>
      </c>
      <c r="BU21" s="211">
        <f>-Helpers!BU4*Assumptions!$B$23</f>
        <v/>
      </c>
      <c r="BV21" s="211">
        <f>-Helpers!BV4*Assumptions!$B$23</f>
        <v/>
      </c>
      <c r="BW21" s="211">
        <f>-Helpers!BW4*Assumptions!$B$23</f>
        <v/>
      </c>
      <c r="BX21" s="211">
        <f>-Helpers!BX4*Assumptions!$B$23</f>
        <v/>
      </c>
      <c r="BY21" s="211">
        <f>-Helpers!BY4*Assumptions!$B$23</f>
        <v/>
      </c>
      <c r="BZ21" s="211">
        <f>-Helpers!BZ4*Assumptions!$B$23</f>
        <v/>
      </c>
      <c r="CA21" s="211">
        <f>-Helpers!CA4*Assumptions!$B$23</f>
        <v/>
      </c>
      <c r="CB21" s="211">
        <f>-Helpers!CB4*Assumptions!$B$23</f>
        <v/>
      </c>
      <c r="CC21" s="211">
        <f>-Helpers!CC4*Assumptions!$B$23</f>
        <v/>
      </c>
      <c r="CD21" s="211">
        <f>-Helpers!CD4*Assumptions!$B$23</f>
        <v/>
      </c>
      <c r="CE21" s="211">
        <f>-Helpers!CE4*Assumptions!$B$23</f>
        <v/>
      </c>
      <c r="CF21" s="211">
        <f>-Helpers!CF4*Assumptions!$B$23</f>
        <v/>
      </c>
      <c r="CG21" s="211">
        <f>-Helpers!CG4*Assumptions!$B$23</f>
        <v/>
      </c>
      <c r="CH21" s="211">
        <f>-Helpers!CH4*Assumptions!$B$23</f>
        <v/>
      </c>
      <c r="CI21" s="226" t="n"/>
    </row>
    <row r="22" ht="15" customHeight="1" s="202">
      <c r="A22" s="210" t="inlineStr">
        <is>
          <t>Rent Expense</t>
        </is>
      </c>
      <c r="B22" s="225" t="n"/>
      <c r="C22" s="211">
        <f>-10000*Escalation!$B$2</f>
        <v/>
      </c>
      <c r="D22" s="211">
        <f>-10000*Escalation!$B$3</f>
        <v/>
      </c>
      <c r="E22" s="211">
        <f>-10000*Escalation!$B$4</f>
        <v/>
      </c>
      <c r="F22" s="211">
        <f>-10000*Escalation!$B$5</f>
        <v/>
      </c>
      <c r="G22" s="211">
        <f>-10000*Escalation!$B$6</f>
        <v/>
      </c>
      <c r="H22" s="211">
        <f>-10000*Escalation!$B$7</f>
        <v/>
      </c>
      <c r="I22" s="211">
        <f>-10000*Escalation!$B$8</f>
        <v/>
      </c>
      <c r="J22" s="211">
        <f>-10000*Escalation!$B$9</f>
        <v/>
      </c>
      <c r="K22" s="211">
        <f>-10000*Escalation!$B$10</f>
        <v/>
      </c>
      <c r="L22" s="211">
        <f>-10000*Escalation!$B$11</f>
        <v/>
      </c>
      <c r="M22" s="211">
        <f>-10000*Escalation!$B$12</f>
        <v/>
      </c>
      <c r="N22" s="211">
        <f>-10000*Escalation!$B$13</f>
        <v/>
      </c>
      <c r="O22" s="211">
        <f>-10000*Escalation!$B$14</f>
        <v/>
      </c>
      <c r="P22" s="211">
        <f>-10000*Escalation!$B$15</f>
        <v/>
      </c>
      <c r="Q22" s="211">
        <f>-10000*Escalation!$B$16</f>
        <v/>
      </c>
      <c r="R22" s="211">
        <f>-10000*Escalation!$B$17</f>
        <v/>
      </c>
      <c r="S22" s="211">
        <f>-10000*Escalation!$B$18</f>
        <v/>
      </c>
      <c r="T22" s="211">
        <f>-10000*Escalation!$B$19</f>
        <v/>
      </c>
      <c r="U22" s="211">
        <f>-10000*Escalation!$B$20</f>
        <v/>
      </c>
      <c r="V22" s="211">
        <f>-10000*Escalation!$B$21</f>
        <v/>
      </c>
      <c r="W22" s="211">
        <f>-10000*Escalation!$B$22</f>
        <v/>
      </c>
      <c r="X22" s="211">
        <f>-10000*Escalation!$B$23</f>
        <v/>
      </c>
      <c r="Y22" s="211">
        <f>-10000*Escalation!$B$24</f>
        <v/>
      </c>
      <c r="Z22" s="211">
        <f>-10000*Escalation!$B$25</f>
        <v/>
      </c>
      <c r="AA22" s="211">
        <f>-10000*Escalation!$B$26</f>
        <v/>
      </c>
      <c r="AB22" s="211">
        <f>-10000*Escalation!$B$27</f>
        <v/>
      </c>
      <c r="AC22" s="211">
        <f>-10000*Escalation!$B$28</f>
        <v/>
      </c>
      <c r="AD22" s="211">
        <f>-10000*Escalation!$B$29</f>
        <v/>
      </c>
      <c r="AE22" s="211">
        <f>-10000*Escalation!$B$30</f>
        <v/>
      </c>
      <c r="AF22" s="211">
        <f>-10000*Escalation!$B$31</f>
        <v/>
      </c>
      <c r="AG22" s="211">
        <f>-10000*Escalation!$B$32</f>
        <v/>
      </c>
      <c r="AH22" s="211">
        <f>-10000*Escalation!$B$33</f>
        <v/>
      </c>
      <c r="AI22" s="211">
        <f>-10000*Escalation!$B$34</f>
        <v/>
      </c>
      <c r="AJ22" s="211">
        <f>-10000*Escalation!$B$35</f>
        <v/>
      </c>
      <c r="AK22" s="211">
        <f>-10000*Escalation!$B$36</f>
        <v/>
      </c>
      <c r="AL22" s="211">
        <f>-10000*Escalation!$B$37</f>
        <v/>
      </c>
      <c r="AM22" s="211">
        <f>-10000*Escalation!$B$38</f>
        <v/>
      </c>
      <c r="AN22" s="211">
        <f>-10000*Escalation!$B$39</f>
        <v/>
      </c>
      <c r="AO22" s="211">
        <f>-10000*Escalation!$B$40</f>
        <v/>
      </c>
      <c r="AP22" s="211">
        <f>-10000*Escalation!$B$41</f>
        <v/>
      </c>
      <c r="AQ22" s="211">
        <f>-10000*Escalation!$B$42</f>
        <v/>
      </c>
      <c r="AR22" s="211">
        <f>-10000*Escalation!$B$43</f>
        <v/>
      </c>
      <c r="AS22" s="211">
        <f>-10000*Escalation!$B$44</f>
        <v/>
      </c>
      <c r="AT22" s="211">
        <f>-10000*Escalation!$B$45</f>
        <v/>
      </c>
      <c r="AU22" s="211">
        <f>-10000*Escalation!$B$46</f>
        <v/>
      </c>
      <c r="AV22" s="211">
        <f>-10000*Escalation!$B$47</f>
        <v/>
      </c>
      <c r="AW22" s="211">
        <f>-10000*Escalation!$B$48</f>
        <v/>
      </c>
      <c r="AX22" s="211">
        <f>-10000*Escalation!$B$49</f>
        <v/>
      </c>
      <c r="AY22" s="211">
        <f>-10000*Escalation!$B$50</f>
        <v/>
      </c>
      <c r="AZ22" s="211">
        <f>-10000*Escalation!$B$51</f>
        <v/>
      </c>
      <c r="BA22" s="211">
        <f>-10000*Escalation!$B$52</f>
        <v/>
      </c>
      <c r="BB22" s="211">
        <f>-10000*Escalation!$B$53</f>
        <v/>
      </c>
      <c r="BC22" s="211">
        <f>-10000*Escalation!$B$54</f>
        <v/>
      </c>
      <c r="BD22" s="211">
        <f>-10000*Escalation!$B$55</f>
        <v/>
      </c>
      <c r="BE22" s="211">
        <f>-10000*Escalation!$B$56</f>
        <v/>
      </c>
      <c r="BF22" s="211">
        <f>-10000*Escalation!$B$57</f>
        <v/>
      </c>
      <c r="BG22" s="211">
        <f>-10000*Escalation!$B$58</f>
        <v/>
      </c>
      <c r="BH22" s="211">
        <f>-10000*Escalation!$B$59</f>
        <v/>
      </c>
      <c r="BI22" s="211">
        <f>-10000*Escalation!$B$60</f>
        <v/>
      </c>
      <c r="BJ22" s="211">
        <f>-10000*Escalation!$B$61</f>
        <v/>
      </c>
      <c r="BK22" s="211">
        <f>-10000*Escalation!$B$62</f>
        <v/>
      </c>
      <c r="BL22" s="211">
        <f>-10000*Escalation!$B$63</f>
        <v/>
      </c>
      <c r="BM22" s="211">
        <f>-10000*Escalation!$B$64</f>
        <v/>
      </c>
      <c r="BN22" s="211">
        <f>-10000*Escalation!$B$65</f>
        <v/>
      </c>
      <c r="BO22" s="211">
        <f>-10000*Escalation!$B$66</f>
        <v/>
      </c>
      <c r="BP22" s="211">
        <f>-10000*Escalation!$B$67</f>
        <v/>
      </c>
      <c r="BQ22" s="211">
        <f>-10000*Escalation!$B$68</f>
        <v/>
      </c>
      <c r="BR22" s="211">
        <f>-10000*Escalation!$B$69</f>
        <v/>
      </c>
      <c r="BS22" s="211">
        <f>-10000*Escalation!$B$70</f>
        <v/>
      </c>
      <c r="BT22" s="211">
        <f>-10000*Escalation!$B$71</f>
        <v/>
      </c>
      <c r="BU22" s="211">
        <f>-10000*Escalation!$B$72</f>
        <v/>
      </c>
      <c r="BV22" s="211">
        <f>-10000*Escalation!$B$73</f>
        <v/>
      </c>
      <c r="BW22" s="211">
        <f>-10000*Escalation!$B$74</f>
        <v/>
      </c>
      <c r="BX22" s="211">
        <f>-10000*Escalation!$B$75</f>
        <v/>
      </c>
      <c r="BY22" s="211">
        <f>-10000*Escalation!$B$76</f>
        <v/>
      </c>
      <c r="BZ22" s="211">
        <f>-10000*Escalation!$B$77</f>
        <v/>
      </c>
      <c r="CA22" s="211">
        <f>-10000*Escalation!$B$78</f>
        <v/>
      </c>
      <c r="CB22" s="211">
        <f>-10000*Escalation!$B$79</f>
        <v/>
      </c>
      <c r="CC22" s="211">
        <f>-10000*Escalation!$B$80</f>
        <v/>
      </c>
      <c r="CD22" s="211">
        <f>-10000*Escalation!$B$81</f>
        <v/>
      </c>
      <c r="CE22" s="211">
        <f>-10000*Escalation!$B$82</f>
        <v/>
      </c>
      <c r="CF22" s="211">
        <f>-10000*Escalation!$B$83</f>
        <v/>
      </c>
      <c r="CG22" s="211">
        <f>-10000*Escalation!$B$84</f>
        <v/>
      </c>
      <c r="CH22" s="211">
        <f>-10000*Escalation!$B$85</f>
        <v/>
      </c>
      <c r="CI22" s="226" t="n"/>
    </row>
    <row r="23" ht="15" customHeight="1" s="202">
      <c r="A23" s="210" t="inlineStr">
        <is>
          <t>Office Supplies</t>
        </is>
      </c>
      <c r="B23" s="225" t="n"/>
      <c r="C23" s="211">
        <f>-2500*Escalation!$B$2</f>
        <v/>
      </c>
      <c r="D23" s="211">
        <f>-2500*Escalation!$B$3</f>
        <v/>
      </c>
      <c r="E23" s="211">
        <f>-2500*Escalation!$B$4</f>
        <v/>
      </c>
      <c r="F23" s="211">
        <f>-2500*Escalation!$B$5</f>
        <v/>
      </c>
      <c r="G23" s="211">
        <f>-2500*Escalation!$B$6</f>
        <v/>
      </c>
      <c r="H23" s="211">
        <f>-2500*Escalation!$B$7</f>
        <v/>
      </c>
      <c r="I23" s="211">
        <f>-2500*Escalation!$B$8</f>
        <v/>
      </c>
      <c r="J23" s="211">
        <f>-2500*Escalation!$B$9</f>
        <v/>
      </c>
      <c r="K23" s="211">
        <f>-2500*Escalation!$B$10</f>
        <v/>
      </c>
      <c r="L23" s="211">
        <f>-2500*Escalation!$B$11</f>
        <v/>
      </c>
      <c r="M23" s="211">
        <f>-2500*Escalation!$B$12</f>
        <v/>
      </c>
      <c r="N23" s="211">
        <f>-2500*Escalation!$B$13</f>
        <v/>
      </c>
      <c r="O23" s="211">
        <f>-2500*Escalation!$B$14</f>
        <v/>
      </c>
      <c r="P23" s="211">
        <f>-2500*Escalation!$B$15</f>
        <v/>
      </c>
      <c r="Q23" s="211">
        <f>-2500*Escalation!$B$16</f>
        <v/>
      </c>
      <c r="R23" s="211">
        <f>-2500*Escalation!$B$17</f>
        <v/>
      </c>
      <c r="S23" s="211">
        <f>-2500*Escalation!$B$18</f>
        <v/>
      </c>
      <c r="T23" s="211">
        <f>-2500*Escalation!$B$19</f>
        <v/>
      </c>
      <c r="U23" s="211">
        <f>-2500*Escalation!$B$20</f>
        <v/>
      </c>
      <c r="V23" s="211">
        <f>-2500*Escalation!$B$21</f>
        <v/>
      </c>
      <c r="W23" s="211">
        <f>-2500*Escalation!$B$22</f>
        <v/>
      </c>
      <c r="X23" s="211">
        <f>-2500*Escalation!$B$23</f>
        <v/>
      </c>
      <c r="Y23" s="211">
        <f>-2500*Escalation!$B$24</f>
        <v/>
      </c>
      <c r="Z23" s="211">
        <f>-2500*Escalation!$B$25</f>
        <v/>
      </c>
      <c r="AA23" s="211">
        <f>-2500*Escalation!$B$26</f>
        <v/>
      </c>
      <c r="AB23" s="211">
        <f>-2500*Escalation!$B$27</f>
        <v/>
      </c>
      <c r="AC23" s="211">
        <f>-2500*Escalation!$B$28</f>
        <v/>
      </c>
      <c r="AD23" s="211">
        <f>-2500*Escalation!$B$29</f>
        <v/>
      </c>
      <c r="AE23" s="211">
        <f>-2500*Escalation!$B$30</f>
        <v/>
      </c>
      <c r="AF23" s="211">
        <f>-2500*Escalation!$B$31</f>
        <v/>
      </c>
      <c r="AG23" s="211">
        <f>-2500*Escalation!$B$32</f>
        <v/>
      </c>
      <c r="AH23" s="211">
        <f>-2500*Escalation!$B$33</f>
        <v/>
      </c>
      <c r="AI23" s="211">
        <f>-2500*Escalation!$B$34</f>
        <v/>
      </c>
      <c r="AJ23" s="211">
        <f>-2500*Escalation!$B$35</f>
        <v/>
      </c>
      <c r="AK23" s="211">
        <f>-2500*Escalation!$B$36</f>
        <v/>
      </c>
      <c r="AL23" s="211">
        <f>-2500*Escalation!$B$37</f>
        <v/>
      </c>
      <c r="AM23" s="211">
        <f>-2500*Escalation!$B$38</f>
        <v/>
      </c>
      <c r="AN23" s="211">
        <f>-2500*Escalation!$B$39</f>
        <v/>
      </c>
      <c r="AO23" s="211">
        <f>-2500*Escalation!$B$40</f>
        <v/>
      </c>
      <c r="AP23" s="211">
        <f>-2500*Escalation!$B$41</f>
        <v/>
      </c>
      <c r="AQ23" s="211">
        <f>-2500*Escalation!$B$42</f>
        <v/>
      </c>
      <c r="AR23" s="211">
        <f>-2500*Escalation!$B$43</f>
        <v/>
      </c>
      <c r="AS23" s="211">
        <f>-2500*Escalation!$B$44</f>
        <v/>
      </c>
      <c r="AT23" s="211">
        <f>-2500*Escalation!$B$45</f>
        <v/>
      </c>
      <c r="AU23" s="211">
        <f>-2500*Escalation!$B$46</f>
        <v/>
      </c>
      <c r="AV23" s="211">
        <f>-2500*Escalation!$B$47</f>
        <v/>
      </c>
      <c r="AW23" s="211">
        <f>-2500*Escalation!$B$48</f>
        <v/>
      </c>
      <c r="AX23" s="211">
        <f>-2500*Escalation!$B$49</f>
        <v/>
      </c>
      <c r="AY23" s="211">
        <f>-2500*Escalation!$B$50</f>
        <v/>
      </c>
      <c r="AZ23" s="211">
        <f>-2500*Escalation!$B$51</f>
        <v/>
      </c>
      <c r="BA23" s="211">
        <f>-2500*Escalation!$B$52</f>
        <v/>
      </c>
      <c r="BB23" s="211">
        <f>-2500*Escalation!$B$53</f>
        <v/>
      </c>
      <c r="BC23" s="211">
        <f>-2500*Escalation!$B$54</f>
        <v/>
      </c>
      <c r="BD23" s="211">
        <f>-2500*Escalation!$B$55</f>
        <v/>
      </c>
      <c r="BE23" s="211">
        <f>-2500*Escalation!$B$56</f>
        <v/>
      </c>
      <c r="BF23" s="211">
        <f>-2500*Escalation!$B$57</f>
        <v/>
      </c>
      <c r="BG23" s="211">
        <f>-2500*Escalation!$B$58</f>
        <v/>
      </c>
      <c r="BH23" s="211">
        <f>-2500*Escalation!$B$59</f>
        <v/>
      </c>
      <c r="BI23" s="211">
        <f>-2500*Escalation!$B$60</f>
        <v/>
      </c>
      <c r="BJ23" s="211">
        <f>-2500*Escalation!$B$61</f>
        <v/>
      </c>
      <c r="BK23" s="211">
        <f>-2500*Escalation!$B$62</f>
        <v/>
      </c>
      <c r="BL23" s="211">
        <f>-2500*Escalation!$B$63</f>
        <v/>
      </c>
      <c r="BM23" s="211">
        <f>-2500*Escalation!$B$64</f>
        <v/>
      </c>
      <c r="BN23" s="211">
        <f>-2500*Escalation!$B$65</f>
        <v/>
      </c>
      <c r="BO23" s="211">
        <f>-2500*Escalation!$B$66</f>
        <v/>
      </c>
      <c r="BP23" s="211">
        <f>-2500*Escalation!$B$67</f>
        <v/>
      </c>
      <c r="BQ23" s="211">
        <f>-2500*Escalation!$B$68</f>
        <v/>
      </c>
      <c r="BR23" s="211">
        <f>-2500*Escalation!$B$69</f>
        <v/>
      </c>
      <c r="BS23" s="211">
        <f>-2500*Escalation!$B$70</f>
        <v/>
      </c>
      <c r="BT23" s="211">
        <f>-2500*Escalation!$B$71</f>
        <v/>
      </c>
      <c r="BU23" s="211">
        <f>-2500*Escalation!$B$72</f>
        <v/>
      </c>
      <c r="BV23" s="211">
        <f>-2500*Escalation!$B$73</f>
        <v/>
      </c>
      <c r="BW23" s="211">
        <f>-2500*Escalation!$B$74</f>
        <v/>
      </c>
      <c r="BX23" s="211">
        <f>-2500*Escalation!$B$75</f>
        <v/>
      </c>
      <c r="BY23" s="211">
        <f>-2500*Escalation!$B$76</f>
        <v/>
      </c>
      <c r="BZ23" s="211">
        <f>-2500*Escalation!$B$77</f>
        <v/>
      </c>
      <c r="CA23" s="211">
        <f>-2500*Escalation!$B$78</f>
        <v/>
      </c>
      <c r="CB23" s="211">
        <f>-2500*Escalation!$B$79</f>
        <v/>
      </c>
      <c r="CC23" s="211">
        <f>-2500*Escalation!$B$80</f>
        <v/>
      </c>
      <c r="CD23" s="211">
        <f>-2500*Escalation!$B$81</f>
        <v/>
      </c>
      <c r="CE23" s="211">
        <f>-2500*Escalation!$B$82</f>
        <v/>
      </c>
      <c r="CF23" s="211">
        <f>-2500*Escalation!$B$83</f>
        <v/>
      </c>
      <c r="CG23" s="211">
        <f>-2500*Escalation!$B$84</f>
        <v/>
      </c>
      <c r="CH23" s="211">
        <f>-2500*Escalation!$B$85</f>
        <v/>
      </c>
      <c r="CI23" s="226" t="n"/>
    </row>
    <row r="24" ht="15" customHeight="1" s="202">
      <c r="A24" s="210" t="inlineStr">
        <is>
          <t>Postage and Delivery</t>
        </is>
      </c>
      <c r="B24" s="225" t="n"/>
      <c r="C24" s="211">
        <f>-300*Escalation!$B$2</f>
        <v/>
      </c>
      <c r="D24" s="211">
        <f>-300*Escalation!$B$3</f>
        <v/>
      </c>
      <c r="E24" s="211">
        <f>-300*Escalation!$B$4</f>
        <v/>
      </c>
      <c r="F24" s="211">
        <f>-300*Escalation!$B$5</f>
        <v/>
      </c>
      <c r="G24" s="211">
        <f>-300*Escalation!$B$6</f>
        <v/>
      </c>
      <c r="H24" s="211">
        <f>-300*Escalation!$B$7</f>
        <v/>
      </c>
      <c r="I24" s="211">
        <f>-300*Escalation!$B$8</f>
        <v/>
      </c>
      <c r="J24" s="211">
        <f>-300*Escalation!$B$9</f>
        <v/>
      </c>
      <c r="K24" s="211">
        <f>-300*Escalation!$B$10</f>
        <v/>
      </c>
      <c r="L24" s="211">
        <f>-300*Escalation!$B$11</f>
        <v/>
      </c>
      <c r="M24" s="211">
        <f>-300*Escalation!$B$12</f>
        <v/>
      </c>
      <c r="N24" s="211">
        <f>-300*Escalation!$B$13</f>
        <v/>
      </c>
      <c r="O24" s="211">
        <f>-300*Escalation!$B$14</f>
        <v/>
      </c>
      <c r="P24" s="211">
        <f>-300*Escalation!$B$15</f>
        <v/>
      </c>
      <c r="Q24" s="211">
        <f>-300*Escalation!$B$16</f>
        <v/>
      </c>
      <c r="R24" s="211">
        <f>-300*Escalation!$B$17</f>
        <v/>
      </c>
      <c r="S24" s="211">
        <f>-300*Escalation!$B$18</f>
        <v/>
      </c>
      <c r="T24" s="211">
        <f>-300*Escalation!$B$19</f>
        <v/>
      </c>
      <c r="U24" s="211">
        <f>-300*Escalation!$B$20</f>
        <v/>
      </c>
      <c r="V24" s="211">
        <f>-300*Escalation!$B$21</f>
        <v/>
      </c>
      <c r="W24" s="211">
        <f>-300*Escalation!$B$22</f>
        <v/>
      </c>
      <c r="X24" s="211">
        <f>-300*Escalation!$B$23</f>
        <v/>
      </c>
      <c r="Y24" s="211">
        <f>-300*Escalation!$B$24</f>
        <v/>
      </c>
      <c r="Z24" s="211">
        <f>-300*Escalation!$B$25</f>
        <v/>
      </c>
      <c r="AA24" s="211">
        <f>-300*Escalation!$B$26</f>
        <v/>
      </c>
      <c r="AB24" s="211">
        <f>-300*Escalation!$B$27</f>
        <v/>
      </c>
      <c r="AC24" s="211">
        <f>-300*Escalation!$B$28</f>
        <v/>
      </c>
      <c r="AD24" s="211">
        <f>-300*Escalation!$B$29</f>
        <v/>
      </c>
      <c r="AE24" s="211">
        <f>-300*Escalation!$B$30</f>
        <v/>
      </c>
      <c r="AF24" s="211">
        <f>-300*Escalation!$B$31</f>
        <v/>
      </c>
      <c r="AG24" s="211">
        <f>-300*Escalation!$B$32</f>
        <v/>
      </c>
      <c r="AH24" s="211">
        <f>-300*Escalation!$B$33</f>
        <v/>
      </c>
      <c r="AI24" s="211">
        <f>-300*Escalation!$B$34</f>
        <v/>
      </c>
      <c r="AJ24" s="211">
        <f>-300*Escalation!$B$35</f>
        <v/>
      </c>
      <c r="AK24" s="211">
        <f>-300*Escalation!$B$36</f>
        <v/>
      </c>
      <c r="AL24" s="211">
        <f>-300*Escalation!$B$37</f>
        <v/>
      </c>
      <c r="AM24" s="211">
        <f>-300*Escalation!$B$38</f>
        <v/>
      </c>
      <c r="AN24" s="211">
        <f>-300*Escalation!$B$39</f>
        <v/>
      </c>
      <c r="AO24" s="211">
        <f>-300*Escalation!$B$40</f>
        <v/>
      </c>
      <c r="AP24" s="211">
        <f>-300*Escalation!$B$41</f>
        <v/>
      </c>
      <c r="AQ24" s="211">
        <f>-300*Escalation!$B$42</f>
        <v/>
      </c>
      <c r="AR24" s="211">
        <f>-300*Escalation!$B$43</f>
        <v/>
      </c>
      <c r="AS24" s="211">
        <f>-300*Escalation!$B$44</f>
        <v/>
      </c>
      <c r="AT24" s="211">
        <f>-300*Escalation!$B$45</f>
        <v/>
      </c>
      <c r="AU24" s="211">
        <f>-300*Escalation!$B$46</f>
        <v/>
      </c>
      <c r="AV24" s="211">
        <f>-300*Escalation!$B$47</f>
        <v/>
      </c>
      <c r="AW24" s="211">
        <f>-300*Escalation!$B$48</f>
        <v/>
      </c>
      <c r="AX24" s="211">
        <f>-300*Escalation!$B$49</f>
        <v/>
      </c>
      <c r="AY24" s="211">
        <f>-300*Escalation!$B$50</f>
        <v/>
      </c>
      <c r="AZ24" s="211">
        <f>-300*Escalation!$B$51</f>
        <v/>
      </c>
      <c r="BA24" s="211">
        <f>-300*Escalation!$B$52</f>
        <v/>
      </c>
      <c r="BB24" s="211">
        <f>-300*Escalation!$B$53</f>
        <v/>
      </c>
      <c r="BC24" s="211">
        <f>-300*Escalation!$B$54</f>
        <v/>
      </c>
      <c r="BD24" s="211">
        <f>-300*Escalation!$B$55</f>
        <v/>
      </c>
      <c r="BE24" s="211">
        <f>-300*Escalation!$B$56</f>
        <v/>
      </c>
      <c r="BF24" s="211">
        <f>-300*Escalation!$B$57</f>
        <v/>
      </c>
      <c r="BG24" s="211">
        <f>-300*Escalation!$B$58</f>
        <v/>
      </c>
      <c r="BH24" s="211">
        <f>-300*Escalation!$B$59</f>
        <v/>
      </c>
      <c r="BI24" s="211">
        <f>-300*Escalation!$B$60</f>
        <v/>
      </c>
      <c r="BJ24" s="211">
        <f>-300*Escalation!$B$61</f>
        <v/>
      </c>
      <c r="BK24" s="211">
        <f>-300*Escalation!$B$62</f>
        <v/>
      </c>
      <c r="BL24" s="211">
        <f>-300*Escalation!$B$63</f>
        <v/>
      </c>
      <c r="BM24" s="211">
        <f>-300*Escalation!$B$64</f>
        <v/>
      </c>
      <c r="BN24" s="211">
        <f>-300*Escalation!$B$65</f>
        <v/>
      </c>
      <c r="BO24" s="211">
        <f>-300*Escalation!$B$66</f>
        <v/>
      </c>
      <c r="BP24" s="211">
        <f>-300*Escalation!$B$67</f>
        <v/>
      </c>
      <c r="BQ24" s="211">
        <f>-300*Escalation!$B$68</f>
        <v/>
      </c>
      <c r="BR24" s="211">
        <f>-300*Escalation!$B$69</f>
        <v/>
      </c>
      <c r="BS24" s="211">
        <f>-300*Escalation!$B$70</f>
        <v/>
      </c>
      <c r="BT24" s="211">
        <f>-300*Escalation!$B$71</f>
        <v/>
      </c>
      <c r="BU24" s="211">
        <f>-300*Escalation!$B$72</f>
        <v/>
      </c>
      <c r="BV24" s="211">
        <f>-300*Escalation!$B$73</f>
        <v/>
      </c>
      <c r="BW24" s="211">
        <f>-300*Escalation!$B$74</f>
        <v/>
      </c>
      <c r="BX24" s="211">
        <f>-300*Escalation!$B$75</f>
        <v/>
      </c>
      <c r="BY24" s="211">
        <f>-300*Escalation!$B$76</f>
        <v/>
      </c>
      <c r="BZ24" s="211">
        <f>-300*Escalation!$B$77</f>
        <v/>
      </c>
      <c r="CA24" s="211">
        <f>-300*Escalation!$B$78</f>
        <v/>
      </c>
      <c r="CB24" s="211">
        <f>-300*Escalation!$B$79</f>
        <v/>
      </c>
      <c r="CC24" s="211">
        <f>-300*Escalation!$B$80</f>
        <v/>
      </c>
      <c r="CD24" s="211">
        <f>-300*Escalation!$B$81</f>
        <v/>
      </c>
      <c r="CE24" s="211">
        <f>-300*Escalation!$B$82</f>
        <v/>
      </c>
      <c r="CF24" s="211">
        <f>-300*Escalation!$B$83</f>
        <v/>
      </c>
      <c r="CG24" s="211">
        <f>-300*Escalation!$B$84</f>
        <v/>
      </c>
      <c r="CH24" s="211">
        <f>-300*Escalation!$B$85</f>
        <v/>
      </c>
      <c r="CI24" s="226" t="n"/>
    </row>
    <row r="25" ht="15" customHeight="1" s="202">
      <c r="A25" s="210" t="inlineStr">
        <is>
          <t>Computer &amp; IT Expenses</t>
        </is>
      </c>
      <c r="B25" s="225" t="n"/>
      <c r="C25" s="211">
        <f>-3000*Escalation!$B$2</f>
        <v/>
      </c>
      <c r="D25" s="211">
        <f>-3000*Escalation!$B$3</f>
        <v/>
      </c>
      <c r="E25" s="211">
        <f>-3000*Escalation!$B$4</f>
        <v/>
      </c>
      <c r="F25" s="211">
        <f>-3000*Escalation!$B$5</f>
        <v/>
      </c>
      <c r="G25" s="211">
        <f>-3000*Escalation!$B$6</f>
        <v/>
      </c>
      <c r="H25" s="211">
        <f>-3000*Escalation!$B$7</f>
        <v/>
      </c>
      <c r="I25" s="211">
        <f>-3000*Escalation!$B$8</f>
        <v/>
      </c>
      <c r="J25" s="211">
        <f>-3000*Escalation!$B$9</f>
        <v/>
      </c>
      <c r="K25" s="211">
        <f>-3000*Escalation!$B$10</f>
        <v/>
      </c>
      <c r="L25" s="211">
        <f>-3000*Escalation!$B$11</f>
        <v/>
      </c>
      <c r="M25" s="211">
        <f>-3000*Escalation!$B$12</f>
        <v/>
      </c>
      <c r="N25" s="211">
        <f>-3000*Escalation!$B$13</f>
        <v/>
      </c>
      <c r="O25" s="211">
        <f>-3000*Escalation!$B$14</f>
        <v/>
      </c>
      <c r="P25" s="211">
        <f>-3000*Escalation!$B$15</f>
        <v/>
      </c>
      <c r="Q25" s="211">
        <f>-3000*Escalation!$B$16</f>
        <v/>
      </c>
      <c r="R25" s="211">
        <f>-3000*Escalation!$B$17</f>
        <v/>
      </c>
      <c r="S25" s="211">
        <f>-3000*Escalation!$B$18</f>
        <v/>
      </c>
      <c r="T25" s="211">
        <f>-3000*Escalation!$B$19</f>
        <v/>
      </c>
      <c r="U25" s="211">
        <f>-3000*Escalation!$B$20</f>
        <v/>
      </c>
      <c r="V25" s="211">
        <f>-3000*Escalation!$B$21</f>
        <v/>
      </c>
      <c r="W25" s="211">
        <f>-3000*Escalation!$B$22</f>
        <v/>
      </c>
      <c r="X25" s="211">
        <f>-3000*Escalation!$B$23</f>
        <v/>
      </c>
      <c r="Y25" s="211">
        <f>-3000*Escalation!$B$24</f>
        <v/>
      </c>
      <c r="Z25" s="211">
        <f>-3000*Escalation!$B$25</f>
        <v/>
      </c>
      <c r="AA25" s="211">
        <f>-3000*Escalation!$B$26</f>
        <v/>
      </c>
      <c r="AB25" s="211">
        <f>-3000*Escalation!$B$27</f>
        <v/>
      </c>
      <c r="AC25" s="211">
        <f>-3000*Escalation!$B$28</f>
        <v/>
      </c>
      <c r="AD25" s="211">
        <f>-3000*Escalation!$B$29</f>
        <v/>
      </c>
      <c r="AE25" s="211">
        <f>-3000*Escalation!$B$30</f>
        <v/>
      </c>
      <c r="AF25" s="211">
        <f>-3000*Escalation!$B$31</f>
        <v/>
      </c>
      <c r="AG25" s="211">
        <f>-3000*Escalation!$B$32</f>
        <v/>
      </c>
      <c r="AH25" s="211">
        <f>-3000*Escalation!$B$33</f>
        <v/>
      </c>
      <c r="AI25" s="211">
        <f>-3000*Escalation!$B$34</f>
        <v/>
      </c>
      <c r="AJ25" s="211">
        <f>-3000*Escalation!$B$35</f>
        <v/>
      </c>
      <c r="AK25" s="211">
        <f>-3000*Escalation!$B$36</f>
        <v/>
      </c>
      <c r="AL25" s="211">
        <f>-3000*Escalation!$B$37</f>
        <v/>
      </c>
      <c r="AM25" s="211">
        <f>-3000*Escalation!$B$38</f>
        <v/>
      </c>
      <c r="AN25" s="211">
        <f>-3000*Escalation!$B$39</f>
        <v/>
      </c>
      <c r="AO25" s="211">
        <f>-3000*Escalation!$B$40</f>
        <v/>
      </c>
      <c r="AP25" s="211">
        <f>-3000*Escalation!$B$41</f>
        <v/>
      </c>
      <c r="AQ25" s="211">
        <f>-3000*Escalation!$B$42</f>
        <v/>
      </c>
      <c r="AR25" s="211">
        <f>-3000*Escalation!$B$43</f>
        <v/>
      </c>
      <c r="AS25" s="211">
        <f>-3000*Escalation!$B$44</f>
        <v/>
      </c>
      <c r="AT25" s="211">
        <f>-3000*Escalation!$B$45</f>
        <v/>
      </c>
      <c r="AU25" s="211">
        <f>-3000*Escalation!$B$46</f>
        <v/>
      </c>
      <c r="AV25" s="211">
        <f>-3000*Escalation!$B$47</f>
        <v/>
      </c>
      <c r="AW25" s="211">
        <f>-3000*Escalation!$B$48</f>
        <v/>
      </c>
      <c r="AX25" s="211">
        <f>-3000*Escalation!$B$49</f>
        <v/>
      </c>
      <c r="AY25" s="211">
        <f>-3000*Escalation!$B$50</f>
        <v/>
      </c>
      <c r="AZ25" s="211">
        <f>-3000*Escalation!$B$51</f>
        <v/>
      </c>
      <c r="BA25" s="211">
        <f>-3000*Escalation!$B$52</f>
        <v/>
      </c>
      <c r="BB25" s="211">
        <f>-3000*Escalation!$B$53</f>
        <v/>
      </c>
      <c r="BC25" s="211">
        <f>-3000*Escalation!$B$54</f>
        <v/>
      </c>
      <c r="BD25" s="211">
        <f>-3000*Escalation!$B$55</f>
        <v/>
      </c>
      <c r="BE25" s="211">
        <f>-3000*Escalation!$B$56</f>
        <v/>
      </c>
      <c r="BF25" s="211">
        <f>-3000*Escalation!$B$57</f>
        <v/>
      </c>
      <c r="BG25" s="211">
        <f>-3000*Escalation!$B$58</f>
        <v/>
      </c>
      <c r="BH25" s="211">
        <f>-3000*Escalation!$B$59</f>
        <v/>
      </c>
      <c r="BI25" s="211">
        <f>-3000*Escalation!$B$60</f>
        <v/>
      </c>
      <c r="BJ25" s="211">
        <f>-3000*Escalation!$B$61</f>
        <v/>
      </c>
      <c r="BK25" s="211">
        <f>-3000*Escalation!$B$62</f>
        <v/>
      </c>
      <c r="BL25" s="211">
        <f>-3000*Escalation!$B$63</f>
        <v/>
      </c>
      <c r="BM25" s="211">
        <f>-3000*Escalation!$B$64</f>
        <v/>
      </c>
      <c r="BN25" s="211">
        <f>-3000*Escalation!$B$65</f>
        <v/>
      </c>
      <c r="BO25" s="211">
        <f>-3000*Escalation!$B$66</f>
        <v/>
      </c>
      <c r="BP25" s="211">
        <f>-3000*Escalation!$B$67</f>
        <v/>
      </c>
      <c r="BQ25" s="211">
        <f>-3000*Escalation!$B$68</f>
        <v/>
      </c>
      <c r="BR25" s="211">
        <f>-3000*Escalation!$B$69</f>
        <v/>
      </c>
      <c r="BS25" s="211">
        <f>-3000*Escalation!$B$70</f>
        <v/>
      </c>
      <c r="BT25" s="211">
        <f>-3000*Escalation!$B$71</f>
        <v/>
      </c>
      <c r="BU25" s="211">
        <f>-3000*Escalation!$B$72</f>
        <v/>
      </c>
      <c r="BV25" s="211">
        <f>-3000*Escalation!$B$73</f>
        <v/>
      </c>
      <c r="BW25" s="211">
        <f>-3000*Escalation!$B$74</f>
        <v/>
      </c>
      <c r="BX25" s="211">
        <f>-3000*Escalation!$B$75</f>
        <v/>
      </c>
      <c r="BY25" s="211">
        <f>-3000*Escalation!$B$76</f>
        <v/>
      </c>
      <c r="BZ25" s="211">
        <f>-3000*Escalation!$B$77</f>
        <v/>
      </c>
      <c r="CA25" s="211">
        <f>-3000*Escalation!$B$78</f>
        <v/>
      </c>
      <c r="CB25" s="211">
        <f>-3000*Escalation!$B$79</f>
        <v/>
      </c>
      <c r="CC25" s="211">
        <f>-3000*Escalation!$B$80</f>
        <v/>
      </c>
      <c r="CD25" s="211">
        <f>-3000*Escalation!$B$81</f>
        <v/>
      </c>
      <c r="CE25" s="211">
        <f>-3000*Escalation!$B$82</f>
        <v/>
      </c>
      <c r="CF25" s="211">
        <f>-3000*Escalation!$B$83</f>
        <v/>
      </c>
      <c r="CG25" s="211">
        <f>-3000*Escalation!$B$84</f>
        <v/>
      </c>
      <c r="CH25" s="211">
        <f>-3000*Escalation!$B$85</f>
        <v/>
      </c>
      <c r="CI25" s="226" t="n"/>
    </row>
    <row r="26" ht="15" customHeight="1" s="202">
      <c r="A26" s="210" t="inlineStr">
        <is>
          <t>Internet</t>
        </is>
      </c>
      <c r="B26" s="225" t="n"/>
      <c r="C26" s="211">
        <f>-300*Escalation!$B$2</f>
        <v/>
      </c>
      <c r="D26" s="211">
        <f>-300*Escalation!$B$3</f>
        <v/>
      </c>
      <c r="E26" s="211">
        <f>-300*Escalation!$B$4</f>
        <v/>
      </c>
      <c r="F26" s="211">
        <f>-300*Escalation!$B$5</f>
        <v/>
      </c>
      <c r="G26" s="211">
        <f>-300*Escalation!$B$6</f>
        <v/>
      </c>
      <c r="H26" s="211">
        <f>-300*Escalation!$B$7</f>
        <v/>
      </c>
      <c r="I26" s="211">
        <f>-300*Escalation!$B$8</f>
        <v/>
      </c>
      <c r="J26" s="211">
        <f>-300*Escalation!$B$9</f>
        <v/>
      </c>
      <c r="K26" s="211">
        <f>-300*Escalation!$B$10</f>
        <v/>
      </c>
      <c r="L26" s="211">
        <f>-300*Escalation!$B$11</f>
        <v/>
      </c>
      <c r="M26" s="211">
        <f>-300*Escalation!$B$12</f>
        <v/>
      </c>
      <c r="N26" s="211">
        <f>-300*Escalation!$B$13</f>
        <v/>
      </c>
      <c r="O26" s="211">
        <f>-300*Escalation!$B$14</f>
        <v/>
      </c>
      <c r="P26" s="211">
        <f>-300*Escalation!$B$15</f>
        <v/>
      </c>
      <c r="Q26" s="211">
        <f>-300*Escalation!$B$16</f>
        <v/>
      </c>
      <c r="R26" s="211">
        <f>-300*Escalation!$B$17</f>
        <v/>
      </c>
      <c r="S26" s="211">
        <f>-300*Escalation!$B$18</f>
        <v/>
      </c>
      <c r="T26" s="211">
        <f>-300*Escalation!$B$19</f>
        <v/>
      </c>
      <c r="U26" s="211">
        <f>-300*Escalation!$B$20</f>
        <v/>
      </c>
      <c r="V26" s="211">
        <f>-300*Escalation!$B$21</f>
        <v/>
      </c>
      <c r="W26" s="211">
        <f>-300*Escalation!$B$22</f>
        <v/>
      </c>
      <c r="X26" s="211">
        <f>-300*Escalation!$B$23</f>
        <v/>
      </c>
      <c r="Y26" s="211">
        <f>-300*Escalation!$B$24</f>
        <v/>
      </c>
      <c r="Z26" s="211">
        <f>-300*Escalation!$B$25</f>
        <v/>
      </c>
      <c r="AA26" s="211">
        <f>-300*Escalation!$B$26</f>
        <v/>
      </c>
      <c r="AB26" s="211">
        <f>-300*Escalation!$B$27</f>
        <v/>
      </c>
      <c r="AC26" s="211">
        <f>-300*Escalation!$B$28</f>
        <v/>
      </c>
      <c r="AD26" s="211">
        <f>-300*Escalation!$B$29</f>
        <v/>
      </c>
      <c r="AE26" s="211">
        <f>-300*Escalation!$B$30</f>
        <v/>
      </c>
      <c r="AF26" s="211">
        <f>-300*Escalation!$B$31</f>
        <v/>
      </c>
      <c r="AG26" s="211">
        <f>-300*Escalation!$B$32</f>
        <v/>
      </c>
      <c r="AH26" s="211">
        <f>-300*Escalation!$B$33</f>
        <v/>
      </c>
      <c r="AI26" s="211">
        <f>-300*Escalation!$B$34</f>
        <v/>
      </c>
      <c r="AJ26" s="211">
        <f>-300*Escalation!$B$35</f>
        <v/>
      </c>
      <c r="AK26" s="211">
        <f>-300*Escalation!$B$36</f>
        <v/>
      </c>
      <c r="AL26" s="211">
        <f>-300*Escalation!$B$37</f>
        <v/>
      </c>
      <c r="AM26" s="211">
        <f>-300*Escalation!$B$38</f>
        <v/>
      </c>
      <c r="AN26" s="211">
        <f>-300*Escalation!$B$39</f>
        <v/>
      </c>
      <c r="AO26" s="211">
        <f>-300*Escalation!$B$40</f>
        <v/>
      </c>
      <c r="AP26" s="211">
        <f>-300*Escalation!$B$41</f>
        <v/>
      </c>
      <c r="AQ26" s="211">
        <f>-300*Escalation!$B$42</f>
        <v/>
      </c>
      <c r="AR26" s="211">
        <f>-300*Escalation!$B$43</f>
        <v/>
      </c>
      <c r="AS26" s="211">
        <f>-300*Escalation!$B$44</f>
        <v/>
      </c>
      <c r="AT26" s="211">
        <f>-300*Escalation!$B$45</f>
        <v/>
      </c>
      <c r="AU26" s="211">
        <f>-300*Escalation!$B$46</f>
        <v/>
      </c>
      <c r="AV26" s="211">
        <f>-300*Escalation!$B$47</f>
        <v/>
      </c>
      <c r="AW26" s="211">
        <f>-300*Escalation!$B$48</f>
        <v/>
      </c>
      <c r="AX26" s="211">
        <f>-300*Escalation!$B$49</f>
        <v/>
      </c>
      <c r="AY26" s="211">
        <f>-300*Escalation!$B$50</f>
        <v/>
      </c>
      <c r="AZ26" s="211">
        <f>-300*Escalation!$B$51</f>
        <v/>
      </c>
      <c r="BA26" s="211">
        <f>-300*Escalation!$B$52</f>
        <v/>
      </c>
      <c r="BB26" s="211">
        <f>-300*Escalation!$B$53</f>
        <v/>
      </c>
      <c r="BC26" s="211">
        <f>-300*Escalation!$B$54</f>
        <v/>
      </c>
      <c r="BD26" s="211">
        <f>-300*Escalation!$B$55</f>
        <v/>
      </c>
      <c r="BE26" s="211">
        <f>-300*Escalation!$B$56</f>
        <v/>
      </c>
      <c r="BF26" s="211">
        <f>-300*Escalation!$B$57</f>
        <v/>
      </c>
      <c r="BG26" s="211">
        <f>-300*Escalation!$B$58</f>
        <v/>
      </c>
      <c r="BH26" s="211">
        <f>-300*Escalation!$B$59</f>
        <v/>
      </c>
      <c r="BI26" s="211">
        <f>-300*Escalation!$B$60</f>
        <v/>
      </c>
      <c r="BJ26" s="211">
        <f>-300*Escalation!$B$61</f>
        <v/>
      </c>
      <c r="BK26" s="211">
        <f>-300*Escalation!$B$62</f>
        <v/>
      </c>
      <c r="BL26" s="211">
        <f>-300*Escalation!$B$63</f>
        <v/>
      </c>
      <c r="BM26" s="211">
        <f>-300*Escalation!$B$64</f>
        <v/>
      </c>
      <c r="BN26" s="211">
        <f>-300*Escalation!$B$65</f>
        <v/>
      </c>
      <c r="BO26" s="211">
        <f>-300*Escalation!$B$66</f>
        <v/>
      </c>
      <c r="BP26" s="211">
        <f>-300*Escalation!$B$67</f>
        <v/>
      </c>
      <c r="BQ26" s="211">
        <f>-300*Escalation!$B$68</f>
        <v/>
      </c>
      <c r="BR26" s="211">
        <f>-300*Escalation!$B$69</f>
        <v/>
      </c>
      <c r="BS26" s="211">
        <f>-300*Escalation!$B$70</f>
        <v/>
      </c>
      <c r="BT26" s="211">
        <f>-300*Escalation!$B$71</f>
        <v/>
      </c>
      <c r="BU26" s="211">
        <f>-300*Escalation!$B$72</f>
        <v/>
      </c>
      <c r="BV26" s="211">
        <f>-300*Escalation!$B$73</f>
        <v/>
      </c>
      <c r="BW26" s="211">
        <f>-300*Escalation!$B$74</f>
        <v/>
      </c>
      <c r="BX26" s="211">
        <f>-300*Escalation!$B$75</f>
        <v/>
      </c>
      <c r="BY26" s="211">
        <f>-300*Escalation!$B$76</f>
        <v/>
      </c>
      <c r="BZ26" s="211">
        <f>-300*Escalation!$B$77</f>
        <v/>
      </c>
      <c r="CA26" s="211">
        <f>-300*Escalation!$B$78</f>
        <v/>
      </c>
      <c r="CB26" s="211">
        <f>-300*Escalation!$B$79</f>
        <v/>
      </c>
      <c r="CC26" s="211">
        <f>-300*Escalation!$B$80</f>
        <v/>
      </c>
      <c r="CD26" s="211">
        <f>-300*Escalation!$B$81</f>
        <v/>
      </c>
      <c r="CE26" s="211">
        <f>-300*Escalation!$B$82</f>
        <v/>
      </c>
      <c r="CF26" s="211">
        <f>-300*Escalation!$B$83</f>
        <v/>
      </c>
      <c r="CG26" s="211">
        <f>-300*Escalation!$B$84</f>
        <v/>
      </c>
      <c r="CH26" s="211">
        <f>-300*Escalation!$B$85</f>
        <v/>
      </c>
      <c r="CI26" s="226" t="n"/>
    </row>
    <row r="27" ht="15" customHeight="1" s="202">
      <c r="A27" s="210" t="inlineStr">
        <is>
          <t>Telephone Expenses</t>
        </is>
      </c>
      <c r="B27" s="225" t="n"/>
      <c r="C27" s="211">
        <f>-300*Escalation!$B$2</f>
        <v/>
      </c>
      <c r="D27" s="211">
        <f>-300*Escalation!$B$3</f>
        <v/>
      </c>
      <c r="E27" s="211">
        <f>-300*Escalation!$B$4</f>
        <v/>
      </c>
      <c r="F27" s="211">
        <f>-300*Escalation!$B$5</f>
        <v/>
      </c>
      <c r="G27" s="211">
        <f>-300*Escalation!$B$6</f>
        <v/>
      </c>
      <c r="H27" s="211">
        <f>-300*Escalation!$B$7</f>
        <v/>
      </c>
      <c r="I27" s="211">
        <f>-300*Escalation!$B$8</f>
        <v/>
      </c>
      <c r="J27" s="211">
        <f>-300*Escalation!$B$9</f>
        <v/>
      </c>
      <c r="K27" s="211">
        <f>-300*Escalation!$B$10</f>
        <v/>
      </c>
      <c r="L27" s="211">
        <f>-300*Escalation!$B$11</f>
        <v/>
      </c>
      <c r="M27" s="211">
        <f>-300*Escalation!$B$12</f>
        <v/>
      </c>
      <c r="N27" s="211">
        <f>-300*Escalation!$B$13</f>
        <v/>
      </c>
      <c r="O27" s="211">
        <f>-300*Escalation!$B$14</f>
        <v/>
      </c>
      <c r="P27" s="211">
        <f>-300*Escalation!$B$15</f>
        <v/>
      </c>
      <c r="Q27" s="211">
        <f>-300*Escalation!$B$16</f>
        <v/>
      </c>
      <c r="R27" s="211">
        <f>-300*Escalation!$B$17</f>
        <v/>
      </c>
      <c r="S27" s="211">
        <f>-300*Escalation!$B$18</f>
        <v/>
      </c>
      <c r="T27" s="211">
        <f>-300*Escalation!$B$19</f>
        <v/>
      </c>
      <c r="U27" s="211">
        <f>-300*Escalation!$B$20</f>
        <v/>
      </c>
      <c r="V27" s="211">
        <f>-300*Escalation!$B$21</f>
        <v/>
      </c>
      <c r="W27" s="211">
        <f>-300*Escalation!$B$22</f>
        <v/>
      </c>
      <c r="X27" s="211">
        <f>-300*Escalation!$B$23</f>
        <v/>
      </c>
      <c r="Y27" s="211">
        <f>-300*Escalation!$B$24</f>
        <v/>
      </c>
      <c r="Z27" s="211">
        <f>-300*Escalation!$B$25</f>
        <v/>
      </c>
      <c r="AA27" s="211">
        <f>-300*Escalation!$B$26</f>
        <v/>
      </c>
      <c r="AB27" s="211">
        <f>-300*Escalation!$B$27</f>
        <v/>
      </c>
      <c r="AC27" s="211">
        <f>-300*Escalation!$B$28</f>
        <v/>
      </c>
      <c r="AD27" s="211">
        <f>-300*Escalation!$B$29</f>
        <v/>
      </c>
      <c r="AE27" s="211">
        <f>-300*Escalation!$B$30</f>
        <v/>
      </c>
      <c r="AF27" s="211">
        <f>-300*Escalation!$B$31</f>
        <v/>
      </c>
      <c r="AG27" s="211">
        <f>-300*Escalation!$B$32</f>
        <v/>
      </c>
      <c r="AH27" s="211">
        <f>-300*Escalation!$B$33</f>
        <v/>
      </c>
      <c r="AI27" s="211">
        <f>-300*Escalation!$B$34</f>
        <v/>
      </c>
      <c r="AJ27" s="211">
        <f>-300*Escalation!$B$35</f>
        <v/>
      </c>
      <c r="AK27" s="211">
        <f>-300*Escalation!$B$36</f>
        <v/>
      </c>
      <c r="AL27" s="211">
        <f>-300*Escalation!$B$37</f>
        <v/>
      </c>
      <c r="AM27" s="211">
        <f>-300*Escalation!$B$38</f>
        <v/>
      </c>
      <c r="AN27" s="211">
        <f>-300*Escalation!$B$39</f>
        <v/>
      </c>
      <c r="AO27" s="211">
        <f>-300*Escalation!$B$40</f>
        <v/>
      </c>
      <c r="AP27" s="211">
        <f>-300*Escalation!$B$41</f>
        <v/>
      </c>
      <c r="AQ27" s="211">
        <f>-300*Escalation!$B$42</f>
        <v/>
      </c>
      <c r="AR27" s="211">
        <f>-300*Escalation!$B$43</f>
        <v/>
      </c>
      <c r="AS27" s="211">
        <f>-300*Escalation!$B$44</f>
        <v/>
      </c>
      <c r="AT27" s="211">
        <f>-300*Escalation!$B$45</f>
        <v/>
      </c>
      <c r="AU27" s="211">
        <f>-300*Escalation!$B$46</f>
        <v/>
      </c>
      <c r="AV27" s="211">
        <f>-300*Escalation!$B$47</f>
        <v/>
      </c>
      <c r="AW27" s="211">
        <f>-300*Escalation!$B$48</f>
        <v/>
      </c>
      <c r="AX27" s="211">
        <f>-300*Escalation!$B$49</f>
        <v/>
      </c>
      <c r="AY27" s="211">
        <f>-300*Escalation!$B$50</f>
        <v/>
      </c>
      <c r="AZ27" s="211">
        <f>-300*Escalation!$B$51</f>
        <v/>
      </c>
      <c r="BA27" s="211">
        <f>-300*Escalation!$B$52</f>
        <v/>
      </c>
      <c r="BB27" s="211">
        <f>-300*Escalation!$B$53</f>
        <v/>
      </c>
      <c r="BC27" s="211">
        <f>-300*Escalation!$B$54</f>
        <v/>
      </c>
      <c r="BD27" s="211">
        <f>-300*Escalation!$B$55</f>
        <v/>
      </c>
      <c r="BE27" s="211">
        <f>-300*Escalation!$B$56</f>
        <v/>
      </c>
      <c r="BF27" s="211">
        <f>-300*Escalation!$B$57</f>
        <v/>
      </c>
      <c r="BG27" s="211">
        <f>-300*Escalation!$B$58</f>
        <v/>
      </c>
      <c r="BH27" s="211">
        <f>-300*Escalation!$B$59</f>
        <v/>
      </c>
      <c r="BI27" s="211">
        <f>-300*Escalation!$B$60</f>
        <v/>
      </c>
      <c r="BJ27" s="211">
        <f>-300*Escalation!$B$61</f>
        <v/>
      </c>
      <c r="BK27" s="211">
        <f>-300*Escalation!$B$62</f>
        <v/>
      </c>
      <c r="BL27" s="211">
        <f>-300*Escalation!$B$63</f>
        <v/>
      </c>
      <c r="BM27" s="211">
        <f>-300*Escalation!$B$64</f>
        <v/>
      </c>
      <c r="BN27" s="211">
        <f>-300*Escalation!$B$65</f>
        <v/>
      </c>
      <c r="BO27" s="211">
        <f>-300*Escalation!$B$66</f>
        <v/>
      </c>
      <c r="BP27" s="211">
        <f>-300*Escalation!$B$67</f>
        <v/>
      </c>
      <c r="BQ27" s="211">
        <f>-300*Escalation!$B$68</f>
        <v/>
      </c>
      <c r="BR27" s="211">
        <f>-300*Escalation!$B$69</f>
        <v/>
      </c>
      <c r="BS27" s="211">
        <f>-300*Escalation!$B$70</f>
        <v/>
      </c>
      <c r="BT27" s="211">
        <f>-300*Escalation!$B$71</f>
        <v/>
      </c>
      <c r="BU27" s="211">
        <f>-300*Escalation!$B$72</f>
        <v/>
      </c>
      <c r="BV27" s="211">
        <f>-300*Escalation!$B$73</f>
        <v/>
      </c>
      <c r="BW27" s="211">
        <f>-300*Escalation!$B$74</f>
        <v/>
      </c>
      <c r="BX27" s="211">
        <f>-300*Escalation!$B$75</f>
        <v/>
      </c>
      <c r="BY27" s="211">
        <f>-300*Escalation!$B$76</f>
        <v/>
      </c>
      <c r="BZ27" s="211">
        <f>-300*Escalation!$B$77</f>
        <v/>
      </c>
      <c r="CA27" s="211">
        <f>-300*Escalation!$B$78</f>
        <v/>
      </c>
      <c r="CB27" s="211">
        <f>-300*Escalation!$B$79</f>
        <v/>
      </c>
      <c r="CC27" s="211">
        <f>-300*Escalation!$B$80</f>
        <v/>
      </c>
      <c r="CD27" s="211">
        <f>-300*Escalation!$B$81</f>
        <v/>
      </c>
      <c r="CE27" s="211">
        <f>-300*Escalation!$B$82</f>
        <v/>
      </c>
      <c r="CF27" s="211">
        <f>-300*Escalation!$B$83</f>
        <v/>
      </c>
      <c r="CG27" s="211">
        <f>-300*Escalation!$B$84</f>
        <v/>
      </c>
      <c r="CH27" s="211">
        <f>-300*Escalation!$B$85</f>
        <v/>
      </c>
      <c r="CI27" s="226" t="n"/>
    </row>
    <row r="28" ht="15" customHeight="1" s="202">
      <c r="A28" s="210" t="inlineStr">
        <is>
          <t>Meal and Entertainment</t>
        </is>
      </c>
      <c r="B28" s="225" t="n"/>
      <c r="C28" s="211">
        <f>-1500*Escalation!$B$2</f>
        <v/>
      </c>
      <c r="D28" s="211">
        <f>-1500*Escalation!$B$3</f>
        <v/>
      </c>
      <c r="E28" s="211">
        <f>-1500*Escalation!$B$4</f>
        <v/>
      </c>
      <c r="F28" s="211">
        <f>-1500*Escalation!$B$5</f>
        <v/>
      </c>
      <c r="G28" s="211">
        <f>-1500*Escalation!$B$6</f>
        <v/>
      </c>
      <c r="H28" s="211">
        <f>-1500*Escalation!$B$7</f>
        <v/>
      </c>
      <c r="I28" s="211">
        <f>-1500*Escalation!$B$8</f>
        <v/>
      </c>
      <c r="J28" s="211">
        <f>-1500*Escalation!$B$9</f>
        <v/>
      </c>
      <c r="K28" s="211">
        <f>-1500*Escalation!$B$10</f>
        <v/>
      </c>
      <c r="L28" s="211">
        <f>-1500*Escalation!$B$11</f>
        <v/>
      </c>
      <c r="M28" s="211">
        <f>-1500*Escalation!$B$12</f>
        <v/>
      </c>
      <c r="N28" s="211">
        <f>-1500*Escalation!$B$13</f>
        <v/>
      </c>
      <c r="O28" s="211">
        <f>-1500*Escalation!$B$14</f>
        <v/>
      </c>
      <c r="P28" s="211">
        <f>-1500*Escalation!$B$15</f>
        <v/>
      </c>
      <c r="Q28" s="211">
        <f>-1500*Escalation!$B$16</f>
        <v/>
      </c>
      <c r="R28" s="211">
        <f>-1500*Escalation!$B$17</f>
        <v/>
      </c>
      <c r="S28" s="211">
        <f>-1500*Escalation!$B$18</f>
        <v/>
      </c>
      <c r="T28" s="211">
        <f>-1500*Escalation!$B$19</f>
        <v/>
      </c>
      <c r="U28" s="211">
        <f>-1500*Escalation!$B$20</f>
        <v/>
      </c>
      <c r="V28" s="211">
        <f>-1500*Escalation!$B$21</f>
        <v/>
      </c>
      <c r="W28" s="211">
        <f>-1500*Escalation!$B$22</f>
        <v/>
      </c>
      <c r="X28" s="211">
        <f>-1500*Escalation!$B$23</f>
        <v/>
      </c>
      <c r="Y28" s="211">
        <f>-1500*Escalation!$B$24</f>
        <v/>
      </c>
      <c r="Z28" s="211">
        <f>-1500*Escalation!$B$25</f>
        <v/>
      </c>
      <c r="AA28" s="211">
        <f>-1500*Escalation!$B$26</f>
        <v/>
      </c>
      <c r="AB28" s="211">
        <f>-1500*Escalation!$B$27</f>
        <v/>
      </c>
      <c r="AC28" s="211">
        <f>-1500*Escalation!$B$28</f>
        <v/>
      </c>
      <c r="AD28" s="211">
        <f>-1500*Escalation!$B$29</f>
        <v/>
      </c>
      <c r="AE28" s="211">
        <f>-1500*Escalation!$B$30</f>
        <v/>
      </c>
      <c r="AF28" s="211">
        <f>-1500*Escalation!$B$31</f>
        <v/>
      </c>
      <c r="AG28" s="211">
        <f>-1500*Escalation!$B$32</f>
        <v/>
      </c>
      <c r="AH28" s="211">
        <f>-1500*Escalation!$B$33</f>
        <v/>
      </c>
      <c r="AI28" s="211">
        <f>-1500*Escalation!$B$34</f>
        <v/>
      </c>
      <c r="AJ28" s="211">
        <f>-1500*Escalation!$B$35</f>
        <v/>
      </c>
      <c r="AK28" s="211">
        <f>-1500*Escalation!$B$36</f>
        <v/>
      </c>
      <c r="AL28" s="211">
        <f>-1500*Escalation!$B$37</f>
        <v/>
      </c>
      <c r="AM28" s="211">
        <f>-1500*Escalation!$B$38</f>
        <v/>
      </c>
      <c r="AN28" s="211">
        <f>-1500*Escalation!$B$39</f>
        <v/>
      </c>
      <c r="AO28" s="211">
        <f>-1500*Escalation!$B$40</f>
        <v/>
      </c>
      <c r="AP28" s="211">
        <f>-1500*Escalation!$B$41</f>
        <v/>
      </c>
      <c r="AQ28" s="211">
        <f>-1500*Escalation!$B$42</f>
        <v/>
      </c>
      <c r="AR28" s="211">
        <f>-1500*Escalation!$B$43</f>
        <v/>
      </c>
      <c r="AS28" s="211">
        <f>-1500*Escalation!$B$44</f>
        <v/>
      </c>
      <c r="AT28" s="211">
        <f>-1500*Escalation!$B$45</f>
        <v/>
      </c>
      <c r="AU28" s="211">
        <f>-1500*Escalation!$B$46</f>
        <v/>
      </c>
      <c r="AV28" s="211">
        <f>-1500*Escalation!$B$47</f>
        <v/>
      </c>
      <c r="AW28" s="211">
        <f>-1500*Escalation!$B$48</f>
        <v/>
      </c>
      <c r="AX28" s="211">
        <f>-1500*Escalation!$B$49</f>
        <v/>
      </c>
      <c r="AY28" s="211">
        <f>-1500*Escalation!$B$50</f>
        <v/>
      </c>
      <c r="AZ28" s="211">
        <f>-1500*Escalation!$B$51</f>
        <v/>
      </c>
      <c r="BA28" s="211">
        <f>-1500*Escalation!$B$52</f>
        <v/>
      </c>
      <c r="BB28" s="211">
        <f>-1500*Escalation!$B$53</f>
        <v/>
      </c>
      <c r="BC28" s="211">
        <f>-1500*Escalation!$B$54</f>
        <v/>
      </c>
      <c r="BD28" s="211">
        <f>-1500*Escalation!$B$55</f>
        <v/>
      </c>
      <c r="BE28" s="211">
        <f>-1500*Escalation!$B$56</f>
        <v/>
      </c>
      <c r="BF28" s="211">
        <f>-1500*Escalation!$B$57</f>
        <v/>
      </c>
      <c r="BG28" s="211">
        <f>-1500*Escalation!$B$58</f>
        <v/>
      </c>
      <c r="BH28" s="211">
        <f>-1500*Escalation!$B$59</f>
        <v/>
      </c>
      <c r="BI28" s="211">
        <f>-1500*Escalation!$B$60</f>
        <v/>
      </c>
      <c r="BJ28" s="211">
        <f>-1500*Escalation!$B$61</f>
        <v/>
      </c>
      <c r="BK28" s="211">
        <f>-1500*Escalation!$B$62</f>
        <v/>
      </c>
      <c r="BL28" s="211">
        <f>-1500*Escalation!$B$63</f>
        <v/>
      </c>
      <c r="BM28" s="211">
        <f>-1500*Escalation!$B$64</f>
        <v/>
      </c>
      <c r="BN28" s="211">
        <f>-1500*Escalation!$B$65</f>
        <v/>
      </c>
      <c r="BO28" s="211">
        <f>-1500*Escalation!$B$66</f>
        <v/>
      </c>
      <c r="BP28" s="211">
        <f>-1500*Escalation!$B$67</f>
        <v/>
      </c>
      <c r="BQ28" s="211">
        <f>-1500*Escalation!$B$68</f>
        <v/>
      </c>
      <c r="BR28" s="211">
        <f>-1500*Escalation!$B$69</f>
        <v/>
      </c>
      <c r="BS28" s="211">
        <f>-1500*Escalation!$B$70</f>
        <v/>
      </c>
      <c r="BT28" s="211">
        <f>-1500*Escalation!$B$71</f>
        <v/>
      </c>
      <c r="BU28" s="211">
        <f>-1500*Escalation!$B$72</f>
        <v/>
      </c>
      <c r="BV28" s="211">
        <f>-1500*Escalation!$B$73</f>
        <v/>
      </c>
      <c r="BW28" s="211">
        <f>-1500*Escalation!$B$74</f>
        <v/>
      </c>
      <c r="BX28" s="211">
        <f>-1500*Escalation!$B$75</f>
        <v/>
      </c>
      <c r="BY28" s="211">
        <f>-1500*Escalation!$B$76</f>
        <v/>
      </c>
      <c r="BZ28" s="211">
        <f>-1500*Escalation!$B$77</f>
        <v/>
      </c>
      <c r="CA28" s="211">
        <f>-1500*Escalation!$B$78</f>
        <v/>
      </c>
      <c r="CB28" s="211">
        <f>-1500*Escalation!$B$79</f>
        <v/>
      </c>
      <c r="CC28" s="211">
        <f>-1500*Escalation!$B$80</f>
        <v/>
      </c>
      <c r="CD28" s="211">
        <f>-1500*Escalation!$B$81</f>
        <v/>
      </c>
      <c r="CE28" s="211">
        <f>-1500*Escalation!$B$82</f>
        <v/>
      </c>
      <c r="CF28" s="211">
        <f>-1500*Escalation!$B$83</f>
        <v/>
      </c>
      <c r="CG28" s="211">
        <f>-1500*Escalation!$B$84</f>
        <v/>
      </c>
      <c r="CH28" s="211">
        <f>-1500*Escalation!$B$85</f>
        <v/>
      </c>
      <c r="CI28" s="226" t="n"/>
    </row>
    <row r="29" ht="15" customHeight="1" s="202">
      <c r="A29" s="210" t="inlineStr">
        <is>
          <t>Legal and Professional Fees</t>
        </is>
      </c>
      <c r="B29" s="225" t="n"/>
      <c r="C29" s="211">
        <f>-1000*Escalation!$B$2</f>
        <v/>
      </c>
      <c r="D29" s="211">
        <f>-1000*Escalation!$B$3</f>
        <v/>
      </c>
      <c r="E29" s="211">
        <f>-1000*Escalation!$B$4</f>
        <v/>
      </c>
      <c r="F29" s="211">
        <f>-1000*Escalation!$B$5</f>
        <v/>
      </c>
      <c r="G29" s="211">
        <f>-1000*Escalation!$B$6</f>
        <v/>
      </c>
      <c r="H29" s="211">
        <f>-1000*Escalation!$B$7</f>
        <v/>
      </c>
      <c r="I29" s="211">
        <f>-1000*Escalation!$B$8</f>
        <v/>
      </c>
      <c r="J29" s="211">
        <f>-1000*Escalation!$B$9</f>
        <v/>
      </c>
      <c r="K29" s="211">
        <f>-1000*Escalation!$B$10</f>
        <v/>
      </c>
      <c r="L29" s="211">
        <f>-1000*Escalation!$B$11</f>
        <v/>
      </c>
      <c r="M29" s="211">
        <f>-1000*Escalation!$B$12</f>
        <v/>
      </c>
      <c r="N29" s="211">
        <f>-1000*Escalation!$B$13</f>
        <v/>
      </c>
      <c r="O29" s="211">
        <f>-1000*Escalation!$B$14</f>
        <v/>
      </c>
      <c r="P29" s="211">
        <f>-1000*Escalation!$B$15</f>
        <v/>
      </c>
      <c r="Q29" s="211">
        <f>-1000*Escalation!$B$16</f>
        <v/>
      </c>
      <c r="R29" s="211">
        <f>-1000*Escalation!$B$17</f>
        <v/>
      </c>
      <c r="S29" s="211">
        <f>-1000*Escalation!$B$18</f>
        <v/>
      </c>
      <c r="T29" s="211">
        <f>-1000*Escalation!$B$19</f>
        <v/>
      </c>
      <c r="U29" s="211">
        <f>-1000*Escalation!$B$20</f>
        <v/>
      </c>
      <c r="V29" s="211">
        <f>-1000*Escalation!$B$21</f>
        <v/>
      </c>
      <c r="W29" s="211">
        <f>-1000*Escalation!$B$22</f>
        <v/>
      </c>
      <c r="X29" s="211">
        <f>-1000*Escalation!$B$23</f>
        <v/>
      </c>
      <c r="Y29" s="211">
        <f>-1000*Escalation!$B$24</f>
        <v/>
      </c>
      <c r="Z29" s="211">
        <f>-1000*Escalation!$B$25</f>
        <v/>
      </c>
      <c r="AA29" s="211">
        <f>-1000*Escalation!$B$26</f>
        <v/>
      </c>
      <c r="AB29" s="211">
        <f>-1000*Escalation!$B$27</f>
        <v/>
      </c>
      <c r="AC29" s="211">
        <f>-1000*Escalation!$B$28</f>
        <v/>
      </c>
      <c r="AD29" s="211">
        <f>-1000*Escalation!$B$29</f>
        <v/>
      </c>
      <c r="AE29" s="211">
        <f>-1000*Escalation!$B$30</f>
        <v/>
      </c>
      <c r="AF29" s="211">
        <f>-1000*Escalation!$B$31</f>
        <v/>
      </c>
      <c r="AG29" s="211">
        <f>-1000*Escalation!$B$32</f>
        <v/>
      </c>
      <c r="AH29" s="211">
        <f>-1000*Escalation!$B$33</f>
        <v/>
      </c>
      <c r="AI29" s="211">
        <f>-1000*Escalation!$B$34</f>
        <v/>
      </c>
      <c r="AJ29" s="211">
        <f>-1000*Escalation!$B$35</f>
        <v/>
      </c>
      <c r="AK29" s="211">
        <f>-1000*Escalation!$B$36</f>
        <v/>
      </c>
      <c r="AL29" s="211">
        <f>-1000*Escalation!$B$37</f>
        <v/>
      </c>
      <c r="AM29" s="211">
        <f>-1000*Escalation!$B$38</f>
        <v/>
      </c>
      <c r="AN29" s="211">
        <f>-1000*Escalation!$B$39</f>
        <v/>
      </c>
      <c r="AO29" s="211">
        <f>-1000*Escalation!$B$40</f>
        <v/>
      </c>
      <c r="AP29" s="211">
        <f>-1000*Escalation!$B$41</f>
        <v/>
      </c>
      <c r="AQ29" s="211">
        <f>-1000*Escalation!$B$42</f>
        <v/>
      </c>
      <c r="AR29" s="211">
        <f>-1000*Escalation!$B$43</f>
        <v/>
      </c>
      <c r="AS29" s="211">
        <f>-1000*Escalation!$B$44</f>
        <v/>
      </c>
      <c r="AT29" s="211">
        <f>-1000*Escalation!$B$45</f>
        <v/>
      </c>
      <c r="AU29" s="211">
        <f>-1000*Escalation!$B$46</f>
        <v/>
      </c>
      <c r="AV29" s="211">
        <f>-1000*Escalation!$B$47</f>
        <v/>
      </c>
      <c r="AW29" s="211">
        <f>-1000*Escalation!$B$48</f>
        <v/>
      </c>
      <c r="AX29" s="211">
        <f>-1000*Escalation!$B$49</f>
        <v/>
      </c>
      <c r="AY29" s="211">
        <f>-1000*Escalation!$B$50</f>
        <v/>
      </c>
      <c r="AZ29" s="211">
        <f>-1000*Escalation!$B$51</f>
        <v/>
      </c>
      <c r="BA29" s="211">
        <f>-1000*Escalation!$B$52</f>
        <v/>
      </c>
      <c r="BB29" s="211">
        <f>-1000*Escalation!$B$53</f>
        <v/>
      </c>
      <c r="BC29" s="211">
        <f>-1000*Escalation!$B$54</f>
        <v/>
      </c>
      <c r="BD29" s="211">
        <f>-1000*Escalation!$B$55</f>
        <v/>
      </c>
      <c r="BE29" s="211">
        <f>-1000*Escalation!$B$56</f>
        <v/>
      </c>
      <c r="BF29" s="211">
        <f>-1000*Escalation!$B$57</f>
        <v/>
      </c>
      <c r="BG29" s="211">
        <f>-1000*Escalation!$B$58</f>
        <v/>
      </c>
      <c r="BH29" s="211">
        <f>-1000*Escalation!$B$59</f>
        <v/>
      </c>
      <c r="BI29" s="211">
        <f>-1000*Escalation!$B$60</f>
        <v/>
      </c>
      <c r="BJ29" s="211">
        <f>-1000*Escalation!$B$61</f>
        <v/>
      </c>
      <c r="BK29" s="211">
        <f>-1000*Escalation!$B$62</f>
        <v/>
      </c>
      <c r="BL29" s="211">
        <f>-1000*Escalation!$B$63</f>
        <v/>
      </c>
      <c r="BM29" s="211">
        <f>-1000*Escalation!$B$64</f>
        <v/>
      </c>
      <c r="BN29" s="211">
        <f>-1000*Escalation!$B$65</f>
        <v/>
      </c>
      <c r="BO29" s="211">
        <f>-1000*Escalation!$B$66</f>
        <v/>
      </c>
      <c r="BP29" s="211">
        <f>-1000*Escalation!$B$67</f>
        <v/>
      </c>
      <c r="BQ29" s="211">
        <f>-1000*Escalation!$B$68</f>
        <v/>
      </c>
      <c r="BR29" s="211">
        <f>-1000*Escalation!$B$69</f>
        <v/>
      </c>
      <c r="BS29" s="211">
        <f>-1000*Escalation!$B$70</f>
        <v/>
      </c>
      <c r="BT29" s="211">
        <f>-1000*Escalation!$B$71</f>
        <v/>
      </c>
      <c r="BU29" s="211">
        <f>-1000*Escalation!$B$72</f>
        <v/>
      </c>
      <c r="BV29" s="211">
        <f>-1000*Escalation!$B$73</f>
        <v/>
      </c>
      <c r="BW29" s="211">
        <f>-1000*Escalation!$B$74</f>
        <v/>
      </c>
      <c r="BX29" s="211">
        <f>-1000*Escalation!$B$75</f>
        <v/>
      </c>
      <c r="BY29" s="211">
        <f>-1000*Escalation!$B$76</f>
        <v/>
      </c>
      <c r="BZ29" s="211">
        <f>-1000*Escalation!$B$77</f>
        <v/>
      </c>
      <c r="CA29" s="211">
        <f>-1000*Escalation!$B$78</f>
        <v/>
      </c>
      <c r="CB29" s="211">
        <f>-1000*Escalation!$B$79</f>
        <v/>
      </c>
      <c r="CC29" s="211">
        <f>-1000*Escalation!$B$80</f>
        <v/>
      </c>
      <c r="CD29" s="211">
        <f>-1000*Escalation!$B$81</f>
        <v/>
      </c>
      <c r="CE29" s="211">
        <f>-1000*Escalation!$B$82</f>
        <v/>
      </c>
      <c r="CF29" s="211">
        <f>-1000*Escalation!$B$83</f>
        <v/>
      </c>
      <c r="CG29" s="211">
        <f>-1000*Escalation!$B$84</f>
        <v/>
      </c>
      <c r="CH29" s="211">
        <f>-1000*Escalation!$B$85</f>
        <v/>
      </c>
      <c r="CI29" s="226" t="n"/>
    </row>
    <row r="30" ht="15" customHeight="1" s="202">
      <c r="A30" s="210" t="inlineStr">
        <is>
          <t>Accounting/Consulting</t>
        </is>
      </c>
      <c r="B30" s="225" t="n"/>
      <c r="C30" s="211">
        <f>-1000*Escalation!$B$2</f>
        <v/>
      </c>
      <c r="D30" s="211">
        <f>-1000*Escalation!$B$3</f>
        <v/>
      </c>
      <c r="E30" s="211">
        <f>-1000*Escalation!$B$4</f>
        <v/>
      </c>
      <c r="F30" s="211">
        <f>-1000*Escalation!$B$5</f>
        <v/>
      </c>
      <c r="G30" s="211">
        <f>-1000*Escalation!$B$6</f>
        <v/>
      </c>
      <c r="H30" s="211">
        <f>-1000*Escalation!$B$7</f>
        <v/>
      </c>
      <c r="I30" s="211">
        <f>-1000*Escalation!$B$8</f>
        <v/>
      </c>
      <c r="J30" s="211">
        <f>-1000*Escalation!$B$9</f>
        <v/>
      </c>
      <c r="K30" s="211">
        <f>-1000*Escalation!$B$10</f>
        <v/>
      </c>
      <c r="L30" s="211">
        <f>-1000*Escalation!$B$11</f>
        <v/>
      </c>
      <c r="M30" s="211">
        <f>-1000*Escalation!$B$12</f>
        <v/>
      </c>
      <c r="N30" s="211">
        <f>-1000*Escalation!$B$13</f>
        <v/>
      </c>
      <c r="O30" s="211">
        <f>-1000*Escalation!$B$14</f>
        <v/>
      </c>
      <c r="P30" s="211">
        <f>-1000*Escalation!$B$15</f>
        <v/>
      </c>
      <c r="Q30" s="211">
        <f>-1000*Escalation!$B$16</f>
        <v/>
      </c>
      <c r="R30" s="211">
        <f>-1000*Escalation!$B$17</f>
        <v/>
      </c>
      <c r="S30" s="211">
        <f>-1000*Escalation!$B$18</f>
        <v/>
      </c>
      <c r="T30" s="211">
        <f>-1000*Escalation!$B$19</f>
        <v/>
      </c>
      <c r="U30" s="211">
        <f>-1000*Escalation!$B$20</f>
        <v/>
      </c>
      <c r="V30" s="211">
        <f>-1000*Escalation!$B$21</f>
        <v/>
      </c>
      <c r="W30" s="211">
        <f>-1000*Escalation!$B$22</f>
        <v/>
      </c>
      <c r="X30" s="211">
        <f>-1000*Escalation!$B$23</f>
        <v/>
      </c>
      <c r="Y30" s="211">
        <f>-1000*Escalation!$B$24</f>
        <v/>
      </c>
      <c r="Z30" s="211">
        <f>-1000*Escalation!$B$25</f>
        <v/>
      </c>
      <c r="AA30" s="211">
        <f>-1000*Escalation!$B$26</f>
        <v/>
      </c>
      <c r="AB30" s="211">
        <f>-1000*Escalation!$B$27</f>
        <v/>
      </c>
      <c r="AC30" s="211">
        <f>-1000*Escalation!$B$28</f>
        <v/>
      </c>
      <c r="AD30" s="211">
        <f>-1000*Escalation!$B$29</f>
        <v/>
      </c>
      <c r="AE30" s="211">
        <f>-1000*Escalation!$B$30</f>
        <v/>
      </c>
      <c r="AF30" s="211">
        <f>-1000*Escalation!$B$31</f>
        <v/>
      </c>
      <c r="AG30" s="211">
        <f>-1000*Escalation!$B$32</f>
        <v/>
      </c>
      <c r="AH30" s="211">
        <f>-1000*Escalation!$B$33</f>
        <v/>
      </c>
      <c r="AI30" s="211">
        <f>-1000*Escalation!$B$34</f>
        <v/>
      </c>
      <c r="AJ30" s="211">
        <f>-1000*Escalation!$B$35</f>
        <v/>
      </c>
      <c r="AK30" s="211">
        <f>-1000*Escalation!$B$36</f>
        <v/>
      </c>
      <c r="AL30" s="211">
        <f>-1000*Escalation!$B$37</f>
        <v/>
      </c>
      <c r="AM30" s="211">
        <f>-1000*Escalation!$B$38</f>
        <v/>
      </c>
      <c r="AN30" s="211">
        <f>-1000*Escalation!$B$39</f>
        <v/>
      </c>
      <c r="AO30" s="211">
        <f>-1000*Escalation!$B$40</f>
        <v/>
      </c>
      <c r="AP30" s="211">
        <f>-1000*Escalation!$B$41</f>
        <v/>
      </c>
      <c r="AQ30" s="211">
        <f>-1000*Escalation!$B$42</f>
        <v/>
      </c>
      <c r="AR30" s="211">
        <f>-1000*Escalation!$B$43</f>
        <v/>
      </c>
      <c r="AS30" s="211">
        <f>-1000*Escalation!$B$44</f>
        <v/>
      </c>
      <c r="AT30" s="211">
        <f>-1000*Escalation!$B$45</f>
        <v/>
      </c>
      <c r="AU30" s="211">
        <f>-1000*Escalation!$B$46</f>
        <v/>
      </c>
      <c r="AV30" s="211">
        <f>-1000*Escalation!$B$47</f>
        <v/>
      </c>
      <c r="AW30" s="211">
        <f>-1000*Escalation!$B$48</f>
        <v/>
      </c>
      <c r="AX30" s="211">
        <f>-1000*Escalation!$B$49</f>
        <v/>
      </c>
      <c r="AY30" s="211">
        <f>-1000*Escalation!$B$50</f>
        <v/>
      </c>
      <c r="AZ30" s="211">
        <f>-1000*Escalation!$B$51</f>
        <v/>
      </c>
      <c r="BA30" s="211">
        <f>-1000*Escalation!$B$52</f>
        <v/>
      </c>
      <c r="BB30" s="211">
        <f>-1000*Escalation!$B$53</f>
        <v/>
      </c>
      <c r="BC30" s="211">
        <f>-1000*Escalation!$B$54</f>
        <v/>
      </c>
      <c r="BD30" s="211">
        <f>-1000*Escalation!$B$55</f>
        <v/>
      </c>
      <c r="BE30" s="211">
        <f>-1000*Escalation!$B$56</f>
        <v/>
      </c>
      <c r="BF30" s="211">
        <f>-1000*Escalation!$B$57</f>
        <v/>
      </c>
      <c r="BG30" s="211">
        <f>-1000*Escalation!$B$58</f>
        <v/>
      </c>
      <c r="BH30" s="211">
        <f>-1000*Escalation!$B$59</f>
        <v/>
      </c>
      <c r="BI30" s="211">
        <f>-1000*Escalation!$B$60</f>
        <v/>
      </c>
      <c r="BJ30" s="211">
        <f>-1000*Escalation!$B$61</f>
        <v/>
      </c>
      <c r="BK30" s="211">
        <f>-1000*Escalation!$B$62</f>
        <v/>
      </c>
      <c r="BL30" s="211">
        <f>-1000*Escalation!$B$63</f>
        <v/>
      </c>
      <c r="BM30" s="211">
        <f>-1000*Escalation!$B$64</f>
        <v/>
      </c>
      <c r="BN30" s="211">
        <f>-1000*Escalation!$B$65</f>
        <v/>
      </c>
      <c r="BO30" s="211">
        <f>-1000*Escalation!$B$66</f>
        <v/>
      </c>
      <c r="BP30" s="211">
        <f>-1000*Escalation!$B$67</f>
        <v/>
      </c>
      <c r="BQ30" s="211">
        <f>-1000*Escalation!$B$68</f>
        <v/>
      </c>
      <c r="BR30" s="211">
        <f>-1000*Escalation!$B$69</f>
        <v/>
      </c>
      <c r="BS30" s="211">
        <f>-1000*Escalation!$B$70</f>
        <v/>
      </c>
      <c r="BT30" s="211">
        <f>-1000*Escalation!$B$71</f>
        <v/>
      </c>
      <c r="BU30" s="211">
        <f>-1000*Escalation!$B$72</f>
        <v/>
      </c>
      <c r="BV30" s="211">
        <f>-1000*Escalation!$B$73</f>
        <v/>
      </c>
      <c r="BW30" s="211">
        <f>-1000*Escalation!$B$74</f>
        <v/>
      </c>
      <c r="BX30" s="211">
        <f>-1000*Escalation!$B$75</f>
        <v/>
      </c>
      <c r="BY30" s="211">
        <f>-1000*Escalation!$B$76</f>
        <v/>
      </c>
      <c r="BZ30" s="211">
        <f>-1000*Escalation!$B$77</f>
        <v/>
      </c>
      <c r="CA30" s="211">
        <f>-1000*Escalation!$B$78</f>
        <v/>
      </c>
      <c r="CB30" s="211">
        <f>-1000*Escalation!$B$79</f>
        <v/>
      </c>
      <c r="CC30" s="211">
        <f>-1000*Escalation!$B$80</f>
        <v/>
      </c>
      <c r="CD30" s="211">
        <f>-1000*Escalation!$B$81</f>
        <v/>
      </c>
      <c r="CE30" s="211">
        <f>-1000*Escalation!$B$82</f>
        <v/>
      </c>
      <c r="CF30" s="211">
        <f>-1000*Escalation!$B$83</f>
        <v/>
      </c>
      <c r="CG30" s="211">
        <f>-1000*Escalation!$B$84</f>
        <v/>
      </c>
      <c r="CH30" s="211">
        <f>-1000*Escalation!$B$85</f>
        <v/>
      </c>
      <c r="CI30" s="226" t="n"/>
    </row>
    <row r="31" ht="15" customHeight="1" s="202">
      <c r="A31" s="210" t="inlineStr">
        <is>
          <t>Entity Filing and Formation Fees</t>
        </is>
      </c>
      <c r="B31" s="225" t="n"/>
      <c r="C31" s="211">
        <f>-416.67*Escalation!$B$2</f>
        <v/>
      </c>
      <c r="D31" s="211">
        <f>-416.67*Escalation!$B$3</f>
        <v/>
      </c>
      <c r="E31" s="211">
        <f>-416.67*Escalation!$B$4</f>
        <v/>
      </c>
      <c r="F31" s="211">
        <f>-416.67*Escalation!$B$5</f>
        <v/>
      </c>
      <c r="G31" s="211">
        <f>-416.67*Escalation!$B$6</f>
        <v/>
      </c>
      <c r="H31" s="211">
        <f>-416.67*Escalation!$B$7</f>
        <v/>
      </c>
      <c r="I31" s="211">
        <f>-416.67*Escalation!$B$8</f>
        <v/>
      </c>
      <c r="J31" s="211">
        <f>-416.67*Escalation!$B$9</f>
        <v/>
      </c>
      <c r="K31" s="211">
        <f>-416.67*Escalation!$B$10</f>
        <v/>
      </c>
      <c r="L31" s="211">
        <f>-416.67*Escalation!$B$11</f>
        <v/>
      </c>
      <c r="M31" s="211">
        <f>-416.67*Escalation!$B$12</f>
        <v/>
      </c>
      <c r="N31" s="211">
        <f>-416.67*Escalation!$B$13</f>
        <v/>
      </c>
      <c r="O31" s="211">
        <f>-416.67*Escalation!$B$14</f>
        <v/>
      </c>
      <c r="P31" s="211">
        <f>-416.67*Escalation!$B$15</f>
        <v/>
      </c>
      <c r="Q31" s="211">
        <f>-416.67*Escalation!$B$16</f>
        <v/>
      </c>
      <c r="R31" s="211">
        <f>-416.67*Escalation!$B$17</f>
        <v/>
      </c>
      <c r="S31" s="211">
        <f>-416.67*Escalation!$B$18</f>
        <v/>
      </c>
      <c r="T31" s="211">
        <f>-416.67*Escalation!$B$19</f>
        <v/>
      </c>
      <c r="U31" s="211">
        <f>-416.67*Escalation!$B$20</f>
        <v/>
      </c>
      <c r="V31" s="211">
        <f>-416.67*Escalation!$B$21</f>
        <v/>
      </c>
      <c r="W31" s="211">
        <f>-416.67*Escalation!$B$22</f>
        <v/>
      </c>
      <c r="X31" s="211">
        <f>-416.67*Escalation!$B$23</f>
        <v/>
      </c>
      <c r="Y31" s="211">
        <f>-416.67*Escalation!$B$24</f>
        <v/>
      </c>
      <c r="Z31" s="211">
        <f>-416.67*Escalation!$B$25</f>
        <v/>
      </c>
      <c r="AA31" s="211">
        <f>-416.67*Escalation!$B$26</f>
        <v/>
      </c>
      <c r="AB31" s="211">
        <f>-416.67*Escalation!$B$27</f>
        <v/>
      </c>
      <c r="AC31" s="211">
        <f>-416.67*Escalation!$B$28</f>
        <v/>
      </c>
      <c r="AD31" s="211">
        <f>-416.67*Escalation!$B$29</f>
        <v/>
      </c>
      <c r="AE31" s="211">
        <f>-416.67*Escalation!$B$30</f>
        <v/>
      </c>
      <c r="AF31" s="211">
        <f>-416.67*Escalation!$B$31</f>
        <v/>
      </c>
      <c r="AG31" s="211">
        <f>-416.67*Escalation!$B$32</f>
        <v/>
      </c>
      <c r="AH31" s="211">
        <f>-416.67*Escalation!$B$33</f>
        <v/>
      </c>
      <c r="AI31" s="211">
        <f>-416.67*Escalation!$B$34</f>
        <v/>
      </c>
      <c r="AJ31" s="211">
        <f>-416.67*Escalation!$B$35</f>
        <v/>
      </c>
      <c r="AK31" s="211">
        <f>-416.67*Escalation!$B$36</f>
        <v/>
      </c>
      <c r="AL31" s="211">
        <f>-416.67*Escalation!$B$37</f>
        <v/>
      </c>
      <c r="AM31" s="211">
        <f>-416.67*Escalation!$B$38</f>
        <v/>
      </c>
      <c r="AN31" s="211">
        <f>-416.67*Escalation!$B$39</f>
        <v/>
      </c>
      <c r="AO31" s="211">
        <f>-416.67*Escalation!$B$40</f>
        <v/>
      </c>
      <c r="AP31" s="211">
        <f>-416.67*Escalation!$B$41</f>
        <v/>
      </c>
      <c r="AQ31" s="211">
        <f>-416.67*Escalation!$B$42</f>
        <v/>
      </c>
      <c r="AR31" s="211">
        <f>-416.67*Escalation!$B$43</f>
        <v/>
      </c>
      <c r="AS31" s="211">
        <f>-416.67*Escalation!$B$44</f>
        <v/>
      </c>
      <c r="AT31" s="211">
        <f>-416.67*Escalation!$B$45</f>
        <v/>
      </c>
      <c r="AU31" s="211">
        <f>-416.67*Escalation!$B$46</f>
        <v/>
      </c>
      <c r="AV31" s="211">
        <f>-416.67*Escalation!$B$47</f>
        <v/>
      </c>
      <c r="AW31" s="211">
        <f>-416.67*Escalation!$B$48</f>
        <v/>
      </c>
      <c r="AX31" s="211">
        <f>-416.67*Escalation!$B$49</f>
        <v/>
      </c>
      <c r="AY31" s="211">
        <f>-416.67*Escalation!$B$50</f>
        <v/>
      </c>
      <c r="AZ31" s="211">
        <f>-416.67*Escalation!$B$51</f>
        <v/>
      </c>
      <c r="BA31" s="211">
        <f>-416.67*Escalation!$B$52</f>
        <v/>
      </c>
      <c r="BB31" s="211">
        <f>-416.67*Escalation!$B$53</f>
        <v/>
      </c>
      <c r="BC31" s="211">
        <f>-416.67*Escalation!$B$54</f>
        <v/>
      </c>
      <c r="BD31" s="211">
        <f>-416.67*Escalation!$B$55</f>
        <v/>
      </c>
      <c r="BE31" s="211">
        <f>-416.67*Escalation!$B$56</f>
        <v/>
      </c>
      <c r="BF31" s="211">
        <f>-416.67*Escalation!$B$57</f>
        <v/>
      </c>
      <c r="BG31" s="211">
        <f>-416.67*Escalation!$B$58</f>
        <v/>
      </c>
      <c r="BH31" s="211">
        <f>-416.67*Escalation!$B$59</f>
        <v/>
      </c>
      <c r="BI31" s="211">
        <f>-416.67*Escalation!$B$60</f>
        <v/>
      </c>
      <c r="BJ31" s="211">
        <f>-416.67*Escalation!$B$61</f>
        <v/>
      </c>
      <c r="BK31" s="211">
        <f>-416.67*Escalation!$B$62</f>
        <v/>
      </c>
      <c r="BL31" s="211">
        <f>-416.67*Escalation!$B$63</f>
        <v/>
      </c>
      <c r="BM31" s="211">
        <f>-416.67*Escalation!$B$64</f>
        <v/>
      </c>
      <c r="BN31" s="211">
        <f>-416.67*Escalation!$B$65</f>
        <v/>
      </c>
      <c r="BO31" s="211">
        <f>-416.67*Escalation!$B$66</f>
        <v/>
      </c>
      <c r="BP31" s="211">
        <f>-416.67*Escalation!$B$67</f>
        <v/>
      </c>
      <c r="BQ31" s="211">
        <f>-416.67*Escalation!$B$68</f>
        <v/>
      </c>
      <c r="BR31" s="211">
        <f>-416.67*Escalation!$B$69</f>
        <v/>
      </c>
      <c r="BS31" s="211">
        <f>-416.67*Escalation!$B$70</f>
        <v/>
      </c>
      <c r="BT31" s="211">
        <f>-416.67*Escalation!$B$71</f>
        <v/>
      </c>
      <c r="BU31" s="211">
        <f>-416.67*Escalation!$B$72</f>
        <v/>
      </c>
      <c r="BV31" s="211">
        <f>-416.67*Escalation!$B$73</f>
        <v/>
      </c>
      <c r="BW31" s="211">
        <f>-416.67*Escalation!$B$74</f>
        <v/>
      </c>
      <c r="BX31" s="211">
        <f>-416.67*Escalation!$B$75</f>
        <v/>
      </c>
      <c r="BY31" s="211">
        <f>-416.67*Escalation!$B$76</f>
        <v/>
      </c>
      <c r="BZ31" s="211">
        <f>-416.67*Escalation!$B$77</f>
        <v/>
      </c>
      <c r="CA31" s="211">
        <f>-416.67*Escalation!$B$78</f>
        <v/>
      </c>
      <c r="CB31" s="211">
        <f>-416.67*Escalation!$B$79</f>
        <v/>
      </c>
      <c r="CC31" s="211">
        <f>-416.67*Escalation!$B$80</f>
        <v/>
      </c>
      <c r="CD31" s="211">
        <f>-416.67*Escalation!$B$81</f>
        <v/>
      </c>
      <c r="CE31" s="211">
        <f>-416.67*Escalation!$B$82</f>
        <v/>
      </c>
      <c r="CF31" s="211">
        <f>-416.67*Escalation!$B$83</f>
        <v/>
      </c>
      <c r="CG31" s="211">
        <f>-416.67*Escalation!$B$84</f>
        <v/>
      </c>
      <c r="CH31" s="211">
        <f>-416.67*Escalation!$B$85</f>
        <v/>
      </c>
      <c r="CI31" s="226" t="n"/>
    </row>
    <row r="32" ht="15" customHeight="1" s="202">
      <c r="A32" s="210" t="inlineStr">
        <is>
          <t>General Insurance</t>
        </is>
      </c>
      <c r="B32" s="225" t="n"/>
      <c r="C32" s="211">
        <f>-1666.67*Escalation!$B$2</f>
        <v/>
      </c>
      <c r="D32" s="211">
        <f>-1666.67*Escalation!$B$3</f>
        <v/>
      </c>
      <c r="E32" s="211">
        <f>-1666.67*Escalation!$B$4</f>
        <v/>
      </c>
      <c r="F32" s="211">
        <f>-1666.67*Escalation!$B$5</f>
        <v/>
      </c>
      <c r="G32" s="211">
        <f>-1666.67*Escalation!$B$6</f>
        <v/>
      </c>
      <c r="H32" s="211">
        <f>-1666.67*Escalation!$B$7</f>
        <v/>
      </c>
      <c r="I32" s="211">
        <f>-1666.67*Escalation!$B$8</f>
        <v/>
      </c>
      <c r="J32" s="211">
        <f>-1666.67*Escalation!$B$9</f>
        <v/>
      </c>
      <c r="K32" s="211">
        <f>-1666.67*Escalation!$B$10</f>
        <v/>
      </c>
      <c r="L32" s="211">
        <f>-1666.67*Escalation!$B$11</f>
        <v/>
      </c>
      <c r="M32" s="211">
        <f>-1666.67*Escalation!$B$12</f>
        <v/>
      </c>
      <c r="N32" s="211">
        <f>-1666.67*Escalation!$B$13</f>
        <v/>
      </c>
      <c r="O32" s="211">
        <f>-1666.67*Escalation!$B$14</f>
        <v/>
      </c>
      <c r="P32" s="211">
        <f>-1666.67*Escalation!$B$15</f>
        <v/>
      </c>
      <c r="Q32" s="211">
        <f>-1666.67*Escalation!$B$16</f>
        <v/>
      </c>
      <c r="R32" s="211">
        <f>-1666.67*Escalation!$B$17</f>
        <v/>
      </c>
      <c r="S32" s="211">
        <f>-1666.67*Escalation!$B$18</f>
        <v/>
      </c>
      <c r="T32" s="211">
        <f>-1666.67*Escalation!$B$19</f>
        <v/>
      </c>
      <c r="U32" s="211">
        <f>-1666.67*Escalation!$B$20</f>
        <v/>
      </c>
      <c r="V32" s="211">
        <f>-1666.67*Escalation!$B$21</f>
        <v/>
      </c>
      <c r="W32" s="211">
        <f>-1666.67*Escalation!$B$22</f>
        <v/>
      </c>
      <c r="X32" s="211">
        <f>-1666.67*Escalation!$B$23</f>
        <v/>
      </c>
      <c r="Y32" s="211">
        <f>-1666.67*Escalation!$B$24</f>
        <v/>
      </c>
      <c r="Z32" s="211">
        <f>-1666.67*Escalation!$B$25</f>
        <v/>
      </c>
      <c r="AA32" s="211">
        <f>-1666.67*Escalation!$B$26</f>
        <v/>
      </c>
      <c r="AB32" s="211">
        <f>-1666.67*Escalation!$B$27</f>
        <v/>
      </c>
      <c r="AC32" s="211">
        <f>-1666.67*Escalation!$B$28</f>
        <v/>
      </c>
      <c r="AD32" s="211">
        <f>-1666.67*Escalation!$B$29</f>
        <v/>
      </c>
      <c r="AE32" s="211">
        <f>-1666.67*Escalation!$B$30</f>
        <v/>
      </c>
      <c r="AF32" s="211">
        <f>-1666.67*Escalation!$B$31</f>
        <v/>
      </c>
      <c r="AG32" s="211">
        <f>-1666.67*Escalation!$B$32</f>
        <v/>
      </c>
      <c r="AH32" s="211">
        <f>-1666.67*Escalation!$B$33</f>
        <v/>
      </c>
      <c r="AI32" s="211">
        <f>-1666.67*Escalation!$B$34</f>
        <v/>
      </c>
      <c r="AJ32" s="211">
        <f>-1666.67*Escalation!$B$35</f>
        <v/>
      </c>
      <c r="AK32" s="211">
        <f>-1666.67*Escalation!$B$36</f>
        <v/>
      </c>
      <c r="AL32" s="211">
        <f>-1666.67*Escalation!$B$37</f>
        <v/>
      </c>
      <c r="AM32" s="211">
        <f>-1666.67*Escalation!$B$38</f>
        <v/>
      </c>
      <c r="AN32" s="211">
        <f>-1666.67*Escalation!$B$39</f>
        <v/>
      </c>
      <c r="AO32" s="211">
        <f>-1666.67*Escalation!$B$40</f>
        <v/>
      </c>
      <c r="AP32" s="211">
        <f>-1666.67*Escalation!$B$41</f>
        <v/>
      </c>
      <c r="AQ32" s="211">
        <f>-1666.67*Escalation!$B$42</f>
        <v/>
      </c>
      <c r="AR32" s="211">
        <f>-1666.67*Escalation!$B$43</f>
        <v/>
      </c>
      <c r="AS32" s="211">
        <f>-1666.67*Escalation!$B$44</f>
        <v/>
      </c>
      <c r="AT32" s="211">
        <f>-1666.67*Escalation!$B$45</f>
        <v/>
      </c>
      <c r="AU32" s="211">
        <f>-1666.67*Escalation!$B$46</f>
        <v/>
      </c>
      <c r="AV32" s="211">
        <f>-1666.67*Escalation!$B$47</f>
        <v/>
      </c>
      <c r="AW32" s="211">
        <f>-1666.67*Escalation!$B$48</f>
        <v/>
      </c>
      <c r="AX32" s="211">
        <f>-1666.67*Escalation!$B$49</f>
        <v/>
      </c>
      <c r="AY32" s="211">
        <f>-1666.67*Escalation!$B$50</f>
        <v/>
      </c>
      <c r="AZ32" s="211">
        <f>-1666.67*Escalation!$B$51</f>
        <v/>
      </c>
      <c r="BA32" s="211">
        <f>-1666.67*Escalation!$B$52</f>
        <v/>
      </c>
      <c r="BB32" s="211">
        <f>-1666.67*Escalation!$B$53</f>
        <v/>
      </c>
      <c r="BC32" s="211">
        <f>-1666.67*Escalation!$B$54</f>
        <v/>
      </c>
      <c r="BD32" s="211">
        <f>-1666.67*Escalation!$B$55</f>
        <v/>
      </c>
      <c r="BE32" s="211">
        <f>-1666.67*Escalation!$B$56</f>
        <v/>
      </c>
      <c r="BF32" s="211">
        <f>-1666.67*Escalation!$B$57</f>
        <v/>
      </c>
      <c r="BG32" s="211">
        <f>-1666.67*Escalation!$B$58</f>
        <v/>
      </c>
      <c r="BH32" s="211">
        <f>-1666.67*Escalation!$B$59</f>
        <v/>
      </c>
      <c r="BI32" s="211">
        <f>-1666.67*Escalation!$B$60</f>
        <v/>
      </c>
      <c r="BJ32" s="211">
        <f>-1666.67*Escalation!$B$61</f>
        <v/>
      </c>
      <c r="BK32" s="211">
        <f>-1666.67*Escalation!$B$62</f>
        <v/>
      </c>
      <c r="BL32" s="211">
        <f>-1666.67*Escalation!$B$63</f>
        <v/>
      </c>
      <c r="BM32" s="211">
        <f>-1666.67*Escalation!$B$64</f>
        <v/>
      </c>
      <c r="BN32" s="211">
        <f>-1666.67*Escalation!$B$65</f>
        <v/>
      </c>
      <c r="BO32" s="211">
        <f>-1666.67*Escalation!$B$66</f>
        <v/>
      </c>
      <c r="BP32" s="211">
        <f>-1666.67*Escalation!$B$67</f>
        <v/>
      </c>
      <c r="BQ32" s="211">
        <f>-1666.67*Escalation!$B$68</f>
        <v/>
      </c>
      <c r="BR32" s="211">
        <f>-1666.67*Escalation!$B$69</f>
        <v/>
      </c>
      <c r="BS32" s="211">
        <f>-1666.67*Escalation!$B$70</f>
        <v/>
      </c>
      <c r="BT32" s="211">
        <f>-1666.67*Escalation!$B$71</f>
        <v/>
      </c>
      <c r="BU32" s="211">
        <f>-1666.67*Escalation!$B$72</f>
        <v/>
      </c>
      <c r="BV32" s="211">
        <f>-1666.67*Escalation!$B$73</f>
        <v/>
      </c>
      <c r="BW32" s="211">
        <f>-1666.67*Escalation!$B$74</f>
        <v/>
      </c>
      <c r="BX32" s="211">
        <f>-1666.67*Escalation!$B$75</f>
        <v/>
      </c>
      <c r="BY32" s="211">
        <f>-1666.67*Escalation!$B$76</f>
        <v/>
      </c>
      <c r="BZ32" s="211">
        <f>-1666.67*Escalation!$B$77</f>
        <v/>
      </c>
      <c r="CA32" s="211">
        <f>-1666.67*Escalation!$B$78</f>
        <v/>
      </c>
      <c r="CB32" s="211">
        <f>-1666.67*Escalation!$B$79</f>
        <v/>
      </c>
      <c r="CC32" s="211">
        <f>-1666.67*Escalation!$B$80</f>
        <v/>
      </c>
      <c r="CD32" s="211">
        <f>-1666.67*Escalation!$B$81</f>
        <v/>
      </c>
      <c r="CE32" s="211">
        <f>-1666.67*Escalation!$B$82</f>
        <v/>
      </c>
      <c r="CF32" s="211">
        <f>-1666.67*Escalation!$B$83</f>
        <v/>
      </c>
      <c r="CG32" s="211">
        <f>-1666.67*Escalation!$B$84</f>
        <v/>
      </c>
      <c r="CH32" s="211">
        <f>-1666.67*Escalation!$B$85</f>
        <v/>
      </c>
      <c r="CI32" s="226" t="n"/>
    </row>
    <row r="33" ht="15" customHeight="1" s="202">
      <c r="A33" s="210" t="inlineStr">
        <is>
          <t>Other Utilities</t>
        </is>
      </c>
      <c r="B33" s="225" t="n"/>
      <c r="C33" s="211">
        <f>-1000*Escalation!$B$2</f>
        <v/>
      </c>
      <c r="D33" s="211">
        <f>-1000*Escalation!$B$3</f>
        <v/>
      </c>
      <c r="E33" s="211">
        <f>-1000*Escalation!$B$4</f>
        <v/>
      </c>
      <c r="F33" s="211">
        <f>-1000*Escalation!$B$5</f>
        <v/>
      </c>
      <c r="G33" s="211">
        <f>-1000*Escalation!$B$6</f>
        <v/>
      </c>
      <c r="H33" s="211">
        <f>-1000*Escalation!$B$7</f>
        <v/>
      </c>
      <c r="I33" s="211">
        <f>-1000*Escalation!$B$8</f>
        <v/>
      </c>
      <c r="J33" s="211">
        <f>-1000*Escalation!$B$9</f>
        <v/>
      </c>
      <c r="K33" s="211">
        <f>-1000*Escalation!$B$10</f>
        <v/>
      </c>
      <c r="L33" s="211">
        <f>-1000*Escalation!$B$11</f>
        <v/>
      </c>
      <c r="M33" s="211">
        <f>-1000*Escalation!$B$12</f>
        <v/>
      </c>
      <c r="N33" s="211">
        <f>-1000*Escalation!$B$13</f>
        <v/>
      </c>
      <c r="O33" s="211">
        <f>-1000*Escalation!$B$14</f>
        <v/>
      </c>
      <c r="P33" s="211">
        <f>-1000*Escalation!$B$15</f>
        <v/>
      </c>
      <c r="Q33" s="211">
        <f>-1000*Escalation!$B$16</f>
        <v/>
      </c>
      <c r="R33" s="211">
        <f>-1000*Escalation!$B$17</f>
        <v/>
      </c>
      <c r="S33" s="211">
        <f>-1000*Escalation!$B$18</f>
        <v/>
      </c>
      <c r="T33" s="211">
        <f>-1000*Escalation!$B$19</f>
        <v/>
      </c>
      <c r="U33" s="211">
        <f>-1000*Escalation!$B$20</f>
        <v/>
      </c>
      <c r="V33" s="211">
        <f>-1000*Escalation!$B$21</f>
        <v/>
      </c>
      <c r="W33" s="211">
        <f>-1000*Escalation!$B$22</f>
        <v/>
      </c>
      <c r="X33" s="211">
        <f>-1000*Escalation!$B$23</f>
        <v/>
      </c>
      <c r="Y33" s="211">
        <f>-1000*Escalation!$B$24</f>
        <v/>
      </c>
      <c r="Z33" s="211">
        <f>-1000*Escalation!$B$25</f>
        <v/>
      </c>
      <c r="AA33" s="211">
        <f>-1000*Escalation!$B$26</f>
        <v/>
      </c>
      <c r="AB33" s="211">
        <f>-1000*Escalation!$B$27</f>
        <v/>
      </c>
      <c r="AC33" s="211">
        <f>-1000*Escalation!$B$28</f>
        <v/>
      </c>
      <c r="AD33" s="211">
        <f>-1000*Escalation!$B$29</f>
        <v/>
      </c>
      <c r="AE33" s="211">
        <f>-1000*Escalation!$B$30</f>
        <v/>
      </c>
      <c r="AF33" s="211">
        <f>-1000*Escalation!$B$31</f>
        <v/>
      </c>
      <c r="AG33" s="211">
        <f>-1000*Escalation!$B$32</f>
        <v/>
      </c>
      <c r="AH33" s="211">
        <f>-1000*Escalation!$B$33</f>
        <v/>
      </c>
      <c r="AI33" s="211">
        <f>-1000*Escalation!$B$34</f>
        <v/>
      </c>
      <c r="AJ33" s="211">
        <f>-1000*Escalation!$B$35</f>
        <v/>
      </c>
      <c r="AK33" s="211">
        <f>-1000*Escalation!$B$36</f>
        <v/>
      </c>
      <c r="AL33" s="211">
        <f>-1000*Escalation!$B$37</f>
        <v/>
      </c>
      <c r="AM33" s="211">
        <f>-1000*Escalation!$B$38</f>
        <v/>
      </c>
      <c r="AN33" s="211">
        <f>-1000*Escalation!$B$39</f>
        <v/>
      </c>
      <c r="AO33" s="211">
        <f>-1000*Escalation!$B$40</f>
        <v/>
      </c>
      <c r="AP33" s="211">
        <f>-1000*Escalation!$B$41</f>
        <v/>
      </c>
      <c r="AQ33" s="211">
        <f>-1000*Escalation!$B$42</f>
        <v/>
      </c>
      <c r="AR33" s="211">
        <f>-1000*Escalation!$B$43</f>
        <v/>
      </c>
      <c r="AS33" s="211">
        <f>-1000*Escalation!$B$44</f>
        <v/>
      </c>
      <c r="AT33" s="211">
        <f>-1000*Escalation!$B$45</f>
        <v/>
      </c>
      <c r="AU33" s="211">
        <f>-1000*Escalation!$B$46</f>
        <v/>
      </c>
      <c r="AV33" s="211">
        <f>-1000*Escalation!$B$47</f>
        <v/>
      </c>
      <c r="AW33" s="211">
        <f>-1000*Escalation!$B$48</f>
        <v/>
      </c>
      <c r="AX33" s="211">
        <f>-1000*Escalation!$B$49</f>
        <v/>
      </c>
      <c r="AY33" s="211">
        <f>-1000*Escalation!$B$50</f>
        <v/>
      </c>
      <c r="AZ33" s="211">
        <f>-1000*Escalation!$B$51</f>
        <v/>
      </c>
      <c r="BA33" s="211">
        <f>-1000*Escalation!$B$52</f>
        <v/>
      </c>
      <c r="BB33" s="211">
        <f>-1000*Escalation!$B$53</f>
        <v/>
      </c>
      <c r="BC33" s="211">
        <f>-1000*Escalation!$B$54</f>
        <v/>
      </c>
      <c r="BD33" s="211">
        <f>-1000*Escalation!$B$55</f>
        <v/>
      </c>
      <c r="BE33" s="211">
        <f>-1000*Escalation!$B$56</f>
        <v/>
      </c>
      <c r="BF33" s="211">
        <f>-1000*Escalation!$B$57</f>
        <v/>
      </c>
      <c r="BG33" s="211">
        <f>-1000*Escalation!$B$58</f>
        <v/>
      </c>
      <c r="BH33" s="211">
        <f>-1000*Escalation!$B$59</f>
        <v/>
      </c>
      <c r="BI33" s="211">
        <f>-1000*Escalation!$B$60</f>
        <v/>
      </c>
      <c r="BJ33" s="211">
        <f>-1000*Escalation!$B$61</f>
        <v/>
      </c>
      <c r="BK33" s="211">
        <f>-1000*Escalation!$B$62</f>
        <v/>
      </c>
      <c r="BL33" s="211">
        <f>-1000*Escalation!$B$63</f>
        <v/>
      </c>
      <c r="BM33" s="211">
        <f>-1000*Escalation!$B$64</f>
        <v/>
      </c>
      <c r="BN33" s="211">
        <f>-1000*Escalation!$B$65</f>
        <v/>
      </c>
      <c r="BO33" s="211">
        <f>-1000*Escalation!$B$66</f>
        <v/>
      </c>
      <c r="BP33" s="211">
        <f>-1000*Escalation!$B$67</f>
        <v/>
      </c>
      <c r="BQ33" s="211">
        <f>-1000*Escalation!$B$68</f>
        <v/>
      </c>
      <c r="BR33" s="211">
        <f>-1000*Escalation!$B$69</f>
        <v/>
      </c>
      <c r="BS33" s="211">
        <f>-1000*Escalation!$B$70</f>
        <v/>
      </c>
      <c r="BT33" s="211">
        <f>-1000*Escalation!$B$71</f>
        <v/>
      </c>
      <c r="BU33" s="211">
        <f>-1000*Escalation!$B$72</f>
        <v/>
      </c>
      <c r="BV33" s="211">
        <f>-1000*Escalation!$B$73</f>
        <v/>
      </c>
      <c r="BW33" s="211">
        <f>-1000*Escalation!$B$74</f>
        <v/>
      </c>
      <c r="BX33" s="211">
        <f>-1000*Escalation!$B$75</f>
        <v/>
      </c>
      <c r="BY33" s="211">
        <f>-1000*Escalation!$B$76</f>
        <v/>
      </c>
      <c r="BZ33" s="211">
        <f>-1000*Escalation!$B$77</f>
        <v/>
      </c>
      <c r="CA33" s="211">
        <f>-1000*Escalation!$B$78</f>
        <v/>
      </c>
      <c r="CB33" s="211">
        <f>-1000*Escalation!$B$79</f>
        <v/>
      </c>
      <c r="CC33" s="211">
        <f>-1000*Escalation!$B$80</f>
        <v/>
      </c>
      <c r="CD33" s="211">
        <f>-1000*Escalation!$B$81</f>
        <v/>
      </c>
      <c r="CE33" s="211">
        <f>-1000*Escalation!$B$82</f>
        <v/>
      </c>
      <c r="CF33" s="211">
        <f>-1000*Escalation!$B$83</f>
        <v/>
      </c>
      <c r="CG33" s="211">
        <f>-1000*Escalation!$B$84</f>
        <v/>
      </c>
      <c r="CH33" s="211">
        <f>-1000*Escalation!$B$85</f>
        <v/>
      </c>
      <c r="CI33" s="226" t="n"/>
    </row>
    <row r="34" ht="15" customHeight="1" s="202">
      <c r="A34" s="210" t="inlineStr">
        <is>
          <t>Gas Expense</t>
        </is>
      </c>
      <c r="B34" s="225" t="n"/>
      <c r="C34" s="211">
        <f>-4166.67*Escalation!$B$2</f>
        <v/>
      </c>
      <c r="D34" s="211">
        <f>-4166.67*Escalation!$B$3</f>
        <v/>
      </c>
      <c r="E34" s="211">
        <f>-4166.67*Escalation!$B$4</f>
        <v/>
      </c>
      <c r="F34" s="211">
        <f>-4166.67*Escalation!$B$5</f>
        <v/>
      </c>
      <c r="G34" s="211">
        <f>-4166.67*Escalation!$B$6</f>
        <v/>
      </c>
      <c r="H34" s="211">
        <f>-4166.67*Escalation!$B$7</f>
        <v/>
      </c>
      <c r="I34" s="211">
        <f>-4166.67*Escalation!$B$8</f>
        <v/>
      </c>
      <c r="J34" s="211">
        <f>-4166.67*Escalation!$B$9</f>
        <v/>
      </c>
      <c r="K34" s="211">
        <f>-4166.67*Escalation!$B$10</f>
        <v/>
      </c>
      <c r="L34" s="211">
        <f>-4166.67*Escalation!$B$11</f>
        <v/>
      </c>
      <c r="M34" s="211">
        <f>-4166.67*Escalation!$B$12</f>
        <v/>
      </c>
      <c r="N34" s="211">
        <f>-4166.67*Escalation!$B$13</f>
        <v/>
      </c>
      <c r="O34" s="211">
        <f>-4166.67*Escalation!$B$14</f>
        <v/>
      </c>
      <c r="P34" s="211">
        <f>-4166.67*Escalation!$B$15</f>
        <v/>
      </c>
      <c r="Q34" s="211">
        <f>-4166.67*Escalation!$B$16</f>
        <v/>
      </c>
      <c r="R34" s="211">
        <f>-4166.67*Escalation!$B$17</f>
        <v/>
      </c>
      <c r="S34" s="211">
        <f>-4166.67*Escalation!$B$18</f>
        <v/>
      </c>
      <c r="T34" s="211">
        <f>-4166.67*Escalation!$B$19</f>
        <v/>
      </c>
      <c r="U34" s="211">
        <f>-4166.67*Escalation!$B$20</f>
        <v/>
      </c>
      <c r="V34" s="211">
        <f>-4166.67*Escalation!$B$21</f>
        <v/>
      </c>
      <c r="W34" s="211">
        <f>-4166.67*Escalation!$B$22</f>
        <v/>
      </c>
      <c r="X34" s="211">
        <f>-4166.67*Escalation!$B$23</f>
        <v/>
      </c>
      <c r="Y34" s="211">
        <f>-4166.67*Escalation!$B$24</f>
        <v/>
      </c>
      <c r="Z34" s="211">
        <f>-4166.67*Escalation!$B$25</f>
        <v/>
      </c>
      <c r="AA34" s="211">
        <f>-4166.67*Escalation!$B$26</f>
        <v/>
      </c>
      <c r="AB34" s="211">
        <f>-4166.67*Escalation!$B$27</f>
        <v/>
      </c>
      <c r="AC34" s="211">
        <f>-4166.67*Escalation!$B$28</f>
        <v/>
      </c>
      <c r="AD34" s="211">
        <f>-4166.67*Escalation!$B$29</f>
        <v/>
      </c>
      <c r="AE34" s="211">
        <f>-4166.67*Escalation!$B$30</f>
        <v/>
      </c>
      <c r="AF34" s="211">
        <f>-4166.67*Escalation!$B$31</f>
        <v/>
      </c>
      <c r="AG34" s="211">
        <f>-4166.67*Escalation!$B$32</f>
        <v/>
      </c>
      <c r="AH34" s="211">
        <f>-4166.67*Escalation!$B$33</f>
        <v/>
      </c>
      <c r="AI34" s="211">
        <f>-4166.67*Escalation!$B$34</f>
        <v/>
      </c>
      <c r="AJ34" s="211">
        <f>-4166.67*Escalation!$B$35</f>
        <v/>
      </c>
      <c r="AK34" s="211">
        <f>-4166.67*Escalation!$B$36</f>
        <v/>
      </c>
      <c r="AL34" s="211">
        <f>-4166.67*Escalation!$B$37</f>
        <v/>
      </c>
      <c r="AM34" s="211">
        <f>-4166.67*Escalation!$B$38</f>
        <v/>
      </c>
      <c r="AN34" s="211">
        <f>-4166.67*Escalation!$B$39</f>
        <v/>
      </c>
      <c r="AO34" s="211">
        <f>-4166.67*Escalation!$B$40</f>
        <v/>
      </c>
      <c r="AP34" s="211">
        <f>-4166.67*Escalation!$B$41</f>
        <v/>
      </c>
      <c r="AQ34" s="211">
        <f>-4166.67*Escalation!$B$42</f>
        <v/>
      </c>
      <c r="AR34" s="211">
        <f>-4166.67*Escalation!$B$43</f>
        <v/>
      </c>
      <c r="AS34" s="211">
        <f>-4166.67*Escalation!$B$44</f>
        <v/>
      </c>
      <c r="AT34" s="211">
        <f>-4166.67*Escalation!$B$45</f>
        <v/>
      </c>
      <c r="AU34" s="211">
        <f>-4166.67*Escalation!$B$46</f>
        <v/>
      </c>
      <c r="AV34" s="211">
        <f>-4166.67*Escalation!$B$47</f>
        <v/>
      </c>
      <c r="AW34" s="211">
        <f>-4166.67*Escalation!$B$48</f>
        <v/>
      </c>
      <c r="AX34" s="211">
        <f>-4166.67*Escalation!$B$49</f>
        <v/>
      </c>
      <c r="AY34" s="211">
        <f>-4166.67*Escalation!$B$50</f>
        <v/>
      </c>
      <c r="AZ34" s="211">
        <f>-4166.67*Escalation!$B$51</f>
        <v/>
      </c>
      <c r="BA34" s="211">
        <f>-4166.67*Escalation!$B$52</f>
        <v/>
      </c>
      <c r="BB34" s="211">
        <f>-4166.67*Escalation!$B$53</f>
        <v/>
      </c>
      <c r="BC34" s="211">
        <f>-4166.67*Escalation!$B$54</f>
        <v/>
      </c>
      <c r="BD34" s="211">
        <f>-4166.67*Escalation!$B$55</f>
        <v/>
      </c>
      <c r="BE34" s="211">
        <f>-4166.67*Escalation!$B$56</f>
        <v/>
      </c>
      <c r="BF34" s="211">
        <f>-4166.67*Escalation!$B$57</f>
        <v/>
      </c>
      <c r="BG34" s="211">
        <f>-4166.67*Escalation!$B$58</f>
        <v/>
      </c>
      <c r="BH34" s="211">
        <f>-4166.67*Escalation!$B$59</f>
        <v/>
      </c>
      <c r="BI34" s="211">
        <f>-4166.67*Escalation!$B$60</f>
        <v/>
      </c>
      <c r="BJ34" s="211">
        <f>-4166.67*Escalation!$B$61</f>
        <v/>
      </c>
      <c r="BK34" s="211">
        <f>-4166.67*Escalation!$B$62</f>
        <v/>
      </c>
      <c r="BL34" s="211">
        <f>-4166.67*Escalation!$B$63</f>
        <v/>
      </c>
      <c r="BM34" s="211">
        <f>-4166.67*Escalation!$B$64</f>
        <v/>
      </c>
      <c r="BN34" s="211">
        <f>-4166.67*Escalation!$B$65</f>
        <v/>
      </c>
      <c r="BO34" s="211">
        <f>-4166.67*Escalation!$B$66</f>
        <v/>
      </c>
      <c r="BP34" s="211">
        <f>-4166.67*Escalation!$B$67</f>
        <v/>
      </c>
      <c r="BQ34" s="211">
        <f>-4166.67*Escalation!$B$68</f>
        <v/>
      </c>
      <c r="BR34" s="211">
        <f>-4166.67*Escalation!$B$69</f>
        <v/>
      </c>
      <c r="BS34" s="211">
        <f>-4166.67*Escalation!$B$70</f>
        <v/>
      </c>
      <c r="BT34" s="211">
        <f>-4166.67*Escalation!$B$71</f>
        <v/>
      </c>
      <c r="BU34" s="211">
        <f>-4166.67*Escalation!$B$72</f>
        <v/>
      </c>
      <c r="BV34" s="211">
        <f>-4166.67*Escalation!$B$73</f>
        <v/>
      </c>
      <c r="BW34" s="211">
        <f>-4166.67*Escalation!$B$74</f>
        <v/>
      </c>
      <c r="BX34" s="211">
        <f>-4166.67*Escalation!$B$75</f>
        <v/>
      </c>
      <c r="BY34" s="211">
        <f>-4166.67*Escalation!$B$76</f>
        <v/>
      </c>
      <c r="BZ34" s="211">
        <f>-4166.67*Escalation!$B$77</f>
        <v/>
      </c>
      <c r="CA34" s="211">
        <f>-4166.67*Escalation!$B$78</f>
        <v/>
      </c>
      <c r="CB34" s="211">
        <f>-4166.67*Escalation!$B$79</f>
        <v/>
      </c>
      <c r="CC34" s="211">
        <f>-4166.67*Escalation!$B$80</f>
        <v/>
      </c>
      <c r="CD34" s="211">
        <f>-4166.67*Escalation!$B$81</f>
        <v/>
      </c>
      <c r="CE34" s="211">
        <f>-4166.67*Escalation!$B$82</f>
        <v/>
      </c>
      <c r="CF34" s="211">
        <f>-4166.67*Escalation!$B$83</f>
        <v/>
      </c>
      <c r="CG34" s="211">
        <f>-4166.67*Escalation!$B$84</f>
        <v/>
      </c>
      <c r="CH34" s="211">
        <f>-4166.67*Escalation!$B$85</f>
        <v/>
      </c>
      <c r="CI34" s="226" t="n"/>
    </row>
    <row r="35" ht="15" customHeight="1" s="202">
      <c r="A35" s="210" t="inlineStr">
        <is>
          <t>Auto &amp; Truck Expense</t>
        </is>
      </c>
      <c r="B35" s="225" t="n"/>
      <c r="C35" s="211">
        <f>-1000*Escalation!$B$2</f>
        <v/>
      </c>
      <c r="D35" s="211">
        <f>-1000*Escalation!$B$3</f>
        <v/>
      </c>
      <c r="E35" s="211">
        <f>-1000*Escalation!$B$4</f>
        <v/>
      </c>
      <c r="F35" s="211">
        <f>-1000*Escalation!$B$5</f>
        <v/>
      </c>
      <c r="G35" s="211">
        <f>-1000*Escalation!$B$6</f>
        <v/>
      </c>
      <c r="H35" s="211">
        <f>-1000*Escalation!$B$7</f>
        <v/>
      </c>
      <c r="I35" s="211">
        <f>-1000*Escalation!$B$8</f>
        <v/>
      </c>
      <c r="J35" s="211">
        <f>-1000*Escalation!$B$9</f>
        <v/>
      </c>
      <c r="K35" s="211">
        <f>-1000*Escalation!$B$10</f>
        <v/>
      </c>
      <c r="L35" s="211">
        <f>-1000*Escalation!$B$11</f>
        <v/>
      </c>
      <c r="M35" s="211">
        <f>-1000*Escalation!$B$12</f>
        <v/>
      </c>
      <c r="N35" s="211">
        <f>-1000*Escalation!$B$13</f>
        <v/>
      </c>
      <c r="O35" s="211">
        <f>-1000*Escalation!$B$14</f>
        <v/>
      </c>
      <c r="P35" s="211">
        <f>-1000*Escalation!$B$15</f>
        <v/>
      </c>
      <c r="Q35" s="211">
        <f>-1000*Escalation!$B$16</f>
        <v/>
      </c>
      <c r="R35" s="211">
        <f>-1000*Escalation!$B$17</f>
        <v/>
      </c>
      <c r="S35" s="211">
        <f>-1000*Escalation!$B$18</f>
        <v/>
      </c>
      <c r="T35" s="211">
        <f>-1000*Escalation!$B$19</f>
        <v/>
      </c>
      <c r="U35" s="211">
        <f>-1000*Escalation!$B$20</f>
        <v/>
      </c>
      <c r="V35" s="211">
        <f>-1000*Escalation!$B$21</f>
        <v/>
      </c>
      <c r="W35" s="211">
        <f>-1000*Escalation!$B$22</f>
        <v/>
      </c>
      <c r="X35" s="211">
        <f>-1000*Escalation!$B$23</f>
        <v/>
      </c>
      <c r="Y35" s="211">
        <f>-1000*Escalation!$B$24</f>
        <v/>
      </c>
      <c r="Z35" s="211">
        <f>-1000*Escalation!$B$25</f>
        <v/>
      </c>
      <c r="AA35" s="211">
        <f>-1000*Escalation!$B$26</f>
        <v/>
      </c>
      <c r="AB35" s="211">
        <f>-1000*Escalation!$B$27</f>
        <v/>
      </c>
      <c r="AC35" s="211">
        <f>-1000*Escalation!$B$28</f>
        <v/>
      </c>
      <c r="AD35" s="211">
        <f>-1000*Escalation!$B$29</f>
        <v/>
      </c>
      <c r="AE35" s="211">
        <f>-1000*Escalation!$B$30</f>
        <v/>
      </c>
      <c r="AF35" s="211">
        <f>-1000*Escalation!$B$31</f>
        <v/>
      </c>
      <c r="AG35" s="211">
        <f>-1000*Escalation!$B$32</f>
        <v/>
      </c>
      <c r="AH35" s="211">
        <f>-1000*Escalation!$B$33</f>
        <v/>
      </c>
      <c r="AI35" s="211">
        <f>-1000*Escalation!$B$34</f>
        <v/>
      </c>
      <c r="AJ35" s="211">
        <f>-1000*Escalation!$B$35</f>
        <v/>
      </c>
      <c r="AK35" s="211">
        <f>-1000*Escalation!$B$36</f>
        <v/>
      </c>
      <c r="AL35" s="211">
        <f>-1000*Escalation!$B$37</f>
        <v/>
      </c>
      <c r="AM35" s="211">
        <f>-1000*Escalation!$B$38</f>
        <v/>
      </c>
      <c r="AN35" s="211">
        <f>-1000*Escalation!$B$39</f>
        <v/>
      </c>
      <c r="AO35" s="211">
        <f>-1000*Escalation!$B$40</f>
        <v/>
      </c>
      <c r="AP35" s="211">
        <f>-1000*Escalation!$B$41</f>
        <v/>
      </c>
      <c r="AQ35" s="211">
        <f>-1000*Escalation!$B$42</f>
        <v/>
      </c>
      <c r="AR35" s="211">
        <f>-1000*Escalation!$B$43</f>
        <v/>
      </c>
      <c r="AS35" s="211">
        <f>-1000*Escalation!$B$44</f>
        <v/>
      </c>
      <c r="AT35" s="211">
        <f>-1000*Escalation!$B$45</f>
        <v/>
      </c>
      <c r="AU35" s="211">
        <f>-1000*Escalation!$B$46</f>
        <v/>
      </c>
      <c r="AV35" s="211">
        <f>-1000*Escalation!$B$47</f>
        <v/>
      </c>
      <c r="AW35" s="211">
        <f>-1000*Escalation!$B$48</f>
        <v/>
      </c>
      <c r="AX35" s="211">
        <f>-1000*Escalation!$B$49</f>
        <v/>
      </c>
      <c r="AY35" s="211">
        <f>-1000*Escalation!$B$50</f>
        <v/>
      </c>
      <c r="AZ35" s="211">
        <f>-1000*Escalation!$B$51</f>
        <v/>
      </c>
      <c r="BA35" s="211">
        <f>-1000*Escalation!$B$52</f>
        <v/>
      </c>
      <c r="BB35" s="211">
        <f>-1000*Escalation!$B$53</f>
        <v/>
      </c>
      <c r="BC35" s="211">
        <f>-1000*Escalation!$B$54</f>
        <v/>
      </c>
      <c r="BD35" s="211">
        <f>-1000*Escalation!$B$55</f>
        <v/>
      </c>
      <c r="BE35" s="211">
        <f>-1000*Escalation!$B$56</f>
        <v/>
      </c>
      <c r="BF35" s="211">
        <f>-1000*Escalation!$B$57</f>
        <v/>
      </c>
      <c r="BG35" s="211">
        <f>-1000*Escalation!$B$58</f>
        <v/>
      </c>
      <c r="BH35" s="211">
        <f>-1000*Escalation!$B$59</f>
        <v/>
      </c>
      <c r="BI35" s="211">
        <f>-1000*Escalation!$B$60</f>
        <v/>
      </c>
      <c r="BJ35" s="211">
        <f>-1000*Escalation!$B$61</f>
        <v/>
      </c>
      <c r="BK35" s="211">
        <f>-1000*Escalation!$B$62</f>
        <v/>
      </c>
      <c r="BL35" s="211">
        <f>-1000*Escalation!$B$63</f>
        <v/>
      </c>
      <c r="BM35" s="211">
        <f>-1000*Escalation!$B$64</f>
        <v/>
      </c>
      <c r="BN35" s="211">
        <f>-1000*Escalation!$B$65</f>
        <v/>
      </c>
      <c r="BO35" s="211">
        <f>-1000*Escalation!$B$66</f>
        <v/>
      </c>
      <c r="BP35" s="211">
        <f>-1000*Escalation!$B$67</f>
        <v/>
      </c>
      <c r="BQ35" s="211">
        <f>-1000*Escalation!$B$68</f>
        <v/>
      </c>
      <c r="BR35" s="211">
        <f>-1000*Escalation!$B$69</f>
        <v/>
      </c>
      <c r="BS35" s="211">
        <f>-1000*Escalation!$B$70</f>
        <v/>
      </c>
      <c r="BT35" s="211">
        <f>-1000*Escalation!$B$71</f>
        <v/>
      </c>
      <c r="BU35" s="211">
        <f>-1000*Escalation!$B$72</f>
        <v/>
      </c>
      <c r="BV35" s="211">
        <f>-1000*Escalation!$B$73</f>
        <v/>
      </c>
      <c r="BW35" s="211">
        <f>-1000*Escalation!$B$74</f>
        <v/>
      </c>
      <c r="BX35" s="211">
        <f>-1000*Escalation!$B$75</f>
        <v/>
      </c>
      <c r="BY35" s="211">
        <f>-1000*Escalation!$B$76</f>
        <v/>
      </c>
      <c r="BZ35" s="211">
        <f>-1000*Escalation!$B$77</f>
        <v/>
      </c>
      <c r="CA35" s="211">
        <f>-1000*Escalation!$B$78</f>
        <v/>
      </c>
      <c r="CB35" s="211">
        <f>-1000*Escalation!$B$79</f>
        <v/>
      </c>
      <c r="CC35" s="211">
        <f>-1000*Escalation!$B$80</f>
        <v/>
      </c>
      <c r="CD35" s="211">
        <f>-1000*Escalation!$B$81</f>
        <v/>
      </c>
      <c r="CE35" s="211">
        <f>-1000*Escalation!$B$82</f>
        <v/>
      </c>
      <c r="CF35" s="211">
        <f>-1000*Escalation!$B$83</f>
        <v/>
      </c>
      <c r="CG35" s="211">
        <f>-1000*Escalation!$B$84</f>
        <v/>
      </c>
      <c r="CH35" s="211">
        <f>-1000*Escalation!$B$85</f>
        <v/>
      </c>
      <c r="CI35" s="226" t="n"/>
    </row>
    <row r="36" ht="15" customHeight="1" s="202">
      <c r="A36" s="210" t="inlineStr">
        <is>
          <t>Bank Service Charges</t>
        </is>
      </c>
      <c r="B36" s="225" t="n"/>
      <c r="C36" s="211">
        <f>-166.67*Escalation!$B$2</f>
        <v/>
      </c>
      <c r="D36" s="211">
        <f>-166.67*Escalation!$B$3</f>
        <v/>
      </c>
      <c r="E36" s="211">
        <f>-166.67*Escalation!$B$4</f>
        <v/>
      </c>
      <c r="F36" s="211">
        <f>-166.67*Escalation!$B$5</f>
        <v/>
      </c>
      <c r="G36" s="211">
        <f>-166.67*Escalation!$B$6</f>
        <v/>
      </c>
      <c r="H36" s="211">
        <f>-166.67*Escalation!$B$7</f>
        <v/>
      </c>
      <c r="I36" s="211">
        <f>-166.67*Escalation!$B$8</f>
        <v/>
      </c>
      <c r="J36" s="211">
        <f>-166.67*Escalation!$B$9</f>
        <v/>
      </c>
      <c r="K36" s="211">
        <f>-166.67*Escalation!$B$10</f>
        <v/>
      </c>
      <c r="L36" s="211">
        <f>-166.67*Escalation!$B$11</f>
        <v/>
      </c>
      <c r="M36" s="211">
        <f>-166.67*Escalation!$B$12</f>
        <v/>
      </c>
      <c r="N36" s="211">
        <f>-166.67*Escalation!$B$13</f>
        <v/>
      </c>
      <c r="O36" s="211">
        <f>-166.67*Escalation!$B$14</f>
        <v/>
      </c>
      <c r="P36" s="211">
        <f>-166.67*Escalation!$B$15</f>
        <v/>
      </c>
      <c r="Q36" s="211">
        <f>-166.67*Escalation!$B$16</f>
        <v/>
      </c>
      <c r="R36" s="211">
        <f>-166.67*Escalation!$B$17</f>
        <v/>
      </c>
      <c r="S36" s="211">
        <f>-166.67*Escalation!$B$18</f>
        <v/>
      </c>
      <c r="T36" s="211">
        <f>-166.67*Escalation!$B$19</f>
        <v/>
      </c>
      <c r="U36" s="211">
        <f>-166.67*Escalation!$B$20</f>
        <v/>
      </c>
      <c r="V36" s="211">
        <f>-166.67*Escalation!$B$21</f>
        <v/>
      </c>
      <c r="W36" s="211">
        <f>-166.67*Escalation!$B$22</f>
        <v/>
      </c>
      <c r="X36" s="211">
        <f>-166.67*Escalation!$B$23</f>
        <v/>
      </c>
      <c r="Y36" s="211">
        <f>-166.67*Escalation!$B$24</f>
        <v/>
      </c>
      <c r="Z36" s="211">
        <f>-166.67*Escalation!$B$25</f>
        <v/>
      </c>
      <c r="AA36" s="211">
        <f>-166.67*Escalation!$B$26</f>
        <v/>
      </c>
      <c r="AB36" s="211">
        <f>-166.67*Escalation!$B$27</f>
        <v/>
      </c>
      <c r="AC36" s="211">
        <f>-166.67*Escalation!$B$28</f>
        <v/>
      </c>
      <c r="AD36" s="211">
        <f>-166.67*Escalation!$B$29</f>
        <v/>
      </c>
      <c r="AE36" s="211">
        <f>-166.67*Escalation!$B$30</f>
        <v/>
      </c>
      <c r="AF36" s="211">
        <f>-166.67*Escalation!$B$31</f>
        <v/>
      </c>
      <c r="AG36" s="211">
        <f>-166.67*Escalation!$B$32</f>
        <v/>
      </c>
      <c r="AH36" s="211">
        <f>-166.67*Escalation!$B$33</f>
        <v/>
      </c>
      <c r="AI36" s="211">
        <f>-166.67*Escalation!$B$34</f>
        <v/>
      </c>
      <c r="AJ36" s="211">
        <f>-166.67*Escalation!$B$35</f>
        <v/>
      </c>
      <c r="AK36" s="211">
        <f>-166.67*Escalation!$B$36</f>
        <v/>
      </c>
      <c r="AL36" s="211">
        <f>-166.67*Escalation!$B$37</f>
        <v/>
      </c>
      <c r="AM36" s="211">
        <f>-166.67*Escalation!$B$38</f>
        <v/>
      </c>
      <c r="AN36" s="211">
        <f>-166.67*Escalation!$B$39</f>
        <v/>
      </c>
      <c r="AO36" s="211">
        <f>-166.67*Escalation!$B$40</f>
        <v/>
      </c>
      <c r="AP36" s="211">
        <f>-166.67*Escalation!$B$41</f>
        <v/>
      </c>
      <c r="AQ36" s="211">
        <f>-166.67*Escalation!$B$42</f>
        <v/>
      </c>
      <c r="AR36" s="211">
        <f>-166.67*Escalation!$B$43</f>
        <v/>
      </c>
      <c r="AS36" s="211">
        <f>-166.67*Escalation!$B$44</f>
        <v/>
      </c>
      <c r="AT36" s="211">
        <f>-166.67*Escalation!$B$45</f>
        <v/>
      </c>
      <c r="AU36" s="211">
        <f>-166.67*Escalation!$B$46</f>
        <v/>
      </c>
      <c r="AV36" s="211">
        <f>-166.67*Escalation!$B$47</f>
        <v/>
      </c>
      <c r="AW36" s="211">
        <f>-166.67*Escalation!$B$48</f>
        <v/>
      </c>
      <c r="AX36" s="211">
        <f>-166.67*Escalation!$B$49</f>
        <v/>
      </c>
      <c r="AY36" s="211">
        <f>-166.67*Escalation!$B$50</f>
        <v/>
      </c>
      <c r="AZ36" s="211">
        <f>-166.67*Escalation!$B$51</f>
        <v/>
      </c>
      <c r="BA36" s="211">
        <f>-166.67*Escalation!$B$52</f>
        <v/>
      </c>
      <c r="BB36" s="211">
        <f>-166.67*Escalation!$B$53</f>
        <v/>
      </c>
      <c r="BC36" s="211">
        <f>-166.67*Escalation!$B$54</f>
        <v/>
      </c>
      <c r="BD36" s="211">
        <f>-166.67*Escalation!$B$55</f>
        <v/>
      </c>
      <c r="BE36" s="211">
        <f>-166.67*Escalation!$B$56</f>
        <v/>
      </c>
      <c r="BF36" s="211">
        <f>-166.67*Escalation!$B$57</f>
        <v/>
      </c>
      <c r="BG36" s="211">
        <f>-166.67*Escalation!$B$58</f>
        <v/>
      </c>
      <c r="BH36" s="211">
        <f>-166.67*Escalation!$B$59</f>
        <v/>
      </c>
      <c r="BI36" s="211">
        <f>-166.67*Escalation!$B$60</f>
        <v/>
      </c>
      <c r="BJ36" s="211">
        <f>-166.67*Escalation!$B$61</f>
        <v/>
      </c>
      <c r="BK36" s="211">
        <f>-166.67*Escalation!$B$62</f>
        <v/>
      </c>
      <c r="BL36" s="211">
        <f>-166.67*Escalation!$B$63</f>
        <v/>
      </c>
      <c r="BM36" s="211">
        <f>-166.67*Escalation!$B$64</f>
        <v/>
      </c>
      <c r="BN36" s="211">
        <f>-166.67*Escalation!$B$65</f>
        <v/>
      </c>
      <c r="BO36" s="211">
        <f>-166.67*Escalation!$B$66</f>
        <v/>
      </c>
      <c r="BP36" s="211">
        <f>-166.67*Escalation!$B$67</f>
        <v/>
      </c>
      <c r="BQ36" s="211">
        <f>-166.67*Escalation!$B$68</f>
        <v/>
      </c>
      <c r="BR36" s="211">
        <f>-166.67*Escalation!$B$69</f>
        <v/>
      </c>
      <c r="BS36" s="211">
        <f>-166.67*Escalation!$B$70</f>
        <v/>
      </c>
      <c r="BT36" s="211">
        <f>-166.67*Escalation!$B$71</f>
        <v/>
      </c>
      <c r="BU36" s="211">
        <f>-166.67*Escalation!$B$72</f>
        <v/>
      </c>
      <c r="BV36" s="211">
        <f>-166.67*Escalation!$B$73</f>
        <v/>
      </c>
      <c r="BW36" s="211">
        <f>-166.67*Escalation!$B$74</f>
        <v/>
      </c>
      <c r="BX36" s="211">
        <f>-166.67*Escalation!$B$75</f>
        <v/>
      </c>
      <c r="BY36" s="211">
        <f>-166.67*Escalation!$B$76</f>
        <v/>
      </c>
      <c r="BZ36" s="211">
        <f>-166.67*Escalation!$B$77</f>
        <v/>
      </c>
      <c r="CA36" s="211">
        <f>-166.67*Escalation!$B$78</f>
        <v/>
      </c>
      <c r="CB36" s="211">
        <f>-166.67*Escalation!$B$79</f>
        <v/>
      </c>
      <c r="CC36" s="211">
        <f>-166.67*Escalation!$B$80</f>
        <v/>
      </c>
      <c r="CD36" s="211">
        <f>-166.67*Escalation!$B$81</f>
        <v/>
      </c>
      <c r="CE36" s="211">
        <f>-166.67*Escalation!$B$82</f>
        <v/>
      </c>
      <c r="CF36" s="211">
        <f>-166.67*Escalation!$B$83</f>
        <v/>
      </c>
      <c r="CG36" s="211">
        <f>-166.67*Escalation!$B$84</f>
        <v/>
      </c>
      <c r="CH36" s="211">
        <f>-166.67*Escalation!$B$85</f>
        <v/>
      </c>
      <c r="CI36" s="226" t="n"/>
    </row>
    <row r="37" ht="15" customHeight="1" s="202">
      <c r="A37" s="210" t="inlineStr">
        <is>
          <t>Warranty</t>
        </is>
      </c>
      <c r="B37" s="225" t="n"/>
      <c r="C37" s="211">
        <f>-4166.67*Escalation!$B$2</f>
        <v/>
      </c>
      <c r="D37" s="211">
        <f>-4166.67*Escalation!$B$3</f>
        <v/>
      </c>
      <c r="E37" s="211">
        <f>-4166.67*Escalation!$B$4</f>
        <v/>
      </c>
      <c r="F37" s="211">
        <f>-4166.67*Escalation!$B$5</f>
        <v/>
      </c>
      <c r="G37" s="211">
        <f>-4166.67*Escalation!$B$6</f>
        <v/>
      </c>
      <c r="H37" s="211">
        <f>-4166.67*Escalation!$B$7</f>
        <v/>
      </c>
      <c r="I37" s="211">
        <f>-4166.67*Escalation!$B$8</f>
        <v/>
      </c>
      <c r="J37" s="211">
        <f>-4166.67*Escalation!$B$9</f>
        <v/>
      </c>
      <c r="K37" s="211">
        <f>-4166.67*Escalation!$B$10</f>
        <v/>
      </c>
      <c r="L37" s="211">
        <f>-4166.67*Escalation!$B$11</f>
        <v/>
      </c>
      <c r="M37" s="211">
        <f>-4166.67*Escalation!$B$12</f>
        <v/>
      </c>
      <c r="N37" s="211">
        <f>-4166.67*Escalation!$B$13</f>
        <v/>
      </c>
      <c r="O37" s="211">
        <f>-4166.67*Escalation!$B$14</f>
        <v/>
      </c>
      <c r="P37" s="211">
        <f>-4166.67*Escalation!$B$15</f>
        <v/>
      </c>
      <c r="Q37" s="211">
        <f>-4166.67*Escalation!$B$16</f>
        <v/>
      </c>
      <c r="R37" s="211">
        <f>-4166.67*Escalation!$B$17</f>
        <v/>
      </c>
      <c r="S37" s="211">
        <f>-4166.67*Escalation!$B$18</f>
        <v/>
      </c>
      <c r="T37" s="211">
        <f>-4166.67*Escalation!$B$19</f>
        <v/>
      </c>
      <c r="U37" s="211">
        <f>-4166.67*Escalation!$B$20</f>
        <v/>
      </c>
      <c r="V37" s="211">
        <f>-4166.67*Escalation!$B$21</f>
        <v/>
      </c>
      <c r="W37" s="211">
        <f>-4166.67*Escalation!$B$22</f>
        <v/>
      </c>
      <c r="X37" s="211">
        <f>-4166.67*Escalation!$B$23</f>
        <v/>
      </c>
      <c r="Y37" s="211">
        <f>-4166.67*Escalation!$B$24</f>
        <v/>
      </c>
      <c r="Z37" s="211">
        <f>-4166.67*Escalation!$B$25</f>
        <v/>
      </c>
      <c r="AA37" s="211">
        <f>-4166.67*Escalation!$B$26</f>
        <v/>
      </c>
      <c r="AB37" s="211">
        <f>-4166.67*Escalation!$B$27</f>
        <v/>
      </c>
      <c r="AC37" s="211">
        <f>-4166.67*Escalation!$B$28</f>
        <v/>
      </c>
      <c r="AD37" s="211">
        <f>-4166.67*Escalation!$B$29</f>
        <v/>
      </c>
      <c r="AE37" s="211">
        <f>-4166.67*Escalation!$B$30</f>
        <v/>
      </c>
      <c r="AF37" s="211">
        <f>-4166.67*Escalation!$B$31</f>
        <v/>
      </c>
      <c r="AG37" s="211">
        <f>-4166.67*Escalation!$B$32</f>
        <v/>
      </c>
      <c r="AH37" s="211">
        <f>-4166.67*Escalation!$B$33</f>
        <v/>
      </c>
      <c r="AI37" s="211">
        <f>-4166.67*Escalation!$B$34</f>
        <v/>
      </c>
      <c r="AJ37" s="211">
        <f>-4166.67*Escalation!$B$35</f>
        <v/>
      </c>
      <c r="AK37" s="211">
        <f>-4166.67*Escalation!$B$36</f>
        <v/>
      </c>
      <c r="AL37" s="211">
        <f>-4166.67*Escalation!$B$37</f>
        <v/>
      </c>
      <c r="AM37" s="211">
        <f>-4166.67*Escalation!$B$38</f>
        <v/>
      </c>
      <c r="AN37" s="211">
        <f>-4166.67*Escalation!$B$39</f>
        <v/>
      </c>
      <c r="AO37" s="211">
        <f>-4166.67*Escalation!$B$40</f>
        <v/>
      </c>
      <c r="AP37" s="211">
        <f>-4166.67*Escalation!$B$41</f>
        <v/>
      </c>
      <c r="AQ37" s="211">
        <f>-4166.67*Escalation!$B$42</f>
        <v/>
      </c>
      <c r="AR37" s="211">
        <f>-4166.67*Escalation!$B$43</f>
        <v/>
      </c>
      <c r="AS37" s="211">
        <f>-4166.67*Escalation!$B$44</f>
        <v/>
      </c>
      <c r="AT37" s="211">
        <f>-4166.67*Escalation!$B$45</f>
        <v/>
      </c>
      <c r="AU37" s="211">
        <f>-4166.67*Escalation!$B$46</f>
        <v/>
      </c>
      <c r="AV37" s="211">
        <f>-4166.67*Escalation!$B$47</f>
        <v/>
      </c>
      <c r="AW37" s="211">
        <f>-4166.67*Escalation!$B$48</f>
        <v/>
      </c>
      <c r="AX37" s="211">
        <f>-4166.67*Escalation!$B$49</f>
        <v/>
      </c>
      <c r="AY37" s="211">
        <f>-4166.67*Escalation!$B$50</f>
        <v/>
      </c>
      <c r="AZ37" s="211">
        <f>-4166.67*Escalation!$B$51</f>
        <v/>
      </c>
      <c r="BA37" s="211">
        <f>-4166.67*Escalation!$B$52</f>
        <v/>
      </c>
      <c r="BB37" s="211">
        <f>-4166.67*Escalation!$B$53</f>
        <v/>
      </c>
      <c r="BC37" s="211">
        <f>-4166.67*Escalation!$B$54</f>
        <v/>
      </c>
      <c r="BD37" s="211">
        <f>-4166.67*Escalation!$B$55</f>
        <v/>
      </c>
      <c r="BE37" s="211">
        <f>-4166.67*Escalation!$B$56</f>
        <v/>
      </c>
      <c r="BF37" s="211">
        <f>-4166.67*Escalation!$B$57</f>
        <v/>
      </c>
      <c r="BG37" s="211">
        <f>-4166.67*Escalation!$B$58</f>
        <v/>
      </c>
      <c r="BH37" s="211">
        <f>-4166.67*Escalation!$B$59</f>
        <v/>
      </c>
      <c r="BI37" s="211">
        <f>-4166.67*Escalation!$B$60</f>
        <v/>
      </c>
      <c r="BJ37" s="211">
        <f>-4166.67*Escalation!$B$61</f>
        <v/>
      </c>
      <c r="BK37" s="211">
        <f>-4166.67*Escalation!$B$62</f>
        <v/>
      </c>
      <c r="BL37" s="211">
        <f>-4166.67*Escalation!$B$63</f>
        <v/>
      </c>
      <c r="BM37" s="211">
        <f>-4166.67*Escalation!$B$64</f>
        <v/>
      </c>
      <c r="BN37" s="211">
        <f>-4166.67*Escalation!$B$65</f>
        <v/>
      </c>
      <c r="BO37" s="211">
        <f>-4166.67*Escalation!$B$66</f>
        <v/>
      </c>
      <c r="BP37" s="211">
        <f>-4166.67*Escalation!$B$67</f>
        <v/>
      </c>
      <c r="BQ37" s="211">
        <f>-4166.67*Escalation!$B$68</f>
        <v/>
      </c>
      <c r="BR37" s="211">
        <f>-4166.67*Escalation!$B$69</f>
        <v/>
      </c>
      <c r="BS37" s="211">
        <f>-4166.67*Escalation!$B$70</f>
        <v/>
      </c>
      <c r="BT37" s="211">
        <f>-4166.67*Escalation!$B$71</f>
        <v/>
      </c>
      <c r="BU37" s="211">
        <f>-4166.67*Escalation!$B$72</f>
        <v/>
      </c>
      <c r="BV37" s="211">
        <f>-4166.67*Escalation!$B$73</f>
        <v/>
      </c>
      <c r="BW37" s="211">
        <f>-4166.67*Escalation!$B$74</f>
        <v/>
      </c>
      <c r="BX37" s="211">
        <f>-4166.67*Escalation!$B$75</f>
        <v/>
      </c>
      <c r="BY37" s="211">
        <f>-4166.67*Escalation!$B$76</f>
        <v/>
      </c>
      <c r="BZ37" s="211">
        <f>-4166.67*Escalation!$B$77</f>
        <v/>
      </c>
      <c r="CA37" s="211">
        <f>-4166.67*Escalation!$B$78</f>
        <v/>
      </c>
      <c r="CB37" s="211">
        <f>-4166.67*Escalation!$B$79</f>
        <v/>
      </c>
      <c r="CC37" s="211">
        <f>-4166.67*Escalation!$B$80</f>
        <v/>
      </c>
      <c r="CD37" s="211">
        <f>-4166.67*Escalation!$B$81</f>
        <v/>
      </c>
      <c r="CE37" s="211">
        <f>-4166.67*Escalation!$B$82</f>
        <v/>
      </c>
      <c r="CF37" s="211">
        <f>-4166.67*Escalation!$B$83</f>
        <v/>
      </c>
      <c r="CG37" s="211">
        <f>-4166.67*Escalation!$B$84</f>
        <v/>
      </c>
      <c r="CH37" s="211">
        <f>-4166.67*Escalation!$B$85</f>
        <v/>
      </c>
      <c r="CI37" s="226" t="n"/>
    </row>
    <row r="38" ht="15" customHeight="1" s="202">
      <c r="A38" s="212" t="inlineStr">
        <is>
          <t>Total GC Costs</t>
        </is>
      </c>
      <c r="B38" s="231" t="n"/>
      <c r="C38" s="213">
        <f>C15+C16+C17+C18+C19+C20+C21+SUM(C22:C37)</f>
        <v/>
      </c>
      <c r="D38" s="213">
        <f>D15+D16+D17+D18+D19+D20+D21+SUM(D22:D37)</f>
        <v/>
      </c>
      <c r="E38" s="213">
        <f>E15+E16+E17+E18+E19+E20+E21+SUM(E22:E37)</f>
        <v/>
      </c>
      <c r="F38" s="213">
        <f>F15+F16+F17+F18+F19+F20+F21+SUM(F22:F37)</f>
        <v/>
      </c>
      <c r="G38" s="213">
        <f>G15+G16+G17+G18+G19+G20+G21+SUM(G22:G37)</f>
        <v/>
      </c>
      <c r="H38" s="213">
        <f>H15+H16+H17+H18+H19+H20+H21+SUM(H22:H37)</f>
        <v/>
      </c>
      <c r="I38" s="213">
        <f>I15+I16+I17+I18+I19+I20+I21+SUM(I22:I37)</f>
        <v/>
      </c>
      <c r="J38" s="213">
        <f>J15+J16+J17+J18+J19+J20+J21+SUM(J22:J37)</f>
        <v/>
      </c>
      <c r="K38" s="213">
        <f>K15+K16+K17+K18+K19+K20+K21+SUM(K22:K37)</f>
        <v/>
      </c>
      <c r="L38" s="213">
        <f>L15+L16+L17+L18+L19+L20+L21+SUM(L22:L37)</f>
        <v/>
      </c>
      <c r="M38" s="213">
        <f>M15+M16+M17+M18+M19+M20+M21+SUM(M22:M37)</f>
        <v/>
      </c>
      <c r="N38" s="213">
        <f>N15+N16+N17+N18+N19+N20+N21+SUM(N22:N37)</f>
        <v/>
      </c>
      <c r="O38" s="213">
        <f>O15+O16+O17+O18+O19+O20+O21+SUM(O22:O37)</f>
        <v/>
      </c>
      <c r="P38" s="213">
        <f>P15+P16+P17+P18+P19+P20+P21+SUM(P22:P37)</f>
        <v/>
      </c>
      <c r="Q38" s="213">
        <f>Q15+Q16+Q17+Q18+Q19+Q20+Q21+SUM(Q22:Q37)</f>
        <v/>
      </c>
      <c r="R38" s="213">
        <f>R15+R16+R17+R18+R19+R20+R21+SUM(R22:R37)</f>
        <v/>
      </c>
      <c r="S38" s="213">
        <f>S15+S16+S17+S18+S19+S20+S21+SUM(S22:S37)</f>
        <v/>
      </c>
      <c r="T38" s="213">
        <f>T15+T16+T17+T18+T19+T20+T21+SUM(T22:T37)</f>
        <v/>
      </c>
      <c r="U38" s="213">
        <f>U15+U16+U17+U18+U19+U20+U21+SUM(U22:U37)</f>
        <v/>
      </c>
      <c r="V38" s="213">
        <f>V15+V16+V17+V18+V19+V20+V21+SUM(V22:V37)</f>
        <v/>
      </c>
      <c r="W38" s="213">
        <f>W15+W16+W17+W18+W19+W20+W21+SUM(W22:W37)</f>
        <v/>
      </c>
      <c r="X38" s="213">
        <f>X15+X16+X17+X18+X19+X20+X21+SUM(X22:X37)</f>
        <v/>
      </c>
      <c r="Y38" s="213">
        <f>Y15+Y16+Y17+Y18+Y19+Y20+Y21+SUM(Y22:Y37)</f>
        <v/>
      </c>
      <c r="Z38" s="213">
        <f>Z15+Z16+Z17+Z18+Z19+Z20+Z21+SUM(Z22:Z37)</f>
        <v/>
      </c>
      <c r="AA38" s="213">
        <f>AA15+AA16+AA17+AA18+AA19+AA20+AA21+SUM(AA22:AA37)</f>
        <v/>
      </c>
      <c r="AB38" s="213">
        <f>AB15+AB16+AB17+AB18+AB19+AB20+AB21+SUM(AB22:AB37)</f>
        <v/>
      </c>
      <c r="AC38" s="213">
        <f>AC15+AC16+AC17+AC18+AC19+AC20+AC21+SUM(AC22:AC37)</f>
        <v/>
      </c>
      <c r="AD38" s="213">
        <f>AD15+AD16+AD17+AD18+AD19+AD20+AD21+SUM(AD22:AD37)</f>
        <v/>
      </c>
      <c r="AE38" s="213">
        <f>AE15+AE16+AE17+AE18+AE19+AE20+AE21+SUM(AE22:AE37)</f>
        <v/>
      </c>
      <c r="AF38" s="213">
        <f>AF15+AF16+AF17+AF18+AF19+AF20+AF21+SUM(AF22:AF37)</f>
        <v/>
      </c>
      <c r="AG38" s="213">
        <f>AG15+AG16+AG17+AG18+AG19+AG20+AG21+SUM(AG22:AG37)</f>
        <v/>
      </c>
      <c r="AH38" s="213">
        <f>AH15+AH16+AH17+AH18+AH19+AH20+AH21+SUM(AH22:AH37)</f>
        <v/>
      </c>
      <c r="AI38" s="213">
        <f>AI15+AI16+AI17+AI18+AI19+AI20+AI21+SUM(AI22:AI37)</f>
        <v/>
      </c>
      <c r="AJ38" s="213">
        <f>AJ15+AJ16+AJ17+AJ18+AJ19+AJ20+AJ21+SUM(AJ22:AJ37)</f>
        <v/>
      </c>
      <c r="AK38" s="213">
        <f>AK15+AK16+AK17+AK18+AK19+AK20+AK21+SUM(AK22:AK37)</f>
        <v/>
      </c>
      <c r="AL38" s="213">
        <f>AL15+AL16+AL17+AL18+AL19+AL20+AL21+SUM(AL22:AL37)</f>
        <v/>
      </c>
      <c r="AM38" s="213">
        <f>AM15+AM16+AM17+AM18+AM19+AM20+AM21+SUM(AM22:AM37)</f>
        <v/>
      </c>
      <c r="AN38" s="213">
        <f>AN15+AN16+AN17+AN18+AN19+AN20+AN21+SUM(AN22:AN37)</f>
        <v/>
      </c>
      <c r="AO38" s="213">
        <f>AO15+AO16+AO17+AO18+AO19+AO20+AO21+SUM(AO22:AO37)</f>
        <v/>
      </c>
      <c r="AP38" s="213">
        <f>AP15+AP16+AP17+AP18+AP19+AP20+AP21+SUM(AP22:AP37)</f>
        <v/>
      </c>
      <c r="AQ38" s="213">
        <f>AQ15+AQ16+AQ17+AQ18+AQ19+AQ20+AQ21+SUM(AQ22:AQ37)</f>
        <v/>
      </c>
      <c r="AR38" s="213">
        <f>AR15+AR16+AR17+AR18+AR19+AR20+AR21+SUM(AR22:AR37)</f>
        <v/>
      </c>
      <c r="AS38" s="213">
        <f>AS15+AS16+AS17+AS18+AS19+AS20+AS21+SUM(AS22:AS37)</f>
        <v/>
      </c>
      <c r="AT38" s="213">
        <f>AT15+AT16+AT17+AT18+AT19+AT20+AT21+SUM(AT22:AT37)</f>
        <v/>
      </c>
      <c r="AU38" s="213">
        <f>AU15+AU16+AU17+AU18+AU19+AU20+AU21+SUM(AU22:AU37)</f>
        <v/>
      </c>
      <c r="AV38" s="213">
        <f>AV15+AV16+AV17+AV18+AV19+AV20+AV21+SUM(AV22:AV37)</f>
        <v/>
      </c>
      <c r="AW38" s="213">
        <f>AW15+AW16+AW17+AW18+AW19+AW20+AW21+SUM(AW22:AW37)</f>
        <v/>
      </c>
      <c r="AX38" s="213">
        <f>AX15+AX16+AX17+AX18+AX19+AX20+AX21+SUM(AX22:AX37)</f>
        <v/>
      </c>
      <c r="AY38" s="213">
        <f>AY15+AY16+AY17+AY18+AY19+AY20+AY21+SUM(AY22:AY37)</f>
        <v/>
      </c>
      <c r="AZ38" s="213">
        <f>AZ15+AZ16+AZ17+AZ18+AZ19+AZ20+AZ21+SUM(AZ22:AZ37)</f>
        <v/>
      </c>
      <c r="BA38" s="213">
        <f>BA15+BA16+BA17+BA18+BA19+BA20+BA21+SUM(BA22:BA37)</f>
        <v/>
      </c>
      <c r="BB38" s="213">
        <f>BB15+BB16+BB17+BB18+BB19+BB20+BB21+SUM(BB22:BB37)</f>
        <v/>
      </c>
      <c r="BC38" s="213">
        <f>BC15+BC16+BC17+BC18+BC19+BC20+BC21+SUM(BC22:BC37)</f>
        <v/>
      </c>
      <c r="BD38" s="213">
        <f>BD15+BD16+BD17+BD18+BD19+BD20+BD21+SUM(BD22:BD37)</f>
        <v/>
      </c>
      <c r="BE38" s="213">
        <f>BE15+BE16+BE17+BE18+BE19+BE20+BE21+SUM(BE22:BE37)</f>
        <v/>
      </c>
      <c r="BF38" s="213">
        <f>BF15+BF16+BF17+BF18+BF19+BF20+BF21+SUM(BF22:BF37)</f>
        <v/>
      </c>
      <c r="BG38" s="213">
        <f>BG15+BG16+BG17+BG18+BG19+BG20+BG21+SUM(BG22:BG37)</f>
        <v/>
      </c>
      <c r="BH38" s="213">
        <f>BH15+BH16+BH17+BH18+BH19+BH20+BH21+SUM(BH22:BH37)</f>
        <v/>
      </c>
      <c r="BI38" s="213">
        <f>BI15+BI16+BI17+BI18+BI19+BI20+BI21+SUM(BI22:BI37)</f>
        <v/>
      </c>
      <c r="BJ38" s="213">
        <f>BJ15+BJ16+BJ17+BJ18+BJ19+BJ20+BJ21+SUM(BJ22:BJ37)</f>
        <v/>
      </c>
      <c r="BK38" s="213">
        <f>BK15+BK16+BK17+BK18+BK19+BK20+BK21+SUM(BK22:BK37)</f>
        <v/>
      </c>
      <c r="BL38" s="213">
        <f>BL15+BL16+BL17+BL18+BL19+BL20+BL21+SUM(BL22:BL37)</f>
        <v/>
      </c>
      <c r="BM38" s="213">
        <f>BM15+BM16+BM17+BM18+BM19+BM20+BM21+SUM(BM22:BM37)</f>
        <v/>
      </c>
      <c r="BN38" s="213">
        <f>BN15+BN16+BN17+BN18+BN19+BN20+BN21+SUM(BN22:BN37)</f>
        <v/>
      </c>
      <c r="BO38" s="213">
        <f>BO15+BO16+BO17+BO18+BO19+BO20+BO21+SUM(BO22:BO37)</f>
        <v/>
      </c>
      <c r="BP38" s="213">
        <f>BP15+BP16+BP17+BP18+BP19+BP20+BP21+SUM(BP22:BP37)</f>
        <v/>
      </c>
      <c r="BQ38" s="213">
        <f>BQ15+BQ16+BQ17+BQ18+BQ19+BQ20+BQ21+SUM(BQ22:BQ37)</f>
        <v/>
      </c>
      <c r="BR38" s="213">
        <f>BR15+BR16+BR17+BR18+BR19+BR20+BR21+SUM(BR22:BR37)</f>
        <v/>
      </c>
      <c r="BS38" s="213">
        <f>BS15+BS16+BS17+BS18+BS19+BS20+BS21+SUM(BS22:BS37)</f>
        <v/>
      </c>
      <c r="BT38" s="213">
        <f>BT15+BT16+BT17+BT18+BT19+BT20+BT21+SUM(BT22:BT37)</f>
        <v/>
      </c>
      <c r="BU38" s="213">
        <f>BU15+BU16+BU17+BU18+BU19+BU20+BU21+SUM(BU22:BU37)</f>
        <v/>
      </c>
      <c r="BV38" s="213">
        <f>BV15+BV16+BV17+BV18+BV19+BV20+BV21+SUM(BV22:BV37)</f>
        <v/>
      </c>
      <c r="BW38" s="213">
        <f>BW15+BW16+BW17+BW18+BW19+BW20+BW21+SUM(BW22:BW37)</f>
        <v/>
      </c>
      <c r="BX38" s="213">
        <f>BX15+BX16+BX17+BX18+BX19+BX20+BX21+SUM(BX22:BX37)</f>
        <v/>
      </c>
      <c r="BY38" s="213">
        <f>BY15+BY16+BY17+BY18+BY19+BY20+BY21+SUM(BY22:BY37)</f>
        <v/>
      </c>
      <c r="BZ38" s="213">
        <f>BZ15+BZ16+BZ17+BZ18+BZ19+BZ20+BZ21+SUM(BZ22:BZ37)</f>
        <v/>
      </c>
      <c r="CA38" s="213">
        <f>CA15+CA16+CA17+CA18+CA19+CA20+CA21+SUM(CA22:CA37)</f>
        <v/>
      </c>
      <c r="CB38" s="213">
        <f>CB15+CB16+CB17+CB18+CB19+CB20+CB21+SUM(CB22:CB37)</f>
        <v/>
      </c>
      <c r="CC38" s="213">
        <f>CC15+CC16+CC17+CC18+CC19+CC20+CC21+SUM(CC22:CC37)</f>
        <v/>
      </c>
      <c r="CD38" s="213">
        <f>CD15+CD16+CD17+CD18+CD19+CD20+CD21+SUM(CD22:CD37)</f>
        <v/>
      </c>
      <c r="CE38" s="213">
        <f>CE15+CE16+CE17+CE18+CE19+CE20+CE21+SUM(CE22:CE37)</f>
        <v/>
      </c>
      <c r="CF38" s="213">
        <f>CF15+CF16+CF17+CF18+CF19+CF20+CF21+SUM(CF22:CF37)</f>
        <v/>
      </c>
      <c r="CG38" s="213">
        <f>CG15+CG16+CG17+CG18+CG19+CG20+CG21+SUM(CG22:CG37)</f>
        <v/>
      </c>
      <c r="CH38" s="213">
        <f>CH15+CH16+CH17+CH18+CH19+CH20+CH21+SUM(CH22:CH37)</f>
        <v/>
      </c>
      <c r="CI38" s="226" t="n"/>
    </row>
    <row r="39" ht="15" customHeight="1" s="202">
      <c r="A39" s="225" t="n"/>
      <c r="B39" s="225" t="n"/>
      <c r="C39" s="225" t="n"/>
      <c r="D39" s="225" t="n"/>
      <c r="E39" s="225" t="n"/>
      <c r="F39" s="225" t="n"/>
      <c r="G39" s="225" t="n"/>
      <c r="H39" s="225" t="n"/>
      <c r="I39" s="225" t="n"/>
      <c r="J39" s="225" t="n"/>
      <c r="K39" s="225" t="n"/>
      <c r="L39" s="225" t="n"/>
      <c r="M39" s="225" t="n"/>
      <c r="N39" s="225" t="n"/>
      <c r="O39" s="225" t="n"/>
      <c r="P39" s="225" t="n"/>
      <c r="Q39" s="225" t="n"/>
      <c r="R39" s="225" t="n"/>
      <c r="S39" s="225" t="n"/>
      <c r="T39" s="225" t="n"/>
      <c r="U39" s="225" t="n"/>
      <c r="V39" s="225" t="n"/>
      <c r="W39" s="225" t="n"/>
      <c r="X39" s="225" t="n"/>
      <c r="Y39" s="225" t="n"/>
      <c r="Z39" s="225" t="n"/>
      <c r="AA39" s="225" t="n"/>
      <c r="AB39" s="225" t="n"/>
      <c r="AC39" s="225" t="n"/>
      <c r="AD39" s="225" t="n"/>
      <c r="AE39" s="225" t="n"/>
      <c r="AF39" s="225" t="n"/>
      <c r="AG39" s="225" t="n"/>
      <c r="AH39" s="225" t="n"/>
      <c r="AI39" s="225" t="n"/>
      <c r="AJ39" s="225" t="n"/>
      <c r="AK39" s="225" t="n"/>
      <c r="AL39" s="225" t="n"/>
      <c r="AM39" s="225" t="n"/>
      <c r="AN39" s="225" t="n"/>
      <c r="AO39" s="225" t="n"/>
      <c r="AP39" s="225" t="n"/>
      <c r="AQ39" s="225" t="n"/>
      <c r="AR39" s="225" t="n"/>
      <c r="AS39" s="225" t="n"/>
      <c r="AT39" s="225" t="n"/>
      <c r="AU39" s="225" t="n"/>
      <c r="AV39" s="225" t="n"/>
      <c r="AW39" s="225" t="n"/>
      <c r="AX39" s="225" t="n"/>
      <c r="AY39" s="225" t="n"/>
      <c r="AZ39" s="225" t="n"/>
      <c r="BA39" s="225" t="n"/>
      <c r="BB39" s="225" t="n"/>
      <c r="BC39" s="225" t="n"/>
      <c r="BD39" s="225" t="n"/>
      <c r="BE39" s="225" t="n"/>
      <c r="BF39" s="225" t="n"/>
      <c r="BG39" s="225" t="n"/>
      <c r="BH39" s="225" t="n"/>
      <c r="BI39" s="225" t="n"/>
      <c r="BJ39" s="225" t="n"/>
      <c r="BK39" s="225" t="n"/>
      <c r="BL39" s="225" t="n"/>
      <c r="BM39" s="225" t="n"/>
      <c r="BN39" s="225" t="n"/>
      <c r="BO39" s="225" t="n"/>
      <c r="BP39" s="225" t="n"/>
      <c r="BQ39" s="225" t="n"/>
      <c r="BR39" s="225" t="n"/>
      <c r="BS39" s="225" t="n"/>
      <c r="BT39" s="225" t="n"/>
      <c r="BU39" s="225" t="n"/>
      <c r="BV39" s="225" t="n"/>
      <c r="BW39" s="225" t="n"/>
      <c r="BX39" s="225" t="n"/>
      <c r="BY39" s="225" t="n"/>
      <c r="BZ39" s="225" t="n"/>
      <c r="CA39" s="225" t="n"/>
      <c r="CB39" s="225" t="n"/>
      <c r="CC39" s="225" t="n"/>
      <c r="CD39" s="225" t="n"/>
      <c r="CE39" s="225" t="n"/>
      <c r="CF39" s="225" t="n"/>
      <c r="CG39" s="225" t="n"/>
      <c r="CH39" s="225" t="n"/>
      <c r="CI39" s="226" t="n"/>
    </row>
    <row r="40" ht="15" customHeight="1" s="202">
      <c r="A40" s="216" t="inlineStr">
        <is>
          <t>GC Net Income</t>
        </is>
      </c>
      <c r="B40" s="232" t="n"/>
      <c r="C40" s="217">
        <f>C12+C38</f>
        <v/>
      </c>
      <c r="D40" s="217">
        <f>D12+D38</f>
        <v/>
      </c>
      <c r="E40" s="217">
        <f>E12+E38</f>
        <v/>
      </c>
      <c r="F40" s="217">
        <f>F12+F38</f>
        <v/>
      </c>
      <c r="G40" s="217">
        <f>G12+G38</f>
        <v/>
      </c>
      <c r="H40" s="217">
        <f>H12+H38</f>
        <v/>
      </c>
      <c r="I40" s="217">
        <f>I12+I38</f>
        <v/>
      </c>
      <c r="J40" s="217">
        <f>J12+J38</f>
        <v/>
      </c>
      <c r="K40" s="217">
        <f>K12+K38</f>
        <v/>
      </c>
      <c r="L40" s="217">
        <f>L12+L38</f>
        <v/>
      </c>
      <c r="M40" s="217">
        <f>M12+M38</f>
        <v/>
      </c>
      <c r="N40" s="217">
        <f>N12+N38</f>
        <v/>
      </c>
      <c r="O40" s="217">
        <f>O12+O38</f>
        <v/>
      </c>
      <c r="P40" s="217">
        <f>P12+P38</f>
        <v/>
      </c>
      <c r="Q40" s="217">
        <f>Q12+Q38</f>
        <v/>
      </c>
      <c r="R40" s="217">
        <f>R12+R38</f>
        <v/>
      </c>
      <c r="S40" s="217">
        <f>S12+S38</f>
        <v/>
      </c>
      <c r="T40" s="217">
        <f>T12+T38</f>
        <v/>
      </c>
      <c r="U40" s="217">
        <f>U12+U38</f>
        <v/>
      </c>
      <c r="V40" s="217">
        <f>V12+V38</f>
        <v/>
      </c>
      <c r="W40" s="217">
        <f>W12+W38</f>
        <v/>
      </c>
      <c r="X40" s="217">
        <f>X12+X38</f>
        <v/>
      </c>
      <c r="Y40" s="217">
        <f>Y12+Y38</f>
        <v/>
      </c>
      <c r="Z40" s="217">
        <f>Z12+Z38</f>
        <v/>
      </c>
      <c r="AA40" s="217">
        <f>AA12+AA38</f>
        <v/>
      </c>
      <c r="AB40" s="217">
        <f>AB12+AB38</f>
        <v/>
      </c>
      <c r="AC40" s="217">
        <f>AC12+AC38</f>
        <v/>
      </c>
      <c r="AD40" s="217">
        <f>AD12+AD38</f>
        <v/>
      </c>
      <c r="AE40" s="217">
        <f>AE12+AE38</f>
        <v/>
      </c>
      <c r="AF40" s="217">
        <f>AF12+AF38</f>
        <v/>
      </c>
      <c r="AG40" s="217">
        <f>AG12+AG38</f>
        <v/>
      </c>
      <c r="AH40" s="217">
        <f>AH12+AH38</f>
        <v/>
      </c>
      <c r="AI40" s="217">
        <f>AI12+AI38</f>
        <v/>
      </c>
      <c r="AJ40" s="217">
        <f>AJ12+AJ38</f>
        <v/>
      </c>
      <c r="AK40" s="217">
        <f>AK12+AK38</f>
        <v/>
      </c>
      <c r="AL40" s="217">
        <f>AL12+AL38</f>
        <v/>
      </c>
      <c r="AM40" s="217">
        <f>AM12+AM38</f>
        <v/>
      </c>
      <c r="AN40" s="217">
        <f>AN12+AN38</f>
        <v/>
      </c>
      <c r="AO40" s="217">
        <f>AO12+AO38</f>
        <v/>
      </c>
      <c r="AP40" s="217">
        <f>AP12+AP38</f>
        <v/>
      </c>
      <c r="AQ40" s="217">
        <f>AQ12+AQ38</f>
        <v/>
      </c>
      <c r="AR40" s="217">
        <f>AR12+AR38</f>
        <v/>
      </c>
      <c r="AS40" s="217">
        <f>AS12+AS38</f>
        <v/>
      </c>
      <c r="AT40" s="217">
        <f>AT12+AT38</f>
        <v/>
      </c>
      <c r="AU40" s="217">
        <f>AU12+AU38</f>
        <v/>
      </c>
      <c r="AV40" s="217">
        <f>AV12+AV38</f>
        <v/>
      </c>
      <c r="AW40" s="217">
        <f>AW12+AW38</f>
        <v/>
      </c>
      <c r="AX40" s="217">
        <f>AX12+AX38</f>
        <v/>
      </c>
      <c r="AY40" s="217">
        <f>AY12+AY38</f>
        <v/>
      </c>
      <c r="AZ40" s="217">
        <f>AZ12+AZ38</f>
        <v/>
      </c>
      <c r="BA40" s="217">
        <f>BA12+BA38</f>
        <v/>
      </c>
      <c r="BB40" s="217">
        <f>BB12+BB38</f>
        <v/>
      </c>
      <c r="BC40" s="217">
        <f>BC12+BC38</f>
        <v/>
      </c>
      <c r="BD40" s="217">
        <f>BD12+BD38</f>
        <v/>
      </c>
      <c r="BE40" s="217">
        <f>BE12+BE38</f>
        <v/>
      </c>
      <c r="BF40" s="217">
        <f>BF12+BF38</f>
        <v/>
      </c>
      <c r="BG40" s="217">
        <f>BG12+BG38</f>
        <v/>
      </c>
      <c r="BH40" s="217">
        <f>BH12+BH38</f>
        <v/>
      </c>
      <c r="BI40" s="217">
        <f>BI12+BI38</f>
        <v/>
      </c>
      <c r="BJ40" s="217">
        <f>BJ12+BJ38</f>
        <v/>
      </c>
      <c r="BK40" s="217">
        <f>BK12+BK38</f>
        <v/>
      </c>
      <c r="BL40" s="217">
        <f>BL12+BL38</f>
        <v/>
      </c>
      <c r="BM40" s="217">
        <f>BM12+BM38</f>
        <v/>
      </c>
      <c r="BN40" s="217">
        <f>BN12+BN38</f>
        <v/>
      </c>
      <c r="BO40" s="217">
        <f>BO12+BO38</f>
        <v/>
      </c>
      <c r="BP40" s="217">
        <f>BP12+BP38</f>
        <v/>
      </c>
      <c r="BQ40" s="217">
        <f>BQ12+BQ38</f>
        <v/>
      </c>
      <c r="BR40" s="217">
        <f>BR12+BR38</f>
        <v/>
      </c>
      <c r="BS40" s="217">
        <f>BS12+BS38</f>
        <v/>
      </c>
      <c r="BT40" s="217">
        <f>BT12+BT38</f>
        <v/>
      </c>
      <c r="BU40" s="217">
        <f>BU12+BU38</f>
        <v/>
      </c>
      <c r="BV40" s="217">
        <f>BV12+BV38</f>
        <v/>
      </c>
      <c r="BW40" s="217">
        <f>BW12+BW38</f>
        <v/>
      </c>
      <c r="BX40" s="217">
        <f>BX12+BX38</f>
        <v/>
      </c>
      <c r="BY40" s="217">
        <f>BY12+BY38</f>
        <v/>
      </c>
      <c r="BZ40" s="217">
        <f>BZ12+BZ38</f>
        <v/>
      </c>
      <c r="CA40" s="217">
        <f>CA12+CA38</f>
        <v/>
      </c>
      <c r="CB40" s="217">
        <f>CB12+CB38</f>
        <v/>
      </c>
      <c r="CC40" s="217">
        <f>CC12+CC38</f>
        <v/>
      </c>
      <c r="CD40" s="217">
        <f>CD12+CD38</f>
        <v/>
      </c>
      <c r="CE40" s="217">
        <f>CE12+CE38</f>
        <v/>
      </c>
      <c r="CF40" s="217">
        <f>CF12+CF38</f>
        <v/>
      </c>
      <c r="CG40" s="217">
        <f>CG12+CG38</f>
        <v/>
      </c>
      <c r="CH40" s="217">
        <f>CH12+CH38</f>
        <v/>
      </c>
      <c r="CI40" s="226" t="n"/>
    </row>
    <row r="41" ht="15" customHeight="1" s="202">
      <c r="A41" s="210" t="inlineStr">
        <is>
          <t>GC Profit Margin %</t>
        </is>
      </c>
      <c r="B41" s="225" t="n"/>
      <c r="C41" s="233">
        <f>IF(C12&lt;&gt;0,C40/C12,0)</f>
        <v/>
      </c>
      <c r="D41" s="233">
        <f>IF(D12&lt;&gt;0,D40/D12,0)</f>
        <v/>
      </c>
      <c r="E41" s="233">
        <f>IF(E12&lt;&gt;0,E40/E12,0)</f>
        <v/>
      </c>
      <c r="F41" s="233">
        <f>IF(F12&lt;&gt;0,F40/F12,0)</f>
        <v/>
      </c>
      <c r="G41" s="233">
        <f>IF(G12&lt;&gt;0,G40/G12,0)</f>
        <v/>
      </c>
      <c r="H41" s="233">
        <f>IF(H12&lt;&gt;0,H40/H12,0)</f>
        <v/>
      </c>
      <c r="I41" s="233">
        <f>IF(I12&lt;&gt;0,I40/I12,0)</f>
        <v/>
      </c>
      <c r="J41" s="233">
        <f>IF(J12&lt;&gt;0,J40/J12,0)</f>
        <v/>
      </c>
      <c r="K41" s="233">
        <f>IF(K12&lt;&gt;0,K40/K12,0)</f>
        <v/>
      </c>
      <c r="L41" s="233">
        <f>IF(L12&lt;&gt;0,L40/L12,0)</f>
        <v/>
      </c>
      <c r="M41" s="233">
        <f>IF(M12&lt;&gt;0,M40/M12,0)</f>
        <v/>
      </c>
      <c r="N41" s="233">
        <f>IF(N12&lt;&gt;0,N40/N12,0)</f>
        <v/>
      </c>
      <c r="O41" s="233">
        <f>IF(O12&lt;&gt;0,O40/O12,0)</f>
        <v/>
      </c>
      <c r="P41" s="233">
        <f>IF(P12&lt;&gt;0,P40/P12,0)</f>
        <v/>
      </c>
      <c r="Q41" s="233">
        <f>IF(Q12&lt;&gt;0,Q40/Q12,0)</f>
        <v/>
      </c>
      <c r="R41" s="233">
        <f>IF(R12&lt;&gt;0,R40/R12,0)</f>
        <v/>
      </c>
      <c r="S41" s="233">
        <f>IF(S12&lt;&gt;0,S40/S12,0)</f>
        <v/>
      </c>
      <c r="T41" s="233">
        <f>IF(T12&lt;&gt;0,T40/T12,0)</f>
        <v/>
      </c>
      <c r="U41" s="233">
        <f>IF(U12&lt;&gt;0,U40/U12,0)</f>
        <v/>
      </c>
      <c r="V41" s="233">
        <f>IF(V12&lt;&gt;0,V40/V12,0)</f>
        <v/>
      </c>
      <c r="W41" s="233">
        <f>IF(W12&lt;&gt;0,W40/W12,0)</f>
        <v/>
      </c>
      <c r="X41" s="233">
        <f>IF(X12&lt;&gt;0,X40/X12,0)</f>
        <v/>
      </c>
      <c r="Y41" s="233">
        <f>IF(Y12&lt;&gt;0,Y40/Y12,0)</f>
        <v/>
      </c>
      <c r="Z41" s="233">
        <f>IF(Z12&lt;&gt;0,Z40/Z12,0)</f>
        <v/>
      </c>
      <c r="AA41" s="233">
        <f>IF(AA12&lt;&gt;0,AA40/AA12,0)</f>
        <v/>
      </c>
      <c r="AB41" s="233">
        <f>IF(AB12&lt;&gt;0,AB40/AB12,0)</f>
        <v/>
      </c>
      <c r="AC41" s="233">
        <f>IF(AC12&lt;&gt;0,AC40/AC12,0)</f>
        <v/>
      </c>
      <c r="AD41" s="233">
        <f>IF(AD12&lt;&gt;0,AD40/AD12,0)</f>
        <v/>
      </c>
      <c r="AE41" s="233">
        <f>IF(AE12&lt;&gt;0,AE40/AE12,0)</f>
        <v/>
      </c>
      <c r="AF41" s="233">
        <f>IF(AF12&lt;&gt;0,AF40/AF12,0)</f>
        <v/>
      </c>
      <c r="AG41" s="233">
        <f>IF(AG12&lt;&gt;0,AG40/AG12,0)</f>
        <v/>
      </c>
      <c r="AH41" s="233">
        <f>IF(AH12&lt;&gt;0,AH40/AH12,0)</f>
        <v/>
      </c>
      <c r="AI41" s="233">
        <f>IF(AI12&lt;&gt;0,AI40/AI12,0)</f>
        <v/>
      </c>
      <c r="AJ41" s="233">
        <f>IF(AJ12&lt;&gt;0,AJ40/AJ12,0)</f>
        <v/>
      </c>
      <c r="AK41" s="233">
        <f>IF(AK12&lt;&gt;0,AK40/AK12,0)</f>
        <v/>
      </c>
      <c r="AL41" s="233">
        <f>IF(AL12&lt;&gt;0,AL40/AL12,0)</f>
        <v/>
      </c>
      <c r="AM41" s="233">
        <f>IF(AM12&lt;&gt;0,AM40/AM12,0)</f>
        <v/>
      </c>
      <c r="AN41" s="233">
        <f>IF(AN12&lt;&gt;0,AN40/AN12,0)</f>
        <v/>
      </c>
      <c r="AO41" s="233">
        <f>IF(AO12&lt;&gt;0,AO40/AO12,0)</f>
        <v/>
      </c>
      <c r="AP41" s="233">
        <f>IF(AP12&lt;&gt;0,AP40/AP12,0)</f>
        <v/>
      </c>
      <c r="AQ41" s="233">
        <f>IF(AQ12&lt;&gt;0,AQ40/AQ12,0)</f>
        <v/>
      </c>
      <c r="AR41" s="233">
        <f>IF(AR12&lt;&gt;0,AR40/AR12,0)</f>
        <v/>
      </c>
      <c r="AS41" s="233">
        <f>IF(AS12&lt;&gt;0,AS40/AS12,0)</f>
        <v/>
      </c>
      <c r="AT41" s="233">
        <f>IF(AT12&lt;&gt;0,AT40/AT12,0)</f>
        <v/>
      </c>
      <c r="AU41" s="233">
        <f>IF(AU12&lt;&gt;0,AU40/AU12,0)</f>
        <v/>
      </c>
      <c r="AV41" s="233">
        <f>IF(AV12&lt;&gt;0,AV40/AV12,0)</f>
        <v/>
      </c>
      <c r="AW41" s="233">
        <f>IF(AW12&lt;&gt;0,AW40/AW12,0)</f>
        <v/>
      </c>
      <c r="AX41" s="233">
        <f>IF(AX12&lt;&gt;0,AX40/AX12,0)</f>
        <v/>
      </c>
      <c r="AY41" s="233">
        <f>IF(AY12&lt;&gt;0,AY40/AY12,0)</f>
        <v/>
      </c>
      <c r="AZ41" s="233">
        <f>IF(AZ12&lt;&gt;0,AZ40/AZ12,0)</f>
        <v/>
      </c>
      <c r="BA41" s="233">
        <f>IF(BA12&lt;&gt;0,BA40/BA12,0)</f>
        <v/>
      </c>
      <c r="BB41" s="233">
        <f>IF(BB12&lt;&gt;0,BB40/BB12,0)</f>
        <v/>
      </c>
      <c r="BC41" s="233">
        <f>IF(BC12&lt;&gt;0,BC40/BC12,0)</f>
        <v/>
      </c>
      <c r="BD41" s="233">
        <f>IF(BD12&lt;&gt;0,BD40/BD12,0)</f>
        <v/>
      </c>
      <c r="BE41" s="233">
        <f>IF(BE12&lt;&gt;0,BE40/BE12,0)</f>
        <v/>
      </c>
      <c r="BF41" s="233">
        <f>IF(BF12&lt;&gt;0,BF40/BF12,0)</f>
        <v/>
      </c>
      <c r="BG41" s="233">
        <f>IF(BG12&lt;&gt;0,BG40/BG12,0)</f>
        <v/>
      </c>
      <c r="BH41" s="233">
        <f>IF(BH12&lt;&gt;0,BH40/BH12,0)</f>
        <v/>
      </c>
      <c r="BI41" s="233">
        <f>IF(BI12&lt;&gt;0,BI40/BI12,0)</f>
        <v/>
      </c>
      <c r="BJ41" s="233">
        <f>IF(BJ12&lt;&gt;0,BJ40/BJ12,0)</f>
        <v/>
      </c>
      <c r="BK41" s="233">
        <f>IF(BK12&lt;&gt;0,BK40/BK12,0)</f>
        <v/>
      </c>
      <c r="BL41" s="233">
        <f>IF(BL12&lt;&gt;0,BL40/BL12,0)</f>
        <v/>
      </c>
      <c r="BM41" s="233">
        <f>IF(BM12&lt;&gt;0,BM40/BM12,0)</f>
        <v/>
      </c>
      <c r="BN41" s="233">
        <f>IF(BN12&lt;&gt;0,BN40/BN12,0)</f>
        <v/>
      </c>
      <c r="BO41" s="233">
        <f>IF(BO12&lt;&gt;0,BO40/BO12,0)</f>
        <v/>
      </c>
      <c r="BP41" s="233">
        <f>IF(BP12&lt;&gt;0,BP40/BP12,0)</f>
        <v/>
      </c>
      <c r="BQ41" s="233">
        <f>IF(BQ12&lt;&gt;0,BQ40/BQ12,0)</f>
        <v/>
      </c>
      <c r="BR41" s="233">
        <f>IF(BR12&lt;&gt;0,BR40/BR12,0)</f>
        <v/>
      </c>
      <c r="BS41" s="233">
        <f>IF(BS12&lt;&gt;0,BS40/BS12,0)</f>
        <v/>
      </c>
      <c r="BT41" s="233">
        <f>IF(BT12&lt;&gt;0,BT40/BT12,0)</f>
        <v/>
      </c>
      <c r="BU41" s="233">
        <f>IF(BU12&lt;&gt;0,BU40/BU12,0)</f>
        <v/>
      </c>
      <c r="BV41" s="233">
        <f>IF(BV12&lt;&gt;0,BV40/BV12,0)</f>
        <v/>
      </c>
      <c r="BW41" s="233">
        <f>IF(BW12&lt;&gt;0,BW40/BW12,0)</f>
        <v/>
      </c>
      <c r="BX41" s="233">
        <f>IF(BX12&lt;&gt;0,BX40/BX12,0)</f>
        <v/>
      </c>
      <c r="BY41" s="233">
        <f>IF(BY12&lt;&gt;0,BY40/BY12,0)</f>
        <v/>
      </c>
      <c r="BZ41" s="233">
        <f>IF(BZ12&lt;&gt;0,BZ40/BZ12,0)</f>
        <v/>
      </c>
      <c r="CA41" s="233">
        <f>IF(CA12&lt;&gt;0,CA40/CA12,0)</f>
        <v/>
      </c>
      <c r="CB41" s="233">
        <f>IF(CB12&lt;&gt;0,CB40/CB12,0)</f>
        <v/>
      </c>
      <c r="CC41" s="233">
        <f>IF(CC12&lt;&gt;0,CC40/CC12,0)</f>
        <v/>
      </c>
      <c r="CD41" s="233">
        <f>IF(CD12&lt;&gt;0,CD40/CD12,0)</f>
        <v/>
      </c>
      <c r="CE41" s="233">
        <f>IF(CE12&lt;&gt;0,CE40/CE12,0)</f>
        <v/>
      </c>
      <c r="CF41" s="233">
        <f>IF(CF12&lt;&gt;0,CF40/CF12,0)</f>
        <v/>
      </c>
      <c r="CG41" s="233">
        <f>IF(CG12&lt;&gt;0,CG40/CG12,0)</f>
        <v/>
      </c>
      <c r="CH41" s="233">
        <f>IF(CH12&lt;&gt;0,CH40/CH12,0)</f>
        <v/>
      </c>
      <c r="CI41" s="226" t="n"/>
    </row>
    <row r="42" ht="15" customHeight="1" s="202">
      <c r="A42" s="225" t="n"/>
      <c r="B42" s="225" t="n"/>
      <c r="C42" s="225" t="n"/>
      <c r="D42" s="225" t="n"/>
      <c r="E42" s="225" t="n"/>
      <c r="F42" s="225" t="n"/>
      <c r="G42" s="225" t="n"/>
      <c r="H42" s="225" t="n"/>
      <c r="I42" s="225" t="n"/>
      <c r="J42" s="225" t="n"/>
      <c r="K42" s="225" t="n"/>
      <c r="L42" s="225" t="n"/>
      <c r="M42" s="225" t="n"/>
      <c r="N42" s="225" t="n"/>
      <c r="O42" s="225" t="n"/>
      <c r="P42" s="225" t="n"/>
      <c r="Q42" s="225" t="n"/>
      <c r="R42" s="225" t="n"/>
      <c r="S42" s="225" t="n"/>
      <c r="T42" s="225" t="n"/>
      <c r="U42" s="225" t="n"/>
      <c r="V42" s="225" t="n"/>
      <c r="W42" s="225" t="n"/>
      <c r="X42" s="225" t="n"/>
      <c r="Y42" s="225" t="n"/>
      <c r="Z42" s="225" t="n"/>
      <c r="AA42" s="225" t="n"/>
      <c r="AB42" s="225" t="n"/>
      <c r="AC42" s="225" t="n"/>
      <c r="AD42" s="225" t="n"/>
      <c r="AE42" s="225" t="n"/>
      <c r="AF42" s="225" t="n"/>
      <c r="AG42" s="225" t="n"/>
      <c r="AH42" s="225" t="n"/>
      <c r="AI42" s="225" t="n"/>
      <c r="AJ42" s="225" t="n"/>
      <c r="AK42" s="225" t="n"/>
      <c r="AL42" s="225" t="n"/>
      <c r="AM42" s="225" t="n"/>
      <c r="AN42" s="225" t="n"/>
      <c r="AO42" s="225" t="n"/>
      <c r="AP42" s="225" t="n"/>
      <c r="AQ42" s="225" t="n"/>
      <c r="AR42" s="225" t="n"/>
      <c r="AS42" s="225" t="n"/>
      <c r="AT42" s="225" t="n"/>
      <c r="AU42" s="225" t="n"/>
      <c r="AV42" s="225" t="n"/>
      <c r="AW42" s="225" t="n"/>
      <c r="AX42" s="225" t="n"/>
      <c r="AY42" s="225" t="n"/>
      <c r="AZ42" s="225" t="n"/>
      <c r="BA42" s="225" t="n"/>
      <c r="BB42" s="225" t="n"/>
      <c r="BC42" s="225" t="n"/>
      <c r="BD42" s="225" t="n"/>
      <c r="BE42" s="225" t="n"/>
      <c r="BF42" s="225" t="n"/>
      <c r="BG42" s="225" t="n"/>
      <c r="BH42" s="225" t="n"/>
      <c r="BI42" s="225" t="n"/>
      <c r="BJ42" s="225" t="n"/>
      <c r="BK42" s="225" t="n"/>
      <c r="BL42" s="225" t="n"/>
      <c r="BM42" s="225" t="n"/>
      <c r="BN42" s="225" t="n"/>
      <c r="BO42" s="225" t="n"/>
      <c r="BP42" s="225" t="n"/>
      <c r="BQ42" s="225" t="n"/>
      <c r="BR42" s="225" t="n"/>
      <c r="BS42" s="225" t="n"/>
      <c r="BT42" s="225" t="n"/>
      <c r="BU42" s="225" t="n"/>
      <c r="BV42" s="225" t="n"/>
      <c r="BW42" s="225" t="n"/>
      <c r="BX42" s="225" t="n"/>
      <c r="BY42" s="225" t="n"/>
      <c r="BZ42" s="225" t="n"/>
      <c r="CA42" s="225" t="n"/>
      <c r="CB42" s="225" t="n"/>
      <c r="CC42" s="225" t="n"/>
      <c r="CD42" s="225" t="n"/>
      <c r="CE42" s="225" t="n"/>
      <c r="CF42" s="225" t="n"/>
      <c r="CG42" s="225" t="n"/>
      <c r="CH42" s="225" t="n"/>
      <c r="CI42" s="226" t="n"/>
    </row>
    <row r="43" ht="15" customHeight="1" s="202">
      <c r="A43" s="225" t="n"/>
      <c r="B43" s="225" t="n"/>
      <c r="C43" s="225" t="n"/>
      <c r="D43" s="225" t="n"/>
      <c r="E43" s="225" t="n"/>
      <c r="F43" s="225" t="n"/>
      <c r="G43" s="225" t="n"/>
      <c r="H43" s="225" t="n"/>
      <c r="I43" s="225" t="n"/>
      <c r="J43" s="225" t="n"/>
      <c r="K43" s="225" t="n"/>
      <c r="L43" s="225" t="n"/>
      <c r="M43" s="225" t="n"/>
      <c r="N43" s="225" t="n"/>
      <c r="O43" s="225" t="n"/>
      <c r="P43" s="225" t="n"/>
      <c r="Q43" s="225" t="n"/>
      <c r="R43" s="225" t="n"/>
      <c r="S43" s="225" t="n"/>
      <c r="T43" s="225" t="n"/>
      <c r="U43" s="225" t="n"/>
      <c r="V43" s="225" t="n"/>
      <c r="W43" s="225" t="n"/>
      <c r="X43" s="225" t="n"/>
      <c r="Y43" s="225" t="n"/>
      <c r="Z43" s="225" t="n"/>
      <c r="AA43" s="225" t="n"/>
      <c r="AB43" s="225" t="n"/>
      <c r="AC43" s="225" t="n"/>
      <c r="AD43" s="225" t="n"/>
      <c r="AE43" s="225" t="n"/>
      <c r="AF43" s="225" t="n"/>
      <c r="AG43" s="225" t="n"/>
      <c r="AH43" s="225" t="n"/>
      <c r="AI43" s="225" t="n"/>
      <c r="AJ43" s="225" t="n"/>
      <c r="AK43" s="225" t="n"/>
      <c r="AL43" s="225" t="n"/>
      <c r="AM43" s="225" t="n"/>
      <c r="AN43" s="225" t="n"/>
      <c r="AO43" s="225" t="n"/>
      <c r="AP43" s="225" t="n"/>
      <c r="AQ43" s="225" t="n"/>
      <c r="AR43" s="225" t="n"/>
      <c r="AS43" s="225" t="n"/>
      <c r="AT43" s="225" t="n"/>
      <c r="AU43" s="225" t="n"/>
      <c r="AV43" s="225" t="n"/>
      <c r="AW43" s="225" t="n"/>
      <c r="AX43" s="225" t="n"/>
      <c r="AY43" s="225" t="n"/>
      <c r="AZ43" s="225" t="n"/>
      <c r="BA43" s="225" t="n"/>
      <c r="BB43" s="225" t="n"/>
      <c r="BC43" s="225" t="n"/>
      <c r="BD43" s="225" t="n"/>
      <c r="BE43" s="225" t="n"/>
      <c r="BF43" s="225" t="n"/>
      <c r="BG43" s="225" t="n"/>
      <c r="BH43" s="225" t="n"/>
      <c r="BI43" s="225" t="n"/>
      <c r="BJ43" s="225" t="n"/>
      <c r="BK43" s="225" t="n"/>
      <c r="BL43" s="225" t="n"/>
      <c r="BM43" s="225" t="n"/>
      <c r="BN43" s="225" t="n"/>
      <c r="BO43" s="225" t="n"/>
      <c r="BP43" s="225" t="n"/>
      <c r="BQ43" s="225" t="n"/>
      <c r="BR43" s="225" t="n"/>
      <c r="BS43" s="225" t="n"/>
      <c r="BT43" s="225" t="n"/>
      <c r="BU43" s="225" t="n"/>
      <c r="BV43" s="225" t="n"/>
      <c r="BW43" s="225" t="n"/>
      <c r="BX43" s="225" t="n"/>
      <c r="BY43" s="225" t="n"/>
      <c r="BZ43" s="225" t="n"/>
      <c r="CA43" s="225" t="n"/>
      <c r="CB43" s="225" t="n"/>
      <c r="CC43" s="225" t="n"/>
      <c r="CD43" s="225" t="n"/>
      <c r="CE43" s="225" t="n"/>
      <c r="CF43" s="225" t="n"/>
      <c r="CG43" s="225" t="n"/>
      <c r="CH43" s="225" t="n"/>
      <c r="CI43" s="226" t="n"/>
    </row>
    <row r="44" ht="15" customHeight="1" s="202">
      <c r="A44" s="229" t="inlineStr">
        <is>
          <t>SIX PEAK CAPITAL P&amp;L</t>
        </is>
      </c>
      <c r="B44" s="229" t="n"/>
      <c r="C44" s="229" t="n"/>
      <c r="D44" s="229" t="n"/>
      <c r="E44" s="229" t="n"/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  <c r="AA44" s="229" t="n"/>
      <c r="AB44" s="229" t="n"/>
      <c r="AC44" s="229" t="n"/>
      <c r="AD44" s="229" t="n"/>
      <c r="AE44" s="229" t="n"/>
      <c r="AF44" s="229" t="n"/>
      <c r="AG44" s="229" t="n"/>
      <c r="AH44" s="229" t="n"/>
      <c r="AI44" s="229" t="n"/>
      <c r="AJ44" s="229" t="n"/>
      <c r="AK44" s="229" t="n"/>
      <c r="AL44" s="229" t="n"/>
      <c r="AM44" s="229" t="n"/>
      <c r="AN44" s="229" t="n"/>
      <c r="AO44" s="229" t="n"/>
      <c r="AP44" s="229" t="n"/>
      <c r="AQ44" s="229" t="n"/>
      <c r="AR44" s="229" t="n"/>
      <c r="AS44" s="229" t="n"/>
      <c r="AT44" s="229" t="n"/>
      <c r="AU44" s="229" t="n"/>
      <c r="AV44" s="229" t="n"/>
      <c r="AW44" s="229" t="n"/>
      <c r="AX44" s="229" t="n"/>
      <c r="AY44" s="229" t="n"/>
      <c r="AZ44" s="229" t="n"/>
      <c r="BA44" s="229" t="n"/>
      <c r="BB44" s="229" t="n"/>
      <c r="BC44" s="229" t="n"/>
      <c r="BD44" s="229" t="n"/>
      <c r="BE44" s="229" t="n"/>
      <c r="BF44" s="229" t="n"/>
      <c r="BG44" s="229" t="n"/>
      <c r="BH44" s="229" t="n"/>
      <c r="BI44" s="229" t="n"/>
      <c r="BJ44" s="229" t="n"/>
      <c r="BK44" s="229" t="n"/>
      <c r="BL44" s="229" t="n"/>
      <c r="BM44" s="229" t="n"/>
      <c r="BN44" s="229" t="n"/>
      <c r="BO44" s="229" t="n"/>
      <c r="BP44" s="229" t="n"/>
      <c r="BQ44" s="229" t="n"/>
      <c r="BR44" s="229" t="n"/>
      <c r="BS44" s="229" t="n"/>
      <c r="BT44" s="229" t="n"/>
      <c r="BU44" s="229" t="n"/>
      <c r="BV44" s="229" t="n"/>
      <c r="BW44" s="229" t="n"/>
      <c r="BX44" s="229" t="n"/>
      <c r="BY44" s="229" t="n"/>
      <c r="BZ44" s="229" t="n"/>
      <c r="CA44" s="229" t="n"/>
      <c r="CB44" s="229" t="n"/>
      <c r="CC44" s="229" t="n"/>
      <c r="CD44" s="229" t="n"/>
      <c r="CE44" s="229" t="n"/>
      <c r="CF44" s="229" t="n"/>
      <c r="CG44" s="229" t="n"/>
      <c r="CH44" s="229" t="n"/>
      <c r="CI44" s="226" t="n"/>
    </row>
    <row r="45" ht="15" customHeight="1" s="202">
      <c r="A45" s="209" t="inlineStr">
        <is>
          <t>Six Peak Revenue</t>
        </is>
      </c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09" t="n"/>
      <c r="AF45" s="209" t="n"/>
      <c r="AG45" s="209" t="n"/>
      <c r="AH45" s="209" t="n"/>
      <c r="AI45" s="209" t="n"/>
      <c r="AJ45" s="209" t="n"/>
      <c r="AK45" s="209" t="n"/>
      <c r="AL45" s="209" t="n"/>
      <c r="AM45" s="209" t="n"/>
      <c r="AN45" s="209" t="n"/>
      <c r="AO45" s="209" t="n"/>
      <c r="AP45" s="209" t="n"/>
      <c r="AQ45" s="209" t="n"/>
      <c r="AR45" s="209" t="n"/>
      <c r="AS45" s="209" t="n"/>
      <c r="AT45" s="209" t="n"/>
      <c r="AU45" s="209" t="n"/>
      <c r="AV45" s="209" t="n"/>
      <c r="AW45" s="209" t="n"/>
      <c r="AX45" s="209" t="n"/>
      <c r="AY45" s="209" t="n"/>
      <c r="AZ45" s="209" t="n"/>
      <c r="BA45" s="209" t="n"/>
      <c r="BB45" s="209" t="n"/>
      <c r="BC45" s="209" t="n"/>
      <c r="BD45" s="209" t="n"/>
      <c r="BE45" s="209" t="n"/>
      <c r="BF45" s="209" t="n"/>
      <c r="BG45" s="209" t="n"/>
      <c r="BH45" s="209" t="n"/>
      <c r="BI45" s="209" t="n"/>
      <c r="BJ45" s="209" t="n"/>
      <c r="BK45" s="209" t="n"/>
      <c r="BL45" s="209" t="n"/>
      <c r="BM45" s="209" t="n"/>
      <c r="BN45" s="209" t="n"/>
      <c r="BO45" s="209" t="n"/>
      <c r="BP45" s="209" t="n"/>
      <c r="BQ45" s="209" t="n"/>
      <c r="BR45" s="209" t="n"/>
      <c r="BS45" s="209" t="n"/>
      <c r="BT45" s="209" t="n"/>
      <c r="BU45" s="209" t="n"/>
      <c r="BV45" s="209" t="n"/>
      <c r="BW45" s="209" t="n"/>
      <c r="BX45" s="209" t="n"/>
      <c r="BY45" s="209" t="n"/>
      <c r="BZ45" s="209" t="n"/>
      <c r="CA45" s="209" t="n"/>
      <c r="CB45" s="209" t="n"/>
      <c r="CC45" s="209" t="n"/>
      <c r="CD45" s="209" t="n"/>
      <c r="CE45" s="209" t="n"/>
      <c r="CF45" s="209" t="n"/>
      <c r="CG45" s="209" t="n"/>
      <c r="CH45" s="209" t="n"/>
      <c r="CI45" s="226" t="n"/>
    </row>
    <row r="46" ht="15" customHeight="1" s="202">
      <c r="A46" s="210" t="inlineStr">
        <is>
          <t>Edgemont Management Fee</t>
        </is>
      </c>
      <c r="B46" s="225" t="n"/>
      <c r="C46" s="211">
        <f>IF(1&lt;=Assumptions!$B$68,Assumptions!$B$67,0)</f>
        <v/>
      </c>
      <c r="D46" s="211">
        <f>IF(2&lt;=Assumptions!$B$68,Assumptions!$B$67,0)</f>
        <v/>
      </c>
      <c r="E46" s="211">
        <f>IF(3&lt;=Assumptions!$B$68,Assumptions!$B$67,0)</f>
        <v/>
      </c>
      <c r="F46" s="211">
        <f>IF(4&lt;=Assumptions!$B$68,Assumptions!$B$67,0)</f>
        <v/>
      </c>
      <c r="G46" s="211">
        <f>IF(5&lt;=Assumptions!$B$68,Assumptions!$B$67,0)</f>
        <v/>
      </c>
      <c r="H46" s="211">
        <f>IF(6&lt;=Assumptions!$B$68,Assumptions!$B$67,0)</f>
        <v/>
      </c>
      <c r="I46" s="211">
        <f>IF(7&lt;=Assumptions!$B$68,Assumptions!$B$67,0)</f>
        <v/>
      </c>
      <c r="J46" s="211">
        <f>IF(8&lt;=Assumptions!$B$68,Assumptions!$B$67,0)</f>
        <v/>
      </c>
      <c r="K46" s="211">
        <f>IF(9&lt;=Assumptions!$B$68,Assumptions!$B$67,0)</f>
        <v/>
      </c>
      <c r="L46" s="211">
        <f>IF(10&lt;=Assumptions!$B$68,Assumptions!$B$67,0)</f>
        <v/>
      </c>
      <c r="M46" s="211">
        <f>IF(11&lt;=Assumptions!$B$68,Assumptions!$B$67,0)</f>
        <v/>
      </c>
      <c r="N46" s="211">
        <f>IF(12&lt;=Assumptions!$B$68,Assumptions!$B$67,0)</f>
        <v/>
      </c>
      <c r="O46" s="211">
        <f>IF(13&lt;=Assumptions!$B$68,Assumptions!$B$67,0)</f>
        <v/>
      </c>
      <c r="P46" s="211">
        <f>IF(14&lt;=Assumptions!$B$68,Assumptions!$B$67,0)</f>
        <v/>
      </c>
      <c r="Q46" s="211">
        <f>IF(15&lt;=Assumptions!$B$68,Assumptions!$B$67,0)</f>
        <v/>
      </c>
      <c r="R46" s="211">
        <f>IF(16&lt;=Assumptions!$B$68,Assumptions!$B$67,0)</f>
        <v/>
      </c>
      <c r="S46" s="211">
        <f>IF(17&lt;=Assumptions!$B$68,Assumptions!$B$67,0)</f>
        <v/>
      </c>
      <c r="T46" s="211">
        <f>IF(18&lt;=Assumptions!$B$68,Assumptions!$B$67,0)</f>
        <v/>
      </c>
      <c r="U46" s="211">
        <f>IF(19&lt;=Assumptions!$B$68,Assumptions!$B$67,0)</f>
        <v/>
      </c>
      <c r="V46" s="211">
        <f>IF(20&lt;=Assumptions!$B$68,Assumptions!$B$67,0)</f>
        <v/>
      </c>
      <c r="W46" s="211">
        <f>IF(21&lt;=Assumptions!$B$68,Assumptions!$B$67,0)</f>
        <v/>
      </c>
      <c r="X46" s="211">
        <f>IF(22&lt;=Assumptions!$B$68,Assumptions!$B$67,0)</f>
        <v/>
      </c>
      <c r="Y46" s="211">
        <f>IF(23&lt;=Assumptions!$B$68,Assumptions!$B$67,0)</f>
        <v/>
      </c>
      <c r="Z46" s="211">
        <f>IF(24&lt;=Assumptions!$B$68,Assumptions!$B$67,0)</f>
        <v/>
      </c>
      <c r="AA46" s="211">
        <f>IF(25&lt;=Assumptions!$B$68,Assumptions!$B$67,0)</f>
        <v/>
      </c>
      <c r="AB46" s="211">
        <f>IF(26&lt;=Assumptions!$B$68,Assumptions!$B$67,0)</f>
        <v/>
      </c>
      <c r="AC46" s="211">
        <f>IF(27&lt;=Assumptions!$B$68,Assumptions!$B$67,0)</f>
        <v/>
      </c>
      <c r="AD46" s="211">
        <f>IF(28&lt;=Assumptions!$B$68,Assumptions!$B$67,0)</f>
        <v/>
      </c>
      <c r="AE46" s="211">
        <f>IF(29&lt;=Assumptions!$B$68,Assumptions!$B$67,0)</f>
        <v/>
      </c>
      <c r="AF46" s="211">
        <f>IF(30&lt;=Assumptions!$B$68,Assumptions!$B$67,0)</f>
        <v/>
      </c>
      <c r="AG46" s="211">
        <f>IF(31&lt;=Assumptions!$B$68,Assumptions!$B$67,0)</f>
        <v/>
      </c>
      <c r="AH46" s="211">
        <f>IF(32&lt;=Assumptions!$B$68,Assumptions!$B$67,0)</f>
        <v/>
      </c>
      <c r="AI46" s="211">
        <f>IF(33&lt;=Assumptions!$B$68,Assumptions!$B$67,0)</f>
        <v/>
      </c>
      <c r="AJ46" s="211">
        <f>IF(34&lt;=Assumptions!$B$68,Assumptions!$B$67,0)</f>
        <v/>
      </c>
      <c r="AK46" s="211">
        <f>IF(35&lt;=Assumptions!$B$68,Assumptions!$B$67,0)</f>
        <v/>
      </c>
      <c r="AL46" s="211">
        <f>IF(36&lt;=Assumptions!$B$68,Assumptions!$B$67,0)</f>
        <v/>
      </c>
      <c r="AM46" s="211">
        <f>IF(37&lt;=Assumptions!$B$68,Assumptions!$B$67,0)</f>
        <v/>
      </c>
      <c r="AN46" s="211">
        <f>IF(38&lt;=Assumptions!$B$68,Assumptions!$B$67,0)</f>
        <v/>
      </c>
      <c r="AO46" s="211">
        <f>IF(39&lt;=Assumptions!$B$68,Assumptions!$B$67,0)</f>
        <v/>
      </c>
      <c r="AP46" s="211">
        <f>IF(40&lt;=Assumptions!$B$68,Assumptions!$B$67,0)</f>
        <v/>
      </c>
      <c r="AQ46" s="211">
        <f>IF(41&lt;=Assumptions!$B$68,Assumptions!$B$67,0)</f>
        <v/>
      </c>
      <c r="AR46" s="211">
        <f>IF(42&lt;=Assumptions!$B$68,Assumptions!$B$67,0)</f>
        <v/>
      </c>
      <c r="AS46" s="211">
        <f>IF(43&lt;=Assumptions!$B$68,Assumptions!$B$67,0)</f>
        <v/>
      </c>
      <c r="AT46" s="211">
        <f>IF(44&lt;=Assumptions!$B$68,Assumptions!$B$67,0)</f>
        <v/>
      </c>
      <c r="AU46" s="211">
        <f>IF(45&lt;=Assumptions!$B$68,Assumptions!$B$67,0)</f>
        <v/>
      </c>
      <c r="AV46" s="211">
        <f>IF(46&lt;=Assumptions!$B$68,Assumptions!$B$67,0)</f>
        <v/>
      </c>
      <c r="AW46" s="211">
        <f>IF(47&lt;=Assumptions!$B$68,Assumptions!$B$67,0)</f>
        <v/>
      </c>
      <c r="AX46" s="211">
        <f>IF(48&lt;=Assumptions!$B$68,Assumptions!$B$67,0)</f>
        <v/>
      </c>
      <c r="AY46" s="211">
        <f>IF(49&lt;=Assumptions!$B$68,Assumptions!$B$67,0)</f>
        <v/>
      </c>
      <c r="AZ46" s="211">
        <f>IF(50&lt;=Assumptions!$B$68,Assumptions!$B$67,0)</f>
        <v/>
      </c>
      <c r="BA46" s="211">
        <f>IF(51&lt;=Assumptions!$B$68,Assumptions!$B$67,0)</f>
        <v/>
      </c>
      <c r="BB46" s="211">
        <f>IF(52&lt;=Assumptions!$B$68,Assumptions!$B$67,0)</f>
        <v/>
      </c>
      <c r="BC46" s="211">
        <f>IF(53&lt;=Assumptions!$B$68,Assumptions!$B$67,0)</f>
        <v/>
      </c>
      <c r="BD46" s="211">
        <f>IF(54&lt;=Assumptions!$B$68,Assumptions!$B$67,0)</f>
        <v/>
      </c>
      <c r="BE46" s="211">
        <f>IF(55&lt;=Assumptions!$B$68,Assumptions!$B$67,0)</f>
        <v/>
      </c>
      <c r="BF46" s="211">
        <f>IF(56&lt;=Assumptions!$B$68,Assumptions!$B$67,0)</f>
        <v/>
      </c>
      <c r="BG46" s="211">
        <f>IF(57&lt;=Assumptions!$B$68,Assumptions!$B$67,0)</f>
        <v/>
      </c>
      <c r="BH46" s="211">
        <f>IF(58&lt;=Assumptions!$B$68,Assumptions!$B$67,0)</f>
        <v/>
      </c>
      <c r="BI46" s="211">
        <f>IF(59&lt;=Assumptions!$B$68,Assumptions!$B$67,0)</f>
        <v/>
      </c>
      <c r="BJ46" s="211">
        <f>IF(60&lt;=Assumptions!$B$68,Assumptions!$B$67,0)</f>
        <v/>
      </c>
      <c r="BK46" s="211">
        <f>IF(61&lt;=Assumptions!$B$68,Assumptions!$B$67,0)</f>
        <v/>
      </c>
      <c r="BL46" s="211">
        <f>IF(62&lt;=Assumptions!$B$68,Assumptions!$B$67,0)</f>
        <v/>
      </c>
      <c r="BM46" s="211">
        <f>IF(63&lt;=Assumptions!$B$68,Assumptions!$B$67,0)</f>
        <v/>
      </c>
      <c r="BN46" s="211">
        <f>IF(64&lt;=Assumptions!$B$68,Assumptions!$B$67,0)</f>
        <v/>
      </c>
      <c r="BO46" s="211">
        <f>IF(65&lt;=Assumptions!$B$68,Assumptions!$B$67,0)</f>
        <v/>
      </c>
      <c r="BP46" s="211">
        <f>IF(66&lt;=Assumptions!$B$68,Assumptions!$B$67,0)</f>
        <v/>
      </c>
      <c r="BQ46" s="211">
        <f>IF(67&lt;=Assumptions!$B$68,Assumptions!$B$67,0)</f>
        <v/>
      </c>
      <c r="BR46" s="211">
        <f>IF(68&lt;=Assumptions!$B$68,Assumptions!$B$67,0)</f>
        <v/>
      </c>
      <c r="BS46" s="211">
        <f>IF(69&lt;=Assumptions!$B$68,Assumptions!$B$67,0)</f>
        <v/>
      </c>
      <c r="BT46" s="211">
        <f>IF(70&lt;=Assumptions!$B$68,Assumptions!$B$67,0)</f>
        <v/>
      </c>
      <c r="BU46" s="211">
        <f>IF(71&lt;=Assumptions!$B$68,Assumptions!$B$67,0)</f>
        <v/>
      </c>
      <c r="BV46" s="211">
        <f>IF(72&lt;=Assumptions!$B$68,Assumptions!$B$67,0)</f>
        <v/>
      </c>
      <c r="BW46" s="211">
        <f>IF(73&lt;=Assumptions!$B$68,Assumptions!$B$67,0)</f>
        <v/>
      </c>
      <c r="BX46" s="211">
        <f>IF(74&lt;=Assumptions!$B$68,Assumptions!$B$67,0)</f>
        <v/>
      </c>
      <c r="BY46" s="211">
        <f>IF(75&lt;=Assumptions!$B$68,Assumptions!$B$67,0)</f>
        <v/>
      </c>
      <c r="BZ46" s="211">
        <f>IF(76&lt;=Assumptions!$B$68,Assumptions!$B$67,0)</f>
        <v/>
      </c>
      <c r="CA46" s="211">
        <f>IF(77&lt;=Assumptions!$B$68,Assumptions!$B$67,0)</f>
        <v/>
      </c>
      <c r="CB46" s="211">
        <f>IF(78&lt;=Assumptions!$B$68,Assumptions!$B$67,0)</f>
        <v/>
      </c>
      <c r="CC46" s="211">
        <f>IF(79&lt;=Assumptions!$B$68,Assumptions!$B$67,0)</f>
        <v/>
      </c>
      <c r="CD46" s="211">
        <f>IF(80&lt;=Assumptions!$B$68,Assumptions!$B$67,0)</f>
        <v/>
      </c>
      <c r="CE46" s="211">
        <f>IF(81&lt;=Assumptions!$B$68,Assumptions!$B$67,0)</f>
        <v/>
      </c>
      <c r="CF46" s="211">
        <f>IF(82&lt;=Assumptions!$B$68,Assumptions!$B$67,0)</f>
        <v/>
      </c>
      <c r="CG46" s="211">
        <f>IF(83&lt;=Assumptions!$B$68,Assumptions!$B$67,0)</f>
        <v/>
      </c>
      <c r="CH46" s="211">
        <f>IF(84&lt;=Assumptions!$B$68,Assumptions!$B$67,0)</f>
        <v/>
      </c>
      <c r="CI46" s="226" t="n"/>
    </row>
    <row r="47" ht="15" customHeight="1" s="202">
      <c r="A47" s="210" t="inlineStr">
        <is>
          <t>Ramsgate Dev Fee - Construction</t>
        </is>
      </c>
      <c r="B47" s="225" t="n"/>
      <c r="C47" s="211">
        <f>IF(Projects!$G$3="Yes",23906.25,0)</f>
        <v/>
      </c>
      <c r="D47" s="211">
        <f>IF(Projects!$G$3="Yes",23906.25,0)</f>
        <v/>
      </c>
      <c r="E47" s="211">
        <f>IF(Projects!$G$3="Yes",23906.25,0)</f>
        <v/>
      </c>
      <c r="F47" s="211">
        <f>IF(Projects!$G$3="Yes",23906.25,0)</f>
        <v/>
      </c>
      <c r="G47" s="211">
        <f>IF(Projects!$G$3="Yes",23906.25,0)</f>
        <v/>
      </c>
      <c r="H47" s="211">
        <f>IF(Projects!$G$3="Yes",23906.25,0)</f>
        <v/>
      </c>
      <c r="I47" s="211">
        <f>IF(Projects!$G$3="Yes",23906.25,0)</f>
        <v/>
      </c>
      <c r="J47" s="211">
        <f>IF(Projects!$G$3="Yes",23906.25,0)</f>
        <v/>
      </c>
      <c r="K47" s="211">
        <f>IF(Projects!$G$3="Yes",23906.25,0)</f>
        <v/>
      </c>
      <c r="L47" s="211">
        <f>IF(Projects!$G$3="Yes",23906.25,0)</f>
        <v/>
      </c>
      <c r="M47" s="211">
        <f>IF(Projects!$G$3="Yes",23906.25,0)</f>
        <v/>
      </c>
      <c r="N47" s="211">
        <f>IF(Projects!$G$3="Yes",23906.25,0)</f>
        <v/>
      </c>
      <c r="O47" s="211">
        <f>IF(Projects!$G$3="Yes",23906.25,0)</f>
        <v/>
      </c>
      <c r="P47" s="211">
        <f>IF(Projects!$G$3="Yes",23906.25,0)</f>
        <v/>
      </c>
      <c r="Q47" s="211">
        <f>IF(Projects!$G$3="Yes",23906.25,0)</f>
        <v/>
      </c>
      <c r="R47" s="211" t="n">
        <v>0</v>
      </c>
      <c r="S47" s="211" t="n">
        <v>0</v>
      </c>
      <c r="T47" s="211" t="n">
        <v>0</v>
      </c>
      <c r="U47" s="211" t="n">
        <v>0</v>
      </c>
      <c r="V47" s="211" t="n">
        <v>0</v>
      </c>
      <c r="W47" s="211" t="n">
        <v>0</v>
      </c>
      <c r="X47" s="211" t="n">
        <v>0</v>
      </c>
      <c r="Y47" s="211" t="n">
        <v>0</v>
      </c>
      <c r="Z47" s="211" t="n">
        <v>0</v>
      </c>
      <c r="AA47" s="211" t="n">
        <v>0</v>
      </c>
      <c r="AB47" s="211" t="n">
        <v>0</v>
      </c>
      <c r="AC47" s="211" t="n">
        <v>0</v>
      </c>
      <c r="AD47" s="211" t="n">
        <v>0</v>
      </c>
      <c r="AE47" s="211" t="n">
        <v>0</v>
      </c>
      <c r="AF47" s="211" t="n">
        <v>0</v>
      </c>
      <c r="AG47" s="211" t="n">
        <v>0</v>
      </c>
      <c r="AH47" s="211" t="n">
        <v>0</v>
      </c>
      <c r="AI47" s="211" t="n">
        <v>0</v>
      </c>
      <c r="AJ47" s="211" t="n">
        <v>0</v>
      </c>
      <c r="AK47" s="211" t="n">
        <v>0</v>
      </c>
      <c r="AL47" s="211" t="n">
        <v>0</v>
      </c>
      <c r="AM47" s="211" t="n">
        <v>0</v>
      </c>
      <c r="AN47" s="211" t="n">
        <v>0</v>
      </c>
      <c r="AO47" s="211" t="n">
        <v>0</v>
      </c>
      <c r="AP47" s="211" t="n">
        <v>0</v>
      </c>
      <c r="AQ47" s="211" t="n">
        <v>0</v>
      </c>
      <c r="AR47" s="211" t="n">
        <v>0</v>
      </c>
      <c r="AS47" s="211" t="n">
        <v>0</v>
      </c>
      <c r="AT47" s="211" t="n">
        <v>0</v>
      </c>
      <c r="AU47" s="211" t="n">
        <v>0</v>
      </c>
      <c r="AV47" s="211" t="n">
        <v>0</v>
      </c>
      <c r="AW47" s="211" t="n">
        <v>0</v>
      </c>
      <c r="AX47" s="211" t="n">
        <v>0</v>
      </c>
      <c r="AY47" s="211" t="n">
        <v>0</v>
      </c>
      <c r="AZ47" s="211" t="n">
        <v>0</v>
      </c>
      <c r="BA47" s="211" t="n">
        <v>0</v>
      </c>
      <c r="BB47" s="211" t="n">
        <v>0</v>
      </c>
      <c r="BC47" s="211" t="n">
        <v>0</v>
      </c>
      <c r="BD47" s="211" t="n">
        <v>0</v>
      </c>
      <c r="BE47" s="211" t="n">
        <v>0</v>
      </c>
      <c r="BF47" s="211" t="n">
        <v>0</v>
      </c>
      <c r="BG47" s="211" t="n">
        <v>0</v>
      </c>
      <c r="BH47" s="211" t="n">
        <v>0</v>
      </c>
      <c r="BI47" s="211" t="n">
        <v>0</v>
      </c>
      <c r="BJ47" s="211" t="n">
        <v>0</v>
      </c>
      <c r="BK47" s="211" t="n">
        <v>0</v>
      </c>
      <c r="BL47" s="211" t="n">
        <v>0</v>
      </c>
      <c r="BM47" s="211" t="n">
        <v>0</v>
      </c>
      <c r="BN47" s="211" t="n">
        <v>0</v>
      </c>
      <c r="BO47" s="211" t="n">
        <v>0</v>
      </c>
      <c r="BP47" s="211" t="n">
        <v>0</v>
      </c>
      <c r="BQ47" s="211" t="n">
        <v>0</v>
      </c>
      <c r="BR47" s="211" t="n">
        <v>0</v>
      </c>
      <c r="BS47" s="211" t="n">
        <v>0</v>
      </c>
      <c r="BT47" s="211" t="n">
        <v>0</v>
      </c>
      <c r="BU47" s="211" t="n">
        <v>0</v>
      </c>
      <c r="BV47" s="211" t="n">
        <v>0</v>
      </c>
      <c r="BW47" s="211" t="n">
        <v>0</v>
      </c>
      <c r="BX47" s="211" t="n">
        <v>0</v>
      </c>
      <c r="BY47" s="211" t="n">
        <v>0</v>
      </c>
      <c r="BZ47" s="211" t="n">
        <v>0</v>
      </c>
      <c r="CA47" s="211" t="n">
        <v>0</v>
      </c>
      <c r="CB47" s="211" t="n">
        <v>0</v>
      </c>
      <c r="CC47" s="211" t="n">
        <v>0</v>
      </c>
      <c r="CD47" s="211" t="n">
        <v>0</v>
      </c>
      <c r="CE47" s="211" t="n">
        <v>0</v>
      </c>
      <c r="CF47" s="211" t="n">
        <v>0</v>
      </c>
      <c r="CG47" s="211" t="n">
        <v>0</v>
      </c>
      <c r="CH47" s="211" t="n">
        <v>0</v>
      </c>
      <c r="CI47" s="226" t="n"/>
    </row>
    <row r="48" ht="15" customHeight="1" s="202">
      <c r="A48" s="210" t="inlineStr">
        <is>
          <t>Ramsgate Dev Fee - 20% Occ</t>
        </is>
      </c>
      <c r="B48" s="225" t="n"/>
      <c r="C48" s="211" t="n">
        <v>0</v>
      </c>
      <c r="D48" s="211" t="n">
        <v>0</v>
      </c>
      <c r="E48" s="211" t="n">
        <v>0</v>
      </c>
      <c r="F48" s="211" t="n">
        <v>0</v>
      </c>
      <c r="G48" s="211" t="n">
        <v>0</v>
      </c>
      <c r="H48" s="211" t="n">
        <v>0</v>
      </c>
      <c r="I48" s="211" t="n">
        <v>0</v>
      </c>
      <c r="J48" s="211" t="n">
        <v>0</v>
      </c>
      <c r="K48" s="211" t="n">
        <v>0</v>
      </c>
      <c r="L48" s="211" t="n">
        <v>0</v>
      </c>
      <c r="M48" s="211" t="n">
        <v>0</v>
      </c>
      <c r="N48" s="211" t="n">
        <v>0</v>
      </c>
      <c r="O48" s="211" t="n">
        <v>0</v>
      </c>
      <c r="P48" s="211" t="n">
        <v>0</v>
      </c>
      <c r="Q48" s="211" t="n">
        <v>0</v>
      </c>
      <c r="R48" s="211" t="n">
        <v>0</v>
      </c>
      <c r="S48" s="211" t="n">
        <v>0</v>
      </c>
      <c r="T48" s="211" t="n">
        <v>0</v>
      </c>
      <c r="U48" s="211" t="n">
        <v>0</v>
      </c>
      <c r="V48" s="211" t="n">
        <v>0</v>
      </c>
      <c r="W48" s="211">
        <f>IF(Projects!$G$3="Yes",57375,0)</f>
        <v/>
      </c>
      <c r="X48" s="211" t="n">
        <v>0</v>
      </c>
      <c r="Y48" s="211" t="n">
        <v>0</v>
      </c>
      <c r="Z48" s="211" t="n">
        <v>0</v>
      </c>
      <c r="AA48" s="211" t="n">
        <v>0</v>
      </c>
      <c r="AB48" s="211" t="n">
        <v>0</v>
      </c>
      <c r="AC48" s="211" t="n">
        <v>0</v>
      </c>
      <c r="AD48" s="211" t="n">
        <v>0</v>
      </c>
      <c r="AE48" s="211" t="n">
        <v>0</v>
      </c>
      <c r="AF48" s="211" t="n">
        <v>0</v>
      </c>
      <c r="AG48" s="211" t="n">
        <v>0</v>
      </c>
      <c r="AH48" s="211" t="n">
        <v>0</v>
      </c>
      <c r="AI48" s="211" t="n">
        <v>0</v>
      </c>
      <c r="AJ48" s="211" t="n">
        <v>0</v>
      </c>
      <c r="AK48" s="211" t="n">
        <v>0</v>
      </c>
      <c r="AL48" s="211" t="n">
        <v>0</v>
      </c>
      <c r="AM48" s="211" t="n">
        <v>0</v>
      </c>
      <c r="AN48" s="211" t="n">
        <v>0</v>
      </c>
      <c r="AO48" s="211" t="n">
        <v>0</v>
      </c>
      <c r="AP48" s="211" t="n">
        <v>0</v>
      </c>
      <c r="AQ48" s="211" t="n">
        <v>0</v>
      </c>
      <c r="AR48" s="211" t="n">
        <v>0</v>
      </c>
      <c r="AS48" s="211" t="n">
        <v>0</v>
      </c>
      <c r="AT48" s="211" t="n">
        <v>0</v>
      </c>
      <c r="AU48" s="211" t="n">
        <v>0</v>
      </c>
      <c r="AV48" s="211" t="n">
        <v>0</v>
      </c>
      <c r="AW48" s="211" t="n">
        <v>0</v>
      </c>
      <c r="AX48" s="211" t="n">
        <v>0</v>
      </c>
      <c r="AY48" s="211" t="n">
        <v>0</v>
      </c>
      <c r="AZ48" s="211" t="n">
        <v>0</v>
      </c>
      <c r="BA48" s="211" t="n">
        <v>0</v>
      </c>
      <c r="BB48" s="211" t="n">
        <v>0</v>
      </c>
      <c r="BC48" s="211" t="n">
        <v>0</v>
      </c>
      <c r="BD48" s="211" t="n">
        <v>0</v>
      </c>
      <c r="BE48" s="211" t="n">
        <v>0</v>
      </c>
      <c r="BF48" s="211" t="n">
        <v>0</v>
      </c>
      <c r="BG48" s="211" t="n">
        <v>0</v>
      </c>
      <c r="BH48" s="211" t="n">
        <v>0</v>
      </c>
      <c r="BI48" s="211" t="n">
        <v>0</v>
      </c>
      <c r="BJ48" s="211" t="n">
        <v>0</v>
      </c>
      <c r="BK48" s="211" t="n">
        <v>0</v>
      </c>
      <c r="BL48" s="211" t="n">
        <v>0</v>
      </c>
      <c r="BM48" s="211" t="n">
        <v>0</v>
      </c>
      <c r="BN48" s="211" t="n">
        <v>0</v>
      </c>
      <c r="BO48" s="211" t="n">
        <v>0</v>
      </c>
      <c r="BP48" s="211" t="n">
        <v>0</v>
      </c>
      <c r="BQ48" s="211" t="n">
        <v>0</v>
      </c>
      <c r="BR48" s="211" t="n">
        <v>0</v>
      </c>
      <c r="BS48" s="211" t="n">
        <v>0</v>
      </c>
      <c r="BT48" s="211" t="n">
        <v>0</v>
      </c>
      <c r="BU48" s="211" t="n">
        <v>0</v>
      </c>
      <c r="BV48" s="211" t="n">
        <v>0</v>
      </c>
      <c r="BW48" s="211" t="n">
        <v>0</v>
      </c>
      <c r="BX48" s="211" t="n">
        <v>0</v>
      </c>
      <c r="BY48" s="211" t="n">
        <v>0</v>
      </c>
      <c r="BZ48" s="211" t="n">
        <v>0</v>
      </c>
      <c r="CA48" s="211" t="n">
        <v>0</v>
      </c>
      <c r="CB48" s="211" t="n">
        <v>0</v>
      </c>
      <c r="CC48" s="211" t="n">
        <v>0</v>
      </c>
      <c r="CD48" s="211" t="n">
        <v>0</v>
      </c>
      <c r="CE48" s="211" t="n">
        <v>0</v>
      </c>
      <c r="CF48" s="211" t="n">
        <v>0</v>
      </c>
      <c r="CG48" s="211" t="n">
        <v>0</v>
      </c>
      <c r="CH48" s="211" t="n">
        <v>0</v>
      </c>
      <c r="CI48" s="226" t="n"/>
    </row>
    <row r="49" ht="15" customHeight="1" s="202">
      <c r="A49" s="210" t="inlineStr">
        <is>
          <t>Ramsgate Dev Fee - 50% Occ</t>
        </is>
      </c>
      <c r="B49" s="225" t="n"/>
      <c r="C49" s="211" t="n">
        <v>0</v>
      </c>
      <c r="D49" s="211" t="n">
        <v>0</v>
      </c>
      <c r="E49" s="211" t="n">
        <v>0</v>
      </c>
      <c r="F49" s="211" t="n">
        <v>0</v>
      </c>
      <c r="G49" s="211" t="n">
        <v>0</v>
      </c>
      <c r="H49" s="211" t="n">
        <v>0</v>
      </c>
      <c r="I49" s="211" t="n">
        <v>0</v>
      </c>
      <c r="J49" s="211" t="n">
        <v>0</v>
      </c>
      <c r="K49" s="211" t="n">
        <v>0</v>
      </c>
      <c r="L49" s="211" t="n">
        <v>0</v>
      </c>
      <c r="M49" s="211" t="n">
        <v>0</v>
      </c>
      <c r="N49" s="211" t="n">
        <v>0</v>
      </c>
      <c r="O49" s="211" t="n">
        <v>0</v>
      </c>
      <c r="P49" s="211" t="n">
        <v>0</v>
      </c>
      <c r="Q49" s="211" t="n">
        <v>0</v>
      </c>
      <c r="R49" s="211" t="n">
        <v>0</v>
      </c>
      <c r="S49" s="211" t="n">
        <v>0</v>
      </c>
      <c r="T49" s="211" t="n">
        <v>0</v>
      </c>
      <c r="U49" s="211" t="n">
        <v>0</v>
      </c>
      <c r="V49" s="211" t="n">
        <v>0</v>
      </c>
      <c r="W49" s="211" t="n">
        <v>0</v>
      </c>
      <c r="X49" s="211" t="n">
        <v>0</v>
      </c>
      <c r="Y49" s="211" t="n">
        <v>0</v>
      </c>
      <c r="Z49" s="211">
        <f>IF(Projects!$G$3="Yes",57375,0)</f>
        <v/>
      </c>
      <c r="AA49" s="211" t="n">
        <v>0</v>
      </c>
      <c r="AB49" s="211" t="n">
        <v>0</v>
      </c>
      <c r="AC49" s="211" t="n">
        <v>0</v>
      </c>
      <c r="AD49" s="211" t="n">
        <v>0</v>
      </c>
      <c r="AE49" s="211" t="n">
        <v>0</v>
      </c>
      <c r="AF49" s="211" t="n">
        <v>0</v>
      </c>
      <c r="AG49" s="211" t="n">
        <v>0</v>
      </c>
      <c r="AH49" s="211" t="n">
        <v>0</v>
      </c>
      <c r="AI49" s="211" t="n">
        <v>0</v>
      </c>
      <c r="AJ49" s="211" t="n">
        <v>0</v>
      </c>
      <c r="AK49" s="211" t="n">
        <v>0</v>
      </c>
      <c r="AL49" s="211" t="n">
        <v>0</v>
      </c>
      <c r="AM49" s="211" t="n">
        <v>0</v>
      </c>
      <c r="AN49" s="211" t="n">
        <v>0</v>
      </c>
      <c r="AO49" s="211" t="n">
        <v>0</v>
      </c>
      <c r="AP49" s="211" t="n">
        <v>0</v>
      </c>
      <c r="AQ49" s="211" t="n">
        <v>0</v>
      </c>
      <c r="AR49" s="211" t="n">
        <v>0</v>
      </c>
      <c r="AS49" s="211" t="n">
        <v>0</v>
      </c>
      <c r="AT49" s="211" t="n">
        <v>0</v>
      </c>
      <c r="AU49" s="211" t="n">
        <v>0</v>
      </c>
      <c r="AV49" s="211" t="n">
        <v>0</v>
      </c>
      <c r="AW49" s="211" t="n">
        <v>0</v>
      </c>
      <c r="AX49" s="211" t="n">
        <v>0</v>
      </c>
      <c r="AY49" s="211" t="n">
        <v>0</v>
      </c>
      <c r="AZ49" s="211" t="n">
        <v>0</v>
      </c>
      <c r="BA49" s="211" t="n">
        <v>0</v>
      </c>
      <c r="BB49" s="211" t="n">
        <v>0</v>
      </c>
      <c r="BC49" s="211" t="n">
        <v>0</v>
      </c>
      <c r="BD49" s="211" t="n">
        <v>0</v>
      </c>
      <c r="BE49" s="211" t="n">
        <v>0</v>
      </c>
      <c r="BF49" s="211" t="n">
        <v>0</v>
      </c>
      <c r="BG49" s="211" t="n">
        <v>0</v>
      </c>
      <c r="BH49" s="211" t="n">
        <v>0</v>
      </c>
      <c r="BI49" s="211" t="n">
        <v>0</v>
      </c>
      <c r="BJ49" s="211" t="n">
        <v>0</v>
      </c>
      <c r="BK49" s="211" t="n">
        <v>0</v>
      </c>
      <c r="BL49" s="211" t="n">
        <v>0</v>
      </c>
      <c r="BM49" s="211" t="n">
        <v>0</v>
      </c>
      <c r="BN49" s="211" t="n">
        <v>0</v>
      </c>
      <c r="BO49" s="211" t="n">
        <v>0</v>
      </c>
      <c r="BP49" s="211" t="n">
        <v>0</v>
      </c>
      <c r="BQ49" s="211" t="n">
        <v>0</v>
      </c>
      <c r="BR49" s="211" t="n">
        <v>0</v>
      </c>
      <c r="BS49" s="211" t="n">
        <v>0</v>
      </c>
      <c r="BT49" s="211" t="n">
        <v>0</v>
      </c>
      <c r="BU49" s="211" t="n">
        <v>0</v>
      </c>
      <c r="BV49" s="211" t="n">
        <v>0</v>
      </c>
      <c r="BW49" s="211" t="n">
        <v>0</v>
      </c>
      <c r="BX49" s="211" t="n">
        <v>0</v>
      </c>
      <c r="BY49" s="211" t="n">
        <v>0</v>
      </c>
      <c r="BZ49" s="211" t="n">
        <v>0</v>
      </c>
      <c r="CA49" s="211" t="n">
        <v>0</v>
      </c>
      <c r="CB49" s="211" t="n">
        <v>0</v>
      </c>
      <c r="CC49" s="211" t="n">
        <v>0</v>
      </c>
      <c r="CD49" s="211" t="n">
        <v>0</v>
      </c>
      <c r="CE49" s="211" t="n">
        <v>0</v>
      </c>
      <c r="CF49" s="211" t="n">
        <v>0</v>
      </c>
      <c r="CG49" s="211" t="n">
        <v>0</v>
      </c>
      <c r="CH49" s="211" t="n">
        <v>0</v>
      </c>
      <c r="CI49" s="226" t="n"/>
    </row>
    <row r="50" ht="15" customHeight="1" s="202">
      <c r="A50" s="210" t="inlineStr">
        <is>
          <t>Ramsgate Dev Fee - 90% Occ</t>
        </is>
      </c>
      <c r="B50" s="225" t="n"/>
      <c r="C50" s="211" t="n">
        <v>0</v>
      </c>
      <c r="D50" s="211" t="n">
        <v>0</v>
      </c>
      <c r="E50" s="211" t="n">
        <v>0</v>
      </c>
      <c r="F50" s="211" t="n">
        <v>0</v>
      </c>
      <c r="G50" s="211" t="n">
        <v>0</v>
      </c>
      <c r="H50" s="211" t="n">
        <v>0</v>
      </c>
      <c r="I50" s="211" t="n">
        <v>0</v>
      </c>
      <c r="J50" s="211" t="n">
        <v>0</v>
      </c>
      <c r="K50" s="211" t="n">
        <v>0</v>
      </c>
      <c r="L50" s="211" t="n">
        <v>0</v>
      </c>
      <c r="M50" s="211" t="n">
        <v>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>
        <v>0</v>
      </c>
      <c r="Y50" s="211" t="n">
        <v>0</v>
      </c>
      <c r="Z50" s="211" t="n">
        <v>0</v>
      </c>
      <c r="AA50" s="211" t="n">
        <v>0</v>
      </c>
      <c r="AB50" s="211" t="n">
        <v>0</v>
      </c>
      <c r="AC50" s="211">
        <f>IF(Projects!$G$3="Yes",57375,0)</f>
        <v/>
      </c>
      <c r="AD50" s="211" t="n">
        <v>0</v>
      </c>
      <c r="AE50" s="211" t="n">
        <v>0</v>
      </c>
      <c r="AF50" s="211" t="n">
        <v>0</v>
      </c>
      <c r="AG50" s="211" t="n">
        <v>0</v>
      </c>
      <c r="AH50" s="211" t="n">
        <v>0</v>
      </c>
      <c r="AI50" s="211" t="n">
        <v>0</v>
      </c>
      <c r="AJ50" s="211" t="n">
        <v>0</v>
      </c>
      <c r="AK50" s="211" t="n">
        <v>0</v>
      </c>
      <c r="AL50" s="211" t="n">
        <v>0</v>
      </c>
      <c r="AM50" s="211" t="n">
        <v>0</v>
      </c>
      <c r="AN50" s="211" t="n">
        <v>0</v>
      </c>
      <c r="AO50" s="211" t="n">
        <v>0</v>
      </c>
      <c r="AP50" s="211" t="n">
        <v>0</v>
      </c>
      <c r="AQ50" s="211" t="n">
        <v>0</v>
      </c>
      <c r="AR50" s="211" t="n">
        <v>0</v>
      </c>
      <c r="AS50" s="211" t="n">
        <v>0</v>
      </c>
      <c r="AT50" s="211" t="n">
        <v>0</v>
      </c>
      <c r="AU50" s="211" t="n">
        <v>0</v>
      </c>
      <c r="AV50" s="211" t="n">
        <v>0</v>
      </c>
      <c r="AW50" s="211" t="n">
        <v>0</v>
      </c>
      <c r="AX50" s="211" t="n">
        <v>0</v>
      </c>
      <c r="AY50" s="211" t="n">
        <v>0</v>
      </c>
      <c r="AZ50" s="211" t="n">
        <v>0</v>
      </c>
      <c r="BA50" s="211" t="n">
        <v>0</v>
      </c>
      <c r="BB50" s="211" t="n">
        <v>0</v>
      </c>
      <c r="BC50" s="211" t="n">
        <v>0</v>
      </c>
      <c r="BD50" s="211" t="n">
        <v>0</v>
      </c>
      <c r="BE50" s="211" t="n">
        <v>0</v>
      </c>
      <c r="BF50" s="211" t="n">
        <v>0</v>
      </c>
      <c r="BG50" s="211" t="n">
        <v>0</v>
      </c>
      <c r="BH50" s="211" t="n">
        <v>0</v>
      </c>
      <c r="BI50" s="211" t="n">
        <v>0</v>
      </c>
      <c r="BJ50" s="211" t="n">
        <v>0</v>
      </c>
      <c r="BK50" s="211" t="n">
        <v>0</v>
      </c>
      <c r="BL50" s="211" t="n">
        <v>0</v>
      </c>
      <c r="BM50" s="211" t="n">
        <v>0</v>
      </c>
      <c r="BN50" s="211" t="n">
        <v>0</v>
      </c>
      <c r="BO50" s="211" t="n">
        <v>0</v>
      </c>
      <c r="BP50" s="211" t="n">
        <v>0</v>
      </c>
      <c r="BQ50" s="211" t="n">
        <v>0</v>
      </c>
      <c r="BR50" s="211" t="n">
        <v>0</v>
      </c>
      <c r="BS50" s="211" t="n">
        <v>0</v>
      </c>
      <c r="BT50" s="211" t="n">
        <v>0</v>
      </c>
      <c r="BU50" s="211" t="n">
        <v>0</v>
      </c>
      <c r="BV50" s="211" t="n">
        <v>0</v>
      </c>
      <c r="BW50" s="211" t="n">
        <v>0</v>
      </c>
      <c r="BX50" s="211" t="n">
        <v>0</v>
      </c>
      <c r="BY50" s="211" t="n">
        <v>0</v>
      </c>
      <c r="BZ50" s="211" t="n">
        <v>0</v>
      </c>
      <c r="CA50" s="211" t="n">
        <v>0</v>
      </c>
      <c r="CB50" s="211" t="n">
        <v>0</v>
      </c>
      <c r="CC50" s="211" t="n">
        <v>0</v>
      </c>
      <c r="CD50" s="211" t="n">
        <v>0</v>
      </c>
      <c r="CE50" s="211" t="n">
        <v>0</v>
      </c>
      <c r="CF50" s="211" t="n">
        <v>0</v>
      </c>
      <c r="CG50" s="211" t="n">
        <v>0</v>
      </c>
      <c r="CH50" s="211" t="n">
        <v>0</v>
      </c>
      <c r="CI50" s="226" t="n"/>
    </row>
    <row r="51" ht="15" customHeight="1" s="202">
      <c r="A51" s="210" t="inlineStr">
        <is>
          <t>Crenshaw Development Fee</t>
        </is>
      </c>
      <c r="B51" s="225" t="n"/>
      <c r="C51" s="211">
        <f>IF(Projects!$G$2="Yes",9375,0)</f>
        <v/>
      </c>
      <c r="D51" s="211">
        <f>IF(Projects!$G$2="Yes",9375,0)</f>
        <v/>
      </c>
      <c r="E51" s="211">
        <f>IF(Projects!$G$2="Yes",9375,0)</f>
        <v/>
      </c>
      <c r="F51" s="211">
        <f>IF(Projects!$G$2="Yes",9375,0)</f>
        <v/>
      </c>
      <c r="G51" s="211">
        <f>IF(Projects!$G$2="Yes",9375,0)</f>
        <v/>
      </c>
      <c r="H51" s="211">
        <f>IF(Projects!$G$2="Yes",9375,0)</f>
        <v/>
      </c>
      <c r="I51" s="211">
        <f>IF(Projects!$G$2="Yes",9375,0)</f>
        <v/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  <c r="R51" s="211" t="n">
        <v>0</v>
      </c>
      <c r="S51" s="211" t="n">
        <v>0</v>
      </c>
      <c r="T51" s="211" t="n">
        <v>0</v>
      </c>
      <c r="U51" s="211" t="n">
        <v>0</v>
      </c>
      <c r="V51" s="211" t="n">
        <v>0</v>
      </c>
      <c r="W51" s="211" t="n">
        <v>0</v>
      </c>
      <c r="X51" s="211" t="n">
        <v>0</v>
      </c>
      <c r="Y51" s="211" t="n">
        <v>0</v>
      </c>
      <c r="Z51" s="211" t="n">
        <v>0</v>
      </c>
      <c r="AA51" s="211" t="n">
        <v>0</v>
      </c>
      <c r="AB51" s="211" t="n">
        <v>0</v>
      </c>
      <c r="AC51" s="211" t="n">
        <v>0</v>
      </c>
      <c r="AD51" s="211" t="n">
        <v>0</v>
      </c>
      <c r="AE51" s="211" t="n">
        <v>0</v>
      </c>
      <c r="AF51" s="211" t="n">
        <v>0</v>
      </c>
      <c r="AG51" s="211" t="n">
        <v>0</v>
      </c>
      <c r="AH51" s="211" t="n">
        <v>0</v>
      </c>
      <c r="AI51" s="211" t="n">
        <v>0</v>
      </c>
      <c r="AJ51" s="211" t="n">
        <v>0</v>
      </c>
      <c r="AK51" s="211" t="n">
        <v>0</v>
      </c>
      <c r="AL51" s="211" t="n">
        <v>0</v>
      </c>
      <c r="AM51" s="211" t="n">
        <v>0</v>
      </c>
      <c r="AN51" s="211" t="n">
        <v>0</v>
      </c>
      <c r="AO51" s="211" t="n">
        <v>0</v>
      </c>
      <c r="AP51" s="211" t="n">
        <v>0</v>
      </c>
      <c r="AQ51" s="211" t="n">
        <v>0</v>
      </c>
      <c r="AR51" s="211" t="n">
        <v>0</v>
      </c>
      <c r="AS51" s="211" t="n">
        <v>0</v>
      </c>
      <c r="AT51" s="211" t="n">
        <v>0</v>
      </c>
      <c r="AU51" s="211" t="n">
        <v>0</v>
      </c>
      <c r="AV51" s="211" t="n">
        <v>0</v>
      </c>
      <c r="AW51" s="211" t="n">
        <v>0</v>
      </c>
      <c r="AX51" s="211" t="n">
        <v>0</v>
      </c>
      <c r="AY51" s="211" t="n">
        <v>0</v>
      </c>
      <c r="AZ51" s="211" t="n">
        <v>0</v>
      </c>
      <c r="BA51" s="211" t="n">
        <v>0</v>
      </c>
      <c r="BB51" s="211" t="n">
        <v>0</v>
      </c>
      <c r="BC51" s="211" t="n">
        <v>0</v>
      </c>
      <c r="BD51" s="211" t="n">
        <v>0</v>
      </c>
      <c r="BE51" s="211" t="n">
        <v>0</v>
      </c>
      <c r="BF51" s="211" t="n">
        <v>0</v>
      </c>
      <c r="BG51" s="211" t="n">
        <v>0</v>
      </c>
      <c r="BH51" s="211" t="n">
        <v>0</v>
      </c>
      <c r="BI51" s="211" t="n">
        <v>0</v>
      </c>
      <c r="BJ51" s="211" t="n">
        <v>0</v>
      </c>
      <c r="BK51" s="211" t="n">
        <v>0</v>
      </c>
      <c r="BL51" s="211" t="n">
        <v>0</v>
      </c>
      <c r="BM51" s="211" t="n">
        <v>0</v>
      </c>
      <c r="BN51" s="211" t="n">
        <v>0</v>
      </c>
      <c r="BO51" s="211" t="n">
        <v>0</v>
      </c>
      <c r="BP51" s="211" t="n">
        <v>0</v>
      </c>
      <c r="BQ51" s="211" t="n">
        <v>0</v>
      </c>
      <c r="BR51" s="211" t="n">
        <v>0</v>
      </c>
      <c r="BS51" s="211" t="n">
        <v>0</v>
      </c>
      <c r="BT51" s="211" t="n">
        <v>0</v>
      </c>
      <c r="BU51" s="211" t="n">
        <v>0</v>
      </c>
      <c r="BV51" s="211" t="n">
        <v>0</v>
      </c>
      <c r="BW51" s="211" t="n">
        <v>0</v>
      </c>
      <c r="BX51" s="211" t="n">
        <v>0</v>
      </c>
      <c r="BY51" s="211" t="n">
        <v>0</v>
      </c>
      <c r="BZ51" s="211" t="n">
        <v>0</v>
      </c>
      <c r="CA51" s="211" t="n">
        <v>0</v>
      </c>
      <c r="CB51" s="211" t="n">
        <v>0</v>
      </c>
      <c r="CC51" s="211" t="n">
        <v>0</v>
      </c>
      <c r="CD51" s="211" t="n">
        <v>0</v>
      </c>
      <c r="CE51" s="211" t="n">
        <v>0</v>
      </c>
      <c r="CF51" s="211" t="n">
        <v>0</v>
      </c>
      <c r="CG51" s="211" t="n">
        <v>0</v>
      </c>
      <c r="CH51" s="211" t="n">
        <v>0</v>
      </c>
      <c r="CI51" s="226" t="n"/>
    </row>
    <row r="52" ht="15" customHeight="1" s="202">
      <c r="A52" s="210" t="inlineStr">
        <is>
          <t>12th &amp; Fir Developer Fee</t>
        </is>
      </c>
      <c r="B52" s="225" t="n"/>
      <c r="C52" s="211" t="n">
        <v>9500</v>
      </c>
      <c r="D52" s="211" t="n">
        <v>9500</v>
      </c>
      <c r="E52" s="211" t="n">
        <v>9500</v>
      </c>
      <c r="F52" s="211" t="n">
        <v>9500</v>
      </c>
      <c r="G52" s="211" t="n">
        <v>9500</v>
      </c>
      <c r="H52" s="211" t="n">
        <v>9500</v>
      </c>
      <c r="I52" s="211" t="n">
        <v>9500</v>
      </c>
      <c r="J52" s="211" t="n">
        <v>9500</v>
      </c>
      <c r="K52" s="211" t="n">
        <v>9500</v>
      </c>
      <c r="L52" s="211" t="n">
        <v>9500</v>
      </c>
      <c r="M52" s="211" t="n">
        <v>9500</v>
      </c>
      <c r="N52" s="211" t="n">
        <v>9500</v>
      </c>
      <c r="O52" s="211" t="n">
        <v>9500</v>
      </c>
      <c r="P52" s="211" t="n">
        <v>9500</v>
      </c>
      <c r="Q52" s="211" t="n">
        <v>9500</v>
      </c>
      <c r="R52" s="211" t="n">
        <v>9500</v>
      </c>
      <c r="S52" s="211" t="n">
        <v>9500</v>
      </c>
      <c r="T52" s="211" t="n">
        <v>9500</v>
      </c>
      <c r="U52" s="211" t="n">
        <v>9500</v>
      </c>
      <c r="V52" s="211" t="n">
        <v>9500</v>
      </c>
      <c r="W52" s="211" t="n">
        <v>9500</v>
      </c>
      <c r="X52" s="211" t="n">
        <v>9500</v>
      </c>
      <c r="Y52" s="211" t="n">
        <v>9500</v>
      </c>
      <c r="Z52" s="211" t="n">
        <v>9500</v>
      </c>
      <c r="AA52" s="211" t="n">
        <v>9500</v>
      </c>
      <c r="AB52" s="211" t="n">
        <v>9500</v>
      </c>
      <c r="AC52" s="211" t="n">
        <v>9500</v>
      </c>
      <c r="AD52" s="211" t="n">
        <v>9500</v>
      </c>
      <c r="AE52" s="211" t="n">
        <v>9500</v>
      </c>
      <c r="AF52" s="211" t="n">
        <v>9500</v>
      </c>
      <c r="AG52" s="211" t="n">
        <v>0</v>
      </c>
      <c r="AH52" s="211" t="n">
        <v>0</v>
      </c>
      <c r="AI52" s="211" t="n">
        <v>0</v>
      </c>
      <c r="AJ52" s="211" t="n">
        <v>0</v>
      </c>
      <c r="AK52" s="211" t="n">
        <v>0</v>
      </c>
      <c r="AL52" s="211" t="n">
        <v>0</v>
      </c>
      <c r="AM52" s="211" t="n">
        <v>0</v>
      </c>
      <c r="AN52" s="211" t="n">
        <v>0</v>
      </c>
      <c r="AO52" s="211" t="n">
        <v>0</v>
      </c>
      <c r="AP52" s="211" t="n">
        <v>0</v>
      </c>
      <c r="AQ52" s="211" t="n">
        <v>0</v>
      </c>
      <c r="AR52" s="211" t="n">
        <v>0</v>
      </c>
      <c r="AS52" s="211" t="n">
        <v>0</v>
      </c>
      <c r="AT52" s="211" t="n">
        <v>0</v>
      </c>
      <c r="AU52" s="211" t="n">
        <v>0</v>
      </c>
      <c r="AV52" s="211" t="n">
        <v>0</v>
      </c>
      <c r="AW52" s="211" t="n">
        <v>0</v>
      </c>
      <c r="AX52" s="211" t="n">
        <v>0</v>
      </c>
      <c r="AY52" s="211" t="n">
        <v>0</v>
      </c>
      <c r="AZ52" s="211" t="n">
        <v>0</v>
      </c>
      <c r="BA52" s="211" t="n">
        <v>0</v>
      </c>
      <c r="BB52" s="211" t="n">
        <v>0</v>
      </c>
      <c r="BC52" s="211" t="n">
        <v>0</v>
      </c>
      <c r="BD52" s="211" t="n">
        <v>0</v>
      </c>
      <c r="BE52" s="211" t="n">
        <v>0</v>
      </c>
      <c r="BF52" s="211" t="n">
        <v>0</v>
      </c>
      <c r="BG52" s="211" t="n">
        <v>0</v>
      </c>
      <c r="BH52" s="211" t="n">
        <v>0</v>
      </c>
      <c r="BI52" s="211" t="n">
        <v>0</v>
      </c>
      <c r="BJ52" s="211" t="n">
        <v>0</v>
      </c>
      <c r="BK52" s="211" t="n">
        <v>0</v>
      </c>
      <c r="BL52" s="211" t="n">
        <v>0</v>
      </c>
      <c r="BM52" s="211" t="n">
        <v>0</v>
      </c>
      <c r="BN52" s="211" t="n">
        <v>0</v>
      </c>
      <c r="BO52" s="211" t="n">
        <v>0</v>
      </c>
      <c r="BP52" s="211" t="n">
        <v>0</v>
      </c>
      <c r="BQ52" s="211" t="n">
        <v>0</v>
      </c>
      <c r="BR52" s="211" t="n">
        <v>0</v>
      </c>
      <c r="BS52" s="211" t="n">
        <v>0</v>
      </c>
      <c r="BT52" s="211" t="n">
        <v>0</v>
      </c>
      <c r="BU52" s="211" t="n">
        <v>0</v>
      </c>
      <c r="BV52" s="211" t="n">
        <v>0</v>
      </c>
      <c r="BW52" s="211" t="n">
        <v>0</v>
      </c>
      <c r="BX52" s="211" t="n">
        <v>0</v>
      </c>
      <c r="BY52" s="211" t="n">
        <v>0</v>
      </c>
      <c r="BZ52" s="211" t="n">
        <v>0</v>
      </c>
      <c r="CA52" s="211" t="n">
        <v>0</v>
      </c>
      <c r="CB52" s="211" t="n">
        <v>0</v>
      </c>
      <c r="CC52" s="211" t="n">
        <v>0</v>
      </c>
      <c r="CD52" s="211" t="n">
        <v>0</v>
      </c>
      <c r="CE52" s="211" t="n">
        <v>0</v>
      </c>
      <c r="CF52" s="211" t="n">
        <v>0</v>
      </c>
      <c r="CG52" s="211" t="n">
        <v>0</v>
      </c>
      <c r="CH52" s="211" t="n">
        <v>0</v>
      </c>
      <c r="CI52" s="226" t="n"/>
    </row>
    <row r="53" ht="15" customHeight="1" s="202">
      <c r="A53" s="210" t="inlineStr">
        <is>
          <t>Klump Accounting Fee</t>
        </is>
      </c>
      <c r="B53" s="225" t="n"/>
      <c r="C53" s="211" t="n">
        <v>0</v>
      </c>
      <c r="D53" s="211" t="n">
        <v>0</v>
      </c>
      <c r="E53" s="211" t="n">
        <v>0</v>
      </c>
      <c r="F53" s="211" t="n">
        <v>0</v>
      </c>
      <c r="G53" s="211">
        <f>IF(Projects!$G$11="Yes",6315.79,0)</f>
        <v/>
      </c>
      <c r="H53" s="211">
        <f>IF(Projects!$G$11="Yes",6315.79,0)</f>
        <v/>
      </c>
      <c r="I53" s="211">
        <f>IF(Projects!$G$11="Yes",6315.79,0)</f>
        <v/>
      </c>
      <c r="J53" s="211">
        <f>IF(Projects!$G$11="Yes",6315.79,0)</f>
        <v/>
      </c>
      <c r="K53" s="211">
        <f>IF(Projects!$G$11="Yes",6315.79,0)</f>
        <v/>
      </c>
      <c r="L53" s="211">
        <f>IF(Projects!$G$11="Yes",6315.79,0)</f>
        <v/>
      </c>
      <c r="M53" s="211">
        <f>IF(Projects!$G$11="Yes",6315.79,0)</f>
        <v/>
      </c>
      <c r="N53" s="211">
        <f>IF(Projects!$G$11="Yes",6315.79,0)</f>
        <v/>
      </c>
      <c r="O53" s="211">
        <f>IF(Projects!$G$11="Yes",6315.79,0)</f>
        <v/>
      </c>
      <c r="P53" s="211">
        <f>IF(Projects!$G$11="Yes",6315.79,0)</f>
        <v/>
      </c>
      <c r="Q53" s="211">
        <f>IF(Projects!$G$11="Yes",6315.79,0)</f>
        <v/>
      </c>
      <c r="R53" s="211">
        <f>IF(Projects!$G$11="Yes",6315.79,0)</f>
        <v/>
      </c>
      <c r="S53" s="211">
        <f>IF(Projects!$G$11="Yes",6315.79,0)</f>
        <v/>
      </c>
      <c r="T53" s="211">
        <f>IF(Projects!$G$11="Yes",6315.79,0)</f>
        <v/>
      </c>
      <c r="U53" s="211">
        <f>IF(Projects!$G$11="Yes",6315.79,0)</f>
        <v/>
      </c>
      <c r="V53" s="211">
        <f>IF(Projects!$G$11="Yes",6315.79,0)</f>
        <v/>
      </c>
      <c r="W53" s="211">
        <f>IF(Projects!$G$11="Yes",6315.79,0)</f>
        <v/>
      </c>
      <c r="X53" s="211">
        <f>IF(Projects!$G$11="Yes",6315.79,0)</f>
        <v/>
      </c>
      <c r="Y53" s="211">
        <f>IF(Projects!$G$11="Yes",6315.79,0)</f>
        <v/>
      </c>
      <c r="Z53" s="211" t="n">
        <v>0</v>
      </c>
      <c r="AA53" s="211" t="n">
        <v>0</v>
      </c>
      <c r="AB53" s="211" t="n">
        <v>0</v>
      </c>
      <c r="AC53" s="211" t="n">
        <v>0</v>
      </c>
      <c r="AD53" s="211" t="n">
        <v>0</v>
      </c>
      <c r="AE53" s="211" t="n">
        <v>0</v>
      </c>
      <c r="AF53" s="211" t="n">
        <v>0</v>
      </c>
      <c r="AG53" s="211" t="n">
        <v>0</v>
      </c>
      <c r="AH53" s="211" t="n">
        <v>0</v>
      </c>
      <c r="AI53" s="211" t="n">
        <v>0</v>
      </c>
      <c r="AJ53" s="211" t="n">
        <v>0</v>
      </c>
      <c r="AK53" s="211" t="n">
        <v>0</v>
      </c>
      <c r="AL53" s="211" t="n">
        <v>0</v>
      </c>
      <c r="AM53" s="211" t="n">
        <v>0</v>
      </c>
      <c r="AN53" s="211" t="n">
        <v>0</v>
      </c>
      <c r="AO53" s="211" t="n">
        <v>0</v>
      </c>
      <c r="AP53" s="211" t="n">
        <v>0</v>
      </c>
      <c r="AQ53" s="211" t="n">
        <v>0</v>
      </c>
      <c r="AR53" s="211" t="n">
        <v>0</v>
      </c>
      <c r="AS53" s="211" t="n">
        <v>0</v>
      </c>
      <c r="AT53" s="211" t="n">
        <v>0</v>
      </c>
      <c r="AU53" s="211" t="n">
        <v>0</v>
      </c>
      <c r="AV53" s="211" t="n">
        <v>0</v>
      </c>
      <c r="AW53" s="211" t="n">
        <v>0</v>
      </c>
      <c r="AX53" s="211" t="n">
        <v>0</v>
      </c>
      <c r="AY53" s="211" t="n">
        <v>0</v>
      </c>
      <c r="AZ53" s="211" t="n">
        <v>0</v>
      </c>
      <c r="BA53" s="211" t="n">
        <v>0</v>
      </c>
      <c r="BB53" s="211" t="n">
        <v>0</v>
      </c>
      <c r="BC53" s="211" t="n">
        <v>0</v>
      </c>
      <c r="BD53" s="211" t="n">
        <v>0</v>
      </c>
      <c r="BE53" s="211" t="n">
        <v>0</v>
      </c>
      <c r="BF53" s="211" t="n">
        <v>0</v>
      </c>
      <c r="BG53" s="211" t="n">
        <v>0</v>
      </c>
      <c r="BH53" s="211" t="n">
        <v>0</v>
      </c>
      <c r="BI53" s="211" t="n">
        <v>0</v>
      </c>
      <c r="BJ53" s="211" t="n">
        <v>0</v>
      </c>
      <c r="BK53" s="211" t="n">
        <v>0</v>
      </c>
      <c r="BL53" s="211" t="n">
        <v>0</v>
      </c>
      <c r="BM53" s="211" t="n">
        <v>0</v>
      </c>
      <c r="BN53" s="211" t="n">
        <v>0</v>
      </c>
      <c r="BO53" s="211" t="n">
        <v>0</v>
      </c>
      <c r="BP53" s="211" t="n">
        <v>0</v>
      </c>
      <c r="BQ53" s="211" t="n">
        <v>0</v>
      </c>
      <c r="BR53" s="211" t="n">
        <v>0</v>
      </c>
      <c r="BS53" s="211" t="n">
        <v>0</v>
      </c>
      <c r="BT53" s="211" t="n">
        <v>0</v>
      </c>
      <c r="BU53" s="211" t="n">
        <v>0</v>
      </c>
      <c r="BV53" s="211" t="n">
        <v>0</v>
      </c>
      <c r="BW53" s="211" t="n">
        <v>0</v>
      </c>
      <c r="BX53" s="211" t="n">
        <v>0</v>
      </c>
      <c r="BY53" s="211" t="n">
        <v>0</v>
      </c>
      <c r="BZ53" s="211" t="n">
        <v>0</v>
      </c>
      <c r="CA53" s="211" t="n">
        <v>0</v>
      </c>
      <c r="CB53" s="211" t="n">
        <v>0</v>
      </c>
      <c r="CC53" s="211" t="n">
        <v>0</v>
      </c>
      <c r="CD53" s="211" t="n">
        <v>0</v>
      </c>
      <c r="CE53" s="211" t="n">
        <v>0</v>
      </c>
      <c r="CF53" s="211" t="n">
        <v>0</v>
      </c>
      <c r="CG53" s="211" t="n">
        <v>0</v>
      </c>
      <c r="CH53" s="211" t="n">
        <v>0</v>
      </c>
      <c r="CI53" s="226" t="n"/>
    </row>
    <row r="54" ht="15" customHeight="1" s="202">
      <c r="A54" s="210" t="inlineStr">
        <is>
          <t>Klump Developer Fee</t>
        </is>
      </c>
      <c r="B54" s="225" t="n"/>
      <c r="C54" s="211" t="n">
        <v>0</v>
      </c>
      <c r="D54" s="211" t="n">
        <v>0</v>
      </c>
      <c r="E54" s="211" t="n">
        <v>0</v>
      </c>
      <c r="F54" s="211" t="n">
        <v>0</v>
      </c>
      <c r="G54" s="211">
        <f>IF(Projects!$G$11="Yes",6315.79,0)</f>
        <v/>
      </c>
      <c r="H54" s="211">
        <f>IF(Projects!$G$11="Yes",6315.79,0)</f>
        <v/>
      </c>
      <c r="I54" s="211">
        <f>IF(Projects!$G$11="Yes",6315.79,0)</f>
        <v/>
      </c>
      <c r="J54" s="211">
        <f>IF(Projects!$G$11="Yes",6315.79,0)</f>
        <v/>
      </c>
      <c r="K54" s="211">
        <f>IF(Projects!$G$11="Yes",6315.79,0)</f>
        <v/>
      </c>
      <c r="L54" s="211">
        <f>IF(Projects!$G$11="Yes",6315.79,0)</f>
        <v/>
      </c>
      <c r="M54" s="211">
        <f>IF(Projects!$G$11="Yes",6315.79,0)</f>
        <v/>
      </c>
      <c r="N54" s="211">
        <f>IF(Projects!$G$11="Yes",6315.79,0)</f>
        <v/>
      </c>
      <c r="O54" s="211">
        <f>IF(Projects!$G$11="Yes",6315.79,0)</f>
        <v/>
      </c>
      <c r="P54" s="211">
        <f>IF(Projects!$G$11="Yes",6315.79,0)</f>
        <v/>
      </c>
      <c r="Q54" s="211">
        <f>IF(Projects!$G$11="Yes",6315.79,0)</f>
        <v/>
      </c>
      <c r="R54" s="211">
        <f>IF(Projects!$G$11="Yes",6315.79,0)</f>
        <v/>
      </c>
      <c r="S54" s="211">
        <f>IF(Projects!$G$11="Yes",6315.79,0)</f>
        <v/>
      </c>
      <c r="T54" s="211">
        <f>IF(Projects!$G$11="Yes",6315.79,0)</f>
        <v/>
      </c>
      <c r="U54" s="211">
        <f>IF(Projects!$G$11="Yes",6315.79,0)</f>
        <v/>
      </c>
      <c r="V54" s="211">
        <f>IF(Projects!$G$11="Yes",6315.79,0)</f>
        <v/>
      </c>
      <c r="W54" s="211">
        <f>IF(Projects!$G$11="Yes",6315.79,0)</f>
        <v/>
      </c>
      <c r="X54" s="211">
        <f>IF(Projects!$G$11="Yes",6315.79,0)</f>
        <v/>
      </c>
      <c r="Y54" s="211">
        <f>IF(Projects!$G$11="Yes",6315.79,0)</f>
        <v/>
      </c>
      <c r="Z54" s="211" t="n">
        <v>0</v>
      </c>
      <c r="AA54" s="211" t="n">
        <v>0</v>
      </c>
      <c r="AB54" s="211" t="n">
        <v>0</v>
      </c>
      <c r="AC54" s="211" t="n">
        <v>0</v>
      </c>
      <c r="AD54" s="211" t="n">
        <v>0</v>
      </c>
      <c r="AE54" s="211" t="n">
        <v>0</v>
      </c>
      <c r="AF54" s="211" t="n">
        <v>0</v>
      </c>
      <c r="AG54" s="211" t="n">
        <v>0</v>
      </c>
      <c r="AH54" s="211" t="n">
        <v>0</v>
      </c>
      <c r="AI54" s="211" t="n">
        <v>0</v>
      </c>
      <c r="AJ54" s="211" t="n">
        <v>0</v>
      </c>
      <c r="AK54" s="211" t="n">
        <v>0</v>
      </c>
      <c r="AL54" s="211" t="n">
        <v>0</v>
      </c>
      <c r="AM54" s="211" t="n">
        <v>0</v>
      </c>
      <c r="AN54" s="211" t="n">
        <v>0</v>
      </c>
      <c r="AO54" s="211" t="n">
        <v>0</v>
      </c>
      <c r="AP54" s="211" t="n">
        <v>0</v>
      </c>
      <c r="AQ54" s="211" t="n">
        <v>0</v>
      </c>
      <c r="AR54" s="211" t="n">
        <v>0</v>
      </c>
      <c r="AS54" s="211" t="n">
        <v>0</v>
      </c>
      <c r="AT54" s="211" t="n">
        <v>0</v>
      </c>
      <c r="AU54" s="211" t="n">
        <v>0</v>
      </c>
      <c r="AV54" s="211" t="n">
        <v>0</v>
      </c>
      <c r="AW54" s="211" t="n">
        <v>0</v>
      </c>
      <c r="AX54" s="211" t="n">
        <v>0</v>
      </c>
      <c r="AY54" s="211" t="n">
        <v>0</v>
      </c>
      <c r="AZ54" s="211" t="n">
        <v>0</v>
      </c>
      <c r="BA54" s="211" t="n">
        <v>0</v>
      </c>
      <c r="BB54" s="211" t="n">
        <v>0</v>
      </c>
      <c r="BC54" s="211" t="n">
        <v>0</v>
      </c>
      <c r="BD54" s="211" t="n">
        <v>0</v>
      </c>
      <c r="BE54" s="211" t="n">
        <v>0</v>
      </c>
      <c r="BF54" s="211" t="n">
        <v>0</v>
      </c>
      <c r="BG54" s="211" t="n">
        <v>0</v>
      </c>
      <c r="BH54" s="211" t="n">
        <v>0</v>
      </c>
      <c r="BI54" s="211" t="n">
        <v>0</v>
      </c>
      <c r="BJ54" s="211" t="n">
        <v>0</v>
      </c>
      <c r="BK54" s="211" t="n">
        <v>0</v>
      </c>
      <c r="BL54" s="211" t="n">
        <v>0</v>
      </c>
      <c r="BM54" s="211" t="n">
        <v>0</v>
      </c>
      <c r="BN54" s="211" t="n">
        <v>0</v>
      </c>
      <c r="BO54" s="211" t="n">
        <v>0</v>
      </c>
      <c r="BP54" s="211" t="n">
        <v>0</v>
      </c>
      <c r="BQ54" s="211" t="n">
        <v>0</v>
      </c>
      <c r="BR54" s="211" t="n">
        <v>0</v>
      </c>
      <c r="BS54" s="211" t="n">
        <v>0</v>
      </c>
      <c r="BT54" s="211" t="n">
        <v>0</v>
      </c>
      <c r="BU54" s="211" t="n">
        <v>0</v>
      </c>
      <c r="BV54" s="211" t="n">
        <v>0</v>
      </c>
      <c r="BW54" s="211" t="n">
        <v>0</v>
      </c>
      <c r="BX54" s="211" t="n">
        <v>0</v>
      </c>
      <c r="BY54" s="211" t="n">
        <v>0</v>
      </c>
      <c r="BZ54" s="211" t="n">
        <v>0</v>
      </c>
      <c r="CA54" s="211" t="n">
        <v>0</v>
      </c>
      <c r="CB54" s="211" t="n">
        <v>0</v>
      </c>
      <c r="CC54" s="211" t="n">
        <v>0</v>
      </c>
      <c r="CD54" s="211" t="n">
        <v>0</v>
      </c>
      <c r="CE54" s="211" t="n">
        <v>0</v>
      </c>
      <c r="CF54" s="211" t="n">
        <v>0</v>
      </c>
      <c r="CG54" s="211" t="n">
        <v>0</v>
      </c>
      <c r="CH54" s="211" t="n">
        <v>0</v>
      </c>
      <c r="CI54" s="226" t="n"/>
    </row>
    <row r="55" ht="15" customHeight="1" s="202">
      <c r="A55" s="210" t="inlineStr">
        <is>
          <t>Klump Guarantee Fee</t>
        </is>
      </c>
      <c r="B55" s="225" t="n"/>
      <c r="C55" s="211" t="n">
        <v>0</v>
      </c>
      <c r="D55" s="211" t="n">
        <v>0</v>
      </c>
      <c r="E55" s="211" t="n">
        <v>0</v>
      </c>
      <c r="F55" s="211" t="n">
        <v>0</v>
      </c>
      <c r="G55" s="211">
        <f>IF(Projects!$G$11="Yes",253980,0)</f>
        <v/>
      </c>
      <c r="H55" s="211" t="n">
        <v>0</v>
      </c>
      <c r="I55" s="211" t="n">
        <v>0</v>
      </c>
      <c r="J55" s="211" t="n">
        <v>0</v>
      </c>
      <c r="K55" s="211" t="n">
        <v>0</v>
      </c>
      <c r="L55" s="211" t="n">
        <v>0</v>
      </c>
      <c r="M55" s="211" t="n">
        <v>0</v>
      </c>
      <c r="N55" s="211" t="n">
        <v>0</v>
      </c>
      <c r="O55" s="211" t="n">
        <v>0</v>
      </c>
      <c r="P55" s="211" t="n">
        <v>0</v>
      </c>
      <c r="Q55" s="211" t="n">
        <v>0</v>
      </c>
      <c r="R55" s="211" t="n">
        <v>0</v>
      </c>
      <c r="S55" s="211" t="n">
        <v>0</v>
      </c>
      <c r="T55" s="211" t="n">
        <v>0</v>
      </c>
      <c r="U55" s="211" t="n">
        <v>0</v>
      </c>
      <c r="V55" s="211" t="n">
        <v>0</v>
      </c>
      <c r="W55" s="211" t="n">
        <v>0</v>
      </c>
      <c r="X55" s="211" t="n">
        <v>0</v>
      </c>
      <c r="Y55" s="211" t="n">
        <v>0</v>
      </c>
      <c r="Z55" s="211" t="n">
        <v>0</v>
      </c>
      <c r="AA55" s="211" t="n">
        <v>0</v>
      </c>
      <c r="AB55" s="211" t="n">
        <v>0</v>
      </c>
      <c r="AC55" s="211" t="n">
        <v>0</v>
      </c>
      <c r="AD55" s="211" t="n">
        <v>0</v>
      </c>
      <c r="AE55" s="211" t="n">
        <v>0</v>
      </c>
      <c r="AF55" s="211" t="n">
        <v>0</v>
      </c>
      <c r="AG55" s="211" t="n">
        <v>0</v>
      </c>
      <c r="AH55" s="211" t="n">
        <v>0</v>
      </c>
      <c r="AI55" s="211" t="n">
        <v>0</v>
      </c>
      <c r="AJ55" s="211" t="n">
        <v>0</v>
      </c>
      <c r="AK55" s="211" t="n">
        <v>0</v>
      </c>
      <c r="AL55" s="211" t="n">
        <v>0</v>
      </c>
      <c r="AM55" s="211" t="n">
        <v>0</v>
      </c>
      <c r="AN55" s="211" t="n">
        <v>0</v>
      </c>
      <c r="AO55" s="211" t="n">
        <v>0</v>
      </c>
      <c r="AP55" s="211" t="n">
        <v>0</v>
      </c>
      <c r="AQ55" s="211" t="n">
        <v>0</v>
      </c>
      <c r="AR55" s="211" t="n">
        <v>0</v>
      </c>
      <c r="AS55" s="211" t="n">
        <v>0</v>
      </c>
      <c r="AT55" s="211" t="n">
        <v>0</v>
      </c>
      <c r="AU55" s="211" t="n">
        <v>0</v>
      </c>
      <c r="AV55" s="211" t="n">
        <v>0</v>
      </c>
      <c r="AW55" s="211" t="n">
        <v>0</v>
      </c>
      <c r="AX55" s="211" t="n">
        <v>0</v>
      </c>
      <c r="AY55" s="211" t="n">
        <v>0</v>
      </c>
      <c r="AZ55" s="211" t="n">
        <v>0</v>
      </c>
      <c r="BA55" s="211" t="n">
        <v>0</v>
      </c>
      <c r="BB55" s="211" t="n">
        <v>0</v>
      </c>
      <c r="BC55" s="211" t="n">
        <v>0</v>
      </c>
      <c r="BD55" s="211" t="n">
        <v>0</v>
      </c>
      <c r="BE55" s="211" t="n">
        <v>0</v>
      </c>
      <c r="BF55" s="211" t="n">
        <v>0</v>
      </c>
      <c r="BG55" s="211" t="n">
        <v>0</v>
      </c>
      <c r="BH55" s="211" t="n">
        <v>0</v>
      </c>
      <c r="BI55" s="211" t="n">
        <v>0</v>
      </c>
      <c r="BJ55" s="211" t="n">
        <v>0</v>
      </c>
      <c r="BK55" s="211" t="n">
        <v>0</v>
      </c>
      <c r="BL55" s="211" t="n">
        <v>0</v>
      </c>
      <c r="BM55" s="211" t="n">
        <v>0</v>
      </c>
      <c r="BN55" s="211" t="n">
        <v>0</v>
      </c>
      <c r="BO55" s="211" t="n">
        <v>0</v>
      </c>
      <c r="BP55" s="211" t="n">
        <v>0</v>
      </c>
      <c r="BQ55" s="211" t="n">
        <v>0</v>
      </c>
      <c r="BR55" s="211" t="n">
        <v>0</v>
      </c>
      <c r="BS55" s="211" t="n">
        <v>0</v>
      </c>
      <c r="BT55" s="211" t="n">
        <v>0</v>
      </c>
      <c r="BU55" s="211" t="n">
        <v>0</v>
      </c>
      <c r="BV55" s="211" t="n">
        <v>0</v>
      </c>
      <c r="BW55" s="211" t="n">
        <v>0</v>
      </c>
      <c r="BX55" s="211" t="n">
        <v>0</v>
      </c>
      <c r="BY55" s="211" t="n">
        <v>0</v>
      </c>
      <c r="BZ55" s="211" t="n">
        <v>0</v>
      </c>
      <c r="CA55" s="211" t="n">
        <v>0</v>
      </c>
      <c r="CB55" s="211" t="n">
        <v>0</v>
      </c>
      <c r="CC55" s="211" t="n">
        <v>0</v>
      </c>
      <c r="CD55" s="211" t="n">
        <v>0</v>
      </c>
      <c r="CE55" s="211" t="n">
        <v>0</v>
      </c>
      <c r="CF55" s="211" t="n">
        <v>0</v>
      </c>
      <c r="CG55" s="211" t="n">
        <v>0</v>
      </c>
      <c r="CH55" s="211" t="n">
        <v>0</v>
      </c>
      <c r="CI55" s="226" t="n"/>
    </row>
    <row r="56" ht="15" customHeight="1" s="202">
      <c r="A56" s="210" t="inlineStr">
        <is>
          <t>Scott Accounting Fee</t>
        </is>
      </c>
      <c r="B56" s="225" t="n"/>
      <c r="C56" s="211" t="n">
        <v>0</v>
      </c>
      <c r="D56" s="211" t="n">
        <v>0</v>
      </c>
      <c r="E56" s="211" t="n">
        <v>0</v>
      </c>
      <c r="F56" s="211" t="n">
        <v>0</v>
      </c>
      <c r="G56" s="211" t="n">
        <v>0</v>
      </c>
      <c r="H56" s="211">
        <f>IF(Projects!$G$12="Yes",6315.79,0)</f>
        <v/>
      </c>
      <c r="I56" s="211">
        <f>IF(Projects!$G$12="Yes",6315.79,0)</f>
        <v/>
      </c>
      <c r="J56" s="211">
        <f>IF(Projects!$G$12="Yes",6315.79,0)</f>
        <v/>
      </c>
      <c r="K56" s="211">
        <f>IF(Projects!$G$12="Yes",6315.79,0)</f>
        <v/>
      </c>
      <c r="L56" s="211">
        <f>IF(Projects!$G$12="Yes",6315.79,0)</f>
        <v/>
      </c>
      <c r="M56" s="211">
        <f>IF(Projects!$G$12="Yes",6315.79,0)</f>
        <v/>
      </c>
      <c r="N56" s="211">
        <f>IF(Projects!$G$12="Yes",6315.79,0)</f>
        <v/>
      </c>
      <c r="O56" s="211">
        <f>IF(Projects!$G$12="Yes",6315.79,0)</f>
        <v/>
      </c>
      <c r="P56" s="211">
        <f>IF(Projects!$G$12="Yes",6315.79,0)</f>
        <v/>
      </c>
      <c r="Q56" s="211">
        <f>IF(Projects!$G$12="Yes",6315.79,0)</f>
        <v/>
      </c>
      <c r="R56" s="211">
        <f>IF(Projects!$G$12="Yes",6315.79,0)</f>
        <v/>
      </c>
      <c r="S56" s="211">
        <f>IF(Projects!$G$12="Yes",6315.79,0)</f>
        <v/>
      </c>
      <c r="T56" s="211">
        <f>IF(Projects!$G$12="Yes",6315.79,0)</f>
        <v/>
      </c>
      <c r="U56" s="211">
        <f>IF(Projects!$G$12="Yes",6315.79,0)</f>
        <v/>
      </c>
      <c r="V56" s="211">
        <f>IF(Projects!$G$12="Yes",6315.79,0)</f>
        <v/>
      </c>
      <c r="W56" s="211">
        <f>IF(Projects!$G$12="Yes",6315.79,0)</f>
        <v/>
      </c>
      <c r="X56" s="211">
        <f>IF(Projects!$G$12="Yes",6315.79,0)</f>
        <v/>
      </c>
      <c r="Y56" s="211">
        <f>IF(Projects!$G$12="Yes",6315.79,0)</f>
        <v/>
      </c>
      <c r="Z56" s="211">
        <f>IF(Projects!$G$12="Yes",6315.79,0)</f>
        <v/>
      </c>
      <c r="AA56" s="211" t="n">
        <v>0</v>
      </c>
      <c r="AB56" s="211" t="n">
        <v>0</v>
      </c>
      <c r="AC56" s="211" t="n">
        <v>0</v>
      </c>
      <c r="AD56" s="211" t="n">
        <v>0</v>
      </c>
      <c r="AE56" s="211" t="n">
        <v>0</v>
      </c>
      <c r="AF56" s="211" t="n">
        <v>0</v>
      </c>
      <c r="AG56" s="211" t="n">
        <v>0</v>
      </c>
      <c r="AH56" s="211" t="n">
        <v>0</v>
      </c>
      <c r="AI56" s="211" t="n">
        <v>0</v>
      </c>
      <c r="AJ56" s="211" t="n">
        <v>0</v>
      </c>
      <c r="AK56" s="211" t="n">
        <v>0</v>
      </c>
      <c r="AL56" s="211" t="n">
        <v>0</v>
      </c>
      <c r="AM56" s="211" t="n">
        <v>0</v>
      </c>
      <c r="AN56" s="211" t="n">
        <v>0</v>
      </c>
      <c r="AO56" s="211" t="n">
        <v>0</v>
      </c>
      <c r="AP56" s="211" t="n">
        <v>0</v>
      </c>
      <c r="AQ56" s="211" t="n">
        <v>0</v>
      </c>
      <c r="AR56" s="211" t="n">
        <v>0</v>
      </c>
      <c r="AS56" s="211" t="n">
        <v>0</v>
      </c>
      <c r="AT56" s="211" t="n">
        <v>0</v>
      </c>
      <c r="AU56" s="211" t="n">
        <v>0</v>
      </c>
      <c r="AV56" s="211" t="n">
        <v>0</v>
      </c>
      <c r="AW56" s="211" t="n">
        <v>0</v>
      </c>
      <c r="AX56" s="211" t="n">
        <v>0</v>
      </c>
      <c r="AY56" s="211" t="n">
        <v>0</v>
      </c>
      <c r="AZ56" s="211" t="n">
        <v>0</v>
      </c>
      <c r="BA56" s="211" t="n">
        <v>0</v>
      </c>
      <c r="BB56" s="211" t="n">
        <v>0</v>
      </c>
      <c r="BC56" s="211" t="n">
        <v>0</v>
      </c>
      <c r="BD56" s="211" t="n">
        <v>0</v>
      </c>
      <c r="BE56" s="211" t="n">
        <v>0</v>
      </c>
      <c r="BF56" s="211" t="n">
        <v>0</v>
      </c>
      <c r="BG56" s="211" t="n">
        <v>0</v>
      </c>
      <c r="BH56" s="211" t="n">
        <v>0</v>
      </c>
      <c r="BI56" s="211" t="n">
        <v>0</v>
      </c>
      <c r="BJ56" s="211" t="n">
        <v>0</v>
      </c>
      <c r="BK56" s="211" t="n">
        <v>0</v>
      </c>
      <c r="BL56" s="211" t="n">
        <v>0</v>
      </c>
      <c r="BM56" s="211" t="n">
        <v>0</v>
      </c>
      <c r="BN56" s="211" t="n">
        <v>0</v>
      </c>
      <c r="BO56" s="211" t="n">
        <v>0</v>
      </c>
      <c r="BP56" s="211" t="n">
        <v>0</v>
      </c>
      <c r="BQ56" s="211" t="n">
        <v>0</v>
      </c>
      <c r="BR56" s="211" t="n">
        <v>0</v>
      </c>
      <c r="BS56" s="211" t="n">
        <v>0</v>
      </c>
      <c r="BT56" s="211" t="n">
        <v>0</v>
      </c>
      <c r="BU56" s="211" t="n">
        <v>0</v>
      </c>
      <c r="BV56" s="211" t="n">
        <v>0</v>
      </c>
      <c r="BW56" s="211" t="n">
        <v>0</v>
      </c>
      <c r="BX56" s="211" t="n">
        <v>0</v>
      </c>
      <c r="BY56" s="211" t="n">
        <v>0</v>
      </c>
      <c r="BZ56" s="211" t="n">
        <v>0</v>
      </c>
      <c r="CA56" s="211" t="n">
        <v>0</v>
      </c>
      <c r="CB56" s="211" t="n">
        <v>0</v>
      </c>
      <c r="CC56" s="211" t="n">
        <v>0</v>
      </c>
      <c r="CD56" s="211" t="n">
        <v>0</v>
      </c>
      <c r="CE56" s="211" t="n">
        <v>0</v>
      </c>
      <c r="CF56" s="211" t="n">
        <v>0</v>
      </c>
      <c r="CG56" s="211" t="n">
        <v>0</v>
      </c>
      <c r="CH56" s="211" t="n">
        <v>0</v>
      </c>
      <c r="CI56" s="226" t="n"/>
    </row>
    <row r="57" ht="15" customHeight="1" s="202">
      <c r="A57" s="210" t="inlineStr">
        <is>
          <t>Scott Developer Fee</t>
        </is>
      </c>
      <c r="B57" s="225" t="n"/>
      <c r="C57" s="211" t="n">
        <v>0</v>
      </c>
      <c r="D57" s="211" t="n">
        <v>0</v>
      </c>
      <c r="E57" s="211" t="n">
        <v>0</v>
      </c>
      <c r="F57" s="211" t="n">
        <v>0</v>
      </c>
      <c r="G57" s="211" t="n">
        <v>0</v>
      </c>
      <c r="H57" s="211">
        <f>IF(Projects!$G$12="Yes",4736.84,0)</f>
        <v/>
      </c>
      <c r="I57" s="211">
        <f>IF(Projects!$G$12="Yes",4736.84,0)</f>
        <v/>
      </c>
      <c r="J57" s="211">
        <f>IF(Projects!$G$12="Yes",4736.84,0)</f>
        <v/>
      </c>
      <c r="K57" s="211">
        <f>IF(Projects!$G$12="Yes",4736.84,0)</f>
        <v/>
      </c>
      <c r="L57" s="211">
        <f>IF(Projects!$G$12="Yes",4736.84,0)</f>
        <v/>
      </c>
      <c r="M57" s="211">
        <f>IF(Projects!$G$12="Yes",4736.84,0)</f>
        <v/>
      </c>
      <c r="N57" s="211">
        <f>IF(Projects!$G$12="Yes",4736.84,0)</f>
        <v/>
      </c>
      <c r="O57" s="211">
        <f>IF(Projects!$G$12="Yes",4736.84,0)</f>
        <v/>
      </c>
      <c r="P57" s="211">
        <f>IF(Projects!$G$12="Yes",4736.84,0)</f>
        <v/>
      </c>
      <c r="Q57" s="211">
        <f>IF(Projects!$G$12="Yes",4736.84,0)</f>
        <v/>
      </c>
      <c r="R57" s="211">
        <f>IF(Projects!$G$12="Yes",4736.84,0)</f>
        <v/>
      </c>
      <c r="S57" s="211">
        <f>IF(Projects!$G$12="Yes",4736.84,0)</f>
        <v/>
      </c>
      <c r="T57" s="211">
        <f>IF(Projects!$G$12="Yes",4736.84,0)</f>
        <v/>
      </c>
      <c r="U57" s="211">
        <f>IF(Projects!$G$12="Yes",4736.84,0)</f>
        <v/>
      </c>
      <c r="V57" s="211">
        <f>IF(Projects!$G$12="Yes",4736.84,0)</f>
        <v/>
      </c>
      <c r="W57" s="211">
        <f>IF(Projects!$G$12="Yes",4736.84,0)</f>
        <v/>
      </c>
      <c r="X57" s="211">
        <f>IF(Projects!$G$12="Yes",4736.84,0)</f>
        <v/>
      </c>
      <c r="Y57" s="211">
        <f>IF(Projects!$G$12="Yes",4736.84,0)</f>
        <v/>
      </c>
      <c r="Z57" s="211">
        <f>IF(Projects!$G$12="Yes",4736.84,0)</f>
        <v/>
      </c>
      <c r="AA57" s="211" t="n">
        <v>0</v>
      </c>
      <c r="AB57" s="211" t="n">
        <v>0</v>
      </c>
      <c r="AC57" s="211" t="n">
        <v>0</v>
      </c>
      <c r="AD57" s="211" t="n">
        <v>0</v>
      </c>
      <c r="AE57" s="211" t="n">
        <v>0</v>
      </c>
      <c r="AF57" s="211" t="n">
        <v>0</v>
      </c>
      <c r="AG57" s="211" t="n">
        <v>0</v>
      </c>
      <c r="AH57" s="211" t="n">
        <v>0</v>
      </c>
      <c r="AI57" s="211" t="n">
        <v>0</v>
      </c>
      <c r="AJ57" s="211" t="n">
        <v>0</v>
      </c>
      <c r="AK57" s="211" t="n">
        <v>0</v>
      </c>
      <c r="AL57" s="211" t="n">
        <v>0</v>
      </c>
      <c r="AM57" s="211" t="n">
        <v>0</v>
      </c>
      <c r="AN57" s="211" t="n">
        <v>0</v>
      </c>
      <c r="AO57" s="211" t="n">
        <v>0</v>
      </c>
      <c r="AP57" s="211" t="n">
        <v>0</v>
      </c>
      <c r="AQ57" s="211" t="n">
        <v>0</v>
      </c>
      <c r="AR57" s="211" t="n">
        <v>0</v>
      </c>
      <c r="AS57" s="211" t="n">
        <v>0</v>
      </c>
      <c r="AT57" s="211" t="n">
        <v>0</v>
      </c>
      <c r="AU57" s="211" t="n">
        <v>0</v>
      </c>
      <c r="AV57" s="211" t="n">
        <v>0</v>
      </c>
      <c r="AW57" s="211" t="n">
        <v>0</v>
      </c>
      <c r="AX57" s="211" t="n">
        <v>0</v>
      </c>
      <c r="AY57" s="211" t="n">
        <v>0</v>
      </c>
      <c r="AZ57" s="211" t="n">
        <v>0</v>
      </c>
      <c r="BA57" s="211" t="n">
        <v>0</v>
      </c>
      <c r="BB57" s="211" t="n">
        <v>0</v>
      </c>
      <c r="BC57" s="211" t="n">
        <v>0</v>
      </c>
      <c r="BD57" s="211" t="n">
        <v>0</v>
      </c>
      <c r="BE57" s="211" t="n">
        <v>0</v>
      </c>
      <c r="BF57" s="211" t="n">
        <v>0</v>
      </c>
      <c r="BG57" s="211" t="n">
        <v>0</v>
      </c>
      <c r="BH57" s="211" t="n">
        <v>0</v>
      </c>
      <c r="BI57" s="211" t="n">
        <v>0</v>
      </c>
      <c r="BJ57" s="211" t="n">
        <v>0</v>
      </c>
      <c r="BK57" s="211" t="n">
        <v>0</v>
      </c>
      <c r="BL57" s="211" t="n">
        <v>0</v>
      </c>
      <c r="BM57" s="211" t="n">
        <v>0</v>
      </c>
      <c r="BN57" s="211" t="n">
        <v>0</v>
      </c>
      <c r="BO57" s="211" t="n">
        <v>0</v>
      </c>
      <c r="BP57" s="211" t="n">
        <v>0</v>
      </c>
      <c r="BQ57" s="211" t="n">
        <v>0</v>
      </c>
      <c r="BR57" s="211" t="n">
        <v>0</v>
      </c>
      <c r="BS57" s="211" t="n">
        <v>0</v>
      </c>
      <c r="BT57" s="211" t="n">
        <v>0</v>
      </c>
      <c r="BU57" s="211" t="n">
        <v>0</v>
      </c>
      <c r="BV57" s="211" t="n">
        <v>0</v>
      </c>
      <c r="BW57" s="211" t="n">
        <v>0</v>
      </c>
      <c r="BX57" s="211" t="n">
        <v>0</v>
      </c>
      <c r="BY57" s="211" t="n">
        <v>0</v>
      </c>
      <c r="BZ57" s="211" t="n">
        <v>0</v>
      </c>
      <c r="CA57" s="211" t="n">
        <v>0</v>
      </c>
      <c r="CB57" s="211" t="n">
        <v>0</v>
      </c>
      <c r="CC57" s="211" t="n">
        <v>0</v>
      </c>
      <c r="CD57" s="211" t="n">
        <v>0</v>
      </c>
      <c r="CE57" s="211" t="n">
        <v>0</v>
      </c>
      <c r="CF57" s="211" t="n">
        <v>0</v>
      </c>
      <c r="CG57" s="211" t="n">
        <v>0</v>
      </c>
      <c r="CH57" s="211" t="n">
        <v>0</v>
      </c>
      <c r="CI57" s="226" t="n"/>
    </row>
    <row r="58" ht="15" customHeight="1" s="202">
      <c r="A58" s="210" t="inlineStr">
        <is>
          <t>Scott Guarantee Fee</t>
        </is>
      </c>
      <c r="B58" s="225" t="n"/>
      <c r="C58" s="211" t="n">
        <v>0</v>
      </c>
      <c r="D58" s="211" t="n">
        <v>0</v>
      </c>
      <c r="E58" s="211" t="n">
        <v>0</v>
      </c>
      <c r="F58" s="211" t="n">
        <v>0</v>
      </c>
      <c r="G58" s="211" t="n">
        <v>0</v>
      </c>
      <c r="H58" s="211">
        <f>IF(Projects!$G$12="Yes",181745,0)</f>
        <v/>
      </c>
      <c r="I58" s="211" t="n">
        <v>0</v>
      </c>
      <c r="J58" s="211" t="n">
        <v>0</v>
      </c>
      <c r="K58" s="211" t="n">
        <v>0</v>
      </c>
      <c r="L58" s="211" t="n">
        <v>0</v>
      </c>
      <c r="M58" s="211" t="n">
        <v>0</v>
      </c>
      <c r="N58" s="211" t="n">
        <v>0</v>
      </c>
      <c r="O58" s="211" t="n">
        <v>0</v>
      </c>
      <c r="P58" s="211" t="n">
        <v>0</v>
      </c>
      <c r="Q58" s="211" t="n">
        <v>0</v>
      </c>
      <c r="R58" s="211" t="n">
        <v>0</v>
      </c>
      <c r="S58" s="211" t="n">
        <v>0</v>
      </c>
      <c r="T58" s="211" t="n">
        <v>0</v>
      </c>
      <c r="U58" s="211" t="n">
        <v>0</v>
      </c>
      <c r="V58" s="211" t="n">
        <v>0</v>
      </c>
      <c r="W58" s="211" t="n">
        <v>0</v>
      </c>
      <c r="X58" s="211" t="n">
        <v>0</v>
      </c>
      <c r="Y58" s="211" t="n">
        <v>0</v>
      </c>
      <c r="Z58" s="211" t="n">
        <v>0</v>
      </c>
      <c r="AA58" s="211" t="n">
        <v>0</v>
      </c>
      <c r="AB58" s="211" t="n">
        <v>0</v>
      </c>
      <c r="AC58" s="211" t="n">
        <v>0</v>
      </c>
      <c r="AD58" s="211" t="n">
        <v>0</v>
      </c>
      <c r="AE58" s="211" t="n">
        <v>0</v>
      </c>
      <c r="AF58" s="211" t="n">
        <v>0</v>
      </c>
      <c r="AG58" s="211" t="n">
        <v>0</v>
      </c>
      <c r="AH58" s="211" t="n">
        <v>0</v>
      </c>
      <c r="AI58" s="211" t="n">
        <v>0</v>
      </c>
      <c r="AJ58" s="211" t="n">
        <v>0</v>
      </c>
      <c r="AK58" s="211" t="n">
        <v>0</v>
      </c>
      <c r="AL58" s="211" t="n">
        <v>0</v>
      </c>
      <c r="AM58" s="211" t="n">
        <v>0</v>
      </c>
      <c r="AN58" s="211" t="n">
        <v>0</v>
      </c>
      <c r="AO58" s="211" t="n">
        <v>0</v>
      </c>
      <c r="AP58" s="211" t="n">
        <v>0</v>
      </c>
      <c r="AQ58" s="211" t="n">
        <v>0</v>
      </c>
      <c r="AR58" s="211" t="n">
        <v>0</v>
      </c>
      <c r="AS58" s="211" t="n">
        <v>0</v>
      </c>
      <c r="AT58" s="211" t="n">
        <v>0</v>
      </c>
      <c r="AU58" s="211" t="n">
        <v>0</v>
      </c>
      <c r="AV58" s="211" t="n">
        <v>0</v>
      </c>
      <c r="AW58" s="211" t="n">
        <v>0</v>
      </c>
      <c r="AX58" s="211" t="n">
        <v>0</v>
      </c>
      <c r="AY58" s="211" t="n">
        <v>0</v>
      </c>
      <c r="AZ58" s="211" t="n">
        <v>0</v>
      </c>
      <c r="BA58" s="211" t="n">
        <v>0</v>
      </c>
      <c r="BB58" s="211" t="n">
        <v>0</v>
      </c>
      <c r="BC58" s="211" t="n">
        <v>0</v>
      </c>
      <c r="BD58" s="211" t="n">
        <v>0</v>
      </c>
      <c r="BE58" s="211" t="n">
        <v>0</v>
      </c>
      <c r="BF58" s="211" t="n">
        <v>0</v>
      </c>
      <c r="BG58" s="211" t="n">
        <v>0</v>
      </c>
      <c r="BH58" s="211" t="n">
        <v>0</v>
      </c>
      <c r="BI58" s="211" t="n">
        <v>0</v>
      </c>
      <c r="BJ58" s="211" t="n">
        <v>0</v>
      </c>
      <c r="BK58" s="211" t="n">
        <v>0</v>
      </c>
      <c r="BL58" s="211" t="n">
        <v>0</v>
      </c>
      <c r="BM58" s="211" t="n">
        <v>0</v>
      </c>
      <c r="BN58" s="211" t="n">
        <v>0</v>
      </c>
      <c r="BO58" s="211" t="n">
        <v>0</v>
      </c>
      <c r="BP58" s="211" t="n">
        <v>0</v>
      </c>
      <c r="BQ58" s="211" t="n">
        <v>0</v>
      </c>
      <c r="BR58" s="211" t="n">
        <v>0</v>
      </c>
      <c r="BS58" s="211" t="n">
        <v>0</v>
      </c>
      <c r="BT58" s="211" t="n">
        <v>0</v>
      </c>
      <c r="BU58" s="211" t="n">
        <v>0</v>
      </c>
      <c r="BV58" s="211" t="n">
        <v>0</v>
      </c>
      <c r="BW58" s="211" t="n">
        <v>0</v>
      </c>
      <c r="BX58" s="211" t="n">
        <v>0</v>
      </c>
      <c r="BY58" s="211" t="n">
        <v>0</v>
      </c>
      <c r="BZ58" s="211" t="n">
        <v>0</v>
      </c>
      <c r="CA58" s="211" t="n">
        <v>0</v>
      </c>
      <c r="CB58" s="211" t="n">
        <v>0</v>
      </c>
      <c r="CC58" s="211" t="n">
        <v>0</v>
      </c>
      <c r="CD58" s="211" t="n">
        <v>0</v>
      </c>
      <c r="CE58" s="211" t="n">
        <v>0</v>
      </c>
      <c r="CF58" s="211" t="n">
        <v>0</v>
      </c>
      <c r="CG58" s="211" t="n">
        <v>0</v>
      </c>
      <c r="CH58" s="211" t="n">
        <v>0</v>
      </c>
      <c r="CI58" s="226" t="n"/>
    </row>
    <row r="59" ht="15" customHeight="1" s="202">
      <c r="A59" s="210" t="inlineStr">
        <is>
          <t>Francis LIHTC Revenue (SP Share)</t>
        </is>
      </c>
      <c r="B59" s="225" t="n"/>
      <c r="C59" s="211" t="n">
        <v>0</v>
      </c>
      <c r="D59" s="211" t="n">
        <v>0</v>
      </c>
      <c r="E59" s="211" t="n">
        <v>0</v>
      </c>
      <c r="F59" s="211" t="n">
        <v>0</v>
      </c>
      <c r="G59" s="211" t="n">
        <v>0</v>
      </c>
      <c r="H59" s="211" t="n">
        <v>0</v>
      </c>
      <c r="I59" s="211" t="n">
        <v>0</v>
      </c>
      <c r="J59" s="211" t="n">
        <v>0</v>
      </c>
      <c r="K59" s="211" t="n">
        <v>0</v>
      </c>
      <c r="L59" s="211" t="n">
        <v>0</v>
      </c>
      <c r="M59" s="211" t="n">
        <v>0</v>
      </c>
      <c r="N59" s="211" t="n">
        <v>0</v>
      </c>
      <c r="O59" s="211" t="n">
        <v>0</v>
      </c>
      <c r="P59" s="211" t="n">
        <v>0</v>
      </c>
      <c r="Q59" s="211" t="n">
        <v>0</v>
      </c>
      <c r="R59" s="211" t="n">
        <v>0</v>
      </c>
      <c r="S59" s="211" t="n">
        <v>0</v>
      </c>
      <c r="T59" s="211" t="n">
        <v>0</v>
      </c>
      <c r="U59" s="211" t="n">
        <v>0</v>
      </c>
      <c r="V59" s="211" t="n">
        <v>0</v>
      </c>
      <c r="W59" s="211" t="n">
        <v>0</v>
      </c>
      <c r="X59" s="211" t="n">
        <v>0</v>
      </c>
      <c r="Y59" s="211" t="n">
        <v>0</v>
      </c>
      <c r="Z59" s="211" t="n">
        <v>0</v>
      </c>
      <c r="AA59" s="211" t="n">
        <v>0</v>
      </c>
      <c r="AB59" s="211" t="n">
        <v>0</v>
      </c>
      <c r="AC59" s="211" t="n">
        <v>0</v>
      </c>
      <c r="AD59" s="211" t="n">
        <v>0</v>
      </c>
      <c r="AE59" s="211" t="n">
        <v>0</v>
      </c>
      <c r="AF59" s="211" t="n">
        <v>0</v>
      </c>
      <c r="AG59" s="211" t="n">
        <v>0</v>
      </c>
      <c r="AH59" s="211" t="n">
        <v>0</v>
      </c>
      <c r="AI59" s="211" t="n">
        <v>0</v>
      </c>
      <c r="AJ59" s="211" t="n">
        <v>0</v>
      </c>
      <c r="AK59" s="211" t="n">
        <v>0</v>
      </c>
      <c r="AL59" s="211" t="n">
        <v>0</v>
      </c>
      <c r="AM59" s="211" t="n">
        <v>0</v>
      </c>
      <c r="AN59" s="211" t="n">
        <v>0</v>
      </c>
      <c r="AO59" s="211" t="n">
        <v>0</v>
      </c>
      <c r="AP59" s="211" t="n">
        <v>0</v>
      </c>
      <c r="AQ59" s="211" t="n">
        <v>0</v>
      </c>
      <c r="AR59" s="211">
        <f>IF(Projects!$G$7="Yes",81683,0)</f>
        <v/>
      </c>
      <c r="AS59" s="211" t="n">
        <v>0</v>
      </c>
      <c r="AT59" s="211" t="n">
        <v>0</v>
      </c>
      <c r="AU59" s="211">
        <f>IF(Projects!$G$7="Yes",81682,0)</f>
        <v/>
      </c>
      <c r="AV59" s="211" t="n">
        <v>0</v>
      </c>
      <c r="AW59" s="211" t="n">
        <v>0</v>
      </c>
      <c r="AX59" s="211">
        <f>IF(Projects!$G$7="Yes",81682,0)</f>
        <v/>
      </c>
      <c r="AY59" s="211" t="n">
        <v>0</v>
      </c>
      <c r="AZ59" s="211" t="n">
        <v>0</v>
      </c>
      <c r="BA59" s="211">
        <f>IF(Projects!$G$7="Yes",81682,0)</f>
        <v/>
      </c>
      <c r="BB59" s="211" t="n">
        <v>0</v>
      </c>
      <c r="BC59" s="211" t="n">
        <v>0</v>
      </c>
      <c r="BD59" s="211">
        <f>IF(Projects!$G$7="Yes",59178,0)</f>
        <v/>
      </c>
      <c r="BE59" s="211" t="n">
        <v>0</v>
      </c>
      <c r="BF59" s="211" t="n">
        <v>0</v>
      </c>
      <c r="BG59" s="211">
        <f>IF(Projects!$G$7="Yes",59176,0)</f>
        <v/>
      </c>
      <c r="BH59" s="211" t="n">
        <v>0</v>
      </c>
      <c r="BI59" s="211" t="n">
        <v>0</v>
      </c>
      <c r="BJ59" s="211">
        <f>IF(Projects!$G$7="Yes",59176,0)</f>
        <v/>
      </c>
      <c r="BK59" s="211" t="n">
        <v>0</v>
      </c>
      <c r="BL59" s="211" t="n">
        <v>0</v>
      </c>
      <c r="BM59" s="211">
        <f>IF(Projects!$G$7="Yes",59176,0)</f>
        <v/>
      </c>
      <c r="BN59" s="211" t="n">
        <v>0</v>
      </c>
      <c r="BO59" s="211" t="n">
        <v>0</v>
      </c>
      <c r="BP59" s="211">
        <f>IF(Projects!$G$7="Yes",67763,0)</f>
        <v/>
      </c>
      <c r="BQ59" s="211" t="n">
        <v>0</v>
      </c>
      <c r="BR59" s="211" t="n">
        <v>0</v>
      </c>
      <c r="BS59" s="211">
        <f>IF(Projects!$G$7="Yes",67762,0)</f>
        <v/>
      </c>
      <c r="BT59" s="211" t="n">
        <v>0</v>
      </c>
      <c r="BU59" s="211" t="n">
        <v>0</v>
      </c>
      <c r="BV59" s="211">
        <f>IF(Projects!$G$7="Yes",67762,0)</f>
        <v/>
      </c>
      <c r="BW59" s="211" t="n">
        <v>0</v>
      </c>
      <c r="BX59" s="211" t="n">
        <v>0</v>
      </c>
      <c r="BY59" s="211">
        <f>IF(Projects!$G$7="Yes",67762,0)</f>
        <v/>
      </c>
      <c r="BZ59" s="211" t="n">
        <v>0</v>
      </c>
      <c r="CA59" s="211" t="n">
        <v>0</v>
      </c>
      <c r="CB59" s="211">
        <f>IF(Projects!$G$7="Yes",76499,0)</f>
        <v/>
      </c>
      <c r="CC59" s="211" t="n">
        <v>0</v>
      </c>
      <c r="CD59" s="211" t="n">
        <v>0</v>
      </c>
      <c r="CE59" s="211">
        <f>IF(Projects!$G$7="Yes",76499,0)</f>
        <v/>
      </c>
      <c r="CF59" s="211" t="n">
        <v>0</v>
      </c>
      <c r="CG59" s="211" t="n">
        <v>0</v>
      </c>
      <c r="CH59" s="211">
        <f>IF(Projects!$G$7="Yes",76499,0)</f>
        <v/>
      </c>
      <c r="CI59" s="226" t="n"/>
    </row>
    <row r="60" ht="15" customHeight="1" s="202">
      <c r="A60" s="210" t="inlineStr">
        <is>
          <t>Reseda LIHTC Revenue (SP Share)</t>
        </is>
      </c>
      <c r="B60" s="225" t="n"/>
      <c r="C60" s="211" t="n">
        <v>0</v>
      </c>
      <c r="D60" s="211" t="n">
        <v>0</v>
      </c>
      <c r="E60" s="211" t="n">
        <v>0</v>
      </c>
      <c r="F60" s="211" t="n">
        <v>0</v>
      </c>
      <c r="G60" s="211" t="n">
        <v>0</v>
      </c>
      <c r="H60" s="211" t="n">
        <v>0</v>
      </c>
      <c r="I60" s="211" t="n">
        <v>0</v>
      </c>
      <c r="J60" s="211" t="n">
        <v>0</v>
      </c>
      <c r="K60" s="211" t="n">
        <v>0</v>
      </c>
      <c r="L60" s="211" t="n">
        <v>0</v>
      </c>
      <c r="M60" s="211" t="n">
        <v>0</v>
      </c>
      <c r="N60" s="211" t="n">
        <v>0</v>
      </c>
      <c r="O60" s="211" t="n">
        <v>0</v>
      </c>
      <c r="P60" s="211" t="n">
        <v>0</v>
      </c>
      <c r="Q60" s="211" t="n">
        <v>0</v>
      </c>
      <c r="R60" s="211" t="n">
        <v>0</v>
      </c>
      <c r="S60" s="211" t="n">
        <v>0</v>
      </c>
      <c r="T60" s="211" t="n">
        <v>0</v>
      </c>
      <c r="U60" s="211" t="n">
        <v>0</v>
      </c>
      <c r="V60" s="211" t="n">
        <v>0</v>
      </c>
      <c r="W60" s="211" t="n">
        <v>0</v>
      </c>
      <c r="X60" s="211" t="n">
        <v>0</v>
      </c>
      <c r="Y60" s="211" t="n">
        <v>0</v>
      </c>
      <c r="Z60" s="211" t="n">
        <v>0</v>
      </c>
      <c r="AA60" s="211" t="n">
        <v>0</v>
      </c>
      <c r="AB60" s="211" t="n">
        <v>0</v>
      </c>
      <c r="AC60" s="211" t="n">
        <v>0</v>
      </c>
      <c r="AD60" s="211" t="n">
        <v>0</v>
      </c>
      <c r="AE60" s="211" t="n">
        <v>0</v>
      </c>
      <c r="AF60" s="211" t="n">
        <v>0</v>
      </c>
      <c r="AG60" s="211" t="n">
        <v>0</v>
      </c>
      <c r="AH60" s="211" t="n">
        <v>0</v>
      </c>
      <c r="AI60" s="211" t="n">
        <v>0</v>
      </c>
      <c r="AJ60" s="211" t="n">
        <v>0</v>
      </c>
      <c r="AK60" s="211" t="n">
        <v>0</v>
      </c>
      <c r="AL60" s="211" t="n">
        <v>0</v>
      </c>
      <c r="AM60" s="211" t="n">
        <v>0</v>
      </c>
      <c r="AN60" s="211" t="n">
        <v>0</v>
      </c>
      <c r="AO60" s="211" t="n">
        <v>0</v>
      </c>
      <c r="AP60" s="211" t="n">
        <v>0</v>
      </c>
      <c r="AQ60" s="211" t="n">
        <v>0</v>
      </c>
      <c r="AR60" s="211" t="n">
        <v>0</v>
      </c>
      <c r="AS60" s="211" t="n">
        <v>0</v>
      </c>
      <c r="AT60" s="211" t="n">
        <v>0</v>
      </c>
      <c r="AU60" s="211" t="n">
        <v>0</v>
      </c>
      <c r="AV60" s="211" t="n">
        <v>0</v>
      </c>
      <c r="AW60" s="211" t="n">
        <v>0</v>
      </c>
      <c r="AX60" s="211" t="n">
        <v>0</v>
      </c>
      <c r="AY60" s="211" t="n">
        <v>0</v>
      </c>
      <c r="AZ60" s="211" t="n">
        <v>0</v>
      </c>
      <c r="BA60" s="211">
        <f>IF(Projects!$G$13="Yes",851839,0)</f>
        <v/>
      </c>
      <c r="BB60" s="211" t="n">
        <v>0</v>
      </c>
      <c r="BC60" s="211" t="n">
        <v>0</v>
      </c>
      <c r="BD60" s="211">
        <f>IF(Projects!$G$13="Yes",71700,0)</f>
        <v/>
      </c>
      <c r="BE60" s="211" t="n">
        <v>0</v>
      </c>
      <c r="BF60" s="211" t="n">
        <v>0</v>
      </c>
      <c r="BG60" s="211">
        <f>IF(Projects!$G$13="Yes",71700,0)</f>
        <v/>
      </c>
      <c r="BH60" s="211" t="n">
        <v>0</v>
      </c>
      <c r="BI60" s="211" t="n">
        <v>0</v>
      </c>
      <c r="BJ60" s="211">
        <f>IF(Projects!$G$13="Yes",71700,0)</f>
        <v/>
      </c>
      <c r="BK60" s="211" t="n">
        <v>0</v>
      </c>
      <c r="BL60" s="211" t="n">
        <v>0</v>
      </c>
      <c r="BM60" s="211">
        <f>IF(Projects!$G$13="Yes",71700,0)</f>
        <v/>
      </c>
      <c r="BN60" s="211" t="n">
        <v>0</v>
      </c>
      <c r="BO60" s="211" t="n">
        <v>0</v>
      </c>
      <c r="BP60" s="211">
        <f>IF(Projects!$G$13="Yes",74643,0)</f>
        <v/>
      </c>
      <c r="BQ60" s="211" t="n">
        <v>0</v>
      </c>
      <c r="BR60" s="211" t="n">
        <v>0</v>
      </c>
      <c r="BS60" s="211">
        <f>IF(Projects!$G$13="Yes",74640,0)</f>
        <v/>
      </c>
      <c r="BT60" s="211" t="n">
        <v>0</v>
      </c>
      <c r="BU60" s="211" t="n">
        <v>0</v>
      </c>
      <c r="BV60" s="211">
        <f>IF(Projects!$G$13="Yes",74640,0)</f>
        <v/>
      </c>
      <c r="BW60" s="211" t="n">
        <v>0</v>
      </c>
      <c r="BX60" s="211" t="n">
        <v>0</v>
      </c>
      <c r="BY60" s="211">
        <f>IF(Projects!$G$13="Yes",74640,0)</f>
        <v/>
      </c>
      <c r="BZ60" s="211" t="n">
        <v>0</v>
      </c>
      <c r="CA60" s="211" t="n">
        <v>0</v>
      </c>
      <c r="CB60" s="211">
        <f>IF(Projects!$G$13="Yes",81363,0)</f>
        <v/>
      </c>
      <c r="CC60" s="211" t="n">
        <v>0</v>
      </c>
      <c r="CD60" s="211" t="n">
        <v>0</v>
      </c>
      <c r="CE60" s="211">
        <f>IF(Projects!$G$13="Yes",81362,0)</f>
        <v/>
      </c>
      <c r="CF60" s="211" t="n">
        <v>0</v>
      </c>
      <c r="CG60" s="211" t="n">
        <v>0</v>
      </c>
      <c r="CH60" s="211">
        <f>IF(Projects!$G$13="Yes",81362,0)</f>
        <v/>
      </c>
      <c r="CI60" s="226" t="n"/>
    </row>
    <row r="61" ht="15" customHeight="1" s="202">
      <c r="A61" s="210" t="inlineStr">
        <is>
          <t>3rd St LIHTC Revenue (SP Share)</t>
        </is>
      </c>
      <c r="B61" s="210" t="n"/>
      <c r="C61" s="211" t="n">
        <v>0</v>
      </c>
      <c r="D61" s="211" t="n">
        <v>0</v>
      </c>
      <c r="E61" s="211" t="n">
        <v>0</v>
      </c>
      <c r="F61" s="211" t="n">
        <v>0</v>
      </c>
      <c r="G61" s="211" t="n">
        <v>0</v>
      </c>
      <c r="H61" s="211" t="n">
        <v>0</v>
      </c>
      <c r="I61" s="211" t="n">
        <v>0</v>
      </c>
      <c r="J61" s="211" t="n">
        <v>0</v>
      </c>
      <c r="K61" s="211" t="n">
        <v>0</v>
      </c>
      <c r="L61" s="211" t="n">
        <v>0</v>
      </c>
      <c r="M61" s="211" t="n">
        <v>0</v>
      </c>
      <c r="N61" s="211" t="n">
        <v>0</v>
      </c>
      <c r="O61" s="211" t="n">
        <v>0</v>
      </c>
      <c r="P61" s="211" t="n">
        <v>0</v>
      </c>
      <c r="Q61" s="211" t="n">
        <v>0</v>
      </c>
      <c r="R61" s="211" t="n">
        <v>0</v>
      </c>
      <c r="S61" s="211" t="n">
        <v>0</v>
      </c>
      <c r="T61" s="211" t="n">
        <v>0</v>
      </c>
      <c r="U61" s="211" t="n">
        <v>0</v>
      </c>
      <c r="V61" s="211" t="n">
        <v>0</v>
      </c>
      <c r="W61" s="211" t="n">
        <v>0</v>
      </c>
      <c r="X61" s="211" t="n">
        <v>0</v>
      </c>
      <c r="Y61" s="211" t="n">
        <v>0</v>
      </c>
      <c r="Z61" s="211" t="n">
        <v>0</v>
      </c>
      <c r="AA61" s="211" t="n">
        <v>0</v>
      </c>
      <c r="AB61" s="211" t="n">
        <v>0</v>
      </c>
      <c r="AC61" s="211" t="n">
        <v>0</v>
      </c>
      <c r="AD61" s="211" t="n">
        <v>0</v>
      </c>
      <c r="AE61" s="211" t="n">
        <v>0</v>
      </c>
      <c r="AF61" s="211" t="n">
        <v>0</v>
      </c>
      <c r="AG61" s="211" t="n">
        <v>0</v>
      </c>
      <c r="AH61" s="211" t="n">
        <v>0</v>
      </c>
      <c r="AI61" s="211" t="n">
        <v>0</v>
      </c>
      <c r="AJ61" s="211" t="n">
        <v>0</v>
      </c>
      <c r="AK61" s="211" t="n">
        <v>0</v>
      </c>
      <c r="AL61" s="211" t="n">
        <v>0</v>
      </c>
      <c r="AM61" s="211" t="n">
        <v>0</v>
      </c>
      <c r="AN61" s="211" t="n">
        <v>0</v>
      </c>
      <c r="AO61" s="211" t="n">
        <v>0</v>
      </c>
      <c r="AP61" s="211" t="n">
        <v>0</v>
      </c>
      <c r="AQ61" s="211" t="n">
        <v>0</v>
      </c>
      <c r="AR61" s="211" t="n">
        <v>0</v>
      </c>
      <c r="AS61" s="211" t="n">
        <v>0</v>
      </c>
      <c r="AT61" s="211" t="n">
        <v>0</v>
      </c>
      <c r="AU61" s="211" t="n">
        <v>0</v>
      </c>
      <c r="AV61" s="211" t="n">
        <v>0</v>
      </c>
      <c r="AW61" s="211" t="n">
        <v>0</v>
      </c>
      <c r="AX61" s="211" t="n">
        <v>0</v>
      </c>
      <c r="AY61" s="211" t="n">
        <v>0</v>
      </c>
      <c r="AZ61" s="211" t="n">
        <v>0</v>
      </c>
      <c r="BA61" s="211" t="n">
        <v>0</v>
      </c>
      <c r="BB61" s="211" t="n">
        <v>0</v>
      </c>
      <c r="BC61" s="211" t="n">
        <v>0</v>
      </c>
      <c r="BD61" s="211" t="n">
        <v>0</v>
      </c>
      <c r="BE61" s="211" t="n">
        <v>0</v>
      </c>
      <c r="BF61" s="211" t="n">
        <v>0</v>
      </c>
      <c r="BG61" s="211" t="n">
        <v>0</v>
      </c>
      <c r="BH61" s="211" t="n">
        <v>0</v>
      </c>
      <c r="BI61" s="211" t="n">
        <v>0</v>
      </c>
      <c r="BJ61" s="211" t="n">
        <v>0</v>
      </c>
      <c r="BK61" s="211" t="n">
        <v>0</v>
      </c>
      <c r="BL61" s="211" t="n">
        <v>0</v>
      </c>
      <c r="BM61" s="211" t="n">
        <v>0</v>
      </c>
      <c r="BN61" s="211" t="n">
        <v>0</v>
      </c>
      <c r="BO61" s="211" t="n">
        <v>0</v>
      </c>
      <c r="BP61" s="211" t="n">
        <v>0</v>
      </c>
      <c r="BQ61" s="211" t="n">
        <v>0</v>
      </c>
      <c r="BR61" s="211" t="n">
        <v>0</v>
      </c>
      <c r="BS61" s="211" t="n">
        <v>0</v>
      </c>
      <c r="BT61" s="211" t="n">
        <v>0</v>
      </c>
      <c r="BU61" s="211" t="n">
        <v>0</v>
      </c>
      <c r="BV61" s="211" t="n">
        <v>0</v>
      </c>
      <c r="BW61" s="211" t="n">
        <v>0</v>
      </c>
      <c r="BX61" s="211" t="n">
        <v>0</v>
      </c>
      <c r="BY61" s="211">
        <f>IF(Projects!$G$14="Yes",73156,0)</f>
        <v/>
      </c>
      <c r="BZ61" s="211" t="n">
        <v>0</v>
      </c>
      <c r="CA61" s="211" t="n">
        <v>0</v>
      </c>
      <c r="CB61" s="211">
        <f>IF(Projects!$G$14="Yes",73155,0)</f>
        <v/>
      </c>
      <c r="CC61" s="211" t="n">
        <v>0</v>
      </c>
      <c r="CD61" s="211" t="n">
        <v>0</v>
      </c>
      <c r="CE61" s="211">
        <f>IF(Projects!$G$14="Yes",73155,0)</f>
        <v/>
      </c>
      <c r="CF61" s="211" t="n">
        <v>0</v>
      </c>
      <c r="CG61" s="211" t="n">
        <v>0</v>
      </c>
      <c r="CH61" s="211">
        <f>IF(Projects!$G$14="Yes",73155,0)</f>
        <v/>
      </c>
      <c r="CI61" s="226" t="n"/>
    </row>
    <row r="62" ht="15" customHeight="1" s="202">
      <c r="A62" s="210" t="inlineStr">
        <is>
          <t>Uplifters Total to SP</t>
        </is>
      </c>
      <c r="B62" s="234" t="n"/>
      <c r="C62" s="211">
        <f>IF(Uplifters!$B$2="Yes",Uplifters!C107,0)</f>
        <v/>
      </c>
      <c r="D62" s="211">
        <f>IF(Uplifters!$B$2="Yes",Uplifters!D107,0)</f>
        <v/>
      </c>
      <c r="E62" s="211">
        <f>IF(Uplifters!$B$2="Yes",Uplifters!E107,0)</f>
        <v/>
      </c>
      <c r="F62" s="211">
        <f>IF(Uplifters!$B$2="Yes",Uplifters!F107,0)</f>
        <v/>
      </c>
      <c r="G62" s="211">
        <f>IF(Uplifters!$B$2="Yes",Uplifters!G107,0)</f>
        <v/>
      </c>
      <c r="H62" s="211">
        <f>IF(Uplifters!$B$2="Yes",Uplifters!H107,0)</f>
        <v/>
      </c>
      <c r="I62" s="211">
        <f>IF(Uplifters!$B$2="Yes",Uplifters!I107,0)</f>
        <v/>
      </c>
      <c r="J62" s="211">
        <f>IF(Uplifters!$B$2="Yes",Uplifters!J107,0)</f>
        <v/>
      </c>
      <c r="K62" s="211">
        <f>IF(Uplifters!$B$2="Yes",Uplifters!K107,0)</f>
        <v/>
      </c>
      <c r="L62" s="211">
        <f>IF(Uplifters!$B$2="Yes",Uplifters!L107,0)</f>
        <v/>
      </c>
      <c r="M62" s="211">
        <f>IF(Uplifters!$B$2="Yes",Uplifters!M107,0)</f>
        <v/>
      </c>
      <c r="N62" s="211">
        <f>IF(Uplifters!$B$2="Yes",Uplifters!N107,0)</f>
        <v/>
      </c>
      <c r="O62" s="211">
        <f>IF(Uplifters!$B$2="Yes",Uplifters!O107,0)</f>
        <v/>
      </c>
      <c r="P62" s="211">
        <f>IF(Uplifters!$B$2="Yes",Uplifters!P107,0)</f>
        <v/>
      </c>
      <c r="Q62" s="211">
        <f>IF(Uplifters!$B$2="Yes",Uplifters!Q107,0)</f>
        <v/>
      </c>
      <c r="R62" s="211">
        <f>IF(Uplifters!$B$2="Yes",Uplifters!R107,0)</f>
        <v/>
      </c>
      <c r="S62" s="211">
        <f>IF(Uplifters!$B$2="Yes",Uplifters!S107,0)</f>
        <v/>
      </c>
      <c r="T62" s="211">
        <f>IF(Uplifters!$B$2="Yes",Uplifters!T107,0)</f>
        <v/>
      </c>
      <c r="U62" s="211">
        <f>IF(Uplifters!$B$2="Yes",Uplifters!U107,0)</f>
        <v/>
      </c>
      <c r="V62" s="211">
        <f>IF(Uplifters!$B$2="Yes",Uplifters!V107,0)</f>
        <v/>
      </c>
      <c r="W62" s="211">
        <f>IF(Uplifters!$B$2="Yes",Uplifters!W107,0)</f>
        <v/>
      </c>
      <c r="X62" s="211">
        <f>IF(Uplifters!$B$2="Yes",Uplifters!X107,0)</f>
        <v/>
      </c>
      <c r="Y62" s="211">
        <f>IF(Uplifters!$B$2="Yes",Uplifters!Y107,0)</f>
        <v/>
      </c>
      <c r="Z62" s="211">
        <f>IF(Uplifters!$B$2="Yes",Uplifters!Z107,0)</f>
        <v/>
      </c>
      <c r="AA62" s="211">
        <f>IF(Uplifters!$B$2="Yes",Uplifters!AA107,0)</f>
        <v/>
      </c>
      <c r="AB62" s="211">
        <f>IF(Uplifters!$B$2="Yes",Uplifters!AB107,0)</f>
        <v/>
      </c>
      <c r="AC62" s="211">
        <f>IF(Uplifters!$B$2="Yes",Uplifters!AC107,0)</f>
        <v/>
      </c>
      <c r="AD62" s="211">
        <f>IF(Uplifters!$B$2="Yes",Uplifters!AD107,0)</f>
        <v/>
      </c>
      <c r="AE62" s="211">
        <f>IF(Uplifters!$B$2="Yes",Uplifters!AE107,0)</f>
        <v/>
      </c>
      <c r="AF62" s="211">
        <f>IF(Uplifters!$B$2="Yes",Uplifters!AF107,0)</f>
        <v/>
      </c>
      <c r="AG62" s="211">
        <f>IF(Uplifters!$B$2="Yes",Uplifters!AG107,0)</f>
        <v/>
      </c>
      <c r="AH62" s="211">
        <f>IF(Uplifters!$B$2="Yes",Uplifters!AH107,0)</f>
        <v/>
      </c>
      <c r="AI62" s="211">
        <f>IF(Uplifters!$B$2="Yes",Uplifters!AI107,0)</f>
        <v/>
      </c>
      <c r="AJ62" s="211">
        <f>IF(Uplifters!$B$2="Yes",Uplifters!AJ107,0)</f>
        <v/>
      </c>
      <c r="AK62" s="211">
        <f>IF(Uplifters!$B$2="Yes",Uplifters!AK107,0)</f>
        <v/>
      </c>
      <c r="AL62" s="211">
        <f>IF(Uplifters!$B$2="Yes",Uplifters!AL107,0)</f>
        <v/>
      </c>
      <c r="AM62" s="211">
        <f>IF(Uplifters!$B$2="Yes",Uplifters!AM107,0)</f>
        <v/>
      </c>
      <c r="AN62" s="211">
        <f>IF(Uplifters!$B$2="Yes",Uplifters!AN107,0)</f>
        <v/>
      </c>
      <c r="AO62" s="211">
        <f>IF(Uplifters!$B$2="Yes",Uplifters!AO107,0)</f>
        <v/>
      </c>
      <c r="AP62" s="211">
        <f>IF(Uplifters!$B$2="Yes",Uplifters!AP107,0)</f>
        <v/>
      </c>
      <c r="AQ62" s="211">
        <f>IF(Uplifters!$B$2="Yes",Uplifters!AQ107,0)</f>
        <v/>
      </c>
      <c r="AR62" s="211">
        <f>IF(Uplifters!$B$2="Yes",Uplifters!AR107,0)</f>
        <v/>
      </c>
      <c r="AS62" s="211">
        <f>IF(Uplifters!$B$2="Yes",Uplifters!AS107,0)</f>
        <v/>
      </c>
      <c r="AT62" s="211">
        <f>IF(Uplifters!$B$2="Yes",Uplifters!AT107,0)</f>
        <v/>
      </c>
      <c r="AU62" s="211">
        <f>IF(Uplifters!$B$2="Yes",Uplifters!AU107,0)</f>
        <v/>
      </c>
      <c r="AV62" s="211">
        <f>IF(Uplifters!$B$2="Yes",Uplifters!AV107,0)</f>
        <v/>
      </c>
      <c r="AW62" s="211">
        <f>IF(Uplifters!$B$2="Yes",Uplifters!AW107,0)</f>
        <v/>
      </c>
      <c r="AX62" s="211">
        <f>IF(Uplifters!$B$2="Yes",Uplifters!AX107,0)</f>
        <v/>
      </c>
      <c r="AY62" s="211">
        <f>IF(Uplifters!$B$2="Yes",Uplifters!AY107,0)</f>
        <v/>
      </c>
      <c r="AZ62" s="211">
        <f>IF(Uplifters!$B$2="Yes",Uplifters!AZ107,0)</f>
        <v/>
      </c>
      <c r="BA62" s="211">
        <f>IF(Uplifters!$B$2="Yes",Uplifters!BA107,0)</f>
        <v/>
      </c>
      <c r="BB62" s="211">
        <f>IF(Uplifters!$B$2="Yes",Uplifters!BB107,0)</f>
        <v/>
      </c>
      <c r="BC62" s="211">
        <f>IF(Uplifters!$B$2="Yes",Uplifters!BC107,0)</f>
        <v/>
      </c>
      <c r="BD62" s="211">
        <f>IF(Uplifters!$B$2="Yes",Uplifters!BD107,0)</f>
        <v/>
      </c>
      <c r="BE62" s="211">
        <f>IF(Uplifters!$B$2="Yes",Uplifters!BE107,0)</f>
        <v/>
      </c>
      <c r="BF62" s="211">
        <f>IF(Uplifters!$B$2="Yes",Uplifters!BF107,0)</f>
        <v/>
      </c>
      <c r="BG62" s="211">
        <f>IF(Uplifters!$B$2="Yes",Uplifters!BG107,0)</f>
        <v/>
      </c>
      <c r="BH62" s="211">
        <f>IF(Uplifters!$B$2="Yes",Uplifters!BH107,0)</f>
        <v/>
      </c>
      <c r="BI62" s="211">
        <f>IF(Uplifters!$B$2="Yes",Uplifters!BI107,0)</f>
        <v/>
      </c>
      <c r="BJ62" s="211">
        <f>IF(Uplifters!$B$2="Yes",Uplifters!BJ107,0)</f>
        <v/>
      </c>
      <c r="BK62" s="211">
        <f>IF(Uplifters!$B$2="Yes",Uplifters!BK107,0)</f>
        <v/>
      </c>
      <c r="BL62" s="211">
        <f>IF(Uplifters!$B$2="Yes",Uplifters!BL107,0)</f>
        <v/>
      </c>
      <c r="BM62" s="211">
        <f>IF(Uplifters!$B$2="Yes",Uplifters!BM107,0)</f>
        <v/>
      </c>
      <c r="BN62" s="211">
        <f>IF(Uplifters!$B$2="Yes",Uplifters!BN107,0)</f>
        <v/>
      </c>
      <c r="BO62" s="211">
        <f>IF(Uplifters!$B$2="Yes",Uplifters!BO107,0)</f>
        <v/>
      </c>
      <c r="BP62" s="211">
        <f>IF(Uplifters!$B$2="Yes",Uplifters!BP107,0)</f>
        <v/>
      </c>
      <c r="BQ62" s="211">
        <f>IF(Uplifters!$B$2="Yes",Uplifters!BQ107,0)</f>
        <v/>
      </c>
      <c r="BR62" s="211">
        <f>IF(Uplifters!$B$2="Yes",Uplifters!BR107,0)</f>
        <v/>
      </c>
      <c r="BS62" s="211">
        <f>IF(Uplifters!$B$2="Yes",Uplifters!BS107,0)</f>
        <v/>
      </c>
      <c r="BT62" s="211">
        <f>IF(Uplifters!$B$2="Yes",Uplifters!BT107,0)</f>
        <v/>
      </c>
      <c r="BU62" s="211">
        <f>IF(Uplifters!$B$2="Yes",Uplifters!BU107,0)</f>
        <v/>
      </c>
      <c r="BV62" s="211">
        <f>IF(Uplifters!$B$2="Yes",Uplifters!BV107,0)</f>
        <v/>
      </c>
      <c r="BW62" s="211">
        <f>IF(Uplifters!$B$2="Yes",Uplifters!BW107,0)</f>
        <v/>
      </c>
      <c r="BX62" s="211">
        <f>IF(Uplifters!$B$2="Yes",Uplifters!BX107,0)</f>
        <v/>
      </c>
      <c r="BY62" s="211">
        <f>IF(Uplifters!$B$2="Yes",Uplifters!BY107,0)</f>
        <v/>
      </c>
      <c r="BZ62" s="211">
        <f>IF(Uplifters!$B$2="Yes",Uplifters!BZ107,0)</f>
        <v/>
      </c>
      <c r="CA62" s="211">
        <f>IF(Uplifters!$B$2="Yes",Uplifters!CA107,0)</f>
        <v/>
      </c>
      <c r="CB62" s="211">
        <f>IF(Uplifters!$B$2="Yes",Uplifters!CB107,0)</f>
        <v/>
      </c>
      <c r="CC62" s="211">
        <f>IF(Uplifters!$B$2="Yes",Uplifters!CC107,0)</f>
        <v/>
      </c>
      <c r="CD62" s="211">
        <f>IF(Uplifters!$B$2="Yes",Uplifters!CD107,0)</f>
        <v/>
      </c>
      <c r="CE62" s="211">
        <f>IF(Uplifters!$B$2="Yes",Uplifters!CE107,0)</f>
        <v/>
      </c>
      <c r="CF62" s="211">
        <f>IF(Uplifters!$B$2="Yes",Uplifters!CF107,0)</f>
        <v/>
      </c>
      <c r="CG62" s="211">
        <f>IF(Uplifters!$B$2="Yes",Uplifters!CG107,0)</f>
        <v/>
      </c>
      <c r="CH62" s="211">
        <f>IF(Uplifters!$B$2="Yes",Uplifters!CH107,0)</f>
        <v/>
      </c>
      <c r="CI62" s="226" t="n"/>
    </row>
    <row r="63" ht="15" customHeight="1" s="202">
      <c r="A63" s="212" t="inlineStr">
        <is>
          <t>Total Six Peak Revenue</t>
        </is>
      </c>
      <c r="B63" s="231" t="n"/>
      <c r="C63" s="235">
        <f>SUM(C46:C62)</f>
        <v/>
      </c>
      <c r="D63" s="235">
        <f>SUM(D46:D62)</f>
        <v/>
      </c>
      <c r="E63" s="235">
        <f>SUM(E46:E62)</f>
        <v/>
      </c>
      <c r="F63" s="235">
        <f>SUM(F46:F62)</f>
        <v/>
      </c>
      <c r="G63" s="235">
        <f>SUM(G46:G62)</f>
        <v/>
      </c>
      <c r="H63" s="235">
        <f>SUM(H46:H62)</f>
        <v/>
      </c>
      <c r="I63" s="235">
        <f>SUM(I46:I62)</f>
        <v/>
      </c>
      <c r="J63" s="235">
        <f>SUM(J46:J62)</f>
        <v/>
      </c>
      <c r="K63" s="235">
        <f>SUM(K46:K62)</f>
        <v/>
      </c>
      <c r="L63" s="235">
        <f>SUM(L46:L62)</f>
        <v/>
      </c>
      <c r="M63" s="235">
        <f>SUM(M46:M62)</f>
        <v/>
      </c>
      <c r="N63" s="235">
        <f>SUM(N46:N62)</f>
        <v/>
      </c>
      <c r="O63" s="235">
        <f>SUM(O46:O62)</f>
        <v/>
      </c>
      <c r="P63" s="235">
        <f>SUM(P46:P62)</f>
        <v/>
      </c>
      <c r="Q63" s="235">
        <f>SUM(Q46:Q62)</f>
        <v/>
      </c>
      <c r="R63" s="235">
        <f>SUM(R46:R62)</f>
        <v/>
      </c>
      <c r="S63" s="235">
        <f>SUM(S46:S62)</f>
        <v/>
      </c>
      <c r="T63" s="235">
        <f>SUM(T46:T62)</f>
        <v/>
      </c>
      <c r="U63" s="235">
        <f>SUM(U46:U62)</f>
        <v/>
      </c>
      <c r="V63" s="235">
        <f>SUM(V46:V62)</f>
        <v/>
      </c>
      <c r="W63" s="235">
        <f>SUM(W46:W62)</f>
        <v/>
      </c>
      <c r="X63" s="235">
        <f>SUM(X46:X62)</f>
        <v/>
      </c>
      <c r="Y63" s="235">
        <f>SUM(Y46:Y62)</f>
        <v/>
      </c>
      <c r="Z63" s="235">
        <f>SUM(Z46:Z62)</f>
        <v/>
      </c>
      <c r="AA63" s="235">
        <f>SUM(AA46:AA62)</f>
        <v/>
      </c>
      <c r="AB63" s="235">
        <f>SUM(AB46:AB62)</f>
        <v/>
      </c>
      <c r="AC63" s="235">
        <f>SUM(AC46:AC62)</f>
        <v/>
      </c>
      <c r="AD63" s="235">
        <f>SUM(AD46:AD62)</f>
        <v/>
      </c>
      <c r="AE63" s="235">
        <f>SUM(AE46:AE62)</f>
        <v/>
      </c>
      <c r="AF63" s="235">
        <f>SUM(AF46:AF62)</f>
        <v/>
      </c>
      <c r="AG63" s="235">
        <f>SUM(AG46:AG62)</f>
        <v/>
      </c>
      <c r="AH63" s="235">
        <f>SUM(AH46:AH62)</f>
        <v/>
      </c>
      <c r="AI63" s="235">
        <f>SUM(AI46:AI62)</f>
        <v/>
      </c>
      <c r="AJ63" s="235">
        <f>SUM(AJ46:AJ62)</f>
        <v/>
      </c>
      <c r="AK63" s="235">
        <f>SUM(AK46:AK62)</f>
        <v/>
      </c>
      <c r="AL63" s="235">
        <f>SUM(AL46:AL62)</f>
        <v/>
      </c>
      <c r="AM63" s="235">
        <f>SUM(AM46:AM62)</f>
        <v/>
      </c>
      <c r="AN63" s="235">
        <f>SUM(AN46:AN62)</f>
        <v/>
      </c>
      <c r="AO63" s="235">
        <f>SUM(AO46:AO62)</f>
        <v/>
      </c>
      <c r="AP63" s="235">
        <f>SUM(AP46:AP62)</f>
        <v/>
      </c>
      <c r="AQ63" s="235">
        <f>SUM(AQ46:AQ62)</f>
        <v/>
      </c>
      <c r="AR63" s="235">
        <f>SUM(AR46:AR62)</f>
        <v/>
      </c>
      <c r="AS63" s="235">
        <f>SUM(AS46:AS62)</f>
        <v/>
      </c>
      <c r="AT63" s="235">
        <f>SUM(AT46:AT62)</f>
        <v/>
      </c>
      <c r="AU63" s="235">
        <f>SUM(AU46:AU62)</f>
        <v/>
      </c>
      <c r="AV63" s="235">
        <f>SUM(AV46:AV62)</f>
        <v/>
      </c>
      <c r="AW63" s="235">
        <f>SUM(AW46:AW62)</f>
        <v/>
      </c>
      <c r="AX63" s="235">
        <f>SUM(AX46:AX62)</f>
        <v/>
      </c>
      <c r="AY63" s="235">
        <f>SUM(AY46:AY62)</f>
        <v/>
      </c>
      <c r="AZ63" s="235">
        <f>SUM(AZ46:AZ62)</f>
        <v/>
      </c>
      <c r="BA63" s="235">
        <f>SUM(BA46:BA62)</f>
        <v/>
      </c>
      <c r="BB63" s="235">
        <f>SUM(BB46:BB62)</f>
        <v/>
      </c>
      <c r="BC63" s="235">
        <f>SUM(BC46:BC62)</f>
        <v/>
      </c>
      <c r="BD63" s="235">
        <f>SUM(BD46:BD62)</f>
        <v/>
      </c>
      <c r="BE63" s="235">
        <f>SUM(BE46:BE62)</f>
        <v/>
      </c>
      <c r="BF63" s="235">
        <f>SUM(BF46:BF62)</f>
        <v/>
      </c>
      <c r="BG63" s="235">
        <f>SUM(BG46:BG62)</f>
        <v/>
      </c>
      <c r="BH63" s="235">
        <f>SUM(BH46:BH62)</f>
        <v/>
      </c>
      <c r="BI63" s="235">
        <f>SUM(BI46:BI62)</f>
        <v/>
      </c>
      <c r="BJ63" s="235">
        <f>SUM(BJ46:BJ62)</f>
        <v/>
      </c>
      <c r="BK63" s="235">
        <f>SUM(BK46:BK62)</f>
        <v/>
      </c>
      <c r="BL63" s="235">
        <f>SUM(BL46:BL62)</f>
        <v/>
      </c>
      <c r="BM63" s="235">
        <f>SUM(BM46:BM62)</f>
        <v/>
      </c>
      <c r="BN63" s="235">
        <f>SUM(BN46:BN62)</f>
        <v/>
      </c>
      <c r="BO63" s="235">
        <f>SUM(BO46:BO62)</f>
        <v/>
      </c>
      <c r="BP63" s="235">
        <f>SUM(BP46:BP62)</f>
        <v/>
      </c>
      <c r="BQ63" s="235">
        <f>SUM(BQ46:BQ62)</f>
        <v/>
      </c>
      <c r="BR63" s="235">
        <f>SUM(BR46:BR62)</f>
        <v/>
      </c>
      <c r="BS63" s="235">
        <f>SUM(BS46:BS62)</f>
        <v/>
      </c>
      <c r="BT63" s="235">
        <f>SUM(BT46:BT62)</f>
        <v/>
      </c>
      <c r="BU63" s="235">
        <f>SUM(BU46:BU62)</f>
        <v/>
      </c>
      <c r="BV63" s="235">
        <f>SUM(BV46:BV62)</f>
        <v/>
      </c>
      <c r="BW63" s="235">
        <f>SUM(BW46:BW62)</f>
        <v/>
      </c>
      <c r="BX63" s="235">
        <f>SUM(BX46:BX62)</f>
        <v/>
      </c>
      <c r="BY63" s="235">
        <f>SUM(BY46:BY62)</f>
        <v/>
      </c>
      <c r="BZ63" s="235">
        <f>SUM(BZ46:BZ62)</f>
        <v/>
      </c>
      <c r="CA63" s="235">
        <f>SUM(CA46:CA62)</f>
        <v/>
      </c>
      <c r="CB63" s="235">
        <f>SUM(CB46:CB62)</f>
        <v/>
      </c>
      <c r="CC63" s="235">
        <f>SUM(CC46:CC62)</f>
        <v/>
      </c>
      <c r="CD63" s="235">
        <f>SUM(CD46:CD62)</f>
        <v/>
      </c>
      <c r="CE63" s="235">
        <f>SUM(CE46:CE62)</f>
        <v/>
      </c>
      <c r="CF63" s="235">
        <f>SUM(CF46:CF62)</f>
        <v/>
      </c>
      <c r="CG63" s="235">
        <f>SUM(CG46:CG62)</f>
        <v/>
      </c>
      <c r="CH63" s="235">
        <f>SUM(CH46:CH62)</f>
        <v/>
      </c>
      <c r="CI63" s="226" t="n"/>
    </row>
    <row r="64" ht="15" customHeight="1" s="202">
      <c r="A64" s="209" t="inlineStr">
        <is>
          <t>Six Peak Expenses</t>
        </is>
      </c>
      <c r="B64" s="209" t="n"/>
      <c r="C64" s="209" t="n"/>
      <c r="D64" s="209" t="n"/>
      <c r="E64" s="209" t="n"/>
      <c r="F64" s="209" t="n"/>
      <c r="G64" s="209" t="n"/>
      <c r="H64" s="209" t="n"/>
      <c r="I64" s="209" t="n"/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  <c r="AB64" s="209" t="n"/>
      <c r="AC64" s="209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209" t="n"/>
      <c r="AV64" s="209" t="n"/>
      <c r="AW64" s="209" t="n"/>
      <c r="AX64" s="209" t="n"/>
      <c r="AY64" s="209" t="n"/>
      <c r="AZ64" s="209" t="n"/>
      <c r="BA64" s="209" t="n"/>
      <c r="BB64" s="209" t="n"/>
      <c r="BC64" s="209" t="n"/>
      <c r="BD64" s="209" t="n"/>
      <c r="BE64" s="209" t="n"/>
      <c r="BF64" s="209" t="n"/>
      <c r="BG64" s="209" t="n"/>
      <c r="BH64" s="209" t="n"/>
      <c r="BI64" s="209" t="n"/>
      <c r="BJ64" s="209" t="n"/>
      <c r="BK64" s="209" t="n"/>
      <c r="BL64" s="209" t="n"/>
      <c r="BM64" s="209" t="n"/>
      <c r="BN64" s="209" t="n"/>
      <c r="BO64" s="209" t="n"/>
      <c r="BP64" s="209" t="n"/>
      <c r="BQ64" s="209" t="n"/>
      <c r="BR64" s="209" t="n"/>
      <c r="BS64" s="209" t="n"/>
      <c r="BT64" s="209" t="n"/>
      <c r="BU64" s="209" t="n"/>
      <c r="BV64" s="209" t="n"/>
      <c r="BW64" s="209" t="n"/>
      <c r="BX64" s="209" t="n"/>
      <c r="BY64" s="209" t="n"/>
      <c r="BZ64" s="209" t="n"/>
      <c r="CA64" s="209" t="n"/>
      <c r="CB64" s="209" t="n"/>
      <c r="CC64" s="209" t="n"/>
      <c r="CD64" s="209" t="n"/>
      <c r="CE64" s="209" t="n"/>
      <c r="CF64" s="209" t="n"/>
      <c r="CG64" s="209" t="n"/>
      <c r="CH64" s="209" t="n"/>
      <c r="CI64" s="226" t="n"/>
    </row>
    <row r="65" ht="15" customHeight="1" s="202">
      <c r="A65" s="210" t="inlineStr">
        <is>
          <t>Six Peak Personnel</t>
        </is>
      </c>
      <c r="B65" s="225" t="n"/>
      <c r="C65" s="211">
        <f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/>
      </c>
      <c r="D65" s="211">
        <f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/>
      </c>
      <c r="E65" s="211">
        <f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/>
      </c>
      <c r="F65" s="211">
        <f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/>
      </c>
      <c r="G65" s="211">
        <f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/>
      </c>
      <c r="H65" s="211">
        <f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/>
      </c>
      <c r="I65" s="211">
        <f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/>
      </c>
      <c r="J65" s="211">
        <f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/>
      </c>
      <c r="K65" s="211">
        <f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/>
      </c>
      <c r="L65" s="211">
        <f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/>
      </c>
      <c r="M65" s="211">
        <f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/>
      </c>
      <c r="N65" s="211">
        <f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/>
      </c>
      <c r="O65" s="211">
        <f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/>
      </c>
      <c r="P65" s="211">
        <f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/>
      </c>
      <c r="Q65" s="211">
        <f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/>
      </c>
      <c r="R65" s="211">
        <f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/>
      </c>
      <c r="S65" s="211">
        <f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/>
      </c>
      <c r="T65" s="211">
        <f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/>
      </c>
      <c r="U65" s="211">
        <f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/>
      </c>
      <c r="V65" s="211">
        <f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/>
      </c>
      <c r="W65" s="211">
        <f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/>
      </c>
      <c r="X65" s="211">
        <f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/>
      </c>
      <c r="Y65" s="211">
        <f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/>
      </c>
      <c r="Z65" s="211">
        <f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/>
      </c>
      <c r="AA65" s="211">
        <f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/>
      </c>
      <c r="AB65" s="211">
        <f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/>
      </c>
      <c r="AC65" s="211">
        <f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/>
      </c>
      <c r="AD65" s="211">
        <f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/>
      </c>
      <c r="AE65" s="211">
        <f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/>
      </c>
      <c r="AF65" s="211">
        <f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/>
      </c>
      <c r="AG65" s="211">
        <f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/>
      </c>
      <c r="AH65" s="211">
        <f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/>
      </c>
      <c r="AI65" s="211">
        <f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/>
      </c>
      <c r="AJ65" s="211">
        <f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/>
      </c>
      <c r="AK65" s="211">
        <f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/>
      </c>
      <c r="AL65" s="211">
        <f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/>
      </c>
      <c r="AM65" s="211">
        <f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/>
      </c>
      <c r="AN65" s="211">
        <f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/>
      </c>
      <c r="AO65" s="211">
        <f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/>
      </c>
      <c r="AP65" s="211">
        <f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/>
      </c>
      <c r="AQ65" s="211">
        <f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/>
      </c>
      <c r="AR65" s="211">
        <f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/>
      </c>
      <c r="AS65" s="211">
        <f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/>
      </c>
      <c r="AT65" s="211">
        <f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/>
      </c>
      <c r="AU65" s="211">
        <f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/>
      </c>
      <c r="AV65" s="211">
        <f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/>
      </c>
      <c r="AW65" s="211">
        <f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/>
      </c>
      <c r="AX65" s="211">
        <f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/>
      </c>
      <c r="AY65" s="211">
        <f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/>
      </c>
      <c r="AZ65" s="211">
        <f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/>
      </c>
      <c r="BA65" s="211">
        <f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/>
      </c>
      <c r="BB65" s="211">
        <f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/>
      </c>
      <c r="BC65" s="211">
        <f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/>
      </c>
      <c r="BD65" s="211">
        <f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/>
      </c>
      <c r="BE65" s="211">
        <f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/>
      </c>
      <c r="BF65" s="211">
        <f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/>
      </c>
      <c r="BG65" s="211">
        <f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/>
      </c>
      <c r="BH65" s="211">
        <f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/>
      </c>
      <c r="BI65" s="211">
        <f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/>
      </c>
      <c r="BJ65" s="211">
        <f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/>
      </c>
      <c r="BK65" s="211">
        <f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/>
      </c>
      <c r="BL65" s="211">
        <f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/>
      </c>
      <c r="BM65" s="211">
        <f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/>
      </c>
      <c r="BN65" s="211">
        <f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/>
      </c>
      <c r="BO65" s="211">
        <f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/>
      </c>
      <c r="BP65" s="211">
        <f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/>
      </c>
      <c r="BQ65" s="211">
        <f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/>
      </c>
      <c r="BR65" s="211">
        <f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/>
      </c>
      <c r="BS65" s="211">
        <f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/>
      </c>
      <c r="BT65" s="211">
        <f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/>
      </c>
      <c r="BU65" s="211">
        <f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/>
      </c>
      <c r="BV65" s="211">
        <f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/>
      </c>
      <c r="BW65" s="211">
        <f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/>
      </c>
      <c r="BX65" s="211">
        <f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/>
      </c>
      <c r="BY65" s="211">
        <f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/>
      </c>
      <c r="BZ65" s="211">
        <f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/>
      </c>
      <c r="CA65" s="211">
        <f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/>
      </c>
      <c r="CB65" s="211">
        <f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/>
      </c>
      <c r="CC65" s="211">
        <f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/>
      </c>
      <c r="CD65" s="211">
        <f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/>
      </c>
      <c r="CE65" s="211">
        <f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/>
      </c>
      <c r="CF65" s="211">
        <f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/>
      </c>
      <c r="CG65" s="211">
        <f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/>
      </c>
      <c r="CH65" s="211">
        <f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/>
      </c>
      <c r="CI65" s="226" t="n"/>
    </row>
    <row r="66" ht="15" customHeight="1" s="202">
      <c r="A66" s="210" t="inlineStr">
        <is>
          <t>SP Payroll Tax</t>
        </is>
      </c>
      <c r="B66" s="225" t="n"/>
      <c r="C66" s="211">
        <f>-Helpers!C5*Assumptions!$B$20</f>
        <v/>
      </c>
      <c r="D66" s="211">
        <f>-Helpers!D5*Assumptions!$B$20</f>
        <v/>
      </c>
      <c r="E66" s="211">
        <f>-Helpers!E5*Assumptions!$B$20</f>
        <v/>
      </c>
      <c r="F66" s="211">
        <f>-Helpers!F5*Assumptions!$B$20</f>
        <v/>
      </c>
      <c r="G66" s="211">
        <f>-Helpers!G5*Assumptions!$B$20</f>
        <v/>
      </c>
      <c r="H66" s="211">
        <f>-Helpers!H5*Assumptions!$B$20</f>
        <v/>
      </c>
      <c r="I66" s="211">
        <f>-Helpers!I5*Assumptions!$B$20</f>
        <v/>
      </c>
      <c r="J66" s="211">
        <f>-Helpers!J5*Assumptions!$B$20</f>
        <v/>
      </c>
      <c r="K66" s="211">
        <f>-Helpers!K5*Assumptions!$B$20</f>
        <v/>
      </c>
      <c r="L66" s="211">
        <f>-Helpers!L5*Assumptions!$B$20</f>
        <v/>
      </c>
      <c r="M66" s="211">
        <f>-Helpers!M5*Assumptions!$B$20</f>
        <v/>
      </c>
      <c r="N66" s="211">
        <f>-Helpers!N5*Assumptions!$B$20</f>
        <v/>
      </c>
      <c r="O66" s="211">
        <f>-Helpers!O5*Assumptions!$B$20</f>
        <v/>
      </c>
      <c r="P66" s="211">
        <f>-Helpers!P5*Assumptions!$B$20</f>
        <v/>
      </c>
      <c r="Q66" s="211">
        <f>-Helpers!Q5*Assumptions!$B$20</f>
        <v/>
      </c>
      <c r="R66" s="211">
        <f>-Helpers!R5*Assumptions!$B$20</f>
        <v/>
      </c>
      <c r="S66" s="211">
        <f>-Helpers!S5*Assumptions!$B$20</f>
        <v/>
      </c>
      <c r="T66" s="211">
        <f>-Helpers!T5*Assumptions!$B$20</f>
        <v/>
      </c>
      <c r="U66" s="211">
        <f>-Helpers!U5*Assumptions!$B$20</f>
        <v/>
      </c>
      <c r="V66" s="211">
        <f>-Helpers!V5*Assumptions!$B$20</f>
        <v/>
      </c>
      <c r="W66" s="211">
        <f>-Helpers!W5*Assumptions!$B$20</f>
        <v/>
      </c>
      <c r="X66" s="211">
        <f>-Helpers!X5*Assumptions!$B$20</f>
        <v/>
      </c>
      <c r="Y66" s="211">
        <f>-Helpers!Y5*Assumptions!$B$20</f>
        <v/>
      </c>
      <c r="Z66" s="211">
        <f>-Helpers!Z5*Assumptions!$B$20</f>
        <v/>
      </c>
      <c r="AA66" s="211">
        <f>-Helpers!AA5*Assumptions!$B$20</f>
        <v/>
      </c>
      <c r="AB66" s="211">
        <f>-Helpers!AB5*Assumptions!$B$20</f>
        <v/>
      </c>
      <c r="AC66" s="211">
        <f>-Helpers!AC5*Assumptions!$B$20</f>
        <v/>
      </c>
      <c r="AD66" s="211">
        <f>-Helpers!AD5*Assumptions!$B$20</f>
        <v/>
      </c>
      <c r="AE66" s="211">
        <f>-Helpers!AE5*Assumptions!$B$20</f>
        <v/>
      </c>
      <c r="AF66" s="211">
        <f>-Helpers!AF5*Assumptions!$B$20</f>
        <v/>
      </c>
      <c r="AG66" s="211">
        <f>-Helpers!AG5*Assumptions!$B$20</f>
        <v/>
      </c>
      <c r="AH66" s="211">
        <f>-Helpers!AH5*Assumptions!$B$20</f>
        <v/>
      </c>
      <c r="AI66" s="211">
        <f>-Helpers!AI5*Assumptions!$B$20</f>
        <v/>
      </c>
      <c r="AJ66" s="211">
        <f>-Helpers!AJ5*Assumptions!$B$20</f>
        <v/>
      </c>
      <c r="AK66" s="211">
        <f>-Helpers!AK5*Assumptions!$B$20</f>
        <v/>
      </c>
      <c r="AL66" s="211">
        <f>-Helpers!AL5*Assumptions!$B$20</f>
        <v/>
      </c>
      <c r="AM66" s="211">
        <f>-Helpers!AM5*Assumptions!$B$20</f>
        <v/>
      </c>
      <c r="AN66" s="211">
        <f>-Helpers!AN5*Assumptions!$B$20</f>
        <v/>
      </c>
      <c r="AO66" s="211">
        <f>-Helpers!AO5*Assumptions!$B$20</f>
        <v/>
      </c>
      <c r="AP66" s="211">
        <f>-Helpers!AP5*Assumptions!$B$20</f>
        <v/>
      </c>
      <c r="AQ66" s="211">
        <f>-Helpers!AQ5*Assumptions!$B$20</f>
        <v/>
      </c>
      <c r="AR66" s="211">
        <f>-Helpers!AR5*Assumptions!$B$20</f>
        <v/>
      </c>
      <c r="AS66" s="211">
        <f>-Helpers!AS5*Assumptions!$B$20</f>
        <v/>
      </c>
      <c r="AT66" s="211">
        <f>-Helpers!AT5*Assumptions!$B$20</f>
        <v/>
      </c>
      <c r="AU66" s="211">
        <f>-Helpers!AU5*Assumptions!$B$20</f>
        <v/>
      </c>
      <c r="AV66" s="211">
        <f>-Helpers!AV5*Assumptions!$B$20</f>
        <v/>
      </c>
      <c r="AW66" s="211">
        <f>-Helpers!AW5*Assumptions!$B$20</f>
        <v/>
      </c>
      <c r="AX66" s="211">
        <f>-Helpers!AX5*Assumptions!$B$20</f>
        <v/>
      </c>
      <c r="AY66" s="211">
        <f>-Helpers!AY5*Assumptions!$B$20</f>
        <v/>
      </c>
      <c r="AZ66" s="211">
        <f>-Helpers!AZ5*Assumptions!$B$20</f>
        <v/>
      </c>
      <c r="BA66" s="211">
        <f>-Helpers!BA5*Assumptions!$B$20</f>
        <v/>
      </c>
      <c r="BB66" s="211">
        <f>-Helpers!BB5*Assumptions!$B$20</f>
        <v/>
      </c>
      <c r="BC66" s="211">
        <f>-Helpers!BC5*Assumptions!$B$20</f>
        <v/>
      </c>
      <c r="BD66" s="211">
        <f>-Helpers!BD5*Assumptions!$B$20</f>
        <v/>
      </c>
      <c r="BE66" s="211">
        <f>-Helpers!BE5*Assumptions!$B$20</f>
        <v/>
      </c>
      <c r="BF66" s="211">
        <f>-Helpers!BF5*Assumptions!$B$20</f>
        <v/>
      </c>
      <c r="BG66" s="211">
        <f>-Helpers!BG5*Assumptions!$B$20</f>
        <v/>
      </c>
      <c r="BH66" s="211">
        <f>-Helpers!BH5*Assumptions!$B$20</f>
        <v/>
      </c>
      <c r="BI66" s="211">
        <f>-Helpers!BI5*Assumptions!$B$20</f>
        <v/>
      </c>
      <c r="BJ66" s="211">
        <f>-Helpers!BJ5*Assumptions!$B$20</f>
        <v/>
      </c>
      <c r="BK66" s="211">
        <f>-Helpers!BK5*Assumptions!$B$20</f>
        <v/>
      </c>
      <c r="BL66" s="211">
        <f>-Helpers!BL5*Assumptions!$B$20</f>
        <v/>
      </c>
      <c r="BM66" s="211">
        <f>-Helpers!BM5*Assumptions!$B$20</f>
        <v/>
      </c>
      <c r="BN66" s="211">
        <f>-Helpers!BN5*Assumptions!$B$20</f>
        <v/>
      </c>
      <c r="BO66" s="211">
        <f>-Helpers!BO5*Assumptions!$B$20</f>
        <v/>
      </c>
      <c r="BP66" s="211">
        <f>-Helpers!BP5*Assumptions!$B$20</f>
        <v/>
      </c>
      <c r="BQ66" s="211">
        <f>-Helpers!BQ5*Assumptions!$B$20</f>
        <v/>
      </c>
      <c r="BR66" s="211">
        <f>-Helpers!BR5*Assumptions!$B$20</f>
        <v/>
      </c>
      <c r="BS66" s="211">
        <f>-Helpers!BS5*Assumptions!$B$20</f>
        <v/>
      </c>
      <c r="BT66" s="211">
        <f>-Helpers!BT5*Assumptions!$B$20</f>
        <v/>
      </c>
      <c r="BU66" s="211">
        <f>-Helpers!BU5*Assumptions!$B$20</f>
        <v/>
      </c>
      <c r="BV66" s="211">
        <f>-Helpers!BV5*Assumptions!$B$20</f>
        <v/>
      </c>
      <c r="BW66" s="211">
        <f>-Helpers!BW5*Assumptions!$B$20</f>
        <v/>
      </c>
      <c r="BX66" s="211">
        <f>-Helpers!BX5*Assumptions!$B$20</f>
        <v/>
      </c>
      <c r="BY66" s="211">
        <f>-Helpers!BY5*Assumptions!$B$20</f>
        <v/>
      </c>
      <c r="BZ66" s="211">
        <f>-Helpers!BZ5*Assumptions!$B$20</f>
        <v/>
      </c>
      <c r="CA66" s="211">
        <f>-Helpers!CA5*Assumptions!$B$20</f>
        <v/>
      </c>
      <c r="CB66" s="211">
        <f>-Helpers!CB5*Assumptions!$B$20</f>
        <v/>
      </c>
      <c r="CC66" s="211">
        <f>-Helpers!CC5*Assumptions!$B$20</f>
        <v/>
      </c>
      <c r="CD66" s="211">
        <f>-Helpers!CD5*Assumptions!$B$20</f>
        <v/>
      </c>
      <c r="CE66" s="211">
        <f>-Helpers!CE5*Assumptions!$B$20</f>
        <v/>
      </c>
      <c r="CF66" s="211">
        <f>-Helpers!CF5*Assumptions!$B$20</f>
        <v/>
      </c>
      <c r="CG66" s="211">
        <f>-Helpers!CG5*Assumptions!$B$20</f>
        <v/>
      </c>
      <c r="CH66" s="211">
        <f>-Helpers!CH5*Assumptions!$B$20</f>
        <v/>
      </c>
      <c r="CI66" s="226" t="n"/>
    </row>
    <row r="67" ht="15" customHeight="1" s="202">
      <c r="A67" s="210" t="inlineStr">
        <is>
          <t>SP Payroll Servicing</t>
        </is>
      </c>
      <c r="B67" s="225" t="n"/>
      <c r="C67" s="211">
        <f>-Helpers!C5*Assumptions!$B$21</f>
        <v/>
      </c>
      <c r="D67" s="211">
        <f>-Helpers!D5*Assumptions!$B$21</f>
        <v/>
      </c>
      <c r="E67" s="211">
        <f>-Helpers!E5*Assumptions!$B$21</f>
        <v/>
      </c>
      <c r="F67" s="211">
        <f>-Helpers!F5*Assumptions!$B$21</f>
        <v/>
      </c>
      <c r="G67" s="211">
        <f>-Helpers!G5*Assumptions!$B$21</f>
        <v/>
      </c>
      <c r="H67" s="211">
        <f>-Helpers!H5*Assumptions!$B$21</f>
        <v/>
      </c>
      <c r="I67" s="211">
        <f>-Helpers!I5*Assumptions!$B$21</f>
        <v/>
      </c>
      <c r="J67" s="211">
        <f>-Helpers!J5*Assumptions!$B$21</f>
        <v/>
      </c>
      <c r="K67" s="211">
        <f>-Helpers!K5*Assumptions!$B$21</f>
        <v/>
      </c>
      <c r="L67" s="211">
        <f>-Helpers!L5*Assumptions!$B$21</f>
        <v/>
      </c>
      <c r="M67" s="211">
        <f>-Helpers!M5*Assumptions!$B$21</f>
        <v/>
      </c>
      <c r="N67" s="211">
        <f>-Helpers!N5*Assumptions!$B$21</f>
        <v/>
      </c>
      <c r="O67" s="211">
        <f>-Helpers!O5*Assumptions!$B$21</f>
        <v/>
      </c>
      <c r="P67" s="211">
        <f>-Helpers!P5*Assumptions!$B$21</f>
        <v/>
      </c>
      <c r="Q67" s="211">
        <f>-Helpers!Q5*Assumptions!$B$21</f>
        <v/>
      </c>
      <c r="R67" s="211">
        <f>-Helpers!R5*Assumptions!$B$21</f>
        <v/>
      </c>
      <c r="S67" s="211">
        <f>-Helpers!S5*Assumptions!$B$21</f>
        <v/>
      </c>
      <c r="T67" s="211">
        <f>-Helpers!T5*Assumptions!$B$21</f>
        <v/>
      </c>
      <c r="U67" s="211">
        <f>-Helpers!U5*Assumptions!$B$21</f>
        <v/>
      </c>
      <c r="V67" s="211">
        <f>-Helpers!V5*Assumptions!$B$21</f>
        <v/>
      </c>
      <c r="W67" s="211">
        <f>-Helpers!W5*Assumptions!$B$21</f>
        <v/>
      </c>
      <c r="X67" s="211">
        <f>-Helpers!X5*Assumptions!$B$21</f>
        <v/>
      </c>
      <c r="Y67" s="211">
        <f>-Helpers!Y5*Assumptions!$B$21</f>
        <v/>
      </c>
      <c r="Z67" s="211">
        <f>-Helpers!Z5*Assumptions!$B$21</f>
        <v/>
      </c>
      <c r="AA67" s="211">
        <f>-Helpers!AA5*Assumptions!$B$21</f>
        <v/>
      </c>
      <c r="AB67" s="211">
        <f>-Helpers!AB5*Assumptions!$B$21</f>
        <v/>
      </c>
      <c r="AC67" s="211">
        <f>-Helpers!AC5*Assumptions!$B$21</f>
        <v/>
      </c>
      <c r="AD67" s="211">
        <f>-Helpers!AD5*Assumptions!$B$21</f>
        <v/>
      </c>
      <c r="AE67" s="211">
        <f>-Helpers!AE5*Assumptions!$B$21</f>
        <v/>
      </c>
      <c r="AF67" s="211">
        <f>-Helpers!AF5*Assumptions!$B$21</f>
        <v/>
      </c>
      <c r="AG67" s="211">
        <f>-Helpers!AG5*Assumptions!$B$21</f>
        <v/>
      </c>
      <c r="AH67" s="211">
        <f>-Helpers!AH5*Assumptions!$B$21</f>
        <v/>
      </c>
      <c r="AI67" s="211">
        <f>-Helpers!AI5*Assumptions!$B$21</f>
        <v/>
      </c>
      <c r="AJ67" s="211">
        <f>-Helpers!AJ5*Assumptions!$B$21</f>
        <v/>
      </c>
      <c r="AK67" s="211">
        <f>-Helpers!AK5*Assumptions!$B$21</f>
        <v/>
      </c>
      <c r="AL67" s="211">
        <f>-Helpers!AL5*Assumptions!$B$21</f>
        <v/>
      </c>
      <c r="AM67" s="211">
        <f>-Helpers!AM5*Assumptions!$B$21</f>
        <v/>
      </c>
      <c r="AN67" s="211">
        <f>-Helpers!AN5*Assumptions!$B$21</f>
        <v/>
      </c>
      <c r="AO67" s="211">
        <f>-Helpers!AO5*Assumptions!$B$21</f>
        <v/>
      </c>
      <c r="AP67" s="211">
        <f>-Helpers!AP5*Assumptions!$B$21</f>
        <v/>
      </c>
      <c r="AQ67" s="211">
        <f>-Helpers!AQ5*Assumptions!$B$21</f>
        <v/>
      </c>
      <c r="AR67" s="211">
        <f>-Helpers!AR5*Assumptions!$B$21</f>
        <v/>
      </c>
      <c r="AS67" s="211">
        <f>-Helpers!AS5*Assumptions!$B$21</f>
        <v/>
      </c>
      <c r="AT67" s="211">
        <f>-Helpers!AT5*Assumptions!$B$21</f>
        <v/>
      </c>
      <c r="AU67" s="211">
        <f>-Helpers!AU5*Assumptions!$B$21</f>
        <v/>
      </c>
      <c r="AV67" s="211">
        <f>-Helpers!AV5*Assumptions!$B$21</f>
        <v/>
      </c>
      <c r="AW67" s="211">
        <f>-Helpers!AW5*Assumptions!$B$21</f>
        <v/>
      </c>
      <c r="AX67" s="211">
        <f>-Helpers!AX5*Assumptions!$B$21</f>
        <v/>
      </c>
      <c r="AY67" s="211">
        <f>-Helpers!AY5*Assumptions!$B$21</f>
        <v/>
      </c>
      <c r="AZ67" s="211">
        <f>-Helpers!AZ5*Assumptions!$B$21</f>
        <v/>
      </c>
      <c r="BA67" s="211">
        <f>-Helpers!BA5*Assumptions!$B$21</f>
        <v/>
      </c>
      <c r="BB67" s="211">
        <f>-Helpers!BB5*Assumptions!$B$21</f>
        <v/>
      </c>
      <c r="BC67" s="211">
        <f>-Helpers!BC5*Assumptions!$B$21</f>
        <v/>
      </c>
      <c r="BD67" s="211">
        <f>-Helpers!BD5*Assumptions!$B$21</f>
        <v/>
      </c>
      <c r="BE67" s="211">
        <f>-Helpers!BE5*Assumptions!$B$21</f>
        <v/>
      </c>
      <c r="BF67" s="211">
        <f>-Helpers!BF5*Assumptions!$B$21</f>
        <v/>
      </c>
      <c r="BG67" s="211">
        <f>-Helpers!BG5*Assumptions!$B$21</f>
        <v/>
      </c>
      <c r="BH67" s="211">
        <f>-Helpers!BH5*Assumptions!$B$21</f>
        <v/>
      </c>
      <c r="BI67" s="211">
        <f>-Helpers!BI5*Assumptions!$B$21</f>
        <v/>
      </c>
      <c r="BJ67" s="211">
        <f>-Helpers!BJ5*Assumptions!$B$21</f>
        <v/>
      </c>
      <c r="BK67" s="211">
        <f>-Helpers!BK5*Assumptions!$B$21</f>
        <v/>
      </c>
      <c r="BL67" s="211">
        <f>-Helpers!BL5*Assumptions!$B$21</f>
        <v/>
      </c>
      <c r="BM67" s="211">
        <f>-Helpers!BM5*Assumptions!$B$21</f>
        <v/>
      </c>
      <c r="BN67" s="211">
        <f>-Helpers!BN5*Assumptions!$B$21</f>
        <v/>
      </c>
      <c r="BO67" s="211">
        <f>-Helpers!BO5*Assumptions!$B$21</f>
        <v/>
      </c>
      <c r="BP67" s="211">
        <f>-Helpers!BP5*Assumptions!$B$21</f>
        <v/>
      </c>
      <c r="BQ67" s="211">
        <f>-Helpers!BQ5*Assumptions!$B$21</f>
        <v/>
      </c>
      <c r="BR67" s="211">
        <f>-Helpers!BR5*Assumptions!$B$21</f>
        <v/>
      </c>
      <c r="BS67" s="211">
        <f>-Helpers!BS5*Assumptions!$B$21</f>
        <v/>
      </c>
      <c r="BT67" s="211">
        <f>-Helpers!BT5*Assumptions!$B$21</f>
        <v/>
      </c>
      <c r="BU67" s="211">
        <f>-Helpers!BU5*Assumptions!$B$21</f>
        <v/>
      </c>
      <c r="BV67" s="211">
        <f>-Helpers!BV5*Assumptions!$B$21</f>
        <v/>
      </c>
      <c r="BW67" s="211">
        <f>-Helpers!BW5*Assumptions!$B$21</f>
        <v/>
      </c>
      <c r="BX67" s="211">
        <f>-Helpers!BX5*Assumptions!$B$21</f>
        <v/>
      </c>
      <c r="BY67" s="211">
        <f>-Helpers!BY5*Assumptions!$B$21</f>
        <v/>
      </c>
      <c r="BZ67" s="211">
        <f>-Helpers!BZ5*Assumptions!$B$21</f>
        <v/>
      </c>
      <c r="CA67" s="211">
        <f>-Helpers!CA5*Assumptions!$B$21</f>
        <v/>
      </c>
      <c r="CB67" s="211">
        <f>-Helpers!CB5*Assumptions!$B$21</f>
        <v/>
      </c>
      <c r="CC67" s="211">
        <f>-Helpers!CC5*Assumptions!$B$21</f>
        <v/>
      </c>
      <c r="CD67" s="211">
        <f>-Helpers!CD5*Assumptions!$B$21</f>
        <v/>
      </c>
      <c r="CE67" s="211">
        <f>-Helpers!CE5*Assumptions!$B$21</f>
        <v/>
      </c>
      <c r="CF67" s="211">
        <f>-Helpers!CF5*Assumptions!$B$21</f>
        <v/>
      </c>
      <c r="CG67" s="211">
        <f>-Helpers!CG5*Assumptions!$B$21</f>
        <v/>
      </c>
      <c r="CH67" s="211">
        <f>-Helpers!CH5*Assumptions!$B$21</f>
        <v/>
      </c>
      <c r="CI67" s="226" t="n"/>
    </row>
    <row r="68" ht="15" customHeight="1" s="202">
      <c r="A68" s="210" t="inlineStr">
        <is>
          <t>SP Employee Benefits</t>
        </is>
      </c>
      <c r="B68" s="225" t="n"/>
      <c r="C68" s="211">
        <f>-Helpers!C5*Assumptions!$B$22</f>
        <v/>
      </c>
      <c r="D68" s="211">
        <f>-Helpers!D5*Assumptions!$B$22</f>
        <v/>
      </c>
      <c r="E68" s="211">
        <f>-Helpers!E5*Assumptions!$B$22</f>
        <v/>
      </c>
      <c r="F68" s="211">
        <f>-Helpers!F5*Assumptions!$B$22</f>
        <v/>
      </c>
      <c r="G68" s="211">
        <f>-Helpers!G5*Assumptions!$B$22</f>
        <v/>
      </c>
      <c r="H68" s="211">
        <f>-Helpers!H5*Assumptions!$B$22</f>
        <v/>
      </c>
      <c r="I68" s="211">
        <f>-Helpers!I5*Assumptions!$B$22</f>
        <v/>
      </c>
      <c r="J68" s="211">
        <f>-Helpers!J5*Assumptions!$B$22</f>
        <v/>
      </c>
      <c r="K68" s="211">
        <f>-Helpers!K5*Assumptions!$B$22</f>
        <v/>
      </c>
      <c r="L68" s="211">
        <f>-Helpers!L5*Assumptions!$B$22</f>
        <v/>
      </c>
      <c r="M68" s="211">
        <f>-Helpers!M5*Assumptions!$B$22</f>
        <v/>
      </c>
      <c r="N68" s="211">
        <f>-Helpers!N5*Assumptions!$B$22</f>
        <v/>
      </c>
      <c r="O68" s="211">
        <f>-Helpers!O5*Assumptions!$B$22</f>
        <v/>
      </c>
      <c r="P68" s="211">
        <f>-Helpers!P5*Assumptions!$B$22</f>
        <v/>
      </c>
      <c r="Q68" s="211">
        <f>-Helpers!Q5*Assumptions!$B$22</f>
        <v/>
      </c>
      <c r="R68" s="211">
        <f>-Helpers!R5*Assumptions!$B$22</f>
        <v/>
      </c>
      <c r="S68" s="211">
        <f>-Helpers!S5*Assumptions!$B$22</f>
        <v/>
      </c>
      <c r="T68" s="211">
        <f>-Helpers!T5*Assumptions!$B$22</f>
        <v/>
      </c>
      <c r="U68" s="211">
        <f>-Helpers!U5*Assumptions!$B$22</f>
        <v/>
      </c>
      <c r="V68" s="211">
        <f>-Helpers!V5*Assumptions!$B$22</f>
        <v/>
      </c>
      <c r="W68" s="211">
        <f>-Helpers!W5*Assumptions!$B$22</f>
        <v/>
      </c>
      <c r="X68" s="211">
        <f>-Helpers!X5*Assumptions!$B$22</f>
        <v/>
      </c>
      <c r="Y68" s="211">
        <f>-Helpers!Y5*Assumptions!$B$22</f>
        <v/>
      </c>
      <c r="Z68" s="211">
        <f>-Helpers!Z5*Assumptions!$B$22</f>
        <v/>
      </c>
      <c r="AA68" s="211">
        <f>-Helpers!AA5*Assumptions!$B$22</f>
        <v/>
      </c>
      <c r="AB68" s="211">
        <f>-Helpers!AB5*Assumptions!$B$22</f>
        <v/>
      </c>
      <c r="AC68" s="211">
        <f>-Helpers!AC5*Assumptions!$B$22</f>
        <v/>
      </c>
      <c r="AD68" s="211">
        <f>-Helpers!AD5*Assumptions!$B$22</f>
        <v/>
      </c>
      <c r="AE68" s="211">
        <f>-Helpers!AE5*Assumptions!$B$22</f>
        <v/>
      </c>
      <c r="AF68" s="211">
        <f>-Helpers!AF5*Assumptions!$B$22</f>
        <v/>
      </c>
      <c r="AG68" s="211">
        <f>-Helpers!AG5*Assumptions!$B$22</f>
        <v/>
      </c>
      <c r="AH68" s="211">
        <f>-Helpers!AH5*Assumptions!$B$22</f>
        <v/>
      </c>
      <c r="AI68" s="211">
        <f>-Helpers!AI5*Assumptions!$B$22</f>
        <v/>
      </c>
      <c r="AJ68" s="211">
        <f>-Helpers!AJ5*Assumptions!$B$22</f>
        <v/>
      </c>
      <c r="AK68" s="211">
        <f>-Helpers!AK5*Assumptions!$B$22</f>
        <v/>
      </c>
      <c r="AL68" s="211">
        <f>-Helpers!AL5*Assumptions!$B$22</f>
        <v/>
      </c>
      <c r="AM68" s="211">
        <f>-Helpers!AM5*Assumptions!$B$22</f>
        <v/>
      </c>
      <c r="AN68" s="211">
        <f>-Helpers!AN5*Assumptions!$B$22</f>
        <v/>
      </c>
      <c r="AO68" s="211">
        <f>-Helpers!AO5*Assumptions!$B$22</f>
        <v/>
      </c>
      <c r="AP68" s="211">
        <f>-Helpers!AP5*Assumptions!$B$22</f>
        <v/>
      </c>
      <c r="AQ68" s="211">
        <f>-Helpers!AQ5*Assumptions!$B$22</f>
        <v/>
      </c>
      <c r="AR68" s="211">
        <f>-Helpers!AR5*Assumptions!$B$22</f>
        <v/>
      </c>
      <c r="AS68" s="211">
        <f>-Helpers!AS5*Assumptions!$B$22</f>
        <v/>
      </c>
      <c r="AT68" s="211">
        <f>-Helpers!AT5*Assumptions!$B$22</f>
        <v/>
      </c>
      <c r="AU68" s="211">
        <f>-Helpers!AU5*Assumptions!$B$22</f>
        <v/>
      </c>
      <c r="AV68" s="211">
        <f>-Helpers!AV5*Assumptions!$B$22</f>
        <v/>
      </c>
      <c r="AW68" s="211">
        <f>-Helpers!AW5*Assumptions!$B$22</f>
        <v/>
      </c>
      <c r="AX68" s="211">
        <f>-Helpers!AX5*Assumptions!$B$22</f>
        <v/>
      </c>
      <c r="AY68" s="211">
        <f>-Helpers!AY5*Assumptions!$B$22</f>
        <v/>
      </c>
      <c r="AZ68" s="211">
        <f>-Helpers!AZ5*Assumptions!$B$22</f>
        <v/>
      </c>
      <c r="BA68" s="211">
        <f>-Helpers!BA5*Assumptions!$B$22</f>
        <v/>
      </c>
      <c r="BB68" s="211">
        <f>-Helpers!BB5*Assumptions!$B$22</f>
        <v/>
      </c>
      <c r="BC68" s="211">
        <f>-Helpers!BC5*Assumptions!$B$22</f>
        <v/>
      </c>
      <c r="BD68" s="211">
        <f>-Helpers!BD5*Assumptions!$B$22</f>
        <v/>
      </c>
      <c r="BE68" s="211">
        <f>-Helpers!BE5*Assumptions!$B$22</f>
        <v/>
      </c>
      <c r="BF68" s="211">
        <f>-Helpers!BF5*Assumptions!$B$22</f>
        <v/>
      </c>
      <c r="BG68" s="211">
        <f>-Helpers!BG5*Assumptions!$B$22</f>
        <v/>
      </c>
      <c r="BH68" s="211">
        <f>-Helpers!BH5*Assumptions!$B$22</f>
        <v/>
      </c>
      <c r="BI68" s="211">
        <f>-Helpers!BI5*Assumptions!$B$22</f>
        <v/>
      </c>
      <c r="BJ68" s="211">
        <f>-Helpers!BJ5*Assumptions!$B$22</f>
        <v/>
      </c>
      <c r="BK68" s="211">
        <f>-Helpers!BK5*Assumptions!$B$22</f>
        <v/>
      </c>
      <c r="BL68" s="211">
        <f>-Helpers!BL5*Assumptions!$B$22</f>
        <v/>
      </c>
      <c r="BM68" s="211">
        <f>-Helpers!BM5*Assumptions!$B$22</f>
        <v/>
      </c>
      <c r="BN68" s="211">
        <f>-Helpers!BN5*Assumptions!$B$22</f>
        <v/>
      </c>
      <c r="BO68" s="211">
        <f>-Helpers!BO5*Assumptions!$B$22</f>
        <v/>
      </c>
      <c r="BP68" s="211">
        <f>-Helpers!BP5*Assumptions!$B$22</f>
        <v/>
      </c>
      <c r="BQ68" s="211">
        <f>-Helpers!BQ5*Assumptions!$B$22</f>
        <v/>
      </c>
      <c r="BR68" s="211">
        <f>-Helpers!BR5*Assumptions!$B$22</f>
        <v/>
      </c>
      <c r="BS68" s="211">
        <f>-Helpers!BS5*Assumptions!$B$22</f>
        <v/>
      </c>
      <c r="BT68" s="211">
        <f>-Helpers!BT5*Assumptions!$B$22</f>
        <v/>
      </c>
      <c r="BU68" s="211">
        <f>-Helpers!BU5*Assumptions!$B$22</f>
        <v/>
      </c>
      <c r="BV68" s="211">
        <f>-Helpers!BV5*Assumptions!$B$22</f>
        <v/>
      </c>
      <c r="BW68" s="211">
        <f>-Helpers!BW5*Assumptions!$B$22</f>
        <v/>
      </c>
      <c r="BX68" s="211">
        <f>-Helpers!BX5*Assumptions!$B$22</f>
        <v/>
      </c>
      <c r="BY68" s="211">
        <f>-Helpers!BY5*Assumptions!$B$22</f>
        <v/>
      </c>
      <c r="BZ68" s="211">
        <f>-Helpers!BZ5*Assumptions!$B$22</f>
        <v/>
      </c>
      <c r="CA68" s="211">
        <f>-Helpers!CA5*Assumptions!$B$22</f>
        <v/>
      </c>
      <c r="CB68" s="211">
        <f>-Helpers!CB5*Assumptions!$B$22</f>
        <v/>
      </c>
      <c r="CC68" s="211">
        <f>-Helpers!CC5*Assumptions!$B$22</f>
        <v/>
      </c>
      <c r="CD68" s="211">
        <f>-Helpers!CD5*Assumptions!$B$22</f>
        <v/>
      </c>
      <c r="CE68" s="211">
        <f>-Helpers!CE5*Assumptions!$B$22</f>
        <v/>
      </c>
      <c r="CF68" s="211">
        <f>-Helpers!CF5*Assumptions!$B$22</f>
        <v/>
      </c>
      <c r="CG68" s="211">
        <f>-Helpers!CG5*Assumptions!$B$22</f>
        <v/>
      </c>
      <c r="CH68" s="211">
        <f>-Helpers!CH5*Assumptions!$B$22</f>
        <v/>
      </c>
      <c r="CI68" s="226" t="n"/>
    </row>
    <row r="69" ht="15" customHeight="1" s="202">
      <c r="A69" s="210" t="inlineStr">
        <is>
          <t>SP Workers Comp</t>
        </is>
      </c>
      <c r="B69" s="225" t="n"/>
      <c r="C69" s="211">
        <f>-Helpers!C5*Assumptions!$B$23</f>
        <v/>
      </c>
      <c r="D69" s="211">
        <f>-Helpers!D5*Assumptions!$B$23</f>
        <v/>
      </c>
      <c r="E69" s="211">
        <f>-Helpers!E5*Assumptions!$B$23</f>
        <v/>
      </c>
      <c r="F69" s="211">
        <f>-Helpers!F5*Assumptions!$B$23</f>
        <v/>
      </c>
      <c r="G69" s="211">
        <f>-Helpers!G5*Assumptions!$B$23</f>
        <v/>
      </c>
      <c r="H69" s="211">
        <f>-Helpers!H5*Assumptions!$B$23</f>
        <v/>
      </c>
      <c r="I69" s="211">
        <f>-Helpers!I5*Assumptions!$B$23</f>
        <v/>
      </c>
      <c r="J69" s="211">
        <f>-Helpers!J5*Assumptions!$B$23</f>
        <v/>
      </c>
      <c r="K69" s="211">
        <f>-Helpers!K5*Assumptions!$B$23</f>
        <v/>
      </c>
      <c r="L69" s="211">
        <f>-Helpers!L5*Assumptions!$B$23</f>
        <v/>
      </c>
      <c r="M69" s="211">
        <f>-Helpers!M5*Assumptions!$B$23</f>
        <v/>
      </c>
      <c r="N69" s="211">
        <f>-Helpers!N5*Assumptions!$B$23</f>
        <v/>
      </c>
      <c r="O69" s="211">
        <f>-Helpers!O5*Assumptions!$B$23</f>
        <v/>
      </c>
      <c r="P69" s="211">
        <f>-Helpers!P5*Assumptions!$B$23</f>
        <v/>
      </c>
      <c r="Q69" s="211">
        <f>-Helpers!Q5*Assumptions!$B$23</f>
        <v/>
      </c>
      <c r="R69" s="211">
        <f>-Helpers!R5*Assumptions!$B$23</f>
        <v/>
      </c>
      <c r="S69" s="211">
        <f>-Helpers!S5*Assumptions!$B$23</f>
        <v/>
      </c>
      <c r="T69" s="211">
        <f>-Helpers!T5*Assumptions!$B$23</f>
        <v/>
      </c>
      <c r="U69" s="211">
        <f>-Helpers!U5*Assumptions!$B$23</f>
        <v/>
      </c>
      <c r="V69" s="211">
        <f>-Helpers!V5*Assumptions!$B$23</f>
        <v/>
      </c>
      <c r="W69" s="211">
        <f>-Helpers!W5*Assumptions!$B$23</f>
        <v/>
      </c>
      <c r="X69" s="211">
        <f>-Helpers!X5*Assumptions!$B$23</f>
        <v/>
      </c>
      <c r="Y69" s="211">
        <f>-Helpers!Y5*Assumptions!$B$23</f>
        <v/>
      </c>
      <c r="Z69" s="211">
        <f>-Helpers!Z5*Assumptions!$B$23</f>
        <v/>
      </c>
      <c r="AA69" s="211">
        <f>-Helpers!AA5*Assumptions!$B$23</f>
        <v/>
      </c>
      <c r="AB69" s="211">
        <f>-Helpers!AB5*Assumptions!$B$23</f>
        <v/>
      </c>
      <c r="AC69" s="211">
        <f>-Helpers!AC5*Assumptions!$B$23</f>
        <v/>
      </c>
      <c r="AD69" s="211">
        <f>-Helpers!AD5*Assumptions!$B$23</f>
        <v/>
      </c>
      <c r="AE69" s="211">
        <f>-Helpers!AE5*Assumptions!$B$23</f>
        <v/>
      </c>
      <c r="AF69" s="211">
        <f>-Helpers!AF5*Assumptions!$B$23</f>
        <v/>
      </c>
      <c r="AG69" s="211">
        <f>-Helpers!AG5*Assumptions!$B$23</f>
        <v/>
      </c>
      <c r="AH69" s="211">
        <f>-Helpers!AH5*Assumptions!$B$23</f>
        <v/>
      </c>
      <c r="AI69" s="211">
        <f>-Helpers!AI5*Assumptions!$B$23</f>
        <v/>
      </c>
      <c r="AJ69" s="211">
        <f>-Helpers!AJ5*Assumptions!$B$23</f>
        <v/>
      </c>
      <c r="AK69" s="211">
        <f>-Helpers!AK5*Assumptions!$B$23</f>
        <v/>
      </c>
      <c r="AL69" s="211">
        <f>-Helpers!AL5*Assumptions!$B$23</f>
        <v/>
      </c>
      <c r="AM69" s="211">
        <f>-Helpers!AM5*Assumptions!$B$23</f>
        <v/>
      </c>
      <c r="AN69" s="211">
        <f>-Helpers!AN5*Assumptions!$B$23</f>
        <v/>
      </c>
      <c r="AO69" s="211">
        <f>-Helpers!AO5*Assumptions!$B$23</f>
        <v/>
      </c>
      <c r="AP69" s="211">
        <f>-Helpers!AP5*Assumptions!$B$23</f>
        <v/>
      </c>
      <c r="AQ69" s="211">
        <f>-Helpers!AQ5*Assumptions!$B$23</f>
        <v/>
      </c>
      <c r="AR69" s="211">
        <f>-Helpers!AR5*Assumptions!$B$23</f>
        <v/>
      </c>
      <c r="AS69" s="211">
        <f>-Helpers!AS5*Assumptions!$B$23</f>
        <v/>
      </c>
      <c r="AT69" s="211">
        <f>-Helpers!AT5*Assumptions!$B$23</f>
        <v/>
      </c>
      <c r="AU69" s="211">
        <f>-Helpers!AU5*Assumptions!$B$23</f>
        <v/>
      </c>
      <c r="AV69" s="211">
        <f>-Helpers!AV5*Assumptions!$B$23</f>
        <v/>
      </c>
      <c r="AW69" s="211">
        <f>-Helpers!AW5*Assumptions!$B$23</f>
        <v/>
      </c>
      <c r="AX69" s="211">
        <f>-Helpers!AX5*Assumptions!$B$23</f>
        <v/>
      </c>
      <c r="AY69" s="211">
        <f>-Helpers!AY5*Assumptions!$B$23</f>
        <v/>
      </c>
      <c r="AZ69" s="211">
        <f>-Helpers!AZ5*Assumptions!$B$23</f>
        <v/>
      </c>
      <c r="BA69" s="211">
        <f>-Helpers!BA5*Assumptions!$B$23</f>
        <v/>
      </c>
      <c r="BB69" s="211">
        <f>-Helpers!BB5*Assumptions!$B$23</f>
        <v/>
      </c>
      <c r="BC69" s="211">
        <f>-Helpers!BC5*Assumptions!$B$23</f>
        <v/>
      </c>
      <c r="BD69" s="211">
        <f>-Helpers!BD5*Assumptions!$B$23</f>
        <v/>
      </c>
      <c r="BE69" s="211">
        <f>-Helpers!BE5*Assumptions!$B$23</f>
        <v/>
      </c>
      <c r="BF69" s="211">
        <f>-Helpers!BF5*Assumptions!$B$23</f>
        <v/>
      </c>
      <c r="BG69" s="211">
        <f>-Helpers!BG5*Assumptions!$B$23</f>
        <v/>
      </c>
      <c r="BH69" s="211">
        <f>-Helpers!BH5*Assumptions!$B$23</f>
        <v/>
      </c>
      <c r="BI69" s="211">
        <f>-Helpers!BI5*Assumptions!$B$23</f>
        <v/>
      </c>
      <c r="BJ69" s="211">
        <f>-Helpers!BJ5*Assumptions!$B$23</f>
        <v/>
      </c>
      <c r="BK69" s="211">
        <f>-Helpers!BK5*Assumptions!$B$23</f>
        <v/>
      </c>
      <c r="BL69" s="211">
        <f>-Helpers!BL5*Assumptions!$B$23</f>
        <v/>
      </c>
      <c r="BM69" s="211">
        <f>-Helpers!BM5*Assumptions!$B$23</f>
        <v/>
      </c>
      <c r="BN69" s="211">
        <f>-Helpers!BN5*Assumptions!$B$23</f>
        <v/>
      </c>
      <c r="BO69" s="211">
        <f>-Helpers!BO5*Assumptions!$B$23</f>
        <v/>
      </c>
      <c r="BP69" s="211">
        <f>-Helpers!BP5*Assumptions!$B$23</f>
        <v/>
      </c>
      <c r="BQ69" s="211">
        <f>-Helpers!BQ5*Assumptions!$B$23</f>
        <v/>
      </c>
      <c r="BR69" s="211">
        <f>-Helpers!BR5*Assumptions!$B$23</f>
        <v/>
      </c>
      <c r="BS69" s="211">
        <f>-Helpers!BS5*Assumptions!$B$23</f>
        <v/>
      </c>
      <c r="BT69" s="211">
        <f>-Helpers!BT5*Assumptions!$B$23</f>
        <v/>
      </c>
      <c r="BU69" s="211">
        <f>-Helpers!BU5*Assumptions!$B$23</f>
        <v/>
      </c>
      <c r="BV69" s="211">
        <f>-Helpers!BV5*Assumptions!$B$23</f>
        <v/>
      </c>
      <c r="BW69" s="211">
        <f>-Helpers!BW5*Assumptions!$B$23</f>
        <v/>
      </c>
      <c r="BX69" s="211">
        <f>-Helpers!BX5*Assumptions!$B$23</f>
        <v/>
      </c>
      <c r="BY69" s="211">
        <f>-Helpers!BY5*Assumptions!$B$23</f>
        <v/>
      </c>
      <c r="BZ69" s="211">
        <f>-Helpers!BZ5*Assumptions!$B$23</f>
        <v/>
      </c>
      <c r="CA69" s="211">
        <f>-Helpers!CA5*Assumptions!$B$23</f>
        <v/>
      </c>
      <c r="CB69" s="211">
        <f>-Helpers!CB5*Assumptions!$B$23</f>
        <v/>
      </c>
      <c r="CC69" s="211">
        <f>-Helpers!CC5*Assumptions!$B$23</f>
        <v/>
      </c>
      <c r="CD69" s="211">
        <f>-Helpers!CD5*Assumptions!$B$23</f>
        <v/>
      </c>
      <c r="CE69" s="211">
        <f>-Helpers!CE5*Assumptions!$B$23</f>
        <v/>
      </c>
      <c r="CF69" s="211">
        <f>-Helpers!CF5*Assumptions!$B$23</f>
        <v/>
      </c>
      <c r="CG69" s="211">
        <f>-Helpers!CG5*Assumptions!$B$23</f>
        <v/>
      </c>
      <c r="CH69" s="211">
        <f>-Helpers!CH5*Assumptions!$B$23</f>
        <v/>
      </c>
      <c r="CI69" s="226" t="n"/>
    </row>
    <row r="70" ht="15" customHeight="1" s="202">
      <c r="A70" s="210" t="inlineStr">
        <is>
          <t>NYC Rent</t>
        </is>
      </c>
      <c r="B70" s="225" t="n"/>
      <c r="C70" s="211">
        <f>-3500*Escalation!$B$2</f>
        <v/>
      </c>
      <c r="D70" s="211">
        <f>-3500*Escalation!$B$3</f>
        <v/>
      </c>
      <c r="E70" s="211">
        <f>-3500*Escalation!$B$4</f>
        <v/>
      </c>
      <c r="F70" s="211">
        <f>-3500*Escalation!$B$5</f>
        <v/>
      </c>
      <c r="G70" s="211">
        <f>-3500*Escalation!$B$6</f>
        <v/>
      </c>
      <c r="H70" s="211">
        <f>-3500*Escalation!$B$7</f>
        <v/>
      </c>
      <c r="I70" s="211">
        <f>-3500*Escalation!$B$8</f>
        <v/>
      </c>
      <c r="J70" s="211">
        <f>-3500*Escalation!$B$9</f>
        <v/>
      </c>
      <c r="K70" s="211">
        <f>-3500*Escalation!$B$10</f>
        <v/>
      </c>
      <c r="L70" s="211">
        <f>-3500*Escalation!$B$11</f>
        <v/>
      </c>
      <c r="M70" s="211">
        <f>-3500*Escalation!$B$12</f>
        <v/>
      </c>
      <c r="N70" s="211">
        <f>-3500*Escalation!$B$13</f>
        <v/>
      </c>
      <c r="O70" s="211">
        <f>-3500*Escalation!$B$14</f>
        <v/>
      </c>
      <c r="P70" s="211">
        <f>-3500*Escalation!$B$15</f>
        <v/>
      </c>
      <c r="Q70" s="211">
        <f>-3500*Escalation!$B$16</f>
        <v/>
      </c>
      <c r="R70" s="211">
        <f>-3500*Escalation!$B$17</f>
        <v/>
      </c>
      <c r="S70" s="211">
        <f>-3500*Escalation!$B$18</f>
        <v/>
      </c>
      <c r="T70" s="211">
        <f>-3500*Escalation!$B$19</f>
        <v/>
      </c>
      <c r="U70" s="211">
        <f>-3500*Escalation!$B$20</f>
        <v/>
      </c>
      <c r="V70" s="211">
        <f>-3500*Escalation!$B$21</f>
        <v/>
      </c>
      <c r="W70" s="211">
        <f>-3500*Escalation!$B$22</f>
        <v/>
      </c>
      <c r="X70" s="211">
        <f>-3500*Escalation!$B$23</f>
        <v/>
      </c>
      <c r="Y70" s="211">
        <f>-3500*Escalation!$B$24</f>
        <v/>
      </c>
      <c r="Z70" s="211">
        <f>-3500*Escalation!$B$25</f>
        <v/>
      </c>
      <c r="AA70" s="211">
        <f>-3500*Escalation!$B$26</f>
        <v/>
      </c>
      <c r="AB70" s="211">
        <f>-3500*Escalation!$B$27</f>
        <v/>
      </c>
      <c r="AC70" s="211">
        <f>-3500*Escalation!$B$28</f>
        <v/>
      </c>
      <c r="AD70" s="211">
        <f>-3500*Escalation!$B$29</f>
        <v/>
      </c>
      <c r="AE70" s="211">
        <f>-3500*Escalation!$B$30</f>
        <v/>
      </c>
      <c r="AF70" s="211">
        <f>-3500*Escalation!$B$31</f>
        <v/>
      </c>
      <c r="AG70" s="211">
        <f>-3500*Escalation!$B$32</f>
        <v/>
      </c>
      <c r="AH70" s="211">
        <f>-3500*Escalation!$B$33</f>
        <v/>
      </c>
      <c r="AI70" s="211">
        <f>-3500*Escalation!$B$34</f>
        <v/>
      </c>
      <c r="AJ70" s="211">
        <f>-3500*Escalation!$B$35</f>
        <v/>
      </c>
      <c r="AK70" s="211">
        <f>-3500*Escalation!$B$36</f>
        <v/>
      </c>
      <c r="AL70" s="211">
        <f>-3500*Escalation!$B$37</f>
        <v/>
      </c>
      <c r="AM70" s="211">
        <f>-3500*Escalation!$B$38</f>
        <v/>
      </c>
      <c r="AN70" s="211">
        <f>-3500*Escalation!$B$39</f>
        <v/>
      </c>
      <c r="AO70" s="211">
        <f>-3500*Escalation!$B$40</f>
        <v/>
      </c>
      <c r="AP70" s="211">
        <f>-3500*Escalation!$B$41</f>
        <v/>
      </c>
      <c r="AQ70" s="211">
        <f>-3500*Escalation!$B$42</f>
        <v/>
      </c>
      <c r="AR70" s="211">
        <f>-3500*Escalation!$B$43</f>
        <v/>
      </c>
      <c r="AS70" s="211">
        <f>-3500*Escalation!$B$44</f>
        <v/>
      </c>
      <c r="AT70" s="211">
        <f>-3500*Escalation!$B$45</f>
        <v/>
      </c>
      <c r="AU70" s="211">
        <f>-3500*Escalation!$B$46</f>
        <v/>
      </c>
      <c r="AV70" s="211">
        <f>-3500*Escalation!$B$47</f>
        <v/>
      </c>
      <c r="AW70" s="211">
        <f>-3500*Escalation!$B$48</f>
        <v/>
      </c>
      <c r="AX70" s="211">
        <f>-3500*Escalation!$B$49</f>
        <v/>
      </c>
      <c r="AY70" s="211">
        <f>-3500*Escalation!$B$50</f>
        <v/>
      </c>
      <c r="AZ70" s="211">
        <f>-3500*Escalation!$B$51</f>
        <v/>
      </c>
      <c r="BA70" s="211">
        <f>-3500*Escalation!$B$52</f>
        <v/>
      </c>
      <c r="BB70" s="211">
        <f>-3500*Escalation!$B$53</f>
        <v/>
      </c>
      <c r="BC70" s="211">
        <f>-3500*Escalation!$B$54</f>
        <v/>
      </c>
      <c r="BD70" s="211">
        <f>-3500*Escalation!$B$55</f>
        <v/>
      </c>
      <c r="BE70" s="211">
        <f>-3500*Escalation!$B$56</f>
        <v/>
      </c>
      <c r="BF70" s="211">
        <f>-3500*Escalation!$B$57</f>
        <v/>
      </c>
      <c r="BG70" s="211">
        <f>-3500*Escalation!$B$58</f>
        <v/>
      </c>
      <c r="BH70" s="211">
        <f>-3500*Escalation!$B$59</f>
        <v/>
      </c>
      <c r="BI70" s="211">
        <f>-3500*Escalation!$B$60</f>
        <v/>
      </c>
      <c r="BJ70" s="211">
        <f>-3500*Escalation!$B$61</f>
        <v/>
      </c>
      <c r="BK70" s="211">
        <f>-3500*Escalation!$B$62</f>
        <v/>
      </c>
      <c r="BL70" s="211">
        <f>-3500*Escalation!$B$63</f>
        <v/>
      </c>
      <c r="BM70" s="211">
        <f>-3500*Escalation!$B$64</f>
        <v/>
      </c>
      <c r="BN70" s="211">
        <f>-3500*Escalation!$B$65</f>
        <v/>
      </c>
      <c r="BO70" s="211">
        <f>-3500*Escalation!$B$66</f>
        <v/>
      </c>
      <c r="BP70" s="211">
        <f>-3500*Escalation!$B$67</f>
        <v/>
      </c>
      <c r="BQ70" s="211">
        <f>-3500*Escalation!$B$68</f>
        <v/>
      </c>
      <c r="BR70" s="211">
        <f>-3500*Escalation!$B$69</f>
        <v/>
      </c>
      <c r="BS70" s="211">
        <f>-3500*Escalation!$B$70</f>
        <v/>
      </c>
      <c r="BT70" s="211">
        <f>-3500*Escalation!$B$71</f>
        <v/>
      </c>
      <c r="BU70" s="211">
        <f>-3500*Escalation!$B$72</f>
        <v/>
      </c>
      <c r="BV70" s="211">
        <f>-3500*Escalation!$B$73</f>
        <v/>
      </c>
      <c r="BW70" s="211">
        <f>-3500*Escalation!$B$74</f>
        <v/>
      </c>
      <c r="BX70" s="211">
        <f>-3500*Escalation!$B$75</f>
        <v/>
      </c>
      <c r="BY70" s="211">
        <f>-3500*Escalation!$B$76</f>
        <v/>
      </c>
      <c r="BZ70" s="211">
        <f>-3500*Escalation!$B$77</f>
        <v/>
      </c>
      <c r="CA70" s="211">
        <f>-3500*Escalation!$B$78</f>
        <v/>
      </c>
      <c r="CB70" s="211">
        <f>-3500*Escalation!$B$79</f>
        <v/>
      </c>
      <c r="CC70" s="211">
        <f>-3500*Escalation!$B$80</f>
        <v/>
      </c>
      <c r="CD70" s="211">
        <f>-3500*Escalation!$B$81</f>
        <v/>
      </c>
      <c r="CE70" s="211">
        <f>-3500*Escalation!$B$82</f>
        <v/>
      </c>
      <c r="CF70" s="211">
        <f>-3500*Escalation!$B$83</f>
        <v/>
      </c>
      <c r="CG70" s="211">
        <f>-3500*Escalation!$B$84</f>
        <v/>
      </c>
      <c r="CH70" s="211">
        <f>-3500*Escalation!$B$85</f>
        <v/>
      </c>
      <c r="CI70" s="226" t="n"/>
    </row>
    <row r="71" ht="15" customHeight="1" s="202">
      <c r="A71" s="210" t="inlineStr">
        <is>
          <t>LA Rent</t>
        </is>
      </c>
      <c r="B71" s="225" t="n"/>
      <c r="C71" s="211">
        <f>-5000*Escalation!$B$2</f>
        <v/>
      </c>
      <c r="D71" s="211">
        <f>-5000*Escalation!$B$3</f>
        <v/>
      </c>
      <c r="E71" s="211">
        <f>-5000*Escalation!$B$4</f>
        <v/>
      </c>
      <c r="F71" s="211">
        <f>-5000*Escalation!$B$5</f>
        <v/>
      </c>
      <c r="G71" s="211">
        <f>-5000*Escalation!$B$6</f>
        <v/>
      </c>
      <c r="H71" s="211">
        <f>-5000*Escalation!$B$7</f>
        <v/>
      </c>
      <c r="I71" s="211">
        <f>-5000*Escalation!$B$8</f>
        <v/>
      </c>
      <c r="J71" s="211">
        <f>-5000*Escalation!$B$9</f>
        <v/>
      </c>
      <c r="K71" s="211">
        <f>-5000*Escalation!$B$10</f>
        <v/>
      </c>
      <c r="L71" s="211">
        <f>-5000*Escalation!$B$11</f>
        <v/>
      </c>
      <c r="M71" s="211">
        <f>-5000*Escalation!$B$12</f>
        <v/>
      </c>
      <c r="N71" s="211">
        <f>-5000*Escalation!$B$13</f>
        <v/>
      </c>
      <c r="O71" s="211">
        <f>-5000*Escalation!$B$14</f>
        <v/>
      </c>
      <c r="P71" s="211">
        <f>-5000*Escalation!$B$15</f>
        <v/>
      </c>
      <c r="Q71" s="211">
        <f>-5000*Escalation!$B$16</f>
        <v/>
      </c>
      <c r="R71" s="211">
        <f>-5000*Escalation!$B$17</f>
        <v/>
      </c>
      <c r="S71" s="211">
        <f>-5000*Escalation!$B$18</f>
        <v/>
      </c>
      <c r="T71" s="211">
        <f>-5000*Escalation!$B$19</f>
        <v/>
      </c>
      <c r="U71" s="211">
        <f>-5000*Escalation!$B$20</f>
        <v/>
      </c>
      <c r="V71" s="211">
        <f>-5000*Escalation!$B$21</f>
        <v/>
      </c>
      <c r="W71" s="211">
        <f>-5000*Escalation!$B$22</f>
        <v/>
      </c>
      <c r="X71" s="211">
        <f>-5000*Escalation!$B$23</f>
        <v/>
      </c>
      <c r="Y71" s="211">
        <f>-5000*Escalation!$B$24</f>
        <v/>
      </c>
      <c r="Z71" s="211">
        <f>-5000*Escalation!$B$25</f>
        <v/>
      </c>
      <c r="AA71" s="211">
        <f>-5000*Escalation!$B$26</f>
        <v/>
      </c>
      <c r="AB71" s="211">
        <f>-5000*Escalation!$B$27</f>
        <v/>
      </c>
      <c r="AC71" s="211">
        <f>-5000*Escalation!$B$28</f>
        <v/>
      </c>
      <c r="AD71" s="211">
        <f>-5000*Escalation!$B$29</f>
        <v/>
      </c>
      <c r="AE71" s="211">
        <f>-5000*Escalation!$B$30</f>
        <v/>
      </c>
      <c r="AF71" s="211">
        <f>-5000*Escalation!$B$31</f>
        <v/>
      </c>
      <c r="AG71" s="211">
        <f>-5000*Escalation!$B$32</f>
        <v/>
      </c>
      <c r="AH71" s="211">
        <f>-5000*Escalation!$B$33</f>
        <v/>
      </c>
      <c r="AI71" s="211">
        <f>-5000*Escalation!$B$34</f>
        <v/>
      </c>
      <c r="AJ71" s="211">
        <f>-5000*Escalation!$B$35</f>
        <v/>
      </c>
      <c r="AK71" s="211">
        <f>-5000*Escalation!$B$36</f>
        <v/>
      </c>
      <c r="AL71" s="211">
        <f>-5000*Escalation!$B$37</f>
        <v/>
      </c>
      <c r="AM71" s="211">
        <f>-5000*Escalation!$B$38</f>
        <v/>
      </c>
      <c r="AN71" s="211">
        <f>-5000*Escalation!$B$39</f>
        <v/>
      </c>
      <c r="AO71" s="211">
        <f>-5000*Escalation!$B$40</f>
        <v/>
      </c>
      <c r="AP71" s="211">
        <f>-5000*Escalation!$B$41</f>
        <v/>
      </c>
      <c r="AQ71" s="211">
        <f>-5000*Escalation!$B$42</f>
        <v/>
      </c>
      <c r="AR71" s="211">
        <f>-5000*Escalation!$B$43</f>
        <v/>
      </c>
      <c r="AS71" s="211">
        <f>-5000*Escalation!$B$44</f>
        <v/>
      </c>
      <c r="AT71" s="211">
        <f>-5000*Escalation!$B$45</f>
        <v/>
      </c>
      <c r="AU71" s="211">
        <f>-5000*Escalation!$B$46</f>
        <v/>
      </c>
      <c r="AV71" s="211">
        <f>-5000*Escalation!$B$47</f>
        <v/>
      </c>
      <c r="AW71" s="211">
        <f>-5000*Escalation!$B$48</f>
        <v/>
      </c>
      <c r="AX71" s="211">
        <f>-5000*Escalation!$B$49</f>
        <v/>
      </c>
      <c r="AY71" s="211">
        <f>-5000*Escalation!$B$50</f>
        <v/>
      </c>
      <c r="AZ71" s="211">
        <f>-5000*Escalation!$B$51</f>
        <v/>
      </c>
      <c r="BA71" s="211">
        <f>-5000*Escalation!$B$52</f>
        <v/>
      </c>
      <c r="BB71" s="211">
        <f>-5000*Escalation!$B$53</f>
        <v/>
      </c>
      <c r="BC71" s="211">
        <f>-5000*Escalation!$B$54</f>
        <v/>
      </c>
      <c r="BD71" s="211">
        <f>-5000*Escalation!$B$55</f>
        <v/>
      </c>
      <c r="BE71" s="211">
        <f>-5000*Escalation!$B$56</f>
        <v/>
      </c>
      <c r="BF71" s="211">
        <f>-5000*Escalation!$B$57</f>
        <v/>
      </c>
      <c r="BG71" s="211">
        <f>-5000*Escalation!$B$58</f>
        <v/>
      </c>
      <c r="BH71" s="211">
        <f>-5000*Escalation!$B$59</f>
        <v/>
      </c>
      <c r="BI71" s="211">
        <f>-5000*Escalation!$B$60</f>
        <v/>
      </c>
      <c r="BJ71" s="211">
        <f>-5000*Escalation!$B$61</f>
        <v/>
      </c>
      <c r="BK71" s="211">
        <f>-5000*Escalation!$B$62</f>
        <v/>
      </c>
      <c r="BL71" s="211">
        <f>-5000*Escalation!$B$63</f>
        <v/>
      </c>
      <c r="BM71" s="211">
        <f>-5000*Escalation!$B$64</f>
        <v/>
      </c>
      <c r="BN71" s="211">
        <f>-5000*Escalation!$B$65</f>
        <v/>
      </c>
      <c r="BO71" s="211">
        <f>-5000*Escalation!$B$66</f>
        <v/>
      </c>
      <c r="BP71" s="211">
        <f>-5000*Escalation!$B$67</f>
        <v/>
      </c>
      <c r="BQ71" s="211">
        <f>-5000*Escalation!$B$68</f>
        <v/>
      </c>
      <c r="BR71" s="211">
        <f>-5000*Escalation!$B$69</f>
        <v/>
      </c>
      <c r="BS71" s="211">
        <f>-5000*Escalation!$B$70</f>
        <v/>
      </c>
      <c r="BT71" s="211">
        <f>-5000*Escalation!$B$71</f>
        <v/>
      </c>
      <c r="BU71" s="211">
        <f>-5000*Escalation!$B$72</f>
        <v/>
      </c>
      <c r="BV71" s="211">
        <f>-5000*Escalation!$B$73</f>
        <v/>
      </c>
      <c r="BW71" s="211">
        <f>-5000*Escalation!$B$74</f>
        <v/>
      </c>
      <c r="BX71" s="211">
        <f>-5000*Escalation!$B$75</f>
        <v/>
      </c>
      <c r="BY71" s="211">
        <f>-5000*Escalation!$B$76</f>
        <v/>
      </c>
      <c r="BZ71" s="211">
        <f>-5000*Escalation!$B$77</f>
        <v/>
      </c>
      <c r="CA71" s="211">
        <f>-5000*Escalation!$B$78</f>
        <v/>
      </c>
      <c r="CB71" s="211">
        <f>-5000*Escalation!$B$79</f>
        <v/>
      </c>
      <c r="CC71" s="211">
        <f>-5000*Escalation!$B$80</f>
        <v/>
      </c>
      <c r="CD71" s="211">
        <f>-5000*Escalation!$B$81</f>
        <v/>
      </c>
      <c r="CE71" s="211">
        <f>-5000*Escalation!$B$82</f>
        <v/>
      </c>
      <c r="CF71" s="211">
        <f>-5000*Escalation!$B$83</f>
        <v/>
      </c>
      <c r="CG71" s="211">
        <f>-5000*Escalation!$B$84</f>
        <v/>
      </c>
      <c r="CH71" s="211">
        <f>-5000*Escalation!$B$85</f>
        <v/>
      </c>
      <c r="CI71" s="226" t="n"/>
    </row>
    <row r="72" ht="15" customHeight="1" s="202">
      <c r="A72" s="210" t="inlineStr">
        <is>
          <t>Yardi Bill Pay</t>
        </is>
      </c>
      <c r="B72" s="225" t="n"/>
      <c r="C72" s="211">
        <f>-100*Escalation!$B$2</f>
        <v/>
      </c>
      <c r="D72" s="211">
        <f>-100*Escalation!$B$3</f>
        <v/>
      </c>
      <c r="E72" s="211">
        <f>-100*Escalation!$B$4</f>
        <v/>
      </c>
      <c r="F72" s="211">
        <f>-100*Escalation!$B$5</f>
        <v/>
      </c>
      <c r="G72" s="211">
        <f>-100*Escalation!$B$6</f>
        <v/>
      </c>
      <c r="H72" s="211">
        <f>-100*Escalation!$B$7</f>
        <v/>
      </c>
      <c r="I72" s="211">
        <f>-100*Escalation!$B$8</f>
        <v/>
      </c>
      <c r="J72" s="211">
        <f>-100*Escalation!$B$9</f>
        <v/>
      </c>
      <c r="K72" s="211">
        <f>-100*Escalation!$B$10</f>
        <v/>
      </c>
      <c r="L72" s="211">
        <f>-100*Escalation!$B$11</f>
        <v/>
      </c>
      <c r="M72" s="211">
        <f>-100*Escalation!$B$12</f>
        <v/>
      </c>
      <c r="N72" s="211">
        <f>-100*Escalation!$B$13</f>
        <v/>
      </c>
      <c r="O72" s="211">
        <f>-100*Escalation!$B$14</f>
        <v/>
      </c>
      <c r="P72" s="211">
        <f>-100*Escalation!$B$15</f>
        <v/>
      </c>
      <c r="Q72" s="211">
        <f>-100*Escalation!$B$16</f>
        <v/>
      </c>
      <c r="R72" s="211">
        <f>-100*Escalation!$B$17</f>
        <v/>
      </c>
      <c r="S72" s="211">
        <f>-100*Escalation!$B$18</f>
        <v/>
      </c>
      <c r="T72" s="211">
        <f>-100*Escalation!$B$19</f>
        <v/>
      </c>
      <c r="U72" s="211">
        <f>-100*Escalation!$B$20</f>
        <v/>
      </c>
      <c r="V72" s="211">
        <f>-100*Escalation!$B$21</f>
        <v/>
      </c>
      <c r="W72" s="211">
        <f>-100*Escalation!$B$22</f>
        <v/>
      </c>
      <c r="X72" s="211">
        <f>-100*Escalation!$B$23</f>
        <v/>
      </c>
      <c r="Y72" s="211">
        <f>-100*Escalation!$B$24</f>
        <v/>
      </c>
      <c r="Z72" s="211">
        <f>-100*Escalation!$B$25</f>
        <v/>
      </c>
      <c r="AA72" s="211">
        <f>-100*Escalation!$B$26</f>
        <v/>
      </c>
      <c r="AB72" s="211">
        <f>-100*Escalation!$B$27</f>
        <v/>
      </c>
      <c r="AC72" s="211">
        <f>-100*Escalation!$B$28</f>
        <v/>
      </c>
      <c r="AD72" s="211">
        <f>-100*Escalation!$B$29</f>
        <v/>
      </c>
      <c r="AE72" s="211">
        <f>-100*Escalation!$B$30</f>
        <v/>
      </c>
      <c r="AF72" s="211">
        <f>-100*Escalation!$B$31</f>
        <v/>
      </c>
      <c r="AG72" s="211">
        <f>-100*Escalation!$B$32</f>
        <v/>
      </c>
      <c r="AH72" s="211">
        <f>-100*Escalation!$B$33</f>
        <v/>
      </c>
      <c r="AI72" s="211">
        <f>-100*Escalation!$B$34</f>
        <v/>
      </c>
      <c r="AJ72" s="211">
        <f>-100*Escalation!$B$35</f>
        <v/>
      </c>
      <c r="AK72" s="211">
        <f>-100*Escalation!$B$36</f>
        <v/>
      </c>
      <c r="AL72" s="211">
        <f>-100*Escalation!$B$37</f>
        <v/>
      </c>
      <c r="AM72" s="211">
        <f>-100*Escalation!$B$38</f>
        <v/>
      </c>
      <c r="AN72" s="211">
        <f>-100*Escalation!$B$39</f>
        <v/>
      </c>
      <c r="AO72" s="211">
        <f>-100*Escalation!$B$40</f>
        <v/>
      </c>
      <c r="AP72" s="211">
        <f>-100*Escalation!$B$41</f>
        <v/>
      </c>
      <c r="AQ72" s="211">
        <f>-100*Escalation!$B$42</f>
        <v/>
      </c>
      <c r="AR72" s="211">
        <f>-100*Escalation!$B$43</f>
        <v/>
      </c>
      <c r="AS72" s="211">
        <f>-100*Escalation!$B$44</f>
        <v/>
      </c>
      <c r="AT72" s="211">
        <f>-100*Escalation!$B$45</f>
        <v/>
      </c>
      <c r="AU72" s="211">
        <f>-100*Escalation!$B$46</f>
        <v/>
      </c>
      <c r="AV72" s="211">
        <f>-100*Escalation!$B$47</f>
        <v/>
      </c>
      <c r="AW72" s="211">
        <f>-100*Escalation!$B$48</f>
        <v/>
      </c>
      <c r="AX72" s="211">
        <f>-100*Escalation!$B$49</f>
        <v/>
      </c>
      <c r="AY72" s="211">
        <f>-100*Escalation!$B$50</f>
        <v/>
      </c>
      <c r="AZ72" s="211">
        <f>-100*Escalation!$B$51</f>
        <v/>
      </c>
      <c r="BA72" s="211">
        <f>-100*Escalation!$B$52</f>
        <v/>
      </c>
      <c r="BB72" s="211">
        <f>-100*Escalation!$B$53</f>
        <v/>
      </c>
      <c r="BC72" s="211">
        <f>-100*Escalation!$B$54</f>
        <v/>
      </c>
      <c r="BD72" s="211">
        <f>-100*Escalation!$B$55</f>
        <v/>
      </c>
      <c r="BE72" s="211">
        <f>-100*Escalation!$B$56</f>
        <v/>
      </c>
      <c r="BF72" s="211">
        <f>-100*Escalation!$B$57</f>
        <v/>
      </c>
      <c r="BG72" s="211">
        <f>-100*Escalation!$B$58</f>
        <v/>
      </c>
      <c r="BH72" s="211">
        <f>-100*Escalation!$B$59</f>
        <v/>
      </c>
      <c r="BI72" s="211">
        <f>-100*Escalation!$B$60</f>
        <v/>
      </c>
      <c r="BJ72" s="211">
        <f>-100*Escalation!$B$61</f>
        <v/>
      </c>
      <c r="BK72" s="211">
        <f>-100*Escalation!$B$62</f>
        <v/>
      </c>
      <c r="BL72" s="211">
        <f>-100*Escalation!$B$63</f>
        <v/>
      </c>
      <c r="BM72" s="211">
        <f>-100*Escalation!$B$64</f>
        <v/>
      </c>
      <c r="BN72" s="211">
        <f>-100*Escalation!$B$65</f>
        <v/>
      </c>
      <c r="BO72" s="211">
        <f>-100*Escalation!$B$66</f>
        <v/>
      </c>
      <c r="BP72" s="211">
        <f>-100*Escalation!$B$67</f>
        <v/>
      </c>
      <c r="BQ72" s="211">
        <f>-100*Escalation!$B$68</f>
        <v/>
      </c>
      <c r="BR72" s="211">
        <f>-100*Escalation!$B$69</f>
        <v/>
      </c>
      <c r="BS72" s="211">
        <f>-100*Escalation!$B$70</f>
        <v/>
      </c>
      <c r="BT72" s="211">
        <f>-100*Escalation!$B$71</f>
        <v/>
      </c>
      <c r="BU72" s="211">
        <f>-100*Escalation!$B$72</f>
        <v/>
      </c>
      <c r="BV72" s="211">
        <f>-100*Escalation!$B$73</f>
        <v/>
      </c>
      <c r="BW72" s="211">
        <f>-100*Escalation!$B$74</f>
        <v/>
      </c>
      <c r="BX72" s="211">
        <f>-100*Escalation!$B$75</f>
        <v/>
      </c>
      <c r="BY72" s="211">
        <f>-100*Escalation!$B$76</f>
        <v/>
      </c>
      <c r="BZ72" s="211">
        <f>-100*Escalation!$B$77</f>
        <v/>
      </c>
      <c r="CA72" s="211">
        <f>-100*Escalation!$B$78</f>
        <v/>
      </c>
      <c r="CB72" s="211">
        <f>-100*Escalation!$B$79</f>
        <v/>
      </c>
      <c r="CC72" s="211">
        <f>-100*Escalation!$B$80</f>
        <v/>
      </c>
      <c r="CD72" s="211">
        <f>-100*Escalation!$B$81</f>
        <v/>
      </c>
      <c r="CE72" s="211">
        <f>-100*Escalation!$B$82</f>
        <v/>
      </c>
      <c r="CF72" s="211">
        <f>-100*Escalation!$B$83</f>
        <v/>
      </c>
      <c r="CG72" s="211">
        <f>-100*Escalation!$B$84</f>
        <v/>
      </c>
      <c r="CH72" s="211">
        <f>-100*Escalation!$B$85</f>
        <v/>
      </c>
      <c r="CI72" s="226" t="n"/>
    </row>
    <row r="73" ht="15" customHeight="1" s="202">
      <c r="A73" s="210" t="inlineStr">
        <is>
          <t>Office and IT</t>
        </is>
      </c>
      <c r="B73" s="225" t="n"/>
      <c r="C73" s="211">
        <f>-3000*Escalation!$B$2</f>
        <v/>
      </c>
      <c r="D73" s="211">
        <f>-3000*Escalation!$B$3</f>
        <v/>
      </c>
      <c r="E73" s="211">
        <f>-3000*Escalation!$B$4</f>
        <v/>
      </c>
      <c r="F73" s="211">
        <f>-3000*Escalation!$B$5</f>
        <v/>
      </c>
      <c r="G73" s="211">
        <f>-3000*Escalation!$B$6</f>
        <v/>
      </c>
      <c r="H73" s="211">
        <f>-3000*Escalation!$B$7</f>
        <v/>
      </c>
      <c r="I73" s="211">
        <f>-3000*Escalation!$B$8</f>
        <v/>
      </c>
      <c r="J73" s="211">
        <f>-3000*Escalation!$B$9</f>
        <v/>
      </c>
      <c r="K73" s="211">
        <f>-3000*Escalation!$B$10</f>
        <v/>
      </c>
      <c r="L73" s="211">
        <f>-3000*Escalation!$B$11</f>
        <v/>
      </c>
      <c r="M73" s="211">
        <f>-3000*Escalation!$B$12</f>
        <v/>
      </c>
      <c r="N73" s="211">
        <f>-3000*Escalation!$B$13</f>
        <v/>
      </c>
      <c r="O73" s="211">
        <f>-3000*Escalation!$B$14</f>
        <v/>
      </c>
      <c r="P73" s="211">
        <f>-3000*Escalation!$B$15</f>
        <v/>
      </c>
      <c r="Q73" s="211">
        <f>-3000*Escalation!$B$16</f>
        <v/>
      </c>
      <c r="R73" s="211">
        <f>-3000*Escalation!$B$17</f>
        <v/>
      </c>
      <c r="S73" s="211">
        <f>-3000*Escalation!$B$18</f>
        <v/>
      </c>
      <c r="T73" s="211">
        <f>-3000*Escalation!$B$19</f>
        <v/>
      </c>
      <c r="U73" s="211">
        <f>-3000*Escalation!$B$20</f>
        <v/>
      </c>
      <c r="V73" s="211">
        <f>-3000*Escalation!$B$21</f>
        <v/>
      </c>
      <c r="W73" s="211">
        <f>-3000*Escalation!$B$22</f>
        <v/>
      </c>
      <c r="X73" s="211">
        <f>-3000*Escalation!$B$23</f>
        <v/>
      </c>
      <c r="Y73" s="211">
        <f>-3000*Escalation!$B$24</f>
        <v/>
      </c>
      <c r="Z73" s="211">
        <f>-3000*Escalation!$B$25</f>
        <v/>
      </c>
      <c r="AA73" s="211">
        <f>-3000*Escalation!$B$26</f>
        <v/>
      </c>
      <c r="AB73" s="211">
        <f>-3000*Escalation!$B$27</f>
        <v/>
      </c>
      <c r="AC73" s="211">
        <f>-3000*Escalation!$B$28</f>
        <v/>
      </c>
      <c r="AD73" s="211">
        <f>-3000*Escalation!$B$29</f>
        <v/>
      </c>
      <c r="AE73" s="211">
        <f>-3000*Escalation!$B$30</f>
        <v/>
      </c>
      <c r="AF73" s="211">
        <f>-3000*Escalation!$B$31</f>
        <v/>
      </c>
      <c r="AG73" s="211">
        <f>-3000*Escalation!$B$32</f>
        <v/>
      </c>
      <c r="AH73" s="211">
        <f>-3000*Escalation!$B$33</f>
        <v/>
      </c>
      <c r="AI73" s="211">
        <f>-3000*Escalation!$B$34</f>
        <v/>
      </c>
      <c r="AJ73" s="211">
        <f>-3000*Escalation!$B$35</f>
        <v/>
      </c>
      <c r="AK73" s="211">
        <f>-3000*Escalation!$B$36</f>
        <v/>
      </c>
      <c r="AL73" s="211">
        <f>-3000*Escalation!$B$37</f>
        <v/>
      </c>
      <c r="AM73" s="211">
        <f>-3000*Escalation!$B$38</f>
        <v/>
      </c>
      <c r="AN73" s="211">
        <f>-3000*Escalation!$B$39</f>
        <v/>
      </c>
      <c r="AO73" s="211">
        <f>-3000*Escalation!$B$40</f>
        <v/>
      </c>
      <c r="AP73" s="211">
        <f>-3000*Escalation!$B$41</f>
        <v/>
      </c>
      <c r="AQ73" s="211">
        <f>-3000*Escalation!$B$42</f>
        <v/>
      </c>
      <c r="AR73" s="211">
        <f>-3000*Escalation!$B$43</f>
        <v/>
      </c>
      <c r="AS73" s="211">
        <f>-3000*Escalation!$B$44</f>
        <v/>
      </c>
      <c r="AT73" s="211">
        <f>-3000*Escalation!$B$45</f>
        <v/>
      </c>
      <c r="AU73" s="211">
        <f>-3000*Escalation!$B$46</f>
        <v/>
      </c>
      <c r="AV73" s="211">
        <f>-3000*Escalation!$B$47</f>
        <v/>
      </c>
      <c r="AW73" s="211">
        <f>-3000*Escalation!$B$48</f>
        <v/>
      </c>
      <c r="AX73" s="211">
        <f>-3000*Escalation!$B$49</f>
        <v/>
      </c>
      <c r="AY73" s="211">
        <f>-3000*Escalation!$B$50</f>
        <v/>
      </c>
      <c r="AZ73" s="211">
        <f>-3000*Escalation!$B$51</f>
        <v/>
      </c>
      <c r="BA73" s="211">
        <f>-3000*Escalation!$B$52</f>
        <v/>
      </c>
      <c r="BB73" s="211">
        <f>-3000*Escalation!$B$53</f>
        <v/>
      </c>
      <c r="BC73" s="211">
        <f>-3000*Escalation!$B$54</f>
        <v/>
      </c>
      <c r="BD73" s="211">
        <f>-3000*Escalation!$B$55</f>
        <v/>
      </c>
      <c r="BE73" s="211">
        <f>-3000*Escalation!$B$56</f>
        <v/>
      </c>
      <c r="BF73" s="211">
        <f>-3000*Escalation!$B$57</f>
        <v/>
      </c>
      <c r="BG73" s="211">
        <f>-3000*Escalation!$B$58</f>
        <v/>
      </c>
      <c r="BH73" s="211">
        <f>-3000*Escalation!$B$59</f>
        <v/>
      </c>
      <c r="BI73" s="211">
        <f>-3000*Escalation!$B$60</f>
        <v/>
      </c>
      <c r="BJ73" s="211">
        <f>-3000*Escalation!$B$61</f>
        <v/>
      </c>
      <c r="BK73" s="211">
        <f>-3000*Escalation!$B$62</f>
        <v/>
      </c>
      <c r="BL73" s="211">
        <f>-3000*Escalation!$B$63</f>
        <v/>
      </c>
      <c r="BM73" s="211">
        <f>-3000*Escalation!$B$64</f>
        <v/>
      </c>
      <c r="BN73" s="211">
        <f>-3000*Escalation!$B$65</f>
        <v/>
      </c>
      <c r="BO73" s="211">
        <f>-3000*Escalation!$B$66</f>
        <v/>
      </c>
      <c r="BP73" s="211">
        <f>-3000*Escalation!$B$67</f>
        <v/>
      </c>
      <c r="BQ73" s="211">
        <f>-3000*Escalation!$B$68</f>
        <v/>
      </c>
      <c r="BR73" s="211">
        <f>-3000*Escalation!$B$69</f>
        <v/>
      </c>
      <c r="BS73" s="211">
        <f>-3000*Escalation!$B$70</f>
        <v/>
      </c>
      <c r="BT73" s="211">
        <f>-3000*Escalation!$B$71</f>
        <v/>
      </c>
      <c r="BU73" s="211">
        <f>-3000*Escalation!$B$72</f>
        <v/>
      </c>
      <c r="BV73" s="211">
        <f>-3000*Escalation!$B$73</f>
        <v/>
      </c>
      <c r="BW73" s="211">
        <f>-3000*Escalation!$B$74</f>
        <v/>
      </c>
      <c r="BX73" s="211">
        <f>-3000*Escalation!$B$75</f>
        <v/>
      </c>
      <c r="BY73" s="211">
        <f>-3000*Escalation!$B$76</f>
        <v/>
      </c>
      <c r="BZ73" s="211">
        <f>-3000*Escalation!$B$77</f>
        <v/>
      </c>
      <c r="CA73" s="211">
        <f>-3000*Escalation!$B$78</f>
        <v/>
      </c>
      <c r="CB73" s="211">
        <f>-3000*Escalation!$B$79</f>
        <v/>
      </c>
      <c r="CC73" s="211">
        <f>-3000*Escalation!$B$80</f>
        <v/>
      </c>
      <c r="CD73" s="211">
        <f>-3000*Escalation!$B$81</f>
        <v/>
      </c>
      <c r="CE73" s="211">
        <f>-3000*Escalation!$B$82</f>
        <v/>
      </c>
      <c r="CF73" s="211">
        <f>-3000*Escalation!$B$83</f>
        <v/>
      </c>
      <c r="CG73" s="211">
        <f>-3000*Escalation!$B$84</f>
        <v/>
      </c>
      <c r="CH73" s="211">
        <f>-3000*Escalation!$B$85</f>
        <v/>
      </c>
      <c r="CI73" s="226" t="n"/>
    </row>
    <row r="74" ht="15" customHeight="1" s="202">
      <c r="A74" s="210" t="inlineStr">
        <is>
          <t>Travel and M&amp;E</t>
        </is>
      </c>
      <c r="B74" s="225" t="n"/>
      <c r="C74" s="211">
        <f>-2500*Escalation!$B$2</f>
        <v/>
      </c>
      <c r="D74" s="211">
        <f>-2500*Escalation!$B$3</f>
        <v/>
      </c>
      <c r="E74" s="211">
        <f>-2500*Escalation!$B$4</f>
        <v/>
      </c>
      <c r="F74" s="211">
        <f>-2500*Escalation!$B$5</f>
        <v/>
      </c>
      <c r="G74" s="211">
        <f>-2500*Escalation!$B$6</f>
        <v/>
      </c>
      <c r="H74" s="211">
        <f>-2500*Escalation!$B$7</f>
        <v/>
      </c>
      <c r="I74" s="211">
        <f>-2500*Escalation!$B$8</f>
        <v/>
      </c>
      <c r="J74" s="211">
        <f>-2500*Escalation!$B$9</f>
        <v/>
      </c>
      <c r="K74" s="211">
        <f>-2500*Escalation!$B$10</f>
        <v/>
      </c>
      <c r="L74" s="211">
        <f>-2500*Escalation!$B$11</f>
        <v/>
      </c>
      <c r="M74" s="211">
        <f>-2500*Escalation!$B$12</f>
        <v/>
      </c>
      <c r="N74" s="211">
        <f>-2500*Escalation!$B$13</f>
        <v/>
      </c>
      <c r="O74" s="211">
        <f>-2500*Escalation!$B$14</f>
        <v/>
      </c>
      <c r="P74" s="211">
        <f>-2500*Escalation!$B$15</f>
        <v/>
      </c>
      <c r="Q74" s="211">
        <f>-2500*Escalation!$B$16</f>
        <v/>
      </c>
      <c r="R74" s="211">
        <f>-2500*Escalation!$B$17</f>
        <v/>
      </c>
      <c r="S74" s="211">
        <f>-2500*Escalation!$B$18</f>
        <v/>
      </c>
      <c r="T74" s="211">
        <f>-2500*Escalation!$B$19</f>
        <v/>
      </c>
      <c r="U74" s="211">
        <f>-2500*Escalation!$B$20</f>
        <v/>
      </c>
      <c r="V74" s="211">
        <f>-2500*Escalation!$B$21</f>
        <v/>
      </c>
      <c r="W74" s="211">
        <f>-2500*Escalation!$B$22</f>
        <v/>
      </c>
      <c r="X74" s="211">
        <f>-2500*Escalation!$B$23</f>
        <v/>
      </c>
      <c r="Y74" s="211">
        <f>-2500*Escalation!$B$24</f>
        <v/>
      </c>
      <c r="Z74" s="211">
        <f>-2500*Escalation!$B$25</f>
        <v/>
      </c>
      <c r="AA74" s="211">
        <f>-2500*Escalation!$B$26</f>
        <v/>
      </c>
      <c r="AB74" s="211">
        <f>-2500*Escalation!$B$27</f>
        <v/>
      </c>
      <c r="AC74" s="211">
        <f>-2500*Escalation!$B$28</f>
        <v/>
      </c>
      <c r="AD74" s="211">
        <f>-2500*Escalation!$B$29</f>
        <v/>
      </c>
      <c r="AE74" s="211">
        <f>-2500*Escalation!$B$30</f>
        <v/>
      </c>
      <c r="AF74" s="211">
        <f>-2500*Escalation!$B$31</f>
        <v/>
      </c>
      <c r="AG74" s="211">
        <f>-2500*Escalation!$B$32</f>
        <v/>
      </c>
      <c r="AH74" s="211">
        <f>-2500*Escalation!$B$33</f>
        <v/>
      </c>
      <c r="AI74" s="211">
        <f>-2500*Escalation!$B$34</f>
        <v/>
      </c>
      <c r="AJ74" s="211">
        <f>-2500*Escalation!$B$35</f>
        <v/>
      </c>
      <c r="AK74" s="211">
        <f>-2500*Escalation!$B$36</f>
        <v/>
      </c>
      <c r="AL74" s="211">
        <f>-2500*Escalation!$B$37</f>
        <v/>
      </c>
      <c r="AM74" s="211">
        <f>-2500*Escalation!$B$38</f>
        <v/>
      </c>
      <c r="AN74" s="211">
        <f>-2500*Escalation!$B$39</f>
        <v/>
      </c>
      <c r="AO74" s="211">
        <f>-2500*Escalation!$B$40</f>
        <v/>
      </c>
      <c r="AP74" s="211">
        <f>-2500*Escalation!$B$41</f>
        <v/>
      </c>
      <c r="AQ74" s="211">
        <f>-2500*Escalation!$B$42</f>
        <v/>
      </c>
      <c r="AR74" s="211">
        <f>-2500*Escalation!$B$43</f>
        <v/>
      </c>
      <c r="AS74" s="211">
        <f>-2500*Escalation!$B$44</f>
        <v/>
      </c>
      <c r="AT74" s="211">
        <f>-2500*Escalation!$B$45</f>
        <v/>
      </c>
      <c r="AU74" s="211">
        <f>-2500*Escalation!$B$46</f>
        <v/>
      </c>
      <c r="AV74" s="211">
        <f>-2500*Escalation!$B$47</f>
        <v/>
      </c>
      <c r="AW74" s="211">
        <f>-2500*Escalation!$B$48</f>
        <v/>
      </c>
      <c r="AX74" s="211">
        <f>-2500*Escalation!$B$49</f>
        <v/>
      </c>
      <c r="AY74" s="211">
        <f>-2500*Escalation!$B$50</f>
        <v/>
      </c>
      <c r="AZ74" s="211">
        <f>-2500*Escalation!$B$51</f>
        <v/>
      </c>
      <c r="BA74" s="211">
        <f>-2500*Escalation!$B$52</f>
        <v/>
      </c>
      <c r="BB74" s="211">
        <f>-2500*Escalation!$B$53</f>
        <v/>
      </c>
      <c r="BC74" s="211">
        <f>-2500*Escalation!$B$54</f>
        <v/>
      </c>
      <c r="BD74" s="211">
        <f>-2500*Escalation!$B$55</f>
        <v/>
      </c>
      <c r="BE74" s="211">
        <f>-2500*Escalation!$B$56</f>
        <v/>
      </c>
      <c r="BF74" s="211">
        <f>-2500*Escalation!$B$57</f>
        <v/>
      </c>
      <c r="BG74" s="211">
        <f>-2500*Escalation!$B$58</f>
        <v/>
      </c>
      <c r="BH74" s="211">
        <f>-2500*Escalation!$B$59</f>
        <v/>
      </c>
      <c r="BI74" s="211">
        <f>-2500*Escalation!$B$60</f>
        <v/>
      </c>
      <c r="BJ74" s="211">
        <f>-2500*Escalation!$B$61</f>
        <v/>
      </c>
      <c r="BK74" s="211">
        <f>-2500*Escalation!$B$62</f>
        <v/>
      </c>
      <c r="BL74" s="211">
        <f>-2500*Escalation!$B$63</f>
        <v/>
      </c>
      <c r="BM74" s="211">
        <f>-2500*Escalation!$B$64</f>
        <v/>
      </c>
      <c r="BN74" s="211">
        <f>-2500*Escalation!$B$65</f>
        <v/>
      </c>
      <c r="BO74" s="211">
        <f>-2500*Escalation!$B$66</f>
        <v/>
      </c>
      <c r="BP74" s="211">
        <f>-2500*Escalation!$B$67</f>
        <v/>
      </c>
      <c r="BQ74" s="211">
        <f>-2500*Escalation!$B$68</f>
        <v/>
      </c>
      <c r="BR74" s="211">
        <f>-2500*Escalation!$B$69</f>
        <v/>
      </c>
      <c r="BS74" s="211">
        <f>-2500*Escalation!$B$70</f>
        <v/>
      </c>
      <c r="BT74" s="211">
        <f>-2500*Escalation!$B$71</f>
        <v/>
      </c>
      <c r="BU74" s="211">
        <f>-2500*Escalation!$B$72</f>
        <v/>
      </c>
      <c r="BV74" s="211">
        <f>-2500*Escalation!$B$73</f>
        <v/>
      </c>
      <c r="BW74" s="211">
        <f>-2500*Escalation!$B$74</f>
        <v/>
      </c>
      <c r="BX74" s="211">
        <f>-2500*Escalation!$B$75</f>
        <v/>
      </c>
      <c r="BY74" s="211">
        <f>-2500*Escalation!$B$76</f>
        <v/>
      </c>
      <c r="BZ74" s="211">
        <f>-2500*Escalation!$B$77</f>
        <v/>
      </c>
      <c r="CA74" s="211">
        <f>-2500*Escalation!$B$78</f>
        <v/>
      </c>
      <c r="CB74" s="211">
        <f>-2500*Escalation!$B$79</f>
        <v/>
      </c>
      <c r="CC74" s="211">
        <f>-2500*Escalation!$B$80</f>
        <v/>
      </c>
      <c r="CD74" s="211">
        <f>-2500*Escalation!$B$81</f>
        <v/>
      </c>
      <c r="CE74" s="211">
        <f>-2500*Escalation!$B$82</f>
        <v/>
      </c>
      <c r="CF74" s="211">
        <f>-2500*Escalation!$B$83</f>
        <v/>
      </c>
      <c r="CG74" s="211">
        <f>-2500*Escalation!$B$84</f>
        <v/>
      </c>
      <c r="CH74" s="211">
        <f>-2500*Escalation!$B$85</f>
        <v/>
      </c>
      <c r="CI74" s="226" t="n"/>
    </row>
    <row r="75" ht="15" customHeight="1" s="202">
      <c r="A75" s="210" t="inlineStr">
        <is>
          <t>Insurance</t>
        </is>
      </c>
      <c r="B75" s="225" t="n"/>
      <c r="C75" s="211">
        <f>-2100*Escalation!$B$2</f>
        <v/>
      </c>
      <c r="D75" s="211">
        <f>-2100*Escalation!$B$3</f>
        <v/>
      </c>
      <c r="E75" s="211">
        <f>-2100*Escalation!$B$4</f>
        <v/>
      </c>
      <c r="F75" s="211">
        <f>-2100*Escalation!$B$5</f>
        <v/>
      </c>
      <c r="G75" s="211">
        <f>-2100*Escalation!$B$6</f>
        <v/>
      </c>
      <c r="H75" s="211">
        <f>-2100*Escalation!$B$7</f>
        <v/>
      </c>
      <c r="I75" s="211">
        <f>-2100*Escalation!$B$8</f>
        <v/>
      </c>
      <c r="J75" s="211">
        <f>-2100*Escalation!$B$9</f>
        <v/>
      </c>
      <c r="K75" s="211">
        <f>-2100*Escalation!$B$10</f>
        <v/>
      </c>
      <c r="L75" s="211">
        <f>-2100*Escalation!$B$11</f>
        <v/>
      </c>
      <c r="M75" s="211">
        <f>-2100*Escalation!$B$12</f>
        <v/>
      </c>
      <c r="N75" s="211">
        <f>-2100*Escalation!$B$13</f>
        <v/>
      </c>
      <c r="O75" s="211">
        <f>-2100*Escalation!$B$14</f>
        <v/>
      </c>
      <c r="P75" s="211">
        <f>-2100*Escalation!$B$15</f>
        <v/>
      </c>
      <c r="Q75" s="211">
        <f>-2100*Escalation!$B$16</f>
        <v/>
      </c>
      <c r="R75" s="211">
        <f>-2100*Escalation!$B$17</f>
        <v/>
      </c>
      <c r="S75" s="211">
        <f>-2100*Escalation!$B$18</f>
        <v/>
      </c>
      <c r="T75" s="211">
        <f>-2100*Escalation!$B$19</f>
        <v/>
      </c>
      <c r="U75" s="211">
        <f>-2100*Escalation!$B$20</f>
        <v/>
      </c>
      <c r="V75" s="211">
        <f>-2100*Escalation!$B$21</f>
        <v/>
      </c>
      <c r="W75" s="211">
        <f>-2100*Escalation!$B$22</f>
        <v/>
      </c>
      <c r="X75" s="211">
        <f>-2100*Escalation!$B$23</f>
        <v/>
      </c>
      <c r="Y75" s="211">
        <f>-2100*Escalation!$B$24</f>
        <v/>
      </c>
      <c r="Z75" s="211">
        <f>-2100*Escalation!$B$25</f>
        <v/>
      </c>
      <c r="AA75" s="211">
        <f>-2100*Escalation!$B$26</f>
        <v/>
      </c>
      <c r="AB75" s="211">
        <f>-2100*Escalation!$B$27</f>
        <v/>
      </c>
      <c r="AC75" s="211">
        <f>-2100*Escalation!$B$28</f>
        <v/>
      </c>
      <c r="AD75" s="211">
        <f>-2100*Escalation!$B$29</f>
        <v/>
      </c>
      <c r="AE75" s="211">
        <f>-2100*Escalation!$B$30</f>
        <v/>
      </c>
      <c r="AF75" s="211">
        <f>-2100*Escalation!$B$31</f>
        <v/>
      </c>
      <c r="AG75" s="211">
        <f>-2100*Escalation!$B$32</f>
        <v/>
      </c>
      <c r="AH75" s="211">
        <f>-2100*Escalation!$B$33</f>
        <v/>
      </c>
      <c r="AI75" s="211">
        <f>-2100*Escalation!$B$34</f>
        <v/>
      </c>
      <c r="AJ75" s="211">
        <f>-2100*Escalation!$B$35</f>
        <v/>
      </c>
      <c r="AK75" s="211">
        <f>-2100*Escalation!$B$36</f>
        <v/>
      </c>
      <c r="AL75" s="211">
        <f>-2100*Escalation!$B$37</f>
        <v/>
      </c>
      <c r="AM75" s="211">
        <f>-2100*Escalation!$B$38</f>
        <v/>
      </c>
      <c r="AN75" s="211">
        <f>-2100*Escalation!$B$39</f>
        <v/>
      </c>
      <c r="AO75" s="211">
        <f>-2100*Escalation!$B$40</f>
        <v/>
      </c>
      <c r="AP75" s="211">
        <f>-2100*Escalation!$B$41</f>
        <v/>
      </c>
      <c r="AQ75" s="211">
        <f>-2100*Escalation!$B$42</f>
        <v/>
      </c>
      <c r="AR75" s="211">
        <f>-2100*Escalation!$B$43</f>
        <v/>
      </c>
      <c r="AS75" s="211">
        <f>-2100*Escalation!$B$44</f>
        <v/>
      </c>
      <c r="AT75" s="211">
        <f>-2100*Escalation!$B$45</f>
        <v/>
      </c>
      <c r="AU75" s="211">
        <f>-2100*Escalation!$B$46</f>
        <v/>
      </c>
      <c r="AV75" s="211">
        <f>-2100*Escalation!$B$47</f>
        <v/>
      </c>
      <c r="AW75" s="211">
        <f>-2100*Escalation!$B$48</f>
        <v/>
      </c>
      <c r="AX75" s="211">
        <f>-2100*Escalation!$B$49</f>
        <v/>
      </c>
      <c r="AY75" s="211">
        <f>-2100*Escalation!$B$50</f>
        <v/>
      </c>
      <c r="AZ75" s="211">
        <f>-2100*Escalation!$B$51</f>
        <v/>
      </c>
      <c r="BA75" s="211">
        <f>-2100*Escalation!$B$52</f>
        <v/>
      </c>
      <c r="BB75" s="211">
        <f>-2100*Escalation!$B$53</f>
        <v/>
      </c>
      <c r="BC75" s="211">
        <f>-2100*Escalation!$B$54</f>
        <v/>
      </c>
      <c r="BD75" s="211">
        <f>-2100*Escalation!$B$55</f>
        <v/>
      </c>
      <c r="BE75" s="211">
        <f>-2100*Escalation!$B$56</f>
        <v/>
      </c>
      <c r="BF75" s="211">
        <f>-2100*Escalation!$B$57</f>
        <v/>
      </c>
      <c r="BG75" s="211">
        <f>-2100*Escalation!$B$58</f>
        <v/>
      </c>
      <c r="BH75" s="211">
        <f>-2100*Escalation!$B$59</f>
        <v/>
      </c>
      <c r="BI75" s="211">
        <f>-2100*Escalation!$B$60</f>
        <v/>
      </c>
      <c r="BJ75" s="211">
        <f>-2100*Escalation!$B$61</f>
        <v/>
      </c>
      <c r="BK75" s="211">
        <f>-2100*Escalation!$B$62</f>
        <v/>
      </c>
      <c r="BL75" s="211">
        <f>-2100*Escalation!$B$63</f>
        <v/>
      </c>
      <c r="BM75" s="211">
        <f>-2100*Escalation!$B$64</f>
        <v/>
      </c>
      <c r="BN75" s="211">
        <f>-2100*Escalation!$B$65</f>
        <v/>
      </c>
      <c r="BO75" s="211">
        <f>-2100*Escalation!$B$66</f>
        <v/>
      </c>
      <c r="BP75" s="211">
        <f>-2100*Escalation!$B$67</f>
        <v/>
      </c>
      <c r="BQ75" s="211">
        <f>-2100*Escalation!$B$68</f>
        <v/>
      </c>
      <c r="BR75" s="211">
        <f>-2100*Escalation!$B$69</f>
        <v/>
      </c>
      <c r="BS75" s="211">
        <f>-2100*Escalation!$B$70</f>
        <v/>
      </c>
      <c r="BT75" s="211">
        <f>-2100*Escalation!$B$71</f>
        <v/>
      </c>
      <c r="BU75" s="211">
        <f>-2100*Escalation!$B$72</f>
        <v/>
      </c>
      <c r="BV75" s="211">
        <f>-2100*Escalation!$B$73</f>
        <v/>
      </c>
      <c r="BW75" s="211">
        <f>-2100*Escalation!$B$74</f>
        <v/>
      </c>
      <c r="BX75" s="211">
        <f>-2100*Escalation!$B$75</f>
        <v/>
      </c>
      <c r="BY75" s="211">
        <f>-2100*Escalation!$B$76</f>
        <v/>
      </c>
      <c r="BZ75" s="211">
        <f>-2100*Escalation!$B$77</f>
        <v/>
      </c>
      <c r="CA75" s="211">
        <f>-2100*Escalation!$B$78</f>
        <v/>
      </c>
      <c r="CB75" s="211">
        <f>-2100*Escalation!$B$79</f>
        <v/>
      </c>
      <c r="CC75" s="211">
        <f>-2100*Escalation!$B$80</f>
        <v/>
      </c>
      <c r="CD75" s="211">
        <f>-2100*Escalation!$B$81</f>
        <v/>
      </c>
      <c r="CE75" s="211">
        <f>-2100*Escalation!$B$82</f>
        <v/>
      </c>
      <c r="CF75" s="211">
        <f>-2100*Escalation!$B$83</f>
        <v/>
      </c>
      <c r="CG75" s="211">
        <f>-2100*Escalation!$B$84</f>
        <v/>
      </c>
      <c r="CH75" s="211">
        <f>-2100*Escalation!$B$85</f>
        <v/>
      </c>
      <c r="CI75" s="226" t="n"/>
    </row>
    <row r="76" ht="15" customHeight="1" s="202">
      <c r="A76" s="210" t="inlineStr">
        <is>
          <t>Other Operating Expenses</t>
        </is>
      </c>
      <c r="B76" s="225" t="n"/>
      <c r="C76" s="211">
        <f>-2500*Escalation!$B$2</f>
        <v/>
      </c>
      <c r="D76" s="211">
        <f>-2500*Escalation!$B$3</f>
        <v/>
      </c>
      <c r="E76" s="211">
        <f>-2500*Escalation!$B$4</f>
        <v/>
      </c>
      <c r="F76" s="211">
        <f>-2500*Escalation!$B$5</f>
        <v/>
      </c>
      <c r="G76" s="211">
        <f>-2500*Escalation!$B$6</f>
        <v/>
      </c>
      <c r="H76" s="211">
        <f>-2500*Escalation!$B$7</f>
        <v/>
      </c>
      <c r="I76" s="211">
        <f>-2500*Escalation!$B$8</f>
        <v/>
      </c>
      <c r="J76" s="211">
        <f>-2500*Escalation!$B$9</f>
        <v/>
      </c>
      <c r="K76" s="211">
        <f>-2500*Escalation!$B$10</f>
        <v/>
      </c>
      <c r="L76" s="211">
        <f>-2500*Escalation!$B$11</f>
        <v/>
      </c>
      <c r="M76" s="211">
        <f>-2500*Escalation!$B$12</f>
        <v/>
      </c>
      <c r="N76" s="211">
        <f>-2500*Escalation!$B$13</f>
        <v/>
      </c>
      <c r="O76" s="211">
        <f>-2500*Escalation!$B$14</f>
        <v/>
      </c>
      <c r="P76" s="211">
        <f>-2500*Escalation!$B$15</f>
        <v/>
      </c>
      <c r="Q76" s="211">
        <f>-2500*Escalation!$B$16</f>
        <v/>
      </c>
      <c r="R76" s="211">
        <f>-2500*Escalation!$B$17</f>
        <v/>
      </c>
      <c r="S76" s="211">
        <f>-2500*Escalation!$B$18</f>
        <v/>
      </c>
      <c r="T76" s="211">
        <f>-2500*Escalation!$B$19</f>
        <v/>
      </c>
      <c r="U76" s="211">
        <f>-2500*Escalation!$B$20</f>
        <v/>
      </c>
      <c r="V76" s="211">
        <f>-2500*Escalation!$B$21</f>
        <v/>
      </c>
      <c r="W76" s="211">
        <f>-2500*Escalation!$B$22</f>
        <v/>
      </c>
      <c r="X76" s="211">
        <f>-2500*Escalation!$B$23</f>
        <v/>
      </c>
      <c r="Y76" s="211">
        <f>-2500*Escalation!$B$24</f>
        <v/>
      </c>
      <c r="Z76" s="211">
        <f>-2500*Escalation!$B$25</f>
        <v/>
      </c>
      <c r="AA76" s="211">
        <f>-2500*Escalation!$B$26</f>
        <v/>
      </c>
      <c r="AB76" s="211">
        <f>-2500*Escalation!$B$27</f>
        <v/>
      </c>
      <c r="AC76" s="211">
        <f>-2500*Escalation!$B$28</f>
        <v/>
      </c>
      <c r="AD76" s="211">
        <f>-2500*Escalation!$B$29</f>
        <v/>
      </c>
      <c r="AE76" s="211">
        <f>-2500*Escalation!$B$30</f>
        <v/>
      </c>
      <c r="AF76" s="211">
        <f>-2500*Escalation!$B$31</f>
        <v/>
      </c>
      <c r="AG76" s="211">
        <f>-2500*Escalation!$B$32</f>
        <v/>
      </c>
      <c r="AH76" s="211">
        <f>-2500*Escalation!$B$33</f>
        <v/>
      </c>
      <c r="AI76" s="211">
        <f>-2500*Escalation!$B$34</f>
        <v/>
      </c>
      <c r="AJ76" s="211">
        <f>-2500*Escalation!$B$35</f>
        <v/>
      </c>
      <c r="AK76" s="211">
        <f>-2500*Escalation!$B$36</f>
        <v/>
      </c>
      <c r="AL76" s="211">
        <f>-2500*Escalation!$B$37</f>
        <v/>
      </c>
      <c r="AM76" s="211">
        <f>-2500*Escalation!$B$38</f>
        <v/>
      </c>
      <c r="AN76" s="211">
        <f>-2500*Escalation!$B$39</f>
        <v/>
      </c>
      <c r="AO76" s="211">
        <f>-2500*Escalation!$B$40</f>
        <v/>
      </c>
      <c r="AP76" s="211">
        <f>-2500*Escalation!$B$41</f>
        <v/>
      </c>
      <c r="AQ76" s="211">
        <f>-2500*Escalation!$B$42</f>
        <v/>
      </c>
      <c r="AR76" s="211">
        <f>-2500*Escalation!$B$43</f>
        <v/>
      </c>
      <c r="AS76" s="211">
        <f>-2500*Escalation!$B$44</f>
        <v/>
      </c>
      <c r="AT76" s="211">
        <f>-2500*Escalation!$B$45</f>
        <v/>
      </c>
      <c r="AU76" s="211">
        <f>-2500*Escalation!$B$46</f>
        <v/>
      </c>
      <c r="AV76" s="211">
        <f>-2500*Escalation!$B$47</f>
        <v/>
      </c>
      <c r="AW76" s="211">
        <f>-2500*Escalation!$B$48</f>
        <v/>
      </c>
      <c r="AX76" s="211">
        <f>-2500*Escalation!$B$49</f>
        <v/>
      </c>
      <c r="AY76" s="211">
        <f>-2500*Escalation!$B$50</f>
        <v/>
      </c>
      <c r="AZ76" s="211">
        <f>-2500*Escalation!$B$51</f>
        <v/>
      </c>
      <c r="BA76" s="211">
        <f>-2500*Escalation!$B$52</f>
        <v/>
      </c>
      <c r="BB76" s="211">
        <f>-2500*Escalation!$B$53</f>
        <v/>
      </c>
      <c r="BC76" s="211">
        <f>-2500*Escalation!$B$54</f>
        <v/>
      </c>
      <c r="BD76" s="211">
        <f>-2500*Escalation!$B$55</f>
        <v/>
      </c>
      <c r="BE76" s="211">
        <f>-2500*Escalation!$B$56</f>
        <v/>
      </c>
      <c r="BF76" s="211">
        <f>-2500*Escalation!$B$57</f>
        <v/>
      </c>
      <c r="BG76" s="211">
        <f>-2500*Escalation!$B$58</f>
        <v/>
      </c>
      <c r="BH76" s="211">
        <f>-2500*Escalation!$B$59</f>
        <v/>
      </c>
      <c r="BI76" s="211">
        <f>-2500*Escalation!$B$60</f>
        <v/>
      </c>
      <c r="BJ76" s="211">
        <f>-2500*Escalation!$B$61</f>
        <v/>
      </c>
      <c r="BK76" s="211">
        <f>-2500*Escalation!$B$62</f>
        <v/>
      </c>
      <c r="BL76" s="211">
        <f>-2500*Escalation!$B$63</f>
        <v/>
      </c>
      <c r="BM76" s="211">
        <f>-2500*Escalation!$B$64</f>
        <v/>
      </c>
      <c r="BN76" s="211">
        <f>-2500*Escalation!$B$65</f>
        <v/>
      </c>
      <c r="BO76" s="211">
        <f>-2500*Escalation!$B$66</f>
        <v/>
      </c>
      <c r="BP76" s="211">
        <f>-2500*Escalation!$B$67</f>
        <v/>
      </c>
      <c r="BQ76" s="211">
        <f>-2500*Escalation!$B$68</f>
        <v/>
      </c>
      <c r="BR76" s="211">
        <f>-2500*Escalation!$B$69</f>
        <v/>
      </c>
      <c r="BS76" s="211">
        <f>-2500*Escalation!$B$70</f>
        <v/>
      </c>
      <c r="BT76" s="211">
        <f>-2500*Escalation!$B$71</f>
        <v/>
      </c>
      <c r="BU76" s="211">
        <f>-2500*Escalation!$B$72</f>
        <v/>
      </c>
      <c r="BV76" s="211">
        <f>-2500*Escalation!$B$73</f>
        <v/>
      </c>
      <c r="BW76" s="211">
        <f>-2500*Escalation!$B$74</f>
        <v/>
      </c>
      <c r="BX76" s="211">
        <f>-2500*Escalation!$B$75</f>
        <v/>
      </c>
      <c r="BY76" s="211">
        <f>-2500*Escalation!$B$76</f>
        <v/>
      </c>
      <c r="BZ76" s="211">
        <f>-2500*Escalation!$B$77</f>
        <v/>
      </c>
      <c r="CA76" s="211">
        <f>-2500*Escalation!$B$78</f>
        <v/>
      </c>
      <c r="CB76" s="211">
        <f>-2500*Escalation!$B$79</f>
        <v/>
      </c>
      <c r="CC76" s="211">
        <f>-2500*Escalation!$B$80</f>
        <v/>
      </c>
      <c r="CD76" s="211">
        <f>-2500*Escalation!$B$81</f>
        <v/>
      </c>
      <c r="CE76" s="211">
        <f>-2500*Escalation!$B$82</f>
        <v/>
      </c>
      <c r="CF76" s="211">
        <f>-2500*Escalation!$B$83</f>
        <v/>
      </c>
      <c r="CG76" s="211">
        <f>-2500*Escalation!$B$84</f>
        <v/>
      </c>
      <c r="CH76" s="211">
        <f>-2500*Escalation!$B$85</f>
        <v/>
      </c>
      <c r="CI76" s="226" t="n"/>
    </row>
    <row r="77" ht="15" customHeight="1" s="202">
      <c r="A77" s="210" t="inlineStr">
        <is>
          <t>Yardi License (Annual)</t>
        </is>
      </c>
      <c r="B77" s="225" t="n"/>
      <c r="C77" s="211" t="n">
        <v>0</v>
      </c>
      <c r="D77" s="211" t="n">
        <v>0</v>
      </c>
      <c r="E77" s="211" t="n">
        <v>0</v>
      </c>
      <c r="F77" s="211" t="n">
        <v>0</v>
      </c>
      <c r="G77" s="211" t="n">
        <v>0</v>
      </c>
      <c r="H77" s="211" t="n">
        <v>0</v>
      </c>
      <c r="I77" s="211" t="n">
        <v>0</v>
      </c>
      <c r="J77" s="211" t="n">
        <v>0</v>
      </c>
      <c r="K77" s="211">
        <f>-21000*Escalation!$B$10</f>
        <v/>
      </c>
      <c r="L77" s="211" t="n">
        <v>0</v>
      </c>
      <c r="M77" s="211" t="n">
        <v>0</v>
      </c>
      <c r="N77" s="211" t="n">
        <v>0</v>
      </c>
      <c r="O77" s="211" t="n">
        <v>0</v>
      </c>
      <c r="P77" s="211" t="n">
        <v>0</v>
      </c>
      <c r="Q77" s="211" t="n">
        <v>0</v>
      </c>
      <c r="R77" s="211" t="n">
        <v>0</v>
      </c>
      <c r="S77" s="211" t="n">
        <v>0</v>
      </c>
      <c r="T77" s="211" t="n">
        <v>0</v>
      </c>
      <c r="U77" s="211" t="n">
        <v>0</v>
      </c>
      <c r="V77" s="211" t="n">
        <v>0</v>
      </c>
      <c r="W77" s="211">
        <f>-21000*Escalation!$B$22</f>
        <v/>
      </c>
      <c r="X77" s="211" t="n">
        <v>0</v>
      </c>
      <c r="Y77" s="211" t="n">
        <v>0</v>
      </c>
      <c r="Z77" s="211" t="n">
        <v>0</v>
      </c>
      <c r="AA77" s="211" t="n">
        <v>0</v>
      </c>
      <c r="AB77" s="211" t="n">
        <v>0</v>
      </c>
      <c r="AC77" s="211" t="n">
        <v>0</v>
      </c>
      <c r="AD77" s="211" t="n">
        <v>0</v>
      </c>
      <c r="AE77" s="211" t="n">
        <v>0</v>
      </c>
      <c r="AF77" s="211" t="n">
        <v>0</v>
      </c>
      <c r="AG77" s="211" t="n">
        <v>0</v>
      </c>
      <c r="AH77" s="211" t="n">
        <v>0</v>
      </c>
      <c r="AI77" s="211">
        <f>-21000*Escalation!$B$34</f>
        <v/>
      </c>
      <c r="AJ77" s="211" t="n">
        <v>0</v>
      </c>
      <c r="AK77" s="211" t="n">
        <v>0</v>
      </c>
      <c r="AL77" s="211" t="n">
        <v>0</v>
      </c>
      <c r="AM77" s="211" t="n">
        <v>0</v>
      </c>
      <c r="AN77" s="211" t="n">
        <v>0</v>
      </c>
      <c r="AO77" s="211" t="n">
        <v>0</v>
      </c>
      <c r="AP77" s="211" t="n">
        <v>0</v>
      </c>
      <c r="AQ77" s="211" t="n">
        <v>0</v>
      </c>
      <c r="AR77" s="211" t="n">
        <v>0</v>
      </c>
      <c r="AS77" s="211" t="n">
        <v>0</v>
      </c>
      <c r="AT77" s="211" t="n">
        <v>0</v>
      </c>
      <c r="AU77" s="211">
        <f>-21000*Escalation!$B$46</f>
        <v/>
      </c>
      <c r="AV77" s="211" t="n">
        <v>0</v>
      </c>
      <c r="AW77" s="211" t="n">
        <v>0</v>
      </c>
      <c r="AX77" s="211" t="n">
        <v>0</v>
      </c>
      <c r="AY77" s="211" t="n">
        <v>0</v>
      </c>
      <c r="AZ77" s="211" t="n">
        <v>0</v>
      </c>
      <c r="BA77" s="211" t="n">
        <v>0</v>
      </c>
      <c r="BB77" s="211" t="n">
        <v>0</v>
      </c>
      <c r="BC77" s="211" t="n">
        <v>0</v>
      </c>
      <c r="BD77" s="211" t="n">
        <v>0</v>
      </c>
      <c r="BE77" s="211" t="n">
        <v>0</v>
      </c>
      <c r="BF77" s="211" t="n">
        <v>0</v>
      </c>
      <c r="BG77" s="211">
        <f>-21000*Escalation!$B$58</f>
        <v/>
      </c>
      <c r="BH77" s="211" t="n">
        <v>0</v>
      </c>
      <c r="BI77" s="211" t="n">
        <v>0</v>
      </c>
      <c r="BJ77" s="211" t="n">
        <v>0</v>
      </c>
      <c r="BK77" s="211" t="n">
        <v>0</v>
      </c>
      <c r="BL77" s="211" t="n">
        <v>0</v>
      </c>
      <c r="BM77" s="211" t="n">
        <v>0</v>
      </c>
      <c r="BN77" s="211" t="n">
        <v>0</v>
      </c>
      <c r="BO77" s="211" t="n">
        <v>0</v>
      </c>
      <c r="BP77" s="211" t="n">
        <v>0</v>
      </c>
      <c r="BQ77" s="211" t="n">
        <v>0</v>
      </c>
      <c r="BR77" s="211" t="n">
        <v>0</v>
      </c>
      <c r="BS77" s="211">
        <f>-21000*Escalation!$B$70</f>
        <v/>
      </c>
      <c r="BT77" s="211" t="n">
        <v>0</v>
      </c>
      <c r="BU77" s="211" t="n">
        <v>0</v>
      </c>
      <c r="BV77" s="211" t="n">
        <v>0</v>
      </c>
      <c r="BW77" s="211" t="n">
        <v>0</v>
      </c>
      <c r="BX77" s="211" t="n">
        <v>0</v>
      </c>
      <c r="BY77" s="211" t="n">
        <v>0</v>
      </c>
      <c r="BZ77" s="211" t="n">
        <v>0</v>
      </c>
      <c r="CA77" s="211" t="n">
        <v>0</v>
      </c>
      <c r="CB77" s="211" t="n">
        <v>0</v>
      </c>
      <c r="CC77" s="211" t="n">
        <v>0</v>
      </c>
      <c r="CD77" s="211" t="n">
        <v>0</v>
      </c>
      <c r="CE77" s="211">
        <f>-21000*Escalation!$B$82</f>
        <v/>
      </c>
      <c r="CF77" s="211" t="n">
        <v>0</v>
      </c>
      <c r="CG77" s="211" t="n">
        <v>0</v>
      </c>
      <c r="CH77" s="211" t="n">
        <v>0</v>
      </c>
      <c r="CI77" s="226" t="n"/>
    </row>
    <row r="78" ht="15" customHeight="1" s="202">
      <c r="A78" s="210" t="inlineStr">
        <is>
          <t>Juniper Square (Annual)</t>
        </is>
      </c>
      <c r="B78" s="225" t="n"/>
      <c r="C78" s="211" t="n">
        <v>0</v>
      </c>
      <c r="D78" s="211" t="n">
        <v>0</v>
      </c>
      <c r="E78" s="211" t="n">
        <v>0</v>
      </c>
      <c r="F78" s="211">
        <f>-23000*Escalation!$B$5</f>
        <v/>
      </c>
      <c r="G78" s="211" t="n">
        <v>0</v>
      </c>
      <c r="H78" s="211" t="n">
        <v>0</v>
      </c>
      <c r="I78" s="211" t="n">
        <v>0</v>
      </c>
      <c r="J78" s="211" t="n">
        <v>0</v>
      </c>
      <c r="K78" s="211" t="n">
        <v>0</v>
      </c>
      <c r="L78" s="211" t="n">
        <v>0</v>
      </c>
      <c r="M78" s="211" t="n">
        <v>0</v>
      </c>
      <c r="N78" s="211" t="n">
        <v>0</v>
      </c>
      <c r="O78" s="211" t="n">
        <v>0</v>
      </c>
      <c r="P78" s="211" t="n">
        <v>0</v>
      </c>
      <c r="Q78" s="211" t="n">
        <v>0</v>
      </c>
      <c r="R78" s="211">
        <f>-23000*Escalation!$B$17</f>
        <v/>
      </c>
      <c r="S78" s="211" t="n">
        <v>0</v>
      </c>
      <c r="T78" s="211" t="n">
        <v>0</v>
      </c>
      <c r="U78" s="211" t="n">
        <v>0</v>
      </c>
      <c r="V78" s="211" t="n">
        <v>0</v>
      </c>
      <c r="W78" s="211" t="n">
        <v>0</v>
      </c>
      <c r="X78" s="211" t="n">
        <v>0</v>
      </c>
      <c r="Y78" s="211" t="n">
        <v>0</v>
      </c>
      <c r="Z78" s="211" t="n">
        <v>0</v>
      </c>
      <c r="AA78" s="211" t="n">
        <v>0</v>
      </c>
      <c r="AB78" s="211" t="n">
        <v>0</v>
      </c>
      <c r="AC78" s="211" t="n">
        <v>0</v>
      </c>
      <c r="AD78" s="211">
        <f>-23000*Escalation!$B$29</f>
        <v/>
      </c>
      <c r="AE78" s="211" t="n">
        <v>0</v>
      </c>
      <c r="AF78" s="211" t="n">
        <v>0</v>
      </c>
      <c r="AG78" s="211" t="n">
        <v>0</v>
      </c>
      <c r="AH78" s="211" t="n">
        <v>0</v>
      </c>
      <c r="AI78" s="211" t="n">
        <v>0</v>
      </c>
      <c r="AJ78" s="211" t="n">
        <v>0</v>
      </c>
      <c r="AK78" s="211" t="n">
        <v>0</v>
      </c>
      <c r="AL78" s="211" t="n">
        <v>0</v>
      </c>
      <c r="AM78" s="211" t="n">
        <v>0</v>
      </c>
      <c r="AN78" s="211" t="n">
        <v>0</v>
      </c>
      <c r="AO78" s="211" t="n">
        <v>0</v>
      </c>
      <c r="AP78" s="211">
        <f>-23000*Escalation!$B$41</f>
        <v/>
      </c>
      <c r="AQ78" s="211" t="n">
        <v>0</v>
      </c>
      <c r="AR78" s="211" t="n">
        <v>0</v>
      </c>
      <c r="AS78" s="211" t="n">
        <v>0</v>
      </c>
      <c r="AT78" s="211" t="n">
        <v>0</v>
      </c>
      <c r="AU78" s="211" t="n">
        <v>0</v>
      </c>
      <c r="AV78" s="211" t="n">
        <v>0</v>
      </c>
      <c r="AW78" s="211" t="n">
        <v>0</v>
      </c>
      <c r="AX78" s="211" t="n">
        <v>0</v>
      </c>
      <c r="AY78" s="211" t="n">
        <v>0</v>
      </c>
      <c r="AZ78" s="211" t="n">
        <v>0</v>
      </c>
      <c r="BA78" s="211" t="n">
        <v>0</v>
      </c>
      <c r="BB78" s="211">
        <f>-23000*Escalation!$B$53</f>
        <v/>
      </c>
      <c r="BC78" s="211" t="n">
        <v>0</v>
      </c>
      <c r="BD78" s="211" t="n">
        <v>0</v>
      </c>
      <c r="BE78" s="211" t="n">
        <v>0</v>
      </c>
      <c r="BF78" s="211" t="n">
        <v>0</v>
      </c>
      <c r="BG78" s="211" t="n">
        <v>0</v>
      </c>
      <c r="BH78" s="211" t="n">
        <v>0</v>
      </c>
      <c r="BI78" s="211" t="n">
        <v>0</v>
      </c>
      <c r="BJ78" s="211" t="n">
        <v>0</v>
      </c>
      <c r="BK78" s="211" t="n">
        <v>0</v>
      </c>
      <c r="BL78" s="211" t="n">
        <v>0</v>
      </c>
      <c r="BM78" s="211" t="n">
        <v>0</v>
      </c>
      <c r="BN78" s="211">
        <f>-23000*Escalation!$B$65</f>
        <v/>
      </c>
      <c r="BO78" s="211" t="n">
        <v>0</v>
      </c>
      <c r="BP78" s="211" t="n">
        <v>0</v>
      </c>
      <c r="BQ78" s="211" t="n">
        <v>0</v>
      </c>
      <c r="BR78" s="211" t="n">
        <v>0</v>
      </c>
      <c r="BS78" s="211" t="n">
        <v>0</v>
      </c>
      <c r="BT78" s="211" t="n">
        <v>0</v>
      </c>
      <c r="BU78" s="211" t="n">
        <v>0</v>
      </c>
      <c r="BV78" s="211" t="n">
        <v>0</v>
      </c>
      <c r="BW78" s="211" t="n">
        <v>0</v>
      </c>
      <c r="BX78" s="211" t="n">
        <v>0</v>
      </c>
      <c r="BY78" s="211" t="n">
        <v>0</v>
      </c>
      <c r="BZ78" s="211">
        <f>-23000*Escalation!$B$77</f>
        <v/>
      </c>
      <c r="CA78" s="211" t="n">
        <v>0</v>
      </c>
      <c r="CB78" s="211" t="n">
        <v>0</v>
      </c>
      <c r="CC78" s="211" t="n">
        <v>0</v>
      </c>
      <c r="CD78" s="211" t="n">
        <v>0</v>
      </c>
      <c r="CE78" s="211" t="n">
        <v>0</v>
      </c>
      <c r="CF78" s="211" t="n">
        <v>0</v>
      </c>
      <c r="CG78" s="211" t="n">
        <v>0</v>
      </c>
      <c r="CH78" s="211" t="n">
        <v>0</v>
      </c>
      <c r="CI78" s="226" t="n"/>
    </row>
    <row r="79" ht="15" customHeight="1" s="202">
      <c r="A79" s="210" t="inlineStr">
        <is>
          <t>Steyn Group Guaranty Fee</t>
        </is>
      </c>
      <c r="B79" s="225" t="n"/>
      <c r="C79" s="211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/>
      </c>
      <c r="D79" s="211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/>
      </c>
      <c r="E79" s="211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/>
      </c>
      <c r="F79" s="211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/>
      </c>
      <c r="G79" s="211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/>
      </c>
      <c r="H79" s="211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/>
      </c>
      <c r="I79" s="211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/>
      </c>
      <c r="J79" s="211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/>
      </c>
      <c r="K79" s="211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/>
      </c>
      <c r="L79" s="211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/>
      </c>
      <c r="M79" s="211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/>
      </c>
      <c r="N79" s="211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/>
      </c>
      <c r="O79" s="211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/>
      </c>
      <c r="P79" s="211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/>
      </c>
      <c r="Q79" s="211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/>
      </c>
      <c r="R79" s="211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/>
      </c>
      <c r="S79" s="211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/>
      </c>
      <c r="T79" s="211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/>
      </c>
      <c r="U79" s="211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/>
      </c>
      <c r="V79" s="211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/>
      </c>
      <c r="W79" s="211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/>
      </c>
      <c r="X79" s="211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/>
      </c>
      <c r="Y79" s="211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/>
      </c>
      <c r="Z79" s="211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/>
      </c>
      <c r="AA79" s="211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/>
      </c>
      <c r="AB79" s="211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/>
      </c>
      <c r="AC79" s="211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/>
      </c>
      <c r="AD79" s="211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/>
      </c>
      <c r="AE79" s="211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/>
      </c>
      <c r="AF79" s="211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/>
      </c>
      <c r="AG79" s="211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/>
      </c>
      <c r="AH79" s="211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/>
      </c>
      <c r="AI79" s="211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/>
      </c>
      <c r="AJ79" s="211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/>
      </c>
      <c r="AK79" s="211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/>
      </c>
      <c r="AL79" s="211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/>
      </c>
      <c r="AM79" s="211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/>
      </c>
      <c r="AN79" s="211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/>
      </c>
      <c r="AO79" s="211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/>
      </c>
      <c r="AP79" s="211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/>
      </c>
      <c r="AQ79" s="211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/>
      </c>
      <c r="AR79" s="211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/>
      </c>
      <c r="AS79" s="211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/>
      </c>
      <c r="AT79" s="211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/>
      </c>
      <c r="AU79" s="211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/>
      </c>
      <c r="AV79" s="211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/>
      </c>
      <c r="AW79" s="211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/>
      </c>
      <c r="AX79" s="211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/>
      </c>
      <c r="AY79" s="211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/>
      </c>
      <c r="AZ79" s="211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/>
      </c>
      <c r="BA79" s="211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/>
      </c>
      <c r="BB79" s="211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/>
      </c>
      <c r="BC79" s="211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/>
      </c>
      <c r="BD79" s="211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/>
      </c>
      <c r="BE79" s="211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/>
      </c>
      <c r="BF79" s="211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/>
      </c>
      <c r="BG79" s="211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/>
      </c>
      <c r="BH79" s="211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/>
      </c>
      <c r="BI79" s="211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/>
      </c>
      <c r="BJ79" s="211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/>
      </c>
      <c r="BK79" s="211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/>
      </c>
      <c r="BL79" s="211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/>
      </c>
      <c r="BM79" s="211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/>
      </c>
      <c r="BN79" s="211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/>
      </c>
      <c r="BO79" s="211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/>
      </c>
      <c r="BP79" s="211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/>
      </c>
      <c r="BQ79" s="211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/>
      </c>
      <c r="BR79" s="211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/>
      </c>
      <c r="BS79" s="211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/>
      </c>
      <c r="BT79" s="211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/>
      </c>
      <c r="BU79" s="211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/>
      </c>
      <c r="BV79" s="211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/>
      </c>
      <c r="BW79" s="211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/>
      </c>
      <c r="BX79" s="211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/>
      </c>
      <c r="BY79" s="211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/>
      </c>
      <c r="BZ79" s="211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/>
      </c>
      <c r="CA79" s="211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/>
      </c>
      <c r="CB79" s="211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/>
      </c>
      <c r="CC79" s="211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/>
      </c>
      <c r="CD79" s="211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/>
      </c>
      <c r="CE79" s="211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/>
      </c>
      <c r="CF79" s="211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/>
      </c>
      <c r="CG79" s="211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/>
      </c>
      <c r="CH79" s="211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/>
      </c>
      <c r="CI79" s="226" t="n"/>
    </row>
    <row r="80" ht="15" customHeight="1" s="202">
      <c r="A80" s="210" t="inlineStr">
        <is>
          <t>Steyn Liquidity Guarantee Fee</t>
        </is>
      </c>
      <c r="B80" s="225" t="n"/>
      <c r="C80" s="211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/>
      </c>
      <c r="D80" s="211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/>
      </c>
      <c r="E80" s="211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/>
      </c>
      <c r="F80" s="211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/>
      </c>
      <c r="G80" s="211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/>
      </c>
      <c r="H80" s="211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/>
      </c>
      <c r="I80" s="211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/>
      </c>
      <c r="J80" s="211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/>
      </c>
      <c r="K80" s="211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/>
      </c>
      <c r="L80" s="211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/>
      </c>
      <c r="M80" s="211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/>
      </c>
      <c r="N80" s="211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/>
      </c>
      <c r="O80" s="211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/>
      </c>
      <c r="P80" s="211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/>
      </c>
      <c r="Q80" s="211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/>
      </c>
      <c r="R80" s="211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/>
      </c>
      <c r="S80" s="211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/>
      </c>
      <c r="T80" s="211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/>
      </c>
      <c r="U80" s="211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/>
      </c>
      <c r="V80" s="211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/>
      </c>
      <c r="W80" s="211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/>
      </c>
      <c r="X80" s="211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/>
      </c>
      <c r="Y80" s="211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/>
      </c>
      <c r="Z80" s="211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/>
      </c>
      <c r="AA80" s="211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/>
      </c>
      <c r="AB80" s="211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/>
      </c>
      <c r="AC80" s="211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/>
      </c>
      <c r="AD80" s="211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/>
      </c>
      <c r="AE80" s="211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/>
      </c>
      <c r="AF80" s="211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/>
      </c>
      <c r="AG80" s="211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/>
      </c>
      <c r="AH80" s="211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/>
      </c>
      <c r="AI80" s="211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/>
      </c>
      <c r="AJ80" s="211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/>
      </c>
      <c r="AK80" s="211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/>
      </c>
      <c r="AL80" s="211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/>
      </c>
      <c r="AM80" s="211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/>
      </c>
      <c r="AN80" s="211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/>
      </c>
      <c r="AO80" s="211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/>
      </c>
      <c r="AP80" s="211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/>
      </c>
      <c r="AQ80" s="211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/>
      </c>
      <c r="AR80" s="211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/>
      </c>
      <c r="AS80" s="211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/>
      </c>
      <c r="AT80" s="211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/>
      </c>
      <c r="AU80" s="211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/>
      </c>
      <c r="AV80" s="211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/>
      </c>
      <c r="AW80" s="211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/>
      </c>
      <c r="AX80" s="211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/>
      </c>
      <c r="AY80" s="211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/>
      </c>
      <c r="AZ80" s="211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/>
      </c>
      <c r="BA80" s="211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/>
      </c>
      <c r="BB80" s="211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/>
      </c>
      <c r="BC80" s="211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/>
      </c>
      <c r="BD80" s="211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/>
      </c>
      <c r="BE80" s="211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/>
      </c>
      <c r="BF80" s="211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/>
      </c>
      <c r="BG80" s="211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/>
      </c>
      <c r="BH80" s="211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/>
      </c>
      <c r="BI80" s="211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/>
      </c>
      <c r="BJ80" s="211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/>
      </c>
      <c r="BK80" s="211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/>
      </c>
      <c r="BL80" s="211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/>
      </c>
      <c r="BM80" s="211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/>
      </c>
      <c r="BN80" s="211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/>
      </c>
      <c r="BO80" s="211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/>
      </c>
      <c r="BP80" s="211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/>
      </c>
      <c r="BQ80" s="211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/>
      </c>
      <c r="BR80" s="211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/>
      </c>
      <c r="BS80" s="211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/>
      </c>
      <c r="BT80" s="211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/>
      </c>
      <c r="BU80" s="211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/>
      </c>
      <c r="BV80" s="211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/>
      </c>
      <c r="BW80" s="211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/>
      </c>
      <c r="BX80" s="211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/>
      </c>
      <c r="BY80" s="211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/>
      </c>
      <c r="BZ80" s="211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/>
      </c>
      <c r="CA80" s="211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/>
      </c>
      <c r="CB80" s="211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/>
      </c>
      <c r="CC80" s="211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/>
      </c>
      <c r="CD80" s="211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/>
      </c>
      <c r="CE80" s="211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/>
      </c>
      <c r="CF80" s="211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/>
      </c>
      <c r="CG80" s="211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/>
      </c>
      <c r="CH80" s="211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/>
      </c>
      <c r="CI80" s="226" t="n"/>
    </row>
    <row r="81" ht="15" customHeight="1" s="202">
      <c r="A81" s="210" t="inlineStr">
        <is>
          <t>Francis Steyn Fee + PIK (from LIHTC Revenue)</t>
        </is>
      </c>
      <c r="B81" s="225" t="n"/>
      <c r="C81" s="211">
        <f>-Helpers!C20</f>
        <v/>
      </c>
      <c r="D81" s="211">
        <f>-Helpers!D20</f>
        <v/>
      </c>
      <c r="E81" s="211">
        <f>-Helpers!E20</f>
        <v/>
      </c>
      <c r="F81" s="211">
        <f>-Helpers!F20</f>
        <v/>
      </c>
      <c r="G81" s="211">
        <f>-Helpers!G20</f>
        <v/>
      </c>
      <c r="H81" s="211">
        <f>-Helpers!H20</f>
        <v/>
      </c>
      <c r="I81" s="211">
        <f>-Helpers!I20</f>
        <v/>
      </c>
      <c r="J81" s="211">
        <f>-Helpers!J20</f>
        <v/>
      </c>
      <c r="K81" s="211">
        <f>-Helpers!K20</f>
        <v/>
      </c>
      <c r="L81" s="211">
        <f>-Helpers!L20</f>
        <v/>
      </c>
      <c r="M81" s="211">
        <f>-Helpers!M20</f>
        <v/>
      </c>
      <c r="N81" s="211">
        <f>-Helpers!N20</f>
        <v/>
      </c>
      <c r="O81" s="211">
        <f>-Helpers!O20</f>
        <v/>
      </c>
      <c r="P81" s="211">
        <f>-Helpers!P20</f>
        <v/>
      </c>
      <c r="Q81" s="211">
        <f>-Helpers!Q20</f>
        <v/>
      </c>
      <c r="R81" s="211">
        <f>-Helpers!R20</f>
        <v/>
      </c>
      <c r="S81" s="211">
        <f>-Helpers!S20</f>
        <v/>
      </c>
      <c r="T81" s="211">
        <f>-Helpers!T20</f>
        <v/>
      </c>
      <c r="U81" s="211">
        <f>-Helpers!U20</f>
        <v/>
      </c>
      <c r="V81" s="211">
        <f>-Helpers!V20</f>
        <v/>
      </c>
      <c r="W81" s="211">
        <f>-Helpers!W20</f>
        <v/>
      </c>
      <c r="X81" s="211">
        <f>-Helpers!X20</f>
        <v/>
      </c>
      <c r="Y81" s="211">
        <f>-Helpers!Y20</f>
        <v/>
      </c>
      <c r="Z81" s="211">
        <f>-Helpers!Z20</f>
        <v/>
      </c>
      <c r="AA81" s="211">
        <f>-Helpers!AA20</f>
        <v/>
      </c>
      <c r="AB81" s="211">
        <f>-Helpers!AB20</f>
        <v/>
      </c>
      <c r="AC81" s="211">
        <f>-Helpers!AC20</f>
        <v/>
      </c>
      <c r="AD81" s="211">
        <f>-Helpers!AD20</f>
        <v/>
      </c>
      <c r="AE81" s="211">
        <f>-Helpers!AE20</f>
        <v/>
      </c>
      <c r="AF81" s="211">
        <f>-Helpers!AF20</f>
        <v/>
      </c>
      <c r="AG81" s="211">
        <f>-Helpers!AG20</f>
        <v/>
      </c>
      <c r="AH81" s="211">
        <f>-Helpers!AH20</f>
        <v/>
      </c>
      <c r="AI81" s="211">
        <f>-Helpers!AI20</f>
        <v/>
      </c>
      <c r="AJ81" s="211">
        <f>-Helpers!AJ20</f>
        <v/>
      </c>
      <c r="AK81" s="211">
        <f>-Helpers!AK20</f>
        <v/>
      </c>
      <c r="AL81" s="211">
        <f>-Helpers!AL20</f>
        <v/>
      </c>
      <c r="AM81" s="211">
        <f>-Helpers!AM20</f>
        <v/>
      </c>
      <c r="AN81" s="211">
        <f>-Helpers!AN20</f>
        <v/>
      </c>
      <c r="AO81" s="211">
        <f>-Helpers!AO20</f>
        <v/>
      </c>
      <c r="AP81" s="211">
        <f>-Helpers!AP20</f>
        <v/>
      </c>
      <c r="AQ81" s="211">
        <f>-Helpers!AQ20</f>
        <v/>
      </c>
      <c r="AR81" s="211">
        <f>-Helpers!AR20</f>
        <v/>
      </c>
      <c r="AS81" s="211">
        <f>-Helpers!AS20</f>
        <v/>
      </c>
      <c r="AT81" s="211">
        <f>-Helpers!AT20</f>
        <v/>
      </c>
      <c r="AU81" s="211">
        <f>-Helpers!AU20</f>
        <v/>
      </c>
      <c r="AV81" s="211">
        <f>-Helpers!AV20</f>
        <v/>
      </c>
      <c r="AW81" s="211">
        <f>-Helpers!AW20</f>
        <v/>
      </c>
      <c r="AX81" s="211">
        <f>-Helpers!AX20</f>
        <v/>
      </c>
      <c r="AY81" s="211">
        <f>-Helpers!AY20</f>
        <v/>
      </c>
      <c r="AZ81" s="211">
        <f>-Helpers!AZ20</f>
        <v/>
      </c>
      <c r="BA81" s="211">
        <f>-Helpers!BA20</f>
        <v/>
      </c>
      <c r="BB81" s="211">
        <f>-Helpers!BB20</f>
        <v/>
      </c>
      <c r="BC81" s="211">
        <f>-Helpers!BC20</f>
        <v/>
      </c>
      <c r="BD81" s="211">
        <f>-Helpers!BD20</f>
        <v/>
      </c>
      <c r="BE81" s="211">
        <f>-Helpers!BE20</f>
        <v/>
      </c>
      <c r="BF81" s="211">
        <f>-Helpers!BF20</f>
        <v/>
      </c>
      <c r="BG81" s="211">
        <f>-Helpers!BG20</f>
        <v/>
      </c>
      <c r="BH81" s="211">
        <f>-Helpers!BH20</f>
        <v/>
      </c>
      <c r="BI81" s="211">
        <f>-Helpers!BI20</f>
        <v/>
      </c>
      <c r="BJ81" s="211">
        <f>-Helpers!BJ20</f>
        <v/>
      </c>
      <c r="BK81" s="211">
        <f>-Helpers!BK20</f>
        <v/>
      </c>
      <c r="BL81" s="211">
        <f>-Helpers!BL20</f>
        <v/>
      </c>
      <c r="BM81" s="211">
        <f>-Helpers!BM20</f>
        <v/>
      </c>
      <c r="BN81" s="211">
        <f>-Helpers!BN20</f>
        <v/>
      </c>
      <c r="BO81" s="211">
        <f>-Helpers!BO20</f>
        <v/>
      </c>
      <c r="BP81" s="211">
        <f>-Helpers!BP20</f>
        <v/>
      </c>
      <c r="BQ81" s="211">
        <f>-Helpers!BQ20</f>
        <v/>
      </c>
      <c r="BR81" s="211">
        <f>-Helpers!BR20</f>
        <v/>
      </c>
      <c r="BS81" s="211">
        <f>-Helpers!BS20</f>
        <v/>
      </c>
      <c r="BT81" s="211">
        <f>-Helpers!BT20</f>
        <v/>
      </c>
      <c r="BU81" s="211">
        <f>-Helpers!BU20</f>
        <v/>
      </c>
      <c r="BV81" s="211">
        <f>-Helpers!BV20</f>
        <v/>
      </c>
      <c r="BW81" s="211">
        <f>-Helpers!BW20</f>
        <v/>
      </c>
      <c r="BX81" s="211">
        <f>-Helpers!BX20</f>
        <v/>
      </c>
      <c r="BY81" s="211">
        <f>-Helpers!BY20</f>
        <v/>
      </c>
      <c r="BZ81" s="211">
        <f>-Helpers!BZ20</f>
        <v/>
      </c>
      <c r="CA81" s="211">
        <f>-Helpers!CA20</f>
        <v/>
      </c>
      <c r="CB81" s="211">
        <f>-Helpers!CB20</f>
        <v/>
      </c>
      <c r="CC81" s="211">
        <f>-Helpers!CC20</f>
        <v/>
      </c>
      <c r="CD81" s="211">
        <f>-Helpers!CD20</f>
        <v/>
      </c>
      <c r="CE81" s="211">
        <f>-Helpers!CE20</f>
        <v/>
      </c>
      <c r="CF81" s="211">
        <f>-Helpers!CF20</f>
        <v/>
      </c>
      <c r="CG81" s="211">
        <f>-Helpers!CG20</f>
        <v/>
      </c>
      <c r="CH81" s="211">
        <f>-Helpers!CH20</f>
        <v/>
      </c>
      <c r="CI81" s="226" t="n"/>
    </row>
    <row r="82" ht="15" customHeight="1" s="202">
      <c r="A82" s="210" t="inlineStr">
        <is>
          <t>Reseda Steyn Fee + PIK (from LIHTC Revenue)</t>
        </is>
      </c>
      <c r="B82" s="225" t="n"/>
      <c r="C82" s="211">
        <f>-Helpers!C23+C128</f>
        <v/>
      </c>
      <c r="D82" s="211">
        <f>-Helpers!D23+D128</f>
        <v/>
      </c>
      <c r="E82" s="211">
        <f>-Helpers!E23+E128</f>
        <v/>
      </c>
      <c r="F82" s="211">
        <f>-Helpers!F23+F128</f>
        <v/>
      </c>
      <c r="G82" s="211">
        <f>-Helpers!G23+G128</f>
        <v/>
      </c>
      <c r="H82" s="211">
        <f>-Helpers!H23+H128</f>
        <v/>
      </c>
      <c r="I82" s="211">
        <f>-Helpers!I23+I128</f>
        <v/>
      </c>
      <c r="J82" s="211">
        <f>-Helpers!J23+J128</f>
        <v/>
      </c>
      <c r="K82" s="211">
        <f>-Helpers!K23+K128</f>
        <v/>
      </c>
      <c r="L82" s="211">
        <f>-Helpers!L23+L128</f>
        <v/>
      </c>
      <c r="M82" s="211">
        <f>-Helpers!M23+M128</f>
        <v/>
      </c>
      <c r="N82" s="211">
        <f>-Helpers!N23+N128</f>
        <v/>
      </c>
      <c r="O82" s="211">
        <f>-Helpers!O23+O128</f>
        <v/>
      </c>
      <c r="P82" s="211">
        <f>-Helpers!P23+P128</f>
        <v/>
      </c>
      <c r="Q82" s="211">
        <f>-Helpers!Q23+Q128</f>
        <v/>
      </c>
      <c r="R82" s="211">
        <f>-Helpers!R23+R128</f>
        <v/>
      </c>
      <c r="S82" s="211">
        <f>-Helpers!S23+S128</f>
        <v/>
      </c>
      <c r="T82" s="211">
        <f>-Helpers!T23+T128</f>
        <v/>
      </c>
      <c r="U82" s="211">
        <f>-Helpers!U23+U128</f>
        <v/>
      </c>
      <c r="V82" s="211">
        <f>-Helpers!V23+V128</f>
        <v/>
      </c>
      <c r="W82" s="211">
        <f>-Helpers!W23+W128</f>
        <v/>
      </c>
      <c r="X82" s="211">
        <f>-Helpers!X23+X128</f>
        <v/>
      </c>
      <c r="Y82" s="211">
        <f>-Helpers!Y23+Y128</f>
        <v/>
      </c>
      <c r="Z82" s="211">
        <f>-Helpers!Z23+Z128</f>
        <v/>
      </c>
      <c r="AA82" s="211">
        <f>-Helpers!AA23+AA128</f>
        <v/>
      </c>
      <c r="AB82" s="211">
        <f>-Helpers!AB23+AB128</f>
        <v/>
      </c>
      <c r="AC82" s="211">
        <f>-Helpers!AC23+AC128</f>
        <v/>
      </c>
      <c r="AD82" s="211">
        <f>-Helpers!AD23+AD128</f>
        <v/>
      </c>
      <c r="AE82" s="211">
        <f>-Helpers!AE23+AE128</f>
        <v/>
      </c>
      <c r="AF82" s="211">
        <f>-Helpers!AF23+AF128</f>
        <v/>
      </c>
      <c r="AG82" s="211">
        <f>-Helpers!AG23+AG128</f>
        <v/>
      </c>
      <c r="AH82" s="211">
        <f>-Helpers!AH23+AH128</f>
        <v/>
      </c>
      <c r="AI82" s="211">
        <f>-Helpers!AI23+AI128</f>
        <v/>
      </c>
      <c r="AJ82" s="211">
        <f>-Helpers!AJ23+AJ128</f>
        <v/>
      </c>
      <c r="AK82" s="211">
        <f>-Helpers!AK23+AK128</f>
        <v/>
      </c>
      <c r="AL82" s="211">
        <f>-Helpers!AL23+AL128</f>
        <v/>
      </c>
      <c r="AM82" s="211">
        <f>-Helpers!AM23+AM128</f>
        <v/>
      </c>
      <c r="AN82" s="211">
        <f>-Helpers!AN23+AN128</f>
        <v/>
      </c>
      <c r="AO82" s="211">
        <f>-Helpers!AO23+AO128</f>
        <v/>
      </c>
      <c r="AP82" s="211">
        <f>-Helpers!AP23+AP128</f>
        <v/>
      </c>
      <c r="AQ82" s="211">
        <f>-Helpers!AQ23+AQ128</f>
        <v/>
      </c>
      <c r="AR82" s="211">
        <f>-Helpers!AR23+AR128</f>
        <v/>
      </c>
      <c r="AS82" s="211">
        <f>-Helpers!AS23+AS128</f>
        <v/>
      </c>
      <c r="AT82" s="211">
        <f>-Helpers!AT23+AT128</f>
        <v/>
      </c>
      <c r="AU82" s="211">
        <f>-Helpers!AU23+AU128</f>
        <v/>
      </c>
      <c r="AV82" s="211">
        <f>-Helpers!AV23+AV128</f>
        <v/>
      </c>
      <c r="AW82" s="211">
        <f>-Helpers!AW23+AW128</f>
        <v/>
      </c>
      <c r="AX82" s="211">
        <f>-Helpers!AX23+AX128</f>
        <v/>
      </c>
      <c r="AY82" s="211">
        <f>-Helpers!AY23+AY128</f>
        <v/>
      </c>
      <c r="AZ82" s="211">
        <f>-Helpers!AZ23+AZ128</f>
        <v/>
      </c>
      <c r="BA82" s="211">
        <f>-Helpers!BA23+BA128</f>
        <v/>
      </c>
      <c r="BB82" s="211">
        <f>-Helpers!BB23+BB128</f>
        <v/>
      </c>
      <c r="BC82" s="211">
        <f>-Helpers!BC23+BC128</f>
        <v/>
      </c>
      <c r="BD82" s="211">
        <f>-Helpers!BD23+BD128</f>
        <v/>
      </c>
      <c r="BE82" s="211">
        <f>-Helpers!BE23+BE128</f>
        <v/>
      </c>
      <c r="BF82" s="211">
        <f>-Helpers!BF23+BF128</f>
        <v/>
      </c>
      <c r="BG82" s="211">
        <f>-Helpers!BG23+BG128</f>
        <v/>
      </c>
      <c r="BH82" s="211">
        <f>-Helpers!BH23+BH128</f>
        <v/>
      </c>
      <c r="BI82" s="211">
        <f>-Helpers!BI23+BI128</f>
        <v/>
      </c>
      <c r="BJ82" s="211">
        <f>-Helpers!BJ23+BJ128</f>
        <v/>
      </c>
      <c r="BK82" s="211">
        <f>-Helpers!BK23+BK128</f>
        <v/>
      </c>
      <c r="BL82" s="211">
        <f>-Helpers!BL23+BL128</f>
        <v/>
      </c>
      <c r="BM82" s="211">
        <f>-Helpers!BM23+BM128</f>
        <v/>
      </c>
      <c r="BN82" s="211">
        <f>-Helpers!BN23+BN128</f>
        <v/>
      </c>
      <c r="BO82" s="211">
        <f>-Helpers!BO23+BO128</f>
        <v/>
      </c>
      <c r="BP82" s="211">
        <f>-Helpers!BP23+BP128</f>
        <v/>
      </c>
      <c r="BQ82" s="211">
        <f>-Helpers!BQ23+BQ128</f>
        <v/>
      </c>
      <c r="BR82" s="211">
        <f>-Helpers!BR23+BR128</f>
        <v/>
      </c>
      <c r="BS82" s="211">
        <f>-Helpers!BS23+BS128</f>
        <v/>
      </c>
      <c r="BT82" s="211">
        <f>-Helpers!BT23+BT128</f>
        <v/>
      </c>
      <c r="BU82" s="211">
        <f>-Helpers!BU23+BU128</f>
        <v/>
      </c>
      <c r="BV82" s="211">
        <f>-Helpers!BV23+BV128</f>
        <v/>
      </c>
      <c r="BW82" s="211">
        <f>-Helpers!BW23+BW128</f>
        <v/>
      </c>
      <c r="BX82" s="211">
        <f>-Helpers!BX23+BX128</f>
        <v/>
      </c>
      <c r="BY82" s="211">
        <f>-Helpers!BY23+BY128</f>
        <v/>
      </c>
      <c r="BZ82" s="211">
        <f>-Helpers!BZ23+BZ128</f>
        <v/>
      </c>
      <c r="CA82" s="211">
        <f>-Helpers!CA23+CA128</f>
        <v/>
      </c>
      <c r="CB82" s="211">
        <f>-Helpers!CB23+CB128</f>
        <v/>
      </c>
      <c r="CC82" s="211">
        <f>-Helpers!CC23+CC128</f>
        <v/>
      </c>
      <c r="CD82" s="211">
        <f>-Helpers!CD23+CD128</f>
        <v/>
      </c>
      <c r="CE82" s="211">
        <f>-Helpers!CE23+CE128</f>
        <v/>
      </c>
      <c r="CF82" s="211">
        <f>-Helpers!CF23+CF128</f>
        <v/>
      </c>
      <c r="CG82" s="211">
        <f>-Helpers!CG23+CG128</f>
        <v/>
      </c>
      <c r="CH82" s="211">
        <f>-Helpers!CH23+CH128</f>
        <v/>
      </c>
      <c r="CI82" s="226" t="n"/>
    </row>
    <row r="83" ht="15" customHeight="1" s="202">
      <c r="A83" s="210" t="inlineStr">
        <is>
          <t>3rd St Steyn Fee + PIK (from LIHTC Revenue)</t>
        </is>
      </c>
      <c r="B83" s="225" t="n"/>
      <c r="C83" s="211">
        <f>-Helpers!C26+C123</f>
        <v/>
      </c>
      <c r="D83" s="211">
        <f>-Helpers!D26+D123</f>
        <v/>
      </c>
      <c r="E83" s="211">
        <f>-Helpers!E26+E123</f>
        <v/>
      </c>
      <c r="F83" s="211">
        <f>-Helpers!F26+F123</f>
        <v/>
      </c>
      <c r="G83" s="211">
        <f>-Helpers!G26+G123</f>
        <v/>
      </c>
      <c r="H83" s="211">
        <f>-Helpers!H26+H123</f>
        <v/>
      </c>
      <c r="I83" s="211">
        <f>-Helpers!I26+I123</f>
        <v/>
      </c>
      <c r="J83" s="211">
        <f>-Helpers!J26+J123</f>
        <v/>
      </c>
      <c r="K83" s="211">
        <f>-Helpers!K26+K123</f>
        <v/>
      </c>
      <c r="L83" s="211">
        <f>-Helpers!L26+L123</f>
        <v/>
      </c>
      <c r="M83" s="211">
        <f>-Helpers!M26+M123</f>
        <v/>
      </c>
      <c r="N83" s="211">
        <f>-Helpers!N26+N123</f>
        <v/>
      </c>
      <c r="O83" s="211">
        <f>-Helpers!O26+O123</f>
        <v/>
      </c>
      <c r="P83" s="211">
        <f>-Helpers!P26+P123</f>
        <v/>
      </c>
      <c r="Q83" s="211">
        <f>-Helpers!Q26+Q123</f>
        <v/>
      </c>
      <c r="R83" s="211">
        <f>-Helpers!R26+R123</f>
        <v/>
      </c>
      <c r="S83" s="211">
        <f>-Helpers!S26+S123</f>
        <v/>
      </c>
      <c r="T83" s="211">
        <f>-Helpers!T26+T123</f>
        <v/>
      </c>
      <c r="U83" s="211">
        <f>-Helpers!U26+U123</f>
        <v/>
      </c>
      <c r="V83" s="211">
        <f>-Helpers!V26+V123</f>
        <v/>
      </c>
      <c r="W83" s="211">
        <f>-Helpers!W26+W123</f>
        <v/>
      </c>
      <c r="X83" s="211">
        <f>-Helpers!X26+X123</f>
        <v/>
      </c>
      <c r="Y83" s="211">
        <f>-Helpers!Y26+Y123</f>
        <v/>
      </c>
      <c r="Z83" s="211">
        <f>-Helpers!Z26+Z123</f>
        <v/>
      </c>
      <c r="AA83" s="211">
        <f>-Helpers!AA26+AA123</f>
        <v/>
      </c>
      <c r="AB83" s="211">
        <f>-Helpers!AB26+AB123</f>
        <v/>
      </c>
      <c r="AC83" s="211">
        <f>-Helpers!AC26+AC123</f>
        <v/>
      </c>
      <c r="AD83" s="211">
        <f>-Helpers!AD26+AD123</f>
        <v/>
      </c>
      <c r="AE83" s="211">
        <f>-Helpers!AE26+AE123</f>
        <v/>
      </c>
      <c r="AF83" s="211">
        <f>-Helpers!AF26+AF123</f>
        <v/>
      </c>
      <c r="AG83" s="211">
        <f>-Helpers!AG26+AG123</f>
        <v/>
      </c>
      <c r="AH83" s="211">
        <f>-Helpers!AH26+AH123</f>
        <v/>
      </c>
      <c r="AI83" s="211">
        <f>-Helpers!AI26+AI123</f>
        <v/>
      </c>
      <c r="AJ83" s="211">
        <f>-Helpers!AJ26+AJ123</f>
        <v/>
      </c>
      <c r="AK83" s="211">
        <f>-Helpers!AK26+AK123</f>
        <v/>
      </c>
      <c r="AL83" s="211">
        <f>-Helpers!AL26+AL123</f>
        <v/>
      </c>
      <c r="AM83" s="211">
        <f>-Helpers!AM26+AM123</f>
        <v/>
      </c>
      <c r="AN83" s="211">
        <f>-Helpers!AN26+AN123</f>
        <v/>
      </c>
      <c r="AO83" s="211">
        <f>-Helpers!AO26+AO123</f>
        <v/>
      </c>
      <c r="AP83" s="211">
        <f>-Helpers!AP26+AP123</f>
        <v/>
      </c>
      <c r="AQ83" s="211">
        <f>-Helpers!AQ26+AQ123</f>
        <v/>
      </c>
      <c r="AR83" s="211">
        <f>-Helpers!AR26+AR123</f>
        <v/>
      </c>
      <c r="AS83" s="211">
        <f>-Helpers!AS26+AS123</f>
        <v/>
      </c>
      <c r="AT83" s="211">
        <f>-Helpers!AT26+AT123</f>
        <v/>
      </c>
      <c r="AU83" s="211">
        <f>-Helpers!AU26+AU123</f>
        <v/>
      </c>
      <c r="AV83" s="211">
        <f>-Helpers!AV26+AV123</f>
        <v/>
      </c>
      <c r="AW83" s="211">
        <f>-Helpers!AW26+AW123</f>
        <v/>
      </c>
      <c r="AX83" s="211">
        <f>-Helpers!AX26+AX123</f>
        <v/>
      </c>
      <c r="AY83" s="211">
        <f>-Helpers!AY26+AY123</f>
        <v/>
      </c>
      <c r="AZ83" s="211">
        <f>-Helpers!AZ26+AZ123</f>
        <v/>
      </c>
      <c r="BA83" s="211">
        <f>-Helpers!BA26+BA123</f>
        <v/>
      </c>
      <c r="BB83" s="211">
        <f>-Helpers!BB26+BB123</f>
        <v/>
      </c>
      <c r="BC83" s="211">
        <f>-Helpers!BC26+BC123</f>
        <v/>
      </c>
      <c r="BD83" s="211">
        <f>-Helpers!BD26+BD123</f>
        <v/>
      </c>
      <c r="BE83" s="211">
        <f>-Helpers!BE26+BE123</f>
        <v/>
      </c>
      <c r="BF83" s="211">
        <f>-Helpers!BF26+BF123</f>
        <v/>
      </c>
      <c r="BG83" s="211">
        <f>-Helpers!BG26+BG123</f>
        <v/>
      </c>
      <c r="BH83" s="211">
        <f>-Helpers!BH26+BH123</f>
        <v/>
      </c>
      <c r="BI83" s="211">
        <f>-Helpers!BI26+BI123</f>
        <v/>
      </c>
      <c r="BJ83" s="211">
        <f>-Helpers!BJ26+BJ123</f>
        <v/>
      </c>
      <c r="BK83" s="211">
        <f>-Helpers!BK26+BK123</f>
        <v/>
      </c>
      <c r="BL83" s="211">
        <f>-Helpers!BL26+BL123</f>
        <v/>
      </c>
      <c r="BM83" s="211">
        <f>-Helpers!BM26+BM123</f>
        <v/>
      </c>
      <c r="BN83" s="211">
        <f>-Helpers!BN26+BN123</f>
        <v/>
      </c>
      <c r="BO83" s="211">
        <f>-Helpers!BO26+BO123</f>
        <v/>
      </c>
      <c r="BP83" s="211">
        <f>-Helpers!BP26+BP123</f>
        <v/>
      </c>
      <c r="BQ83" s="211">
        <f>-Helpers!BQ26+BQ123</f>
        <v/>
      </c>
      <c r="BR83" s="211">
        <f>-Helpers!BR26+BR123</f>
        <v/>
      </c>
      <c r="BS83" s="211">
        <f>-Helpers!BS26+BS123</f>
        <v/>
      </c>
      <c r="BT83" s="211">
        <f>-Helpers!BT26+BT123</f>
        <v/>
      </c>
      <c r="BU83" s="211">
        <f>-Helpers!BU26+BU123</f>
        <v/>
      </c>
      <c r="BV83" s="211">
        <f>-Helpers!BV26+BV123</f>
        <v/>
      </c>
      <c r="BW83" s="211">
        <f>-Helpers!BW26+BW123</f>
        <v/>
      </c>
      <c r="BX83" s="211">
        <f>-Helpers!BX26+BX123</f>
        <v/>
      </c>
      <c r="BY83" s="211">
        <f>-Helpers!BY26+BY123</f>
        <v/>
      </c>
      <c r="BZ83" s="211">
        <f>-Helpers!BZ26+BZ123</f>
        <v/>
      </c>
      <c r="CA83" s="211">
        <f>-Helpers!CA26+CA123</f>
        <v/>
      </c>
      <c r="CB83" s="211">
        <f>-Helpers!CB26+CB123</f>
        <v/>
      </c>
      <c r="CC83" s="211">
        <f>-Helpers!CC26+CC123</f>
        <v/>
      </c>
      <c r="CD83" s="211">
        <f>-Helpers!CD26+CD123</f>
        <v/>
      </c>
      <c r="CE83" s="211">
        <f>-Helpers!CE26+CE123</f>
        <v/>
      </c>
      <c r="CF83" s="211">
        <f>-Helpers!CF26+CF123</f>
        <v/>
      </c>
      <c r="CG83" s="211">
        <f>-Helpers!CG26+CG123</f>
        <v/>
      </c>
      <c r="CH83" s="211">
        <f>-Helpers!CH26+CH123</f>
        <v/>
      </c>
      <c r="CI83" s="226" t="n"/>
    </row>
    <row r="84" ht="15" customHeight="1" s="202">
      <c r="A84" s="212" t="inlineStr">
        <is>
          <t>Total Six Peak Expenses</t>
        </is>
      </c>
      <c r="B84" s="231" t="n"/>
      <c r="C84" s="213">
        <f>C65+C66+C67+C68+C69+SUM(C70:C83)</f>
        <v/>
      </c>
      <c r="D84" s="213">
        <f>D65+D66+D67+D68+D69+SUM(D70:D83)</f>
        <v/>
      </c>
      <c r="E84" s="213">
        <f>E65+E66+E67+E68+E69+SUM(E70:E83)</f>
        <v/>
      </c>
      <c r="F84" s="213">
        <f>F65+F66+F67+F68+F69+SUM(F70:F83)</f>
        <v/>
      </c>
      <c r="G84" s="213">
        <f>G65+G66+G67+G68+G69+SUM(G70:G83)</f>
        <v/>
      </c>
      <c r="H84" s="213">
        <f>H65+H66+H67+H68+H69+SUM(H70:H83)</f>
        <v/>
      </c>
      <c r="I84" s="213">
        <f>I65+I66+I67+I68+I69+SUM(I70:I83)</f>
        <v/>
      </c>
      <c r="J84" s="213">
        <f>J65+J66+J67+J68+J69+SUM(J70:J83)</f>
        <v/>
      </c>
      <c r="K84" s="213">
        <f>K65+K66+K67+K68+K69+SUM(K70:K83)</f>
        <v/>
      </c>
      <c r="L84" s="213">
        <f>L65+L66+L67+L68+L69+SUM(L70:L83)</f>
        <v/>
      </c>
      <c r="M84" s="213">
        <f>M65+M66+M67+M68+M69+SUM(M70:M83)</f>
        <v/>
      </c>
      <c r="N84" s="213">
        <f>N65+N66+N67+N68+N69+SUM(N70:N83)</f>
        <v/>
      </c>
      <c r="O84" s="213">
        <f>O65+O66+O67+O68+O69+SUM(O70:O83)</f>
        <v/>
      </c>
      <c r="P84" s="213">
        <f>P65+P66+P67+P68+P69+SUM(P70:P83)</f>
        <v/>
      </c>
      <c r="Q84" s="213">
        <f>Q65+Q66+Q67+Q68+Q69+SUM(Q70:Q83)</f>
        <v/>
      </c>
      <c r="R84" s="213">
        <f>R65+R66+R67+R68+R69+SUM(R70:R83)</f>
        <v/>
      </c>
      <c r="S84" s="213">
        <f>S65+S66+S67+S68+S69+SUM(S70:S83)</f>
        <v/>
      </c>
      <c r="T84" s="213">
        <f>T65+T66+T67+T68+T69+SUM(T70:T83)</f>
        <v/>
      </c>
      <c r="U84" s="213">
        <f>U65+U66+U67+U68+U69+SUM(U70:U83)</f>
        <v/>
      </c>
      <c r="V84" s="213">
        <f>V65+V66+V67+V68+V69+SUM(V70:V83)</f>
        <v/>
      </c>
      <c r="W84" s="213">
        <f>W65+W66+W67+W68+W69+SUM(W70:W83)</f>
        <v/>
      </c>
      <c r="X84" s="213">
        <f>X65+X66+X67+X68+X69+SUM(X70:X83)</f>
        <v/>
      </c>
      <c r="Y84" s="213">
        <f>Y65+Y66+Y67+Y68+Y69+SUM(Y70:Y83)</f>
        <v/>
      </c>
      <c r="Z84" s="213">
        <f>Z65+Z66+Z67+Z68+Z69+SUM(Z70:Z83)</f>
        <v/>
      </c>
      <c r="AA84" s="213">
        <f>AA65+AA66+AA67+AA68+AA69+SUM(AA70:AA83)</f>
        <v/>
      </c>
      <c r="AB84" s="213">
        <f>AB65+AB66+AB67+AB68+AB69+SUM(AB70:AB83)</f>
        <v/>
      </c>
      <c r="AC84" s="213">
        <f>AC65+AC66+AC67+AC68+AC69+SUM(AC70:AC83)</f>
        <v/>
      </c>
      <c r="AD84" s="213">
        <f>AD65+AD66+AD67+AD68+AD69+SUM(AD70:AD83)</f>
        <v/>
      </c>
      <c r="AE84" s="213">
        <f>AE65+AE66+AE67+AE68+AE69+SUM(AE70:AE83)</f>
        <v/>
      </c>
      <c r="AF84" s="213">
        <f>AF65+AF66+AF67+AF68+AF69+SUM(AF70:AF83)</f>
        <v/>
      </c>
      <c r="AG84" s="213">
        <f>AG65+AG66+AG67+AG68+AG69+SUM(AG70:AG83)</f>
        <v/>
      </c>
      <c r="AH84" s="213">
        <f>AH65+AH66+AH67+AH68+AH69+SUM(AH70:AH83)</f>
        <v/>
      </c>
      <c r="AI84" s="213">
        <f>AI65+AI66+AI67+AI68+AI69+SUM(AI70:AI83)</f>
        <v/>
      </c>
      <c r="AJ84" s="213">
        <f>AJ65+AJ66+AJ67+AJ68+AJ69+SUM(AJ70:AJ83)</f>
        <v/>
      </c>
      <c r="AK84" s="213">
        <f>AK65+AK66+AK67+AK68+AK69+SUM(AK70:AK83)</f>
        <v/>
      </c>
      <c r="AL84" s="213">
        <f>AL65+AL66+AL67+AL68+AL69+SUM(AL70:AL83)</f>
        <v/>
      </c>
      <c r="AM84" s="213">
        <f>AM65+AM66+AM67+AM68+AM69+SUM(AM70:AM83)</f>
        <v/>
      </c>
      <c r="AN84" s="213">
        <f>AN65+AN66+AN67+AN68+AN69+SUM(AN70:AN83)</f>
        <v/>
      </c>
      <c r="AO84" s="213">
        <f>AO65+AO66+AO67+AO68+AO69+SUM(AO70:AO83)</f>
        <v/>
      </c>
      <c r="AP84" s="213">
        <f>AP65+AP66+AP67+AP68+AP69+SUM(AP70:AP83)</f>
        <v/>
      </c>
      <c r="AQ84" s="213">
        <f>AQ65+AQ66+AQ67+AQ68+AQ69+SUM(AQ70:AQ83)</f>
        <v/>
      </c>
      <c r="AR84" s="213">
        <f>AR65+AR66+AR67+AR68+AR69+SUM(AR70:AR83)</f>
        <v/>
      </c>
      <c r="AS84" s="213">
        <f>AS65+AS66+AS67+AS68+AS69+SUM(AS70:AS83)</f>
        <v/>
      </c>
      <c r="AT84" s="213">
        <f>AT65+AT66+AT67+AT68+AT69+SUM(AT70:AT83)</f>
        <v/>
      </c>
      <c r="AU84" s="213">
        <f>AU65+AU66+AU67+AU68+AU69+SUM(AU70:AU83)</f>
        <v/>
      </c>
      <c r="AV84" s="213">
        <f>AV65+AV66+AV67+AV68+AV69+SUM(AV70:AV83)</f>
        <v/>
      </c>
      <c r="AW84" s="213">
        <f>AW65+AW66+AW67+AW68+AW69+SUM(AW70:AW83)</f>
        <v/>
      </c>
      <c r="AX84" s="213">
        <f>AX65+AX66+AX67+AX68+AX69+SUM(AX70:AX83)</f>
        <v/>
      </c>
      <c r="AY84" s="213">
        <f>AY65+AY66+AY67+AY68+AY69+SUM(AY70:AY83)</f>
        <v/>
      </c>
      <c r="AZ84" s="213">
        <f>AZ65+AZ66+AZ67+AZ68+AZ69+SUM(AZ70:AZ83)</f>
        <v/>
      </c>
      <c r="BA84" s="213">
        <f>BA65+BA66+BA67+BA68+BA69+SUM(BA70:BA83)</f>
        <v/>
      </c>
      <c r="BB84" s="213">
        <f>BB65+BB66+BB67+BB68+BB69+SUM(BB70:BB83)</f>
        <v/>
      </c>
      <c r="BC84" s="213">
        <f>BC65+BC66+BC67+BC68+BC69+SUM(BC70:BC83)</f>
        <v/>
      </c>
      <c r="BD84" s="213">
        <f>BD65+BD66+BD67+BD68+BD69+SUM(BD70:BD83)</f>
        <v/>
      </c>
      <c r="BE84" s="213">
        <f>BE65+BE66+BE67+BE68+BE69+SUM(BE70:BE83)</f>
        <v/>
      </c>
      <c r="BF84" s="213">
        <f>BF65+BF66+BF67+BF68+BF69+SUM(BF70:BF83)</f>
        <v/>
      </c>
      <c r="BG84" s="213">
        <f>BG65+BG66+BG67+BG68+BG69+SUM(BG70:BG83)</f>
        <v/>
      </c>
      <c r="BH84" s="213">
        <f>BH65+BH66+BH67+BH68+BH69+SUM(BH70:BH83)</f>
        <v/>
      </c>
      <c r="BI84" s="213">
        <f>BI65+BI66+BI67+BI68+BI69+SUM(BI70:BI83)</f>
        <v/>
      </c>
      <c r="BJ84" s="213">
        <f>BJ65+BJ66+BJ67+BJ68+BJ69+SUM(BJ70:BJ83)</f>
        <v/>
      </c>
      <c r="BK84" s="213">
        <f>BK65+BK66+BK67+BK68+BK69+SUM(BK70:BK83)</f>
        <v/>
      </c>
      <c r="BL84" s="213">
        <f>BL65+BL66+BL67+BL68+BL69+SUM(BL70:BL83)</f>
        <v/>
      </c>
      <c r="BM84" s="213">
        <f>BM65+BM66+BM67+BM68+BM69+SUM(BM70:BM83)</f>
        <v/>
      </c>
      <c r="BN84" s="213">
        <f>BN65+BN66+BN67+BN68+BN69+SUM(BN70:BN83)</f>
        <v/>
      </c>
      <c r="BO84" s="213">
        <f>BO65+BO66+BO67+BO68+BO69+SUM(BO70:BO83)</f>
        <v/>
      </c>
      <c r="BP84" s="213">
        <f>BP65+BP66+BP67+BP68+BP69+SUM(BP70:BP83)</f>
        <v/>
      </c>
      <c r="BQ84" s="213">
        <f>BQ65+BQ66+BQ67+BQ68+BQ69+SUM(BQ70:BQ83)</f>
        <v/>
      </c>
      <c r="BR84" s="213">
        <f>BR65+BR66+BR67+BR68+BR69+SUM(BR70:BR83)</f>
        <v/>
      </c>
      <c r="BS84" s="213">
        <f>BS65+BS66+BS67+BS68+BS69+SUM(BS70:BS83)</f>
        <v/>
      </c>
      <c r="BT84" s="213">
        <f>BT65+BT66+BT67+BT68+BT69+SUM(BT70:BT83)</f>
        <v/>
      </c>
      <c r="BU84" s="213">
        <f>BU65+BU66+BU67+BU68+BU69+SUM(BU70:BU83)</f>
        <v/>
      </c>
      <c r="BV84" s="213">
        <f>BV65+BV66+BV67+BV68+BV69+SUM(BV70:BV83)</f>
        <v/>
      </c>
      <c r="BW84" s="213">
        <f>BW65+BW66+BW67+BW68+BW69+SUM(BW70:BW83)</f>
        <v/>
      </c>
      <c r="BX84" s="213">
        <f>BX65+BX66+BX67+BX68+BX69+SUM(BX70:BX83)</f>
        <v/>
      </c>
      <c r="BY84" s="213">
        <f>BY65+BY66+BY67+BY68+BY69+SUM(BY70:BY83)</f>
        <v/>
      </c>
      <c r="BZ84" s="213">
        <f>BZ65+BZ66+BZ67+BZ68+BZ69+SUM(BZ70:BZ83)</f>
        <v/>
      </c>
      <c r="CA84" s="213">
        <f>CA65+CA66+CA67+CA68+CA69+SUM(CA70:CA83)</f>
        <v/>
      </c>
      <c r="CB84" s="213">
        <f>CB65+CB66+CB67+CB68+CB69+SUM(CB70:CB83)</f>
        <v/>
      </c>
      <c r="CC84" s="213">
        <f>CC65+CC66+CC67+CC68+CC69+SUM(CC70:CC83)</f>
        <v/>
      </c>
      <c r="CD84" s="213">
        <f>CD65+CD66+CD67+CD68+CD69+SUM(CD70:CD83)</f>
        <v/>
      </c>
      <c r="CE84" s="213">
        <f>CE65+CE66+CE67+CE68+CE69+SUM(CE70:CE83)</f>
        <v/>
      </c>
      <c r="CF84" s="213">
        <f>CF65+CF66+CF67+CF68+CF69+SUM(CF70:CF83)</f>
        <v/>
      </c>
      <c r="CG84" s="213">
        <f>CG65+CG66+CG67+CG68+CG69+SUM(CG70:CG83)</f>
        <v/>
      </c>
      <c r="CH84" s="213">
        <f>CH65+CH66+CH67+CH68+CH69+SUM(CH70:CH83)</f>
        <v/>
      </c>
      <c r="CI84" s="226" t="n"/>
    </row>
    <row r="85" ht="15" customHeight="1" s="202">
      <c r="A85" s="225" t="n"/>
      <c r="B85" s="225" t="n"/>
      <c r="C85" s="225" t="n"/>
      <c r="D85" s="225" t="n"/>
      <c r="E85" s="225" t="n"/>
      <c r="F85" s="225" t="n"/>
      <c r="G85" s="225" t="n"/>
      <c r="H85" s="225" t="n"/>
      <c r="I85" s="225" t="n"/>
      <c r="J85" s="225" t="n"/>
      <c r="K85" s="225" t="n"/>
      <c r="L85" s="225" t="n"/>
      <c r="M85" s="225" t="n"/>
      <c r="N85" s="225" t="n"/>
      <c r="O85" s="225" t="n"/>
      <c r="P85" s="225" t="n"/>
      <c r="Q85" s="225" t="n"/>
      <c r="R85" s="225" t="n"/>
      <c r="S85" s="225" t="n"/>
      <c r="T85" s="225" t="n"/>
      <c r="U85" s="225" t="n"/>
      <c r="V85" s="225" t="n"/>
      <c r="W85" s="225" t="n"/>
      <c r="X85" s="225" t="n"/>
      <c r="Y85" s="225" t="n"/>
      <c r="Z85" s="225" t="n"/>
      <c r="AA85" s="225" t="n"/>
      <c r="AB85" s="225" t="n"/>
      <c r="AC85" s="225" t="n"/>
      <c r="AD85" s="225" t="n"/>
      <c r="AE85" s="225" t="n"/>
      <c r="AF85" s="225" t="n"/>
      <c r="AG85" s="225" t="n"/>
      <c r="AH85" s="225" t="n"/>
      <c r="AI85" s="225" t="n"/>
      <c r="AJ85" s="225" t="n"/>
      <c r="AK85" s="225" t="n"/>
      <c r="AL85" s="225" t="n"/>
      <c r="AM85" s="225" t="n"/>
      <c r="AN85" s="225" t="n"/>
      <c r="AO85" s="225" t="n"/>
      <c r="AP85" s="225" t="n"/>
      <c r="AQ85" s="225" t="n"/>
      <c r="AR85" s="225" t="n"/>
      <c r="AS85" s="225" t="n"/>
      <c r="AT85" s="225" t="n"/>
      <c r="AU85" s="225" t="n"/>
      <c r="AV85" s="225" t="n"/>
      <c r="AW85" s="225" t="n"/>
      <c r="AX85" s="225" t="n"/>
      <c r="AY85" s="225" t="n"/>
      <c r="AZ85" s="225" t="n"/>
      <c r="BA85" s="225" t="n"/>
      <c r="BB85" s="225" t="n"/>
      <c r="BC85" s="225" t="n"/>
      <c r="BD85" s="225" t="n"/>
      <c r="BE85" s="225" t="n"/>
      <c r="BF85" s="225" t="n"/>
      <c r="BG85" s="225" t="n"/>
      <c r="BH85" s="225" t="n"/>
      <c r="BI85" s="225" t="n"/>
      <c r="BJ85" s="225" t="n"/>
      <c r="BK85" s="225" t="n"/>
      <c r="BL85" s="225" t="n"/>
      <c r="BM85" s="225" t="n"/>
      <c r="BN85" s="225" t="n"/>
      <c r="BO85" s="225" t="n"/>
      <c r="BP85" s="225" t="n"/>
      <c r="BQ85" s="225" t="n"/>
      <c r="BR85" s="225" t="n"/>
      <c r="BS85" s="225" t="n"/>
      <c r="BT85" s="225" t="n"/>
      <c r="BU85" s="225" t="n"/>
      <c r="BV85" s="225" t="n"/>
      <c r="BW85" s="225" t="n"/>
      <c r="BX85" s="225" t="n"/>
      <c r="BY85" s="225" t="n"/>
      <c r="BZ85" s="225" t="n"/>
      <c r="CA85" s="225" t="n"/>
      <c r="CB85" s="225" t="n"/>
      <c r="CC85" s="225" t="n"/>
      <c r="CD85" s="225" t="n"/>
      <c r="CE85" s="225" t="n"/>
      <c r="CF85" s="225" t="n"/>
      <c r="CG85" s="225" t="n"/>
      <c r="CH85" s="225" t="n"/>
      <c r="CI85" s="226" t="n"/>
    </row>
    <row r="86" ht="15" customHeight="1" s="202">
      <c r="A86" s="216" t="inlineStr">
        <is>
          <t>Six Peak Net Income</t>
        </is>
      </c>
      <c r="B86" s="232" t="n"/>
      <c r="C86" s="217">
        <f>C63+C84</f>
        <v/>
      </c>
      <c r="D86" s="217">
        <f>D63+D84</f>
        <v/>
      </c>
      <c r="E86" s="217">
        <f>E63+E84</f>
        <v/>
      </c>
      <c r="F86" s="217">
        <f>F63+F84</f>
        <v/>
      </c>
      <c r="G86" s="217">
        <f>G63+G84</f>
        <v/>
      </c>
      <c r="H86" s="217">
        <f>H63+H84</f>
        <v/>
      </c>
      <c r="I86" s="217">
        <f>I63+I84</f>
        <v/>
      </c>
      <c r="J86" s="217">
        <f>J63+J84</f>
        <v/>
      </c>
      <c r="K86" s="217">
        <f>K63+K84</f>
        <v/>
      </c>
      <c r="L86" s="217">
        <f>L63+L84</f>
        <v/>
      </c>
      <c r="M86" s="217">
        <f>M63+M84</f>
        <v/>
      </c>
      <c r="N86" s="217">
        <f>N63+N84</f>
        <v/>
      </c>
      <c r="O86" s="217">
        <f>O63+O84</f>
        <v/>
      </c>
      <c r="P86" s="217">
        <f>P63+P84</f>
        <v/>
      </c>
      <c r="Q86" s="217">
        <f>Q63+Q84</f>
        <v/>
      </c>
      <c r="R86" s="217">
        <f>R63+R84</f>
        <v/>
      </c>
      <c r="S86" s="217">
        <f>S63+S84</f>
        <v/>
      </c>
      <c r="T86" s="217">
        <f>T63+T84</f>
        <v/>
      </c>
      <c r="U86" s="217">
        <f>U63+U84</f>
        <v/>
      </c>
      <c r="V86" s="217">
        <f>V63+V84</f>
        <v/>
      </c>
      <c r="W86" s="217">
        <f>W63+W84</f>
        <v/>
      </c>
      <c r="X86" s="217">
        <f>X63+X84</f>
        <v/>
      </c>
      <c r="Y86" s="217">
        <f>Y63+Y84</f>
        <v/>
      </c>
      <c r="Z86" s="217">
        <f>Z63+Z84</f>
        <v/>
      </c>
      <c r="AA86" s="217">
        <f>AA63+AA84</f>
        <v/>
      </c>
      <c r="AB86" s="217">
        <f>AB63+AB84</f>
        <v/>
      </c>
      <c r="AC86" s="217">
        <f>AC63+AC84</f>
        <v/>
      </c>
      <c r="AD86" s="217">
        <f>AD63+AD84</f>
        <v/>
      </c>
      <c r="AE86" s="217">
        <f>AE63+AE84</f>
        <v/>
      </c>
      <c r="AF86" s="217">
        <f>AF63+AF84</f>
        <v/>
      </c>
      <c r="AG86" s="217">
        <f>AG63+AG84</f>
        <v/>
      </c>
      <c r="AH86" s="217">
        <f>AH63+AH84</f>
        <v/>
      </c>
      <c r="AI86" s="217">
        <f>AI63+AI84</f>
        <v/>
      </c>
      <c r="AJ86" s="217">
        <f>AJ63+AJ84</f>
        <v/>
      </c>
      <c r="AK86" s="217">
        <f>AK63+AK84</f>
        <v/>
      </c>
      <c r="AL86" s="217">
        <f>AL63+AL84</f>
        <v/>
      </c>
      <c r="AM86" s="217">
        <f>AM63+AM84</f>
        <v/>
      </c>
      <c r="AN86" s="217">
        <f>AN63+AN84</f>
        <v/>
      </c>
      <c r="AO86" s="217">
        <f>AO63+AO84</f>
        <v/>
      </c>
      <c r="AP86" s="217">
        <f>AP63+AP84</f>
        <v/>
      </c>
      <c r="AQ86" s="217">
        <f>AQ63+AQ84</f>
        <v/>
      </c>
      <c r="AR86" s="217">
        <f>AR63+AR84</f>
        <v/>
      </c>
      <c r="AS86" s="217">
        <f>AS63+AS84</f>
        <v/>
      </c>
      <c r="AT86" s="217">
        <f>AT63+AT84</f>
        <v/>
      </c>
      <c r="AU86" s="217">
        <f>AU63+AU84</f>
        <v/>
      </c>
      <c r="AV86" s="217">
        <f>AV63+AV84</f>
        <v/>
      </c>
      <c r="AW86" s="217">
        <f>AW63+AW84</f>
        <v/>
      </c>
      <c r="AX86" s="217">
        <f>AX63+AX84</f>
        <v/>
      </c>
      <c r="AY86" s="217">
        <f>AY63+AY84</f>
        <v/>
      </c>
      <c r="AZ86" s="217">
        <f>AZ63+AZ84</f>
        <v/>
      </c>
      <c r="BA86" s="217">
        <f>BA63+BA84</f>
        <v/>
      </c>
      <c r="BB86" s="217">
        <f>BB63+BB84</f>
        <v/>
      </c>
      <c r="BC86" s="217">
        <f>BC63+BC84</f>
        <v/>
      </c>
      <c r="BD86" s="217">
        <f>BD63+BD84</f>
        <v/>
      </c>
      <c r="BE86" s="217">
        <f>BE63+BE84</f>
        <v/>
      </c>
      <c r="BF86" s="217">
        <f>BF63+BF84</f>
        <v/>
      </c>
      <c r="BG86" s="217">
        <f>BG63+BG84</f>
        <v/>
      </c>
      <c r="BH86" s="217">
        <f>BH63+BH84</f>
        <v/>
      </c>
      <c r="BI86" s="217">
        <f>BI63+BI84</f>
        <v/>
      </c>
      <c r="BJ86" s="217">
        <f>BJ63+BJ84</f>
        <v/>
      </c>
      <c r="BK86" s="217">
        <f>BK63+BK84</f>
        <v/>
      </c>
      <c r="BL86" s="217">
        <f>BL63+BL84</f>
        <v/>
      </c>
      <c r="BM86" s="217">
        <f>BM63+BM84</f>
        <v/>
      </c>
      <c r="BN86" s="217">
        <f>BN63+BN84</f>
        <v/>
      </c>
      <c r="BO86" s="217">
        <f>BO63+BO84</f>
        <v/>
      </c>
      <c r="BP86" s="217">
        <f>BP63+BP84</f>
        <v/>
      </c>
      <c r="BQ86" s="217">
        <f>BQ63+BQ84</f>
        <v/>
      </c>
      <c r="BR86" s="217">
        <f>BR63+BR84</f>
        <v/>
      </c>
      <c r="BS86" s="217">
        <f>BS63+BS84</f>
        <v/>
      </c>
      <c r="BT86" s="217">
        <f>BT63+BT84</f>
        <v/>
      </c>
      <c r="BU86" s="217">
        <f>BU63+BU84</f>
        <v/>
      </c>
      <c r="BV86" s="217">
        <f>BV63+BV84</f>
        <v/>
      </c>
      <c r="BW86" s="217">
        <f>BW63+BW84</f>
        <v/>
      </c>
      <c r="BX86" s="217">
        <f>BX63+BX84</f>
        <v/>
      </c>
      <c r="BY86" s="217">
        <f>BY63+BY84</f>
        <v/>
      </c>
      <c r="BZ86" s="217">
        <f>BZ63+BZ84</f>
        <v/>
      </c>
      <c r="CA86" s="217">
        <f>CA63+CA84</f>
        <v/>
      </c>
      <c r="CB86" s="217">
        <f>CB63+CB84</f>
        <v/>
      </c>
      <c r="CC86" s="217">
        <f>CC63+CC84</f>
        <v/>
      </c>
      <c r="CD86" s="217">
        <f>CD63+CD84</f>
        <v/>
      </c>
      <c r="CE86" s="217">
        <f>CE63+CE84</f>
        <v/>
      </c>
      <c r="CF86" s="217">
        <f>CF63+CF84</f>
        <v/>
      </c>
      <c r="CG86" s="217">
        <f>CG63+CG84</f>
        <v/>
      </c>
      <c r="CH86" s="217">
        <f>CH63+CH84</f>
        <v/>
      </c>
      <c r="CI86" s="226" t="n"/>
    </row>
    <row r="87" ht="15" customHeight="1" s="202">
      <c r="A87" s="225" t="n"/>
      <c r="B87" s="225" t="n"/>
      <c r="C87" s="225" t="n"/>
      <c r="D87" s="225" t="n"/>
      <c r="E87" s="225" t="n"/>
      <c r="F87" s="225" t="n"/>
      <c r="G87" s="225" t="n"/>
      <c r="H87" s="225" t="n"/>
      <c r="I87" s="225" t="n"/>
      <c r="J87" s="225" t="n"/>
      <c r="K87" s="225" t="n"/>
      <c r="L87" s="225" t="n"/>
      <c r="M87" s="225" t="n"/>
      <c r="N87" s="225" t="n"/>
      <c r="O87" s="225" t="n"/>
      <c r="P87" s="225" t="n"/>
      <c r="Q87" s="225" t="n"/>
      <c r="R87" s="225" t="n"/>
      <c r="S87" s="225" t="n"/>
      <c r="T87" s="225" t="n"/>
      <c r="U87" s="225" t="n"/>
      <c r="V87" s="225" t="n"/>
      <c r="W87" s="225" t="n"/>
      <c r="X87" s="225" t="n"/>
      <c r="Y87" s="225" t="n"/>
      <c r="Z87" s="225" t="n"/>
      <c r="AA87" s="225" t="n"/>
      <c r="AB87" s="225" t="n"/>
      <c r="AC87" s="225" t="n"/>
      <c r="AD87" s="225" t="n"/>
      <c r="AE87" s="225" t="n"/>
      <c r="AF87" s="225" t="n"/>
      <c r="AG87" s="225" t="n"/>
      <c r="AH87" s="225" t="n"/>
      <c r="AI87" s="225" t="n"/>
      <c r="AJ87" s="225" t="n"/>
      <c r="AK87" s="225" t="n"/>
      <c r="AL87" s="225" t="n"/>
      <c r="AM87" s="225" t="n"/>
      <c r="AN87" s="225" t="n"/>
      <c r="AO87" s="225" t="n"/>
      <c r="AP87" s="225" t="n"/>
      <c r="AQ87" s="225" t="n"/>
      <c r="AR87" s="225" t="n"/>
      <c r="AS87" s="225" t="n"/>
      <c r="AT87" s="225" t="n"/>
      <c r="AU87" s="225" t="n"/>
      <c r="AV87" s="225" t="n"/>
      <c r="AW87" s="225" t="n"/>
      <c r="AX87" s="225" t="n"/>
      <c r="AY87" s="225" t="n"/>
      <c r="AZ87" s="225" t="n"/>
      <c r="BA87" s="225" t="n"/>
      <c r="BB87" s="225" t="n"/>
      <c r="BC87" s="225" t="n"/>
      <c r="BD87" s="225" t="n"/>
      <c r="BE87" s="225" t="n"/>
      <c r="BF87" s="225" t="n"/>
      <c r="BG87" s="225" t="n"/>
      <c r="BH87" s="225" t="n"/>
      <c r="BI87" s="225" t="n"/>
      <c r="BJ87" s="225" t="n"/>
      <c r="BK87" s="225" t="n"/>
      <c r="BL87" s="225" t="n"/>
      <c r="BM87" s="225" t="n"/>
      <c r="BN87" s="225" t="n"/>
      <c r="BO87" s="225" t="n"/>
      <c r="BP87" s="225" t="n"/>
      <c r="BQ87" s="225" t="n"/>
      <c r="BR87" s="225" t="n"/>
      <c r="BS87" s="225" t="n"/>
      <c r="BT87" s="225" t="n"/>
      <c r="BU87" s="225" t="n"/>
      <c r="BV87" s="225" t="n"/>
      <c r="BW87" s="225" t="n"/>
      <c r="BX87" s="225" t="n"/>
      <c r="BY87" s="225" t="n"/>
      <c r="BZ87" s="225" t="n"/>
      <c r="CA87" s="225" t="n"/>
      <c r="CB87" s="225" t="n"/>
      <c r="CC87" s="225" t="n"/>
      <c r="CD87" s="225" t="n"/>
      <c r="CE87" s="225" t="n"/>
      <c r="CF87" s="225" t="n"/>
      <c r="CG87" s="225" t="n"/>
      <c r="CH87" s="225" t="n"/>
      <c r="CI87" s="226" t="n"/>
    </row>
    <row r="88" ht="15" customHeight="1" s="202">
      <c r="A88" s="229" t="inlineStr">
        <is>
          <t>CONSOLIDATED P&amp;L</t>
        </is>
      </c>
      <c r="B88" s="229" t="n"/>
      <c r="C88" s="229" t="n"/>
      <c r="D88" s="229" t="n"/>
      <c r="E88" s="229" t="n"/>
      <c r="F88" s="229" t="n"/>
      <c r="G88" s="229" t="n"/>
      <c r="H88" s="229" t="n"/>
      <c r="I88" s="229" t="n"/>
      <c r="J88" s="229" t="n"/>
      <c r="K88" s="229" t="n"/>
      <c r="L88" s="229" t="n"/>
      <c r="M88" s="229" t="n"/>
      <c r="N88" s="229" t="n"/>
      <c r="O88" s="229" t="n"/>
      <c r="P88" s="229" t="n"/>
      <c r="Q88" s="229" t="n"/>
      <c r="R88" s="229" t="n"/>
      <c r="S88" s="229" t="n"/>
      <c r="T88" s="229" t="n"/>
      <c r="U88" s="229" t="n"/>
      <c r="V88" s="229" t="n"/>
      <c r="W88" s="229" t="n"/>
      <c r="X88" s="229" t="n"/>
      <c r="Y88" s="229" t="n"/>
      <c r="Z88" s="229" t="n"/>
      <c r="AA88" s="229" t="n"/>
      <c r="AB88" s="229" t="n"/>
      <c r="AC88" s="229" t="n"/>
      <c r="AD88" s="229" t="n"/>
      <c r="AE88" s="229" t="n"/>
      <c r="AF88" s="229" t="n"/>
      <c r="AG88" s="229" t="n"/>
      <c r="AH88" s="229" t="n"/>
      <c r="AI88" s="229" t="n"/>
      <c r="AJ88" s="229" t="n"/>
      <c r="AK88" s="229" t="n"/>
      <c r="AL88" s="229" t="n"/>
      <c r="AM88" s="229" t="n"/>
      <c r="AN88" s="229" t="n"/>
      <c r="AO88" s="229" t="n"/>
      <c r="AP88" s="229" t="n"/>
      <c r="AQ88" s="229" t="n"/>
      <c r="AR88" s="229" t="n"/>
      <c r="AS88" s="229" t="n"/>
      <c r="AT88" s="229" t="n"/>
      <c r="AU88" s="229" t="n"/>
      <c r="AV88" s="229" t="n"/>
      <c r="AW88" s="229" t="n"/>
      <c r="AX88" s="229" t="n"/>
      <c r="AY88" s="229" t="n"/>
      <c r="AZ88" s="229" t="n"/>
      <c r="BA88" s="229" t="n"/>
      <c r="BB88" s="229" t="n"/>
      <c r="BC88" s="229" t="n"/>
      <c r="BD88" s="229" t="n"/>
      <c r="BE88" s="229" t="n"/>
      <c r="BF88" s="229" t="n"/>
      <c r="BG88" s="229" t="n"/>
      <c r="BH88" s="229" t="n"/>
      <c r="BI88" s="229" t="n"/>
      <c r="BJ88" s="229" t="n"/>
      <c r="BK88" s="229" t="n"/>
      <c r="BL88" s="229" t="n"/>
      <c r="BM88" s="229" t="n"/>
      <c r="BN88" s="229" t="n"/>
      <c r="BO88" s="229" t="n"/>
      <c r="BP88" s="229" t="n"/>
      <c r="BQ88" s="229" t="n"/>
      <c r="BR88" s="229" t="n"/>
      <c r="BS88" s="229" t="n"/>
      <c r="BT88" s="229" t="n"/>
      <c r="BU88" s="229" t="n"/>
      <c r="BV88" s="229" t="n"/>
      <c r="BW88" s="229" t="n"/>
      <c r="BX88" s="229" t="n"/>
      <c r="BY88" s="229" t="n"/>
      <c r="BZ88" s="229" t="n"/>
      <c r="CA88" s="229" t="n"/>
      <c r="CB88" s="229" t="n"/>
      <c r="CC88" s="229" t="n"/>
      <c r="CD88" s="229" t="n"/>
      <c r="CE88" s="229" t="n"/>
      <c r="CF88" s="229" t="n"/>
      <c r="CG88" s="229" t="n"/>
      <c r="CH88" s="229" t="n"/>
      <c r="CI88" s="226" t="n"/>
    </row>
    <row r="89" ht="15" customHeight="1" s="202">
      <c r="A89" s="219" t="inlineStr">
        <is>
          <t>GC Revenue</t>
        </is>
      </c>
      <c r="B89" s="225" t="n"/>
      <c r="C89" s="211">
        <f>C12</f>
        <v/>
      </c>
      <c r="D89" s="211">
        <f>D12</f>
        <v/>
      </c>
      <c r="E89" s="211">
        <f>E12</f>
        <v/>
      </c>
      <c r="F89" s="211">
        <f>F12</f>
        <v/>
      </c>
      <c r="G89" s="211">
        <f>G12</f>
        <v/>
      </c>
      <c r="H89" s="211">
        <f>H12</f>
        <v/>
      </c>
      <c r="I89" s="211">
        <f>I12</f>
        <v/>
      </c>
      <c r="J89" s="211">
        <f>J12</f>
        <v/>
      </c>
      <c r="K89" s="211">
        <f>K12</f>
        <v/>
      </c>
      <c r="L89" s="211">
        <f>L12</f>
        <v/>
      </c>
      <c r="M89" s="211">
        <f>M12</f>
        <v/>
      </c>
      <c r="N89" s="211">
        <f>N12</f>
        <v/>
      </c>
      <c r="O89" s="211">
        <f>O12</f>
        <v/>
      </c>
      <c r="P89" s="211">
        <f>P12</f>
        <v/>
      </c>
      <c r="Q89" s="211">
        <f>Q12</f>
        <v/>
      </c>
      <c r="R89" s="211">
        <f>R12</f>
        <v/>
      </c>
      <c r="S89" s="211">
        <f>S12</f>
        <v/>
      </c>
      <c r="T89" s="211">
        <f>T12</f>
        <v/>
      </c>
      <c r="U89" s="211">
        <f>U12</f>
        <v/>
      </c>
      <c r="V89" s="211">
        <f>V12</f>
        <v/>
      </c>
      <c r="W89" s="211">
        <f>W12</f>
        <v/>
      </c>
      <c r="X89" s="211">
        <f>X12</f>
        <v/>
      </c>
      <c r="Y89" s="211">
        <f>Y12</f>
        <v/>
      </c>
      <c r="Z89" s="211">
        <f>Z12</f>
        <v/>
      </c>
      <c r="AA89" s="211">
        <f>AA12</f>
        <v/>
      </c>
      <c r="AB89" s="211">
        <f>AB12</f>
        <v/>
      </c>
      <c r="AC89" s="211">
        <f>AC12</f>
        <v/>
      </c>
      <c r="AD89" s="211">
        <f>AD12</f>
        <v/>
      </c>
      <c r="AE89" s="211">
        <f>AE12</f>
        <v/>
      </c>
      <c r="AF89" s="211">
        <f>AF12</f>
        <v/>
      </c>
      <c r="AG89" s="211">
        <f>AG12</f>
        <v/>
      </c>
      <c r="AH89" s="211">
        <f>AH12</f>
        <v/>
      </c>
      <c r="AI89" s="211">
        <f>AI12</f>
        <v/>
      </c>
      <c r="AJ89" s="211">
        <f>AJ12</f>
        <v/>
      </c>
      <c r="AK89" s="211">
        <f>AK12</f>
        <v/>
      </c>
      <c r="AL89" s="211">
        <f>AL12</f>
        <v/>
      </c>
      <c r="AM89" s="211">
        <f>AM12</f>
        <v/>
      </c>
      <c r="AN89" s="211">
        <f>AN12</f>
        <v/>
      </c>
      <c r="AO89" s="211">
        <f>AO12</f>
        <v/>
      </c>
      <c r="AP89" s="211">
        <f>AP12</f>
        <v/>
      </c>
      <c r="AQ89" s="211">
        <f>AQ12</f>
        <v/>
      </c>
      <c r="AR89" s="211">
        <f>AR12</f>
        <v/>
      </c>
      <c r="AS89" s="211">
        <f>AS12</f>
        <v/>
      </c>
      <c r="AT89" s="211">
        <f>AT12</f>
        <v/>
      </c>
      <c r="AU89" s="211">
        <f>AU12</f>
        <v/>
      </c>
      <c r="AV89" s="211">
        <f>AV12</f>
        <v/>
      </c>
      <c r="AW89" s="211">
        <f>AW12</f>
        <v/>
      </c>
      <c r="AX89" s="211">
        <f>AX12</f>
        <v/>
      </c>
      <c r="AY89" s="211">
        <f>AY12</f>
        <v/>
      </c>
      <c r="AZ89" s="211">
        <f>AZ12</f>
        <v/>
      </c>
      <c r="BA89" s="211">
        <f>BA12</f>
        <v/>
      </c>
      <c r="BB89" s="211">
        <f>BB12</f>
        <v/>
      </c>
      <c r="BC89" s="211">
        <f>BC12</f>
        <v/>
      </c>
      <c r="BD89" s="211">
        <f>BD12</f>
        <v/>
      </c>
      <c r="BE89" s="211">
        <f>BE12</f>
        <v/>
      </c>
      <c r="BF89" s="211">
        <f>BF12</f>
        <v/>
      </c>
      <c r="BG89" s="211">
        <f>BG12</f>
        <v/>
      </c>
      <c r="BH89" s="211">
        <f>BH12</f>
        <v/>
      </c>
      <c r="BI89" s="211">
        <f>BI12</f>
        <v/>
      </c>
      <c r="BJ89" s="211">
        <f>BJ12</f>
        <v/>
      </c>
      <c r="BK89" s="211">
        <f>BK12</f>
        <v/>
      </c>
      <c r="BL89" s="211">
        <f>BL12</f>
        <v/>
      </c>
      <c r="BM89" s="211">
        <f>BM12</f>
        <v/>
      </c>
      <c r="BN89" s="211">
        <f>BN12</f>
        <v/>
      </c>
      <c r="BO89" s="211">
        <f>BO12</f>
        <v/>
      </c>
      <c r="BP89" s="211">
        <f>BP12</f>
        <v/>
      </c>
      <c r="BQ89" s="211">
        <f>BQ12</f>
        <v/>
      </c>
      <c r="BR89" s="211">
        <f>BR12</f>
        <v/>
      </c>
      <c r="BS89" s="211">
        <f>BS12</f>
        <v/>
      </c>
      <c r="BT89" s="211">
        <f>BT12</f>
        <v/>
      </c>
      <c r="BU89" s="211">
        <f>BU12</f>
        <v/>
      </c>
      <c r="BV89" s="211">
        <f>BV12</f>
        <v/>
      </c>
      <c r="BW89" s="211">
        <f>BW12</f>
        <v/>
      </c>
      <c r="BX89" s="211">
        <f>BX12</f>
        <v/>
      </c>
      <c r="BY89" s="211">
        <f>BY12</f>
        <v/>
      </c>
      <c r="BZ89" s="211">
        <f>BZ12</f>
        <v/>
      </c>
      <c r="CA89" s="211">
        <f>CA12</f>
        <v/>
      </c>
      <c r="CB89" s="211">
        <f>CB12</f>
        <v/>
      </c>
      <c r="CC89" s="211">
        <f>CC12</f>
        <v/>
      </c>
      <c r="CD89" s="211">
        <f>CD12</f>
        <v/>
      </c>
      <c r="CE89" s="211">
        <f>CE12</f>
        <v/>
      </c>
      <c r="CF89" s="211">
        <f>CF12</f>
        <v/>
      </c>
      <c r="CG89" s="211">
        <f>CG12</f>
        <v/>
      </c>
      <c r="CH89" s="211">
        <f>CH12</f>
        <v/>
      </c>
      <c r="CI89" s="226" t="n"/>
    </row>
    <row r="90" ht="15" customHeight="1" s="202">
      <c r="A90" s="219" t="inlineStr">
        <is>
          <t>Six Peak Revenue</t>
        </is>
      </c>
      <c r="B90" s="225" t="n"/>
      <c r="C90" s="211">
        <f>C63</f>
        <v/>
      </c>
      <c r="D90" s="211">
        <f>D63</f>
        <v/>
      </c>
      <c r="E90" s="211">
        <f>E63</f>
        <v/>
      </c>
      <c r="F90" s="211">
        <f>F63</f>
        <v/>
      </c>
      <c r="G90" s="211">
        <f>G63</f>
        <v/>
      </c>
      <c r="H90" s="211">
        <f>H63</f>
        <v/>
      </c>
      <c r="I90" s="211">
        <f>I63</f>
        <v/>
      </c>
      <c r="J90" s="211">
        <f>J63</f>
        <v/>
      </c>
      <c r="K90" s="211">
        <f>K63</f>
        <v/>
      </c>
      <c r="L90" s="211">
        <f>L63</f>
        <v/>
      </c>
      <c r="M90" s="211">
        <f>M63</f>
        <v/>
      </c>
      <c r="N90" s="211">
        <f>N63</f>
        <v/>
      </c>
      <c r="O90" s="211">
        <f>O63</f>
        <v/>
      </c>
      <c r="P90" s="211">
        <f>P63</f>
        <v/>
      </c>
      <c r="Q90" s="211">
        <f>Q63</f>
        <v/>
      </c>
      <c r="R90" s="211">
        <f>R63</f>
        <v/>
      </c>
      <c r="S90" s="211">
        <f>S63</f>
        <v/>
      </c>
      <c r="T90" s="211">
        <f>T63</f>
        <v/>
      </c>
      <c r="U90" s="211">
        <f>U63</f>
        <v/>
      </c>
      <c r="V90" s="211">
        <f>V63</f>
        <v/>
      </c>
      <c r="W90" s="211">
        <f>W63</f>
        <v/>
      </c>
      <c r="X90" s="211">
        <f>X63</f>
        <v/>
      </c>
      <c r="Y90" s="211">
        <f>Y63</f>
        <v/>
      </c>
      <c r="Z90" s="211">
        <f>Z63</f>
        <v/>
      </c>
      <c r="AA90" s="211">
        <f>AA63</f>
        <v/>
      </c>
      <c r="AB90" s="211">
        <f>AB63</f>
        <v/>
      </c>
      <c r="AC90" s="211">
        <f>AC63</f>
        <v/>
      </c>
      <c r="AD90" s="211">
        <f>AD63</f>
        <v/>
      </c>
      <c r="AE90" s="211">
        <f>AE63</f>
        <v/>
      </c>
      <c r="AF90" s="211">
        <f>AF63</f>
        <v/>
      </c>
      <c r="AG90" s="211">
        <f>AG63</f>
        <v/>
      </c>
      <c r="AH90" s="211">
        <f>AH63</f>
        <v/>
      </c>
      <c r="AI90" s="211">
        <f>AI63</f>
        <v/>
      </c>
      <c r="AJ90" s="211">
        <f>AJ63</f>
        <v/>
      </c>
      <c r="AK90" s="211">
        <f>AK63</f>
        <v/>
      </c>
      <c r="AL90" s="211">
        <f>AL63</f>
        <v/>
      </c>
      <c r="AM90" s="211">
        <f>AM63</f>
        <v/>
      </c>
      <c r="AN90" s="211">
        <f>AN63</f>
        <v/>
      </c>
      <c r="AO90" s="211">
        <f>AO63</f>
        <v/>
      </c>
      <c r="AP90" s="211">
        <f>AP63</f>
        <v/>
      </c>
      <c r="AQ90" s="211">
        <f>AQ63</f>
        <v/>
      </c>
      <c r="AR90" s="211">
        <f>AR63</f>
        <v/>
      </c>
      <c r="AS90" s="211">
        <f>AS63</f>
        <v/>
      </c>
      <c r="AT90" s="211">
        <f>AT63</f>
        <v/>
      </c>
      <c r="AU90" s="211">
        <f>AU63</f>
        <v/>
      </c>
      <c r="AV90" s="211">
        <f>AV63</f>
        <v/>
      </c>
      <c r="AW90" s="211">
        <f>AW63</f>
        <v/>
      </c>
      <c r="AX90" s="211">
        <f>AX63</f>
        <v/>
      </c>
      <c r="AY90" s="211">
        <f>AY63</f>
        <v/>
      </c>
      <c r="AZ90" s="211">
        <f>AZ63</f>
        <v/>
      </c>
      <c r="BA90" s="211">
        <f>BA63</f>
        <v/>
      </c>
      <c r="BB90" s="211">
        <f>BB63</f>
        <v/>
      </c>
      <c r="BC90" s="211">
        <f>BC63</f>
        <v/>
      </c>
      <c r="BD90" s="211">
        <f>BD63</f>
        <v/>
      </c>
      <c r="BE90" s="211">
        <f>BE63</f>
        <v/>
      </c>
      <c r="BF90" s="211">
        <f>BF63</f>
        <v/>
      </c>
      <c r="BG90" s="211">
        <f>BG63</f>
        <v/>
      </c>
      <c r="BH90" s="211">
        <f>BH63</f>
        <v/>
      </c>
      <c r="BI90" s="211">
        <f>BI63</f>
        <v/>
      </c>
      <c r="BJ90" s="211">
        <f>BJ63</f>
        <v/>
      </c>
      <c r="BK90" s="211">
        <f>BK63</f>
        <v/>
      </c>
      <c r="BL90" s="211">
        <f>BL63</f>
        <v/>
      </c>
      <c r="BM90" s="211">
        <f>BM63</f>
        <v/>
      </c>
      <c r="BN90" s="211">
        <f>BN63</f>
        <v/>
      </c>
      <c r="BO90" s="211">
        <f>BO63</f>
        <v/>
      </c>
      <c r="BP90" s="211">
        <f>BP63</f>
        <v/>
      </c>
      <c r="BQ90" s="211">
        <f>BQ63</f>
        <v/>
      </c>
      <c r="BR90" s="211">
        <f>BR63</f>
        <v/>
      </c>
      <c r="BS90" s="211">
        <f>BS63</f>
        <v/>
      </c>
      <c r="BT90" s="211">
        <f>BT63</f>
        <v/>
      </c>
      <c r="BU90" s="211">
        <f>BU63</f>
        <v/>
      </c>
      <c r="BV90" s="211">
        <f>BV63</f>
        <v/>
      </c>
      <c r="BW90" s="211">
        <f>BW63</f>
        <v/>
      </c>
      <c r="BX90" s="211">
        <f>BX63</f>
        <v/>
      </c>
      <c r="BY90" s="211">
        <f>BY63</f>
        <v/>
      </c>
      <c r="BZ90" s="211">
        <f>BZ63</f>
        <v/>
      </c>
      <c r="CA90" s="211">
        <f>CA63</f>
        <v/>
      </c>
      <c r="CB90" s="211">
        <f>CB63</f>
        <v/>
      </c>
      <c r="CC90" s="211">
        <f>CC63</f>
        <v/>
      </c>
      <c r="CD90" s="211">
        <f>CD63</f>
        <v/>
      </c>
      <c r="CE90" s="211">
        <f>CE63</f>
        <v/>
      </c>
      <c r="CF90" s="211">
        <f>CF63</f>
        <v/>
      </c>
      <c r="CG90" s="211">
        <f>CG63</f>
        <v/>
      </c>
      <c r="CH90" s="211">
        <f>CH63</f>
        <v/>
      </c>
      <c r="CI90" s="226" t="n"/>
    </row>
    <row r="91" ht="15" customHeight="1" s="202">
      <c r="A91" s="212" t="inlineStr">
        <is>
          <t>Total Revenue</t>
        </is>
      </c>
      <c r="B91" s="231" t="n"/>
      <c r="C91" s="213">
        <f>C89+C90</f>
        <v/>
      </c>
      <c r="D91" s="213">
        <f>D89+D90</f>
        <v/>
      </c>
      <c r="E91" s="213">
        <f>E89+E90</f>
        <v/>
      </c>
      <c r="F91" s="213">
        <f>F89+F90</f>
        <v/>
      </c>
      <c r="G91" s="213">
        <f>G89+G90</f>
        <v/>
      </c>
      <c r="H91" s="213">
        <f>H89+H90</f>
        <v/>
      </c>
      <c r="I91" s="213">
        <f>I89+I90</f>
        <v/>
      </c>
      <c r="J91" s="213">
        <f>J89+J90</f>
        <v/>
      </c>
      <c r="K91" s="213">
        <f>K89+K90</f>
        <v/>
      </c>
      <c r="L91" s="213">
        <f>L89+L90</f>
        <v/>
      </c>
      <c r="M91" s="213">
        <f>M89+M90</f>
        <v/>
      </c>
      <c r="N91" s="213">
        <f>N89+N90</f>
        <v/>
      </c>
      <c r="O91" s="213">
        <f>O89+O90</f>
        <v/>
      </c>
      <c r="P91" s="213">
        <f>P89+P90</f>
        <v/>
      </c>
      <c r="Q91" s="213">
        <f>Q89+Q90</f>
        <v/>
      </c>
      <c r="R91" s="213">
        <f>R89+R90</f>
        <v/>
      </c>
      <c r="S91" s="213">
        <f>S89+S90</f>
        <v/>
      </c>
      <c r="T91" s="213">
        <f>T89+T90</f>
        <v/>
      </c>
      <c r="U91" s="213">
        <f>U89+U90</f>
        <v/>
      </c>
      <c r="V91" s="213">
        <f>V89+V90</f>
        <v/>
      </c>
      <c r="W91" s="213">
        <f>W89+W90</f>
        <v/>
      </c>
      <c r="X91" s="213">
        <f>X89+X90</f>
        <v/>
      </c>
      <c r="Y91" s="213">
        <f>Y89+Y90</f>
        <v/>
      </c>
      <c r="Z91" s="213">
        <f>Z89+Z90</f>
        <v/>
      </c>
      <c r="AA91" s="213">
        <f>AA89+AA90</f>
        <v/>
      </c>
      <c r="AB91" s="213">
        <f>AB89+AB90</f>
        <v/>
      </c>
      <c r="AC91" s="213">
        <f>AC89+AC90</f>
        <v/>
      </c>
      <c r="AD91" s="213">
        <f>AD89+AD90</f>
        <v/>
      </c>
      <c r="AE91" s="213">
        <f>AE89+AE90</f>
        <v/>
      </c>
      <c r="AF91" s="213">
        <f>AF89+AF90</f>
        <v/>
      </c>
      <c r="AG91" s="213">
        <f>AG89+AG90</f>
        <v/>
      </c>
      <c r="AH91" s="213">
        <f>AH89+AH90</f>
        <v/>
      </c>
      <c r="AI91" s="213">
        <f>AI89+AI90</f>
        <v/>
      </c>
      <c r="AJ91" s="213">
        <f>AJ89+AJ90</f>
        <v/>
      </c>
      <c r="AK91" s="213">
        <f>AK89+AK90</f>
        <v/>
      </c>
      <c r="AL91" s="213">
        <f>AL89+AL90</f>
        <v/>
      </c>
      <c r="AM91" s="213">
        <f>AM89+AM90</f>
        <v/>
      </c>
      <c r="AN91" s="213">
        <f>AN89+AN90</f>
        <v/>
      </c>
      <c r="AO91" s="213">
        <f>AO89+AO90</f>
        <v/>
      </c>
      <c r="AP91" s="213">
        <f>AP89+AP90</f>
        <v/>
      </c>
      <c r="AQ91" s="213">
        <f>AQ89+AQ90</f>
        <v/>
      </c>
      <c r="AR91" s="213">
        <f>AR89+AR90</f>
        <v/>
      </c>
      <c r="AS91" s="213">
        <f>AS89+AS90</f>
        <v/>
      </c>
      <c r="AT91" s="213">
        <f>AT89+AT90</f>
        <v/>
      </c>
      <c r="AU91" s="213">
        <f>AU89+AU90</f>
        <v/>
      </c>
      <c r="AV91" s="213">
        <f>AV89+AV90</f>
        <v/>
      </c>
      <c r="AW91" s="213">
        <f>AW89+AW90</f>
        <v/>
      </c>
      <c r="AX91" s="213">
        <f>AX89+AX90</f>
        <v/>
      </c>
      <c r="AY91" s="213">
        <f>AY89+AY90</f>
        <v/>
      </c>
      <c r="AZ91" s="213">
        <f>AZ89+AZ90</f>
        <v/>
      </c>
      <c r="BA91" s="213">
        <f>BA89+BA90</f>
        <v/>
      </c>
      <c r="BB91" s="213">
        <f>BB89+BB90</f>
        <v/>
      </c>
      <c r="BC91" s="213">
        <f>BC89+BC90</f>
        <v/>
      </c>
      <c r="BD91" s="213">
        <f>BD89+BD90</f>
        <v/>
      </c>
      <c r="BE91" s="213">
        <f>BE89+BE90</f>
        <v/>
      </c>
      <c r="BF91" s="213">
        <f>BF89+BF90</f>
        <v/>
      </c>
      <c r="BG91" s="213">
        <f>BG89+BG90</f>
        <v/>
      </c>
      <c r="BH91" s="213">
        <f>BH89+BH90</f>
        <v/>
      </c>
      <c r="BI91" s="213">
        <f>BI89+BI90</f>
        <v/>
      </c>
      <c r="BJ91" s="213">
        <f>BJ89+BJ90</f>
        <v/>
      </c>
      <c r="BK91" s="213">
        <f>BK89+BK90</f>
        <v/>
      </c>
      <c r="BL91" s="213">
        <f>BL89+BL90</f>
        <v/>
      </c>
      <c r="BM91" s="213">
        <f>BM89+BM90</f>
        <v/>
      </c>
      <c r="BN91" s="213">
        <f>BN89+BN90</f>
        <v/>
      </c>
      <c r="BO91" s="213">
        <f>BO89+BO90</f>
        <v/>
      </c>
      <c r="BP91" s="213">
        <f>BP89+BP90</f>
        <v/>
      </c>
      <c r="BQ91" s="213">
        <f>BQ89+BQ90</f>
        <v/>
      </c>
      <c r="BR91" s="213">
        <f>BR89+BR90</f>
        <v/>
      </c>
      <c r="BS91" s="213">
        <f>BS89+BS90</f>
        <v/>
      </c>
      <c r="BT91" s="213">
        <f>BT89+BT90</f>
        <v/>
      </c>
      <c r="BU91" s="213">
        <f>BU89+BU90</f>
        <v/>
      </c>
      <c r="BV91" s="213">
        <f>BV89+BV90</f>
        <v/>
      </c>
      <c r="BW91" s="213">
        <f>BW89+BW90</f>
        <v/>
      </c>
      <c r="BX91" s="213">
        <f>BX89+BX90</f>
        <v/>
      </c>
      <c r="BY91" s="213">
        <f>BY89+BY90</f>
        <v/>
      </c>
      <c r="BZ91" s="213">
        <f>BZ89+BZ90</f>
        <v/>
      </c>
      <c r="CA91" s="213">
        <f>CA89+CA90</f>
        <v/>
      </c>
      <c r="CB91" s="213">
        <f>CB89+CB90</f>
        <v/>
      </c>
      <c r="CC91" s="213">
        <f>CC89+CC90</f>
        <v/>
      </c>
      <c r="CD91" s="213">
        <f>CD89+CD90</f>
        <v/>
      </c>
      <c r="CE91" s="213">
        <f>CE89+CE90</f>
        <v/>
      </c>
      <c r="CF91" s="213">
        <f>CF89+CF90</f>
        <v/>
      </c>
      <c r="CG91" s="213">
        <f>CG89+CG90</f>
        <v/>
      </c>
      <c r="CH91" s="213">
        <f>CH89+CH90</f>
        <v/>
      </c>
      <c r="CI91" s="226" t="n"/>
    </row>
    <row r="92" ht="15" customHeight="1" s="202">
      <c r="A92" s="219" t="inlineStr">
        <is>
          <t>GC Costs</t>
        </is>
      </c>
      <c r="B92" s="225" t="n"/>
      <c r="C92" s="211">
        <f>C38</f>
        <v/>
      </c>
      <c r="D92" s="211">
        <f>D38</f>
        <v/>
      </c>
      <c r="E92" s="211">
        <f>E38</f>
        <v/>
      </c>
      <c r="F92" s="211">
        <f>F38</f>
        <v/>
      </c>
      <c r="G92" s="211">
        <f>G38</f>
        <v/>
      </c>
      <c r="H92" s="211">
        <f>H38</f>
        <v/>
      </c>
      <c r="I92" s="211">
        <f>I38</f>
        <v/>
      </c>
      <c r="J92" s="211">
        <f>J38</f>
        <v/>
      </c>
      <c r="K92" s="211">
        <f>K38</f>
        <v/>
      </c>
      <c r="L92" s="211">
        <f>L38</f>
        <v/>
      </c>
      <c r="M92" s="211">
        <f>M38</f>
        <v/>
      </c>
      <c r="N92" s="211">
        <f>N38</f>
        <v/>
      </c>
      <c r="O92" s="211">
        <f>O38</f>
        <v/>
      </c>
      <c r="P92" s="211">
        <f>P38</f>
        <v/>
      </c>
      <c r="Q92" s="211">
        <f>Q38</f>
        <v/>
      </c>
      <c r="R92" s="211">
        <f>R38</f>
        <v/>
      </c>
      <c r="S92" s="211">
        <f>S38</f>
        <v/>
      </c>
      <c r="T92" s="211">
        <f>T38</f>
        <v/>
      </c>
      <c r="U92" s="211">
        <f>U38</f>
        <v/>
      </c>
      <c r="V92" s="211">
        <f>V38</f>
        <v/>
      </c>
      <c r="W92" s="211">
        <f>W38</f>
        <v/>
      </c>
      <c r="X92" s="211">
        <f>X38</f>
        <v/>
      </c>
      <c r="Y92" s="211">
        <f>Y38</f>
        <v/>
      </c>
      <c r="Z92" s="211">
        <f>Z38</f>
        <v/>
      </c>
      <c r="AA92" s="211">
        <f>AA38</f>
        <v/>
      </c>
      <c r="AB92" s="211">
        <f>AB38</f>
        <v/>
      </c>
      <c r="AC92" s="211">
        <f>AC38</f>
        <v/>
      </c>
      <c r="AD92" s="211">
        <f>AD38</f>
        <v/>
      </c>
      <c r="AE92" s="211">
        <f>AE38</f>
        <v/>
      </c>
      <c r="AF92" s="211">
        <f>AF38</f>
        <v/>
      </c>
      <c r="AG92" s="211">
        <f>AG38</f>
        <v/>
      </c>
      <c r="AH92" s="211">
        <f>AH38</f>
        <v/>
      </c>
      <c r="AI92" s="211">
        <f>AI38</f>
        <v/>
      </c>
      <c r="AJ92" s="211">
        <f>AJ38</f>
        <v/>
      </c>
      <c r="AK92" s="211">
        <f>AK38</f>
        <v/>
      </c>
      <c r="AL92" s="211">
        <f>AL38</f>
        <v/>
      </c>
      <c r="AM92" s="211">
        <f>AM38</f>
        <v/>
      </c>
      <c r="AN92" s="211">
        <f>AN38</f>
        <v/>
      </c>
      <c r="AO92" s="211">
        <f>AO38</f>
        <v/>
      </c>
      <c r="AP92" s="211">
        <f>AP38</f>
        <v/>
      </c>
      <c r="AQ92" s="211">
        <f>AQ38</f>
        <v/>
      </c>
      <c r="AR92" s="211">
        <f>AR38</f>
        <v/>
      </c>
      <c r="AS92" s="211">
        <f>AS38</f>
        <v/>
      </c>
      <c r="AT92" s="211">
        <f>AT38</f>
        <v/>
      </c>
      <c r="AU92" s="211">
        <f>AU38</f>
        <v/>
      </c>
      <c r="AV92" s="211">
        <f>AV38</f>
        <v/>
      </c>
      <c r="AW92" s="211">
        <f>AW38</f>
        <v/>
      </c>
      <c r="AX92" s="211">
        <f>AX38</f>
        <v/>
      </c>
      <c r="AY92" s="211">
        <f>AY38</f>
        <v/>
      </c>
      <c r="AZ92" s="211">
        <f>AZ38</f>
        <v/>
      </c>
      <c r="BA92" s="211">
        <f>BA38</f>
        <v/>
      </c>
      <c r="BB92" s="211">
        <f>BB38</f>
        <v/>
      </c>
      <c r="BC92" s="211">
        <f>BC38</f>
        <v/>
      </c>
      <c r="BD92" s="211">
        <f>BD38</f>
        <v/>
      </c>
      <c r="BE92" s="211">
        <f>BE38</f>
        <v/>
      </c>
      <c r="BF92" s="211">
        <f>BF38</f>
        <v/>
      </c>
      <c r="BG92" s="211">
        <f>BG38</f>
        <v/>
      </c>
      <c r="BH92" s="211">
        <f>BH38</f>
        <v/>
      </c>
      <c r="BI92" s="211">
        <f>BI38</f>
        <v/>
      </c>
      <c r="BJ92" s="211">
        <f>BJ38</f>
        <v/>
      </c>
      <c r="BK92" s="211">
        <f>BK38</f>
        <v/>
      </c>
      <c r="BL92" s="211">
        <f>BL38</f>
        <v/>
      </c>
      <c r="BM92" s="211">
        <f>BM38</f>
        <v/>
      </c>
      <c r="BN92" s="211">
        <f>BN38</f>
        <v/>
      </c>
      <c r="BO92" s="211">
        <f>BO38</f>
        <v/>
      </c>
      <c r="BP92" s="211">
        <f>BP38</f>
        <v/>
      </c>
      <c r="BQ92" s="211">
        <f>BQ38</f>
        <v/>
      </c>
      <c r="BR92" s="211">
        <f>BR38</f>
        <v/>
      </c>
      <c r="BS92" s="211">
        <f>BS38</f>
        <v/>
      </c>
      <c r="BT92" s="211">
        <f>BT38</f>
        <v/>
      </c>
      <c r="BU92" s="211">
        <f>BU38</f>
        <v/>
      </c>
      <c r="BV92" s="211">
        <f>BV38</f>
        <v/>
      </c>
      <c r="BW92" s="211">
        <f>BW38</f>
        <v/>
      </c>
      <c r="BX92" s="211">
        <f>BX38</f>
        <v/>
      </c>
      <c r="BY92" s="211">
        <f>BY38</f>
        <v/>
      </c>
      <c r="BZ92" s="211">
        <f>BZ38</f>
        <v/>
      </c>
      <c r="CA92" s="211">
        <f>CA38</f>
        <v/>
      </c>
      <c r="CB92" s="211">
        <f>CB38</f>
        <v/>
      </c>
      <c r="CC92" s="211">
        <f>CC38</f>
        <v/>
      </c>
      <c r="CD92" s="211">
        <f>CD38</f>
        <v/>
      </c>
      <c r="CE92" s="211">
        <f>CE38</f>
        <v/>
      </c>
      <c r="CF92" s="211">
        <f>CF38</f>
        <v/>
      </c>
      <c r="CG92" s="211">
        <f>CG38</f>
        <v/>
      </c>
      <c r="CH92" s="211">
        <f>CH38</f>
        <v/>
      </c>
      <c r="CI92" s="226" t="n"/>
    </row>
    <row r="93" ht="15" customHeight="1" s="202">
      <c r="A93" s="219" t="inlineStr">
        <is>
          <t>Six Peak Expenses</t>
        </is>
      </c>
      <c r="B93" s="225" t="n"/>
      <c r="C93" s="211">
        <f>C84</f>
        <v/>
      </c>
      <c r="D93" s="211">
        <f>D84</f>
        <v/>
      </c>
      <c r="E93" s="211">
        <f>E84</f>
        <v/>
      </c>
      <c r="F93" s="211">
        <f>F84</f>
        <v/>
      </c>
      <c r="G93" s="211">
        <f>G84</f>
        <v/>
      </c>
      <c r="H93" s="211">
        <f>H84</f>
        <v/>
      </c>
      <c r="I93" s="211">
        <f>I84</f>
        <v/>
      </c>
      <c r="J93" s="211">
        <f>J84</f>
        <v/>
      </c>
      <c r="K93" s="211">
        <f>K84</f>
        <v/>
      </c>
      <c r="L93" s="211">
        <f>L84</f>
        <v/>
      </c>
      <c r="M93" s="211">
        <f>M84</f>
        <v/>
      </c>
      <c r="N93" s="211">
        <f>N84</f>
        <v/>
      </c>
      <c r="O93" s="211">
        <f>O84</f>
        <v/>
      </c>
      <c r="P93" s="211">
        <f>P84</f>
        <v/>
      </c>
      <c r="Q93" s="211">
        <f>Q84</f>
        <v/>
      </c>
      <c r="R93" s="211">
        <f>R84</f>
        <v/>
      </c>
      <c r="S93" s="211">
        <f>S84</f>
        <v/>
      </c>
      <c r="T93" s="211">
        <f>T84</f>
        <v/>
      </c>
      <c r="U93" s="211">
        <f>U84</f>
        <v/>
      </c>
      <c r="V93" s="211">
        <f>V84</f>
        <v/>
      </c>
      <c r="W93" s="211">
        <f>W84</f>
        <v/>
      </c>
      <c r="X93" s="211">
        <f>X84</f>
        <v/>
      </c>
      <c r="Y93" s="211">
        <f>Y84</f>
        <v/>
      </c>
      <c r="Z93" s="211">
        <f>Z84</f>
        <v/>
      </c>
      <c r="AA93" s="211">
        <f>AA84</f>
        <v/>
      </c>
      <c r="AB93" s="211">
        <f>AB84</f>
        <v/>
      </c>
      <c r="AC93" s="211">
        <f>AC84</f>
        <v/>
      </c>
      <c r="AD93" s="211">
        <f>AD84</f>
        <v/>
      </c>
      <c r="AE93" s="211">
        <f>AE84</f>
        <v/>
      </c>
      <c r="AF93" s="211">
        <f>AF84</f>
        <v/>
      </c>
      <c r="AG93" s="211">
        <f>AG84</f>
        <v/>
      </c>
      <c r="AH93" s="211">
        <f>AH84</f>
        <v/>
      </c>
      <c r="AI93" s="211">
        <f>AI84</f>
        <v/>
      </c>
      <c r="AJ93" s="211">
        <f>AJ84</f>
        <v/>
      </c>
      <c r="AK93" s="211">
        <f>AK84</f>
        <v/>
      </c>
      <c r="AL93" s="211">
        <f>AL84</f>
        <v/>
      </c>
      <c r="AM93" s="211">
        <f>AM84</f>
        <v/>
      </c>
      <c r="AN93" s="211">
        <f>AN84</f>
        <v/>
      </c>
      <c r="AO93" s="211">
        <f>AO84</f>
        <v/>
      </c>
      <c r="AP93" s="211">
        <f>AP84</f>
        <v/>
      </c>
      <c r="AQ93" s="211">
        <f>AQ84</f>
        <v/>
      </c>
      <c r="AR93" s="211">
        <f>AR84</f>
        <v/>
      </c>
      <c r="AS93" s="211">
        <f>AS84</f>
        <v/>
      </c>
      <c r="AT93" s="211">
        <f>AT84</f>
        <v/>
      </c>
      <c r="AU93" s="211">
        <f>AU84</f>
        <v/>
      </c>
      <c r="AV93" s="211">
        <f>AV84</f>
        <v/>
      </c>
      <c r="AW93" s="211">
        <f>AW84</f>
        <v/>
      </c>
      <c r="AX93" s="211">
        <f>AX84</f>
        <v/>
      </c>
      <c r="AY93" s="211">
        <f>AY84</f>
        <v/>
      </c>
      <c r="AZ93" s="211">
        <f>AZ84</f>
        <v/>
      </c>
      <c r="BA93" s="211">
        <f>BA84</f>
        <v/>
      </c>
      <c r="BB93" s="211">
        <f>BB84</f>
        <v/>
      </c>
      <c r="BC93" s="211">
        <f>BC84</f>
        <v/>
      </c>
      <c r="BD93" s="211">
        <f>BD84</f>
        <v/>
      </c>
      <c r="BE93" s="211">
        <f>BE84</f>
        <v/>
      </c>
      <c r="BF93" s="211">
        <f>BF84</f>
        <v/>
      </c>
      <c r="BG93" s="211">
        <f>BG84</f>
        <v/>
      </c>
      <c r="BH93" s="211">
        <f>BH84</f>
        <v/>
      </c>
      <c r="BI93" s="211">
        <f>BI84</f>
        <v/>
      </c>
      <c r="BJ93" s="211">
        <f>BJ84</f>
        <v/>
      </c>
      <c r="BK93" s="211">
        <f>BK84</f>
        <v/>
      </c>
      <c r="BL93" s="211">
        <f>BL84</f>
        <v/>
      </c>
      <c r="BM93" s="211">
        <f>BM84</f>
        <v/>
      </c>
      <c r="BN93" s="211">
        <f>BN84</f>
        <v/>
      </c>
      <c r="BO93" s="211">
        <f>BO84</f>
        <v/>
      </c>
      <c r="BP93" s="211">
        <f>BP84</f>
        <v/>
      </c>
      <c r="BQ93" s="211">
        <f>BQ84</f>
        <v/>
      </c>
      <c r="BR93" s="211">
        <f>BR84</f>
        <v/>
      </c>
      <c r="BS93" s="211">
        <f>BS84</f>
        <v/>
      </c>
      <c r="BT93" s="211">
        <f>BT84</f>
        <v/>
      </c>
      <c r="BU93" s="211">
        <f>BU84</f>
        <v/>
      </c>
      <c r="BV93" s="211">
        <f>BV84</f>
        <v/>
      </c>
      <c r="BW93" s="211">
        <f>BW84</f>
        <v/>
      </c>
      <c r="BX93" s="211">
        <f>BX84</f>
        <v/>
      </c>
      <c r="BY93" s="211">
        <f>BY84</f>
        <v/>
      </c>
      <c r="BZ93" s="211">
        <f>BZ84</f>
        <v/>
      </c>
      <c r="CA93" s="211">
        <f>CA84</f>
        <v/>
      </c>
      <c r="CB93" s="211">
        <f>CB84</f>
        <v/>
      </c>
      <c r="CC93" s="211">
        <f>CC84</f>
        <v/>
      </c>
      <c r="CD93" s="211">
        <f>CD84</f>
        <v/>
      </c>
      <c r="CE93" s="211">
        <f>CE84</f>
        <v/>
      </c>
      <c r="CF93" s="211">
        <f>CF84</f>
        <v/>
      </c>
      <c r="CG93" s="211">
        <f>CG84</f>
        <v/>
      </c>
      <c r="CH93" s="211">
        <f>CH84</f>
        <v/>
      </c>
      <c r="CI93" s="226" t="n"/>
    </row>
    <row r="94" ht="15" customHeight="1" s="202">
      <c r="A94" s="212" t="inlineStr">
        <is>
          <t>Total Expenses</t>
        </is>
      </c>
      <c r="B94" s="231" t="n"/>
      <c r="C94" s="213">
        <f>C92+C93</f>
        <v/>
      </c>
      <c r="D94" s="213">
        <f>D92+D93</f>
        <v/>
      </c>
      <c r="E94" s="213">
        <f>E92+E93</f>
        <v/>
      </c>
      <c r="F94" s="213">
        <f>F92+F93</f>
        <v/>
      </c>
      <c r="G94" s="213">
        <f>G92+G93</f>
        <v/>
      </c>
      <c r="H94" s="213">
        <f>H92+H93</f>
        <v/>
      </c>
      <c r="I94" s="213">
        <f>I92+I93</f>
        <v/>
      </c>
      <c r="J94" s="213">
        <f>J92+J93</f>
        <v/>
      </c>
      <c r="K94" s="213">
        <f>K92+K93</f>
        <v/>
      </c>
      <c r="L94" s="213">
        <f>L92+L93</f>
        <v/>
      </c>
      <c r="M94" s="213">
        <f>M92+M93</f>
        <v/>
      </c>
      <c r="N94" s="213">
        <f>N92+N93</f>
        <v/>
      </c>
      <c r="O94" s="213">
        <f>O92+O93</f>
        <v/>
      </c>
      <c r="P94" s="213">
        <f>P92+P93</f>
        <v/>
      </c>
      <c r="Q94" s="213">
        <f>Q92+Q93</f>
        <v/>
      </c>
      <c r="R94" s="213">
        <f>R92+R93</f>
        <v/>
      </c>
      <c r="S94" s="213">
        <f>S92+S93</f>
        <v/>
      </c>
      <c r="T94" s="213">
        <f>T92+T93</f>
        <v/>
      </c>
      <c r="U94" s="213">
        <f>U92+U93</f>
        <v/>
      </c>
      <c r="V94" s="213">
        <f>V92+V93</f>
        <v/>
      </c>
      <c r="W94" s="213">
        <f>W92+W93</f>
        <v/>
      </c>
      <c r="X94" s="213">
        <f>X92+X93</f>
        <v/>
      </c>
      <c r="Y94" s="213">
        <f>Y92+Y93</f>
        <v/>
      </c>
      <c r="Z94" s="213">
        <f>Z92+Z93</f>
        <v/>
      </c>
      <c r="AA94" s="213">
        <f>AA92+AA93</f>
        <v/>
      </c>
      <c r="AB94" s="213">
        <f>AB92+AB93</f>
        <v/>
      </c>
      <c r="AC94" s="213">
        <f>AC92+AC93</f>
        <v/>
      </c>
      <c r="AD94" s="213">
        <f>AD92+AD93</f>
        <v/>
      </c>
      <c r="AE94" s="213">
        <f>AE92+AE93</f>
        <v/>
      </c>
      <c r="AF94" s="213">
        <f>AF92+AF93</f>
        <v/>
      </c>
      <c r="AG94" s="213">
        <f>AG92+AG93</f>
        <v/>
      </c>
      <c r="AH94" s="213">
        <f>AH92+AH93</f>
        <v/>
      </c>
      <c r="AI94" s="213">
        <f>AI92+AI93</f>
        <v/>
      </c>
      <c r="AJ94" s="213">
        <f>AJ92+AJ93</f>
        <v/>
      </c>
      <c r="AK94" s="213">
        <f>AK92+AK93</f>
        <v/>
      </c>
      <c r="AL94" s="213">
        <f>AL92+AL93</f>
        <v/>
      </c>
      <c r="AM94" s="213">
        <f>AM92+AM93</f>
        <v/>
      </c>
      <c r="AN94" s="213">
        <f>AN92+AN93</f>
        <v/>
      </c>
      <c r="AO94" s="213">
        <f>AO92+AO93</f>
        <v/>
      </c>
      <c r="AP94" s="213">
        <f>AP92+AP93</f>
        <v/>
      </c>
      <c r="AQ94" s="213">
        <f>AQ92+AQ93</f>
        <v/>
      </c>
      <c r="AR94" s="213">
        <f>AR92+AR93</f>
        <v/>
      </c>
      <c r="AS94" s="213">
        <f>AS92+AS93</f>
        <v/>
      </c>
      <c r="AT94" s="213">
        <f>AT92+AT93</f>
        <v/>
      </c>
      <c r="AU94" s="213">
        <f>AU92+AU93</f>
        <v/>
      </c>
      <c r="AV94" s="213">
        <f>AV92+AV93</f>
        <v/>
      </c>
      <c r="AW94" s="213">
        <f>AW92+AW93</f>
        <v/>
      </c>
      <c r="AX94" s="213">
        <f>AX92+AX93</f>
        <v/>
      </c>
      <c r="AY94" s="213">
        <f>AY92+AY93</f>
        <v/>
      </c>
      <c r="AZ94" s="213">
        <f>AZ92+AZ93</f>
        <v/>
      </c>
      <c r="BA94" s="213">
        <f>BA92+BA93</f>
        <v/>
      </c>
      <c r="BB94" s="213">
        <f>BB92+BB93</f>
        <v/>
      </c>
      <c r="BC94" s="213">
        <f>BC92+BC93</f>
        <v/>
      </c>
      <c r="BD94" s="213">
        <f>BD92+BD93</f>
        <v/>
      </c>
      <c r="BE94" s="213">
        <f>BE92+BE93</f>
        <v/>
      </c>
      <c r="BF94" s="213">
        <f>BF92+BF93</f>
        <v/>
      </c>
      <c r="BG94" s="213">
        <f>BG92+BG93</f>
        <v/>
      </c>
      <c r="BH94" s="213">
        <f>BH92+BH93</f>
        <v/>
      </c>
      <c r="BI94" s="213">
        <f>BI92+BI93</f>
        <v/>
      </c>
      <c r="BJ94" s="213">
        <f>BJ92+BJ93</f>
        <v/>
      </c>
      <c r="BK94" s="213">
        <f>BK92+BK93</f>
        <v/>
      </c>
      <c r="BL94" s="213">
        <f>BL92+BL93</f>
        <v/>
      </c>
      <c r="BM94" s="213">
        <f>BM92+BM93</f>
        <v/>
      </c>
      <c r="BN94" s="213">
        <f>BN92+BN93</f>
        <v/>
      </c>
      <c r="BO94" s="213">
        <f>BO92+BO93</f>
        <v/>
      </c>
      <c r="BP94" s="213">
        <f>BP92+BP93</f>
        <v/>
      </c>
      <c r="BQ94" s="213">
        <f>BQ92+BQ93</f>
        <v/>
      </c>
      <c r="BR94" s="213">
        <f>BR92+BR93</f>
        <v/>
      </c>
      <c r="BS94" s="213">
        <f>BS92+BS93</f>
        <v/>
      </c>
      <c r="BT94" s="213">
        <f>BT92+BT93</f>
        <v/>
      </c>
      <c r="BU94" s="213">
        <f>BU92+BU93</f>
        <v/>
      </c>
      <c r="BV94" s="213">
        <f>BV92+BV93</f>
        <v/>
      </c>
      <c r="BW94" s="213">
        <f>BW92+BW93</f>
        <v/>
      </c>
      <c r="BX94" s="213">
        <f>BX92+BX93</f>
        <v/>
      </c>
      <c r="BY94" s="213">
        <f>BY92+BY93</f>
        <v/>
      </c>
      <c r="BZ94" s="213">
        <f>BZ92+BZ93</f>
        <v/>
      </c>
      <c r="CA94" s="213">
        <f>CA92+CA93</f>
        <v/>
      </c>
      <c r="CB94" s="213">
        <f>CB92+CB93</f>
        <v/>
      </c>
      <c r="CC94" s="213">
        <f>CC92+CC93</f>
        <v/>
      </c>
      <c r="CD94" s="213">
        <f>CD92+CD93</f>
        <v/>
      </c>
      <c r="CE94" s="213">
        <f>CE92+CE93</f>
        <v/>
      </c>
      <c r="CF94" s="213">
        <f>CF92+CF93</f>
        <v/>
      </c>
      <c r="CG94" s="213">
        <f>CG92+CG93</f>
        <v/>
      </c>
      <c r="CH94" s="213">
        <f>CH92+CH93</f>
        <v/>
      </c>
      <c r="CI94" s="226" t="n"/>
    </row>
    <row r="95" ht="15" customHeight="1" s="202">
      <c r="A95" s="216" t="inlineStr">
        <is>
          <t>Consolidated Net Income</t>
        </is>
      </c>
      <c r="B95" s="232" t="n"/>
      <c r="C95" s="217">
        <f>C91+C94</f>
        <v/>
      </c>
      <c r="D95" s="217">
        <f>D91+D94</f>
        <v/>
      </c>
      <c r="E95" s="217">
        <f>E91+E94</f>
        <v/>
      </c>
      <c r="F95" s="217">
        <f>F91+F94</f>
        <v/>
      </c>
      <c r="G95" s="217">
        <f>G91+G94</f>
        <v/>
      </c>
      <c r="H95" s="217">
        <f>H91+H94</f>
        <v/>
      </c>
      <c r="I95" s="217">
        <f>I91+I94</f>
        <v/>
      </c>
      <c r="J95" s="217">
        <f>J91+J94</f>
        <v/>
      </c>
      <c r="K95" s="217">
        <f>K91+K94</f>
        <v/>
      </c>
      <c r="L95" s="217">
        <f>L91+L94</f>
        <v/>
      </c>
      <c r="M95" s="217">
        <f>M91+M94</f>
        <v/>
      </c>
      <c r="N95" s="217">
        <f>N91+N94</f>
        <v/>
      </c>
      <c r="O95" s="217">
        <f>O91+O94</f>
        <v/>
      </c>
      <c r="P95" s="217">
        <f>P91+P94</f>
        <v/>
      </c>
      <c r="Q95" s="217">
        <f>Q91+Q94</f>
        <v/>
      </c>
      <c r="R95" s="217">
        <f>R91+R94</f>
        <v/>
      </c>
      <c r="S95" s="217">
        <f>S91+S94</f>
        <v/>
      </c>
      <c r="T95" s="217">
        <f>T91+T94</f>
        <v/>
      </c>
      <c r="U95" s="217">
        <f>U91+U94</f>
        <v/>
      </c>
      <c r="V95" s="217">
        <f>V91+V94</f>
        <v/>
      </c>
      <c r="W95" s="217">
        <f>W91+W94</f>
        <v/>
      </c>
      <c r="X95" s="217">
        <f>X91+X94</f>
        <v/>
      </c>
      <c r="Y95" s="217">
        <f>Y91+Y94</f>
        <v/>
      </c>
      <c r="Z95" s="217">
        <f>Z91+Z94</f>
        <v/>
      </c>
      <c r="AA95" s="217">
        <f>AA91+AA94</f>
        <v/>
      </c>
      <c r="AB95" s="217">
        <f>AB91+AB94</f>
        <v/>
      </c>
      <c r="AC95" s="217">
        <f>AC91+AC94</f>
        <v/>
      </c>
      <c r="AD95" s="217">
        <f>AD91+AD94</f>
        <v/>
      </c>
      <c r="AE95" s="217">
        <f>AE91+AE94</f>
        <v/>
      </c>
      <c r="AF95" s="217">
        <f>AF91+AF94</f>
        <v/>
      </c>
      <c r="AG95" s="217">
        <f>AG91+AG94</f>
        <v/>
      </c>
      <c r="AH95" s="217">
        <f>AH91+AH94</f>
        <v/>
      </c>
      <c r="AI95" s="217">
        <f>AI91+AI94</f>
        <v/>
      </c>
      <c r="AJ95" s="217">
        <f>AJ91+AJ94</f>
        <v/>
      </c>
      <c r="AK95" s="217">
        <f>AK91+AK94</f>
        <v/>
      </c>
      <c r="AL95" s="217">
        <f>AL91+AL94</f>
        <v/>
      </c>
      <c r="AM95" s="217">
        <f>AM91+AM94</f>
        <v/>
      </c>
      <c r="AN95" s="217">
        <f>AN91+AN94</f>
        <v/>
      </c>
      <c r="AO95" s="217">
        <f>AO91+AO94</f>
        <v/>
      </c>
      <c r="AP95" s="217">
        <f>AP91+AP94</f>
        <v/>
      </c>
      <c r="AQ95" s="217">
        <f>AQ91+AQ94</f>
        <v/>
      </c>
      <c r="AR95" s="217">
        <f>AR91+AR94</f>
        <v/>
      </c>
      <c r="AS95" s="217">
        <f>AS91+AS94</f>
        <v/>
      </c>
      <c r="AT95" s="217">
        <f>AT91+AT94</f>
        <v/>
      </c>
      <c r="AU95" s="217">
        <f>AU91+AU94</f>
        <v/>
      </c>
      <c r="AV95" s="217">
        <f>AV91+AV94</f>
        <v/>
      </c>
      <c r="AW95" s="217">
        <f>AW91+AW94</f>
        <v/>
      </c>
      <c r="AX95" s="217">
        <f>AX91+AX94</f>
        <v/>
      </c>
      <c r="AY95" s="217">
        <f>AY91+AY94</f>
        <v/>
      </c>
      <c r="AZ95" s="217">
        <f>AZ91+AZ94</f>
        <v/>
      </c>
      <c r="BA95" s="217">
        <f>BA91+BA94</f>
        <v/>
      </c>
      <c r="BB95" s="217">
        <f>BB91+BB94</f>
        <v/>
      </c>
      <c r="BC95" s="217">
        <f>BC91+BC94</f>
        <v/>
      </c>
      <c r="BD95" s="217">
        <f>BD91+BD94</f>
        <v/>
      </c>
      <c r="BE95" s="217">
        <f>BE91+BE94</f>
        <v/>
      </c>
      <c r="BF95" s="217">
        <f>BF91+BF94</f>
        <v/>
      </c>
      <c r="BG95" s="217">
        <f>BG91+BG94</f>
        <v/>
      </c>
      <c r="BH95" s="217">
        <f>BH91+BH94</f>
        <v/>
      </c>
      <c r="BI95" s="217">
        <f>BI91+BI94</f>
        <v/>
      </c>
      <c r="BJ95" s="217">
        <f>BJ91+BJ94</f>
        <v/>
      </c>
      <c r="BK95" s="217">
        <f>BK91+BK94</f>
        <v/>
      </c>
      <c r="BL95" s="217">
        <f>BL91+BL94</f>
        <v/>
      </c>
      <c r="BM95" s="217">
        <f>BM91+BM94</f>
        <v/>
      </c>
      <c r="BN95" s="217">
        <f>BN91+BN94</f>
        <v/>
      </c>
      <c r="BO95" s="217">
        <f>BO91+BO94</f>
        <v/>
      </c>
      <c r="BP95" s="217">
        <f>BP91+BP94</f>
        <v/>
      </c>
      <c r="BQ95" s="217">
        <f>BQ91+BQ94</f>
        <v/>
      </c>
      <c r="BR95" s="217">
        <f>BR91+BR94</f>
        <v/>
      </c>
      <c r="BS95" s="217">
        <f>BS91+BS94</f>
        <v/>
      </c>
      <c r="BT95" s="217">
        <f>BT91+BT94</f>
        <v/>
      </c>
      <c r="BU95" s="217">
        <f>BU91+BU94</f>
        <v/>
      </c>
      <c r="BV95" s="217">
        <f>BV91+BV94</f>
        <v/>
      </c>
      <c r="BW95" s="217">
        <f>BW91+BW94</f>
        <v/>
      </c>
      <c r="BX95" s="217">
        <f>BX91+BX94</f>
        <v/>
      </c>
      <c r="BY95" s="217">
        <f>BY91+BY94</f>
        <v/>
      </c>
      <c r="BZ95" s="217">
        <f>BZ91+BZ94</f>
        <v/>
      </c>
      <c r="CA95" s="217">
        <f>CA91+CA94</f>
        <v/>
      </c>
      <c r="CB95" s="217">
        <f>CB91+CB94</f>
        <v/>
      </c>
      <c r="CC95" s="217">
        <f>CC91+CC94</f>
        <v/>
      </c>
      <c r="CD95" s="217">
        <f>CD91+CD94</f>
        <v/>
      </c>
      <c r="CE95" s="217">
        <f>CE91+CE94</f>
        <v/>
      </c>
      <c r="CF95" s="217">
        <f>CF91+CF94</f>
        <v/>
      </c>
      <c r="CG95" s="217">
        <f>CG91+CG94</f>
        <v/>
      </c>
      <c r="CH95" s="217">
        <f>CH91+CH94</f>
        <v/>
      </c>
      <c r="CI95" s="226" t="n"/>
    </row>
    <row r="96" ht="15" customHeight="1" s="202">
      <c r="A96" s="225" t="n"/>
      <c r="B96" s="225" t="n"/>
      <c r="C96" s="225" t="n"/>
      <c r="D96" s="225" t="n"/>
      <c r="E96" s="225" t="n"/>
      <c r="F96" s="225" t="n"/>
      <c r="G96" s="225" t="n"/>
      <c r="H96" s="225" t="n"/>
      <c r="I96" s="225" t="n"/>
      <c r="J96" s="225" t="n"/>
      <c r="K96" s="225" t="n"/>
      <c r="L96" s="225" t="n"/>
      <c r="M96" s="225" t="n"/>
      <c r="N96" s="225" t="n"/>
      <c r="O96" s="225" t="n"/>
      <c r="P96" s="225" t="n"/>
      <c r="Q96" s="225" t="n"/>
      <c r="R96" s="225" t="n"/>
      <c r="S96" s="225" t="n"/>
      <c r="T96" s="225" t="n"/>
      <c r="U96" s="225" t="n"/>
      <c r="V96" s="225" t="n"/>
      <c r="W96" s="225" t="n"/>
      <c r="X96" s="225" t="n"/>
      <c r="Y96" s="225" t="n"/>
      <c r="Z96" s="225" t="n"/>
      <c r="AA96" s="225" t="n"/>
      <c r="AB96" s="225" t="n"/>
      <c r="AC96" s="225" t="n"/>
      <c r="AD96" s="225" t="n"/>
      <c r="AE96" s="225" t="n"/>
      <c r="AF96" s="225" t="n"/>
      <c r="AG96" s="225" t="n"/>
      <c r="AH96" s="225" t="n"/>
      <c r="AI96" s="225" t="n"/>
      <c r="AJ96" s="225" t="n"/>
      <c r="AK96" s="225" t="n"/>
      <c r="AL96" s="225" t="n"/>
      <c r="AM96" s="225" t="n"/>
      <c r="AN96" s="225" t="n"/>
      <c r="AO96" s="225" t="n"/>
      <c r="AP96" s="225" t="n"/>
      <c r="AQ96" s="225" t="n"/>
      <c r="AR96" s="225" t="n"/>
      <c r="AS96" s="225" t="n"/>
      <c r="AT96" s="225" t="n"/>
      <c r="AU96" s="225" t="n"/>
      <c r="AV96" s="225" t="n"/>
      <c r="AW96" s="225" t="n"/>
      <c r="AX96" s="225" t="n"/>
      <c r="AY96" s="225" t="n"/>
      <c r="AZ96" s="225" t="n"/>
      <c r="BA96" s="225" t="n"/>
      <c r="BB96" s="225" t="n"/>
      <c r="BC96" s="225" t="n"/>
      <c r="BD96" s="225" t="n"/>
      <c r="BE96" s="225" t="n"/>
      <c r="BF96" s="225" t="n"/>
      <c r="BG96" s="225" t="n"/>
      <c r="BH96" s="225" t="n"/>
      <c r="BI96" s="225" t="n"/>
      <c r="BJ96" s="225" t="n"/>
      <c r="BK96" s="225" t="n"/>
      <c r="BL96" s="225" t="n"/>
      <c r="BM96" s="225" t="n"/>
      <c r="BN96" s="225" t="n"/>
      <c r="BO96" s="225" t="n"/>
      <c r="BP96" s="225" t="n"/>
      <c r="BQ96" s="225" t="n"/>
      <c r="BR96" s="225" t="n"/>
      <c r="BS96" s="225" t="n"/>
      <c r="BT96" s="225" t="n"/>
      <c r="BU96" s="225" t="n"/>
      <c r="BV96" s="225" t="n"/>
      <c r="BW96" s="225" t="n"/>
      <c r="BX96" s="225" t="n"/>
      <c r="BY96" s="225" t="n"/>
      <c r="BZ96" s="225" t="n"/>
      <c r="CA96" s="225" t="n"/>
      <c r="CB96" s="225" t="n"/>
      <c r="CC96" s="225" t="n"/>
      <c r="CD96" s="225" t="n"/>
      <c r="CE96" s="225" t="n"/>
      <c r="CF96" s="225" t="n"/>
      <c r="CG96" s="225" t="n"/>
      <c r="CH96" s="225" t="n"/>
      <c r="CI96" s="226" t="n"/>
    </row>
    <row r="97" ht="15" customHeight="1" s="202">
      <c r="A97" s="229" t="inlineStr">
        <is>
          <t>DEBT FACILITY</t>
        </is>
      </c>
      <c r="B97" s="229" t="n"/>
      <c r="C97" s="229" t="n"/>
      <c r="D97" s="229" t="n"/>
      <c r="E97" s="229" t="n"/>
      <c r="F97" s="229" t="n"/>
      <c r="G97" s="229" t="n"/>
      <c r="H97" s="229" t="n"/>
      <c r="I97" s="229" t="n"/>
      <c r="J97" s="229" t="n"/>
      <c r="K97" s="229" t="n"/>
      <c r="L97" s="229" t="n"/>
      <c r="M97" s="229" t="n"/>
      <c r="N97" s="229" t="n"/>
      <c r="O97" s="229" t="n"/>
      <c r="P97" s="229" t="n"/>
      <c r="Q97" s="229" t="n"/>
      <c r="R97" s="229" t="n"/>
      <c r="S97" s="229" t="n"/>
      <c r="T97" s="229" t="n"/>
      <c r="U97" s="229" t="n"/>
      <c r="V97" s="229" t="n"/>
      <c r="W97" s="229" t="n"/>
      <c r="X97" s="229" t="n"/>
      <c r="Y97" s="229" t="n"/>
      <c r="Z97" s="229" t="n"/>
      <c r="AA97" s="229" t="n"/>
      <c r="AB97" s="229" t="n"/>
      <c r="AC97" s="229" t="n"/>
      <c r="AD97" s="229" t="n"/>
      <c r="AE97" s="229" t="n"/>
      <c r="AF97" s="229" t="n"/>
      <c r="AG97" s="229" t="n"/>
      <c r="AH97" s="229" t="n"/>
      <c r="AI97" s="229" t="n"/>
      <c r="AJ97" s="229" t="n"/>
      <c r="AK97" s="229" t="n"/>
      <c r="AL97" s="229" t="n"/>
      <c r="AM97" s="229" t="n"/>
      <c r="AN97" s="229" t="n"/>
      <c r="AO97" s="229" t="n"/>
      <c r="AP97" s="229" t="n"/>
      <c r="AQ97" s="229" t="n"/>
      <c r="AR97" s="229" t="n"/>
      <c r="AS97" s="229" t="n"/>
      <c r="AT97" s="229" t="n"/>
      <c r="AU97" s="229" t="n"/>
      <c r="AV97" s="229" t="n"/>
      <c r="AW97" s="229" t="n"/>
      <c r="AX97" s="229" t="n"/>
      <c r="AY97" s="229" t="n"/>
      <c r="AZ97" s="229" t="n"/>
      <c r="BA97" s="229" t="n"/>
      <c r="BB97" s="229" t="n"/>
      <c r="BC97" s="229" t="n"/>
      <c r="BD97" s="229" t="n"/>
      <c r="BE97" s="229" t="n"/>
      <c r="BF97" s="229" t="n"/>
      <c r="BG97" s="229" t="n"/>
      <c r="BH97" s="229" t="n"/>
      <c r="BI97" s="229" t="n"/>
      <c r="BJ97" s="229" t="n"/>
      <c r="BK97" s="229" t="n"/>
      <c r="BL97" s="229" t="n"/>
      <c r="BM97" s="229" t="n"/>
      <c r="BN97" s="229" t="n"/>
      <c r="BO97" s="229" t="n"/>
      <c r="BP97" s="229" t="n"/>
      <c r="BQ97" s="229" t="n"/>
      <c r="BR97" s="229" t="n"/>
      <c r="BS97" s="229" t="n"/>
      <c r="BT97" s="229" t="n"/>
      <c r="BU97" s="229" t="n"/>
      <c r="BV97" s="229" t="n"/>
      <c r="BW97" s="229" t="n"/>
      <c r="BX97" s="229" t="n"/>
      <c r="BY97" s="229" t="n"/>
      <c r="BZ97" s="229" t="n"/>
      <c r="CA97" s="229" t="n"/>
      <c r="CB97" s="229" t="n"/>
      <c r="CC97" s="229" t="n"/>
      <c r="CD97" s="229" t="n"/>
      <c r="CE97" s="229" t="n"/>
      <c r="CF97" s="229" t="n"/>
      <c r="CG97" s="229" t="n"/>
      <c r="CH97" s="229" t="n"/>
      <c r="CI97" s="226" t="n"/>
    </row>
    <row r="98" ht="15" customHeight="1" s="202">
      <c r="A98" s="210" t="inlineStr">
        <is>
          <t>Beginning Balance</t>
        </is>
      </c>
      <c r="B98" s="225" t="n"/>
      <c r="C98" s="211">
        <f>Assumptions!$B$33</f>
        <v/>
      </c>
      <c r="D98" s="211">
        <f>C101</f>
        <v/>
      </c>
      <c r="E98" s="211">
        <f>D101</f>
        <v/>
      </c>
      <c r="F98" s="211">
        <f>E101</f>
        <v/>
      </c>
      <c r="G98" s="211">
        <f>F101</f>
        <v/>
      </c>
      <c r="H98" s="211">
        <f>G101</f>
        <v/>
      </c>
      <c r="I98" s="211">
        <f>H101</f>
        <v/>
      </c>
      <c r="J98" s="211">
        <f>I101</f>
        <v/>
      </c>
      <c r="K98" s="211">
        <f>J101</f>
        <v/>
      </c>
      <c r="L98" s="211">
        <f>K101</f>
        <v/>
      </c>
      <c r="M98" s="211">
        <f>L101</f>
        <v/>
      </c>
      <c r="N98" s="211">
        <f>M101</f>
        <v/>
      </c>
      <c r="O98" s="211">
        <f>N101</f>
        <v/>
      </c>
      <c r="P98" s="211">
        <f>O101</f>
        <v/>
      </c>
      <c r="Q98" s="211">
        <f>P101</f>
        <v/>
      </c>
      <c r="R98" s="211">
        <f>Q101</f>
        <v/>
      </c>
      <c r="S98" s="211">
        <f>R101</f>
        <v/>
      </c>
      <c r="T98" s="211">
        <f>S101</f>
        <v/>
      </c>
      <c r="U98" s="211">
        <f>T101</f>
        <v/>
      </c>
      <c r="V98" s="211">
        <f>U101</f>
        <v/>
      </c>
      <c r="W98" s="211">
        <f>V101</f>
        <v/>
      </c>
      <c r="X98" s="211">
        <f>W101</f>
        <v/>
      </c>
      <c r="Y98" s="211">
        <f>X101</f>
        <v/>
      </c>
      <c r="Z98" s="211">
        <f>Y101</f>
        <v/>
      </c>
      <c r="AA98" s="211">
        <f>Z101</f>
        <v/>
      </c>
      <c r="AB98" s="211">
        <f>AA101</f>
        <v/>
      </c>
      <c r="AC98" s="211">
        <f>AB101</f>
        <v/>
      </c>
      <c r="AD98" s="211">
        <f>AC101</f>
        <v/>
      </c>
      <c r="AE98" s="211">
        <f>AD101</f>
        <v/>
      </c>
      <c r="AF98" s="211">
        <f>AE101</f>
        <v/>
      </c>
      <c r="AG98" s="211">
        <f>AF101</f>
        <v/>
      </c>
      <c r="AH98" s="211">
        <f>AG101</f>
        <v/>
      </c>
      <c r="AI98" s="211">
        <f>AH101</f>
        <v/>
      </c>
      <c r="AJ98" s="211">
        <f>AI101</f>
        <v/>
      </c>
      <c r="AK98" s="211">
        <f>AJ101</f>
        <v/>
      </c>
      <c r="AL98" s="211">
        <f>AK101</f>
        <v/>
      </c>
      <c r="AM98" s="211">
        <f>AL101</f>
        <v/>
      </c>
      <c r="AN98" s="211">
        <f>AM101</f>
        <v/>
      </c>
      <c r="AO98" s="211">
        <f>AN101</f>
        <v/>
      </c>
      <c r="AP98" s="211">
        <f>AO101</f>
        <v/>
      </c>
      <c r="AQ98" s="211">
        <f>AP101</f>
        <v/>
      </c>
      <c r="AR98" s="211">
        <f>AQ101</f>
        <v/>
      </c>
      <c r="AS98" s="211">
        <f>AR101</f>
        <v/>
      </c>
      <c r="AT98" s="211">
        <f>AS101</f>
        <v/>
      </c>
      <c r="AU98" s="211">
        <f>AT101</f>
        <v/>
      </c>
      <c r="AV98" s="211">
        <f>AU101</f>
        <v/>
      </c>
      <c r="AW98" s="211">
        <f>AV101</f>
        <v/>
      </c>
      <c r="AX98" s="211">
        <f>AW101</f>
        <v/>
      </c>
      <c r="AY98" s="211">
        <f>AX101</f>
        <v/>
      </c>
      <c r="AZ98" s="211">
        <f>AY101</f>
        <v/>
      </c>
      <c r="BA98" s="211">
        <f>AZ101</f>
        <v/>
      </c>
      <c r="BB98" s="211">
        <f>BA101</f>
        <v/>
      </c>
      <c r="BC98" s="211">
        <f>BB101</f>
        <v/>
      </c>
      <c r="BD98" s="211">
        <f>BC101</f>
        <v/>
      </c>
      <c r="BE98" s="211">
        <f>BD101</f>
        <v/>
      </c>
      <c r="BF98" s="211">
        <f>BE101</f>
        <v/>
      </c>
      <c r="BG98" s="211">
        <f>BF101</f>
        <v/>
      </c>
      <c r="BH98" s="211">
        <f>BG101</f>
        <v/>
      </c>
      <c r="BI98" s="211">
        <f>BH101</f>
        <v/>
      </c>
      <c r="BJ98" s="211">
        <f>BI101</f>
        <v/>
      </c>
      <c r="BK98" s="211">
        <f>BJ101</f>
        <v/>
      </c>
      <c r="BL98" s="211">
        <f>BK101</f>
        <v/>
      </c>
      <c r="BM98" s="211">
        <f>BL101</f>
        <v/>
      </c>
      <c r="BN98" s="211">
        <f>BM101</f>
        <v/>
      </c>
      <c r="BO98" s="211">
        <f>BN101</f>
        <v/>
      </c>
      <c r="BP98" s="211">
        <f>BO101</f>
        <v/>
      </c>
      <c r="BQ98" s="211">
        <f>BP101</f>
        <v/>
      </c>
      <c r="BR98" s="211">
        <f>BQ101</f>
        <v/>
      </c>
      <c r="BS98" s="211">
        <f>BR101</f>
        <v/>
      </c>
      <c r="BT98" s="211">
        <f>BS101</f>
        <v/>
      </c>
      <c r="BU98" s="211">
        <f>BT101</f>
        <v/>
      </c>
      <c r="BV98" s="211">
        <f>BU101</f>
        <v/>
      </c>
      <c r="BW98" s="211">
        <f>BV101</f>
        <v/>
      </c>
      <c r="BX98" s="211">
        <f>BW101</f>
        <v/>
      </c>
      <c r="BY98" s="211">
        <f>BX101</f>
        <v/>
      </c>
      <c r="BZ98" s="211">
        <f>BY101</f>
        <v/>
      </c>
      <c r="CA98" s="211">
        <f>BZ101</f>
        <v/>
      </c>
      <c r="CB98" s="211">
        <f>CA101</f>
        <v/>
      </c>
      <c r="CC98" s="211">
        <f>CB101</f>
        <v/>
      </c>
      <c r="CD98" s="211">
        <f>CC101</f>
        <v/>
      </c>
      <c r="CE98" s="211">
        <f>CD101</f>
        <v/>
      </c>
      <c r="CF98" s="211">
        <f>CE101</f>
        <v/>
      </c>
      <c r="CG98" s="211">
        <f>CF101</f>
        <v/>
      </c>
      <c r="CH98" s="211">
        <f>CG101</f>
        <v/>
      </c>
      <c r="CI98" s="226" t="n"/>
    </row>
    <row r="99" ht="15" customHeight="1" s="202">
      <c r="A99" s="210" t="inlineStr">
        <is>
          <t>Quarterly Interest (15% / 4)</t>
        </is>
      </c>
      <c r="B99" s="225" t="n"/>
      <c r="C99" s="211">
        <f>IF(AND(MOD(1,3)=0,C98&gt;0),C98*Assumptions!$B$35,0)</f>
        <v/>
      </c>
      <c r="D99" s="211">
        <f>IF(AND(MOD(2,3)=0,D98&gt;0),D98*Assumptions!$B$35,0)</f>
        <v/>
      </c>
      <c r="E99" s="211">
        <f>IF(AND(MOD(3,3)=0,E98&gt;0),E98*Assumptions!$B$35,0)</f>
        <v/>
      </c>
      <c r="F99" s="211">
        <f>IF(AND(MOD(4,3)=0,F98&gt;0),F98*Assumptions!$B$35,0)</f>
        <v/>
      </c>
      <c r="G99" s="211">
        <f>IF(AND(MOD(5,3)=0,G98&gt;0),G98*Assumptions!$B$35,0)</f>
        <v/>
      </c>
      <c r="H99" s="211">
        <f>IF(AND(MOD(6,3)=0,H98&gt;0),H98*Assumptions!$B$35,0)</f>
        <v/>
      </c>
      <c r="I99" s="211">
        <f>IF(AND(MOD(7,3)=0,I98&gt;0),I98*Assumptions!$B$35,0)</f>
        <v/>
      </c>
      <c r="J99" s="211">
        <f>IF(AND(MOD(8,3)=0,J98&gt;0),J98*Assumptions!$B$35,0)</f>
        <v/>
      </c>
      <c r="K99" s="211">
        <f>IF(AND(MOD(9,3)=0,K98&gt;0),K98*Assumptions!$B$35,0)</f>
        <v/>
      </c>
      <c r="L99" s="211">
        <f>IF(AND(MOD(10,3)=0,L98&gt;0),L98*Assumptions!$B$35,0)</f>
        <v/>
      </c>
      <c r="M99" s="211">
        <f>IF(AND(MOD(11,3)=0,M98&gt;0),M98*Assumptions!$B$35,0)</f>
        <v/>
      </c>
      <c r="N99" s="211">
        <f>IF(AND(MOD(12,3)=0,N98&gt;0),N98*Assumptions!$B$35,0)</f>
        <v/>
      </c>
      <c r="O99" s="211">
        <f>IF(AND(MOD(13,3)=0,O98&gt;0),O98*Assumptions!$B$35,0)</f>
        <v/>
      </c>
      <c r="P99" s="211">
        <f>IF(AND(MOD(14,3)=0,P98&gt;0),P98*Assumptions!$B$35,0)</f>
        <v/>
      </c>
      <c r="Q99" s="211">
        <f>IF(AND(MOD(15,3)=0,Q98&gt;0),Q98*Assumptions!$B$35,0)</f>
        <v/>
      </c>
      <c r="R99" s="211">
        <f>IF(AND(MOD(16,3)=0,R98&gt;0),R98*Assumptions!$B$35,0)</f>
        <v/>
      </c>
      <c r="S99" s="211">
        <f>IF(AND(MOD(17,3)=0,S98&gt;0),S98*Assumptions!$B$35,0)</f>
        <v/>
      </c>
      <c r="T99" s="211">
        <f>IF(AND(MOD(18,3)=0,T98&gt;0),T98*Assumptions!$B$35,0)</f>
        <v/>
      </c>
      <c r="U99" s="211">
        <f>IF(AND(MOD(19,3)=0,U98&gt;0),U98*Assumptions!$B$35,0)</f>
        <v/>
      </c>
      <c r="V99" s="211">
        <f>IF(AND(MOD(20,3)=0,V98&gt;0),V98*Assumptions!$B$35,0)</f>
        <v/>
      </c>
      <c r="W99" s="211">
        <f>IF(AND(MOD(21,3)=0,W98&gt;0),W98*Assumptions!$B$35,0)</f>
        <v/>
      </c>
      <c r="X99" s="211">
        <f>IF(AND(MOD(22,3)=0,X98&gt;0),X98*Assumptions!$B$35,0)</f>
        <v/>
      </c>
      <c r="Y99" s="211">
        <f>IF(AND(MOD(23,3)=0,Y98&gt;0),Y98*Assumptions!$B$35,0)</f>
        <v/>
      </c>
      <c r="Z99" s="211">
        <f>IF(AND(MOD(24,3)=0,Z98&gt;0),Z98*Assumptions!$B$35,0)</f>
        <v/>
      </c>
      <c r="AA99" s="211">
        <f>IF(AND(MOD(25,3)=0,AA98&gt;0),AA98*Assumptions!$B$35,0)</f>
        <v/>
      </c>
      <c r="AB99" s="211">
        <f>IF(AND(MOD(26,3)=0,AB98&gt;0),AB98*Assumptions!$B$35,0)</f>
        <v/>
      </c>
      <c r="AC99" s="211">
        <f>IF(AND(MOD(27,3)=0,AC98&gt;0),AC98*Assumptions!$B$35,0)</f>
        <v/>
      </c>
      <c r="AD99" s="211">
        <f>IF(AND(MOD(28,3)=0,AD98&gt;0),AD98*Assumptions!$B$35,0)</f>
        <v/>
      </c>
      <c r="AE99" s="211">
        <f>IF(AND(MOD(29,3)=0,AE98&gt;0),AE98*Assumptions!$B$35,0)</f>
        <v/>
      </c>
      <c r="AF99" s="211">
        <f>IF(AND(MOD(30,3)=0,AF98&gt;0),AF98*Assumptions!$B$35,0)</f>
        <v/>
      </c>
      <c r="AG99" s="211">
        <f>IF(AND(MOD(31,3)=0,AG98&gt;0),AG98*Assumptions!$B$35,0)</f>
        <v/>
      </c>
      <c r="AH99" s="211">
        <f>IF(AND(MOD(32,3)=0,AH98&gt;0),AH98*Assumptions!$B$35,0)</f>
        <v/>
      </c>
      <c r="AI99" s="211">
        <f>IF(AND(MOD(33,3)=0,AI98&gt;0),AI98*Assumptions!$B$35,0)</f>
        <v/>
      </c>
      <c r="AJ99" s="211">
        <f>IF(AND(MOD(34,3)=0,AJ98&gt;0),AJ98*Assumptions!$B$35,0)</f>
        <v/>
      </c>
      <c r="AK99" s="211">
        <f>IF(AND(MOD(35,3)=0,AK98&gt;0),AK98*Assumptions!$B$35,0)</f>
        <v/>
      </c>
      <c r="AL99" s="211">
        <f>IF(AND(MOD(36,3)=0,AL98&gt;0),AL98*Assumptions!$B$35,0)</f>
        <v/>
      </c>
      <c r="AM99" s="211">
        <f>IF(AND(MOD(37,3)=0,AM98&gt;0),AM98*Assumptions!$B$35,0)</f>
        <v/>
      </c>
      <c r="AN99" s="211">
        <f>IF(AND(MOD(38,3)=0,AN98&gt;0),AN98*Assumptions!$B$35,0)</f>
        <v/>
      </c>
      <c r="AO99" s="211">
        <f>IF(AND(MOD(39,3)=0,AO98&gt;0),AO98*Assumptions!$B$35,0)</f>
        <v/>
      </c>
      <c r="AP99" s="211">
        <f>IF(AND(MOD(40,3)=0,AP98&gt;0),AP98*Assumptions!$B$35,0)</f>
        <v/>
      </c>
      <c r="AQ99" s="211">
        <f>IF(AND(MOD(41,3)=0,AQ98&gt;0),AQ98*Assumptions!$B$35,0)</f>
        <v/>
      </c>
      <c r="AR99" s="211">
        <f>IF(AND(MOD(42,3)=0,AR98&gt;0),AR98*Assumptions!$B$35,0)</f>
        <v/>
      </c>
      <c r="AS99" s="211">
        <f>IF(AND(MOD(43,3)=0,AS98&gt;0),AS98*Assumptions!$B$35,0)</f>
        <v/>
      </c>
      <c r="AT99" s="211">
        <f>IF(AND(MOD(44,3)=0,AT98&gt;0),AT98*Assumptions!$B$35,0)</f>
        <v/>
      </c>
      <c r="AU99" s="211">
        <f>IF(AND(MOD(45,3)=0,AU98&gt;0),AU98*Assumptions!$B$35,0)</f>
        <v/>
      </c>
      <c r="AV99" s="211">
        <f>IF(AND(MOD(46,3)=0,AV98&gt;0),AV98*Assumptions!$B$35,0)</f>
        <v/>
      </c>
      <c r="AW99" s="211">
        <f>IF(AND(MOD(47,3)=0,AW98&gt;0),AW98*Assumptions!$B$35,0)</f>
        <v/>
      </c>
      <c r="AX99" s="211">
        <f>IF(AND(MOD(48,3)=0,AX98&gt;0),AX98*Assumptions!$B$35,0)</f>
        <v/>
      </c>
      <c r="AY99" s="211">
        <f>IF(AND(MOD(49,3)=0,AY98&gt;0),AY98*Assumptions!$B$35,0)</f>
        <v/>
      </c>
      <c r="AZ99" s="211">
        <f>IF(AND(MOD(50,3)=0,AZ98&gt;0),AZ98*Assumptions!$B$35,0)</f>
        <v/>
      </c>
      <c r="BA99" s="211">
        <f>IF(AND(MOD(51,3)=0,BA98&gt;0),BA98*Assumptions!$B$35,0)</f>
        <v/>
      </c>
      <c r="BB99" s="211">
        <f>IF(AND(MOD(52,3)=0,BB98&gt;0),BB98*Assumptions!$B$35,0)</f>
        <v/>
      </c>
      <c r="BC99" s="211">
        <f>IF(AND(MOD(53,3)=0,BC98&gt;0),BC98*Assumptions!$B$35,0)</f>
        <v/>
      </c>
      <c r="BD99" s="211">
        <f>IF(AND(MOD(54,3)=0,BD98&gt;0),BD98*Assumptions!$B$35,0)</f>
        <v/>
      </c>
      <c r="BE99" s="211">
        <f>IF(AND(MOD(55,3)=0,BE98&gt;0),BE98*Assumptions!$B$35,0)</f>
        <v/>
      </c>
      <c r="BF99" s="211">
        <f>IF(AND(MOD(56,3)=0,BF98&gt;0),BF98*Assumptions!$B$35,0)</f>
        <v/>
      </c>
      <c r="BG99" s="211">
        <f>IF(AND(MOD(57,3)=0,BG98&gt;0),BG98*Assumptions!$B$35,0)</f>
        <v/>
      </c>
      <c r="BH99" s="211">
        <f>IF(AND(MOD(58,3)=0,BH98&gt;0),BH98*Assumptions!$B$35,0)</f>
        <v/>
      </c>
      <c r="BI99" s="211">
        <f>IF(AND(MOD(59,3)=0,BI98&gt;0),BI98*Assumptions!$B$35,0)</f>
        <v/>
      </c>
      <c r="BJ99" s="211">
        <f>IF(AND(MOD(60,3)=0,BJ98&gt;0),BJ98*Assumptions!$B$35,0)</f>
        <v/>
      </c>
      <c r="BK99" s="211">
        <f>IF(AND(MOD(61,3)=0,BK98&gt;0),BK98*Assumptions!$B$35,0)</f>
        <v/>
      </c>
      <c r="BL99" s="211">
        <f>IF(AND(MOD(62,3)=0,BL98&gt;0),BL98*Assumptions!$B$35,0)</f>
        <v/>
      </c>
      <c r="BM99" s="211">
        <f>IF(AND(MOD(63,3)=0,BM98&gt;0),BM98*Assumptions!$B$35,0)</f>
        <v/>
      </c>
      <c r="BN99" s="211">
        <f>IF(AND(MOD(64,3)=0,BN98&gt;0),BN98*Assumptions!$B$35,0)</f>
        <v/>
      </c>
      <c r="BO99" s="211">
        <f>IF(AND(MOD(65,3)=0,BO98&gt;0),BO98*Assumptions!$B$35,0)</f>
        <v/>
      </c>
      <c r="BP99" s="211">
        <f>IF(AND(MOD(66,3)=0,BP98&gt;0),BP98*Assumptions!$B$35,0)</f>
        <v/>
      </c>
      <c r="BQ99" s="211">
        <f>IF(AND(MOD(67,3)=0,BQ98&gt;0),BQ98*Assumptions!$B$35,0)</f>
        <v/>
      </c>
      <c r="BR99" s="211">
        <f>IF(AND(MOD(68,3)=0,BR98&gt;0),BR98*Assumptions!$B$35,0)</f>
        <v/>
      </c>
      <c r="BS99" s="211">
        <f>IF(AND(MOD(69,3)=0,BS98&gt;0),BS98*Assumptions!$B$35,0)</f>
        <v/>
      </c>
      <c r="BT99" s="211">
        <f>IF(AND(MOD(70,3)=0,BT98&gt;0),BT98*Assumptions!$B$35,0)</f>
        <v/>
      </c>
      <c r="BU99" s="211">
        <f>IF(AND(MOD(71,3)=0,BU98&gt;0),BU98*Assumptions!$B$35,0)</f>
        <v/>
      </c>
      <c r="BV99" s="211">
        <f>IF(AND(MOD(72,3)=0,BV98&gt;0),BV98*Assumptions!$B$35,0)</f>
        <v/>
      </c>
      <c r="BW99" s="211">
        <f>IF(AND(MOD(73,3)=0,BW98&gt;0),BW98*Assumptions!$B$35,0)</f>
        <v/>
      </c>
      <c r="BX99" s="211">
        <f>IF(AND(MOD(74,3)=0,BX98&gt;0),BX98*Assumptions!$B$35,0)</f>
        <v/>
      </c>
      <c r="BY99" s="211">
        <f>IF(AND(MOD(75,3)=0,BY98&gt;0),BY98*Assumptions!$B$35,0)</f>
        <v/>
      </c>
      <c r="BZ99" s="211">
        <f>IF(AND(MOD(76,3)=0,BZ98&gt;0),BZ98*Assumptions!$B$35,0)</f>
        <v/>
      </c>
      <c r="CA99" s="211">
        <f>IF(AND(MOD(77,3)=0,CA98&gt;0),CA98*Assumptions!$B$35,0)</f>
        <v/>
      </c>
      <c r="CB99" s="211">
        <f>IF(AND(MOD(78,3)=0,CB98&gt;0),CB98*Assumptions!$B$35,0)</f>
        <v/>
      </c>
      <c r="CC99" s="211">
        <f>IF(AND(MOD(79,3)=0,CC98&gt;0),CC98*Assumptions!$B$35,0)</f>
        <v/>
      </c>
      <c r="CD99" s="211">
        <f>IF(AND(MOD(80,3)=0,CD98&gt;0),CD98*Assumptions!$B$35,0)</f>
        <v/>
      </c>
      <c r="CE99" s="211">
        <f>IF(AND(MOD(81,3)=0,CE98&gt;0),CE98*Assumptions!$B$35,0)</f>
        <v/>
      </c>
      <c r="CF99" s="211">
        <f>IF(AND(MOD(82,3)=0,CF98&gt;0),CF98*Assumptions!$B$35,0)</f>
        <v/>
      </c>
      <c r="CG99" s="211">
        <f>IF(AND(MOD(83,3)=0,CG98&gt;0),CG98*Assumptions!$B$35,0)</f>
        <v/>
      </c>
      <c r="CH99" s="211">
        <f>IF(AND(MOD(84,3)=0,CH98&gt;0),CH98*Assumptions!$B$35,0)</f>
        <v/>
      </c>
      <c r="CI99" s="226" t="n"/>
    </row>
    <row r="100" ht="15" customHeight="1" s="202">
      <c r="A100" s="210" t="inlineStr">
        <is>
          <t>Monthly Payment</t>
        </is>
      </c>
      <c r="B100" s="225" t="n"/>
      <c r="C100" s="211">
        <f>IF(AND(1&gt;=Assumptions!$B$37,C98+C99&gt;0),-MIN(Assumptions!$B$36,C98+C99),0)</f>
        <v/>
      </c>
      <c r="D100" s="211">
        <f>IF(AND(2&gt;=Assumptions!$B$37,D98+D99&gt;0),-MIN(Assumptions!$B$36,D98+D99),0)</f>
        <v/>
      </c>
      <c r="E100" s="211">
        <f>IF(AND(3&gt;=Assumptions!$B$37,E98+E99&gt;0),-MIN(Assumptions!$B$36,E98+E99),0)</f>
        <v/>
      </c>
      <c r="F100" s="211">
        <f>IF(AND(4&gt;=Assumptions!$B$37,F98+F99&gt;0),-MIN(Assumptions!$B$36,F98+F99),0)</f>
        <v/>
      </c>
      <c r="G100" s="211">
        <f>IF(AND(5&gt;=Assumptions!$B$37,G98+G99&gt;0),-MIN(Assumptions!$B$36,G98+G99),0)</f>
        <v/>
      </c>
      <c r="H100" s="211">
        <f>IF(AND(6&gt;=Assumptions!$B$37,H98+H99&gt;0),-MIN(Assumptions!$B$36,H98+H99),0)</f>
        <v/>
      </c>
      <c r="I100" s="211">
        <f>IF(AND(7&gt;=Assumptions!$B$37,I98+I99&gt;0),-MIN(Assumptions!$B$36,I98+I99),0)</f>
        <v/>
      </c>
      <c r="J100" s="211">
        <f>IF(AND(8&gt;=Assumptions!$B$37,J98+J99&gt;0),-MIN(Assumptions!$B$36,J98+J99),0)</f>
        <v/>
      </c>
      <c r="K100" s="211">
        <f>IF(AND(9&gt;=Assumptions!$B$37,K98+K99&gt;0),-MIN(Assumptions!$B$36,K98+K99),0)</f>
        <v/>
      </c>
      <c r="L100" s="211">
        <f>IF(AND(10&gt;=Assumptions!$B$37,L98+L99&gt;0),-MIN(Assumptions!$B$36,L98+L99),0)</f>
        <v/>
      </c>
      <c r="M100" s="211">
        <f>IF(AND(11&gt;=Assumptions!$B$37,M98+M99&gt;0),-MIN(Assumptions!$B$36,M98+M99),0)</f>
        <v/>
      </c>
      <c r="N100" s="211">
        <f>IF(AND(12&gt;=Assumptions!$B$37,N98+N99&gt;0),-MIN(Assumptions!$B$36,N98+N99),0)</f>
        <v/>
      </c>
      <c r="O100" s="211">
        <f>IF(AND(13&gt;=Assumptions!$B$37,O98+O99&gt;0),-MIN(Assumptions!$B$36,O98+O99),0)</f>
        <v/>
      </c>
      <c r="P100" s="211">
        <f>IF(AND(14&gt;=Assumptions!$B$37,P98+P99&gt;0),-MIN(Assumptions!$B$36,P98+P99),0)</f>
        <v/>
      </c>
      <c r="Q100" s="211">
        <f>IF(AND(15&gt;=Assumptions!$B$37,Q98+Q99&gt;0),-MIN(Assumptions!$B$36,Q98+Q99),0)</f>
        <v/>
      </c>
      <c r="R100" s="211">
        <f>IF(AND(16&gt;=Assumptions!$B$37,R98+R99&gt;0),-MIN(Assumptions!$B$36,R98+R99),0)</f>
        <v/>
      </c>
      <c r="S100" s="211">
        <f>IF(AND(17&gt;=Assumptions!$B$37,S98+S99&gt;0),-MIN(Assumptions!$B$36,S98+S99),0)</f>
        <v/>
      </c>
      <c r="T100" s="211">
        <f>IF(AND(18&gt;=Assumptions!$B$37,T98+T99&gt;0),-MIN(Assumptions!$B$36,T98+T99),0)</f>
        <v/>
      </c>
      <c r="U100" s="211">
        <f>IF(AND(19&gt;=Assumptions!$B$37,U98+U99&gt;0),-MIN(Assumptions!$B$36,U98+U99),0)</f>
        <v/>
      </c>
      <c r="V100" s="211">
        <f>IF(AND(20&gt;=Assumptions!$B$37,V98+V99&gt;0),-MIN(Assumptions!$B$36,V98+V99),0)</f>
        <v/>
      </c>
      <c r="W100" s="211">
        <f>IF(AND(21&gt;=Assumptions!$B$37,W98+W99&gt;0),-MIN(Assumptions!$B$36,W98+W99),0)</f>
        <v/>
      </c>
      <c r="X100" s="211">
        <f>IF(AND(22&gt;=Assumptions!$B$37,X98+X99&gt;0),-MIN(Assumptions!$B$36,X98+X99),0)</f>
        <v/>
      </c>
      <c r="Y100" s="211">
        <f>IF(AND(23&gt;=Assumptions!$B$37,Y98+Y99&gt;0),-MIN(Assumptions!$B$36,Y98+Y99),0)</f>
        <v/>
      </c>
      <c r="Z100" s="211">
        <f>IF(AND(24&gt;=Assumptions!$B$37,Z98+Z99&gt;0),-MIN(Assumptions!$B$36,Z98+Z99),0)</f>
        <v/>
      </c>
      <c r="AA100" s="211">
        <f>IF(AND(25&gt;=Assumptions!$B$37,AA98+AA99&gt;0),-MIN(Assumptions!$B$36,AA98+AA99),0)</f>
        <v/>
      </c>
      <c r="AB100" s="211">
        <f>IF(AND(26&gt;=Assumptions!$B$37,AB98+AB99&gt;0),-MIN(Assumptions!$B$36,AB98+AB99),0)</f>
        <v/>
      </c>
      <c r="AC100" s="211">
        <f>IF(AND(27&gt;=Assumptions!$B$37,AC98+AC99&gt;0),-MIN(Assumptions!$B$36,AC98+AC99),0)</f>
        <v/>
      </c>
      <c r="AD100" s="211">
        <f>IF(AND(28&gt;=Assumptions!$B$37,AD98+AD99&gt;0),-MIN(Assumptions!$B$36,AD98+AD99),0)</f>
        <v/>
      </c>
      <c r="AE100" s="211">
        <f>IF(AND(29&gt;=Assumptions!$B$37,AE98+AE99&gt;0),-MIN(Assumptions!$B$36,AE98+AE99),0)</f>
        <v/>
      </c>
      <c r="AF100" s="211">
        <f>IF(AND(30&gt;=Assumptions!$B$37,AF98+AF99&gt;0),-MIN(Assumptions!$B$36,AF98+AF99),0)</f>
        <v/>
      </c>
      <c r="AG100" s="211">
        <f>IF(AND(31&gt;=Assumptions!$B$37,AG98+AG99&gt;0),-MIN(Assumptions!$B$36,AG98+AG99),0)</f>
        <v/>
      </c>
      <c r="AH100" s="211">
        <f>IF(AND(32&gt;=Assumptions!$B$37,AH98+AH99&gt;0),-MIN(Assumptions!$B$36,AH98+AH99),0)</f>
        <v/>
      </c>
      <c r="AI100" s="211">
        <f>IF(AND(33&gt;=Assumptions!$B$37,AI98+AI99&gt;0),-MIN(Assumptions!$B$36,AI98+AI99),0)</f>
        <v/>
      </c>
      <c r="AJ100" s="211">
        <f>IF(AND(34&gt;=Assumptions!$B$37,AJ98+AJ99&gt;0),-MIN(Assumptions!$B$36,AJ98+AJ99),0)</f>
        <v/>
      </c>
      <c r="AK100" s="211">
        <f>IF(AND(35&gt;=Assumptions!$B$37,AK98+AK99&gt;0),-MIN(Assumptions!$B$36,AK98+AK99),0)</f>
        <v/>
      </c>
      <c r="AL100" s="211">
        <f>IF(AND(36&gt;=Assumptions!$B$37,AL98+AL99&gt;0),-MIN(Assumptions!$B$36,AL98+AL99),0)</f>
        <v/>
      </c>
      <c r="AM100" s="211">
        <f>IF(AND(37&gt;=Assumptions!$B$37,AM98+AM99&gt;0),-MIN(Assumptions!$B$36,AM98+AM99),0)</f>
        <v/>
      </c>
      <c r="AN100" s="211">
        <f>IF(AND(38&gt;=Assumptions!$B$37,AN98+AN99&gt;0),-MIN(Assumptions!$B$36,AN98+AN99),0)</f>
        <v/>
      </c>
      <c r="AO100" s="211">
        <f>IF(AND(39&gt;=Assumptions!$B$37,AO98+AO99&gt;0),-MIN(Assumptions!$B$36,AO98+AO99),0)</f>
        <v/>
      </c>
      <c r="AP100" s="211">
        <f>IF(AND(40&gt;=Assumptions!$B$37,AP98+AP99&gt;0),-MIN(Assumptions!$B$36,AP98+AP99),0)</f>
        <v/>
      </c>
      <c r="AQ100" s="211">
        <f>IF(AND(41&gt;=Assumptions!$B$37,AQ98+AQ99&gt;0),-MIN(Assumptions!$B$36,AQ98+AQ99),0)</f>
        <v/>
      </c>
      <c r="AR100" s="211">
        <f>IF(AND(42&gt;=Assumptions!$B$37,AR98+AR99&gt;0),-MIN(Assumptions!$B$36,AR98+AR99),0)</f>
        <v/>
      </c>
      <c r="AS100" s="211">
        <f>IF(AND(43&gt;=Assumptions!$B$37,AS98+AS99&gt;0),-MIN(Assumptions!$B$36,AS98+AS99),0)</f>
        <v/>
      </c>
      <c r="AT100" s="211">
        <f>IF(AND(44&gt;=Assumptions!$B$37,AT98+AT99&gt;0),-MIN(Assumptions!$B$36,AT98+AT99),0)</f>
        <v/>
      </c>
      <c r="AU100" s="211">
        <f>IF(AND(45&gt;=Assumptions!$B$37,AU98+AU99&gt;0),-MIN(Assumptions!$B$36,AU98+AU99),0)</f>
        <v/>
      </c>
      <c r="AV100" s="211">
        <f>IF(AND(46&gt;=Assumptions!$B$37,AV98+AV99&gt;0),-MIN(Assumptions!$B$36,AV98+AV99),0)</f>
        <v/>
      </c>
      <c r="AW100" s="211">
        <f>IF(AND(47&gt;=Assumptions!$B$37,AW98+AW99&gt;0),-MIN(Assumptions!$B$36,AW98+AW99),0)</f>
        <v/>
      </c>
      <c r="AX100" s="211">
        <f>IF(AND(48&gt;=Assumptions!$B$37,AX98+AX99&gt;0),-MIN(Assumptions!$B$36,AX98+AX99),0)</f>
        <v/>
      </c>
      <c r="AY100" s="211">
        <f>IF(AND(49&gt;=Assumptions!$B$37,AY98+AY99&gt;0),-MIN(Assumptions!$B$36,AY98+AY99),0)</f>
        <v/>
      </c>
      <c r="AZ100" s="211">
        <f>IF(AND(50&gt;=Assumptions!$B$37,AZ98+AZ99&gt;0),-MIN(Assumptions!$B$36,AZ98+AZ99),0)</f>
        <v/>
      </c>
      <c r="BA100" s="211">
        <f>IF(AND(51&gt;=Assumptions!$B$37,BA98+BA99&gt;0),-MIN(Assumptions!$B$36,BA98+BA99),0)</f>
        <v/>
      </c>
      <c r="BB100" s="211">
        <f>IF(AND(52&gt;=Assumptions!$B$37,BB98+BB99&gt;0),-MIN(Assumptions!$B$36,BB98+BB99),0)</f>
        <v/>
      </c>
      <c r="BC100" s="211">
        <f>IF(AND(53&gt;=Assumptions!$B$37,BC98+BC99&gt;0),-MIN(Assumptions!$B$36,BC98+BC99),0)</f>
        <v/>
      </c>
      <c r="BD100" s="211">
        <f>IF(AND(54&gt;=Assumptions!$B$37,BD98+BD99&gt;0),-MIN(Assumptions!$B$36,BD98+BD99),0)</f>
        <v/>
      </c>
      <c r="BE100" s="211">
        <f>IF(AND(55&gt;=Assumptions!$B$37,BE98+BE99&gt;0),-MIN(Assumptions!$B$36,BE98+BE99),0)</f>
        <v/>
      </c>
      <c r="BF100" s="211">
        <f>IF(AND(56&gt;=Assumptions!$B$37,BF98+BF99&gt;0),-MIN(Assumptions!$B$36,BF98+BF99),0)</f>
        <v/>
      </c>
      <c r="BG100" s="211">
        <f>IF(AND(57&gt;=Assumptions!$B$37,BG98+BG99&gt;0),-MIN(Assumptions!$B$36,BG98+BG99),0)</f>
        <v/>
      </c>
      <c r="BH100" s="211">
        <f>IF(AND(58&gt;=Assumptions!$B$37,BH98+BH99&gt;0),-MIN(Assumptions!$B$36,BH98+BH99),0)</f>
        <v/>
      </c>
      <c r="BI100" s="211">
        <f>IF(AND(59&gt;=Assumptions!$B$37,BI98+BI99&gt;0),-MIN(Assumptions!$B$36,BI98+BI99),0)</f>
        <v/>
      </c>
      <c r="BJ100" s="211">
        <f>IF(AND(60&gt;=Assumptions!$B$37,BJ98+BJ99&gt;0),-MIN(Assumptions!$B$36,BJ98+BJ99),0)</f>
        <v/>
      </c>
      <c r="BK100" s="211">
        <f>IF(AND(61&gt;=Assumptions!$B$37,BK98+BK99&gt;0),-MIN(Assumptions!$B$36,BK98+BK99),0)</f>
        <v/>
      </c>
      <c r="BL100" s="211">
        <f>IF(AND(62&gt;=Assumptions!$B$37,BL98+BL99&gt;0),-MIN(Assumptions!$B$36,BL98+BL99),0)</f>
        <v/>
      </c>
      <c r="BM100" s="211">
        <f>IF(AND(63&gt;=Assumptions!$B$37,BM98+BM99&gt;0),-MIN(Assumptions!$B$36,BM98+BM99),0)</f>
        <v/>
      </c>
      <c r="BN100" s="211">
        <f>IF(AND(64&gt;=Assumptions!$B$37,BN98+BN99&gt;0),-MIN(Assumptions!$B$36,BN98+BN99),0)</f>
        <v/>
      </c>
      <c r="BO100" s="211">
        <f>IF(AND(65&gt;=Assumptions!$B$37,BO98+BO99&gt;0),-MIN(Assumptions!$B$36,BO98+BO99),0)</f>
        <v/>
      </c>
      <c r="BP100" s="211">
        <f>IF(AND(66&gt;=Assumptions!$B$37,BP98+BP99&gt;0),-MIN(Assumptions!$B$36,BP98+BP99),0)</f>
        <v/>
      </c>
      <c r="BQ100" s="211">
        <f>IF(AND(67&gt;=Assumptions!$B$37,BQ98+BQ99&gt;0),-MIN(Assumptions!$B$36,BQ98+BQ99),0)</f>
        <v/>
      </c>
      <c r="BR100" s="211">
        <f>IF(AND(68&gt;=Assumptions!$B$37,BR98+BR99&gt;0),-MIN(Assumptions!$B$36,BR98+BR99),0)</f>
        <v/>
      </c>
      <c r="BS100" s="211">
        <f>IF(AND(69&gt;=Assumptions!$B$37,BS98+BS99&gt;0),-MIN(Assumptions!$B$36,BS98+BS99),0)</f>
        <v/>
      </c>
      <c r="BT100" s="211">
        <f>IF(AND(70&gt;=Assumptions!$B$37,BT98+BT99&gt;0),-MIN(Assumptions!$B$36,BT98+BT99),0)</f>
        <v/>
      </c>
      <c r="BU100" s="211">
        <f>IF(AND(71&gt;=Assumptions!$B$37,BU98+BU99&gt;0),-MIN(Assumptions!$B$36,BU98+BU99),0)</f>
        <v/>
      </c>
      <c r="BV100" s="211">
        <f>IF(AND(72&gt;=Assumptions!$B$37,BV98+BV99&gt;0),-MIN(Assumptions!$B$36,BV98+BV99),0)</f>
        <v/>
      </c>
      <c r="BW100" s="211">
        <f>IF(AND(73&gt;=Assumptions!$B$37,BW98+BW99&gt;0),-MIN(Assumptions!$B$36,BW98+BW99),0)</f>
        <v/>
      </c>
      <c r="BX100" s="211">
        <f>IF(AND(74&gt;=Assumptions!$B$37,BX98+BX99&gt;0),-MIN(Assumptions!$B$36,BX98+BX99),0)</f>
        <v/>
      </c>
      <c r="BY100" s="211">
        <f>IF(AND(75&gt;=Assumptions!$B$37,BY98+BY99&gt;0),-MIN(Assumptions!$B$36,BY98+BY99),0)</f>
        <v/>
      </c>
      <c r="BZ100" s="211">
        <f>IF(AND(76&gt;=Assumptions!$B$37,BZ98+BZ99&gt;0),-MIN(Assumptions!$B$36,BZ98+BZ99),0)</f>
        <v/>
      </c>
      <c r="CA100" s="211">
        <f>IF(AND(77&gt;=Assumptions!$B$37,CA98+CA99&gt;0),-MIN(Assumptions!$B$36,CA98+CA99),0)</f>
        <v/>
      </c>
      <c r="CB100" s="211">
        <f>IF(AND(78&gt;=Assumptions!$B$37,CB98+CB99&gt;0),-MIN(Assumptions!$B$36,CB98+CB99),0)</f>
        <v/>
      </c>
      <c r="CC100" s="211">
        <f>IF(AND(79&gt;=Assumptions!$B$37,CC98+CC99&gt;0),-MIN(Assumptions!$B$36,CC98+CC99),0)</f>
        <v/>
      </c>
      <c r="CD100" s="211">
        <f>IF(AND(80&gt;=Assumptions!$B$37,CD98+CD99&gt;0),-MIN(Assumptions!$B$36,CD98+CD99),0)</f>
        <v/>
      </c>
      <c r="CE100" s="211">
        <f>IF(AND(81&gt;=Assumptions!$B$37,CE98+CE99&gt;0),-MIN(Assumptions!$B$36,CE98+CE99),0)</f>
        <v/>
      </c>
      <c r="CF100" s="211">
        <f>IF(AND(82&gt;=Assumptions!$B$37,CF98+CF99&gt;0),-MIN(Assumptions!$B$36,CF98+CF99),0)</f>
        <v/>
      </c>
      <c r="CG100" s="211">
        <f>IF(AND(83&gt;=Assumptions!$B$37,CG98+CG99&gt;0),-MIN(Assumptions!$B$36,CG98+CG99),0)</f>
        <v/>
      </c>
      <c r="CH100" s="211">
        <f>IF(AND(84&gt;=Assumptions!$B$37,CH98+CH99&gt;0),-MIN(Assumptions!$B$36,CH98+CH99),0)</f>
        <v/>
      </c>
      <c r="CI100" s="226" t="n"/>
    </row>
    <row r="101" ht="15" customHeight="1" s="202">
      <c r="A101" s="236" t="inlineStr">
        <is>
          <t>Ending Balance</t>
        </is>
      </c>
      <c r="B101" s="231" t="n"/>
      <c r="C101" s="235">
        <f>MAX(0,C98+C99+C100)</f>
        <v/>
      </c>
      <c r="D101" s="235">
        <f>MAX(0,D98+D99+D100)</f>
        <v/>
      </c>
      <c r="E101" s="235">
        <f>MAX(0,E98+E99+E100)</f>
        <v/>
      </c>
      <c r="F101" s="235">
        <f>MAX(0,F98+F99+F100)</f>
        <v/>
      </c>
      <c r="G101" s="235">
        <f>MAX(0,G98+G99+G100)</f>
        <v/>
      </c>
      <c r="H101" s="235">
        <f>MAX(0,H98+H99+H100)</f>
        <v/>
      </c>
      <c r="I101" s="235">
        <f>MAX(0,I98+I99+I100)</f>
        <v/>
      </c>
      <c r="J101" s="235">
        <f>MAX(0,J98+J99+J100)</f>
        <v/>
      </c>
      <c r="K101" s="235">
        <f>MAX(0,K98+K99+K100)</f>
        <v/>
      </c>
      <c r="L101" s="235">
        <f>MAX(0,L98+L99+L100)</f>
        <v/>
      </c>
      <c r="M101" s="235">
        <f>MAX(0,M98+M99+M100)</f>
        <v/>
      </c>
      <c r="N101" s="235">
        <f>MAX(0,N98+N99+N100)</f>
        <v/>
      </c>
      <c r="O101" s="235">
        <f>MAX(0,O98+O99+O100)</f>
        <v/>
      </c>
      <c r="P101" s="235">
        <f>MAX(0,P98+P99+P100)</f>
        <v/>
      </c>
      <c r="Q101" s="235">
        <f>MAX(0,Q98+Q99+Q100)</f>
        <v/>
      </c>
      <c r="R101" s="235">
        <f>MAX(0,R98+R99+R100)</f>
        <v/>
      </c>
      <c r="S101" s="235">
        <f>MAX(0,S98+S99+S100)</f>
        <v/>
      </c>
      <c r="T101" s="235">
        <f>MAX(0,T98+T99+T100)</f>
        <v/>
      </c>
      <c r="U101" s="235">
        <f>MAX(0,U98+U99+U100)</f>
        <v/>
      </c>
      <c r="V101" s="235">
        <f>MAX(0,V98+V99+V100)</f>
        <v/>
      </c>
      <c r="W101" s="235">
        <f>MAX(0,W98+W99+W100)</f>
        <v/>
      </c>
      <c r="X101" s="235">
        <f>MAX(0,X98+X99+X100)</f>
        <v/>
      </c>
      <c r="Y101" s="235">
        <f>MAX(0,Y98+Y99+Y100)</f>
        <v/>
      </c>
      <c r="Z101" s="235">
        <f>MAX(0,Z98+Z99+Z100)</f>
        <v/>
      </c>
      <c r="AA101" s="235">
        <f>MAX(0,AA98+AA99+AA100)</f>
        <v/>
      </c>
      <c r="AB101" s="235">
        <f>MAX(0,AB98+AB99+AB100)</f>
        <v/>
      </c>
      <c r="AC101" s="235">
        <f>MAX(0,AC98+AC99+AC100)</f>
        <v/>
      </c>
      <c r="AD101" s="235">
        <f>MAX(0,AD98+AD99+AD100)</f>
        <v/>
      </c>
      <c r="AE101" s="235">
        <f>MAX(0,AE98+AE99+AE100)</f>
        <v/>
      </c>
      <c r="AF101" s="235">
        <f>MAX(0,AF98+AF99+AF100)</f>
        <v/>
      </c>
      <c r="AG101" s="235">
        <f>MAX(0,AG98+AG99+AG100)</f>
        <v/>
      </c>
      <c r="AH101" s="235">
        <f>MAX(0,AH98+AH99+AH100)</f>
        <v/>
      </c>
      <c r="AI101" s="235">
        <f>MAX(0,AI98+AI99+AI100)</f>
        <v/>
      </c>
      <c r="AJ101" s="235">
        <f>MAX(0,AJ98+AJ99+AJ100)</f>
        <v/>
      </c>
      <c r="AK101" s="235">
        <f>MAX(0,AK98+AK99+AK100)</f>
        <v/>
      </c>
      <c r="AL101" s="235">
        <f>MAX(0,AL98+AL99+AL100)</f>
        <v/>
      </c>
      <c r="AM101" s="235">
        <f>MAX(0,AM98+AM99+AM100)</f>
        <v/>
      </c>
      <c r="AN101" s="235">
        <f>MAX(0,AN98+AN99+AN100)</f>
        <v/>
      </c>
      <c r="AO101" s="235">
        <f>MAX(0,AO98+AO99+AO100)</f>
        <v/>
      </c>
      <c r="AP101" s="235">
        <f>MAX(0,AP98+AP99+AP100)</f>
        <v/>
      </c>
      <c r="AQ101" s="235">
        <f>MAX(0,AQ98+AQ99+AQ100)</f>
        <v/>
      </c>
      <c r="AR101" s="235">
        <f>MAX(0,AR98+AR99+AR100)</f>
        <v/>
      </c>
      <c r="AS101" s="235">
        <f>MAX(0,AS98+AS99+AS100)</f>
        <v/>
      </c>
      <c r="AT101" s="235">
        <f>MAX(0,AT98+AT99+AT100)</f>
        <v/>
      </c>
      <c r="AU101" s="235">
        <f>MAX(0,AU98+AU99+AU100)</f>
        <v/>
      </c>
      <c r="AV101" s="235">
        <f>MAX(0,AV98+AV99+AV100)</f>
        <v/>
      </c>
      <c r="AW101" s="235">
        <f>MAX(0,AW98+AW99+AW100)</f>
        <v/>
      </c>
      <c r="AX101" s="235">
        <f>MAX(0,AX98+AX99+AX100)</f>
        <v/>
      </c>
      <c r="AY101" s="235">
        <f>MAX(0,AY98+AY99+AY100)</f>
        <v/>
      </c>
      <c r="AZ101" s="235">
        <f>MAX(0,AZ98+AZ99+AZ100)</f>
        <v/>
      </c>
      <c r="BA101" s="235">
        <f>MAX(0,BA98+BA99+BA100)</f>
        <v/>
      </c>
      <c r="BB101" s="235">
        <f>MAX(0,BB98+BB99+BB100)</f>
        <v/>
      </c>
      <c r="BC101" s="235">
        <f>MAX(0,BC98+BC99+BC100)</f>
        <v/>
      </c>
      <c r="BD101" s="235">
        <f>MAX(0,BD98+BD99+BD100)</f>
        <v/>
      </c>
      <c r="BE101" s="235">
        <f>MAX(0,BE98+BE99+BE100)</f>
        <v/>
      </c>
      <c r="BF101" s="235">
        <f>MAX(0,BF98+BF99+BF100)</f>
        <v/>
      </c>
      <c r="BG101" s="235">
        <f>MAX(0,BG98+BG99+BG100)</f>
        <v/>
      </c>
      <c r="BH101" s="235">
        <f>MAX(0,BH98+BH99+BH100)</f>
        <v/>
      </c>
      <c r="BI101" s="235">
        <f>MAX(0,BI98+BI99+BI100)</f>
        <v/>
      </c>
      <c r="BJ101" s="235">
        <f>MAX(0,BJ98+BJ99+BJ100)</f>
        <v/>
      </c>
      <c r="BK101" s="235">
        <f>MAX(0,BK98+BK99+BK100)</f>
        <v/>
      </c>
      <c r="BL101" s="235">
        <f>MAX(0,BL98+BL99+BL100)</f>
        <v/>
      </c>
      <c r="BM101" s="235">
        <f>MAX(0,BM98+BM99+BM100)</f>
        <v/>
      </c>
      <c r="BN101" s="235">
        <f>MAX(0,BN98+BN99+BN100)</f>
        <v/>
      </c>
      <c r="BO101" s="235">
        <f>MAX(0,BO98+BO99+BO100)</f>
        <v/>
      </c>
      <c r="BP101" s="235">
        <f>MAX(0,BP98+BP99+BP100)</f>
        <v/>
      </c>
      <c r="BQ101" s="235">
        <f>MAX(0,BQ98+BQ99+BQ100)</f>
        <v/>
      </c>
      <c r="BR101" s="235">
        <f>MAX(0,BR98+BR99+BR100)</f>
        <v/>
      </c>
      <c r="BS101" s="235">
        <f>MAX(0,BS98+BS99+BS100)</f>
        <v/>
      </c>
      <c r="BT101" s="235">
        <f>MAX(0,BT98+BT99+BT100)</f>
        <v/>
      </c>
      <c r="BU101" s="235">
        <f>MAX(0,BU98+BU99+BU100)</f>
        <v/>
      </c>
      <c r="BV101" s="235">
        <f>MAX(0,BV98+BV99+BV100)</f>
        <v/>
      </c>
      <c r="BW101" s="235">
        <f>MAX(0,BW98+BW99+BW100)</f>
        <v/>
      </c>
      <c r="BX101" s="235">
        <f>MAX(0,BX98+BX99+BX100)</f>
        <v/>
      </c>
      <c r="BY101" s="235">
        <f>MAX(0,BY98+BY99+BY100)</f>
        <v/>
      </c>
      <c r="BZ101" s="235">
        <f>MAX(0,BZ98+BZ99+BZ100)</f>
        <v/>
      </c>
      <c r="CA101" s="235">
        <f>MAX(0,CA98+CA99+CA100)</f>
        <v/>
      </c>
      <c r="CB101" s="235">
        <f>MAX(0,CB98+CB99+CB100)</f>
        <v/>
      </c>
      <c r="CC101" s="235">
        <f>MAX(0,CC98+CC99+CC100)</f>
        <v/>
      </c>
      <c r="CD101" s="235">
        <f>MAX(0,CD98+CD99+CD100)</f>
        <v/>
      </c>
      <c r="CE101" s="235">
        <f>MAX(0,CE98+CE99+CE100)</f>
        <v/>
      </c>
      <c r="CF101" s="235">
        <f>MAX(0,CF98+CF99+CF100)</f>
        <v/>
      </c>
      <c r="CG101" s="235">
        <f>MAX(0,CG98+CG99+CG100)</f>
        <v/>
      </c>
      <c r="CH101" s="235">
        <f>MAX(0,CH98+CH99+CH100)</f>
        <v/>
      </c>
      <c r="CI101" s="226" t="n"/>
    </row>
    <row r="102" ht="15" customHeight="1" s="202">
      <c r="A102" s="225" t="n"/>
      <c r="B102" s="225" t="n"/>
      <c r="C102" s="225" t="n"/>
      <c r="D102" s="225" t="n"/>
      <c r="E102" s="225" t="n"/>
      <c r="F102" s="225" t="n"/>
      <c r="G102" s="225" t="n"/>
      <c r="H102" s="225" t="n"/>
      <c r="I102" s="225" t="n"/>
      <c r="J102" s="225" t="n"/>
      <c r="K102" s="225" t="n"/>
      <c r="L102" s="225" t="n"/>
      <c r="M102" s="225" t="n"/>
      <c r="N102" s="225" t="n"/>
      <c r="O102" s="225" t="n"/>
      <c r="P102" s="225" t="n"/>
      <c r="Q102" s="225" t="n"/>
      <c r="R102" s="225" t="n"/>
      <c r="S102" s="225" t="n"/>
      <c r="T102" s="225" t="n"/>
      <c r="U102" s="225" t="n"/>
      <c r="V102" s="225" t="n"/>
      <c r="W102" s="225" t="n"/>
      <c r="X102" s="225" t="n"/>
      <c r="Y102" s="225" t="n"/>
      <c r="Z102" s="225" t="n"/>
      <c r="AA102" s="225" t="n"/>
      <c r="AB102" s="225" t="n"/>
      <c r="AC102" s="225" t="n"/>
      <c r="AD102" s="225" t="n"/>
      <c r="AE102" s="225" t="n"/>
      <c r="AF102" s="225" t="n"/>
      <c r="AG102" s="225" t="n"/>
      <c r="AH102" s="225" t="n"/>
      <c r="AI102" s="225" t="n"/>
      <c r="AJ102" s="225" t="n"/>
      <c r="AK102" s="225" t="n"/>
      <c r="AL102" s="225" t="n"/>
      <c r="AM102" s="225" t="n"/>
      <c r="AN102" s="225" t="n"/>
      <c r="AO102" s="225" t="n"/>
      <c r="AP102" s="225" t="n"/>
      <c r="AQ102" s="225" t="n"/>
      <c r="AR102" s="225" t="n"/>
      <c r="AS102" s="225" t="n"/>
      <c r="AT102" s="225" t="n"/>
      <c r="AU102" s="225" t="n"/>
      <c r="AV102" s="225" t="n"/>
      <c r="AW102" s="225" t="n"/>
      <c r="AX102" s="225" t="n"/>
      <c r="AY102" s="225" t="n"/>
      <c r="AZ102" s="225" t="n"/>
      <c r="BA102" s="225" t="n"/>
      <c r="BB102" s="225" t="n"/>
      <c r="BC102" s="225" t="n"/>
      <c r="BD102" s="225" t="n"/>
      <c r="BE102" s="225" t="n"/>
      <c r="BF102" s="225" t="n"/>
      <c r="BG102" s="225" t="n"/>
      <c r="BH102" s="225" t="n"/>
      <c r="BI102" s="225" t="n"/>
      <c r="BJ102" s="225" t="n"/>
      <c r="BK102" s="225" t="n"/>
      <c r="BL102" s="225" t="n"/>
      <c r="BM102" s="225" t="n"/>
      <c r="BN102" s="225" t="n"/>
      <c r="BO102" s="225" t="n"/>
      <c r="BP102" s="225" t="n"/>
      <c r="BQ102" s="225" t="n"/>
      <c r="BR102" s="225" t="n"/>
      <c r="BS102" s="225" t="n"/>
      <c r="BT102" s="225" t="n"/>
      <c r="BU102" s="225" t="n"/>
      <c r="BV102" s="225" t="n"/>
      <c r="BW102" s="225" t="n"/>
      <c r="BX102" s="225" t="n"/>
      <c r="BY102" s="225" t="n"/>
      <c r="BZ102" s="225" t="n"/>
      <c r="CA102" s="225" t="n"/>
      <c r="CB102" s="225" t="n"/>
      <c r="CC102" s="225" t="n"/>
      <c r="CD102" s="225" t="n"/>
      <c r="CE102" s="225" t="n"/>
      <c r="CF102" s="225" t="n"/>
      <c r="CG102" s="225" t="n"/>
      <c r="CH102" s="225" t="n"/>
      <c r="CI102" s="226" t="n"/>
    </row>
    <row r="103" ht="7.5" customHeight="1" s="202">
      <c r="A103" s="225" t="n"/>
      <c r="B103" s="225" t="n"/>
      <c r="C103" s="225" t="n"/>
      <c r="D103" s="225" t="n"/>
      <c r="E103" s="225" t="n"/>
      <c r="F103" s="225" t="n"/>
      <c r="G103" s="225" t="n"/>
      <c r="H103" s="225" t="n"/>
      <c r="I103" s="225" t="n"/>
      <c r="J103" s="225" t="n"/>
      <c r="K103" s="225" t="n"/>
      <c r="L103" s="225" t="n"/>
      <c r="M103" s="225" t="n"/>
      <c r="N103" s="225" t="n"/>
      <c r="O103" s="225" t="n"/>
      <c r="P103" s="225" t="n"/>
      <c r="Q103" s="225" t="n"/>
      <c r="R103" s="225" t="n"/>
      <c r="S103" s="225" t="n"/>
      <c r="T103" s="225" t="n"/>
      <c r="U103" s="225" t="n"/>
      <c r="V103" s="225" t="n"/>
      <c r="W103" s="225" t="n"/>
      <c r="X103" s="225" t="n"/>
      <c r="Y103" s="225" t="n"/>
      <c r="Z103" s="225" t="n"/>
      <c r="AA103" s="225" t="n"/>
      <c r="AB103" s="225" t="n"/>
      <c r="AC103" s="225" t="n"/>
      <c r="AD103" s="225" t="n"/>
      <c r="AE103" s="225" t="n"/>
      <c r="AF103" s="225" t="n"/>
      <c r="AG103" s="225" t="n"/>
      <c r="AH103" s="225" t="n"/>
      <c r="AI103" s="225" t="n"/>
      <c r="AJ103" s="225" t="n"/>
      <c r="AK103" s="225" t="n"/>
      <c r="AL103" s="225" t="n"/>
      <c r="AM103" s="225" t="n"/>
      <c r="AN103" s="225" t="n"/>
      <c r="AO103" s="225" t="n"/>
      <c r="AP103" s="225" t="n"/>
      <c r="AQ103" s="225" t="n"/>
      <c r="AR103" s="225" t="n"/>
      <c r="AS103" s="225" t="n"/>
      <c r="AT103" s="225" t="n"/>
      <c r="AU103" s="225" t="n"/>
      <c r="AV103" s="225" t="n"/>
      <c r="AW103" s="225" t="n"/>
      <c r="AX103" s="225" t="n"/>
      <c r="AY103" s="225" t="n"/>
      <c r="AZ103" s="225" t="n"/>
      <c r="BA103" s="225" t="n"/>
      <c r="BB103" s="225" t="n"/>
      <c r="BC103" s="225" t="n"/>
      <c r="BD103" s="225" t="n"/>
      <c r="BE103" s="225" t="n"/>
      <c r="BF103" s="225" t="n"/>
      <c r="BG103" s="225" t="n"/>
      <c r="BH103" s="225" t="n"/>
      <c r="BI103" s="225" t="n"/>
      <c r="BJ103" s="225" t="n"/>
      <c r="BK103" s="225" t="n"/>
      <c r="BL103" s="225" t="n"/>
      <c r="BM103" s="225" t="n"/>
      <c r="BN103" s="225" t="n"/>
      <c r="BO103" s="225" t="n"/>
      <c r="BP103" s="225" t="n"/>
      <c r="BQ103" s="225" t="n"/>
      <c r="BR103" s="225" t="n"/>
      <c r="BS103" s="225" t="n"/>
      <c r="BT103" s="225" t="n"/>
      <c r="BU103" s="225" t="n"/>
      <c r="BV103" s="225" t="n"/>
      <c r="BW103" s="225" t="n"/>
      <c r="BX103" s="225" t="n"/>
      <c r="BY103" s="225" t="n"/>
      <c r="BZ103" s="225" t="n"/>
      <c r="CA103" s="225" t="n"/>
      <c r="CB103" s="225" t="n"/>
      <c r="CC103" s="225" t="n"/>
      <c r="CD103" s="225" t="n"/>
      <c r="CE103" s="225" t="n"/>
      <c r="CF103" s="225" t="n"/>
      <c r="CG103" s="225" t="n"/>
      <c r="CH103" s="225" t="n"/>
      <c r="CI103" s="226" t="n"/>
    </row>
    <row r="104" ht="15" customHeight="1" s="202">
      <c r="A104" s="229" t="inlineStr">
        <is>
          <t>ROW RUN CAPITAL LLC - DEBT FACILITY</t>
        </is>
      </c>
      <c r="B104" s="229" t="n"/>
      <c r="C104" s="229" t="n"/>
      <c r="D104" s="229" t="n"/>
      <c r="E104" s="229" t="n"/>
      <c r="F104" s="229" t="n"/>
      <c r="G104" s="229" t="n"/>
      <c r="H104" s="229" t="n"/>
      <c r="I104" s="229" t="n"/>
      <c r="J104" s="229" t="n"/>
      <c r="K104" s="229" t="n"/>
      <c r="L104" s="229" t="n"/>
      <c r="M104" s="229" t="n"/>
      <c r="N104" s="229" t="n"/>
      <c r="O104" s="229" t="n"/>
      <c r="P104" s="229" t="n"/>
      <c r="Q104" s="229" t="n"/>
      <c r="R104" s="229" t="n"/>
      <c r="S104" s="229" t="n"/>
      <c r="T104" s="229" t="n"/>
      <c r="U104" s="229" t="n"/>
      <c r="V104" s="229" t="n"/>
      <c r="W104" s="229" t="n"/>
      <c r="X104" s="229" t="n"/>
      <c r="Y104" s="229" t="n"/>
      <c r="Z104" s="229" t="n"/>
      <c r="AA104" s="229" t="n"/>
      <c r="AB104" s="229" t="n"/>
      <c r="AC104" s="229" t="n"/>
      <c r="AD104" s="229" t="n"/>
      <c r="AE104" s="229" t="n"/>
      <c r="AF104" s="229" t="n"/>
      <c r="AG104" s="229" t="n"/>
      <c r="AH104" s="229" t="n"/>
      <c r="AI104" s="229" t="n"/>
      <c r="AJ104" s="229" t="n"/>
      <c r="AK104" s="229" t="n"/>
      <c r="AL104" s="229" t="n"/>
      <c r="AM104" s="229" t="n"/>
      <c r="AN104" s="229" t="n"/>
      <c r="AO104" s="229" t="n"/>
      <c r="AP104" s="229" t="n"/>
      <c r="AQ104" s="229" t="n"/>
      <c r="AR104" s="229" t="n"/>
      <c r="AS104" s="229" t="n"/>
      <c r="AT104" s="229" t="n"/>
      <c r="AU104" s="229" t="n"/>
      <c r="AV104" s="229" t="n"/>
      <c r="AW104" s="229" t="n"/>
      <c r="AX104" s="229" t="n"/>
      <c r="AY104" s="229" t="n"/>
      <c r="AZ104" s="229" t="n"/>
      <c r="BA104" s="229" t="n"/>
      <c r="BB104" s="229" t="n"/>
      <c r="BC104" s="229" t="n"/>
      <c r="BD104" s="229" t="n"/>
      <c r="BE104" s="229" t="n"/>
      <c r="BF104" s="229" t="n"/>
      <c r="BG104" s="229" t="n"/>
      <c r="BH104" s="229" t="n"/>
      <c r="BI104" s="229" t="n"/>
      <c r="BJ104" s="229" t="n"/>
      <c r="BK104" s="229" t="n"/>
      <c r="BL104" s="229" t="n"/>
      <c r="BM104" s="229" t="n"/>
      <c r="BN104" s="229" t="n"/>
      <c r="BO104" s="229" t="n"/>
      <c r="BP104" s="229" t="n"/>
      <c r="BQ104" s="229" t="n"/>
      <c r="BR104" s="229" t="n"/>
      <c r="BS104" s="229" t="n"/>
      <c r="BT104" s="229" t="n"/>
      <c r="BU104" s="229" t="n"/>
      <c r="BV104" s="229" t="n"/>
      <c r="BW104" s="229" t="n"/>
      <c r="BX104" s="229" t="n"/>
      <c r="BY104" s="229" t="n"/>
      <c r="BZ104" s="229" t="n"/>
      <c r="CA104" s="229" t="n"/>
      <c r="CB104" s="229" t="n"/>
      <c r="CC104" s="229" t="n"/>
      <c r="CD104" s="229" t="n"/>
      <c r="CE104" s="229" t="n"/>
      <c r="CF104" s="229" t="n"/>
      <c r="CG104" s="229" t="n"/>
      <c r="CH104" s="229" t="n"/>
      <c r="CI104" s="226" t="n"/>
    </row>
    <row r="105" ht="15" customHeight="1" s="202">
      <c r="A105" s="210" t="inlineStr">
        <is>
          <t>Beginning Balance</t>
        </is>
      </c>
      <c r="B105" s="225" t="n"/>
      <c r="C105" s="211">
        <f>Assumptions!$B$41</f>
        <v/>
      </c>
      <c r="D105" s="211">
        <f>C107</f>
        <v/>
      </c>
      <c r="E105" s="211">
        <f>D107</f>
        <v/>
      </c>
      <c r="F105" s="211">
        <f>E107</f>
        <v/>
      </c>
      <c r="G105" s="211">
        <f>F107</f>
        <v/>
      </c>
      <c r="H105" s="211">
        <f>G107</f>
        <v/>
      </c>
      <c r="I105" s="211">
        <f>H107</f>
        <v/>
      </c>
      <c r="J105" s="211">
        <f>I107</f>
        <v/>
      </c>
      <c r="K105" s="211">
        <f>J107</f>
        <v/>
      </c>
      <c r="L105" s="211">
        <f>K107</f>
        <v/>
      </c>
      <c r="M105" s="211">
        <f>L107</f>
        <v/>
      </c>
      <c r="N105" s="211">
        <f>M107</f>
        <v/>
      </c>
      <c r="O105" s="211">
        <f>N107</f>
        <v/>
      </c>
      <c r="P105" s="211">
        <f>O107</f>
        <v/>
      </c>
      <c r="Q105" s="211">
        <f>P107</f>
        <v/>
      </c>
      <c r="R105" s="211">
        <f>Q107</f>
        <v/>
      </c>
      <c r="S105" s="211">
        <f>R107</f>
        <v/>
      </c>
      <c r="T105" s="211">
        <f>S107</f>
        <v/>
      </c>
      <c r="U105" s="211">
        <f>T107</f>
        <v/>
      </c>
      <c r="V105" s="211">
        <f>U107</f>
        <v/>
      </c>
      <c r="W105" s="211">
        <f>V107</f>
        <v/>
      </c>
      <c r="X105" s="211">
        <f>W107</f>
        <v/>
      </c>
      <c r="Y105" s="211">
        <f>X107</f>
        <v/>
      </c>
      <c r="Z105" s="211">
        <f>Y107</f>
        <v/>
      </c>
      <c r="AA105" s="211">
        <f>Z107</f>
        <v/>
      </c>
      <c r="AB105" s="211">
        <f>AA107</f>
        <v/>
      </c>
      <c r="AC105" s="211">
        <f>AB107</f>
        <v/>
      </c>
      <c r="AD105" s="211">
        <f>AC107</f>
        <v/>
      </c>
      <c r="AE105" s="211">
        <f>AD107</f>
        <v/>
      </c>
      <c r="AF105" s="211">
        <f>AE107</f>
        <v/>
      </c>
      <c r="AG105" s="211">
        <f>AF107</f>
        <v/>
      </c>
      <c r="AH105" s="211">
        <f>AG107</f>
        <v/>
      </c>
      <c r="AI105" s="211">
        <f>AH107</f>
        <v/>
      </c>
      <c r="AJ105" s="211">
        <f>AI107</f>
        <v/>
      </c>
      <c r="AK105" s="211">
        <f>AJ107</f>
        <v/>
      </c>
      <c r="AL105" s="211">
        <f>AK107</f>
        <v/>
      </c>
      <c r="AM105" s="211">
        <f>AL107</f>
        <v/>
      </c>
      <c r="AN105" s="211">
        <f>AM107</f>
        <v/>
      </c>
      <c r="AO105" s="211">
        <f>AN107</f>
        <v/>
      </c>
      <c r="AP105" s="211">
        <f>AO107</f>
        <v/>
      </c>
      <c r="AQ105" s="211">
        <f>AP107</f>
        <v/>
      </c>
      <c r="AR105" s="211">
        <f>AQ107</f>
        <v/>
      </c>
      <c r="AS105" s="211">
        <f>AR107</f>
        <v/>
      </c>
      <c r="AT105" s="211">
        <f>AS107</f>
        <v/>
      </c>
      <c r="AU105" s="211">
        <f>AT107</f>
        <v/>
      </c>
      <c r="AV105" s="211">
        <f>AU107</f>
        <v/>
      </c>
      <c r="AW105" s="211">
        <f>AV107</f>
        <v/>
      </c>
      <c r="AX105" s="211">
        <f>AW107</f>
        <v/>
      </c>
      <c r="AY105" s="211">
        <f>AX107</f>
        <v/>
      </c>
      <c r="AZ105" s="211">
        <f>AY107</f>
        <v/>
      </c>
      <c r="BA105" s="211">
        <f>AZ107</f>
        <v/>
      </c>
      <c r="BB105" s="211">
        <f>BA107</f>
        <v/>
      </c>
      <c r="BC105" s="211">
        <f>BB107</f>
        <v/>
      </c>
      <c r="BD105" s="211">
        <f>BC107</f>
        <v/>
      </c>
      <c r="BE105" s="211">
        <f>BD107</f>
        <v/>
      </c>
      <c r="BF105" s="211">
        <f>BE107</f>
        <v/>
      </c>
      <c r="BG105" s="211">
        <f>BF107</f>
        <v/>
      </c>
      <c r="BH105" s="211">
        <f>BG107</f>
        <v/>
      </c>
      <c r="BI105" s="211">
        <f>BH107</f>
        <v/>
      </c>
      <c r="BJ105" s="211">
        <f>BI107</f>
        <v/>
      </c>
      <c r="BK105" s="211">
        <f>BJ107</f>
        <v/>
      </c>
      <c r="BL105" s="211">
        <f>BK107</f>
        <v/>
      </c>
      <c r="BM105" s="211">
        <f>BL107</f>
        <v/>
      </c>
      <c r="BN105" s="211">
        <f>BM107</f>
        <v/>
      </c>
      <c r="BO105" s="211">
        <f>BN107</f>
        <v/>
      </c>
      <c r="BP105" s="211">
        <f>BO107</f>
        <v/>
      </c>
      <c r="BQ105" s="211">
        <f>BP107</f>
        <v/>
      </c>
      <c r="BR105" s="211">
        <f>BQ107</f>
        <v/>
      </c>
      <c r="BS105" s="211">
        <f>BR107</f>
        <v/>
      </c>
      <c r="BT105" s="211">
        <f>BS107</f>
        <v/>
      </c>
      <c r="BU105" s="211">
        <f>BT107</f>
        <v/>
      </c>
      <c r="BV105" s="211">
        <f>BU107</f>
        <v/>
      </c>
      <c r="BW105" s="211">
        <f>BV107</f>
        <v/>
      </c>
      <c r="BX105" s="211">
        <f>BW107</f>
        <v/>
      </c>
      <c r="BY105" s="211">
        <f>BX107</f>
        <v/>
      </c>
      <c r="BZ105" s="211">
        <f>BY107</f>
        <v/>
      </c>
      <c r="CA105" s="211">
        <f>BZ107</f>
        <v/>
      </c>
      <c r="CB105" s="211">
        <f>CA107</f>
        <v/>
      </c>
      <c r="CC105" s="211">
        <f>CB107</f>
        <v/>
      </c>
      <c r="CD105" s="211">
        <f>CC107</f>
        <v/>
      </c>
      <c r="CE105" s="211">
        <f>CD107</f>
        <v/>
      </c>
      <c r="CF105" s="211">
        <f>CE107</f>
        <v/>
      </c>
      <c r="CG105" s="211">
        <f>CF107</f>
        <v/>
      </c>
      <c r="CH105" s="211">
        <f>CG107</f>
        <v/>
      </c>
      <c r="CI105" s="226" t="n"/>
    </row>
    <row r="106" ht="15" customHeight="1" s="202">
      <c r="A106" s="210" t="inlineStr">
        <is>
          <t>Annual Payment (25% tranche)</t>
        </is>
      </c>
      <c r="B106" s="225" t="n"/>
      <c r="C106" s="211" t="n">
        <v>0</v>
      </c>
      <c r="D106" s="211" t="n">
        <v>0</v>
      </c>
      <c r="E106" s="211" t="n">
        <v>0</v>
      </c>
      <c r="F106" s="211" t="n">
        <v>0</v>
      </c>
      <c r="G106" s="211" t="n">
        <v>0</v>
      </c>
      <c r="H106" s="211" t="n">
        <v>0</v>
      </c>
      <c r="I106" s="211" t="n">
        <v>0</v>
      </c>
      <c r="J106" s="211" t="n">
        <v>0</v>
      </c>
      <c r="K106" s="211" t="n">
        <v>0</v>
      </c>
      <c r="L106" s="211" t="n">
        <v>0</v>
      </c>
      <c r="M106" s="211">
        <f>IF(AND(M105&gt;0,SUM(C95:K95)&gt;=Assumptions!$B$43),-MIN(Assumptions!$B$42,M105),0)</f>
        <v/>
      </c>
      <c r="N106" s="211" t="n">
        <v>0</v>
      </c>
      <c r="O106" s="211" t="n">
        <v>0</v>
      </c>
      <c r="P106" s="211" t="n">
        <v>0</v>
      </c>
      <c r="Q106" s="211" t="n">
        <v>0</v>
      </c>
      <c r="R106" s="211" t="n">
        <v>0</v>
      </c>
      <c r="S106" s="211" t="n">
        <v>0</v>
      </c>
      <c r="T106" s="211" t="n">
        <v>0</v>
      </c>
      <c r="U106" s="211" t="n">
        <v>0</v>
      </c>
      <c r="V106" s="211" t="n">
        <v>0</v>
      </c>
      <c r="W106" s="211" t="n">
        <v>0</v>
      </c>
      <c r="X106" s="211" t="n">
        <v>0</v>
      </c>
      <c r="Y106" s="211">
        <f>IF(AND(Y105&gt;0,SUM(L95:W95)&gt;=Assumptions!$B$43),-MIN(Assumptions!$B$42,Y105),0)</f>
        <v/>
      </c>
      <c r="Z106" s="211" t="n">
        <v>0</v>
      </c>
      <c r="AA106" s="211" t="n">
        <v>0</v>
      </c>
      <c r="AB106" s="211" t="n">
        <v>0</v>
      </c>
      <c r="AC106" s="211" t="n">
        <v>0</v>
      </c>
      <c r="AD106" s="211" t="n">
        <v>0</v>
      </c>
      <c r="AE106" s="211" t="n">
        <v>0</v>
      </c>
      <c r="AF106" s="211" t="n">
        <v>0</v>
      </c>
      <c r="AG106" s="211" t="n">
        <v>0</v>
      </c>
      <c r="AH106" s="211" t="n">
        <v>0</v>
      </c>
      <c r="AI106" s="211" t="n">
        <v>0</v>
      </c>
      <c r="AJ106" s="211" t="n">
        <v>0</v>
      </c>
      <c r="AK106" s="211">
        <f>IF(AND(AK105&gt;0,SUM(X95:AI95)&gt;=Assumptions!$B$43),-MIN(Assumptions!$B$42,AK105),0)</f>
        <v/>
      </c>
      <c r="AL106" s="211" t="n">
        <v>0</v>
      </c>
      <c r="AM106" s="211" t="n">
        <v>0</v>
      </c>
      <c r="AN106" s="211" t="n">
        <v>0</v>
      </c>
      <c r="AO106" s="211" t="n">
        <v>0</v>
      </c>
      <c r="AP106" s="211" t="n">
        <v>0</v>
      </c>
      <c r="AQ106" s="211" t="n">
        <v>0</v>
      </c>
      <c r="AR106" s="211" t="n">
        <v>0</v>
      </c>
      <c r="AS106" s="211" t="n">
        <v>0</v>
      </c>
      <c r="AT106" s="211" t="n">
        <v>0</v>
      </c>
      <c r="AU106" s="211" t="n">
        <v>0</v>
      </c>
      <c r="AV106" s="211" t="n">
        <v>0</v>
      </c>
      <c r="AW106" s="211">
        <f>IF(AND(AW105&gt;0,SUM(AJ95:AU95)&gt;=Assumptions!$B$43),-MIN(Assumptions!$B$42,AW105),0)</f>
        <v/>
      </c>
      <c r="AX106" s="211" t="n">
        <v>0</v>
      </c>
      <c r="AY106" s="211" t="n">
        <v>0</v>
      </c>
      <c r="AZ106" s="211" t="n">
        <v>0</v>
      </c>
      <c r="BA106" s="211" t="n">
        <v>0</v>
      </c>
      <c r="BB106" s="211" t="n">
        <v>0</v>
      </c>
      <c r="BC106" s="211" t="n">
        <v>0</v>
      </c>
      <c r="BD106" s="211" t="n">
        <v>0</v>
      </c>
      <c r="BE106" s="211" t="n">
        <v>0</v>
      </c>
      <c r="BF106" s="211" t="n">
        <v>0</v>
      </c>
      <c r="BG106" s="211" t="n">
        <v>0</v>
      </c>
      <c r="BH106" s="211" t="n">
        <v>0</v>
      </c>
      <c r="BI106" s="211">
        <f>IF(AND(BI105&gt;0,SUM(AV95:BG95)&gt;=Assumptions!$B$43),-MIN(Assumptions!$B$42,BI105),0)</f>
        <v/>
      </c>
      <c r="BJ106" s="211" t="n">
        <v>0</v>
      </c>
      <c r="BK106" s="211" t="n">
        <v>0</v>
      </c>
      <c r="BL106" s="211" t="n">
        <v>0</v>
      </c>
      <c r="BM106" s="211" t="n">
        <v>0</v>
      </c>
      <c r="BN106" s="211" t="n">
        <v>0</v>
      </c>
      <c r="BO106" s="211" t="n">
        <v>0</v>
      </c>
      <c r="BP106" s="211" t="n">
        <v>0</v>
      </c>
      <c r="BQ106" s="211" t="n">
        <v>0</v>
      </c>
      <c r="BR106" s="211" t="n">
        <v>0</v>
      </c>
      <c r="BS106" s="211" t="n">
        <v>0</v>
      </c>
      <c r="BT106" s="211" t="n">
        <v>0</v>
      </c>
      <c r="BU106" s="211">
        <f>IF(AND(BU105&gt;0,SUM(BH95:BS95)&gt;=Assumptions!$B$43),-MIN(Assumptions!$B$42,BU105),0)</f>
        <v/>
      </c>
      <c r="BV106" s="211" t="n">
        <v>0</v>
      </c>
      <c r="BW106" s="211" t="n">
        <v>0</v>
      </c>
      <c r="BX106" s="211" t="n">
        <v>0</v>
      </c>
      <c r="BY106" s="211" t="n">
        <v>0</v>
      </c>
      <c r="BZ106" s="211" t="n">
        <v>0</v>
      </c>
      <c r="CA106" s="211" t="n">
        <v>0</v>
      </c>
      <c r="CB106" s="211" t="n">
        <v>0</v>
      </c>
      <c r="CC106" s="211" t="n">
        <v>0</v>
      </c>
      <c r="CD106" s="211" t="n">
        <v>0</v>
      </c>
      <c r="CE106" s="211" t="n">
        <v>0</v>
      </c>
      <c r="CF106" s="211" t="n">
        <v>0</v>
      </c>
      <c r="CG106" s="211">
        <f>IF(AND(CG105&gt;0,SUM(BT95:CE95)&gt;=Assumptions!$B$43),-MIN(Assumptions!$B$42,CG105),0)</f>
        <v/>
      </c>
      <c r="CH106" s="211" t="n">
        <v>0</v>
      </c>
      <c r="CI106" s="226" t="n"/>
    </row>
    <row r="107" ht="15" customHeight="1" s="202">
      <c r="A107" s="236" t="inlineStr">
        <is>
          <t>Ending Balance</t>
        </is>
      </c>
      <c r="B107" s="231" t="n"/>
      <c r="C107" s="235">
        <f>MAX(0,C105+C106)</f>
        <v/>
      </c>
      <c r="D107" s="235">
        <f>MAX(0,D105+D106)</f>
        <v/>
      </c>
      <c r="E107" s="235">
        <f>MAX(0,E105+E106)</f>
        <v/>
      </c>
      <c r="F107" s="235">
        <f>MAX(0,F105+F106)</f>
        <v/>
      </c>
      <c r="G107" s="235">
        <f>MAX(0,G105+G106)</f>
        <v/>
      </c>
      <c r="H107" s="235">
        <f>MAX(0,H105+H106)</f>
        <v/>
      </c>
      <c r="I107" s="235">
        <f>MAX(0,I105+I106)</f>
        <v/>
      </c>
      <c r="J107" s="235">
        <f>MAX(0,J105+J106)</f>
        <v/>
      </c>
      <c r="K107" s="235">
        <f>MAX(0,K105+K106)</f>
        <v/>
      </c>
      <c r="L107" s="235">
        <f>MAX(0,L105+L106)</f>
        <v/>
      </c>
      <c r="M107" s="235">
        <f>MAX(0,M105+M106)</f>
        <v/>
      </c>
      <c r="N107" s="235">
        <f>MAX(0,N105+N106)</f>
        <v/>
      </c>
      <c r="O107" s="235">
        <f>MAX(0,O105+O106)</f>
        <v/>
      </c>
      <c r="P107" s="235">
        <f>MAX(0,P105+P106)</f>
        <v/>
      </c>
      <c r="Q107" s="235">
        <f>MAX(0,Q105+Q106)</f>
        <v/>
      </c>
      <c r="R107" s="235">
        <f>MAX(0,R105+R106)</f>
        <v/>
      </c>
      <c r="S107" s="235">
        <f>MAX(0,S105+S106)</f>
        <v/>
      </c>
      <c r="T107" s="235">
        <f>MAX(0,T105+T106)</f>
        <v/>
      </c>
      <c r="U107" s="235">
        <f>MAX(0,U105+U106)</f>
        <v/>
      </c>
      <c r="V107" s="235">
        <f>MAX(0,V105+V106)</f>
        <v/>
      </c>
      <c r="W107" s="235">
        <f>MAX(0,W105+W106)</f>
        <v/>
      </c>
      <c r="X107" s="235">
        <f>MAX(0,X105+X106)</f>
        <v/>
      </c>
      <c r="Y107" s="235">
        <f>MAX(0,Y105+Y106)</f>
        <v/>
      </c>
      <c r="Z107" s="235">
        <f>MAX(0,Z105+Z106)</f>
        <v/>
      </c>
      <c r="AA107" s="235">
        <f>MAX(0,AA105+AA106)</f>
        <v/>
      </c>
      <c r="AB107" s="235">
        <f>MAX(0,AB105+AB106)</f>
        <v/>
      </c>
      <c r="AC107" s="235">
        <f>MAX(0,AC105+AC106)</f>
        <v/>
      </c>
      <c r="AD107" s="235">
        <f>MAX(0,AD105+AD106)</f>
        <v/>
      </c>
      <c r="AE107" s="235">
        <f>MAX(0,AE105+AE106)</f>
        <v/>
      </c>
      <c r="AF107" s="235">
        <f>MAX(0,AF105+AF106)</f>
        <v/>
      </c>
      <c r="AG107" s="235">
        <f>MAX(0,AG105+AG106)</f>
        <v/>
      </c>
      <c r="AH107" s="235">
        <f>MAX(0,AH105+AH106)</f>
        <v/>
      </c>
      <c r="AI107" s="235">
        <f>MAX(0,AI105+AI106)</f>
        <v/>
      </c>
      <c r="AJ107" s="235">
        <f>MAX(0,AJ105+AJ106)</f>
        <v/>
      </c>
      <c r="AK107" s="235">
        <f>MAX(0,AK105+AK106)</f>
        <v/>
      </c>
      <c r="AL107" s="235">
        <f>MAX(0,AL105+AL106)</f>
        <v/>
      </c>
      <c r="AM107" s="235">
        <f>MAX(0,AM105+AM106)</f>
        <v/>
      </c>
      <c r="AN107" s="235">
        <f>MAX(0,AN105+AN106)</f>
        <v/>
      </c>
      <c r="AO107" s="235">
        <f>MAX(0,AO105+AO106)</f>
        <v/>
      </c>
      <c r="AP107" s="235">
        <f>MAX(0,AP105+AP106)</f>
        <v/>
      </c>
      <c r="AQ107" s="235">
        <f>MAX(0,AQ105+AQ106)</f>
        <v/>
      </c>
      <c r="AR107" s="235">
        <f>MAX(0,AR105+AR106)</f>
        <v/>
      </c>
      <c r="AS107" s="235">
        <f>MAX(0,AS105+AS106)</f>
        <v/>
      </c>
      <c r="AT107" s="235">
        <f>MAX(0,AT105+AT106)</f>
        <v/>
      </c>
      <c r="AU107" s="235">
        <f>MAX(0,AU105+AU106)</f>
        <v/>
      </c>
      <c r="AV107" s="235">
        <f>MAX(0,AV105+AV106)</f>
        <v/>
      </c>
      <c r="AW107" s="235">
        <f>MAX(0,AW105+AW106)</f>
        <v/>
      </c>
      <c r="AX107" s="235">
        <f>MAX(0,AX105+AX106)</f>
        <v/>
      </c>
      <c r="AY107" s="235">
        <f>MAX(0,AY105+AY106)</f>
        <v/>
      </c>
      <c r="AZ107" s="235">
        <f>MAX(0,AZ105+AZ106)</f>
        <v/>
      </c>
      <c r="BA107" s="235">
        <f>MAX(0,BA105+BA106)</f>
        <v/>
      </c>
      <c r="BB107" s="235">
        <f>MAX(0,BB105+BB106)</f>
        <v/>
      </c>
      <c r="BC107" s="235">
        <f>MAX(0,BC105+BC106)</f>
        <v/>
      </c>
      <c r="BD107" s="235">
        <f>MAX(0,BD105+BD106)</f>
        <v/>
      </c>
      <c r="BE107" s="235">
        <f>MAX(0,BE105+BE106)</f>
        <v/>
      </c>
      <c r="BF107" s="235">
        <f>MAX(0,BF105+BF106)</f>
        <v/>
      </c>
      <c r="BG107" s="235">
        <f>MAX(0,BG105+BG106)</f>
        <v/>
      </c>
      <c r="BH107" s="235">
        <f>MAX(0,BH105+BH106)</f>
        <v/>
      </c>
      <c r="BI107" s="235">
        <f>MAX(0,BI105+BI106)</f>
        <v/>
      </c>
      <c r="BJ107" s="235">
        <f>MAX(0,BJ105+BJ106)</f>
        <v/>
      </c>
      <c r="BK107" s="235">
        <f>MAX(0,BK105+BK106)</f>
        <v/>
      </c>
      <c r="BL107" s="235">
        <f>MAX(0,BL105+BL106)</f>
        <v/>
      </c>
      <c r="BM107" s="235">
        <f>MAX(0,BM105+BM106)</f>
        <v/>
      </c>
      <c r="BN107" s="235">
        <f>MAX(0,BN105+BN106)</f>
        <v/>
      </c>
      <c r="BO107" s="235">
        <f>MAX(0,BO105+BO106)</f>
        <v/>
      </c>
      <c r="BP107" s="235">
        <f>MAX(0,BP105+BP106)</f>
        <v/>
      </c>
      <c r="BQ107" s="235">
        <f>MAX(0,BQ105+BQ106)</f>
        <v/>
      </c>
      <c r="BR107" s="235">
        <f>MAX(0,BR105+BR106)</f>
        <v/>
      </c>
      <c r="BS107" s="235">
        <f>MAX(0,BS105+BS106)</f>
        <v/>
      </c>
      <c r="BT107" s="235">
        <f>MAX(0,BT105+BT106)</f>
        <v/>
      </c>
      <c r="BU107" s="235">
        <f>MAX(0,BU105+BU106)</f>
        <v/>
      </c>
      <c r="BV107" s="235">
        <f>MAX(0,BV105+BV106)</f>
        <v/>
      </c>
      <c r="BW107" s="235">
        <f>MAX(0,BW105+BW106)</f>
        <v/>
      </c>
      <c r="BX107" s="235">
        <f>MAX(0,BX105+BX106)</f>
        <v/>
      </c>
      <c r="BY107" s="235">
        <f>MAX(0,BY105+BY106)</f>
        <v/>
      </c>
      <c r="BZ107" s="235">
        <f>MAX(0,BZ105+BZ106)</f>
        <v/>
      </c>
      <c r="CA107" s="235">
        <f>MAX(0,CA105+CA106)</f>
        <v/>
      </c>
      <c r="CB107" s="235">
        <f>MAX(0,CB105+CB106)</f>
        <v/>
      </c>
      <c r="CC107" s="235">
        <f>MAX(0,CC105+CC106)</f>
        <v/>
      </c>
      <c r="CD107" s="235">
        <f>MAX(0,CD105+CD106)</f>
        <v/>
      </c>
      <c r="CE107" s="235">
        <f>MAX(0,CE105+CE106)</f>
        <v/>
      </c>
      <c r="CF107" s="235">
        <f>MAX(0,CF105+CF106)</f>
        <v/>
      </c>
      <c r="CG107" s="235">
        <f>MAX(0,CG105+CG106)</f>
        <v/>
      </c>
      <c r="CH107" s="235">
        <f>MAX(0,CH105+CH106)</f>
        <v/>
      </c>
      <c r="CI107" s="226" t="n"/>
    </row>
    <row r="108" ht="16.5" customHeight="1" s="202">
      <c r="A108" s="237" t="n"/>
      <c r="B108" s="237" t="n"/>
      <c r="C108" s="237" t="n"/>
      <c r="D108" s="237" t="n"/>
      <c r="E108" s="237" t="n"/>
      <c r="F108" s="237" t="n"/>
      <c r="G108" s="237" t="n"/>
      <c r="H108" s="237" t="n"/>
      <c r="I108" s="237" t="n"/>
      <c r="J108" s="237" t="n"/>
      <c r="K108" s="237" t="n"/>
      <c r="L108" s="237" t="n"/>
      <c r="M108" s="237" t="n"/>
      <c r="N108" s="237" t="n"/>
      <c r="O108" s="237" t="n"/>
      <c r="P108" s="237" t="n"/>
      <c r="Q108" s="237" t="n"/>
      <c r="R108" s="237" t="n"/>
      <c r="S108" s="237" t="n"/>
      <c r="T108" s="237" t="n"/>
      <c r="U108" s="237" t="n"/>
      <c r="V108" s="237" t="n"/>
      <c r="W108" s="237" t="n"/>
      <c r="X108" s="237" t="n"/>
      <c r="Y108" s="237" t="n"/>
      <c r="Z108" s="237" t="n"/>
      <c r="AA108" s="237" t="n"/>
      <c r="AB108" s="237" t="n"/>
      <c r="AC108" s="237" t="n"/>
      <c r="AD108" s="237" t="n"/>
      <c r="AE108" s="237" t="n"/>
      <c r="AF108" s="237" t="n"/>
      <c r="AG108" s="237" t="n"/>
      <c r="AH108" s="237" t="n"/>
      <c r="AI108" s="237" t="n"/>
      <c r="AJ108" s="237" t="n"/>
      <c r="AK108" s="237" t="n"/>
      <c r="AL108" s="237" t="n"/>
      <c r="AM108" s="237" t="n"/>
      <c r="AN108" s="237" t="n"/>
      <c r="AO108" s="237" t="n"/>
      <c r="AP108" s="237" t="n"/>
      <c r="AQ108" s="237" t="n"/>
      <c r="AR108" s="237" t="n"/>
      <c r="AS108" s="237" t="n"/>
      <c r="AT108" s="237" t="n"/>
      <c r="AU108" s="237" t="n"/>
      <c r="AV108" s="237" t="n"/>
      <c r="AW108" s="237" t="n"/>
      <c r="AX108" s="237" t="n"/>
      <c r="AY108" s="237" t="n"/>
      <c r="AZ108" s="237" t="n"/>
      <c r="BA108" s="237" t="n"/>
      <c r="BB108" s="237" t="n"/>
      <c r="BC108" s="237" t="n"/>
      <c r="BD108" s="237" t="n"/>
      <c r="BE108" s="237" t="n"/>
      <c r="BF108" s="237" t="n"/>
      <c r="BG108" s="237" t="n"/>
      <c r="BH108" s="237" t="n"/>
      <c r="BI108" s="237" t="n"/>
      <c r="BJ108" s="237" t="n"/>
      <c r="BK108" s="237" t="n"/>
      <c r="BL108" s="237" t="n"/>
      <c r="BM108" s="237" t="n"/>
      <c r="BN108" s="237" t="n"/>
      <c r="BO108" s="237" t="n"/>
      <c r="BP108" s="237" t="n"/>
      <c r="BQ108" s="237" t="n"/>
      <c r="BR108" s="237" t="n"/>
      <c r="BS108" s="237" t="n"/>
      <c r="BT108" s="237" t="n"/>
      <c r="BU108" s="237" t="n"/>
      <c r="BV108" s="237" t="n"/>
      <c r="BW108" s="237" t="n"/>
      <c r="BX108" s="237" t="n"/>
      <c r="BY108" s="237" t="n"/>
      <c r="BZ108" s="237" t="n"/>
      <c r="CA108" s="237" t="n"/>
      <c r="CB108" s="237" t="n"/>
      <c r="CC108" s="237" t="n"/>
      <c r="CD108" s="237" t="n"/>
      <c r="CE108" s="237" t="n"/>
      <c r="CF108" s="237" t="n"/>
      <c r="CG108" s="237" t="n"/>
      <c r="CH108" s="237" t="n"/>
      <c r="CI108" s="238" t="n"/>
    </row>
    <row r="109" ht="15" customHeight="1" s="202">
      <c r="A109" s="205" t="inlineStr">
        <is>
          <t>PROJECT INVESTMENT CAPITAL - DEBT FACILITY</t>
        </is>
      </c>
      <c r="B109" s="205" t="n"/>
      <c r="C109" s="205" t="n"/>
      <c r="D109" s="205" t="n"/>
      <c r="E109" s="205" t="n"/>
      <c r="F109" s="205" t="n"/>
      <c r="G109" s="205" t="n"/>
      <c r="H109" s="205" t="n"/>
      <c r="I109" s="205" t="n"/>
      <c r="J109" s="205" t="n"/>
      <c r="K109" s="205" t="n"/>
      <c r="L109" s="205" t="n"/>
      <c r="M109" s="205" t="n"/>
      <c r="N109" s="205" t="n"/>
      <c r="O109" s="205" t="n"/>
      <c r="P109" s="205" t="n"/>
      <c r="Q109" s="205" t="n"/>
      <c r="R109" s="205" t="n"/>
      <c r="S109" s="205" t="n"/>
      <c r="T109" s="205" t="n"/>
      <c r="U109" s="205" t="n"/>
      <c r="V109" s="205" t="n"/>
      <c r="W109" s="205" t="n"/>
      <c r="X109" s="205" t="n"/>
      <c r="Y109" s="205" t="n"/>
      <c r="Z109" s="205" t="n"/>
      <c r="AA109" s="205" t="n"/>
      <c r="AB109" s="205" t="n"/>
      <c r="AC109" s="205" t="n"/>
      <c r="AD109" s="205" t="n"/>
      <c r="AE109" s="205" t="n"/>
      <c r="AF109" s="205" t="n"/>
      <c r="AG109" s="205" t="n"/>
      <c r="AH109" s="205" t="n"/>
      <c r="AI109" s="205" t="n"/>
      <c r="AJ109" s="205" t="n"/>
      <c r="AK109" s="205" t="n"/>
      <c r="AL109" s="205" t="n"/>
      <c r="AM109" s="205" t="n"/>
      <c r="AN109" s="205" t="n"/>
      <c r="AO109" s="205" t="n"/>
      <c r="AP109" s="205" t="n"/>
      <c r="AQ109" s="205" t="n"/>
      <c r="AR109" s="205" t="n"/>
      <c r="AS109" s="205" t="n"/>
      <c r="AT109" s="205" t="n"/>
      <c r="AU109" s="205" t="n"/>
      <c r="AV109" s="205" t="n"/>
      <c r="AW109" s="205" t="n"/>
      <c r="AX109" s="205" t="n"/>
      <c r="AY109" s="205" t="n"/>
      <c r="AZ109" s="205" t="n"/>
      <c r="BA109" s="205" t="n"/>
      <c r="BB109" s="205" t="n"/>
      <c r="BC109" s="205" t="n"/>
      <c r="BD109" s="205" t="n"/>
      <c r="BE109" s="205" t="n"/>
      <c r="BF109" s="205" t="n"/>
      <c r="BG109" s="205" t="n"/>
      <c r="BH109" s="205" t="n"/>
      <c r="BI109" s="205" t="n"/>
      <c r="BJ109" s="205" t="n"/>
      <c r="BK109" s="205" t="n"/>
      <c r="BL109" s="205" t="n"/>
      <c r="BM109" s="205" t="n"/>
      <c r="BN109" s="205" t="n"/>
      <c r="BO109" s="205" t="n"/>
      <c r="BP109" s="205" t="n"/>
      <c r="BQ109" s="205" t="n"/>
      <c r="BR109" s="205" t="n"/>
      <c r="BS109" s="205" t="n"/>
      <c r="BT109" s="205" t="n"/>
      <c r="BU109" s="205" t="n"/>
      <c r="BV109" s="205" t="n"/>
      <c r="BW109" s="205" t="n"/>
      <c r="BX109" s="205" t="n"/>
      <c r="BY109" s="205" t="n"/>
      <c r="BZ109" s="205" t="n"/>
      <c r="CA109" s="205" t="n"/>
      <c r="CB109" s="205" t="n"/>
      <c r="CC109" s="205" t="n"/>
      <c r="CD109" s="205" t="n"/>
      <c r="CE109" s="205" t="n"/>
      <c r="CF109" s="205" t="n"/>
      <c r="CG109" s="205" t="n"/>
      <c r="CH109" s="205" t="n"/>
      <c r="CI109" s="226" t="n"/>
    </row>
    <row r="110" ht="15" customHeight="1" s="202">
      <c r="A110" s="210" t="inlineStr">
        <is>
          <t>Klump - Beginning Balance</t>
        </is>
      </c>
      <c r="B110" s="210" t="n"/>
      <c r="C110" s="239">
        <f>IF(AND(Projects!$G$11="Yes",Projects!$C$11&lt;=1),Assumptions!$B$60,0)</f>
        <v/>
      </c>
      <c r="D110" s="239">
        <f>IF(AND(Projects!$G$11="Yes",2=Projects!$C$11),Assumptions!$B$60,C114)</f>
        <v/>
      </c>
      <c r="E110" s="239">
        <f>IF(AND(Projects!$G$11="Yes",3=Projects!$C$11),Assumptions!$B$60,D114)</f>
        <v/>
      </c>
      <c r="F110" s="239">
        <f>IF(AND(Projects!$G$11="Yes",4=Projects!$C$11),Assumptions!$B$60,E114)</f>
        <v/>
      </c>
      <c r="G110" s="239">
        <f>IF(AND(Projects!$G$11="Yes",5=Projects!$C$11),Assumptions!$B$60,F114)</f>
        <v/>
      </c>
      <c r="H110" s="239">
        <f>IF(AND(Projects!$G$11="Yes",6=Projects!$C$11),Assumptions!$B$60,G114)</f>
        <v/>
      </c>
      <c r="I110" s="239">
        <f>IF(AND(Projects!$G$11="Yes",7=Projects!$C$11),Assumptions!$B$60,H114)</f>
        <v/>
      </c>
      <c r="J110" s="239">
        <f>IF(AND(Projects!$G$11="Yes",8=Projects!$C$11),Assumptions!$B$60,I114)</f>
        <v/>
      </c>
      <c r="K110" s="239">
        <f>IF(AND(Projects!$G$11="Yes",9=Projects!$C$11),Assumptions!$B$60,J114)</f>
        <v/>
      </c>
      <c r="L110" s="239">
        <f>IF(AND(Projects!$G$11="Yes",10=Projects!$C$11),Assumptions!$B$60,K114)</f>
        <v/>
      </c>
      <c r="M110" s="239">
        <f>IF(AND(Projects!$G$11="Yes",11=Projects!$C$11),Assumptions!$B$60,L114)</f>
        <v/>
      </c>
      <c r="N110" s="239">
        <f>IF(AND(Projects!$G$11="Yes",12=Projects!$C$11),Assumptions!$B$60,M114)</f>
        <v/>
      </c>
      <c r="O110" s="239">
        <f>IF(AND(Projects!$G$11="Yes",13=Projects!$C$11),Assumptions!$B$60,N114)</f>
        <v/>
      </c>
      <c r="P110" s="239">
        <f>IF(AND(Projects!$G$11="Yes",14=Projects!$C$11),Assumptions!$B$60,O114)</f>
        <v/>
      </c>
      <c r="Q110" s="239">
        <f>IF(AND(Projects!$G$11="Yes",15=Projects!$C$11),Assumptions!$B$60,P114)</f>
        <v/>
      </c>
      <c r="R110" s="239">
        <f>IF(AND(Projects!$G$11="Yes",16=Projects!$C$11),Assumptions!$B$60,Q114)</f>
        <v/>
      </c>
      <c r="S110" s="239">
        <f>IF(AND(Projects!$G$11="Yes",17=Projects!$C$11),Assumptions!$B$60,R114)</f>
        <v/>
      </c>
      <c r="T110" s="239">
        <f>IF(AND(Projects!$G$11="Yes",18=Projects!$C$11),Assumptions!$B$60,S114)</f>
        <v/>
      </c>
      <c r="U110" s="239">
        <f>IF(AND(Projects!$G$11="Yes",19=Projects!$C$11),Assumptions!$B$60,T114)</f>
        <v/>
      </c>
      <c r="V110" s="239">
        <f>IF(AND(Projects!$G$11="Yes",20=Projects!$C$11),Assumptions!$B$60,U114)</f>
        <v/>
      </c>
      <c r="W110" s="239">
        <f>IF(AND(Projects!$G$11="Yes",21=Projects!$C$11),Assumptions!$B$60,V114)</f>
        <v/>
      </c>
      <c r="X110" s="239">
        <f>IF(AND(Projects!$G$11="Yes",22=Projects!$C$11),Assumptions!$B$60,W114)</f>
        <v/>
      </c>
      <c r="Y110" s="239">
        <f>IF(AND(Projects!$G$11="Yes",23=Projects!$C$11),Assumptions!$B$60,X114)</f>
        <v/>
      </c>
      <c r="Z110" s="239">
        <f>IF(AND(Projects!$G$11="Yes",24=Projects!$C$11),Assumptions!$B$60,Y114)</f>
        <v/>
      </c>
      <c r="AA110" s="239">
        <f>IF(AND(Projects!$G$11="Yes",25=Projects!$C$11),Assumptions!$B$60,Z114)</f>
        <v/>
      </c>
      <c r="AB110" s="239">
        <f>IF(AND(Projects!$G$11="Yes",26=Projects!$C$11),Assumptions!$B$60,AA114)</f>
        <v/>
      </c>
      <c r="AC110" s="239">
        <f>IF(AND(Projects!$G$11="Yes",27=Projects!$C$11),Assumptions!$B$60,AB114)</f>
        <v/>
      </c>
      <c r="AD110" s="239">
        <f>IF(AND(Projects!$G$11="Yes",28=Projects!$C$11),Assumptions!$B$60,AC114)</f>
        <v/>
      </c>
      <c r="AE110" s="239">
        <f>IF(AND(Projects!$G$11="Yes",29=Projects!$C$11),Assumptions!$B$60,AD114)</f>
        <v/>
      </c>
      <c r="AF110" s="239">
        <f>IF(AND(Projects!$G$11="Yes",30=Projects!$C$11),Assumptions!$B$60,AE114)</f>
        <v/>
      </c>
      <c r="AG110" s="239">
        <f>IF(AND(Projects!$G$11="Yes",31=Projects!$C$11),Assumptions!$B$60,AF114)</f>
        <v/>
      </c>
      <c r="AH110" s="239">
        <f>IF(AND(Projects!$G$11="Yes",32=Projects!$C$11),Assumptions!$B$60,AG114)</f>
        <v/>
      </c>
      <c r="AI110" s="239">
        <f>IF(AND(Projects!$G$11="Yes",33=Projects!$C$11),Assumptions!$B$60,AH114)</f>
        <v/>
      </c>
      <c r="AJ110" s="239">
        <f>IF(AND(Projects!$G$11="Yes",34=Projects!$C$11),Assumptions!$B$60,AI114)</f>
        <v/>
      </c>
      <c r="AK110" s="239">
        <f>IF(AND(Projects!$G$11="Yes",35=Projects!$C$11),Assumptions!$B$60,AJ114)</f>
        <v/>
      </c>
      <c r="AL110" s="239">
        <f>IF(AND(Projects!$G$11="Yes",36=Projects!$C$11),Assumptions!$B$60,AK114)</f>
        <v/>
      </c>
      <c r="AM110" s="239">
        <f>IF(AND(Projects!$G$11="Yes",37=Projects!$C$11),Assumptions!$B$60,AL114)</f>
        <v/>
      </c>
      <c r="AN110" s="239">
        <f>IF(AND(Projects!$G$11="Yes",38=Projects!$C$11),Assumptions!$B$60,AM114)</f>
        <v/>
      </c>
      <c r="AO110" s="239">
        <f>IF(AND(Projects!$G$11="Yes",39=Projects!$C$11),Assumptions!$B$60,AN114)</f>
        <v/>
      </c>
      <c r="AP110" s="239">
        <f>IF(AND(Projects!$G$11="Yes",40=Projects!$C$11),Assumptions!$B$60,AO114)</f>
        <v/>
      </c>
      <c r="AQ110" s="239">
        <f>IF(AND(Projects!$G$11="Yes",41=Projects!$C$11),Assumptions!$B$60,AP114)</f>
        <v/>
      </c>
      <c r="AR110" s="239">
        <f>IF(AND(Projects!$G$11="Yes",42=Projects!$C$11),Assumptions!$B$60,AQ114)</f>
        <v/>
      </c>
      <c r="AS110" s="239">
        <f>IF(AND(Projects!$G$11="Yes",43=Projects!$C$11),Assumptions!$B$60,AR114)</f>
        <v/>
      </c>
      <c r="AT110" s="239">
        <f>IF(AND(Projects!$G$11="Yes",44=Projects!$C$11),Assumptions!$B$60,AS114)</f>
        <v/>
      </c>
      <c r="AU110" s="239">
        <f>IF(AND(Projects!$G$11="Yes",45=Projects!$C$11),Assumptions!$B$60,AT114)</f>
        <v/>
      </c>
      <c r="AV110" s="239">
        <f>IF(AND(Projects!$G$11="Yes",46=Projects!$C$11),Assumptions!$B$60,AU114)</f>
        <v/>
      </c>
      <c r="AW110" s="239">
        <f>IF(AND(Projects!$G$11="Yes",47=Projects!$C$11),Assumptions!$B$60,AV114)</f>
        <v/>
      </c>
      <c r="AX110" s="239">
        <f>IF(AND(Projects!$G$11="Yes",48=Projects!$C$11),Assumptions!$B$60,AW114)</f>
        <v/>
      </c>
      <c r="AY110" s="239">
        <f>IF(AND(Projects!$G$11="Yes",49=Projects!$C$11),Assumptions!$B$60,AX114)</f>
        <v/>
      </c>
      <c r="AZ110" s="239">
        <f>IF(AND(Projects!$G$11="Yes",50=Projects!$C$11),Assumptions!$B$60,AY114)</f>
        <v/>
      </c>
      <c r="BA110" s="239">
        <f>IF(AND(Projects!$G$11="Yes",51=Projects!$C$11),Assumptions!$B$60,AZ114)</f>
        <v/>
      </c>
      <c r="BB110" s="239">
        <f>IF(AND(Projects!$G$11="Yes",52=Projects!$C$11),Assumptions!$B$60,BA114)</f>
        <v/>
      </c>
      <c r="BC110" s="239">
        <f>IF(AND(Projects!$G$11="Yes",53=Projects!$C$11),Assumptions!$B$60,BB114)</f>
        <v/>
      </c>
      <c r="BD110" s="239">
        <f>IF(AND(Projects!$G$11="Yes",54=Projects!$C$11),Assumptions!$B$60,BC114)</f>
        <v/>
      </c>
      <c r="BE110" s="239">
        <f>IF(AND(Projects!$G$11="Yes",55=Projects!$C$11),Assumptions!$B$60,BD114)</f>
        <v/>
      </c>
      <c r="BF110" s="239">
        <f>IF(AND(Projects!$G$11="Yes",56=Projects!$C$11),Assumptions!$B$60,BE114)</f>
        <v/>
      </c>
      <c r="BG110" s="239">
        <f>IF(AND(Projects!$G$11="Yes",57=Projects!$C$11),Assumptions!$B$60,BF114)</f>
        <v/>
      </c>
      <c r="BH110" s="239">
        <f>IF(AND(Projects!$G$11="Yes",58=Projects!$C$11),Assumptions!$B$60,BG114)</f>
        <v/>
      </c>
      <c r="BI110" s="239">
        <f>IF(AND(Projects!$G$11="Yes",59=Projects!$C$11),Assumptions!$B$60,BH114)</f>
        <v/>
      </c>
      <c r="BJ110" s="239">
        <f>IF(AND(Projects!$G$11="Yes",60=Projects!$C$11),Assumptions!$B$60,BI114)</f>
        <v/>
      </c>
      <c r="BK110" s="239">
        <f>IF(AND(Projects!$G$11="Yes",61=Projects!$C$11),Assumptions!$B$60,BJ114)</f>
        <v/>
      </c>
      <c r="BL110" s="239">
        <f>IF(AND(Projects!$G$11="Yes",62=Projects!$C$11),Assumptions!$B$60,BK114)</f>
        <v/>
      </c>
      <c r="BM110" s="239">
        <f>IF(AND(Projects!$G$11="Yes",63=Projects!$C$11),Assumptions!$B$60,BL114)</f>
        <v/>
      </c>
      <c r="BN110" s="239">
        <f>IF(AND(Projects!$G$11="Yes",64=Projects!$C$11),Assumptions!$B$60,BM114)</f>
        <v/>
      </c>
      <c r="BO110" s="239">
        <f>IF(AND(Projects!$G$11="Yes",65=Projects!$C$11),Assumptions!$B$60,BN114)</f>
        <v/>
      </c>
      <c r="BP110" s="239">
        <f>IF(AND(Projects!$G$11="Yes",66=Projects!$C$11),Assumptions!$B$60,BO114)</f>
        <v/>
      </c>
      <c r="BQ110" s="239">
        <f>IF(AND(Projects!$G$11="Yes",67=Projects!$C$11),Assumptions!$B$60,BP114)</f>
        <v/>
      </c>
      <c r="BR110" s="239">
        <f>IF(AND(Projects!$G$11="Yes",68=Projects!$C$11),Assumptions!$B$60,BQ114)</f>
        <v/>
      </c>
      <c r="BS110" s="239">
        <f>IF(AND(Projects!$G$11="Yes",69=Projects!$C$11),Assumptions!$B$60,BR114)</f>
        <v/>
      </c>
      <c r="BT110" s="239">
        <f>IF(AND(Projects!$G$11="Yes",70=Projects!$C$11),Assumptions!$B$60,BS114)</f>
        <v/>
      </c>
      <c r="BU110" s="239">
        <f>IF(AND(Projects!$G$11="Yes",71=Projects!$C$11),Assumptions!$B$60,BT114)</f>
        <v/>
      </c>
      <c r="BV110" s="239">
        <f>IF(AND(Projects!$G$11="Yes",72=Projects!$C$11),Assumptions!$B$60,BU114)</f>
        <v/>
      </c>
      <c r="BW110" s="239">
        <f>IF(AND(Projects!$G$11="Yes",73=Projects!$C$11),Assumptions!$B$60,BV114)</f>
        <v/>
      </c>
      <c r="BX110" s="239">
        <f>IF(AND(Projects!$G$11="Yes",74=Projects!$C$11),Assumptions!$B$60,BW114)</f>
        <v/>
      </c>
      <c r="BY110" s="239">
        <f>IF(AND(Projects!$G$11="Yes",75=Projects!$C$11),Assumptions!$B$60,BX114)</f>
        <v/>
      </c>
      <c r="BZ110" s="239">
        <f>IF(AND(Projects!$G$11="Yes",76=Projects!$C$11),Assumptions!$B$60,BY114)</f>
        <v/>
      </c>
      <c r="CA110" s="239">
        <f>IF(AND(Projects!$G$11="Yes",77=Projects!$C$11),Assumptions!$B$60,BZ114)</f>
        <v/>
      </c>
      <c r="CB110" s="239">
        <f>IF(AND(Projects!$G$11="Yes",78=Projects!$C$11),Assumptions!$B$60,CA114)</f>
        <v/>
      </c>
      <c r="CC110" s="239">
        <f>IF(AND(Projects!$G$11="Yes",79=Projects!$C$11),Assumptions!$B$60,CB114)</f>
        <v/>
      </c>
      <c r="CD110" s="239">
        <f>IF(AND(Projects!$G$11="Yes",80=Projects!$C$11),Assumptions!$B$60,CC114)</f>
        <v/>
      </c>
      <c r="CE110" s="239">
        <f>IF(AND(Projects!$G$11="Yes",81=Projects!$C$11),Assumptions!$B$60,CD114)</f>
        <v/>
      </c>
      <c r="CF110" s="239">
        <f>IF(AND(Projects!$G$11="Yes",82=Projects!$C$11),Assumptions!$B$60,CE114)</f>
        <v/>
      </c>
      <c r="CG110" s="239">
        <f>IF(AND(Projects!$G$11="Yes",83=Projects!$C$11),Assumptions!$B$60,CF114)</f>
        <v/>
      </c>
      <c r="CH110" s="239">
        <f>IF(AND(Projects!$G$11="Yes",84=Projects!$C$11),Assumptions!$B$60,CG114)</f>
        <v/>
      </c>
      <c r="CI110" s="226" t="n"/>
    </row>
    <row r="111" ht="15" customHeight="1" s="202">
      <c r="A111" s="210" t="inlineStr">
        <is>
          <t>Klump - Quarterly Interest</t>
        </is>
      </c>
      <c r="B111" s="210" t="n"/>
      <c r="C111" s="239">
        <f>IF(AND(MOD(1,3)=0,C110&gt;0),C110*Assumptions!$B$59,0)</f>
        <v/>
      </c>
      <c r="D111" s="239">
        <f>IF(AND(MOD(2,3)=0,D110&gt;0),D110*Assumptions!$B$59,0)</f>
        <v/>
      </c>
      <c r="E111" s="239">
        <f>IF(AND(MOD(3,3)=0,E110&gt;0),E110*Assumptions!$B$59,0)</f>
        <v/>
      </c>
      <c r="F111" s="239">
        <f>IF(AND(MOD(4,3)=0,F110&gt;0),F110*Assumptions!$B$59,0)</f>
        <v/>
      </c>
      <c r="G111" s="239">
        <f>IF(AND(MOD(5,3)=0,G110&gt;0),G110*Assumptions!$B$59,0)</f>
        <v/>
      </c>
      <c r="H111" s="239">
        <f>IF(AND(MOD(6,3)=0,H110&gt;0),H110*Assumptions!$B$59,0)</f>
        <v/>
      </c>
      <c r="I111" s="239">
        <f>IF(AND(MOD(7,3)=0,I110&gt;0),I110*Assumptions!$B$59,0)</f>
        <v/>
      </c>
      <c r="J111" s="239">
        <f>IF(AND(MOD(8,3)=0,J110&gt;0),J110*Assumptions!$B$59,0)</f>
        <v/>
      </c>
      <c r="K111" s="239">
        <f>IF(AND(MOD(9,3)=0,K110&gt;0),K110*Assumptions!$B$59,0)</f>
        <v/>
      </c>
      <c r="L111" s="239">
        <f>IF(AND(MOD(10,3)=0,L110&gt;0),L110*Assumptions!$B$59,0)</f>
        <v/>
      </c>
      <c r="M111" s="239">
        <f>IF(AND(MOD(11,3)=0,M110&gt;0),M110*Assumptions!$B$59,0)</f>
        <v/>
      </c>
      <c r="N111" s="239">
        <f>IF(AND(MOD(12,3)=0,N110&gt;0),N110*Assumptions!$B$59,0)</f>
        <v/>
      </c>
      <c r="O111" s="239">
        <f>IF(AND(MOD(13,3)=0,O110&gt;0),O110*Assumptions!$B$59,0)</f>
        <v/>
      </c>
      <c r="P111" s="239">
        <f>IF(AND(MOD(14,3)=0,P110&gt;0),P110*Assumptions!$B$59,0)</f>
        <v/>
      </c>
      <c r="Q111" s="239">
        <f>IF(AND(MOD(15,3)=0,Q110&gt;0),Q110*Assumptions!$B$59,0)</f>
        <v/>
      </c>
      <c r="R111" s="239">
        <f>IF(AND(MOD(16,3)=0,R110&gt;0),R110*Assumptions!$B$59,0)</f>
        <v/>
      </c>
      <c r="S111" s="239">
        <f>IF(AND(MOD(17,3)=0,S110&gt;0),S110*Assumptions!$B$59,0)</f>
        <v/>
      </c>
      <c r="T111" s="239">
        <f>IF(AND(MOD(18,3)=0,T110&gt;0),T110*Assumptions!$B$59,0)</f>
        <v/>
      </c>
      <c r="U111" s="239">
        <f>IF(AND(MOD(19,3)=0,U110&gt;0),U110*Assumptions!$B$59,0)</f>
        <v/>
      </c>
      <c r="V111" s="239">
        <f>IF(AND(MOD(20,3)=0,V110&gt;0),V110*Assumptions!$B$59,0)</f>
        <v/>
      </c>
      <c r="W111" s="239">
        <f>IF(AND(MOD(21,3)=0,W110&gt;0),W110*Assumptions!$B$59,0)</f>
        <v/>
      </c>
      <c r="X111" s="239">
        <f>IF(AND(MOD(22,3)=0,X110&gt;0),X110*Assumptions!$B$59,0)</f>
        <v/>
      </c>
      <c r="Y111" s="239">
        <f>IF(AND(MOD(23,3)=0,Y110&gt;0),Y110*Assumptions!$B$59,0)</f>
        <v/>
      </c>
      <c r="Z111" s="239">
        <f>IF(AND(MOD(24,3)=0,Z110&gt;0),Z110*Assumptions!$B$59,0)</f>
        <v/>
      </c>
      <c r="AA111" s="239">
        <f>IF(AND(MOD(25,3)=0,AA110&gt;0),AA110*Assumptions!$B$59,0)</f>
        <v/>
      </c>
      <c r="AB111" s="239">
        <f>IF(AND(MOD(26,3)=0,AB110&gt;0),AB110*Assumptions!$B$59,0)</f>
        <v/>
      </c>
      <c r="AC111" s="239">
        <f>IF(AND(MOD(27,3)=0,AC110&gt;0),AC110*Assumptions!$B$59,0)</f>
        <v/>
      </c>
      <c r="AD111" s="239">
        <f>IF(AND(MOD(28,3)=0,AD110&gt;0),AD110*Assumptions!$B$59,0)</f>
        <v/>
      </c>
      <c r="AE111" s="239">
        <f>IF(AND(MOD(29,3)=0,AE110&gt;0),AE110*Assumptions!$B$59,0)</f>
        <v/>
      </c>
      <c r="AF111" s="239">
        <f>IF(AND(MOD(30,3)=0,AF110&gt;0),AF110*Assumptions!$B$59,0)</f>
        <v/>
      </c>
      <c r="AG111" s="239">
        <f>IF(AND(MOD(31,3)=0,AG110&gt;0),AG110*Assumptions!$B$59,0)</f>
        <v/>
      </c>
      <c r="AH111" s="239">
        <f>IF(AND(MOD(32,3)=0,AH110&gt;0),AH110*Assumptions!$B$59,0)</f>
        <v/>
      </c>
      <c r="AI111" s="239">
        <f>IF(AND(MOD(33,3)=0,AI110&gt;0),AI110*Assumptions!$B$59,0)</f>
        <v/>
      </c>
      <c r="AJ111" s="239">
        <f>IF(AND(MOD(34,3)=0,AJ110&gt;0),AJ110*Assumptions!$B$59,0)</f>
        <v/>
      </c>
      <c r="AK111" s="239">
        <f>IF(AND(MOD(35,3)=0,AK110&gt;0),AK110*Assumptions!$B$59,0)</f>
        <v/>
      </c>
      <c r="AL111" s="239">
        <f>IF(AND(MOD(36,3)=0,AL110&gt;0),AL110*Assumptions!$B$59,0)</f>
        <v/>
      </c>
      <c r="AM111" s="239">
        <f>IF(AND(MOD(37,3)=0,AM110&gt;0),AM110*Assumptions!$B$59,0)</f>
        <v/>
      </c>
      <c r="AN111" s="239">
        <f>IF(AND(MOD(38,3)=0,AN110&gt;0),AN110*Assumptions!$B$59,0)</f>
        <v/>
      </c>
      <c r="AO111" s="239">
        <f>IF(AND(MOD(39,3)=0,AO110&gt;0),AO110*Assumptions!$B$59,0)</f>
        <v/>
      </c>
      <c r="AP111" s="239">
        <f>IF(AND(MOD(40,3)=0,AP110&gt;0),AP110*Assumptions!$B$59,0)</f>
        <v/>
      </c>
      <c r="AQ111" s="239">
        <f>IF(AND(MOD(41,3)=0,AQ110&gt;0),AQ110*Assumptions!$B$59,0)</f>
        <v/>
      </c>
      <c r="AR111" s="239">
        <f>IF(AND(MOD(42,3)=0,AR110&gt;0),AR110*Assumptions!$B$59,0)</f>
        <v/>
      </c>
      <c r="AS111" s="239">
        <f>IF(AND(MOD(43,3)=0,AS110&gt;0),AS110*Assumptions!$B$59,0)</f>
        <v/>
      </c>
      <c r="AT111" s="239">
        <f>IF(AND(MOD(44,3)=0,AT110&gt;0),AT110*Assumptions!$B$59,0)</f>
        <v/>
      </c>
      <c r="AU111" s="239">
        <f>IF(AND(MOD(45,3)=0,AU110&gt;0),AU110*Assumptions!$B$59,0)</f>
        <v/>
      </c>
      <c r="AV111" s="239">
        <f>IF(AND(MOD(46,3)=0,AV110&gt;0),AV110*Assumptions!$B$59,0)</f>
        <v/>
      </c>
      <c r="AW111" s="239">
        <f>IF(AND(MOD(47,3)=0,AW110&gt;0),AW110*Assumptions!$B$59,0)</f>
        <v/>
      </c>
      <c r="AX111" s="239">
        <f>IF(AND(MOD(48,3)=0,AX110&gt;0),AX110*Assumptions!$B$59,0)</f>
        <v/>
      </c>
      <c r="AY111" s="239">
        <f>IF(AND(MOD(49,3)=0,AY110&gt;0),AY110*Assumptions!$B$59,0)</f>
        <v/>
      </c>
      <c r="AZ111" s="239">
        <f>IF(AND(MOD(50,3)=0,AZ110&gt;0),AZ110*Assumptions!$B$59,0)</f>
        <v/>
      </c>
      <c r="BA111" s="239">
        <f>IF(AND(MOD(51,3)=0,BA110&gt;0),BA110*Assumptions!$B$59,0)</f>
        <v/>
      </c>
      <c r="BB111" s="239">
        <f>IF(AND(MOD(52,3)=0,BB110&gt;0),BB110*Assumptions!$B$59,0)</f>
        <v/>
      </c>
      <c r="BC111" s="239">
        <f>IF(AND(MOD(53,3)=0,BC110&gt;0),BC110*Assumptions!$B$59,0)</f>
        <v/>
      </c>
      <c r="BD111" s="239">
        <f>IF(AND(MOD(54,3)=0,BD110&gt;0),BD110*Assumptions!$B$59,0)</f>
        <v/>
      </c>
      <c r="BE111" s="239">
        <f>IF(AND(MOD(55,3)=0,BE110&gt;0),BE110*Assumptions!$B$59,0)</f>
        <v/>
      </c>
      <c r="BF111" s="239">
        <f>IF(AND(MOD(56,3)=0,BF110&gt;0),BF110*Assumptions!$B$59,0)</f>
        <v/>
      </c>
      <c r="BG111" s="239">
        <f>IF(AND(MOD(57,3)=0,BG110&gt;0),BG110*Assumptions!$B$59,0)</f>
        <v/>
      </c>
      <c r="BH111" s="239">
        <f>IF(AND(MOD(58,3)=0,BH110&gt;0),BH110*Assumptions!$B$59,0)</f>
        <v/>
      </c>
      <c r="BI111" s="239">
        <f>IF(AND(MOD(59,3)=0,BI110&gt;0),BI110*Assumptions!$B$59,0)</f>
        <v/>
      </c>
      <c r="BJ111" s="239">
        <f>IF(AND(MOD(60,3)=0,BJ110&gt;0),BJ110*Assumptions!$B$59,0)</f>
        <v/>
      </c>
      <c r="BK111" s="239">
        <f>IF(AND(MOD(61,3)=0,BK110&gt;0),BK110*Assumptions!$B$59,0)</f>
        <v/>
      </c>
      <c r="BL111" s="239">
        <f>IF(AND(MOD(62,3)=0,BL110&gt;0),BL110*Assumptions!$B$59,0)</f>
        <v/>
      </c>
      <c r="BM111" s="239">
        <f>IF(AND(MOD(63,3)=0,BM110&gt;0),BM110*Assumptions!$B$59,0)</f>
        <v/>
      </c>
      <c r="BN111" s="239">
        <f>IF(AND(MOD(64,3)=0,BN110&gt;0),BN110*Assumptions!$B$59,0)</f>
        <v/>
      </c>
      <c r="BO111" s="239">
        <f>IF(AND(MOD(65,3)=0,BO110&gt;0),BO110*Assumptions!$B$59,0)</f>
        <v/>
      </c>
      <c r="BP111" s="239">
        <f>IF(AND(MOD(66,3)=0,BP110&gt;0),BP110*Assumptions!$B$59,0)</f>
        <v/>
      </c>
      <c r="BQ111" s="239">
        <f>IF(AND(MOD(67,3)=0,BQ110&gt;0),BQ110*Assumptions!$B$59,0)</f>
        <v/>
      </c>
      <c r="BR111" s="239">
        <f>IF(AND(MOD(68,3)=0,BR110&gt;0),BR110*Assumptions!$B$59,0)</f>
        <v/>
      </c>
      <c r="BS111" s="239">
        <f>IF(AND(MOD(69,3)=0,BS110&gt;0),BS110*Assumptions!$B$59,0)</f>
        <v/>
      </c>
      <c r="BT111" s="239">
        <f>IF(AND(MOD(70,3)=0,BT110&gt;0),BT110*Assumptions!$B$59,0)</f>
        <v/>
      </c>
      <c r="BU111" s="239">
        <f>IF(AND(MOD(71,3)=0,BU110&gt;0),BU110*Assumptions!$B$59,0)</f>
        <v/>
      </c>
      <c r="BV111" s="239">
        <f>IF(AND(MOD(72,3)=0,BV110&gt;0),BV110*Assumptions!$B$59,0)</f>
        <v/>
      </c>
      <c r="BW111" s="239">
        <f>IF(AND(MOD(73,3)=0,BW110&gt;0),BW110*Assumptions!$B$59,0)</f>
        <v/>
      </c>
      <c r="BX111" s="239">
        <f>IF(AND(MOD(74,3)=0,BX110&gt;0),BX110*Assumptions!$B$59,0)</f>
        <v/>
      </c>
      <c r="BY111" s="239">
        <f>IF(AND(MOD(75,3)=0,BY110&gt;0),BY110*Assumptions!$B$59,0)</f>
        <v/>
      </c>
      <c r="BZ111" s="239">
        <f>IF(AND(MOD(76,3)=0,BZ110&gt;0),BZ110*Assumptions!$B$59,0)</f>
        <v/>
      </c>
      <c r="CA111" s="239">
        <f>IF(AND(MOD(77,3)=0,CA110&gt;0),CA110*Assumptions!$B$59,0)</f>
        <v/>
      </c>
      <c r="CB111" s="239">
        <f>IF(AND(MOD(78,3)=0,CB110&gt;0),CB110*Assumptions!$B$59,0)</f>
        <v/>
      </c>
      <c r="CC111" s="239">
        <f>IF(AND(MOD(79,3)=0,CC110&gt;0),CC110*Assumptions!$B$59,0)</f>
        <v/>
      </c>
      <c r="CD111" s="239">
        <f>IF(AND(MOD(80,3)=0,CD110&gt;0),CD110*Assumptions!$B$59,0)</f>
        <v/>
      </c>
      <c r="CE111" s="239">
        <f>IF(AND(MOD(81,3)=0,CE110&gt;0),CE110*Assumptions!$B$59,0)</f>
        <v/>
      </c>
      <c r="CF111" s="239">
        <f>IF(AND(MOD(82,3)=0,CF110&gt;0),CF110*Assumptions!$B$59,0)</f>
        <v/>
      </c>
      <c r="CG111" s="239">
        <f>IF(AND(MOD(83,3)=0,CG110&gt;0),CG110*Assumptions!$B$59,0)</f>
        <v/>
      </c>
      <c r="CH111" s="239">
        <f>IF(AND(MOD(84,3)=0,CH110&gt;0),CH110*Assumptions!$B$59,0)</f>
        <v/>
      </c>
      <c r="CI111" s="226" t="n"/>
    </row>
    <row r="112" ht="15" customHeight="1" s="202">
      <c r="A112" s="210" t="inlineStr">
        <is>
          <t>Klump - Deal Distribution</t>
        </is>
      </c>
      <c r="B112" s="210" t="n"/>
      <c r="C112" s="239" t="n">
        <v>0</v>
      </c>
      <c r="D112" s="239" t="n">
        <v>0</v>
      </c>
      <c r="E112" s="239" t="n">
        <v>0</v>
      </c>
      <c r="F112" s="239" t="n">
        <v>0</v>
      </c>
      <c r="G112" s="239" t="n">
        <v>0</v>
      </c>
      <c r="H112" s="239" t="n">
        <v>0</v>
      </c>
      <c r="I112" s="239" t="n">
        <v>0</v>
      </c>
      <c r="J112" s="239" t="n">
        <v>0</v>
      </c>
      <c r="K112" s="239" t="n">
        <v>0</v>
      </c>
      <c r="L112" s="239" t="n">
        <v>0</v>
      </c>
      <c r="M112" s="239" t="n">
        <v>0</v>
      </c>
      <c r="N112" s="239" t="n">
        <v>0</v>
      </c>
      <c r="O112" s="239" t="n">
        <v>0</v>
      </c>
      <c r="P112" s="239" t="n">
        <v>0</v>
      </c>
      <c r="Q112" s="239" t="n">
        <v>0</v>
      </c>
      <c r="R112" s="239" t="n">
        <v>0</v>
      </c>
      <c r="S112" s="239" t="n">
        <v>0</v>
      </c>
      <c r="T112" s="239" t="n">
        <v>0</v>
      </c>
      <c r="U112" s="239" t="n">
        <v>0</v>
      </c>
      <c r="V112" s="239" t="n">
        <v>0</v>
      </c>
      <c r="W112" s="239" t="n">
        <v>0</v>
      </c>
      <c r="X112" s="239" t="n">
        <v>0</v>
      </c>
      <c r="Y112" s="239" t="n">
        <v>0</v>
      </c>
      <c r="Z112" s="239" t="n">
        <v>0</v>
      </c>
      <c r="AA112" s="239" t="n">
        <v>0</v>
      </c>
      <c r="AB112" s="239" t="n">
        <v>0</v>
      </c>
      <c r="AC112" s="239" t="n">
        <v>0</v>
      </c>
      <c r="AD112" s="239" t="n">
        <v>0</v>
      </c>
      <c r="AE112" s="239" t="n">
        <v>0</v>
      </c>
      <c r="AF112" s="239" t="n">
        <v>0</v>
      </c>
      <c r="AG112" s="239" t="n">
        <v>0</v>
      </c>
      <c r="AH112" s="239" t="n">
        <v>0</v>
      </c>
      <c r="AI112" s="239" t="n">
        <v>0</v>
      </c>
      <c r="AJ112" s="239" t="n">
        <v>0</v>
      </c>
      <c r="AK112" s="239" t="n">
        <v>0</v>
      </c>
      <c r="AL112" s="239" t="n">
        <v>0</v>
      </c>
      <c r="AM112" s="239" t="n">
        <v>0</v>
      </c>
      <c r="AN112" s="239" t="n">
        <v>0</v>
      </c>
      <c r="AO112" s="239" t="n">
        <v>0</v>
      </c>
      <c r="AP112" s="239" t="n">
        <v>0</v>
      </c>
      <c r="AQ112" s="239" t="n">
        <v>0</v>
      </c>
      <c r="AR112" s="239" t="n">
        <v>0</v>
      </c>
      <c r="AS112" s="239" t="n">
        <v>0</v>
      </c>
      <c r="AT112" s="239" t="n">
        <v>0</v>
      </c>
      <c r="AU112" s="239" t="n">
        <v>0</v>
      </c>
      <c r="AV112" s="239" t="n">
        <v>0</v>
      </c>
      <c r="AW112" s="239" t="n">
        <v>0</v>
      </c>
      <c r="AX112" s="239" t="n">
        <v>0</v>
      </c>
      <c r="AY112" s="239" t="n">
        <v>0</v>
      </c>
      <c r="AZ112" s="239" t="n">
        <v>0</v>
      </c>
      <c r="BA112" s="239" t="n">
        <v>0</v>
      </c>
      <c r="BB112" s="239" t="n">
        <v>0</v>
      </c>
      <c r="BC112" s="239" t="n">
        <v>0</v>
      </c>
      <c r="BD112" s="239" t="n">
        <v>0</v>
      </c>
      <c r="BE112" s="239" t="n">
        <v>0</v>
      </c>
      <c r="BF112" s="239" t="n">
        <v>0</v>
      </c>
      <c r="BG112" s="239" t="n">
        <v>0</v>
      </c>
      <c r="BH112" s="239" t="n">
        <v>0</v>
      </c>
      <c r="BI112" s="239" t="n">
        <v>0</v>
      </c>
      <c r="BJ112" s="239" t="n">
        <v>0</v>
      </c>
      <c r="BK112" s="239" t="n">
        <v>0</v>
      </c>
      <c r="BL112" s="239" t="n">
        <v>0</v>
      </c>
      <c r="BM112" s="239" t="n">
        <v>0</v>
      </c>
      <c r="BN112" s="239" t="n">
        <v>0</v>
      </c>
      <c r="BO112" s="239" t="n">
        <v>0</v>
      </c>
      <c r="BP112" s="239" t="n">
        <v>0</v>
      </c>
      <c r="BQ112" s="239" t="n">
        <v>0</v>
      </c>
      <c r="BR112" s="239" t="n">
        <v>0</v>
      </c>
      <c r="BS112" s="239" t="n">
        <v>0</v>
      </c>
      <c r="BT112" s="239" t="n">
        <v>0</v>
      </c>
      <c r="BU112" s="239" t="n">
        <v>0</v>
      </c>
      <c r="BV112" s="239" t="n">
        <v>0</v>
      </c>
      <c r="BW112" s="239" t="n">
        <v>0</v>
      </c>
      <c r="BX112" s="239" t="n">
        <v>0</v>
      </c>
      <c r="BY112" s="239" t="n">
        <v>0</v>
      </c>
      <c r="BZ112" s="239" t="n">
        <v>0</v>
      </c>
      <c r="CA112" s="239" t="n">
        <v>0</v>
      </c>
      <c r="CB112" s="239" t="n">
        <v>0</v>
      </c>
      <c r="CC112" s="239" t="n">
        <v>0</v>
      </c>
      <c r="CD112" s="239" t="n">
        <v>0</v>
      </c>
      <c r="CE112" s="239" t="n">
        <v>0</v>
      </c>
      <c r="CF112" s="239" t="n">
        <v>0</v>
      </c>
      <c r="CG112" s="239" t="n">
        <v>0</v>
      </c>
      <c r="CH112" s="239" t="n">
        <v>0</v>
      </c>
      <c r="CI112" s="226" t="n"/>
    </row>
    <row r="113" ht="15" customHeight="1" s="202">
      <c r="A113" s="240" t="inlineStr">
        <is>
          <t>Klump - PIK Payment (LIHTC)</t>
        </is>
      </c>
      <c r="B113" s="240" t="n"/>
      <c r="C113" s="241" t="n">
        <v>0</v>
      </c>
      <c r="D113" s="241" t="n">
        <v>0</v>
      </c>
      <c r="E113" s="241" t="n">
        <v>0</v>
      </c>
      <c r="F113" s="241" t="n">
        <v>0</v>
      </c>
      <c r="G113" s="241" t="n">
        <v>0</v>
      </c>
      <c r="H113" s="241" t="n">
        <v>0</v>
      </c>
      <c r="I113" s="241" t="n">
        <v>0</v>
      </c>
      <c r="J113" s="241" t="n">
        <v>0</v>
      </c>
      <c r="K113" s="241" t="n">
        <v>0</v>
      </c>
      <c r="L113" s="241" t="n">
        <v>0</v>
      </c>
      <c r="M113" s="241" t="n">
        <v>0</v>
      </c>
      <c r="N113" s="241" t="n">
        <v>0</v>
      </c>
      <c r="O113" s="241" t="n">
        <v>0</v>
      </c>
      <c r="P113" s="241" t="n">
        <v>0</v>
      </c>
      <c r="Q113" s="241" t="n">
        <v>0</v>
      </c>
      <c r="R113" s="241" t="n">
        <v>0</v>
      </c>
      <c r="S113" s="241" t="n">
        <v>0</v>
      </c>
      <c r="T113" s="241" t="n">
        <v>0</v>
      </c>
      <c r="U113" s="241" t="n">
        <v>0</v>
      </c>
      <c r="V113" s="241" t="n">
        <v>0</v>
      </c>
      <c r="W113" s="241" t="n">
        <v>0</v>
      </c>
      <c r="X113" s="241" t="n">
        <v>0</v>
      </c>
      <c r="Y113" s="241" t="n">
        <v>0</v>
      </c>
      <c r="Z113" s="241" t="n">
        <v>0</v>
      </c>
      <c r="AA113" s="241" t="n">
        <v>0</v>
      </c>
      <c r="AB113" s="241" t="n">
        <v>0</v>
      </c>
      <c r="AC113" s="241" t="n">
        <v>0</v>
      </c>
      <c r="AD113" s="241" t="n">
        <v>0</v>
      </c>
      <c r="AE113" s="241" t="n">
        <v>0</v>
      </c>
      <c r="AF113" s="241" t="n">
        <v>0</v>
      </c>
      <c r="AG113" s="241" t="n">
        <v>0</v>
      </c>
      <c r="AH113" s="241" t="n">
        <v>0</v>
      </c>
      <c r="AI113" s="241" t="n">
        <v>0</v>
      </c>
      <c r="AJ113" s="241" t="n">
        <v>0</v>
      </c>
      <c r="AK113" s="241" t="n">
        <v>0</v>
      </c>
      <c r="AL113" s="241" t="n">
        <v>0</v>
      </c>
      <c r="AM113" s="241" t="n">
        <v>0</v>
      </c>
      <c r="AN113" s="241" t="n">
        <v>0</v>
      </c>
      <c r="AO113" s="241" t="n">
        <v>0</v>
      </c>
      <c r="AP113" s="241" t="n">
        <v>0</v>
      </c>
      <c r="AQ113" s="241" t="n">
        <v>0</v>
      </c>
      <c r="AR113" s="241" t="n">
        <v>0</v>
      </c>
      <c r="AS113" s="241" t="n">
        <v>0</v>
      </c>
      <c r="AT113" s="241" t="n">
        <v>0</v>
      </c>
      <c r="AU113" s="241" t="n">
        <v>0</v>
      </c>
      <c r="AV113" s="241" t="n">
        <v>0</v>
      </c>
      <c r="AW113" s="241" t="n">
        <v>0</v>
      </c>
      <c r="AX113" s="241" t="n">
        <v>0</v>
      </c>
      <c r="AY113" s="241" t="n">
        <v>0</v>
      </c>
      <c r="AZ113" s="241" t="n">
        <v>0</v>
      </c>
      <c r="BA113" s="241" t="n">
        <v>0</v>
      </c>
      <c r="BB113" s="241" t="n">
        <v>0</v>
      </c>
      <c r="BC113" s="241" t="n">
        <v>0</v>
      </c>
      <c r="BD113" s="241" t="n">
        <v>0</v>
      </c>
      <c r="BE113" s="241" t="n">
        <v>0</v>
      </c>
      <c r="BF113" s="241" t="n">
        <v>0</v>
      </c>
      <c r="BG113" s="241" t="n">
        <v>0</v>
      </c>
      <c r="BH113" s="241" t="n">
        <v>0</v>
      </c>
      <c r="BI113" s="241" t="n">
        <v>0</v>
      </c>
      <c r="BJ113" s="241" t="n">
        <v>0</v>
      </c>
      <c r="BK113" s="241" t="n">
        <v>0</v>
      </c>
      <c r="BL113" s="241" t="n">
        <v>0</v>
      </c>
      <c r="BM113" s="241" t="n">
        <v>0</v>
      </c>
      <c r="BN113" s="241" t="n">
        <v>0</v>
      </c>
      <c r="BO113" s="241" t="n">
        <v>0</v>
      </c>
      <c r="BP113" s="241" t="n">
        <v>0</v>
      </c>
      <c r="BQ113" s="241" t="n">
        <v>0</v>
      </c>
      <c r="BR113" s="241" t="n">
        <v>0</v>
      </c>
      <c r="BS113" s="241" t="n">
        <v>0</v>
      </c>
      <c r="BT113" s="241" t="n">
        <v>0</v>
      </c>
      <c r="BU113" s="241" t="n">
        <v>0</v>
      </c>
      <c r="BV113" s="241" t="n">
        <v>0</v>
      </c>
      <c r="BW113" s="241" t="n">
        <v>0</v>
      </c>
      <c r="BX113" s="241" t="n">
        <v>0</v>
      </c>
      <c r="BY113" s="241" t="n">
        <v>0</v>
      </c>
      <c r="BZ113" s="241" t="n">
        <v>0</v>
      </c>
      <c r="CA113" s="241" t="n">
        <v>0</v>
      </c>
      <c r="CB113" s="241" t="n">
        <v>0</v>
      </c>
      <c r="CC113" s="241" t="n">
        <v>0</v>
      </c>
      <c r="CD113" s="241" t="n">
        <v>0</v>
      </c>
      <c r="CE113" s="241" t="n">
        <v>0</v>
      </c>
      <c r="CF113" s="241" t="n">
        <v>0</v>
      </c>
      <c r="CG113" s="241" t="n">
        <v>0</v>
      </c>
      <c r="CH113" s="241" t="n">
        <v>0</v>
      </c>
      <c r="CI113" s="226" t="n"/>
    </row>
    <row r="114" ht="15" customHeight="1" s="202">
      <c r="A114" s="242" t="inlineStr">
        <is>
          <t>Klump - Ending Balance</t>
        </is>
      </c>
      <c r="B114" s="243" t="n"/>
      <c r="C114" s="244">
        <f>MAX(0,C110+C111+C112+C113)</f>
        <v/>
      </c>
      <c r="D114" s="244">
        <f>MAX(0,D110+D111+D112+D113)</f>
        <v/>
      </c>
      <c r="E114" s="244">
        <f>MAX(0,E110+E111+E112+E113)</f>
        <v/>
      </c>
      <c r="F114" s="244">
        <f>MAX(0,F110+F111+F112+F113)</f>
        <v/>
      </c>
      <c r="G114" s="244">
        <f>MAX(0,G110+G111+G112+G113)</f>
        <v/>
      </c>
      <c r="H114" s="244">
        <f>MAX(0,H110+H111+H112+H113)</f>
        <v/>
      </c>
      <c r="I114" s="244">
        <f>MAX(0,I110+I111+I112+I113)</f>
        <v/>
      </c>
      <c r="J114" s="244">
        <f>MAX(0,J110+J111+J112+J113)</f>
        <v/>
      </c>
      <c r="K114" s="244">
        <f>MAX(0,K110+K111+K112+K113)</f>
        <v/>
      </c>
      <c r="L114" s="244">
        <f>MAX(0,L110+L111+L112+L113)</f>
        <v/>
      </c>
      <c r="M114" s="244">
        <f>MAX(0,M110+M111+M112+M113)</f>
        <v/>
      </c>
      <c r="N114" s="244">
        <f>MAX(0,N110+N111+N112+N113)</f>
        <v/>
      </c>
      <c r="O114" s="244">
        <f>MAX(0,O110+O111+O112+O113)</f>
        <v/>
      </c>
      <c r="P114" s="244">
        <f>MAX(0,P110+P111+P112+P113)</f>
        <v/>
      </c>
      <c r="Q114" s="244">
        <f>MAX(0,Q110+Q111+Q112+Q113)</f>
        <v/>
      </c>
      <c r="R114" s="244">
        <f>MAX(0,R110+R111+R112+R113)</f>
        <v/>
      </c>
      <c r="S114" s="244">
        <f>MAX(0,S110+S111+S112+S113)</f>
        <v/>
      </c>
      <c r="T114" s="244">
        <f>MAX(0,T110+T111+T112+T113)</f>
        <v/>
      </c>
      <c r="U114" s="244">
        <f>MAX(0,U110+U111+U112+U113)</f>
        <v/>
      </c>
      <c r="V114" s="244">
        <f>MAX(0,V110+V111+V112+V113)</f>
        <v/>
      </c>
      <c r="W114" s="244">
        <f>MAX(0,W110+W111+W112+W113)</f>
        <v/>
      </c>
      <c r="X114" s="244">
        <f>MAX(0,X110+X111+X112+X113)</f>
        <v/>
      </c>
      <c r="Y114" s="244">
        <f>MAX(0,Y110+Y111+Y112+Y113)</f>
        <v/>
      </c>
      <c r="Z114" s="244">
        <f>MAX(0,Z110+Z111+Z112+Z113)</f>
        <v/>
      </c>
      <c r="AA114" s="244">
        <f>MAX(0,AA110+AA111+AA112+AA113)</f>
        <v/>
      </c>
      <c r="AB114" s="244">
        <f>MAX(0,AB110+AB111+AB112+AB113)</f>
        <v/>
      </c>
      <c r="AC114" s="244">
        <f>MAX(0,AC110+AC111+AC112+AC113)</f>
        <v/>
      </c>
      <c r="AD114" s="244">
        <f>MAX(0,AD110+AD111+AD112+AD113)</f>
        <v/>
      </c>
      <c r="AE114" s="244">
        <f>MAX(0,AE110+AE111+AE112+AE113)</f>
        <v/>
      </c>
      <c r="AF114" s="244">
        <f>MAX(0,AF110+AF111+AF112+AF113)</f>
        <v/>
      </c>
      <c r="AG114" s="244">
        <f>MAX(0,AG110+AG111+AG112+AG113)</f>
        <v/>
      </c>
      <c r="AH114" s="244">
        <f>MAX(0,AH110+AH111+AH112+AH113)</f>
        <v/>
      </c>
      <c r="AI114" s="244">
        <f>MAX(0,AI110+AI111+AI112+AI113)</f>
        <v/>
      </c>
      <c r="AJ114" s="244">
        <f>MAX(0,AJ110+AJ111+AJ112+AJ113)</f>
        <v/>
      </c>
      <c r="AK114" s="244">
        <f>MAX(0,AK110+AK111+AK112+AK113)</f>
        <v/>
      </c>
      <c r="AL114" s="244">
        <f>MAX(0,AL110+AL111+AL112+AL113)</f>
        <v/>
      </c>
      <c r="AM114" s="244">
        <f>MAX(0,AM110+AM111+AM112+AM113)</f>
        <v/>
      </c>
      <c r="AN114" s="244">
        <f>MAX(0,AN110+AN111+AN112+AN113)</f>
        <v/>
      </c>
      <c r="AO114" s="244">
        <f>MAX(0,AO110+AO111+AO112+AO113)</f>
        <v/>
      </c>
      <c r="AP114" s="244">
        <f>MAX(0,AP110+AP111+AP112+AP113)</f>
        <v/>
      </c>
      <c r="AQ114" s="244">
        <f>MAX(0,AQ110+AQ111+AQ112+AQ113)</f>
        <v/>
      </c>
      <c r="AR114" s="244">
        <f>MAX(0,AR110+AR111+AR112+AR113)</f>
        <v/>
      </c>
      <c r="AS114" s="244">
        <f>MAX(0,AS110+AS111+AS112+AS113)</f>
        <v/>
      </c>
      <c r="AT114" s="244">
        <f>MAX(0,AT110+AT111+AT112+AT113)</f>
        <v/>
      </c>
      <c r="AU114" s="244">
        <f>MAX(0,AU110+AU111+AU112+AU113)</f>
        <v/>
      </c>
      <c r="AV114" s="244">
        <f>MAX(0,AV110+AV111+AV112+AV113)</f>
        <v/>
      </c>
      <c r="AW114" s="244">
        <f>MAX(0,AW110+AW111+AW112+AW113)</f>
        <v/>
      </c>
      <c r="AX114" s="244">
        <f>MAX(0,AX110+AX111+AX112+AX113)</f>
        <v/>
      </c>
      <c r="AY114" s="244">
        <f>MAX(0,AY110+AY111+AY112+AY113)</f>
        <v/>
      </c>
      <c r="AZ114" s="244">
        <f>MAX(0,AZ110+AZ111+AZ112+AZ113)</f>
        <v/>
      </c>
      <c r="BA114" s="244">
        <f>MAX(0,BA110+BA111+BA112+BA113)</f>
        <v/>
      </c>
      <c r="BB114" s="244">
        <f>MAX(0,BB110+BB111+BB112+BB113)</f>
        <v/>
      </c>
      <c r="BC114" s="244">
        <f>MAX(0,BC110+BC111+BC112+BC113)</f>
        <v/>
      </c>
      <c r="BD114" s="244">
        <f>MAX(0,BD110+BD111+BD112+BD113)</f>
        <v/>
      </c>
      <c r="BE114" s="244">
        <f>MAX(0,BE110+BE111+BE112+BE113)</f>
        <v/>
      </c>
      <c r="BF114" s="244">
        <f>MAX(0,BF110+BF111+BF112+BF113)</f>
        <v/>
      </c>
      <c r="BG114" s="244">
        <f>MAX(0,BG110+BG111+BG112+BG113)</f>
        <v/>
      </c>
      <c r="BH114" s="244">
        <f>MAX(0,BH110+BH111+BH112+BH113)</f>
        <v/>
      </c>
      <c r="BI114" s="244">
        <f>MAX(0,BI110+BI111+BI112+BI113)</f>
        <v/>
      </c>
      <c r="BJ114" s="244">
        <f>MAX(0,BJ110+BJ111+BJ112+BJ113)</f>
        <v/>
      </c>
      <c r="BK114" s="244">
        <f>MAX(0,BK110+BK111+BK112+BK113)</f>
        <v/>
      </c>
      <c r="BL114" s="244">
        <f>MAX(0,BL110+BL111+BL112+BL113)</f>
        <v/>
      </c>
      <c r="BM114" s="244">
        <f>MAX(0,BM110+BM111+BM112+BM113)</f>
        <v/>
      </c>
      <c r="BN114" s="244">
        <f>MAX(0,BN110+BN111+BN112+BN113)</f>
        <v/>
      </c>
      <c r="BO114" s="244">
        <f>MAX(0,BO110+BO111+BO112+BO113)</f>
        <v/>
      </c>
      <c r="BP114" s="244">
        <f>MAX(0,BP110+BP111+BP112+BP113)</f>
        <v/>
      </c>
      <c r="BQ114" s="244">
        <f>MAX(0,BQ110+BQ111+BQ112+BQ113)</f>
        <v/>
      </c>
      <c r="BR114" s="244">
        <f>MAX(0,BR110+BR111+BR112+BR113)</f>
        <v/>
      </c>
      <c r="BS114" s="244">
        <f>MAX(0,BS110+BS111+BS112+BS113)</f>
        <v/>
      </c>
      <c r="BT114" s="244">
        <f>MAX(0,BT110+BT111+BT112+BT113)</f>
        <v/>
      </c>
      <c r="BU114" s="244">
        <f>MAX(0,BU110+BU111+BU112+BU113)</f>
        <v/>
      </c>
      <c r="BV114" s="244">
        <f>MAX(0,BV110+BV111+BV112+BV113)</f>
        <v/>
      </c>
      <c r="BW114" s="244">
        <f>MAX(0,BW110+BW111+BW112+BW113)</f>
        <v/>
      </c>
      <c r="BX114" s="244">
        <f>MAX(0,BX110+BX111+BX112+BX113)</f>
        <v/>
      </c>
      <c r="BY114" s="244">
        <f>MAX(0,BY110+BY111+BY112+BY113)</f>
        <v/>
      </c>
      <c r="BZ114" s="244">
        <f>MAX(0,BZ110+BZ111+BZ112+BZ113)</f>
        <v/>
      </c>
      <c r="CA114" s="244">
        <f>MAX(0,CA110+CA111+CA112+CA113)</f>
        <v/>
      </c>
      <c r="CB114" s="244">
        <f>MAX(0,CB110+CB111+CB112+CB113)</f>
        <v/>
      </c>
      <c r="CC114" s="244">
        <f>MAX(0,CC110+CC111+CC112+CC113)</f>
        <v/>
      </c>
      <c r="CD114" s="244">
        <f>MAX(0,CD110+CD111+CD112+CD113)</f>
        <v/>
      </c>
      <c r="CE114" s="244">
        <f>MAX(0,CE110+CE111+CE112+CE113)</f>
        <v/>
      </c>
      <c r="CF114" s="244">
        <f>MAX(0,CF110+CF111+CF112+CF113)</f>
        <v/>
      </c>
      <c r="CG114" s="244">
        <f>MAX(0,CG110+CG111+CG112+CG113)</f>
        <v/>
      </c>
      <c r="CH114" s="244">
        <f>MAX(0,CH110+CH111+CH112+CH113)</f>
        <v/>
      </c>
      <c r="CI114" s="226" t="n"/>
    </row>
    <row r="115" ht="15" customHeight="1" s="202">
      <c r="A115" s="210" t="inlineStr">
        <is>
          <t>Scott - Beginning Balance</t>
        </is>
      </c>
      <c r="B115" s="210" t="n"/>
      <c r="C115" s="239">
        <f>IF(AND(Projects!$G$12="Yes",Projects!$C$12&lt;=1),Assumptions!$B$61,0)</f>
        <v/>
      </c>
      <c r="D115" s="239">
        <f>IF(AND(Projects!$G$12="Yes",2=Projects!$C$12),Assumptions!$B$61,C119)</f>
        <v/>
      </c>
      <c r="E115" s="239">
        <f>IF(AND(Projects!$G$12="Yes",3=Projects!$C$12),Assumptions!$B$61,D119)</f>
        <v/>
      </c>
      <c r="F115" s="239">
        <f>IF(AND(Projects!$G$12="Yes",4=Projects!$C$12),Assumptions!$B$61,E119)</f>
        <v/>
      </c>
      <c r="G115" s="239">
        <f>IF(AND(Projects!$G$12="Yes",5=Projects!$C$12),Assumptions!$B$61,F119)</f>
        <v/>
      </c>
      <c r="H115" s="239">
        <f>IF(AND(Projects!$G$12="Yes",6=Projects!$C$12),Assumptions!$B$61,G119)</f>
        <v/>
      </c>
      <c r="I115" s="239">
        <f>IF(AND(Projects!$G$12="Yes",7=Projects!$C$12),Assumptions!$B$61,H119)</f>
        <v/>
      </c>
      <c r="J115" s="239">
        <f>IF(AND(Projects!$G$12="Yes",8=Projects!$C$12),Assumptions!$B$61,I119)</f>
        <v/>
      </c>
      <c r="K115" s="239">
        <f>IF(AND(Projects!$G$12="Yes",9=Projects!$C$12),Assumptions!$B$61,J119)</f>
        <v/>
      </c>
      <c r="L115" s="239">
        <f>IF(AND(Projects!$G$12="Yes",10=Projects!$C$12),Assumptions!$B$61,K119)</f>
        <v/>
      </c>
      <c r="M115" s="239">
        <f>IF(AND(Projects!$G$12="Yes",11=Projects!$C$12),Assumptions!$B$61,L119)</f>
        <v/>
      </c>
      <c r="N115" s="239">
        <f>IF(AND(Projects!$G$12="Yes",12=Projects!$C$12),Assumptions!$B$61,M119)</f>
        <v/>
      </c>
      <c r="O115" s="239">
        <f>IF(AND(Projects!$G$12="Yes",13=Projects!$C$12),Assumptions!$B$61,N119)</f>
        <v/>
      </c>
      <c r="P115" s="239">
        <f>IF(AND(Projects!$G$12="Yes",14=Projects!$C$12),Assumptions!$B$61,O119)</f>
        <v/>
      </c>
      <c r="Q115" s="239">
        <f>IF(AND(Projects!$G$12="Yes",15=Projects!$C$12),Assumptions!$B$61,P119)</f>
        <v/>
      </c>
      <c r="R115" s="239">
        <f>IF(AND(Projects!$G$12="Yes",16=Projects!$C$12),Assumptions!$B$61,Q119)</f>
        <v/>
      </c>
      <c r="S115" s="239">
        <f>IF(AND(Projects!$G$12="Yes",17=Projects!$C$12),Assumptions!$B$61,R119)</f>
        <v/>
      </c>
      <c r="T115" s="239">
        <f>IF(AND(Projects!$G$12="Yes",18=Projects!$C$12),Assumptions!$B$61,S119)</f>
        <v/>
      </c>
      <c r="U115" s="239">
        <f>IF(AND(Projects!$G$12="Yes",19=Projects!$C$12),Assumptions!$B$61,T119)</f>
        <v/>
      </c>
      <c r="V115" s="239">
        <f>IF(AND(Projects!$G$12="Yes",20=Projects!$C$12),Assumptions!$B$61,U119)</f>
        <v/>
      </c>
      <c r="W115" s="239">
        <f>IF(AND(Projects!$G$12="Yes",21=Projects!$C$12),Assumptions!$B$61,V119)</f>
        <v/>
      </c>
      <c r="X115" s="239">
        <f>IF(AND(Projects!$G$12="Yes",22=Projects!$C$12),Assumptions!$B$61,W119)</f>
        <v/>
      </c>
      <c r="Y115" s="239">
        <f>IF(AND(Projects!$G$12="Yes",23=Projects!$C$12),Assumptions!$B$61,X119)</f>
        <v/>
      </c>
      <c r="Z115" s="239">
        <f>IF(AND(Projects!$G$12="Yes",24=Projects!$C$12),Assumptions!$B$61,Y119)</f>
        <v/>
      </c>
      <c r="AA115" s="239">
        <f>IF(AND(Projects!$G$12="Yes",25=Projects!$C$12),Assumptions!$B$61,Z119)</f>
        <v/>
      </c>
      <c r="AB115" s="239">
        <f>IF(AND(Projects!$G$12="Yes",26=Projects!$C$12),Assumptions!$B$61,AA119)</f>
        <v/>
      </c>
      <c r="AC115" s="239">
        <f>IF(AND(Projects!$G$12="Yes",27=Projects!$C$12),Assumptions!$B$61,AB119)</f>
        <v/>
      </c>
      <c r="AD115" s="239">
        <f>IF(AND(Projects!$G$12="Yes",28=Projects!$C$12),Assumptions!$B$61,AC119)</f>
        <v/>
      </c>
      <c r="AE115" s="239">
        <f>IF(AND(Projects!$G$12="Yes",29=Projects!$C$12),Assumptions!$B$61,AD119)</f>
        <v/>
      </c>
      <c r="AF115" s="239">
        <f>IF(AND(Projects!$G$12="Yes",30=Projects!$C$12),Assumptions!$B$61,AE119)</f>
        <v/>
      </c>
      <c r="AG115" s="239">
        <f>IF(AND(Projects!$G$12="Yes",31=Projects!$C$12),Assumptions!$B$61,AF119)</f>
        <v/>
      </c>
      <c r="AH115" s="239">
        <f>IF(AND(Projects!$G$12="Yes",32=Projects!$C$12),Assumptions!$B$61,AG119)</f>
        <v/>
      </c>
      <c r="AI115" s="239">
        <f>IF(AND(Projects!$G$12="Yes",33=Projects!$C$12),Assumptions!$B$61,AH119)</f>
        <v/>
      </c>
      <c r="AJ115" s="239">
        <f>IF(AND(Projects!$G$12="Yes",34=Projects!$C$12),Assumptions!$B$61,AI119)</f>
        <v/>
      </c>
      <c r="AK115" s="239">
        <f>IF(AND(Projects!$G$12="Yes",35=Projects!$C$12),Assumptions!$B$61,AJ119)</f>
        <v/>
      </c>
      <c r="AL115" s="239">
        <f>IF(AND(Projects!$G$12="Yes",36=Projects!$C$12),Assumptions!$B$61,AK119)</f>
        <v/>
      </c>
      <c r="AM115" s="239">
        <f>IF(AND(Projects!$G$12="Yes",37=Projects!$C$12),Assumptions!$B$61,AL119)</f>
        <v/>
      </c>
      <c r="AN115" s="239">
        <f>IF(AND(Projects!$G$12="Yes",38=Projects!$C$12),Assumptions!$B$61,AM119)</f>
        <v/>
      </c>
      <c r="AO115" s="239">
        <f>IF(AND(Projects!$G$12="Yes",39=Projects!$C$12),Assumptions!$B$61,AN119)</f>
        <v/>
      </c>
      <c r="AP115" s="239">
        <f>IF(AND(Projects!$G$12="Yes",40=Projects!$C$12),Assumptions!$B$61,AO119)</f>
        <v/>
      </c>
      <c r="AQ115" s="239">
        <f>IF(AND(Projects!$G$12="Yes",41=Projects!$C$12),Assumptions!$B$61,AP119)</f>
        <v/>
      </c>
      <c r="AR115" s="239">
        <f>IF(AND(Projects!$G$12="Yes",42=Projects!$C$12),Assumptions!$B$61,AQ119)</f>
        <v/>
      </c>
      <c r="AS115" s="239">
        <f>IF(AND(Projects!$G$12="Yes",43=Projects!$C$12),Assumptions!$B$61,AR119)</f>
        <v/>
      </c>
      <c r="AT115" s="239">
        <f>IF(AND(Projects!$G$12="Yes",44=Projects!$C$12),Assumptions!$B$61,AS119)</f>
        <v/>
      </c>
      <c r="AU115" s="239">
        <f>IF(AND(Projects!$G$12="Yes",45=Projects!$C$12),Assumptions!$B$61,AT119)</f>
        <v/>
      </c>
      <c r="AV115" s="239">
        <f>IF(AND(Projects!$G$12="Yes",46=Projects!$C$12),Assumptions!$B$61,AU119)</f>
        <v/>
      </c>
      <c r="AW115" s="239">
        <f>IF(AND(Projects!$G$12="Yes",47=Projects!$C$12),Assumptions!$B$61,AV119)</f>
        <v/>
      </c>
      <c r="AX115" s="239">
        <f>IF(AND(Projects!$G$12="Yes",48=Projects!$C$12),Assumptions!$B$61,AW119)</f>
        <v/>
      </c>
      <c r="AY115" s="239">
        <f>IF(AND(Projects!$G$12="Yes",49=Projects!$C$12),Assumptions!$B$61,AX119)</f>
        <v/>
      </c>
      <c r="AZ115" s="239">
        <f>IF(AND(Projects!$G$12="Yes",50=Projects!$C$12),Assumptions!$B$61,AY119)</f>
        <v/>
      </c>
      <c r="BA115" s="239">
        <f>IF(AND(Projects!$G$12="Yes",51=Projects!$C$12),Assumptions!$B$61,AZ119)</f>
        <v/>
      </c>
      <c r="BB115" s="239">
        <f>IF(AND(Projects!$G$12="Yes",52=Projects!$C$12),Assumptions!$B$61,BA119)</f>
        <v/>
      </c>
      <c r="BC115" s="239">
        <f>IF(AND(Projects!$G$12="Yes",53=Projects!$C$12),Assumptions!$B$61,BB119)</f>
        <v/>
      </c>
      <c r="BD115" s="239">
        <f>IF(AND(Projects!$G$12="Yes",54=Projects!$C$12),Assumptions!$B$61,BC119)</f>
        <v/>
      </c>
      <c r="BE115" s="239">
        <f>IF(AND(Projects!$G$12="Yes",55=Projects!$C$12),Assumptions!$B$61,BD119)</f>
        <v/>
      </c>
      <c r="BF115" s="239">
        <f>IF(AND(Projects!$G$12="Yes",56=Projects!$C$12),Assumptions!$B$61,BE119)</f>
        <v/>
      </c>
      <c r="BG115" s="239">
        <f>IF(AND(Projects!$G$12="Yes",57=Projects!$C$12),Assumptions!$B$61,BF119)</f>
        <v/>
      </c>
      <c r="BH115" s="239">
        <f>IF(AND(Projects!$G$12="Yes",58=Projects!$C$12),Assumptions!$B$61,BG119)</f>
        <v/>
      </c>
      <c r="BI115" s="239">
        <f>IF(AND(Projects!$G$12="Yes",59=Projects!$C$12),Assumptions!$B$61,BH119)</f>
        <v/>
      </c>
      <c r="BJ115" s="239">
        <f>IF(AND(Projects!$G$12="Yes",60=Projects!$C$12),Assumptions!$B$61,BI119)</f>
        <v/>
      </c>
      <c r="BK115" s="239">
        <f>IF(AND(Projects!$G$12="Yes",61=Projects!$C$12),Assumptions!$B$61,BJ119)</f>
        <v/>
      </c>
      <c r="BL115" s="239">
        <f>IF(AND(Projects!$G$12="Yes",62=Projects!$C$12),Assumptions!$B$61,BK119)</f>
        <v/>
      </c>
      <c r="BM115" s="239">
        <f>IF(AND(Projects!$G$12="Yes",63=Projects!$C$12),Assumptions!$B$61,BL119)</f>
        <v/>
      </c>
      <c r="BN115" s="239">
        <f>IF(AND(Projects!$G$12="Yes",64=Projects!$C$12),Assumptions!$B$61,BM119)</f>
        <v/>
      </c>
      <c r="BO115" s="239">
        <f>IF(AND(Projects!$G$12="Yes",65=Projects!$C$12),Assumptions!$B$61,BN119)</f>
        <v/>
      </c>
      <c r="BP115" s="239">
        <f>IF(AND(Projects!$G$12="Yes",66=Projects!$C$12),Assumptions!$B$61,BO119)</f>
        <v/>
      </c>
      <c r="BQ115" s="239">
        <f>IF(AND(Projects!$G$12="Yes",67=Projects!$C$12),Assumptions!$B$61,BP119)</f>
        <v/>
      </c>
      <c r="BR115" s="239">
        <f>IF(AND(Projects!$G$12="Yes",68=Projects!$C$12),Assumptions!$B$61,BQ119)</f>
        <v/>
      </c>
      <c r="BS115" s="239">
        <f>IF(AND(Projects!$G$12="Yes",69=Projects!$C$12),Assumptions!$B$61,BR119)</f>
        <v/>
      </c>
      <c r="BT115" s="239">
        <f>IF(AND(Projects!$G$12="Yes",70=Projects!$C$12),Assumptions!$B$61,BS119)</f>
        <v/>
      </c>
      <c r="BU115" s="239">
        <f>IF(AND(Projects!$G$12="Yes",71=Projects!$C$12),Assumptions!$B$61,BT119)</f>
        <v/>
      </c>
      <c r="BV115" s="239">
        <f>IF(AND(Projects!$G$12="Yes",72=Projects!$C$12),Assumptions!$B$61,BU119)</f>
        <v/>
      </c>
      <c r="BW115" s="239">
        <f>IF(AND(Projects!$G$12="Yes",73=Projects!$C$12),Assumptions!$B$61,BV119)</f>
        <v/>
      </c>
      <c r="BX115" s="239">
        <f>IF(AND(Projects!$G$12="Yes",74=Projects!$C$12),Assumptions!$B$61,BW119)</f>
        <v/>
      </c>
      <c r="BY115" s="239">
        <f>IF(AND(Projects!$G$12="Yes",75=Projects!$C$12),Assumptions!$B$61,BX119)</f>
        <v/>
      </c>
      <c r="BZ115" s="239">
        <f>IF(AND(Projects!$G$12="Yes",76=Projects!$C$12),Assumptions!$B$61,BY119)</f>
        <v/>
      </c>
      <c r="CA115" s="239">
        <f>IF(AND(Projects!$G$12="Yes",77=Projects!$C$12),Assumptions!$B$61,BZ119)</f>
        <v/>
      </c>
      <c r="CB115" s="239">
        <f>IF(AND(Projects!$G$12="Yes",78=Projects!$C$12),Assumptions!$B$61,CA119)</f>
        <v/>
      </c>
      <c r="CC115" s="239">
        <f>IF(AND(Projects!$G$12="Yes",79=Projects!$C$12),Assumptions!$B$61,CB119)</f>
        <v/>
      </c>
      <c r="CD115" s="239">
        <f>IF(AND(Projects!$G$12="Yes",80=Projects!$C$12),Assumptions!$B$61,CC119)</f>
        <v/>
      </c>
      <c r="CE115" s="239">
        <f>IF(AND(Projects!$G$12="Yes",81=Projects!$C$12),Assumptions!$B$61,CD119)</f>
        <v/>
      </c>
      <c r="CF115" s="239">
        <f>IF(AND(Projects!$G$12="Yes",82=Projects!$C$12),Assumptions!$B$61,CE119)</f>
        <v/>
      </c>
      <c r="CG115" s="239">
        <f>IF(AND(Projects!$G$12="Yes",83=Projects!$C$12),Assumptions!$B$61,CF119)</f>
        <v/>
      </c>
      <c r="CH115" s="239">
        <f>IF(AND(Projects!$G$12="Yes",84=Projects!$C$12),Assumptions!$B$61,CG119)</f>
        <v/>
      </c>
      <c r="CI115" s="226" t="n"/>
    </row>
    <row r="116" ht="15" customHeight="1" s="202">
      <c r="A116" s="210" t="inlineStr">
        <is>
          <t>Scott - Quarterly Interest</t>
        </is>
      </c>
      <c r="B116" s="210" t="n"/>
      <c r="C116" s="239">
        <f>IF(AND(MOD(1,3)=0,C115&gt;0),C115*Assumptions!$B$59,0)</f>
        <v/>
      </c>
      <c r="D116" s="239">
        <f>IF(AND(MOD(2,3)=0,D115&gt;0),D115*Assumptions!$B$59,0)</f>
        <v/>
      </c>
      <c r="E116" s="239">
        <f>IF(AND(MOD(3,3)=0,E115&gt;0),E115*Assumptions!$B$59,0)</f>
        <v/>
      </c>
      <c r="F116" s="239">
        <f>IF(AND(MOD(4,3)=0,F115&gt;0),F115*Assumptions!$B$59,0)</f>
        <v/>
      </c>
      <c r="G116" s="239">
        <f>IF(AND(MOD(5,3)=0,G115&gt;0),G115*Assumptions!$B$59,0)</f>
        <v/>
      </c>
      <c r="H116" s="239">
        <f>IF(AND(MOD(6,3)=0,H115&gt;0),H115*Assumptions!$B$59,0)</f>
        <v/>
      </c>
      <c r="I116" s="239">
        <f>IF(AND(MOD(7,3)=0,I115&gt;0),I115*Assumptions!$B$59,0)</f>
        <v/>
      </c>
      <c r="J116" s="239">
        <f>IF(AND(MOD(8,3)=0,J115&gt;0),J115*Assumptions!$B$59,0)</f>
        <v/>
      </c>
      <c r="K116" s="239">
        <f>IF(AND(MOD(9,3)=0,K115&gt;0),K115*Assumptions!$B$59,0)</f>
        <v/>
      </c>
      <c r="L116" s="239">
        <f>IF(AND(MOD(10,3)=0,L115&gt;0),L115*Assumptions!$B$59,0)</f>
        <v/>
      </c>
      <c r="M116" s="239">
        <f>IF(AND(MOD(11,3)=0,M115&gt;0),M115*Assumptions!$B$59,0)</f>
        <v/>
      </c>
      <c r="N116" s="239">
        <f>IF(AND(MOD(12,3)=0,N115&gt;0),N115*Assumptions!$B$59,0)</f>
        <v/>
      </c>
      <c r="O116" s="239">
        <f>IF(AND(MOD(13,3)=0,O115&gt;0),O115*Assumptions!$B$59,0)</f>
        <v/>
      </c>
      <c r="P116" s="239">
        <f>IF(AND(MOD(14,3)=0,P115&gt;0),P115*Assumptions!$B$59,0)</f>
        <v/>
      </c>
      <c r="Q116" s="239">
        <f>IF(AND(MOD(15,3)=0,Q115&gt;0),Q115*Assumptions!$B$59,0)</f>
        <v/>
      </c>
      <c r="R116" s="239">
        <f>IF(AND(MOD(16,3)=0,R115&gt;0),R115*Assumptions!$B$59,0)</f>
        <v/>
      </c>
      <c r="S116" s="239">
        <f>IF(AND(MOD(17,3)=0,S115&gt;0),S115*Assumptions!$B$59,0)</f>
        <v/>
      </c>
      <c r="T116" s="239">
        <f>IF(AND(MOD(18,3)=0,T115&gt;0),T115*Assumptions!$B$59,0)</f>
        <v/>
      </c>
      <c r="U116" s="239">
        <f>IF(AND(MOD(19,3)=0,U115&gt;0),U115*Assumptions!$B$59,0)</f>
        <v/>
      </c>
      <c r="V116" s="239">
        <f>IF(AND(MOD(20,3)=0,V115&gt;0),V115*Assumptions!$B$59,0)</f>
        <v/>
      </c>
      <c r="W116" s="239">
        <f>IF(AND(MOD(21,3)=0,W115&gt;0),W115*Assumptions!$B$59,0)</f>
        <v/>
      </c>
      <c r="X116" s="239">
        <f>IF(AND(MOD(22,3)=0,X115&gt;0),X115*Assumptions!$B$59,0)</f>
        <v/>
      </c>
      <c r="Y116" s="239">
        <f>IF(AND(MOD(23,3)=0,Y115&gt;0),Y115*Assumptions!$B$59,0)</f>
        <v/>
      </c>
      <c r="Z116" s="239">
        <f>IF(AND(MOD(24,3)=0,Z115&gt;0),Z115*Assumptions!$B$59,0)</f>
        <v/>
      </c>
      <c r="AA116" s="239">
        <f>IF(AND(MOD(25,3)=0,AA115&gt;0),AA115*Assumptions!$B$59,0)</f>
        <v/>
      </c>
      <c r="AB116" s="239">
        <f>IF(AND(MOD(26,3)=0,AB115&gt;0),AB115*Assumptions!$B$59,0)</f>
        <v/>
      </c>
      <c r="AC116" s="239">
        <f>IF(AND(MOD(27,3)=0,AC115&gt;0),AC115*Assumptions!$B$59,0)</f>
        <v/>
      </c>
      <c r="AD116" s="239">
        <f>IF(AND(MOD(28,3)=0,AD115&gt;0),AD115*Assumptions!$B$59,0)</f>
        <v/>
      </c>
      <c r="AE116" s="239">
        <f>IF(AND(MOD(29,3)=0,AE115&gt;0),AE115*Assumptions!$B$59,0)</f>
        <v/>
      </c>
      <c r="AF116" s="239">
        <f>IF(AND(MOD(30,3)=0,AF115&gt;0),AF115*Assumptions!$B$59,0)</f>
        <v/>
      </c>
      <c r="AG116" s="239">
        <f>IF(AND(MOD(31,3)=0,AG115&gt;0),AG115*Assumptions!$B$59,0)</f>
        <v/>
      </c>
      <c r="AH116" s="239">
        <f>IF(AND(MOD(32,3)=0,AH115&gt;0),AH115*Assumptions!$B$59,0)</f>
        <v/>
      </c>
      <c r="AI116" s="239">
        <f>IF(AND(MOD(33,3)=0,AI115&gt;0),AI115*Assumptions!$B$59,0)</f>
        <v/>
      </c>
      <c r="AJ116" s="239">
        <f>IF(AND(MOD(34,3)=0,AJ115&gt;0),AJ115*Assumptions!$B$59,0)</f>
        <v/>
      </c>
      <c r="AK116" s="239">
        <f>IF(AND(MOD(35,3)=0,AK115&gt;0),AK115*Assumptions!$B$59,0)</f>
        <v/>
      </c>
      <c r="AL116" s="239">
        <f>IF(AND(MOD(36,3)=0,AL115&gt;0),AL115*Assumptions!$B$59,0)</f>
        <v/>
      </c>
      <c r="AM116" s="239">
        <f>IF(AND(MOD(37,3)=0,AM115&gt;0),AM115*Assumptions!$B$59,0)</f>
        <v/>
      </c>
      <c r="AN116" s="239">
        <f>IF(AND(MOD(38,3)=0,AN115&gt;0),AN115*Assumptions!$B$59,0)</f>
        <v/>
      </c>
      <c r="AO116" s="239">
        <f>IF(AND(MOD(39,3)=0,AO115&gt;0),AO115*Assumptions!$B$59,0)</f>
        <v/>
      </c>
      <c r="AP116" s="239">
        <f>IF(AND(MOD(40,3)=0,AP115&gt;0),AP115*Assumptions!$B$59,0)</f>
        <v/>
      </c>
      <c r="AQ116" s="239">
        <f>IF(AND(MOD(41,3)=0,AQ115&gt;0),AQ115*Assumptions!$B$59,0)</f>
        <v/>
      </c>
      <c r="AR116" s="239">
        <f>IF(AND(MOD(42,3)=0,AR115&gt;0),AR115*Assumptions!$B$59,0)</f>
        <v/>
      </c>
      <c r="AS116" s="239">
        <f>IF(AND(MOD(43,3)=0,AS115&gt;0),AS115*Assumptions!$B$59,0)</f>
        <v/>
      </c>
      <c r="AT116" s="239">
        <f>IF(AND(MOD(44,3)=0,AT115&gt;0),AT115*Assumptions!$B$59,0)</f>
        <v/>
      </c>
      <c r="AU116" s="239">
        <f>IF(AND(MOD(45,3)=0,AU115&gt;0),AU115*Assumptions!$B$59,0)</f>
        <v/>
      </c>
      <c r="AV116" s="239">
        <f>IF(AND(MOD(46,3)=0,AV115&gt;0),AV115*Assumptions!$B$59,0)</f>
        <v/>
      </c>
      <c r="AW116" s="239">
        <f>IF(AND(MOD(47,3)=0,AW115&gt;0),AW115*Assumptions!$B$59,0)</f>
        <v/>
      </c>
      <c r="AX116" s="239">
        <f>IF(AND(MOD(48,3)=0,AX115&gt;0),AX115*Assumptions!$B$59,0)</f>
        <v/>
      </c>
      <c r="AY116" s="239">
        <f>IF(AND(MOD(49,3)=0,AY115&gt;0),AY115*Assumptions!$B$59,0)</f>
        <v/>
      </c>
      <c r="AZ116" s="239">
        <f>IF(AND(MOD(50,3)=0,AZ115&gt;0),AZ115*Assumptions!$B$59,0)</f>
        <v/>
      </c>
      <c r="BA116" s="239">
        <f>IF(AND(MOD(51,3)=0,BA115&gt;0),BA115*Assumptions!$B$59,0)</f>
        <v/>
      </c>
      <c r="BB116" s="239">
        <f>IF(AND(MOD(52,3)=0,BB115&gt;0),BB115*Assumptions!$B$59,0)</f>
        <v/>
      </c>
      <c r="BC116" s="239">
        <f>IF(AND(MOD(53,3)=0,BC115&gt;0),BC115*Assumptions!$B$59,0)</f>
        <v/>
      </c>
      <c r="BD116" s="239">
        <f>IF(AND(MOD(54,3)=0,BD115&gt;0),BD115*Assumptions!$B$59,0)</f>
        <v/>
      </c>
      <c r="BE116" s="239">
        <f>IF(AND(MOD(55,3)=0,BE115&gt;0),BE115*Assumptions!$B$59,0)</f>
        <v/>
      </c>
      <c r="BF116" s="239">
        <f>IF(AND(MOD(56,3)=0,BF115&gt;0),BF115*Assumptions!$B$59,0)</f>
        <v/>
      </c>
      <c r="BG116" s="239">
        <f>IF(AND(MOD(57,3)=0,BG115&gt;0),BG115*Assumptions!$B$59,0)</f>
        <v/>
      </c>
      <c r="BH116" s="239">
        <f>IF(AND(MOD(58,3)=0,BH115&gt;0),BH115*Assumptions!$B$59,0)</f>
        <v/>
      </c>
      <c r="BI116" s="239">
        <f>IF(AND(MOD(59,3)=0,BI115&gt;0),BI115*Assumptions!$B$59,0)</f>
        <v/>
      </c>
      <c r="BJ116" s="239">
        <f>IF(AND(MOD(60,3)=0,BJ115&gt;0),BJ115*Assumptions!$B$59,0)</f>
        <v/>
      </c>
      <c r="BK116" s="239">
        <f>IF(AND(MOD(61,3)=0,BK115&gt;0),BK115*Assumptions!$B$59,0)</f>
        <v/>
      </c>
      <c r="BL116" s="239">
        <f>IF(AND(MOD(62,3)=0,BL115&gt;0),BL115*Assumptions!$B$59,0)</f>
        <v/>
      </c>
      <c r="BM116" s="239">
        <f>IF(AND(MOD(63,3)=0,BM115&gt;0),BM115*Assumptions!$B$59,0)</f>
        <v/>
      </c>
      <c r="BN116" s="239">
        <f>IF(AND(MOD(64,3)=0,BN115&gt;0),BN115*Assumptions!$B$59,0)</f>
        <v/>
      </c>
      <c r="BO116" s="239">
        <f>IF(AND(MOD(65,3)=0,BO115&gt;0),BO115*Assumptions!$B$59,0)</f>
        <v/>
      </c>
      <c r="BP116" s="239">
        <f>IF(AND(MOD(66,3)=0,BP115&gt;0),BP115*Assumptions!$B$59,0)</f>
        <v/>
      </c>
      <c r="BQ116" s="239">
        <f>IF(AND(MOD(67,3)=0,BQ115&gt;0),BQ115*Assumptions!$B$59,0)</f>
        <v/>
      </c>
      <c r="BR116" s="239">
        <f>IF(AND(MOD(68,3)=0,BR115&gt;0),BR115*Assumptions!$B$59,0)</f>
        <v/>
      </c>
      <c r="BS116" s="239">
        <f>IF(AND(MOD(69,3)=0,BS115&gt;0),BS115*Assumptions!$B$59,0)</f>
        <v/>
      </c>
      <c r="BT116" s="239">
        <f>IF(AND(MOD(70,3)=0,BT115&gt;0),BT115*Assumptions!$B$59,0)</f>
        <v/>
      </c>
      <c r="BU116" s="239">
        <f>IF(AND(MOD(71,3)=0,BU115&gt;0),BU115*Assumptions!$B$59,0)</f>
        <v/>
      </c>
      <c r="BV116" s="239">
        <f>IF(AND(MOD(72,3)=0,BV115&gt;0),BV115*Assumptions!$B$59,0)</f>
        <v/>
      </c>
      <c r="BW116" s="239">
        <f>IF(AND(MOD(73,3)=0,BW115&gt;0),BW115*Assumptions!$B$59,0)</f>
        <v/>
      </c>
      <c r="BX116" s="239">
        <f>IF(AND(MOD(74,3)=0,BX115&gt;0),BX115*Assumptions!$B$59,0)</f>
        <v/>
      </c>
      <c r="BY116" s="239">
        <f>IF(AND(MOD(75,3)=0,BY115&gt;0),BY115*Assumptions!$B$59,0)</f>
        <v/>
      </c>
      <c r="BZ116" s="239">
        <f>IF(AND(MOD(76,3)=0,BZ115&gt;0),BZ115*Assumptions!$B$59,0)</f>
        <v/>
      </c>
      <c r="CA116" s="239">
        <f>IF(AND(MOD(77,3)=0,CA115&gt;0),CA115*Assumptions!$B$59,0)</f>
        <v/>
      </c>
      <c r="CB116" s="239">
        <f>IF(AND(MOD(78,3)=0,CB115&gt;0),CB115*Assumptions!$B$59,0)</f>
        <v/>
      </c>
      <c r="CC116" s="239">
        <f>IF(AND(MOD(79,3)=0,CC115&gt;0),CC115*Assumptions!$B$59,0)</f>
        <v/>
      </c>
      <c r="CD116" s="239">
        <f>IF(AND(MOD(80,3)=0,CD115&gt;0),CD115*Assumptions!$B$59,0)</f>
        <v/>
      </c>
      <c r="CE116" s="239">
        <f>IF(AND(MOD(81,3)=0,CE115&gt;0),CE115*Assumptions!$B$59,0)</f>
        <v/>
      </c>
      <c r="CF116" s="239">
        <f>IF(AND(MOD(82,3)=0,CF115&gt;0),CF115*Assumptions!$B$59,0)</f>
        <v/>
      </c>
      <c r="CG116" s="239">
        <f>IF(AND(MOD(83,3)=0,CG115&gt;0),CG115*Assumptions!$B$59,0)</f>
        <v/>
      </c>
      <c r="CH116" s="239">
        <f>IF(AND(MOD(84,3)=0,CH115&gt;0),CH115*Assumptions!$B$59,0)</f>
        <v/>
      </c>
      <c r="CI116" s="226" t="n"/>
    </row>
    <row r="117" ht="15" customHeight="1" s="202">
      <c r="A117" s="210" t="inlineStr">
        <is>
          <t>Scott - Deal Distribution</t>
        </is>
      </c>
      <c r="B117" s="210" t="n"/>
      <c r="C117" s="239" t="n">
        <v>0</v>
      </c>
      <c r="D117" s="239" t="n">
        <v>0</v>
      </c>
      <c r="E117" s="239" t="n">
        <v>0</v>
      </c>
      <c r="F117" s="239" t="n">
        <v>0</v>
      </c>
      <c r="G117" s="239" t="n">
        <v>0</v>
      </c>
      <c r="H117" s="239" t="n">
        <v>0</v>
      </c>
      <c r="I117" s="239" t="n">
        <v>0</v>
      </c>
      <c r="J117" s="239" t="n">
        <v>0</v>
      </c>
      <c r="K117" s="239" t="n">
        <v>0</v>
      </c>
      <c r="L117" s="239" t="n">
        <v>0</v>
      </c>
      <c r="M117" s="239" t="n">
        <v>0</v>
      </c>
      <c r="N117" s="239" t="n">
        <v>0</v>
      </c>
      <c r="O117" s="239" t="n">
        <v>0</v>
      </c>
      <c r="P117" s="239" t="n">
        <v>0</v>
      </c>
      <c r="Q117" s="239" t="n">
        <v>0</v>
      </c>
      <c r="R117" s="239" t="n">
        <v>0</v>
      </c>
      <c r="S117" s="239" t="n">
        <v>0</v>
      </c>
      <c r="T117" s="239" t="n">
        <v>0</v>
      </c>
      <c r="U117" s="239" t="n">
        <v>0</v>
      </c>
      <c r="V117" s="239" t="n">
        <v>0</v>
      </c>
      <c r="W117" s="239" t="n">
        <v>0</v>
      </c>
      <c r="X117" s="239" t="n">
        <v>0</v>
      </c>
      <c r="Y117" s="239" t="n">
        <v>0</v>
      </c>
      <c r="Z117" s="239" t="n">
        <v>0</v>
      </c>
      <c r="AA117" s="239" t="n">
        <v>0</v>
      </c>
      <c r="AB117" s="239" t="n">
        <v>0</v>
      </c>
      <c r="AC117" s="239" t="n">
        <v>0</v>
      </c>
      <c r="AD117" s="239" t="n">
        <v>0</v>
      </c>
      <c r="AE117" s="239" t="n">
        <v>0</v>
      </c>
      <c r="AF117" s="239" t="n">
        <v>0</v>
      </c>
      <c r="AG117" s="239" t="n">
        <v>0</v>
      </c>
      <c r="AH117" s="239" t="n">
        <v>0</v>
      </c>
      <c r="AI117" s="239" t="n">
        <v>0</v>
      </c>
      <c r="AJ117" s="239" t="n">
        <v>0</v>
      </c>
      <c r="AK117" s="239" t="n">
        <v>0</v>
      </c>
      <c r="AL117" s="239" t="n">
        <v>0</v>
      </c>
      <c r="AM117" s="239" t="n">
        <v>0</v>
      </c>
      <c r="AN117" s="239" t="n">
        <v>0</v>
      </c>
      <c r="AO117" s="239" t="n">
        <v>0</v>
      </c>
      <c r="AP117" s="239" t="n">
        <v>0</v>
      </c>
      <c r="AQ117" s="239" t="n">
        <v>0</v>
      </c>
      <c r="AR117" s="239" t="n">
        <v>0</v>
      </c>
      <c r="AS117" s="239" t="n">
        <v>0</v>
      </c>
      <c r="AT117" s="239" t="n">
        <v>0</v>
      </c>
      <c r="AU117" s="239" t="n">
        <v>0</v>
      </c>
      <c r="AV117" s="239" t="n">
        <v>0</v>
      </c>
      <c r="AW117" s="239" t="n">
        <v>0</v>
      </c>
      <c r="AX117" s="239" t="n">
        <v>0</v>
      </c>
      <c r="AY117" s="239" t="n">
        <v>0</v>
      </c>
      <c r="AZ117" s="239" t="n">
        <v>0</v>
      </c>
      <c r="BA117" s="239" t="n">
        <v>0</v>
      </c>
      <c r="BB117" s="239" t="n">
        <v>0</v>
      </c>
      <c r="BC117" s="239" t="n">
        <v>0</v>
      </c>
      <c r="BD117" s="239" t="n">
        <v>0</v>
      </c>
      <c r="BE117" s="239" t="n">
        <v>0</v>
      </c>
      <c r="BF117" s="239" t="n">
        <v>0</v>
      </c>
      <c r="BG117" s="239" t="n">
        <v>0</v>
      </c>
      <c r="BH117" s="239" t="n">
        <v>0</v>
      </c>
      <c r="BI117" s="239" t="n">
        <v>0</v>
      </c>
      <c r="BJ117" s="239" t="n">
        <v>0</v>
      </c>
      <c r="BK117" s="239" t="n">
        <v>0</v>
      </c>
      <c r="BL117" s="239" t="n">
        <v>0</v>
      </c>
      <c r="BM117" s="239" t="n">
        <v>0</v>
      </c>
      <c r="BN117" s="239" t="n">
        <v>0</v>
      </c>
      <c r="BO117" s="239" t="n">
        <v>0</v>
      </c>
      <c r="BP117" s="239" t="n">
        <v>0</v>
      </c>
      <c r="BQ117" s="239" t="n">
        <v>0</v>
      </c>
      <c r="BR117" s="239" t="n">
        <v>0</v>
      </c>
      <c r="BS117" s="239" t="n">
        <v>0</v>
      </c>
      <c r="BT117" s="239" t="n">
        <v>0</v>
      </c>
      <c r="BU117" s="239" t="n">
        <v>0</v>
      </c>
      <c r="BV117" s="239" t="n">
        <v>0</v>
      </c>
      <c r="BW117" s="239" t="n">
        <v>0</v>
      </c>
      <c r="BX117" s="239" t="n">
        <v>0</v>
      </c>
      <c r="BY117" s="239" t="n">
        <v>0</v>
      </c>
      <c r="BZ117" s="239" t="n">
        <v>0</v>
      </c>
      <c r="CA117" s="239" t="n">
        <v>0</v>
      </c>
      <c r="CB117" s="239" t="n">
        <v>0</v>
      </c>
      <c r="CC117" s="239" t="n">
        <v>0</v>
      </c>
      <c r="CD117" s="239" t="n">
        <v>0</v>
      </c>
      <c r="CE117" s="239" t="n">
        <v>0</v>
      </c>
      <c r="CF117" s="239" t="n">
        <v>0</v>
      </c>
      <c r="CG117" s="239" t="n">
        <v>0</v>
      </c>
      <c r="CH117" s="239" t="n">
        <v>0</v>
      </c>
      <c r="CI117" s="226" t="n"/>
    </row>
    <row r="118" ht="15" customHeight="1" s="202">
      <c r="A118" s="240" t="inlineStr">
        <is>
          <t>Scott - PIK Payment (LIHTC)</t>
        </is>
      </c>
      <c r="B118" s="240" t="n"/>
      <c r="C118" s="241" t="n">
        <v>0</v>
      </c>
      <c r="D118" s="241" t="n">
        <v>0</v>
      </c>
      <c r="E118" s="241" t="n">
        <v>0</v>
      </c>
      <c r="F118" s="241" t="n">
        <v>0</v>
      </c>
      <c r="G118" s="241" t="n">
        <v>0</v>
      </c>
      <c r="H118" s="241" t="n">
        <v>0</v>
      </c>
      <c r="I118" s="241" t="n">
        <v>0</v>
      </c>
      <c r="J118" s="241" t="n">
        <v>0</v>
      </c>
      <c r="K118" s="241" t="n">
        <v>0</v>
      </c>
      <c r="L118" s="241" t="n">
        <v>0</v>
      </c>
      <c r="M118" s="241" t="n">
        <v>0</v>
      </c>
      <c r="N118" s="241" t="n">
        <v>0</v>
      </c>
      <c r="O118" s="241" t="n">
        <v>0</v>
      </c>
      <c r="P118" s="241" t="n">
        <v>0</v>
      </c>
      <c r="Q118" s="241" t="n">
        <v>0</v>
      </c>
      <c r="R118" s="241" t="n">
        <v>0</v>
      </c>
      <c r="S118" s="241" t="n">
        <v>0</v>
      </c>
      <c r="T118" s="241" t="n">
        <v>0</v>
      </c>
      <c r="U118" s="241" t="n">
        <v>0</v>
      </c>
      <c r="V118" s="241" t="n">
        <v>0</v>
      </c>
      <c r="W118" s="241" t="n">
        <v>0</v>
      </c>
      <c r="X118" s="241" t="n">
        <v>0</v>
      </c>
      <c r="Y118" s="241" t="n">
        <v>0</v>
      </c>
      <c r="Z118" s="241" t="n">
        <v>0</v>
      </c>
      <c r="AA118" s="241" t="n">
        <v>0</v>
      </c>
      <c r="AB118" s="241" t="n">
        <v>0</v>
      </c>
      <c r="AC118" s="241" t="n">
        <v>0</v>
      </c>
      <c r="AD118" s="241" t="n">
        <v>0</v>
      </c>
      <c r="AE118" s="241" t="n">
        <v>0</v>
      </c>
      <c r="AF118" s="241" t="n">
        <v>0</v>
      </c>
      <c r="AG118" s="241" t="n">
        <v>0</v>
      </c>
      <c r="AH118" s="241" t="n">
        <v>0</v>
      </c>
      <c r="AI118" s="241" t="n">
        <v>0</v>
      </c>
      <c r="AJ118" s="241" t="n">
        <v>0</v>
      </c>
      <c r="AK118" s="241" t="n">
        <v>0</v>
      </c>
      <c r="AL118" s="241" t="n">
        <v>0</v>
      </c>
      <c r="AM118" s="241" t="n">
        <v>0</v>
      </c>
      <c r="AN118" s="241" t="n">
        <v>0</v>
      </c>
      <c r="AO118" s="241" t="n">
        <v>0</v>
      </c>
      <c r="AP118" s="241" t="n">
        <v>0</v>
      </c>
      <c r="AQ118" s="241" t="n">
        <v>0</v>
      </c>
      <c r="AR118" s="241" t="n">
        <v>0</v>
      </c>
      <c r="AS118" s="241" t="n">
        <v>0</v>
      </c>
      <c r="AT118" s="241" t="n">
        <v>0</v>
      </c>
      <c r="AU118" s="241" t="n">
        <v>0</v>
      </c>
      <c r="AV118" s="241" t="n">
        <v>0</v>
      </c>
      <c r="AW118" s="241" t="n">
        <v>0</v>
      </c>
      <c r="AX118" s="241" t="n">
        <v>0</v>
      </c>
      <c r="AY118" s="241" t="n">
        <v>0</v>
      </c>
      <c r="AZ118" s="241" t="n">
        <v>0</v>
      </c>
      <c r="BA118" s="241" t="n">
        <v>0</v>
      </c>
      <c r="BB118" s="241" t="n">
        <v>0</v>
      </c>
      <c r="BC118" s="241" t="n">
        <v>0</v>
      </c>
      <c r="BD118" s="241" t="n">
        <v>0</v>
      </c>
      <c r="BE118" s="241" t="n">
        <v>0</v>
      </c>
      <c r="BF118" s="241" t="n">
        <v>0</v>
      </c>
      <c r="BG118" s="241" t="n">
        <v>0</v>
      </c>
      <c r="BH118" s="241" t="n">
        <v>0</v>
      </c>
      <c r="BI118" s="241" t="n">
        <v>0</v>
      </c>
      <c r="BJ118" s="241" t="n">
        <v>0</v>
      </c>
      <c r="BK118" s="241" t="n">
        <v>0</v>
      </c>
      <c r="BL118" s="241" t="n">
        <v>0</v>
      </c>
      <c r="BM118" s="241" t="n">
        <v>0</v>
      </c>
      <c r="BN118" s="241" t="n">
        <v>0</v>
      </c>
      <c r="BO118" s="241" t="n">
        <v>0</v>
      </c>
      <c r="BP118" s="241" t="n">
        <v>0</v>
      </c>
      <c r="BQ118" s="241" t="n">
        <v>0</v>
      </c>
      <c r="BR118" s="241" t="n">
        <v>0</v>
      </c>
      <c r="BS118" s="241" t="n">
        <v>0</v>
      </c>
      <c r="BT118" s="241" t="n">
        <v>0</v>
      </c>
      <c r="BU118" s="241" t="n">
        <v>0</v>
      </c>
      <c r="BV118" s="241" t="n">
        <v>0</v>
      </c>
      <c r="BW118" s="241" t="n">
        <v>0</v>
      </c>
      <c r="BX118" s="241" t="n">
        <v>0</v>
      </c>
      <c r="BY118" s="241" t="n">
        <v>0</v>
      </c>
      <c r="BZ118" s="241" t="n">
        <v>0</v>
      </c>
      <c r="CA118" s="241" t="n">
        <v>0</v>
      </c>
      <c r="CB118" s="241" t="n">
        <v>0</v>
      </c>
      <c r="CC118" s="241" t="n">
        <v>0</v>
      </c>
      <c r="CD118" s="241" t="n">
        <v>0</v>
      </c>
      <c r="CE118" s="241" t="n">
        <v>0</v>
      </c>
      <c r="CF118" s="241" t="n">
        <v>0</v>
      </c>
      <c r="CG118" s="241" t="n">
        <v>0</v>
      </c>
      <c r="CH118" s="241" t="n">
        <v>0</v>
      </c>
      <c r="CI118" s="226" t="n"/>
    </row>
    <row r="119" ht="15" customHeight="1" s="202">
      <c r="A119" s="242" t="inlineStr">
        <is>
          <t>Scott - Ending Balance</t>
        </is>
      </c>
      <c r="B119" s="243" t="n"/>
      <c r="C119" s="244">
        <f>MAX(0,C115+C116+C117+C118)</f>
        <v/>
      </c>
      <c r="D119" s="244">
        <f>MAX(0,D115+D116+D117+D118)</f>
        <v/>
      </c>
      <c r="E119" s="244">
        <f>MAX(0,E115+E116+E117+E118)</f>
        <v/>
      </c>
      <c r="F119" s="244">
        <f>MAX(0,F115+F116+F117+F118)</f>
        <v/>
      </c>
      <c r="G119" s="244">
        <f>MAX(0,G115+G116+G117+G118)</f>
        <v/>
      </c>
      <c r="H119" s="244">
        <f>MAX(0,H115+H116+H117+H118)</f>
        <v/>
      </c>
      <c r="I119" s="244">
        <f>MAX(0,I115+I116+I117+I118)</f>
        <v/>
      </c>
      <c r="J119" s="244">
        <f>MAX(0,J115+J116+J117+J118)</f>
        <v/>
      </c>
      <c r="K119" s="244">
        <f>MAX(0,K115+K116+K117+K118)</f>
        <v/>
      </c>
      <c r="L119" s="244">
        <f>MAX(0,L115+L116+L117+L118)</f>
        <v/>
      </c>
      <c r="M119" s="244">
        <f>MAX(0,M115+M116+M117+M118)</f>
        <v/>
      </c>
      <c r="N119" s="244">
        <f>MAX(0,N115+N116+N117+N118)</f>
        <v/>
      </c>
      <c r="O119" s="244">
        <f>MAX(0,O115+O116+O117+O118)</f>
        <v/>
      </c>
      <c r="P119" s="244">
        <f>MAX(0,P115+P116+P117+P118)</f>
        <v/>
      </c>
      <c r="Q119" s="244">
        <f>MAX(0,Q115+Q116+Q117+Q118)</f>
        <v/>
      </c>
      <c r="R119" s="244">
        <f>MAX(0,R115+R116+R117+R118)</f>
        <v/>
      </c>
      <c r="S119" s="244">
        <f>MAX(0,S115+S116+S117+S118)</f>
        <v/>
      </c>
      <c r="T119" s="244">
        <f>MAX(0,T115+T116+T117+T118)</f>
        <v/>
      </c>
      <c r="U119" s="244">
        <f>MAX(0,U115+U116+U117+U118)</f>
        <v/>
      </c>
      <c r="V119" s="244">
        <f>MAX(0,V115+V116+V117+V118)</f>
        <v/>
      </c>
      <c r="W119" s="244">
        <f>MAX(0,W115+W116+W117+W118)</f>
        <v/>
      </c>
      <c r="X119" s="244">
        <f>MAX(0,X115+X116+X117+X118)</f>
        <v/>
      </c>
      <c r="Y119" s="244">
        <f>MAX(0,Y115+Y116+Y117+Y118)</f>
        <v/>
      </c>
      <c r="Z119" s="244">
        <f>MAX(0,Z115+Z116+Z117+Z118)</f>
        <v/>
      </c>
      <c r="AA119" s="244">
        <f>MAX(0,AA115+AA116+AA117+AA118)</f>
        <v/>
      </c>
      <c r="AB119" s="244">
        <f>MAX(0,AB115+AB116+AB117+AB118)</f>
        <v/>
      </c>
      <c r="AC119" s="244">
        <f>MAX(0,AC115+AC116+AC117+AC118)</f>
        <v/>
      </c>
      <c r="AD119" s="244">
        <f>MAX(0,AD115+AD116+AD117+AD118)</f>
        <v/>
      </c>
      <c r="AE119" s="244">
        <f>MAX(0,AE115+AE116+AE117+AE118)</f>
        <v/>
      </c>
      <c r="AF119" s="244">
        <f>MAX(0,AF115+AF116+AF117+AF118)</f>
        <v/>
      </c>
      <c r="AG119" s="244">
        <f>MAX(0,AG115+AG116+AG117+AG118)</f>
        <v/>
      </c>
      <c r="AH119" s="244">
        <f>MAX(0,AH115+AH116+AH117+AH118)</f>
        <v/>
      </c>
      <c r="AI119" s="244">
        <f>MAX(0,AI115+AI116+AI117+AI118)</f>
        <v/>
      </c>
      <c r="AJ119" s="244">
        <f>MAX(0,AJ115+AJ116+AJ117+AJ118)</f>
        <v/>
      </c>
      <c r="AK119" s="244">
        <f>MAX(0,AK115+AK116+AK117+AK118)</f>
        <v/>
      </c>
      <c r="AL119" s="244">
        <f>MAX(0,AL115+AL116+AL117+AL118)</f>
        <v/>
      </c>
      <c r="AM119" s="244">
        <f>MAX(0,AM115+AM116+AM117+AM118)</f>
        <v/>
      </c>
      <c r="AN119" s="244">
        <f>MAX(0,AN115+AN116+AN117+AN118)</f>
        <v/>
      </c>
      <c r="AO119" s="244">
        <f>MAX(0,AO115+AO116+AO117+AO118)</f>
        <v/>
      </c>
      <c r="AP119" s="244">
        <f>MAX(0,AP115+AP116+AP117+AP118)</f>
        <v/>
      </c>
      <c r="AQ119" s="244">
        <f>MAX(0,AQ115+AQ116+AQ117+AQ118)</f>
        <v/>
      </c>
      <c r="AR119" s="244">
        <f>MAX(0,AR115+AR116+AR117+AR118)</f>
        <v/>
      </c>
      <c r="AS119" s="244">
        <f>MAX(0,AS115+AS116+AS117+AS118)</f>
        <v/>
      </c>
      <c r="AT119" s="244">
        <f>MAX(0,AT115+AT116+AT117+AT118)</f>
        <v/>
      </c>
      <c r="AU119" s="244">
        <f>MAX(0,AU115+AU116+AU117+AU118)</f>
        <v/>
      </c>
      <c r="AV119" s="244">
        <f>MAX(0,AV115+AV116+AV117+AV118)</f>
        <v/>
      </c>
      <c r="AW119" s="244">
        <f>MAX(0,AW115+AW116+AW117+AW118)</f>
        <v/>
      </c>
      <c r="AX119" s="244">
        <f>MAX(0,AX115+AX116+AX117+AX118)</f>
        <v/>
      </c>
      <c r="AY119" s="244">
        <f>MAX(0,AY115+AY116+AY117+AY118)</f>
        <v/>
      </c>
      <c r="AZ119" s="244">
        <f>MAX(0,AZ115+AZ116+AZ117+AZ118)</f>
        <v/>
      </c>
      <c r="BA119" s="244">
        <f>MAX(0,BA115+BA116+BA117+BA118)</f>
        <v/>
      </c>
      <c r="BB119" s="244">
        <f>MAX(0,BB115+BB116+BB117+BB118)</f>
        <v/>
      </c>
      <c r="BC119" s="244">
        <f>MAX(0,BC115+BC116+BC117+BC118)</f>
        <v/>
      </c>
      <c r="BD119" s="244">
        <f>MAX(0,BD115+BD116+BD117+BD118)</f>
        <v/>
      </c>
      <c r="BE119" s="244">
        <f>MAX(0,BE115+BE116+BE117+BE118)</f>
        <v/>
      </c>
      <c r="BF119" s="244">
        <f>MAX(0,BF115+BF116+BF117+BF118)</f>
        <v/>
      </c>
      <c r="BG119" s="244">
        <f>MAX(0,BG115+BG116+BG117+BG118)</f>
        <v/>
      </c>
      <c r="BH119" s="244">
        <f>MAX(0,BH115+BH116+BH117+BH118)</f>
        <v/>
      </c>
      <c r="BI119" s="244">
        <f>MAX(0,BI115+BI116+BI117+BI118)</f>
        <v/>
      </c>
      <c r="BJ119" s="244">
        <f>MAX(0,BJ115+BJ116+BJ117+BJ118)</f>
        <v/>
      </c>
      <c r="BK119" s="244">
        <f>MAX(0,BK115+BK116+BK117+BK118)</f>
        <v/>
      </c>
      <c r="BL119" s="244">
        <f>MAX(0,BL115+BL116+BL117+BL118)</f>
        <v/>
      </c>
      <c r="BM119" s="244">
        <f>MAX(0,BM115+BM116+BM117+BM118)</f>
        <v/>
      </c>
      <c r="BN119" s="244">
        <f>MAX(0,BN115+BN116+BN117+BN118)</f>
        <v/>
      </c>
      <c r="BO119" s="244">
        <f>MAX(0,BO115+BO116+BO117+BO118)</f>
        <v/>
      </c>
      <c r="BP119" s="244">
        <f>MAX(0,BP115+BP116+BP117+BP118)</f>
        <v/>
      </c>
      <c r="BQ119" s="244">
        <f>MAX(0,BQ115+BQ116+BQ117+BQ118)</f>
        <v/>
      </c>
      <c r="BR119" s="244">
        <f>MAX(0,BR115+BR116+BR117+BR118)</f>
        <v/>
      </c>
      <c r="BS119" s="244">
        <f>MAX(0,BS115+BS116+BS117+BS118)</f>
        <v/>
      </c>
      <c r="BT119" s="244">
        <f>MAX(0,BT115+BT116+BT117+BT118)</f>
        <v/>
      </c>
      <c r="BU119" s="244">
        <f>MAX(0,BU115+BU116+BU117+BU118)</f>
        <v/>
      </c>
      <c r="BV119" s="244">
        <f>MAX(0,BV115+BV116+BV117+BV118)</f>
        <v/>
      </c>
      <c r="BW119" s="244">
        <f>MAX(0,BW115+BW116+BW117+BW118)</f>
        <v/>
      </c>
      <c r="BX119" s="244">
        <f>MAX(0,BX115+BX116+BX117+BX118)</f>
        <v/>
      </c>
      <c r="BY119" s="244">
        <f>MAX(0,BY115+BY116+BY117+BY118)</f>
        <v/>
      </c>
      <c r="BZ119" s="244">
        <f>MAX(0,BZ115+BZ116+BZ117+BZ118)</f>
        <v/>
      </c>
      <c r="CA119" s="244">
        <f>MAX(0,CA115+CA116+CA117+CA118)</f>
        <v/>
      </c>
      <c r="CB119" s="244">
        <f>MAX(0,CB115+CB116+CB117+CB118)</f>
        <v/>
      </c>
      <c r="CC119" s="244">
        <f>MAX(0,CC115+CC116+CC117+CC118)</f>
        <v/>
      </c>
      <c r="CD119" s="244">
        <f>MAX(0,CD115+CD116+CD117+CD118)</f>
        <v/>
      </c>
      <c r="CE119" s="244">
        <f>MAX(0,CE115+CE116+CE117+CE118)</f>
        <v/>
      </c>
      <c r="CF119" s="244">
        <f>MAX(0,CF115+CF116+CF117+CF118)</f>
        <v/>
      </c>
      <c r="CG119" s="244">
        <f>MAX(0,CG115+CG116+CG117+CG118)</f>
        <v/>
      </c>
      <c r="CH119" s="244">
        <f>MAX(0,CH115+CH116+CH117+CH118)</f>
        <v/>
      </c>
      <c r="CI119" s="226" t="n"/>
    </row>
    <row r="120" ht="15" customHeight="1" s="202">
      <c r="A120" s="245" t="inlineStr">
        <is>
          <t>3rd St - Beginning Balance</t>
        </is>
      </c>
      <c r="B120" s="245" t="n"/>
      <c r="C120" s="246">
        <f>IF(Projects!$G$14="Yes",Assumptions!$B$75,0)</f>
        <v/>
      </c>
      <c r="D120" s="246">
        <f>C124</f>
        <v/>
      </c>
      <c r="E120" s="246">
        <f>IF(Projects!$G$14="Yes",D124+176618.1,D124)</f>
        <v/>
      </c>
      <c r="F120" s="246">
        <f>E124</f>
        <v/>
      </c>
      <c r="G120" s="246">
        <f>F124</f>
        <v/>
      </c>
      <c r="H120" s="246">
        <f>IF(Projects!$G$14="Yes",G124+176618.1,G124)</f>
        <v/>
      </c>
      <c r="I120" s="246">
        <f>H124</f>
        <v/>
      </c>
      <c r="J120" s="246">
        <f>I124</f>
        <v/>
      </c>
      <c r="K120" s="246">
        <f>J124</f>
        <v/>
      </c>
      <c r="L120" s="246">
        <f>IF(Projects!$G$14="Yes",K124+88309.05,K124)</f>
        <v/>
      </c>
      <c r="M120" s="246">
        <f>L124</f>
        <v/>
      </c>
      <c r="N120" s="246">
        <f>M124</f>
        <v/>
      </c>
      <c r="O120" s="246">
        <f>N124</f>
        <v/>
      </c>
      <c r="P120" s="246">
        <f>O124</f>
        <v/>
      </c>
      <c r="Q120" s="246">
        <f>IF(Projects!$G$14="Yes",P124+88309.05,P124)</f>
        <v/>
      </c>
      <c r="R120" s="246">
        <f>Q124</f>
        <v/>
      </c>
      <c r="S120" s="246">
        <f>R124</f>
        <v/>
      </c>
      <c r="T120" s="246">
        <f>S124</f>
        <v/>
      </c>
      <c r="U120" s="246">
        <f>T124</f>
        <v/>
      </c>
      <c r="V120" s="246">
        <f>U124</f>
        <v/>
      </c>
      <c r="W120" s="246">
        <f>IF(Projects!$G$14="Yes",V124+88309.05,V124)</f>
        <v/>
      </c>
      <c r="X120" s="246">
        <f>W124</f>
        <v/>
      </c>
      <c r="Y120" s="246">
        <f>X124</f>
        <v/>
      </c>
      <c r="Z120" s="246">
        <f>Y124</f>
        <v/>
      </c>
      <c r="AA120" s="246">
        <f>Z124</f>
        <v/>
      </c>
      <c r="AB120" s="246">
        <f>AA124</f>
        <v/>
      </c>
      <c r="AC120" s="246">
        <f>IF(Projects!$G$14="Yes",AB124+Assumptions!$B$76,AB124)</f>
        <v/>
      </c>
      <c r="AD120" s="246">
        <f>AC124</f>
        <v/>
      </c>
      <c r="AE120" s="246">
        <f>AD124</f>
        <v/>
      </c>
      <c r="AF120" s="246">
        <f>AE124</f>
        <v/>
      </c>
      <c r="AG120" s="246">
        <f>AF124</f>
        <v/>
      </c>
      <c r="AH120" s="246">
        <f>AG124</f>
        <v/>
      </c>
      <c r="AI120" s="246">
        <f>AH124</f>
        <v/>
      </c>
      <c r="AJ120" s="246">
        <f>AI124</f>
        <v/>
      </c>
      <c r="AK120" s="246">
        <f>AJ124</f>
        <v/>
      </c>
      <c r="AL120" s="246">
        <f>AK124</f>
        <v/>
      </c>
      <c r="AM120" s="246">
        <f>AL124</f>
        <v/>
      </c>
      <c r="AN120" s="246">
        <f>AM124</f>
        <v/>
      </c>
      <c r="AO120" s="246">
        <f>AN124</f>
        <v/>
      </c>
      <c r="AP120" s="246">
        <f>AO124</f>
        <v/>
      </c>
      <c r="AQ120" s="246">
        <f>AP124</f>
        <v/>
      </c>
      <c r="AR120" s="246">
        <f>AQ124</f>
        <v/>
      </c>
      <c r="AS120" s="246">
        <f>AR124</f>
        <v/>
      </c>
      <c r="AT120" s="246">
        <f>AS124</f>
        <v/>
      </c>
      <c r="AU120" s="246">
        <f>AT124</f>
        <v/>
      </c>
      <c r="AV120" s="246">
        <f>AU124</f>
        <v/>
      </c>
      <c r="AW120" s="246">
        <f>AV124</f>
        <v/>
      </c>
      <c r="AX120" s="246">
        <f>AW124</f>
        <v/>
      </c>
      <c r="AY120" s="246">
        <f>AX124</f>
        <v/>
      </c>
      <c r="AZ120" s="246">
        <f>AY124</f>
        <v/>
      </c>
      <c r="BA120" s="246">
        <f>AZ124</f>
        <v/>
      </c>
      <c r="BB120" s="246">
        <f>BA124</f>
        <v/>
      </c>
      <c r="BC120" s="246">
        <f>BB124</f>
        <v/>
      </c>
      <c r="BD120" s="246">
        <f>BC124</f>
        <v/>
      </c>
      <c r="BE120" s="246">
        <f>BD124</f>
        <v/>
      </c>
      <c r="BF120" s="246">
        <f>BE124</f>
        <v/>
      </c>
      <c r="BG120" s="246">
        <f>BF124</f>
        <v/>
      </c>
      <c r="BH120" s="246">
        <f>BG124</f>
        <v/>
      </c>
      <c r="BI120" s="246">
        <f>BH124</f>
        <v/>
      </c>
      <c r="BJ120" s="246">
        <f>BI124</f>
        <v/>
      </c>
      <c r="BK120" s="246">
        <f>BJ124</f>
        <v/>
      </c>
      <c r="BL120" s="246">
        <f>BK124</f>
        <v/>
      </c>
      <c r="BM120" s="246">
        <f>BL124</f>
        <v/>
      </c>
      <c r="BN120" s="246">
        <f>BM124</f>
        <v/>
      </c>
      <c r="BO120" s="246">
        <f>BN124</f>
        <v/>
      </c>
      <c r="BP120" s="246">
        <f>BO124</f>
        <v/>
      </c>
      <c r="BQ120" s="246">
        <f>BP124</f>
        <v/>
      </c>
      <c r="BR120" s="246">
        <f>BQ124</f>
        <v/>
      </c>
      <c r="BS120" s="246">
        <f>BR124</f>
        <v/>
      </c>
      <c r="BT120" s="246">
        <f>BS124</f>
        <v/>
      </c>
      <c r="BU120" s="246">
        <f>BT124</f>
        <v/>
      </c>
      <c r="BV120" s="246">
        <f>BU124</f>
        <v/>
      </c>
      <c r="BW120" s="246">
        <f>BV124</f>
        <v/>
      </c>
      <c r="BX120" s="246">
        <f>BW124</f>
        <v/>
      </c>
      <c r="BY120" s="246">
        <f>BX124</f>
        <v/>
      </c>
      <c r="BZ120" s="246">
        <f>BY124</f>
        <v/>
      </c>
      <c r="CA120" s="246">
        <f>BZ124</f>
        <v/>
      </c>
      <c r="CB120" s="246">
        <f>CA124</f>
        <v/>
      </c>
      <c r="CC120" s="246">
        <f>CB124</f>
        <v/>
      </c>
      <c r="CD120" s="246">
        <f>CC124</f>
        <v/>
      </c>
      <c r="CE120" s="246">
        <f>CD124</f>
        <v/>
      </c>
      <c r="CF120" s="246">
        <f>CE124</f>
        <v/>
      </c>
      <c r="CG120" s="246">
        <f>CF124</f>
        <v/>
      </c>
      <c r="CH120" s="246">
        <f>CG124</f>
        <v/>
      </c>
      <c r="CI120" s="226" t="n"/>
    </row>
    <row r="121" ht="15" customHeight="1" s="202">
      <c r="A121" s="245" t="inlineStr">
        <is>
          <t>3rd St - Quarterly Interest</t>
        </is>
      </c>
      <c r="B121" s="245" t="n"/>
      <c r="C121" s="246">
        <f>IF(AND(MOD(1,3)=0,C120&gt;0),C120*Assumptions!$B$59,0)</f>
        <v/>
      </c>
      <c r="D121" s="246">
        <f>IF(AND(MOD(2,3)=0,D120&gt;0),D120*Assumptions!$B$59,0)</f>
        <v/>
      </c>
      <c r="E121" s="246">
        <f>IF(AND(MOD(3,3)=0,E120&gt;0),E120*Assumptions!$B$59,0)</f>
        <v/>
      </c>
      <c r="F121" s="246">
        <f>IF(AND(MOD(4,3)=0,F120&gt;0),F120*Assumptions!$B$59,0)</f>
        <v/>
      </c>
      <c r="G121" s="246">
        <f>IF(AND(MOD(5,3)=0,G120&gt;0),G120*Assumptions!$B$59,0)</f>
        <v/>
      </c>
      <c r="H121" s="246">
        <f>IF(AND(MOD(6,3)=0,H120&gt;0),H120*Assumptions!$B$59,0)</f>
        <v/>
      </c>
      <c r="I121" s="246">
        <f>IF(AND(MOD(7,3)=0,I120&gt;0),I120*Assumptions!$B$59,0)</f>
        <v/>
      </c>
      <c r="J121" s="246">
        <f>IF(AND(MOD(8,3)=0,J120&gt;0),J120*Assumptions!$B$59,0)</f>
        <v/>
      </c>
      <c r="K121" s="246">
        <f>IF(AND(MOD(9,3)=0,K120&gt;0),K120*Assumptions!$B$59,0)</f>
        <v/>
      </c>
      <c r="L121" s="246">
        <f>IF(AND(MOD(10,3)=0,L120&gt;0),L120*Assumptions!$B$59,0)</f>
        <v/>
      </c>
      <c r="M121" s="246">
        <f>IF(AND(MOD(11,3)=0,M120&gt;0),M120*Assumptions!$B$59,0)</f>
        <v/>
      </c>
      <c r="N121" s="246">
        <f>IF(AND(MOD(12,3)=0,N120&gt;0),N120*Assumptions!$B$59,0)</f>
        <v/>
      </c>
      <c r="O121" s="246">
        <f>IF(AND(MOD(13,3)=0,O120&gt;0),O120*Assumptions!$B$59,0)</f>
        <v/>
      </c>
      <c r="P121" s="246">
        <f>IF(AND(MOD(14,3)=0,P120&gt;0),P120*Assumptions!$B$59,0)</f>
        <v/>
      </c>
      <c r="Q121" s="246">
        <f>IF(AND(MOD(15,3)=0,Q120&gt;0),Q120*Assumptions!$B$59,0)</f>
        <v/>
      </c>
      <c r="R121" s="246">
        <f>IF(AND(MOD(16,3)=0,R120&gt;0),R120*Assumptions!$B$59,0)</f>
        <v/>
      </c>
      <c r="S121" s="246">
        <f>IF(AND(MOD(17,3)=0,S120&gt;0),S120*Assumptions!$B$59,0)</f>
        <v/>
      </c>
      <c r="T121" s="246">
        <f>IF(AND(MOD(18,3)=0,T120&gt;0),T120*Assumptions!$B$59,0)</f>
        <v/>
      </c>
      <c r="U121" s="246">
        <f>IF(AND(MOD(19,3)=0,U120&gt;0),U120*Assumptions!$B$59,0)</f>
        <v/>
      </c>
      <c r="V121" s="246">
        <f>IF(AND(MOD(20,3)=0,V120&gt;0),V120*Assumptions!$B$59,0)</f>
        <v/>
      </c>
      <c r="W121" s="246">
        <f>IF(AND(MOD(21,3)=0,W120&gt;0),W120*Assumptions!$B$59,0)</f>
        <v/>
      </c>
      <c r="X121" s="246">
        <f>IF(AND(MOD(22,3)=0,X120&gt;0),X120*Assumptions!$B$59,0)</f>
        <v/>
      </c>
      <c r="Y121" s="246">
        <f>IF(AND(MOD(23,3)=0,Y120&gt;0),Y120*Assumptions!$B$59,0)</f>
        <v/>
      </c>
      <c r="Z121" s="246">
        <f>IF(AND(MOD(24,3)=0,Z120&gt;0),Z120*Assumptions!$B$59,0)</f>
        <v/>
      </c>
      <c r="AA121" s="246">
        <f>IF(AND(MOD(25,3)=0,AA120&gt;0),AA120*Assumptions!$B$59,0)</f>
        <v/>
      </c>
      <c r="AB121" s="246">
        <f>IF(AND(MOD(26,3)=0,AB120&gt;0),AB120*Assumptions!$B$59,0)</f>
        <v/>
      </c>
      <c r="AC121" s="246">
        <f>IF(AND(MOD(27,3)=0,AC120&gt;0),AC120*Assumptions!$B$59,0)</f>
        <v/>
      </c>
      <c r="AD121" s="246">
        <f>IF(AND(MOD(28,3)=0,AD120&gt;0),AD120*Assumptions!$B$59,0)</f>
        <v/>
      </c>
      <c r="AE121" s="246">
        <f>IF(AND(MOD(29,3)=0,AE120&gt;0),AE120*Assumptions!$B$59,0)</f>
        <v/>
      </c>
      <c r="AF121" s="246">
        <f>IF(AND(MOD(30,3)=0,AF120&gt;0),AF120*Assumptions!$B$59,0)</f>
        <v/>
      </c>
      <c r="AG121" s="246">
        <f>IF(AND(MOD(31,3)=0,AG120&gt;0),AG120*Assumptions!$B$59,0)</f>
        <v/>
      </c>
      <c r="AH121" s="246">
        <f>IF(AND(MOD(32,3)=0,AH120&gt;0),AH120*Assumptions!$B$59,0)</f>
        <v/>
      </c>
      <c r="AI121" s="246">
        <f>IF(AND(MOD(33,3)=0,AI120&gt;0),AI120*Assumptions!$B$59,0)</f>
        <v/>
      </c>
      <c r="AJ121" s="246">
        <f>IF(AND(MOD(34,3)=0,AJ120&gt;0),AJ120*Assumptions!$B$59,0)</f>
        <v/>
      </c>
      <c r="AK121" s="246">
        <f>IF(AND(MOD(35,3)=0,AK120&gt;0),AK120*Assumptions!$B$59,0)</f>
        <v/>
      </c>
      <c r="AL121" s="246">
        <f>IF(AND(MOD(36,3)=0,AL120&gt;0),AL120*Assumptions!$B$59,0)</f>
        <v/>
      </c>
      <c r="AM121" s="246">
        <f>IF(AND(MOD(37,3)=0,AM120&gt;0),AM120*Assumptions!$B$59,0)</f>
        <v/>
      </c>
      <c r="AN121" s="246">
        <f>IF(AND(MOD(38,3)=0,AN120&gt;0),AN120*Assumptions!$B$59,0)</f>
        <v/>
      </c>
      <c r="AO121" s="246">
        <f>IF(AND(MOD(39,3)=0,AO120&gt;0),AO120*Assumptions!$B$59,0)</f>
        <v/>
      </c>
      <c r="AP121" s="246">
        <f>IF(AND(MOD(40,3)=0,AP120&gt;0),AP120*Assumptions!$B$59,0)</f>
        <v/>
      </c>
      <c r="AQ121" s="246">
        <f>IF(AND(MOD(41,3)=0,AQ120&gt;0),AQ120*Assumptions!$B$59,0)</f>
        <v/>
      </c>
      <c r="AR121" s="246">
        <f>IF(AND(MOD(42,3)=0,AR120&gt;0),AR120*Assumptions!$B$59,0)</f>
        <v/>
      </c>
      <c r="AS121" s="246">
        <f>IF(AND(MOD(43,3)=0,AS120&gt;0),AS120*Assumptions!$B$59,0)</f>
        <v/>
      </c>
      <c r="AT121" s="246">
        <f>IF(AND(MOD(44,3)=0,AT120&gt;0),AT120*Assumptions!$B$59,0)</f>
        <v/>
      </c>
      <c r="AU121" s="246">
        <f>IF(AND(MOD(45,3)=0,AU120&gt;0),AU120*Assumptions!$B$59,0)</f>
        <v/>
      </c>
      <c r="AV121" s="246">
        <f>IF(AND(MOD(46,3)=0,AV120&gt;0),AV120*Assumptions!$B$59,0)</f>
        <v/>
      </c>
      <c r="AW121" s="246">
        <f>IF(AND(MOD(47,3)=0,AW120&gt;0),AW120*Assumptions!$B$59,0)</f>
        <v/>
      </c>
      <c r="AX121" s="246">
        <f>IF(AND(MOD(48,3)=0,AX120&gt;0),AX120*Assumptions!$B$59,0)</f>
        <v/>
      </c>
      <c r="AY121" s="246">
        <f>IF(AND(MOD(49,3)=0,AY120&gt;0),AY120*Assumptions!$B$59,0)</f>
        <v/>
      </c>
      <c r="AZ121" s="246">
        <f>IF(AND(MOD(50,3)=0,AZ120&gt;0),AZ120*Assumptions!$B$59,0)</f>
        <v/>
      </c>
      <c r="BA121" s="246">
        <f>IF(AND(MOD(51,3)=0,BA120&gt;0),BA120*Assumptions!$B$59,0)</f>
        <v/>
      </c>
      <c r="BB121" s="246">
        <f>IF(AND(MOD(52,3)=0,BB120&gt;0),BB120*Assumptions!$B$59,0)</f>
        <v/>
      </c>
      <c r="BC121" s="246">
        <f>IF(AND(MOD(53,3)=0,BC120&gt;0),BC120*Assumptions!$B$59,0)</f>
        <v/>
      </c>
      <c r="BD121" s="246">
        <f>IF(AND(MOD(54,3)=0,BD120&gt;0),BD120*Assumptions!$B$59,0)</f>
        <v/>
      </c>
      <c r="BE121" s="246">
        <f>IF(AND(MOD(55,3)=0,BE120&gt;0),BE120*Assumptions!$B$59,0)</f>
        <v/>
      </c>
      <c r="BF121" s="246">
        <f>IF(AND(MOD(56,3)=0,BF120&gt;0),BF120*Assumptions!$B$59,0)</f>
        <v/>
      </c>
      <c r="BG121" s="246">
        <f>IF(AND(MOD(57,3)=0,BG120&gt;0),BG120*Assumptions!$B$59,0)</f>
        <v/>
      </c>
      <c r="BH121" s="246">
        <f>IF(AND(MOD(58,3)=0,BH120&gt;0),BH120*Assumptions!$B$59,0)</f>
        <v/>
      </c>
      <c r="BI121" s="246">
        <f>IF(AND(MOD(59,3)=0,BI120&gt;0),BI120*Assumptions!$B$59,0)</f>
        <v/>
      </c>
      <c r="BJ121" s="246">
        <f>IF(AND(MOD(60,3)=0,BJ120&gt;0),BJ120*Assumptions!$B$59,0)</f>
        <v/>
      </c>
      <c r="BK121" s="246">
        <f>IF(AND(MOD(61,3)=0,BK120&gt;0),BK120*Assumptions!$B$59,0)</f>
        <v/>
      </c>
      <c r="BL121" s="246">
        <f>IF(AND(MOD(62,3)=0,BL120&gt;0),BL120*Assumptions!$B$59,0)</f>
        <v/>
      </c>
      <c r="BM121" s="246">
        <f>IF(AND(MOD(63,3)=0,BM120&gt;0),BM120*Assumptions!$B$59,0)</f>
        <v/>
      </c>
      <c r="BN121" s="246">
        <f>IF(AND(MOD(64,3)=0,BN120&gt;0),BN120*Assumptions!$B$59,0)</f>
        <v/>
      </c>
      <c r="BO121" s="246">
        <f>IF(AND(MOD(65,3)=0,BO120&gt;0),BO120*Assumptions!$B$59,0)</f>
        <v/>
      </c>
      <c r="BP121" s="246">
        <f>IF(AND(MOD(66,3)=0,BP120&gt;0),BP120*Assumptions!$B$59,0)</f>
        <v/>
      </c>
      <c r="BQ121" s="246">
        <f>IF(AND(MOD(67,3)=0,BQ120&gt;0),BQ120*Assumptions!$B$59,0)</f>
        <v/>
      </c>
      <c r="BR121" s="246">
        <f>IF(AND(MOD(68,3)=0,BR120&gt;0),BR120*Assumptions!$B$59,0)</f>
        <v/>
      </c>
      <c r="BS121" s="246">
        <f>IF(AND(MOD(69,3)=0,BS120&gt;0),BS120*Assumptions!$B$59,0)</f>
        <v/>
      </c>
      <c r="BT121" s="246">
        <f>IF(AND(MOD(70,3)=0,BT120&gt;0),BT120*Assumptions!$B$59,0)</f>
        <v/>
      </c>
      <c r="BU121" s="246">
        <f>IF(AND(MOD(71,3)=0,BU120&gt;0),BU120*Assumptions!$B$59,0)</f>
        <v/>
      </c>
      <c r="BV121" s="246">
        <f>IF(AND(MOD(72,3)=0,BV120&gt;0),BV120*Assumptions!$B$59,0)</f>
        <v/>
      </c>
      <c r="BW121" s="246">
        <f>IF(AND(MOD(73,3)=0,BW120&gt;0),BW120*Assumptions!$B$59,0)</f>
        <v/>
      </c>
      <c r="BX121" s="246">
        <f>IF(AND(MOD(74,3)=0,BX120&gt;0),BX120*Assumptions!$B$59,0)</f>
        <v/>
      </c>
      <c r="BY121" s="246">
        <f>IF(AND(MOD(75,3)=0,BY120&gt;0),BY120*Assumptions!$B$59,0)</f>
        <v/>
      </c>
      <c r="BZ121" s="246">
        <f>IF(AND(MOD(76,3)=0,BZ120&gt;0),BZ120*Assumptions!$B$59,0)</f>
        <v/>
      </c>
      <c r="CA121" s="246">
        <f>IF(AND(MOD(77,3)=0,CA120&gt;0),CA120*Assumptions!$B$59,0)</f>
        <v/>
      </c>
      <c r="CB121" s="246">
        <f>IF(AND(MOD(78,3)=0,CB120&gt;0),CB120*Assumptions!$B$59,0)</f>
        <v/>
      </c>
      <c r="CC121" s="246">
        <f>IF(AND(MOD(79,3)=0,CC120&gt;0),CC120*Assumptions!$B$59,0)</f>
        <v/>
      </c>
      <c r="CD121" s="246">
        <f>IF(AND(MOD(80,3)=0,CD120&gt;0),CD120*Assumptions!$B$59,0)</f>
        <v/>
      </c>
      <c r="CE121" s="246">
        <f>IF(AND(MOD(81,3)=0,CE120&gt;0),CE120*Assumptions!$B$59,0)</f>
        <v/>
      </c>
      <c r="CF121" s="246">
        <f>IF(AND(MOD(82,3)=0,CF120&gt;0),CF120*Assumptions!$B$59,0)</f>
        <v/>
      </c>
      <c r="CG121" s="246">
        <f>IF(AND(MOD(83,3)=0,CG120&gt;0),CG120*Assumptions!$B$59,0)</f>
        <v/>
      </c>
      <c r="CH121" s="246">
        <f>IF(AND(MOD(84,3)=0,CH120&gt;0),CH120*Assumptions!$B$59,0)</f>
        <v/>
      </c>
      <c r="CI121" s="226" t="n"/>
    </row>
    <row r="122" ht="15" customHeight="1" s="202">
      <c r="A122" s="245" t="inlineStr">
        <is>
          <t>3rd St - Deal Distribution</t>
        </is>
      </c>
      <c r="B122" s="245" t="n"/>
      <c r="C122" s="246" t="n">
        <v>0</v>
      </c>
      <c r="D122" s="246" t="n">
        <v>0</v>
      </c>
      <c r="E122" s="246" t="n">
        <v>0</v>
      </c>
      <c r="F122" s="246" t="n">
        <v>0</v>
      </c>
      <c r="G122" s="246" t="n">
        <v>0</v>
      </c>
      <c r="H122" s="246" t="n">
        <v>0</v>
      </c>
      <c r="I122" s="246" t="n">
        <v>0</v>
      </c>
      <c r="J122" s="246" t="n">
        <v>0</v>
      </c>
      <c r="K122" s="246" t="n">
        <v>0</v>
      </c>
      <c r="L122" s="246" t="n">
        <v>0</v>
      </c>
      <c r="M122" s="246" t="n">
        <v>0</v>
      </c>
      <c r="N122" s="246" t="n">
        <v>0</v>
      </c>
      <c r="O122" s="246" t="n">
        <v>0</v>
      </c>
      <c r="P122" s="246" t="n">
        <v>0</v>
      </c>
      <c r="Q122" s="246" t="n">
        <v>0</v>
      </c>
      <c r="R122" s="246" t="n">
        <v>0</v>
      </c>
      <c r="S122" s="246" t="n">
        <v>0</v>
      </c>
      <c r="T122" s="246" t="n">
        <v>0</v>
      </c>
      <c r="U122" s="246" t="n">
        <v>0</v>
      </c>
      <c r="V122" s="246" t="n">
        <v>0</v>
      </c>
      <c r="W122" s="246" t="n">
        <v>0</v>
      </c>
      <c r="X122" s="246" t="n">
        <v>0</v>
      </c>
      <c r="Y122" s="246" t="n">
        <v>0</v>
      </c>
      <c r="Z122" s="246" t="n">
        <v>0</v>
      </c>
      <c r="AA122" s="246" t="n">
        <v>0</v>
      </c>
      <c r="AB122" s="246" t="n">
        <v>0</v>
      </c>
      <c r="AC122" s="246">
        <f>IF(Projects!$G$14="Yes",Assumptions!$B$77,0)</f>
        <v/>
      </c>
      <c r="AD122" s="246" t="n">
        <v>0</v>
      </c>
      <c r="AE122" s="246" t="n">
        <v>0</v>
      </c>
      <c r="AF122" s="246" t="n">
        <v>0</v>
      </c>
      <c r="AG122" s="246" t="n">
        <v>0</v>
      </c>
      <c r="AH122" s="246" t="n">
        <v>0</v>
      </c>
      <c r="AI122" s="246" t="n">
        <v>0</v>
      </c>
      <c r="AJ122" s="246" t="n">
        <v>0</v>
      </c>
      <c r="AK122" s="246" t="n">
        <v>0</v>
      </c>
      <c r="AL122" s="246" t="n">
        <v>0</v>
      </c>
      <c r="AM122" s="246" t="n">
        <v>0</v>
      </c>
      <c r="AN122" s="246" t="n">
        <v>0</v>
      </c>
      <c r="AO122" s="246" t="n">
        <v>0</v>
      </c>
      <c r="AP122" s="246" t="n">
        <v>0</v>
      </c>
      <c r="AQ122" s="246" t="n">
        <v>0</v>
      </c>
      <c r="AR122" s="246" t="n">
        <v>0</v>
      </c>
      <c r="AS122" s="246" t="n">
        <v>0</v>
      </c>
      <c r="AT122" s="246" t="n">
        <v>0</v>
      </c>
      <c r="AU122" s="246" t="n">
        <v>0</v>
      </c>
      <c r="AV122" s="246" t="n">
        <v>0</v>
      </c>
      <c r="AW122" s="246" t="n">
        <v>0</v>
      </c>
      <c r="AX122" s="246" t="n">
        <v>0</v>
      </c>
      <c r="AY122" s="246" t="n">
        <v>0</v>
      </c>
      <c r="AZ122" s="246" t="n">
        <v>0</v>
      </c>
      <c r="BA122" s="246" t="n">
        <v>0</v>
      </c>
      <c r="BB122" s="246" t="n">
        <v>0</v>
      </c>
      <c r="BC122" s="246" t="n">
        <v>0</v>
      </c>
      <c r="BD122" s="246" t="n">
        <v>0</v>
      </c>
      <c r="BE122" s="246" t="n">
        <v>0</v>
      </c>
      <c r="BF122" s="246" t="n">
        <v>0</v>
      </c>
      <c r="BG122" s="246" t="n">
        <v>0</v>
      </c>
      <c r="BH122" s="246" t="n">
        <v>0</v>
      </c>
      <c r="BI122" s="246" t="n">
        <v>0</v>
      </c>
      <c r="BJ122" s="246" t="n">
        <v>0</v>
      </c>
      <c r="BK122" s="246" t="n">
        <v>0</v>
      </c>
      <c r="BL122" s="246" t="n">
        <v>0</v>
      </c>
      <c r="BM122" s="246" t="n">
        <v>0</v>
      </c>
      <c r="BN122" s="246" t="n">
        <v>0</v>
      </c>
      <c r="BO122" s="246" t="n">
        <v>0</v>
      </c>
      <c r="BP122" s="246" t="n">
        <v>0</v>
      </c>
      <c r="BQ122" s="246" t="n">
        <v>0</v>
      </c>
      <c r="BR122" s="246" t="n">
        <v>0</v>
      </c>
      <c r="BS122" s="246" t="n">
        <v>0</v>
      </c>
      <c r="BT122" s="246" t="n">
        <v>0</v>
      </c>
      <c r="BU122" s="246" t="n">
        <v>0</v>
      </c>
      <c r="BV122" s="246" t="n">
        <v>0</v>
      </c>
      <c r="BW122" s="246" t="n">
        <v>0</v>
      </c>
      <c r="BX122" s="246" t="n">
        <v>0</v>
      </c>
      <c r="BY122" s="246" t="n">
        <v>0</v>
      </c>
      <c r="BZ122" s="246" t="n">
        <v>0</v>
      </c>
      <c r="CA122" s="246" t="n">
        <v>0</v>
      </c>
      <c r="CB122" s="246" t="n">
        <v>0</v>
      </c>
      <c r="CC122" s="246" t="n">
        <v>0</v>
      </c>
      <c r="CD122" s="246" t="n">
        <v>0</v>
      </c>
      <c r="CE122" s="246" t="n">
        <v>0</v>
      </c>
      <c r="CF122" s="246" t="n">
        <v>0</v>
      </c>
      <c r="CG122" s="246" t="n">
        <v>0</v>
      </c>
      <c r="CH122" s="246" t="n">
        <v>0</v>
      </c>
      <c r="CI122" s="226" t="n"/>
    </row>
    <row r="123" ht="15" customHeight="1" s="202">
      <c r="A123" s="247" t="inlineStr">
        <is>
          <t>3rd St - PIK Payment (LIHTC)</t>
        </is>
      </c>
      <c r="B123" s="247" t="n"/>
      <c r="C123" s="248">
        <f>-MIN(C120+C121+C122,MAX(0,C61-Helpers!C26))</f>
        <v/>
      </c>
      <c r="D123" s="248">
        <f>-MIN(D120+D121+D122,MAX(0,D61-Helpers!D26))</f>
        <v/>
      </c>
      <c r="E123" s="248">
        <f>-MIN(E120+E121+E122,MAX(0,E61-Helpers!E26))</f>
        <v/>
      </c>
      <c r="F123" s="248">
        <f>-MIN(F120+F121+F122,MAX(0,F61-Helpers!F26))</f>
        <v/>
      </c>
      <c r="G123" s="248">
        <f>-MIN(G120+G121+G122,MAX(0,G61-Helpers!G26))</f>
        <v/>
      </c>
      <c r="H123" s="248">
        <f>-MIN(H120+H121+H122,MAX(0,H61-Helpers!H26))</f>
        <v/>
      </c>
      <c r="I123" s="248">
        <f>-MIN(I120+I121+I122,MAX(0,I61-Helpers!I26))</f>
        <v/>
      </c>
      <c r="J123" s="248">
        <f>-MIN(J120+J121+J122,MAX(0,J61-Helpers!J26))</f>
        <v/>
      </c>
      <c r="K123" s="248">
        <f>-MIN(K120+K121+K122,MAX(0,K61-Helpers!K26))</f>
        <v/>
      </c>
      <c r="L123" s="248">
        <f>-MIN(L120+L121+L122,MAX(0,L61-Helpers!L26))</f>
        <v/>
      </c>
      <c r="M123" s="248">
        <f>-MIN(M120+M121+M122,MAX(0,M61-Helpers!M26))</f>
        <v/>
      </c>
      <c r="N123" s="248">
        <f>-MIN(N120+N121+N122,MAX(0,N61-Helpers!N26))</f>
        <v/>
      </c>
      <c r="O123" s="248">
        <f>-MIN(O120+O121+O122,MAX(0,O61-Helpers!O26))</f>
        <v/>
      </c>
      <c r="P123" s="248">
        <f>-MIN(P120+P121+P122,MAX(0,P61-Helpers!P26))</f>
        <v/>
      </c>
      <c r="Q123" s="248">
        <f>-MIN(Q120+Q121+Q122,MAX(0,Q61-Helpers!Q26))</f>
        <v/>
      </c>
      <c r="R123" s="248">
        <f>-MIN(R120+R121+R122,MAX(0,R61-Helpers!R26))</f>
        <v/>
      </c>
      <c r="S123" s="248">
        <f>-MIN(S120+S121+S122,MAX(0,S61-Helpers!S26))</f>
        <v/>
      </c>
      <c r="T123" s="248">
        <f>-MIN(T120+T121+T122,MAX(0,T61-Helpers!T26))</f>
        <v/>
      </c>
      <c r="U123" s="248">
        <f>-MIN(U120+U121+U122,MAX(0,U61-Helpers!U26))</f>
        <v/>
      </c>
      <c r="V123" s="248">
        <f>-MIN(V120+V121+V122,MAX(0,V61-Helpers!V26))</f>
        <v/>
      </c>
      <c r="W123" s="248">
        <f>-MIN(W120+W121+W122,MAX(0,W61-Helpers!W26))</f>
        <v/>
      </c>
      <c r="X123" s="248">
        <f>-MIN(X120+X121+X122,MAX(0,X61-Helpers!X26))</f>
        <v/>
      </c>
      <c r="Y123" s="248">
        <f>-MIN(Y120+Y121+Y122,MAX(0,Y61-Helpers!Y26))</f>
        <v/>
      </c>
      <c r="Z123" s="248">
        <f>-MIN(Z120+Z121+Z122,MAX(0,Z61-Helpers!Z26))</f>
        <v/>
      </c>
      <c r="AA123" s="248">
        <f>-MIN(AA120+AA121+AA122,MAX(0,AA61-Helpers!AA26))</f>
        <v/>
      </c>
      <c r="AB123" s="248">
        <f>-MIN(AB120+AB121+AB122,MAX(0,AB61-Helpers!AB26))</f>
        <v/>
      </c>
      <c r="AC123" s="248">
        <f>-MIN(AC120+AC121+AC122,MAX(0,AC61-Helpers!AC26))</f>
        <v/>
      </c>
      <c r="AD123" s="248">
        <f>-MIN(AD120+AD121+AD122,MAX(0,AD61-Helpers!AD26))</f>
        <v/>
      </c>
      <c r="AE123" s="248">
        <f>-MIN(AE120+AE121+AE122,MAX(0,AE61-Helpers!AE26))</f>
        <v/>
      </c>
      <c r="AF123" s="248">
        <f>-MIN(AF120+AF121+AF122,MAX(0,AF61-Helpers!AF26))</f>
        <v/>
      </c>
      <c r="AG123" s="248">
        <f>-MIN(AG120+AG121+AG122,MAX(0,AG61-Helpers!AG26))</f>
        <v/>
      </c>
      <c r="AH123" s="248">
        <f>-MIN(AH120+AH121+AH122,MAX(0,AH61-Helpers!AH26))</f>
        <v/>
      </c>
      <c r="AI123" s="248">
        <f>-MIN(AI120+AI121+AI122,MAX(0,AI61-Helpers!AI26))</f>
        <v/>
      </c>
      <c r="AJ123" s="248">
        <f>-MIN(AJ120+AJ121+AJ122,MAX(0,AJ61-Helpers!AJ26))</f>
        <v/>
      </c>
      <c r="AK123" s="248">
        <f>-MIN(AK120+AK121+AK122,MAX(0,AK61-Helpers!AK26))</f>
        <v/>
      </c>
      <c r="AL123" s="248">
        <f>-MIN(AL120+AL121+AL122,MAX(0,AL61-Helpers!AL26))</f>
        <v/>
      </c>
      <c r="AM123" s="248">
        <f>-MIN(AM120+AM121+AM122,MAX(0,AM61-Helpers!AM26))</f>
        <v/>
      </c>
      <c r="AN123" s="248">
        <f>-MIN(AN120+AN121+AN122,MAX(0,AN61-Helpers!AN26))</f>
        <v/>
      </c>
      <c r="AO123" s="248">
        <f>-MIN(AO120+AO121+AO122,MAX(0,AO61-Helpers!AO26))</f>
        <v/>
      </c>
      <c r="AP123" s="248">
        <f>-MIN(AP120+AP121+AP122,MAX(0,AP61-Helpers!AP26))</f>
        <v/>
      </c>
      <c r="AQ123" s="248">
        <f>-MIN(AQ120+AQ121+AQ122,MAX(0,AQ61-Helpers!AQ26))</f>
        <v/>
      </c>
      <c r="AR123" s="248">
        <f>-MIN(AR120+AR121+AR122,MAX(0,AR61-Helpers!AR26))</f>
        <v/>
      </c>
      <c r="AS123" s="248">
        <f>-MIN(AS120+AS121+AS122,MAX(0,AS61-Helpers!AS26))</f>
        <v/>
      </c>
      <c r="AT123" s="248">
        <f>-MIN(AT120+AT121+AT122,MAX(0,AT61-Helpers!AT26))</f>
        <v/>
      </c>
      <c r="AU123" s="248">
        <f>-MIN(AU120+AU121+AU122,MAX(0,AU61-Helpers!AU26))</f>
        <v/>
      </c>
      <c r="AV123" s="248">
        <f>-MIN(AV120+AV121+AV122,MAX(0,AV61-Helpers!AV26))</f>
        <v/>
      </c>
      <c r="AW123" s="248">
        <f>-MIN(AW120+AW121+AW122,MAX(0,AW61-Helpers!AW26))</f>
        <v/>
      </c>
      <c r="AX123" s="248">
        <f>-MIN(AX120+AX121+AX122,MAX(0,AX61-Helpers!AX26))</f>
        <v/>
      </c>
      <c r="AY123" s="248">
        <f>-MIN(AY120+AY121+AY122,MAX(0,AY61-Helpers!AY26))</f>
        <v/>
      </c>
      <c r="AZ123" s="248">
        <f>-MIN(AZ120+AZ121+AZ122,MAX(0,AZ61-Helpers!AZ26))</f>
        <v/>
      </c>
      <c r="BA123" s="248">
        <f>-MIN(BA120+BA121+BA122,MAX(0,BA61-Helpers!BA26))</f>
        <v/>
      </c>
      <c r="BB123" s="248">
        <f>-MIN(BB120+BB121+BB122,MAX(0,BB61-Helpers!BB26))</f>
        <v/>
      </c>
      <c r="BC123" s="248">
        <f>-MIN(BC120+BC121+BC122,MAX(0,BC61-Helpers!BC26))</f>
        <v/>
      </c>
      <c r="BD123" s="248">
        <f>-MIN(BD120+BD121+BD122,MAX(0,BD61-Helpers!BD26))</f>
        <v/>
      </c>
      <c r="BE123" s="248">
        <f>-MIN(BE120+BE121+BE122,MAX(0,BE61-Helpers!BE26))</f>
        <v/>
      </c>
      <c r="BF123" s="248">
        <f>-MIN(BF120+BF121+BF122,MAX(0,BF61-Helpers!BF26))</f>
        <v/>
      </c>
      <c r="BG123" s="248">
        <f>-MIN(BG120+BG121+BG122,MAX(0,BG61-Helpers!BG26))</f>
        <v/>
      </c>
      <c r="BH123" s="248">
        <f>-MIN(BH120+BH121+BH122,MAX(0,BH61-Helpers!BH26))</f>
        <v/>
      </c>
      <c r="BI123" s="248">
        <f>-MIN(BI120+BI121+BI122,MAX(0,BI61-Helpers!BI26))</f>
        <v/>
      </c>
      <c r="BJ123" s="248">
        <f>-MIN(BJ120+BJ121+BJ122,MAX(0,BJ61-Helpers!BJ26))</f>
        <v/>
      </c>
      <c r="BK123" s="248">
        <f>-MIN(BK120+BK121+BK122,MAX(0,BK61-Helpers!BK26))</f>
        <v/>
      </c>
      <c r="BL123" s="248">
        <f>-MIN(BL120+BL121+BL122,MAX(0,BL61-Helpers!BL26))</f>
        <v/>
      </c>
      <c r="BM123" s="248">
        <f>-MIN(BM120+BM121+BM122,MAX(0,BM61-Helpers!BM26))</f>
        <v/>
      </c>
      <c r="BN123" s="248">
        <f>-MIN(BN120+BN121+BN122,MAX(0,BN61-Helpers!BN26))</f>
        <v/>
      </c>
      <c r="BO123" s="248">
        <f>-MIN(BO120+BO121+BO122,MAX(0,BO61-Helpers!BO26))</f>
        <v/>
      </c>
      <c r="BP123" s="248">
        <f>-MIN(BP120+BP121+BP122,MAX(0,BP61-Helpers!BP26))</f>
        <v/>
      </c>
      <c r="BQ123" s="248">
        <f>-MIN(BQ120+BQ121+BQ122,MAX(0,BQ61-Helpers!BQ26))</f>
        <v/>
      </c>
      <c r="BR123" s="248">
        <f>-MIN(BR120+BR121+BR122,MAX(0,BR61-Helpers!BR26))</f>
        <v/>
      </c>
      <c r="BS123" s="248">
        <f>-MIN(BS120+BS121+BS122,MAX(0,BS61-Helpers!BS26))</f>
        <v/>
      </c>
      <c r="BT123" s="248">
        <f>-MIN(BT120+BT121+BT122,MAX(0,BT61-Helpers!BT26))</f>
        <v/>
      </c>
      <c r="BU123" s="248">
        <f>-MIN(BU120+BU121+BU122,MAX(0,BU61-Helpers!BU26))</f>
        <v/>
      </c>
      <c r="BV123" s="248">
        <f>-MIN(BV120+BV121+BV122,MAX(0,BV61-Helpers!BV26))</f>
        <v/>
      </c>
      <c r="BW123" s="248">
        <f>-MIN(BW120+BW121+BW122,MAX(0,BW61-Helpers!BW26))</f>
        <v/>
      </c>
      <c r="BX123" s="248">
        <f>-MIN(BX120+BX121+BX122,MAX(0,BX61-Helpers!BX26))</f>
        <v/>
      </c>
      <c r="BY123" s="248">
        <f>-MIN(BY120+BY121+BY122,MAX(0,BY61-Helpers!BY26))</f>
        <v/>
      </c>
      <c r="BZ123" s="248">
        <f>-MIN(BZ120+BZ121+BZ122,MAX(0,BZ61-Helpers!BZ26))</f>
        <v/>
      </c>
      <c r="CA123" s="248">
        <f>-MIN(CA120+CA121+CA122,MAX(0,CA61-Helpers!CA26))</f>
        <v/>
      </c>
      <c r="CB123" s="248">
        <f>-MIN(CB120+CB121+CB122,MAX(0,CB61-Helpers!CB26))</f>
        <v/>
      </c>
      <c r="CC123" s="248">
        <f>-MIN(CC120+CC121+CC122,MAX(0,CC61-Helpers!CC26))</f>
        <v/>
      </c>
      <c r="CD123" s="248">
        <f>-MIN(CD120+CD121+CD122,MAX(0,CD61-Helpers!CD26))</f>
        <v/>
      </c>
      <c r="CE123" s="248">
        <f>-MIN(CE120+CE121+CE122,MAX(0,CE61-Helpers!CE26))</f>
        <v/>
      </c>
      <c r="CF123" s="248">
        <f>-MIN(CF120+CF121+CF122,MAX(0,CF61-Helpers!CF26))</f>
        <v/>
      </c>
      <c r="CG123" s="248">
        <f>-MIN(CG120+CG121+CG122,MAX(0,CG61-Helpers!CG26))</f>
        <v/>
      </c>
      <c r="CH123" s="248">
        <f>-MIN(CH120+CH121+CH122,MAX(0,CH61-Helpers!CH26))</f>
        <v/>
      </c>
      <c r="CI123" s="226" t="n"/>
    </row>
    <row r="124" ht="15" customHeight="1" s="202">
      <c r="A124" s="242" t="inlineStr">
        <is>
          <t>3rd St - Ending Balance</t>
        </is>
      </c>
      <c r="B124" s="243" t="n"/>
      <c r="C124" s="244">
        <f>MAX(0,C120+C121+C122+C123)</f>
        <v/>
      </c>
      <c r="D124" s="244">
        <f>MAX(0,D120+D121+D122+D123)</f>
        <v/>
      </c>
      <c r="E124" s="244">
        <f>MAX(0,E120+E121+E122+E123)</f>
        <v/>
      </c>
      <c r="F124" s="244">
        <f>MAX(0,F120+F121+F122+F123)</f>
        <v/>
      </c>
      <c r="G124" s="244">
        <f>MAX(0,G120+G121+G122+G123)</f>
        <v/>
      </c>
      <c r="H124" s="244">
        <f>MAX(0,H120+H121+H122+H123)</f>
        <v/>
      </c>
      <c r="I124" s="244">
        <f>MAX(0,I120+I121+I122+I123)</f>
        <v/>
      </c>
      <c r="J124" s="244">
        <f>MAX(0,J120+J121+J122+J123)</f>
        <v/>
      </c>
      <c r="K124" s="244">
        <f>MAX(0,K120+K121+K122+K123)</f>
        <v/>
      </c>
      <c r="L124" s="244">
        <f>MAX(0,L120+L121+L122+L123)</f>
        <v/>
      </c>
      <c r="M124" s="244">
        <f>MAX(0,M120+M121+M122+M123)</f>
        <v/>
      </c>
      <c r="N124" s="244">
        <f>MAX(0,N120+N121+N122+N123)</f>
        <v/>
      </c>
      <c r="O124" s="244">
        <f>MAX(0,O120+O121+O122+O123)</f>
        <v/>
      </c>
      <c r="P124" s="244">
        <f>MAX(0,P120+P121+P122+P123)</f>
        <v/>
      </c>
      <c r="Q124" s="244">
        <f>MAX(0,Q120+Q121+Q122+Q123)</f>
        <v/>
      </c>
      <c r="R124" s="244">
        <f>MAX(0,R120+R121+R122+R123)</f>
        <v/>
      </c>
      <c r="S124" s="244">
        <f>MAX(0,S120+S121+S122+S123)</f>
        <v/>
      </c>
      <c r="T124" s="244">
        <f>MAX(0,T120+T121+T122+T123)</f>
        <v/>
      </c>
      <c r="U124" s="244">
        <f>MAX(0,U120+U121+U122+U123)</f>
        <v/>
      </c>
      <c r="V124" s="244">
        <f>MAX(0,V120+V121+V122+V123)</f>
        <v/>
      </c>
      <c r="W124" s="244">
        <f>MAX(0,W120+W121+W122+W123)</f>
        <v/>
      </c>
      <c r="X124" s="244">
        <f>MAX(0,X120+X121+X122+X123)</f>
        <v/>
      </c>
      <c r="Y124" s="244">
        <f>MAX(0,Y120+Y121+Y122+Y123)</f>
        <v/>
      </c>
      <c r="Z124" s="244">
        <f>MAX(0,Z120+Z121+Z122+Z123)</f>
        <v/>
      </c>
      <c r="AA124" s="244">
        <f>MAX(0,AA120+AA121+AA122+AA123)</f>
        <v/>
      </c>
      <c r="AB124" s="244">
        <f>MAX(0,AB120+AB121+AB122+AB123)</f>
        <v/>
      </c>
      <c r="AC124" s="244">
        <f>MAX(0,AC120+AC121+AC122+AC123)</f>
        <v/>
      </c>
      <c r="AD124" s="244">
        <f>MAX(0,AD120+AD121+AD122+AD123)</f>
        <v/>
      </c>
      <c r="AE124" s="244">
        <f>MAX(0,AE120+AE121+AE122+AE123)</f>
        <v/>
      </c>
      <c r="AF124" s="244">
        <f>MAX(0,AF120+AF121+AF122+AF123)</f>
        <v/>
      </c>
      <c r="AG124" s="244">
        <f>MAX(0,AG120+AG121+AG122+AG123)</f>
        <v/>
      </c>
      <c r="AH124" s="244">
        <f>MAX(0,AH120+AH121+AH122+AH123)</f>
        <v/>
      </c>
      <c r="AI124" s="244">
        <f>MAX(0,AI120+AI121+AI122+AI123)</f>
        <v/>
      </c>
      <c r="AJ124" s="244">
        <f>MAX(0,AJ120+AJ121+AJ122+AJ123)</f>
        <v/>
      </c>
      <c r="AK124" s="244">
        <f>MAX(0,AK120+AK121+AK122+AK123)</f>
        <v/>
      </c>
      <c r="AL124" s="244">
        <f>MAX(0,AL120+AL121+AL122+AL123)</f>
        <v/>
      </c>
      <c r="AM124" s="244">
        <f>MAX(0,AM120+AM121+AM122+AM123)</f>
        <v/>
      </c>
      <c r="AN124" s="244">
        <f>MAX(0,AN120+AN121+AN122+AN123)</f>
        <v/>
      </c>
      <c r="AO124" s="244">
        <f>MAX(0,AO120+AO121+AO122+AO123)</f>
        <v/>
      </c>
      <c r="AP124" s="244">
        <f>MAX(0,AP120+AP121+AP122+AP123)</f>
        <v/>
      </c>
      <c r="AQ124" s="244">
        <f>MAX(0,AQ120+AQ121+AQ122+AQ123)</f>
        <v/>
      </c>
      <c r="AR124" s="244">
        <f>MAX(0,AR120+AR121+AR122+AR123)</f>
        <v/>
      </c>
      <c r="AS124" s="244">
        <f>MAX(0,AS120+AS121+AS122+AS123)</f>
        <v/>
      </c>
      <c r="AT124" s="244">
        <f>MAX(0,AT120+AT121+AT122+AT123)</f>
        <v/>
      </c>
      <c r="AU124" s="244">
        <f>MAX(0,AU120+AU121+AU122+AU123)</f>
        <v/>
      </c>
      <c r="AV124" s="244">
        <f>MAX(0,AV120+AV121+AV122+AV123)</f>
        <v/>
      </c>
      <c r="AW124" s="244">
        <f>MAX(0,AW120+AW121+AW122+AW123)</f>
        <v/>
      </c>
      <c r="AX124" s="244">
        <f>MAX(0,AX120+AX121+AX122+AX123)</f>
        <v/>
      </c>
      <c r="AY124" s="244">
        <f>MAX(0,AY120+AY121+AY122+AY123)</f>
        <v/>
      </c>
      <c r="AZ124" s="244">
        <f>MAX(0,AZ120+AZ121+AZ122+AZ123)</f>
        <v/>
      </c>
      <c r="BA124" s="244">
        <f>MAX(0,BA120+BA121+BA122+BA123)</f>
        <v/>
      </c>
      <c r="BB124" s="244">
        <f>MAX(0,BB120+BB121+BB122+BB123)</f>
        <v/>
      </c>
      <c r="BC124" s="244">
        <f>MAX(0,BC120+BC121+BC122+BC123)</f>
        <v/>
      </c>
      <c r="BD124" s="244">
        <f>MAX(0,BD120+BD121+BD122+BD123)</f>
        <v/>
      </c>
      <c r="BE124" s="244">
        <f>MAX(0,BE120+BE121+BE122+BE123)</f>
        <v/>
      </c>
      <c r="BF124" s="244">
        <f>MAX(0,BF120+BF121+BF122+BF123)</f>
        <v/>
      </c>
      <c r="BG124" s="244">
        <f>MAX(0,BG120+BG121+BG122+BG123)</f>
        <v/>
      </c>
      <c r="BH124" s="244">
        <f>MAX(0,BH120+BH121+BH122+BH123)</f>
        <v/>
      </c>
      <c r="BI124" s="244">
        <f>MAX(0,BI120+BI121+BI122+BI123)</f>
        <v/>
      </c>
      <c r="BJ124" s="244">
        <f>MAX(0,BJ120+BJ121+BJ122+BJ123)</f>
        <v/>
      </c>
      <c r="BK124" s="244">
        <f>MAX(0,BK120+BK121+BK122+BK123)</f>
        <v/>
      </c>
      <c r="BL124" s="244">
        <f>MAX(0,BL120+BL121+BL122+BL123)</f>
        <v/>
      </c>
      <c r="BM124" s="244">
        <f>MAX(0,BM120+BM121+BM122+BM123)</f>
        <v/>
      </c>
      <c r="BN124" s="244">
        <f>MAX(0,BN120+BN121+BN122+BN123)</f>
        <v/>
      </c>
      <c r="BO124" s="244">
        <f>MAX(0,BO120+BO121+BO122+BO123)</f>
        <v/>
      </c>
      <c r="BP124" s="244">
        <f>MAX(0,BP120+BP121+BP122+BP123)</f>
        <v/>
      </c>
      <c r="BQ124" s="244">
        <f>MAX(0,BQ120+BQ121+BQ122+BQ123)</f>
        <v/>
      </c>
      <c r="BR124" s="244">
        <f>MAX(0,BR120+BR121+BR122+BR123)</f>
        <v/>
      </c>
      <c r="BS124" s="244">
        <f>MAX(0,BS120+BS121+BS122+BS123)</f>
        <v/>
      </c>
      <c r="BT124" s="244">
        <f>MAX(0,BT120+BT121+BT122+BT123)</f>
        <v/>
      </c>
      <c r="BU124" s="244">
        <f>MAX(0,BU120+BU121+BU122+BU123)</f>
        <v/>
      </c>
      <c r="BV124" s="244">
        <f>MAX(0,BV120+BV121+BV122+BV123)</f>
        <v/>
      </c>
      <c r="BW124" s="244">
        <f>MAX(0,BW120+BW121+BW122+BW123)</f>
        <v/>
      </c>
      <c r="BX124" s="244">
        <f>MAX(0,BX120+BX121+BX122+BX123)</f>
        <v/>
      </c>
      <c r="BY124" s="244">
        <f>MAX(0,BY120+BY121+BY122+BY123)</f>
        <v/>
      </c>
      <c r="BZ124" s="244">
        <f>MAX(0,BZ120+BZ121+BZ122+BZ123)</f>
        <v/>
      </c>
      <c r="CA124" s="244">
        <f>MAX(0,CA120+CA121+CA122+CA123)</f>
        <v/>
      </c>
      <c r="CB124" s="244">
        <f>MAX(0,CB120+CB121+CB122+CB123)</f>
        <v/>
      </c>
      <c r="CC124" s="244">
        <f>MAX(0,CC120+CC121+CC122+CC123)</f>
        <v/>
      </c>
      <c r="CD124" s="244">
        <f>MAX(0,CD120+CD121+CD122+CD123)</f>
        <v/>
      </c>
      <c r="CE124" s="244">
        <f>MAX(0,CE120+CE121+CE122+CE123)</f>
        <v/>
      </c>
      <c r="CF124" s="244">
        <f>MAX(0,CF120+CF121+CF122+CF123)</f>
        <v/>
      </c>
      <c r="CG124" s="244">
        <f>MAX(0,CG120+CG121+CG122+CG123)</f>
        <v/>
      </c>
      <c r="CH124" s="244">
        <f>MAX(0,CH120+CH121+CH122+CH123)</f>
        <v/>
      </c>
      <c r="CI124" s="226" t="n"/>
    </row>
    <row r="125" ht="15" customHeight="1" s="202">
      <c r="A125" s="245" t="inlineStr">
        <is>
          <t>Reseda - Beginning Balance</t>
        </is>
      </c>
      <c r="B125" s="245" t="n"/>
      <c r="C125" s="246">
        <f>IF(Projects!$G$13="Yes",Assumptions!$B$71,0)</f>
        <v/>
      </c>
      <c r="D125" s="246">
        <f>C129+IF(AND(Projects!$G$13="Yes",2&lt;=Assumptions!$B$73),Assumptions!$B$72,0)</f>
        <v/>
      </c>
      <c r="E125" s="246">
        <f>D129+IF(AND(Projects!$G$13="Yes",3&lt;=Assumptions!$B$73),Assumptions!$B$72,0)</f>
        <v/>
      </c>
      <c r="F125" s="246">
        <f>E129+IF(AND(Projects!$G$13="Yes",4&lt;=Assumptions!$B$73),Assumptions!$B$72,0)</f>
        <v/>
      </c>
      <c r="G125" s="246">
        <f>F129+IF(AND(Projects!$G$13="Yes",5&lt;=Assumptions!$B$73),Assumptions!$B$72,0)</f>
        <v/>
      </c>
      <c r="H125" s="246">
        <f>G129+IF(AND(Projects!$G$13="Yes",6&lt;=Assumptions!$B$73),Assumptions!$B$72,0)</f>
        <v/>
      </c>
      <c r="I125" s="246">
        <f>H129+IF(AND(Projects!$G$13="Yes",7&lt;=Assumptions!$B$73),Assumptions!$B$72,0)</f>
        <v/>
      </c>
      <c r="J125" s="246">
        <f>I129+IF(AND(Projects!$G$13="Yes",8&lt;=Assumptions!$B$73),Assumptions!$B$72,0)</f>
        <v/>
      </c>
      <c r="K125" s="246">
        <f>J129+IF(AND(Projects!$G$13="Yes",9&lt;=Assumptions!$B$73),Assumptions!$B$72,0)</f>
        <v/>
      </c>
      <c r="L125" s="246">
        <f>K129+IF(AND(Projects!$G$13="Yes",10&lt;=Assumptions!$B$73),Assumptions!$B$72,0)</f>
        <v/>
      </c>
      <c r="M125" s="246">
        <f>L129+IF(AND(Projects!$G$13="Yes",11&lt;=Assumptions!$B$73),Assumptions!$B$72,0)</f>
        <v/>
      </c>
      <c r="N125" s="246">
        <f>M129+IF(AND(Projects!$G$13="Yes",12&lt;=Assumptions!$B$73),Assumptions!$B$72,0)</f>
        <v/>
      </c>
      <c r="O125" s="246">
        <f>N129+IF(AND(Projects!$G$13="Yes",13&lt;=Assumptions!$B$73),Assumptions!$B$72,0)</f>
        <v/>
      </c>
      <c r="P125" s="246">
        <f>O129+IF(AND(Projects!$G$13="Yes",14&lt;=Assumptions!$B$73),Assumptions!$B$72,0)</f>
        <v/>
      </c>
      <c r="Q125" s="246">
        <f>P129+IF(AND(Projects!$G$13="Yes",15&lt;=Assumptions!$B$73),Assumptions!$B$72,0)</f>
        <v/>
      </c>
      <c r="R125" s="246">
        <f>Q129+IF(AND(Projects!$G$13="Yes",16&lt;=Assumptions!$B$73),Assumptions!$B$72,0)</f>
        <v/>
      </c>
      <c r="S125" s="246">
        <f>R129+IF(AND(Projects!$G$13="Yes",17&lt;=Assumptions!$B$73),Assumptions!$B$72,0)</f>
        <v/>
      </c>
      <c r="T125" s="246">
        <f>S129+IF(AND(Projects!$G$13="Yes",18&lt;=Assumptions!$B$73),Assumptions!$B$72,0)</f>
        <v/>
      </c>
      <c r="U125" s="246">
        <f>T129+IF(AND(Projects!$G$13="Yes",19&lt;=Assumptions!$B$73),Assumptions!$B$72,0)</f>
        <v/>
      </c>
      <c r="V125" s="246">
        <f>U129+IF(AND(Projects!$G$13="Yes",20&lt;=Assumptions!$B$73),Assumptions!$B$72,0)</f>
        <v/>
      </c>
      <c r="W125" s="246">
        <f>V129+IF(AND(Projects!$G$13="Yes",21&lt;=Assumptions!$B$73),Assumptions!$B$72,0)</f>
        <v/>
      </c>
      <c r="X125" s="246">
        <f>W129+IF(AND(Projects!$G$13="Yes",22&lt;=Assumptions!$B$73),Assumptions!$B$72,0)</f>
        <v/>
      </c>
      <c r="Y125" s="246">
        <f>X129+IF(AND(Projects!$G$13="Yes",23&lt;=Assumptions!$B$73),Assumptions!$B$72,0)</f>
        <v/>
      </c>
      <c r="Z125" s="246">
        <f>Y129+IF(AND(Projects!$G$13="Yes",24&lt;=Assumptions!$B$73),Assumptions!$B$72,0)</f>
        <v/>
      </c>
      <c r="AA125" s="246">
        <f>Z129+IF(AND(Projects!$G$13="Yes",25&lt;=Assumptions!$B$73),Assumptions!$B$72,0)</f>
        <v/>
      </c>
      <c r="AB125" s="246">
        <f>AA129+IF(AND(Projects!$G$13="Yes",26&lt;=Assumptions!$B$73),Assumptions!$B$72,0)</f>
        <v/>
      </c>
      <c r="AC125" s="246">
        <f>AB129+IF(AND(Projects!$G$13="Yes",27&lt;=Assumptions!$B$73),Assumptions!$B$72,0)</f>
        <v/>
      </c>
      <c r="AD125" s="246">
        <f>AC129+IF(AND(Projects!$G$13="Yes",28&lt;=Assumptions!$B$73),Assumptions!$B$72,0)</f>
        <v/>
      </c>
      <c r="AE125" s="246">
        <f>AD129+IF(AND(Projects!$G$13="Yes",29&lt;=Assumptions!$B$73),Assumptions!$B$72,0)</f>
        <v/>
      </c>
      <c r="AF125" s="246">
        <f>AE129+IF(AND(Projects!$G$13="Yes",30&lt;=Assumptions!$B$73),Assumptions!$B$72,0)</f>
        <v/>
      </c>
      <c r="AG125" s="246">
        <f>AF129+IF(AND(Projects!$G$13="Yes",31&lt;=Assumptions!$B$73),Assumptions!$B$72,0)</f>
        <v/>
      </c>
      <c r="AH125" s="246">
        <f>AG129+IF(AND(Projects!$G$13="Yes",32&lt;=Assumptions!$B$73),Assumptions!$B$72,0)</f>
        <v/>
      </c>
      <c r="AI125" s="246">
        <f>AH129+IF(AND(Projects!$G$13="Yes",33&lt;=Assumptions!$B$73),Assumptions!$B$72,0)</f>
        <v/>
      </c>
      <c r="AJ125" s="246">
        <f>AI129+IF(AND(Projects!$G$13="Yes",34&lt;=Assumptions!$B$73),Assumptions!$B$72,0)</f>
        <v/>
      </c>
      <c r="AK125" s="246">
        <f>AJ129+IF(AND(Projects!$G$13="Yes",35&lt;=Assumptions!$B$73),Assumptions!$B$72,0)</f>
        <v/>
      </c>
      <c r="AL125" s="246">
        <f>AK129+IF(AND(Projects!$G$13="Yes",36&lt;=Assumptions!$B$73),Assumptions!$B$72,0)</f>
        <v/>
      </c>
      <c r="AM125" s="246">
        <f>AL129+IF(AND(Projects!$G$13="Yes",37&lt;=Assumptions!$B$73),Assumptions!$B$72,0)</f>
        <v/>
      </c>
      <c r="AN125" s="246">
        <f>AM129+IF(AND(Projects!$G$13="Yes",38&lt;=Assumptions!$B$73),Assumptions!$B$72,0)</f>
        <v/>
      </c>
      <c r="AO125" s="246">
        <f>AN129+IF(AND(Projects!$G$13="Yes",39&lt;=Assumptions!$B$73),Assumptions!$B$72,0)</f>
        <v/>
      </c>
      <c r="AP125" s="246">
        <f>AO129+IF(AND(Projects!$G$13="Yes",40&lt;=Assumptions!$B$73),Assumptions!$B$72,0)</f>
        <v/>
      </c>
      <c r="AQ125" s="246">
        <f>AP129+IF(AND(Projects!$G$13="Yes",41&lt;=Assumptions!$B$73),Assumptions!$B$72,0)</f>
        <v/>
      </c>
      <c r="AR125" s="246">
        <f>AQ129+IF(AND(Projects!$G$13="Yes",42&lt;=Assumptions!$B$73),Assumptions!$B$72,0)</f>
        <v/>
      </c>
      <c r="AS125" s="246">
        <f>AR129+IF(AND(Projects!$G$13="Yes",43&lt;=Assumptions!$B$73),Assumptions!$B$72,0)</f>
        <v/>
      </c>
      <c r="AT125" s="246">
        <f>AS129+IF(AND(Projects!$G$13="Yes",44&lt;=Assumptions!$B$73),Assumptions!$B$72,0)</f>
        <v/>
      </c>
      <c r="AU125" s="246">
        <f>AT129+IF(AND(Projects!$G$13="Yes",45&lt;=Assumptions!$B$73),Assumptions!$B$72,0)</f>
        <v/>
      </c>
      <c r="AV125" s="246">
        <f>AU129+IF(AND(Projects!$G$13="Yes",46&lt;=Assumptions!$B$73),Assumptions!$B$72,0)</f>
        <v/>
      </c>
      <c r="AW125" s="246">
        <f>AV129+IF(AND(Projects!$G$13="Yes",47&lt;=Assumptions!$B$73),Assumptions!$B$72,0)</f>
        <v/>
      </c>
      <c r="AX125" s="246">
        <f>AW129+IF(AND(Projects!$G$13="Yes",48&lt;=Assumptions!$B$73),Assumptions!$B$72,0)</f>
        <v/>
      </c>
      <c r="AY125" s="246">
        <f>AX129+IF(AND(Projects!$G$13="Yes",49&lt;=Assumptions!$B$73),Assumptions!$B$72,0)</f>
        <v/>
      </c>
      <c r="AZ125" s="246">
        <f>AY129+IF(AND(Projects!$G$13="Yes",50&lt;=Assumptions!$B$73),Assumptions!$B$72,0)</f>
        <v/>
      </c>
      <c r="BA125" s="246">
        <f>AZ129+IF(AND(Projects!$G$13="Yes",51&lt;=Assumptions!$B$73),Assumptions!$B$72,0)</f>
        <v/>
      </c>
      <c r="BB125" s="246">
        <f>BA129+IF(AND(Projects!$G$13="Yes",52&lt;=Assumptions!$B$73),Assumptions!$B$72,0)</f>
        <v/>
      </c>
      <c r="BC125" s="246">
        <f>BB129+IF(AND(Projects!$G$13="Yes",53&lt;=Assumptions!$B$73),Assumptions!$B$72,0)</f>
        <v/>
      </c>
      <c r="BD125" s="246">
        <f>BC129+IF(AND(Projects!$G$13="Yes",54&lt;=Assumptions!$B$73),Assumptions!$B$72,0)</f>
        <v/>
      </c>
      <c r="BE125" s="246">
        <f>BD129+IF(AND(Projects!$G$13="Yes",55&lt;=Assumptions!$B$73),Assumptions!$B$72,0)</f>
        <v/>
      </c>
      <c r="BF125" s="246">
        <f>BE129+IF(AND(Projects!$G$13="Yes",56&lt;=Assumptions!$B$73),Assumptions!$B$72,0)</f>
        <v/>
      </c>
      <c r="BG125" s="246">
        <f>BF129+IF(AND(Projects!$G$13="Yes",57&lt;=Assumptions!$B$73),Assumptions!$B$72,0)</f>
        <v/>
      </c>
      <c r="BH125" s="246">
        <f>BG129+IF(AND(Projects!$G$13="Yes",58&lt;=Assumptions!$B$73),Assumptions!$B$72,0)</f>
        <v/>
      </c>
      <c r="BI125" s="246">
        <f>BH129+IF(AND(Projects!$G$13="Yes",59&lt;=Assumptions!$B$73),Assumptions!$B$72,0)</f>
        <v/>
      </c>
      <c r="BJ125" s="246">
        <f>BI129+IF(AND(Projects!$G$13="Yes",60&lt;=Assumptions!$B$73),Assumptions!$B$72,0)</f>
        <v/>
      </c>
      <c r="BK125" s="246">
        <f>BJ129+IF(AND(Projects!$G$13="Yes",61&lt;=Assumptions!$B$73),Assumptions!$B$72,0)</f>
        <v/>
      </c>
      <c r="BL125" s="246">
        <f>BK129+IF(AND(Projects!$G$13="Yes",62&lt;=Assumptions!$B$73),Assumptions!$B$72,0)</f>
        <v/>
      </c>
      <c r="BM125" s="246">
        <f>BL129+IF(AND(Projects!$G$13="Yes",63&lt;=Assumptions!$B$73),Assumptions!$B$72,0)</f>
        <v/>
      </c>
      <c r="BN125" s="246">
        <f>BM129+IF(AND(Projects!$G$13="Yes",64&lt;=Assumptions!$B$73),Assumptions!$B$72,0)</f>
        <v/>
      </c>
      <c r="BO125" s="246">
        <f>BN129+IF(AND(Projects!$G$13="Yes",65&lt;=Assumptions!$B$73),Assumptions!$B$72,0)</f>
        <v/>
      </c>
      <c r="BP125" s="246">
        <f>BO129+IF(AND(Projects!$G$13="Yes",66&lt;=Assumptions!$B$73),Assumptions!$B$72,0)</f>
        <v/>
      </c>
      <c r="BQ125" s="246">
        <f>BP129+IF(AND(Projects!$G$13="Yes",67&lt;=Assumptions!$B$73),Assumptions!$B$72,0)</f>
        <v/>
      </c>
      <c r="BR125" s="246">
        <f>BQ129+IF(AND(Projects!$G$13="Yes",68&lt;=Assumptions!$B$73),Assumptions!$B$72,0)</f>
        <v/>
      </c>
      <c r="BS125" s="246">
        <f>BR129+IF(AND(Projects!$G$13="Yes",69&lt;=Assumptions!$B$73),Assumptions!$B$72,0)</f>
        <v/>
      </c>
      <c r="BT125" s="246">
        <f>BS129+IF(AND(Projects!$G$13="Yes",70&lt;=Assumptions!$B$73),Assumptions!$B$72,0)</f>
        <v/>
      </c>
      <c r="BU125" s="246">
        <f>BT129+IF(AND(Projects!$G$13="Yes",71&lt;=Assumptions!$B$73),Assumptions!$B$72,0)</f>
        <v/>
      </c>
      <c r="BV125" s="246">
        <f>BU129+IF(AND(Projects!$G$13="Yes",72&lt;=Assumptions!$B$73),Assumptions!$B$72,0)</f>
        <v/>
      </c>
      <c r="BW125" s="246">
        <f>BV129+IF(AND(Projects!$G$13="Yes",73&lt;=Assumptions!$B$73),Assumptions!$B$72,0)</f>
        <v/>
      </c>
      <c r="BX125" s="246">
        <f>BW129+IF(AND(Projects!$G$13="Yes",74&lt;=Assumptions!$B$73),Assumptions!$B$72,0)</f>
        <v/>
      </c>
      <c r="BY125" s="246">
        <f>BX129+IF(AND(Projects!$G$13="Yes",75&lt;=Assumptions!$B$73),Assumptions!$B$72,0)</f>
        <v/>
      </c>
      <c r="BZ125" s="246">
        <f>BY129+IF(AND(Projects!$G$13="Yes",76&lt;=Assumptions!$B$73),Assumptions!$B$72,0)</f>
        <v/>
      </c>
      <c r="CA125" s="246">
        <f>BZ129+IF(AND(Projects!$G$13="Yes",77&lt;=Assumptions!$B$73),Assumptions!$B$72,0)</f>
        <v/>
      </c>
      <c r="CB125" s="246">
        <f>CA129+IF(AND(Projects!$G$13="Yes",78&lt;=Assumptions!$B$73),Assumptions!$B$72,0)</f>
        <v/>
      </c>
      <c r="CC125" s="246">
        <f>CB129+IF(AND(Projects!$G$13="Yes",79&lt;=Assumptions!$B$73),Assumptions!$B$72,0)</f>
        <v/>
      </c>
      <c r="CD125" s="246">
        <f>CC129+IF(AND(Projects!$G$13="Yes",80&lt;=Assumptions!$B$73),Assumptions!$B$72,0)</f>
        <v/>
      </c>
      <c r="CE125" s="246">
        <f>CD129+IF(AND(Projects!$G$13="Yes",81&lt;=Assumptions!$B$73),Assumptions!$B$72,0)</f>
        <v/>
      </c>
      <c r="CF125" s="246">
        <f>CE129+IF(AND(Projects!$G$13="Yes",82&lt;=Assumptions!$B$73),Assumptions!$B$72,0)</f>
        <v/>
      </c>
      <c r="CG125" s="246">
        <f>CF129+IF(AND(Projects!$G$13="Yes",83&lt;=Assumptions!$B$73),Assumptions!$B$72,0)</f>
        <v/>
      </c>
      <c r="CH125" s="246">
        <f>CG129+IF(AND(Projects!$G$13="Yes",84&lt;=Assumptions!$B$73),Assumptions!$B$72,0)</f>
        <v/>
      </c>
      <c r="CI125" s="226" t="n"/>
    </row>
    <row r="126" ht="15" customHeight="1" s="202">
      <c r="A126" s="245" t="inlineStr">
        <is>
          <t>Reseda - Quarterly Interest</t>
        </is>
      </c>
      <c r="B126" s="245" t="n"/>
      <c r="C126" s="246">
        <f>IF(AND(MOD(1,3)=0,C125&gt;0),C125*Assumptions!$B$59,0)</f>
        <v/>
      </c>
      <c r="D126" s="246">
        <f>IF(AND(MOD(2,3)=0,D125&gt;0),D125*Assumptions!$B$59,0)</f>
        <v/>
      </c>
      <c r="E126" s="246">
        <f>IF(AND(MOD(3,3)=0,E125&gt;0),E125*Assumptions!$B$59,0)</f>
        <v/>
      </c>
      <c r="F126" s="246">
        <f>IF(AND(MOD(4,3)=0,F125&gt;0),F125*Assumptions!$B$59,0)</f>
        <v/>
      </c>
      <c r="G126" s="246">
        <f>IF(AND(MOD(5,3)=0,G125&gt;0),G125*Assumptions!$B$59,0)</f>
        <v/>
      </c>
      <c r="H126" s="246">
        <f>IF(AND(MOD(6,3)=0,H125&gt;0),H125*Assumptions!$B$59,0)</f>
        <v/>
      </c>
      <c r="I126" s="246">
        <f>IF(AND(MOD(7,3)=0,I125&gt;0),I125*Assumptions!$B$59,0)</f>
        <v/>
      </c>
      <c r="J126" s="246">
        <f>IF(AND(MOD(8,3)=0,J125&gt;0),J125*Assumptions!$B$59,0)</f>
        <v/>
      </c>
      <c r="K126" s="246">
        <f>IF(AND(MOD(9,3)=0,K125&gt;0),K125*Assumptions!$B$59,0)</f>
        <v/>
      </c>
      <c r="L126" s="246">
        <f>IF(AND(MOD(10,3)=0,L125&gt;0),L125*Assumptions!$B$59,0)</f>
        <v/>
      </c>
      <c r="M126" s="246">
        <f>IF(AND(MOD(11,3)=0,M125&gt;0),M125*Assumptions!$B$59,0)</f>
        <v/>
      </c>
      <c r="N126" s="246">
        <f>IF(AND(MOD(12,3)=0,N125&gt;0),N125*Assumptions!$B$59,0)</f>
        <v/>
      </c>
      <c r="O126" s="246">
        <f>IF(AND(MOD(13,3)=0,O125&gt;0),O125*Assumptions!$B$59,0)</f>
        <v/>
      </c>
      <c r="P126" s="246">
        <f>IF(AND(MOD(14,3)=0,P125&gt;0),P125*Assumptions!$B$59,0)</f>
        <v/>
      </c>
      <c r="Q126" s="246">
        <f>IF(AND(MOD(15,3)=0,Q125&gt;0),Q125*Assumptions!$B$59,0)</f>
        <v/>
      </c>
      <c r="R126" s="246">
        <f>IF(AND(MOD(16,3)=0,R125&gt;0),R125*Assumptions!$B$59,0)</f>
        <v/>
      </c>
      <c r="S126" s="246">
        <f>IF(AND(MOD(17,3)=0,S125&gt;0),S125*Assumptions!$B$59,0)</f>
        <v/>
      </c>
      <c r="T126" s="246">
        <f>IF(AND(MOD(18,3)=0,T125&gt;0),T125*Assumptions!$B$59,0)</f>
        <v/>
      </c>
      <c r="U126" s="246">
        <f>IF(AND(MOD(19,3)=0,U125&gt;0),U125*Assumptions!$B$59,0)</f>
        <v/>
      </c>
      <c r="V126" s="246">
        <f>IF(AND(MOD(20,3)=0,V125&gt;0),V125*Assumptions!$B$59,0)</f>
        <v/>
      </c>
      <c r="W126" s="246">
        <f>IF(AND(MOD(21,3)=0,W125&gt;0),W125*Assumptions!$B$59,0)</f>
        <v/>
      </c>
      <c r="X126" s="246">
        <f>IF(AND(MOD(22,3)=0,X125&gt;0),X125*Assumptions!$B$59,0)</f>
        <v/>
      </c>
      <c r="Y126" s="246">
        <f>IF(AND(MOD(23,3)=0,Y125&gt;0),Y125*Assumptions!$B$59,0)</f>
        <v/>
      </c>
      <c r="Z126" s="246">
        <f>IF(AND(MOD(24,3)=0,Z125&gt;0),Z125*Assumptions!$B$59,0)</f>
        <v/>
      </c>
      <c r="AA126" s="246">
        <f>IF(AND(MOD(25,3)=0,AA125&gt;0),AA125*Assumptions!$B$59,0)</f>
        <v/>
      </c>
      <c r="AB126" s="246">
        <f>IF(AND(MOD(26,3)=0,AB125&gt;0),AB125*Assumptions!$B$59,0)</f>
        <v/>
      </c>
      <c r="AC126" s="246">
        <f>IF(AND(MOD(27,3)=0,AC125&gt;0),AC125*Assumptions!$B$59,0)</f>
        <v/>
      </c>
      <c r="AD126" s="246">
        <f>IF(AND(MOD(28,3)=0,AD125&gt;0),AD125*Assumptions!$B$59,0)</f>
        <v/>
      </c>
      <c r="AE126" s="246">
        <f>IF(AND(MOD(29,3)=0,AE125&gt;0),AE125*Assumptions!$B$59,0)</f>
        <v/>
      </c>
      <c r="AF126" s="246">
        <f>IF(AND(MOD(30,3)=0,AF125&gt;0),AF125*Assumptions!$B$59,0)</f>
        <v/>
      </c>
      <c r="AG126" s="246">
        <f>IF(AND(MOD(31,3)=0,AG125&gt;0),AG125*Assumptions!$B$59,0)</f>
        <v/>
      </c>
      <c r="AH126" s="246">
        <f>IF(AND(MOD(32,3)=0,AH125&gt;0),AH125*Assumptions!$B$59,0)</f>
        <v/>
      </c>
      <c r="AI126" s="246">
        <f>IF(AND(MOD(33,3)=0,AI125&gt;0),AI125*Assumptions!$B$59,0)</f>
        <v/>
      </c>
      <c r="AJ126" s="246">
        <f>IF(AND(MOD(34,3)=0,AJ125&gt;0),AJ125*Assumptions!$B$59,0)</f>
        <v/>
      </c>
      <c r="AK126" s="246">
        <f>IF(AND(MOD(35,3)=0,AK125&gt;0),AK125*Assumptions!$B$59,0)</f>
        <v/>
      </c>
      <c r="AL126" s="246">
        <f>IF(AND(MOD(36,3)=0,AL125&gt;0),AL125*Assumptions!$B$59,0)</f>
        <v/>
      </c>
      <c r="AM126" s="246">
        <f>IF(AND(MOD(37,3)=0,AM125&gt;0),AM125*Assumptions!$B$59,0)</f>
        <v/>
      </c>
      <c r="AN126" s="246">
        <f>IF(AND(MOD(38,3)=0,AN125&gt;0),AN125*Assumptions!$B$59,0)</f>
        <v/>
      </c>
      <c r="AO126" s="246">
        <f>IF(AND(MOD(39,3)=0,AO125&gt;0),AO125*Assumptions!$B$59,0)</f>
        <v/>
      </c>
      <c r="AP126" s="246">
        <f>IF(AND(MOD(40,3)=0,AP125&gt;0),AP125*Assumptions!$B$59,0)</f>
        <v/>
      </c>
      <c r="AQ126" s="246">
        <f>IF(AND(MOD(41,3)=0,AQ125&gt;0),AQ125*Assumptions!$B$59,0)</f>
        <v/>
      </c>
      <c r="AR126" s="246">
        <f>IF(AND(MOD(42,3)=0,AR125&gt;0),AR125*Assumptions!$B$59,0)</f>
        <v/>
      </c>
      <c r="AS126" s="246">
        <f>IF(AND(MOD(43,3)=0,AS125&gt;0),AS125*Assumptions!$B$59,0)</f>
        <v/>
      </c>
      <c r="AT126" s="246">
        <f>IF(AND(MOD(44,3)=0,AT125&gt;0),AT125*Assumptions!$B$59,0)</f>
        <v/>
      </c>
      <c r="AU126" s="246">
        <f>IF(AND(MOD(45,3)=0,AU125&gt;0),AU125*Assumptions!$B$59,0)</f>
        <v/>
      </c>
      <c r="AV126" s="246">
        <f>IF(AND(MOD(46,3)=0,AV125&gt;0),AV125*Assumptions!$B$59,0)</f>
        <v/>
      </c>
      <c r="AW126" s="246">
        <f>IF(AND(MOD(47,3)=0,AW125&gt;0),AW125*Assumptions!$B$59,0)</f>
        <v/>
      </c>
      <c r="AX126" s="246">
        <f>IF(AND(MOD(48,3)=0,AX125&gt;0),AX125*Assumptions!$B$59,0)</f>
        <v/>
      </c>
      <c r="AY126" s="246">
        <f>IF(AND(MOD(49,3)=0,AY125&gt;0),AY125*Assumptions!$B$59,0)</f>
        <v/>
      </c>
      <c r="AZ126" s="246">
        <f>IF(AND(MOD(50,3)=0,AZ125&gt;0),AZ125*Assumptions!$B$59,0)</f>
        <v/>
      </c>
      <c r="BA126" s="246">
        <f>IF(AND(MOD(51,3)=0,BA125&gt;0),BA125*Assumptions!$B$59,0)</f>
        <v/>
      </c>
      <c r="BB126" s="246">
        <f>IF(AND(MOD(52,3)=0,BB125&gt;0),BB125*Assumptions!$B$59,0)</f>
        <v/>
      </c>
      <c r="BC126" s="246">
        <f>IF(AND(MOD(53,3)=0,BC125&gt;0),BC125*Assumptions!$B$59,0)</f>
        <v/>
      </c>
      <c r="BD126" s="246">
        <f>IF(AND(MOD(54,3)=0,BD125&gt;0),BD125*Assumptions!$B$59,0)</f>
        <v/>
      </c>
      <c r="BE126" s="246">
        <f>IF(AND(MOD(55,3)=0,BE125&gt;0),BE125*Assumptions!$B$59,0)</f>
        <v/>
      </c>
      <c r="BF126" s="246">
        <f>IF(AND(MOD(56,3)=0,BF125&gt;0),BF125*Assumptions!$B$59,0)</f>
        <v/>
      </c>
      <c r="BG126" s="246">
        <f>IF(AND(MOD(57,3)=0,BG125&gt;0),BG125*Assumptions!$B$59,0)</f>
        <v/>
      </c>
      <c r="BH126" s="246">
        <f>IF(AND(MOD(58,3)=0,BH125&gt;0),BH125*Assumptions!$B$59,0)</f>
        <v/>
      </c>
      <c r="BI126" s="246">
        <f>IF(AND(MOD(59,3)=0,BI125&gt;0),BI125*Assumptions!$B$59,0)</f>
        <v/>
      </c>
      <c r="BJ126" s="246">
        <f>IF(AND(MOD(60,3)=0,BJ125&gt;0),BJ125*Assumptions!$B$59,0)</f>
        <v/>
      </c>
      <c r="BK126" s="246">
        <f>IF(AND(MOD(61,3)=0,BK125&gt;0),BK125*Assumptions!$B$59,0)</f>
        <v/>
      </c>
      <c r="BL126" s="246">
        <f>IF(AND(MOD(62,3)=0,BL125&gt;0),BL125*Assumptions!$B$59,0)</f>
        <v/>
      </c>
      <c r="BM126" s="246">
        <f>IF(AND(MOD(63,3)=0,BM125&gt;0),BM125*Assumptions!$B$59,0)</f>
        <v/>
      </c>
      <c r="BN126" s="246">
        <f>IF(AND(MOD(64,3)=0,BN125&gt;0),BN125*Assumptions!$B$59,0)</f>
        <v/>
      </c>
      <c r="BO126" s="246">
        <f>IF(AND(MOD(65,3)=0,BO125&gt;0),BO125*Assumptions!$B$59,0)</f>
        <v/>
      </c>
      <c r="BP126" s="246">
        <f>IF(AND(MOD(66,3)=0,BP125&gt;0),BP125*Assumptions!$B$59,0)</f>
        <v/>
      </c>
      <c r="BQ126" s="246">
        <f>IF(AND(MOD(67,3)=0,BQ125&gt;0),BQ125*Assumptions!$B$59,0)</f>
        <v/>
      </c>
      <c r="BR126" s="246">
        <f>IF(AND(MOD(68,3)=0,BR125&gt;0),BR125*Assumptions!$B$59,0)</f>
        <v/>
      </c>
      <c r="BS126" s="246">
        <f>IF(AND(MOD(69,3)=0,BS125&gt;0),BS125*Assumptions!$B$59,0)</f>
        <v/>
      </c>
      <c r="BT126" s="246">
        <f>IF(AND(MOD(70,3)=0,BT125&gt;0),BT125*Assumptions!$B$59,0)</f>
        <v/>
      </c>
      <c r="BU126" s="246">
        <f>IF(AND(MOD(71,3)=0,BU125&gt;0),BU125*Assumptions!$B$59,0)</f>
        <v/>
      </c>
      <c r="BV126" s="246">
        <f>IF(AND(MOD(72,3)=0,BV125&gt;0),BV125*Assumptions!$B$59,0)</f>
        <v/>
      </c>
      <c r="BW126" s="246">
        <f>IF(AND(MOD(73,3)=0,BW125&gt;0),BW125*Assumptions!$B$59,0)</f>
        <v/>
      </c>
      <c r="BX126" s="246">
        <f>IF(AND(MOD(74,3)=0,BX125&gt;0),BX125*Assumptions!$B$59,0)</f>
        <v/>
      </c>
      <c r="BY126" s="246">
        <f>IF(AND(MOD(75,3)=0,BY125&gt;0),BY125*Assumptions!$B$59,0)</f>
        <v/>
      </c>
      <c r="BZ126" s="246">
        <f>IF(AND(MOD(76,3)=0,BZ125&gt;0),BZ125*Assumptions!$B$59,0)</f>
        <v/>
      </c>
      <c r="CA126" s="246">
        <f>IF(AND(MOD(77,3)=0,CA125&gt;0),CA125*Assumptions!$B$59,0)</f>
        <v/>
      </c>
      <c r="CB126" s="246">
        <f>IF(AND(MOD(78,3)=0,CB125&gt;0),CB125*Assumptions!$B$59,0)</f>
        <v/>
      </c>
      <c r="CC126" s="246">
        <f>IF(AND(MOD(79,3)=0,CC125&gt;0),CC125*Assumptions!$B$59,0)</f>
        <v/>
      </c>
      <c r="CD126" s="246">
        <f>IF(AND(MOD(80,3)=0,CD125&gt;0),CD125*Assumptions!$B$59,0)</f>
        <v/>
      </c>
      <c r="CE126" s="246">
        <f>IF(AND(MOD(81,3)=0,CE125&gt;0),CE125*Assumptions!$B$59,0)</f>
        <v/>
      </c>
      <c r="CF126" s="246">
        <f>IF(AND(MOD(82,3)=0,CF125&gt;0),CF125*Assumptions!$B$59,0)</f>
        <v/>
      </c>
      <c r="CG126" s="246">
        <f>IF(AND(MOD(83,3)=0,CG125&gt;0),CG125*Assumptions!$B$59,0)</f>
        <v/>
      </c>
      <c r="CH126" s="246">
        <f>IF(AND(MOD(84,3)=0,CH125&gt;0),CH125*Assumptions!$B$59,0)</f>
        <v/>
      </c>
      <c r="CI126" s="226" t="n"/>
    </row>
    <row r="127" ht="15" customHeight="1" s="202">
      <c r="A127" s="245" t="inlineStr">
        <is>
          <t>Reseda - Deal Distribution</t>
        </is>
      </c>
      <c r="B127" s="245" t="n"/>
      <c r="C127" s="246" t="n">
        <v>0</v>
      </c>
      <c r="D127" s="246" t="n">
        <v>0</v>
      </c>
      <c r="E127" s="246" t="n">
        <v>0</v>
      </c>
      <c r="F127" s="246" t="n">
        <v>0</v>
      </c>
      <c r="G127" s="246" t="n">
        <v>0</v>
      </c>
      <c r="H127" s="246" t="n">
        <v>0</v>
      </c>
      <c r="I127" s="246" t="n">
        <v>0</v>
      </c>
      <c r="J127" s="246" t="n">
        <v>0</v>
      </c>
      <c r="K127" s="246" t="n">
        <v>0</v>
      </c>
      <c r="L127" s="246" t="n">
        <v>0</v>
      </c>
      <c r="M127" s="246" t="n">
        <v>0</v>
      </c>
      <c r="N127" s="246" t="n">
        <v>0</v>
      </c>
      <c r="O127" s="246">
        <f>IF(Projects!$G$13="Yes",Assumptions!$B$74,0)</f>
        <v/>
      </c>
      <c r="P127" s="246" t="n">
        <v>0</v>
      </c>
      <c r="Q127" s="246" t="n">
        <v>0</v>
      </c>
      <c r="R127" s="246" t="n">
        <v>0</v>
      </c>
      <c r="S127" s="246" t="n">
        <v>0</v>
      </c>
      <c r="T127" s="246" t="n">
        <v>0</v>
      </c>
      <c r="U127" s="246" t="n">
        <v>0</v>
      </c>
      <c r="V127" s="246" t="n">
        <v>0</v>
      </c>
      <c r="W127" s="246" t="n">
        <v>0</v>
      </c>
      <c r="X127" s="246" t="n">
        <v>0</v>
      </c>
      <c r="Y127" s="246" t="n">
        <v>0</v>
      </c>
      <c r="Z127" s="246" t="n">
        <v>0</v>
      </c>
      <c r="AA127" s="246" t="n">
        <v>0</v>
      </c>
      <c r="AB127" s="246" t="n">
        <v>0</v>
      </c>
      <c r="AC127" s="246" t="n">
        <v>0</v>
      </c>
      <c r="AD127" s="246" t="n">
        <v>0</v>
      </c>
      <c r="AE127" s="246" t="n">
        <v>0</v>
      </c>
      <c r="AF127" s="246" t="n">
        <v>0</v>
      </c>
      <c r="AG127" s="246" t="n">
        <v>0</v>
      </c>
      <c r="AH127" s="246" t="n">
        <v>0</v>
      </c>
      <c r="AI127" s="246" t="n">
        <v>0</v>
      </c>
      <c r="AJ127" s="246" t="n">
        <v>0</v>
      </c>
      <c r="AK127" s="246" t="n">
        <v>0</v>
      </c>
      <c r="AL127" s="246" t="n">
        <v>0</v>
      </c>
      <c r="AM127" s="246" t="n">
        <v>0</v>
      </c>
      <c r="AN127" s="246" t="n">
        <v>0</v>
      </c>
      <c r="AO127" s="246" t="n">
        <v>0</v>
      </c>
      <c r="AP127" s="246" t="n">
        <v>0</v>
      </c>
      <c r="AQ127" s="246" t="n">
        <v>0</v>
      </c>
      <c r="AR127" s="246" t="n">
        <v>0</v>
      </c>
      <c r="AS127" s="246" t="n">
        <v>0</v>
      </c>
      <c r="AT127" s="246" t="n">
        <v>0</v>
      </c>
      <c r="AU127" s="246" t="n">
        <v>0</v>
      </c>
      <c r="AV127" s="246" t="n">
        <v>0</v>
      </c>
      <c r="AW127" s="246" t="n">
        <v>0</v>
      </c>
      <c r="AX127" s="246" t="n">
        <v>0</v>
      </c>
      <c r="AY127" s="246" t="n">
        <v>0</v>
      </c>
      <c r="AZ127" s="246" t="n">
        <v>0</v>
      </c>
      <c r="BA127" s="246" t="n">
        <v>0</v>
      </c>
      <c r="BB127" s="246" t="n">
        <v>0</v>
      </c>
      <c r="BC127" s="246" t="n">
        <v>0</v>
      </c>
      <c r="BD127" s="246" t="n">
        <v>0</v>
      </c>
      <c r="BE127" s="246" t="n">
        <v>0</v>
      </c>
      <c r="BF127" s="246" t="n">
        <v>0</v>
      </c>
      <c r="BG127" s="246" t="n">
        <v>0</v>
      </c>
      <c r="BH127" s="246" t="n">
        <v>0</v>
      </c>
      <c r="BI127" s="246" t="n">
        <v>0</v>
      </c>
      <c r="BJ127" s="246" t="n">
        <v>0</v>
      </c>
      <c r="BK127" s="246" t="n">
        <v>0</v>
      </c>
      <c r="BL127" s="246" t="n">
        <v>0</v>
      </c>
      <c r="BM127" s="246" t="n">
        <v>0</v>
      </c>
      <c r="BN127" s="246" t="n">
        <v>0</v>
      </c>
      <c r="BO127" s="246" t="n">
        <v>0</v>
      </c>
      <c r="BP127" s="246" t="n">
        <v>0</v>
      </c>
      <c r="BQ127" s="246" t="n">
        <v>0</v>
      </c>
      <c r="BR127" s="246" t="n">
        <v>0</v>
      </c>
      <c r="BS127" s="246" t="n">
        <v>0</v>
      </c>
      <c r="BT127" s="246" t="n">
        <v>0</v>
      </c>
      <c r="BU127" s="246" t="n">
        <v>0</v>
      </c>
      <c r="BV127" s="246" t="n">
        <v>0</v>
      </c>
      <c r="BW127" s="246" t="n">
        <v>0</v>
      </c>
      <c r="BX127" s="246" t="n">
        <v>0</v>
      </c>
      <c r="BY127" s="246" t="n">
        <v>0</v>
      </c>
      <c r="BZ127" s="246" t="n">
        <v>0</v>
      </c>
      <c r="CA127" s="246" t="n">
        <v>0</v>
      </c>
      <c r="CB127" s="246" t="n">
        <v>0</v>
      </c>
      <c r="CC127" s="246" t="n">
        <v>0</v>
      </c>
      <c r="CD127" s="246" t="n">
        <v>0</v>
      </c>
      <c r="CE127" s="246" t="n">
        <v>0</v>
      </c>
      <c r="CF127" s="246" t="n">
        <v>0</v>
      </c>
      <c r="CG127" s="246" t="n">
        <v>0</v>
      </c>
      <c r="CH127" s="246" t="n">
        <v>0</v>
      </c>
      <c r="CI127" s="226" t="n"/>
    </row>
    <row r="128" ht="15" customHeight="1" s="202">
      <c r="A128" s="247" t="inlineStr">
        <is>
          <t>Reseda - PIK Payment (LIHTC)</t>
        </is>
      </c>
      <c r="B128" s="247" t="n"/>
      <c r="C128" s="248">
        <f>-MIN(C125+C126+C127,MAX(0,C60-Helpers!C23))</f>
        <v/>
      </c>
      <c r="D128" s="248">
        <f>-MIN(D125+D126+D127,MAX(0,D60-Helpers!D23))</f>
        <v/>
      </c>
      <c r="E128" s="248">
        <f>-MIN(E125+E126+E127,MAX(0,E60-Helpers!E23))</f>
        <v/>
      </c>
      <c r="F128" s="248">
        <f>-MIN(F125+F126+F127,MAX(0,F60-Helpers!F23))</f>
        <v/>
      </c>
      <c r="G128" s="248">
        <f>-MIN(G125+G126+G127,MAX(0,G60-Helpers!G23))</f>
        <v/>
      </c>
      <c r="H128" s="248">
        <f>-MIN(H125+H126+H127,MAX(0,H60-Helpers!H23))</f>
        <v/>
      </c>
      <c r="I128" s="248">
        <f>-MIN(I125+I126+I127,MAX(0,I60-Helpers!I23))</f>
        <v/>
      </c>
      <c r="J128" s="248">
        <f>-MIN(J125+J126+J127,MAX(0,J60-Helpers!J23))</f>
        <v/>
      </c>
      <c r="K128" s="248">
        <f>-MIN(K125+K126+K127,MAX(0,K60-Helpers!K23))</f>
        <v/>
      </c>
      <c r="L128" s="248">
        <f>-MIN(L125+L126+L127,MAX(0,L60-Helpers!L23))</f>
        <v/>
      </c>
      <c r="M128" s="248">
        <f>-MIN(M125+M126+M127,MAX(0,M60-Helpers!M23))</f>
        <v/>
      </c>
      <c r="N128" s="248">
        <f>-MIN(N125+N126+N127,MAX(0,N60-Helpers!N23))</f>
        <v/>
      </c>
      <c r="O128" s="248">
        <f>-MIN(O125+O126+O127,MAX(0,O60-Helpers!O23))</f>
        <v/>
      </c>
      <c r="P128" s="248">
        <f>-MIN(P125+P126+P127,MAX(0,P60-Helpers!P23))</f>
        <v/>
      </c>
      <c r="Q128" s="248">
        <f>-MIN(Q125+Q126+Q127,MAX(0,Q60-Helpers!Q23))</f>
        <v/>
      </c>
      <c r="R128" s="248">
        <f>-MIN(R125+R126+R127,MAX(0,R60-Helpers!R23))</f>
        <v/>
      </c>
      <c r="S128" s="248">
        <f>-MIN(S125+S126+S127,MAX(0,S60-Helpers!S23))</f>
        <v/>
      </c>
      <c r="T128" s="248">
        <f>-MIN(T125+T126+T127,MAX(0,T60-Helpers!T23))</f>
        <v/>
      </c>
      <c r="U128" s="248">
        <f>-MIN(U125+U126+U127,MAX(0,U60-Helpers!U23))</f>
        <v/>
      </c>
      <c r="V128" s="248">
        <f>-MIN(V125+V126+V127,MAX(0,V60-Helpers!V23))</f>
        <v/>
      </c>
      <c r="W128" s="248">
        <f>-MIN(W125+W126+W127,MAX(0,W60-Helpers!W23))</f>
        <v/>
      </c>
      <c r="X128" s="248">
        <f>-MIN(X125+X126+X127,MAX(0,X60-Helpers!X23))</f>
        <v/>
      </c>
      <c r="Y128" s="248">
        <f>-MIN(Y125+Y126+Y127,MAX(0,Y60-Helpers!Y23))</f>
        <v/>
      </c>
      <c r="Z128" s="248">
        <f>-MIN(Z125+Z126+Z127,MAX(0,Z60-Helpers!Z23))</f>
        <v/>
      </c>
      <c r="AA128" s="248">
        <f>-MIN(AA125+AA126+AA127,MAX(0,AA60-Helpers!AA23))</f>
        <v/>
      </c>
      <c r="AB128" s="248">
        <f>-MIN(AB125+AB126+AB127,MAX(0,AB60-Helpers!AB23))</f>
        <v/>
      </c>
      <c r="AC128" s="248">
        <f>-MIN(AC125+AC126+AC127,MAX(0,AC60-Helpers!AC23))</f>
        <v/>
      </c>
      <c r="AD128" s="248">
        <f>-MIN(AD125+AD126+AD127,MAX(0,AD60-Helpers!AD23))</f>
        <v/>
      </c>
      <c r="AE128" s="248">
        <f>-MIN(AE125+AE126+AE127,MAX(0,AE60-Helpers!AE23))</f>
        <v/>
      </c>
      <c r="AF128" s="248">
        <f>-MIN(AF125+AF126+AF127,MAX(0,AF60-Helpers!AF23))</f>
        <v/>
      </c>
      <c r="AG128" s="248">
        <f>-MIN(AG125+AG126+AG127,MAX(0,AG60-Helpers!AG23))</f>
        <v/>
      </c>
      <c r="AH128" s="248">
        <f>-MIN(AH125+AH126+AH127,MAX(0,AH60-Helpers!AH23))</f>
        <v/>
      </c>
      <c r="AI128" s="248">
        <f>-MIN(AI125+AI126+AI127,MAX(0,AI60-Helpers!AI23))</f>
        <v/>
      </c>
      <c r="AJ128" s="248">
        <f>-MIN(AJ125+AJ126+AJ127,MAX(0,AJ60-Helpers!AJ23))</f>
        <v/>
      </c>
      <c r="AK128" s="248">
        <f>-MIN(AK125+AK126+AK127,MAX(0,AK60-Helpers!AK23))</f>
        <v/>
      </c>
      <c r="AL128" s="248">
        <f>-MIN(AL125+AL126+AL127,MAX(0,AL60-Helpers!AL23))</f>
        <v/>
      </c>
      <c r="AM128" s="248">
        <f>-MIN(AM125+AM126+AM127,MAX(0,AM60-Helpers!AM23))</f>
        <v/>
      </c>
      <c r="AN128" s="248">
        <f>-MIN(AN125+AN126+AN127,MAX(0,AN60-Helpers!AN23))</f>
        <v/>
      </c>
      <c r="AO128" s="248">
        <f>-MIN(AO125+AO126+AO127,MAX(0,AO60-Helpers!AO23))</f>
        <v/>
      </c>
      <c r="AP128" s="248">
        <f>-MIN(AP125+AP126+AP127,MAX(0,AP60-Helpers!AP23))</f>
        <v/>
      </c>
      <c r="AQ128" s="248">
        <f>-MIN(AQ125+AQ126+AQ127,MAX(0,AQ60-Helpers!AQ23))</f>
        <v/>
      </c>
      <c r="AR128" s="248">
        <f>-MIN(AR125+AR126+AR127,MAX(0,AR60-Helpers!AR23))</f>
        <v/>
      </c>
      <c r="AS128" s="248">
        <f>-MIN(AS125+AS126+AS127,MAX(0,AS60-Helpers!AS23))</f>
        <v/>
      </c>
      <c r="AT128" s="248">
        <f>-MIN(AT125+AT126+AT127,MAX(0,AT60-Helpers!AT23))</f>
        <v/>
      </c>
      <c r="AU128" s="248">
        <f>-MIN(AU125+AU126+AU127,MAX(0,AU60-Helpers!AU23))</f>
        <v/>
      </c>
      <c r="AV128" s="248">
        <f>-MIN(AV125+AV126+AV127,MAX(0,AV60-Helpers!AV23))</f>
        <v/>
      </c>
      <c r="AW128" s="248">
        <f>-MIN(AW125+AW126+AW127,MAX(0,AW60-Helpers!AW23))</f>
        <v/>
      </c>
      <c r="AX128" s="248">
        <f>-MIN(AX125+AX126+AX127,MAX(0,AX60-Helpers!AX23))</f>
        <v/>
      </c>
      <c r="AY128" s="248">
        <f>-MIN(AY125+AY126+AY127,MAX(0,AY60-Helpers!AY23))</f>
        <v/>
      </c>
      <c r="AZ128" s="248">
        <f>-MIN(AZ125+AZ126+AZ127,MAX(0,AZ60-Helpers!AZ23))</f>
        <v/>
      </c>
      <c r="BA128" s="248">
        <f>-MIN(BA125+BA126+BA127,MAX(0,BA60-Helpers!BA23))</f>
        <v/>
      </c>
      <c r="BB128" s="248">
        <f>-MIN(BB125+BB126+BB127,MAX(0,BB60-Helpers!BB23))</f>
        <v/>
      </c>
      <c r="BC128" s="248">
        <f>-MIN(BC125+BC126+BC127,MAX(0,BC60-Helpers!BC23))</f>
        <v/>
      </c>
      <c r="BD128" s="248">
        <f>-MIN(BD125+BD126+BD127,MAX(0,BD60-Helpers!BD23))</f>
        <v/>
      </c>
      <c r="BE128" s="248">
        <f>-MIN(BE125+BE126+BE127,MAX(0,BE60-Helpers!BE23))</f>
        <v/>
      </c>
      <c r="BF128" s="248">
        <f>-MIN(BF125+BF126+BF127,MAX(0,BF60-Helpers!BF23))</f>
        <v/>
      </c>
      <c r="BG128" s="248">
        <f>-MIN(BG125+BG126+BG127,MAX(0,BG60-Helpers!BG23))</f>
        <v/>
      </c>
      <c r="BH128" s="248">
        <f>-MIN(BH125+BH126+BH127,MAX(0,BH60-Helpers!BH23))</f>
        <v/>
      </c>
      <c r="BI128" s="248">
        <f>-MIN(BI125+BI126+BI127,MAX(0,BI60-Helpers!BI23))</f>
        <v/>
      </c>
      <c r="BJ128" s="248">
        <f>-MIN(BJ125+BJ126+BJ127,MAX(0,BJ60-Helpers!BJ23))</f>
        <v/>
      </c>
      <c r="BK128" s="248">
        <f>-MIN(BK125+BK126+BK127,MAX(0,BK60-Helpers!BK23))</f>
        <v/>
      </c>
      <c r="BL128" s="248">
        <f>-MIN(BL125+BL126+BL127,MAX(0,BL60-Helpers!BL23))</f>
        <v/>
      </c>
      <c r="BM128" s="248">
        <f>-MIN(BM125+BM126+BM127,MAX(0,BM60-Helpers!BM23))</f>
        <v/>
      </c>
      <c r="BN128" s="248">
        <f>-MIN(BN125+BN126+BN127,MAX(0,BN60-Helpers!BN23))</f>
        <v/>
      </c>
      <c r="BO128" s="248">
        <f>-MIN(BO125+BO126+BO127,MAX(0,BO60-Helpers!BO23))</f>
        <v/>
      </c>
      <c r="BP128" s="248">
        <f>-MIN(BP125+BP126+BP127,MAX(0,BP60-Helpers!BP23))</f>
        <v/>
      </c>
      <c r="BQ128" s="248">
        <f>-MIN(BQ125+BQ126+BQ127,MAX(0,BQ60-Helpers!BQ23))</f>
        <v/>
      </c>
      <c r="BR128" s="248">
        <f>-MIN(BR125+BR126+BR127,MAX(0,BR60-Helpers!BR23))</f>
        <v/>
      </c>
      <c r="BS128" s="248">
        <f>-MIN(BS125+BS126+BS127,MAX(0,BS60-Helpers!BS23))</f>
        <v/>
      </c>
      <c r="BT128" s="248">
        <f>-MIN(BT125+BT126+BT127,MAX(0,BT60-Helpers!BT23))</f>
        <v/>
      </c>
      <c r="BU128" s="248">
        <f>-MIN(BU125+BU126+BU127,MAX(0,BU60-Helpers!BU23))</f>
        <v/>
      </c>
      <c r="BV128" s="248">
        <f>-MIN(BV125+BV126+BV127,MAX(0,BV60-Helpers!BV23))</f>
        <v/>
      </c>
      <c r="BW128" s="248">
        <f>-MIN(BW125+BW126+BW127,MAX(0,BW60-Helpers!BW23))</f>
        <v/>
      </c>
      <c r="BX128" s="248">
        <f>-MIN(BX125+BX126+BX127,MAX(0,BX60-Helpers!BX23))</f>
        <v/>
      </c>
      <c r="BY128" s="248">
        <f>-MIN(BY125+BY126+BY127,MAX(0,BY60-Helpers!BY23))</f>
        <v/>
      </c>
      <c r="BZ128" s="248">
        <f>-MIN(BZ125+BZ126+BZ127,MAX(0,BZ60-Helpers!BZ23))</f>
        <v/>
      </c>
      <c r="CA128" s="248">
        <f>-MIN(CA125+CA126+CA127,MAX(0,CA60-Helpers!CA23))</f>
        <v/>
      </c>
      <c r="CB128" s="248">
        <f>-MIN(CB125+CB126+CB127,MAX(0,CB60-Helpers!CB23))</f>
        <v/>
      </c>
      <c r="CC128" s="248">
        <f>-MIN(CC125+CC126+CC127,MAX(0,CC60-Helpers!CC23))</f>
        <v/>
      </c>
      <c r="CD128" s="248">
        <f>-MIN(CD125+CD126+CD127,MAX(0,CD60-Helpers!CD23))</f>
        <v/>
      </c>
      <c r="CE128" s="248">
        <f>-MIN(CE125+CE126+CE127,MAX(0,CE60-Helpers!CE23))</f>
        <v/>
      </c>
      <c r="CF128" s="248">
        <f>-MIN(CF125+CF126+CF127,MAX(0,CF60-Helpers!CF23))</f>
        <v/>
      </c>
      <c r="CG128" s="248">
        <f>-MIN(CG125+CG126+CG127,MAX(0,CG60-Helpers!CG23))</f>
        <v/>
      </c>
      <c r="CH128" s="248">
        <f>-MIN(CH125+CH126+CH127,MAX(0,CH60-Helpers!CH23))</f>
        <v/>
      </c>
      <c r="CI128" s="226" t="n"/>
    </row>
    <row r="129" ht="13.5" customHeight="1" s="202">
      <c r="A129" s="249" t="inlineStr">
        <is>
          <t>Reseda - Ending Balance</t>
        </is>
      </c>
      <c r="B129" s="250" t="n"/>
      <c r="C129" s="251">
        <f>MAX(0,C125+C126+C127+C128)</f>
        <v/>
      </c>
      <c r="D129" s="251">
        <f>MAX(0,D125+D126+D127+D128)</f>
        <v/>
      </c>
      <c r="E129" s="251">
        <f>MAX(0,E125+E126+E127+E128)</f>
        <v/>
      </c>
      <c r="F129" s="251">
        <f>MAX(0,F125+F126+F127+F128)</f>
        <v/>
      </c>
      <c r="G129" s="251">
        <f>MAX(0,G125+G126+G127+G128)</f>
        <v/>
      </c>
      <c r="H129" s="251">
        <f>MAX(0,H125+H126+H127+H128)</f>
        <v/>
      </c>
      <c r="I129" s="251">
        <f>MAX(0,I125+I126+I127+I128)</f>
        <v/>
      </c>
      <c r="J129" s="251">
        <f>MAX(0,J125+J126+J127+J128)</f>
        <v/>
      </c>
      <c r="K129" s="251">
        <f>MAX(0,K125+K126+K127+K128)</f>
        <v/>
      </c>
      <c r="L129" s="251">
        <f>MAX(0,L125+L126+L127+L128)</f>
        <v/>
      </c>
      <c r="M129" s="251">
        <f>MAX(0,M125+M126+M127+M128)</f>
        <v/>
      </c>
      <c r="N129" s="251">
        <f>MAX(0,N125+N126+N127+N128)</f>
        <v/>
      </c>
      <c r="O129" s="251">
        <f>MAX(0,O125+O126+O127+O128)</f>
        <v/>
      </c>
      <c r="P129" s="251">
        <f>MAX(0,P125+P126+P127+P128)</f>
        <v/>
      </c>
      <c r="Q129" s="251">
        <f>MAX(0,Q125+Q126+Q127+Q128)</f>
        <v/>
      </c>
      <c r="R129" s="251">
        <f>MAX(0,R125+R126+R127+R128)</f>
        <v/>
      </c>
      <c r="S129" s="251">
        <f>MAX(0,S125+S126+S127+S128)</f>
        <v/>
      </c>
      <c r="T129" s="251">
        <f>MAX(0,T125+T126+T127+T128)</f>
        <v/>
      </c>
      <c r="U129" s="251">
        <f>MAX(0,U125+U126+U127+U128)</f>
        <v/>
      </c>
      <c r="V129" s="251">
        <f>MAX(0,V125+V126+V127+V128)</f>
        <v/>
      </c>
      <c r="W129" s="251">
        <f>MAX(0,W125+W126+W127+W128)</f>
        <v/>
      </c>
      <c r="X129" s="251">
        <f>MAX(0,X125+X126+X127+X128)</f>
        <v/>
      </c>
      <c r="Y129" s="251">
        <f>MAX(0,Y125+Y126+Y127+Y128)</f>
        <v/>
      </c>
      <c r="Z129" s="251">
        <f>MAX(0,Z125+Z126+Z127+Z128)</f>
        <v/>
      </c>
      <c r="AA129" s="251">
        <f>MAX(0,AA125+AA126+AA127+AA128)</f>
        <v/>
      </c>
      <c r="AB129" s="251">
        <f>MAX(0,AB125+AB126+AB127+AB128)</f>
        <v/>
      </c>
      <c r="AC129" s="251">
        <f>MAX(0,AC125+AC126+AC127+AC128)</f>
        <v/>
      </c>
      <c r="AD129" s="251">
        <f>MAX(0,AD125+AD126+AD127+AD128)</f>
        <v/>
      </c>
      <c r="AE129" s="251">
        <f>MAX(0,AE125+AE126+AE127+AE128)</f>
        <v/>
      </c>
      <c r="AF129" s="251">
        <f>MAX(0,AF125+AF126+AF127+AF128)</f>
        <v/>
      </c>
      <c r="AG129" s="251">
        <f>MAX(0,AG125+AG126+AG127+AG128)</f>
        <v/>
      </c>
      <c r="AH129" s="251">
        <f>MAX(0,AH125+AH126+AH127+AH128)</f>
        <v/>
      </c>
      <c r="AI129" s="251">
        <f>MAX(0,AI125+AI126+AI127+AI128)</f>
        <v/>
      </c>
      <c r="AJ129" s="251">
        <f>MAX(0,AJ125+AJ126+AJ127+AJ128)</f>
        <v/>
      </c>
      <c r="AK129" s="251">
        <f>MAX(0,AK125+AK126+AK127+AK128)</f>
        <v/>
      </c>
      <c r="AL129" s="251">
        <f>MAX(0,AL125+AL126+AL127+AL128)</f>
        <v/>
      </c>
      <c r="AM129" s="251">
        <f>MAX(0,AM125+AM126+AM127+AM128)</f>
        <v/>
      </c>
      <c r="AN129" s="251">
        <f>MAX(0,AN125+AN126+AN127+AN128)</f>
        <v/>
      </c>
      <c r="AO129" s="251">
        <f>MAX(0,AO125+AO126+AO127+AO128)</f>
        <v/>
      </c>
      <c r="AP129" s="251">
        <f>MAX(0,AP125+AP126+AP127+AP128)</f>
        <v/>
      </c>
      <c r="AQ129" s="251">
        <f>MAX(0,AQ125+AQ126+AQ127+AQ128)</f>
        <v/>
      </c>
      <c r="AR129" s="251">
        <f>MAX(0,AR125+AR126+AR127+AR128)</f>
        <v/>
      </c>
      <c r="AS129" s="251">
        <f>MAX(0,AS125+AS126+AS127+AS128)</f>
        <v/>
      </c>
      <c r="AT129" s="251">
        <f>MAX(0,AT125+AT126+AT127+AT128)</f>
        <v/>
      </c>
      <c r="AU129" s="251">
        <f>MAX(0,AU125+AU126+AU127+AU128)</f>
        <v/>
      </c>
      <c r="AV129" s="251">
        <f>MAX(0,AV125+AV126+AV127+AV128)</f>
        <v/>
      </c>
      <c r="AW129" s="251">
        <f>MAX(0,AW125+AW126+AW127+AW128)</f>
        <v/>
      </c>
      <c r="AX129" s="251">
        <f>MAX(0,AX125+AX126+AX127+AX128)</f>
        <v/>
      </c>
      <c r="AY129" s="251">
        <f>MAX(0,AY125+AY126+AY127+AY128)</f>
        <v/>
      </c>
      <c r="AZ129" s="251">
        <f>MAX(0,AZ125+AZ126+AZ127+AZ128)</f>
        <v/>
      </c>
      <c r="BA129" s="251">
        <f>MAX(0,BA125+BA126+BA127+BA128)</f>
        <v/>
      </c>
      <c r="BB129" s="251">
        <f>MAX(0,BB125+BB126+BB127+BB128)</f>
        <v/>
      </c>
      <c r="BC129" s="251">
        <f>MAX(0,BC125+BC126+BC127+BC128)</f>
        <v/>
      </c>
      <c r="BD129" s="251">
        <f>MAX(0,BD125+BD126+BD127+BD128)</f>
        <v/>
      </c>
      <c r="BE129" s="251">
        <f>MAX(0,BE125+BE126+BE127+BE128)</f>
        <v/>
      </c>
      <c r="BF129" s="251">
        <f>MAX(0,BF125+BF126+BF127+BF128)</f>
        <v/>
      </c>
      <c r="BG129" s="251">
        <f>MAX(0,BG125+BG126+BG127+BG128)</f>
        <v/>
      </c>
      <c r="BH129" s="251">
        <f>MAX(0,BH125+BH126+BH127+BH128)</f>
        <v/>
      </c>
      <c r="BI129" s="251">
        <f>MAX(0,BI125+BI126+BI127+BI128)</f>
        <v/>
      </c>
      <c r="BJ129" s="251">
        <f>MAX(0,BJ125+BJ126+BJ127+BJ128)</f>
        <v/>
      </c>
      <c r="BK129" s="251">
        <f>MAX(0,BK125+BK126+BK127+BK128)</f>
        <v/>
      </c>
      <c r="BL129" s="251">
        <f>MAX(0,BL125+BL126+BL127+BL128)</f>
        <v/>
      </c>
      <c r="BM129" s="251">
        <f>MAX(0,BM125+BM126+BM127+BM128)</f>
        <v/>
      </c>
      <c r="BN129" s="251">
        <f>MAX(0,BN125+BN126+BN127+BN128)</f>
        <v/>
      </c>
      <c r="BO129" s="251">
        <f>MAX(0,BO125+BO126+BO127+BO128)</f>
        <v/>
      </c>
      <c r="BP129" s="251">
        <f>MAX(0,BP125+BP126+BP127+BP128)</f>
        <v/>
      </c>
      <c r="BQ129" s="251">
        <f>MAX(0,BQ125+BQ126+BQ127+BQ128)</f>
        <v/>
      </c>
      <c r="BR129" s="251">
        <f>MAX(0,BR125+BR126+BR127+BR128)</f>
        <v/>
      </c>
      <c r="BS129" s="251">
        <f>MAX(0,BS125+BS126+BS127+BS128)</f>
        <v/>
      </c>
      <c r="BT129" s="251">
        <f>MAX(0,BT125+BT126+BT127+BT128)</f>
        <v/>
      </c>
      <c r="BU129" s="251">
        <f>MAX(0,BU125+BU126+BU127+BU128)</f>
        <v/>
      </c>
      <c r="BV129" s="251">
        <f>MAX(0,BV125+BV126+BV127+BV128)</f>
        <v/>
      </c>
      <c r="BW129" s="251">
        <f>MAX(0,BW125+BW126+BW127+BW128)</f>
        <v/>
      </c>
      <c r="BX129" s="251">
        <f>MAX(0,BX125+BX126+BX127+BX128)</f>
        <v/>
      </c>
      <c r="BY129" s="251">
        <f>MAX(0,BY125+BY126+BY127+BY128)</f>
        <v/>
      </c>
      <c r="BZ129" s="251">
        <f>MAX(0,BZ125+BZ126+BZ127+BZ128)</f>
        <v/>
      </c>
      <c r="CA129" s="251">
        <f>MAX(0,CA125+CA126+CA127+CA128)</f>
        <v/>
      </c>
      <c r="CB129" s="251">
        <f>MAX(0,CB125+CB126+CB127+CB128)</f>
        <v/>
      </c>
      <c r="CC129" s="251">
        <f>MAX(0,CC125+CC126+CC127+CC128)</f>
        <v/>
      </c>
      <c r="CD129" s="251">
        <f>MAX(0,CD125+CD126+CD127+CD128)</f>
        <v/>
      </c>
      <c r="CE129" s="251">
        <f>MAX(0,CE125+CE126+CE127+CE128)</f>
        <v/>
      </c>
      <c r="CF129" s="251">
        <f>MAX(0,CF125+CF126+CF127+CF128)</f>
        <v/>
      </c>
      <c r="CG129" s="251">
        <f>MAX(0,CG125+CG126+CG127+CG128)</f>
        <v/>
      </c>
      <c r="CH129" s="251">
        <f>MAX(0,CH125+CH126+CH127+CH128)</f>
        <v/>
      </c>
      <c r="CI129" s="226" t="n"/>
    </row>
    <row r="130" ht="16.5" customHeight="1" s="202">
      <c r="A130" s="252" t="n"/>
      <c r="B130" s="237" t="n"/>
      <c r="C130" s="253" t="n"/>
      <c r="D130" s="253" t="n"/>
      <c r="E130" s="253" t="n"/>
      <c r="F130" s="253" t="n"/>
      <c r="G130" s="253" t="n"/>
      <c r="H130" s="253" t="n"/>
      <c r="I130" s="253" t="n"/>
      <c r="J130" s="253" t="n"/>
      <c r="K130" s="253" t="n"/>
      <c r="L130" s="253" t="n"/>
      <c r="M130" s="253" t="n"/>
      <c r="N130" s="253" t="n"/>
      <c r="O130" s="253" t="n"/>
      <c r="P130" s="253" t="n"/>
      <c r="Q130" s="253" t="n"/>
      <c r="R130" s="253" t="n"/>
      <c r="S130" s="253" t="n"/>
      <c r="T130" s="253" t="n"/>
      <c r="U130" s="253" t="n"/>
      <c r="V130" s="253" t="n"/>
      <c r="W130" s="253" t="n"/>
      <c r="X130" s="253" t="n"/>
      <c r="Y130" s="253" t="n"/>
      <c r="Z130" s="253" t="n"/>
      <c r="AA130" s="253" t="n"/>
      <c r="AB130" s="253" t="n"/>
      <c r="AC130" s="253" t="n"/>
      <c r="AD130" s="253" t="n"/>
      <c r="AE130" s="253" t="n"/>
      <c r="AF130" s="253" t="n"/>
      <c r="AG130" s="253" t="n"/>
      <c r="AH130" s="253" t="n"/>
      <c r="AI130" s="253" t="n"/>
      <c r="AJ130" s="253" t="n"/>
      <c r="AK130" s="253" t="n"/>
      <c r="AL130" s="253" t="n"/>
      <c r="AM130" s="253" t="n"/>
      <c r="AN130" s="253" t="n"/>
      <c r="AO130" s="253" t="n"/>
      <c r="AP130" s="253" t="n"/>
      <c r="AQ130" s="253" t="n"/>
      <c r="AR130" s="253" t="n"/>
      <c r="AS130" s="253" t="n"/>
      <c r="AT130" s="253" t="n"/>
      <c r="AU130" s="253" t="n"/>
      <c r="AV130" s="253" t="n"/>
      <c r="AW130" s="253" t="n"/>
      <c r="AX130" s="253" t="n"/>
      <c r="AY130" s="253" t="n"/>
      <c r="AZ130" s="253" t="n"/>
      <c r="BA130" s="253" t="n"/>
      <c r="BB130" s="253" t="n"/>
      <c r="BC130" s="253" t="n"/>
      <c r="BD130" s="253" t="n"/>
      <c r="BE130" s="253" t="n"/>
      <c r="BF130" s="253" t="n"/>
      <c r="BG130" s="253" t="n"/>
      <c r="BH130" s="253" t="n"/>
      <c r="BI130" s="253" t="n"/>
      <c r="BJ130" s="253" t="n"/>
      <c r="BK130" s="253" t="n"/>
      <c r="BL130" s="253" t="n"/>
      <c r="BM130" s="253" t="n"/>
      <c r="BN130" s="253" t="n"/>
      <c r="BO130" s="253" t="n"/>
      <c r="BP130" s="253" t="n"/>
      <c r="BQ130" s="253" t="n"/>
      <c r="BR130" s="253" t="n"/>
      <c r="BS130" s="253" t="n"/>
      <c r="BT130" s="253" t="n"/>
      <c r="BU130" s="253" t="n"/>
      <c r="BV130" s="253" t="n"/>
      <c r="BW130" s="253" t="n"/>
      <c r="BX130" s="253" t="n"/>
      <c r="BY130" s="253" t="n"/>
      <c r="BZ130" s="253" t="n"/>
      <c r="CA130" s="253" t="n"/>
      <c r="CB130" s="253" t="n"/>
      <c r="CC130" s="253" t="n"/>
      <c r="CD130" s="253" t="n"/>
      <c r="CE130" s="253" t="n"/>
      <c r="CF130" s="253" t="n"/>
      <c r="CG130" s="253" t="n"/>
      <c r="CH130" s="253" t="n"/>
      <c r="CI130" s="238" t="n"/>
    </row>
    <row r="131" ht="15" customHeight="1" s="202">
      <c r="A131" s="254" t="inlineStr">
        <is>
          <t>BONDING OUTSTANDING</t>
        </is>
      </c>
      <c r="B131" s="254" t="n"/>
      <c r="C131" s="254" t="n"/>
      <c r="D131" s="254" t="n"/>
      <c r="E131" s="254" t="n"/>
      <c r="F131" s="254" t="n"/>
      <c r="G131" s="254" t="n"/>
      <c r="H131" s="254" t="n"/>
      <c r="I131" s="254" t="n"/>
      <c r="J131" s="254" t="n"/>
      <c r="K131" s="254" t="n"/>
      <c r="L131" s="254" t="n"/>
      <c r="M131" s="254" t="n"/>
      <c r="N131" s="254" t="n"/>
      <c r="O131" s="254" t="n"/>
      <c r="P131" s="254" t="n"/>
      <c r="Q131" s="254" t="n"/>
      <c r="R131" s="254" t="n"/>
      <c r="S131" s="254" t="n"/>
      <c r="T131" s="254" t="n"/>
      <c r="U131" s="254" t="n"/>
      <c r="V131" s="254" t="n"/>
      <c r="W131" s="254" t="n"/>
      <c r="X131" s="254" t="n"/>
      <c r="Y131" s="254" t="n"/>
      <c r="Z131" s="254" t="n"/>
      <c r="AA131" s="254" t="n"/>
      <c r="AB131" s="254" t="n"/>
      <c r="AC131" s="254" t="n"/>
      <c r="AD131" s="254" t="n"/>
      <c r="AE131" s="254" t="n"/>
      <c r="AF131" s="254" t="n"/>
      <c r="AG131" s="254" t="n"/>
      <c r="AH131" s="254" t="n"/>
      <c r="AI131" s="254" t="n"/>
      <c r="AJ131" s="254" t="n"/>
      <c r="AK131" s="254" t="n"/>
      <c r="AL131" s="254" t="n"/>
      <c r="AM131" s="254" t="n"/>
      <c r="AN131" s="254" t="n"/>
      <c r="AO131" s="254" t="n"/>
      <c r="AP131" s="254" t="n"/>
      <c r="AQ131" s="254" t="n"/>
      <c r="AR131" s="254" t="n"/>
      <c r="AS131" s="254" t="n"/>
      <c r="AT131" s="254" t="n"/>
      <c r="AU131" s="254" t="n"/>
      <c r="AV131" s="254" t="n"/>
      <c r="AW131" s="254" t="n"/>
      <c r="AX131" s="254" t="n"/>
      <c r="AY131" s="254" t="n"/>
      <c r="AZ131" s="254" t="n"/>
      <c r="BA131" s="254" t="n"/>
      <c r="BB131" s="254" t="n"/>
      <c r="BC131" s="254" t="n"/>
      <c r="BD131" s="254" t="n"/>
      <c r="BE131" s="254" t="n"/>
      <c r="BF131" s="254" t="n"/>
      <c r="BG131" s="254" t="n"/>
      <c r="BH131" s="254" t="n"/>
      <c r="BI131" s="254" t="n"/>
      <c r="BJ131" s="254" t="n"/>
      <c r="BK131" s="254" t="n"/>
      <c r="BL131" s="254" t="n"/>
      <c r="BM131" s="254" t="n"/>
      <c r="BN131" s="254" t="n"/>
      <c r="BO131" s="254" t="n"/>
      <c r="BP131" s="254" t="n"/>
      <c r="BQ131" s="254" t="n"/>
      <c r="BR131" s="254" t="n"/>
      <c r="BS131" s="254" t="n"/>
      <c r="BT131" s="254" t="n"/>
      <c r="BU131" s="254" t="n"/>
      <c r="BV131" s="254" t="n"/>
      <c r="BW131" s="254" t="n"/>
      <c r="BX131" s="254" t="n"/>
      <c r="BY131" s="254" t="n"/>
      <c r="BZ131" s="254" t="n"/>
      <c r="CA131" s="254" t="n"/>
      <c r="CB131" s="254" t="n"/>
      <c r="CC131" s="254" t="n"/>
      <c r="CD131" s="254" t="n"/>
      <c r="CE131" s="254" t="n"/>
      <c r="CF131" s="254" t="n"/>
      <c r="CG131" s="254" t="n"/>
      <c r="CH131" s="254" t="n"/>
      <c r="CI131" s="226" t="n"/>
    </row>
    <row r="132" ht="15" customHeight="1" s="202">
      <c r="A132" s="210" t="inlineStr">
        <is>
          <t>Califa</t>
        </is>
      </c>
      <c r="B132" s="225" t="n"/>
      <c r="C132" s="211">
        <f>Helpers!C8</f>
        <v/>
      </c>
      <c r="D132" s="211">
        <f>Helpers!D8</f>
        <v/>
      </c>
      <c r="E132" s="211">
        <f>Helpers!E8</f>
        <v/>
      </c>
      <c r="F132" s="211">
        <f>Helpers!F8</f>
        <v/>
      </c>
      <c r="G132" s="211">
        <f>Helpers!G8</f>
        <v/>
      </c>
      <c r="H132" s="211">
        <f>Helpers!H8</f>
        <v/>
      </c>
      <c r="I132" s="211">
        <f>Helpers!I8</f>
        <v/>
      </c>
      <c r="J132" s="211">
        <f>Helpers!J8</f>
        <v/>
      </c>
      <c r="K132" s="211">
        <f>Helpers!K8</f>
        <v/>
      </c>
      <c r="L132" s="211">
        <f>Helpers!L8</f>
        <v/>
      </c>
      <c r="M132" s="211">
        <f>Helpers!M8</f>
        <v/>
      </c>
      <c r="N132" s="211">
        <f>Helpers!N8</f>
        <v/>
      </c>
      <c r="O132" s="211">
        <f>Helpers!O8</f>
        <v/>
      </c>
      <c r="P132" s="211">
        <f>Helpers!P8</f>
        <v/>
      </c>
      <c r="Q132" s="211">
        <f>Helpers!Q8</f>
        <v/>
      </c>
      <c r="R132" s="211">
        <f>Helpers!R8</f>
        <v/>
      </c>
      <c r="S132" s="211">
        <f>Helpers!S8</f>
        <v/>
      </c>
      <c r="T132" s="211">
        <f>Helpers!T8</f>
        <v/>
      </c>
      <c r="U132" s="211">
        <f>Helpers!U8</f>
        <v/>
      </c>
      <c r="V132" s="211">
        <f>Helpers!V8</f>
        <v/>
      </c>
      <c r="W132" s="211">
        <f>Helpers!W8</f>
        <v/>
      </c>
      <c r="X132" s="211">
        <f>Helpers!X8</f>
        <v/>
      </c>
      <c r="Y132" s="211">
        <f>Helpers!Y8</f>
        <v/>
      </c>
      <c r="Z132" s="211">
        <f>Helpers!Z8</f>
        <v/>
      </c>
      <c r="AA132" s="211">
        <f>Helpers!AA8</f>
        <v/>
      </c>
      <c r="AB132" s="211">
        <f>Helpers!AB8</f>
        <v/>
      </c>
      <c r="AC132" s="211">
        <f>Helpers!AC8</f>
        <v/>
      </c>
      <c r="AD132" s="211">
        <f>Helpers!AD8</f>
        <v/>
      </c>
      <c r="AE132" s="211">
        <f>Helpers!AE8</f>
        <v/>
      </c>
      <c r="AF132" s="211">
        <f>Helpers!AF8</f>
        <v/>
      </c>
      <c r="AG132" s="211">
        <f>Helpers!AG8</f>
        <v/>
      </c>
      <c r="AH132" s="211">
        <f>Helpers!AH8</f>
        <v/>
      </c>
      <c r="AI132" s="211">
        <f>Helpers!AI8</f>
        <v/>
      </c>
      <c r="AJ132" s="211">
        <f>Helpers!AJ8</f>
        <v/>
      </c>
      <c r="AK132" s="211">
        <f>Helpers!AK8</f>
        <v/>
      </c>
      <c r="AL132" s="211">
        <f>Helpers!AL8</f>
        <v/>
      </c>
      <c r="AM132" s="211">
        <f>Helpers!AM8</f>
        <v/>
      </c>
      <c r="AN132" s="211">
        <f>Helpers!AN8</f>
        <v/>
      </c>
      <c r="AO132" s="211">
        <f>Helpers!AO8</f>
        <v/>
      </c>
      <c r="AP132" s="211">
        <f>Helpers!AP8</f>
        <v/>
      </c>
      <c r="AQ132" s="211">
        <f>Helpers!AQ8</f>
        <v/>
      </c>
      <c r="AR132" s="211">
        <f>Helpers!AR8</f>
        <v/>
      </c>
      <c r="AS132" s="211">
        <f>Helpers!AS8</f>
        <v/>
      </c>
      <c r="AT132" s="211">
        <f>Helpers!AT8</f>
        <v/>
      </c>
      <c r="AU132" s="211">
        <f>Helpers!AU8</f>
        <v/>
      </c>
      <c r="AV132" s="211">
        <f>Helpers!AV8</f>
        <v/>
      </c>
      <c r="AW132" s="211">
        <f>Helpers!AW8</f>
        <v/>
      </c>
      <c r="AX132" s="211">
        <f>Helpers!AX8</f>
        <v/>
      </c>
      <c r="AY132" s="211">
        <f>Helpers!AY8</f>
        <v/>
      </c>
      <c r="AZ132" s="211">
        <f>Helpers!AZ8</f>
        <v/>
      </c>
      <c r="BA132" s="211">
        <f>Helpers!BA8</f>
        <v/>
      </c>
      <c r="BB132" s="211">
        <f>Helpers!BB8</f>
        <v/>
      </c>
      <c r="BC132" s="211">
        <f>Helpers!BC8</f>
        <v/>
      </c>
      <c r="BD132" s="211">
        <f>Helpers!BD8</f>
        <v/>
      </c>
      <c r="BE132" s="211">
        <f>Helpers!BE8</f>
        <v/>
      </c>
      <c r="BF132" s="211">
        <f>Helpers!BF8</f>
        <v/>
      </c>
      <c r="BG132" s="211">
        <f>Helpers!BG8</f>
        <v/>
      </c>
      <c r="BH132" s="211">
        <f>Helpers!BH8</f>
        <v/>
      </c>
      <c r="BI132" s="211">
        <f>Helpers!BI8</f>
        <v/>
      </c>
      <c r="BJ132" s="211">
        <f>Helpers!BJ8</f>
        <v/>
      </c>
      <c r="BK132" s="211">
        <f>Helpers!BK8</f>
        <v/>
      </c>
      <c r="BL132" s="211">
        <f>Helpers!BL8</f>
        <v/>
      </c>
      <c r="BM132" s="211">
        <f>Helpers!BM8</f>
        <v/>
      </c>
      <c r="BN132" s="211">
        <f>Helpers!BN8</f>
        <v/>
      </c>
      <c r="BO132" s="211">
        <f>Helpers!BO8</f>
        <v/>
      </c>
      <c r="BP132" s="211">
        <f>Helpers!BP8</f>
        <v/>
      </c>
      <c r="BQ132" s="211">
        <f>Helpers!BQ8</f>
        <v/>
      </c>
      <c r="BR132" s="211">
        <f>Helpers!BR8</f>
        <v/>
      </c>
      <c r="BS132" s="211">
        <f>Helpers!BS8</f>
        <v/>
      </c>
      <c r="BT132" s="211">
        <f>Helpers!BT8</f>
        <v/>
      </c>
      <c r="BU132" s="211">
        <f>Helpers!BU8</f>
        <v/>
      </c>
      <c r="BV132" s="211">
        <f>Helpers!BV8</f>
        <v/>
      </c>
      <c r="BW132" s="211">
        <f>Helpers!BW8</f>
        <v/>
      </c>
      <c r="BX132" s="211">
        <f>Helpers!BX8</f>
        <v/>
      </c>
      <c r="BY132" s="211">
        <f>Helpers!BY8</f>
        <v/>
      </c>
      <c r="BZ132" s="211">
        <f>Helpers!BZ8</f>
        <v/>
      </c>
      <c r="CA132" s="211">
        <f>Helpers!CA8</f>
        <v/>
      </c>
      <c r="CB132" s="211">
        <f>Helpers!CB8</f>
        <v/>
      </c>
      <c r="CC132" s="211">
        <f>Helpers!CC8</f>
        <v/>
      </c>
      <c r="CD132" s="211">
        <f>Helpers!CD8</f>
        <v/>
      </c>
      <c r="CE132" s="211">
        <f>Helpers!CE8</f>
        <v/>
      </c>
      <c r="CF132" s="211">
        <f>Helpers!CF8</f>
        <v/>
      </c>
      <c r="CG132" s="211">
        <f>Helpers!CG8</f>
        <v/>
      </c>
      <c r="CH132" s="211">
        <f>Helpers!CH8</f>
        <v/>
      </c>
      <c r="CI132" s="226" t="n"/>
      <c r="CJ132" s="255" t="n"/>
      <c r="CK132" s="255" t="n"/>
    </row>
    <row r="133" ht="15" customHeight="1" s="202">
      <c r="A133" s="210" t="inlineStr">
        <is>
          <t>Whipple</t>
        </is>
      </c>
      <c r="B133" s="225" t="n"/>
      <c r="C133" s="211">
        <f>Helpers!C9</f>
        <v/>
      </c>
      <c r="D133" s="211">
        <f>Helpers!D9</f>
        <v/>
      </c>
      <c r="E133" s="211">
        <f>Helpers!E9</f>
        <v/>
      </c>
      <c r="F133" s="211">
        <f>Helpers!F9</f>
        <v/>
      </c>
      <c r="G133" s="211">
        <f>Helpers!G9</f>
        <v/>
      </c>
      <c r="H133" s="211">
        <f>Helpers!H9</f>
        <v/>
      </c>
      <c r="I133" s="211">
        <f>Helpers!I9</f>
        <v/>
      </c>
      <c r="J133" s="211">
        <f>Helpers!J9</f>
        <v/>
      </c>
      <c r="K133" s="211">
        <f>Helpers!K9</f>
        <v/>
      </c>
      <c r="L133" s="211">
        <f>Helpers!L9</f>
        <v/>
      </c>
      <c r="M133" s="211">
        <f>Helpers!M9</f>
        <v/>
      </c>
      <c r="N133" s="211">
        <f>Helpers!N9</f>
        <v/>
      </c>
      <c r="O133" s="211">
        <f>Helpers!O9</f>
        <v/>
      </c>
      <c r="P133" s="211">
        <f>Helpers!P9</f>
        <v/>
      </c>
      <c r="Q133" s="211">
        <f>Helpers!Q9</f>
        <v/>
      </c>
      <c r="R133" s="211">
        <f>Helpers!R9</f>
        <v/>
      </c>
      <c r="S133" s="211">
        <f>Helpers!S9</f>
        <v/>
      </c>
      <c r="T133" s="211">
        <f>Helpers!T9</f>
        <v/>
      </c>
      <c r="U133" s="211">
        <f>Helpers!U9</f>
        <v/>
      </c>
      <c r="V133" s="211">
        <f>Helpers!V9</f>
        <v/>
      </c>
      <c r="W133" s="211">
        <f>Helpers!W9</f>
        <v/>
      </c>
      <c r="X133" s="211">
        <f>Helpers!X9</f>
        <v/>
      </c>
      <c r="Y133" s="211">
        <f>Helpers!Y9</f>
        <v/>
      </c>
      <c r="Z133" s="211">
        <f>Helpers!Z9</f>
        <v/>
      </c>
      <c r="AA133" s="211">
        <f>Helpers!AA9</f>
        <v/>
      </c>
      <c r="AB133" s="211">
        <f>Helpers!AB9</f>
        <v/>
      </c>
      <c r="AC133" s="211">
        <f>Helpers!AC9</f>
        <v/>
      </c>
      <c r="AD133" s="211">
        <f>Helpers!AD9</f>
        <v/>
      </c>
      <c r="AE133" s="211">
        <f>Helpers!AE9</f>
        <v/>
      </c>
      <c r="AF133" s="211">
        <f>Helpers!AF9</f>
        <v/>
      </c>
      <c r="AG133" s="211">
        <f>Helpers!AG9</f>
        <v/>
      </c>
      <c r="AH133" s="211">
        <f>Helpers!AH9</f>
        <v/>
      </c>
      <c r="AI133" s="211">
        <f>Helpers!AI9</f>
        <v/>
      </c>
      <c r="AJ133" s="211">
        <f>Helpers!AJ9</f>
        <v/>
      </c>
      <c r="AK133" s="211">
        <f>Helpers!AK9</f>
        <v/>
      </c>
      <c r="AL133" s="211">
        <f>Helpers!AL9</f>
        <v/>
      </c>
      <c r="AM133" s="211">
        <f>Helpers!AM9</f>
        <v/>
      </c>
      <c r="AN133" s="211">
        <f>Helpers!AN9</f>
        <v/>
      </c>
      <c r="AO133" s="211">
        <f>Helpers!AO9</f>
        <v/>
      </c>
      <c r="AP133" s="211">
        <f>Helpers!AP9</f>
        <v/>
      </c>
      <c r="AQ133" s="211">
        <f>Helpers!AQ9</f>
        <v/>
      </c>
      <c r="AR133" s="211">
        <f>Helpers!AR9</f>
        <v/>
      </c>
      <c r="AS133" s="211">
        <f>Helpers!AS9</f>
        <v/>
      </c>
      <c r="AT133" s="211">
        <f>Helpers!AT9</f>
        <v/>
      </c>
      <c r="AU133" s="211">
        <f>Helpers!AU9</f>
        <v/>
      </c>
      <c r="AV133" s="211">
        <f>Helpers!AV9</f>
        <v/>
      </c>
      <c r="AW133" s="211">
        <f>Helpers!AW9</f>
        <v/>
      </c>
      <c r="AX133" s="211">
        <f>Helpers!AX9</f>
        <v/>
      </c>
      <c r="AY133" s="211">
        <f>Helpers!AY9</f>
        <v/>
      </c>
      <c r="AZ133" s="211">
        <f>Helpers!AZ9</f>
        <v/>
      </c>
      <c r="BA133" s="211">
        <f>Helpers!BA9</f>
        <v/>
      </c>
      <c r="BB133" s="211">
        <f>Helpers!BB9</f>
        <v/>
      </c>
      <c r="BC133" s="211">
        <f>Helpers!BC9</f>
        <v/>
      </c>
      <c r="BD133" s="211">
        <f>Helpers!BD9</f>
        <v/>
      </c>
      <c r="BE133" s="211">
        <f>Helpers!BE9</f>
        <v/>
      </c>
      <c r="BF133" s="211">
        <f>Helpers!BF9</f>
        <v/>
      </c>
      <c r="BG133" s="211">
        <f>Helpers!BG9</f>
        <v/>
      </c>
      <c r="BH133" s="211">
        <f>Helpers!BH9</f>
        <v/>
      </c>
      <c r="BI133" s="211">
        <f>Helpers!BI9</f>
        <v/>
      </c>
      <c r="BJ133" s="211">
        <f>Helpers!BJ9</f>
        <v/>
      </c>
      <c r="BK133" s="211">
        <f>Helpers!BK9</f>
        <v/>
      </c>
      <c r="BL133" s="211">
        <f>Helpers!BL9</f>
        <v/>
      </c>
      <c r="BM133" s="211">
        <f>Helpers!BM9</f>
        <v/>
      </c>
      <c r="BN133" s="211">
        <f>Helpers!BN9</f>
        <v/>
      </c>
      <c r="BO133" s="211">
        <f>Helpers!BO9</f>
        <v/>
      </c>
      <c r="BP133" s="211">
        <f>Helpers!BP9</f>
        <v/>
      </c>
      <c r="BQ133" s="211">
        <f>Helpers!BQ9</f>
        <v/>
      </c>
      <c r="BR133" s="211">
        <f>Helpers!BR9</f>
        <v/>
      </c>
      <c r="BS133" s="211">
        <f>Helpers!BS9</f>
        <v/>
      </c>
      <c r="BT133" s="211">
        <f>Helpers!BT9</f>
        <v/>
      </c>
      <c r="BU133" s="211">
        <f>Helpers!BU9</f>
        <v/>
      </c>
      <c r="BV133" s="211">
        <f>Helpers!BV9</f>
        <v/>
      </c>
      <c r="BW133" s="211">
        <f>Helpers!BW9</f>
        <v/>
      </c>
      <c r="BX133" s="211">
        <f>Helpers!BX9</f>
        <v/>
      </c>
      <c r="BY133" s="211">
        <f>Helpers!BY9</f>
        <v/>
      </c>
      <c r="BZ133" s="211">
        <f>Helpers!BZ9</f>
        <v/>
      </c>
      <c r="CA133" s="211">
        <f>Helpers!CA9</f>
        <v/>
      </c>
      <c r="CB133" s="211">
        <f>Helpers!CB9</f>
        <v/>
      </c>
      <c r="CC133" s="211">
        <f>Helpers!CC9</f>
        <v/>
      </c>
      <c r="CD133" s="211">
        <f>Helpers!CD9</f>
        <v/>
      </c>
      <c r="CE133" s="211">
        <f>Helpers!CE9</f>
        <v/>
      </c>
      <c r="CF133" s="211">
        <f>Helpers!CF9</f>
        <v/>
      </c>
      <c r="CG133" s="211">
        <f>Helpers!CG9</f>
        <v/>
      </c>
      <c r="CH133" s="211">
        <f>Helpers!CH9</f>
        <v/>
      </c>
      <c r="CI133" s="226" t="n"/>
      <c r="CJ133" s="256" t="n"/>
      <c r="CK133" s="256" t="n"/>
    </row>
    <row r="134" ht="15" customHeight="1" s="202">
      <c r="A134" s="210" t="inlineStr">
        <is>
          <t>Francis</t>
        </is>
      </c>
      <c r="B134" s="225" t="n"/>
      <c r="C134" s="211">
        <f>Helpers!C10</f>
        <v/>
      </c>
      <c r="D134" s="211">
        <f>Helpers!D10</f>
        <v/>
      </c>
      <c r="E134" s="211">
        <f>Helpers!E10</f>
        <v/>
      </c>
      <c r="F134" s="211">
        <f>Helpers!F10</f>
        <v/>
      </c>
      <c r="G134" s="211">
        <f>Helpers!G10</f>
        <v/>
      </c>
      <c r="H134" s="211">
        <f>Helpers!H10</f>
        <v/>
      </c>
      <c r="I134" s="211">
        <f>Helpers!I10</f>
        <v/>
      </c>
      <c r="J134" s="211">
        <f>Helpers!J10</f>
        <v/>
      </c>
      <c r="K134" s="211">
        <f>Helpers!K10</f>
        <v/>
      </c>
      <c r="L134" s="211">
        <f>Helpers!L10</f>
        <v/>
      </c>
      <c r="M134" s="211">
        <f>Helpers!M10</f>
        <v/>
      </c>
      <c r="N134" s="211">
        <f>Helpers!N10</f>
        <v/>
      </c>
      <c r="O134" s="211">
        <f>Helpers!O10</f>
        <v/>
      </c>
      <c r="P134" s="211">
        <f>Helpers!P10</f>
        <v/>
      </c>
      <c r="Q134" s="211">
        <f>Helpers!Q10</f>
        <v/>
      </c>
      <c r="R134" s="211">
        <f>Helpers!R10</f>
        <v/>
      </c>
      <c r="S134" s="211">
        <f>Helpers!S10</f>
        <v/>
      </c>
      <c r="T134" s="211">
        <f>Helpers!T10</f>
        <v/>
      </c>
      <c r="U134" s="211">
        <f>Helpers!U10</f>
        <v/>
      </c>
      <c r="V134" s="211">
        <f>Helpers!V10</f>
        <v/>
      </c>
      <c r="W134" s="211">
        <f>Helpers!W10</f>
        <v/>
      </c>
      <c r="X134" s="211">
        <f>Helpers!X10</f>
        <v/>
      </c>
      <c r="Y134" s="211">
        <f>Helpers!Y10</f>
        <v/>
      </c>
      <c r="Z134" s="211">
        <f>Helpers!Z10</f>
        <v/>
      </c>
      <c r="AA134" s="211">
        <f>Helpers!AA10</f>
        <v/>
      </c>
      <c r="AB134" s="211">
        <f>Helpers!AB10</f>
        <v/>
      </c>
      <c r="AC134" s="211">
        <f>Helpers!AC10</f>
        <v/>
      </c>
      <c r="AD134" s="211">
        <f>Helpers!AD10</f>
        <v/>
      </c>
      <c r="AE134" s="211">
        <f>Helpers!AE10</f>
        <v/>
      </c>
      <c r="AF134" s="211">
        <f>Helpers!AF10</f>
        <v/>
      </c>
      <c r="AG134" s="211">
        <f>Helpers!AG10</f>
        <v/>
      </c>
      <c r="AH134" s="211">
        <f>Helpers!AH10</f>
        <v/>
      </c>
      <c r="AI134" s="211">
        <f>Helpers!AI10</f>
        <v/>
      </c>
      <c r="AJ134" s="211">
        <f>Helpers!AJ10</f>
        <v/>
      </c>
      <c r="AK134" s="211">
        <f>Helpers!AK10</f>
        <v/>
      </c>
      <c r="AL134" s="211">
        <f>Helpers!AL10</f>
        <v/>
      </c>
      <c r="AM134" s="211">
        <f>Helpers!AM10</f>
        <v/>
      </c>
      <c r="AN134" s="211">
        <f>Helpers!AN10</f>
        <v/>
      </c>
      <c r="AO134" s="211">
        <f>Helpers!AO10</f>
        <v/>
      </c>
      <c r="AP134" s="211">
        <f>Helpers!AP10</f>
        <v/>
      </c>
      <c r="AQ134" s="211">
        <f>Helpers!AQ10</f>
        <v/>
      </c>
      <c r="AR134" s="211">
        <f>Helpers!AR10</f>
        <v/>
      </c>
      <c r="AS134" s="211">
        <f>Helpers!AS10</f>
        <v/>
      </c>
      <c r="AT134" s="211">
        <f>Helpers!AT10</f>
        <v/>
      </c>
      <c r="AU134" s="211">
        <f>Helpers!AU10</f>
        <v/>
      </c>
      <c r="AV134" s="211">
        <f>Helpers!AV10</f>
        <v/>
      </c>
      <c r="AW134" s="211">
        <f>Helpers!AW10</f>
        <v/>
      </c>
      <c r="AX134" s="211">
        <f>Helpers!AX10</f>
        <v/>
      </c>
      <c r="AY134" s="211">
        <f>Helpers!AY10</f>
        <v/>
      </c>
      <c r="AZ134" s="211">
        <f>Helpers!AZ10</f>
        <v/>
      </c>
      <c r="BA134" s="211">
        <f>Helpers!BA10</f>
        <v/>
      </c>
      <c r="BB134" s="211">
        <f>Helpers!BB10</f>
        <v/>
      </c>
      <c r="BC134" s="211">
        <f>Helpers!BC10</f>
        <v/>
      </c>
      <c r="BD134" s="211">
        <f>Helpers!BD10</f>
        <v/>
      </c>
      <c r="BE134" s="211">
        <f>Helpers!BE10</f>
        <v/>
      </c>
      <c r="BF134" s="211">
        <f>Helpers!BF10</f>
        <v/>
      </c>
      <c r="BG134" s="211">
        <f>Helpers!BG10</f>
        <v/>
      </c>
      <c r="BH134" s="211">
        <f>Helpers!BH10</f>
        <v/>
      </c>
      <c r="BI134" s="211">
        <f>Helpers!BI10</f>
        <v/>
      </c>
      <c r="BJ134" s="211">
        <f>Helpers!BJ10</f>
        <v/>
      </c>
      <c r="BK134" s="211">
        <f>Helpers!BK10</f>
        <v/>
      </c>
      <c r="BL134" s="211">
        <f>Helpers!BL10</f>
        <v/>
      </c>
      <c r="BM134" s="211">
        <f>Helpers!BM10</f>
        <v/>
      </c>
      <c r="BN134" s="211">
        <f>Helpers!BN10</f>
        <v/>
      </c>
      <c r="BO134" s="211">
        <f>Helpers!BO10</f>
        <v/>
      </c>
      <c r="BP134" s="211">
        <f>Helpers!BP10</f>
        <v/>
      </c>
      <c r="BQ134" s="211">
        <f>Helpers!BQ10</f>
        <v/>
      </c>
      <c r="BR134" s="211">
        <f>Helpers!BR10</f>
        <v/>
      </c>
      <c r="BS134" s="211">
        <f>Helpers!BS10</f>
        <v/>
      </c>
      <c r="BT134" s="211">
        <f>Helpers!BT10</f>
        <v/>
      </c>
      <c r="BU134" s="211">
        <f>Helpers!BU10</f>
        <v/>
      </c>
      <c r="BV134" s="211">
        <f>Helpers!BV10</f>
        <v/>
      </c>
      <c r="BW134" s="211">
        <f>Helpers!BW10</f>
        <v/>
      </c>
      <c r="BX134" s="211">
        <f>Helpers!BX10</f>
        <v/>
      </c>
      <c r="BY134" s="211">
        <f>Helpers!BY10</f>
        <v/>
      </c>
      <c r="BZ134" s="211">
        <f>Helpers!BZ10</f>
        <v/>
      </c>
      <c r="CA134" s="211">
        <f>Helpers!CA10</f>
        <v/>
      </c>
      <c r="CB134" s="211">
        <f>Helpers!CB10</f>
        <v/>
      </c>
      <c r="CC134" s="211">
        <f>Helpers!CC10</f>
        <v/>
      </c>
      <c r="CD134" s="211">
        <f>Helpers!CD10</f>
        <v/>
      </c>
      <c r="CE134" s="211">
        <f>Helpers!CE10</f>
        <v/>
      </c>
      <c r="CF134" s="211">
        <f>Helpers!CF10</f>
        <v/>
      </c>
      <c r="CG134" s="211">
        <f>Helpers!CG10</f>
        <v/>
      </c>
      <c r="CH134" s="211">
        <f>Helpers!CH10</f>
        <v/>
      </c>
      <c r="CI134" s="226" t="n"/>
      <c r="CJ134" s="257" t="n"/>
      <c r="CK134" s="257" t="n"/>
    </row>
    <row r="135" ht="15" customHeight="1" s="202">
      <c r="A135" s="210" t="inlineStr">
        <is>
          <t>Lexington</t>
        </is>
      </c>
      <c r="B135" s="225" t="n"/>
      <c r="C135" s="211">
        <f>Helpers!C11</f>
        <v/>
      </c>
      <c r="D135" s="211">
        <f>Helpers!D11</f>
        <v/>
      </c>
      <c r="E135" s="211">
        <f>Helpers!E11</f>
        <v/>
      </c>
      <c r="F135" s="211">
        <f>Helpers!F11</f>
        <v/>
      </c>
      <c r="G135" s="211">
        <f>Helpers!G11</f>
        <v/>
      </c>
      <c r="H135" s="211">
        <f>Helpers!H11</f>
        <v/>
      </c>
      <c r="I135" s="211">
        <f>Helpers!I11</f>
        <v/>
      </c>
      <c r="J135" s="211">
        <f>Helpers!J11</f>
        <v/>
      </c>
      <c r="K135" s="211">
        <f>Helpers!K11</f>
        <v/>
      </c>
      <c r="L135" s="211">
        <f>Helpers!L11</f>
        <v/>
      </c>
      <c r="M135" s="211">
        <f>Helpers!M11</f>
        <v/>
      </c>
      <c r="N135" s="211">
        <f>Helpers!N11</f>
        <v/>
      </c>
      <c r="O135" s="211">
        <f>Helpers!O11</f>
        <v/>
      </c>
      <c r="P135" s="211">
        <f>Helpers!P11</f>
        <v/>
      </c>
      <c r="Q135" s="211">
        <f>Helpers!Q11</f>
        <v/>
      </c>
      <c r="R135" s="211">
        <f>Helpers!R11</f>
        <v/>
      </c>
      <c r="S135" s="211">
        <f>Helpers!S11</f>
        <v/>
      </c>
      <c r="T135" s="211">
        <f>Helpers!T11</f>
        <v/>
      </c>
      <c r="U135" s="211">
        <f>Helpers!U11</f>
        <v/>
      </c>
      <c r="V135" s="211">
        <f>Helpers!V11</f>
        <v/>
      </c>
      <c r="W135" s="211">
        <f>Helpers!W11</f>
        <v/>
      </c>
      <c r="X135" s="211">
        <f>Helpers!X11</f>
        <v/>
      </c>
      <c r="Y135" s="211">
        <f>Helpers!Y11</f>
        <v/>
      </c>
      <c r="Z135" s="211">
        <f>Helpers!Z11</f>
        <v/>
      </c>
      <c r="AA135" s="211">
        <f>Helpers!AA11</f>
        <v/>
      </c>
      <c r="AB135" s="211">
        <f>Helpers!AB11</f>
        <v/>
      </c>
      <c r="AC135" s="211">
        <f>Helpers!AC11</f>
        <v/>
      </c>
      <c r="AD135" s="211">
        <f>Helpers!AD11</f>
        <v/>
      </c>
      <c r="AE135" s="211">
        <f>Helpers!AE11</f>
        <v/>
      </c>
      <c r="AF135" s="211">
        <f>Helpers!AF11</f>
        <v/>
      </c>
      <c r="AG135" s="211">
        <f>Helpers!AG11</f>
        <v/>
      </c>
      <c r="AH135" s="211">
        <f>Helpers!AH11</f>
        <v/>
      </c>
      <c r="AI135" s="211">
        <f>Helpers!AI11</f>
        <v/>
      </c>
      <c r="AJ135" s="211">
        <f>Helpers!AJ11</f>
        <v/>
      </c>
      <c r="AK135" s="211">
        <f>Helpers!AK11</f>
        <v/>
      </c>
      <c r="AL135" s="211">
        <f>Helpers!AL11</f>
        <v/>
      </c>
      <c r="AM135" s="211">
        <f>Helpers!AM11</f>
        <v/>
      </c>
      <c r="AN135" s="211">
        <f>Helpers!AN11</f>
        <v/>
      </c>
      <c r="AO135" s="211">
        <f>Helpers!AO11</f>
        <v/>
      </c>
      <c r="AP135" s="211">
        <f>Helpers!AP11</f>
        <v/>
      </c>
      <c r="AQ135" s="211">
        <f>Helpers!AQ11</f>
        <v/>
      </c>
      <c r="AR135" s="211">
        <f>Helpers!AR11</f>
        <v/>
      </c>
      <c r="AS135" s="211">
        <f>Helpers!AS11</f>
        <v/>
      </c>
      <c r="AT135" s="211">
        <f>Helpers!AT11</f>
        <v/>
      </c>
      <c r="AU135" s="211">
        <f>Helpers!AU11</f>
        <v/>
      </c>
      <c r="AV135" s="211">
        <f>Helpers!AV11</f>
        <v/>
      </c>
      <c r="AW135" s="211">
        <f>Helpers!AW11</f>
        <v/>
      </c>
      <c r="AX135" s="211">
        <f>Helpers!AX11</f>
        <v/>
      </c>
      <c r="AY135" s="211">
        <f>Helpers!AY11</f>
        <v/>
      </c>
      <c r="AZ135" s="211">
        <f>Helpers!AZ11</f>
        <v/>
      </c>
      <c r="BA135" s="211">
        <f>Helpers!BA11</f>
        <v/>
      </c>
      <c r="BB135" s="211">
        <f>Helpers!BB11</f>
        <v/>
      </c>
      <c r="BC135" s="211">
        <f>Helpers!BC11</f>
        <v/>
      </c>
      <c r="BD135" s="211">
        <f>Helpers!BD11</f>
        <v/>
      </c>
      <c r="BE135" s="211">
        <f>Helpers!BE11</f>
        <v/>
      </c>
      <c r="BF135" s="211">
        <f>Helpers!BF11</f>
        <v/>
      </c>
      <c r="BG135" s="211">
        <f>Helpers!BG11</f>
        <v/>
      </c>
      <c r="BH135" s="211">
        <f>Helpers!BH11</f>
        <v/>
      </c>
      <c r="BI135" s="211">
        <f>Helpers!BI11</f>
        <v/>
      </c>
      <c r="BJ135" s="211">
        <f>Helpers!BJ11</f>
        <v/>
      </c>
      <c r="BK135" s="211">
        <f>Helpers!BK11</f>
        <v/>
      </c>
      <c r="BL135" s="211">
        <f>Helpers!BL11</f>
        <v/>
      </c>
      <c r="BM135" s="211">
        <f>Helpers!BM11</f>
        <v/>
      </c>
      <c r="BN135" s="211">
        <f>Helpers!BN11</f>
        <v/>
      </c>
      <c r="BO135" s="211">
        <f>Helpers!BO11</f>
        <v/>
      </c>
      <c r="BP135" s="211">
        <f>Helpers!BP11</f>
        <v/>
      </c>
      <c r="BQ135" s="211">
        <f>Helpers!BQ11</f>
        <v/>
      </c>
      <c r="BR135" s="211">
        <f>Helpers!BR11</f>
        <v/>
      </c>
      <c r="BS135" s="211">
        <f>Helpers!BS11</f>
        <v/>
      </c>
      <c r="BT135" s="211">
        <f>Helpers!BT11</f>
        <v/>
      </c>
      <c r="BU135" s="211">
        <f>Helpers!BU11</f>
        <v/>
      </c>
      <c r="BV135" s="211">
        <f>Helpers!BV11</f>
        <v/>
      </c>
      <c r="BW135" s="211">
        <f>Helpers!BW11</f>
        <v/>
      </c>
      <c r="BX135" s="211">
        <f>Helpers!BX11</f>
        <v/>
      </c>
      <c r="BY135" s="211">
        <f>Helpers!BY11</f>
        <v/>
      </c>
      <c r="BZ135" s="211">
        <f>Helpers!BZ11</f>
        <v/>
      </c>
      <c r="CA135" s="211">
        <f>Helpers!CA11</f>
        <v/>
      </c>
      <c r="CB135" s="211">
        <f>Helpers!CB11</f>
        <v/>
      </c>
      <c r="CC135" s="211">
        <f>Helpers!CC11</f>
        <v/>
      </c>
      <c r="CD135" s="211">
        <f>Helpers!CD11</f>
        <v/>
      </c>
      <c r="CE135" s="211">
        <f>Helpers!CE11</f>
        <v/>
      </c>
      <c r="CF135" s="211">
        <f>Helpers!CF11</f>
        <v/>
      </c>
      <c r="CG135" s="211">
        <f>Helpers!CG11</f>
        <v/>
      </c>
      <c r="CH135" s="211">
        <f>Helpers!CH11</f>
        <v/>
      </c>
      <c r="CI135" s="226" t="n"/>
      <c r="CJ135" s="257" t="n"/>
      <c r="CK135" s="257" t="n"/>
    </row>
    <row r="136" ht="15" customHeight="1" s="202">
      <c r="A136" s="210" t="inlineStr">
        <is>
          <t>Denny</t>
        </is>
      </c>
      <c r="B136" s="225" t="n"/>
      <c r="C136" s="211">
        <f>Helpers!C12</f>
        <v/>
      </c>
      <c r="D136" s="211">
        <f>Helpers!D12</f>
        <v/>
      </c>
      <c r="E136" s="211">
        <f>Helpers!E12</f>
        <v/>
      </c>
      <c r="F136" s="211">
        <f>Helpers!F12</f>
        <v/>
      </c>
      <c r="G136" s="211">
        <f>Helpers!G12</f>
        <v/>
      </c>
      <c r="H136" s="211">
        <f>Helpers!H12</f>
        <v/>
      </c>
      <c r="I136" s="211">
        <f>Helpers!I12</f>
        <v/>
      </c>
      <c r="J136" s="211">
        <f>Helpers!J12</f>
        <v/>
      </c>
      <c r="K136" s="211">
        <f>Helpers!K12</f>
        <v/>
      </c>
      <c r="L136" s="211">
        <f>Helpers!L12</f>
        <v/>
      </c>
      <c r="M136" s="211">
        <f>Helpers!M12</f>
        <v/>
      </c>
      <c r="N136" s="211">
        <f>Helpers!N12</f>
        <v/>
      </c>
      <c r="O136" s="211">
        <f>Helpers!O12</f>
        <v/>
      </c>
      <c r="P136" s="211">
        <f>Helpers!P12</f>
        <v/>
      </c>
      <c r="Q136" s="211">
        <f>Helpers!Q12</f>
        <v/>
      </c>
      <c r="R136" s="211">
        <f>Helpers!R12</f>
        <v/>
      </c>
      <c r="S136" s="211">
        <f>Helpers!S12</f>
        <v/>
      </c>
      <c r="T136" s="211">
        <f>Helpers!T12</f>
        <v/>
      </c>
      <c r="U136" s="211">
        <f>Helpers!U12</f>
        <v/>
      </c>
      <c r="V136" s="211">
        <f>Helpers!V12</f>
        <v/>
      </c>
      <c r="W136" s="211">
        <f>Helpers!W12</f>
        <v/>
      </c>
      <c r="X136" s="211">
        <f>Helpers!X12</f>
        <v/>
      </c>
      <c r="Y136" s="211">
        <f>Helpers!Y12</f>
        <v/>
      </c>
      <c r="Z136" s="211">
        <f>Helpers!Z12</f>
        <v/>
      </c>
      <c r="AA136" s="211">
        <f>Helpers!AA12</f>
        <v/>
      </c>
      <c r="AB136" s="211">
        <f>Helpers!AB12</f>
        <v/>
      </c>
      <c r="AC136" s="211">
        <f>Helpers!AC12</f>
        <v/>
      </c>
      <c r="AD136" s="211">
        <f>Helpers!AD12</f>
        <v/>
      </c>
      <c r="AE136" s="211">
        <f>Helpers!AE12</f>
        <v/>
      </c>
      <c r="AF136" s="211">
        <f>Helpers!AF12</f>
        <v/>
      </c>
      <c r="AG136" s="211">
        <f>Helpers!AG12</f>
        <v/>
      </c>
      <c r="AH136" s="211">
        <f>Helpers!AH12</f>
        <v/>
      </c>
      <c r="AI136" s="211">
        <f>Helpers!AI12</f>
        <v/>
      </c>
      <c r="AJ136" s="211">
        <f>Helpers!AJ12</f>
        <v/>
      </c>
      <c r="AK136" s="211">
        <f>Helpers!AK12</f>
        <v/>
      </c>
      <c r="AL136" s="211">
        <f>Helpers!AL12</f>
        <v/>
      </c>
      <c r="AM136" s="211">
        <f>Helpers!AM12</f>
        <v/>
      </c>
      <c r="AN136" s="211">
        <f>Helpers!AN12</f>
        <v/>
      </c>
      <c r="AO136" s="211">
        <f>Helpers!AO12</f>
        <v/>
      </c>
      <c r="AP136" s="211">
        <f>Helpers!AP12</f>
        <v/>
      </c>
      <c r="AQ136" s="211">
        <f>Helpers!AQ12</f>
        <v/>
      </c>
      <c r="AR136" s="211">
        <f>Helpers!AR12</f>
        <v/>
      </c>
      <c r="AS136" s="211">
        <f>Helpers!AS12</f>
        <v/>
      </c>
      <c r="AT136" s="211">
        <f>Helpers!AT12</f>
        <v/>
      </c>
      <c r="AU136" s="211">
        <f>Helpers!AU12</f>
        <v/>
      </c>
      <c r="AV136" s="211">
        <f>Helpers!AV12</f>
        <v/>
      </c>
      <c r="AW136" s="211">
        <f>Helpers!AW12</f>
        <v/>
      </c>
      <c r="AX136" s="211">
        <f>Helpers!AX12</f>
        <v/>
      </c>
      <c r="AY136" s="211">
        <f>Helpers!AY12</f>
        <v/>
      </c>
      <c r="AZ136" s="211">
        <f>Helpers!AZ12</f>
        <v/>
      </c>
      <c r="BA136" s="211">
        <f>Helpers!BA12</f>
        <v/>
      </c>
      <c r="BB136" s="211">
        <f>Helpers!BB12</f>
        <v/>
      </c>
      <c r="BC136" s="211">
        <f>Helpers!BC12</f>
        <v/>
      </c>
      <c r="BD136" s="211">
        <f>Helpers!BD12</f>
        <v/>
      </c>
      <c r="BE136" s="211">
        <f>Helpers!BE12</f>
        <v/>
      </c>
      <c r="BF136" s="211">
        <f>Helpers!BF12</f>
        <v/>
      </c>
      <c r="BG136" s="211">
        <f>Helpers!BG12</f>
        <v/>
      </c>
      <c r="BH136" s="211">
        <f>Helpers!BH12</f>
        <v/>
      </c>
      <c r="BI136" s="211">
        <f>Helpers!BI12</f>
        <v/>
      </c>
      <c r="BJ136" s="211">
        <f>Helpers!BJ12</f>
        <v/>
      </c>
      <c r="BK136" s="211">
        <f>Helpers!BK12</f>
        <v/>
      </c>
      <c r="BL136" s="211">
        <f>Helpers!BL12</f>
        <v/>
      </c>
      <c r="BM136" s="211">
        <f>Helpers!BM12</f>
        <v/>
      </c>
      <c r="BN136" s="211">
        <f>Helpers!BN12</f>
        <v/>
      </c>
      <c r="BO136" s="211">
        <f>Helpers!BO12</f>
        <v/>
      </c>
      <c r="BP136" s="211">
        <f>Helpers!BP12</f>
        <v/>
      </c>
      <c r="BQ136" s="211">
        <f>Helpers!BQ12</f>
        <v/>
      </c>
      <c r="BR136" s="211">
        <f>Helpers!BR12</f>
        <v/>
      </c>
      <c r="BS136" s="211">
        <f>Helpers!BS12</f>
        <v/>
      </c>
      <c r="BT136" s="211">
        <f>Helpers!BT12</f>
        <v/>
      </c>
      <c r="BU136" s="211">
        <f>Helpers!BU12</f>
        <v/>
      </c>
      <c r="BV136" s="211">
        <f>Helpers!BV12</f>
        <v/>
      </c>
      <c r="BW136" s="211">
        <f>Helpers!BW12</f>
        <v/>
      </c>
      <c r="BX136" s="211">
        <f>Helpers!BX12</f>
        <v/>
      </c>
      <c r="BY136" s="211">
        <f>Helpers!BY12</f>
        <v/>
      </c>
      <c r="BZ136" s="211">
        <f>Helpers!BZ12</f>
        <v/>
      </c>
      <c r="CA136" s="211">
        <f>Helpers!CA12</f>
        <v/>
      </c>
      <c r="CB136" s="211">
        <f>Helpers!CB12</f>
        <v/>
      </c>
      <c r="CC136" s="211">
        <f>Helpers!CC12</f>
        <v/>
      </c>
      <c r="CD136" s="211">
        <f>Helpers!CD12</f>
        <v/>
      </c>
      <c r="CE136" s="211">
        <f>Helpers!CE12</f>
        <v/>
      </c>
      <c r="CF136" s="211">
        <f>Helpers!CF12</f>
        <v/>
      </c>
      <c r="CG136" s="211">
        <f>Helpers!CG12</f>
        <v/>
      </c>
      <c r="CH136" s="211">
        <f>Helpers!CH12</f>
        <v/>
      </c>
      <c r="CI136" s="226" t="n"/>
      <c r="CJ136" s="257" t="n"/>
      <c r="CK136" s="257" t="n"/>
    </row>
    <row r="137" ht="15" customHeight="1" s="202">
      <c r="A137" s="210" t="inlineStr">
        <is>
          <t>Acama</t>
        </is>
      </c>
      <c r="B137" s="225" t="n"/>
      <c r="C137" s="211">
        <f>Helpers!C13</f>
        <v/>
      </c>
      <c r="D137" s="211">
        <f>Helpers!D13</f>
        <v/>
      </c>
      <c r="E137" s="211">
        <f>Helpers!E13</f>
        <v/>
      </c>
      <c r="F137" s="211">
        <f>Helpers!F13</f>
        <v/>
      </c>
      <c r="G137" s="211">
        <f>Helpers!G13</f>
        <v/>
      </c>
      <c r="H137" s="211">
        <f>Helpers!H13</f>
        <v/>
      </c>
      <c r="I137" s="211">
        <f>Helpers!I13</f>
        <v/>
      </c>
      <c r="J137" s="211">
        <f>Helpers!J13</f>
        <v/>
      </c>
      <c r="K137" s="211">
        <f>Helpers!K13</f>
        <v/>
      </c>
      <c r="L137" s="211">
        <f>Helpers!L13</f>
        <v/>
      </c>
      <c r="M137" s="211">
        <f>Helpers!M13</f>
        <v/>
      </c>
      <c r="N137" s="211">
        <f>Helpers!N13</f>
        <v/>
      </c>
      <c r="O137" s="211">
        <f>Helpers!O13</f>
        <v/>
      </c>
      <c r="P137" s="211">
        <f>Helpers!P13</f>
        <v/>
      </c>
      <c r="Q137" s="211">
        <f>Helpers!Q13</f>
        <v/>
      </c>
      <c r="R137" s="211">
        <f>Helpers!R13</f>
        <v/>
      </c>
      <c r="S137" s="211">
        <f>Helpers!S13</f>
        <v/>
      </c>
      <c r="T137" s="211">
        <f>Helpers!T13</f>
        <v/>
      </c>
      <c r="U137" s="211">
        <f>Helpers!U13</f>
        <v/>
      </c>
      <c r="V137" s="211">
        <f>Helpers!V13</f>
        <v/>
      </c>
      <c r="W137" s="211">
        <f>Helpers!W13</f>
        <v/>
      </c>
      <c r="X137" s="211">
        <f>Helpers!X13</f>
        <v/>
      </c>
      <c r="Y137" s="211">
        <f>Helpers!Y13</f>
        <v/>
      </c>
      <c r="Z137" s="211">
        <f>Helpers!Z13</f>
        <v/>
      </c>
      <c r="AA137" s="211">
        <f>Helpers!AA13</f>
        <v/>
      </c>
      <c r="AB137" s="211">
        <f>Helpers!AB13</f>
        <v/>
      </c>
      <c r="AC137" s="211">
        <f>Helpers!AC13</f>
        <v/>
      </c>
      <c r="AD137" s="211">
        <f>Helpers!AD13</f>
        <v/>
      </c>
      <c r="AE137" s="211">
        <f>Helpers!AE13</f>
        <v/>
      </c>
      <c r="AF137" s="211">
        <f>Helpers!AF13</f>
        <v/>
      </c>
      <c r="AG137" s="211">
        <f>Helpers!AG13</f>
        <v/>
      </c>
      <c r="AH137" s="211">
        <f>Helpers!AH13</f>
        <v/>
      </c>
      <c r="AI137" s="211">
        <f>Helpers!AI13</f>
        <v/>
      </c>
      <c r="AJ137" s="211">
        <f>Helpers!AJ13</f>
        <v/>
      </c>
      <c r="AK137" s="211">
        <f>Helpers!AK13</f>
        <v/>
      </c>
      <c r="AL137" s="211">
        <f>Helpers!AL13</f>
        <v/>
      </c>
      <c r="AM137" s="211">
        <f>Helpers!AM13</f>
        <v/>
      </c>
      <c r="AN137" s="211">
        <f>Helpers!AN13</f>
        <v/>
      </c>
      <c r="AO137" s="211">
        <f>Helpers!AO13</f>
        <v/>
      </c>
      <c r="AP137" s="211">
        <f>Helpers!AP13</f>
        <v/>
      </c>
      <c r="AQ137" s="211">
        <f>Helpers!AQ13</f>
        <v/>
      </c>
      <c r="AR137" s="211">
        <f>Helpers!AR13</f>
        <v/>
      </c>
      <c r="AS137" s="211">
        <f>Helpers!AS13</f>
        <v/>
      </c>
      <c r="AT137" s="211">
        <f>Helpers!AT13</f>
        <v/>
      </c>
      <c r="AU137" s="211">
        <f>Helpers!AU13</f>
        <v/>
      </c>
      <c r="AV137" s="211">
        <f>Helpers!AV13</f>
        <v/>
      </c>
      <c r="AW137" s="211">
        <f>Helpers!AW13</f>
        <v/>
      </c>
      <c r="AX137" s="211">
        <f>Helpers!AX13</f>
        <v/>
      </c>
      <c r="AY137" s="211">
        <f>Helpers!AY13</f>
        <v/>
      </c>
      <c r="AZ137" s="211">
        <f>Helpers!AZ13</f>
        <v/>
      </c>
      <c r="BA137" s="211">
        <f>Helpers!BA13</f>
        <v/>
      </c>
      <c r="BB137" s="211">
        <f>Helpers!BB13</f>
        <v/>
      </c>
      <c r="BC137" s="211">
        <f>Helpers!BC13</f>
        <v/>
      </c>
      <c r="BD137" s="211">
        <f>Helpers!BD13</f>
        <v/>
      </c>
      <c r="BE137" s="211">
        <f>Helpers!BE13</f>
        <v/>
      </c>
      <c r="BF137" s="211">
        <f>Helpers!BF13</f>
        <v/>
      </c>
      <c r="BG137" s="211">
        <f>Helpers!BG13</f>
        <v/>
      </c>
      <c r="BH137" s="211">
        <f>Helpers!BH13</f>
        <v/>
      </c>
      <c r="BI137" s="211">
        <f>Helpers!BI13</f>
        <v/>
      </c>
      <c r="BJ137" s="211">
        <f>Helpers!BJ13</f>
        <v/>
      </c>
      <c r="BK137" s="211">
        <f>Helpers!BK13</f>
        <v/>
      </c>
      <c r="BL137" s="211">
        <f>Helpers!BL13</f>
        <v/>
      </c>
      <c r="BM137" s="211">
        <f>Helpers!BM13</f>
        <v/>
      </c>
      <c r="BN137" s="211">
        <f>Helpers!BN13</f>
        <v/>
      </c>
      <c r="BO137" s="211">
        <f>Helpers!BO13</f>
        <v/>
      </c>
      <c r="BP137" s="211">
        <f>Helpers!BP13</f>
        <v/>
      </c>
      <c r="BQ137" s="211">
        <f>Helpers!BQ13</f>
        <v/>
      </c>
      <c r="BR137" s="211">
        <f>Helpers!BR13</f>
        <v/>
      </c>
      <c r="BS137" s="211">
        <f>Helpers!BS13</f>
        <v/>
      </c>
      <c r="BT137" s="211">
        <f>Helpers!BT13</f>
        <v/>
      </c>
      <c r="BU137" s="211">
        <f>Helpers!BU13</f>
        <v/>
      </c>
      <c r="BV137" s="211">
        <f>Helpers!BV13</f>
        <v/>
      </c>
      <c r="BW137" s="211">
        <f>Helpers!BW13</f>
        <v/>
      </c>
      <c r="BX137" s="211">
        <f>Helpers!BX13</f>
        <v/>
      </c>
      <c r="BY137" s="211">
        <f>Helpers!BY13</f>
        <v/>
      </c>
      <c r="BZ137" s="211">
        <f>Helpers!BZ13</f>
        <v/>
      </c>
      <c r="CA137" s="211">
        <f>Helpers!CA13</f>
        <v/>
      </c>
      <c r="CB137" s="211">
        <f>Helpers!CB13</f>
        <v/>
      </c>
      <c r="CC137" s="211">
        <f>Helpers!CC13</f>
        <v/>
      </c>
      <c r="CD137" s="211">
        <f>Helpers!CD13</f>
        <v/>
      </c>
      <c r="CE137" s="211">
        <f>Helpers!CE13</f>
        <v/>
      </c>
      <c r="CF137" s="211">
        <f>Helpers!CF13</f>
        <v/>
      </c>
      <c r="CG137" s="211">
        <f>Helpers!CG13</f>
        <v/>
      </c>
      <c r="CH137" s="211">
        <f>Helpers!CH13</f>
        <v/>
      </c>
      <c r="CI137" s="226" t="n"/>
      <c r="CJ137" s="257" t="n"/>
      <c r="CK137" s="257" t="n"/>
    </row>
    <row r="138" ht="15" customHeight="1" s="202">
      <c r="A138" s="210" t="inlineStr">
        <is>
          <t>Reseda</t>
        </is>
      </c>
      <c r="B138" s="225" t="n"/>
      <c r="C138" s="211">
        <f>Helpers!C14</f>
        <v/>
      </c>
      <c r="D138" s="211">
        <f>Helpers!D14</f>
        <v/>
      </c>
      <c r="E138" s="211">
        <f>Helpers!E14</f>
        <v/>
      </c>
      <c r="F138" s="211">
        <f>Helpers!F14</f>
        <v/>
      </c>
      <c r="G138" s="211">
        <f>Helpers!G14</f>
        <v/>
      </c>
      <c r="H138" s="211">
        <f>Helpers!H14</f>
        <v/>
      </c>
      <c r="I138" s="211">
        <f>Helpers!I14</f>
        <v/>
      </c>
      <c r="J138" s="211">
        <f>Helpers!J14</f>
        <v/>
      </c>
      <c r="K138" s="211">
        <f>Helpers!K14</f>
        <v/>
      </c>
      <c r="L138" s="211">
        <f>Helpers!L14</f>
        <v/>
      </c>
      <c r="M138" s="211">
        <f>Helpers!M14</f>
        <v/>
      </c>
      <c r="N138" s="211">
        <f>Helpers!N14</f>
        <v/>
      </c>
      <c r="O138" s="211">
        <f>Helpers!O14</f>
        <v/>
      </c>
      <c r="P138" s="211">
        <f>Helpers!P14</f>
        <v/>
      </c>
      <c r="Q138" s="211">
        <f>Helpers!Q14</f>
        <v/>
      </c>
      <c r="R138" s="211">
        <f>Helpers!R14</f>
        <v/>
      </c>
      <c r="S138" s="211">
        <f>Helpers!S14</f>
        <v/>
      </c>
      <c r="T138" s="211">
        <f>Helpers!T14</f>
        <v/>
      </c>
      <c r="U138" s="211">
        <f>Helpers!U14</f>
        <v/>
      </c>
      <c r="V138" s="211">
        <f>Helpers!V14</f>
        <v/>
      </c>
      <c r="W138" s="211">
        <f>Helpers!W14</f>
        <v/>
      </c>
      <c r="X138" s="211">
        <f>Helpers!X14</f>
        <v/>
      </c>
      <c r="Y138" s="211">
        <f>Helpers!Y14</f>
        <v/>
      </c>
      <c r="Z138" s="211">
        <f>Helpers!Z14</f>
        <v/>
      </c>
      <c r="AA138" s="211">
        <f>Helpers!AA14</f>
        <v/>
      </c>
      <c r="AB138" s="211">
        <f>Helpers!AB14</f>
        <v/>
      </c>
      <c r="AC138" s="211">
        <f>Helpers!AC14</f>
        <v/>
      </c>
      <c r="AD138" s="211">
        <f>Helpers!AD14</f>
        <v/>
      </c>
      <c r="AE138" s="211">
        <f>Helpers!AE14</f>
        <v/>
      </c>
      <c r="AF138" s="211">
        <f>Helpers!AF14</f>
        <v/>
      </c>
      <c r="AG138" s="211">
        <f>Helpers!AG14</f>
        <v/>
      </c>
      <c r="AH138" s="211">
        <f>Helpers!AH14</f>
        <v/>
      </c>
      <c r="AI138" s="211">
        <f>Helpers!AI14</f>
        <v/>
      </c>
      <c r="AJ138" s="211">
        <f>Helpers!AJ14</f>
        <v/>
      </c>
      <c r="AK138" s="211">
        <f>Helpers!AK14</f>
        <v/>
      </c>
      <c r="AL138" s="211">
        <f>Helpers!AL14</f>
        <v/>
      </c>
      <c r="AM138" s="211">
        <f>Helpers!AM14</f>
        <v/>
      </c>
      <c r="AN138" s="211">
        <f>Helpers!AN14</f>
        <v/>
      </c>
      <c r="AO138" s="211">
        <f>Helpers!AO14</f>
        <v/>
      </c>
      <c r="AP138" s="211">
        <f>Helpers!AP14</f>
        <v/>
      </c>
      <c r="AQ138" s="211">
        <f>Helpers!AQ14</f>
        <v/>
      </c>
      <c r="AR138" s="211">
        <f>Helpers!AR14</f>
        <v/>
      </c>
      <c r="AS138" s="211">
        <f>Helpers!AS14</f>
        <v/>
      </c>
      <c r="AT138" s="211">
        <f>Helpers!AT14</f>
        <v/>
      </c>
      <c r="AU138" s="211">
        <f>Helpers!AU14</f>
        <v/>
      </c>
      <c r="AV138" s="211">
        <f>Helpers!AV14</f>
        <v/>
      </c>
      <c r="AW138" s="211">
        <f>Helpers!AW14</f>
        <v/>
      </c>
      <c r="AX138" s="211">
        <f>Helpers!AX14</f>
        <v/>
      </c>
      <c r="AY138" s="211">
        <f>Helpers!AY14</f>
        <v/>
      </c>
      <c r="AZ138" s="211">
        <f>Helpers!AZ14</f>
        <v/>
      </c>
      <c r="BA138" s="211">
        <f>Helpers!BA14</f>
        <v/>
      </c>
      <c r="BB138" s="211">
        <f>Helpers!BB14</f>
        <v/>
      </c>
      <c r="BC138" s="211">
        <f>Helpers!BC14</f>
        <v/>
      </c>
      <c r="BD138" s="211">
        <f>Helpers!BD14</f>
        <v/>
      </c>
      <c r="BE138" s="211">
        <f>Helpers!BE14</f>
        <v/>
      </c>
      <c r="BF138" s="211">
        <f>Helpers!BF14</f>
        <v/>
      </c>
      <c r="BG138" s="211">
        <f>Helpers!BG14</f>
        <v/>
      </c>
      <c r="BH138" s="211">
        <f>Helpers!BH14</f>
        <v/>
      </c>
      <c r="BI138" s="211">
        <f>Helpers!BI14</f>
        <v/>
      </c>
      <c r="BJ138" s="211">
        <f>Helpers!BJ14</f>
        <v/>
      </c>
      <c r="BK138" s="211">
        <f>Helpers!BK14</f>
        <v/>
      </c>
      <c r="BL138" s="211">
        <f>Helpers!BL14</f>
        <v/>
      </c>
      <c r="BM138" s="211">
        <f>Helpers!BM14</f>
        <v/>
      </c>
      <c r="BN138" s="211">
        <f>Helpers!BN14</f>
        <v/>
      </c>
      <c r="BO138" s="211">
        <f>Helpers!BO14</f>
        <v/>
      </c>
      <c r="BP138" s="211">
        <f>Helpers!BP14</f>
        <v/>
      </c>
      <c r="BQ138" s="211">
        <f>Helpers!BQ14</f>
        <v/>
      </c>
      <c r="BR138" s="211">
        <f>Helpers!BR14</f>
        <v/>
      </c>
      <c r="BS138" s="211">
        <f>Helpers!BS14</f>
        <v/>
      </c>
      <c r="BT138" s="211">
        <f>Helpers!BT14</f>
        <v/>
      </c>
      <c r="BU138" s="211">
        <f>Helpers!BU14</f>
        <v/>
      </c>
      <c r="BV138" s="211">
        <f>Helpers!BV14</f>
        <v/>
      </c>
      <c r="BW138" s="211">
        <f>Helpers!BW14</f>
        <v/>
      </c>
      <c r="BX138" s="211">
        <f>Helpers!BX14</f>
        <v/>
      </c>
      <c r="BY138" s="211">
        <f>Helpers!BY14</f>
        <v/>
      </c>
      <c r="BZ138" s="211">
        <f>Helpers!BZ14</f>
        <v/>
      </c>
      <c r="CA138" s="211">
        <f>Helpers!CA14</f>
        <v/>
      </c>
      <c r="CB138" s="211">
        <f>Helpers!CB14</f>
        <v/>
      </c>
      <c r="CC138" s="211">
        <f>Helpers!CC14</f>
        <v/>
      </c>
      <c r="CD138" s="211">
        <f>Helpers!CD14</f>
        <v/>
      </c>
      <c r="CE138" s="211">
        <f>Helpers!CE14</f>
        <v/>
      </c>
      <c r="CF138" s="211">
        <f>Helpers!CF14</f>
        <v/>
      </c>
      <c r="CG138" s="211">
        <f>Helpers!CG14</f>
        <v/>
      </c>
      <c r="CH138" s="211">
        <f>Helpers!CH14</f>
        <v/>
      </c>
      <c r="CI138" s="226" t="n"/>
      <c r="CJ138" s="257" t="n"/>
      <c r="CK138" s="257" t="n"/>
    </row>
    <row r="139" ht="15" customHeight="1" s="202">
      <c r="A139" s="210" t="inlineStr">
        <is>
          <t>3rd St</t>
        </is>
      </c>
      <c r="B139" s="225" t="n"/>
      <c r="C139" s="211">
        <f>Helpers!C15</f>
        <v/>
      </c>
      <c r="D139" s="211">
        <f>Helpers!D15</f>
        <v/>
      </c>
      <c r="E139" s="211">
        <f>Helpers!E15</f>
        <v/>
      </c>
      <c r="F139" s="211">
        <f>Helpers!F15</f>
        <v/>
      </c>
      <c r="G139" s="211">
        <f>Helpers!G15</f>
        <v/>
      </c>
      <c r="H139" s="211">
        <f>Helpers!H15</f>
        <v/>
      </c>
      <c r="I139" s="211">
        <f>Helpers!I15</f>
        <v/>
      </c>
      <c r="J139" s="211">
        <f>Helpers!J15</f>
        <v/>
      </c>
      <c r="K139" s="211">
        <f>Helpers!K15</f>
        <v/>
      </c>
      <c r="L139" s="211">
        <f>Helpers!L15</f>
        <v/>
      </c>
      <c r="M139" s="211">
        <f>Helpers!M15</f>
        <v/>
      </c>
      <c r="N139" s="211">
        <f>Helpers!N15</f>
        <v/>
      </c>
      <c r="O139" s="211">
        <f>Helpers!O15</f>
        <v/>
      </c>
      <c r="P139" s="211">
        <f>Helpers!P15</f>
        <v/>
      </c>
      <c r="Q139" s="211">
        <f>Helpers!Q15</f>
        <v/>
      </c>
      <c r="R139" s="211">
        <f>Helpers!R15</f>
        <v/>
      </c>
      <c r="S139" s="211">
        <f>Helpers!S15</f>
        <v/>
      </c>
      <c r="T139" s="211">
        <f>Helpers!T15</f>
        <v/>
      </c>
      <c r="U139" s="211">
        <f>Helpers!U15</f>
        <v/>
      </c>
      <c r="V139" s="211">
        <f>Helpers!V15</f>
        <v/>
      </c>
      <c r="W139" s="211">
        <f>Helpers!W15</f>
        <v/>
      </c>
      <c r="X139" s="211">
        <f>Helpers!X15</f>
        <v/>
      </c>
      <c r="Y139" s="211">
        <f>Helpers!Y15</f>
        <v/>
      </c>
      <c r="Z139" s="211">
        <f>Helpers!Z15</f>
        <v/>
      </c>
      <c r="AA139" s="211">
        <f>Helpers!AA15</f>
        <v/>
      </c>
      <c r="AB139" s="211">
        <f>Helpers!AB15</f>
        <v/>
      </c>
      <c r="AC139" s="211">
        <f>Helpers!AC15</f>
        <v/>
      </c>
      <c r="AD139" s="211">
        <f>Helpers!AD15</f>
        <v/>
      </c>
      <c r="AE139" s="211">
        <f>Helpers!AE15</f>
        <v/>
      </c>
      <c r="AF139" s="211">
        <f>Helpers!AF15</f>
        <v/>
      </c>
      <c r="AG139" s="211">
        <f>Helpers!AG15</f>
        <v/>
      </c>
      <c r="AH139" s="211">
        <f>Helpers!AH15</f>
        <v/>
      </c>
      <c r="AI139" s="211">
        <f>Helpers!AI15</f>
        <v/>
      </c>
      <c r="AJ139" s="211">
        <f>Helpers!AJ15</f>
        <v/>
      </c>
      <c r="AK139" s="211">
        <f>Helpers!AK15</f>
        <v/>
      </c>
      <c r="AL139" s="211">
        <f>Helpers!AL15</f>
        <v/>
      </c>
      <c r="AM139" s="211">
        <f>Helpers!AM15</f>
        <v/>
      </c>
      <c r="AN139" s="211">
        <f>Helpers!AN15</f>
        <v/>
      </c>
      <c r="AO139" s="211">
        <f>Helpers!AO15</f>
        <v/>
      </c>
      <c r="AP139" s="211">
        <f>Helpers!AP15</f>
        <v/>
      </c>
      <c r="AQ139" s="211">
        <f>Helpers!AQ15</f>
        <v/>
      </c>
      <c r="AR139" s="211">
        <f>Helpers!AR15</f>
        <v/>
      </c>
      <c r="AS139" s="211">
        <f>Helpers!AS15</f>
        <v/>
      </c>
      <c r="AT139" s="211">
        <f>Helpers!AT15</f>
        <v/>
      </c>
      <c r="AU139" s="211">
        <f>Helpers!AU15</f>
        <v/>
      </c>
      <c r="AV139" s="211">
        <f>Helpers!AV15</f>
        <v/>
      </c>
      <c r="AW139" s="211">
        <f>Helpers!AW15</f>
        <v/>
      </c>
      <c r="AX139" s="211">
        <f>Helpers!AX15</f>
        <v/>
      </c>
      <c r="AY139" s="211">
        <f>Helpers!AY15</f>
        <v/>
      </c>
      <c r="AZ139" s="211">
        <f>Helpers!AZ15</f>
        <v/>
      </c>
      <c r="BA139" s="211">
        <f>Helpers!BA15</f>
        <v/>
      </c>
      <c r="BB139" s="211">
        <f>Helpers!BB15</f>
        <v/>
      </c>
      <c r="BC139" s="211">
        <f>Helpers!BC15</f>
        <v/>
      </c>
      <c r="BD139" s="211">
        <f>Helpers!BD15</f>
        <v/>
      </c>
      <c r="BE139" s="211">
        <f>Helpers!BE15</f>
        <v/>
      </c>
      <c r="BF139" s="211">
        <f>Helpers!BF15</f>
        <v/>
      </c>
      <c r="BG139" s="211">
        <f>Helpers!BG15</f>
        <v/>
      </c>
      <c r="BH139" s="211">
        <f>Helpers!BH15</f>
        <v/>
      </c>
      <c r="BI139" s="211">
        <f>Helpers!BI15</f>
        <v/>
      </c>
      <c r="BJ139" s="211">
        <f>Helpers!BJ15</f>
        <v/>
      </c>
      <c r="BK139" s="211">
        <f>Helpers!BK15</f>
        <v/>
      </c>
      <c r="BL139" s="211">
        <f>Helpers!BL15</f>
        <v/>
      </c>
      <c r="BM139" s="211">
        <f>Helpers!BM15</f>
        <v/>
      </c>
      <c r="BN139" s="211">
        <f>Helpers!BN15</f>
        <v/>
      </c>
      <c r="BO139" s="211">
        <f>Helpers!BO15</f>
        <v/>
      </c>
      <c r="BP139" s="211">
        <f>Helpers!BP15</f>
        <v/>
      </c>
      <c r="BQ139" s="211">
        <f>Helpers!BQ15</f>
        <v/>
      </c>
      <c r="BR139" s="211">
        <f>Helpers!BR15</f>
        <v/>
      </c>
      <c r="BS139" s="211">
        <f>Helpers!BS15</f>
        <v/>
      </c>
      <c r="BT139" s="211">
        <f>Helpers!BT15</f>
        <v/>
      </c>
      <c r="BU139" s="211">
        <f>Helpers!BU15</f>
        <v/>
      </c>
      <c r="BV139" s="211">
        <f>Helpers!BV15</f>
        <v/>
      </c>
      <c r="BW139" s="211">
        <f>Helpers!BW15</f>
        <v/>
      </c>
      <c r="BX139" s="211">
        <f>Helpers!BX15</f>
        <v/>
      </c>
      <c r="BY139" s="211">
        <f>Helpers!BY15</f>
        <v/>
      </c>
      <c r="BZ139" s="211">
        <f>Helpers!BZ15</f>
        <v/>
      </c>
      <c r="CA139" s="211">
        <f>Helpers!CA15</f>
        <v/>
      </c>
      <c r="CB139" s="211">
        <f>Helpers!CB15</f>
        <v/>
      </c>
      <c r="CC139" s="211">
        <f>Helpers!CC15</f>
        <v/>
      </c>
      <c r="CD139" s="211">
        <f>Helpers!CD15</f>
        <v/>
      </c>
      <c r="CE139" s="211">
        <f>Helpers!CE15</f>
        <v/>
      </c>
      <c r="CF139" s="211">
        <f>Helpers!CF15</f>
        <v/>
      </c>
      <c r="CG139" s="211">
        <f>Helpers!CG15</f>
        <v/>
      </c>
      <c r="CH139" s="211">
        <f>Helpers!CH15</f>
        <v/>
      </c>
      <c r="CI139" s="226" t="n"/>
      <c r="CJ139" s="257" t="n"/>
      <c r="CK139" s="257" t="n"/>
    </row>
    <row r="140" ht="15" customHeight="1" s="202">
      <c r="A140" s="212" t="inlineStr">
        <is>
          <t>Total Bonding Outstanding</t>
        </is>
      </c>
      <c r="B140" s="231" t="n"/>
      <c r="C140" s="213">
        <f>SUM(C132:C139)</f>
        <v/>
      </c>
      <c r="D140" s="213">
        <f>SUM(D132:D139)</f>
        <v/>
      </c>
      <c r="E140" s="213">
        <f>SUM(E132:E139)</f>
        <v/>
      </c>
      <c r="F140" s="213">
        <f>SUM(F132:F139)</f>
        <v/>
      </c>
      <c r="G140" s="213">
        <f>SUM(G132:G139)</f>
        <v/>
      </c>
      <c r="H140" s="213">
        <f>SUM(H132:H139)</f>
        <v/>
      </c>
      <c r="I140" s="213">
        <f>SUM(I132:I139)</f>
        <v/>
      </c>
      <c r="J140" s="213">
        <f>SUM(J132:J139)</f>
        <v/>
      </c>
      <c r="K140" s="213">
        <f>SUM(K132:K139)</f>
        <v/>
      </c>
      <c r="L140" s="213">
        <f>SUM(L132:L139)</f>
        <v/>
      </c>
      <c r="M140" s="213">
        <f>SUM(M132:M139)</f>
        <v/>
      </c>
      <c r="N140" s="213">
        <f>SUM(N132:N139)</f>
        <v/>
      </c>
      <c r="O140" s="213">
        <f>SUM(O132:O139)</f>
        <v/>
      </c>
      <c r="P140" s="213">
        <f>SUM(P132:P139)</f>
        <v/>
      </c>
      <c r="Q140" s="213">
        <f>SUM(Q132:Q139)</f>
        <v/>
      </c>
      <c r="R140" s="213">
        <f>SUM(R132:R139)</f>
        <v/>
      </c>
      <c r="S140" s="213">
        <f>SUM(S132:S139)</f>
        <v/>
      </c>
      <c r="T140" s="213">
        <f>SUM(T132:T139)</f>
        <v/>
      </c>
      <c r="U140" s="213">
        <f>SUM(U132:U139)</f>
        <v/>
      </c>
      <c r="V140" s="213">
        <f>SUM(V132:V139)</f>
        <v/>
      </c>
      <c r="W140" s="213">
        <f>SUM(W132:W139)</f>
        <v/>
      </c>
      <c r="X140" s="213">
        <f>SUM(X132:X139)</f>
        <v/>
      </c>
      <c r="Y140" s="213">
        <f>SUM(Y132:Y139)</f>
        <v/>
      </c>
      <c r="Z140" s="213">
        <f>SUM(Z132:Z139)</f>
        <v/>
      </c>
      <c r="AA140" s="213">
        <f>SUM(AA132:AA139)</f>
        <v/>
      </c>
      <c r="AB140" s="213">
        <f>SUM(AB132:AB139)</f>
        <v/>
      </c>
      <c r="AC140" s="213">
        <f>SUM(AC132:AC139)</f>
        <v/>
      </c>
      <c r="AD140" s="213">
        <f>SUM(AD132:AD139)</f>
        <v/>
      </c>
      <c r="AE140" s="213">
        <f>SUM(AE132:AE139)</f>
        <v/>
      </c>
      <c r="AF140" s="213">
        <f>SUM(AF132:AF139)</f>
        <v/>
      </c>
      <c r="AG140" s="213">
        <f>SUM(AG132:AG139)</f>
        <v/>
      </c>
      <c r="AH140" s="213">
        <f>SUM(AH132:AH139)</f>
        <v/>
      </c>
      <c r="AI140" s="213">
        <f>SUM(AI132:AI139)</f>
        <v/>
      </c>
      <c r="AJ140" s="213">
        <f>SUM(AJ132:AJ139)</f>
        <v/>
      </c>
      <c r="AK140" s="213">
        <f>SUM(AK132:AK139)</f>
        <v/>
      </c>
      <c r="AL140" s="213">
        <f>SUM(AL132:AL139)</f>
        <v/>
      </c>
      <c r="AM140" s="213">
        <f>SUM(AM132:AM139)</f>
        <v/>
      </c>
      <c r="AN140" s="213">
        <f>SUM(AN132:AN139)</f>
        <v/>
      </c>
      <c r="AO140" s="213">
        <f>SUM(AO132:AO139)</f>
        <v/>
      </c>
      <c r="AP140" s="213">
        <f>SUM(AP132:AP139)</f>
        <v/>
      </c>
      <c r="AQ140" s="213">
        <f>SUM(AQ132:AQ139)</f>
        <v/>
      </c>
      <c r="AR140" s="213">
        <f>SUM(AR132:AR139)</f>
        <v/>
      </c>
      <c r="AS140" s="213">
        <f>SUM(AS132:AS139)</f>
        <v/>
      </c>
      <c r="AT140" s="213">
        <f>SUM(AT132:AT139)</f>
        <v/>
      </c>
      <c r="AU140" s="213">
        <f>SUM(AU132:AU139)</f>
        <v/>
      </c>
      <c r="AV140" s="213">
        <f>SUM(AV132:AV139)</f>
        <v/>
      </c>
      <c r="AW140" s="213">
        <f>SUM(AW132:AW139)</f>
        <v/>
      </c>
      <c r="AX140" s="213">
        <f>SUM(AX132:AX139)</f>
        <v/>
      </c>
      <c r="AY140" s="213">
        <f>SUM(AY132:AY139)</f>
        <v/>
      </c>
      <c r="AZ140" s="213">
        <f>SUM(AZ132:AZ139)</f>
        <v/>
      </c>
      <c r="BA140" s="213">
        <f>SUM(BA132:BA139)</f>
        <v/>
      </c>
      <c r="BB140" s="213">
        <f>SUM(BB132:BB139)</f>
        <v/>
      </c>
      <c r="BC140" s="213">
        <f>SUM(BC132:BC139)</f>
        <v/>
      </c>
      <c r="BD140" s="213">
        <f>SUM(BD132:BD139)</f>
        <v/>
      </c>
      <c r="BE140" s="213">
        <f>SUM(BE132:BE139)</f>
        <v/>
      </c>
      <c r="BF140" s="213">
        <f>SUM(BF132:BF139)</f>
        <v/>
      </c>
      <c r="BG140" s="213">
        <f>SUM(BG132:BG139)</f>
        <v/>
      </c>
      <c r="BH140" s="213">
        <f>SUM(BH132:BH139)</f>
        <v/>
      </c>
      <c r="BI140" s="213">
        <f>SUM(BI132:BI139)</f>
        <v/>
      </c>
      <c r="BJ140" s="213">
        <f>SUM(BJ132:BJ139)</f>
        <v/>
      </c>
      <c r="BK140" s="213">
        <f>SUM(BK132:BK139)</f>
        <v/>
      </c>
      <c r="BL140" s="213">
        <f>SUM(BL132:BL139)</f>
        <v/>
      </c>
      <c r="BM140" s="213">
        <f>SUM(BM132:BM139)</f>
        <v/>
      </c>
      <c r="BN140" s="213">
        <f>SUM(BN132:BN139)</f>
        <v/>
      </c>
      <c r="BO140" s="213">
        <f>SUM(BO132:BO139)</f>
        <v/>
      </c>
      <c r="BP140" s="213">
        <f>SUM(BP132:BP139)</f>
        <v/>
      </c>
      <c r="BQ140" s="213">
        <f>SUM(BQ132:BQ139)</f>
        <v/>
      </c>
      <c r="BR140" s="213">
        <f>SUM(BR132:BR139)</f>
        <v/>
      </c>
      <c r="BS140" s="213">
        <f>SUM(BS132:BS139)</f>
        <v/>
      </c>
      <c r="BT140" s="213">
        <f>SUM(BT132:BT139)</f>
        <v/>
      </c>
      <c r="BU140" s="213">
        <f>SUM(BU132:BU139)</f>
        <v/>
      </c>
      <c r="BV140" s="213">
        <f>SUM(BV132:BV139)</f>
        <v/>
      </c>
      <c r="BW140" s="213">
        <f>SUM(BW132:BW139)</f>
        <v/>
      </c>
      <c r="BX140" s="213">
        <f>SUM(BX132:BX139)</f>
        <v/>
      </c>
      <c r="BY140" s="213">
        <f>SUM(BY132:BY139)</f>
        <v/>
      </c>
      <c r="BZ140" s="213">
        <f>SUM(BZ132:BZ139)</f>
        <v/>
      </c>
      <c r="CA140" s="213">
        <f>SUM(CA132:CA139)</f>
        <v/>
      </c>
      <c r="CB140" s="213">
        <f>SUM(CB132:CB139)</f>
        <v/>
      </c>
      <c r="CC140" s="213">
        <f>SUM(CC132:CC139)</f>
        <v/>
      </c>
      <c r="CD140" s="213">
        <f>SUM(CD132:CD139)</f>
        <v/>
      </c>
      <c r="CE140" s="213">
        <f>SUM(CE132:CE139)</f>
        <v/>
      </c>
      <c r="CF140" s="213">
        <f>SUM(CF132:CF139)</f>
        <v/>
      </c>
      <c r="CG140" s="213">
        <f>SUM(CG132:CG139)</f>
        <v/>
      </c>
      <c r="CH140" s="213">
        <f>SUM(CH132:CH139)</f>
        <v/>
      </c>
      <c r="CI140" s="226" t="n"/>
      <c r="CJ140" s="257" t="n"/>
      <c r="CK140" s="257" t="n"/>
    </row>
    <row r="141" ht="15" customHeight="1" s="202">
      <c r="A141" s="225" t="n"/>
      <c r="B141" s="225" t="n"/>
      <c r="C141" s="225" t="n"/>
      <c r="D141" s="225" t="n"/>
      <c r="E141" s="225" t="n"/>
      <c r="F141" s="225" t="n"/>
      <c r="G141" s="225" t="n"/>
      <c r="H141" s="225" t="n"/>
      <c r="I141" s="225" t="n"/>
      <c r="J141" s="225" t="n"/>
      <c r="K141" s="225" t="n"/>
      <c r="L141" s="225" t="n"/>
      <c r="M141" s="225" t="n"/>
      <c r="N141" s="225" t="n"/>
      <c r="O141" s="225" t="n"/>
      <c r="P141" s="225" t="n"/>
      <c r="Q141" s="225" t="n"/>
      <c r="R141" s="225" t="n"/>
      <c r="S141" s="225" t="n"/>
      <c r="T141" s="225" t="n"/>
      <c r="U141" s="225" t="n"/>
      <c r="V141" s="225" t="n"/>
      <c r="W141" s="225" t="n"/>
      <c r="X141" s="225" t="n"/>
      <c r="Y141" s="225" t="n"/>
      <c r="Z141" s="225" t="n"/>
      <c r="AA141" s="225" t="n"/>
      <c r="AB141" s="225" t="n"/>
      <c r="AC141" s="225" t="n"/>
      <c r="AD141" s="225" t="n"/>
      <c r="AE141" s="225" t="n"/>
      <c r="AF141" s="225" t="n"/>
      <c r="AG141" s="225" t="n"/>
      <c r="AH141" s="225" t="n"/>
      <c r="AI141" s="225" t="n"/>
      <c r="AJ141" s="225" t="n"/>
      <c r="AK141" s="225" t="n"/>
      <c r="AL141" s="225" t="n"/>
      <c r="AM141" s="225" t="n"/>
      <c r="AN141" s="225" t="n"/>
      <c r="AO141" s="225" t="n"/>
      <c r="AP141" s="225" t="n"/>
      <c r="AQ141" s="225" t="n"/>
      <c r="AR141" s="225" t="n"/>
      <c r="AS141" s="225" t="n"/>
      <c r="AT141" s="225" t="n"/>
      <c r="AU141" s="225" t="n"/>
      <c r="AV141" s="225" t="n"/>
      <c r="AW141" s="225" t="n"/>
      <c r="AX141" s="225" t="n"/>
      <c r="AY141" s="225" t="n"/>
      <c r="AZ141" s="225" t="n"/>
      <c r="BA141" s="225" t="n"/>
      <c r="BB141" s="225" t="n"/>
      <c r="BC141" s="225" t="n"/>
      <c r="BD141" s="225" t="n"/>
      <c r="BE141" s="225" t="n"/>
      <c r="BF141" s="225" t="n"/>
      <c r="BG141" s="225" t="n"/>
      <c r="BH141" s="225" t="n"/>
      <c r="BI141" s="225" t="n"/>
      <c r="BJ141" s="225" t="n"/>
      <c r="BK141" s="225" t="n"/>
      <c r="BL141" s="225" t="n"/>
      <c r="BM141" s="225" t="n"/>
      <c r="BN141" s="225" t="n"/>
      <c r="BO141" s="225" t="n"/>
      <c r="BP141" s="225" t="n"/>
      <c r="BQ141" s="225" t="n"/>
      <c r="BR141" s="225" t="n"/>
      <c r="BS141" s="225" t="n"/>
      <c r="BT141" s="225" t="n"/>
      <c r="BU141" s="225" t="n"/>
      <c r="BV141" s="225" t="n"/>
      <c r="BW141" s="225" t="n"/>
      <c r="BX141" s="225" t="n"/>
      <c r="BY141" s="225" t="n"/>
      <c r="BZ141" s="225" t="n"/>
      <c r="CA141" s="225" t="n"/>
      <c r="CB141" s="225" t="n"/>
      <c r="CC141" s="225" t="n"/>
      <c r="CD141" s="225" t="n"/>
      <c r="CE141" s="225" t="n"/>
      <c r="CF141" s="225" t="n"/>
      <c r="CG141" s="225" t="n"/>
      <c r="CH141" s="225" t="n"/>
      <c r="CI141" s="226" t="n"/>
      <c r="CJ141" s="257" t="n"/>
      <c r="CK141" s="257" t="n"/>
    </row>
    <row r="142" ht="15" customHeight="1" s="202">
      <c r="A142" s="229" t="inlineStr">
        <is>
          <t>CASH ON HAND</t>
        </is>
      </c>
      <c r="B142" s="229" t="n"/>
      <c r="C142" s="229" t="n"/>
      <c r="D142" s="229" t="n"/>
      <c r="E142" s="229" t="n"/>
      <c r="F142" s="229" t="n"/>
      <c r="G142" s="229" t="n"/>
      <c r="H142" s="229" t="n"/>
      <c r="I142" s="229" t="n"/>
      <c r="J142" s="229" t="n"/>
      <c r="K142" s="229" t="n"/>
      <c r="L142" s="229" t="n"/>
      <c r="M142" s="229" t="n"/>
      <c r="N142" s="229" t="n"/>
      <c r="O142" s="229" t="n"/>
      <c r="P142" s="229" t="n"/>
      <c r="Q142" s="229" t="n"/>
      <c r="R142" s="229" t="n"/>
      <c r="S142" s="229" t="n"/>
      <c r="T142" s="229" t="n"/>
      <c r="U142" s="229" t="n"/>
      <c r="V142" s="229" t="n"/>
      <c r="W142" s="229" t="n"/>
      <c r="X142" s="229" t="n"/>
      <c r="Y142" s="229" t="n"/>
      <c r="Z142" s="229" t="n"/>
      <c r="AA142" s="229" t="n"/>
      <c r="AB142" s="229" t="n"/>
      <c r="AC142" s="229" t="n"/>
      <c r="AD142" s="229" t="n"/>
      <c r="AE142" s="229" t="n"/>
      <c r="AF142" s="229" t="n"/>
      <c r="AG142" s="229" t="n"/>
      <c r="AH142" s="229" t="n"/>
      <c r="AI142" s="229" t="n"/>
      <c r="AJ142" s="229" t="n"/>
      <c r="AK142" s="229" t="n"/>
      <c r="AL142" s="229" t="n"/>
      <c r="AM142" s="229" t="n"/>
      <c r="AN142" s="229" t="n"/>
      <c r="AO142" s="229" t="n"/>
      <c r="AP142" s="229" t="n"/>
      <c r="AQ142" s="229" t="n"/>
      <c r="AR142" s="229" t="n"/>
      <c r="AS142" s="229" t="n"/>
      <c r="AT142" s="229" t="n"/>
      <c r="AU142" s="229" t="n"/>
      <c r="AV142" s="229" t="n"/>
      <c r="AW142" s="229" t="n"/>
      <c r="AX142" s="229" t="n"/>
      <c r="AY142" s="229" t="n"/>
      <c r="AZ142" s="229" t="n"/>
      <c r="BA142" s="229" t="n"/>
      <c r="BB142" s="229" t="n"/>
      <c r="BC142" s="229" t="n"/>
      <c r="BD142" s="229" t="n"/>
      <c r="BE142" s="229" t="n"/>
      <c r="BF142" s="229" t="n"/>
      <c r="BG142" s="229" t="n"/>
      <c r="BH142" s="229" t="n"/>
      <c r="BI142" s="229" t="n"/>
      <c r="BJ142" s="229" t="n"/>
      <c r="BK142" s="229" t="n"/>
      <c r="BL142" s="229" t="n"/>
      <c r="BM142" s="229" t="n"/>
      <c r="BN142" s="229" t="n"/>
      <c r="BO142" s="229" t="n"/>
      <c r="BP142" s="229" t="n"/>
      <c r="BQ142" s="229" t="n"/>
      <c r="BR142" s="229" t="n"/>
      <c r="BS142" s="229" t="n"/>
      <c r="BT142" s="229" t="n"/>
      <c r="BU142" s="229" t="n"/>
      <c r="BV142" s="229" t="n"/>
      <c r="BW142" s="229" t="n"/>
      <c r="BX142" s="229" t="n"/>
      <c r="BY142" s="229" t="n"/>
      <c r="BZ142" s="229" t="n"/>
      <c r="CA142" s="229" t="n"/>
      <c r="CB142" s="229" t="n"/>
      <c r="CC142" s="229" t="n"/>
      <c r="CD142" s="229" t="n"/>
      <c r="CE142" s="229" t="n"/>
      <c r="CF142" s="229" t="n"/>
      <c r="CG142" s="229" t="n"/>
      <c r="CH142" s="229" t="n"/>
      <c r="CI142" s="226" t="n"/>
      <c r="CJ142" s="257" t="n"/>
      <c r="CK142" s="257" t="n"/>
    </row>
    <row r="143" ht="8.25" customHeight="1" s="202">
      <c r="A143" s="258" t="n"/>
      <c r="B143" s="258" t="n"/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258" t="n"/>
      <c r="M143" s="258" t="n"/>
      <c r="N143" s="258" t="n"/>
      <c r="O143" s="258" t="n"/>
      <c r="P143" s="258" t="n"/>
      <c r="Q143" s="258" t="n"/>
      <c r="R143" s="258" t="n"/>
      <c r="S143" s="258" t="n"/>
      <c r="T143" s="258" t="n"/>
      <c r="U143" s="258" t="n"/>
      <c r="V143" s="258" t="n"/>
      <c r="W143" s="258" t="n"/>
      <c r="X143" s="258" t="n"/>
      <c r="Y143" s="258" t="n"/>
      <c r="Z143" s="258" t="n"/>
      <c r="AA143" s="258" t="n"/>
      <c r="AB143" s="258" t="n"/>
      <c r="AC143" s="258" t="n"/>
      <c r="AD143" s="258" t="n"/>
      <c r="AE143" s="258" t="n"/>
      <c r="AF143" s="258" t="n"/>
      <c r="AG143" s="258" t="n"/>
      <c r="AH143" s="258" t="n"/>
      <c r="AI143" s="258" t="n"/>
      <c r="AJ143" s="258" t="n"/>
      <c r="AK143" s="258" t="n"/>
      <c r="AL143" s="258" t="n"/>
      <c r="AM143" s="258" t="n"/>
      <c r="AN143" s="258" t="n"/>
      <c r="AO143" s="258" t="n"/>
      <c r="AP143" s="258" t="n"/>
      <c r="AQ143" s="258" t="n"/>
      <c r="AR143" s="258" t="n"/>
      <c r="AS143" s="258" t="n"/>
      <c r="AT143" s="258" t="n"/>
      <c r="AU143" s="258" t="n"/>
      <c r="AV143" s="258" t="n"/>
      <c r="AW143" s="258" t="n"/>
      <c r="AX143" s="258" t="n"/>
      <c r="AY143" s="258" t="n"/>
      <c r="AZ143" s="258" t="n"/>
      <c r="BA143" s="258" t="n"/>
      <c r="BB143" s="258" t="n"/>
      <c r="BC143" s="258" t="n"/>
      <c r="BD143" s="258" t="n"/>
      <c r="BE143" s="258" t="n"/>
      <c r="BF143" s="258" t="n"/>
      <c r="BG143" s="258" t="n"/>
      <c r="BH143" s="258" t="n"/>
      <c r="BI143" s="258" t="n"/>
      <c r="BJ143" s="258" t="n"/>
      <c r="BK143" s="258" t="n"/>
      <c r="BL143" s="258" t="n"/>
      <c r="BM143" s="258" t="n"/>
      <c r="BN143" s="258" t="n"/>
      <c r="BO143" s="258" t="n"/>
      <c r="BP143" s="258" t="n"/>
      <c r="BQ143" s="258" t="n"/>
      <c r="BR143" s="258" t="n"/>
      <c r="BS143" s="258" t="n"/>
      <c r="BT143" s="258" t="n"/>
      <c r="BU143" s="258" t="n"/>
      <c r="BV143" s="258" t="n"/>
      <c r="BW143" s="258" t="n"/>
      <c r="BX143" s="258" t="n"/>
      <c r="BY143" s="258" t="n"/>
      <c r="BZ143" s="258" t="n"/>
      <c r="CA143" s="258" t="n"/>
      <c r="CB143" s="258" t="n"/>
      <c r="CC143" s="258" t="n"/>
      <c r="CD143" s="258" t="n"/>
      <c r="CE143" s="258" t="n"/>
      <c r="CF143" s="258" t="n"/>
      <c r="CG143" s="258" t="n"/>
      <c r="CH143" s="258" t="n"/>
      <c r="CI143" s="238" t="n"/>
      <c r="CJ143" s="259" t="n"/>
      <c r="CK143" s="259" t="n"/>
    </row>
    <row r="144" ht="15" customHeight="1" s="202">
      <c r="A144" s="209" t="inlineStr">
        <is>
          <t>LV (GC) Cash</t>
        </is>
      </c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  <c r="AB144" s="209" t="n"/>
      <c r="AC144" s="209" t="n"/>
      <c r="AD144" s="209" t="n"/>
      <c r="AE144" s="209" t="n"/>
      <c r="AF144" s="209" t="n"/>
      <c r="AG144" s="209" t="n"/>
      <c r="AH144" s="209" t="n"/>
      <c r="AI144" s="209" t="n"/>
      <c r="AJ144" s="209" t="n"/>
      <c r="AK144" s="209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  <c r="BB144" s="209" t="n"/>
      <c r="BC144" s="209" t="n"/>
      <c r="BD144" s="209" t="n"/>
      <c r="BE144" s="209" t="n"/>
      <c r="BF144" s="209" t="n"/>
      <c r="BG144" s="209" t="n"/>
      <c r="BH144" s="209" t="n"/>
      <c r="BI144" s="209" t="n"/>
      <c r="BJ144" s="209" t="n"/>
      <c r="BK144" s="209" t="n"/>
      <c r="BL144" s="209" t="n"/>
      <c r="BM144" s="209" t="n"/>
      <c r="BN144" s="209" t="n"/>
      <c r="BO144" s="209" t="n"/>
      <c r="BP144" s="209" t="n"/>
      <c r="BQ144" s="209" t="n"/>
      <c r="BR144" s="209" t="n"/>
      <c r="BS144" s="209" t="n"/>
      <c r="BT144" s="209" t="n"/>
      <c r="BU144" s="209" t="n"/>
      <c r="BV144" s="209" t="n"/>
      <c r="BW144" s="209" t="n"/>
      <c r="BX144" s="209" t="n"/>
      <c r="BY144" s="209" t="n"/>
      <c r="BZ144" s="209" t="n"/>
      <c r="CA144" s="209" t="n"/>
      <c r="CB144" s="209" t="n"/>
      <c r="CC144" s="209" t="n"/>
      <c r="CD144" s="209" t="n"/>
      <c r="CE144" s="209" t="n"/>
      <c r="CF144" s="209" t="n"/>
      <c r="CG144" s="209" t="n"/>
      <c r="CH144" s="209" t="n"/>
      <c r="CI144" s="226" t="n"/>
      <c r="CJ144" s="257" t="n"/>
      <c r="CK144" s="257" t="n"/>
    </row>
    <row r="145" ht="15" customHeight="1" s="202">
      <c r="A145" s="210" t="inlineStr">
        <is>
          <t>LV Beginning Cash</t>
        </is>
      </c>
      <c r="B145" s="225" t="n"/>
      <c r="C145" s="211">
        <f>Assumptions!$B$29</f>
        <v/>
      </c>
      <c r="D145" s="211">
        <f>C147</f>
        <v/>
      </c>
      <c r="E145" s="211">
        <f>D147</f>
        <v/>
      </c>
      <c r="F145" s="211">
        <f>E147</f>
        <v/>
      </c>
      <c r="G145" s="211">
        <f>F147</f>
        <v/>
      </c>
      <c r="H145" s="211">
        <f>G147</f>
        <v/>
      </c>
      <c r="I145" s="211">
        <f>H147</f>
        <v/>
      </c>
      <c r="J145" s="211">
        <f>I147</f>
        <v/>
      </c>
      <c r="K145" s="211">
        <f>J147</f>
        <v/>
      </c>
      <c r="L145" s="211">
        <f>K147</f>
        <v/>
      </c>
      <c r="M145" s="211">
        <f>L147</f>
        <v/>
      </c>
      <c r="N145" s="211">
        <f>M147</f>
        <v/>
      </c>
      <c r="O145" s="211">
        <f>N147</f>
        <v/>
      </c>
      <c r="P145" s="211">
        <f>O147</f>
        <v/>
      </c>
      <c r="Q145" s="211">
        <f>P147</f>
        <v/>
      </c>
      <c r="R145" s="211">
        <f>Q147</f>
        <v/>
      </c>
      <c r="S145" s="211">
        <f>R147</f>
        <v/>
      </c>
      <c r="T145" s="211">
        <f>S147</f>
        <v/>
      </c>
      <c r="U145" s="211">
        <f>T147</f>
        <v/>
      </c>
      <c r="V145" s="211">
        <f>U147</f>
        <v/>
      </c>
      <c r="W145" s="211">
        <f>V147</f>
        <v/>
      </c>
      <c r="X145" s="211">
        <f>W147</f>
        <v/>
      </c>
      <c r="Y145" s="211">
        <f>X147</f>
        <v/>
      </c>
      <c r="Z145" s="211">
        <f>Y147</f>
        <v/>
      </c>
      <c r="AA145" s="211">
        <f>Z147</f>
        <v/>
      </c>
      <c r="AB145" s="211">
        <f>AA147</f>
        <v/>
      </c>
      <c r="AC145" s="211">
        <f>AB147</f>
        <v/>
      </c>
      <c r="AD145" s="211">
        <f>AC147</f>
        <v/>
      </c>
      <c r="AE145" s="211">
        <f>AD147</f>
        <v/>
      </c>
      <c r="AF145" s="211">
        <f>AE147</f>
        <v/>
      </c>
      <c r="AG145" s="211">
        <f>AF147</f>
        <v/>
      </c>
      <c r="AH145" s="211">
        <f>AG147</f>
        <v/>
      </c>
      <c r="AI145" s="211">
        <f>AH147</f>
        <v/>
      </c>
      <c r="AJ145" s="211">
        <f>AI147</f>
        <v/>
      </c>
      <c r="AK145" s="211">
        <f>AJ147</f>
        <v/>
      </c>
      <c r="AL145" s="211">
        <f>AK147</f>
        <v/>
      </c>
      <c r="AM145" s="211">
        <f>AL147</f>
        <v/>
      </c>
      <c r="AN145" s="211">
        <f>AM147</f>
        <v/>
      </c>
      <c r="AO145" s="211">
        <f>AN147</f>
        <v/>
      </c>
      <c r="AP145" s="211">
        <f>AO147</f>
        <v/>
      </c>
      <c r="AQ145" s="211">
        <f>AP147</f>
        <v/>
      </c>
      <c r="AR145" s="211">
        <f>AQ147</f>
        <v/>
      </c>
      <c r="AS145" s="211">
        <f>AR147</f>
        <v/>
      </c>
      <c r="AT145" s="211">
        <f>AS147</f>
        <v/>
      </c>
      <c r="AU145" s="211">
        <f>AT147</f>
        <v/>
      </c>
      <c r="AV145" s="211">
        <f>AU147</f>
        <v/>
      </c>
      <c r="AW145" s="211">
        <f>AV147</f>
        <v/>
      </c>
      <c r="AX145" s="211">
        <f>AW147</f>
        <v/>
      </c>
      <c r="AY145" s="211">
        <f>AX147</f>
        <v/>
      </c>
      <c r="AZ145" s="211">
        <f>AY147</f>
        <v/>
      </c>
      <c r="BA145" s="211">
        <f>AZ147</f>
        <v/>
      </c>
      <c r="BB145" s="211">
        <f>BA147</f>
        <v/>
      </c>
      <c r="BC145" s="211">
        <f>BB147</f>
        <v/>
      </c>
      <c r="BD145" s="211">
        <f>BC147</f>
        <v/>
      </c>
      <c r="BE145" s="211">
        <f>BD147</f>
        <v/>
      </c>
      <c r="BF145" s="211">
        <f>BE147</f>
        <v/>
      </c>
      <c r="BG145" s="211">
        <f>BF147</f>
        <v/>
      </c>
      <c r="BH145" s="211">
        <f>BG147</f>
        <v/>
      </c>
      <c r="BI145" s="211">
        <f>BH147</f>
        <v/>
      </c>
      <c r="BJ145" s="211">
        <f>BI147</f>
        <v/>
      </c>
      <c r="BK145" s="211">
        <f>BJ147</f>
        <v/>
      </c>
      <c r="BL145" s="211">
        <f>BK147</f>
        <v/>
      </c>
      <c r="BM145" s="211">
        <f>BL147</f>
        <v/>
      </c>
      <c r="BN145" s="211">
        <f>BM147</f>
        <v/>
      </c>
      <c r="BO145" s="211">
        <f>BN147</f>
        <v/>
      </c>
      <c r="BP145" s="211">
        <f>BO147</f>
        <v/>
      </c>
      <c r="BQ145" s="211">
        <f>BP147</f>
        <v/>
      </c>
      <c r="BR145" s="211">
        <f>BQ147</f>
        <v/>
      </c>
      <c r="BS145" s="211">
        <f>BR147</f>
        <v/>
      </c>
      <c r="BT145" s="211">
        <f>BS147</f>
        <v/>
      </c>
      <c r="BU145" s="211">
        <f>BT147</f>
        <v/>
      </c>
      <c r="BV145" s="211">
        <f>BU147</f>
        <v/>
      </c>
      <c r="BW145" s="211">
        <f>BV147</f>
        <v/>
      </c>
      <c r="BX145" s="211">
        <f>BW147</f>
        <v/>
      </c>
      <c r="BY145" s="211">
        <f>BX147</f>
        <v/>
      </c>
      <c r="BZ145" s="211">
        <f>BY147</f>
        <v/>
      </c>
      <c r="CA145" s="211">
        <f>BZ147</f>
        <v/>
      </c>
      <c r="CB145" s="211">
        <f>CA147</f>
        <v/>
      </c>
      <c r="CC145" s="211">
        <f>CB147</f>
        <v/>
      </c>
      <c r="CD145" s="211">
        <f>CC147</f>
        <v/>
      </c>
      <c r="CE145" s="211">
        <f>CD147</f>
        <v/>
      </c>
      <c r="CF145" s="211">
        <f>CE147</f>
        <v/>
      </c>
      <c r="CG145" s="211">
        <f>CF147</f>
        <v/>
      </c>
      <c r="CH145" s="211">
        <f>CG147</f>
        <v/>
      </c>
      <c r="CI145" s="226" t="n"/>
      <c r="CJ145" s="257" t="n"/>
      <c r="CK145" s="257" t="n"/>
    </row>
    <row r="146" ht="15" customHeight="1" s="202">
      <c r="A146" s="210" t="inlineStr">
        <is>
          <t>LV Net Cash Flow</t>
        </is>
      </c>
      <c r="B146" s="225" t="n"/>
      <c r="C146" s="211">
        <f>C40</f>
        <v/>
      </c>
      <c r="D146" s="211">
        <f>D40</f>
        <v/>
      </c>
      <c r="E146" s="211">
        <f>E40</f>
        <v/>
      </c>
      <c r="F146" s="211">
        <f>F40</f>
        <v/>
      </c>
      <c r="G146" s="211">
        <f>G40</f>
        <v/>
      </c>
      <c r="H146" s="211">
        <f>H40</f>
        <v/>
      </c>
      <c r="I146" s="211">
        <f>I40</f>
        <v/>
      </c>
      <c r="J146" s="211">
        <f>J40</f>
        <v/>
      </c>
      <c r="K146" s="211">
        <f>K40</f>
        <v/>
      </c>
      <c r="L146" s="211">
        <f>L40</f>
        <v/>
      </c>
      <c r="M146" s="211">
        <f>M40</f>
        <v/>
      </c>
      <c r="N146" s="211">
        <f>N40</f>
        <v/>
      </c>
      <c r="O146" s="211">
        <f>O40</f>
        <v/>
      </c>
      <c r="P146" s="211">
        <f>P40</f>
        <v/>
      </c>
      <c r="Q146" s="211">
        <f>Q40</f>
        <v/>
      </c>
      <c r="R146" s="211">
        <f>R40</f>
        <v/>
      </c>
      <c r="S146" s="211">
        <f>S40</f>
        <v/>
      </c>
      <c r="T146" s="211">
        <f>T40</f>
        <v/>
      </c>
      <c r="U146" s="211">
        <f>U40</f>
        <v/>
      </c>
      <c r="V146" s="211">
        <f>V40</f>
        <v/>
      </c>
      <c r="W146" s="211">
        <f>W40</f>
        <v/>
      </c>
      <c r="X146" s="211">
        <f>X40</f>
        <v/>
      </c>
      <c r="Y146" s="211">
        <f>Y40</f>
        <v/>
      </c>
      <c r="Z146" s="211">
        <f>Z40</f>
        <v/>
      </c>
      <c r="AA146" s="211">
        <f>AA40</f>
        <v/>
      </c>
      <c r="AB146" s="211">
        <f>AB40</f>
        <v/>
      </c>
      <c r="AC146" s="211">
        <f>AC40</f>
        <v/>
      </c>
      <c r="AD146" s="211">
        <f>AD40</f>
        <v/>
      </c>
      <c r="AE146" s="211">
        <f>AE40</f>
        <v/>
      </c>
      <c r="AF146" s="211">
        <f>AF40</f>
        <v/>
      </c>
      <c r="AG146" s="211">
        <f>AG40</f>
        <v/>
      </c>
      <c r="AH146" s="211">
        <f>AH40</f>
        <v/>
      </c>
      <c r="AI146" s="211">
        <f>AI40</f>
        <v/>
      </c>
      <c r="AJ146" s="211">
        <f>AJ40</f>
        <v/>
      </c>
      <c r="AK146" s="211">
        <f>AK40</f>
        <v/>
      </c>
      <c r="AL146" s="211">
        <f>AL40</f>
        <v/>
      </c>
      <c r="AM146" s="211">
        <f>AM40</f>
        <v/>
      </c>
      <c r="AN146" s="211">
        <f>AN40</f>
        <v/>
      </c>
      <c r="AO146" s="211">
        <f>AO40</f>
        <v/>
      </c>
      <c r="AP146" s="211">
        <f>AP40</f>
        <v/>
      </c>
      <c r="AQ146" s="211">
        <f>AQ40</f>
        <v/>
      </c>
      <c r="AR146" s="211">
        <f>AR40</f>
        <v/>
      </c>
      <c r="AS146" s="211">
        <f>AS40</f>
        <v/>
      </c>
      <c r="AT146" s="211">
        <f>AT40</f>
        <v/>
      </c>
      <c r="AU146" s="211">
        <f>AU40</f>
        <v/>
      </c>
      <c r="AV146" s="211">
        <f>AV40</f>
        <v/>
      </c>
      <c r="AW146" s="211">
        <f>AW40</f>
        <v/>
      </c>
      <c r="AX146" s="211">
        <f>AX40</f>
        <v/>
      </c>
      <c r="AY146" s="211">
        <f>AY40</f>
        <v/>
      </c>
      <c r="AZ146" s="211">
        <f>AZ40</f>
        <v/>
      </c>
      <c r="BA146" s="211">
        <f>BA40</f>
        <v/>
      </c>
      <c r="BB146" s="211">
        <f>BB40</f>
        <v/>
      </c>
      <c r="BC146" s="211">
        <f>BC40</f>
        <v/>
      </c>
      <c r="BD146" s="211">
        <f>BD40</f>
        <v/>
      </c>
      <c r="BE146" s="211">
        <f>BE40</f>
        <v/>
      </c>
      <c r="BF146" s="211">
        <f>BF40</f>
        <v/>
      </c>
      <c r="BG146" s="211">
        <f>BG40</f>
        <v/>
      </c>
      <c r="BH146" s="211">
        <f>BH40</f>
        <v/>
      </c>
      <c r="BI146" s="211">
        <f>BI40</f>
        <v/>
      </c>
      <c r="BJ146" s="211">
        <f>BJ40</f>
        <v/>
      </c>
      <c r="BK146" s="211">
        <f>BK40</f>
        <v/>
      </c>
      <c r="BL146" s="211">
        <f>BL40</f>
        <v/>
      </c>
      <c r="BM146" s="211">
        <f>BM40</f>
        <v/>
      </c>
      <c r="BN146" s="211">
        <f>BN40</f>
        <v/>
      </c>
      <c r="BO146" s="211">
        <f>BO40</f>
        <v/>
      </c>
      <c r="BP146" s="211">
        <f>BP40</f>
        <v/>
      </c>
      <c r="BQ146" s="211">
        <f>BQ40</f>
        <v/>
      </c>
      <c r="BR146" s="211">
        <f>BR40</f>
        <v/>
      </c>
      <c r="BS146" s="211">
        <f>BS40</f>
        <v/>
      </c>
      <c r="BT146" s="211">
        <f>BT40</f>
        <v/>
      </c>
      <c r="BU146" s="211">
        <f>BU40</f>
        <v/>
      </c>
      <c r="BV146" s="211">
        <f>BV40</f>
        <v/>
      </c>
      <c r="BW146" s="211">
        <f>BW40</f>
        <v/>
      </c>
      <c r="BX146" s="211">
        <f>BX40</f>
        <v/>
      </c>
      <c r="BY146" s="211">
        <f>BY40</f>
        <v/>
      </c>
      <c r="BZ146" s="211">
        <f>BZ40</f>
        <v/>
      </c>
      <c r="CA146" s="211">
        <f>CA40</f>
        <v/>
      </c>
      <c r="CB146" s="211">
        <f>CB40</f>
        <v/>
      </c>
      <c r="CC146" s="211">
        <f>CC40</f>
        <v/>
      </c>
      <c r="CD146" s="211">
        <f>CD40</f>
        <v/>
      </c>
      <c r="CE146" s="211">
        <f>CE40</f>
        <v/>
      </c>
      <c r="CF146" s="211">
        <f>CF40</f>
        <v/>
      </c>
      <c r="CG146" s="211">
        <f>CG40</f>
        <v/>
      </c>
      <c r="CH146" s="211">
        <f>CH40</f>
        <v/>
      </c>
      <c r="CI146" s="226" t="n"/>
      <c r="CJ146" s="257" t="n"/>
      <c r="CK146" s="257" t="n"/>
    </row>
    <row r="147" ht="15" customHeight="1" s="202">
      <c r="A147" s="260" t="inlineStr">
        <is>
          <t>LV Ending Cash</t>
        </is>
      </c>
      <c r="B147" s="261" t="n"/>
      <c r="C147" s="262">
        <f>C145+C146</f>
        <v/>
      </c>
      <c r="D147" s="262">
        <f>D145+D146</f>
        <v/>
      </c>
      <c r="E147" s="262">
        <f>E145+E146</f>
        <v/>
      </c>
      <c r="F147" s="262">
        <f>F145+F146</f>
        <v/>
      </c>
      <c r="G147" s="262">
        <f>G145+G146</f>
        <v/>
      </c>
      <c r="H147" s="262">
        <f>H145+H146</f>
        <v/>
      </c>
      <c r="I147" s="262">
        <f>I145+I146</f>
        <v/>
      </c>
      <c r="J147" s="262">
        <f>J145+J146</f>
        <v/>
      </c>
      <c r="K147" s="262">
        <f>K145+K146</f>
        <v/>
      </c>
      <c r="L147" s="262">
        <f>L145+L146</f>
        <v/>
      </c>
      <c r="M147" s="262">
        <f>M145+M146</f>
        <v/>
      </c>
      <c r="N147" s="262">
        <f>N145+N146</f>
        <v/>
      </c>
      <c r="O147" s="262">
        <f>O145+O146</f>
        <v/>
      </c>
      <c r="P147" s="262">
        <f>P145+P146</f>
        <v/>
      </c>
      <c r="Q147" s="262">
        <f>Q145+Q146</f>
        <v/>
      </c>
      <c r="R147" s="262">
        <f>R145+R146</f>
        <v/>
      </c>
      <c r="S147" s="262">
        <f>S145+S146</f>
        <v/>
      </c>
      <c r="T147" s="262">
        <f>T145+T146</f>
        <v/>
      </c>
      <c r="U147" s="262">
        <f>U145+U146</f>
        <v/>
      </c>
      <c r="V147" s="262">
        <f>V145+V146</f>
        <v/>
      </c>
      <c r="W147" s="262">
        <f>W145+W146</f>
        <v/>
      </c>
      <c r="X147" s="262">
        <f>X145+X146</f>
        <v/>
      </c>
      <c r="Y147" s="262">
        <f>Y145+Y146</f>
        <v/>
      </c>
      <c r="Z147" s="262">
        <f>Z145+Z146</f>
        <v/>
      </c>
      <c r="AA147" s="262">
        <f>AA145+AA146</f>
        <v/>
      </c>
      <c r="AB147" s="262">
        <f>AB145+AB146</f>
        <v/>
      </c>
      <c r="AC147" s="262">
        <f>AC145+AC146</f>
        <v/>
      </c>
      <c r="AD147" s="262">
        <f>AD145+AD146</f>
        <v/>
      </c>
      <c r="AE147" s="262">
        <f>AE145+AE146</f>
        <v/>
      </c>
      <c r="AF147" s="262">
        <f>AF145+AF146</f>
        <v/>
      </c>
      <c r="AG147" s="262">
        <f>AG145+AG146</f>
        <v/>
      </c>
      <c r="AH147" s="262">
        <f>AH145+AH146</f>
        <v/>
      </c>
      <c r="AI147" s="262">
        <f>AI145+AI146</f>
        <v/>
      </c>
      <c r="AJ147" s="262">
        <f>AJ145+AJ146</f>
        <v/>
      </c>
      <c r="AK147" s="262">
        <f>AK145+AK146</f>
        <v/>
      </c>
      <c r="AL147" s="262">
        <f>AL145+AL146</f>
        <v/>
      </c>
      <c r="AM147" s="262">
        <f>AM145+AM146</f>
        <v/>
      </c>
      <c r="AN147" s="262">
        <f>AN145+AN146</f>
        <v/>
      </c>
      <c r="AO147" s="262">
        <f>AO145+AO146</f>
        <v/>
      </c>
      <c r="AP147" s="262">
        <f>AP145+AP146</f>
        <v/>
      </c>
      <c r="AQ147" s="262">
        <f>AQ145+AQ146</f>
        <v/>
      </c>
      <c r="AR147" s="262">
        <f>AR145+AR146</f>
        <v/>
      </c>
      <c r="AS147" s="262">
        <f>AS145+AS146</f>
        <v/>
      </c>
      <c r="AT147" s="262">
        <f>AT145+AT146</f>
        <v/>
      </c>
      <c r="AU147" s="262">
        <f>AU145+AU146</f>
        <v/>
      </c>
      <c r="AV147" s="262">
        <f>AV145+AV146</f>
        <v/>
      </c>
      <c r="AW147" s="262">
        <f>AW145+AW146</f>
        <v/>
      </c>
      <c r="AX147" s="262">
        <f>AX145+AX146</f>
        <v/>
      </c>
      <c r="AY147" s="262">
        <f>AY145+AY146</f>
        <v/>
      </c>
      <c r="AZ147" s="262">
        <f>AZ145+AZ146</f>
        <v/>
      </c>
      <c r="BA147" s="262">
        <f>BA145+BA146</f>
        <v/>
      </c>
      <c r="BB147" s="262">
        <f>BB145+BB146</f>
        <v/>
      </c>
      <c r="BC147" s="262">
        <f>BC145+BC146</f>
        <v/>
      </c>
      <c r="BD147" s="262">
        <f>BD145+BD146</f>
        <v/>
      </c>
      <c r="BE147" s="262">
        <f>BE145+BE146</f>
        <v/>
      </c>
      <c r="BF147" s="262">
        <f>BF145+BF146</f>
        <v/>
      </c>
      <c r="BG147" s="262">
        <f>BG145+BG146</f>
        <v/>
      </c>
      <c r="BH147" s="262">
        <f>BH145+BH146</f>
        <v/>
      </c>
      <c r="BI147" s="262">
        <f>BI145+BI146</f>
        <v/>
      </c>
      <c r="BJ147" s="262">
        <f>BJ145+BJ146</f>
        <v/>
      </c>
      <c r="BK147" s="262">
        <f>BK145+BK146</f>
        <v/>
      </c>
      <c r="BL147" s="262">
        <f>BL145+BL146</f>
        <v/>
      </c>
      <c r="BM147" s="262">
        <f>BM145+BM146</f>
        <v/>
      </c>
      <c r="BN147" s="262">
        <f>BN145+BN146</f>
        <v/>
      </c>
      <c r="BO147" s="262">
        <f>BO145+BO146</f>
        <v/>
      </c>
      <c r="BP147" s="262">
        <f>BP145+BP146</f>
        <v/>
      </c>
      <c r="BQ147" s="262">
        <f>BQ145+BQ146</f>
        <v/>
      </c>
      <c r="BR147" s="262">
        <f>BR145+BR146</f>
        <v/>
      </c>
      <c r="BS147" s="262">
        <f>BS145+BS146</f>
        <v/>
      </c>
      <c r="BT147" s="262">
        <f>BT145+BT146</f>
        <v/>
      </c>
      <c r="BU147" s="262">
        <f>BU145+BU146</f>
        <v/>
      </c>
      <c r="BV147" s="262">
        <f>BV145+BV146</f>
        <v/>
      </c>
      <c r="BW147" s="262">
        <f>BW145+BW146</f>
        <v/>
      </c>
      <c r="BX147" s="262">
        <f>BX145+BX146</f>
        <v/>
      </c>
      <c r="BY147" s="262">
        <f>BY145+BY146</f>
        <v/>
      </c>
      <c r="BZ147" s="262">
        <f>BZ145+BZ146</f>
        <v/>
      </c>
      <c r="CA147" s="262">
        <f>CA145+CA146</f>
        <v/>
      </c>
      <c r="CB147" s="262">
        <f>CB145+CB146</f>
        <v/>
      </c>
      <c r="CC147" s="262">
        <f>CC145+CC146</f>
        <v/>
      </c>
      <c r="CD147" s="262">
        <f>CD145+CD146</f>
        <v/>
      </c>
      <c r="CE147" s="262">
        <f>CE145+CE146</f>
        <v/>
      </c>
      <c r="CF147" s="262">
        <f>CF145+CF146</f>
        <v/>
      </c>
      <c r="CG147" s="262">
        <f>CG145+CG146</f>
        <v/>
      </c>
      <c r="CH147" s="262">
        <f>CH145+CH146</f>
        <v/>
      </c>
      <c r="CI147" s="226" t="n"/>
      <c r="CJ147" s="257" t="n"/>
      <c r="CK147" s="257" t="n"/>
    </row>
    <row r="148" ht="15" customHeight="1" s="202">
      <c r="A148" s="225" t="n"/>
      <c r="B148" s="225" t="n"/>
      <c r="C148" s="225" t="n"/>
      <c r="D148" s="225" t="n"/>
      <c r="E148" s="225" t="n"/>
      <c r="F148" s="225" t="n"/>
      <c r="G148" s="225" t="n"/>
      <c r="H148" s="225" t="n"/>
      <c r="I148" s="225" t="n"/>
      <c r="J148" s="225" t="n"/>
      <c r="K148" s="225" t="n"/>
      <c r="L148" s="225" t="n"/>
      <c r="M148" s="225" t="n"/>
      <c r="N148" s="225" t="n"/>
      <c r="O148" s="225" t="n"/>
      <c r="P148" s="225" t="n"/>
      <c r="Q148" s="225" t="n"/>
      <c r="R148" s="225" t="n"/>
      <c r="S148" s="225" t="n"/>
      <c r="T148" s="225" t="n"/>
      <c r="U148" s="225" t="n"/>
      <c r="V148" s="225" t="n"/>
      <c r="W148" s="225" t="n"/>
      <c r="X148" s="225" t="n"/>
      <c r="Y148" s="225" t="n"/>
      <c r="Z148" s="225" t="n"/>
      <c r="AA148" s="225" t="n"/>
      <c r="AB148" s="225" t="n"/>
      <c r="AC148" s="225" t="n"/>
      <c r="AD148" s="225" t="n"/>
      <c r="AE148" s="225" t="n"/>
      <c r="AF148" s="225" t="n"/>
      <c r="AG148" s="225" t="n"/>
      <c r="AH148" s="225" t="n"/>
      <c r="AI148" s="225" t="n"/>
      <c r="AJ148" s="225" t="n"/>
      <c r="AK148" s="225" t="n"/>
      <c r="AL148" s="225" t="n"/>
      <c r="AM148" s="225" t="n"/>
      <c r="AN148" s="225" t="n"/>
      <c r="AO148" s="225" t="n"/>
      <c r="AP148" s="225" t="n"/>
      <c r="AQ148" s="225" t="n"/>
      <c r="AR148" s="225" t="n"/>
      <c r="AS148" s="225" t="n"/>
      <c r="AT148" s="225" t="n"/>
      <c r="AU148" s="225" t="n"/>
      <c r="AV148" s="225" t="n"/>
      <c r="AW148" s="225" t="n"/>
      <c r="AX148" s="225" t="n"/>
      <c r="AY148" s="225" t="n"/>
      <c r="AZ148" s="225" t="n"/>
      <c r="BA148" s="225" t="n"/>
      <c r="BB148" s="225" t="n"/>
      <c r="BC148" s="225" t="n"/>
      <c r="BD148" s="225" t="n"/>
      <c r="BE148" s="225" t="n"/>
      <c r="BF148" s="225" t="n"/>
      <c r="BG148" s="225" t="n"/>
      <c r="BH148" s="225" t="n"/>
      <c r="BI148" s="225" t="n"/>
      <c r="BJ148" s="225" t="n"/>
      <c r="BK148" s="225" t="n"/>
      <c r="BL148" s="225" t="n"/>
      <c r="BM148" s="225" t="n"/>
      <c r="BN148" s="225" t="n"/>
      <c r="BO148" s="225" t="n"/>
      <c r="BP148" s="225" t="n"/>
      <c r="BQ148" s="225" t="n"/>
      <c r="BR148" s="225" t="n"/>
      <c r="BS148" s="225" t="n"/>
      <c r="BT148" s="225" t="n"/>
      <c r="BU148" s="225" t="n"/>
      <c r="BV148" s="225" t="n"/>
      <c r="BW148" s="225" t="n"/>
      <c r="BX148" s="225" t="n"/>
      <c r="BY148" s="225" t="n"/>
      <c r="BZ148" s="225" t="n"/>
      <c r="CA148" s="225" t="n"/>
      <c r="CB148" s="225" t="n"/>
      <c r="CC148" s="225" t="n"/>
      <c r="CD148" s="225" t="n"/>
      <c r="CE148" s="225" t="n"/>
      <c r="CF148" s="225" t="n"/>
      <c r="CG148" s="225" t="n"/>
      <c r="CH148" s="225" t="n"/>
      <c r="CI148" s="226" t="n"/>
      <c r="CJ148" s="257" t="n"/>
      <c r="CK148" s="257" t="n"/>
    </row>
    <row r="149" ht="15" customHeight="1" s="202">
      <c r="A149" s="209" t="inlineStr">
        <is>
          <t>Six Peak Cash</t>
        </is>
      </c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  <c r="AB149" s="209" t="n"/>
      <c r="AC149" s="209" t="n"/>
      <c r="AD149" s="209" t="n"/>
      <c r="AE149" s="209" t="n"/>
      <c r="AF149" s="209" t="n"/>
      <c r="AG149" s="209" t="n"/>
      <c r="AH149" s="209" t="n"/>
      <c r="AI149" s="209" t="n"/>
      <c r="AJ149" s="209" t="n"/>
      <c r="AK149" s="209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  <c r="BB149" s="209" t="n"/>
      <c r="BC149" s="209" t="n"/>
      <c r="BD149" s="209" t="n"/>
      <c r="BE149" s="209" t="n"/>
      <c r="BF149" s="209" t="n"/>
      <c r="BG149" s="209" t="n"/>
      <c r="BH149" s="209" t="n"/>
      <c r="BI149" s="209" t="n"/>
      <c r="BJ149" s="209" t="n"/>
      <c r="BK149" s="209" t="n"/>
      <c r="BL149" s="209" t="n"/>
      <c r="BM149" s="209" t="n"/>
      <c r="BN149" s="209" t="n"/>
      <c r="BO149" s="209" t="n"/>
      <c r="BP149" s="209" t="n"/>
      <c r="BQ149" s="209" t="n"/>
      <c r="BR149" s="209" t="n"/>
      <c r="BS149" s="209" t="n"/>
      <c r="BT149" s="209" t="n"/>
      <c r="BU149" s="209" t="n"/>
      <c r="BV149" s="209" t="n"/>
      <c r="BW149" s="209" t="n"/>
      <c r="BX149" s="209" t="n"/>
      <c r="BY149" s="209" t="n"/>
      <c r="BZ149" s="209" t="n"/>
      <c r="CA149" s="209" t="n"/>
      <c r="CB149" s="209" t="n"/>
      <c r="CC149" s="209" t="n"/>
      <c r="CD149" s="209" t="n"/>
      <c r="CE149" s="209" t="n"/>
      <c r="CF149" s="209" t="n"/>
      <c r="CG149" s="209" t="n"/>
      <c r="CH149" s="209" t="n"/>
      <c r="CI149" s="226" t="n"/>
      <c r="CJ149" s="257" t="n"/>
      <c r="CK149" s="257" t="n"/>
    </row>
    <row r="150" ht="15" customHeight="1" s="202">
      <c r="A150" s="210" t="inlineStr">
        <is>
          <t>SP Beginning Cash</t>
        </is>
      </c>
      <c r="B150" s="225" t="n"/>
      <c r="C150" s="211">
        <f>Assumptions!$B$30</f>
        <v/>
      </c>
      <c r="D150" s="211">
        <f>C155</f>
        <v/>
      </c>
      <c r="E150" s="211">
        <f>D155</f>
        <v/>
      </c>
      <c r="F150" s="211">
        <f>E155</f>
        <v/>
      </c>
      <c r="G150" s="211">
        <f>F155</f>
        <v/>
      </c>
      <c r="H150" s="211">
        <f>G155</f>
        <v/>
      </c>
      <c r="I150" s="211">
        <f>H155</f>
        <v/>
      </c>
      <c r="J150" s="211">
        <f>I155</f>
        <v/>
      </c>
      <c r="K150" s="211">
        <f>J155</f>
        <v/>
      </c>
      <c r="L150" s="211">
        <f>K155</f>
        <v/>
      </c>
      <c r="M150" s="211">
        <f>L155</f>
        <v/>
      </c>
      <c r="N150" s="211">
        <f>M155</f>
        <v/>
      </c>
      <c r="O150" s="211">
        <f>N155</f>
        <v/>
      </c>
      <c r="P150" s="211">
        <f>O155</f>
        <v/>
      </c>
      <c r="Q150" s="211">
        <f>P155</f>
        <v/>
      </c>
      <c r="R150" s="211">
        <f>Q155</f>
        <v/>
      </c>
      <c r="S150" s="211">
        <f>R155</f>
        <v/>
      </c>
      <c r="T150" s="211">
        <f>S155</f>
        <v/>
      </c>
      <c r="U150" s="211">
        <f>T155</f>
        <v/>
      </c>
      <c r="V150" s="211">
        <f>U155</f>
        <v/>
      </c>
      <c r="W150" s="211">
        <f>V155</f>
        <v/>
      </c>
      <c r="X150" s="211">
        <f>W155</f>
        <v/>
      </c>
      <c r="Y150" s="211">
        <f>X155</f>
        <v/>
      </c>
      <c r="Z150" s="211">
        <f>Y155</f>
        <v/>
      </c>
      <c r="AA150" s="211">
        <f>Z155</f>
        <v/>
      </c>
      <c r="AB150" s="211">
        <f>AA155</f>
        <v/>
      </c>
      <c r="AC150" s="211">
        <f>AB155</f>
        <v/>
      </c>
      <c r="AD150" s="211">
        <f>AC155</f>
        <v/>
      </c>
      <c r="AE150" s="211">
        <f>AD155</f>
        <v/>
      </c>
      <c r="AF150" s="211">
        <f>AE155</f>
        <v/>
      </c>
      <c r="AG150" s="211">
        <f>AF155</f>
        <v/>
      </c>
      <c r="AH150" s="211">
        <f>AG155</f>
        <v/>
      </c>
      <c r="AI150" s="211">
        <f>AH155</f>
        <v/>
      </c>
      <c r="AJ150" s="211">
        <f>AI155</f>
        <v/>
      </c>
      <c r="AK150" s="211">
        <f>AJ155</f>
        <v/>
      </c>
      <c r="AL150" s="211">
        <f>AK155</f>
        <v/>
      </c>
      <c r="AM150" s="211">
        <f>AL155</f>
        <v/>
      </c>
      <c r="AN150" s="211">
        <f>AM155</f>
        <v/>
      </c>
      <c r="AO150" s="211">
        <f>AN155</f>
        <v/>
      </c>
      <c r="AP150" s="211">
        <f>AO155</f>
        <v/>
      </c>
      <c r="AQ150" s="211">
        <f>AP155</f>
        <v/>
      </c>
      <c r="AR150" s="211">
        <f>AQ155</f>
        <v/>
      </c>
      <c r="AS150" s="211">
        <f>AR155</f>
        <v/>
      </c>
      <c r="AT150" s="211">
        <f>AS155</f>
        <v/>
      </c>
      <c r="AU150" s="211">
        <f>AT155</f>
        <v/>
      </c>
      <c r="AV150" s="211">
        <f>AU155</f>
        <v/>
      </c>
      <c r="AW150" s="211">
        <f>AV155</f>
        <v/>
      </c>
      <c r="AX150" s="211">
        <f>AW155</f>
        <v/>
      </c>
      <c r="AY150" s="211">
        <f>AX155</f>
        <v/>
      </c>
      <c r="AZ150" s="211">
        <f>AY155</f>
        <v/>
      </c>
      <c r="BA150" s="211">
        <f>AZ155</f>
        <v/>
      </c>
      <c r="BB150" s="211">
        <f>BA155</f>
        <v/>
      </c>
      <c r="BC150" s="211">
        <f>BB155</f>
        <v/>
      </c>
      <c r="BD150" s="211">
        <f>BC155</f>
        <v/>
      </c>
      <c r="BE150" s="211">
        <f>BD155</f>
        <v/>
      </c>
      <c r="BF150" s="211">
        <f>BE155</f>
        <v/>
      </c>
      <c r="BG150" s="211">
        <f>BF155</f>
        <v/>
      </c>
      <c r="BH150" s="211">
        <f>BG155</f>
        <v/>
      </c>
      <c r="BI150" s="211">
        <f>BH155</f>
        <v/>
      </c>
      <c r="BJ150" s="211">
        <f>BI155</f>
        <v/>
      </c>
      <c r="BK150" s="211">
        <f>BJ155</f>
        <v/>
      </c>
      <c r="BL150" s="211">
        <f>BK155</f>
        <v/>
      </c>
      <c r="BM150" s="211">
        <f>BL155</f>
        <v/>
      </c>
      <c r="BN150" s="211">
        <f>BM155</f>
        <v/>
      </c>
      <c r="BO150" s="211">
        <f>BN155</f>
        <v/>
      </c>
      <c r="BP150" s="211">
        <f>BO155</f>
        <v/>
      </c>
      <c r="BQ150" s="211">
        <f>BP155</f>
        <v/>
      </c>
      <c r="BR150" s="211">
        <f>BQ155</f>
        <v/>
      </c>
      <c r="BS150" s="211">
        <f>BR155</f>
        <v/>
      </c>
      <c r="BT150" s="211">
        <f>BS155</f>
        <v/>
      </c>
      <c r="BU150" s="211">
        <f>BT155</f>
        <v/>
      </c>
      <c r="BV150" s="211">
        <f>BU155</f>
        <v/>
      </c>
      <c r="BW150" s="211">
        <f>BV155</f>
        <v/>
      </c>
      <c r="BX150" s="211">
        <f>BW155</f>
        <v/>
      </c>
      <c r="BY150" s="211">
        <f>BX155</f>
        <v/>
      </c>
      <c r="BZ150" s="211">
        <f>BY155</f>
        <v/>
      </c>
      <c r="CA150" s="211">
        <f>BZ155</f>
        <v/>
      </c>
      <c r="CB150" s="211">
        <f>CA155</f>
        <v/>
      </c>
      <c r="CC150" s="211">
        <f>CB155</f>
        <v/>
      </c>
      <c r="CD150" s="211">
        <f>CC155</f>
        <v/>
      </c>
      <c r="CE150" s="211">
        <f>CD155</f>
        <v/>
      </c>
      <c r="CF150" s="211">
        <f>CE155</f>
        <v/>
      </c>
      <c r="CG150" s="211">
        <f>CF155</f>
        <v/>
      </c>
      <c r="CH150" s="211">
        <f>CG155</f>
        <v/>
      </c>
      <c r="CI150" s="226" t="n"/>
      <c r="CJ150" s="257" t="n"/>
      <c r="CK150" s="257" t="n"/>
    </row>
    <row r="151" ht="15" customHeight="1" s="202">
      <c r="A151" s="210" t="inlineStr">
        <is>
          <t>SP Net Cash Flow</t>
        </is>
      </c>
      <c r="B151" s="225" t="n"/>
      <c r="C151" s="211">
        <f>C86</f>
        <v/>
      </c>
      <c r="D151" s="211">
        <f>D86</f>
        <v/>
      </c>
      <c r="E151" s="211">
        <f>E86</f>
        <v/>
      </c>
      <c r="F151" s="211">
        <f>F86</f>
        <v/>
      </c>
      <c r="G151" s="211">
        <f>G86</f>
        <v/>
      </c>
      <c r="H151" s="211">
        <f>H86</f>
        <v/>
      </c>
      <c r="I151" s="211">
        <f>I86</f>
        <v/>
      </c>
      <c r="J151" s="211">
        <f>J86</f>
        <v/>
      </c>
      <c r="K151" s="211">
        <f>K86</f>
        <v/>
      </c>
      <c r="L151" s="211">
        <f>L86</f>
        <v/>
      </c>
      <c r="M151" s="211">
        <f>M86</f>
        <v/>
      </c>
      <c r="N151" s="211">
        <f>N86</f>
        <v/>
      </c>
      <c r="O151" s="211">
        <f>O86</f>
        <v/>
      </c>
      <c r="P151" s="211">
        <f>P86</f>
        <v/>
      </c>
      <c r="Q151" s="211">
        <f>Q86</f>
        <v/>
      </c>
      <c r="R151" s="211">
        <f>R86</f>
        <v/>
      </c>
      <c r="S151" s="211">
        <f>S86</f>
        <v/>
      </c>
      <c r="T151" s="211">
        <f>T86</f>
        <v/>
      </c>
      <c r="U151" s="211">
        <f>U86</f>
        <v/>
      </c>
      <c r="V151" s="211">
        <f>V86</f>
        <v/>
      </c>
      <c r="W151" s="211">
        <f>W86</f>
        <v/>
      </c>
      <c r="X151" s="211">
        <f>X86</f>
        <v/>
      </c>
      <c r="Y151" s="211">
        <f>Y86</f>
        <v/>
      </c>
      <c r="Z151" s="211">
        <f>Z86</f>
        <v/>
      </c>
      <c r="AA151" s="211">
        <f>AA86</f>
        <v/>
      </c>
      <c r="AB151" s="211">
        <f>AB86</f>
        <v/>
      </c>
      <c r="AC151" s="211">
        <f>AC86</f>
        <v/>
      </c>
      <c r="AD151" s="211">
        <f>AD86</f>
        <v/>
      </c>
      <c r="AE151" s="211">
        <f>AE86</f>
        <v/>
      </c>
      <c r="AF151" s="211">
        <f>AF86</f>
        <v/>
      </c>
      <c r="AG151" s="211">
        <f>AG86</f>
        <v/>
      </c>
      <c r="AH151" s="211">
        <f>AH86</f>
        <v/>
      </c>
      <c r="AI151" s="211">
        <f>AI86</f>
        <v/>
      </c>
      <c r="AJ151" s="211">
        <f>AJ86</f>
        <v/>
      </c>
      <c r="AK151" s="211">
        <f>AK86</f>
        <v/>
      </c>
      <c r="AL151" s="211">
        <f>AL86</f>
        <v/>
      </c>
      <c r="AM151" s="211">
        <f>AM86</f>
        <v/>
      </c>
      <c r="AN151" s="211">
        <f>AN86</f>
        <v/>
      </c>
      <c r="AO151" s="211">
        <f>AO86</f>
        <v/>
      </c>
      <c r="AP151" s="211">
        <f>AP86</f>
        <v/>
      </c>
      <c r="AQ151" s="211">
        <f>AQ86</f>
        <v/>
      </c>
      <c r="AR151" s="211">
        <f>AR86</f>
        <v/>
      </c>
      <c r="AS151" s="211">
        <f>AS86</f>
        <v/>
      </c>
      <c r="AT151" s="211">
        <f>AT86</f>
        <v/>
      </c>
      <c r="AU151" s="211">
        <f>AU86</f>
        <v/>
      </c>
      <c r="AV151" s="211">
        <f>AV86</f>
        <v/>
      </c>
      <c r="AW151" s="211">
        <f>AW86</f>
        <v/>
      </c>
      <c r="AX151" s="211">
        <f>AX86</f>
        <v/>
      </c>
      <c r="AY151" s="211">
        <f>AY86</f>
        <v/>
      </c>
      <c r="AZ151" s="211">
        <f>AZ86</f>
        <v/>
      </c>
      <c r="BA151" s="211">
        <f>BA86</f>
        <v/>
      </c>
      <c r="BB151" s="211">
        <f>BB86</f>
        <v/>
      </c>
      <c r="BC151" s="211">
        <f>BC86</f>
        <v/>
      </c>
      <c r="BD151" s="211">
        <f>BD86</f>
        <v/>
      </c>
      <c r="BE151" s="211">
        <f>BE86</f>
        <v/>
      </c>
      <c r="BF151" s="211">
        <f>BF86</f>
        <v/>
      </c>
      <c r="BG151" s="211">
        <f>BG86</f>
        <v/>
      </c>
      <c r="BH151" s="211">
        <f>BH86</f>
        <v/>
      </c>
      <c r="BI151" s="211">
        <f>BI86</f>
        <v/>
      </c>
      <c r="BJ151" s="211">
        <f>BJ86</f>
        <v/>
      </c>
      <c r="BK151" s="211">
        <f>BK86</f>
        <v/>
      </c>
      <c r="BL151" s="211">
        <f>BL86</f>
        <v/>
      </c>
      <c r="BM151" s="211">
        <f>BM86</f>
        <v/>
      </c>
      <c r="BN151" s="211">
        <f>BN86</f>
        <v/>
      </c>
      <c r="BO151" s="211">
        <f>BO86</f>
        <v/>
      </c>
      <c r="BP151" s="211">
        <f>BP86</f>
        <v/>
      </c>
      <c r="BQ151" s="211">
        <f>BQ86</f>
        <v/>
      </c>
      <c r="BR151" s="211">
        <f>BR86</f>
        <v/>
      </c>
      <c r="BS151" s="211">
        <f>BS86</f>
        <v/>
      </c>
      <c r="BT151" s="211">
        <f>BT86</f>
        <v/>
      </c>
      <c r="BU151" s="211">
        <f>BU86</f>
        <v/>
      </c>
      <c r="BV151" s="211">
        <f>BV86</f>
        <v/>
      </c>
      <c r="BW151" s="211">
        <f>BW86</f>
        <v/>
      </c>
      <c r="BX151" s="211">
        <f>BX86</f>
        <v/>
      </c>
      <c r="BY151" s="211">
        <f>BY86</f>
        <v/>
      </c>
      <c r="BZ151" s="211">
        <f>BZ86</f>
        <v/>
      </c>
      <c r="CA151" s="211">
        <f>CA86</f>
        <v/>
      </c>
      <c r="CB151" s="211">
        <f>CB86</f>
        <v/>
      </c>
      <c r="CC151" s="211">
        <f>CC86</f>
        <v/>
      </c>
      <c r="CD151" s="211">
        <f>CD86</f>
        <v/>
      </c>
      <c r="CE151" s="211">
        <f>CE86</f>
        <v/>
      </c>
      <c r="CF151" s="211">
        <f>CF86</f>
        <v/>
      </c>
      <c r="CG151" s="211">
        <f>CG86</f>
        <v/>
      </c>
      <c r="CH151" s="211">
        <f>CH86</f>
        <v/>
      </c>
      <c r="CI151" s="226" t="n"/>
      <c r="CJ151" s="257" t="n"/>
      <c r="CK151" s="257" t="n"/>
    </row>
    <row r="152" ht="15" customHeight="1" s="202">
      <c r="A152" s="210" t="inlineStr">
        <is>
          <t>Debt Facility Payment</t>
        </is>
      </c>
      <c r="B152" s="225" t="n"/>
      <c r="C152" s="211">
        <f>C100</f>
        <v/>
      </c>
      <c r="D152" s="211">
        <f>D100</f>
        <v/>
      </c>
      <c r="E152" s="211">
        <f>E100</f>
        <v/>
      </c>
      <c r="F152" s="211">
        <f>F100</f>
        <v/>
      </c>
      <c r="G152" s="211">
        <f>G100</f>
        <v/>
      </c>
      <c r="H152" s="211">
        <f>H100</f>
        <v/>
      </c>
      <c r="I152" s="211">
        <f>I100</f>
        <v/>
      </c>
      <c r="J152" s="211">
        <f>J100</f>
        <v/>
      </c>
      <c r="K152" s="211">
        <f>K100</f>
        <v/>
      </c>
      <c r="L152" s="211">
        <f>L100</f>
        <v/>
      </c>
      <c r="M152" s="211">
        <f>M100</f>
        <v/>
      </c>
      <c r="N152" s="211">
        <f>N100</f>
        <v/>
      </c>
      <c r="O152" s="211">
        <f>O100</f>
        <v/>
      </c>
      <c r="P152" s="211">
        <f>P100</f>
        <v/>
      </c>
      <c r="Q152" s="211">
        <f>Q100</f>
        <v/>
      </c>
      <c r="R152" s="211">
        <f>R100</f>
        <v/>
      </c>
      <c r="S152" s="211">
        <f>S100</f>
        <v/>
      </c>
      <c r="T152" s="211">
        <f>T100</f>
        <v/>
      </c>
      <c r="U152" s="211">
        <f>U100</f>
        <v/>
      </c>
      <c r="V152" s="211">
        <f>V100</f>
        <v/>
      </c>
      <c r="W152" s="211">
        <f>W100</f>
        <v/>
      </c>
      <c r="X152" s="211">
        <f>X100</f>
        <v/>
      </c>
      <c r="Y152" s="211">
        <f>Y100</f>
        <v/>
      </c>
      <c r="Z152" s="211">
        <f>Z100</f>
        <v/>
      </c>
      <c r="AA152" s="211">
        <f>AA100</f>
        <v/>
      </c>
      <c r="AB152" s="211">
        <f>AB100</f>
        <v/>
      </c>
      <c r="AC152" s="211">
        <f>AC100</f>
        <v/>
      </c>
      <c r="AD152" s="211">
        <f>AD100</f>
        <v/>
      </c>
      <c r="AE152" s="211">
        <f>AE100</f>
        <v/>
      </c>
      <c r="AF152" s="211">
        <f>AF100</f>
        <v/>
      </c>
      <c r="AG152" s="211">
        <f>AG100</f>
        <v/>
      </c>
      <c r="AH152" s="211">
        <f>AH100</f>
        <v/>
      </c>
      <c r="AI152" s="211">
        <f>AI100</f>
        <v/>
      </c>
      <c r="AJ152" s="211">
        <f>AJ100</f>
        <v/>
      </c>
      <c r="AK152" s="211">
        <f>AK100</f>
        <v/>
      </c>
      <c r="AL152" s="211">
        <f>AL100</f>
        <v/>
      </c>
      <c r="AM152" s="211">
        <f>AM100</f>
        <v/>
      </c>
      <c r="AN152" s="211">
        <f>AN100</f>
        <v/>
      </c>
      <c r="AO152" s="211">
        <f>AO100</f>
        <v/>
      </c>
      <c r="AP152" s="211">
        <f>AP100</f>
        <v/>
      </c>
      <c r="AQ152" s="211">
        <f>AQ100</f>
        <v/>
      </c>
      <c r="AR152" s="211">
        <f>AR100</f>
        <v/>
      </c>
      <c r="AS152" s="211">
        <f>AS100</f>
        <v/>
      </c>
      <c r="AT152" s="211">
        <f>AT100</f>
        <v/>
      </c>
      <c r="AU152" s="211">
        <f>AU100</f>
        <v/>
      </c>
      <c r="AV152" s="211">
        <f>AV100</f>
        <v/>
      </c>
      <c r="AW152" s="211">
        <f>AW100</f>
        <v/>
      </c>
      <c r="AX152" s="211">
        <f>AX100</f>
        <v/>
      </c>
      <c r="AY152" s="211">
        <f>AY100</f>
        <v/>
      </c>
      <c r="AZ152" s="211">
        <f>AZ100</f>
        <v/>
      </c>
      <c r="BA152" s="211">
        <f>BA100</f>
        <v/>
      </c>
      <c r="BB152" s="211">
        <f>BB100</f>
        <v/>
      </c>
      <c r="BC152" s="211">
        <f>BC100</f>
        <v/>
      </c>
      <c r="BD152" s="211">
        <f>BD100</f>
        <v/>
      </c>
      <c r="BE152" s="211">
        <f>BE100</f>
        <v/>
      </c>
      <c r="BF152" s="211">
        <f>BF100</f>
        <v/>
      </c>
      <c r="BG152" s="211">
        <f>BG100</f>
        <v/>
      </c>
      <c r="BH152" s="211">
        <f>BH100</f>
        <v/>
      </c>
      <c r="BI152" s="211">
        <f>BI100</f>
        <v/>
      </c>
      <c r="BJ152" s="211">
        <f>BJ100</f>
        <v/>
      </c>
      <c r="BK152" s="211">
        <f>BK100</f>
        <v/>
      </c>
      <c r="BL152" s="211">
        <f>BL100</f>
        <v/>
      </c>
      <c r="BM152" s="211">
        <f>BM100</f>
        <v/>
      </c>
      <c r="BN152" s="211">
        <f>BN100</f>
        <v/>
      </c>
      <c r="BO152" s="211">
        <f>BO100</f>
        <v/>
      </c>
      <c r="BP152" s="211">
        <f>BP100</f>
        <v/>
      </c>
      <c r="BQ152" s="211">
        <f>BQ100</f>
        <v/>
      </c>
      <c r="BR152" s="211">
        <f>BR100</f>
        <v/>
      </c>
      <c r="BS152" s="211">
        <f>BS100</f>
        <v/>
      </c>
      <c r="BT152" s="211">
        <f>BT100</f>
        <v/>
      </c>
      <c r="BU152" s="211">
        <f>BU100</f>
        <v/>
      </c>
      <c r="BV152" s="211">
        <f>BV100</f>
        <v/>
      </c>
      <c r="BW152" s="211">
        <f>BW100</f>
        <v/>
      </c>
      <c r="BX152" s="211">
        <f>BX100</f>
        <v/>
      </c>
      <c r="BY152" s="211">
        <f>BY100</f>
        <v/>
      </c>
      <c r="BZ152" s="211">
        <f>BZ100</f>
        <v/>
      </c>
      <c r="CA152" s="211">
        <f>CA100</f>
        <v/>
      </c>
      <c r="CB152" s="211">
        <f>CB100</f>
        <v/>
      </c>
      <c r="CC152" s="211">
        <f>CC100</f>
        <v/>
      </c>
      <c r="CD152" s="211">
        <f>CD100</f>
        <v/>
      </c>
      <c r="CE152" s="211">
        <f>CE100</f>
        <v/>
      </c>
      <c r="CF152" s="211">
        <f>CF100</f>
        <v/>
      </c>
      <c r="CG152" s="211">
        <f>CG100</f>
        <v/>
      </c>
      <c r="CH152" s="211">
        <f>CH100</f>
        <v/>
      </c>
      <c r="CI152" s="226" t="n"/>
      <c r="CJ152" s="257" t="n"/>
      <c r="CK152" s="257" t="n"/>
    </row>
    <row r="153" ht="15" customHeight="1" s="202">
      <c r="A153" s="210" t="inlineStr">
        <is>
          <t>Row Run Capital Payment</t>
        </is>
      </c>
      <c r="B153" s="225" t="n"/>
      <c r="C153" s="211">
        <f>C106</f>
        <v/>
      </c>
      <c r="D153" s="211">
        <f>D106</f>
        <v/>
      </c>
      <c r="E153" s="211">
        <f>E106</f>
        <v/>
      </c>
      <c r="F153" s="211">
        <f>F106</f>
        <v/>
      </c>
      <c r="G153" s="211">
        <f>G106</f>
        <v/>
      </c>
      <c r="H153" s="211">
        <f>H106</f>
        <v/>
      </c>
      <c r="I153" s="211">
        <f>I106</f>
        <v/>
      </c>
      <c r="J153" s="211">
        <f>J106</f>
        <v/>
      </c>
      <c r="K153" s="211">
        <f>K106</f>
        <v/>
      </c>
      <c r="L153" s="211">
        <f>L106</f>
        <v/>
      </c>
      <c r="M153" s="211">
        <f>M106</f>
        <v/>
      </c>
      <c r="N153" s="211">
        <f>N106</f>
        <v/>
      </c>
      <c r="O153" s="211">
        <f>O106</f>
        <v/>
      </c>
      <c r="P153" s="211">
        <f>P106</f>
        <v/>
      </c>
      <c r="Q153" s="211">
        <f>Q106</f>
        <v/>
      </c>
      <c r="R153" s="211">
        <f>R106</f>
        <v/>
      </c>
      <c r="S153" s="211">
        <f>S106</f>
        <v/>
      </c>
      <c r="T153" s="211">
        <f>T106</f>
        <v/>
      </c>
      <c r="U153" s="211">
        <f>U106</f>
        <v/>
      </c>
      <c r="V153" s="211">
        <f>V106</f>
        <v/>
      </c>
      <c r="W153" s="211">
        <f>W106</f>
        <v/>
      </c>
      <c r="X153" s="211">
        <f>X106</f>
        <v/>
      </c>
      <c r="Y153" s="211">
        <f>Y106</f>
        <v/>
      </c>
      <c r="Z153" s="211">
        <f>Z106</f>
        <v/>
      </c>
      <c r="AA153" s="211">
        <f>AA106</f>
        <v/>
      </c>
      <c r="AB153" s="211">
        <f>AB106</f>
        <v/>
      </c>
      <c r="AC153" s="211">
        <f>AC106</f>
        <v/>
      </c>
      <c r="AD153" s="211">
        <f>AD106</f>
        <v/>
      </c>
      <c r="AE153" s="211">
        <f>AE106</f>
        <v/>
      </c>
      <c r="AF153" s="211">
        <f>AF106</f>
        <v/>
      </c>
      <c r="AG153" s="211">
        <f>AG106</f>
        <v/>
      </c>
      <c r="AH153" s="211">
        <f>AH106</f>
        <v/>
      </c>
      <c r="AI153" s="211">
        <f>AI106</f>
        <v/>
      </c>
      <c r="AJ153" s="211">
        <f>AJ106</f>
        <v/>
      </c>
      <c r="AK153" s="211">
        <f>AK106</f>
        <v/>
      </c>
      <c r="AL153" s="211">
        <f>AL106</f>
        <v/>
      </c>
      <c r="AM153" s="211">
        <f>AM106</f>
        <v/>
      </c>
      <c r="AN153" s="211">
        <f>AN106</f>
        <v/>
      </c>
      <c r="AO153" s="211">
        <f>AO106</f>
        <v/>
      </c>
      <c r="AP153" s="211">
        <f>AP106</f>
        <v/>
      </c>
      <c r="AQ153" s="211">
        <f>AQ106</f>
        <v/>
      </c>
      <c r="AR153" s="211">
        <f>AR106</f>
        <v/>
      </c>
      <c r="AS153" s="211">
        <f>AS106</f>
        <v/>
      </c>
      <c r="AT153" s="211">
        <f>AT106</f>
        <v/>
      </c>
      <c r="AU153" s="211">
        <f>AU106</f>
        <v/>
      </c>
      <c r="AV153" s="211">
        <f>AV106</f>
        <v/>
      </c>
      <c r="AW153" s="211">
        <f>AW106</f>
        <v/>
      </c>
      <c r="AX153" s="211">
        <f>AX106</f>
        <v/>
      </c>
      <c r="AY153" s="211">
        <f>AY106</f>
        <v/>
      </c>
      <c r="AZ153" s="211">
        <f>AZ106</f>
        <v/>
      </c>
      <c r="BA153" s="211">
        <f>BA106</f>
        <v/>
      </c>
      <c r="BB153" s="211">
        <f>BB106</f>
        <v/>
      </c>
      <c r="BC153" s="211">
        <f>BC106</f>
        <v/>
      </c>
      <c r="BD153" s="211">
        <f>BD106</f>
        <v/>
      </c>
      <c r="BE153" s="211">
        <f>BE106</f>
        <v/>
      </c>
      <c r="BF153" s="211">
        <f>BF106</f>
        <v/>
      </c>
      <c r="BG153" s="211">
        <f>BG106</f>
        <v/>
      </c>
      <c r="BH153" s="211">
        <f>BH106</f>
        <v/>
      </c>
      <c r="BI153" s="211">
        <f>BI106</f>
        <v/>
      </c>
      <c r="BJ153" s="211">
        <f>BJ106</f>
        <v/>
      </c>
      <c r="BK153" s="211">
        <f>BK106</f>
        <v/>
      </c>
      <c r="BL153" s="211">
        <f>BL106</f>
        <v/>
      </c>
      <c r="BM153" s="211">
        <f>BM106</f>
        <v/>
      </c>
      <c r="BN153" s="211">
        <f>BN106</f>
        <v/>
      </c>
      <c r="BO153" s="211">
        <f>BO106</f>
        <v/>
      </c>
      <c r="BP153" s="211">
        <f>BP106</f>
        <v/>
      </c>
      <c r="BQ153" s="211">
        <f>BQ106</f>
        <v/>
      </c>
      <c r="BR153" s="211">
        <f>BR106</f>
        <v/>
      </c>
      <c r="BS153" s="211">
        <f>BS106</f>
        <v/>
      </c>
      <c r="BT153" s="211">
        <f>BT106</f>
        <v/>
      </c>
      <c r="BU153" s="211">
        <f>BU106</f>
        <v/>
      </c>
      <c r="BV153" s="211">
        <f>BV106</f>
        <v/>
      </c>
      <c r="BW153" s="211">
        <f>BW106</f>
        <v/>
      </c>
      <c r="BX153" s="211">
        <f>BX106</f>
        <v/>
      </c>
      <c r="BY153" s="211">
        <f>BY106</f>
        <v/>
      </c>
      <c r="BZ153" s="211">
        <f>BZ106</f>
        <v/>
      </c>
      <c r="CA153" s="211">
        <f>CA106</f>
        <v/>
      </c>
      <c r="CB153" s="211">
        <f>CB106</f>
        <v/>
      </c>
      <c r="CC153" s="211">
        <f>CC106</f>
        <v/>
      </c>
      <c r="CD153" s="211">
        <f>CD106</f>
        <v/>
      </c>
      <c r="CE153" s="211">
        <f>CE106</f>
        <v/>
      </c>
      <c r="CF153" s="211">
        <f>CF106</f>
        <v/>
      </c>
      <c r="CG153" s="211">
        <f>CG106</f>
        <v/>
      </c>
      <c r="CH153" s="211">
        <f>CH106</f>
        <v/>
      </c>
      <c r="CI153" s="226" t="n"/>
      <c r="CJ153" s="257" t="n"/>
      <c r="CK153" s="257" t="n"/>
    </row>
    <row r="154" ht="15" customHeight="1" s="202">
      <c r="A154" s="210" t="inlineStr">
        <is>
          <t>PIK Repayment (included in SP Expenses above)</t>
        </is>
      </c>
      <c r="B154" s="225" t="n"/>
      <c r="C154" s="211" t="n">
        <v>0</v>
      </c>
      <c r="D154" s="211" t="n">
        <v>0</v>
      </c>
      <c r="E154" s="211" t="n">
        <v>0</v>
      </c>
      <c r="F154" s="211" t="n">
        <v>0</v>
      </c>
      <c r="G154" s="211" t="n">
        <v>0</v>
      </c>
      <c r="H154" s="211" t="n">
        <v>0</v>
      </c>
      <c r="I154" s="211" t="n">
        <v>0</v>
      </c>
      <c r="J154" s="211" t="n">
        <v>0</v>
      </c>
      <c r="K154" s="211" t="n">
        <v>0</v>
      </c>
      <c r="L154" s="211" t="n">
        <v>0</v>
      </c>
      <c r="M154" s="211" t="n">
        <v>0</v>
      </c>
      <c r="N154" s="211" t="n">
        <v>0</v>
      </c>
      <c r="O154" s="211" t="n">
        <v>0</v>
      </c>
      <c r="P154" s="211" t="n">
        <v>0</v>
      </c>
      <c r="Q154" s="211" t="n">
        <v>0</v>
      </c>
      <c r="R154" s="211" t="n">
        <v>0</v>
      </c>
      <c r="S154" s="211" t="n">
        <v>0</v>
      </c>
      <c r="T154" s="211" t="n">
        <v>0</v>
      </c>
      <c r="U154" s="211" t="n">
        <v>0</v>
      </c>
      <c r="V154" s="211" t="n">
        <v>0</v>
      </c>
      <c r="W154" s="211" t="n">
        <v>0</v>
      </c>
      <c r="X154" s="211" t="n">
        <v>0</v>
      </c>
      <c r="Y154" s="211" t="n">
        <v>0</v>
      </c>
      <c r="Z154" s="211" t="n">
        <v>0</v>
      </c>
      <c r="AA154" s="211" t="n">
        <v>0</v>
      </c>
      <c r="AB154" s="211" t="n">
        <v>0</v>
      </c>
      <c r="AC154" s="211" t="n">
        <v>0</v>
      </c>
      <c r="AD154" s="211" t="n">
        <v>0</v>
      </c>
      <c r="AE154" s="211" t="n">
        <v>0</v>
      </c>
      <c r="AF154" s="211" t="n">
        <v>0</v>
      </c>
      <c r="AG154" s="211" t="n">
        <v>0</v>
      </c>
      <c r="AH154" s="211" t="n">
        <v>0</v>
      </c>
      <c r="AI154" s="211" t="n">
        <v>0</v>
      </c>
      <c r="AJ154" s="211" t="n">
        <v>0</v>
      </c>
      <c r="AK154" s="211" t="n">
        <v>0</v>
      </c>
      <c r="AL154" s="211" t="n">
        <v>0</v>
      </c>
      <c r="AM154" s="211" t="n">
        <v>0</v>
      </c>
      <c r="AN154" s="211" t="n">
        <v>0</v>
      </c>
      <c r="AO154" s="211" t="n">
        <v>0</v>
      </c>
      <c r="AP154" s="211" t="n">
        <v>0</v>
      </c>
      <c r="AQ154" s="211" t="n">
        <v>0</v>
      </c>
      <c r="AR154" s="211" t="n">
        <v>0</v>
      </c>
      <c r="AS154" s="211" t="n">
        <v>0</v>
      </c>
      <c r="AT154" s="211" t="n">
        <v>0</v>
      </c>
      <c r="AU154" s="211" t="n">
        <v>0</v>
      </c>
      <c r="AV154" s="211" t="n">
        <v>0</v>
      </c>
      <c r="AW154" s="211" t="n">
        <v>0</v>
      </c>
      <c r="AX154" s="211" t="n">
        <v>0</v>
      </c>
      <c r="AY154" s="211" t="n">
        <v>0</v>
      </c>
      <c r="AZ154" s="211" t="n">
        <v>0</v>
      </c>
      <c r="BA154" s="211" t="n">
        <v>0</v>
      </c>
      <c r="BB154" s="211" t="n">
        <v>0</v>
      </c>
      <c r="BC154" s="211" t="n">
        <v>0</v>
      </c>
      <c r="BD154" s="211" t="n">
        <v>0</v>
      </c>
      <c r="BE154" s="211" t="n">
        <v>0</v>
      </c>
      <c r="BF154" s="211" t="n">
        <v>0</v>
      </c>
      <c r="BG154" s="211" t="n">
        <v>0</v>
      </c>
      <c r="BH154" s="211" t="n">
        <v>0</v>
      </c>
      <c r="BI154" s="211" t="n">
        <v>0</v>
      </c>
      <c r="BJ154" s="211" t="n">
        <v>0</v>
      </c>
      <c r="BK154" s="211" t="n">
        <v>0</v>
      </c>
      <c r="BL154" s="211" t="n">
        <v>0</v>
      </c>
      <c r="BM154" s="211" t="n">
        <v>0</v>
      </c>
      <c r="BN154" s="211" t="n">
        <v>0</v>
      </c>
      <c r="BO154" s="211" t="n">
        <v>0</v>
      </c>
      <c r="BP154" s="211" t="n">
        <v>0</v>
      </c>
      <c r="BQ154" s="211" t="n">
        <v>0</v>
      </c>
      <c r="BR154" s="211" t="n">
        <v>0</v>
      </c>
      <c r="BS154" s="211" t="n">
        <v>0</v>
      </c>
      <c r="BT154" s="211" t="n">
        <v>0</v>
      </c>
      <c r="BU154" s="211" t="n">
        <v>0</v>
      </c>
      <c r="BV154" s="211" t="n">
        <v>0</v>
      </c>
      <c r="BW154" s="211" t="n">
        <v>0</v>
      </c>
      <c r="BX154" s="211" t="n">
        <v>0</v>
      </c>
      <c r="BY154" s="211" t="n">
        <v>0</v>
      </c>
      <c r="BZ154" s="211" t="n">
        <v>0</v>
      </c>
      <c r="CA154" s="211" t="n">
        <v>0</v>
      </c>
      <c r="CB154" s="211" t="n">
        <v>0</v>
      </c>
      <c r="CC154" s="211" t="n">
        <v>0</v>
      </c>
      <c r="CD154" s="211" t="n">
        <v>0</v>
      </c>
      <c r="CE154" s="211" t="n">
        <v>0</v>
      </c>
      <c r="CF154" s="211" t="n">
        <v>0</v>
      </c>
      <c r="CG154" s="211" t="n">
        <v>0</v>
      </c>
      <c r="CH154" s="211" t="n">
        <v>0</v>
      </c>
      <c r="CI154" s="226" t="n"/>
      <c r="CJ154" s="257" t="n"/>
      <c r="CK154" s="257" t="n"/>
    </row>
    <row r="155" ht="15" customHeight="1" s="202">
      <c r="A155" s="260" t="inlineStr">
        <is>
          <t>SP Ending Cash</t>
        </is>
      </c>
      <c r="B155" s="261" t="n"/>
      <c r="C155" s="262">
        <f>C150+C151+C152+C153+C154</f>
        <v/>
      </c>
      <c r="D155" s="262">
        <f>D150+D151+D152+D153+D154</f>
        <v/>
      </c>
      <c r="E155" s="262">
        <f>E150+E151+E152+E153+E154</f>
        <v/>
      </c>
      <c r="F155" s="262">
        <f>F150+F151+F152+F153+F154</f>
        <v/>
      </c>
      <c r="G155" s="262">
        <f>G150+G151+G152+G153+G154</f>
        <v/>
      </c>
      <c r="H155" s="262">
        <f>H150+H151+H152+H153+H154</f>
        <v/>
      </c>
      <c r="I155" s="262">
        <f>I150+I151+I152+I153+I154</f>
        <v/>
      </c>
      <c r="J155" s="262">
        <f>J150+J151+J152+J153+J154</f>
        <v/>
      </c>
      <c r="K155" s="262">
        <f>K150+K151+K152+K153+K154</f>
        <v/>
      </c>
      <c r="L155" s="262">
        <f>L150+L151+L152+L153+L154</f>
        <v/>
      </c>
      <c r="M155" s="262">
        <f>M150+M151+M152+M153+M154</f>
        <v/>
      </c>
      <c r="N155" s="262">
        <f>N150+N151+N152+N153+N154</f>
        <v/>
      </c>
      <c r="O155" s="262">
        <f>O150+O151+O152+O153+O154</f>
        <v/>
      </c>
      <c r="P155" s="262">
        <f>P150+P151+P152+P153+P154</f>
        <v/>
      </c>
      <c r="Q155" s="262">
        <f>Q150+Q151+Q152+Q153+Q154</f>
        <v/>
      </c>
      <c r="R155" s="262">
        <f>R150+R151+R152+R153+R154</f>
        <v/>
      </c>
      <c r="S155" s="262">
        <f>S150+S151+S152+S153+S154</f>
        <v/>
      </c>
      <c r="T155" s="262">
        <f>T150+T151+T152+T153+T154</f>
        <v/>
      </c>
      <c r="U155" s="262">
        <f>U150+U151+U152+U153+U154</f>
        <v/>
      </c>
      <c r="V155" s="262">
        <f>V150+V151+V152+V153+V154</f>
        <v/>
      </c>
      <c r="W155" s="262">
        <f>W150+W151+W152+W153+W154</f>
        <v/>
      </c>
      <c r="X155" s="262">
        <f>X150+X151+X152+X153+X154</f>
        <v/>
      </c>
      <c r="Y155" s="262">
        <f>Y150+Y151+Y152+Y153+Y154</f>
        <v/>
      </c>
      <c r="Z155" s="262">
        <f>Z150+Z151+Z152+Z153+Z154</f>
        <v/>
      </c>
      <c r="AA155" s="262">
        <f>AA150+AA151+AA152+AA153+AA154</f>
        <v/>
      </c>
      <c r="AB155" s="262">
        <f>AB150+AB151+AB152+AB153+AB154</f>
        <v/>
      </c>
      <c r="AC155" s="262">
        <f>AC150+AC151+AC152+AC153+AC154</f>
        <v/>
      </c>
      <c r="AD155" s="262">
        <f>AD150+AD151+AD152+AD153+AD154</f>
        <v/>
      </c>
      <c r="AE155" s="262">
        <f>AE150+AE151+AE152+AE153+AE154</f>
        <v/>
      </c>
      <c r="AF155" s="262">
        <f>AF150+AF151+AF152+AF153+AF154</f>
        <v/>
      </c>
      <c r="AG155" s="262">
        <f>AG150+AG151+AG152+AG153+AG154</f>
        <v/>
      </c>
      <c r="AH155" s="262">
        <f>AH150+AH151+AH152+AH153+AH154</f>
        <v/>
      </c>
      <c r="AI155" s="262">
        <f>AI150+AI151+AI152+AI153+AI154</f>
        <v/>
      </c>
      <c r="AJ155" s="262">
        <f>AJ150+AJ151+AJ152+AJ153+AJ154</f>
        <v/>
      </c>
      <c r="AK155" s="262">
        <f>AK150+AK151+AK152+AK153+AK154</f>
        <v/>
      </c>
      <c r="AL155" s="262">
        <f>AL150+AL151+AL152+AL153+AL154</f>
        <v/>
      </c>
      <c r="AM155" s="262">
        <f>AM150+AM151+AM152+AM153+AM154</f>
        <v/>
      </c>
      <c r="AN155" s="262">
        <f>AN150+AN151+AN152+AN153+AN154</f>
        <v/>
      </c>
      <c r="AO155" s="262">
        <f>AO150+AO151+AO152+AO153+AO154</f>
        <v/>
      </c>
      <c r="AP155" s="262">
        <f>AP150+AP151+AP152+AP153+AP154</f>
        <v/>
      </c>
      <c r="AQ155" s="262">
        <f>AQ150+AQ151+AQ152+AQ153+AQ154</f>
        <v/>
      </c>
      <c r="AR155" s="262">
        <f>AR150+AR151+AR152+AR153+AR154</f>
        <v/>
      </c>
      <c r="AS155" s="262">
        <f>AS150+AS151+AS152+AS153+AS154</f>
        <v/>
      </c>
      <c r="AT155" s="262">
        <f>AT150+AT151+AT152+AT153+AT154</f>
        <v/>
      </c>
      <c r="AU155" s="262">
        <f>AU150+AU151+AU152+AU153+AU154</f>
        <v/>
      </c>
      <c r="AV155" s="262">
        <f>AV150+AV151+AV152+AV153+AV154</f>
        <v/>
      </c>
      <c r="AW155" s="262">
        <f>AW150+AW151+AW152+AW153+AW154</f>
        <v/>
      </c>
      <c r="AX155" s="262">
        <f>AX150+AX151+AX152+AX153+AX154</f>
        <v/>
      </c>
      <c r="AY155" s="262">
        <f>AY150+AY151+AY152+AY153+AY154</f>
        <v/>
      </c>
      <c r="AZ155" s="262">
        <f>AZ150+AZ151+AZ152+AZ153+AZ154</f>
        <v/>
      </c>
      <c r="BA155" s="262">
        <f>BA150+BA151+BA152+BA153+BA154</f>
        <v/>
      </c>
      <c r="BB155" s="262">
        <f>BB150+BB151+BB152+BB153+BB154</f>
        <v/>
      </c>
      <c r="BC155" s="262">
        <f>BC150+BC151+BC152+BC153+BC154</f>
        <v/>
      </c>
      <c r="BD155" s="262">
        <f>BD150+BD151+BD152+BD153+BD154</f>
        <v/>
      </c>
      <c r="BE155" s="262">
        <f>BE150+BE151+BE152+BE153+BE154</f>
        <v/>
      </c>
      <c r="BF155" s="262">
        <f>BF150+BF151+BF152+BF153+BF154</f>
        <v/>
      </c>
      <c r="BG155" s="262">
        <f>BG150+BG151+BG152+BG153+BG154</f>
        <v/>
      </c>
      <c r="BH155" s="262">
        <f>BH150+BH151+BH152+BH153+BH154</f>
        <v/>
      </c>
      <c r="BI155" s="262">
        <f>BI150+BI151+BI152+BI153+BI154</f>
        <v/>
      </c>
      <c r="BJ155" s="262">
        <f>BJ150+BJ151+BJ152+BJ153+BJ154</f>
        <v/>
      </c>
      <c r="BK155" s="262">
        <f>BK150+BK151+BK152+BK153+BK154</f>
        <v/>
      </c>
      <c r="BL155" s="262">
        <f>BL150+BL151+BL152+BL153+BL154</f>
        <v/>
      </c>
      <c r="BM155" s="262">
        <f>BM150+BM151+BM152+BM153+BM154</f>
        <v/>
      </c>
      <c r="BN155" s="262">
        <f>BN150+BN151+BN152+BN153+BN154</f>
        <v/>
      </c>
      <c r="BO155" s="262">
        <f>BO150+BO151+BO152+BO153+BO154</f>
        <v/>
      </c>
      <c r="BP155" s="262">
        <f>BP150+BP151+BP152+BP153+BP154</f>
        <v/>
      </c>
      <c r="BQ155" s="262">
        <f>BQ150+BQ151+BQ152+BQ153+BQ154</f>
        <v/>
      </c>
      <c r="BR155" s="262">
        <f>BR150+BR151+BR152+BR153+BR154</f>
        <v/>
      </c>
      <c r="BS155" s="262">
        <f>BS150+BS151+BS152+BS153+BS154</f>
        <v/>
      </c>
      <c r="BT155" s="262">
        <f>BT150+BT151+BT152+BT153+BT154</f>
        <v/>
      </c>
      <c r="BU155" s="262">
        <f>BU150+BU151+BU152+BU153+BU154</f>
        <v/>
      </c>
      <c r="BV155" s="262">
        <f>BV150+BV151+BV152+BV153+BV154</f>
        <v/>
      </c>
      <c r="BW155" s="262">
        <f>BW150+BW151+BW152+BW153+BW154</f>
        <v/>
      </c>
      <c r="BX155" s="262">
        <f>BX150+BX151+BX152+BX153+BX154</f>
        <v/>
      </c>
      <c r="BY155" s="262">
        <f>BY150+BY151+BY152+BY153+BY154</f>
        <v/>
      </c>
      <c r="BZ155" s="262">
        <f>BZ150+BZ151+BZ152+BZ153+BZ154</f>
        <v/>
      </c>
      <c r="CA155" s="262">
        <f>CA150+CA151+CA152+CA153+CA154</f>
        <v/>
      </c>
      <c r="CB155" s="262">
        <f>CB150+CB151+CB152+CB153+CB154</f>
        <v/>
      </c>
      <c r="CC155" s="262">
        <f>CC150+CC151+CC152+CC153+CC154</f>
        <v/>
      </c>
      <c r="CD155" s="262">
        <f>CD150+CD151+CD152+CD153+CD154</f>
        <v/>
      </c>
      <c r="CE155" s="262">
        <f>CE150+CE151+CE152+CE153+CE154</f>
        <v/>
      </c>
      <c r="CF155" s="262">
        <f>CF150+CF151+CF152+CF153+CF154</f>
        <v/>
      </c>
      <c r="CG155" s="262">
        <f>CG150+CG151+CG152+CG153+CG154</f>
        <v/>
      </c>
      <c r="CH155" s="262">
        <f>CH150+CH151+CH152+CH153+CH154</f>
        <v/>
      </c>
      <c r="CI155" s="226" t="n"/>
      <c r="CJ155" s="257" t="n"/>
      <c r="CK155" s="257" t="n"/>
    </row>
    <row r="156" ht="15" customHeight="1" s="202">
      <c r="A156" s="225" t="n"/>
      <c r="B156" s="225" t="n"/>
      <c r="C156" s="225" t="n"/>
      <c r="D156" s="225" t="n"/>
      <c r="E156" s="225" t="n"/>
      <c r="F156" s="225" t="n"/>
      <c r="G156" s="225" t="n"/>
      <c r="H156" s="225" t="n"/>
      <c r="I156" s="225" t="n"/>
      <c r="J156" s="225" t="n"/>
      <c r="K156" s="225" t="n"/>
      <c r="L156" s="225" t="n"/>
      <c r="M156" s="225" t="n"/>
      <c r="N156" s="225" t="n"/>
      <c r="O156" s="225" t="n"/>
      <c r="P156" s="225" t="n"/>
      <c r="Q156" s="225" t="n"/>
      <c r="R156" s="225" t="n"/>
      <c r="S156" s="225" t="n"/>
      <c r="T156" s="225" t="n"/>
      <c r="U156" s="225" t="n"/>
      <c r="V156" s="225" t="n"/>
      <c r="W156" s="225" t="n"/>
      <c r="X156" s="225" t="n"/>
      <c r="Y156" s="225" t="n"/>
      <c r="Z156" s="225" t="n"/>
      <c r="AA156" s="225" t="n"/>
      <c r="AB156" s="225" t="n"/>
      <c r="AC156" s="225" t="n"/>
      <c r="AD156" s="225" t="n"/>
      <c r="AE156" s="225" t="n"/>
      <c r="AF156" s="225" t="n"/>
      <c r="AG156" s="225" t="n"/>
      <c r="AH156" s="225" t="n"/>
      <c r="AI156" s="225" t="n"/>
      <c r="AJ156" s="225" t="n"/>
      <c r="AK156" s="225" t="n"/>
      <c r="AL156" s="225" t="n"/>
      <c r="AM156" s="225" t="n"/>
      <c r="AN156" s="225" t="n"/>
      <c r="AO156" s="225" t="n"/>
      <c r="AP156" s="225" t="n"/>
      <c r="AQ156" s="225" t="n"/>
      <c r="AR156" s="225" t="n"/>
      <c r="AS156" s="225" t="n"/>
      <c r="AT156" s="225" t="n"/>
      <c r="AU156" s="225" t="n"/>
      <c r="AV156" s="225" t="n"/>
      <c r="AW156" s="225" t="n"/>
      <c r="AX156" s="225" t="n"/>
      <c r="AY156" s="225" t="n"/>
      <c r="AZ156" s="225" t="n"/>
      <c r="BA156" s="225" t="n"/>
      <c r="BB156" s="225" t="n"/>
      <c r="BC156" s="225" t="n"/>
      <c r="BD156" s="225" t="n"/>
      <c r="BE156" s="225" t="n"/>
      <c r="BF156" s="225" t="n"/>
      <c r="BG156" s="225" t="n"/>
      <c r="BH156" s="225" t="n"/>
      <c r="BI156" s="225" t="n"/>
      <c r="BJ156" s="225" t="n"/>
      <c r="BK156" s="225" t="n"/>
      <c r="BL156" s="225" t="n"/>
      <c r="BM156" s="225" t="n"/>
      <c r="BN156" s="225" t="n"/>
      <c r="BO156" s="225" t="n"/>
      <c r="BP156" s="225" t="n"/>
      <c r="BQ156" s="225" t="n"/>
      <c r="BR156" s="225" t="n"/>
      <c r="BS156" s="225" t="n"/>
      <c r="BT156" s="225" t="n"/>
      <c r="BU156" s="225" t="n"/>
      <c r="BV156" s="225" t="n"/>
      <c r="BW156" s="225" t="n"/>
      <c r="BX156" s="225" t="n"/>
      <c r="BY156" s="225" t="n"/>
      <c r="BZ156" s="225" t="n"/>
      <c r="CA156" s="225" t="n"/>
      <c r="CB156" s="225" t="n"/>
      <c r="CC156" s="225" t="n"/>
      <c r="CD156" s="225" t="n"/>
      <c r="CE156" s="225" t="n"/>
      <c r="CF156" s="225" t="n"/>
      <c r="CG156" s="225" t="n"/>
      <c r="CH156" s="225" t="n"/>
      <c r="CI156" s="226" t="n"/>
      <c r="CJ156" s="257" t="n"/>
      <c r="CK156" s="257" t="n"/>
    </row>
    <row r="157" ht="15" customHeight="1" s="202">
      <c r="A157" s="209" t="inlineStr">
        <is>
          <t>Consolidated Cash</t>
        </is>
      </c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  <c r="BB157" s="209" t="n"/>
      <c r="BC157" s="209" t="n"/>
      <c r="BD157" s="209" t="n"/>
      <c r="BE157" s="209" t="n"/>
      <c r="BF157" s="209" t="n"/>
      <c r="BG157" s="209" t="n"/>
      <c r="BH157" s="209" t="n"/>
      <c r="BI157" s="209" t="n"/>
      <c r="BJ157" s="209" t="n"/>
      <c r="BK157" s="209" t="n"/>
      <c r="BL157" s="209" t="n"/>
      <c r="BM157" s="209" t="n"/>
      <c r="BN157" s="209" t="n"/>
      <c r="BO157" s="209" t="n"/>
      <c r="BP157" s="209" t="n"/>
      <c r="BQ157" s="209" t="n"/>
      <c r="BR157" s="209" t="n"/>
      <c r="BS157" s="209" t="n"/>
      <c r="BT157" s="209" t="n"/>
      <c r="BU157" s="209" t="n"/>
      <c r="BV157" s="209" t="n"/>
      <c r="BW157" s="209" t="n"/>
      <c r="BX157" s="209" t="n"/>
      <c r="BY157" s="209" t="n"/>
      <c r="BZ157" s="209" t="n"/>
      <c r="CA157" s="209" t="n"/>
      <c r="CB157" s="209" t="n"/>
      <c r="CC157" s="209" t="n"/>
      <c r="CD157" s="209" t="n"/>
      <c r="CE157" s="209" t="n"/>
      <c r="CF157" s="209" t="n"/>
      <c r="CG157" s="209" t="n"/>
      <c r="CH157" s="209" t="n"/>
      <c r="CI157" s="226" t="n"/>
      <c r="CJ157" s="257" t="n"/>
      <c r="CK157" s="257" t="n"/>
    </row>
    <row r="158" ht="15" customHeight="1" s="202">
      <c r="A158" s="210" t="inlineStr">
        <is>
          <t>Total Beginning Cash</t>
        </is>
      </c>
      <c r="B158" s="225" t="n"/>
      <c r="C158" s="211">
        <f>C145+C150</f>
        <v/>
      </c>
      <c r="D158" s="211">
        <f>D145+D150</f>
        <v/>
      </c>
      <c r="E158" s="211">
        <f>E145+E150</f>
        <v/>
      </c>
      <c r="F158" s="211">
        <f>F145+F150</f>
        <v/>
      </c>
      <c r="G158" s="211">
        <f>G145+G150</f>
        <v/>
      </c>
      <c r="H158" s="211">
        <f>H145+H150</f>
        <v/>
      </c>
      <c r="I158" s="211">
        <f>I145+I150</f>
        <v/>
      </c>
      <c r="J158" s="211">
        <f>J145+J150</f>
        <v/>
      </c>
      <c r="K158" s="211">
        <f>K145+K150</f>
        <v/>
      </c>
      <c r="L158" s="211">
        <f>L145+L150</f>
        <v/>
      </c>
      <c r="M158" s="211">
        <f>M145+M150</f>
        <v/>
      </c>
      <c r="N158" s="211">
        <f>N145+N150</f>
        <v/>
      </c>
      <c r="O158" s="211">
        <f>O145+O150</f>
        <v/>
      </c>
      <c r="P158" s="211">
        <f>P145+P150</f>
        <v/>
      </c>
      <c r="Q158" s="211">
        <f>Q145+Q150</f>
        <v/>
      </c>
      <c r="R158" s="211">
        <f>R145+R150</f>
        <v/>
      </c>
      <c r="S158" s="211">
        <f>S145+S150</f>
        <v/>
      </c>
      <c r="T158" s="211">
        <f>T145+T150</f>
        <v/>
      </c>
      <c r="U158" s="211">
        <f>U145+U150</f>
        <v/>
      </c>
      <c r="V158" s="211">
        <f>V145+V150</f>
        <v/>
      </c>
      <c r="W158" s="211">
        <f>W145+W150</f>
        <v/>
      </c>
      <c r="X158" s="211">
        <f>X145+X150</f>
        <v/>
      </c>
      <c r="Y158" s="211">
        <f>Y145+Y150</f>
        <v/>
      </c>
      <c r="Z158" s="211">
        <f>Z145+Z150</f>
        <v/>
      </c>
      <c r="AA158" s="211">
        <f>AA145+AA150</f>
        <v/>
      </c>
      <c r="AB158" s="211">
        <f>AB145+AB150</f>
        <v/>
      </c>
      <c r="AC158" s="211">
        <f>AC145+AC150</f>
        <v/>
      </c>
      <c r="AD158" s="211">
        <f>AD145+AD150</f>
        <v/>
      </c>
      <c r="AE158" s="211">
        <f>AE145+AE150</f>
        <v/>
      </c>
      <c r="AF158" s="211">
        <f>AF145+AF150</f>
        <v/>
      </c>
      <c r="AG158" s="211">
        <f>AG145+AG150</f>
        <v/>
      </c>
      <c r="AH158" s="211">
        <f>AH145+AH150</f>
        <v/>
      </c>
      <c r="AI158" s="211">
        <f>AI145+AI150</f>
        <v/>
      </c>
      <c r="AJ158" s="211">
        <f>AJ145+AJ150</f>
        <v/>
      </c>
      <c r="AK158" s="211">
        <f>AK145+AK150</f>
        <v/>
      </c>
      <c r="AL158" s="211">
        <f>AL145+AL150</f>
        <v/>
      </c>
      <c r="AM158" s="211">
        <f>AM145+AM150</f>
        <v/>
      </c>
      <c r="AN158" s="211">
        <f>AN145+AN150</f>
        <v/>
      </c>
      <c r="AO158" s="211">
        <f>AO145+AO150</f>
        <v/>
      </c>
      <c r="AP158" s="211">
        <f>AP145+AP150</f>
        <v/>
      </c>
      <c r="AQ158" s="211">
        <f>AQ145+AQ150</f>
        <v/>
      </c>
      <c r="AR158" s="211">
        <f>AR145+AR150</f>
        <v/>
      </c>
      <c r="AS158" s="211">
        <f>AS145+AS150</f>
        <v/>
      </c>
      <c r="AT158" s="211">
        <f>AT145+AT150</f>
        <v/>
      </c>
      <c r="AU158" s="211">
        <f>AU145+AU150</f>
        <v/>
      </c>
      <c r="AV158" s="211">
        <f>AV145+AV150</f>
        <v/>
      </c>
      <c r="AW158" s="211">
        <f>AW145+AW150</f>
        <v/>
      </c>
      <c r="AX158" s="211">
        <f>AX145+AX150</f>
        <v/>
      </c>
      <c r="AY158" s="211">
        <f>AY145+AY150</f>
        <v/>
      </c>
      <c r="AZ158" s="211">
        <f>AZ145+AZ150</f>
        <v/>
      </c>
      <c r="BA158" s="211">
        <f>BA145+BA150</f>
        <v/>
      </c>
      <c r="BB158" s="211">
        <f>BB145+BB150</f>
        <v/>
      </c>
      <c r="BC158" s="211">
        <f>BC145+BC150</f>
        <v/>
      </c>
      <c r="BD158" s="211">
        <f>BD145+BD150</f>
        <v/>
      </c>
      <c r="BE158" s="211">
        <f>BE145+BE150</f>
        <v/>
      </c>
      <c r="BF158" s="211">
        <f>BF145+BF150</f>
        <v/>
      </c>
      <c r="BG158" s="211">
        <f>BG145+BG150</f>
        <v/>
      </c>
      <c r="BH158" s="211">
        <f>BH145+BH150</f>
        <v/>
      </c>
      <c r="BI158" s="211">
        <f>BI145+BI150</f>
        <v/>
      </c>
      <c r="BJ158" s="211">
        <f>BJ145+BJ150</f>
        <v/>
      </c>
      <c r="BK158" s="211">
        <f>BK145+BK150</f>
        <v/>
      </c>
      <c r="BL158" s="211">
        <f>BL145+BL150</f>
        <v/>
      </c>
      <c r="BM158" s="211">
        <f>BM145+BM150</f>
        <v/>
      </c>
      <c r="BN158" s="211">
        <f>BN145+BN150</f>
        <v/>
      </c>
      <c r="BO158" s="211">
        <f>BO145+BO150</f>
        <v/>
      </c>
      <c r="BP158" s="211">
        <f>BP145+BP150</f>
        <v/>
      </c>
      <c r="BQ158" s="211">
        <f>BQ145+BQ150</f>
        <v/>
      </c>
      <c r="BR158" s="211">
        <f>BR145+BR150</f>
        <v/>
      </c>
      <c r="BS158" s="211">
        <f>BS145+BS150</f>
        <v/>
      </c>
      <c r="BT158" s="211">
        <f>BT145+BT150</f>
        <v/>
      </c>
      <c r="BU158" s="211">
        <f>BU145+BU150</f>
        <v/>
      </c>
      <c r="BV158" s="211">
        <f>BV145+BV150</f>
        <v/>
      </c>
      <c r="BW158" s="211">
        <f>BW145+BW150</f>
        <v/>
      </c>
      <c r="BX158" s="211">
        <f>BX145+BX150</f>
        <v/>
      </c>
      <c r="BY158" s="211">
        <f>BY145+BY150</f>
        <v/>
      </c>
      <c r="BZ158" s="211">
        <f>BZ145+BZ150</f>
        <v/>
      </c>
      <c r="CA158" s="211">
        <f>CA145+CA150</f>
        <v/>
      </c>
      <c r="CB158" s="211">
        <f>CB145+CB150</f>
        <v/>
      </c>
      <c r="CC158" s="211">
        <f>CC145+CC150</f>
        <v/>
      </c>
      <c r="CD158" s="211">
        <f>CD145+CD150</f>
        <v/>
      </c>
      <c r="CE158" s="211">
        <f>CE145+CE150</f>
        <v/>
      </c>
      <c r="CF158" s="211">
        <f>CF145+CF150</f>
        <v/>
      </c>
      <c r="CG158" s="211">
        <f>CG145+CG150</f>
        <v/>
      </c>
      <c r="CH158" s="211">
        <f>CH145+CH150</f>
        <v/>
      </c>
      <c r="CI158" s="226" t="n"/>
      <c r="CJ158" s="257" t="n"/>
      <c r="CK158" s="257" t="n"/>
    </row>
    <row r="159" ht="15" customHeight="1" s="202">
      <c r="A159" s="210" t="inlineStr">
        <is>
          <t>Tax Distribution (30% Consol NI)</t>
        </is>
      </c>
      <c r="B159" s="225" t="n"/>
      <c r="C159" s="211" t="n">
        <v>0</v>
      </c>
      <c r="D159" s="211" t="n">
        <v>0</v>
      </c>
      <c r="E159" s="211" t="n">
        <v>0</v>
      </c>
      <c r="F159" s="211" t="n">
        <v>0</v>
      </c>
      <c r="G159" s="211" t="n">
        <v>0</v>
      </c>
      <c r="H159" s="211" t="n">
        <v>0</v>
      </c>
      <c r="I159" s="211" t="n">
        <v>0</v>
      </c>
      <c r="J159" s="211" t="n">
        <v>0</v>
      </c>
      <c r="K159" s="211" t="n">
        <v>0</v>
      </c>
      <c r="L159" s="211" t="n">
        <v>0</v>
      </c>
      <c r="M159" s="211" t="n">
        <v>0</v>
      </c>
      <c r="N159" s="211">
        <f>IF((C95+D95+E95+F95+G95+H95+I95+J95+K95)&gt;0,-(C95+D95+E95+F95+G95+H95+I95+J95+K95)*0.3,0)</f>
        <v/>
      </c>
      <c r="O159" s="211" t="n">
        <v>0</v>
      </c>
      <c r="P159" s="211" t="n">
        <v>0</v>
      </c>
      <c r="Q159" s="211" t="n">
        <v>0</v>
      </c>
      <c r="R159" s="211" t="n">
        <v>0</v>
      </c>
      <c r="S159" s="211" t="n">
        <v>0</v>
      </c>
      <c r="T159" s="211" t="n">
        <v>0</v>
      </c>
      <c r="U159" s="211" t="n">
        <v>0</v>
      </c>
      <c r="V159" s="211" t="n">
        <v>0</v>
      </c>
      <c r="W159" s="211" t="n">
        <v>0</v>
      </c>
      <c r="X159" s="211" t="n">
        <v>0</v>
      </c>
      <c r="Y159" s="211" t="n">
        <v>0</v>
      </c>
      <c r="Z159" s="211">
        <f>IF((L95+M95+N95+O95+P95+Q95+R95+S95+T95+U95+V95+W95)&gt;0,-(L95+M95+N95+O95+P95+Q95+R95+S95+T95+U95+V95+W95)*0.3,0)</f>
        <v/>
      </c>
      <c r="AA159" s="211" t="n">
        <v>0</v>
      </c>
      <c r="AB159" s="211" t="n">
        <v>0</v>
      </c>
      <c r="AC159" s="211" t="n">
        <v>0</v>
      </c>
      <c r="AD159" s="211" t="n">
        <v>0</v>
      </c>
      <c r="AE159" s="211" t="n">
        <v>0</v>
      </c>
      <c r="AF159" s="211" t="n">
        <v>0</v>
      </c>
      <c r="AG159" s="211" t="n">
        <v>0</v>
      </c>
      <c r="AH159" s="211" t="n">
        <v>0</v>
      </c>
      <c r="AI159" s="211" t="n">
        <v>0</v>
      </c>
      <c r="AJ159" s="211" t="n">
        <v>0</v>
      </c>
      <c r="AK159" s="211" t="n">
        <v>0</v>
      </c>
      <c r="AL159" s="211">
        <f>IF((X95+Y95+Z95+AA95+AB95+AC95+AD95+AE95+AF95+AG95+AH95+AI95)&gt;0,-(X95+Y95+Z95+AA95+AB95+AC95+AD95+AE95+AF95+AG95+AH95+AI95)*0.3,0)</f>
        <v/>
      </c>
      <c r="AM159" s="211" t="n">
        <v>0</v>
      </c>
      <c r="AN159" s="211" t="n">
        <v>0</v>
      </c>
      <c r="AO159" s="211" t="n">
        <v>0</v>
      </c>
      <c r="AP159" s="211" t="n">
        <v>0</v>
      </c>
      <c r="AQ159" s="211" t="n">
        <v>0</v>
      </c>
      <c r="AR159" s="211" t="n">
        <v>0</v>
      </c>
      <c r="AS159" s="211" t="n">
        <v>0</v>
      </c>
      <c r="AT159" s="211" t="n">
        <v>0</v>
      </c>
      <c r="AU159" s="211" t="n">
        <v>0</v>
      </c>
      <c r="AV159" s="211" t="n">
        <v>0</v>
      </c>
      <c r="AW159" s="211" t="n">
        <v>0</v>
      </c>
      <c r="AX159" s="211">
        <f>IF((AJ95+AK95+AL95+AM95+AN95+AO95+AP95+AQ95+AR95+AS95+AT95+AU95)&gt;0,-(AJ95+AK95+AL95+AM95+AN95+AO95+AP95+AQ95+AR95+AS95+AT95+AU95)*0.3,0)</f>
        <v/>
      </c>
      <c r="AY159" s="211" t="n">
        <v>0</v>
      </c>
      <c r="AZ159" s="211" t="n">
        <v>0</v>
      </c>
      <c r="BA159" s="211" t="n">
        <v>0</v>
      </c>
      <c r="BB159" s="211" t="n">
        <v>0</v>
      </c>
      <c r="BC159" s="211" t="n">
        <v>0</v>
      </c>
      <c r="BD159" s="211" t="n">
        <v>0</v>
      </c>
      <c r="BE159" s="211" t="n">
        <v>0</v>
      </c>
      <c r="BF159" s="211" t="n">
        <v>0</v>
      </c>
      <c r="BG159" s="211" t="n">
        <v>0</v>
      </c>
      <c r="BH159" s="211" t="n">
        <v>0</v>
      </c>
      <c r="BI159" s="211" t="n">
        <v>0</v>
      </c>
      <c r="BJ159" s="211">
        <f>IF((AV95+AW95+AX95+AY95+AZ95+BA95+BB95+BC95+BD95+BE95+BF95+BG95)&gt;0,-(AV95+AW95+AX95+AY95+AZ95+BA95+BB95+BC95+BD95+BE95+BF95+BG95)*0.3,0)</f>
        <v/>
      </c>
      <c r="BK159" s="211" t="n">
        <v>0</v>
      </c>
      <c r="BL159" s="211" t="n">
        <v>0</v>
      </c>
      <c r="BM159" s="211" t="n">
        <v>0</v>
      </c>
      <c r="BN159" s="211" t="n">
        <v>0</v>
      </c>
      <c r="BO159" s="211" t="n">
        <v>0</v>
      </c>
      <c r="BP159" s="211" t="n">
        <v>0</v>
      </c>
      <c r="BQ159" s="211" t="n">
        <v>0</v>
      </c>
      <c r="BR159" s="211" t="n">
        <v>0</v>
      </c>
      <c r="BS159" s="211" t="n">
        <v>0</v>
      </c>
      <c r="BT159" s="211" t="n">
        <v>0</v>
      </c>
      <c r="BU159" s="211" t="n">
        <v>0</v>
      </c>
      <c r="BV159" s="211">
        <f>IF((BH95+BI95+BJ95+BK95+BL95+BM95+BN95+BO95+BP95+BQ95+BR95+BS95)&gt;0,-(BH95+BI95+BJ95+BK95+BL95+BM95+BN95+BO95+BP95+BQ95+BR95+BS95)*0.3,0)</f>
        <v/>
      </c>
      <c r="BW159" s="211" t="n">
        <v>0</v>
      </c>
      <c r="BX159" s="211" t="n">
        <v>0</v>
      </c>
      <c r="BY159" s="211" t="n">
        <v>0</v>
      </c>
      <c r="BZ159" s="211" t="n">
        <v>0</v>
      </c>
      <c r="CA159" s="211" t="n">
        <v>0</v>
      </c>
      <c r="CB159" s="211" t="n">
        <v>0</v>
      </c>
      <c r="CC159" s="211" t="n">
        <v>0</v>
      </c>
      <c r="CD159" s="211" t="n">
        <v>0</v>
      </c>
      <c r="CE159" s="211" t="n">
        <v>0</v>
      </c>
      <c r="CF159" s="211" t="n">
        <v>0</v>
      </c>
      <c r="CG159" s="211" t="n">
        <v>0</v>
      </c>
      <c r="CH159" s="211">
        <f>IF((BT95+BU95+BV95+BW95+BX95+BY95+BZ95+CA95+CB95+CC95+CD95+CE95)&gt;0,-(BT95+BU95+BV95+BW95+BX95+BY95+BZ95+CA95+CB95+CC95+CD95+CE95)*0.3,0)</f>
        <v/>
      </c>
      <c r="CI159" s="226" t="n"/>
      <c r="CJ159" s="257" t="n"/>
      <c r="CK159" s="257" t="n"/>
    </row>
    <row r="160" ht="15" customHeight="1" s="202">
      <c r="A160" s="260" t="inlineStr">
        <is>
          <t>Total Ending Cash</t>
        </is>
      </c>
      <c r="B160" s="261" t="n"/>
      <c r="C160" s="262">
        <f>C158+C146+C151+C152+C153+C154+C159</f>
        <v/>
      </c>
      <c r="D160" s="262">
        <f>D158+D146+D151+D152+D153+D154+D159</f>
        <v/>
      </c>
      <c r="E160" s="262">
        <f>E158+E146+E151+E152+E153+E154+E159</f>
        <v/>
      </c>
      <c r="F160" s="262">
        <f>F158+F146+F151+F152+F153+F154+F159</f>
        <v/>
      </c>
      <c r="G160" s="262">
        <f>G158+G146+G151+G152+G153+G154+G159</f>
        <v/>
      </c>
      <c r="H160" s="262">
        <f>H158+H146+H151+H152+H153+H154+H159</f>
        <v/>
      </c>
      <c r="I160" s="262">
        <f>I158+I146+I151+I152+I153+I154+I159</f>
        <v/>
      </c>
      <c r="J160" s="262">
        <f>J158+J146+J151+J152+J153+J154+J159</f>
        <v/>
      </c>
      <c r="K160" s="262">
        <f>K158+K146+K151+K152+K153+K154+K159</f>
        <v/>
      </c>
      <c r="L160" s="262">
        <f>L158+L146+L151+L152+L153+L154+L159</f>
        <v/>
      </c>
      <c r="M160" s="262">
        <f>M158+M146+M151+M152+M153+M154+M159</f>
        <v/>
      </c>
      <c r="N160" s="262">
        <f>N158+N146+N151+N152+N153+N154+N159</f>
        <v/>
      </c>
      <c r="O160" s="262">
        <f>O158+O146+O151+O152+O153+O154+O159</f>
        <v/>
      </c>
      <c r="P160" s="262">
        <f>P158+P146+P151+P152+P153+P154+P159</f>
        <v/>
      </c>
      <c r="Q160" s="262">
        <f>Q158+Q146+Q151+Q152+Q153+Q154+Q159</f>
        <v/>
      </c>
      <c r="R160" s="262">
        <f>R158+R146+R151+R152+R153+R154+R159</f>
        <v/>
      </c>
      <c r="S160" s="262">
        <f>S158+S146+S151+S152+S153+S154+S159</f>
        <v/>
      </c>
      <c r="T160" s="262">
        <f>T158+T146+T151+T152+T153+T154+T159</f>
        <v/>
      </c>
      <c r="U160" s="262">
        <f>U158+U146+U151+U152+U153+U154+U159</f>
        <v/>
      </c>
      <c r="V160" s="262">
        <f>V158+V146+V151+V152+V153+V154+V159</f>
        <v/>
      </c>
      <c r="W160" s="262">
        <f>W158+W146+W151+W152+W153+W154+W159</f>
        <v/>
      </c>
      <c r="X160" s="262">
        <f>X158+X146+X151+X152+X153+X154+X159</f>
        <v/>
      </c>
      <c r="Y160" s="262">
        <f>Y158+Y146+Y151+Y152+Y153+Y154+Y159</f>
        <v/>
      </c>
      <c r="Z160" s="262">
        <f>Z158+Z146+Z151+Z152+Z153+Z154+Z159</f>
        <v/>
      </c>
      <c r="AA160" s="262">
        <f>AA158+AA146+AA151+AA152+AA153+AA154+AA159</f>
        <v/>
      </c>
      <c r="AB160" s="262">
        <f>AB158+AB146+AB151+AB152+AB153+AB154+AB159</f>
        <v/>
      </c>
      <c r="AC160" s="262">
        <f>AC158+AC146+AC151+AC152+AC153+AC154+AC159</f>
        <v/>
      </c>
      <c r="AD160" s="262">
        <f>AD158+AD146+AD151+AD152+AD153+AD154+AD159</f>
        <v/>
      </c>
      <c r="AE160" s="262">
        <f>AE158+AE146+AE151+AE152+AE153+AE154+AE159</f>
        <v/>
      </c>
      <c r="AF160" s="262">
        <f>AF158+AF146+AF151+AF152+AF153+AF154+AF159</f>
        <v/>
      </c>
      <c r="AG160" s="262">
        <f>AG158+AG146+AG151+AG152+AG153+AG154+AG159</f>
        <v/>
      </c>
      <c r="AH160" s="262">
        <f>AH158+AH146+AH151+AH152+AH153+AH154+AH159</f>
        <v/>
      </c>
      <c r="AI160" s="262">
        <f>AI158+AI146+AI151+AI152+AI153+AI154+AI159</f>
        <v/>
      </c>
      <c r="AJ160" s="262">
        <f>AJ158+AJ146+AJ151+AJ152+AJ153+AJ154+AJ159</f>
        <v/>
      </c>
      <c r="AK160" s="262">
        <f>AK158+AK146+AK151+AK152+AK153+AK154+AK159</f>
        <v/>
      </c>
      <c r="AL160" s="262">
        <f>AL158+AL146+AL151+AL152+AL153+AL154+AL159</f>
        <v/>
      </c>
      <c r="AM160" s="262">
        <f>AM158+AM146+AM151+AM152+AM153+AM154+AM159</f>
        <v/>
      </c>
      <c r="AN160" s="262">
        <f>AN158+AN146+AN151+AN152+AN153+AN154+AN159</f>
        <v/>
      </c>
      <c r="AO160" s="262">
        <f>AO158+AO146+AO151+AO152+AO153+AO154+AO159</f>
        <v/>
      </c>
      <c r="AP160" s="262">
        <f>AP158+AP146+AP151+AP152+AP153+AP154+AP159</f>
        <v/>
      </c>
      <c r="AQ160" s="262">
        <f>AQ158+AQ146+AQ151+AQ152+AQ153+AQ154+AQ159</f>
        <v/>
      </c>
      <c r="AR160" s="262">
        <f>AR158+AR146+AR151+AR152+AR153+AR154+AR159</f>
        <v/>
      </c>
      <c r="AS160" s="262">
        <f>AS158+AS146+AS151+AS152+AS153+AS154+AS159</f>
        <v/>
      </c>
      <c r="AT160" s="262">
        <f>AT158+AT146+AT151+AT152+AT153+AT154+AT159</f>
        <v/>
      </c>
      <c r="AU160" s="262">
        <f>AU158+AU146+AU151+AU152+AU153+AU154+AU159</f>
        <v/>
      </c>
      <c r="AV160" s="262">
        <f>AV158+AV146+AV151+AV152+AV153+AV154+AV159</f>
        <v/>
      </c>
      <c r="AW160" s="262">
        <f>AW158+AW146+AW151+AW152+AW153+AW154+AW159</f>
        <v/>
      </c>
      <c r="AX160" s="262">
        <f>AX158+AX146+AX151+AX152+AX153+AX154+AX159</f>
        <v/>
      </c>
      <c r="AY160" s="262">
        <f>AY158+AY146+AY151+AY152+AY153+AY154+AY159</f>
        <v/>
      </c>
      <c r="AZ160" s="262">
        <f>AZ158+AZ146+AZ151+AZ152+AZ153+AZ154+AZ159</f>
        <v/>
      </c>
      <c r="BA160" s="262">
        <f>BA158+BA146+BA151+BA152+BA153+BA154+BA159</f>
        <v/>
      </c>
      <c r="BB160" s="262">
        <f>BB158+BB146+BB151+BB152+BB153+BB154+BB159</f>
        <v/>
      </c>
      <c r="BC160" s="262">
        <f>BC158+BC146+BC151+BC152+BC153+BC154+BC159</f>
        <v/>
      </c>
      <c r="BD160" s="262">
        <f>BD158+BD146+BD151+BD152+BD153+BD154+BD159</f>
        <v/>
      </c>
      <c r="BE160" s="262">
        <f>BE158+BE146+BE151+BE152+BE153+BE154+BE159</f>
        <v/>
      </c>
      <c r="BF160" s="262">
        <f>BF158+BF146+BF151+BF152+BF153+BF154+BF159</f>
        <v/>
      </c>
      <c r="BG160" s="262">
        <f>BG158+BG146+BG151+BG152+BG153+BG154+BG159</f>
        <v/>
      </c>
      <c r="BH160" s="262">
        <f>BH158+BH146+BH151+BH152+BH153+BH154+BH159</f>
        <v/>
      </c>
      <c r="BI160" s="262">
        <f>BI158+BI146+BI151+BI152+BI153+BI154+BI159</f>
        <v/>
      </c>
      <c r="BJ160" s="262">
        <f>BJ158+BJ146+BJ151+BJ152+BJ153+BJ154+BJ159</f>
        <v/>
      </c>
      <c r="BK160" s="262">
        <f>BK158+BK146+BK151+BK152+BK153+BK154+BK159</f>
        <v/>
      </c>
      <c r="BL160" s="262">
        <f>BL158+BL146+BL151+BL152+BL153+BL154+BL159</f>
        <v/>
      </c>
      <c r="BM160" s="262">
        <f>BM158+BM146+BM151+BM152+BM153+BM154+BM159</f>
        <v/>
      </c>
      <c r="BN160" s="262">
        <f>BN158+BN146+BN151+BN152+BN153+BN154+BN159</f>
        <v/>
      </c>
      <c r="BO160" s="262">
        <f>BO158+BO146+BO151+BO152+BO153+BO154+BO159</f>
        <v/>
      </c>
      <c r="BP160" s="262">
        <f>BP158+BP146+BP151+BP152+BP153+BP154+BP159</f>
        <v/>
      </c>
      <c r="BQ160" s="262">
        <f>BQ158+BQ146+BQ151+BQ152+BQ153+BQ154+BQ159</f>
        <v/>
      </c>
      <c r="BR160" s="262">
        <f>BR158+BR146+BR151+BR152+BR153+BR154+BR159</f>
        <v/>
      </c>
      <c r="BS160" s="262">
        <f>BS158+BS146+BS151+BS152+BS153+BS154+BS159</f>
        <v/>
      </c>
      <c r="BT160" s="262">
        <f>BT158+BT146+BT151+BT152+BT153+BT154+BT159</f>
        <v/>
      </c>
      <c r="BU160" s="262">
        <f>BU158+BU146+BU151+BU152+BU153+BU154+BU159</f>
        <v/>
      </c>
      <c r="BV160" s="262">
        <f>BV158+BV146+BV151+BV152+BV153+BV154+BV159</f>
        <v/>
      </c>
      <c r="BW160" s="262">
        <f>BW158+BW146+BW151+BW152+BW153+BW154+BW159</f>
        <v/>
      </c>
      <c r="BX160" s="262">
        <f>BX158+BX146+BX151+BX152+BX153+BX154+BX159</f>
        <v/>
      </c>
      <c r="BY160" s="262">
        <f>BY158+BY146+BY151+BY152+BY153+BY154+BY159</f>
        <v/>
      </c>
      <c r="BZ160" s="262">
        <f>BZ158+BZ146+BZ151+BZ152+BZ153+BZ154+BZ159</f>
        <v/>
      </c>
      <c r="CA160" s="262">
        <f>CA158+CA146+CA151+CA152+CA153+CA154+CA159</f>
        <v/>
      </c>
      <c r="CB160" s="262">
        <f>CB158+CB146+CB151+CB152+CB153+CB154+CB159</f>
        <v/>
      </c>
      <c r="CC160" s="262">
        <f>CC158+CC146+CC151+CC152+CC153+CC154+CC159</f>
        <v/>
      </c>
      <c r="CD160" s="262">
        <f>CD158+CD146+CD151+CD152+CD153+CD154+CD159</f>
        <v/>
      </c>
      <c r="CE160" s="262">
        <f>CE158+CE146+CE151+CE152+CE153+CE154+CE159</f>
        <v/>
      </c>
      <c r="CF160" s="262">
        <f>CF158+CF146+CF151+CF152+CF153+CF154+CF159</f>
        <v/>
      </c>
      <c r="CG160" s="262">
        <f>CG158+CG146+CG151+CG152+CG153+CG154+CG159</f>
        <v/>
      </c>
      <c r="CH160" s="262">
        <f>CH158+CH146+CH151+CH152+CH153+CH154+CH159</f>
        <v/>
      </c>
      <c r="CI160" s="226" t="n"/>
      <c r="CJ160" s="257" t="n"/>
      <c r="CK160" s="257" t="n"/>
    </row>
    <row r="161" ht="15" customHeight="1" s="202">
      <c r="A161" s="225" t="n"/>
      <c r="B161" s="225" t="n"/>
      <c r="C161" s="225" t="n"/>
      <c r="D161" s="225" t="n"/>
      <c r="E161" s="225" t="n"/>
      <c r="F161" s="225" t="n"/>
      <c r="G161" s="225" t="n"/>
      <c r="H161" s="225" t="n"/>
      <c r="I161" s="225" t="n"/>
      <c r="J161" s="225" t="n"/>
      <c r="K161" s="225" t="n"/>
      <c r="L161" s="225" t="n"/>
      <c r="M161" s="225" t="n"/>
      <c r="N161" s="225" t="n"/>
      <c r="O161" s="225" t="n"/>
      <c r="P161" s="225" t="n"/>
      <c r="Q161" s="225" t="n"/>
      <c r="R161" s="225" t="n"/>
      <c r="S161" s="225" t="n"/>
      <c r="T161" s="225" t="n"/>
      <c r="U161" s="225" t="n"/>
      <c r="V161" s="225" t="n"/>
      <c r="W161" s="225" t="n"/>
      <c r="X161" s="225" t="n"/>
      <c r="Y161" s="225" t="n"/>
      <c r="Z161" s="225" t="n"/>
      <c r="AA161" s="225" t="n"/>
      <c r="AB161" s="225" t="n"/>
      <c r="AC161" s="225" t="n"/>
      <c r="AD161" s="225" t="n"/>
      <c r="AE161" s="225" t="n"/>
      <c r="AF161" s="225" t="n"/>
      <c r="AG161" s="225" t="n"/>
      <c r="AH161" s="225" t="n"/>
      <c r="AI161" s="225" t="n"/>
      <c r="AJ161" s="225" t="n"/>
      <c r="AK161" s="225" t="n"/>
      <c r="AL161" s="225" t="n"/>
      <c r="AM161" s="225" t="n"/>
      <c r="AN161" s="225" t="n"/>
      <c r="AO161" s="225" t="n"/>
      <c r="AP161" s="225" t="n"/>
      <c r="AQ161" s="225" t="n"/>
      <c r="AR161" s="225" t="n"/>
      <c r="AS161" s="225" t="n"/>
      <c r="AT161" s="225" t="n"/>
      <c r="AU161" s="225" t="n"/>
      <c r="AV161" s="225" t="n"/>
      <c r="AW161" s="225" t="n"/>
      <c r="AX161" s="225" t="n"/>
      <c r="AY161" s="225" t="n"/>
      <c r="AZ161" s="225" t="n"/>
      <c r="BA161" s="225" t="n"/>
      <c r="BB161" s="225" t="n"/>
      <c r="BC161" s="225" t="n"/>
      <c r="BD161" s="225" t="n"/>
      <c r="BE161" s="225" t="n"/>
      <c r="BF161" s="225" t="n"/>
      <c r="BG161" s="225" t="n"/>
      <c r="BH161" s="225" t="n"/>
      <c r="BI161" s="225" t="n"/>
      <c r="BJ161" s="225" t="n"/>
      <c r="BK161" s="225" t="n"/>
      <c r="BL161" s="225" t="n"/>
      <c r="BM161" s="225" t="n"/>
      <c r="BN161" s="225" t="n"/>
      <c r="BO161" s="225" t="n"/>
      <c r="BP161" s="225" t="n"/>
      <c r="BQ161" s="225" t="n"/>
      <c r="BR161" s="225" t="n"/>
      <c r="BS161" s="225" t="n"/>
      <c r="BT161" s="225" t="n"/>
      <c r="BU161" s="225" t="n"/>
      <c r="BV161" s="225" t="n"/>
      <c r="BW161" s="225" t="n"/>
      <c r="BX161" s="225" t="n"/>
      <c r="BY161" s="225" t="n"/>
      <c r="BZ161" s="225" t="n"/>
      <c r="CA161" s="225" t="n"/>
      <c r="CB161" s="225" t="n"/>
      <c r="CC161" s="225" t="n"/>
      <c r="CD161" s="225" t="n"/>
      <c r="CE161" s="225" t="n"/>
      <c r="CF161" s="225" t="n"/>
      <c r="CG161" s="225" t="n"/>
      <c r="CH161" s="225" t="n"/>
      <c r="CI161" s="226" t="n"/>
      <c r="CJ161" s="257" t="n"/>
      <c r="CK161" s="257" t="n"/>
    </row>
    <row r="162" ht="15" customHeight="1" s="202">
      <c r="A162" s="263" t="inlineStr">
        <is>
          <t>Notes:</t>
        </is>
      </c>
      <c r="B162" s="225" t="n"/>
      <c r="C162" s="225" t="n"/>
      <c r="D162" s="225" t="n"/>
      <c r="E162" s="225" t="n"/>
      <c r="F162" s="225" t="n"/>
      <c r="G162" s="225" t="n"/>
      <c r="H162" s="225" t="n"/>
      <c r="I162" s="225" t="n"/>
      <c r="J162" s="225" t="n"/>
      <c r="K162" s="225" t="n"/>
      <c r="L162" s="225" t="n"/>
      <c r="M162" s="225" t="n"/>
      <c r="N162" s="225" t="n"/>
      <c r="O162" s="225" t="n"/>
      <c r="P162" s="225" t="n"/>
      <c r="Q162" s="225" t="n"/>
      <c r="R162" s="225" t="n"/>
      <c r="S162" s="225" t="n"/>
      <c r="T162" s="225" t="n"/>
      <c r="U162" s="225" t="n"/>
      <c r="V162" s="225" t="n"/>
      <c r="W162" s="225" t="n"/>
      <c r="X162" s="225" t="n"/>
      <c r="Y162" s="225" t="n"/>
      <c r="Z162" s="225" t="n"/>
      <c r="AA162" s="225" t="n"/>
      <c r="AB162" s="225" t="n"/>
      <c r="AC162" s="225" t="n"/>
      <c r="AD162" s="225" t="n"/>
      <c r="AE162" s="225" t="n"/>
      <c r="AF162" s="225" t="n"/>
      <c r="AG162" s="225" t="n"/>
      <c r="AH162" s="225" t="n"/>
      <c r="AI162" s="225" t="n"/>
      <c r="AJ162" s="225" t="n"/>
      <c r="AK162" s="225" t="n"/>
      <c r="AL162" s="225" t="n"/>
      <c r="AM162" s="225" t="n"/>
      <c r="AN162" s="225" t="n"/>
      <c r="AO162" s="225" t="n"/>
      <c r="AP162" s="225" t="n"/>
      <c r="AQ162" s="225" t="n"/>
      <c r="AR162" s="225" t="n"/>
      <c r="AS162" s="225" t="n"/>
      <c r="AT162" s="225" t="n"/>
      <c r="AU162" s="225" t="n"/>
      <c r="AV162" s="225" t="n"/>
      <c r="AW162" s="225" t="n"/>
      <c r="AX162" s="225" t="n"/>
      <c r="AY162" s="225" t="n"/>
      <c r="AZ162" s="225" t="n"/>
      <c r="BA162" s="225" t="n"/>
      <c r="BB162" s="225" t="n"/>
      <c r="BC162" s="225" t="n"/>
      <c r="BD162" s="225" t="n"/>
      <c r="BE162" s="225" t="n"/>
      <c r="BF162" s="225" t="n"/>
      <c r="BG162" s="225" t="n"/>
      <c r="BH162" s="225" t="n"/>
      <c r="BI162" s="225" t="n"/>
      <c r="BJ162" s="225" t="n"/>
      <c r="BK162" s="225" t="n"/>
      <c r="BL162" s="225" t="n"/>
      <c r="BM162" s="225" t="n"/>
      <c r="BN162" s="225" t="n"/>
      <c r="BO162" s="225" t="n"/>
      <c r="BP162" s="225" t="n"/>
      <c r="BQ162" s="225" t="n"/>
      <c r="BR162" s="225" t="n"/>
      <c r="BS162" s="225" t="n"/>
      <c r="BT162" s="225" t="n"/>
      <c r="BU162" s="225" t="n"/>
      <c r="BV162" s="225" t="n"/>
      <c r="BW162" s="225" t="n"/>
      <c r="BX162" s="225" t="n"/>
      <c r="BY162" s="225" t="n"/>
      <c r="BZ162" s="225" t="n"/>
      <c r="CA162" s="225" t="n"/>
      <c r="CB162" s="225" t="n"/>
      <c r="CC162" s="225" t="n"/>
      <c r="CD162" s="225" t="n"/>
      <c r="CE162" s="225" t="n"/>
      <c r="CF162" s="225" t="n"/>
      <c r="CG162" s="225" t="n"/>
      <c r="CH162" s="225" t="n"/>
      <c r="CI162" s="226" t="n"/>
      <c r="CJ162" s="257" t="n"/>
      <c r="CK162" s="257" t="n"/>
    </row>
    <row r="163" ht="15" customHeight="1" s="202">
      <c r="A163" s="264" t="inlineStr">
        <is>
          <t>Outstanding Steyn Fee Balances Owed (paid from future LIHTC revenue):</t>
        </is>
      </c>
      <c r="B163" s="225" t="n"/>
      <c r="C163" s="225" t="n"/>
      <c r="D163" s="225" t="n"/>
      <c r="E163" s="225" t="n"/>
      <c r="F163" s="225" t="n"/>
      <c r="G163" s="225" t="n"/>
      <c r="H163" s="225" t="n"/>
      <c r="I163" s="225" t="n"/>
      <c r="J163" s="225" t="n"/>
      <c r="K163" s="225" t="n"/>
      <c r="L163" s="225" t="n"/>
      <c r="M163" s="225" t="n"/>
      <c r="N163" s="225" t="n"/>
      <c r="O163" s="225" t="n"/>
      <c r="P163" s="225" t="n"/>
      <c r="Q163" s="225" t="n"/>
      <c r="R163" s="225" t="n"/>
      <c r="S163" s="225" t="n"/>
      <c r="T163" s="225" t="n"/>
      <c r="U163" s="225" t="n"/>
      <c r="V163" s="225" t="n"/>
      <c r="W163" s="225" t="n"/>
      <c r="X163" s="225" t="n"/>
      <c r="Y163" s="225" t="n"/>
      <c r="Z163" s="225" t="n"/>
      <c r="AA163" s="225" t="n"/>
      <c r="AB163" s="225" t="n"/>
      <c r="AC163" s="225" t="n"/>
      <c r="AD163" s="225" t="n"/>
      <c r="AE163" s="225" t="n"/>
      <c r="AF163" s="225" t="n"/>
      <c r="AG163" s="225" t="n"/>
      <c r="AH163" s="225" t="n"/>
      <c r="AI163" s="225" t="n"/>
      <c r="AJ163" s="225" t="n"/>
      <c r="AK163" s="225" t="n"/>
      <c r="AL163" s="225" t="n"/>
      <c r="AM163" s="225" t="n"/>
      <c r="AN163" s="225" t="n"/>
      <c r="AO163" s="225" t="n"/>
      <c r="AP163" s="225" t="n"/>
      <c r="AQ163" s="225" t="n"/>
      <c r="AR163" s="225" t="n"/>
      <c r="AS163" s="225" t="n"/>
      <c r="AT163" s="225" t="n"/>
      <c r="AU163" s="225" t="n"/>
      <c r="AV163" s="225" t="n"/>
      <c r="AW163" s="225" t="n"/>
      <c r="AX163" s="225" t="n"/>
      <c r="AY163" s="225" t="n"/>
      <c r="AZ163" s="225" t="n"/>
      <c r="BA163" s="225" t="n"/>
      <c r="BB163" s="225" t="n"/>
      <c r="BC163" s="225" t="n"/>
      <c r="BD163" s="225" t="n"/>
      <c r="BE163" s="225" t="n"/>
      <c r="BF163" s="225" t="n"/>
      <c r="BG163" s="225" t="n"/>
      <c r="BH163" s="225" t="n"/>
      <c r="BI163" s="225" t="n"/>
      <c r="BJ163" s="225" t="n"/>
      <c r="BK163" s="225" t="n"/>
      <c r="BL163" s="225" t="n"/>
      <c r="BM163" s="225" t="n"/>
      <c r="BN163" s="225" t="n"/>
      <c r="BO163" s="225" t="n"/>
      <c r="BP163" s="225" t="n"/>
      <c r="BQ163" s="225" t="n"/>
      <c r="BR163" s="225" t="n"/>
      <c r="BS163" s="225" t="n"/>
      <c r="BT163" s="225" t="n"/>
      <c r="BU163" s="225" t="n"/>
      <c r="BV163" s="225" t="n"/>
      <c r="BW163" s="225" t="n"/>
      <c r="BX163" s="225" t="n"/>
      <c r="BY163" s="225" t="n"/>
      <c r="BZ163" s="225" t="n"/>
      <c r="CA163" s="225" t="n"/>
      <c r="CB163" s="225" t="n"/>
      <c r="CC163" s="225" t="n"/>
      <c r="CD163" s="225" t="n"/>
      <c r="CE163" s="225" t="n"/>
      <c r="CF163" s="225" t="n"/>
      <c r="CG163" s="225" t="n"/>
      <c r="CH163" s="225" t="n"/>
      <c r="CI163" s="226" t="n"/>
      <c r="CJ163" s="257" t="n"/>
      <c r="CK163" s="257" t="n"/>
    </row>
    <row r="164" ht="15" customHeight="1" s="202">
      <c r="A164" s="265" t="inlineStr">
        <is>
          <t>3rd St: $563,546  (1% GMP + 3% liquidity requirement)</t>
        </is>
      </c>
      <c r="B164" s="225" t="n"/>
      <c r="C164" s="225" t="n"/>
      <c r="D164" s="225" t="n"/>
      <c r="E164" s="225" t="n"/>
      <c r="F164" s="225" t="n"/>
      <c r="G164" s="225" t="n"/>
      <c r="H164" s="225" t="n"/>
      <c r="I164" s="225" t="n"/>
      <c r="J164" s="225" t="n"/>
      <c r="K164" s="225" t="n"/>
      <c r="L164" s="225" t="n"/>
      <c r="M164" s="225" t="n"/>
      <c r="N164" s="225" t="n"/>
      <c r="O164" s="225" t="n"/>
      <c r="P164" s="225" t="n"/>
      <c r="Q164" s="225" t="n"/>
      <c r="R164" s="225" t="n"/>
      <c r="S164" s="225" t="n"/>
      <c r="T164" s="225" t="n"/>
      <c r="U164" s="225" t="n"/>
      <c r="V164" s="225" t="n"/>
      <c r="W164" s="225" t="n"/>
      <c r="X164" s="225" t="n"/>
      <c r="Y164" s="225" t="n"/>
      <c r="Z164" s="225" t="n"/>
      <c r="AA164" s="225" t="n"/>
      <c r="AB164" s="225" t="n"/>
      <c r="AC164" s="225" t="n"/>
      <c r="AD164" s="225" t="n"/>
      <c r="AE164" s="225" t="n"/>
      <c r="AF164" s="225" t="n"/>
      <c r="AG164" s="225" t="n"/>
      <c r="AH164" s="225" t="n"/>
      <c r="AI164" s="225" t="n"/>
      <c r="AJ164" s="225" t="n"/>
      <c r="AK164" s="225" t="n"/>
      <c r="AL164" s="225" t="n"/>
      <c r="AM164" s="225" t="n"/>
      <c r="AN164" s="225" t="n"/>
      <c r="AO164" s="225" t="n"/>
      <c r="AP164" s="225" t="n"/>
      <c r="AQ164" s="225" t="n"/>
      <c r="AR164" s="225" t="n"/>
      <c r="AS164" s="225" t="n"/>
      <c r="AT164" s="225" t="n"/>
      <c r="AU164" s="225" t="n"/>
      <c r="AV164" s="225" t="n"/>
      <c r="AW164" s="225" t="n"/>
      <c r="AX164" s="225" t="n"/>
      <c r="AY164" s="225" t="n"/>
      <c r="AZ164" s="225" t="n"/>
      <c r="BA164" s="225" t="n"/>
      <c r="BB164" s="225" t="n"/>
      <c r="BC164" s="225" t="n"/>
      <c r="BD164" s="225" t="n"/>
      <c r="BE164" s="225" t="n"/>
      <c r="BF164" s="225" t="n"/>
      <c r="BG164" s="225" t="n"/>
      <c r="BH164" s="225" t="n"/>
      <c r="BI164" s="225" t="n"/>
      <c r="BJ164" s="225" t="n"/>
      <c r="BK164" s="225" t="n"/>
      <c r="BL164" s="225" t="n"/>
      <c r="BM164" s="225" t="n"/>
      <c r="BN164" s="225" t="n"/>
      <c r="BO164" s="225" t="n"/>
      <c r="BP164" s="225" t="n"/>
      <c r="BQ164" s="225" t="n"/>
      <c r="BR164" s="225" t="n"/>
      <c r="BS164" s="225" t="n"/>
      <c r="BT164" s="225" t="n"/>
      <c r="BU164" s="225" t="n"/>
      <c r="BV164" s="225" t="n"/>
      <c r="BW164" s="225" t="n"/>
      <c r="BX164" s="225" t="n"/>
      <c r="BY164" s="225" t="n"/>
      <c r="BZ164" s="225" t="n"/>
      <c r="CA164" s="225" t="n"/>
      <c r="CB164" s="225" t="n"/>
      <c r="CC164" s="225" t="n"/>
      <c r="CD164" s="225" t="n"/>
      <c r="CE164" s="225" t="n"/>
      <c r="CF164" s="225" t="n"/>
      <c r="CG164" s="225" t="n"/>
      <c r="CH164" s="225" t="n"/>
      <c r="CI164" s="226" t="n"/>
      <c r="CJ164" s="257" t="n"/>
      <c r="CK164" s="257" t="n"/>
    </row>
    <row r="165" ht="15" customHeight="1" s="202">
      <c r="A165" s="265" t="inlineStr">
        <is>
          <t>Francis: $579,684 paid quarterly from LIHTC revenue starting Mo 42 (Sep 2029). No PIK capital invested.</t>
        </is>
      </c>
      <c r="B165" s="225" t="n"/>
      <c r="C165" s="225" t="n"/>
      <c r="D165" s="225" t="n"/>
      <c r="E165" s="225" t="n"/>
      <c r="F165" s="225" t="n"/>
      <c r="G165" s="225" t="n"/>
      <c r="H165" s="225" t="n"/>
      <c r="I165" s="225" t="n"/>
      <c r="J165" s="225" t="n"/>
      <c r="K165" s="225" t="n"/>
      <c r="L165" s="225" t="n"/>
      <c r="M165" s="225" t="n"/>
      <c r="N165" s="225" t="n"/>
      <c r="O165" s="225" t="n"/>
      <c r="P165" s="225" t="n"/>
      <c r="Q165" s="225" t="n"/>
      <c r="R165" s="225" t="n"/>
      <c r="S165" s="225" t="n"/>
      <c r="T165" s="225" t="n"/>
      <c r="U165" s="225" t="n"/>
      <c r="V165" s="225" t="n"/>
      <c r="W165" s="225" t="n"/>
      <c r="X165" s="225" t="n"/>
      <c r="Y165" s="225" t="n"/>
      <c r="Z165" s="225" t="n"/>
      <c r="AA165" s="225" t="n"/>
      <c r="AB165" s="225" t="n"/>
      <c r="AC165" s="225" t="n"/>
      <c r="AD165" s="225" t="n"/>
      <c r="AE165" s="225" t="n"/>
      <c r="AF165" s="225" t="n"/>
      <c r="AG165" s="225" t="n"/>
      <c r="AH165" s="225" t="n"/>
      <c r="AI165" s="225" t="n"/>
      <c r="AJ165" s="225" t="n"/>
      <c r="AK165" s="225" t="n"/>
      <c r="AL165" s="225" t="n"/>
      <c r="AM165" s="225" t="n"/>
      <c r="AN165" s="225" t="n"/>
      <c r="AO165" s="225" t="n"/>
      <c r="AP165" s="225" t="n"/>
      <c r="AQ165" s="225" t="n"/>
      <c r="AR165" s="225" t="n"/>
      <c r="AS165" s="225" t="n"/>
      <c r="AT165" s="225" t="n"/>
      <c r="AU165" s="225" t="n"/>
      <c r="AV165" s="225" t="n"/>
      <c r="AW165" s="225" t="n"/>
      <c r="AX165" s="225" t="n"/>
      <c r="AY165" s="225" t="n"/>
      <c r="AZ165" s="225" t="n"/>
      <c r="BA165" s="225" t="n"/>
      <c r="BB165" s="225" t="n"/>
      <c r="BC165" s="225" t="n"/>
      <c r="BD165" s="225" t="n"/>
      <c r="BE165" s="225" t="n"/>
      <c r="BF165" s="225" t="n"/>
      <c r="BG165" s="225" t="n"/>
      <c r="BH165" s="225" t="n"/>
      <c r="BI165" s="225" t="n"/>
      <c r="BJ165" s="225" t="n"/>
      <c r="BK165" s="225" t="n"/>
      <c r="BL165" s="225" t="n"/>
      <c r="BM165" s="225" t="n"/>
      <c r="BN165" s="225" t="n"/>
      <c r="BO165" s="225" t="n"/>
      <c r="BP165" s="225" t="n"/>
      <c r="BQ165" s="225" t="n"/>
      <c r="BR165" s="225" t="n"/>
      <c r="BS165" s="225" t="n"/>
      <c r="BT165" s="225" t="n"/>
      <c r="BU165" s="225" t="n"/>
      <c r="BV165" s="225" t="n"/>
      <c r="BW165" s="225" t="n"/>
      <c r="BX165" s="225" t="n"/>
      <c r="BY165" s="225" t="n"/>
      <c r="BZ165" s="225" t="n"/>
      <c r="CA165" s="225" t="n"/>
      <c r="CB165" s="225" t="n"/>
      <c r="CC165" s="225" t="n"/>
      <c r="CD165" s="225" t="n"/>
      <c r="CE165" s="225" t="n"/>
      <c r="CF165" s="225" t="n"/>
      <c r="CG165" s="225" t="n"/>
      <c r="CH165" s="225" t="n"/>
      <c r="CI165" s="226" t="n"/>
      <c r="CJ165" s="257" t="n"/>
      <c r="CK165" s="257" t="n"/>
    </row>
    <row r="166" ht="15" customHeight="1" s="202">
      <c r="A166" s="265" t="inlineStr">
        <is>
          <t>Reseda: $602,668 paid quarterly from LIHTC revenue starting Mo 45 (Dec 2029). Deal distributes $1,450,000 at project start (Mo 13).</t>
        </is>
      </c>
      <c r="B166" s="225" t="n"/>
      <c r="C166" s="225" t="n"/>
      <c r="D166" s="225" t="n"/>
      <c r="E166" s="225" t="n"/>
      <c r="F166" s="225" t="n"/>
      <c r="G166" s="225" t="n"/>
      <c r="H166" s="225" t="n"/>
      <c r="I166" s="225" t="n"/>
      <c r="J166" s="225" t="n"/>
      <c r="K166" s="225" t="n"/>
      <c r="L166" s="225" t="n"/>
      <c r="M166" s="225" t="n"/>
      <c r="N166" s="225" t="n"/>
      <c r="O166" s="225" t="n"/>
      <c r="P166" s="225" t="n"/>
      <c r="Q166" s="225" t="n"/>
      <c r="R166" s="225" t="n"/>
      <c r="S166" s="225" t="n"/>
      <c r="T166" s="225" t="n"/>
      <c r="U166" s="225" t="n"/>
      <c r="V166" s="225" t="n"/>
      <c r="W166" s="225" t="n"/>
      <c r="X166" s="225" t="n"/>
      <c r="Y166" s="225" t="n"/>
      <c r="Z166" s="225" t="n"/>
      <c r="AA166" s="225" t="n"/>
      <c r="AB166" s="225" t="n"/>
      <c r="AC166" s="225" t="n"/>
      <c r="AD166" s="225" t="n"/>
      <c r="AE166" s="225" t="n"/>
      <c r="AF166" s="225" t="n"/>
      <c r="AG166" s="225" t="n"/>
      <c r="AH166" s="225" t="n"/>
      <c r="AI166" s="225" t="n"/>
      <c r="AJ166" s="225" t="n"/>
      <c r="AK166" s="225" t="n"/>
      <c r="AL166" s="225" t="n"/>
      <c r="AM166" s="225" t="n"/>
      <c r="AN166" s="225" t="n"/>
      <c r="AO166" s="225" t="n"/>
      <c r="AP166" s="225" t="n"/>
      <c r="AQ166" s="225" t="n"/>
      <c r="AR166" s="225" t="n"/>
      <c r="AS166" s="225" t="n"/>
      <c r="AT166" s="225" t="n"/>
      <c r="AU166" s="225" t="n"/>
      <c r="AV166" s="225" t="n"/>
      <c r="AW166" s="225" t="n"/>
      <c r="AX166" s="225" t="n"/>
      <c r="AY166" s="225" t="n"/>
      <c r="AZ166" s="225" t="n"/>
      <c r="BA166" s="225" t="n"/>
      <c r="BB166" s="225" t="n"/>
      <c r="BC166" s="225" t="n"/>
      <c r="BD166" s="225" t="n"/>
      <c r="BE166" s="225" t="n"/>
      <c r="BF166" s="225" t="n"/>
      <c r="BG166" s="225" t="n"/>
      <c r="BH166" s="225" t="n"/>
      <c r="BI166" s="225" t="n"/>
      <c r="BJ166" s="225" t="n"/>
      <c r="BK166" s="225" t="n"/>
      <c r="BL166" s="225" t="n"/>
      <c r="BM166" s="225" t="n"/>
      <c r="BN166" s="225" t="n"/>
      <c r="BO166" s="225" t="n"/>
      <c r="BP166" s="225" t="n"/>
      <c r="BQ166" s="225" t="n"/>
      <c r="BR166" s="225" t="n"/>
      <c r="BS166" s="225" t="n"/>
      <c r="BT166" s="225" t="n"/>
      <c r="BU166" s="225" t="n"/>
      <c r="BV166" s="225" t="n"/>
      <c r="BW166" s="225" t="n"/>
      <c r="BX166" s="225" t="n"/>
      <c r="BY166" s="225" t="n"/>
      <c r="BZ166" s="225" t="n"/>
      <c r="CA166" s="225" t="n"/>
      <c r="CB166" s="225" t="n"/>
      <c r="CC166" s="225" t="n"/>
      <c r="CD166" s="225" t="n"/>
      <c r="CE166" s="225" t="n"/>
      <c r="CF166" s="225" t="n"/>
      <c r="CG166" s="225" t="n"/>
      <c r="CH166" s="225" t="n"/>
      <c r="CI166" s="226" t="n"/>
      <c r="CJ166" s="257" t="n"/>
      <c r="CK166" s="257" t="n"/>
    </row>
    <row r="167" ht="15" customHeight="1" s="202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  <c r="AA167" s="257" t="n"/>
      <c r="AB167" s="257" t="n"/>
      <c r="AC167" s="257" t="n"/>
      <c r="AD167" s="257" t="n"/>
      <c r="AE167" s="257" t="n"/>
      <c r="AF167" s="257" t="n"/>
      <c r="AG167" s="257" t="n"/>
      <c r="AH167" s="257" t="n"/>
      <c r="AI167" s="257" t="n"/>
      <c r="AJ167" s="257" t="n"/>
      <c r="AK167" s="257" t="n"/>
      <c r="AL167" s="257" t="n"/>
      <c r="AM167" s="257" t="n"/>
      <c r="AN167" s="257" t="n"/>
      <c r="AO167" s="257" t="n"/>
      <c r="AP167" s="257" t="n"/>
      <c r="AQ167" s="257" t="n"/>
      <c r="AR167" s="257" t="n"/>
      <c r="AS167" s="257" t="n"/>
      <c r="AT167" s="257" t="n"/>
      <c r="AU167" s="257" t="n"/>
      <c r="AV167" s="257" t="n"/>
      <c r="AW167" s="257" t="n"/>
      <c r="AX167" s="257" t="n"/>
      <c r="AY167" s="257" t="n"/>
      <c r="AZ167" s="257" t="n"/>
      <c r="BA167" s="257" t="n"/>
      <c r="BB167" s="257" t="n"/>
      <c r="BC167" s="257" t="n"/>
      <c r="BD167" s="257" t="n"/>
      <c r="BE167" s="257" t="n"/>
      <c r="BF167" s="257" t="n"/>
      <c r="BG167" s="257" t="n"/>
      <c r="BH167" s="257" t="n"/>
      <c r="BI167" s="257" t="n"/>
      <c r="BJ167" s="257" t="n"/>
      <c r="BK167" s="257" t="n"/>
      <c r="BL167" s="257" t="n"/>
      <c r="BM167" s="257" t="n"/>
      <c r="BN167" s="257" t="n"/>
      <c r="BO167" s="257" t="n"/>
      <c r="BP167" s="257" t="n"/>
      <c r="BQ167" s="257" t="n"/>
      <c r="BR167" s="257" t="n"/>
      <c r="BS167" s="257" t="n"/>
      <c r="BT167" s="257" t="n"/>
      <c r="BU167" s="257" t="n"/>
      <c r="BV167" s="257" t="n"/>
      <c r="BW167" s="257" t="n"/>
      <c r="BX167" s="257" t="n"/>
      <c r="BY167" s="257" t="n"/>
      <c r="BZ167" s="257" t="n"/>
      <c r="CA167" s="257" t="n"/>
      <c r="CB167" s="257" t="n"/>
      <c r="CC167" s="257" t="n"/>
      <c r="CD167" s="257" t="n"/>
      <c r="CE167" s="257" t="n"/>
      <c r="CF167" s="257" t="n"/>
      <c r="CG167" s="257" t="n"/>
      <c r="CH167" s="257" t="n"/>
      <c r="CI167" s="257" t="n"/>
      <c r="CJ167" s="257" t="n"/>
      <c r="CK167" s="257" t="n"/>
    </row>
    <row r="168" ht="15" customHeight="1" s="202">
      <c r="A168" s="265" t="n"/>
      <c r="B168" s="225" t="n"/>
      <c r="C168" s="225" t="n"/>
      <c r="D168" s="225" t="n"/>
      <c r="E168" s="225" t="n"/>
      <c r="F168" s="225" t="n"/>
      <c r="G168" s="225" t="n"/>
      <c r="H168" s="225" t="n"/>
      <c r="I168" s="225" t="n"/>
      <c r="J168" s="225" t="n"/>
      <c r="K168" s="225" t="n"/>
      <c r="L168" s="225" t="n"/>
      <c r="M168" s="225" t="n"/>
      <c r="N168" s="225" t="n"/>
      <c r="O168" s="225" t="n"/>
      <c r="P168" s="225" t="n"/>
      <c r="Q168" s="225" t="n"/>
      <c r="R168" s="225" t="n"/>
      <c r="S168" s="225" t="n"/>
      <c r="T168" s="225" t="n"/>
      <c r="U168" s="225" t="n"/>
      <c r="V168" s="225" t="n"/>
      <c r="W168" s="225" t="n"/>
      <c r="X168" s="225" t="n"/>
      <c r="Y168" s="225" t="n"/>
      <c r="Z168" s="225" t="n"/>
      <c r="AA168" s="225" t="n"/>
      <c r="AB168" s="225" t="n"/>
      <c r="AC168" s="225" t="n"/>
      <c r="AD168" s="225" t="n"/>
      <c r="AE168" s="225" t="n"/>
      <c r="AF168" s="225" t="n"/>
      <c r="AG168" s="225" t="n"/>
      <c r="AH168" s="225" t="n"/>
      <c r="AI168" s="225" t="n"/>
      <c r="AJ168" s="225" t="n"/>
      <c r="AK168" s="225" t="n"/>
      <c r="AL168" s="225" t="n"/>
      <c r="AM168" s="225" t="n"/>
      <c r="AN168" s="225" t="n"/>
      <c r="AO168" s="225" t="n"/>
      <c r="AP168" s="225" t="n"/>
      <c r="AQ168" s="225" t="n"/>
      <c r="AR168" s="225" t="n"/>
      <c r="AS168" s="225" t="n"/>
      <c r="AT168" s="225" t="n"/>
      <c r="AU168" s="225" t="n"/>
      <c r="AV168" s="225" t="n"/>
      <c r="AW168" s="225" t="n"/>
      <c r="AX168" s="225" t="n"/>
      <c r="AY168" s="225" t="n"/>
      <c r="AZ168" s="225" t="n"/>
      <c r="BA168" s="225" t="n"/>
      <c r="BB168" s="225" t="n"/>
      <c r="BC168" s="225" t="n"/>
      <c r="BD168" s="225" t="n"/>
      <c r="BE168" s="225" t="n"/>
      <c r="BF168" s="225" t="n"/>
      <c r="BG168" s="225" t="n"/>
      <c r="BH168" s="225" t="n"/>
      <c r="BI168" s="225" t="n"/>
      <c r="BJ168" s="225" t="n"/>
      <c r="BK168" s="225" t="n"/>
      <c r="BL168" s="225" t="n"/>
      <c r="BM168" s="225" t="n"/>
      <c r="BN168" s="225" t="n"/>
      <c r="BO168" s="225" t="n"/>
      <c r="BP168" s="225" t="n"/>
      <c r="BQ168" s="225" t="n"/>
      <c r="BR168" s="225" t="n"/>
      <c r="BS168" s="225" t="n"/>
      <c r="BT168" s="225" t="n"/>
      <c r="BU168" s="225" t="n"/>
      <c r="BV168" s="225" t="n"/>
      <c r="BW168" s="225" t="n"/>
      <c r="BX168" s="225" t="n"/>
      <c r="BY168" s="225" t="n"/>
      <c r="BZ168" s="225" t="n"/>
      <c r="CA168" s="225" t="n"/>
      <c r="CB168" s="225" t="n"/>
      <c r="CC168" s="225" t="n"/>
      <c r="CD168" s="225" t="n"/>
      <c r="CE168" s="225" t="n"/>
      <c r="CF168" s="225" t="n"/>
      <c r="CG168" s="225" t="n"/>
      <c r="CH168" s="225" t="n"/>
      <c r="CI168" s="226" t="n"/>
      <c r="CJ168" s="257" t="n"/>
      <c r="CK168" s="257" t="n"/>
    </row>
    <row r="169" ht="15" customHeight="1" s="202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  <c r="AA169" s="257" t="n"/>
      <c r="AB169" s="257" t="n"/>
      <c r="AC169" s="257" t="n"/>
      <c r="AD169" s="257" t="n"/>
      <c r="AE169" s="257" t="n"/>
      <c r="AF169" s="257" t="n"/>
      <c r="AG169" s="257" t="n"/>
      <c r="AH169" s="257" t="n"/>
      <c r="AI169" s="257" t="n"/>
      <c r="AJ169" s="257" t="n"/>
      <c r="AK169" s="257" t="n"/>
      <c r="AL169" s="257" t="n"/>
      <c r="AM169" s="257" t="n"/>
      <c r="AN169" s="257" t="n"/>
      <c r="AO169" s="257" t="n"/>
      <c r="AP169" s="257" t="n"/>
      <c r="AQ169" s="257" t="n"/>
      <c r="AR169" s="257" t="n"/>
      <c r="AS169" s="257" t="n"/>
      <c r="AT169" s="257" t="n"/>
      <c r="AU169" s="257" t="n"/>
      <c r="AV169" s="257" t="n"/>
      <c r="AW169" s="257" t="n"/>
      <c r="AX169" s="257" t="n"/>
      <c r="AY169" s="257" t="n"/>
      <c r="AZ169" s="257" t="n"/>
      <c r="BA169" s="257" t="n"/>
      <c r="BB169" s="257" t="n"/>
      <c r="BC169" s="257" t="n"/>
      <c r="BD169" s="257" t="n"/>
      <c r="BE169" s="257" t="n"/>
      <c r="BF169" s="257" t="n"/>
      <c r="BG169" s="257" t="n"/>
      <c r="BH169" s="257" t="n"/>
      <c r="BI169" s="257" t="n"/>
      <c r="BJ169" s="257" t="n"/>
      <c r="BK169" s="257" t="n"/>
      <c r="BL169" s="257" t="n"/>
      <c r="BM169" s="257" t="n"/>
      <c r="BN169" s="257" t="n"/>
      <c r="BO169" s="257" t="n"/>
      <c r="BP169" s="257" t="n"/>
      <c r="BQ169" s="257" t="n"/>
      <c r="BR169" s="257" t="n"/>
      <c r="BS169" s="257" t="n"/>
      <c r="BT169" s="257" t="n"/>
      <c r="BU169" s="257" t="n"/>
      <c r="BV169" s="257" t="n"/>
      <c r="BW169" s="257" t="n"/>
      <c r="BX169" s="257" t="n"/>
      <c r="BY169" s="257" t="n"/>
      <c r="BZ169" s="257" t="n"/>
      <c r="CA169" s="257" t="n"/>
      <c r="CB169" s="257" t="n"/>
      <c r="CC169" s="257" t="n"/>
      <c r="CD169" s="257" t="n"/>
      <c r="CE169" s="257" t="n"/>
      <c r="CF169" s="257" t="n"/>
      <c r="CG169" s="257" t="n"/>
      <c r="CH169" s="257" t="n"/>
      <c r="CI169" s="257" t="n"/>
      <c r="CJ169" s="257" t="n"/>
      <c r="CK169" s="257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4581A"/>
    <outlinePr summaryBelow="1" summaryRight="1"/>
    <pageSetUpPr fitToPage="0"/>
  </sheetPr>
  <dimension ref="A1:AC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baseColWidth="8" defaultColWidth="8.71484375" defaultRowHeight="15" customHeight="1" zeroHeight="0" outlineLevelRow="0"/>
  <cols>
    <col width="30" customWidth="1" style="201" min="1" max="1"/>
    <col width="13" customWidth="1" style="201" min="2" max="4"/>
    <col width="16" customWidth="1" style="201" min="5" max="5"/>
    <col width="13" customWidth="1" style="201" min="6" max="9"/>
    <col width="16" customWidth="1" style="201" min="10" max="10"/>
    <col width="13" customWidth="1" style="201" min="11" max="14"/>
    <col width="16" customWidth="1" style="201" min="15" max="15"/>
    <col width="13" customWidth="1" style="201" min="16" max="19"/>
    <col width="16" customWidth="1" style="201" min="20" max="20"/>
    <col width="13" customWidth="1" style="201" min="21" max="24"/>
    <col width="16" customWidth="1" style="201" min="25" max="25"/>
    <col width="13" customWidth="1" style="201" min="26" max="29"/>
    <col width="16" customWidth="1" style="201" min="30" max="30"/>
    <col width="13" customWidth="1" style="201" min="31" max="34"/>
    <col width="16" customWidth="1" style="201" min="35" max="35"/>
    <col width="13" customWidth="1" style="201" min="36" max="36"/>
    <col width="16" customWidth="1" style="201" min="37" max="37"/>
  </cols>
  <sheetData>
    <row r="1" ht="17.25" customHeight="1" s="202">
      <c r="A1" s="203" t="inlineStr">
        <is>
          <t>Six Peak Capital - QTR Summary</t>
        </is>
      </c>
      <c r="F1" s="204" t="n"/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</row>
    <row r="2" ht="15" customHeight="1" s="202">
      <c r="A2" s="205" t="n"/>
      <c r="B2" s="206" t="inlineStr">
        <is>
          <t>Q2 2026</t>
        </is>
      </c>
      <c r="C2" s="206" t="inlineStr">
        <is>
          <t>Q3 2026</t>
        </is>
      </c>
      <c r="D2" s="206" t="inlineStr">
        <is>
          <t>Q4 2026</t>
        </is>
      </c>
      <c r="E2" s="206" t="inlineStr">
        <is>
          <t>Q1 2027</t>
        </is>
      </c>
      <c r="F2" s="206" t="inlineStr">
        <is>
          <t>Q2 2027</t>
        </is>
      </c>
      <c r="G2" s="206" t="inlineStr">
        <is>
          <t>Q3 2027</t>
        </is>
      </c>
      <c r="H2" s="206" t="inlineStr">
        <is>
          <t>Q4 2027</t>
        </is>
      </c>
      <c r="I2" s="206" t="inlineStr">
        <is>
          <t>Q1 2028</t>
        </is>
      </c>
      <c r="J2" s="206" t="inlineStr">
        <is>
          <t>Q2 2028</t>
        </is>
      </c>
      <c r="K2" s="206" t="inlineStr">
        <is>
          <t>Q3 2028</t>
        </is>
      </c>
      <c r="L2" s="206" t="inlineStr">
        <is>
          <t>Q4 2028</t>
        </is>
      </c>
      <c r="M2" s="206" t="inlineStr">
        <is>
          <t>Q1 2029</t>
        </is>
      </c>
      <c r="N2" s="206" t="inlineStr">
        <is>
          <t>Q2 2029</t>
        </is>
      </c>
      <c r="O2" s="206" t="inlineStr">
        <is>
          <t>Q3 2029</t>
        </is>
      </c>
      <c r="P2" s="206" t="inlineStr">
        <is>
          <t>Q4 2029</t>
        </is>
      </c>
      <c r="Q2" s="206" t="inlineStr">
        <is>
          <t>Q1 2030</t>
        </is>
      </c>
      <c r="R2" s="206" t="inlineStr">
        <is>
          <t>Q2 2030</t>
        </is>
      </c>
      <c r="S2" s="206" t="inlineStr">
        <is>
          <t>Q3 2030</t>
        </is>
      </c>
      <c r="T2" s="206" t="inlineStr">
        <is>
          <t>Q4 2030</t>
        </is>
      </c>
      <c r="U2" s="206" t="inlineStr">
        <is>
          <t>Q1 2031</t>
        </is>
      </c>
      <c r="V2" s="206" t="inlineStr">
        <is>
          <t>Q2 2031</t>
        </is>
      </c>
      <c r="W2" s="206" t="inlineStr">
        <is>
          <t>Q3 2031</t>
        </is>
      </c>
      <c r="X2" s="206" t="inlineStr">
        <is>
          <t>Q4 2031</t>
        </is>
      </c>
      <c r="Y2" s="206" t="inlineStr">
        <is>
          <t>Q1 2032</t>
        </is>
      </c>
      <c r="Z2" s="206" t="inlineStr">
        <is>
          <t>Q2 2032</t>
        </is>
      </c>
      <c r="AA2" s="206" t="inlineStr">
        <is>
          <t>Q3 2032</t>
        </is>
      </c>
      <c r="AB2" s="206" t="inlineStr">
        <is>
          <t>Q4 2032</t>
        </is>
      </c>
      <c r="AC2" s="206" t="inlineStr">
        <is>
          <t>Q1 2033</t>
        </is>
      </c>
    </row>
    <row r="3" ht="15" customHeight="1" s="202">
      <c r="A3" s="207" t="inlineStr">
        <is>
          <t>Construction Billing</t>
        </is>
      </c>
      <c r="B3" s="266">
        <f>Model!C7+Model!D7+Model!E7</f>
        <v/>
      </c>
      <c r="C3" s="266">
        <f>Model!F7+Model!G7+Model!H7</f>
        <v/>
      </c>
      <c r="D3" s="266">
        <f>Model!I7+Model!J7+Model!K7</f>
        <v/>
      </c>
      <c r="E3" s="266">
        <f>Model!L7+Model!M7+Model!N7</f>
        <v/>
      </c>
      <c r="F3" s="266">
        <f>Model!O7+Model!P7+Model!Q7</f>
        <v/>
      </c>
      <c r="G3" s="266">
        <f>Model!R7+Model!S7+Model!T7</f>
        <v/>
      </c>
      <c r="H3" s="266">
        <f>Model!U7+Model!V7+Model!W7</f>
        <v/>
      </c>
      <c r="I3" s="266">
        <f>Model!X7+Model!Y7+Model!Z7</f>
        <v/>
      </c>
      <c r="J3" s="266">
        <f>Model!AA7+Model!AB7+Model!AC7</f>
        <v/>
      </c>
      <c r="K3" s="266">
        <f>Model!AD7+Model!AE7+Model!AF7</f>
        <v/>
      </c>
      <c r="L3" s="266">
        <f>Model!AG7+Model!AH7+Model!AI7</f>
        <v/>
      </c>
      <c r="M3" s="266">
        <f>Model!AJ7+Model!AK7+Model!AL7</f>
        <v/>
      </c>
      <c r="N3" s="266">
        <f>Model!AM7+Model!AN7+Model!AO7</f>
        <v/>
      </c>
      <c r="O3" s="266">
        <f>Model!AP7+Model!AQ7+Model!AR7</f>
        <v/>
      </c>
      <c r="P3" s="266">
        <f>Model!AS7+Model!AT7+Model!AU7</f>
        <v/>
      </c>
      <c r="Q3" s="266">
        <f>Model!AV7+Model!AW7+Model!AX7</f>
        <v/>
      </c>
      <c r="R3" s="266">
        <f>Model!AY7+Model!AZ7+Model!BA7</f>
        <v/>
      </c>
      <c r="S3" s="266">
        <f>Model!BB7+Model!BC7+Model!BD7</f>
        <v/>
      </c>
      <c r="T3" s="266">
        <f>Model!BE7+Model!BF7+Model!BG7</f>
        <v/>
      </c>
      <c r="U3" s="266">
        <f>Model!BH7+Model!BI7+Model!BJ7</f>
        <v/>
      </c>
      <c r="V3" s="266">
        <f>Model!BK7+Model!BL7+Model!BM7</f>
        <v/>
      </c>
      <c r="W3" s="266">
        <f>Model!BN7+Model!BO7+Model!BP7</f>
        <v/>
      </c>
      <c r="X3" s="266">
        <f>Model!BQ7+Model!BR7+Model!BS7</f>
        <v/>
      </c>
      <c r="Y3" s="266">
        <f>Model!BT7+Model!BU7+Model!BV7</f>
        <v/>
      </c>
      <c r="Z3" s="266">
        <f>Model!BW7+Model!BX7+Model!BY7</f>
        <v/>
      </c>
      <c r="AA3" s="266">
        <f>Model!BZ7+Model!CA7+Model!CB7</f>
        <v/>
      </c>
      <c r="AB3" s="266">
        <f>Model!CC7+Model!CD7+Model!CE7</f>
        <v/>
      </c>
      <c r="AC3" s="266">
        <f>Model!CF7+Model!CG7+Model!CH7</f>
        <v/>
      </c>
    </row>
    <row r="4" ht="15" customHeight="1" s="202">
      <c r="A4" s="209" t="inlineStr">
        <is>
          <t>GC Revenue</t>
        </is>
      </c>
      <c r="B4" s="209" t="n"/>
      <c r="C4" s="209" t="n"/>
      <c r="D4" s="209" t="n"/>
      <c r="E4" s="209" t="n"/>
      <c r="F4" s="209" t="n"/>
      <c r="G4" s="209" t="n"/>
      <c r="H4" s="209" t="n"/>
      <c r="I4" s="209" t="n"/>
      <c r="J4" s="209" t="n"/>
      <c r="K4" s="209" t="n"/>
      <c r="L4" s="209" t="n"/>
      <c r="M4" s="209" t="n"/>
      <c r="N4" s="209" t="n"/>
      <c r="O4" s="209" t="n"/>
      <c r="P4" s="209" t="n"/>
      <c r="Q4" s="209" t="n"/>
      <c r="R4" s="209" t="n"/>
      <c r="S4" s="209" t="n"/>
      <c r="T4" s="209" t="n"/>
      <c r="U4" s="209" t="n"/>
      <c r="V4" s="209" t="n"/>
      <c r="W4" s="209" t="n"/>
      <c r="X4" s="209" t="n"/>
      <c r="Y4" s="209" t="n"/>
      <c r="Z4" s="209" t="n"/>
      <c r="AA4" s="209" t="n"/>
      <c r="AB4" s="209" t="n"/>
      <c r="AC4" s="209" t="n"/>
    </row>
    <row r="5" ht="15" customHeight="1" s="202">
      <c r="A5" s="210" t="inlineStr">
        <is>
          <t xml:space="preserve">  Project Supervision</t>
        </is>
      </c>
      <c r="B5" s="211">
        <f>Model!C8+Model!D8+Model!E8</f>
        <v/>
      </c>
      <c r="C5" s="211">
        <f>Model!F8+Model!G8+Model!H8</f>
        <v/>
      </c>
      <c r="D5" s="211">
        <f>Model!I8+Model!J8+Model!K8</f>
        <v/>
      </c>
      <c r="E5" s="211">
        <f>Model!L8+Model!M8+Model!N8</f>
        <v/>
      </c>
      <c r="F5" s="211">
        <f>Model!O8+Model!P8+Model!Q8</f>
        <v/>
      </c>
      <c r="G5" s="211">
        <f>Model!R8+Model!S8+Model!T8</f>
        <v/>
      </c>
      <c r="H5" s="211">
        <f>Model!U8+Model!V8+Model!W8</f>
        <v/>
      </c>
      <c r="I5" s="211">
        <f>Model!X8+Model!Y8+Model!Z8</f>
        <v/>
      </c>
      <c r="J5" s="211">
        <f>Model!AA8+Model!AB8+Model!AC8</f>
        <v/>
      </c>
      <c r="K5" s="211">
        <f>Model!AD8+Model!AE8+Model!AF8</f>
        <v/>
      </c>
      <c r="L5" s="211">
        <f>Model!AG8+Model!AH8+Model!AI8</f>
        <v/>
      </c>
      <c r="M5" s="211">
        <f>Model!AJ8+Model!AK8+Model!AL8</f>
        <v/>
      </c>
      <c r="N5" s="211">
        <f>Model!AM8+Model!AN8+Model!AO8</f>
        <v/>
      </c>
      <c r="O5" s="211">
        <f>Model!AP8+Model!AQ8+Model!AR8</f>
        <v/>
      </c>
      <c r="P5" s="211">
        <f>Model!AS8+Model!AT8+Model!AU8</f>
        <v/>
      </c>
      <c r="Q5" s="211">
        <f>Model!AV8+Model!AW8+Model!AX8</f>
        <v/>
      </c>
      <c r="R5" s="211">
        <f>Model!AY8+Model!AZ8+Model!BA8</f>
        <v/>
      </c>
      <c r="S5" s="211">
        <f>Model!BB8+Model!BC8+Model!BD8</f>
        <v/>
      </c>
      <c r="T5" s="211">
        <f>Model!BE8+Model!BF8+Model!BG8</f>
        <v/>
      </c>
      <c r="U5" s="211">
        <f>Model!BH8+Model!BI8+Model!BJ8</f>
        <v/>
      </c>
      <c r="V5" s="211">
        <f>Model!BK8+Model!BL8+Model!BM8</f>
        <v/>
      </c>
      <c r="W5" s="211">
        <f>Model!BN8+Model!BO8+Model!BP8</f>
        <v/>
      </c>
      <c r="X5" s="211">
        <f>Model!BQ8+Model!BR8+Model!BS8</f>
        <v/>
      </c>
      <c r="Y5" s="211">
        <f>Model!BT8+Model!BU8+Model!BV8</f>
        <v/>
      </c>
      <c r="Z5" s="211">
        <f>Model!BW8+Model!BX8+Model!BY8</f>
        <v/>
      </c>
      <c r="AA5" s="211">
        <f>Model!BZ8+Model!CA8+Model!CB8</f>
        <v/>
      </c>
      <c r="AB5" s="211">
        <f>Model!CC8+Model!CD8+Model!CE8</f>
        <v/>
      </c>
      <c r="AC5" s="211">
        <f>Model!CF8+Model!CG8+Model!CH8</f>
        <v/>
      </c>
    </row>
    <row r="6" ht="15" customHeight="1" s="202">
      <c r="A6" s="210" t="inlineStr">
        <is>
          <t xml:space="preserve">  GC-CM Fee</t>
        </is>
      </c>
      <c r="B6" s="211">
        <f>Model!C9+Model!D9+Model!E9</f>
        <v/>
      </c>
      <c r="C6" s="211">
        <f>Model!F9+Model!G9+Model!H9</f>
        <v/>
      </c>
      <c r="D6" s="211">
        <f>Model!I9+Model!J9+Model!K9</f>
        <v/>
      </c>
      <c r="E6" s="211">
        <f>Model!L9+Model!M9+Model!N9</f>
        <v/>
      </c>
      <c r="F6" s="211">
        <f>Model!O9+Model!P9+Model!Q9</f>
        <v/>
      </c>
      <c r="G6" s="211">
        <f>Model!R9+Model!S9+Model!T9</f>
        <v/>
      </c>
      <c r="H6" s="211">
        <f>Model!U9+Model!V9+Model!W9</f>
        <v/>
      </c>
      <c r="I6" s="211">
        <f>Model!X9+Model!Y9+Model!Z9</f>
        <v/>
      </c>
      <c r="J6" s="211">
        <f>Model!AA9+Model!AB9+Model!AC9</f>
        <v/>
      </c>
      <c r="K6" s="211">
        <f>Model!AD9+Model!AE9+Model!AF9</f>
        <v/>
      </c>
      <c r="L6" s="211">
        <f>Model!AG9+Model!AH9+Model!AI9</f>
        <v/>
      </c>
      <c r="M6" s="211">
        <f>Model!AJ9+Model!AK9+Model!AL9</f>
        <v/>
      </c>
      <c r="N6" s="211">
        <f>Model!AM9+Model!AN9+Model!AO9</f>
        <v/>
      </c>
      <c r="O6" s="211">
        <f>Model!AP9+Model!AQ9+Model!AR9</f>
        <v/>
      </c>
      <c r="P6" s="211">
        <f>Model!AS9+Model!AT9+Model!AU9</f>
        <v/>
      </c>
      <c r="Q6" s="211">
        <f>Model!AV9+Model!AW9+Model!AX9</f>
        <v/>
      </c>
      <c r="R6" s="211">
        <f>Model!AY9+Model!AZ9+Model!BA9</f>
        <v/>
      </c>
      <c r="S6" s="211">
        <f>Model!BB9+Model!BC9+Model!BD9</f>
        <v/>
      </c>
      <c r="T6" s="211">
        <f>Model!BE9+Model!BF9+Model!BG9</f>
        <v/>
      </c>
      <c r="U6" s="211">
        <f>Model!BH9+Model!BI9+Model!BJ9</f>
        <v/>
      </c>
      <c r="V6" s="211">
        <f>Model!BK9+Model!BL9+Model!BM9</f>
        <v/>
      </c>
      <c r="W6" s="211">
        <f>Model!BN9+Model!BO9+Model!BP9</f>
        <v/>
      </c>
      <c r="X6" s="211">
        <f>Model!BQ9+Model!BR9+Model!BS9</f>
        <v/>
      </c>
      <c r="Y6" s="211">
        <f>Model!BT9+Model!BU9+Model!BV9</f>
        <v/>
      </c>
      <c r="Z6" s="211">
        <f>Model!BW9+Model!BX9+Model!BY9</f>
        <v/>
      </c>
      <c r="AA6" s="211">
        <f>Model!BZ9+Model!CA9+Model!CB9</f>
        <v/>
      </c>
      <c r="AB6" s="211">
        <f>Model!CC9+Model!CD9+Model!CE9</f>
        <v/>
      </c>
      <c r="AC6" s="211">
        <f>Model!CF9+Model!CG9+Model!CH9</f>
        <v/>
      </c>
    </row>
    <row r="7" ht="15" customHeight="1" s="202">
      <c r="A7" s="210" t="inlineStr">
        <is>
          <t xml:space="preserve">  Project Administration</t>
        </is>
      </c>
      <c r="B7" s="211">
        <f>Model!C10+Model!D10+Model!E10</f>
        <v/>
      </c>
      <c r="C7" s="211">
        <f>Model!F10+Model!G10+Model!H10</f>
        <v/>
      </c>
      <c r="D7" s="211">
        <f>Model!I10+Model!J10+Model!K10</f>
        <v/>
      </c>
      <c r="E7" s="211">
        <f>Model!L10+Model!M10+Model!N10</f>
        <v/>
      </c>
      <c r="F7" s="211">
        <f>Model!O10+Model!P10+Model!Q10</f>
        <v/>
      </c>
      <c r="G7" s="211">
        <f>Model!R10+Model!S10+Model!T10</f>
        <v/>
      </c>
      <c r="H7" s="211">
        <f>Model!U10+Model!V10+Model!W10</f>
        <v/>
      </c>
      <c r="I7" s="211">
        <f>Model!X10+Model!Y10+Model!Z10</f>
        <v/>
      </c>
      <c r="J7" s="211">
        <f>Model!AA10+Model!AB10+Model!AC10</f>
        <v/>
      </c>
      <c r="K7" s="211">
        <f>Model!AD10+Model!AE10+Model!AF10</f>
        <v/>
      </c>
      <c r="L7" s="211">
        <f>Model!AG10+Model!AH10+Model!AI10</f>
        <v/>
      </c>
      <c r="M7" s="211">
        <f>Model!AJ10+Model!AK10+Model!AL10</f>
        <v/>
      </c>
      <c r="N7" s="211">
        <f>Model!AM10+Model!AN10+Model!AO10</f>
        <v/>
      </c>
      <c r="O7" s="211">
        <f>Model!AP10+Model!AQ10+Model!AR10</f>
        <v/>
      </c>
      <c r="P7" s="211">
        <f>Model!AS10+Model!AT10+Model!AU10</f>
        <v/>
      </c>
      <c r="Q7" s="211">
        <f>Model!AV10+Model!AW10+Model!AX10</f>
        <v/>
      </c>
      <c r="R7" s="211">
        <f>Model!AY10+Model!AZ10+Model!BA10</f>
        <v/>
      </c>
      <c r="S7" s="211">
        <f>Model!BB10+Model!BC10+Model!BD10</f>
        <v/>
      </c>
      <c r="T7" s="211">
        <f>Model!BE10+Model!BF10+Model!BG10</f>
        <v/>
      </c>
      <c r="U7" s="211">
        <f>Model!BH10+Model!BI10+Model!BJ10</f>
        <v/>
      </c>
      <c r="V7" s="211">
        <f>Model!BK10+Model!BL10+Model!BM10</f>
        <v/>
      </c>
      <c r="W7" s="211">
        <f>Model!BN10+Model!BO10+Model!BP10</f>
        <v/>
      </c>
      <c r="X7" s="211">
        <f>Model!BQ10+Model!BR10+Model!BS10</f>
        <v/>
      </c>
      <c r="Y7" s="211">
        <f>Model!BT10+Model!BU10+Model!BV10</f>
        <v/>
      </c>
      <c r="Z7" s="211">
        <f>Model!BW10+Model!BX10+Model!BY10</f>
        <v/>
      </c>
      <c r="AA7" s="211">
        <f>Model!BZ10+Model!CA10+Model!CB10</f>
        <v/>
      </c>
      <c r="AB7" s="211">
        <f>Model!CC10+Model!CD10+Model!CE10</f>
        <v/>
      </c>
      <c r="AC7" s="211">
        <f>Model!CF10+Model!CG10+Model!CH10</f>
        <v/>
      </c>
    </row>
    <row r="8" ht="15" customHeight="1" s="202">
      <c r="A8" s="210" t="inlineStr">
        <is>
          <t xml:space="preserve">  Bonding Revenue</t>
        </is>
      </c>
      <c r="B8" s="211">
        <f>Model!C11+Model!D11+Model!E11</f>
        <v/>
      </c>
      <c r="C8" s="211">
        <f>Model!F11+Model!G11+Model!H11</f>
        <v/>
      </c>
      <c r="D8" s="211">
        <f>Model!I11+Model!J11+Model!K11</f>
        <v/>
      </c>
      <c r="E8" s="211">
        <f>Model!L11+Model!M11+Model!N11</f>
        <v/>
      </c>
      <c r="F8" s="211">
        <f>Model!O11+Model!P11+Model!Q11</f>
        <v/>
      </c>
      <c r="G8" s="211">
        <f>Model!R11+Model!S11+Model!T11</f>
        <v/>
      </c>
      <c r="H8" s="211">
        <f>Model!U11+Model!V11+Model!W11</f>
        <v/>
      </c>
      <c r="I8" s="211">
        <f>Model!X11+Model!Y11+Model!Z11</f>
        <v/>
      </c>
      <c r="J8" s="211">
        <f>Model!AA11+Model!AB11+Model!AC11</f>
        <v/>
      </c>
      <c r="K8" s="211">
        <f>Model!AD11+Model!AE11+Model!AF11</f>
        <v/>
      </c>
      <c r="L8" s="211">
        <f>Model!AG11+Model!AH11+Model!AI11</f>
        <v/>
      </c>
      <c r="M8" s="211">
        <f>Model!AJ11+Model!AK11+Model!AL11</f>
        <v/>
      </c>
      <c r="N8" s="211">
        <f>Model!AM11+Model!AN11+Model!AO11</f>
        <v/>
      </c>
      <c r="O8" s="211">
        <f>Model!AP11+Model!AQ11+Model!AR11</f>
        <v/>
      </c>
      <c r="P8" s="211">
        <f>Model!AS11+Model!AT11+Model!AU11</f>
        <v/>
      </c>
      <c r="Q8" s="211">
        <f>Model!AV11+Model!AW11+Model!AX11</f>
        <v/>
      </c>
      <c r="R8" s="211">
        <f>Model!AY11+Model!AZ11+Model!BA11</f>
        <v/>
      </c>
      <c r="S8" s="211">
        <f>Model!BB11+Model!BC11+Model!BD11</f>
        <v/>
      </c>
      <c r="T8" s="211">
        <f>Model!BE11+Model!BF11+Model!BG11</f>
        <v/>
      </c>
      <c r="U8" s="211">
        <f>Model!BH11+Model!BI11+Model!BJ11</f>
        <v/>
      </c>
      <c r="V8" s="211">
        <f>Model!BK11+Model!BL11+Model!BM11</f>
        <v/>
      </c>
      <c r="W8" s="211">
        <f>Model!BN11+Model!BO11+Model!BP11</f>
        <v/>
      </c>
      <c r="X8" s="211">
        <f>Model!BQ11+Model!BR11+Model!BS11</f>
        <v/>
      </c>
      <c r="Y8" s="211">
        <f>Model!BT11+Model!BU11+Model!BV11</f>
        <v/>
      </c>
      <c r="Z8" s="211">
        <f>Model!BW11+Model!BX11+Model!BY11</f>
        <v/>
      </c>
      <c r="AA8" s="211">
        <f>Model!BZ11+Model!CA11+Model!CB11</f>
        <v/>
      </c>
      <c r="AB8" s="211">
        <f>Model!CC11+Model!CD11+Model!CE11</f>
        <v/>
      </c>
      <c r="AC8" s="211">
        <f>Model!CF11+Model!CG11+Model!CH11</f>
        <v/>
      </c>
    </row>
    <row r="9" ht="15" customHeight="1" s="202">
      <c r="A9" s="212" t="inlineStr">
        <is>
          <t>Total GC Revenue</t>
        </is>
      </c>
      <c r="B9" s="213">
        <f>Model!C12+Model!D12+Model!E12</f>
        <v/>
      </c>
      <c r="C9" s="213">
        <f>Model!F12+Model!G12+Model!H12</f>
        <v/>
      </c>
      <c r="D9" s="213">
        <f>Model!I12+Model!J12+Model!K12</f>
        <v/>
      </c>
      <c r="E9" s="213">
        <f>Model!L12+Model!M12+Model!N12</f>
        <v/>
      </c>
      <c r="F9" s="213">
        <f>Model!O12+Model!P12+Model!Q12</f>
        <v/>
      </c>
      <c r="G9" s="213">
        <f>Model!R12+Model!S12+Model!T12</f>
        <v/>
      </c>
      <c r="H9" s="213">
        <f>Model!U12+Model!V12+Model!W12</f>
        <v/>
      </c>
      <c r="I9" s="213">
        <f>Model!X12+Model!Y12+Model!Z12</f>
        <v/>
      </c>
      <c r="J9" s="213">
        <f>Model!AA12+Model!AB12+Model!AC12</f>
        <v/>
      </c>
      <c r="K9" s="213">
        <f>Model!AD12+Model!AE12+Model!AF12</f>
        <v/>
      </c>
      <c r="L9" s="213">
        <f>Model!AG12+Model!AH12+Model!AI12</f>
        <v/>
      </c>
      <c r="M9" s="213">
        <f>Model!AJ12+Model!AK12+Model!AL12</f>
        <v/>
      </c>
      <c r="N9" s="213">
        <f>Model!AM12+Model!AN12+Model!AO12</f>
        <v/>
      </c>
      <c r="O9" s="213">
        <f>Model!AP12+Model!AQ12+Model!AR12</f>
        <v/>
      </c>
      <c r="P9" s="213">
        <f>Model!AS12+Model!AT12+Model!AU12</f>
        <v/>
      </c>
      <c r="Q9" s="213">
        <f>Model!AV12+Model!AW12+Model!AX12</f>
        <v/>
      </c>
      <c r="R9" s="213">
        <f>Model!AY12+Model!AZ12+Model!BA12</f>
        <v/>
      </c>
      <c r="S9" s="213">
        <f>Model!BB12+Model!BC12+Model!BD12</f>
        <v/>
      </c>
      <c r="T9" s="213">
        <f>Model!BE12+Model!BF12+Model!BG12</f>
        <v/>
      </c>
      <c r="U9" s="213">
        <f>Model!BH12+Model!BI12+Model!BJ12</f>
        <v/>
      </c>
      <c r="V9" s="213">
        <f>Model!BK12+Model!BL12+Model!BM12</f>
        <v/>
      </c>
      <c r="W9" s="213">
        <f>Model!BN12+Model!BO12+Model!BP12</f>
        <v/>
      </c>
      <c r="X9" s="213">
        <f>Model!BQ12+Model!BR12+Model!BS12</f>
        <v/>
      </c>
      <c r="Y9" s="213">
        <f>Model!BT12+Model!BU12+Model!BV12</f>
        <v/>
      </c>
      <c r="Z9" s="213">
        <f>Model!BW12+Model!BX12+Model!BY12</f>
        <v/>
      </c>
      <c r="AA9" s="213">
        <f>Model!BZ12+Model!CA12+Model!CB12</f>
        <v/>
      </c>
      <c r="AB9" s="213">
        <f>Model!CC12+Model!CD12+Model!CE12</f>
        <v/>
      </c>
      <c r="AC9" s="213">
        <f>Model!CF12+Model!CG12+Model!CH12</f>
        <v/>
      </c>
    </row>
    <row r="10" ht="15" customHeight="1" s="202">
      <c r="A10" s="204" t="n"/>
      <c r="B10" s="204" t="n"/>
      <c r="C10" s="204" t="n"/>
      <c r="D10" s="204" t="n"/>
      <c r="E10" s="204" t="n"/>
      <c r="F10" s="204" t="n"/>
      <c r="G10" s="204" t="n"/>
      <c r="H10" s="204" t="n"/>
      <c r="I10" s="204" t="n"/>
      <c r="J10" s="204" t="n"/>
      <c r="K10" s="204" t="n"/>
      <c r="L10" s="204" t="n"/>
      <c r="M10" s="204" t="n"/>
      <c r="N10" s="204" t="n"/>
      <c r="O10" s="204" t="n"/>
      <c r="P10" s="204" t="n"/>
      <c r="Q10" s="204" t="n"/>
      <c r="R10" s="204" t="n"/>
      <c r="S10" s="204" t="n"/>
      <c r="T10" s="204" t="n"/>
      <c r="U10" s="204" t="n"/>
      <c r="V10" s="204" t="n"/>
      <c r="W10" s="204" t="n"/>
      <c r="X10" s="204" t="n"/>
      <c r="Y10" s="204" t="n"/>
      <c r="Z10" s="204" t="n"/>
      <c r="AA10" s="204" t="n"/>
      <c r="AB10" s="204" t="n"/>
      <c r="AC10" s="204" t="n"/>
    </row>
    <row r="11" ht="15" customHeight="1" s="202">
      <c r="A11" s="209" t="inlineStr">
        <is>
          <t>GC Costs</t>
        </is>
      </c>
      <c r="B11" s="209" t="n"/>
      <c r="C11" s="209" t="n"/>
      <c r="D11" s="209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</row>
    <row r="12" ht="15" customHeight="1" s="202">
      <c r="A12" s="210" t="inlineStr">
        <is>
          <t xml:space="preserve">  Bonding Costs</t>
        </is>
      </c>
      <c r="B12" s="211">
        <f>Model!C15+Model!D15+Model!E15</f>
        <v/>
      </c>
      <c r="C12" s="211">
        <f>Model!F15+Model!G15+Model!H15</f>
        <v/>
      </c>
      <c r="D12" s="211">
        <f>Model!I15+Model!J15+Model!K15</f>
        <v/>
      </c>
      <c r="E12" s="211">
        <f>Model!L15+Model!M15+Model!N15</f>
        <v/>
      </c>
      <c r="F12" s="211">
        <f>Model!O15+Model!P15+Model!Q15</f>
        <v/>
      </c>
      <c r="G12" s="211">
        <f>Model!R15+Model!S15+Model!T15</f>
        <v/>
      </c>
      <c r="H12" s="211">
        <f>Model!U15+Model!V15+Model!W15</f>
        <v/>
      </c>
      <c r="I12" s="211">
        <f>Model!X15+Model!Y15+Model!Z15</f>
        <v/>
      </c>
      <c r="J12" s="211">
        <f>Model!AA15+Model!AB15+Model!AC15</f>
        <v/>
      </c>
      <c r="K12" s="211">
        <f>Model!AD15+Model!AE15+Model!AF15</f>
        <v/>
      </c>
      <c r="L12" s="211">
        <f>Model!AG15+Model!AH15+Model!AI15</f>
        <v/>
      </c>
      <c r="M12" s="211">
        <f>Model!AJ15+Model!AK15+Model!AL15</f>
        <v/>
      </c>
      <c r="N12" s="211">
        <f>Model!AM15+Model!AN15+Model!AO15</f>
        <v/>
      </c>
      <c r="O12" s="211">
        <f>Model!AP15+Model!AQ15+Model!AR15</f>
        <v/>
      </c>
      <c r="P12" s="211">
        <f>Model!AS15+Model!AT15+Model!AU15</f>
        <v/>
      </c>
      <c r="Q12" s="211">
        <f>Model!AV15+Model!AW15+Model!AX15</f>
        <v/>
      </c>
      <c r="R12" s="211">
        <f>Model!AY15+Model!AZ15+Model!BA15</f>
        <v/>
      </c>
      <c r="S12" s="211">
        <f>Model!BB15+Model!BC15+Model!BD15</f>
        <v/>
      </c>
      <c r="T12" s="211">
        <f>Model!BE15+Model!BF15+Model!BG15</f>
        <v/>
      </c>
      <c r="U12" s="211">
        <f>Model!BH15+Model!BI15+Model!BJ15</f>
        <v/>
      </c>
      <c r="V12" s="211">
        <f>Model!BK15+Model!BL15+Model!BM15</f>
        <v/>
      </c>
      <c r="W12" s="211">
        <f>Model!BN15+Model!BO15+Model!BP15</f>
        <v/>
      </c>
      <c r="X12" s="211">
        <f>Model!BQ15+Model!BR15+Model!BS15</f>
        <v/>
      </c>
      <c r="Y12" s="211">
        <f>Model!BT15+Model!BU15+Model!BV15</f>
        <v/>
      </c>
      <c r="Z12" s="211">
        <f>Model!BW15+Model!BX15+Model!BY15</f>
        <v/>
      </c>
      <c r="AA12" s="211">
        <f>Model!BZ15+Model!CA15+Model!CB15</f>
        <v/>
      </c>
      <c r="AB12" s="211">
        <f>Model!CC15+Model!CD15+Model!CE15</f>
        <v/>
      </c>
      <c r="AC12" s="211">
        <f>Model!CF15+Model!CG15+Model!CH15</f>
        <v/>
      </c>
    </row>
    <row r="13" ht="15" customHeight="1" s="202">
      <c r="A13" s="210" t="inlineStr">
        <is>
          <t xml:space="preserve">  GC Personnel</t>
        </is>
      </c>
      <c r="B13" s="211">
        <f>Model!C16+Model!D16+Model!E16</f>
        <v/>
      </c>
      <c r="C13" s="211">
        <f>Model!F16+Model!G16+Model!H16</f>
        <v/>
      </c>
      <c r="D13" s="211">
        <f>Model!I16+Model!J16+Model!K16</f>
        <v/>
      </c>
      <c r="E13" s="211">
        <f>Model!L16+Model!M16+Model!N16</f>
        <v/>
      </c>
      <c r="F13" s="211">
        <f>Model!O16+Model!P16+Model!Q16</f>
        <v/>
      </c>
      <c r="G13" s="211">
        <f>Model!R16+Model!S16+Model!T16</f>
        <v/>
      </c>
      <c r="H13" s="211">
        <f>Model!U16+Model!V16+Model!W16</f>
        <v/>
      </c>
      <c r="I13" s="211">
        <f>Model!X16+Model!Y16+Model!Z16</f>
        <v/>
      </c>
      <c r="J13" s="211">
        <f>Model!AA16+Model!AB16+Model!AC16</f>
        <v/>
      </c>
      <c r="K13" s="211">
        <f>Model!AD16+Model!AE16+Model!AF16</f>
        <v/>
      </c>
      <c r="L13" s="211">
        <f>Model!AG16+Model!AH16+Model!AI16</f>
        <v/>
      </c>
      <c r="M13" s="211">
        <f>Model!AJ16+Model!AK16+Model!AL16</f>
        <v/>
      </c>
      <c r="N13" s="211">
        <f>Model!AM16+Model!AN16+Model!AO16</f>
        <v/>
      </c>
      <c r="O13" s="211">
        <f>Model!AP16+Model!AQ16+Model!AR16</f>
        <v/>
      </c>
      <c r="P13" s="211">
        <f>Model!AS16+Model!AT16+Model!AU16</f>
        <v/>
      </c>
      <c r="Q13" s="211">
        <f>Model!AV16+Model!AW16+Model!AX16</f>
        <v/>
      </c>
      <c r="R13" s="211">
        <f>Model!AY16+Model!AZ16+Model!BA16</f>
        <v/>
      </c>
      <c r="S13" s="211">
        <f>Model!BB16+Model!BC16+Model!BD16</f>
        <v/>
      </c>
      <c r="T13" s="211">
        <f>Model!BE16+Model!BF16+Model!BG16</f>
        <v/>
      </c>
      <c r="U13" s="211">
        <f>Model!BH16+Model!BI16+Model!BJ16</f>
        <v/>
      </c>
      <c r="V13" s="211">
        <f>Model!BK16+Model!BL16+Model!BM16</f>
        <v/>
      </c>
      <c r="W13" s="211">
        <f>Model!BN16+Model!BO16+Model!BP16</f>
        <v/>
      </c>
      <c r="X13" s="211">
        <f>Model!BQ16+Model!BR16+Model!BS16</f>
        <v/>
      </c>
      <c r="Y13" s="211">
        <f>Model!BT16+Model!BU16+Model!BV16</f>
        <v/>
      </c>
      <c r="Z13" s="211">
        <f>Model!BW16+Model!BX16+Model!BY16</f>
        <v/>
      </c>
      <c r="AA13" s="211">
        <f>Model!BZ16+Model!CA16+Model!CB16</f>
        <v/>
      </c>
      <c r="AB13" s="211">
        <f>Model!CC16+Model!CD16+Model!CE16</f>
        <v/>
      </c>
      <c r="AC13" s="211">
        <f>Model!CF16+Model!CG16+Model!CH16</f>
        <v/>
      </c>
    </row>
    <row r="14" ht="15" customHeight="1" s="202">
      <c r="A14" s="210" t="inlineStr">
        <is>
          <t xml:space="preserve">  SP Allocated to LV</t>
        </is>
      </c>
      <c r="B14" s="211">
        <f>Model!C17+Model!D17+Model!E17</f>
        <v/>
      </c>
      <c r="C14" s="211">
        <f>Model!F17+Model!G17+Model!H17</f>
        <v/>
      </c>
      <c r="D14" s="211">
        <f>Model!I17+Model!J17+Model!K17</f>
        <v/>
      </c>
      <c r="E14" s="211">
        <f>Model!L17+Model!M17+Model!N17</f>
        <v/>
      </c>
      <c r="F14" s="211">
        <f>Model!O17+Model!P17+Model!Q17</f>
        <v/>
      </c>
      <c r="G14" s="211">
        <f>Model!R17+Model!S17+Model!T17</f>
        <v/>
      </c>
      <c r="H14" s="211">
        <f>Model!U17+Model!V17+Model!W17</f>
        <v/>
      </c>
      <c r="I14" s="211">
        <f>Model!X17+Model!Y17+Model!Z17</f>
        <v/>
      </c>
      <c r="J14" s="211">
        <f>Model!AA17+Model!AB17+Model!AC17</f>
        <v/>
      </c>
      <c r="K14" s="211">
        <f>Model!AD17+Model!AE17+Model!AF17</f>
        <v/>
      </c>
      <c r="L14" s="211">
        <f>Model!AG17+Model!AH17+Model!AI17</f>
        <v/>
      </c>
      <c r="M14" s="211">
        <f>Model!AJ17+Model!AK17+Model!AL17</f>
        <v/>
      </c>
      <c r="N14" s="211">
        <f>Model!AM17+Model!AN17+Model!AO17</f>
        <v/>
      </c>
      <c r="O14" s="211">
        <f>Model!AP17+Model!AQ17+Model!AR17</f>
        <v/>
      </c>
      <c r="P14" s="211">
        <f>Model!AS17+Model!AT17+Model!AU17</f>
        <v/>
      </c>
      <c r="Q14" s="211">
        <f>Model!AV17+Model!AW17+Model!AX17</f>
        <v/>
      </c>
      <c r="R14" s="211">
        <f>Model!AY17+Model!AZ17+Model!BA17</f>
        <v/>
      </c>
      <c r="S14" s="211">
        <f>Model!BB17+Model!BC17+Model!BD17</f>
        <v/>
      </c>
      <c r="T14" s="211">
        <f>Model!BE17+Model!BF17+Model!BG17</f>
        <v/>
      </c>
      <c r="U14" s="211">
        <f>Model!BH17+Model!BI17+Model!BJ17</f>
        <v/>
      </c>
      <c r="V14" s="211">
        <f>Model!BK17+Model!BL17+Model!BM17</f>
        <v/>
      </c>
      <c r="W14" s="211">
        <f>Model!BN17+Model!BO17+Model!BP17</f>
        <v/>
      </c>
      <c r="X14" s="211">
        <f>Model!BQ17+Model!BR17+Model!BS17</f>
        <v/>
      </c>
      <c r="Y14" s="211">
        <f>Model!BT17+Model!BU17+Model!BV17</f>
        <v/>
      </c>
      <c r="Z14" s="211">
        <f>Model!BW17+Model!BX17+Model!BY17</f>
        <v/>
      </c>
      <c r="AA14" s="211">
        <f>Model!BZ17+Model!CA17+Model!CB17</f>
        <v/>
      </c>
      <c r="AB14" s="211">
        <f>Model!CC17+Model!CD17+Model!CE17</f>
        <v/>
      </c>
      <c r="AC14" s="211">
        <f>Model!CF17+Model!CG17+Model!CH17</f>
        <v/>
      </c>
    </row>
    <row r="15" ht="15" customHeight="1" s="202">
      <c r="A15" s="212" t="inlineStr">
        <is>
          <t>Total GC Costs</t>
        </is>
      </c>
      <c r="B15" s="213">
        <f>Model!C38+Model!D38+Model!E38</f>
        <v/>
      </c>
      <c r="C15" s="213">
        <f>Model!F38+Model!G38+Model!H38</f>
        <v/>
      </c>
      <c r="D15" s="213">
        <f>Model!I38+Model!J38+Model!K38</f>
        <v/>
      </c>
      <c r="E15" s="213">
        <f>Model!L38+Model!M38+Model!N38</f>
        <v/>
      </c>
      <c r="F15" s="213">
        <f>Model!O38+Model!P38+Model!Q38</f>
        <v/>
      </c>
      <c r="G15" s="213">
        <f>Model!R38+Model!S38+Model!T38</f>
        <v/>
      </c>
      <c r="H15" s="213">
        <f>Model!U38+Model!V38+Model!W38</f>
        <v/>
      </c>
      <c r="I15" s="213">
        <f>Model!X38+Model!Y38+Model!Z38</f>
        <v/>
      </c>
      <c r="J15" s="213">
        <f>Model!AA38+Model!AB38+Model!AC38</f>
        <v/>
      </c>
      <c r="K15" s="213">
        <f>Model!AD38+Model!AE38+Model!AF38</f>
        <v/>
      </c>
      <c r="L15" s="213">
        <f>Model!AG38+Model!AH38+Model!AI38</f>
        <v/>
      </c>
      <c r="M15" s="213">
        <f>Model!AJ38+Model!AK38+Model!AL38</f>
        <v/>
      </c>
      <c r="N15" s="213">
        <f>Model!AM38+Model!AN38+Model!AO38</f>
        <v/>
      </c>
      <c r="O15" s="213">
        <f>Model!AP38+Model!AQ38+Model!AR38</f>
        <v/>
      </c>
      <c r="P15" s="213">
        <f>Model!AS38+Model!AT38+Model!AU38</f>
        <v/>
      </c>
      <c r="Q15" s="213">
        <f>Model!AV38+Model!AW38+Model!AX38</f>
        <v/>
      </c>
      <c r="R15" s="213">
        <f>Model!AY38+Model!AZ38+Model!BA38</f>
        <v/>
      </c>
      <c r="S15" s="213">
        <f>Model!BB38+Model!BC38+Model!BD38</f>
        <v/>
      </c>
      <c r="T15" s="213">
        <f>Model!BE38+Model!BF38+Model!BG38</f>
        <v/>
      </c>
      <c r="U15" s="213">
        <f>Model!BH38+Model!BI38+Model!BJ38</f>
        <v/>
      </c>
      <c r="V15" s="213">
        <f>Model!BK38+Model!BL38+Model!BM38</f>
        <v/>
      </c>
      <c r="W15" s="213">
        <f>Model!BN38+Model!BO38+Model!BP38</f>
        <v/>
      </c>
      <c r="X15" s="213">
        <f>Model!BQ38+Model!BR38+Model!BS38</f>
        <v/>
      </c>
      <c r="Y15" s="213">
        <f>Model!BT38+Model!BU38+Model!BV38</f>
        <v/>
      </c>
      <c r="Z15" s="213">
        <f>Model!BW38+Model!BX38+Model!BY38</f>
        <v/>
      </c>
      <c r="AA15" s="213">
        <f>Model!BZ38+Model!CA38+Model!CB38</f>
        <v/>
      </c>
      <c r="AB15" s="213">
        <f>Model!CC38+Model!CD38+Model!CE38</f>
        <v/>
      </c>
      <c r="AC15" s="213">
        <f>Model!CF38+Model!CG38+Model!CH38</f>
        <v/>
      </c>
    </row>
    <row r="16" ht="15" customHeight="1" s="202">
      <c r="A16" s="216" t="inlineStr">
        <is>
          <t>GC Net Income</t>
        </is>
      </c>
      <c r="B16" s="217">
        <f>Model!C40+Model!D40+Model!E40</f>
        <v/>
      </c>
      <c r="C16" s="217">
        <f>Model!F40+Model!G40+Model!H40</f>
        <v/>
      </c>
      <c r="D16" s="217">
        <f>Model!I40+Model!J40+Model!K40</f>
        <v/>
      </c>
      <c r="E16" s="217">
        <f>Model!L40+Model!M40+Model!N40</f>
        <v/>
      </c>
      <c r="F16" s="217">
        <f>Model!O40+Model!P40+Model!Q40</f>
        <v/>
      </c>
      <c r="G16" s="217">
        <f>Model!R40+Model!S40+Model!T40</f>
        <v/>
      </c>
      <c r="H16" s="217">
        <f>Model!U40+Model!V40+Model!W40</f>
        <v/>
      </c>
      <c r="I16" s="217">
        <f>Model!X40+Model!Y40+Model!Z40</f>
        <v/>
      </c>
      <c r="J16" s="217">
        <f>Model!AA40+Model!AB40+Model!AC40</f>
        <v/>
      </c>
      <c r="K16" s="217">
        <f>Model!AD40+Model!AE40+Model!AF40</f>
        <v/>
      </c>
      <c r="L16" s="217">
        <f>Model!AG40+Model!AH40+Model!AI40</f>
        <v/>
      </c>
      <c r="M16" s="217">
        <f>Model!AJ40+Model!AK40+Model!AL40</f>
        <v/>
      </c>
      <c r="N16" s="217">
        <f>Model!AM40+Model!AN40+Model!AO40</f>
        <v/>
      </c>
      <c r="O16" s="217">
        <f>Model!AP40+Model!AQ40+Model!AR40</f>
        <v/>
      </c>
      <c r="P16" s="217">
        <f>Model!AS40+Model!AT40+Model!AU40</f>
        <v/>
      </c>
      <c r="Q16" s="217">
        <f>Model!AV40+Model!AW40+Model!AX40</f>
        <v/>
      </c>
      <c r="R16" s="217">
        <f>Model!AY40+Model!AZ40+Model!BA40</f>
        <v/>
      </c>
      <c r="S16" s="217">
        <f>Model!BB40+Model!BC40+Model!BD40</f>
        <v/>
      </c>
      <c r="T16" s="217">
        <f>Model!BE40+Model!BF40+Model!BG40</f>
        <v/>
      </c>
      <c r="U16" s="217">
        <f>Model!BH40+Model!BI40+Model!BJ40</f>
        <v/>
      </c>
      <c r="V16" s="217">
        <f>Model!BK40+Model!BL40+Model!BM40</f>
        <v/>
      </c>
      <c r="W16" s="217">
        <f>Model!BN40+Model!BO40+Model!BP40</f>
        <v/>
      </c>
      <c r="X16" s="217">
        <f>Model!BQ40+Model!BR40+Model!BS40</f>
        <v/>
      </c>
      <c r="Y16" s="217">
        <f>Model!BT40+Model!BU40+Model!BV40</f>
        <v/>
      </c>
      <c r="Z16" s="217">
        <f>Model!BW40+Model!BX40+Model!BY40</f>
        <v/>
      </c>
      <c r="AA16" s="217">
        <f>Model!BZ40+Model!CA40+Model!CB40</f>
        <v/>
      </c>
      <c r="AB16" s="217">
        <f>Model!CC40+Model!CD40+Model!CE40</f>
        <v/>
      </c>
      <c r="AC16" s="217">
        <f>Model!CF40+Model!CG40+Model!CH40</f>
        <v/>
      </c>
    </row>
    <row r="17" ht="15" customHeight="1" s="202">
      <c r="A17" s="210" t="inlineStr">
        <is>
          <t>GC Profit Margin %</t>
        </is>
      </c>
      <c r="B17" s="218">
        <f>IF((Model!C12+Model!D12+Model!E12)&lt;&gt;0,(Model!C40+Model!D40+Model!E40)/(Model!C12+Model!D12+Model!E12),0)</f>
        <v/>
      </c>
      <c r="C17" s="218">
        <f>IF((Model!F12+Model!G12+Model!H12)&lt;&gt;0,(Model!F40+Model!G40+Model!H40)/(Model!F12+Model!G12+Model!H12),0)</f>
        <v/>
      </c>
      <c r="D17" s="218">
        <f>IF((Model!I12+Model!J12+Model!K12)&lt;&gt;0,(Model!I40+Model!J40+Model!K40)/(Model!I12+Model!J12+Model!K12),0)</f>
        <v/>
      </c>
      <c r="E17" s="218">
        <f>IF((Model!L12+Model!M12+Model!N12)&lt;&gt;0,(Model!L40+Model!M40+Model!N40)/(Model!L12+Model!M12+Model!N12),0)</f>
        <v/>
      </c>
      <c r="F17" s="218">
        <f>IF((Model!O12+Model!P12+Model!Q12)&lt;&gt;0,(Model!O40+Model!P40+Model!Q40)/(Model!O12+Model!P12+Model!Q12),0)</f>
        <v/>
      </c>
      <c r="G17" s="218">
        <f>IF((Model!R12+Model!S12+Model!T12)&lt;&gt;0,(Model!R40+Model!S40+Model!T40)/(Model!R12+Model!S12+Model!T12),0)</f>
        <v/>
      </c>
      <c r="H17" s="218">
        <f>IF((Model!U12+Model!V12+Model!W12)&lt;&gt;0,(Model!U40+Model!V40+Model!W40)/(Model!U12+Model!V12+Model!W12),0)</f>
        <v/>
      </c>
      <c r="I17" s="218">
        <f>IF((Model!X12+Model!Y12+Model!Z12)&lt;&gt;0,(Model!X40+Model!Y40+Model!Z40)/(Model!X12+Model!Y12+Model!Z12),0)</f>
        <v/>
      </c>
      <c r="J17" s="218">
        <f>IF((Model!AA12+Model!AB12+Model!AC12)&lt;&gt;0,(Model!AA40+Model!AB40+Model!AC40)/(Model!AA12+Model!AB12+Model!AC12),0)</f>
        <v/>
      </c>
      <c r="K17" s="218">
        <f>IF((Model!AD12+Model!AE12+Model!AF12)&lt;&gt;0,(Model!AD40+Model!AE40+Model!AF40)/(Model!AD12+Model!AE12+Model!AF12),0)</f>
        <v/>
      </c>
      <c r="L17" s="218">
        <f>IF((Model!AG12+Model!AH12+Model!AI12)&lt;&gt;0,(Model!AG40+Model!AH40+Model!AI40)/(Model!AG12+Model!AH12+Model!AI12),0)</f>
        <v/>
      </c>
      <c r="M17" s="218">
        <f>IF((Model!AJ12+Model!AK12+Model!AL12)&lt;&gt;0,(Model!AJ40+Model!AK40+Model!AL40)/(Model!AJ12+Model!AK12+Model!AL12),0)</f>
        <v/>
      </c>
      <c r="N17" s="218">
        <f>IF((Model!AM12+Model!AN12+Model!AO12)&lt;&gt;0,(Model!AM40+Model!AN40+Model!AO40)/(Model!AM12+Model!AN12+Model!AO12),0)</f>
        <v/>
      </c>
      <c r="O17" s="218">
        <f>IF((Model!AP12+Model!AQ12+Model!AR12)&lt;&gt;0,(Model!AP40+Model!AQ40+Model!AR40)/(Model!AP12+Model!AQ12+Model!AR12),0)</f>
        <v/>
      </c>
      <c r="P17" s="218">
        <f>IF((Model!AS12+Model!AT12+Model!AU12)&lt;&gt;0,(Model!AS40+Model!AT40+Model!AU40)/(Model!AS12+Model!AT12+Model!AU12),0)</f>
        <v/>
      </c>
      <c r="Q17" s="218">
        <f>IF((Model!AV12+Model!AW12+Model!AX12)&lt;&gt;0,(Model!AV40+Model!AW40+Model!AX40)/(Model!AV12+Model!AW12+Model!AX12),0)</f>
        <v/>
      </c>
      <c r="R17" s="218">
        <f>IF((Model!AY12+Model!AZ12+Model!BA12)&lt;&gt;0,(Model!AY40+Model!AZ40+Model!BA40)/(Model!AY12+Model!AZ12+Model!BA12),0)</f>
        <v/>
      </c>
      <c r="S17" s="218">
        <f>IF((Model!BB12+Model!BC12+Model!BD12)&lt;&gt;0,(Model!BB40+Model!BC40+Model!BD40)/(Model!BB12+Model!BC12+Model!BD12),0)</f>
        <v/>
      </c>
      <c r="T17" s="218">
        <f>IF((Model!BE12+Model!BF12+Model!BG12)&lt;&gt;0,(Model!BE40+Model!BF40+Model!BG40)/(Model!BE12+Model!BF12+Model!BG12),0)</f>
        <v/>
      </c>
      <c r="U17" s="218">
        <f>IF((Model!BH12+Model!BI12+Model!BJ12)&lt;&gt;0,(Model!BH40+Model!BI40+Model!BJ40)/(Model!BH12+Model!BI12+Model!BJ12),0)</f>
        <v/>
      </c>
      <c r="V17" s="218">
        <f>IF((Model!BK12+Model!BL12+Model!BM12)&lt;&gt;0,(Model!BK40+Model!BL40+Model!BM40)/(Model!BK12+Model!BL12+Model!BM12),0)</f>
        <v/>
      </c>
      <c r="W17" s="218">
        <f>IF((Model!BN12+Model!BO12+Model!BP12)&lt;&gt;0,(Model!BN40+Model!BO40+Model!BP40)/(Model!BN12+Model!BO12+Model!BP12),0)</f>
        <v/>
      </c>
      <c r="X17" s="218">
        <f>IF((Model!BQ12+Model!BR12+Model!BS12)&lt;&gt;0,(Model!BQ40+Model!BR40+Model!BS40)/(Model!BQ12+Model!BR12+Model!BS12),0)</f>
        <v/>
      </c>
      <c r="Y17" s="218">
        <f>IF((Model!BT12+Model!BU12+Model!BV12)&lt;&gt;0,(Model!BT40+Model!BU40+Model!BV40)/(Model!BT12+Model!BU12+Model!BV12),0)</f>
        <v/>
      </c>
      <c r="Z17" s="218">
        <f>IF((Model!BW12+Model!BX12+Model!BY12)&lt;&gt;0,(Model!BW40+Model!BX40+Model!BY40)/(Model!BW12+Model!BX12+Model!BY12),0)</f>
        <v/>
      </c>
      <c r="AA17" s="218">
        <f>IF((Model!BZ12+Model!CA12+Model!CB12)&lt;&gt;0,(Model!BZ40+Model!CA40+Model!CB40)/(Model!BZ12+Model!CA12+Model!CB12),0)</f>
        <v/>
      </c>
      <c r="AB17" s="218">
        <f>IF((Model!CC12+Model!CD12+Model!CE12)&lt;&gt;0,(Model!CC40+Model!CD40+Model!CE40)/(Model!CC12+Model!CD12+Model!CE12),0)</f>
        <v/>
      </c>
      <c r="AC17" s="218">
        <f>IF((Model!CF12+Model!CG12+Model!CH12)&lt;&gt;0,(Model!CF40+Model!CG40+Model!CH40)/(Model!CF12+Model!CG12+Model!CH12),0)</f>
        <v/>
      </c>
    </row>
    <row r="18" ht="15" customFormat="1" customHeight="1" s="267">
      <c r="A18" s="204" t="n"/>
      <c r="B18" s="204" t="n"/>
      <c r="C18" s="204" t="n"/>
      <c r="D18" s="204" t="n"/>
      <c r="E18" s="204" t="n"/>
      <c r="F18" s="204" t="n"/>
      <c r="G18" s="204" t="n"/>
      <c r="H18" s="204" t="n"/>
      <c r="I18" s="204" t="n"/>
      <c r="J18" s="204" t="n"/>
      <c r="K18" s="204" t="n"/>
      <c r="L18" s="204" t="n"/>
      <c r="M18" s="204" t="n"/>
      <c r="N18" s="204" t="n"/>
      <c r="O18" s="204" t="n"/>
      <c r="P18" s="204" t="n"/>
      <c r="Q18" s="204" t="n"/>
      <c r="R18" s="204" t="n"/>
      <c r="S18" s="204" t="n"/>
      <c r="T18" s="204" t="n"/>
      <c r="U18" s="204" t="n"/>
      <c r="V18" s="204" t="n"/>
      <c r="W18" s="204" t="n"/>
      <c r="X18" s="204" t="n"/>
      <c r="Y18" s="204" t="n"/>
      <c r="Z18" s="204" t="n"/>
      <c r="AA18" s="204" t="n"/>
      <c r="AB18" s="204" t="n"/>
      <c r="AC18" s="204" t="n"/>
    </row>
    <row r="19" ht="15" customHeight="1" s="202">
      <c r="A19" s="268" t="inlineStr">
        <is>
          <t>Six Peak Revenue</t>
        </is>
      </c>
      <c r="B19" s="220">
        <f>Model!C63+Model!D63+Model!E63</f>
        <v/>
      </c>
      <c r="C19" s="220">
        <f>Model!F63+Model!G63+Model!H63</f>
        <v/>
      </c>
      <c r="D19" s="220">
        <f>Model!I63+Model!J63+Model!K63</f>
        <v/>
      </c>
      <c r="E19" s="220">
        <f>Model!L63+Model!M63+Model!N63</f>
        <v/>
      </c>
      <c r="F19" s="220">
        <f>Model!O63+Model!P63+Model!Q63</f>
        <v/>
      </c>
      <c r="G19" s="220">
        <f>Model!R63+Model!S63+Model!T63</f>
        <v/>
      </c>
      <c r="H19" s="220">
        <f>Model!U63+Model!V63+Model!W63</f>
        <v/>
      </c>
      <c r="I19" s="220">
        <f>Model!X63+Model!Y63+Model!Z63</f>
        <v/>
      </c>
      <c r="J19" s="220">
        <f>Model!AA63+Model!AB63+Model!AC63</f>
        <v/>
      </c>
      <c r="K19" s="220">
        <f>Model!AD63+Model!AE63+Model!AF63</f>
        <v/>
      </c>
      <c r="L19" s="220">
        <f>Model!AG63+Model!AH63+Model!AI63</f>
        <v/>
      </c>
      <c r="M19" s="220">
        <f>Model!AJ63+Model!AK63+Model!AL63</f>
        <v/>
      </c>
      <c r="N19" s="220">
        <f>Model!AM63+Model!AN63+Model!AO63</f>
        <v/>
      </c>
      <c r="O19" s="220">
        <f>Model!AP63+Model!AQ63+Model!AR63</f>
        <v/>
      </c>
      <c r="P19" s="220">
        <f>Model!AS63+Model!AT63+Model!AU63</f>
        <v/>
      </c>
      <c r="Q19" s="220">
        <f>Model!AV63+Model!AW63+Model!AX63</f>
        <v/>
      </c>
      <c r="R19" s="220">
        <f>Model!AY63+Model!AZ63+Model!BA63</f>
        <v/>
      </c>
      <c r="S19" s="220">
        <f>Model!BB63+Model!BC63+Model!BD63</f>
        <v/>
      </c>
      <c r="T19" s="220">
        <f>Model!BE63+Model!BF63+Model!BG63</f>
        <v/>
      </c>
      <c r="U19" s="220">
        <f>Model!BH63+Model!BI63+Model!BJ63</f>
        <v/>
      </c>
      <c r="V19" s="220">
        <f>Model!BK63+Model!BL63+Model!BM63</f>
        <v/>
      </c>
      <c r="W19" s="220">
        <f>Model!BN63+Model!BO63+Model!BP63</f>
        <v/>
      </c>
      <c r="X19" s="220">
        <f>Model!BQ63+Model!BR63+Model!BS63</f>
        <v/>
      </c>
      <c r="Y19" s="220">
        <f>Model!BT63+Model!BU63+Model!BV63</f>
        <v/>
      </c>
      <c r="Z19" s="220">
        <f>Model!BW63+Model!BX63+Model!BY63</f>
        <v/>
      </c>
      <c r="AA19" s="220">
        <f>Model!BZ63+Model!CA63+Model!CB63</f>
        <v/>
      </c>
      <c r="AB19" s="220">
        <f>Model!CC63+Model!CD63+Model!CE63</f>
        <v/>
      </c>
      <c r="AC19" s="220">
        <f>Model!CF63+Model!CG63+Model!CH63</f>
        <v/>
      </c>
    </row>
    <row r="20" ht="15" customHeight="1" s="202">
      <c r="A20" s="210" t="inlineStr">
        <is>
          <t>Six Peak Expenses</t>
        </is>
      </c>
      <c r="B20" s="211">
        <f>Model!C84+Model!D84+Model!E84</f>
        <v/>
      </c>
      <c r="C20" s="211">
        <f>Model!F84+Model!G84+Model!H84</f>
        <v/>
      </c>
      <c r="D20" s="211">
        <f>Model!I84+Model!J84+Model!K84</f>
        <v/>
      </c>
      <c r="E20" s="211">
        <f>Model!L84+Model!M84+Model!N84</f>
        <v/>
      </c>
      <c r="F20" s="211">
        <f>Model!O84+Model!P84+Model!Q84</f>
        <v/>
      </c>
      <c r="G20" s="211">
        <f>Model!R84+Model!S84+Model!T84</f>
        <v/>
      </c>
      <c r="H20" s="211">
        <f>Model!U84+Model!V84+Model!W84</f>
        <v/>
      </c>
      <c r="I20" s="211">
        <f>Model!X84+Model!Y84+Model!Z84</f>
        <v/>
      </c>
      <c r="J20" s="211">
        <f>Model!AA84+Model!AB84+Model!AC84</f>
        <v/>
      </c>
      <c r="K20" s="211">
        <f>Model!AD84+Model!AE84+Model!AF84</f>
        <v/>
      </c>
      <c r="L20" s="211">
        <f>Model!AG84+Model!AH84+Model!AI84</f>
        <v/>
      </c>
      <c r="M20" s="211">
        <f>Model!AJ84+Model!AK84+Model!AL84</f>
        <v/>
      </c>
      <c r="N20" s="211">
        <f>Model!AM84+Model!AN84+Model!AO84</f>
        <v/>
      </c>
      <c r="O20" s="211">
        <f>Model!AP84+Model!AQ84+Model!AR84</f>
        <v/>
      </c>
      <c r="P20" s="211">
        <f>Model!AS84+Model!AT84+Model!AU84</f>
        <v/>
      </c>
      <c r="Q20" s="211">
        <f>Model!AV84+Model!AW84+Model!AX84</f>
        <v/>
      </c>
      <c r="R20" s="211">
        <f>Model!AY84+Model!AZ84+Model!BA84</f>
        <v/>
      </c>
      <c r="S20" s="211">
        <f>Model!BB84+Model!BC84+Model!BD84</f>
        <v/>
      </c>
      <c r="T20" s="211">
        <f>Model!BE84+Model!BF84+Model!BG84</f>
        <v/>
      </c>
      <c r="U20" s="211">
        <f>Model!BH84+Model!BI84+Model!BJ84</f>
        <v/>
      </c>
      <c r="V20" s="211">
        <f>Model!BK84+Model!BL84+Model!BM84</f>
        <v/>
      </c>
      <c r="W20" s="211">
        <f>Model!BN84+Model!BO84+Model!BP84</f>
        <v/>
      </c>
      <c r="X20" s="211">
        <f>Model!BQ84+Model!BR84+Model!BS84</f>
        <v/>
      </c>
      <c r="Y20" s="211">
        <f>Model!BT84+Model!BU84+Model!BV84</f>
        <v/>
      </c>
      <c r="Z20" s="211">
        <f>Model!BW84+Model!BX84+Model!BY84</f>
        <v/>
      </c>
      <c r="AA20" s="211">
        <f>Model!BZ84+Model!CA84+Model!CB84</f>
        <v/>
      </c>
      <c r="AB20" s="211">
        <f>Model!CC84+Model!CD84+Model!CE84</f>
        <v/>
      </c>
      <c r="AC20" s="211">
        <f>Model!CF84+Model!CG84+Model!CH84</f>
        <v/>
      </c>
    </row>
    <row r="21" ht="15" customHeight="1" s="202">
      <c r="A21" s="216" t="inlineStr">
        <is>
          <t>Six Peak Net Income</t>
        </is>
      </c>
      <c r="B21" s="217">
        <f>Model!C86+Model!D86+Model!E86</f>
        <v/>
      </c>
      <c r="C21" s="217">
        <f>Model!F86+Model!G86+Model!H86</f>
        <v/>
      </c>
      <c r="D21" s="217">
        <f>Model!I86+Model!J86+Model!K86</f>
        <v/>
      </c>
      <c r="E21" s="217">
        <f>Model!L86+Model!M86+Model!N86</f>
        <v/>
      </c>
      <c r="F21" s="217">
        <f>Model!O86+Model!P86+Model!Q86</f>
        <v/>
      </c>
      <c r="G21" s="217">
        <f>Model!R86+Model!S86+Model!T86</f>
        <v/>
      </c>
      <c r="H21" s="217">
        <f>Model!U86+Model!V86+Model!W86</f>
        <v/>
      </c>
      <c r="I21" s="217">
        <f>Model!X86+Model!Y86+Model!Z86</f>
        <v/>
      </c>
      <c r="J21" s="217">
        <f>Model!AA86+Model!AB86+Model!AC86</f>
        <v/>
      </c>
      <c r="K21" s="217">
        <f>Model!AD86+Model!AE86+Model!AF86</f>
        <v/>
      </c>
      <c r="L21" s="217">
        <f>Model!AG86+Model!AH86+Model!AI86</f>
        <v/>
      </c>
      <c r="M21" s="217">
        <f>Model!AJ86+Model!AK86+Model!AL86</f>
        <v/>
      </c>
      <c r="N21" s="217">
        <f>Model!AM86+Model!AN86+Model!AO86</f>
        <v/>
      </c>
      <c r="O21" s="217">
        <f>Model!AP86+Model!AQ86+Model!AR86</f>
        <v/>
      </c>
      <c r="P21" s="217">
        <f>Model!AS86+Model!AT86+Model!AU86</f>
        <v/>
      </c>
      <c r="Q21" s="217">
        <f>Model!AV86+Model!AW86+Model!AX86</f>
        <v/>
      </c>
      <c r="R21" s="217">
        <f>Model!AY86+Model!AZ86+Model!BA86</f>
        <v/>
      </c>
      <c r="S21" s="217">
        <f>Model!BB86+Model!BC86+Model!BD86</f>
        <v/>
      </c>
      <c r="T21" s="217">
        <f>Model!BE86+Model!BF86+Model!BG86</f>
        <v/>
      </c>
      <c r="U21" s="217">
        <f>Model!BH86+Model!BI86+Model!BJ86</f>
        <v/>
      </c>
      <c r="V21" s="217">
        <f>Model!BK86+Model!BL86+Model!BM86</f>
        <v/>
      </c>
      <c r="W21" s="217">
        <f>Model!BN86+Model!BO86+Model!BP86</f>
        <v/>
      </c>
      <c r="X21" s="217">
        <f>Model!BQ86+Model!BR86+Model!BS86</f>
        <v/>
      </c>
      <c r="Y21" s="217">
        <f>Model!BT86+Model!BU86+Model!BV86</f>
        <v/>
      </c>
      <c r="Z21" s="217">
        <f>Model!BW86+Model!BX86+Model!BY86</f>
        <v/>
      </c>
      <c r="AA21" s="217">
        <f>Model!BZ86+Model!CA86+Model!CB86</f>
        <v/>
      </c>
      <c r="AB21" s="217">
        <f>Model!CC86+Model!CD86+Model!CE86</f>
        <v/>
      </c>
      <c r="AC21" s="217">
        <f>Model!CF86+Model!CG86+Model!CH86</f>
        <v/>
      </c>
    </row>
    <row r="22" ht="15" customHeight="1" s="202">
      <c r="A22" s="204" t="n"/>
      <c r="B22" s="204" t="n"/>
      <c r="C22" s="204" t="n"/>
      <c r="D22" s="204" t="n"/>
      <c r="E22" s="204" t="n"/>
      <c r="F22" s="204" t="n"/>
      <c r="G22" s="204" t="n"/>
      <c r="H22" s="204" t="n"/>
      <c r="I22" s="204" t="n"/>
      <c r="J22" s="204" t="n"/>
      <c r="K22" s="204" t="n"/>
      <c r="L22" s="204" t="n"/>
      <c r="M22" s="204" t="n"/>
      <c r="N22" s="204" t="n"/>
      <c r="O22" s="204" t="n"/>
      <c r="P22" s="204" t="n"/>
      <c r="Q22" s="204" t="n"/>
      <c r="R22" s="204" t="n"/>
      <c r="S22" s="204" t="n"/>
      <c r="T22" s="204" t="n"/>
      <c r="U22" s="204" t="n"/>
      <c r="V22" s="204" t="n"/>
      <c r="W22" s="204" t="n"/>
      <c r="X22" s="204" t="n"/>
      <c r="Y22" s="204" t="n"/>
      <c r="Z22" s="204" t="n"/>
      <c r="AA22" s="204" t="n"/>
      <c r="AB22" s="204" t="n"/>
      <c r="AC22" s="204" t="n"/>
    </row>
    <row r="23" ht="15" customHeight="1" s="202">
      <c r="A23" s="216" t="inlineStr">
        <is>
          <t>Consolidated Net Income</t>
        </is>
      </c>
      <c r="B23" s="217">
        <f>Model!C95+Model!D95+Model!E95</f>
        <v/>
      </c>
      <c r="C23" s="217">
        <f>Model!F95+Model!G95+Model!H95</f>
        <v/>
      </c>
      <c r="D23" s="217">
        <f>Model!I95+Model!J95+Model!K95</f>
        <v/>
      </c>
      <c r="E23" s="217">
        <f>Model!L95+Model!M95+Model!N95</f>
        <v/>
      </c>
      <c r="F23" s="217">
        <f>Model!O95+Model!P95+Model!Q95</f>
        <v/>
      </c>
      <c r="G23" s="217">
        <f>Model!R95+Model!S95+Model!T95</f>
        <v/>
      </c>
      <c r="H23" s="217">
        <f>Model!U95+Model!V95+Model!W95</f>
        <v/>
      </c>
      <c r="I23" s="217">
        <f>Model!X95+Model!Y95+Model!Z95</f>
        <v/>
      </c>
      <c r="J23" s="217">
        <f>Model!AA95+Model!AB95+Model!AC95</f>
        <v/>
      </c>
      <c r="K23" s="217">
        <f>Model!AD95+Model!AE95+Model!AF95</f>
        <v/>
      </c>
      <c r="L23" s="217">
        <f>Model!AG95+Model!AH95+Model!AI95</f>
        <v/>
      </c>
      <c r="M23" s="217">
        <f>Model!AJ95+Model!AK95+Model!AL95</f>
        <v/>
      </c>
      <c r="N23" s="217">
        <f>Model!AM95+Model!AN95+Model!AO95</f>
        <v/>
      </c>
      <c r="O23" s="217">
        <f>Model!AP95+Model!AQ95+Model!AR95</f>
        <v/>
      </c>
      <c r="P23" s="217">
        <f>Model!AS95+Model!AT95+Model!AU95</f>
        <v/>
      </c>
      <c r="Q23" s="217">
        <f>Model!AV95+Model!AW95+Model!AX95</f>
        <v/>
      </c>
      <c r="R23" s="217">
        <f>Model!AY95+Model!AZ95+Model!BA95</f>
        <v/>
      </c>
      <c r="S23" s="217">
        <f>Model!BB95+Model!BC95+Model!BD95</f>
        <v/>
      </c>
      <c r="T23" s="217">
        <f>Model!BE95+Model!BF95+Model!BG95</f>
        <v/>
      </c>
      <c r="U23" s="217">
        <f>Model!BH95+Model!BI95+Model!BJ95</f>
        <v/>
      </c>
      <c r="V23" s="217">
        <f>Model!BK95+Model!BL95+Model!BM95</f>
        <v/>
      </c>
      <c r="W23" s="217">
        <f>Model!BN95+Model!BO95+Model!BP95</f>
        <v/>
      </c>
      <c r="X23" s="217">
        <f>Model!BQ95+Model!BR95+Model!BS95</f>
        <v/>
      </c>
      <c r="Y23" s="217">
        <f>Model!BT95+Model!BU95+Model!BV95</f>
        <v/>
      </c>
      <c r="Z23" s="217">
        <f>Model!BW95+Model!BX95+Model!BY95</f>
        <v/>
      </c>
      <c r="AA23" s="217">
        <f>Model!BZ95+Model!CA95+Model!CB95</f>
        <v/>
      </c>
      <c r="AB23" s="217">
        <f>Model!CC95+Model!CD95+Model!CE95</f>
        <v/>
      </c>
      <c r="AC23" s="217">
        <f>Model!CF95+Model!CG95+Model!CH95</f>
        <v/>
      </c>
    </row>
    <row r="24" ht="15" customHeight="1" s="202">
      <c r="A24" s="204" t="n"/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204" t="n"/>
      <c r="M24" s="204" t="n"/>
      <c r="N24" s="204" t="n"/>
      <c r="O24" s="204" t="n"/>
      <c r="P24" s="204" t="n"/>
      <c r="Q24" s="204" t="n"/>
      <c r="R24" s="204" t="n"/>
      <c r="S24" s="204" t="n"/>
      <c r="T24" s="204" t="n"/>
      <c r="U24" s="204" t="n"/>
      <c r="V24" s="204" t="n"/>
      <c r="W24" s="204" t="n"/>
      <c r="X24" s="204" t="n"/>
      <c r="Y24" s="204" t="n"/>
      <c r="Z24" s="204" t="n"/>
      <c r="AA24" s="204" t="n"/>
      <c r="AB24" s="204" t="n"/>
      <c r="AC24" s="204" t="n"/>
    </row>
    <row r="25" ht="15" customHeight="1" s="202">
      <c r="A25" s="209" t="inlineStr">
        <is>
          <t>Steyn Group Fees</t>
        </is>
      </c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</row>
    <row r="26" ht="15" customHeight="1" s="202">
      <c r="A26" s="210" t="inlineStr">
        <is>
          <t xml:space="preserve">  Completion Guaranty Fee</t>
        </is>
      </c>
      <c r="B26" s="211">
        <f>Model!C79+Model!D79+Model!E79</f>
        <v/>
      </c>
      <c r="C26" s="211">
        <f>Model!F79+Model!G79+Model!H79</f>
        <v/>
      </c>
      <c r="D26" s="211">
        <f>Model!I79+Model!J79+Model!K79</f>
        <v/>
      </c>
      <c r="E26" s="211">
        <f>Model!L79+Model!M79+Model!N79</f>
        <v/>
      </c>
      <c r="F26" s="211">
        <f>Model!O79+Model!P79+Model!Q79</f>
        <v/>
      </c>
      <c r="G26" s="211">
        <f>Model!R79+Model!S79+Model!T79</f>
        <v/>
      </c>
      <c r="H26" s="211">
        <f>Model!U79+Model!V79+Model!W79</f>
        <v/>
      </c>
      <c r="I26" s="211">
        <f>Model!X79+Model!Y79+Model!Z79</f>
        <v/>
      </c>
      <c r="J26" s="211">
        <f>Model!AA79+Model!AB79+Model!AC79</f>
        <v/>
      </c>
      <c r="K26" s="211">
        <f>Model!AD79+Model!AE79+Model!AF79</f>
        <v/>
      </c>
      <c r="L26" s="211">
        <f>Model!AG79+Model!AH79+Model!AI79</f>
        <v/>
      </c>
      <c r="M26" s="211">
        <f>Model!AJ79+Model!AK79+Model!AL79</f>
        <v/>
      </c>
      <c r="N26" s="211">
        <f>Model!AM79+Model!AN79+Model!AO79</f>
        <v/>
      </c>
      <c r="O26" s="211">
        <f>Model!AP79+Model!AQ79+Model!AR79</f>
        <v/>
      </c>
      <c r="P26" s="211">
        <f>Model!AS79+Model!AT79+Model!AU79</f>
        <v/>
      </c>
      <c r="Q26" s="211">
        <f>Model!AV79+Model!AW79+Model!AX79</f>
        <v/>
      </c>
      <c r="R26" s="211">
        <f>Model!AY79+Model!AZ79+Model!BA79</f>
        <v/>
      </c>
      <c r="S26" s="211">
        <f>Model!BB79+Model!BC79+Model!BD79</f>
        <v/>
      </c>
      <c r="T26" s="211">
        <f>Model!BE79+Model!BF79+Model!BG79</f>
        <v/>
      </c>
      <c r="U26" s="211">
        <f>Model!BH79+Model!BI79+Model!BJ79</f>
        <v/>
      </c>
      <c r="V26" s="211">
        <f>Model!BK79+Model!BL79+Model!BM79</f>
        <v/>
      </c>
      <c r="W26" s="211">
        <f>Model!BN79+Model!BO79+Model!BP79</f>
        <v/>
      </c>
      <c r="X26" s="211">
        <f>Model!BQ79+Model!BR79+Model!BS79</f>
        <v/>
      </c>
      <c r="Y26" s="211">
        <f>Model!BT79+Model!BU79+Model!BV79</f>
        <v/>
      </c>
      <c r="Z26" s="211">
        <f>Model!BW79+Model!BX79+Model!BY79</f>
        <v/>
      </c>
      <c r="AA26" s="211">
        <f>Model!BZ79+Model!CA79+Model!CB79</f>
        <v/>
      </c>
      <c r="AB26" s="211">
        <f>Model!CC79+Model!CD79+Model!CE79</f>
        <v/>
      </c>
      <c r="AC26" s="211">
        <f>Model!CF79+Model!CG79+Model!CH79</f>
        <v/>
      </c>
    </row>
    <row r="27" ht="15" customHeight="1" s="202">
      <c r="A27" s="210" t="inlineStr">
        <is>
          <t xml:space="preserve">  Liquidity Guarantee Fee</t>
        </is>
      </c>
      <c r="B27" s="211">
        <f>Model!C80+Model!D80+Model!E80</f>
        <v/>
      </c>
      <c r="C27" s="211">
        <f>Model!F80+Model!G80+Model!H80</f>
        <v/>
      </c>
      <c r="D27" s="211">
        <f>Model!I80+Model!J80+Model!K80</f>
        <v/>
      </c>
      <c r="E27" s="211">
        <f>Model!L80+Model!M80+Model!N80</f>
        <v/>
      </c>
      <c r="F27" s="211">
        <f>Model!O80+Model!P80+Model!Q80</f>
        <v/>
      </c>
      <c r="G27" s="211">
        <f>Model!R80+Model!S80+Model!T80</f>
        <v/>
      </c>
      <c r="H27" s="211">
        <f>Model!U80+Model!V80+Model!W80</f>
        <v/>
      </c>
      <c r="I27" s="211">
        <f>Model!X80+Model!Y80+Model!Z80</f>
        <v/>
      </c>
      <c r="J27" s="211">
        <f>Model!AA80+Model!AB80+Model!AC80</f>
        <v/>
      </c>
      <c r="K27" s="211">
        <f>Model!AD80+Model!AE80+Model!AF80</f>
        <v/>
      </c>
      <c r="L27" s="211">
        <f>Model!AG80+Model!AH80+Model!AI80</f>
        <v/>
      </c>
      <c r="M27" s="211">
        <f>Model!AJ80+Model!AK80+Model!AL80</f>
        <v/>
      </c>
      <c r="N27" s="211">
        <f>Model!AM80+Model!AN80+Model!AO80</f>
        <v/>
      </c>
      <c r="O27" s="211">
        <f>Model!AP80+Model!AQ80+Model!AR80</f>
        <v/>
      </c>
      <c r="P27" s="211">
        <f>Model!AS80+Model!AT80+Model!AU80</f>
        <v/>
      </c>
      <c r="Q27" s="211">
        <f>Model!AV80+Model!AW80+Model!AX80</f>
        <v/>
      </c>
      <c r="R27" s="211">
        <f>Model!AY80+Model!AZ80+Model!BA80</f>
        <v/>
      </c>
      <c r="S27" s="211">
        <f>Model!BB80+Model!BC80+Model!BD80</f>
        <v/>
      </c>
      <c r="T27" s="211">
        <f>Model!BE80+Model!BF80+Model!BG80</f>
        <v/>
      </c>
      <c r="U27" s="211">
        <f>Model!BH80+Model!BI80+Model!BJ80</f>
        <v/>
      </c>
      <c r="V27" s="211">
        <f>Model!BK80+Model!BL80+Model!BM80</f>
        <v/>
      </c>
      <c r="W27" s="211">
        <f>Model!BN80+Model!BO80+Model!BP80</f>
        <v/>
      </c>
      <c r="X27" s="211">
        <f>Model!BQ80+Model!BR80+Model!BS80</f>
        <v/>
      </c>
      <c r="Y27" s="211">
        <f>Model!BT80+Model!BU80+Model!BV80</f>
        <v/>
      </c>
      <c r="Z27" s="211">
        <f>Model!BW80+Model!BX80+Model!BY80</f>
        <v/>
      </c>
      <c r="AA27" s="211">
        <f>Model!BZ80+Model!CA80+Model!CB80</f>
        <v/>
      </c>
      <c r="AB27" s="211">
        <f>Model!CC80+Model!CD80+Model!CE80</f>
        <v/>
      </c>
      <c r="AC27" s="211">
        <f>Model!CF80+Model!CG80+Model!CH80</f>
        <v/>
      </c>
    </row>
    <row r="28" ht="15" customHeight="1" s="202">
      <c r="A28" s="210" t="inlineStr">
        <is>
          <t xml:space="preserve">  Francis Steyn Fee + PIK (LIHTC)</t>
        </is>
      </c>
      <c r="B28" s="211">
        <f>Model!C81+Model!D81+Model!E81</f>
        <v/>
      </c>
      <c r="C28" s="211">
        <f>Model!F81+Model!G81+Model!H81</f>
        <v/>
      </c>
      <c r="D28" s="211">
        <f>Model!I81+Model!J81+Model!K81</f>
        <v/>
      </c>
      <c r="E28" s="211">
        <f>Model!L81+Model!M81+Model!N81</f>
        <v/>
      </c>
      <c r="F28" s="211">
        <f>Model!O81+Model!P81+Model!Q81</f>
        <v/>
      </c>
      <c r="G28" s="211">
        <f>Model!R81+Model!S81+Model!T81</f>
        <v/>
      </c>
      <c r="H28" s="211">
        <f>Model!U81+Model!V81+Model!W81</f>
        <v/>
      </c>
      <c r="I28" s="211">
        <f>Model!X81+Model!Y81+Model!Z81</f>
        <v/>
      </c>
      <c r="J28" s="211">
        <f>Model!AA81+Model!AB81+Model!AC81</f>
        <v/>
      </c>
      <c r="K28" s="211">
        <f>Model!AD81+Model!AE81+Model!AF81</f>
        <v/>
      </c>
      <c r="L28" s="211">
        <f>Model!AG81+Model!AH81+Model!AI81</f>
        <v/>
      </c>
      <c r="M28" s="211">
        <f>Model!AJ81+Model!AK81+Model!AL81</f>
        <v/>
      </c>
      <c r="N28" s="211">
        <f>Model!AM81+Model!AN81+Model!AO81</f>
        <v/>
      </c>
      <c r="O28" s="211">
        <f>Model!AP81+Model!AQ81+Model!AR81</f>
        <v/>
      </c>
      <c r="P28" s="211">
        <f>Model!AS81+Model!AT81+Model!AU81</f>
        <v/>
      </c>
      <c r="Q28" s="211">
        <f>Model!AV81+Model!AW81+Model!AX81</f>
        <v/>
      </c>
      <c r="R28" s="211">
        <f>Model!AY81+Model!AZ81+Model!BA81</f>
        <v/>
      </c>
      <c r="S28" s="211">
        <f>Model!BB81+Model!BC81+Model!BD81</f>
        <v/>
      </c>
      <c r="T28" s="211">
        <f>Model!BE81+Model!BF81+Model!BG81</f>
        <v/>
      </c>
      <c r="U28" s="211">
        <f>Model!BH81+Model!BI81+Model!BJ81</f>
        <v/>
      </c>
      <c r="V28" s="211">
        <f>Model!BK81+Model!BL81+Model!BM81</f>
        <v/>
      </c>
      <c r="W28" s="211">
        <f>Model!BN81+Model!BO81+Model!BP81</f>
        <v/>
      </c>
      <c r="X28" s="211">
        <f>Model!BQ81+Model!BR81+Model!BS81</f>
        <v/>
      </c>
      <c r="Y28" s="211">
        <f>Model!BT81+Model!BU81+Model!BV81</f>
        <v/>
      </c>
      <c r="Z28" s="211">
        <f>Model!BW81+Model!BX81+Model!BY81</f>
        <v/>
      </c>
      <c r="AA28" s="211">
        <f>Model!BZ81+Model!CA81+Model!CB81</f>
        <v/>
      </c>
      <c r="AB28" s="211">
        <f>Model!CC81+Model!CD81+Model!CE81</f>
        <v/>
      </c>
      <c r="AC28" s="211">
        <f>Model!CF81+Model!CG81+Model!CH81</f>
        <v/>
      </c>
    </row>
    <row r="29" ht="15" customHeight="1" s="202">
      <c r="A29" s="210" t="inlineStr">
        <is>
          <t xml:space="preserve">  Reseda Steyn Fee + PIK (LIHTC)</t>
        </is>
      </c>
      <c r="B29" s="211">
        <f>Model!C82+Model!D82+Model!E82</f>
        <v/>
      </c>
      <c r="C29" s="211">
        <f>Model!F82+Model!G82+Model!H82</f>
        <v/>
      </c>
      <c r="D29" s="211">
        <f>Model!I82+Model!J82+Model!K82</f>
        <v/>
      </c>
      <c r="E29" s="211">
        <f>Model!L82+Model!M82+Model!N82</f>
        <v/>
      </c>
      <c r="F29" s="211">
        <f>Model!O82+Model!P82+Model!Q82</f>
        <v/>
      </c>
      <c r="G29" s="211">
        <f>Model!R82+Model!S82+Model!T82</f>
        <v/>
      </c>
      <c r="H29" s="211">
        <f>Model!U82+Model!V82+Model!W82</f>
        <v/>
      </c>
      <c r="I29" s="211">
        <f>Model!X82+Model!Y82+Model!Z82</f>
        <v/>
      </c>
      <c r="J29" s="211">
        <f>Model!AA82+Model!AB82+Model!AC82</f>
        <v/>
      </c>
      <c r="K29" s="211">
        <f>Model!AD82+Model!AE82+Model!AF82</f>
        <v/>
      </c>
      <c r="L29" s="211">
        <f>Model!AG82+Model!AH82+Model!AI82</f>
        <v/>
      </c>
      <c r="M29" s="211">
        <f>Model!AJ82+Model!AK82+Model!AL82</f>
        <v/>
      </c>
      <c r="N29" s="211">
        <f>Model!AM82+Model!AN82+Model!AO82</f>
        <v/>
      </c>
      <c r="O29" s="211">
        <f>Model!AP82+Model!AQ82+Model!AR82</f>
        <v/>
      </c>
      <c r="P29" s="211">
        <f>Model!AS82+Model!AT82+Model!AU82</f>
        <v/>
      </c>
      <c r="Q29" s="211">
        <f>Model!AV82+Model!AW82+Model!AX82</f>
        <v/>
      </c>
      <c r="R29" s="211">
        <f>Model!AY82+Model!AZ82+Model!BA82</f>
        <v/>
      </c>
      <c r="S29" s="211">
        <f>Model!BB82+Model!BC82+Model!BD82</f>
        <v/>
      </c>
      <c r="T29" s="211">
        <f>Model!BE82+Model!BF82+Model!BG82</f>
        <v/>
      </c>
      <c r="U29" s="211">
        <f>Model!BH82+Model!BI82+Model!BJ82</f>
        <v/>
      </c>
      <c r="V29" s="211">
        <f>Model!BK82+Model!BL82+Model!BM82</f>
        <v/>
      </c>
      <c r="W29" s="211">
        <f>Model!BN82+Model!BO82+Model!BP82</f>
        <v/>
      </c>
      <c r="X29" s="211">
        <f>Model!BQ82+Model!BR82+Model!BS82</f>
        <v/>
      </c>
      <c r="Y29" s="211">
        <f>Model!BT82+Model!BU82+Model!BV82</f>
        <v/>
      </c>
      <c r="Z29" s="211">
        <f>Model!BW82+Model!BX82+Model!BY82</f>
        <v/>
      </c>
      <c r="AA29" s="211">
        <f>Model!BZ82+Model!CA82+Model!CB82</f>
        <v/>
      </c>
      <c r="AB29" s="211">
        <f>Model!CC82+Model!CD82+Model!CE82</f>
        <v/>
      </c>
      <c r="AC29" s="211">
        <f>Model!CF82+Model!CG82+Model!CH82</f>
        <v/>
      </c>
    </row>
    <row r="30" ht="15" customHeight="1" s="202">
      <c r="A30" s="210" t="inlineStr">
        <is>
          <t xml:space="preserve">  3rd St Steyn Fee + PIK (LIHTC)</t>
        </is>
      </c>
      <c r="B30" s="211">
        <f>Model!C83+Model!D83+Model!E83</f>
        <v/>
      </c>
      <c r="C30" s="211">
        <f>Model!F83+Model!G83+Model!H83</f>
        <v/>
      </c>
      <c r="D30" s="211">
        <f>Model!I83+Model!J83+Model!K83</f>
        <v/>
      </c>
      <c r="E30" s="211">
        <f>Model!L83+Model!M83+Model!N83</f>
        <v/>
      </c>
      <c r="F30" s="211">
        <f>Model!O83+Model!P83+Model!Q83</f>
        <v/>
      </c>
      <c r="G30" s="211">
        <f>Model!R83+Model!S83+Model!T83</f>
        <v/>
      </c>
      <c r="H30" s="211">
        <f>Model!U83+Model!V83+Model!W83</f>
        <v/>
      </c>
      <c r="I30" s="211">
        <f>Model!X83+Model!Y83+Model!Z83</f>
        <v/>
      </c>
      <c r="J30" s="211">
        <f>Model!AA83+Model!AB83+Model!AC83</f>
        <v/>
      </c>
      <c r="K30" s="211">
        <f>Model!AD83+Model!AE83+Model!AF83</f>
        <v/>
      </c>
      <c r="L30" s="211">
        <f>Model!AG83+Model!AH83+Model!AI83</f>
        <v/>
      </c>
      <c r="M30" s="211">
        <f>Model!AJ83+Model!AK83+Model!AL83</f>
        <v/>
      </c>
      <c r="N30" s="211">
        <f>Model!AM83+Model!AN83+Model!AO83</f>
        <v/>
      </c>
      <c r="O30" s="211">
        <f>Model!AP83+Model!AQ83+Model!AR83</f>
        <v/>
      </c>
      <c r="P30" s="211">
        <f>Model!AS83+Model!AT83+Model!AU83</f>
        <v/>
      </c>
      <c r="Q30" s="211">
        <f>Model!AV83+Model!AW83+Model!AX83</f>
        <v/>
      </c>
      <c r="R30" s="211">
        <f>Model!AY83+Model!AZ83+Model!BA83</f>
        <v/>
      </c>
      <c r="S30" s="211">
        <f>Model!BB83+Model!BC83+Model!BD83</f>
        <v/>
      </c>
      <c r="T30" s="211">
        <f>Model!BE83+Model!BF83+Model!BG83</f>
        <v/>
      </c>
      <c r="U30" s="211">
        <f>Model!BH83+Model!BI83+Model!BJ83</f>
        <v/>
      </c>
      <c r="V30" s="211">
        <f>Model!BK83+Model!BL83+Model!BM83</f>
        <v/>
      </c>
      <c r="W30" s="211">
        <f>Model!BN83+Model!BO83+Model!BP83</f>
        <v/>
      </c>
      <c r="X30" s="211">
        <f>Model!BQ83+Model!BR83+Model!BS83</f>
        <v/>
      </c>
      <c r="Y30" s="211">
        <f>Model!BT83+Model!BU83+Model!BV83</f>
        <v/>
      </c>
      <c r="Z30" s="211">
        <f>Model!BW83+Model!BX83+Model!BY83</f>
        <v/>
      </c>
      <c r="AA30" s="211">
        <f>Model!BZ83+Model!CA83+Model!CB83</f>
        <v/>
      </c>
      <c r="AB30" s="211">
        <f>Model!CC83+Model!CD83+Model!CE83</f>
        <v/>
      </c>
      <c r="AC30" s="211">
        <f>Model!CF83+Model!CG83+Model!CH83</f>
        <v/>
      </c>
    </row>
    <row r="31" ht="15" customHeight="1" s="202">
      <c r="A31" s="204" t="n"/>
      <c r="B31" s="204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L31" s="204" t="n"/>
      <c r="M31" s="204" t="n"/>
      <c r="N31" s="204" t="n"/>
      <c r="O31" s="204" t="n"/>
      <c r="P31" s="204" t="n"/>
      <c r="Q31" s="204" t="n"/>
      <c r="R31" s="204" t="n"/>
      <c r="S31" s="204" t="n"/>
      <c r="T31" s="204" t="n"/>
      <c r="U31" s="204" t="n"/>
      <c r="V31" s="204" t="n"/>
      <c r="W31" s="204" t="n"/>
      <c r="X31" s="204" t="n"/>
      <c r="Y31" s="204" t="n"/>
      <c r="Z31" s="204" t="n"/>
      <c r="AA31" s="204" t="n"/>
      <c r="AB31" s="204" t="n"/>
      <c r="AC31" s="204" t="n"/>
    </row>
    <row r="32" ht="15" customHeight="1" s="202">
      <c r="A32" s="209" t="inlineStr">
        <is>
          <t>Debt Facilities</t>
        </is>
      </c>
      <c r="B32" s="209" t="n"/>
      <c r="C32" s="209" t="n"/>
      <c r="D32" s="209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</row>
    <row r="33" ht="15" customHeight="1" s="202">
      <c r="A33" s="210" t="inlineStr">
        <is>
          <t xml:space="preserve">  Debt Facility Payment</t>
        </is>
      </c>
      <c r="B33" s="211">
        <f>Model!C100+Model!D100+Model!E100</f>
        <v/>
      </c>
      <c r="C33" s="211">
        <f>Model!F100+Model!G100+Model!H100</f>
        <v/>
      </c>
      <c r="D33" s="211">
        <f>Model!I100+Model!J100+Model!K100</f>
        <v/>
      </c>
      <c r="E33" s="211">
        <f>Model!L100+Model!M100+Model!N100</f>
        <v/>
      </c>
      <c r="F33" s="211">
        <f>Model!O100+Model!P100+Model!Q100</f>
        <v/>
      </c>
      <c r="G33" s="211">
        <f>Model!R100+Model!S100+Model!T100</f>
        <v/>
      </c>
      <c r="H33" s="211">
        <f>Model!U100+Model!V100+Model!W100</f>
        <v/>
      </c>
      <c r="I33" s="211">
        <f>Model!X100+Model!Y100+Model!Z100</f>
        <v/>
      </c>
      <c r="J33" s="211">
        <f>Model!AA100+Model!AB100+Model!AC100</f>
        <v/>
      </c>
      <c r="K33" s="211">
        <f>Model!AD100+Model!AE100+Model!AF100</f>
        <v/>
      </c>
      <c r="L33" s="211">
        <f>Model!AG100+Model!AH100+Model!AI100</f>
        <v/>
      </c>
      <c r="M33" s="211">
        <f>Model!AJ100+Model!AK100+Model!AL100</f>
        <v/>
      </c>
      <c r="N33" s="211">
        <f>Model!AM100+Model!AN100+Model!AO100</f>
        <v/>
      </c>
      <c r="O33" s="211">
        <f>Model!AP100+Model!AQ100+Model!AR100</f>
        <v/>
      </c>
      <c r="P33" s="211">
        <f>Model!AS100+Model!AT100+Model!AU100</f>
        <v/>
      </c>
      <c r="Q33" s="211">
        <f>Model!AV100+Model!AW100+Model!AX100</f>
        <v/>
      </c>
      <c r="R33" s="211">
        <f>Model!AY100+Model!AZ100+Model!BA100</f>
        <v/>
      </c>
      <c r="S33" s="211">
        <f>Model!BB100+Model!BC100+Model!BD100</f>
        <v/>
      </c>
      <c r="T33" s="211">
        <f>Model!BE100+Model!BF100+Model!BG100</f>
        <v/>
      </c>
      <c r="U33" s="211">
        <f>Model!BH100+Model!BI100+Model!BJ100</f>
        <v/>
      </c>
      <c r="V33" s="211">
        <f>Model!BK100+Model!BL100+Model!BM100</f>
        <v/>
      </c>
      <c r="W33" s="211">
        <f>Model!BN100+Model!BO100+Model!BP100</f>
        <v/>
      </c>
      <c r="X33" s="211">
        <f>Model!BQ100+Model!BR100+Model!BS100</f>
        <v/>
      </c>
      <c r="Y33" s="211">
        <f>Model!BT100+Model!BU100+Model!BV100</f>
        <v/>
      </c>
      <c r="Z33" s="211">
        <f>Model!BW100+Model!BX100+Model!BY100</f>
        <v/>
      </c>
      <c r="AA33" s="211">
        <f>Model!BZ100+Model!CA100+Model!CB100</f>
        <v/>
      </c>
      <c r="AB33" s="211">
        <f>Model!CC100+Model!CD100+Model!CE100</f>
        <v/>
      </c>
      <c r="AC33" s="211">
        <f>Model!CF100+Model!CG100+Model!CH100</f>
        <v/>
      </c>
    </row>
    <row r="34" ht="15" customHeight="1" s="202">
      <c r="A34" s="210" t="inlineStr">
        <is>
          <t xml:space="preserve">  Debt Facility Balance</t>
        </is>
      </c>
      <c r="B34" s="211">
        <f>Model!E101</f>
        <v/>
      </c>
      <c r="C34" s="211">
        <f>Model!H101</f>
        <v/>
      </c>
      <c r="D34" s="211">
        <f>Model!K101</f>
        <v/>
      </c>
      <c r="E34" s="211">
        <f>Model!N101</f>
        <v/>
      </c>
      <c r="F34" s="211">
        <f>Model!Q101</f>
        <v/>
      </c>
      <c r="G34" s="211">
        <f>Model!T101</f>
        <v/>
      </c>
      <c r="H34" s="211">
        <f>Model!W101</f>
        <v/>
      </c>
      <c r="I34" s="211">
        <f>Model!Z101</f>
        <v/>
      </c>
      <c r="J34" s="211">
        <f>Model!AC101</f>
        <v/>
      </c>
      <c r="K34" s="211">
        <f>Model!AF101</f>
        <v/>
      </c>
      <c r="L34" s="211">
        <f>Model!AI101</f>
        <v/>
      </c>
      <c r="M34" s="211">
        <f>Model!AL101</f>
        <v/>
      </c>
      <c r="N34" s="211">
        <f>Model!AO101</f>
        <v/>
      </c>
      <c r="O34" s="211">
        <f>Model!AR101</f>
        <v/>
      </c>
      <c r="P34" s="211">
        <f>Model!AU101</f>
        <v/>
      </c>
      <c r="Q34" s="211">
        <f>Model!AX101</f>
        <v/>
      </c>
      <c r="R34" s="211">
        <f>Model!BA101</f>
        <v/>
      </c>
      <c r="S34" s="211">
        <f>Model!BD101</f>
        <v/>
      </c>
      <c r="T34" s="211">
        <f>Model!BG101</f>
        <v/>
      </c>
      <c r="U34" s="211">
        <f>Model!BJ101</f>
        <v/>
      </c>
      <c r="V34" s="211">
        <f>Model!BM101</f>
        <v/>
      </c>
      <c r="W34" s="211">
        <f>Model!BP101</f>
        <v/>
      </c>
      <c r="X34" s="211">
        <f>Model!BS101</f>
        <v/>
      </c>
      <c r="Y34" s="211">
        <f>Model!BV101</f>
        <v/>
      </c>
      <c r="Z34" s="211">
        <f>Model!BY101</f>
        <v/>
      </c>
      <c r="AA34" s="211">
        <f>Model!CB101</f>
        <v/>
      </c>
      <c r="AB34" s="211">
        <f>Model!CE101</f>
        <v/>
      </c>
      <c r="AC34" s="211">
        <f>Model!CH101</f>
        <v/>
      </c>
    </row>
    <row r="35" ht="15" customHeight="1" s="202">
      <c r="A35" s="210" t="inlineStr">
        <is>
          <t xml:space="preserve">  Row Run Capital Payment</t>
        </is>
      </c>
      <c r="B35" s="211">
        <f>Model!C106+Model!D106+Model!E106</f>
        <v/>
      </c>
      <c r="C35" s="211">
        <f>Model!F106+Model!G106+Model!H106</f>
        <v/>
      </c>
      <c r="D35" s="211">
        <f>Model!I106+Model!J106+Model!K106</f>
        <v/>
      </c>
      <c r="E35" s="211">
        <f>Model!L106+Model!M106+Model!N106</f>
        <v/>
      </c>
      <c r="F35" s="211">
        <f>Model!O106+Model!P106+Model!Q106</f>
        <v/>
      </c>
      <c r="G35" s="211">
        <f>Model!R106+Model!S106+Model!T106</f>
        <v/>
      </c>
      <c r="H35" s="211">
        <f>Model!U106+Model!V106+Model!W106</f>
        <v/>
      </c>
      <c r="I35" s="211">
        <f>Model!X106+Model!Y106+Model!Z106</f>
        <v/>
      </c>
      <c r="J35" s="211">
        <f>Model!AA106+Model!AB106+Model!AC106</f>
        <v/>
      </c>
      <c r="K35" s="211">
        <f>Model!AD106+Model!AE106+Model!AF106</f>
        <v/>
      </c>
      <c r="L35" s="211">
        <f>Model!AG106+Model!AH106+Model!AI106</f>
        <v/>
      </c>
      <c r="M35" s="211">
        <f>Model!AJ106+Model!AK106+Model!AL106</f>
        <v/>
      </c>
      <c r="N35" s="211">
        <f>Model!AM106+Model!AN106+Model!AO106</f>
        <v/>
      </c>
      <c r="O35" s="211">
        <f>Model!AP106+Model!AQ106+Model!AR106</f>
        <v/>
      </c>
      <c r="P35" s="211">
        <f>Model!AS106+Model!AT106+Model!AU106</f>
        <v/>
      </c>
      <c r="Q35" s="211">
        <f>Model!AV106+Model!AW106+Model!AX106</f>
        <v/>
      </c>
      <c r="R35" s="211">
        <f>Model!AY106+Model!AZ106+Model!BA106</f>
        <v/>
      </c>
      <c r="S35" s="211">
        <f>Model!BB106+Model!BC106+Model!BD106</f>
        <v/>
      </c>
      <c r="T35" s="211">
        <f>Model!BE106+Model!BF106+Model!BG106</f>
        <v/>
      </c>
      <c r="U35" s="211">
        <f>Model!BH106+Model!BI106+Model!BJ106</f>
        <v/>
      </c>
      <c r="V35" s="211">
        <f>Model!BK106+Model!BL106+Model!BM106</f>
        <v/>
      </c>
      <c r="W35" s="211">
        <f>Model!BN106+Model!BO106+Model!BP106</f>
        <v/>
      </c>
      <c r="X35" s="211">
        <f>Model!BQ106+Model!BR106+Model!BS106</f>
        <v/>
      </c>
      <c r="Y35" s="211">
        <f>Model!BT106+Model!BU106+Model!BV106</f>
        <v/>
      </c>
      <c r="Z35" s="211">
        <f>Model!BW106+Model!BX106+Model!BY106</f>
        <v/>
      </c>
      <c r="AA35" s="211">
        <f>Model!BZ106+Model!CA106+Model!CB106</f>
        <v/>
      </c>
      <c r="AB35" s="211">
        <f>Model!CC106+Model!CD106+Model!CE106</f>
        <v/>
      </c>
      <c r="AC35" s="211">
        <f>Model!CF106+Model!CG106+Model!CH106</f>
        <v/>
      </c>
    </row>
    <row r="36" ht="15" customHeight="1" s="202">
      <c r="A36" s="210" t="inlineStr">
        <is>
          <t xml:space="preserve">  Row Run Capital Balance</t>
        </is>
      </c>
      <c r="B36" s="211">
        <f>Model!E107</f>
        <v/>
      </c>
      <c r="C36" s="211">
        <f>Model!H107</f>
        <v/>
      </c>
      <c r="D36" s="211">
        <f>Model!K107</f>
        <v/>
      </c>
      <c r="E36" s="211">
        <f>Model!N107</f>
        <v/>
      </c>
      <c r="F36" s="211">
        <f>Model!Q107</f>
        <v/>
      </c>
      <c r="G36" s="211">
        <f>Model!T107</f>
        <v/>
      </c>
      <c r="H36" s="211">
        <f>Model!W107</f>
        <v/>
      </c>
      <c r="I36" s="211">
        <f>Model!Z107</f>
        <v/>
      </c>
      <c r="J36" s="211">
        <f>Model!AC107</f>
        <v/>
      </c>
      <c r="K36" s="211">
        <f>Model!AF107</f>
        <v/>
      </c>
      <c r="L36" s="211">
        <f>Model!AI107</f>
        <v/>
      </c>
      <c r="M36" s="211">
        <f>Model!AL107</f>
        <v/>
      </c>
      <c r="N36" s="211">
        <f>Model!AO107</f>
        <v/>
      </c>
      <c r="O36" s="211">
        <f>Model!AR107</f>
        <v/>
      </c>
      <c r="P36" s="211">
        <f>Model!AU107</f>
        <v/>
      </c>
      <c r="Q36" s="211">
        <f>Model!AX107</f>
        <v/>
      </c>
      <c r="R36" s="211">
        <f>Model!BA107</f>
        <v/>
      </c>
      <c r="S36" s="211">
        <f>Model!BD107</f>
        <v/>
      </c>
      <c r="T36" s="211">
        <f>Model!BG107</f>
        <v/>
      </c>
      <c r="U36" s="211">
        <f>Model!BJ107</f>
        <v/>
      </c>
      <c r="V36" s="211">
        <f>Model!BM107</f>
        <v/>
      </c>
      <c r="W36" s="211">
        <f>Model!BP107</f>
        <v/>
      </c>
      <c r="X36" s="211">
        <f>Model!BS107</f>
        <v/>
      </c>
      <c r="Y36" s="211">
        <f>Model!BV107</f>
        <v/>
      </c>
      <c r="Z36" s="211">
        <f>Model!BY107</f>
        <v/>
      </c>
      <c r="AA36" s="211">
        <f>Model!CB107</f>
        <v/>
      </c>
      <c r="AB36" s="211">
        <f>Model!CE107</f>
        <v/>
      </c>
      <c r="AC36" s="211">
        <f>Model!CH107</f>
        <v/>
      </c>
    </row>
    <row r="37" ht="15" customHeight="1" s="202">
      <c r="A37" s="210" t="inlineStr">
        <is>
          <t xml:space="preserve">  PIK Repayment (in Steyn + PIK above)</t>
        </is>
      </c>
      <c r="B37" s="211">
        <f>Model!C154+Model!D154+Model!E154</f>
        <v/>
      </c>
      <c r="C37" s="211">
        <f>Model!F154+Model!G154+Model!H154</f>
        <v/>
      </c>
      <c r="D37" s="211">
        <f>Model!I154+Model!J154+Model!K154</f>
        <v/>
      </c>
      <c r="E37" s="211">
        <f>Model!L154+Model!M154+Model!N154</f>
        <v/>
      </c>
      <c r="F37" s="211">
        <f>Model!O154+Model!P154+Model!Q154</f>
        <v/>
      </c>
      <c r="G37" s="211">
        <f>Model!R154+Model!S154+Model!T154</f>
        <v/>
      </c>
      <c r="H37" s="211">
        <f>Model!U154+Model!V154+Model!W154</f>
        <v/>
      </c>
      <c r="I37" s="211">
        <f>Model!X154+Model!Y154+Model!Z154</f>
        <v/>
      </c>
      <c r="J37" s="211">
        <f>Model!AA154+Model!AB154+Model!AC154</f>
        <v/>
      </c>
      <c r="K37" s="211">
        <f>Model!AD154+Model!AE154+Model!AF154</f>
        <v/>
      </c>
      <c r="L37" s="211">
        <f>Model!AG154+Model!AH154+Model!AI154</f>
        <v/>
      </c>
      <c r="M37" s="211">
        <f>Model!AJ154+Model!AK154+Model!AL154</f>
        <v/>
      </c>
      <c r="N37" s="211">
        <f>Model!AM154+Model!AN154+Model!AO154</f>
        <v/>
      </c>
      <c r="O37" s="211">
        <f>Model!AP154+Model!AQ154+Model!AR154</f>
        <v/>
      </c>
      <c r="P37" s="211">
        <f>Model!AS154+Model!AT154+Model!AU154</f>
        <v/>
      </c>
      <c r="Q37" s="211">
        <f>Model!AV154+Model!AW154+Model!AX154</f>
        <v/>
      </c>
      <c r="R37" s="211">
        <f>Model!AY154+Model!AZ154+Model!BA154</f>
        <v/>
      </c>
      <c r="S37" s="211">
        <f>Model!BB154+Model!BC154+Model!BD154</f>
        <v/>
      </c>
      <c r="T37" s="211">
        <f>Model!BE154+Model!BF154+Model!BG154</f>
        <v/>
      </c>
      <c r="U37" s="211">
        <f>Model!BH154+Model!BI154+Model!BJ154</f>
        <v/>
      </c>
      <c r="V37" s="211">
        <f>Model!BK154+Model!BL154+Model!BM154</f>
        <v/>
      </c>
      <c r="W37" s="211">
        <f>Model!BN154+Model!BO154+Model!BP154</f>
        <v/>
      </c>
      <c r="X37" s="211">
        <f>Model!BQ154+Model!BR154+Model!BS154</f>
        <v/>
      </c>
      <c r="Y37" s="211">
        <f>Model!BT154+Model!BU154+Model!BV154</f>
        <v/>
      </c>
      <c r="Z37" s="211">
        <f>Model!BW154+Model!BX154+Model!BY154</f>
        <v/>
      </c>
      <c r="AA37" s="211">
        <f>Model!BZ154+Model!CA154+Model!CB154</f>
        <v/>
      </c>
      <c r="AB37" s="211">
        <f>Model!CC154+Model!CD154+Model!CE154</f>
        <v/>
      </c>
      <c r="AC37" s="211">
        <f>Model!CF154+Model!CG154+Model!CH154</f>
        <v/>
      </c>
    </row>
    <row r="38" ht="15" customHeight="1" s="202">
      <c r="A38" s="210" t="inlineStr">
        <is>
          <t xml:space="preserve">  Investment Capital Outstanding</t>
        </is>
      </c>
      <c r="B38" s="211">
        <f>Model!E114+Model!E119+Model!E124+Model!E129</f>
        <v/>
      </c>
      <c r="C38" s="211">
        <f>Model!H114+Model!H119+Model!H124+Model!H129</f>
        <v/>
      </c>
      <c r="D38" s="211">
        <f>Model!K114+Model!K119+Model!K124+Model!K129</f>
        <v/>
      </c>
      <c r="E38" s="211">
        <f>Model!N126</f>
        <v/>
      </c>
      <c r="F38" s="211">
        <f>Model!Q126</f>
        <v/>
      </c>
      <c r="G38" s="211">
        <f>Model!T126</f>
        <v/>
      </c>
      <c r="H38" s="211">
        <f>Model!W126</f>
        <v/>
      </c>
      <c r="I38" s="211">
        <f>Model!Z126</f>
        <v/>
      </c>
      <c r="J38" s="211">
        <f>Model!AC126</f>
        <v/>
      </c>
      <c r="K38" s="211">
        <f>Model!AF126</f>
        <v/>
      </c>
      <c r="L38" s="211">
        <f>Model!AI126</f>
        <v/>
      </c>
      <c r="M38" s="211">
        <f>Model!AL126</f>
        <v/>
      </c>
      <c r="N38" s="211">
        <f>Model!AO126</f>
        <v/>
      </c>
      <c r="O38" s="211">
        <f>Model!AR126</f>
        <v/>
      </c>
      <c r="P38" s="211">
        <f>Model!AU126</f>
        <v/>
      </c>
      <c r="Q38" s="211">
        <f>Model!AX126</f>
        <v/>
      </c>
      <c r="R38" s="211">
        <f>Model!BA126</f>
        <v/>
      </c>
      <c r="S38" s="211">
        <f>Model!BD126</f>
        <v/>
      </c>
      <c r="T38" s="211">
        <f>Model!BG126</f>
        <v/>
      </c>
      <c r="U38" s="211">
        <f>Model!BJ126</f>
        <v/>
      </c>
      <c r="V38" s="211">
        <f>Model!BM126</f>
        <v/>
      </c>
      <c r="W38" s="211">
        <f>Model!BP126</f>
        <v/>
      </c>
      <c r="X38" s="211">
        <f>Model!BS126</f>
        <v/>
      </c>
      <c r="Y38" s="211">
        <f>Model!BV126</f>
        <v/>
      </c>
      <c r="Z38" s="211">
        <f>Model!BY126</f>
        <v/>
      </c>
      <c r="AA38" s="211">
        <f>Model!CB126</f>
        <v/>
      </c>
      <c r="AB38" s="211">
        <f>Model!CE126</f>
        <v/>
      </c>
      <c r="AC38" s="211">
        <f>Model!CH126</f>
        <v/>
      </c>
    </row>
    <row r="39" ht="15" customHeight="1" s="202">
      <c r="A39" s="204" t="n"/>
      <c r="B39" s="204" t="n"/>
      <c r="C39" s="204" t="n"/>
      <c r="D39" s="204" t="n"/>
      <c r="E39" s="204" t="n"/>
      <c r="F39" s="204" t="n"/>
      <c r="G39" s="204" t="n"/>
      <c r="H39" s="204" t="n"/>
      <c r="I39" s="204" t="n"/>
      <c r="J39" s="204" t="n"/>
      <c r="K39" s="204" t="n"/>
      <c r="L39" s="204" t="n"/>
      <c r="M39" s="204" t="n"/>
      <c r="N39" s="204" t="n"/>
      <c r="O39" s="204" t="n"/>
      <c r="P39" s="204" t="n"/>
      <c r="Q39" s="204" t="n"/>
      <c r="R39" s="204" t="n"/>
      <c r="S39" s="204" t="n"/>
      <c r="T39" s="204" t="n"/>
      <c r="U39" s="204" t="n"/>
      <c r="V39" s="204" t="n"/>
      <c r="W39" s="204" t="n"/>
      <c r="X39" s="204" t="n"/>
      <c r="Y39" s="204" t="n"/>
      <c r="Z39" s="204" t="n"/>
      <c r="AA39" s="204" t="n"/>
      <c r="AB39" s="204" t="n"/>
      <c r="AC39" s="204" t="n"/>
    </row>
    <row r="40" ht="15" customHeight="1" s="202">
      <c r="A40" s="210" t="inlineStr">
        <is>
          <t>Bonding Outstanding</t>
        </is>
      </c>
      <c r="B40" s="211">
        <f>Model!E140</f>
        <v/>
      </c>
      <c r="C40" s="211">
        <f>Model!H140</f>
        <v/>
      </c>
      <c r="D40" s="211">
        <f>Model!K140</f>
        <v/>
      </c>
      <c r="E40" s="211">
        <f>Model!N140</f>
        <v/>
      </c>
      <c r="F40" s="211">
        <f>Model!Q140</f>
        <v/>
      </c>
      <c r="G40" s="211">
        <f>Model!T140</f>
        <v/>
      </c>
      <c r="H40" s="211">
        <f>Model!W140</f>
        <v/>
      </c>
      <c r="I40" s="211">
        <f>Model!Z140</f>
        <v/>
      </c>
      <c r="J40" s="211">
        <f>Model!AC140</f>
        <v/>
      </c>
      <c r="K40" s="211">
        <f>Model!AF140</f>
        <v/>
      </c>
      <c r="L40" s="211">
        <f>Model!AI140</f>
        <v/>
      </c>
      <c r="M40" s="211">
        <f>Model!AL140</f>
        <v/>
      </c>
      <c r="N40" s="211">
        <f>Model!AO140</f>
        <v/>
      </c>
      <c r="O40" s="211">
        <f>Model!AR140</f>
        <v/>
      </c>
      <c r="P40" s="211">
        <f>Model!AU140</f>
        <v/>
      </c>
      <c r="Q40" s="211">
        <f>Model!AX140</f>
        <v/>
      </c>
      <c r="R40" s="211">
        <f>Model!BA140</f>
        <v/>
      </c>
      <c r="S40" s="211">
        <f>Model!BD140</f>
        <v/>
      </c>
      <c r="T40" s="211">
        <f>Model!BG140</f>
        <v/>
      </c>
      <c r="U40" s="211">
        <f>Model!BJ140</f>
        <v/>
      </c>
      <c r="V40" s="211">
        <f>Model!BM140</f>
        <v/>
      </c>
      <c r="W40" s="211">
        <f>Model!BP140</f>
        <v/>
      </c>
      <c r="X40" s="211">
        <f>Model!BS140</f>
        <v/>
      </c>
      <c r="Y40" s="211">
        <f>Model!BV140</f>
        <v/>
      </c>
      <c r="Z40" s="211">
        <f>Model!BY140</f>
        <v/>
      </c>
      <c r="AA40" s="211">
        <f>Model!CB140</f>
        <v/>
      </c>
      <c r="AB40" s="211">
        <f>Model!CE140</f>
        <v/>
      </c>
      <c r="AC40" s="211">
        <f>Model!CH140</f>
        <v/>
      </c>
    </row>
    <row r="41" ht="15" customHeight="1" s="202">
      <c r="A41" s="204" t="n"/>
      <c r="B41" s="204" t="n"/>
      <c r="C41" s="204" t="n"/>
      <c r="D41" s="204" t="n"/>
      <c r="E41" s="204" t="n"/>
      <c r="F41" s="204" t="n"/>
      <c r="G41" s="204" t="n"/>
      <c r="H41" s="204" t="n"/>
      <c r="I41" s="204" t="n"/>
      <c r="J41" s="204" t="n"/>
      <c r="K41" s="204" t="n"/>
      <c r="L41" s="204" t="n"/>
      <c r="M41" s="204" t="n"/>
      <c r="N41" s="204" t="n"/>
      <c r="O41" s="204" t="n"/>
      <c r="P41" s="204" t="n"/>
      <c r="Q41" s="204" t="n"/>
      <c r="R41" s="204" t="n"/>
      <c r="S41" s="204" t="n"/>
      <c r="T41" s="204" t="n"/>
      <c r="U41" s="204" t="n"/>
      <c r="V41" s="204" t="n"/>
      <c r="W41" s="204" t="n"/>
      <c r="X41" s="204" t="n"/>
      <c r="Y41" s="204" t="n"/>
      <c r="Z41" s="204" t="n"/>
      <c r="AA41" s="204" t="n"/>
      <c r="AB41" s="204" t="n"/>
      <c r="AC41" s="204" t="n"/>
    </row>
    <row r="42" ht="15" customHeight="1" s="202">
      <c r="A42" s="221" t="inlineStr">
        <is>
          <t>LV Ending Cash</t>
        </is>
      </c>
      <c r="B42" s="222">
        <f>Model!E147</f>
        <v/>
      </c>
      <c r="C42" s="222">
        <f>Model!H147</f>
        <v/>
      </c>
      <c r="D42" s="222">
        <f>Model!K147</f>
        <v/>
      </c>
      <c r="E42" s="222">
        <f>Model!N147</f>
        <v/>
      </c>
      <c r="F42" s="222">
        <f>Model!Q147</f>
        <v/>
      </c>
      <c r="G42" s="222">
        <f>Model!T147</f>
        <v/>
      </c>
      <c r="H42" s="222">
        <f>Model!W147</f>
        <v/>
      </c>
      <c r="I42" s="222">
        <f>Model!Z147</f>
        <v/>
      </c>
      <c r="J42" s="222">
        <f>Model!AC147</f>
        <v/>
      </c>
      <c r="K42" s="222">
        <f>Model!AF147</f>
        <v/>
      </c>
      <c r="L42" s="222">
        <f>Model!AI147</f>
        <v/>
      </c>
      <c r="M42" s="222">
        <f>Model!AL147</f>
        <v/>
      </c>
      <c r="N42" s="222">
        <f>Model!AO147</f>
        <v/>
      </c>
      <c r="O42" s="222">
        <f>Model!AR147</f>
        <v/>
      </c>
      <c r="P42" s="222">
        <f>Model!AU147</f>
        <v/>
      </c>
      <c r="Q42" s="222">
        <f>Model!AX147</f>
        <v/>
      </c>
      <c r="R42" s="222">
        <f>Model!BA147</f>
        <v/>
      </c>
      <c r="S42" s="222">
        <f>Model!BD147</f>
        <v/>
      </c>
      <c r="T42" s="222">
        <f>Model!BG147</f>
        <v/>
      </c>
      <c r="U42" s="222">
        <f>Model!BJ147</f>
        <v/>
      </c>
      <c r="V42" s="222">
        <f>Model!BM147</f>
        <v/>
      </c>
      <c r="W42" s="222">
        <f>Model!BP147</f>
        <v/>
      </c>
      <c r="X42" s="222">
        <f>Model!BS147</f>
        <v/>
      </c>
      <c r="Y42" s="222">
        <f>Model!BV147</f>
        <v/>
      </c>
      <c r="Z42" s="222">
        <f>Model!BY147</f>
        <v/>
      </c>
      <c r="AA42" s="222">
        <f>Model!CB147</f>
        <v/>
      </c>
      <c r="AB42" s="222">
        <f>Model!CE147</f>
        <v/>
      </c>
      <c r="AC42" s="222">
        <f>Model!CH147</f>
        <v/>
      </c>
    </row>
    <row r="43" ht="15" customHeight="1" s="202">
      <c r="A43" s="221" t="inlineStr">
        <is>
          <t>SP Ending Cash</t>
        </is>
      </c>
      <c r="B43" s="222">
        <f>Model!E155</f>
        <v/>
      </c>
      <c r="C43" s="222">
        <f>Model!H155</f>
        <v/>
      </c>
      <c r="D43" s="222">
        <f>Model!K155</f>
        <v/>
      </c>
      <c r="E43" s="222">
        <f>Model!N155</f>
        <v/>
      </c>
      <c r="F43" s="222">
        <f>Model!Q155</f>
        <v/>
      </c>
      <c r="G43" s="222">
        <f>Model!T155</f>
        <v/>
      </c>
      <c r="H43" s="222">
        <f>Model!W155</f>
        <v/>
      </c>
      <c r="I43" s="222">
        <f>Model!Z155</f>
        <v/>
      </c>
      <c r="J43" s="222">
        <f>Model!AC155</f>
        <v/>
      </c>
      <c r="K43" s="222">
        <f>Model!AF155</f>
        <v/>
      </c>
      <c r="L43" s="222">
        <f>Model!AI155</f>
        <v/>
      </c>
      <c r="M43" s="222">
        <f>Model!AL155</f>
        <v/>
      </c>
      <c r="N43" s="222">
        <f>Model!AO155</f>
        <v/>
      </c>
      <c r="O43" s="222">
        <f>Model!AR155</f>
        <v/>
      </c>
      <c r="P43" s="222">
        <f>Model!AU155</f>
        <v/>
      </c>
      <c r="Q43" s="222">
        <f>Model!AX155</f>
        <v/>
      </c>
      <c r="R43" s="222">
        <f>Model!BA155</f>
        <v/>
      </c>
      <c r="S43" s="222">
        <f>Model!BD155</f>
        <v/>
      </c>
      <c r="T43" s="222">
        <f>Model!BG155</f>
        <v/>
      </c>
      <c r="U43" s="222">
        <f>Model!BJ155</f>
        <v/>
      </c>
      <c r="V43" s="222">
        <f>Model!BM155</f>
        <v/>
      </c>
      <c r="W43" s="222">
        <f>Model!BP155</f>
        <v/>
      </c>
      <c r="X43" s="222">
        <f>Model!BS155</f>
        <v/>
      </c>
      <c r="Y43" s="222">
        <f>Model!BV155</f>
        <v/>
      </c>
      <c r="Z43" s="222">
        <f>Model!BY155</f>
        <v/>
      </c>
      <c r="AA43" s="222">
        <f>Model!CB155</f>
        <v/>
      </c>
      <c r="AB43" s="222">
        <f>Model!CE155</f>
        <v/>
      </c>
      <c r="AC43" s="222">
        <f>Model!CH155</f>
        <v/>
      </c>
    </row>
    <row r="44" ht="15" customHeight="1" s="202">
      <c r="A44" s="221" t="inlineStr">
        <is>
          <t>Tax Distribution (30% Consol NI)</t>
        </is>
      </c>
      <c r="B44" s="222">
        <f>Model!C159+Model!D159+Model!E159</f>
        <v/>
      </c>
      <c r="C44" s="222">
        <f>Model!F159+Model!G159+Model!H159</f>
        <v/>
      </c>
      <c r="D44" s="222">
        <f>Model!I159+Model!J159+Model!K159</f>
        <v/>
      </c>
      <c r="E44" s="222">
        <f>Model!L159+Model!M159+Model!N159</f>
        <v/>
      </c>
      <c r="F44" s="222">
        <f>Model!O159+Model!P159+Model!Q159</f>
        <v/>
      </c>
      <c r="G44" s="222">
        <f>Model!R159+Model!S159+Model!T159</f>
        <v/>
      </c>
      <c r="H44" s="222">
        <f>Model!U159+Model!V159+Model!W159</f>
        <v/>
      </c>
      <c r="I44" s="222">
        <f>Model!X159+Model!Y159+Model!Z159</f>
        <v/>
      </c>
      <c r="J44" s="222">
        <f>Model!AA159+Model!AB159+Model!AC159</f>
        <v/>
      </c>
      <c r="K44" s="222">
        <f>Model!AD159+Model!AE159+Model!AF159</f>
        <v/>
      </c>
      <c r="L44" s="222">
        <f>Model!AG159+Model!AH159+Model!AI159</f>
        <v/>
      </c>
      <c r="M44" s="222">
        <f>Model!AJ159+Model!AK159+Model!AL159</f>
        <v/>
      </c>
      <c r="N44" s="222">
        <f>Model!AM159+Model!AN159+Model!AO159</f>
        <v/>
      </c>
      <c r="O44" s="222">
        <f>Model!AP159+Model!AQ159+Model!AR159</f>
        <v/>
      </c>
      <c r="P44" s="222">
        <f>Model!AS159+Model!AT159+Model!AU159</f>
        <v/>
      </c>
      <c r="Q44" s="222">
        <f>Model!AV159+Model!AW159+Model!AX159</f>
        <v/>
      </c>
      <c r="R44" s="222">
        <f>Model!AY159+Model!AZ159+Model!BA159</f>
        <v/>
      </c>
      <c r="S44" s="222">
        <f>Model!BB159+Model!BC159+Model!BD159</f>
        <v/>
      </c>
      <c r="T44" s="222">
        <f>Model!BE159+Model!BF159+Model!BG159</f>
        <v/>
      </c>
      <c r="U44" s="222">
        <f>Model!BH159+Model!BI159+Model!BJ159</f>
        <v/>
      </c>
      <c r="V44" s="222">
        <f>Model!BK159+Model!BL159+Model!BM159</f>
        <v/>
      </c>
      <c r="W44" s="222">
        <f>Model!BN159+Model!BO159+Model!BP159</f>
        <v/>
      </c>
      <c r="X44" s="222">
        <f>Model!BQ159+Model!BR159+Model!BS159</f>
        <v/>
      </c>
      <c r="Y44" s="222">
        <f>Model!BT159+Model!BU159+Model!BV159</f>
        <v/>
      </c>
      <c r="Z44" s="222">
        <f>Model!BW159+Model!BX159+Model!BY159</f>
        <v/>
      </c>
      <c r="AA44" s="222">
        <f>Model!BZ159+Model!CA159+Model!CB159</f>
        <v/>
      </c>
      <c r="AB44" s="222">
        <f>Model!CC159+Model!CD159+Model!CE159</f>
        <v/>
      </c>
      <c r="AC44" s="222">
        <f>Model!CF159+Model!CG159+Model!CH159</f>
        <v/>
      </c>
    </row>
    <row r="45" ht="15" customHeight="1" s="202">
      <c r="A45" s="223" t="inlineStr">
        <is>
          <t>Total Ending Cash</t>
        </is>
      </c>
      <c r="B45" s="224">
        <f>Model!E160</f>
        <v/>
      </c>
      <c r="C45" s="224">
        <f>Model!H160</f>
        <v/>
      </c>
      <c r="D45" s="224">
        <f>Model!K160</f>
        <v/>
      </c>
      <c r="E45" s="224">
        <f>Model!N160</f>
        <v/>
      </c>
      <c r="F45" s="224">
        <f>Model!Q160</f>
        <v/>
      </c>
      <c r="G45" s="224">
        <f>Model!T160</f>
        <v/>
      </c>
      <c r="H45" s="224">
        <f>Model!W160</f>
        <v/>
      </c>
      <c r="I45" s="224">
        <f>Model!Z160</f>
        <v/>
      </c>
      <c r="J45" s="224">
        <f>Model!AC160</f>
        <v/>
      </c>
      <c r="K45" s="224">
        <f>Model!AF160</f>
        <v/>
      </c>
      <c r="L45" s="224">
        <f>Model!AI160</f>
        <v/>
      </c>
      <c r="M45" s="224">
        <f>Model!AL160</f>
        <v/>
      </c>
      <c r="N45" s="224">
        <f>Model!AO160</f>
        <v/>
      </c>
      <c r="O45" s="224">
        <f>Model!AR160</f>
        <v/>
      </c>
      <c r="P45" s="224">
        <f>Model!AU160</f>
        <v/>
      </c>
      <c r="Q45" s="224">
        <f>Model!AX160</f>
        <v/>
      </c>
      <c r="R45" s="224">
        <f>Model!BA160</f>
        <v/>
      </c>
      <c r="S45" s="224">
        <f>Model!BD160</f>
        <v/>
      </c>
      <c r="T45" s="224">
        <f>Model!BG160</f>
        <v/>
      </c>
      <c r="U45" s="224">
        <f>Model!BJ160</f>
        <v/>
      </c>
      <c r="V45" s="224">
        <f>Model!BM160</f>
        <v/>
      </c>
      <c r="W45" s="224">
        <f>Model!BP160</f>
        <v/>
      </c>
      <c r="X45" s="224">
        <f>Model!BS160</f>
        <v/>
      </c>
      <c r="Y45" s="224">
        <f>Model!BV160</f>
        <v/>
      </c>
      <c r="Z45" s="224">
        <f>Model!BY160</f>
        <v/>
      </c>
      <c r="AA45" s="224">
        <f>Model!CB160</f>
        <v/>
      </c>
      <c r="AB45" s="224">
        <f>Model!CE160</f>
        <v/>
      </c>
      <c r="AC45" s="224">
        <f>Model!CH160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484375" defaultRowHeight="15" customHeight="1" zeroHeight="0" outlineLevelRow="0"/>
  <cols>
    <col width="28" customWidth="1" style="201" min="1" max="1"/>
    <col width="14" customWidth="1" style="201" min="2" max="86"/>
  </cols>
  <sheetData>
    <row r="1" ht="17.25" customHeight="1" s="202">
      <c r="A1" s="203" t="inlineStr">
        <is>
          <t>Six Peak Capital - GC + Developer Deal Profitability (Net of Steyn Fees)</t>
        </is>
      </c>
      <c r="G1" s="204" t="n"/>
      <c r="H1" s="204" t="n"/>
      <c r="I1" s="204" t="n"/>
      <c r="J1" s="204" t="n"/>
      <c r="K1" s="204" t="n"/>
      <c r="L1" s="204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  <c r="AK1" s="204" t="n"/>
      <c r="AL1" s="204" t="n"/>
      <c r="AM1" s="204" t="n"/>
      <c r="AN1" s="204" t="n"/>
      <c r="AO1" s="204" t="n"/>
      <c r="AP1" s="204" t="n"/>
      <c r="AQ1" s="204" t="n"/>
      <c r="AR1" s="204" t="n"/>
      <c r="AS1" s="204" t="n"/>
      <c r="AT1" s="204" t="n"/>
      <c r="AU1" s="204" t="n"/>
      <c r="AV1" s="204" t="n"/>
      <c r="AW1" s="204" t="n"/>
      <c r="AX1" s="204" t="n"/>
      <c r="AY1" s="204" t="n"/>
      <c r="AZ1" s="204" t="n"/>
      <c r="BA1" s="204" t="n"/>
      <c r="BB1" s="204" t="n"/>
      <c r="BC1" s="204" t="n"/>
      <c r="BD1" s="204" t="n"/>
      <c r="BE1" s="204" t="n"/>
      <c r="BF1" s="204" t="n"/>
      <c r="BG1" s="204" t="n"/>
      <c r="BH1" s="204" t="n"/>
      <c r="BI1" s="204" t="n"/>
      <c r="BJ1" s="204" t="n"/>
      <c r="BK1" s="204" t="n"/>
      <c r="BL1" s="204" t="n"/>
      <c r="BM1" s="204" t="n"/>
      <c r="BN1" s="204" t="n"/>
      <c r="BO1" s="204" t="n"/>
      <c r="BP1" s="204" t="n"/>
      <c r="BQ1" s="204" t="n"/>
      <c r="BR1" s="204" t="n"/>
      <c r="BS1" s="204" t="n"/>
      <c r="BT1" s="204" t="n"/>
      <c r="BU1" s="204" t="n"/>
      <c r="BV1" s="204" t="n"/>
      <c r="BW1" s="204" t="n"/>
      <c r="BX1" s="204" t="n"/>
      <c r="BY1" s="204" t="n"/>
      <c r="BZ1" s="204" t="n"/>
      <c r="CA1" s="204" t="n"/>
      <c r="CB1" s="204" t="n"/>
      <c r="CC1" s="204" t="n"/>
      <c r="CD1" s="204" t="n"/>
      <c r="CE1" s="204" t="n"/>
      <c r="CF1" s="204" t="n"/>
      <c r="CG1" s="204" t="n"/>
      <c r="CH1" s="204" t="n"/>
    </row>
    <row r="2" ht="15" customHeight="1" s="202">
      <c r="A2" s="205" t="n"/>
      <c r="B2" s="205" t="n"/>
      <c r="C2" s="227" t="n">
        <v>46113</v>
      </c>
      <c r="D2" s="227" t="n">
        <v>46143</v>
      </c>
      <c r="E2" s="227" t="n">
        <v>46174</v>
      </c>
      <c r="F2" s="227" t="n">
        <v>46204</v>
      </c>
      <c r="G2" s="227" t="n">
        <v>46235</v>
      </c>
      <c r="H2" s="227" t="n">
        <v>46266</v>
      </c>
      <c r="I2" s="227" t="n">
        <v>46296</v>
      </c>
      <c r="J2" s="227" t="n">
        <v>46327</v>
      </c>
      <c r="K2" s="227" t="n">
        <v>46357</v>
      </c>
      <c r="L2" s="227" t="n">
        <v>46388</v>
      </c>
      <c r="M2" s="227" t="n">
        <v>46419</v>
      </c>
      <c r="N2" s="227" t="n">
        <v>46447</v>
      </c>
      <c r="O2" s="227" t="n">
        <v>46478</v>
      </c>
      <c r="P2" s="227" t="n">
        <v>46508</v>
      </c>
      <c r="Q2" s="227" t="n">
        <v>46539</v>
      </c>
      <c r="R2" s="227" t="n">
        <v>46569</v>
      </c>
      <c r="S2" s="227" t="n">
        <v>46600</v>
      </c>
      <c r="T2" s="227" t="n">
        <v>46631</v>
      </c>
      <c r="U2" s="227" t="n">
        <v>46661</v>
      </c>
      <c r="V2" s="227" t="n">
        <v>46692</v>
      </c>
      <c r="W2" s="227" t="n">
        <v>46722</v>
      </c>
      <c r="X2" s="227" t="n">
        <v>46753</v>
      </c>
      <c r="Y2" s="227" t="n">
        <v>46784</v>
      </c>
      <c r="Z2" s="227" t="n">
        <v>46813</v>
      </c>
      <c r="AA2" s="227" t="n">
        <v>46844</v>
      </c>
      <c r="AB2" s="227" t="n">
        <v>46874</v>
      </c>
      <c r="AC2" s="227" t="n">
        <v>46905</v>
      </c>
      <c r="AD2" s="227" t="n">
        <v>46935</v>
      </c>
      <c r="AE2" s="227" t="n">
        <v>46966</v>
      </c>
      <c r="AF2" s="227" t="n">
        <v>46997</v>
      </c>
      <c r="AG2" s="227" t="n">
        <v>47027</v>
      </c>
      <c r="AH2" s="227" t="n">
        <v>47058</v>
      </c>
      <c r="AI2" s="227" t="n">
        <v>47088</v>
      </c>
      <c r="AJ2" s="227" t="n">
        <v>47119</v>
      </c>
      <c r="AK2" s="227" t="n">
        <v>47150</v>
      </c>
      <c r="AL2" s="227" t="n">
        <v>47178</v>
      </c>
      <c r="AM2" s="227" t="n">
        <v>47209</v>
      </c>
      <c r="AN2" s="227" t="n">
        <v>47239</v>
      </c>
      <c r="AO2" s="227" t="n">
        <v>47270</v>
      </c>
      <c r="AP2" s="227" t="n">
        <v>47300</v>
      </c>
      <c r="AQ2" s="227" t="n">
        <v>47331</v>
      </c>
      <c r="AR2" s="227" t="n">
        <v>47362</v>
      </c>
      <c r="AS2" s="227" t="n">
        <v>47392</v>
      </c>
      <c r="AT2" s="227" t="n">
        <v>47423</v>
      </c>
      <c r="AU2" s="227" t="n">
        <v>47453</v>
      </c>
      <c r="AV2" s="227" t="n">
        <v>47484</v>
      </c>
      <c r="AW2" s="227" t="n">
        <v>47515</v>
      </c>
      <c r="AX2" s="227" t="n">
        <v>47543</v>
      </c>
      <c r="AY2" s="227" t="n">
        <v>47574</v>
      </c>
      <c r="AZ2" s="227" t="n">
        <v>47604</v>
      </c>
      <c r="BA2" s="227" t="n">
        <v>47635</v>
      </c>
      <c r="BB2" s="227" t="n">
        <v>47665</v>
      </c>
      <c r="BC2" s="227" t="n">
        <v>47696</v>
      </c>
      <c r="BD2" s="227" t="n">
        <v>47727</v>
      </c>
      <c r="BE2" s="227" t="n">
        <v>47757</v>
      </c>
      <c r="BF2" s="227" t="n">
        <v>47788</v>
      </c>
      <c r="BG2" s="227" t="n">
        <v>47818</v>
      </c>
      <c r="BH2" s="227" t="n">
        <v>47849</v>
      </c>
      <c r="BI2" s="227" t="n">
        <v>47880</v>
      </c>
      <c r="BJ2" s="227" t="n">
        <v>47908</v>
      </c>
      <c r="BK2" s="227" t="n">
        <v>47939</v>
      </c>
      <c r="BL2" s="227" t="n">
        <v>47969</v>
      </c>
      <c r="BM2" s="227" t="n">
        <v>48000</v>
      </c>
      <c r="BN2" s="227" t="n">
        <v>48030</v>
      </c>
      <c r="BO2" s="227" t="n">
        <v>48061</v>
      </c>
      <c r="BP2" s="227" t="n">
        <v>48092</v>
      </c>
      <c r="BQ2" s="227" t="n">
        <v>48122</v>
      </c>
      <c r="BR2" s="227" t="n">
        <v>48153</v>
      </c>
      <c r="BS2" s="227" t="n">
        <v>48183</v>
      </c>
      <c r="BT2" s="227" t="n">
        <v>48214</v>
      </c>
      <c r="BU2" s="227" t="n">
        <v>48245</v>
      </c>
      <c r="BV2" s="227" t="n">
        <v>48274</v>
      </c>
      <c r="BW2" s="227" t="n">
        <v>48305</v>
      </c>
      <c r="BX2" s="227" t="n">
        <v>48335</v>
      </c>
      <c r="BY2" s="227" t="n">
        <v>48366</v>
      </c>
      <c r="BZ2" s="227" t="n">
        <v>48396</v>
      </c>
      <c r="CA2" s="227" t="n">
        <v>48427</v>
      </c>
      <c r="CB2" s="227" t="n">
        <v>48458</v>
      </c>
      <c r="CC2" s="227" t="n">
        <v>48488</v>
      </c>
      <c r="CD2" s="227" t="n">
        <v>48519</v>
      </c>
      <c r="CE2" s="227" t="n">
        <v>48549</v>
      </c>
      <c r="CF2" s="227" t="n">
        <v>48580</v>
      </c>
      <c r="CG2" s="227" t="n">
        <v>48611</v>
      </c>
      <c r="CH2" s="227" t="n">
        <v>48639</v>
      </c>
    </row>
    <row r="3" ht="15" customHeight="1" s="202">
      <c r="A3" s="209" t="inlineStr">
        <is>
          <t>Crenshaw</t>
        </is>
      </c>
      <c r="B3" s="209" t="n"/>
      <c r="C3" s="209" t="n"/>
      <c r="D3" s="209" t="n"/>
      <c r="E3" s="209" t="n"/>
      <c r="F3" s="209" t="n"/>
      <c r="G3" s="209" t="n"/>
      <c r="H3" s="209" t="n"/>
      <c r="I3" s="209" t="n"/>
      <c r="J3" s="209" t="n"/>
      <c r="K3" s="209" t="n"/>
      <c r="L3" s="209" t="n"/>
      <c r="M3" s="209" t="n"/>
      <c r="N3" s="209" t="n"/>
      <c r="O3" s="209" t="n"/>
      <c r="P3" s="209" t="n"/>
      <c r="Q3" s="209" t="n"/>
      <c r="R3" s="209" t="n"/>
      <c r="S3" s="209" t="n"/>
      <c r="T3" s="209" t="n"/>
      <c r="U3" s="209" t="n"/>
      <c r="V3" s="209" t="n"/>
      <c r="W3" s="209" t="n"/>
      <c r="X3" s="209" t="n"/>
      <c r="Y3" s="209" t="n"/>
      <c r="Z3" s="209" t="n"/>
      <c r="AA3" s="209" t="n"/>
      <c r="AB3" s="209" t="n"/>
      <c r="AC3" s="209" t="n"/>
      <c r="AD3" s="209" t="n"/>
      <c r="AE3" s="209" t="n"/>
      <c r="AF3" s="209" t="n"/>
      <c r="AG3" s="209" t="n"/>
      <c r="AH3" s="209" t="n"/>
      <c r="AI3" s="209" t="n"/>
      <c r="AJ3" s="209" t="n"/>
      <c r="AK3" s="209" t="n"/>
      <c r="AL3" s="209" t="n"/>
      <c r="AM3" s="209" t="n"/>
      <c r="AN3" s="209" t="n"/>
      <c r="AO3" s="209" t="n"/>
      <c r="AP3" s="209" t="n"/>
      <c r="AQ3" s="209" t="n"/>
      <c r="AR3" s="209" t="n"/>
      <c r="AS3" s="209" t="n"/>
      <c r="AT3" s="209" t="n"/>
      <c r="AU3" s="209" t="n"/>
      <c r="AV3" s="209" t="n"/>
      <c r="AW3" s="209" t="n"/>
      <c r="AX3" s="209" t="n"/>
      <c r="AY3" s="209" t="n"/>
      <c r="AZ3" s="209" t="n"/>
      <c r="BA3" s="209" t="n"/>
      <c r="BB3" s="209" t="n"/>
      <c r="BC3" s="209" t="n"/>
      <c r="BD3" s="209" t="n"/>
      <c r="BE3" s="209" t="n"/>
      <c r="BF3" s="209" t="n"/>
      <c r="BG3" s="209" t="n"/>
      <c r="BH3" s="209" t="n"/>
      <c r="BI3" s="209" t="n"/>
      <c r="BJ3" s="209" t="n"/>
      <c r="BK3" s="209" t="n"/>
      <c r="BL3" s="209" t="n"/>
      <c r="BM3" s="209" t="n"/>
      <c r="BN3" s="209" t="n"/>
      <c r="BO3" s="209" t="n"/>
      <c r="BP3" s="209" t="n"/>
      <c r="BQ3" s="209" t="n"/>
      <c r="BR3" s="209" t="n"/>
      <c r="BS3" s="209" t="n"/>
      <c r="BT3" s="209" t="n"/>
      <c r="BU3" s="209" t="n"/>
      <c r="BV3" s="209" t="n"/>
      <c r="BW3" s="209" t="n"/>
      <c r="BX3" s="209" t="n"/>
      <c r="BY3" s="209" t="n"/>
      <c r="BZ3" s="209" t="n"/>
      <c r="CA3" s="209" t="n"/>
      <c r="CB3" s="209" t="n"/>
      <c r="CC3" s="209" t="n"/>
      <c r="CD3" s="209" t="n"/>
      <c r="CE3" s="209" t="n"/>
      <c r="CF3" s="209" t="n"/>
      <c r="CG3" s="209" t="n"/>
      <c r="CH3" s="209" t="n"/>
    </row>
    <row r="4" ht="15" customHeight="1" s="202">
      <c r="A4" s="219" t="inlineStr">
        <is>
          <t xml:space="preserve">  Revenue</t>
        </is>
      </c>
      <c r="B4" s="204" t="n"/>
      <c r="C4" s="269">
        <f>Model!C51</f>
        <v/>
      </c>
      <c r="D4" s="269">
        <f>Model!D51</f>
        <v/>
      </c>
      <c r="E4" s="269">
        <f>Model!E51</f>
        <v/>
      </c>
      <c r="F4" s="269">
        <f>Model!F51</f>
        <v/>
      </c>
      <c r="G4" s="269">
        <f>Model!G51</f>
        <v/>
      </c>
      <c r="H4" s="269">
        <f>Model!H51</f>
        <v/>
      </c>
      <c r="I4" s="269">
        <f>Model!I51</f>
        <v/>
      </c>
      <c r="J4" s="269">
        <f>Model!J51</f>
        <v/>
      </c>
      <c r="K4" s="269">
        <f>Model!K51</f>
        <v/>
      </c>
      <c r="L4" s="269">
        <f>Model!L51</f>
        <v/>
      </c>
      <c r="M4" s="269">
        <f>Model!M51</f>
        <v/>
      </c>
      <c r="N4" s="269">
        <f>Model!N51</f>
        <v/>
      </c>
      <c r="O4" s="269">
        <f>Model!O51</f>
        <v/>
      </c>
      <c r="P4" s="269">
        <f>Model!P51</f>
        <v/>
      </c>
      <c r="Q4" s="269">
        <f>Model!Q51</f>
        <v/>
      </c>
      <c r="R4" s="269">
        <f>Model!R51</f>
        <v/>
      </c>
      <c r="S4" s="269">
        <f>Model!S51</f>
        <v/>
      </c>
      <c r="T4" s="269">
        <f>Model!T51</f>
        <v/>
      </c>
      <c r="U4" s="269">
        <f>Model!U51</f>
        <v/>
      </c>
      <c r="V4" s="269">
        <f>Model!V51</f>
        <v/>
      </c>
      <c r="W4" s="269">
        <f>Model!W51</f>
        <v/>
      </c>
      <c r="X4" s="269">
        <f>Model!X51</f>
        <v/>
      </c>
      <c r="Y4" s="269">
        <f>Model!Y51</f>
        <v/>
      </c>
      <c r="Z4" s="269">
        <f>Model!Z51</f>
        <v/>
      </c>
      <c r="AA4" s="269">
        <f>Model!AA51</f>
        <v/>
      </c>
      <c r="AB4" s="269">
        <f>Model!AB51</f>
        <v/>
      </c>
      <c r="AC4" s="269">
        <f>Model!AC51</f>
        <v/>
      </c>
      <c r="AD4" s="269">
        <f>Model!AD51</f>
        <v/>
      </c>
      <c r="AE4" s="269">
        <f>Model!AE51</f>
        <v/>
      </c>
      <c r="AF4" s="269">
        <f>Model!AF51</f>
        <v/>
      </c>
      <c r="AG4" s="269">
        <f>Model!AG51</f>
        <v/>
      </c>
      <c r="AH4" s="269">
        <f>Model!AH51</f>
        <v/>
      </c>
      <c r="AI4" s="269">
        <f>Model!AI51</f>
        <v/>
      </c>
      <c r="AJ4" s="269">
        <f>Model!AJ51</f>
        <v/>
      </c>
      <c r="AK4" s="269">
        <f>Model!AK51</f>
        <v/>
      </c>
      <c r="AL4" s="269">
        <f>Model!AL51</f>
        <v/>
      </c>
      <c r="AM4" s="269">
        <f>Model!AM51</f>
        <v/>
      </c>
      <c r="AN4" s="269">
        <f>Model!AN51</f>
        <v/>
      </c>
      <c r="AO4" s="269">
        <f>Model!AO51</f>
        <v/>
      </c>
      <c r="AP4" s="269">
        <f>Model!AP51</f>
        <v/>
      </c>
      <c r="AQ4" s="269">
        <f>Model!AQ51</f>
        <v/>
      </c>
      <c r="AR4" s="269">
        <f>Model!AR51</f>
        <v/>
      </c>
      <c r="AS4" s="269">
        <f>Model!AS51</f>
        <v/>
      </c>
      <c r="AT4" s="269">
        <f>Model!AT51</f>
        <v/>
      </c>
      <c r="AU4" s="269">
        <f>Model!AU51</f>
        <v/>
      </c>
      <c r="AV4" s="269">
        <f>Model!AV51</f>
        <v/>
      </c>
      <c r="AW4" s="269">
        <f>Model!AW51</f>
        <v/>
      </c>
      <c r="AX4" s="269">
        <f>Model!AX51</f>
        <v/>
      </c>
      <c r="AY4" s="269">
        <f>Model!AY51</f>
        <v/>
      </c>
      <c r="AZ4" s="269">
        <f>Model!AZ51</f>
        <v/>
      </c>
      <c r="BA4" s="269">
        <f>Model!BA51</f>
        <v/>
      </c>
      <c r="BB4" s="269">
        <f>Model!BB51</f>
        <v/>
      </c>
      <c r="BC4" s="269">
        <f>Model!BC51</f>
        <v/>
      </c>
      <c r="BD4" s="269">
        <f>Model!BD51</f>
        <v/>
      </c>
      <c r="BE4" s="269">
        <f>Model!BE51</f>
        <v/>
      </c>
      <c r="BF4" s="269">
        <f>Model!BF51</f>
        <v/>
      </c>
      <c r="BG4" s="269">
        <f>Model!BG51</f>
        <v/>
      </c>
      <c r="BH4" s="269">
        <f>Model!BH51</f>
        <v/>
      </c>
      <c r="BI4" s="269">
        <f>Model!BI51</f>
        <v/>
      </c>
      <c r="BJ4" s="269">
        <f>Model!BJ51</f>
        <v/>
      </c>
      <c r="BK4" s="269">
        <f>Model!BK51</f>
        <v/>
      </c>
      <c r="BL4" s="269">
        <f>Model!BL51</f>
        <v/>
      </c>
      <c r="BM4" s="269">
        <f>Model!BM51</f>
        <v/>
      </c>
      <c r="BN4" s="269">
        <f>Model!BN51</f>
        <v/>
      </c>
      <c r="BO4" s="269">
        <f>Model!BO51</f>
        <v/>
      </c>
      <c r="BP4" s="269">
        <f>Model!BP51</f>
        <v/>
      </c>
      <c r="BQ4" s="269">
        <f>Model!BQ51</f>
        <v/>
      </c>
      <c r="BR4" s="269">
        <f>Model!BR51</f>
        <v/>
      </c>
      <c r="BS4" s="269">
        <f>Model!BS51</f>
        <v/>
      </c>
      <c r="BT4" s="269">
        <f>Model!BT51</f>
        <v/>
      </c>
      <c r="BU4" s="269">
        <f>Model!BU51</f>
        <v/>
      </c>
      <c r="BV4" s="269">
        <f>Model!BV51</f>
        <v/>
      </c>
      <c r="BW4" s="269">
        <f>Model!BW51</f>
        <v/>
      </c>
      <c r="BX4" s="269">
        <f>Model!BX51</f>
        <v/>
      </c>
      <c r="BY4" s="269">
        <f>Model!BY51</f>
        <v/>
      </c>
      <c r="BZ4" s="269">
        <f>Model!BZ51</f>
        <v/>
      </c>
      <c r="CA4" s="269">
        <f>Model!CA51</f>
        <v/>
      </c>
      <c r="CB4" s="269">
        <f>Model!CB51</f>
        <v/>
      </c>
      <c r="CC4" s="269">
        <f>Model!CC51</f>
        <v/>
      </c>
      <c r="CD4" s="269">
        <f>Model!CD51</f>
        <v/>
      </c>
      <c r="CE4" s="269">
        <f>Model!CE51</f>
        <v/>
      </c>
      <c r="CF4" s="269">
        <f>Model!CF51</f>
        <v/>
      </c>
      <c r="CG4" s="269">
        <f>Model!CG51</f>
        <v/>
      </c>
      <c r="CH4" s="269">
        <f>Model!CH51</f>
        <v/>
      </c>
    </row>
    <row r="5" ht="15" customHeight="1" s="202">
      <c r="A5" s="231" t="inlineStr">
        <is>
          <t xml:space="preserve">  Net to Six Peak</t>
        </is>
      </c>
      <c r="B5" s="231" t="n"/>
      <c r="C5" s="270">
        <f>C4</f>
        <v/>
      </c>
      <c r="D5" s="270">
        <f>D4</f>
        <v/>
      </c>
      <c r="E5" s="270">
        <f>E4</f>
        <v/>
      </c>
      <c r="F5" s="270">
        <f>F4</f>
        <v/>
      </c>
      <c r="G5" s="270">
        <f>G4</f>
        <v/>
      </c>
      <c r="H5" s="270">
        <f>H4</f>
        <v/>
      </c>
      <c r="I5" s="270">
        <f>I4</f>
        <v/>
      </c>
      <c r="J5" s="270">
        <f>J4</f>
        <v/>
      </c>
      <c r="K5" s="270">
        <f>K4</f>
        <v/>
      </c>
      <c r="L5" s="270">
        <f>L4</f>
        <v/>
      </c>
      <c r="M5" s="270">
        <f>M4</f>
        <v/>
      </c>
      <c r="N5" s="270">
        <f>N4</f>
        <v/>
      </c>
      <c r="O5" s="270">
        <f>O4</f>
        <v/>
      </c>
      <c r="P5" s="270">
        <f>P4</f>
        <v/>
      </c>
      <c r="Q5" s="270">
        <f>Q4</f>
        <v/>
      </c>
      <c r="R5" s="270">
        <f>R4</f>
        <v/>
      </c>
      <c r="S5" s="270">
        <f>S4</f>
        <v/>
      </c>
      <c r="T5" s="270">
        <f>T4</f>
        <v/>
      </c>
      <c r="U5" s="270">
        <f>U4</f>
        <v/>
      </c>
      <c r="V5" s="270">
        <f>V4</f>
        <v/>
      </c>
      <c r="W5" s="270">
        <f>W4</f>
        <v/>
      </c>
      <c r="X5" s="270">
        <f>X4</f>
        <v/>
      </c>
      <c r="Y5" s="270">
        <f>Y4</f>
        <v/>
      </c>
      <c r="Z5" s="270">
        <f>Z4</f>
        <v/>
      </c>
      <c r="AA5" s="270">
        <f>AA4</f>
        <v/>
      </c>
      <c r="AB5" s="270">
        <f>AB4</f>
        <v/>
      </c>
      <c r="AC5" s="270">
        <f>AC4</f>
        <v/>
      </c>
      <c r="AD5" s="270">
        <f>AD4</f>
        <v/>
      </c>
      <c r="AE5" s="270">
        <f>AE4</f>
        <v/>
      </c>
      <c r="AF5" s="270">
        <f>AF4</f>
        <v/>
      </c>
      <c r="AG5" s="270">
        <f>AG4</f>
        <v/>
      </c>
      <c r="AH5" s="270">
        <f>AH4</f>
        <v/>
      </c>
      <c r="AI5" s="270">
        <f>AI4</f>
        <v/>
      </c>
      <c r="AJ5" s="270">
        <f>AJ4</f>
        <v/>
      </c>
      <c r="AK5" s="270">
        <f>AK4</f>
        <v/>
      </c>
      <c r="AL5" s="270">
        <f>AL4</f>
        <v/>
      </c>
      <c r="AM5" s="270">
        <f>AM4</f>
        <v/>
      </c>
      <c r="AN5" s="270">
        <f>AN4</f>
        <v/>
      </c>
      <c r="AO5" s="270">
        <f>AO4</f>
        <v/>
      </c>
      <c r="AP5" s="270">
        <f>AP4</f>
        <v/>
      </c>
      <c r="AQ5" s="270">
        <f>AQ4</f>
        <v/>
      </c>
      <c r="AR5" s="270">
        <f>AR4</f>
        <v/>
      </c>
      <c r="AS5" s="270">
        <f>AS4</f>
        <v/>
      </c>
      <c r="AT5" s="270">
        <f>AT4</f>
        <v/>
      </c>
      <c r="AU5" s="270">
        <f>AU4</f>
        <v/>
      </c>
      <c r="AV5" s="270">
        <f>AV4</f>
        <v/>
      </c>
      <c r="AW5" s="270">
        <f>AW4</f>
        <v/>
      </c>
      <c r="AX5" s="270">
        <f>AX4</f>
        <v/>
      </c>
      <c r="AY5" s="270">
        <f>AY4</f>
        <v/>
      </c>
      <c r="AZ5" s="270">
        <f>AZ4</f>
        <v/>
      </c>
      <c r="BA5" s="270">
        <f>BA4</f>
        <v/>
      </c>
      <c r="BB5" s="270">
        <f>BB4</f>
        <v/>
      </c>
      <c r="BC5" s="270">
        <f>BC4</f>
        <v/>
      </c>
      <c r="BD5" s="270">
        <f>BD4</f>
        <v/>
      </c>
      <c r="BE5" s="270">
        <f>BE4</f>
        <v/>
      </c>
      <c r="BF5" s="270">
        <f>BF4</f>
        <v/>
      </c>
      <c r="BG5" s="270">
        <f>BG4</f>
        <v/>
      </c>
      <c r="BH5" s="270">
        <f>BH4</f>
        <v/>
      </c>
      <c r="BI5" s="270">
        <f>BI4</f>
        <v/>
      </c>
      <c r="BJ5" s="270">
        <f>BJ4</f>
        <v/>
      </c>
      <c r="BK5" s="270">
        <f>BK4</f>
        <v/>
      </c>
      <c r="BL5" s="270">
        <f>BL4</f>
        <v/>
      </c>
      <c r="BM5" s="270">
        <f>BM4</f>
        <v/>
      </c>
      <c r="BN5" s="270">
        <f>BN4</f>
        <v/>
      </c>
      <c r="BO5" s="270">
        <f>BO4</f>
        <v/>
      </c>
      <c r="BP5" s="270">
        <f>BP4</f>
        <v/>
      </c>
      <c r="BQ5" s="270">
        <f>BQ4</f>
        <v/>
      </c>
      <c r="BR5" s="270">
        <f>BR4</f>
        <v/>
      </c>
      <c r="BS5" s="270">
        <f>BS4</f>
        <v/>
      </c>
      <c r="BT5" s="270">
        <f>BT4</f>
        <v/>
      </c>
      <c r="BU5" s="270">
        <f>BU4</f>
        <v/>
      </c>
      <c r="BV5" s="270">
        <f>BV4</f>
        <v/>
      </c>
      <c r="BW5" s="270">
        <f>BW4</f>
        <v/>
      </c>
      <c r="BX5" s="270">
        <f>BX4</f>
        <v/>
      </c>
      <c r="BY5" s="270">
        <f>BY4</f>
        <v/>
      </c>
      <c r="BZ5" s="270">
        <f>BZ4</f>
        <v/>
      </c>
      <c r="CA5" s="270">
        <f>CA4</f>
        <v/>
      </c>
      <c r="CB5" s="270">
        <f>CB4</f>
        <v/>
      </c>
      <c r="CC5" s="270">
        <f>CC4</f>
        <v/>
      </c>
      <c r="CD5" s="270">
        <f>CD4</f>
        <v/>
      </c>
      <c r="CE5" s="270">
        <f>CE4</f>
        <v/>
      </c>
      <c r="CF5" s="270">
        <f>CF4</f>
        <v/>
      </c>
      <c r="CG5" s="270">
        <f>CG4</f>
        <v/>
      </c>
      <c r="CH5" s="270">
        <f>CH4</f>
        <v/>
      </c>
    </row>
    <row r="6" ht="15" customHeight="1" s="202">
      <c r="A6" s="263" t="inlineStr">
        <is>
          <t xml:space="preserve">  Cumulative Net</t>
        </is>
      </c>
      <c r="B6" s="204" t="n"/>
      <c r="C6" s="271">
        <f>C5</f>
        <v/>
      </c>
      <c r="D6" s="271">
        <f>C6+D5</f>
        <v/>
      </c>
      <c r="E6" s="271">
        <f>D6+E5</f>
        <v/>
      </c>
      <c r="F6" s="271">
        <f>E6+F5</f>
        <v/>
      </c>
      <c r="G6" s="271">
        <f>F6+G5</f>
        <v/>
      </c>
      <c r="H6" s="271">
        <f>G6+H5</f>
        <v/>
      </c>
      <c r="I6" s="271">
        <f>H6+I5</f>
        <v/>
      </c>
      <c r="J6" s="271">
        <f>I6+J5</f>
        <v/>
      </c>
      <c r="K6" s="271">
        <f>J6+K5</f>
        <v/>
      </c>
      <c r="L6" s="271">
        <f>K6+L5</f>
        <v/>
      </c>
      <c r="M6" s="271">
        <f>L6+M5</f>
        <v/>
      </c>
      <c r="N6" s="271">
        <f>M6+N5</f>
        <v/>
      </c>
      <c r="O6" s="271">
        <f>N6+O5</f>
        <v/>
      </c>
      <c r="P6" s="271">
        <f>O6+P5</f>
        <v/>
      </c>
      <c r="Q6" s="271">
        <f>P6+Q5</f>
        <v/>
      </c>
      <c r="R6" s="271">
        <f>Q6+R5</f>
        <v/>
      </c>
      <c r="S6" s="271">
        <f>R6+S5</f>
        <v/>
      </c>
      <c r="T6" s="271">
        <f>S6+T5</f>
        <v/>
      </c>
      <c r="U6" s="271">
        <f>T6+U5</f>
        <v/>
      </c>
      <c r="V6" s="271">
        <f>U6+V5</f>
        <v/>
      </c>
      <c r="W6" s="271">
        <f>V6+W5</f>
        <v/>
      </c>
      <c r="X6" s="271">
        <f>W6+X5</f>
        <v/>
      </c>
      <c r="Y6" s="271">
        <f>X6+Y5</f>
        <v/>
      </c>
      <c r="Z6" s="271">
        <f>Y6+Z5</f>
        <v/>
      </c>
      <c r="AA6" s="271">
        <f>Z6+AA5</f>
        <v/>
      </c>
      <c r="AB6" s="271">
        <f>AA6+AB5</f>
        <v/>
      </c>
      <c r="AC6" s="271">
        <f>AB6+AC5</f>
        <v/>
      </c>
      <c r="AD6" s="271">
        <f>AC6+AD5</f>
        <v/>
      </c>
      <c r="AE6" s="271">
        <f>AD6+AE5</f>
        <v/>
      </c>
      <c r="AF6" s="271">
        <f>AE6+AF5</f>
        <v/>
      </c>
      <c r="AG6" s="271">
        <f>AF6+AG5</f>
        <v/>
      </c>
      <c r="AH6" s="271">
        <f>AG6+AH5</f>
        <v/>
      </c>
      <c r="AI6" s="271">
        <f>AH6+AI5</f>
        <v/>
      </c>
      <c r="AJ6" s="271">
        <f>AI6+AJ5</f>
        <v/>
      </c>
      <c r="AK6" s="271">
        <f>AJ6+AK5</f>
        <v/>
      </c>
      <c r="AL6" s="271">
        <f>AK6+AL5</f>
        <v/>
      </c>
      <c r="AM6" s="271">
        <f>AL6+AM5</f>
        <v/>
      </c>
      <c r="AN6" s="271">
        <f>AM6+AN5</f>
        <v/>
      </c>
      <c r="AO6" s="271">
        <f>AN6+AO5</f>
        <v/>
      </c>
      <c r="AP6" s="271">
        <f>AO6+AP5</f>
        <v/>
      </c>
      <c r="AQ6" s="271">
        <f>AP6+AQ5</f>
        <v/>
      </c>
      <c r="AR6" s="271">
        <f>AQ6+AR5</f>
        <v/>
      </c>
      <c r="AS6" s="271">
        <f>AR6+AS5</f>
        <v/>
      </c>
      <c r="AT6" s="271">
        <f>AS6+AT5</f>
        <v/>
      </c>
      <c r="AU6" s="271">
        <f>AT6+AU5</f>
        <v/>
      </c>
      <c r="AV6" s="271">
        <f>AU6+AV5</f>
        <v/>
      </c>
      <c r="AW6" s="271">
        <f>AV6+AW5</f>
        <v/>
      </c>
      <c r="AX6" s="271">
        <f>AW6+AX5</f>
        <v/>
      </c>
      <c r="AY6" s="271">
        <f>AX6+AY5</f>
        <v/>
      </c>
      <c r="AZ6" s="271">
        <f>AY6+AZ5</f>
        <v/>
      </c>
      <c r="BA6" s="271">
        <f>AZ6+BA5</f>
        <v/>
      </c>
      <c r="BB6" s="271">
        <f>BA6+BB5</f>
        <v/>
      </c>
      <c r="BC6" s="271">
        <f>BB6+BC5</f>
        <v/>
      </c>
      <c r="BD6" s="271">
        <f>BC6+BD5</f>
        <v/>
      </c>
      <c r="BE6" s="271">
        <f>BD6+BE5</f>
        <v/>
      </c>
      <c r="BF6" s="271">
        <f>BE6+BF5</f>
        <v/>
      </c>
      <c r="BG6" s="271">
        <f>BF6+BG5</f>
        <v/>
      </c>
      <c r="BH6" s="271">
        <f>BG6+BH5</f>
        <v/>
      </c>
      <c r="BI6" s="271">
        <f>BH6+BI5</f>
        <v/>
      </c>
      <c r="BJ6" s="271">
        <f>BI6+BJ5</f>
        <v/>
      </c>
      <c r="BK6" s="271">
        <f>BJ6+BK5</f>
        <v/>
      </c>
      <c r="BL6" s="271">
        <f>BK6+BL5</f>
        <v/>
      </c>
      <c r="BM6" s="271">
        <f>BL6+BM5</f>
        <v/>
      </c>
      <c r="BN6" s="271">
        <f>BM6+BN5</f>
        <v/>
      </c>
      <c r="BO6" s="271">
        <f>BN6+BO5</f>
        <v/>
      </c>
      <c r="BP6" s="271">
        <f>BO6+BP5</f>
        <v/>
      </c>
      <c r="BQ6" s="271">
        <f>BP6+BQ5</f>
        <v/>
      </c>
      <c r="BR6" s="271">
        <f>BQ6+BR5</f>
        <v/>
      </c>
      <c r="BS6" s="271">
        <f>BR6+BS5</f>
        <v/>
      </c>
      <c r="BT6" s="271">
        <f>BS6+BT5</f>
        <v/>
      </c>
      <c r="BU6" s="271">
        <f>BT6+BU5</f>
        <v/>
      </c>
      <c r="BV6" s="271">
        <f>BU6+BV5</f>
        <v/>
      </c>
      <c r="BW6" s="271">
        <f>BV6+BW5</f>
        <v/>
      </c>
      <c r="BX6" s="271">
        <f>BW6+BX5</f>
        <v/>
      </c>
      <c r="BY6" s="271">
        <f>BX6+BY5</f>
        <v/>
      </c>
      <c r="BZ6" s="271">
        <f>BY6+BZ5</f>
        <v/>
      </c>
      <c r="CA6" s="271">
        <f>BZ6+CA5</f>
        <v/>
      </c>
      <c r="CB6" s="271">
        <f>CA6+CB5</f>
        <v/>
      </c>
      <c r="CC6" s="271">
        <f>CB6+CC5</f>
        <v/>
      </c>
      <c r="CD6" s="271">
        <f>CC6+CD5</f>
        <v/>
      </c>
      <c r="CE6" s="271">
        <f>CD6+CE5</f>
        <v/>
      </c>
      <c r="CF6" s="271">
        <f>CE6+CF5</f>
        <v/>
      </c>
      <c r="CG6" s="271">
        <f>CF6+CG5</f>
        <v/>
      </c>
      <c r="CH6" s="271">
        <f>CG6+CH5</f>
        <v/>
      </c>
    </row>
    <row r="7" ht="15" customHeight="1" s="202">
      <c r="A7" s="204" t="n"/>
      <c r="B7" s="204" t="n"/>
      <c r="C7" s="204" t="n"/>
      <c r="D7" s="204" t="n"/>
      <c r="E7" s="204" t="n"/>
      <c r="F7" s="204" t="n"/>
      <c r="G7" s="204" t="n"/>
      <c r="H7" s="204" t="n"/>
      <c r="I7" s="204" t="n"/>
      <c r="J7" s="204" t="n"/>
      <c r="K7" s="204" t="n"/>
      <c r="L7" s="204" t="n"/>
      <c r="M7" s="204" t="n"/>
      <c r="N7" s="204" t="n"/>
      <c r="O7" s="204" t="n"/>
      <c r="P7" s="204" t="n"/>
      <c r="Q7" s="204" t="n"/>
      <c r="R7" s="204" t="n"/>
      <c r="S7" s="204" t="n"/>
      <c r="T7" s="204" t="n"/>
      <c r="U7" s="204" t="n"/>
      <c r="V7" s="204" t="n"/>
      <c r="W7" s="204" t="n"/>
      <c r="X7" s="204" t="n"/>
      <c r="Y7" s="204" t="n"/>
      <c r="Z7" s="204" t="n"/>
      <c r="AA7" s="204" t="n"/>
      <c r="AB7" s="204" t="n"/>
      <c r="AC7" s="204" t="n"/>
      <c r="AD7" s="204" t="n"/>
      <c r="AE7" s="204" t="n"/>
      <c r="AF7" s="204" t="n"/>
      <c r="AG7" s="204" t="n"/>
      <c r="AH7" s="204" t="n"/>
      <c r="AI7" s="204" t="n"/>
      <c r="AJ7" s="204" t="n"/>
      <c r="AK7" s="204" t="n"/>
      <c r="AL7" s="204" t="n"/>
      <c r="AM7" s="204" t="n"/>
      <c r="AN7" s="204" t="n"/>
      <c r="AO7" s="204" t="n"/>
      <c r="AP7" s="204" t="n"/>
      <c r="AQ7" s="204" t="n"/>
      <c r="AR7" s="204" t="n"/>
      <c r="AS7" s="204" t="n"/>
      <c r="AT7" s="204" t="n"/>
      <c r="AU7" s="204" t="n"/>
      <c r="AV7" s="204" t="n"/>
      <c r="AW7" s="204" t="n"/>
      <c r="AX7" s="204" t="n"/>
      <c r="AY7" s="204" t="n"/>
      <c r="AZ7" s="204" t="n"/>
      <c r="BA7" s="204" t="n"/>
      <c r="BB7" s="204" t="n"/>
      <c r="BC7" s="204" t="n"/>
      <c r="BD7" s="204" t="n"/>
      <c r="BE7" s="204" t="n"/>
      <c r="BF7" s="204" t="n"/>
      <c r="BG7" s="204" t="n"/>
      <c r="BH7" s="204" t="n"/>
      <c r="BI7" s="204" t="n"/>
      <c r="BJ7" s="204" t="n"/>
      <c r="BK7" s="204" t="n"/>
      <c r="BL7" s="204" t="n"/>
      <c r="BM7" s="204" t="n"/>
      <c r="BN7" s="204" t="n"/>
      <c r="BO7" s="204" t="n"/>
      <c r="BP7" s="204" t="n"/>
      <c r="BQ7" s="204" t="n"/>
      <c r="BR7" s="204" t="n"/>
      <c r="BS7" s="204" t="n"/>
      <c r="BT7" s="204" t="n"/>
      <c r="BU7" s="204" t="n"/>
      <c r="BV7" s="204" t="n"/>
      <c r="BW7" s="204" t="n"/>
      <c r="BX7" s="204" t="n"/>
      <c r="BY7" s="204" t="n"/>
      <c r="BZ7" s="204" t="n"/>
      <c r="CA7" s="204" t="n"/>
      <c r="CB7" s="204" t="n"/>
      <c r="CC7" s="204" t="n"/>
      <c r="CD7" s="204" t="n"/>
      <c r="CE7" s="204" t="n"/>
      <c r="CF7" s="204" t="n"/>
      <c r="CG7" s="204" t="n"/>
      <c r="CH7" s="204" t="n"/>
    </row>
    <row r="8" ht="15" customHeight="1" s="202">
      <c r="A8" s="209" t="inlineStr">
        <is>
          <t>Ramsgate</t>
        </is>
      </c>
      <c r="B8" s="209" t="n"/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9" t="n"/>
      <c r="AF8" s="209" t="n"/>
      <c r="AG8" s="209" t="n"/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9" t="n"/>
      <c r="AV8" s="209" t="n"/>
      <c r="AW8" s="209" t="n"/>
      <c r="AX8" s="209" t="n"/>
      <c r="AY8" s="209" t="n"/>
      <c r="AZ8" s="209" t="n"/>
      <c r="BA8" s="209" t="n"/>
      <c r="BB8" s="209" t="n"/>
      <c r="BC8" s="209" t="n"/>
      <c r="BD8" s="209" t="n"/>
      <c r="BE8" s="209" t="n"/>
      <c r="BF8" s="209" t="n"/>
      <c r="BG8" s="209" t="n"/>
      <c r="BH8" s="209" t="n"/>
      <c r="BI8" s="209" t="n"/>
      <c r="BJ8" s="209" t="n"/>
      <c r="BK8" s="209" t="n"/>
      <c r="BL8" s="209" t="n"/>
      <c r="BM8" s="209" t="n"/>
      <c r="BN8" s="209" t="n"/>
      <c r="BO8" s="209" t="n"/>
      <c r="BP8" s="209" t="n"/>
      <c r="BQ8" s="209" t="n"/>
      <c r="BR8" s="209" t="n"/>
      <c r="BS8" s="209" t="n"/>
      <c r="BT8" s="209" t="n"/>
      <c r="BU8" s="209" t="n"/>
      <c r="BV8" s="209" t="n"/>
      <c r="BW8" s="209" t="n"/>
      <c r="BX8" s="209" t="n"/>
      <c r="BY8" s="209" t="n"/>
      <c r="BZ8" s="209" t="n"/>
      <c r="CA8" s="209" t="n"/>
      <c r="CB8" s="209" t="n"/>
      <c r="CC8" s="209" t="n"/>
      <c r="CD8" s="209" t="n"/>
      <c r="CE8" s="209" t="n"/>
      <c r="CF8" s="209" t="n"/>
      <c r="CG8" s="209" t="n"/>
      <c r="CH8" s="209" t="n"/>
    </row>
    <row r="9" ht="15" customHeight="1" s="202">
      <c r="A9" s="219" t="inlineStr">
        <is>
          <t xml:space="preserve">  Revenue</t>
        </is>
      </c>
      <c r="B9" s="204" t="n"/>
      <c r="C9" s="269">
        <f>Model!C47+Model!C48+Model!C49+Model!C50</f>
        <v/>
      </c>
      <c r="D9" s="269">
        <f>Model!D47+Model!D48+Model!D49+Model!D50</f>
        <v/>
      </c>
      <c r="E9" s="269">
        <f>Model!E47+Model!E48+Model!E49+Model!E50</f>
        <v/>
      </c>
      <c r="F9" s="269">
        <f>Model!F47+Model!F48+Model!F49+Model!F50</f>
        <v/>
      </c>
      <c r="G9" s="269">
        <f>Model!G47+Model!G48+Model!G49+Model!G50</f>
        <v/>
      </c>
      <c r="H9" s="269">
        <f>Model!H47+Model!H48+Model!H49+Model!H50</f>
        <v/>
      </c>
      <c r="I9" s="269">
        <f>Model!I47+Model!I48+Model!I49+Model!I50</f>
        <v/>
      </c>
      <c r="J9" s="269">
        <f>Model!J47+Model!J48+Model!J49+Model!J50</f>
        <v/>
      </c>
      <c r="K9" s="269">
        <f>Model!K47+Model!K48+Model!K49+Model!K50</f>
        <v/>
      </c>
      <c r="L9" s="269">
        <f>Model!L47+Model!L48+Model!L49+Model!L50</f>
        <v/>
      </c>
      <c r="M9" s="269">
        <f>Model!M47+Model!M48+Model!M49+Model!M50</f>
        <v/>
      </c>
      <c r="N9" s="269">
        <f>Model!N47+Model!N48+Model!N49+Model!N50</f>
        <v/>
      </c>
      <c r="O9" s="269">
        <f>Model!O47+Model!O48+Model!O49+Model!O50</f>
        <v/>
      </c>
      <c r="P9" s="269">
        <f>Model!P47+Model!P48+Model!P49+Model!P50</f>
        <v/>
      </c>
      <c r="Q9" s="269">
        <f>Model!Q47+Model!Q48+Model!Q49+Model!Q50</f>
        <v/>
      </c>
      <c r="R9" s="269">
        <f>Model!R47+Model!R48+Model!R49+Model!R50</f>
        <v/>
      </c>
      <c r="S9" s="269">
        <f>Model!S47+Model!S48+Model!S49+Model!S50</f>
        <v/>
      </c>
      <c r="T9" s="269">
        <f>Model!T47+Model!T48+Model!T49+Model!T50</f>
        <v/>
      </c>
      <c r="U9" s="269">
        <f>Model!U47+Model!U48+Model!U49+Model!U50</f>
        <v/>
      </c>
      <c r="V9" s="269">
        <f>Model!V47+Model!V48+Model!V49+Model!V50</f>
        <v/>
      </c>
      <c r="W9" s="269">
        <f>Model!W47+Model!W48+Model!W49+Model!W50</f>
        <v/>
      </c>
      <c r="X9" s="269">
        <f>Model!X47+Model!X48+Model!X49+Model!X50</f>
        <v/>
      </c>
      <c r="Y9" s="269">
        <f>Model!Y47+Model!Y48+Model!Y49+Model!Y50</f>
        <v/>
      </c>
      <c r="Z9" s="269">
        <f>Model!Z47+Model!Z48+Model!Z49+Model!Z50</f>
        <v/>
      </c>
      <c r="AA9" s="269">
        <f>Model!AA47+Model!AA48+Model!AA49+Model!AA50</f>
        <v/>
      </c>
      <c r="AB9" s="269">
        <f>Model!AB47+Model!AB48+Model!AB49+Model!AB50</f>
        <v/>
      </c>
      <c r="AC9" s="269">
        <f>Model!AC47+Model!AC48+Model!AC49+Model!AC50</f>
        <v/>
      </c>
      <c r="AD9" s="269">
        <f>Model!AD47+Model!AD48+Model!AD49+Model!AD50</f>
        <v/>
      </c>
      <c r="AE9" s="269">
        <f>Model!AE47+Model!AE48+Model!AE49+Model!AE50</f>
        <v/>
      </c>
      <c r="AF9" s="269">
        <f>Model!AF47+Model!AF48+Model!AF49+Model!AF50</f>
        <v/>
      </c>
      <c r="AG9" s="269">
        <f>Model!AG47+Model!AG48+Model!AG49+Model!AG50</f>
        <v/>
      </c>
      <c r="AH9" s="269">
        <f>Model!AH47+Model!AH48+Model!AH49+Model!AH50</f>
        <v/>
      </c>
      <c r="AI9" s="269">
        <f>Model!AI47+Model!AI48+Model!AI49+Model!AI50</f>
        <v/>
      </c>
      <c r="AJ9" s="269">
        <f>Model!AJ47+Model!AJ48+Model!AJ49+Model!AJ50</f>
        <v/>
      </c>
      <c r="AK9" s="269">
        <f>Model!AK47+Model!AK48+Model!AK49+Model!AK50</f>
        <v/>
      </c>
      <c r="AL9" s="269">
        <f>Model!AL47+Model!AL48+Model!AL49+Model!AL50</f>
        <v/>
      </c>
      <c r="AM9" s="269">
        <f>Model!AM47+Model!AM48+Model!AM49+Model!AM50</f>
        <v/>
      </c>
      <c r="AN9" s="269">
        <f>Model!AN47+Model!AN48+Model!AN49+Model!AN50</f>
        <v/>
      </c>
      <c r="AO9" s="269">
        <f>Model!AO47+Model!AO48+Model!AO49+Model!AO50</f>
        <v/>
      </c>
      <c r="AP9" s="269">
        <f>Model!AP47+Model!AP48+Model!AP49+Model!AP50</f>
        <v/>
      </c>
      <c r="AQ9" s="269">
        <f>Model!AQ47+Model!AQ48+Model!AQ49+Model!AQ50</f>
        <v/>
      </c>
      <c r="AR9" s="269">
        <f>Model!AR47+Model!AR48+Model!AR49+Model!AR50</f>
        <v/>
      </c>
      <c r="AS9" s="269">
        <f>Model!AS47+Model!AS48+Model!AS49+Model!AS50</f>
        <v/>
      </c>
      <c r="AT9" s="269">
        <f>Model!AT47+Model!AT48+Model!AT49+Model!AT50</f>
        <v/>
      </c>
      <c r="AU9" s="269">
        <f>Model!AU47+Model!AU48+Model!AU49+Model!AU50</f>
        <v/>
      </c>
      <c r="AV9" s="269">
        <f>Model!AV47+Model!AV48+Model!AV49+Model!AV50</f>
        <v/>
      </c>
      <c r="AW9" s="269">
        <f>Model!AW47+Model!AW48+Model!AW49+Model!AW50</f>
        <v/>
      </c>
      <c r="AX9" s="269">
        <f>Model!AX47+Model!AX48+Model!AX49+Model!AX50</f>
        <v/>
      </c>
      <c r="AY9" s="269">
        <f>Model!AY47+Model!AY48+Model!AY49+Model!AY50</f>
        <v/>
      </c>
      <c r="AZ9" s="269">
        <f>Model!AZ47+Model!AZ48+Model!AZ49+Model!AZ50</f>
        <v/>
      </c>
      <c r="BA9" s="269">
        <f>Model!BA47+Model!BA48+Model!BA49+Model!BA50</f>
        <v/>
      </c>
      <c r="BB9" s="269">
        <f>Model!BB47+Model!BB48+Model!BB49+Model!BB50</f>
        <v/>
      </c>
      <c r="BC9" s="269">
        <f>Model!BC47+Model!BC48+Model!BC49+Model!BC50</f>
        <v/>
      </c>
      <c r="BD9" s="269">
        <f>Model!BD47+Model!BD48+Model!BD49+Model!BD50</f>
        <v/>
      </c>
      <c r="BE9" s="269">
        <f>Model!BE47+Model!BE48+Model!BE49+Model!BE50</f>
        <v/>
      </c>
      <c r="BF9" s="269">
        <f>Model!BF47+Model!BF48+Model!BF49+Model!BF50</f>
        <v/>
      </c>
      <c r="BG9" s="269">
        <f>Model!BG47+Model!BG48+Model!BG49+Model!BG50</f>
        <v/>
      </c>
      <c r="BH9" s="269">
        <f>Model!BH47+Model!BH48+Model!BH49+Model!BH50</f>
        <v/>
      </c>
      <c r="BI9" s="269">
        <f>Model!BI47+Model!BI48+Model!BI49+Model!BI50</f>
        <v/>
      </c>
      <c r="BJ9" s="269">
        <f>Model!BJ47+Model!BJ48+Model!BJ49+Model!BJ50</f>
        <v/>
      </c>
      <c r="BK9" s="269">
        <f>Model!BK47+Model!BK48+Model!BK49+Model!BK50</f>
        <v/>
      </c>
      <c r="BL9" s="269">
        <f>Model!BL47+Model!BL48+Model!BL49+Model!BL50</f>
        <v/>
      </c>
      <c r="BM9" s="269">
        <f>Model!BM47+Model!BM48+Model!BM49+Model!BM50</f>
        <v/>
      </c>
      <c r="BN9" s="269">
        <f>Model!BN47+Model!BN48+Model!BN49+Model!BN50</f>
        <v/>
      </c>
      <c r="BO9" s="269">
        <f>Model!BO47+Model!BO48+Model!BO49+Model!BO50</f>
        <v/>
      </c>
      <c r="BP9" s="269">
        <f>Model!BP47+Model!BP48+Model!BP49+Model!BP50</f>
        <v/>
      </c>
      <c r="BQ9" s="269">
        <f>Model!BQ47+Model!BQ48+Model!BQ49+Model!BQ50</f>
        <v/>
      </c>
      <c r="BR9" s="269">
        <f>Model!BR47+Model!BR48+Model!BR49+Model!BR50</f>
        <v/>
      </c>
      <c r="BS9" s="269">
        <f>Model!BS47+Model!BS48+Model!BS49+Model!BS50</f>
        <v/>
      </c>
      <c r="BT9" s="269">
        <f>Model!BT47+Model!BT48+Model!BT49+Model!BT50</f>
        <v/>
      </c>
      <c r="BU9" s="269">
        <f>Model!BU47+Model!BU48+Model!BU49+Model!BU50</f>
        <v/>
      </c>
      <c r="BV9" s="269">
        <f>Model!BV47+Model!BV48+Model!BV49+Model!BV50</f>
        <v/>
      </c>
      <c r="BW9" s="269">
        <f>Model!BW47+Model!BW48+Model!BW49+Model!BW50</f>
        <v/>
      </c>
      <c r="BX9" s="269">
        <f>Model!BX47+Model!BX48+Model!BX49+Model!BX50</f>
        <v/>
      </c>
      <c r="BY9" s="269">
        <f>Model!BY47+Model!BY48+Model!BY49+Model!BY50</f>
        <v/>
      </c>
      <c r="BZ9" s="269">
        <f>Model!BZ47+Model!BZ48+Model!BZ49+Model!BZ50</f>
        <v/>
      </c>
      <c r="CA9" s="269">
        <f>Model!CA47+Model!CA48+Model!CA49+Model!CA50</f>
        <v/>
      </c>
      <c r="CB9" s="269">
        <f>Model!CB47+Model!CB48+Model!CB49+Model!CB50</f>
        <v/>
      </c>
      <c r="CC9" s="269">
        <f>Model!CC47+Model!CC48+Model!CC49+Model!CC50</f>
        <v/>
      </c>
      <c r="CD9" s="269">
        <f>Model!CD47+Model!CD48+Model!CD49+Model!CD50</f>
        <v/>
      </c>
      <c r="CE9" s="269">
        <f>Model!CE47+Model!CE48+Model!CE49+Model!CE50</f>
        <v/>
      </c>
      <c r="CF9" s="269">
        <f>Model!CF47+Model!CF48+Model!CF49+Model!CF50</f>
        <v/>
      </c>
      <c r="CG9" s="269">
        <f>Model!CG47+Model!CG48+Model!CG49+Model!CG50</f>
        <v/>
      </c>
      <c r="CH9" s="269">
        <f>Model!CH47+Model!CH48+Model!CH49+Model!CH50</f>
        <v/>
      </c>
    </row>
    <row r="10" ht="15" customHeight="1" s="202">
      <c r="A10" s="231" t="inlineStr">
        <is>
          <t xml:space="preserve">  Net to Six Peak</t>
        </is>
      </c>
      <c r="B10" s="231" t="n"/>
      <c r="C10" s="270">
        <f>C9</f>
        <v/>
      </c>
      <c r="D10" s="270">
        <f>D9</f>
        <v/>
      </c>
      <c r="E10" s="270">
        <f>E9</f>
        <v/>
      </c>
      <c r="F10" s="270">
        <f>F9</f>
        <v/>
      </c>
      <c r="G10" s="270">
        <f>G9</f>
        <v/>
      </c>
      <c r="H10" s="270">
        <f>H9</f>
        <v/>
      </c>
      <c r="I10" s="270">
        <f>I9</f>
        <v/>
      </c>
      <c r="J10" s="270">
        <f>J9</f>
        <v/>
      </c>
      <c r="K10" s="270">
        <f>K9</f>
        <v/>
      </c>
      <c r="L10" s="270">
        <f>L9</f>
        <v/>
      </c>
      <c r="M10" s="270">
        <f>M9</f>
        <v/>
      </c>
      <c r="N10" s="270">
        <f>N9</f>
        <v/>
      </c>
      <c r="O10" s="270">
        <f>O9</f>
        <v/>
      </c>
      <c r="P10" s="270">
        <f>P9</f>
        <v/>
      </c>
      <c r="Q10" s="270">
        <f>Q9</f>
        <v/>
      </c>
      <c r="R10" s="270">
        <f>R9</f>
        <v/>
      </c>
      <c r="S10" s="270">
        <f>S9</f>
        <v/>
      </c>
      <c r="T10" s="270">
        <f>T9</f>
        <v/>
      </c>
      <c r="U10" s="270">
        <f>U9</f>
        <v/>
      </c>
      <c r="V10" s="270">
        <f>V9</f>
        <v/>
      </c>
      <c r="W10" s="270">
        <f>W9</f>
        <v/>
      </c>
      <c r="X10" s="270">
        <f>X9</f>
        <v/>
      </c>
      <c r="Y10" s="270">
        <f>Y9</f>
        <v/>
      </c>
      <c r="Z10" s="270">
        <f>Z9</f>
        <v/>
      </c>
      <c r="AA10" s="270">
        <f>AA9</f>
        <v/>
      </c>
      <c r="AB10" s="270">
        <f>AB9</f>
        <v/>
      </c>
      <c r="AC10" s="270">
        <f>AC9</f>
        <v/>
      </c>
      <c r="AD10" s="270">
        <f>AD9</f>
        <v/>
      </c>
      <c r="AE10" s="270">
        <f>AE9</f>
        <v/>
      </c>
      <c r="AF10" s="270">
        <f>AF9</f>
        <v/>
      </c>
      <c r="AG10" s="270">
        <f>AG9</f>
        <v/>
      </c>
      <c r="AH10" s="270">
        <f>AH9</f>
        <v/>
      </c>
      <c r="AI10" s="270">
        <f>AI9</f>
        <v/>
      </c>
      <c r="AJ10" s="270">
        <f>AJ9</f>
        <v/>
      </c>
      <c r="AK10" s="270">
        <f>AK9</f>
        <v/>
      </c>
      <c r="AL10" s="270">
        <f>AL9</f>
        <v/>
      </c>
      <c r="AM10" s="270">
        <f>AM9</f>
        <v/>
      </c>
      <c r="AN10" s="270">
        <f>AN9</f>
        <v/>
      </c>
      <c r="AO10" s="270">
        <f>AO9</f>
        <v/>
      </c>
      <c r="AP10" s="270">
        <f>AP9</f>
        <v/>
      </c>
      <c r="AQ10" s="270">
        <f>AQ9</f>
        <v/>
      </c>
      <c r="AR10" s="270">
        <f>AR9</f>
        <v/>
      </c>
      <c r="AS10" s="270">
        <f>AS9</f>
        <v/>
      </c>
      <c r="AT10" s="270">
        <f>AT9</f>
        <v/>
      </c>
      <c r="AU10" s="270">
        <f>AU9</f>
        <v/>
      </c>
      <c r="AV10" s="270">
        <f>AV9</f>
        <v/>
      </c>
      <c r="AW10" s="270">
        <f>AW9</f>
        <v/>
      </c>
      <c r="AX10" s="270">
        <f>AX9</f>
        <v/>
      </c>
      <c r="AY10" s="270">
        <f>AY9</f>
        <v/>
      </c>
      <c r="AZ10" s="270">
        <f>AZ9</f>
        <v/>
      </c>
      <c r="BA10" s="270">
        <f>BA9</f>
        <v/>
      </c>
      <c r="BB10" s="270">
        <f>BB9</f>
        <v/>
      </c>
      <c r="BC10" s="270">
        <f>BC9</f>
        <v/>
      </c>
      <c r="BD10" s="270">
        <f>BD9</f>
        <v/>
      </c>
      <c r="BE10" s="270">
        <f>BE9</f>
        <v/>
      </c>
      <c r="BF10" s="270">
        <f>BF9</f>
        <v/>
      </c>
      <c r="BG10" s="270">
        <f>BG9</f>
        <v/>
      </c>
      <c r="BH10" s="270">
        <f>BH9</f>
        <v/>
      </c>
      <c r="BI10" s="270">
        <f>BI9</f>
        <v/>
      </c>
      <c r="BJ10" s="270">
        <f>BJ9</f>
        <v/>
      </c>
      <c r="BK10" s="270">
        <f>BK9</f>
        <v/>
      </c>
      <c r="BL10" s="270">
        <f>BL9</f>
        <v/>
      </c>
      <c r="BM10" s="270">
        <f>BM9</f>
        <v/>
      </c>
      <c r="BN10" s="270">
        <f>BN9</f>
        <v/>
      </c>
      <c r="BO10" s="270">
        <f>BO9</f>
        <v/>
      </c>
      <c r="BP10" s="270">
        <f>BP9</f>
        <v/>
      </c>
      <c r="BQ10" s="270">
        <f>BQ9</f>
        <v/>
      </c>
      <c r="BR10" s="270">
        <f>BR9</f>
        <v/>
      </c>
      <c r="BS10" s="270">
        <f>BS9</f>
        <v/>
      </c>
      <c r="BT10" s="270">
        <f>BT9</f>
        <v/>
      </c>
      <c r="BU10" s="270">
        <f>BU9</f>
        <v/>
      </c>
      <c r="BV10" s="270">
        <f>BV9</f>
        <v/>
      </c>
      <c r="BW10" s="270">
        <f>BW9</f>
        <v/>
      </c>
      <c r="BX10" s="270">
        <f>BX9</f>
        <v/>
      </c>
      <c r="BY10" s="270">
        <f>BY9</f>
        <v/>
      </c>
      <c r="BZ10" s="270">
        <f>BZ9</f>
        <v/>
      </c>
      <c r="CA10" s="270">
        <f>CA9</f>
        <v/>
      </c>
      <c r="CB10" s="270">
        <f>CB9</f>
        <v/>
      </c>
      <c r="CC10" s="270">
        <f>CC9</f>
        <v/>
      </c>
      <c r="CD10" s="270">
        <f>CD9</f>
        <v/>
      </c>
      <c r="CE10" s="270">
        <f>CE9</f>
        <v/>
      </c>
      <c r="CF10" s="270">
        <f>CF9</f>
        <v/>
      </c>
      <c r="CG10" s="270">
        <f>CG9</f>
        <v/>
      </c>
      <c r="CH10" s="270">
        <f>CH9</f>
        <v/>
      </c>
    </row>
    <row r="11" ht="15" customHeight="1" s="202">
      <c r="A11" s="263" t="inlineStr">
        <is>
          <t xml:space="preserve">  Cumulative Net</t>
        </is>
      </c>
      <c r="B11" s="204" t="n"/>
      <c r="C11" s="271">
        <f>C10</f>
        <v/>
      </c>
      <c r="D11" s="271">
        <f>C11+D10</f>
        <v/>
      </c>
      <c r="E11" s="271">
        <f>D11+E10</f>
        <v/>
      </c>
      <c r="F11" s="271">
        <f>E11+F10</f>
        <v/>
      </c>
      <c r="G11" s="271">
        <f>F11+G10</f>
        <v/>
      </c>
      <c r="H11" s="271">
        <f>G11+H10</f>
        <v/>
      </c>
      <c r="I11" s="271">
        <f>H11+I10</f>
        <v/>
      </c>
      <c r="J11" s="271">
        <f>I11+J10</f>
        <v/>
      </c>
      <c r="K11" s="271">
        <f>J11+K10</f>
        <v/>
      </c>
      <c r="L11" s="271">
        <f>K11+L10</f>
        <v/>
      </c>
      <c r="M11" s="271">
        <f>L11+M10</f>
        <v/>
      </c>
      <c r="N11" s="271">
        <f>M11+N10</f>
        <v/>
      </c>
      <c r="O11" s="271">
        <f>N11+O10</f>
        <v/>
      </c>
      <c r="P11" s="271">
        <f>O11+P10</f>
        <v/>
      </c>
      <c r="Q11" s="271">
        <f>P11+Q10</f>
        <v/>
      </c>
      <c r="R11" s="271">
        <f>Q11+R10</f>
        <v/>
      </c>
      <c r="S11" s="271">
        <f>R11+S10</f>
        <v/>
      </c>
      <c r="T11" s="271">
        <f>S11+T10</f>
        <v/>
      </c>
      <c r="U11" s="271">
        <f>T11+U10</f>
        <v/>
      </c>
      <c r="V11" s="271">
        <f>U11+V10</f>
        <v/>
      </c>
      <c r="W11" s="271">
        <f>V11+W10</f>
        <v/>
      </c>
      <c r="X11" s="271">
        <f>W11+X10</f>
        <v/>
      </c>
      <c r="Y11" s="271">
        <f>X11+Y10</f>
        <v/>
      </c>
      <c r="Z11" s="271">
        <f>Y11+Z10</f>
        <v/>
      </c>
      <c r="AA11" s="271">
        <f>Z11+AA10</f>
        <v/>
      </c>
      <c r="AB11" s="271">
        <f>AA11+AB10</f>
        <v/>
      </c>
      <c r="AC11" s="271">
        <f>AB11+AC10</f>
        <v/>
      </c>
      <c r="AD11" s="271">
        <f>AC11+AD10</f>
        <v/>
      </c>
      <c r="AE11" s="271">
        <f>AD11+AE10</f>
        <v/>
      </c>
      <c r="AF11" s="271">
        <f>AE11+AF10</f>
        <v/>
      </c>
      <c r="AG11" s="271">
        <f>AF11+AG10</f>
        <v/>
      </c>
      <c r="AH11" s="271">
        <f>AG11+AH10</f>
        <v/>
      </c>
      <c r="AI11" s="271">
        <f>AH11+AI10</f>
        <v/>
      </c>
      <c r="AJ11" s="271">
        <f>AI11+AJ10</f>
        <v/>
      </c>
      <c r="AK11" s="271">
        <f>AJ11+AK10</f>
        <v/>
      </c>
      <c r="AL11" s="271">
        <f>AK11+AL10</f>
        <v/>
      </c>
      <c r="AM11" s="271">
        <f>AL11+AM10</f>
        <v/>
      </c>
      <c r="AN11" s="271">
        <f>AM11+AN10</f>
        <v/>
      </c>
      <c r="AO11" s="271">
        <f>AN11+AO10</f>
        <v/>
      </c>
      <c r="AP11" s="271">
        <f>AO11+AP10</f>
        <v/>
      </c>
      <c r="AQ11" s="271">
        <f>AP11+AQ10</f>
        <v/>
      </c>
      <c r="AR11" s="271">
        <f>AQ11+AR10</f>
        <v/>
      </c>
      <c r="AS11" s="271">
        <f>AR11+AS10</f>
        <v/>
      </c>
      <c r="AT11" s="271">
        <f>AS11+AT10</f>
        <v/>
      </c>
      <c r="AU11" s="271">
        <f>AT11+AU10</f>
        <v/>
      </c>
      <c r="AV11" s="271">
        <f>AU11+AV10</f>
        <v/>
      </c>
      <c r="AW11" s="271">
        <f>AV11+AW10</f>
        <v/>
      </c>
      <c r="AX11" s="271">
        <f>AW11+AX10</f>
        <v/>
      </c>
      <c r="AY11" s="271">
        <f>AX11+AY10</f>
        <v/>
      </c>
      <c r="AZ11" s="271">
        <f>AY11+AZ10</f>
        <v/>
      </c>
      <c r="BA11" s="271">
        <f>AZ11+BA10</f>
        <v/>
      </c>
      <c r="BB11" s="271">
        <f>BA11+BB10</f>
        <v/>
      </c>
      <c r="BC11" s="271">
        <f>BB11+BC10</f>
        <v/>
      </c>
      <c r="BD11" s="271">
        <f>BC11+BD10</f>
        <v/>
      </c>
      <c r="BE11" s="271">
        <f>BD11+BE10</f>
        <v/>
      </c>
      <c r="BF11" s="271">
        <f>BE11+BF10</f>
        <v/>
      </c>
      <c r="BG11" s="271">
        <f>BF11+BG10</f>
        <v/>
      </c>
      <c r="BH11" s="271">
        <f>BG11+BH10</f>
        <v/>
      </c>
      <c r="BI11" s="271">
        <f>BH11+BI10</f>
        <v/>
      </c>
      <c r="BJ11" s="271">
        <f>BI11+BJ10</f>
        <v/>
      </c>
      <c r="BK11" s="271">
        <f>BJ11+BK10</f>
        <v/>
      </c>
      <c r="BL11" s="271">
        <f>BK11+BL10</f>
        <v/>
      </c>
      <c r="BM11" s="271">
        <f>BL11+BM10</f>
        <v/>
      </c>
      <c r="BN11" s="271">
        <f>BM11+BN10</f>
        <v/>
      </c>
      <c r="BO11" s="271">
        <f>BN11+BO10</f>
        <v/>
      </c>
      <c r="BP11" s="271">
        <f>BO11+BP10</f>
        <v/>
      </c>
      <c r="BQ11" s="271">
        <f>BP11+BQ10</f>
        <v/>
      </c>
      <c r="BR11" s="271">
        <f>BQ11+BR10</f>
        <v/>
      </c>
      <c r="BS11" s="271">
        <f>BR11+BS10</f>
        <v/>
      </c>
      <c r="BT11" s="271">
        <f>BS11+BT10</f>
        <v/>
      </c>
      <c r="BU11" s="271">
        <f>BT11+BU10</f>
        <v/>
      </c>
      <c r="BV11" s="271">
        <f>BU11+BV10</f>
        <v/>
      </c>
      <c r="BW11" s="271">
        <f>BV11+BW10</f>
        <v/>
      </c>
      <c r="BX11" s="271">
        <f>BW11+BX10</f>
        <v/>
      </c>
      <c r="BY11" s="271">
        <f>BX11+BY10</f>
        <v/>
      </c>
      <c r="BZ11" s="271">
        <f>BY11+BZ10</f>
        <v/>
      </c>
      <c r="CA11" s="271">
        <f>BZ11+CA10</f>
        <v/>
      </c>
      <c r="CB11" s="271">
        <f>CA11+CB10</f>
        <v/>
      </c>
      <c r="CC11" s="271">
        <f>CB11+CC10</f>
        <v/>
      </c>
      <c r="CD11" s="271">
        <f>CC11+CD10</f>
        <v/>
      </c>
      <c r="CE11" s="271">
        <f>CD11+CE10</f>
        <v/>
      </c>
      <c r="CF11" s="271">
        <f>CE11+CF10</f>
        <v/>
      </c>
      <c r="CG11" s="271">
        <f>CF11+CG10</f>
        <v/>
      </c>
      <c r="CH11" s="271">
        <f>CG11+CH10</f>
        <v/>
      </c>
    </row>
    <row r="12" ht="15" customHeight="1" s="202">
      <c r="A12" s="204" t="n"/>
      <c r="B12" s="204" t="n"/>
      <c r="C12" s="204" t="n"/>
      <c r="D12" s="204" t="n"/>
      <c r="E12" s="204" t="n"/>
      <c r="F12" s="204" t="n"/>
      <c r="G12" s="204" t="n"/>
      <c r="H12" s="204" t="n"/>
      <c r="I12" s="204" t="n"/>
      <c r="J12" s="204" t="n"/>
      <c r="K12" s="204" t="n"/>
      <c r="L12" s="204" t="n"/>
      <c r="M12" s="204" t="n"/>
      <c r="N12" s="204" t="n"/>
      <c r="O12" s="204" t="n"/>
      <c r="P12" s="204" t="n"/>
      <c r="Q12" s="204" t="n"/>
      <c r="R12" s="204" t="n"/>
      <c r="S12" s="204" t="n"/>
      <c r="T12" s="204" t="n"/>
      <c r="U12" s="204" t="n"/>
      <c r="V12" s="204" t="n"/>
      <c r="W12" s="204" t="n"/>
      <c r="X12" s="204" t="n"/>
      <c r="Y12" s="204" t="n"/>
      <c r="Z12" s="204" t="n"/>
      <c r="AA12" s="204" t="n"/>
      <c r="AB12" s="204" t="n"/>
      <c r="AC12" s="204" t="n"/>
      <c r="AD12" s="204" t="n"/>
      <c r="AE12" s="204" t="n"/>
      <c r="AF12" s="204" t="n"/>
      <c r="AG12" s="204" t="n"/>
      <c r="AH12" s="204" t="n"/>
      <c r="AI12" s="204" t="n"/>
      <c r="AJ12" s="204" t="n"/>
      <c r="AK12" s="204" t="n"/>
      <c r="AL12" s="204" t="n"/>
      <c r="AM12" s="204" t="n"/>
      <c r="AN12" s="204" t="n"/>
      <c r="AO12" s="204" t="n"/>
      <c r="AP12" s="204" t="n"/>
      <c r="AQ12" s="204" t="n"/>
      <c r="AR12" s="204" t="n"/>
      <c r="AS12" s="204" t="n"/>
      <c r="AT12" s="204" t="n"/>
      <c r="AU12" s="204" t="n"/>
      <c r="AV12" s="204" t="n"/>
      <c r="AW12" s="204" t="n"/>
      <c r="AX12" s="204" t="n"/>
      <c r="AY12" s="204" t="n"/>
      <c r="AZ12" s="204" t="n"/>
      <c r="BA12" s="204" t="n"/>
      <c r="BB12" s="204" t="n"/>
      <c r="BC12" s="204" t="n"/>
      <c r="BD12" s="204" t="n"/>
      <c r="BE12" s="204" t="n"/>
      <c r="BF12" s="204" t="n"/>
      <c r="BG12" s="204" t="n"/>
      <c r="BH12" s="204" t="n"/>
      <c r="BI12" s="204" t="n"/>
      <c r="BJ12" s="204" t="n"/>
      <c r="BK12" s="204" t="n"/>
      <c r="BL12" s="204" t="n"/>
      <c r="BM12" s="204" t="n"/>
      <c r="BN12" s="204" t="n"/>
      <c r="BO12" s="204" t="n"/>
      <c r="BP12" s="204" t="n"/>
      <c r="BQ12" s="204" t="n"/>
      <c r="BR12" s="204" t="n"/>
      <c r="BS12" s="204" t="n"/>
      <c r="BT12" s="204" t="n"/>
      <c r="BU12" s="204" t="n"/>
      <c r="BV12" s="204" t="n"/>
      <c r="BW12" s="204" t="n"/>
      <c r="BX12" s="204" t="n"/>
      <c r="BY12" s="204" t="n"/>
      <c r="BZ12" s="204" t="n"/>
      <c r="CA12" s="204" t="n"/>
      <c r="CB12" s="204" t="n"/>
      <c r="CC12" s="204" t="n"/>
      <c r="CD12" s="204" t="n"/>
      <c r="CE12" s="204" t="n"/>
      <c r="CF12" s="204" t="n"/>
      <c r="CG12" s="204" t="n"/>
      <c r="CH12" s="204" t="n"/>
    </row>
    <row r="13" ht="15" customHeight="1" s="202">
      <c r="A13" s="209" t="inlineStr">
        <is>
          <t>Klump</t>
        </is>
      </c>
      <c r="B13" s="209" t="n"/>
      <c r="C13" s="209" t="n"/>
      <c r="D13" s="209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  <c r="AE13" s="209" t="n"/>
      <c r="AF13" s="209" t="n"/>
      <c r="AG13" s="209" t="n"/>
      <c r="AH13" s="209" t="n"/>
      <c r="AI13" s="209" t="n"/>
      <c r="AJ13" s="209" t="n"/>
      <c r="AK13" s="209" t="n"/>
      <c r="AL13" s="209" t="n"/>
      <c r="AM13" s="209" t="n"/>
      <c r="AN13" s="209" t="n"/>
      <c r="AO13" s="209" t="n"/>
      <c r="AP13" s="209" t="n"/>
      <c r="AQ13" s="209" t="n"/>
      <c r="AR13" s="209" t="n"/>
      <c r="AS13" s="209" t="n"/>
      <c r="AT13" s="209" t="n"/>
      <c r="AU13" s="209" t="n"/>
      <c r="AV13" s="209" t="n"/>
      <c r="AW13" s="209" t="n"/>
      <c r="AX13" s="209" t="n"/>
      <c r="AY13" s="209" t="n"/>
      <c r="AZ13" s="209" t="n"/>
      <c r="BA13" s="209" t="n"/>
      <c r="BB13" s="209" t="n"/>
      <c r="BC13" s="209" t="n"/>
      <c r="BD13" s="209" t="n"/>
      <c r="BE13" s="209" t="n"/>
      <c r="BF13" s="209" t="n"/>
      <c r="BG13" s="209" t="n"/>
      <c r="BH13" s="209" t="n"/>
      <c r="BI13" s="209" t="n"/>
      <c r="BJ13" s="209" t="n"/>
      <c r="BK13" s="209" t="n"/>
      <c r="BL13" s="209" t="n"/>
      <c r="BM13" s="209" t="n"/>
      <c r="BN13" s="209" t="n"/>
      <c r="BO13" s="209" t="n"/>
      <c r="BP13" s="209" t="n"/>
      <c r="BQ13" s="209" t="n"/>
      <c r="BR13" s="209" t="n"/>
      <c r="BS13" s="209" t="n"/>
      <c r="BT13" s="209" t="n"/>
      <c r="BU13" s="209" t="n"/>
      <c r="BV13" s="209" t="n"/>
      <c r="BW13" s="209" t="n"/>
      <c r="BX13" s="209" t="n"/>
      <c r="BY13" s="209" t="n"/>
      <c r="BZ13" s="209" t="n"/>
      <c r="CA13" s="209" t="n"/>
      <c r="CB13" s="209" t="n"/>
      <c r="CC13" s="209" t="n"/>
      <c r="CD13" s="209" t="n"/>
      <c r="CE13" s="209" t="n"/>
      <c r="CF13" s="209" t="n"/>
      <c r="CG13" s="209" t="n"/>
      <c r="CH13" s="209" t="n"/>
    </row>
    <row r="14" ht="15" customHeight="1" s="202">
      <c r="A14" s="219" t="inlineStr">
        <is>
          <t xml:space="preserve">  Revenue</t>
        </is>
      </c>
      <c r="B14" s="204" t="n"/>
      <c r="C14" s="269">
        <f>Model!C53+Model!C54+Model!C55</f>
        <v/>
      </c>
      <c r="D14" s="269">
        <f>Model!D53+Model!D54+Model!D55</f>
        <v/>
      </c>
      <c r="E14" s="269">
        <f>Model!E53+Model!E54+Model!E55</f>
        <v/>
      </c>
      <c r="F14" s="269">
        <f>Model!F53+Model!F54+Model!F55</f>
        <v/>
      </c>
      <c r="G14" s="269">
        <f>Model!G53+Model!G54+Model!G55</f>
        <v/>
      </c>
      <c r="H14" s="269">
        <f>Model!H53+Model!H54+Model!H55</f>
        <v/>
      </c>
      <c r="I14" s="269">
        <f>Model!I53+Model!I54+Model!I55</f>
        <v/>
      </c>
      <c r="J14" s="269">
        <f>Model!J53+Model!J54+Model!J55</f>
        <v/>
      </c>
      <c r="K14" s="269">
        <f>Model!K53+Model!K54+Model!K55</f>
        <v/>
      </c>
      <c r="L14" s="269">
        <f>Model!L53+Model!L54+Model!L55</f>
        <v/>
      </c>
      <c r="M14" s="269">
        <f>Model!M53+Model!M54+Model!M55</f>
        <v/>
      </c>
      <c r="N14" s="269">
        <f>Model!N53+Model!N54+Model!N55</f>
        <v/>
      </c>
      <c r="O14" s="269">
        <f>Model!O53+Model!O54+Model!O55</f>
        <v/>
      </c>
      <c r="P14" s="269">
        <f>Model!P53+Model!P54+Model!P55</f>
        <v/>
      </c>
      <c r="Q14" s="269">
        <f>Model!Q53+Model!Q54+Model!Q55</f>
        <v/>
      </c>
      <c r="R14" s="269">
        <f>Model!R53+Model!R54+Model!R55</f>
        <v/>
      </c>
      <c r="S14" s="269">
        <f>Model!S53+Model!S54+Model!S55</f>
        <v/>
      </c>
      <c r="T14" s="269">
        <f>Model!T53+Model!T54+Model!T55</f>
        <v/>
      </c>
      <c r="U14" s="269">
        <f>Model!U53+Model!U54+Model!U55</f>
        <v/>
      </c>
      <c r="V14" s="269">
        <f>Model!V53+Model!V54+Model!V55</f>
        <v/>
      </c>
      <c r="W14" s="269">
        <f>Model!W53+Model!W54+Model!W55</f>
        <v/>
      </c>
      <c r="X14" s="269">
        <f>Model!X53+Model!X54+Model!X55</f>
        <v/>
      </c>
      <c r="Y14" s="269">
        <f>Model!Y53+Model!Y54+Model!Y55</f>
        <v/>
      </c>
      <c r="Z14" s="269">
        <f>Model!Z53+Model!Z54+Model!Z55</f>
        <v/>
      </c>
      <c r="AA14" s="269">
        <f>Model!AA53+Model!AA54+Model!AA55</f>
        <v/>
      </c>
      <c r="AB14" s="269">
        <f>Model!AB53+Model!AB54+Model!AB55</f>
        <v/>
      </c>
      <c r="AC14" s="269">
        <f>Model!AC53+Model!AC54+Model!AC55</f>
        <v/>
      </c>
      <c r="AD14" s="269">
        <f>Model!AD53+Model!AD54+Model!AD55</f>
        <v/>
      </c>
      <c r="AE14" s="269">
        <f>Model!AE53+Model!AE54+Model!AE55</f>
        <v/>
      </c>
      <c r="AF14" s="269">
        <f>Model!AF53+Model!AF54+Model!AF55</f>
        <v/>
      </c>
      <c r="AG14" s="269">
        <f>Model!AG53+Model!AG54+Model!AG55</f>
        <v/>
      </c>
      <c r="AH14" s="269">
        <f>Model!AH53+Model!AH54+Model!AH55</f>
        <v/>
      </c>
      <c r="AI14" s="269">
        <f>Model!AI53+Model!AI54+Model!AI55</f>
        <v/>
      </c>
      <c r="AJ14" s="269">
        <f>Model!AJ53+Model!AJ54+Model!AJ55</f>
        <v/>
      </c>
      <c r="AK14" s="269">
        <f>Model!AK53+Model!AK54+Model!AK55</f>
        <v/>
      </c>
      <c r="AL14" s="269">
        <f>Model!AL53+Model!AL54+Model!AL55</f>
        <v/>
      </c>
      <c r="AM14" s="269">
        <f>Model!AM53+Model!AM54+Model!AM55</f>
        <v/>
      </c>
      <c r="AN14" s="269">
        <f>Model!AN53+Model!AN54+Model!AN55</f>
        <v/>
      </c>
      <c r="AO14" s="269">
        <f>Model!AO53+Model!AO54+Model!AO55</f>
        <v/>
      </c>
      <c r="AP14" s="269">
        <f>Model!AP53+Model!AP54+Model!AP55</f>
        <v/>
      </c>
      <c r="AQ14" s="269">
        <f>Model!AQ53+Model!AQ54+Model!AQ55</f>
        <v/>
      </c>
      <c r="AR14" s="269">
        <f>Model!AR53+Model!AR54+Model!AR55</f>
        <v/>
      </c>
      <c r="AS14" s="269">
        <f>Model!AS53+Model!AS54+Model!AS55</f>
        <v/>
      </c>
      <c r="AT14" s="269">
        <f>Model!AT53+Model!AT54+Model!AT55</f>
        <v/>
      </c>
      <c r="AU14" s="269">
        <f>Model!AU53+Model!AU54+Model!AU55</f>
        <v/>
      </c>
      <c r="AV14" s="269">
        <f>Model!AV53+Model!AV54+Model!AV55</f>
        <v/>
      </c>
      <c r="AW14" s="269">
        <f>Model!AW53+Model!AW54+Model!AW55</f>
        <v/>
      </c>
      <c r="AX14" s="269">
        <f>Model!AX53+Model!AX54+Model!AX55</f>
        <v/>
      </c>
      <c r="AY14" s="269">
        <f>Model!AY53+Model!AY54+Model!AY55</f>
        <v/>
      </c>
      <c r="AZ14" s="269">
        <f>Model!AZ53+Model!AZ54+Model!AZ55</f>
        <v/>
      </c>
      <c r="BA14" s="269">
        <f>Model!BA53+Model!BA54+Model!BA55</f>
        <v/>
      </c>
      <c r="BB14" s="269">
        <f>Model!BB53+Model!BB54+Model!BB55</f>
        <v/>
      </c>
      <c r="BC14" s="269">
        <f>Model!BC53+Model!BC54+Model!BC55</f>
        <v/>
      </c>
      <c r="BD14" s="269">
        <f>Model!BD53+Model!BD54+Model!BD55</f>
        <v/>
      </c>
      <c r="BE14" s="269">
        <f>Model!BE53+Model!BE54+Model!BE55</f>
        <v/>
      </c>
      <c r="BF14" s="269">
        <f>Model!BF53+Model!BF54+Model!BF55</f>
        <v/>
      </c>
      <c r="BG14" s="269">
        <f>Model!BG53+Model!BG54+Model!BG55</f>
        <v/>
      </c>
      <c r="BH14" s="269">
        <f>Model!BH53+Model!BH54+Model!BH55</f>
        <v/>
      </c>
      <c r="BI14" s="269">
        <f>Model!BI53+Model!BI54+Model!BI55</f>
        <v/>
      </c>
      <c r="BJ14" s="269">
        <f>Model!BJ53+Model!BJ54+Model!BJ55</f>
        <v/>
      </c>
      <c r="BK14" s="269">
        <f>Model!BK53+Model!BK54+Model!BK55</f>
        <v/>
      </c>
      <c r="BL14" s="269">
        <f>Model!BL53+Model!BL54+Model!BL55</f>
        <v/>
      </c>
      <c r="BM14" s="269">
        <f>Model!BM53+Model!BM54+Model!BM55</f>
        <v/>
      </c>
      <c r="BN14" s="269">
        <f>Model!BN53+Model!BN54+Model!BN55</f>
        <v/>
      </c>
      <c r="BO14" s="269">
        <f>Model!BO53+Model!BO54+Model!BO55</f>
        <v/>
      </c>
      <c r="BP14" s="269">
        <f>Model!BP53+Model!BP54+Model!BP55</f>
        <v/>
      </c>
      <c r="BQ14" s="269">
        <f>Model!BQ53+Model!BQ54+Model!BQ55</f>
        <v/>
      </c>
      <c r="BR14" s="269">
        <f>Model!BR53+Model!BR54+Model!BR55</f>
        <v/>
      </c>
      <c r="BS14" s="269">
        <f>Model!BS53+Model!BS54+Model!BS55</f>
        <v/>
      </c>
      <c r="BT14" s="269">
        <f>Model!BT53+Model!BT54+Model!BT55</f>
        <v/>
      </c>
      <c r="BU14" s="269">
        <f>Model!BU53+Model!BU54+Model!BU55</f>
        <v/>
      </c>
      <c r="BV14" s="269">
        <f>Model!BV53+Model!BV54+Model!BV55</f>
        <v/>
      </c>
      <c r="BW14" s="269">
        <f>Model!BW53+Model!BW54+Model!BW55</f>
        <v/>
      </c>
      <c r="BX14" s="269">
        <f>Model!BX53+Model!BX54+Model!BX55</f>
        <v/>
      </c>
      <c r="BY14" s="269">
        <f>Model!BY53+Model!BY54+Model!BY55</f>
        <v/>
      </c>
      <c r="BZ14" s="269">
        <f>Model!BZ53+Model!BZ54+Model!BZ55</f>
        <v/>
      </c>
      <c r="CA14" s="269">
        <f>Model!CA53+Model!CA54+Model!CA55</f>
        <v/>
      </c>
      <c r="CB14" s="269">
        <f>Model!CB53+Model!CB54+Model!CB55</f>
        <v/>
      </c>
      <c r="CC14" s="269">
        <f>Model!CC53+Model!CC54+Model!CC55</f>
        <v/>
      </c>
      <c r="CD14" s="269">
        <f>Model!CD53+Model!CD54+Model!CD55</f>
        <v/>
      </c>
      <c r="CE14" s="269">
        <f>Model!CE53+Model!CE54+Model!CE55</f>
        <v/>
      </c>
      <c r="CF14" s="269">
        <f>Model!CF53+Model!CF54+Model!CF55</f>
        <v/>
      </c>
      <c r="CG14" s="269">
        <f>Model!CG53+Model!CG54+Model!CG55</f>
        <v/>
      </c>
      <c r="CH14" s="269">
        <f>Model!CH53+Model!CH54+Model!CH55</f>
        <v/>
      </c>
    </row>
    <row r="15" ht="15" customHeight="1" s="202">
      <c r="A15" s="272" t="inlineStr">
        <is>
          <t xml:space="preserve">  Steyn Fees</t>
        </is>
      </c>
      <c r="B15" s="204" t="n"/>
      <c r="C15" s="273" t="n">
        <v>0</v>
      </c>
      <c r="D15" s="273" t="n">
        <v>0</v>
      </c>
      <c r="E15" s="273" t="n">
        <v>0</v>
      </c>
      <c r="F15" s="273" t="n">
        <v>0</v>
      </c>
      <c r="G15" s="273">
        <f>IF(Projects!$G$11="Yes",-155771,0)</f>
        <v/>
      </c>
      <c r="H15" s="273" t="n">
        <v>0</v>
      </c>
      <c r="I15" s="273" t="n">
        <v>0</v>
      </c>
      <c r="J15" s="273" t="n">
        <v>0</v>
      </c>
      <c r="K15" s="273" t="n">
        <v>0</v>
      </c>
      <c r="L15" s="273" t="n">
        <v>0</v>
      </c>
      <c r="M15" s="273" t="n">
        <v>0</v>
      </c>
      <c r="N15" s="273" t="n">
        <v>0</v>
      </c>
      <c r="O15" s="273" t="n">
        <v>0</v>
      </c>
      <c r="P15" s="273" t="n">
        <v>0</v>
      </c>
      <c r="Q15" s="273" t="n">
        <v>0</v>
      </c>
      <c r="R15" s="273" t="n">
        <v>0</v>
      </c>
      <c r="S15" s="273" t="n">
        <v>0</v>
      </c>
      <c r="T15" s="273" t="n">
        <v>0</v>
      </c>
      <c r="U15" s="273" t="n">
        <v>0</v>
      </c>
      <c r="V15" s="273" t="n">
        <v>0</v>
      </c>
      <c r="W15" s="273" t="n">
        <v>0</v>
      </c>
      <c r="X15" s="273" t="n">
        <v>0</v>
      </c>
      <c r="Y15" s="273" t="n">
        <v>0</v>
      </c>
      <c r="Z15" s="273" t="n">
        <v>0</v>
      </c>
      <c r="AA15" s="273" t="n">
        <v>0</v>
      </c>
      <c r="AB15" s="273" t="n">
        <v>0</v>
      </c>
      <c r="AC15" s="273" t="n">
        <v>0</v>
      </c>
      <c r="AD15" s="273" t="n">
        <v>0</v>
      </c>
      <c r="AE15" s="273" t="n">
        <v>0</v>
      </c>
      <c r="AF15" s="273" t="n">
        <v>0</v>
      </c>
      <c r="AG15" s="273" t="n">
        <v>0</v>
      </c>
      <c r="AH15" s="273" t="n">
        <v>0</v>
      </c>
      <c r="AI15" s="273" t="n">
        <v>0</v>
      </c>
      <c r="AJ15" s="273" t="n">
        <v>0</v>
      </c>
      <c r="AK15" s="273" t="n">
        <v>0</v>
      </c>
      <c r="AL15" s="273" t="n">
        <v>0</v>
      </c>
      <c r="AM15" s="273" t="n">
        <v>0</v>
      </c>
      <c r="AN15" s="273" t="n">
        <v>0</v>
      </c>
      <c r="AO15" s="273" t="n">
        <v>0</v>
      </c>
      <c r="AP15" s="273" t="n">
        <v>0</v>
      </c>
      <c r="AQ15" s="273" t="n">
        <v>0</v>
      </c>
      <c r="AR15" s="273" t="n">
        <v>0</v>
      </c>
      <c r="AS15" s="273" t="n">
        <v>0</v>
      </c>
      <c r="AT15" s="273" t="n">
        <v>0</v>
      </c>
      <c r="AU15" s="273" t="n">
        <v>0</v>
      </c>
      <c r="AV15" s="273" t="n">
        <v>0</v>
      </c>
      <c r="AW15" s="273" t="n">
        <v>0</v>
      </c>
      <c r="AX15" s="273" t="n">
        <v>0</v>
      </c>
      <c r="AY15" s="273" t="n">
        <v>0</v>
      </c>
      <c r="AZ15" s="273" t="n">
        <v>0</v>
      </c>
      <c r="BA15" s="273" t="n">
        <v>0</v>
      </c>
      <c r="BB15" s="273" t="n">
        <v>0</v>
      </c>
      <c r="BC15" s="273" t="n">
        <v>0</v>
      </c>
      <c r="BD15" s="273" t="n">
        <v>0</v>
      </c>
      <c r="BE15" s="273" t="n">
        <v>0</v>
      </c>
      <c r="BF15" s="273" t="n">
        <v>0</v>
      </c>
      <c r="BG15" s="273" t="n">
        <v>0</v>
      </c>
      <c r="BH15" s="273" t="n">
        <v>0</v>
      </c>
      <c r="BI15" s="273" t="n">
        <v>0</v>
      </c>
      <c r="BJ15" s="273" t="n">
        <v>0</v>
      </c>
      <c r="BK15" s="273" t="n">
        <v>0</v>
      </c>
      <c r="BL15" s="273" t="n">
        <v>0</v>
      </c>
      <c r="BM15" s="273" t="n">
        <v>0</v>
      </c>
      <c r="BN15" s="273" t="n">
        <v>0</v>
      </c>
      <c r="BO15" s="273" t="n">
        <v>0</v>
      </c>
      <c r="BP15" s="273" t="n">
        <v>0</v>
      </c>
      <c r="BQ15" s="273" t="n">
        <v>0</v>
      </c>
      <c r="BR15" s="273" t="n">
        <v>0</v>
      </c>
      <c r="BS15" s="273" t="n">
        <v>0</v>
      </c>
      <c r="BT15" s="273" t="n">
        <v>0</v>
      </c>
      <c r="BU15" s="273" t="n">
        <v>0</v>
      </c>
      <c r="BV15" s="273" t="n">
        <v>0</v>
      </c>
      <c r="BW15" s="273" t="n">
        <v>0</v>
      </c>
      <c r="BX15" s="273" t="n">
        <v>0</v>
      </c>
      <c r="BY15" s="273" t="n">
        <v>0</v>
      </c>
      <c r="BZ15" s="273" t="n">
        <v>0</v>
      </c>
      <c r="CA15" s="273" t="n">
        <v>0</v>
      </c>
      <c r="CB15" s="273" t="n">
        <v>0</v>
      </c>
      <c r="CC15" s="273" t="n">
        <v>0</v>
      </c>
      <c r="CD15" s="273" t="n">
        <v>0</v>
      </c>
      <c r="CE15" s="273" t="n">
        <v>0</v>
      </c>
      <c r="CF15" s="273" t="n">
        <v>0</v>
      </c>
      <c r="CG15" s="273" t="n">
        <v>0</v>
      </c>
      <c r="CH15" s="273" t="n">
        <v>0</v>
      </c>
    </row>
    <row r="16" ht="15" customHeight="1" s="202">
      <c r="A16" s="231" t="inlineStr">
        <is>
          <t xml:space="preserve">  Net to Six Peak</t>
        </is>
      </c>
      <c r="B16" s="231" t="n"/>
      <c r="C16" s="270">
        <f>C14+C15</f>
        <v/>
      </c>
      <c r="D16" s="270">
        <f>D14+D15</f>
        <v/>
      </c>
      <c r="E16" s="270">
        <f>E14+E15</f>
        <v/>
      </c>
      <c r="F16" s="270">
        <f>F14+F15</f>
        <v/>
      </c>
      <c r="G16" s="270">
        <f>G14+G15</f>
        <v/>
      </c>
      <c r="H16" s="270">
        <f>H14+H15</f>
        <v/>
      </c>
      <c r="I16" s="270">
        <f>I14+I15</f>
        <v/>
      </c>
      <c r="J16" s="270">
        <f>J14+J15</f>
        <v/>
      </c>
      <c r="K16" s="270">
        <f>K14+K15</f>
        <v/>
      </c>
      <c r="L16" s="270">
        <f>L14+L15</f>
        <v/>
      </c>
      <c r="M16" s="270">
        <f>M14+M15</f>
        <v/>
      </c>
      <c r="N16" s="270">
        <f>N14+N15</f>
        <v/>
      </c>
      <c r="O16" s="270">
        <f>O14+O15</f>
        <v/>
      </c>
      <c r="P16" s="270">
        <f>P14+P15</f>
        <v/>
      </c>
      <c r="Q16" s="270">
        <f>Q14+Q15</f>
        <v/>
      </c>
      <c r="R16" s="270">
        <f>R14+R15</f>
        <v/>
      </c>
      <c r="S16" s="270">
        <f>S14+S15</f>
        <v/>
      </c>
      <c r="T16" s="270">
        <f>T14+T15</f>
        <v/>
      </c>
      <c r="U16" s="270">
        <f>U14+U15</f>
        <v/>
      </c>
      <c r="V16" s="270">
        <f>V14+V15</f>
        <v/>
      </c>
      <c r="W16" s="270">
        <f>W14+W15</f>
        <v/>
      </c>
      <c r="X16" s="270">
        <f>X14+X15</f>
        <v/>
      </c>
      <c r="Y16" s="270">
        <f>Y14+Y15</f>
        <v/>
      </c>
      <c r="Z16" s="270">
        <f>Z14+Z15</f>
        <v/>
      </c>
      <c r="AA16" s="270">
        <f>AA14+AA15</f>
        <v/>
      </c>
      <c r="AB16" s="270">
        <f>AB14+AB15</f>
        <v/>
      </c>
      <c r="AC16" s="270">
        <f>AC14+AC15</f>
        <v/>
      </c>
      <c r="AD16" s="270">
        <f>AD14+AD15</f>
        <v/>
      </c>
      <c r="AE16" s="270">
        <f>AE14+AE15</f>
        <v/>
      </c>
      <c r="AF16" s="270">
        <f>AF14+AF15</f>
        <v/>
      </c>
      <c r="AG16" s="270">
        <f>AG14+AG15</f>
        <v/>
      </c>
      <c r="AH16" s="270">
        <f>AH14+AH15</f>
        <v/>
      </c>
      <c r="AI16" s="270">
        <f>AI14+AI15</f>
        <v/>
      </c>
      <c r="AJ16" s="270">
        <f>AJ14+AJ15</f>
        <v/>
      </c>
      <c r="AK16" s="270">
        <f>AK14+AK15</f>
        <v/>
      </c>
      <c r="AL16" s="270">
        <f>AL14+AL15</f>
        <v/>
      </c>
      <c r="AM16" s="270">
        <f>AM14+AM15</f>
        <v/>
      </c>
      <c r="AN16" s="270">
        <f>AN14+AN15</f>
        <v/>
      </c>
      <c r="AO16" s="270">
        <f>AO14+AO15</f>
        <v/>
      </c>
      <c r="AP16" s="270">
        <f>AP14+AP15</f>
        <v/>
      </c>
      <c r="AQ16" s="270">
        <f>AQ14+AQ15</f>
        <v/>
      </c>
      <c r="AR16" s="270">
        <f>AR14+AR15</f>
        <v/>
      </c>
      <c r="AS16" s="270">
        <f>AS14+AS15</f>
        <v/>
      </c>
      <c r="AT16" s="270">
        <f>AT14+AT15</f>
        <v/>
      </c>
      <c r="AU16" s="270">
        <f>AU14+AU15</f>
        <v/>
      </c>
      <c r="AV16" s="270">
        <f>AV14+AV15</f>
        <v/>
      </c>
      <c r="AW16" s="270">
        <f>AW14+AW15</f>
        <v/>
      </c>
      <c r="AX16" s="270">
        <f>AX14+AX15</f>
        <v/>
      </c>
      <c r="AY16" s="270">
        <f>AY14+AY15</f>
        <v/>
      </c>
      <c r="AZ16" s="270">
        <f>AZ14+AZ15</f>
        <v/>
      </c>
      <c r="BA16" s="270">
        <f>BA14+BA15</f>
        <v/>
      </c>
      <c r="BB16" s="270">
        <f>BB14+BB15</f>
        <v/>
      </c>
      <c r="BC16" s="270">
        <f>BC14+BC15</f>
        <v/>
      </c>
      <c r="BD16" s="270">
        <f>BD14+BD15</f>
        <v/>
      </c>
      <c r="BE16" s="270">
        <f>BE14+BE15</f>
        <v/>
      </c>
      <c r="BF16" s="270">
        <f>BF14+BF15</f>
        <v/>
      </c>
      <c r="BG16" s="270">
        <f>BG14+BG15</f>
        <v/>
      </c>
      <c r="BH16" s="270">
        <f>BH14+BH15</f>
        <v/>
      </c>
      <c r="BI16" s="270">
        <f>BI14+BI15</f>
        <v/>
      </c>
      <c r="BJ16" s="270">
        <f>BJ14+BJ15</f>
        <v/>
      </c>
      <c r="BK16" s="270">
        <f>BK14+BK15</f>
        <v/>
      </c>
      <c r="BL16" s="270">
        <f>BL14+BL15</f>
        <v/>
      </c>
      <c r="BM16" s="270">
        <f>BM14+BM15</f>
        <v/>
      </c>
      <c r="BN16" s="270">
        <f>BN14+BN15</f>
        <v/>
      </c>
      <c r="BO16" s="270">
        <f>BO14+BO15</f>
        <v/>
      </c>
      <c r="BP16" s="270">
        <f>BP14+BP15</f>
        <v/>
      </c>
      <c r="BQ16" s="270">
        <f>BQ14+BQ15</f>
        <v/>
      </c>
      <c r="BR16" s="270">
        <f>BR14+BR15</f>
        <v/>
      </c>
      <c r="BS16" s="270">
        <f>BS14+BS15</f>
        <v/>
      </c>
      <c r="BT16" s="270">
        <f>BT14+BT15</f>
        <v/>
      </c>
      <c r="BU16" s="270">
        <f>BU14+BU15</f>
        <v/>
      </c>
      <c r="BV16" s="270">
        <f>BV14+BV15</f>
        <v/>
      </c>
      <c r="BW16" s="270">
        <f>BW14+BW15</f>
        <v/>
      </c>
      <c r="BX16" s="270">
        <f>BX14+BX15</f>
        <v/>
      </c>
      <c r="BY16" s="270">
        <f>BY14+BY15</f>
        <v/>
      </c>
      <c r="BZ16" s="270">
        <f>BZ14+BZ15</f>
        <v/>
      </c>
      <c r="CA16" s="270">
        <f>CA14+CA15</f>
        <v/>
      </c>
      <c r="CB16" s="270">
        <f>CB14+CB15</f>
        <v/>
      </c>
      <c r="CC16" s="270">
        <f>CC14+CC15</f>
        <v/>
      </c>
      <c r="CD16" s="270">
        <f>CD14+CD15</f>
        <v/>
      </c>
      <c r="CE16" s="270">
        <f>CE14+CE15</f>
        <v/>
      </c>
      <c r="CF16" s="270">
        <f>CF14+CF15</f>
        <v/>
      </c>
      <c r="CG16" s="270">
        <f>CG14+CG15</f>
        <v/>
      </c>
      <c r="CH16" s="270">
        <f>CH14+CH15</f>
        <v/>
      </c>
    </row>
    <row r="17" ht="15" customHeight="1" s="202">
      <c r="A17" s="263" t="inlineStr">
        <is>
          <t xml:space="preserve">  Cumulative Net</t>
        </is>
      </c>
      <c r="B17" s="204" t="n"/>
      <c r="C17" s="271">
        <f>C16</f>
        <v/>
      </c>
      <c r="D17" s="271">
        <f>C17+D16</f>
        <v/>
      </c>
      <c r="E17" s="271">
        <f>D17+E16</f>
        <v/>
      </c>
      <c r="F17" s="271">
        <f>E17+F16</f>
        <v/>
      </c>
      <c r="G17" s="271">
        <f>F17+G16</f>
        <v/>
      </c>
      <c r="H17" s="271">
        <f>G17+H16</f>
        <v/>
      </c>
      <c r="I17" s="271">
        <f>H17+I16</f>
        <v/>
      </c>
      <c r="J17" s="271">
        <f>I17+J16</f>
        <v/>
      </c>
      <c r="K17" s="271">
        <f>J17+K16</f>
        <v/>
      </c>
      <c r="L17" s="271">
        <f>K17+L16</f>
        <v/>
      </c>
      <c r="M17" s="271">
        <f>L17+M16</f>
        <v/>
      </c>
      <c r="N17" s="271">
        <f>M17+N16</f>
        <v/>
      </c>
      <c r="O17" s="271">
        <f>N17+O16</f>
        <v/>
      </c>
      <c r="P17" s="271">
        <f>O17+P16</f>
        <v/>
      </c>
      <c r="Q17" s="271">
        <f>P17+Q16</f>
        <v/>
      </c>
      <c r="R17" s="271">
        <f>Q17+R16</f>
        <v/>
      </c>
      <c r="S17" s="271">
        <f>R17+S16</f>
        <v/>
      </c>
      <c r="T17" s="271">
        <f>S17+T16</f>
        <v/>
      </c>
      <c r="U17" s="271">
        <f>T17+U16</f>
        <v/>
      </c>
      <c r="V17" s="271">
        <f>U17+V16</f>
        <v/>
      </c>
      <c r="W17" s="271">
        <f>V17+W16</f>
        <v/>
      </c>
      <c r="X17" s="271">
        <f>W17+X16</f>
        <v/>
      </c>
      <c r="Y17" s="271">
        <f>X17+Y16</f>
        <v/>
      </c>
      <c r="Z17" s="271">
        <f>Y17+Z16</f>
        <v/>
      </c>
      <c r="AA17" s="271">
        <f>Z17+AA16</f>
        <v/>
      </c>
      <c r="AB17" s="271">
        <f>AA17+AB16</f>
        <v/>
      </c>
      <c r="AC17" s="271">
        <f>AB17+AC16</f>
        <v/>
      </c>
      <c r="AD17" s="271">
        <f>AC17+AD16</f>
        <v/>
      </c>
      <c r="AE17" s="271">
        <f>AD17+AE16</f>
        <v/>
      </c>
      <c r="AF17" s="271">
        <f>AE17+AF16</f>
        <v/>
      </c>
      <c r="AG17" s="271">
        <f>AF17+AG16</f>
        <v/>
      </c>
      <c r="AH17" s="271">
        <f>AG17+AH16</f>
        <v/>
      </c>
      <c r="AI17" s="271">
        <f>AH17+AI16</f>
        <v/>
      </c>
      <c r="AJ17" s="271">
        <f>AI17+AJ16</f>
        <v/>
      </c>
      <c r="AK17" s="271">
        <f>AJ17+AK16</f>
        <v/>
      </c>
      <c r="AL17" s="271">
        <f>AK17+AL16</f>
        <v/>
      </c>
      <c r="AM17" s="271">
        <f>AL17+AM16</f>
        <v/>
      </c>
      <c r="AN17" s="271">
        <f>AM17+AN16</f>
        <v/>
      </c>
      <c r="AO17" s="271">
        <f>AN17+AO16</f>
        <v/>
      </c>
      <c r="AP17" s="271">
        <f>AO17+AP16</f>
        <v/>
      </c>
      <c r="AQ17" s="271">
        <f>AP17+AQ16</f>
        <v/>
      </c>
      <c r="AR17" s="271">
        <f>AQ17+AR16</f>
        <v/>
      </c>
      <c r="AS17" s="271">
        <f>AR17+AS16</f>
        <v/>
      </c>
      <c r="AT17" s="271">
        <f>AS17+AT16</f>
        <v/>
      </c>
      <c r="AU17" s="271">
        <f>AT17+AU16</f>
        <v/>
      </c>
      <c r="AV17" s="271">
        <f>AU17+AV16</f>
        <v/>
      </c>
      <c r="AW17" s="271">
        <f>AV17+AW16</f>
        <v/>
      </c>
      <c r="AX17" s="271">
        <f>AW17+AX16</f>
        <v/>
      </c>
      <c r="AY17" s="271">
        <f>AX17+AY16</f>
        <v/>
      </c>
      <c r="AZ17" s="271">
        <f>AY17+AZ16</f>
        <v/>
      </c>
      <c r="BA17" s="271">
        <f>AZ17+BA16</f>
        <v/>
      </c>
      <c r="BB17" s="271">
        <f>BA17+BB16</f>
        <v/>
      </c>
      <c r="BC17" s="271">
        <f>BB17+BC16</f>
        <v/>
      </c>
      <c r="BD17" s="271">
        <f>BC17+BD16</f>
        <v/>
      </c>
      <c r="BE17" s="271">
        <f>BD17+BE16</f>
        <v/>
      </c>
      <c r="BF17" s="271">
        <f>BE17+BF16</f>
        <v/>
      </c>
      <c r="BG17" s="271">
        <f>BF17+BG16</f>
        <v/>
      </c>
      <c r="BH17" s="271">
        <f>BG17+BH16</f>
        <v/>
      </c>
      <c r="BI17" s="271">
        <f>BH17+BI16</f>
        <v/>
      </c>
      <c r="BJ17" s="271">
        <f>BI17+BJ16</f>
        <v/>
      </c>
      <c r="BK17" s="271">
        <f>BJ17+BK16</f>
        <v/>
      </c>
      <c r="BL17" s="271">
        <f>BK17+BL16</f>
        <v/>
      </c>
      <c r="BM17" s="271">
        <f>BL17+BM16</f>
        <v/>
      </c>
      <c r="BN17" s="271">
        <f>BM17+BN16</f>
        <v/>
      </c>
      <c r="BO17" s="271">
        <f>BN17+BO16</f>
        <v/>
      </c>
      <c r="BP17" s="271">
        <f>BO17+BP16</f>
        <v/>
      </c>
      <c r="BQ17" s="271">
        <f>BP17+BQ16</f>
        <v/>
      </c>
      <c r="BR17" s="271">
        <f>BQ17+BR16</f>
        <v/>
      </c>
      <c r="BS17" s="271">
        <f>BR17+BS16</f>
        <v/>
      </c>
      <c r="BT17" s="271">
        <f>BS17+BT16</f>
        <v/>
      </c>
      <c r="BU17" s="271">
        <f>BT17+BU16</f>
        <v/>
      </c>
      <c r="BV17" s="271">
        <f>BU17+BV16</f>
        <v/>
      </c>
      <c r="BW17" s="271">
        <f>BV17+BW16</f>
        <v/>
      </c>
      <c r="BX17" s="271">
        <f>BW17+BX16</f>
        <v/>
      </c>
      <c r="BY17" s="271">
        <f>BX17+BY16</f>
        <v/>
      </c>
      <c r="BZ17" s="271">
        <f>BY17+BZ16</f>
        <v/>
      </c>
      <c r="CA17" s="271">
        <f>BZ17+CA16</f>
        <v/>
      </c>
      <c r="CB17" s="271">
        <f>CA17+CB16</f>
        <v/>
      </c>
      <c r="CC17" s="271">
        <f>CB17+CC16</f>
        <v/>
      </c>
      <c r="CD17" s="271">
        <f>CC17+CD16</f>
        <v/>
      </c>
      <c r="CE17" s="271">
        <f>CD17+CE16</f>
        <v/>
      </c>
      <c r="CF17" s="271">
        <f>CE17+CF16</f>
        <v/>
      </c>
      <c r="CG17" s="271">
        <f>CF17+CG16</f>
        <v/>
      </c>
      <c r="CH17" s="271">
        <f>CG17+CH16</f>
        <v/>
      </c>
    </row>
    <row r="18" ht="15" customHeight="1" s="202">
      <c r="A18" s="204" t="n"/>
      <c r="B18" s="204" t="n"/>
      <c r="C18" s="204" t="n"/>
      <c r="D18" s="204" t="n"/>
      <c r="E18" s="204" t="n"/>
      <c r="F18" s="204" t="n"/>
      <c r="G18" s="204" t="n"/>
      <c r="H18" s="204" t="n"/>
      <c r="I18" s="204" t="n"/>
      <c r="J18" s="204" t="n"/>
      <c r="K18" s="204" t="n"/>
      <c r="L18" s="204" t="n"/>
      <c r="M18" s="204" t="n"/>
      <c r="N18" s="204" t="n"/>
      <c r="O18" s="204" t="n"/>
      <c r="P18" s="204" t="n"/>
      <c r="Q18" s="204" t="n"/>
      <c r="R18" s="204" t="n"/>
      <c r="S18" s="204" t="n"/>
      <c r="T18" s="204" t="n"/>
      <c r="U18" s="204" t="n"/>
      <c r="V18" s="204" t="n"/>
      <c r="W18" s="204" t="n"/>
      <c r="X18" s="204" t="n"/>
      <c r="Y18" s="204" t="n"/>
      <c r="Z18" s="204" t="n"/>
      <c r="AA18" s="204" t="n"/>
      <c r="AB18" s="204" t="n"/>
      <c r="AC18" s="204" t="n"/>
      <c r="AD18" s="204" t="n"/>
      <c r="AE18" s="204" t="n"/>
      <c r="AF18" s="204" t="n"/>
      <c r="AG18" s="204" t="n"/>
      <c r="AH18" s="204" t="n"/>
      <c r="AI18" s="204" t="n"/>
      <c r="AJ18" s="204" t="n"/>
      <c r="AK18" s="204" t="n"/>
      <c r="AL18" s="204" t="n"/>
      <c r="AM18" s="204" t="n"/>
      <c r="AN18" s="204" t="n"/>
      <c r="AO18" s="204" t="n"/>
      <c r="AP18" s="204" t="n"/>
      <c r="AQ18" s="204" t="n"/>
      <c r="AR18" s="204" t="n"/>
      <c r="AS18" s="204" t="n"/>
      <c r="AT18" s="204" t="n"/>
      <c r="AU18" s="204" t="n"/>
      <c r="AV18" s="204" t="n"/>
      <c r="AW18" s="204" t="n"/>
      <c r="AX18" s="204" t="n"/>
      <c r="AY18" s="204" t="n"/>
      <c r="AZ18" s="204" t="n"/>
      <c r="BA18" s="204" t="n"/>
      <c r="BB18" s="204" t="n"/>
      <c r="BC18" s="204" t="n"/>
      <c r="BD18" s="204" t="n"/>
      <c r="BE18" s="204" t="n"/>
      <c r="BF18" s="204" t="n"/>
      <c r="BG18" s="204" t="n"/>
      <c r="BH18" s="204" t="n"/>
      <c r="BI18" s="204" t="n"/>
      <c r="BJ18" s="204" t="n"/>
      <c r="BK18" s="204" t="n"/>
      <c r="BL18" s="204" t="n"/>
      <c r="BM18" s="204" t="n"/>
      <c r="BN18" s="204" t="n"/>
      <c r="BO18" s="204" t="n"/>
      <c r="BP18" s="204" t="n"/>
      <c r="BQ18" s="204" t="n"/>
      <c r="BR18" s="204" t="n"/>
      <c r="BS18" s="204" t="n"/>
      <c r="BT18" s="204" t="n"/>
      <c r="BU18" s="204" t="n"/>
      <c r="BV18" s="204" t="n"/>
      <c r="BW18" s="204" t="n"/>
      <c r="BX18" s="204" t="n"/>
      <c r="BY18" s="204" t="n"/>
      <c r="BZ18" s="204" t="n"/>
      <c r="CA18" s="204" t="n"/>
      <c r="CB18" s="204" t="n"/>
      <c r="CC18" s="204" t="n"/>
      <c r="CD18" s="204" t="n"/>
      <c r="CE18" s="204" t="n"/>
      <c r="CF18" s="204" t="n"/>
      <c r="CG18" s="204" t="n"/>
      <c r="CH18" s="204" t="n"/>
    </row>
    <row r="19" ht="15" customHeight="1" s="202">
      <c r="A19" s="209" t="inlineStr">
        <is>
          <t>Scott</t>
        </is>
      </c>
      <c r="B19" s="209" t="n"/>
      <c r="C19" s="209" t="n"/>
      <c r="D19" s="209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209" t="n"/>
      <c r="W19" s="209" t="n"/>
      <c r="X19" s="209" t="n"/>
      <c r="Y19" s="209" t="n"/>
      <c r="Z19" s="209" t="n"/>
      <c r="AA19" s="209" t="n"/>
      <c r="AB19" s="209" t="n"/>
      <c r="AC19" s="209" t="n"/>
      <c r="AD19" s="209" t="n"/>
      <c r="AE19" s="209" t="n"/>
      <c r="AF19" s="209" t="n"/>
      <c r="AG19" s="209" t="n"/>
      <c r="AH19" s="209" t="n"/>
      <c r="AI19" s="209" t="n"/>
      <c r="AJ19" s="209" t="n"/>
      <c r="AK19" s="209" t="n"/>
      <c r="AL19" s="209" t="n"/>
      <c r="AM19" s="209" t="n"/>
      <c r="AN19" s="209" t="n"/>
      <c r="AO19" s="209" t="n"/>
      <c r="AP19" s="209" t="n"/>
      <c r="AQ19" s="209" t="n"/>
      <c r="AR19" s="209" t="n"/>
      <c r="AS19" s="209" t="n"/>
      <c r="AT19" s="209" t="n"/>
      <c r="AU19" s="209" t="n"/>
      <c r="AV19" s="209" t="n"/>
      <c r="AW19" s="209" t="n"/>
      <c r="AX19" s="209" t="n"/>
      <c r="AY19" s="209" t="n"/>
      <c r="AZ19" s="209" t="n"/>
      <c r="BA19" s="209" t="n"/>
      <c r="BB19" s="209" t="n"/>
      <c r="BC19" s="209" t="n"/>
      <c r="BD19" s="209" t="n"/>
      <c r="BE19" s="209" t="n"/>
      <c r="BF19" s="209" t="n"/>
      <c r="BG19" s="209" t="n"/>
      <c r="BH19" s="209" t="n"/>
      <c r="BI19" s="209" t="n"/>
      <c r="BJ19" s="209" t="n"/>
      <c r="BK19" s="209" t="n"/>
      <c r="BL19" s="209" t="n"/>
      <c r="BM19" s="209" t="n"/>
      <c r="BN19" s="209" t="n"/>
      <c r="BO19" s="209" t="n"/>
      <c r="BP19" s="209" t="n"/>
      <c r="BQ19" s="209" t="n"/>
      <c r="BR19" s="209" t="n"/>
      <c r="BS19" s="209" t="n"/>
      <c r="BT19" s="209" t="n"/>
      <c r="BU19" s="209" t="n"/>
      <c r="BV19" s="209" t="n"/>
      <c r="BW19" s="209" t="n"/>
      <c r="BX19" s="209" t="n"/>
      <c r="BY19" s="209" t="n"/>
      <c r="BZ19" s="209" t="n"/>
      <c r="CA19" s="209" t="n"/>
      <c r="CB19" s="209" t="n"/>
      <c r="CC19" s="209" t="n"/>
      <c r="CD19" s="209" t="n"/>
      <c r="CE19" s="209" t="n"/>
      <c r="CF19" s="209" t="n"/>
      <c r="CG19" s="209" t="n"/>
      <c r="CH19" s="209" t="n"/>
    </row>
    <row r="20" ht="15" customHeight="1" s="202">
      <c r="A20" s="219" t="inlineStr">
        <is>
          <t xml:space="preserve">  Revenue</t>
        </is>
      </c>
      <c r="B20" s="204" t="n"/>
      <c r="C20" s="269">
        <f>Model!C56+Model!C57+Model!C58</f>
        <v/>
      </c>
      <c r="D20" s="269">
        <f>Model!D56+Model!D57+Model!D58</f>
        <v/>
      </c>
      <c r="E20" s="269">
        <f>Model!E56+Model!E57+Model!E58</f>
        <v/>
      </c>
      <c r="F20" s="269">
        <f>Model!F56+Model!F57+Model!F58</f>
        <v/>
      </c>
      <c r="G20" s="269">
        <f>Model!G56+Model!G57+Model!G58</f>
        <v/>
      </c>
      <c r="H20" s="269">
        <f>Model!H56+Model!H57+Model!H58</f>
        <v/>
      </c>
      <c r="I20" s="269">
        <f>Model!I56+Model!I57+Model!I58</f>
        <v/>
      </c>
      <c r="J20" s="269">
        <f>Model!J56+Model!J57+Model!J58</f>
        <v/>
      </c>
      <c r="K20" s="269">
        <f>Model!K56+Model!K57+Model!K58</f>
        <v/>
      </c>
      <c r="L20" s="269">
        <f>Model!L56+Model!L57+Model!L58</f>
        <v/>
      </c>
      <c r="M20" s="269">
        <f>Model!M56+Model!M57+Model!M58</f>
        <v/>
      </c>
      <c r="N20" s="269">
        <f>Model!N56+Model!N57+Model!N58</f>
        <v/>
      </c>
      <c r="O20" s="269">
        <f>Model!O56+Model!O57+Model!O58</f>
        <v/>
      </c>
      <c r="P20" s="269">
        <f>Model!P56+Model!P57+Model!P58</f>
        <v/>
      </c>
      <c r="Q20" s="269">
        <f>Model!Q56+Model!Q57+Model!Q58</f>
        <v/>
      </c>
      <c r="R20" s="269">
        <f>Model!R56+Model!R57+Model!R58</f>
        <v/>
      </c>
      <c r="S20" s="269">
        <f>Model!S56+Model!S57+Model!S58</f>
        <v/>
      </c>
      <c r="T20" s="269">
        <f>Model!T56+Model!T57+Model!T58</f>
        <v/>
      </c>
      <c r="U20" s="269">
        <f>Model!U56+Model!U57+Model!U58</f>
        <v/>
      </c>
      <c r="V20" s="269">
        <f>Model!V56+Model!V57+Model!V58</f>
        <v/>
      </c>
      <c r="W20" s="269">
        <f>Model!W56+Model!W57+Model!W58</f>
        <v/>
      </c>
      <c r="X20" s="269">
        <f>Model!X56+Model!X57+Model!X58</f>
        <v/>
      </c>
      <c r="Y20" s="269">
        <f>Model!Y56+Model!Y57+Model!Y58</f>
        <v/>
      </c>
      <c r="Z20" s="269">
        <f>Model!Z56+Model!Z57+Model!Z58</f>
        <v/>
      </c>
      <c r="AA20" s="269">
        <f>Model!AA56+Model!AA57+Model!AA58</f>
        <v/>
      </c>
      <c r="AB20" s="269">
        <f>Model!AB56+Model!AB57+Model!AB58</f>
        <v/>
      </c>
      <c r="AC20" s="269">
        <f>Model!AC56+Model!AC57+Model!AC58</f>
        <v/>
      </c>
      <c r="AD20" s="269">
        <f>Model!AD56+Model!AD57+Model!AD58</f>
        <v/>
      </c>
      <c r="AE20" s="269">
        <f>Model!AE56+Model!AE57+Model!AE58</f>
        <v/>
      </c>
      <c r="AF20" s="269">
        <f>Model!AF56+Model!AF57+Model!AF58</f>
        <v/>
      </c>
      <c r="AG20" s="269">
        <f>Model!AG56+Model!AG57+Model!AG58</f>
        <v/>
      </c>
      <c r="AH20" s="269">
        <f>Model!AH56+Model!AH57+Model!AH58</f>
        <v/>
      </c>
      <c r="AI20" s="269">
        <f>Model!AI56+Model!AI57+Model!AI58</f>
        <v/>
      </c>
      <c r="AJ20" s="269">
        <f>Model!AJ56+Model!AJ57+Model!AJ58</f>
        <v/>
      </c>
      <c r="AK20" s="269">
        <f>Model!AK56+Model!AK57+Model!AK58</f>
        <v/>
      </c>
      <c r="AL20" s="269">
        <f>Model!AL56+Model!AL57+Model!AL58</f>
        <v/>
      </c>
      <c r="AM20" s="269">
        <f>Model!AM56+Model!AM57+Model!AM58</f>
        <v/>
      </c>
      <c r="AN20" s="269">
        <f>Model!AN56+Model!AN57+Model!AN58</f>
        <v/>
      </c>
      <c r="AO20" s="269">
        <f>Model!AO56+Model!AO57+Model!AO58</f>
        <v/>
      </c>
      <c r="AP20" s="269">
        <f>Model!AP56+Model!AP57+Model!AP58</f>
        <v/>
      </c>
      <c r="AQ20" s="269">
        <f>Model!AQ56+Model!AQ57+Model!AQ58</f>
        <v/>
      </c>
      <c r="AR20" s="269">
        <f>Model!AR56+Model!AR57+Model!AR58</f>
        <v/>
      </c>
      <c r="AS20" s="269">
        <f>Model!AS56+Model!AS57+Model!AS58</f>
        <v/>
      </c>
      <c r="AT20" s="269">
        <f>Model!AT56+Model!AT57+Model!AT58</f>
        <v/>
      </c>
      <c r="AU20" s="269">
        <f>Model!AU56+Model!AU57+Model!AU58</f>
        <v/>
      </c>
      <c r="AV20" s="269">
        <f>Model!AV56+Model!AV57+Model!AV58</f>
        <v/>
      </c>
      <c r="AW20" s="269">
        <f>Model!AW56+Model!AW57+Model!AW58</f>
        <v/>
      </c>
      <c r="AX20" s="269">
        <f>Model!AX56+Model!AX57+Model!AX58</f>
        <v/>
      </c>
      <c r="AY20" s="269">
        <f>Model!AY56+Model!AY57+Model!AY58</f>
        <v/>
      </c>
      <c r="AZ20" s="269">
        <f>Model!AZ56+Model!AZ57+Model!AZ58</f>
        <v/>
      </c>
      <c r="BA20" s="269">
        <f>Model!BA56+Model!BA57+Model!BA58</f>
        <v/>
      </c>
      <c r="BB20" s="269">
        <f>Model!BB56+Model!BB57+Model!BB58</f>
        <v/>
      </c>
      <c r="BC20" s="269">
        <f>Model!BC56+Model!BC57+Model!BC58</f>
        <v/>
      </c>
      <c r="BD20" s="269">
        <f>Model!BD56+Model!BD57+Model!BD58</f>
        <v/>
      </c>
      <c r="BE20" s="269">
        <f>Model!BE56+Model!BE57+Model!BE58</f>
        <v/>
      </c>
      <c r="BF20" s="269">
        <f>Model!BF56+Model!BF57+Model!BF58</f>
        <v/>
      </c>
      <c r="BG20" s="269">
        <f>Model!BG56+Model!BG57+Model!BG58</f>
        <v/>
      </c>
      <c r="BH20" s="269">
        <f>Model!BH56+Model!BH57+Model!BH58</f>
        <v/>
      </c>
      <c r="BI20" s="269">
        <f>Model!BI56+Model!BI57+Model!BI58</f>
        <v/>
      </c>
      <c r="BJ20" s="269">
        <f>Model!BJ56+Model!BJ57+Model!BJ58</f>
        <v/>
      </c>
      <c r="BK20" s="269">
        <f>Model!BK56+Model!BK57+Model!BK58</f>
        <v/>
      </c>
      <c r="BL20" s="269">
        <f>Model!BL56+Model!BL57+Model!BL58</f>
        <v/>
      </c>
      <c r="BM20" s="269">
        <f>Model!BM56+Model!BM57+Model!BM58</f>
        <v/>
      </c>
      <c r="BN20" s="269">
        <f>Model!BN56+Model!BN57+Model!BN58</f>
        <v/>
      </c>
      <c r="BO20" s="269">
        <f>Model!BO56+Model!BO57+Model!BO58</f>
        <v/>
      </c>
      <c r="BP20" s="269">
        <f>Model!BP56+Model!BP57+Model!BP58</f>
        <v/>
      </c>
      <c r="BQ20" s="269">
        <f>Model!BQ56+Model!BQ57+Model!BQ58</f>
        <v/>
      </c>
      <c r="BR20" s="269">
        <f>Model!BR56+Model!BR57+Model!BR58</f>
        <v/>
      </c>
      <c r="BS20" s="269">
        <f>Model!BS56+Model!BS57+Model!BS58</f>
        <v/>
      </c>
      <c r="BT20" s="269">
        <f>Model!BT56+Model!BT57+Model!BT58</f>
        <v/>
      </c>
      <c r="BU20" s="269">
        <f>Model!BU56+Model!BU57+Model!BU58</f>
        <v/>
      </c>
      <c r="BV20" s="269">
        <f>Model!BV56+Model!BV57+Model!BV58</f>
        <v/>
      </c>
      <c r="BW20" s="269">
        <f>Model!BW56+Model!BW57+Model!BW58</f>
        <v/>
      </c>
      <c r="BX20" s="269">
        <f>Model!BX56+Model!BX57+Model!BX58</f>
        <v/>
      </c>
      <c r="BY20" s="269">
        <f>Model!BY56+Model!BY57+Model!BY58</f>
        <v/>
      </c>
      <c r="BZ20" s="269">
        <f>Model!BZ56+Model!BZ57+Model!BZ58</f>
        <v/>
      </c>
      <c r="CA20" s="269">
        <f>Model!CA56+Model!CA57+Model!CA58</f>
        <v/>
      </c>
      <c r="CB20" s="269">
        <f>Model!CB56+Model!CB57+Model!CB58</f>
        <v/>
      </c>
      <c r="CC20" s="269">
        <f>Model!CC56+Model!CC57+Model!CC58</f>
        <v/>
      </c>
      <c r="CD20" s="269">
        <f>Model!CD56+Model!CD57+Model!CD58</f>
        <v/>
      </c>
      <c r="CE20" s="269">
        <f>Model!CE56+Model!CE57+Model!CE58</f>
        <v/>
      </c>
      <c r="CF20" s="269">
        <f>Model!CF56+Model!CF57+Model!CF58</f>
        <v/>
      </c>
      <c r="CG20" s="269">
        <f>Model!CG56+Model!CG57+Model!CG58</f>
        <v/>
      </c>
      <c r="CH20" s="269">
        <f>Model!CH56+Model!CH57+Model!CH58</f>
        <v/>
      </c>
    </row>
    <row r="21" ht="15" customHeight="1" s="202">
      <c r="A21" s="272" t="inlineStr">
        <is>
          <t xml:space="preserve">  Steyn Fees</t>
        </is>
      </c>
      <c r="B21" s="204" t="n"/>
      <c r="C21" s="273" t="n">
        <v>0</v>
      </c>
      <c r="D21" s="273" t="n">
        <v>0</v>
      </c>
      <c r="E21" s="273" t="n">
        <v>0</v>
      </c>
      <c r="F21" s="273" t="n">
        <v>0</v>
      </c>
      <c r="G21" s="273" t="n">
        <v>0</v>
      </c>
      <c r="H21" s="273">
        <f>IF(Projects!$G$12="Yes",-135452,0)</f>
        <v/>
      </c>
      <c r="I21" s="273" t="n">
        <v>0</v>
      </c>
      <c r="J21" s="273" t="n">
        <v>0</v>
      </c>
      <c r="K21" s="273" t="n">
        <v>0</v>
      </c>
      <c r="L21" s="273" t="n">
        <v>0</v>
      </c>
      <c r="M21" s="273" t="n">
        <v>0</v>
      </c>
      <c r="N21" s="273" t="n">
        <v>0</v>
      </c>
      <c r="O21" s="273" t="n">
        <v>0</v>
      </c>
      <c r="P21" s="273" t="n">
        <v>0</v>
      </c>
      <c r="Q21" s="273" t="n">
        <v>0</v>
      </c>
      <c r="R21" s="273" t="n">
        <v>0</v>
      </c>
      <c r="S21" s="273" t="n">
        <v>0</v>
      </c>
      <c r="T21" s="273" t="n">
        <v>0</v>
      </c>
      <c r="U21" s="273" t="n">
        <v>0</v>
      </c>
      <c r="V21" s="273" t="n">
        <v>0</v>
      </c>
      <c r="W21" s="273" t="n">
        <v>0</v>
      </c>
      <c r="X21" s="273" t="n">
        <v>0</v>
      </c>
      <c r="Y21" s="273" t="n">
        <v>0</v>
      </c>
      <c r="Z21" s="273" t="n">
        <v>0</v>
      </c>
      <c r="AA21" s="273" t="n">
        <v>0</v>
      </c>
      <c r="AB21" s="273" t="n">
        <v>0</v>
      </c>
      <c r="AC21" s="273" t="n">
        <v>0</v>
      </c>
      <c r="AD21" s="273" t="n">
        <v>0</v>
      </c>
      <c r="AE21" s="273" t="n">
        <v>0</v>
      </c>
      <c r="AF21" s="273" t="n">
        <v>0</v>
      </c>
      <c r="AG21" s="273" t="n">
        <v>0</v>
      </c>
      <c r="AH21" s="273" t="n">
        <v>0</v>
      </c>
      <c r="AI21" s="273" t="n">
        <v>0</v>
      </c>
      <c r="AJ21" s="273" t="n">
        <v>0</v>
      </c>
      <c r="AK21" s="273" t="n">
        <v>0</v>
      </c>
      <c r="AL21" s="273" t="n">
        <v>0</v>
      </c>
      <c r="AM21" s="273" t="n">
        <v>0</v>
      </c>
      <c r="AN21" s="273" t="n">
        <v>0</v>
      </c>
      <c r="AO21" s="273" t="n">
        <v>0</v>
      </c>
      <c r="AP21" s="273" t="n">
        <v>0</v>
      </c>
      <c r="AQ21" s="273" t="n">
        <v>0</v>
      </c>
      <c r="AR21" s="273" t="n">
        <v>0</v>
      </c>
      <c r="AS21" s="273" t="n">
        <v>0</v>
      </c>
      <c r="AT21" s="273" t="n">
        <v>0</v>
      </c>
      <c r="AU21" s="273" t="n">
        <v>0</v>
      </c>
      <c r="AV21" s="273" t="n">
        <v>0</v>
      </c>
      <c r="AW21" s="273" t="n">
        <v>0</v>
      </c>
      <c r="AX21" s="273" t="n">
        <v>0</v>
      </c>
      <c r="AY21" s="273" t="n">
        <v>0</v>
      </c>
      <c r="AZ21" s="273" t="n">
        <v>0</v>
      </c>
      <c r="BA21" s="273" t="n">
        <v>0</v>
      </c>
      <c r="BB21" s="273" t="n">
        <v>0</v>
      </c>
      <c r="BC21" s="273" t="n">
        <v>0</v>
      </c>
      <c r="BD21" s="273" t="n">
        <v>0</v>
      </c>
      <c r="BE21" s="273" t="n">
        <v>0</v>
      </c>
      <c r="BF21" s="273" t="n">
        <v>0</v>
      </c>
      <c r="BG21" s="273" t="n">
        <v>0</v>
      </c>
      <c r="BH21" s="273" t="n">
        <v>0</v>
      </c>
      <c r="BI21" s="273" t="n">
        <v>0</v>
      </c>
      <c r="BJ21" s="273" t="n">
        <v>0</v>
      </c>
      <c r="BK21" s="273" t="n">
        <v>0</v>
      </c>
      <c r="BL21" s="273" t="n">
        <v>0</v>
      </c>
      <c r="BM21" s="273" t="n">
        <v>0</v>
      </c>
      <c r="BN21" s="273" t="n">
        <v>0</v>
      </c>
      <c r="BO21" s="273" t="n">
        <v>0</v>
      </c>
      <c r="BP21" s="273" t="n">
        <v>0</v>
      </c>
      <c r="BQ21" s="273" t="n">
        <v>0</v>
      </c>
      <c r="BR21" s="273" t="n">
        <v>0</v>
      </c>
      <c r="BS21" s="273" t="n">
        <v>0</v>
      </c>
      <c r="BT21" s="273" t="n">
        <v>0</v>
      </c>
      <c r="BU21" s="273" t="n">
        <v>0</v>
      </c>
      <c r="BV21" s="273" t="n">
        <v>0</v>
      </c>
      <c r="BW21" s="273" t="n">
        <v>0</v>
      </c>
      <c r="BX21" s="273" t="n">
        <v>0</v>
      </c>
      <c r="BY21" s="273" t="n">
        <v>0</v>
      </c>
      <c r="BZ21" s="273" t="n">
        <v>0</v>
      </c>
      <c r="CA21" s="273" t="n">
        <v>0</v>
      </c>
      <c r="CB21" s="273" t="n">
        <v>0</v>
      </c>
      <c r="CC21" s="273" t="n">
        <v>0</v>
      </c>
      <c r="CD21" s="273" t="n">
        <v>0</v>
      </c>
      <c r="CE21" s="273" t="n">
        <v>0</v>
      </c>
      <c r="CF21" s="273" t="n">
        <v>0</v>
      </c>
      <c r="CG21" s="273" t="n">
        <v>0</v>
      </c>
      <c r="CH21" s="273" t="n">
        <v>0</v>
      </c>
    </row>
    <row r="22" ht="15" customHeight="1" s="202">
      <c r="A22" s="231" t="inlineStr">
        <is>
          <t xml:space="preserve">  Net to Six Peak</t>
        </is>
      </c>
      <c r="B22" s="231" t="n"/>
      <c r="C22" s="270">
        <f>C20+C21</f>
        <v/>
      </c>
      <c r="D22" s="270">
        <f>D20+D21</f>
        <v/>
      </c>
      <c r="E22" s="270">
        <f>E20+E21</f>
        <v/>
      </c>
      <c r="F22" s="270">
        <f>F20+F21</f>
        <v/>
      </c>
      <c r="G22" s="270">
        <f>G20+G21</f>
        <v/>
      </c>
      <c r="H22" s="270">
        <f>H20+H21</f>
        <v/>
      </c>
      <c r="I22" s="270">
        <f>I20+I21</f>
        <v/>
      </c>
      <c r="J22" s="270">
        <f>J20+J21</f>
        <v/>
      </c>
      <c r="K22" s="270">
        <f>K20+K21</f>
        <v/>
      </c>
      <c r="L22" s="270">
        <f>L20+L21</f>
        <v/>
      </c>
      <c r="M22" s="270">
        <f>M20+M21</f>
        <v/>
      </c>
      <c r="N22" s="270">
        <f>N20+N21</f>
        <v/>
      </c>
      <c r="O22" s="270">
        <f>O20+O21</f>
        <v/>
      </c>
      <c r="P22" s="270">
        <f>P20+P21</f>
        <v/>
      </c>
      <c r="Q22" s="270">
        <f>Q20+Q21</f>
        <v/>
      </c>
      <c r="R22" s="270">
        <f>R20+R21</f>
        <v/>
      </c>
      <c r="S22" s="270">
        <f>S20+S21</f>
        <v/>
      </c>
      <c r="T22" s="270">
        <f>T20+T21</f>
        <v/>
      </c>
      <c r="U22" s="270">
        <f>U20+U21</f>
        <v/>
      </c>
      <c r="V22" s="270">
        <f>V20+V21</f>
        <v/>
      </c>
      <c r="W22" s="270">
        <f>W20+W21</f>
        <v/>
      </c>
      <c r="X22" s="270">
        <f>X20+X21</f>
        <v/>
      </c>
      <c r="Y22" s="270">
        <f>Y20+Y21</f>
        <v/>
      </c>
      <c r="Z22" s="270">
        <f>Z20+Z21</f>
        <v/>
      </c>
      <c r="AA22" s="270">
        <f>AA20+AA21</f>
        <v/>
      </c>
      <c r="AB22" s="270">
        <f>AB20+AB21</f>
        <v/>
      </c>
      <c r="AC22" s="270">
        <f>AC20+AC21</f>
        <v/>
      </c>
      <c r="AD22" s="270">
        <f>AD20+AD21</f>
        <v/>
      </c>
      <c r="AE22" s="270">
        <f>AE20+AE21</f>
        <v/>
      </c>
      <c r="AF22" s="270">
        <f>AF20+AF21</f>
        <v/>
      </c>
      <c r="AG22" s="270">
        <f>AG20+AG21</f>
        <v/>
      </c>
      <c r="AH22" s="270">
        <f>AH20+AH21</f>
        <v/>
      </c>
      <c r="AI22" s="270">
        <f>AI20+AI21</f>
        <v/>
      </c>
      <c r="AJ22" s="270">
        <f>AJ20+AJ21</f>
        <v/>
      </c>
      <c r="AK22" s="270">
        <f>AK20+AK21</f>
        <v/>
      </c>
      <c r="AL22" s="270">
        <f>AL20+AL21</f>
        <v/>
      </c>
      <c r="AM22" s="270">
        <f>AM20+AM21</f>
        <v/>
      </c>
      <c r="AN22" s="270">
        <f>AN20+AN21</f>
        <v/>
      </c>
      <c r="AO22" s="270">
        <f>AO20+AO21</f>
        <v/>
      </c>
      <c r="AP22" s="270">
        <f>AP20+AP21</f>
        <v/>
      </c>
      <c r="AQ22" s="270">
        <f>AQ20+AQ21</f>
        <v/>
      </c>
      <c r="AR22" s="270">
        <f>AR20+AR21</f>
        <v/>
      </c>
      <c r="AS22" s="270">
        <f>AS20+AS21</f>
        <v/>
      </c>
      <c r="AT22" s="270">
        <f>AT20+AT21</f>
        <v/>
      </c>
      <c r="AU22" s="270">
        <f>AU20+AU21</f>
        <v/>
      </c>
      <c r="AV22" s="270">
        <f>AV20+AV21</f>
        <v/>
      </c>
      <c r="AW22" s="270">
        <f>AW20+AW21</f>
        <v/>
      </c>
      <c r="AX22" s="270">
        <f>AX20+AX21</f>
        <v/>
      </c>
      <c r="AY22" s="270">
        <f>AY20+AY21</f>
        <v/>
      </c>
      <c r="AZ22" s="270">
        <f>AZ20+AZ21</f>
        <v/>
      </c>
      <c r="BA22" s="270">
        <f>BA20+BA21</f>
        <v/>
      </c>
      <c r="BB22" s="270">
        <f>BB20+BB21</f>
        <v/>
      </c>
      <c r="BC22" s="270">
        <f>BC20+BC21</f>
        <v/>
      </c>
      <c r="BD22" s="270">
        <f>BD20+BD21</f>
        <v/>
      </c>
      <c r="BE22" s="270">
        <f>BE20+BE21</f>
        <v/>
      </c>
      <c r="BF22" s="270">
        <f>BF20+BF21</f>
        <v/>
      </c>
      <c r="BG22" s="270">
        <f>BG20+BG21</f>
        <v/>
      </c>
      <c r="BH22" s="270">
        <f>BH20+BH21</f>
        <v/>
      </c>
      <c r="BI22" s="270">
        <f>BI20+BI21</f>
        <v/>
      </c>
      <c r="BJ22" s="270">
        <f>BJ20+BJ21</f>
        <v/>
      </c>
      <c r="BK22" s="270">
        <f>BK20+BK21</f>
        <v/>
      </c>
      <c r="BL22" s="270">
        <f>BL20+BL21</f>
        <v/>
      </c>
      <c r="BM22" s="270">
        <f>BM20+BM21</f>
        <v/>
      </c>
      <c r="BN22" s="270">
        <f>BN20+BN21</f>
        <v/>
      </c>
      <c r="BO22" s="270">
        <f>BO20+BO21</f>
        <v/>
      </c>
      <c r="BP22" s="270">
        <f>BP20+BP21</f>
        <v/>
      </c>
      <c r="BQ22" s="270">
        <f>BQ20+BQ21</f>
        <v/>
      </c>
      <c r="BR22" s="270">
        <f>BR20+BR21</f>
        <v/>
      </c>
      <c r="BS22" s="270">
        <f>BS20+BS21</f>
        <v/>
      </c>
      <c r="BT22" s="270">
        <f>BT20+BT21</f>
        <v/>
      </c>
      <c r="BU22" s="270">
        <f>BU20+BU21</f>
        <v/>
      </c>
      <c r="BV22" s="270">
        <f>BV20+BV21</f>
        <v/>
      </c>
      <c r="BW22" s="270">
        <f>BW20+BW21</f>
        <v/>
      </c>
      <c r="BX22" s="270">
        <f>BX20+BX21</f>
        <v/>
      </c>
      <c r="BY22" s="270">
        <f>BY20+BY21</f>
        <v/>
      </c>
      <c r="BZ22" s="270">
        <f>BZ20+BZ21</f>
        <v/>
      </c>
      <c r="CA22" s="270">
        <f>CA20+CA21</f>
        <v/>
      </c>
      <c r="CB22" s="270">
        <f>CB20+CB21</f>
        <v/>
      </c>
      <c r="CC22" s="270">
        <f>CC20+CC21</f>
        <v/>
      </c>
      <c r="CD22" s="270">
        <f>CD20+CD21</f>
        <v/>
      </c>
      <c r="CE22" s="270">
        <f>CE20+CE21</f>
        <v/>
      </c>
      <c r="CF22" s="270">
        <f>CF20+CF21</f>
        <v/>
      </c>
      <c r="CG22" s="270">
        <f>CG20+CG21</f>
        <v/>
      </c>
      <c r="CH22" s="270">
        <f>CH20+CH21</f>
        <v/>
      </c>
    </row>
    <row r="23" ht="15" customHeight="1" s="202">
      <c r="A23" s="263" t="inlineStr">
        <is>
          <t xml:space="preserve">  Cumulative Net</t>
        </is>
      </c>
      <c r="B23" s="204" t="n"/>
      <c r="C23" s="271">
        <f>C22</f>
        <v/>
      </c>
      <c r="D23" s="271">
        <f>C23+D22</f>
        <v/>
      </c>
      <c r="E23" s="271">
        <f>D23+E22</f>
        <v/>
      </c>
      <c r="F23" s="271">
        <f>E23+F22</f>
        <v/>
      </c>
      <c r="G23" s="271">
        <f>F23+G22</f>
        <v/>
      </c>
      <c r="H23" s="271">
        <f>G23+H22</f>
        <v/>
      </c>
      <c r="I23" s="271">
        <f>H23+I22</f>
        <v/>
      </c>
      <c r="J23" s="271">
        <f>I23+J22</f>
        <v/>
      </c>
      <c r="K23" s="271">
        <f>J23+K22</f>
        <v/>
      </c>
      <c r="L23" s="271">
        <f>K23+L22</f>
        <v/>
      </c>
      <c r="M23" s="271">
        <f>L23+M22</f>
        <v/>
      </c>
      <c r="N23" s="271">
        <f>M23+N22</f>
        <v/>
      </c>
      <c r="O23" s="271">
        <f>N23+O22</f>
        <v/>
      </c>
      <c r="P23" s="271">
        <f>O23+P22</f>
        <v/>
      </c>
      <c r="Q23" s="271">
        <f>P23+Q22</f>
        <v/>
      </c>
      <c r="R23" s="271">
        <f>Q23+R22</f>
        <v/>
      </c>
      <c r="S23" s="271">
        <f>R23+S22</f>
        <v/>
      </c>
      <c r="T23" s="271">
        <f>S23+T22</f>
        <v/>
      </c>
      <c r="U23" s="271">
        <f>T23+U22</f>
        <v/>
      </c>
      <c r="V23" s="271">
        <f>U23+V22</f>
        <v/>
      </c>
      <c r="W23" s="271">
        <f>V23+W22</f>
        <v/>
      </c>
      <c r="X23" s="271">
        <f>W23+X22</f>
        <v/>
      </c>
      <c r="Y23" s="271">
        <f>X23+Y22</f>
        <v/>
      </c>
      <c r="Z23" s="271">
        <f>Y23+Z22</f>
        <v/>
      </c>
      <c r="AA23" s="271">
        <f>Z23+AA22</f>
        <v/>
      </c>
      <c r="AB23" s="271">
        <f>AA23+AB22</f>
        <v/>
      </c>
      <c r="AC23" s="271">
        <f>AB23+AC22</f>
        <v/>
      </c>
      <c r="AD23" s="271">
        <f>AC23+AD22</f>
        <v/>
      </c>
      <c r="AE23" s="271">
        <f>AD23+AE22</f>
        <v/>
      </c>
      <c r="AF23" s="271">
        <f>AE23+AF22</f>
        <v/>
      </c>
      <c r="AG23" s="271">
        <f>AF23+AG22</f>
        <v/>
      </c>
      <c r="AH23" s="271">
        <f>AG23+AH22</f>
        <v/>
      </c>
      <c r="AI23" s="271">
        <f>AH23+AI22</f>
        <v/>
      </c>
      <c r="AJ23" s="271">
        <f>AI23+AJ22</f>
        <v/>
      </c>
      <c r="AK23" s="271">
        <f>AJ23+AK22</f>
        <v/>
      </c>
      <c r="AL23" s="271">
        <f>AK23+AL22</f>
        <v/>
      </c>
      <c r="AM23" s="271">
        <f>AL23+AM22</f>
        <v/>
      </c>
      <c r="AN23" s="271">
        <f>AM23+AN22</f>
        <v/>
      </c>
      <c r="AO23" s="271">
        <f>AN23+AO22</f>
        <v/>
      </c>
      <c r="AP23" s="271">
        <f>AO23+AP22</f>
        <v/>
      </c>
      <c r="AQ23" s="271">
        <f>AP23+AQ22</f>
        <v/>
      </c>
      <c r="AR23" s="271">
        <f>AQ23+AR22</f>
        <v/>
      </c>
      <c r="AS23" s="271">
        <f>AR23+AS22</f>
        <v/>
      </c>
      <c r="AT23" s="271">
        <f>AS23+AT22</f>
        <v/>
      </c>
      <c r="AU23" s="271">
        <f>AT23+AU22</f>
        <v/>
      </c>
      <c r="AV23" s="271">
        <f>AU23+AV22</f>
        <v/>
      </c>
      <c r="AW23" s="271">
        <f>AV23+AW22</f>
        <v/>
      </c>
      <c r="AX23" s="271">
        <f>AW23+AX22</f>
        <v/>
      </c>
      <c r="AY23" s="271">
        <f>AX23+AY22</f>
        <v/>
      </c>
      <c r="AZ23" s="271">
        <f>AY23+AZ22</f>
        <v/>
      </c>
      <c r="BA23" s="271">
        <f>AZ23+BA22</f>
        <v/>
      </c>
      <c r="BB23" s="271">
        <f>BA23+BB22</f>
        <v/>
      </c>
      <c r="BC23" s="271">
        <f>BB23+BC22</f>
        <v/>
      </c>
      <c r="BD23" s="271">
        <f>BC23+BD22</f>
        <v/>
      </c>
      <c r="BE23" s="271">
        <f>BD23+BE22</f>
        <v/>
      </c>
      <c r="BF23" s="271">
        <f>BE23+BF22</f>
        <v/>
      </c>
      <c r="BG23" s="271">
        <f>BF23+BG22</f>
        <v/>
      </c>
      <c r="BH23" s="271">
        <f>BG23+BH22</f>
        <v/>
      </c>
      <c r="BI23" s="271">
        <f>BH23+BI22</f>
        <v/>
      </c>
      <c r="BJ23" s="271">
        <f>BI23+BJ22</f>
        <v/>
      </c>
      <c r="BK23" s="271">
        <f>BJ23+BK22</f>
        <v/>
      </c>
      <c r="BL23" s="271">
        <f>BK23+BL22</f>
        <v/>
      </c>
      <c r="BM23" s="271">
        <f>BL23+BM22</f>
        <v/>
      </c>
      <c r="BN23" s="271">
        <f>BM23+BN22</f>
        <v/>
      </c>
      <c r="BO23" s="271">
        <f>BN23+BO22</f>
        <v/>
      </c>
      <c r="BP23" s="271">
        <f>BO23+BP22</f>
        <v/>
      </c>
      <c r="BQ23" s="271">
        <f>BP23+BQ22</f>
        <v/>
      </c>
      <c r="BR23" s="271">
        <f>BQ23+BR22</f>
        <v/>
      </c>
      <c r="BS23" s="271">
        <f>BR23+BS22</f>
        <v/>
      </c>
      <c r="BT23" s="271">
        <f>BS23+BT22</f>
        <v/>
      </c>
      <c r="BU23" s="271">
        <f>BT23+BU22</f>
        <v/>
      </c>
      <c r="BV23" s="271">
        <f>BU23+BV22</f>
        <v/>
      </c>
      <c r="BW23" s="271">
        <f>BV23+BW22</f>
        <v/>
      </c>
      <c r="BX23" s="271">
        <f>BW23+BX22</f>
        <v/>
      </c>
      <c r="BY23" s="271">
        <f>BX23+BY22</f>
        <v/>
      </c>
      <c r="BZ23" s="271">
        <f>BY23+BZ22</f>
        <v/>
      </c>
      <c r="CA23" s="271">
        <f>BZ23+CA22</f>
        <v/>
      </c>
      <c r="CB23" s="271">
        <f>CA23+CB22</f>
        <v/>
      </c>
      <c r="CC23" s="271">
        <f>CB23+CC22</f>
        <v/>
      </c>
      <c r="CD23" s="271">
        <f>CC23+CD22</f>
        <v/>
      </c>
      <c r="CE23" s="271">
        <f>CD23+CE22</f>
        <v/>
      </c>
      <c r="CF23" s="271">
        <f>CE23+CF22</f>
        <v/>
      </c>
      <c r="CG23" s="271">
        <f>CF23+CG22</f>
        <v/>
      </c>
      <c r="CH23" s="271">
        <f>CG23+CH22</f>
        <v/>
      </c>
    </row>
    <row r="24" ht="15" customHeight="1" s="202">
      <c r="A24" s="204" t="n"/>
      <c r="B24" s="204" t="n"/>
      <c r="C24" s="204" t="n"/>
      <c r="D24" s="204" t="n"/>
      <c r="E24" s="204" t="n"/>
      <c r="F24" s="204" t="n"/>
      <c r="G24" s="204" t="n"/>
      <c r="H24" s="204" t="n"/>
      <c r="I24" s="204" t="n"/>
      <c r="J24" s="204" t="n"/>
      <c r="K24" s="204" t="n"/>
      <c r="L24" s="204" t="n"/>
      <c r="M24" s="204" t="n"/>
      <c r="N24" s="204" t="n"/>
      <c r="O24" s="204" t="n"/>
      <c r="P24" s="204" t="n"/>
      <c r="Q24" s="204" t="n"/>
      <c r="R24" s="204" t="n"/>
      <c r="S24" s="204" t="n"/>
      <c r="T24" s="204" t="n"/>
      <c r="U24" s="204" t="n"/>
      <c r="V24" s="204" t="n"/>
      <c r="W24" s="204" t="n"/>
      <c r="X24" s="204" t="n"/>
      <c r="Y24" s="204" t="n"/>
      <c r="Z24" s="204" t="n"/>
      <c r="AA24" s="204" t="n"/>
      <c r="AB24" s="204" t="n"/>
      <c r="AC24" s="204" t="n"/>
      <c r="AD24" s="204" t="n"/>
      <c r="AE24" s="204" t="n"/>
      <c r="AF24" s="204" t="n"/>
      <c r="AG24" s="204" t="n"/>
      <c r="AH24" s="204" t="n"/>
      <c r="AI24" s="204" t="n"/>
      <c r="AJ24" s="204" t="n"/>
      <c r="AK24" s="204" t="n"/>
      <c r="AL24" s="204" t="n"/>
      <c r="AM24" s="204" t="n"/>
      <c r="AN24" s="204" t="n"/>
      <c r="AO24" s="204" t="n"/>
      <c r="AP24" s="204" t="n"/>
      <c r="AQ24" s="204" t="n"/>
      <c r="AR24" s="204" t="n"/>
      <c r="AS24" s="204" t="n"/>
      <c r="AT24" s="204" t="n"/>
      <c r="AU24" s="204" t="n"/>
      <c r="AV24" s="204" t="n"/>
      <c r="AW24" s="204" t="n"/>
      <c r="AX24" s="204" t="n"/>
      <c r="AY24" s="204" t="n"/>
      <c r="AZ24" s="204" t="n"/>
      <c r="BA24" s="204" t="n"/>
      <c r="BB24" s="204" t="n"/>
      <c r="BC24" s="204" t="n"/>
      <c r="BD24" s="204" t="n"/>
      <c r="BE24" s="204" t="n"/>
      <c r="BF24" s="204" t="n"/>
      <c r="BG24" s="204" t="n"/>
      <c r="BH24" s="204" t="n"/>
      <c r="BI24" s="204" t="n"/>
      <c r="BJ24" s="204" t="n"/>
      <c r="BK24" s="204" t="n"/>
      <c r="BL24" s="204" t="n"/>
      <c r="BM24" s="204" t="n"/>
      <c r="BN24" s="204" t="n"/>
      <c r="BO24" s="204" t="n"/>
      <c r="BP24" s="204" t="n"/>
      <c r="BQ24" s="204" t="n"/>
      <c r="BR24" s="204" t="n"/>
      <c r="BS24" s="204" t="n"/>
      <c r="BT24" s="204" t="n"/>
      <c r="BU24" s="204" t="n"/>
      <c r="BV24" s="204" t="n"/>
      <c r="BW24" s="204" t="n"/>
      <c r="BX24" s="204" t="n"/>
      <c r="BY24" s="204" t="n"/>
      <c r="BZ24" s="204" t="n"/>
      <c r="CA24" s="204" t="n"/>
      <c r="CB24" s="204" t="n"/>
      <c r="CC24" s="204" t="n"/>
      <c r="CD24" s="204" t="n"/>
      <c r="CE24" s="204" t="n"/>
      <c r="CF24" s="204" t="n"/>
      <c r="CG24" s="204" t="n"/>
      <c r="CH24" s="204" t="n"/>
    </row>
    <row r="25" ht="15" customHeight="1" s="202">
      <c r="A25" s="209" t="inlineStr">
        <is>
          <t>Francis</t>
        </is>
      </c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09" t="n"/>
      <c r="AZ25" s="209" t="n"/>
      <c r="BA25" s="209" t="n"/>
      <c r="BB25" s="209" t="n"/>
      <c r="BC25" s="209" t="n"/>
      <c r="BD25" s="209" t="n"/>
      <c r="BE25" s="209" t="n"/>
      <c r="BF25" s="209" t="n"/>
      <c r="BG25" s="209" t="n"/>
      <c r="BH25" s="209" t="n"/>
      <c r="BI25" s="209" t="n"/>
      <c r="BJ25" s="209" t="n"/>
      <c r="BK25" s="209" t="n"/>
      <c r="BL25" s="209" t="n"/>
      <c r="BM25" s="209" t="n"/>
      <c r="BN25" s="209" t="n"/>
      <c r="BO25" s="209" t="n"/>
      <c r="BP25" s="209" t="n"/>
      <c r="BQ25" s="209" t="n"/>
      <c r="BR25" s="209" t="n"/>
      <c r="BS25" s="209" t="n"/>
      <c r="BT25" s="209" t="n"/>
      <c r="BU25" s="209" t="n"/>
      <c r="BV25" s="209" t="n"/>
      <c r="BW25" s="209" t="n"/>
      <c r="BX25" s="209" t="n"/>
      <c r="BY25" s="209" t="n"/>
      <c r="BZ25" s="209" t="n"/>
      <c r="CA25" s="209" t="n"/>
      <c r="CB25" s="209" t="n"/>
      <c r="CC25" s="209" t="n"/>
      <c r="CD25" s="209" t="n"/>
      <c r="CE25" s="209" t="n"/>
      <c r="CF25" s="209" t="n"/>
      <c r="CG25" s="209" t="n"/>
      <c r="CH25" s="209" t="n"/>
    </row>
    <row r="26" ht="15" customHeight="1" s="202">
      <c r="A26" s="219" t="inlineStr">
        <is>
          <t xml:space="preserve">  Revenue</t>
        </is>
      </c>
      <c r="B26" s="204" t="n"/>
      <c r="C26" s="269">
        <f>Model!C59</f>
        <v/>
      </c>
      <c r="D26" s="269">
        <f>Model!D59</f>
        <v/>
      </c>
      <c r="E26" s="269">
        <f>Model!E59</f>
        <v/>
      </c>
      <c r="F26" s="269">
        <f>Model!F59</f>
        <v/>
      </c>
      <c r="G26" s="269">
        <f>Model!G59</f>
        <v/>
      </c>
      <c r="H26" s="269">
        <f>Model!H59</f>
        <v/>
      </c>
      <c r="I26" s="269">
        <f>Model!I59</f>
        <v/>
      </c>
      <c r="J26" s="269">
        <f>Model!J59</f>
        <v/>
      </c>
      <c r="K26" s="269">
        <f>Model!K59</f>
        <v/>
      </c>
      <c r="L26" s="269">
        <f>Model!L59</f>
        <v/>
      </c>
      <c r="M26" s="269">
        <f>Model!M59</f>
        <v/>
      </c>
      <c r="N26" s="269">
        <f>Model!N59</f>
        <v/>
      </c>
      <c r="O26" s="269">
        <f>Model!O59</f>
        <v/>
      </c>
      <c r="P26" s="269">
        <f>Model!P59</f>
        <v/>
      </c>
      <c r="Q26" s="269">
        <f>Model!Q59</f>
        <v/>
      </c>
      <c r="R26" s="269">
        <f>Model!R59</f>
        <v/>
      </c>
      <c r="S26" s="269">
        <f>Model!S59</f>
        <v/>
      </c>
      <c r="T26" s="269">
        <f>Model!T59</f>
        <v/>
      </c>
      <c r="U26" s="269">
        <f>Model!U59</f>
        <v/>
      </c>
      <c r="V26" s="269">
        <f>Model!V59</f>
        <v/>
      </c>
      <c r="W26" s="269">
        <f>Model!W59</f>
        <v/>
      </c>
      <c r="X26" s="269">
        <f>Model!X59</f>
        <v/>
      </c>
      <c r="Y26" s="269">
        <f>Model!Y59</f>
        <v/>
      </c>
      <c r="Z26" s="269">
        <f>Model!Z59</f>
        <v/>
      </c>
      <c r="AA26" s="269">
        <f>Model!AA59</f>
        <v/>
      </c>
      <c r="AB26" s="269">
        <f>Model!AB59</f>
        <v/>
      </c>
      <c r="AC26" s="269">
        <f>Model!AC59</f>
        <v/>
      </c>
      <c r="AD26" s="269">
        <f>Model!AD59</f>
        <v/>
      </c>
      <c r="AE26" s="269">
        <f>Model!AE59</f>
        <v/>
      </c>
      <c r="AF26" s="269">
        <f>Model!AF59</f>
        <v/>
      </c>
      <c r="AG26" s="269">
        <f>Model!AG59</f>
        <v/>
      </c>
      <c r="AH26" s="269">
        <f>Model!AH59</f>
        <v/>
      </c>
      <c r="AI26" s="269">
        <f>Model!AI59</f>
        <v/>
      </c>
      <c r="AJ26" s="269">
        <f>Model!AJ59</f>
        <v/>
      </c>
      <c r="AK26" s="269">
        <f>Model!AK59</f>
        <v/>
      </c>
      <c r="AL26" s="269">
        <f>Model!AL59</f>
        <v/>
      </c>
      <c r="AM26" s="269">
        <f>Model!AM59</f>
        <v/>
      </c>
      <c r="AN26" s="269">
        <f>Model!AN59</f>
        <v/>
      </c>
      <c r="AO26" s="269">
        <f>Model!AO59</f>
        <v/>
      </c>
      <c r="AP26" s="269">
        <f>Model!AP59</f>
        <v/>
      </c>
      <c r="AQ26" s="269">
        <f>Model!AQ59</f>
        <v/>
      </c>
      <c r="AR26" s="269">
        <f>Model!AR59</f>
        <v/>
      </c>
      <c r="AS26" s="269">
        <f>Model!AS59</f>
        <v/>
      </c>
      <c r="AT26" s="269">
        <f>Model!AT59</f>
        <v/>
      </c>
      <c r="AU26" s="269">
        <f>Model!AU59</f>
        <v/>
      </c>
      <c r="AV26" s="269">
        <f>Model!AV59</f>
        <v/>
      </c>
      <c r="AW26" s="269">
        <f>Model!AW59</f>
        <v/>
      </c>
      <c r="AX26" s="269">
        <f>Model!AX59</f>
        <v/>
      </c>
      <c r="AY26" s="269">
        <f>Model!AY59</f>
        <v/>
      </c>
      <c r="AZ26" s="269">
        <f>Model!AZ59</f>
        <v/>
      </c>
      <c r="BA26" s="269">
        <f>Model!BA59</f>
        <v/>
      </c>
      <c r="BB26" s="269">
        <f>Model!BB59</f>
        <v/>
      </c>
      <c r="BC26" s="269">
        <f>Model!BC59</f>
        <v/>
      </c>
      <c r="BD26" s="269">
        <f>Model!BD59</f>
        <v/>
      </c>
      <c r="BE26" s="269">
        <f>Model!BE59</f>
        <v/>
      </c>
      <c r="BF26" s="269">
        <f>Model!BF59</f>
        <v/>
      </c>
      <c r="BG26" s="269">
        <f>Model!BG59</f>
        <v/>
      </c>
      <c r="BH26" s="269">
        <f>Model!BH59</f>
        <v/>
      </c>
      <c r="BI26" s="269">
        <f>Model!BI59</f>
        <v/>
      </c>
      <c r="BJ26" s="269">
        <f>Model!BJ59</f>
        <v/>
      </c>
      <c r="BK26" s="269">
        <f>Model!BK59</f>
        <v/>
      </c>
      <c r="BL26" s="269">
        <f>Model!BL59</f>
        <v/>
      </c>
      <c r="BM26" s="269">
        <f>Model!BM59</f>
        <v/>
      </c>
      <c r="BN26" s="269">
        <f>Model!BN59</f>
        <v/>
      </c>
      <c r="BO26" s="269">
        <f>Model!BO59</f>
        <v/>
      </c>
      <c r="BP26" s="269">
        <f>Model!BP59</f>
        <v/>
      </c>
      <c r="BQ26" s="269">
        <f>Model!BQ59</f>
        <v/>
      </c>
      <c r="BR26" s="269">
        <f>Model!BR59</f>
        <v/>
      </c>
      <c r="BS26" s="269">
        <f>Model!BS59</f>
        <v/>
      </c>
      <c r="BT26" s="269">
        <f>Model!BT59</f>
        <v/>
      </c>
      <c r="BU26" s="269">
        <f>Model!BU59</f>
        <v/>
      </c>
      <c r="BV26" s="269">
        <f>Model!BV59</f>
        <v/>
      </c>
      <c r="BW26" s="269">
        <f>Model!BW59</f>
        <v/>
      </c>
      <c r="BX26" s="269">
        <f>Model!BX59</f>
        <v/>
      </c>
      <c r="BY26" s="269">
        <f>Model!BY59</f>
        <v/>
      </c>
      <c r="BZ26" s="269">
        <f>Model!BZ59</f>
        <v/>
      </c>
      <c r="CA26" s="269">
        <f>Model!CA59</f>
        <v/>
      </c>
      <c r="CB26" s="269">
        <f>Model!CB59</f>
        <v/>
      </c>
      <c r="CC26" s="269">
        <f>Model!CC59</f>
        <v/>
      </c>
      <c r="CD26" s="269">
        <f>Model!CD59</f>
        <v/>
      </c>
      <c r="CE26" s="269">
        <f>Model!CE59</f>
        <v/>
      </c>
      <c r="CF26" s="269">
        <f>Model!CF59</f>
        <v/>
      </c>
      <c r="CG26" s="269">
        <f>Model!CG59</f>
        <v/>
      </c>
      <c r="CH26" s="269">
        <f>Model!CH59</f>
        <v/>
      </c>
    </row>
    <row r="27" ht="15" customHeight="1" s="202">
      <c r="A27" s="272" t="inlineStr">
        <is>
          <t xml:space="preserve">  Steyn Fees</t>
        </is>
      </c>
      <c r="B27" s="204" t="n"/>
      <c r="C27" s="273">
        <f>Model!C81</f>
        <v/>
      </c>
      <c r="D27" s="273">
        <f>Model!D81</f>
        <v/>
      </c>
      <c r="E27" s="273">
        <f>Model!E81</f>
        <v/>
      </c>
      <c r="F27" s="273">
        <f>Model!F81</f>
        <v/>
      </c>
      <c r="G27" s="273">
        <f>Model!G81</f>
        <v/>
      </c>
      <c r="H27" s="273">
        <f>Model!H81</f>
        <v/>
      </c>
      <c r="I27" s="273">
        <f>Model!I81</f>
        <v/>
      </c>
      <c r="J27" s="273">
        <f>Model!J81</f>
        <v/>
      </c>
      <c r="K27" s="273">
        <f>Model!K81</f>
        <v/>
      </c>
      <c r="L27" s="273">
        <f>Model!L81</f>
        <v/>
      </c>
      <c r="M27" s="273">
        <f>Model!M81</f>
        <v/>
      </c>
      <c r="N27" s="273">
        <f>Model!N81</f>
        <v/>
      </c>
      <c r="O27" s="273">
        <f>Model!O81</f>
        <v/>
      </c>
      <c r="P27" s="273">
        <f>Model!P81</f>
        <v/>
      </c>
      <c r="Q27" s="273">
        <f>Model!Q81</f>
        <v/>
      </c>
      <c r="R27" s="273">
        <f>Model!R81</f>
        <v/>
      </c>
      <c r="S27" s="273">
        <f>Model!S81</f>
        <v/>
      </c>
      <c r="T27" s="273">
        <f>Model!T81</f>
        <v/>
      </c>
      <c r="U27" s="273">
        <f>Model!U81</f>
        <v/>
      </c>
      <c r="V27" s="273">
        <f>Model!V81</f>
        <v/>
      </c>
      <c r="W27" s="273">
        <f>Model!W81</f>
        <v/>
      </c>
      <c r="X27" s="273">
        <f>Model!X81</f>
        <v/>
      </c>
      <c r="Y27" s="273">
        <f>Model!Y81</f>
        <v/>
      </c>
      <c r="Z27" s="273">
        <f>Model!Z81</f>
        <v/>
      </c>
      <c r="AA27" s="273">
        <f>Model!AA81</f>
        <v/>
      </c>
      <c r="AB27" s="273">
        <f>Model!AB81</f>
        <v/>
      </c>
      <c r="AC27" s="273">
        <f>Model!AC81</f>
        <v/>
      </c>
      <c r="AD27" s="273">
        <f>Model!AD81</f>
        <v/>
      </c>
      <c r="AE27" s="273">
        <f>Model!AE81</f>
        <v/>
      </c>
      <c r="AF27" s="273">
        <f>Model!AF81</f>
        <v/>
      </c>
      <c r="AG27" s="273">
        <f>Model!AG81</f>
        <v/>
      </c>
      <c r="AH27" s="273">
        <f>Model!AH81</f>
        <v/>
      </c>
      <c r="AI27" s="273">
        <f>Model!AI81</f>
        <v/>
      </c>
      <c r="AJ27" s="273">
        <f>Model!AJ81</f>
        <v/>
      </c>
      <c r="AK27" s="273">
        <f>Model!AK81</f>
        <v/>
      </c>
      <c r="AL27" s="273">
        <f>Model!AL81</f>
        <v/>
      </c>
      <c r="AM27" s="273">
        <f>Model!AM81</f>
        <v/>
      </c>
      <c r="AN27" s="273">
        <f>Model!AN81</f>
        <v/>
      </c>
      <c r="AO27" s="273">
        <f>Model!AO81</f>
        <v/>
      </c>
      <c r="AP27" s="273">
        <f>Model!AP81</f>
        <v/>
      </c>
      <c r="AQ27" s="273">
        <f>Model!AQ81</f>
        <v/>
      </c>
      <c r="AR27" s="273">
        <f>Model!AR81</f>
        <v/>
      </c>
      <c r="AS27" s="273">
        <f>Model!AS81</f>
        <v/>
      </c>
      <c r="AT27" s="273">
        <f>Model!AT81</f>
        <v/>
      </c>
      <c r="AU27" s="273">
        <f>Model!AU81</f>
        <v/>
      </c>
      <c r="AV27" s="273">
        <f>Model!AV81</f>
        <v/>
      </c>
      <c r="AW27" s="273">
        <f>Model!AW81</f>
        <v/>
      </c>
      <c r="AX27" s="273">
        <f>Model!AX81</f>
        <v/>
      </c>
      <c r="AY27" s="273">
        <f>Model!AY81</f>
        <v/>
      </c>
      <c r="AZ27" s="273">
        <f>Model!AZ81</f>
        <v/>
      </c>
      <c r="BA27" s="273">
        <f>Model!BA81</f>
        <v/>
      </c>
      <c r="BB27" s="273">
        <f>Model!BB81</f>
        <v/>
      </c>
      <c r="BC27" s="273">
        <f>Model!BC81</f>
        <v/>
      </c>
      <c r="BD27" s="273">
        <f>Model!BD81</f>
        <v/>
      </c>
      <c r="BE27" s="273">
        <f>Model!BE81</f>
        <v/>
      </c>
      <c r="BF27" s="273">
        <f>Model!BF81</f>
        <v/>
      </c>
      <c r="BG27" s="273">
        <f>Model!BG81</f>
        <v/>
      </c>
      <c r="BH27" s="273">
        <f>Model!BH81</f>
        <v/>
      </c>
      <c r="BI27" s="273">
        <f>Model!BI81</f>
        <v/>
      </c>
      <c r="BJ27" s="273">
        <f>Model!BJ81</f>
        <v/>
      </c>
      <c r="BK27" s="273">
        <f>Model!BK81</f>
        <v/>
      </c>
      <c r="BL27" s="273">
        <f>Model!BL81</f>
        <v/>
      </c>
      <c r="BM27" s="273">
        <f>Model!BM81</f>
        <v/>
      </c>
      <c r="BN27" s="273">
        <f>Model!BN81</f>
        <v/>
      </c>
      <c r="BO27" s="273">
        <f>Model!BO81</f>
        <v/>
      </c>
      <c r="BP27" s="273">
        <f>Model!BP81</f>
        <v/>
      </c>
      <c r="BQ27" s="273">
        <f>Model!BQ81</f>
        <v/>
      </c>
      <c r="BR27" s="273">
        <f>Model!BR81</f>
        <v/>
      </c>
      <c r="BS27" s="273">
        <f>Model!BS81</f>
        <v/>
      </c>
      <c r="BT27" s="273">
        <f>Model!BT81</f>
        <v/>
      </c>
      <c r="BU27" s="273">
        <f>Model!BU81</f>
        <v/>
      </c>
      <c r="BV27" s="273">
        <f>Model!BV81</f>
        <v/>
      </c>
      <c r="BW27" s="273">
        <f>Model!BW81</f>
        <v/>
      </c>
      <c r="BX27" s="273">
        <f>Model!BX81</f>
        <v/>
      </c>
      <c r="BY27" s="273">
        <f>Model!BY81</f>
        <v/>
      </c>
      <c r="BZ27" s="273">
        <f>Model!BZ81</f>
        <v/>
      </c>
      <c r="CA27" s="273">
        <f>Model!CA81</f>
        <v/>
      </c>
      <c r="CB27" s="273">
        <f>Model!CB81</f>
        <v/>
      </c>
      <c r="CC27" s="273">
        <f>Model!CC81</f>
        <v/>
      </c>
      <c r="CD27" s="273">
        <f>Model!CD81</f>
        <v/>
      </c>
      <c r="CE27" s="273">
        <f>Model!CE81</f>
        <v/>
      </c>
      <c r="CF27" s="273">
        <f>Model!CF81</f>
        <v/>
      </c>
      <c r="CG27" s="273">
        <f>Model!CG81</f>
        <v/>
      </c>
      <c r="CH27" s="273">
        <f>Model!CH81</f>
        <v/>
      </c>
    </row>
    <row r="28" ht="15" customHeight="1" s="202">
      <c r="A28" s="231" t="inlineStr">
        <is>
          <t xml:space="preserve">  Net to Six Peak</t>
        </is>
      </c>
      <c r="B28" s="231" t="n"/>
      <c r="C28" s="270">
        <f>C26+C27</f>
        <v/>
      </c>
      <c r="D28" s="270">
        <f>D26+D27</f>
        <v/>
      </c>
      <c r="E28" s="270">
        <f>E26+E27</f>
        <v/>
      </c>
      <c r="F28" s="270">
        <f>F26+F27</f>
        <v/>
      </c>
      <c r="G28" s="270">
        <f>G26+G27</f>
        <v/>
      </c>
      <c r="H28" s="270">
        <f>H26+H27</f>
        <v/>
      </c>
      <c r="I28" s="270">
        <f>I26+I27</f>
        <v/>
      </c>
      <c r="J28" s="270">
        <f>J26+J27</f>
        <v/>
      </c>
      <c r="K28" s="270">
        <f>K26+K27</f>
        <v/>
      </c>
      <c r="L28" s="270">
        <f>L26+L27</f>
        <v/>
      </c>
      <c r="M28" s="270">
        <f>M26+M27</f>
        <v/>
      </c>
      <c r="N28" s="270">
        <f>N26+N27</f>
        <v/>
      </c>
      <c r="O28" s="270">
        <f>O26+O27</f>
        <v/>
      </c>
      <c r="P28" s="270">
        <f>P26+P27</f>
        <v/>
      </c>
      <c r="Q28" s="270">
        <f>Q26+Q27</f>
        <v/>
      </c>
      <c r="R28" s="270">
        <f>R26+R27</f>
        <v/>
      </c>
      <c r="S28" s="270">
        <f>S26+S27</f>
        <v/>
      </c>
      <c r="T28" s="270">
        <f>T26+T27</f>
        <v/>
      </c>
      <c r="U28" s="270">
        <f>U26+U27</f>
        <v/>
      </c>
      <c r="V28" s="270">
        <f>V26+V27</f>
        <v/>
      </c>
      <c r="W28" s="270">
        <f>W26+W27</f>
        <v/>
      </c>
      <c r="X28" s="270">
        <f>X26+X27</f>
        <v/>
      </c>
      <c r="Y28" s="270">
        <f>Y26+Y27</f>
        <v/>
      </c>
      <c r="Z28" s="270">
        <f>Z26+Z27</f>
        <v/>
      </c>
      <c r="AA28" s="270">
        <f>AA26+AA27</f>
        <v/>
      </c>
      <c r="AB28" s="270">
        <f>AB26+AB27</f>
        <v/>
      </c>
      <c r="AC28" s="270">
        <f>AC26+AC27</f>
        <v/>
      </c>
      <c r="AD28" s="270">
        <f>AD26+AD27</f>
        <v/>
      </c>
      <c r="AE28" s="270">
        <f>AE26+AE27</f>
        <v/>
      </c>
      <c r="AF28" s="270">
        <f>AF26+AF27</f>
        <v/>
      </c>
      <c r="AG28" s="270">
        <f>AG26+AG27</f>
        <v/>
      </c>
      <c r="AH28" s="270">
        <f>AH26+AH27</f>
        <v/>
      </c>
      <c r="AI28" s="270">
        <f>AI26+AI27</f>
        <v/>
      </c>
      <c r="AJ28" s="270">
        <f>AJ26+AJ27</f>
        <v/>
      </c>
      <c r="AK28" s="270">
        <f>AK26+AK27</f>
        <v/>
      </c>
      <c r="AL28" s="270">
        <f>AL26+AL27</f>
        <v/>
      </c>
      <c r="AM28" s="270">
        <f>AM26+AM27</f>
        <v/>
      </c>
      <c r="AN28" s="270">
        <f>AN26+AN27</f>
        <v/>
      </c>
      <c r="AO28" s="270">
        <f>AO26+AO27</f>
        <v/>
      </c>
      <c r="AP28" s="270">
        <f>AP26+AP27</f>
        <v/>
      </c>
      <c r="AQ28" s="270">
        <f>AQ26+AQ27</f>
        <v/>
      </c>
      <c r="AR28" s="270">
        <f>AR26+AR27</f>
        <v/>
      </c>
      <c r="AS28" s="270">
        <f>AS26+AS27</f>
        <v/>
      </c>
      <c r="AT28" s="270">
        <f>AT26+AT27</f>
        <v/>
      </c>
      <c r="AU28" s="270">
        <f>AU26+AU27</f>
        <v/>
      </c>
      <c r="AV28" s="270">
        <f>AV26+AV27</f>
        <v/>
      </c>
      <c r="AW28" s="270">
        <f>AW26+AW27</f>
        <v/>
      </c>
      <c r="AX28" s="270">
        <f>AX26+AX27</f>
        <v/>
      </c>
      <c r="AY28" s="270">
        <f>AY26+AY27</f>
        <v/>
      </c>
      <c r="AZ28" s="270">
        <f>AZ26+AZ27</f>
        <v/>
      </c>
      <c r="BA28" s="270">
        <f>BA26+BA27</f>
        <v/>
      </c>
      <c r="BB28" s="270">
        <f>BB26+BB27</f>
        <v/>
      </c>
      <c r="BC28" s="270">
        <f>BC26+BC27</f>
        <v/>
      </c>
      <c r="BD28" s="270">
        <f>BD26+BD27</f>
        <v/>
      </c>
      <c r="BE28" s="270">
        <f>BE26+BE27</f>
        <v/>
      </c>
      <c r="BF28" s="270">
        <f>BF26+BF27</f>
        <v/>
      </c>
      <c r="BG28" s="270">
        <f>BG26+BG27</f>
        <v/>
      </c>
      <c r="BH28" s="270">
        <f>BH26+BH27</f>
        <v/>
      </c>
      <c r="BI28" s="270">
        <f>BI26+BI27</f>
        <v/>
      </c>
      <c r="BJ28" s="270">
        <f>BJ26+BJ27</f>
        <v/>
      </c>
      <c r="BK28" s="270">
        <f>BK26+BK27</f>
        <v/>
      </c>
      <c r="BL28" s="270">
        <f>BL26+BL27</f>
        <v/>
      </c>
      <c r="BM28" s="270">
        <f>BM26+BM27</f>
        <v/>
      </c>
      <c r="BN28" s="270">
        <f>BN26+BN27</f>
        <v/>
      </c>
      <c r="BO28" s="270">
        <f>BO26+BO27</f>
        <v/>
      </c>
      <c r="BP28" s="270">
        <f>BP26+BP27</f>
        <v/>
      </c>
      <c r="BQ28" s="270">
        <f>BQ26+BQ27</f>
        <v/>
      </c>
      <c r="BR28" s="270">
        <f>BR26+BR27</f>
        <v/>
      </c>
      <c r="BS28" s="270">
        <f>BS26+BS27</f>
        <v/>
      </c>
      <c r="BT28" s="270">
        <f>BT26+BT27</f>
        <v/>
      </c>
      <c r="BU28" s="270">
        <f>BU26+BU27</f>
        <v/>
      </c>
      <c r="BV28" s="270">
        <f>BV26+BV27</f>
        <v/>
      </c>
      <c r="BW28" s="270">
        <f>BW26+BW27</f>
        <v/>
      </c>
      <c r="BX28" s="270">
        <f>BX26+BX27</f>
        <v/>
      </c>
      <c r="BY28" s="270">
        <f>BY26+BY27</f>
        <v/>
      </c>
      <c r="BZ28" s="270">
        <f>BZ26+BZ27</f>
        <v/>
      </c>
      <c r="CA28" s="270">
        <f>CA26+CA27</f>
        <v/>
      </c>
      <c r="CB28" s="270">
        <f>CB26+CB27</f>
        <v/>
      </c>
      <c r="CC28" s="270">
        <f>CC26+CC27</f>
        <v/>
      </c>
      <c r="CD28" s="270">
        <f>CD26+CD27</f>
        <v/>
      </c>
      <c r="CE28" s="270">
        <f>CE26+CE27</f>
        <v/>
      </c>
      <c r="CF28" s="270">
        <f>CF26+CF27</f>
        <v/>
      </c>
      <c r="CG28" s="270">
        <f>CG26+CG27</f>
        <v/>
      </c>
      <c r="CH28" s="270">
        <f>CH26+CH27</f>
        <v/>
      </c>
    </row>
    <row r="29" ht="15" customHeight="1" s="202">
      <c r="A29" s="263" t="inlineStr">
        <is>
          <t xml:space="preserve">  Cumulative Net</t>
        </is>
      </c>
      <c r="B29" s="204" t="n"/>
      <c r="C29" s="271">
        <f>C28</f>
        <v/>
      </c>
      <c r="D29" s="271">
        <f>C29+D28</f>
        <v/>
      </c>
      <c r="E29" s="271">
        <f>D29+E28</f>
        <v/>
      </c>
      <c r="F29" s="271">
        <f>E29+F28</f>
        <v/>
      </c>
      <c r="G29" s="271">
        <f>F29+G28</f>
        <v/>
      </c>
      <c r="H29" s="271">
        <f>G29+H28</f>
        <v/>
      </c>
      <c r="I29" s="271">
        <f>H29+I28</f>
        <v/>
      </c>
      <c r="J29" s="271">
        <f>I29+J28</f>
        <v/>
      </c>
      <c r="K29" s="271">
        <f>J29+K28</f>
        <v/>
      </c>
      <c r="L29" s="271">
        <f>K29+L28</f>
        <v/>
      </c>
      <c r="M29" s="271">
        <f>L29+M28</f>
        <v/>
      </c>
      <c r="N29" s="271">
        <f>M29+N28</f>
        <v/>
      </c>
      <c r="O29" s="271">
        <f>N29+O28</f>
        <v/>
      </c>
      <c r="P29" s="271">
        <f>O29+P28</f>
        <v/>
      </c>
      <c r="Q29" s="271">
        <f>P29+Q28</f>
        <v/>
      </c>
      <c r="R29" s="271">
        <f>Q29+R28</f>
        <v/>
      </c>
      <c r="S29" s="271">
        <f>R29+S28</f>
        <v/>
      </c>
      <c r="T29" s="271">
        <f>S29+T28</f>
        <v/>
      </c>
      <c r="U29" s="271">
        <f>T29+U28</f>
        <v/>
      </c>
      <c r="V29" s="271">
        <f>U29+V28</f>
        <v/>
      </c>
      <c r="W29" s="271">
        <f>V29+W28</f>
        <v/>
      </c>
      <c r="X29" s="271">
        <f>W29+X28</f>
        <v/>
      </c>
      <c r="Y29" s="271">
        <f>X29+Y28</f>
        <v/>
      </c>
      <c r="Z29" s="271">
        <f>Y29+Z28</f>
        <v/>
      </c>
      <c r="AA29" s="271">
        <f>Z29+AA28</f>
        <v/>
      </c>
      <c r="AB29" s="271">
        <f>AA29+AB28</f>
        <v/>
      </c>
      <c r="AC29" s="271">
        <f>AB29+AC28</f>
        <v/>
      </c>
      <c r="AD29" s="271">
        <f>AC29+AD28</f>
        <v/>
      </c>
      <c r="AE29" s="271">
        <f>AD29+AE28</f>
        <v/>
      </c>
      <c r="AF29" s="271">
        <f>AE29+AF28</f>
        <v/>
      </c>
      <c r="AG29" s="271">
        <f>AF29+AG28</f>
        <v/>
      </c>
      <c r="AH29" s="271">
        <f>AG29+AH28</f>
        <v/>
      </c>
      <c r="AI29" s="271">
        <f>AH29+AI28</f>
        <v/>
      </c>
      <c r="AJ29" s="271">
        <f>AI29+AJ28</f>
        <v/>
      </c>
      <c r="AK29" s="271">
        <f>AJ29+AK28</f>
        <v/>
      </c>
      <c r="AL29" s="271">
        <f>AK29+AL28</f>
        <v/>
      </c>
      <c r="AM29" s="271">
        <f>AL29+AM28</f>
        <v/>
      </c>
      <c r="AN29" s="271">
        <f>AM29+AN28</f>
        <v/>
      </c>
      <c r="AO29" s="271">
        <f>AN29+AO28</f>
        <v/>
      </c>
      <c r="AP29" s="271">
        <f>AO29+AP28</f>
        <v/>
      </c>
      <c r="AQ29" s="271">
        <f>AP29+AQ28</f>
        <v/>
      </c>
      <c r="AR29" s="271">
        <f>AQ29+AR28</f>
        <v/>
      </c>
      <c r="AS29" s="271">
        <f>AR29+AS28</f>
        <v/>
      </c>
      <c r="AT29" s="271">
        <f>AS29+AT28</f>
        <v/>
      </c>
      <c r="AU29" s="271">
        <f>AT29+AU28</f>
        <v/>
      </c>
      <c r="AV29" s="271">
        <f>AU29+AV28</f>
        <v/>
      </c>
      <c r="AW29" s="271">
        <f>AV29+AW28</f>
        <v/>
      </c>
      <c r="AX29" s="271">
        <f>AW29+AX28</f>
        <v/>
      </c>
      <c r="AY29" s="271">
        <f>AX29+AY28</f>
        <v/>
      </c>
      <c r="AZ29" s="271">
        <f>AY29+AZ28</f>
        <v/>
      </c>
      <c r="BA29" s="271">
        <f>AZ29+BA28</f>
        <v/>
      </c>
      <c r="BB29" s="271">
        <f>BA29+BB28</f>
        <v/>
      </c>
      <c r="BC29" s="271">
        <f>BB29+BC28</f>
        <v/>
      </c>
      <c r="BD29" s="271">
        <f>BC29+BD28</f>
        <v/>
      </c>
      <c r="BE29" s="271">
        <f>BD29+BE28</f>
        <v/>
      </c>
      <c r="BF29" s="271">
        <f>BE29+BF28</f>
        <v/>
      </c>
      <c r="BG29" s="271">
        <f>BF29+BG28</f>
        <v/>
      </c>
      <c r="BH29" s="271">
        <f>BG29+BH28</f>
        <v/>
      </c>
      <c r="BI29" s="271">
        <f>BH29+BI28</f>
        <v/>
      </c>
      <c r="BJ29" s="271">
        <f>BI29+BJ28</f>
        <v/>
      </c>
      <c r="BK29" s="271">
        <f>BJ29+BK28</f>
        <v/>
      </c>
      <c r="BL29" s="271">
        <f>BK29+BL28</f>
        <v/>
      </c>
      <c r="BM29" s="271">
        <f>BL29+BM28</f>
        <v/>
      </c>
      <c r="BN29" s="271">
        <f>BM29+BN28</f>
        <v/>
      </c>
      <c r="BO29" s="271">
        <f>BN29+BO28</f>
        <v/>
      </c>
      <c r="BP29" s="271">
        <f>BO29+BP28</f>
        <v/>
      </c>
      <c r="BQ29" s="271">
        <f>BP29+BQ28</f>
        <v/>
      </c>
      <c r="BR29" s="271">
        <f>BQ29+BR28</f>
        <v/>
      </c>
      <c r="BS29" s="271">
        <f>BR29+BS28</f>
        <v/>
      </c>
      <c r="BT29" s="271">
        <f>BS29+BT28</f>
        <v/>
      </c>
      <c r="BU29" s="271">
        <f>BT29+BU28</f>
        <v/>
      </c>
      <c r="BV29" s="271">
        <f>BU29+BV28</f>
        <v/>
      </c>
      <c r="BW29" s="271">
        <f>BV29+BW28</f>
        <v/>
      </c>
      <c r="BX29" s="271">
        <f>BW29+BX28</f>
        <v/>
      </c>
      <c r="BY29" s="271">
        <f>BX29+BY28</f>
        <v/>
      </c>
      <c r="BZ29" s="271">
        <f>BY29+BZ28</f>
        <v/>
      </c>
      <c r="CA29" s="271">
        <f>BZ29+CA28</f>
        <v/>
      </c>
      <c r="CB29" s="271">
        <f>CA29+CB28</f>
        <v/>
      </c>
      <c r="CC29" s="271">
        <f>CB29+CC28</f>
        <v/>
      </c>
      <c r="CD29" s="271">
        <f>CC29+CD28</f>
        <v/>
      </c>
      <c r="CE29" s="271">
        <f>CD29+CE28</f>
        <v/>
      </c>
      <c r="CF29" s="271">
        <f>CE29+CF28</f>
        <v/>
      </c>
      <c r="CG29" s="271">
        <f>CF29+CG28</f>
        <v/>
      </c>
      <c r="CH29" s="271">
        <f>CG29+CH28</f>
        <v/>
      </c>
    </row>
    <row r="30" ht="15" customHeight="1" s="202">
      <c r="A30" s="204" t="n"/>
      <c r="B30" s="204" t="n"/>
      <c r="C30" s="204" t="n"/>
      <c r="D30" s="204" t="n"/>
      <c r="E30" s="204" t="n"/>
      <c r="F30" s="204" t="n"/>
      <c r="G30" s="204" t="n"/>
      <c r="H30" s="204" t="n"/>
      <c r="I30" s="204" t="n"/>
      <c r="J30" s="204" t="n"/>
      <c r="K30" s="204" t="n"/>
      <c r="L30" s="204" t="n"/>
      <c r="M30" s="204" t="n"/>
      <c r="N30" s="204" t="n"/>
      <c r="O30" s="204" t="n"/>
      <c r="P30" s="204" t="n"/>
      <c r="Q30" s="204" t="n"/>
      <c r="R30" s="204" t="n"/>
      <c r="S30" s="204" t="n"/>
      <c r="T30" s="204" t="n"/>
      <c r="U30" s="204" t="n"/>
      <c r="V30" s="204" t="n"/>
      <c r="W30" s="204" t="n"/>
      <c r="X30" s="204" t="n"/>
      <c r="Y30" s="204" t="n"/>
      <c r="Z30" s="204" t="n"/>
      <c r="AA30" s="204" t="n"/>
      <c r="AB30" s="204" t="n"/>
      <c r="AC30" s="204" t="n"/>
      <c r="AD30" s="204" t="n"/>
      <c r="AE30" s="204" t="n"/>
      <c r="AF30" s="204" t="n"/>
      <c r="AG30" s="204" t="n"/>
      <c r="AH30" s="204" t="n"/>
      <c r="AI30" s="204" t="n"/>
      <c r="AJ30" s="204" t="n"/>
      <c r="AK30" s="204" t="n"/>
      <c r="AL30" s="204" t="n"/>
      <c r="AM30" s="204" t="n"/>
      <c r="AN30" s="204" t="n"/>
      <c r="AO30" s="204" t="n"/>
      <c r="AP30" s="204" t="n"/>
      <c r="AQ30" s="204" t="n"/>
      <c r="AR30" s="204" t="n"/>
      <c r="AS30" s="204" t="n"/>
      <c r="AT30" s="204" t="n"/>
      <c r="AU30" s="204" t="n"/>
      <c r="AV30" s="204" t="n"/>
      <c r="AW30" s="204" t="n"/>
      <c r="AX30" s="204" t="n"/>
      <c r="AY30" s="204" t="n"/>
      <c r="AZ30" s="204" t="n"/>
      <c r="BA30" s="204" t="n"/>
      <c r="BB30" s="204" t="n"/>
      <c r="BC30" s="204" t="n"/>
      <c r="BD30" s="204" t="n"/>
      <c r="BE30" s="204" t="n"/>
      <c r="BF30" s="204" t="n"/>
      <c r="BG30" s="204" t="n"/>
      <c r="BH30" s="204" t="n"/>
      <c r="BI30" s="204" t="n"/>
      <c r="BJ30" s="204" t="n"/>
      <c r="BK30" s="204" t="n"/>
      <c r="BL30" s="204" t="n"/>
      <c r="BM30" s="204" t="n"/>
      <c r="BN30" s="204" t="n"/>
      <c r="BO30" s="204" t="n"/>
      <c r="BP30" s="204" t="n"/>
      <c r="BQ30" s="204" t="n"/>
      <c r="BR30" s="204" t="n"/>
      <c r="BS30" s="204" t="n"/>
      <c r="BT30" s="204" t="n"/>
      <c r="BU30" s="204" t="n"/>
      <c r="BV30" s="204" t="n"/>
      <c r="BW30" s="204" t="n"/>
      <c r="BX30" s="204" t="n"/>
      <c r="BY30" s="204" t="n"/>
      <c r="BZ30" s="204" t="n"/>
      <c r="CA30" s="204" t="n"/>
      <c r="CB30" s="204" t="n"/>
      <c r="CC30" s="204" t="n"/>
      <c r="CD30" s="204" t="n"/>
      <c r="CE30" s="204" t="n"/>
      <c r="CF30" s="204" t="n"/>
      <c r="CG30" s="204" t="n"/>
      <c r="CH30" s="204" t="n"/>
    </row>
    <row r="31" ht="15" customHeight="1" s="202">
      <c r="A31" s="209" t="inlineStr">
        <is>
          <t>Reseda</t>
        </is>
      </c>
      <c r="B31" s="209" t="n"/>
      <c r="C31" s="209" t="n"/>
      <c r="D31" s="209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  <c r="AH31" s="209" t="n"/>
      <c r="AI31" s="209" t="n"/>
      <c r="AJ31" s="209" t="n"/>
      <c r="AK31" s="209" t="n"/>
      <c r="AL31" s="209" t="n"/>
      <c r="AM31" s="209" t="n"/>
      <c r="AN31" s="209" t="n"/>
      <c r="AO31" s="209" t="n"/>
      <c r="AP31" s="209" t="n"/>
      <c r="AQ31" s="209" t="n"/>
      <c r="AR31" s="209" t="n"/>
      <c r="AS31" s="209" t="n"/>
      <c r="AT31" s="209" t="n"/>
      <c r="AU31" s="209" t="n"/>
      <c r="AV31" s="209" t="n"/>
      <c r="AW31" s="209" t="n"/>
      <c r="AX31" s="209" t="n"/>
      <c r="AY31" s="209" t="n"/>
      <c r="AZ31" s="209" t="n"/>
      <c r="BA31" s="209" t="n"/>
      <c r="BB31" s="209" t="n"/>
      <c r="BC31" s="209" t="n"/>
      <c r="BD31" s="209" t="n"/>
      <c r="BE31" s="209" t="n"/>
      <c r="BF31" s="209" t="n"/>
      <c r="BG31" s="209" t="n"/>
      <c r="BH31" s="209" t="n"/>
      <c r="BI31" s="209" t="n"/>
      <c r="BJ31" s="209" t="n"/>
      <c r="BK31" s="209" t="n"/>
      <c r="BL31" s="209" t="n"/>
      <c r="BM31" s="209" t="n"/>
      <c r="BN31" s="209" t="n"/>
      <c r="BO31" s="209" t="n"/>
      <c r="BP31" s="209" t="n"/>
      <c r="BQ31" s="209" t="n"/>
      <c r="BR31" s="209" t="n"/>
      <c r="BS31" s="209" t="n"/>
      <c r="BT31" s="209" t="n"/>
      <c r="BU31" s="209" t="n"/>
      <c r="BV31" s="209" t="n"/>
      <c r="BW31" s="209" t="n"/>
      <c r="BX31" s="209" t="n"/>
      <c r="BY31" s="209" t="n"/>
      <c r="BZ31" s="209" t="n"/>
      <c r="CA31" s="209" t="n"/>
      <c r="CB31" s="209" t="n"/>
      <c r="CC31" s="209" t="n"/>
      <c r="CD31" s="209" t="n"/>
      <c r="CE31" s="209" t="n"/>
      <c r="CF31" s="209" t="n"/>
      <c r="CG31" s="209" t="n"/>
      <c r="CH31" s="209" t="n"/>
    </row>
    <row r="32" ht="15" customHeight="1" s="202">
      <c r="A32" s="219" t="inlineStr">
        <is>
          <t xml:space="preserve">  Revenue</t>
        </is>
      </c>
      <c r="B32" s="204" t="n"/>
      <c r="C32" s="269">
        <f>Model!C60</f>
        <v/>
      </c>
      <c r="D32" s="269">
        <f>Model!D60</f>
        <v/>
      </c>
      <c r="E32" s="269">
        <f>Model!E60</f>
        <v/>
      </c>
      <c r="F32" s="269">
        <f>Model!F60</f>
        <v/>
      </c>
      <c r="G32" s="269">
        <f>Model!G60</f>
        <v/>
      </c>
      <c r="H32" s="269">
        <f>Model!H60</f>
        <v/>
      </c>
      <c r="I32" s="269">
        <f>Model!I60</f>
        <v/>
      </c>
      <c r="J32" s="269">
        <f>Model!J60</f>
        <v/>
      </c>
      <c r="K32" s="269">
        <f>Model!K60</f>
        <v/>
      </c>
      <c r="L32" s="269">
        <f>Model!L60</f>
        <v/>
      </c>
      <c r="M32" s="269">
        <f>Model!M60</f>
        <v/>
      </c>
      <c r="N32" s="269">
        <f>Model!N60</f>
        <v/>
      </c>
      <c r="O32" s="269">
        <f>Model!O60</f>
        <v/>
      </c>
      <c r="P32" s="269">
        <f>Model!P60</f>
        <v/>
      </c>
      <c r="Q32" s="269">
        <f>Model!Q60</f>
        <v/>
      </c>
      <c r="R32" s="269">
        <f>Model!R60</f>
        <v/>
      </c>
      <c r="S32" s="269">
        <f>Model!S60</f>
        <v/>
      </c>
      <c r="T32" s="269">
        <f>Model!T60</f>
        <v/>
      </c>
      <c r="U32" s="269">
        <f>Model!U60</f>
        <v/>
      </c>
      <c r="V32" s="269">
        <f>Model!V60</f>
        <v/>
      </c>
      <c r="W32" s="269">
        <f>Model!W60</f>
        <v/>
      </c>
      <c r="X32" s="269">
        <f>Model!X60</f>
        <v/>
      </c>
      <c r="Y32" s="269">
        <f>Model!Y60</f>
        <v/>
      </c>
      <c r="Z32" s="269">
        <f>Model!Z60</f>
        <v/>
      </c>
      <c r="AA32" s="269">
        <f>Model!AA60</f>
        <v/>
      </c>
      <c r="AB32" s="269">
        <f>Model!AB60</f>
        <v/>
      </c>
      <c r="AC32" s="269">
        <f>Model!AC60</f>
        <v/>
      </c>
      <c r="AD32" s="269">
        <f>Model!AD60</f>
        <v/>
      </c>
      <c r="AE32" s="269">
        <f>Model!AE60</f>
        <v/>
      </c>
      <c r="AF32" s="269">
        <f>Model!AF60</f>
        <v/>
      </c>
      <c r="AG32" s="269">
        <f>Model!AG60</f>
        <v/>
      </c>
      <c r="AH32" s="269">
        <f>Model!AH60</f>
        <v/>
      </c>
      <c r="AI32" s="269">
        <f>Model!AI60</f>
        <v/>
      </c>
      <c r="AJ32" s="269">
        <f>Model!AJ60</f>
        <v/>
      </c>
      <c r="AK32" s="269">
        <f>Model!AK60</f>
        <v/>
      </c>
      <c r="AL32" s="269">
        <f>Model!AL60</f>
        <v/>
      </c>
      <c r="AM32" s="269">
        <f>Model!AM60</f>
        <v/>
      </c>
      <c r="AN32" s="269">
        <f>Model!AN60</f>
        <v/>
      </c>
      <c r="AO32" s="269">
        <f>Model!AO60</f>
        <v/>
      </c>
      <c r="AP32" s="269">
        <f>Model!AP60</f>
        <v/>
      </c>
      <c r="AQ32" s="269">
        <f>Model!AQ60</f>
        <v/>
      </c>
      <c r="AR32" s="269">
        <f>Model!AR60</f>
        <v/>
      </c>
      <c r="AS32" s="269">
        <f>Model!AS60</f>
        <v/>
      </c>
      <c r="AT32" s="269">
        <f>Model!AT60</f>
        <v/>
      </c>
      <c r="AU32" s="269">
        <f>Model!AU60</f>
        <v/>
      </c>
      <c r="AV32" s="269">
        <f>Model!AV60</f>
        <v/>
      </c>
      <c r="AW32" s="269">
        <f>Model!AW60</f>
        <v/>
      </c>
      <c r="AX32" s="269">
        <f>Model!AX60</f>
        <v/>
      </c>
      <c r="AY32" s="269">
        <f>Model!AY60</f>
        <v/>
      </c>
      <c r="AZ32" s="269">
        <f>Model!AZ60</f>
        <v/>
      </c>
      <c r="BA32" s="269">
        <f>Model!BA60</f>
        <v/>
      </c>
      <c r="BB32" s="269">
        <f>Model!BB60</f>
        <v/>
      </c>
      <c r="BC32" s="269">
        <f>Model!BC60</f>
        <v/>
      </c>
      <c r="BD32" s="269">
        <f>Model!BD60</f>
        <v/>
      </c>
      <c r="BE32" s="269">
        <f>Model!BE60</f>
        <v/>
      </c>
      <c r="BF32" s="269">
        <f>Model!BF60</f>
        <v/>
      </c>
      <c r="BG32" s="269">
        <f>Model!BG60</f>
        <v/>
      </c>
      <c r="BH32" s="269">
        <f>Model!BH60</f>
        <v/>
      </c>
      <c r="BI32" s="269">
        <f>Model!BI60</f>
        <v/>
      </c>
      <c r="BJ32" s="269">
        <f>Model!BJ60</f>
        <v/>
      </c>
      <c r="BK32" s="269">
        <f>Model!BK60</f>
        <v/>
      </c>
      <c r="BL32" s="269">
        <f>Model!BL60</f>
        <v/>
      </c>
      <c r="BM32" s="269">
        <f>Model!BM60</f>
        <v/>
      </c>
      <c r="BN32" s="269">
        <f>Model!BN60</f>
        <v/>
      </c>
      <c r="BO32" s="269">
        <f>Model!BO60</f>
        <v/>
      </c>
      <c r="BP32" s="269">
        <f>Model!BP60</f>
        <v/>
      </c>
      <c r="BQ32" s="269">
        <f>Model!BQ60</f>
        <v/>
      </c>
      <c r="BR32" s="269">
        <f>Model!BR60</f>
        <v/>
      </c>
      <c r="BS32" s="269">
        <f>Model!BS60</f>
        <v/>
      </c>
      <c r="BT32" s="269">
        <f>Model!BT60</f>
        <v/>
      </c>
      <c r="BU32" s="269">
        <f>Model!BU60</f>
        <v/>
      </c>
      <c r="BV32" s="269">
        <f>Model!BV60</f>
        <v/>
      </c>
      <c r="BW32" s="269">
        <f>Model!BW60</f>
        <v/>
      </c>
      <c r="BX32" s="269">
        <f>Model!BX60</f>
        <v/>
      </c>
      <c r="BY32" s="269">
        <f>Model!BY60</f>
        <v/>
      </c>
      <c r="BZ32" s="269">
        <f>Model!BZ60</f>
        <v/>
      </c>
      <c r="CA32" s="269">
        <f>Model!CA60</f>
        <v/>
      </c>
      <c r="CB32" s="269">
        <f>Model!CB60</f>
        <v/>
      </c>
      <c r="CC32" s="269">
        <f>Model!CC60</f>
        <v/>
      </c>
      <c r="CD32" s="269">
        <f>Model!CD60</f>
        <v/>
      </c>
      <c r="CE32" s="269">
        <f>Model!CE60</f>
        <v/>
      </c>
      <c r="CF32" s="269">
        <f>Model!CF60</f>
        <v/>
      </c>
      <c r="CG32" s="269">
        <f>Model!CG60</f>
        <v/>
      </c>
      <c r="CH32" s="269">
        <f>Model!CH60</f>
        <v/>
      </c>
    </row>
    <row r="33" ht="15" customHeight="1" s="202">
      <c r="A33" s="272" t="inlineStr">
        <is>
          <t xml:space="preserve">  Steyn Fees</t>
        </is>
      </c>
      <c r="B33" s="204" t="n"/>
      <c r="C33" s="273">
        <f>Model!C82</f>
        <v/>
      </c>
      <c r="D33" s="273">
        <f>Model!D82</f>
        <v/>
      </c>
      <c r="E33" s="273">
        <f>Model!E82</f>
        <v/>
      </c>
      <c r="F33" s="273">
        <f>Model!F82</f>
        <v/>
      </c>
      <c r="G33" s="273">
        <f>Model!G82</f>
        <v/>
      </c>
      <c r="H33" s="273">
        <f>Model!H82</f>
        <v/>
      </c>
      <c r="I33" s="273">
        <f>Model!I82</f>
        <v/>
      </c>
      <c r="J33" s="273">
        <f>Model!J82</f>
        <v/>
      </c>
      <c r="K33" s="273">
        <f>Model!K82</f>
        <v/>
      </c>
      <c r="L33" s="273">
        <f>Model!L82</f>
        <v/>
      </c>
      <c r="M33" s="273">
        <f>Model!M82</f>
        <v/>
      </c>
      <c r="N33" s="273">
        <f>Model!N82</f>
        <v/>
      </c>
      <c r="O33" s="273">
        <f>Model!O82</f>
        <v/>
      </c>
      <c r="P33" s="273">
        <f>Model!P82</f>
        <v/>
      </c>
      <c r="Q33" s="273">
        <f>Model!Q82</f>
        <v/>
      </c>
      <c r="R33" s="273">
        <f>Model!R82</f>
        <v/>
      </c>
      <c r="S33" s="273">
        <f>Model!S82</f>
        <v/>
      </c>
      <c r="T33" s="273">
        <f>Model!T82</f>
        <v/>
      </c>
      <c r="U33" s="273">
        <f>Model!U82</f>
        <v/>
      </c>
      <c r="V33" s="273">
        <f>Model!V82</f>
        <v/>
      </c>
      <c r="W33" s="273">
        <f>Model!W82</f>
        <v/>
      </c>
      <c r="X33" s="273">
        <f>Model!X82</f>
        <v/>
      </c>
      <c r="Y33" s="273">
        <f>Model!Y82</f>
        <v/>
      </c>
      <c r="Z33" s="273">
        <f>Model!Z82</f>
        <v/>
      </c>
      <c r="AA33" s="273">
        <f>Model!AA82</f>
        <v/>
      </c>
      <c r="AB33" s="273">
        <f>Model!AB82</f>
        <v/>
      </c>
      <c r="AC33" s="273">
        <f>Model!AC82</f>
        <v/>
      </c>
      <c r="AD33" s="273">
        <f>Model!AD82</f>
        <v/>
      </c>
      <c r="AE33" s="273">
        <f>Model!AE82</f>
        <v/>
      </c>
      <c r="AF33" s="273">
        <f>Model!AF82</f>
        <v/>
      </c>
      <c r="AG33" s="273">
        <f>Model!AG82</f>
        <v/>
      </c>
      <c r="AH33" s="273">
        <f>Model!AH82</f>
        <v/>
      </c>
      <c r="AI33" s="273">
        <f>Model!AI82</f>
        <v/>
      </c>
      <c r="AJ33" s="273">
        <f>Model!AJ82</f>
        <v/>
      </c>
      <c r="AK33" s="273">
        <f>Model!AK82</f>
        <v/>
      </c>
      <c r="AL33" s="273">
        <f>Model!AL82</f>
        <v/>
      </c>
      <c r="AM33" s="273">
        <f>Model!AM82</f>
        <v/>
      </c>
      <c r="AN33" s="273">
        <f>Model!AN82</f>
        <v/>
      </c>
      <c r="AO33" s="273">
        <f>Model!AO82</f>
        <v/>
      </c>
      <c r="AP33" s="273">
        <f>Model!AP82</f>
        <v/>
      </c>
      <c r="AQ33" s="273">
        <f>Model!AQ82</f>
        <v/>
      </c>
      <c r="AR33" s="273">
        <f>Model!AR82</f>
        <v/>
      </c>
      <c r="AS33" s="273">
        <f>Model!AS82</f>
        <v/>
      </c>
      <c r="AT33" s="273">
        <f>Model!AT82</f>
        <v/>
      </c>
      <c r="AU33" s="273">
        <f>Model!AU82</f>
        <v/>
      </c>
      <c r="AV33" s="273">
        <f>Model!AV82</f>
        <v/>
      </c>
      <c r="AW33" s="273">
        <f>Model!AW82</f>
        <v/>
      </c>
      <c r="AX33" s="273">
        <f>Model!AX82</f>
        <v/>
      </c>
      <c r="AY33" s="273">
        <f>Model!AY82</f>
        <v/>
      </c>
      <c r="AZ33" s="273">
        <f>Model!AZ82</f>
        <v/>
      </c>
      <c r="BA33" s="273">
        <f>Model!BA82</f>
        <v/>
      </c>
      <c r="BB33" s="273">
        <f>Model!BB82</f>
        <v/>
      </c>
      <c r="BC33" s="273">
        <f>Model!BC82</f>
        <v/>
      </c>
      <c r="BD33" s="273">
        <f>Model!BD82</f>
        <v/>
      </c>
      <c r="BE33" s="273">
        <f>Model!BE82</f>
        <v/>
      </c>
      <c r="BF33" s="273">
        <f>Model!BF82</f>
        <v/>
      </c>
      <c r="BG33" s="273">
        <f>Model!BG82</f>
        <v/>
      </c>
      <c r="BH33" s="273">
        <f>Model!BH82</f>
        <v/>
      </c>
      <c r="BI33" s="273">
        <f>Model!BI82</f>
        <v/>
      </c>
      <c r="BJ33" s="273">
        <f>Model!BJ82</f>
        <v/>
      </c>
      <c r="BK33" s="273">
        <f>Model!BK82</f>
        <v/>
      </c>
      <c r="BL33" s="273">
        <f>Model!BL82</f>
        <v/>
      </c>
      <c r="BM33" s="273">
        <f>Model!BM82</f>
        <v/>
      </c>
      <c r="BN33" s="273">
        <f>Model!BN82</f>
        <v/>
      </c>
      <c r="BO33" s="273">
        <f>Model!BO82</f>
        <v/>
      </c>
      <c r="BP33" s="273">
        <f>Model!BP82</f>
        <v/>
      </c>
      <c r="BQ33" s="273">
        <f>Model!BQ82</f>
        <v/>
      </c>
      <c r="BR33" s="273">
        <f>Model!BR82</f>
        <v/>
      </c>
      <c r="BS33" s="273">
        <f>Model!BS82</f>
        <v/>
      </c>
      <c r="BT33" s="273">
        <f>Model!BT82</f>
        <v/>
      </c>
      <c r="BU33" s="273">
        <f>Model!BU82</f>
        <v/>
      </c>
      <c r="BV33" s="273">
        <f>Model!BV82</f>
        <v/>
      </c>
      <c r="BW33" s="273">
        <f>Model!BW82</f>
        <v/>
      </c>
      <c r="BX33" s="273">
        <f>Model!BX82</f>
        <v/>
      </c>
      <c r="BY33" s="273">
        <f>Model!BY82</f>
        <v/>
      </c>
      <c r="BZ33" s="273">
        <f>Model!BZ82</f>
        <v/>
      </c>
      <c r="CA33" s="273">
        <f>Model!CA82</f>
        <v/>
      </c>
      <c r="CB33" s="273">
        <f>Model!CB82</f>
        <v/>
      </c>
      <c r="CC33" s="273">
        <f>Model!CC82</f>
        <v/>
      </c>
      <c r="CD33" s="273">
        <f>Model!CD82</f>
        <v/>
      </c>
      <c r="CE33" s="273">
        <f>Model!CE82</f>
        <v/>
      </c>
      <c r="CF33" s="273">
        <f>Model!CF82</f>
        <v/>
      </c>
      <c r="CG33" s="273">
        <f>Model!CG82</f>
        <v/>
      </c>
      <c r="CH33" s="273">
        <f>Model!CH82</f>
        <v/>
      </c>
    </row>
    <row r="34" ht="15" customHeight="1" s="202">
      <c r="A34" s="272" t="inlineStr">
        <is>
          <t xml:space="preserve">  PIK Repayment (in Steyn + PIK above)</t>
        </is>
      </c>
      <c r="B34" s="204" t="n"/>
      <c r="C34" s="273">
        <f>Model!C156</f>
        <v/>
      </c>
      <c r="D34" s="273">
        <f>Model!D156</f>
        <v/>
      </c>
      <c r="E34" s="273">
        <f>Model!E156</f>
        <v/>
      </c>
      <c r="F34" s="273">
        <f>Model!F156</f>
        <v/>
      </c>
      <c r="G34" s="273">
        <f>Model!G156</f>
        <v/>
      </c>
      <c r="H34" s="273">
        <f>Model!H156</f>
        <v/>
      </c>
      <c r="I34" s="273">
        <f>Model!I156</f>
        <v/>
      </c>
      <c r="J34" s="273">
        <f>Model!J156</f>
        <v/>
      </c>
      <c r="K34" s="273">
        <f>Model!K156</f>
        <v/>
      </c>
      <c r="L34" s="273">
        <f>Model!L156</f>
        <v/>
      </c>
      <c r="M34" s="273">
        <f>Model!M156</f>
        <v/>
      </c>
      <c r="N34" s="273">
        <f>Model!N156</f>
        <v/>
      </c>
      <c r="O34" s="273">
        <f>Model!O156</f>
        <v/>
      </c>
      <c r="P34" s="273">
        <f>Model!P156</f>
        <v/>
      </c>
      <c r="Q34" s="273">
        <f>Model!Q156</f>
        <v/>
      </c>
      <c r="R34" s="273">
        <f>Model!R156</f>
        <v/>
      </c>
      <c r="S34" s="273">
        <f>Model!S156</f>
        <v/>
      </c>
      <c r="T34" s="273">
        <f>Model!T156</f>
        <v/>
      </c>
      <c r="U34" s="273">
        <f>Model!U156</f>
        <v/>
      </c>
      <c r="V34" s="273">
        <f>Model!V156</f>
        <v/>
      </c>
      <c r="W34" s="273">
        <f>Model!W156</f>
        <v/>
      </c>
      <c r="X34" s="273">
        <f>Model!X156</f>
        <v/>
      </c>
      <c r="Y34" s="273">
        <f>Model!Y156</f>
        <v/>
      </c>
      <c r="Z34" s="273">
        <f>Model!Z156</f>
        <v/>
      </c>
      <c r="AA34" s="273">
        <f>Model!AA156</f>
        <v/>
      </c>
      <c r="AB34" s="273">
        <f>Model!AB156</f>
        <v/>
      </c>
      <c r="AC34" s="273">
        <f>Model!AC156</f>
        <v/>
      </c>
      <c r="AD34" s="273">
        <f>Model!AD156</f>
        <v/>
      </c>
      <c r="AE34" s="273">
        <f>Model!AE156</f>
        <v/>
      </c>
      <c r="AF34" s="273">
        <f>Model!AF156</f>
        <v/>
      </c>
      <c r="AG34" s="273">
        <f>Model!AG156</f>
        <v/>
      </c>
      <c r="AH34" s="273">
        <f>Model!AH156</f>
        <v/>
      </c>
      <c r="AI34" s="273">
        <f>Model!AI156</f>
        <v/>
      </c>
      <c r="AJ34" s="273">
        <f>Model!AJ156</f>
        <v/>
      </c>
      <c r="AK34" s="273">
        <f>Model!AK156</f>
        <v/>
      </c>
      <c r="AL34" s="273">
        <f>Model!AL156</f>
        <v/>
      </c>
      <c r="AM34" s="273">
        <f>Model!AM156</f>
        <v/>
      </c>
      <c r="AN34" s="273">
        <f>Model!AN156</f>
        <v/>
      </c>
      <c r="AO34" s="273">
        <f>Model!AO156</f>
        <v/>
      </c>
      <c r="AP34" s="273">
        <f>Model!AP156</f>
        <v/>
      </c>
      <c r="AQ34" s="273">
        <f>Model!AQ156</f>
        <v/>
      </c>
      <c r="AR34" s="273">
        <f>Model!AR156</f>
        <v/>
      </c>
      <c r="AS34" s="273">
        <f>Model!AS156</f>
        <v/>
      </c>
      <c r="AT34" s="273">
        <f>Model!AT156</f>
        <v/>
      </c>
      <c r="AU34" s="273">
        <f>Model!AU156</f>
        <v/>
      </c>
      <c r="AV34" s="273">
        <f>Model!AV156</f>
        <v/>
      </c>
      <c r="AW34" s="273">
        <f>Model!AW156</f>
        <v/>
      </c>
      <c r="AX34" s="273">
        <f>Model!AX156</f>
        <v/>
      </c>
      <c r="AY34" s="273">
        <f>Model!AY156</f>
        <v/>
      </c>
      <c r="AZ34" s="273">
        <f>Model!AZ156</f>
        <v/>
      </c>
      <c r="BA34" s="273">
        <f>Model!BA156</f>
        <v/>
      </c>
      <c r="BB34" s="273">
        <f>Model!BB156</f>
        <v/>
      </c>
      <c r="BC34" s="273">
        <f>Model!BC156</f>
        <v/>
      </c>
      <c r="BD34" s="273">
        <f>Model!BD156</f>
        <v/>
      </c>
      <c r="BE34" s="273">
        <f>Model!BE156</f>
        <v/>
      </c>
      <c r="BF34" s="273">
        <f>Model!BF156</f>
        <v/>
      </c>
      <c r="BG34" s="273">
        <f>Model!BG156</f>
        <v/>
      </c>
      <c r="BH34" s="273">
        <f>Model!BH156</f>
        <v/>
      </c>
      <c r="BI34" s="273">
        <f>Model!BI156</f>
        <v/>
      </c>
      <c r="BJ34" s="273">
        <f>Model!BJ156</f>
        <v/>
      </c>
      <c r="BK34" s="273">
        <f>Model!BK156</f>
        <v/>
      </c>
      <c r="BL34" s="273">
        <f>Model!BL156</f>
        <v/>
      </c>
      <c r="BM34" s="273">
        <f>Model!BM156</f>
        <v/>
      </c>
      <c r="BN34" s="273">
        <f>Model!BN156</f>
        <v/>
      </c>
      <c r="BO34" s="273">
        <f>Model!BO156</f>
        <v/>
      </c>
      <c r="BP34" s="273">
        <f>Model!BP156</f>
        <v/>
      </c>
      <c r="BQ34" s="273">
        <f>Model!BQ156</f>
        <v/>
      </c>
      <c r="BR34" s="273">
        <f>Model!BR156</f>
        <v/>
      </c>
      <c r="BS34" s="273">
        <f>Model!BS156</f>
        <v/>
      </c>
      <c r="BT34" s="273">
        <f>Model!BT156</f>
        <v/>
      </c>
      <c r="BU34" s="273">
        <f>Model!BU156</f>
        <v/>
      </c>
      <c r="BV34" s="273">
        <f>Model!BV156</f>
        <v/>
      </c>
      <c r="BW34" s="273">
        <f>Model!BW156</f>
        <v/>
      </c>
      <c r="BX34" s="273">
        <f>Model!BX156</f>
        <v/>
      </c>
      <c r="BY34" s="273">
        <f>Model!BY156</f>
        <v/>
      </c>
      <c r="BZ34" s="273">
        <f>Model!BZ156</f>
        <v/>
      </c>
      <c r="CA34" s="273">
        <f>Model!CA156</f>
        <v/>
      </c>
      <c r="CB34" s="273">
        <f>Model!CB156</f>
        <v/>
      </c>
      <c r="CC34" s="273">
        <f>Model!CC156</f>
        <v/>
      </c>
      <c r="CD34" s="273">
        <f>Model!CD156</f>
        <v/>
      </c>
      <c r="CE34" s="273">
        <f>Model!CE156</f>
        <v/>
      </c>
      <c r="CF34" s="273">
        <f>Model!CF156</f>
        <v/>
      </c>
      <c r="CG34" s="273">
        <f>Model!CG156</f>
        <v/>
      </c>
      <c r="CH34" s="273">
        <f>Model!CH156</f>
        <v/>
      </c>
    </row>
    <row r="35" ht="15" customHeight="1" s="202">
      <c r="A35" s="231" t="inlineStr">
        <is>
          <t xml:space="preserve">  Net to Six Peak</t>
        </is>
      </c>
      <c r="B35" s="231" t="n"/>
      <c r="C35" s="270">
        <f>C32+C33+C34</f>
        <v/>
      </c>
      <c r="D35" s="270">
        <f>D32+D33+D34</f>
        <v/>
      </c>
      <c r="E35" s="270">
        <f>E32+E33+E34</f>
        <v/>
      </c>
      <c r="F35" s="270">
        <f>F32+F33+F34</f>
        <v/>
      </c>
      <c r="G35" s="270">
        <f>G32+G33+G34</f>
        <v/>
      </c>
      <c r="H35" s="270">
        <f>H32+H33+H34</f>
        <v/>
      </c>
      <c r="I35" s="270">
        <f>I32+I33+I34</f>
        <v/>
      </c>
      <c r="J35" s="270">
        <f>J32+J33+J34</f>
        <v/>
      </c>
      <c r="K35" s="270">
        <f>K32+K33+K34</f>
        <v/>
      </c>
      <c r="L35" s="270">
        <f>L32+L33+L34</f>
        <v/>
      </c>
      <c r="M35" s="270">
        <f>M32+M33+M34</f>
        <v/>
      </c>
      <c r="N35" s="270">
        <f>N32+N33+N34</f>
        <v/>
      </c>
      <c r="O35" s="270">
        <f>O32+O33+O34</f>
        <v/>
      </c>
      <c r="P35" s="270">
        <f>P32+P33+P34</f>
        <v/>
      </c>
      <c r="Q35" s="270">
        <f>Q32+Q33+Q34</f>
        <v/>
      </c>
      <c r="R35" s="270">
        <f>R32+R33+R34</f>
        <v/>
      </c>
      <c r="S35" s="270">
        <f>S32+S33+S34</f>
        <v/>
      </c>
      <c r="T35" s="270">
        <f>T32+T33+T34</f>
        <v/>
      </c>
      <c r="U35" s="270">
        <f>U32+U33+U34</f>
        <v/>
      </c>
      <c r="V35" s="270">
        <f>V32+V33+V34</f>
        <v/>
      </c>
      <c r="W35" s="270">
        <f>W32+W33+W34</f>
        <v/>
      </c>
      <c r="X35" s="270">
        <f>X32+X33+X34</f>
        <v/>
      </c>
      <c r="Y35" s="270">
        <f>Y32+Y33+Y34</f>
        <v/>
      </c>
      <c r="Z35" s="270">
        <f>Z32+Z33+Z34</f>
        <v/>
      </c>
      <c r="AA35" s="270">
        <f>AA32+AA33+AA34</f>
        <v/>
      </c>
      <c r="AB35" s="270">
        <f>AB32+AB33+AB34</f>
        <v/>
      </c>
      <c r="AC35" s="270">
        <f>AC32+AC33+AC34</f>
        <v/>
      </c>
      <c r="AD35" s="270">
        <f>AD32+AD33+AD34</f>
        <v/>
      </c>
      <c r="AE35" s="270">
        <f>AE32+AE33+AE34</f>
        <v/>
      </c>
      <c r="AF35" s="270">
        <f>AF32+AF33+AF34</f>
        <v/>
      </c>
      <c r="AG35" s="270">
        <f>AG32+AG33+AG34</f>
        <v/>
      </c>
      <c r="AH35" s="270">
        <f>AH32+AH33+AH34</f>
        <v/>
      </c>
      <c r="AI35" s="270">
        <f>AI32+AI33+AI34</f>
        <v/>
      </c>
      <c r="AJ35" s="270">
        <f>AJ32+AJ33+AJ34</f>
        <v/>
      </c>
      <c r="AK35" s="270">
        <f>AK32+AK33+AK34</f>
        <v/>
      </c>
      <c r="AL35" s="270">
        <f>AL32+AL33+AL34</f>
        <v/>
      </c>
      <c r="AM35" s="270">
        <f>AM32+AM33+AM34</f>
        <v/>
      </c>
      <c r="AN35" s="270">
        <f>AN32+AN33+AN34</f>
        <v/>
      </c>
      <c r="AO35" s="270">
        <f>AO32+AO33+AO34</f>
        <v/>
      </c>
      <c r="AP35" s="270">
        <f>AP32+AP33+AP34</f>
        <v/>
      </c>
      <c r="AQ35" s="270">
        <f>AQ32+AQ33+AQ34</f>
        <v/>
      </c>
      <c r="AR35" s="270">
        <f>AR32+AR33+AR34</f>
        <v/>
      </c>
      <c r="AS35" s="270">
        <f>AS32+AS33+AS34</f>
        <v/>
      </c>
      <c r="AT35" s="270">
        <f>AT32+AT33+AT34</f>
        <v/>
      </c>
      <c r="AU35" s="270">
        <f>AU32+AU33+AU34</f>
        <v/>
      </c>
      <c r="AV35" s="270">
        <f>AV32+AV33+AV34</f>
        <v/>
      </c>
      <c r="AW35" s="270">
        <f>AW32+AW33+AW34</f>
        <v/>
      </c>
      <c r="AX35" s="270">
        <f>AX32+AX33+AX34</f>
        <v/>
      </c>
      <c r="AY35" s="270">
        <f>AY32+AY33+AY34</f>
        <v/>
      </c>
      <c r="AZ35" s="270">
        <f>AZ32+AZ33+AZ34</f>
        <v/>
      </c>
      <c r="BA35" s="270">
        <f>BA32+BA33+BA34</f>
        <v/>
      </c>
      <c r="BB35" s="270">
        <f>BB32+BB33+BB34</f>
        <v/>
      </c>
      <c r="BC35" s="270">
        <f>BC32+BC33+BC34</f>
        <v/>
      </c>
      <c r="BD35" s="270">
        <f>BD32+BD33+BD34</f>
        <v/>
      </c>
      <c r="BE35" s="270">
        <f>BE32+BE33+BE34</f>
        <v/>
      </c>
      <c r="BF35" s="270">
        <f>BF32+BF33+BF34</f>
        <v/>
      </c>
      <c r="BG35" s="270">
        <f>BG32+BG33+BG34</f>
        <v/>
      </c>
      <c r="BH35" s="270">
        <f>BH32+BH33+BH34</f>
        <v/>
      </c>
      <c r="BI35" s="270">
        <f>BI32+BI33+BI34</f>
        <v/>
      </c>
      <c r="BJ35" s="270">
        <f>BJ32+BJ33+BJ34</f>
        <v/>
      </c>
      <c r="BK35" s="270">
        <f>BK32+BK33+BK34</f>
        <v/>
      </c>
      <c r="BL35" s="270">
        <f>BL32+BL33+BL34</f>
        <v/>
      </c>
      <c r="BM35" s="270">
        <f>BM32+BM33+BM34</f>
        <v/>
      </c>
      <c r="BN35" s="270">
        <f>BN32+BN33+BN34</f>
        <v/>
      </c>
      <c r="BO35" s="270">
        <f>BO32+BO33+BO34</f>
        <v/>
      </c>
      <c r="BP35" s="270">
        <f>BP32+BP33+BP34</f>
        <v/>
      </c>
      <c r="BQ35" s="270">
        <f>BQ32+BQ33+BQ34</f>
        <v/>
      </c>
      <c r="BR35" s="270">
        <f>BR32+BR33+BR34</f>
        <v/>
      </c>
      <c r="BS35" s="270">
        <f>BS32+BS33+BS34</f>
        <v/>
      </c>
      <c r="BT35" s="270">
        <f>BT32+BT33+BT34</f>
        <v/>
      </c>
      <c r="BU35" s="270">
        <f>BU32+BU33+BU34</f>
        <v/>
      </c>
      <c r="BV35" s="270">
        <f>BV32+BV33+BV34</f>
        <v/>
      </c>
      <c r="BW35" s="270">
        <f>BW32+BW33+BW34</f>
        <v/>
      </c>
      <c r="BX35" s="270">
        <f>BX32+BX33+BX34</f>
        <v/>
      </c>
      <c r="BY35" s="270">
        <f>BY32+BY33+BY34</f>
        <v/>
      </c>
      <c r="BZ35" s="270">
        <f>BZ32+BZ33+BZ34</f>
        <v/>
      </c>
      <c r="CA35" s="270">
        <f>CA32+CA33+CA34</f>
        <v/>
      </c>
      <c r="CB35" s="270">
        <f>CB32+CB33+CB34</f>
        <v/>
      </c>
      <c r="CC35" s="270">
        <f>CC32+CC33+CC34</f>
        <v/>
      </c>
      <c r="CD35" s="270">
        <f>CD32+CD33+CD34</f>
        <v/>
      </c>
      <c r="CE35" s="270">
        <f>CE32+CE33+CE34</f>
        <v/>
      </c>
      <c r="CF35" s="270">
        <f>CF32+CF33+CF34</f>
        <v/>
      </c>
      <c r="CG35" s="270">
        <f>CG32+CG33+CG34</f>
        <v/>
      </c>
      <c r="CH35" s="270">
        <f>CH32+CH33+CH34</f>
        <v/>
      </c>
    </row>
    <row r="36" ht="15" customHeight="1" s="202">
      <c r="A36" s="263" t="inlineStr">
        <is>
          <t xml:space="preserve">  Cumulative Net</t>
        </is>
      </c>
      <c r="B36" s="204" t="n"/>
      <c r="C36" s="271">
        <f>C35</f>
        <v/>
      </c>
      <c r="D36" s="271">
        <f>C36+D35</f>
        <v/>
      </c>
      <c r="E36" s="271">
        <f>D36+E35</f>
        <v/>
      </c>
      <c r="F36" s="271">
        <f>E36+F35</f>
        <v/>
      </c>
      <c r="G36" s="271">
        <f>F36+G35</f>
        <v/>
      </c>
      <c r="H36" s="271">
        <f>G36+H35</f>
        <v/>
      </c>
      <c r="I36" s="271">
        <f>H36+I35</f>
        <v/>
      </c>
      <c r="J36" s="271">
        <f>I36+J35</f>
        <v/>
      </c>
      <c r="K36" s="271">
        <f>J36+K35</f>
        <v/>
      </c>
      <c r="L36" s="271">
        <f>K36+L35</f>
        <v/>
      </c>
      <c r="M36" s="271">
        <f>L36+M35</f>
        <v/>
      </c>
      <c r="N36" s="271">
        <f>M36+N35</f>
        <v/>
      </c>
      <c r="O36" s="271">
        <f>N36+O35</f>
        <v/>
      </c>
      <c r="P36" s="271">
        <f>O36+P35</f>
        <v/>
      </c>
      <c r="Q36" s="271">
        <f>P36+Q35</f>
        <v/>
      </c>
      <c r="R36" s="271">
        <f>Q36+R35</f>
        <v/>
      </c>
      <c r="S36" s="271">
        <f>R36+S35</f>
        <v/>
      </c>
      <c r="T36" s="271">
        <f>S36+T35</f>
        <v/>
      </c>
      <c r="U36" s="271">
        <f>T36+U35</f>
        <v/>
      </c>
      <c r="V36" s="271">
        <f>U36+V35</f>
        <v/>
      </c>
      <c r="W36" s="271">
        <f>V36+W35</f>
        <v/>
      </c>
      <c r="X36" s="271">
        <f>W36+X35</f>
        <v/>
      </c>
      <c r="Y36" s="271">
        <f>X36+Y35</f>
        <v/>
      </c>
      <c r="Z36" s="271">
        <f>Y36+Z35</f>
        <v/>
      </c>
      <c r="AA36" s="271">
        <f>Z36+AA35</f>
        <v/>
      </c>
      <c r="AB36" s="271">
        <f>AA36+AB35</f>
        <v/>
      </c>
      <c r="AC36" s="271">
        <f>AB36+AC35</f>
        <v/>
      </c>
      <c r="AD36" s="271">
        <f>AC36+AD35</f>
        <v/>
      </c>
      <c r="AE36" s="271">
        <f>AD36+AE35</f>
        <v/>
      </c>
      <c r="AF36" s="271">
        <f>AE36+AF35</f>
        <v/>
      </c>
      <c r="AG36" s="271">
        <f>AF36+AG35</f>
        <v/>
      </c>
      <c r="AH36" s="271">
        <f>AG36+AH35</f>
        <v/>
      </c>
      <c r="AI36" s="271">
        <f>AH36+AI35</f>
        <v/>
      </c>
      <c r="AJ36" s="271">
        <f>AI36+AJ35</f>
        <v/>
      </c>
      <c r="AK36" s="271">
        <f>AJ36+AK35</f>
        <v/>
      </c>
      <c r="AL36" s="271">
        <f>AK36+AL35</f>
        <v/>
      </c>
      <c r="AM36" s="271">
        <f>AL36+AM35</f>
        <v/>
      </c>
      <c r="AN36" s="271">
        <f>AM36+AN35</f>
        <v/>
      </c>
      <c r="AO36" s="271">
        <f>AN36+AO35</f>
        <v/>
      </c>
      <c r="AP36" s="271">
        <f>AO36+AP35</f>
        <v/>
      </c>
      <c r="AQ36" s="271">
        <f>AP36+AQ35</f>
        <v/>
      </c>
      <c r="AR36" s="271">
        <f>AQ36+AR35</f>
        <v/>
      </c>
      <c r="AS36" s="271">
        <f>AR36+AS35</f>
        <v/>
      </c>
      <c r="AT36" s="271">
        <f>AS36+AT35</f>
        <v/>
      </c>
      <c r="AU36" s="271">
        <f>AT36+AU35</f>
        <v/>
      </c>
      <c r="AV36" s="271">
        <f>AU36+AV35</f>
        <v/>
      </c>
      <c r="AW36" s="271">
        <f>AV36+AW35</f>
        <v/>
      </c>
      <c r="AX36" s="271">
        <f>AW36+AX35</f>
        <v/>
      </c>
      <c r="AY36" s="271">
        <f>AX36+AY35</f>
        <v/>
      </c>
      <c r="AZ36" s="271">
        <f>AY36+AZ35</f>
        <v/>
      </c>
      <c r="BA36" s="271">
        <f>AZ36+BA35</f>
        <v/>
      </c>
      <c r="BB36" s="271">
        <f>BA36+BB35</f>
        <v/>
      </c>
      <c r="BC36" s="271">
        <f>BB36+BC35</f>
        <v/>
      </c>
      <c r="BD36" s="271">
        <f>BC36+BD35</f>
        <v/>
      </c>
      <c r="BE36" s="271">
        <f>BD36+BE35</f>
        <v/>
      </c>
      <c r="BF36" s="271">
        <f>BE36+BF35</f>
        <v/>
      </c>
      <c r="BG36" s="271">
        <f>BF36+BG35</f>
        <v/>
      </c>
      <c r="BH36" s="271">
        <f>BG36+BH35</f>
        <v/>
      </c>
      <c r="BI36" s="271">
        <f>BH36+BI35</f>
        <v/>
      </c>
      <c r="BJ36" s="271">
        <f>BI36+BJ35</f>
        <v/>
      </c>
      <c r="BK36" s="271">
        <f>BJ36+BK35</f>
        <v/>
      </c>
      <c r="BL36" s="271">
        <f>BK36+BL35</f>
        <v/>
      </c>
      <c r="BM36" s="271">
        <f>BL36+BM35</f>
        <v/>
      </c>
      <c r="BN36" s="271">
        <f>BM36+BN35</f>
        <v/>
      </c>
      <c r="BO36" s="271">
        <f>BN36+BO35</f>
        <v/>
      </c>
      <c r="BP36" s="271">
        <f>BO36+BP35</f>
        <v/>
      </c>
      <c r="BQ36" s="271">
        <f>BP36+BQ35</f>
        <v/>
      </c>
      <c r="BR36" s="271">
        <f>BQ36+BR35</f>
        <v/>
      </c>
      <c r="BS36" s="271">
        <f>BR36+BS35</f>
        <v/>
      </c>
      <c r="BT36" s="271">
        <f>BS36+BT35</f>
        <v/>
      </c>
      <c r="BU36" s="271">
        <f>BT36+BU35</f>
        <v/>
      </c>
      <c r="BV36" s="271">
        <f>BU36+BV35</f>
        <v/>
      </c>
      <c r="BW36" s="271">
        <f>BV36+BW35</f>
        <v/>
      </c>
      <c r="BX36" s="271">
        <f>BW36+BX35</f>
        <v/>
      </c>
      <c r="BY36" s="271">
        <f>BX36+BY35</f>
        <v/>
      </c>
      <c r="BZ36" s="271">
        <f>BY36+BZ35</f>
        <v/>
      </c>
      <c r="CA36" s="271">
        <f>BZ36+CA35</f>
        <v/>
      </c>
      <c r="CB36" s="271">
        <f>CA36+CB35</f>
        <v/>
      </c>
      <c r="CC36" s="271">
        <f>CB36+CC35</f>
        <v/>
      </c>
      <c r="CD36" s="271">
        <f>CC36+CD35</f>
        <v/>
      </c>
      <c r="CE36" s="271">
        <f>CD36+CE35</f>
        <v/>
      </c>
      <c r="CF36" s="271">
        <f>CE36+CF35</f>
        <v/>
      </c>
      <c r="CG36" s="271">
        <f>CF36+CG35</f>
        <v/>
      </c>
      <c r="CH36" s="271">
        <f>CG36+CH35</f>
        <v/>
      </c>
    </row>
    <row r="37" ht="15" customHeight="1" s="202">
      <c r="A37" s="204" t="n"/>
      <c r="B37" s="204" t="n"/>
      <c r="C37" s="204" t="n"/>
      <c r="D37" s="204" t="n"/>
      <c r="E37" s="204" t="n"/>
      <c r="F37" s="204" t="n"/>
      <c r="G37" s="204" t="n"/>
      <c r="H37" s="204" t="n"/>
      <c r="I37" s="204" t="n"/>
      <c r="J37" s="204" t="n"/>
      <c r="K37" s="204" t="n"/>
      <c r="L37" s="204" t="n"/>
      <c r="M37" s="204" t="n"/>
      <c r="N37" s="204" t="n"/>
      <c r="O37" s="204" t="n"/>
      <c r="P37" s="204" t="n"/>
      <c r="Q37" s="204" t="n"/>
      <c r="R37" s="204" t="n"/>
      <c r="S37" s="204" t="n"/>
      <c r="T37" s="204" t="n"/>
      <c r="U37" s="204" t="n"/>
      <c r="V37" s="204" t="n"/>
      <c r="W37" s="204" t="n"/>
      <c r="X37" s="204" t="n"/>
      <c r="Y37" s="204" t="n"/>
      <c r="Z37" s="204" t="n"/>
      <c r="AA37" s="204" t="n"/>
      <c r="AB37" s="204" t="n"/>
      <c r="AC37" s="204" t="n"/>
      <c r="AD37" s="204" t="n"/>
      <c r="AE37" s="204" t="n"/>
      <c r="AF37" s="204" t="n"/>
      <c r="AG37" s="204" t="n"/>
      <c r="AH37" s="204" t="n"/>
      <c r="AI37" s="204" t="n"/>
      <c r="AJ37" s="204" t="n"/>
      <c r="AK37" s="204" t="n"/>
      <c r="AL37" s="204" t="n"/>
      <c r="AM37" s="204" t="n"/>
      <c r="AN37" s="204" t="n"/>
      <c r="AO37" s="204" t="n"/>
      <c r="AP37" s="204" t="n"/>
      <c r="AQ37" s="204" t="n"/>
      <c r="AR37" s="204" t="n"/>
      <c r="AS37" s="204" t="n"/>
      <c r="AT37" s="204" t="n"/>
      <c r="AU37" s="204" t="n"/>
      <c r="AV37" s="204" t="n"/>
      <c r="AW37" s="204" t="n"/>
      <c r="AX37" s="204" t="n"/>
      <c r="AY37" s="204" t="n"/>
      <c r="AZ37" s="204" t="n"/>
      <c r="BA37" s="204" t="n"/>
      <c r="BB37" s="204" t="n"/>
      <c r="BC37" s="204" t="n"/>
      <c r="BD37" s="204" t="n"/>
      <c r="BE37" s="204" t="n"/>
      <c r="BF37" s="204" t="n"/>
      <c r="BG37" s="204" t="n"/>
      <c r="BH37" s="204" t="n"/>
      <c r="BI37" s="204" t="n"/>
      <c r="BJ37" s="204" t="n"/>
      <c r="BK37" s="204" t="n"/>
      <c r="BL37" s="204" t="n"/>
      <c r="BM37" s="204" t="n"/>
      <c r="BN37" s="204" t="n"/>
      <c r="BO37" s="204" t="n"/>
      <c r="BP37" s="204" t="n"/>
      <c r="BQ37" s="204" t="n"/>
      <c r="BR37" s="204" t="n"/>
      <c r="BS37" s="204" t="n"/>
      <c r="BT37" s="204" t="n"/>
      <c r="BU37" s="204" t="n"/>
      <c r="BV37" s="204" t="n"/>
      <c r="BW37" s="204" t="n"/>
      <c r="BX37" s="204" t="n"/>
      <c r="BY37" s="204" t="n"/>
      <c r="BZ37" s="204" t="n"/>
      <c r="CA37" s="204" t="n"/>
      <c r="CB37" s="204" t="n"/>
      <c r="CC37" s="204" t="n"/>
      <c r="CD37" s="204" t="n"/>
      <c r="CE37" s="204" t="n"/>
      <c r="CF37" s="204" t="n"/>
      <c r="CG37" s="204" t="n"/>
      <c r="CH37" s="204" t="n"/>
    </row>
    <row r="38" ht="15" customHeight="1" s="202">
      <c r="A38" s="209" t="inlineStr">
        <is>
          <t>3rd St</t>
        </is>
      </c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  <c r="AB38" s="209" t="n"/>
      <c r="AC38" s="209" t="n"/>
      <c r="AD38" s="209" t="n"/>
      <c r="AE38" s="209" t="n"/>
      <c r="AF38" s="209" t="n"/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09" t="n"/>
      <c r="AU38" s="209" t="n"/>
      <c r="AV38" s="209" t="n"/>
      <c r="AW38" s="209" t="n"/>
      <c r="AX38" s="209" t="n"/>
      <c r="AY38" s="209" t="n"/>
      <c r="AZ38" s="209" t="n"/>
      <c r="BA38" s="209" t="n"/>
      <c r="BB38" s="209" t="n"/>
      <c r="BC38" s="209" t="n"/>
      <c r="BD38" s="209" t="n"/>
      <c r="BE38" s="209" t="n"/>
      <c r="BF38" s="209" t="n"/>
      <c r="BG38" s="209" t="n"/>
      <c r="BH38" s="209" t="n"/>
      <c r="BI38" s="209" t="n"/>
      <c r="BJ38" s="209" t="n"/>
      <c r="BK38" s="209" t="n"/>
      <c r="BL38" s="209" t="n"/>
      <c r="BM38" s="209" t="n"/>
      <c r="BN38" s="209" t="n"/>
      <c r="BO38" s="209" t="n"/>
      <c r="BP38" s="209" t="n"/>
      <c r="BQ38" s="209" t="n"/>
      <c r="BR38" s="209" t="n"/>
      <c r="BS38" s="209" t="n"/>
      <c r="BT38" s="209" t="n"/>
      <c r="BU38" s="209" t="n"/>
      <c r="BV38" s="209" t="n"/>
      <c r="BW38" s="209" t="n"/>
      <c r="BX38" s="209" t="n"/>
      <c r="BY38" s="209" t="n"/>
      <c r="BZ38" s="209" t="n"/>
      <c r="CA38" s="209" t="n"/>
      <c r="CB38" s="209" t="n"/>
      <c r="CC38" s="209" t="n"/>
      <c r="CD38" s="209" t="n"/>
      <c r="CE38" s="209" t="n"/>
      <c r="CF38" s="209" t="n"/>
      <c r="CG38" s="209" t="n"/>
      <c r="CH38" s="209" t="n"/>
    </row>
    <row r="39" ht="15" customHeight="1" s="202">
      <c r="A39" s="219" t="inlineStr">
        <is>
          <t xml:space="preserve">  Revenue</t>
        </is>
      </c>
      <c r="B39" s="204" t="n"/>
      <c r="C39" s="269" t="n">
        <v>0</v>
      </c>
      <c r="D39" s="269" t="n">
        <v>0</v>
      </c>
      <c r="E39" s="269" t="n">
        <v>0</v>
      </c>
      <c r="F39" s="269" t="n">
        <v>0</v>
      </c>
      <c r="G39" s="269" t="n">
        <v>0</v>
      </c>
      <c r="H39" s="269" t="n">
        <v>0</v>
      </c>
      <c r="I39" s="269" t="n">
        <v>0</v>
      </c>
      <c r="J39" s="269" t="n">
        <v>0</v>
      </c>
      <c r="K39" s="269" t="n">
        <v>0</v>
      </c>
      <c r="L39" s="269" t="n">
        <v>0</v>
      </c>
      <c r="M39" s="269" t="n">
        <v>0</v>
      </c>
      <c r="N39" s="269" t="n">
        <v>0</v>
      </c>
      <c r="O39" s="269" t="n">
        <v>0</v>
      </c>
      <c r="P39" s="269" t="n">
        <v>0</v>
      </c>
      <c r="Q39" s="269" t="n">
        <v>0</v>
      </c>
      <c r="R39" s="269" t="n">
        <v>0</v>
      </c>
      <c r="S39" s="269" t="n">
        <v>0</v>
      </c>
      <c r="T39" s="269" t="n">
        <v>0</v>
      </c>
      <c r="U39" s="269" t="n">
        <v>0</v>
      </c>
      <c r="V39" s="269" t="n">
        <v>0</v>
      </c>
      <c r="W39" s="269" t="n">
        <v>0</v>
      </c>
      <c r="X39" s="269" t="n">
        <v>0</v>
      </c>
      <c r="Y39" s="269" t="n">
        <v>0</v>
      </c>
      <c r="Z39" s="269" t="n">
        <v>0</v>
      </c>
      <c r="AA39" s="269" t="n">
        <v>0</v>
      </c>
      <c r="AB39" s="269" t="n">
        <v>0</v>
      </c>
      <c r="AC39" s="269" t="n">
        <v>0</v>
      </c>
      <c r="AD39" s="269" t="n">
        <v>0</v>
      </c>
      <c r="AE39" s="269" t="n">
        <v>0</v>
      </c>
      <c r="AF39" s="269" t="n">
        <v>0</v>
      </c>
      <c r="AG39" s="269" t="n">
        <v>0</v>
      </c>
      <c r="AH39" s="269" t="n">
        <v>0</v>
      </c>
      <c r="AI39" s="269" t="n">
        <v>0</v>
      </c>
      <c r="AJ39" s="269" t="n">
        <v>0</v>
      </c>
      <c r="AK39" s="269" t="n">
        <v>0</v>
      </c>
      <c r="AL39" s="269" t="n">
        <v>0</v>
      </c>
      <c r="AM39" s="269" t="n">
        <v>0</v>
      </c>
      <c r="AN39" s="269" t="n">
        <v>0</v>
      </c>
      <c r="AO39" s="269" t="n">
        <v>0</v>
      </c>
      <c r="AP39" s="269" t="n">
        <v>0</v>
      </c>
      <c r="AQ39" s="269" t="n">
        <v>0</v>
      </c>
      <c r="AR39" s="269" t="n">
        <v>0</v>
      </c>
      <c r="AS39" s="269" t="n">
        <v>0</v>
      </c>
      <c r="AT39" s="269" t="n">
        <v>0</v>
      </c>
      <c r="AU39" s="269" t="n">
        <v>0</v>
      </c>
      <c r="AV39" s="269" t="n">
        <v>0</v>
      </c>
      <c r="AW39" s="269" t="n">
        <v>0</v>
      </c>
      <c r="AX39" s="269" t="n">
        <v>0</v>
      </c>
      <c r="AY39" s="269" t="n">
        <v>0</v>
      </c>
      <c r="AZ39" s="269" t="n">
        <v>0</v>
      </c>
      <c r="BA39" s="269" t="n">
        <v>0</v>
      </c>
      <c r="BB39" s="269" t="n">
        <v>0</v>
      </c>
      <c r="BC39" s="269" t="n">
        <v>0</v>
      </c>
      <c r="BD39" s="269" t="n">
        <v>0</v>
      </c>
      <c r="BE39" s="269" t="n">
        <v>0</v>
      </c>
      <c r="BF39" s="269" t="n">
        <v>0</v>
      </c>
      <c r="BG39" s="269" t="n">
        <v>0</v>
      </c>
      <c r="BH39" s="269" t="n">
        <v>0</v>
      </c>
      <c r="BI39" s="269" t="n">
        <v>0</v>
      </c>
      <c r="BJ39" s="269" t="n">
        <v>0</v>
      </c>
      <c r="BK39" s="269" t="n">
        <v>0</v>
      </c>
      <c r="BL39" s="269" t="n">
        <v>0</v>
      </c>
      <c r="BM39" s="269" t="n">
        <v>0</v>
      </c>
      <c r="BN39" s="269" t="n">
        <v>0</v>
      </c>
      <c r="BO39" s="269" t="n">
        <v>0</v>
      </c>
      <c r="BP39" s="269" t="n">
        <v>0</v>
      </c>
      <c r="BQ39" s="269" t="n">
        <v>0</v>
      </c>
      <c r="BR39" s="269" t="n">
        <v>0</v>
      </c>
      <c r="BS39" s="269" t="n">
        <v>0</v>
      </c>
      <c r="BT39" s="269" t="n">
        <v>0</v>
      </c>
      <c r="BU39" s="269" t="n">
        <v>0</v>
      </c>
      <c r="BV39" s="269" t="n">
        <v>0</v>
      </c>
      <c r="BW39" s="269" t="n">
        <v>0</v>
      </c>
      <c r="BX39" s="269" t="n">
        <v>0</v>
      </c>
      <c r="BY39" s="269" t="n">
        <v>0</v>
      </c>
      <c r="BZ39" s="269" t="n">
        <v>0</v>
      </c>
      <c r="CA39" s="269" t="n">
        <v>0</v>
      </c>
      <c r="CB39" s="269" t="n">
        <v>0</v>
      </c>
      <c r="CC39" s="269" t="n">
        <v>0</v>
      </c>
      <c r="CD39" s="269" t="n">
        <v>0</v>
      </c>
      <c r="CE39" s="269" t="n">
        <v>0</v>
      </c>
      <c r="CF39" s="269" t="n">
        <v>0</v>
      </c>
      <c r="CG39" s="269" t="n">
        <v>0</v>
      </c>
      <c r="CH39" s="269" t="n">
        <v>0</v>
      </c>
    </row>
    <row r="40" ht="15" customHeight="1" s="202">
      <c r="A40" s="272" t="inlineStr">
        <is>
          <t xml:space="preserve">  Steyn Fees</t>
        </is>
      </c>
      <c r="B40" s="204" t="n"/>
      <c r="C40" s="273">
        <f>Model!C83</f>
        <v/>
      </c>
      <c r="D40" s="273">
        <f>Model!D83</f>
        <v/>
      </c>
      <c r="E40" s="273">
        <f>Model!E83</f>
        <v/>
      </c>
      <c r="F40" s="273">
        <f>Model!F83</f>
        <v/>
      </c>
      <c r="G40" s="273">
        <f>Model!G83</f>
        <v/>
      </c>
      <c r="H40" s="273">
        <f>Model!H83</f>
        <v/>
      </c>
      <c r="I40" s="273">
        <f>Model!I83</f>
        <v/>
      </c>
      <c r="J40" s="273">
        <f>Model!J83</f>
        <v/>
      </c>
      <c r="K40" s="273">
        <f>Model!K83</f>
        <v/>
      </c>
      <c r="L40" s="273">
        <f>Model!L83</f>
        <v/>
      </c>
      <c r="M40" s="273">
        <f>Model!M83</f>
        <v/>
      </c>
      <c r="N40" s="273">
        <f>Model!N83</f>
        <v/>
      </c>
      <c r="O40" s="273">
        <f>Model!O83</f>
        <v/>
      </c>
      <c r="P40" s="273">
        <f>Model!P83</f>
        <v/>
      </c>
      <c r="Q40" s="273">
        <f>Model!Q83</f>
        <v/>
      </c>
      <c r="R40" s="273">
        <f>Model!R83</f>
        <v/>
      </c>
      <c r="S40" s="273">
        <f>Model!S83</f>
        <v/>
      </c>
      <c r="T40" s="273">
        <f>Model!T83</f>
        <v/>
      </c>
      <c r="U40" s="273">
        <f>Model!U83</f>
        <v/>
      </c>
      <c r="V40" s="273">
        <f>Model!V83</f>
        <v/>
      </c>
      <c r="W40" s="273">
        <f>Model!W83</f>
        <v/>
      </c>
      <c r="X40" s="273">
        <f>Model!X83</f>
        <v/>
      </c>
      <c r="Y40" s="273">
        <f>Model!Y83</f>
        <v/>
      </c>
      <c r="Z40" s="273">
        <f>Model!Z83</f>
        <v/>
      </c>
      <c r="AA40" s="273">
        <f>Model!AA83</f>
        <v/>
      </c>
      <c r="AB40" s="273">
        <f>Model!AB83</f>
        <v/>
      </c>
      <c r="AC40" s="273">
        <f>Model!AC83</f>
        <v/>
      </c>
      <c r="AD40" s="273">
        <f>Model!AD83</f>
        <v/>
      </c>
      <c r="AE40" s="273">
        <f>Model!AE83</f>
        <v/>
      </c>
      <c r="AF40" s="273">
        <f>Model!AF83</f>
        <v/>
      </c>
      <c r="AG40" s="273">
        <f>Model!AG83</f>
        <v/>
      </c>
      <c r="AH40" s="273">
        <f>Model!AH83</f>
        <v/>
      </c>
      <c r="AI40" s="273">
        <f>Model!AI83</f>
        <v/>
      </c>
      <c r="AJ40" s="273">
        <f>Model!AJ83</f>
        <v/>
      </c>
      <c r="AK40" s="273">
        <f>Model!AK83</f>
        <v/>
      </c>
      <c r="AL40" s="273">
        <f>Model!AL83</f>
        <v/>
      </c>
      <c r="AM40" s="273">
        <f>Model!AM83</f>
        <v/>
      </c>
      <c r="AN40" s="273">
        <f>Model!AN83</f>
        <v/>
      </c>
      <c r="AO40" s="273">
        <f>Model!AO83</f>
        <v/>
      </c>
      <c r="AP40" s="273">
        <f>Model!AP83</f>
        <v/>
      </c>
      <c r="AQ40" s="273">
        <f>Model!AQ83</f>
        <v/>
      </c>
      <c r="AR40" s="273">
        <f>Model!AR83</f>
        <v/>
      </c>
      <c r="AS40" s="273">
        <f>Model!AS83</f>
        <v/>
      </c>
      <c r="AT40" s="273">
        <f>Model!AT83</f>
        <v/>
      </c>
      <c r="AU40" s="273">
        <f>Model!AU83</f>
        <v/>
      </c>
      <c r="AV40" s="273">
        <f>Model!AV83</f>
        <v/>
      </c>
      <c r="AW40" s="273">
        <f>Model!AW83</f>
        <v/>
      </c>
      <c r="AX40" s="273">
        <f>Model!AX83</f>
        <v/>
      </c>
      <c r="AY40" s="273">
        <f>Model!AY83</f>
        <v/>
      </c>
      <c r="AZ40" s="273">
        <f>Model!AZ83</f>
        <v/>
      </c>
      <c r="BA40" s="273">
        <f>Model!BA83</f>
        <v/>
      </c>
      <c r="BB40" s="273">
        <f>Model!BB83</f>
        <v/>
      </c>
      <c r="BC40" s="273">
        <f>Model!BC83</f>
        <v/>
      </c>
      <c r="BD40" s="273">
        <f>Model!BD83</f>
        <v/>
      </c>
      <c r="BE40" s="273">
        <f>Model!BE83</f>
        <v/>
      </c>
      <c r="BF40" s="273">
        <f>Model!BF83</f>
        <v/>
      </c>
      <c r="BG40" s="273">
        <f>Model!BG83</f>
        <v/>
      </c>
      <c r="BH40" s="273">
        <f>Model!BH83</f>
        <v/>
      </c>
      <c r="BI40" s="273">
        <f>Model!BI83</f>
        <v/>
      </c>
      <c r="BJ40" s="273">
        <f>Model!BJ83</f>
        <v/>
      </c>
      <c r="BK40" s="273">
        <f>Model!BK83</f>
        <v/>
      </c>
      <c r="BL40" s="273">
        <f>Model!BL83</f>
        <v/>
      </c>
      <c r="BM40" s="273">
        <f>Model!BM83</f>
        <v/>
      </c>
      <c r="BN40" s="273">
        <f>Model!BN83</f>
        <v/>
      </c>
      <c r="BO40" s="273">
        <f>Model!BO83</f>
        <v/>
      </c>
      <c r="BP40" s="273">
        <f>Model!BP83</f>
        <v/>
      </c>
      <c r="BQ40" s="273">
        <f>Model!BQ83</f>
        <v/>
      </c>
      <c r="BR40" s="273">
        <f>Model!BR83</f>
        <v/>
      </c>
      <c r="BS40" s="273">
        <f>Model!BS83</f>
        <v/>
      </c>
      <c r="BT40" s="273">
        <f>Model!BT83</f>
        <v/>
      </c>
      <c r="BU40" s="273">
        <f>Model!BU83</f>
        <v/>
      </c>
      <c r="BV40" s="273">
        <f>Model!BV83</f>
        <v/>
      </c>
      <c r="BW40" s="273">
        <f>Model!BW83</f>
        <v/>
      </c>
      <c r="BX40" s="273">
        <f>Model!BX83</f>
        <v/>
      </c>
      <c r="BY40" s="273">
        <f>Model!BY83</f>
        <v/>
      </c>
      <c r="BZ40" s="273">
        <f>Model!BZ83</f>
        <v/>
      </c>
      <c r="CA40" s="273">
        <f>Model!CA83</f>
        <v/>
      </c>
      <c r="CB40" s="273">
        <f>Model!CB83</f>
        <v/>
      </c>
      <c r="CC40" s="273">
        <f>Model!CC83</f>
        <v/>
      </c>
      <c r="CD40" s="273">
        <f>Model!CD83</f>
        <v/>
      </c>
      <c r="CE40" s="273">
        <f>Model!CE83</f>
        <v/>
      </c>
      <c r="CF40" s="273">
        <f>Model!CF83</f>
        <v/>
      </c>
      <c r="CG40" s="273">
        <f>Model!CG83</f>
        <v/>
      </c>
      <c r="CH40" s="273">
        <f>Model!CH83</f>
        <v/>
      </c>
    </row>
    <row r="41" ht="15" customHeight="1" s="202">
      <c r="A41" s="231" t="inlineStr">
        <is>
          <t xml:space="preserve">  Net to Six Peak</t>
        </is>
      </c>
      <c r="B41" s="231" t="n"/>
      <c r="C41" s="270">
        <f>C39+C40</f>
        <v/>
      </c>
      <c r="D41" s="270">
        <f>D39+D40</f>
        <v/>
      </c>
      <c r="E41" s="270">
        <f>E39+E40</f>
        <v/>
      </c>
      <c r="F41" s="270">
        <f>F39+F40</f>
        <v/>
      </c>
      <c r="G41" s="270">
        <f>G39+G40</f>
        <v/>
      </c>
      <c r="H41" s="270">
        <f>H39+H40</f>
        <v/>
      </c>
      <c r="I41" s="270">
        <f>I39+I40</f>
        <v/>
      </c>
      <c r="J41" s="270">
        <f>J39+J40</f>
        <v/>
      </c>
      <c r="K41" s="270">
        <f>K39+K40</f>
        <v/>
      </c>
      <c r="L41" s="270">
        <f>L39+L40</f>
        <v/>
      </c>
      <c r="M41" s="270">
        <f>M39+M40</f>
        <v/>
      </c>
      <c r="N41" s="270">
        <f>N39+N40</f>
        <v/>
      </c>
      <c r="O41" s="270">
        <f>O39+O40</f>
        <v/>
      </c>
      <c r="P41" s="270">
        <f>P39+P40</f>
        <v/>
      </c>
      <c r="Q41" s="270">
        <f>Q39+Q40</f>
        <v/>
      </c>
      <c r="R41" s="270">
        <f>R39+R40</f>
        <v/>
      </c>
      <c r="S41" s="270">
        <f>S39+S40</f>
        <v/>
      </c>
      <c r="T41" s="270">
        <f>T39+T40</f>
        <v/>
      </c>
      <c r="U41" s="270">
        <f>U39+U40</f>
        <v/>
      </c>
      <c r="V41" s="270">
        <f>V39+V40</f>
        <v/>
      </c>
      <c r="W41" s="270">
        <f>W39+W40</f>
        <v/>
      </c>
      <c r="X41" s="270">
        <f>X39+X40</f>
        <v/>
      </c>
      <c r="Y41" s="270">
        <f>Y39+Y40</f>
        <v/>
      </c>
      <c r="Z41" s="270">
        <f>Z39+Z40</f>
        <v/>
      </c>
      <c r="AA41" s="270">
        <f>AA39+AA40</f>
        <v/>
      </c>
      <c r="AB41" s="270">
        <f>AB39+AB40</f>
        <v/>
      </c>
      <c r="AC41" s="270">
        <f>AC39+AC40</f>
        <v/>
      </c>
      <c r="AD41" s="270">
        <f>AD39+AD40</f>
        <v/>
      </c>
      <c r="AE41" s="270">
        <f>AE39+AE40</f>
        <v/>
      </c>
      <c r="AF41" s="270">
        <f>AF39+AF40</f>
        <v/>
      </c>
      <c r="AG41" s="270">
        <f>AG39+AG40</f>
        <v/>
      </c>
      <c r="AH41" s="270">
        <f>AH39+AH40</f>
        <v/>
      </c>
      <c r="AI41" s="270">
        <f>AI39+AI40</f>
        <v/>
      </c>
      <c r="AJ41" s="270">
        <f>AJ39+AJ40</f>
        <v/>
      </c>
      <c r="AK41" s="270">
        <f>AK39+AK40</f>
        <v/>
      </c>
      <c r="AL41" s="270">
        <f>AL39+AL40</f>
        <v/>
      </c>
      <c r="AM41" s="270">
        <f>AM39+AM40</f>
        <v/>
      </c>
      <c r="AN41" s="270">
        <f>AN39+AN40</f>
        <v/>
      </c>
      <c r="AO41" s="270">
        <f>AO39+AO40</f>
        <v/>
      </c>
      <c r="AP41" s="270">
        <f>AP39+AP40</f>
        <v/>
      </c>
      <c r="AQ41" s="270">
        <f>AQ39+AQ40</f>
        <v/>
      </c>
      <c r="AR41" s="270">
        <f>AR39+AR40</f>
        <v/>
      </c>
      <c r="AS41" s="270">
        <f>AS39+AS40</f>
        <v/>
      </c>
      <c r="AT41" s="270">
        <f>AT39+AT40</f>
        <v/>
      </c>
      <c r="AU41" s="270">
        <f>AU39+AU40</f>
        <v/>
      </c>
      <c r="AV41" s="270">
        <f>AV39+AV40</f>
        <v/>
      </c>
      <c r="AW41" s="270">
        <f>AW39+AW40</f>
        <v/>
      </c>
      <c r="AX41" s="270">
        <f>AX39+AX40</f>
        <v/>
      </c>
      <c r="AY41" s="270">
        <f>AY39+AY40</f>
        <v/>
      </c>
      <c r="AZ41" s="270">
        <f>AZ39+AZ40</f>
        <v/>
      </c>
      <c r="BA41" s="270">
        <f>BA39+BA40</f>
        <v/>
      </c>
      <c r="BB41" s="270">
        <f>BB39+BB40</f>
        <v/>
      </c>
      <c r="BC41" s="270">
        <f>BC39+BC40</f>
        <v/>
      </c>
      <c r="BD41" s="270">
        <f>BD39+BD40</f>
        <v/>
      </c>
      <c r="BE41" s="270">
        <f>BE39+BE40</f>
        <v/>
      </c>
      <c r="BF41" s="270">
        <f>BF39+BF40</f>
        <v/>
      </c>
      <c r="BG41" s="270">
        <f>BG39+BG40</f>
        <v/>
      </c>
      <c r="BH41" s="270">
        <f>BH39+BH40</f>
        <v/>
      </c>
      <c r="BI41" s="270">
        <f>BI39+BI40</f>
        <v/>
      </c>
      <c r="BJ41" s="270">
        <f>BJ39+BJ40</f>
        <v/>
      </c>
      <c r="BK41" s="270">
        <f>BK39+BK40</f>
        <v/>
      </c>
      <c r="BL41" s="270">
        <f>BL39+BL40</f>
        <v/>
      </c>
      <c r="BM41" s="270">
        <f>BM39+BM40</f>
        <v/>
      </c>
      <c r="BN41" s="270">
        <f>BN39+BN40</f>
        <v/>
      </c>
      <c r="BO41" s="270">
        <f>BO39+BO40</f>
        <v/>
      </c>
      <c r="BP41" s="270">
        <f>BP39+BP40</f>
        <v/>
      </c>
      <c r="BQ41" s="270">
        <f>BQ39+BQ40</f>
        <v/>
      </c>
      <c r="BR41" s="270">
        <f>BR39+BR40</f>
        <v/>
      </c>
      <c r="BS41" s="270">
        <f>BS39+BS40</f>
        <v/>
      </c>
      <c r="BT41" s="270">
        <f>BT39+BT40</f>
        <v/>
      </c>
      <c r="BU41" s="270">
        <f>BU39+BU40</f>
        <v/>
      </c>
      <c r="BV41" s="270">
        <f>BV39+BV40</f>
        <v/>
      </c>
      <c r="BW41" s="270">
        <f>BW39+BW40</f>
        <v/>
      </c>
      <c r="BX41" s="270">
        <f>BX39+BX40</f>
        <v/>
      </c>
      <c r="BY41" s="270">
        <f>BY39+BY40</f>
        <v/>
      </c>
      <c r="BZ41" s="270">
        <f>BZ39+BZ40</f>
        <v/>
      </c>
      <c r="CA41" s="270">
        <f>CA39+CA40</f>
        <v/>
      </c>
      <c r="CB41" s="270">
        <f>CB39+CB40</f>
        <v/>
      </c>
      <c r="CC41" s="270">
        <f>CC39+CC40</f>
        <v/>
      </c>
      <c r="CD41" s="270">
        <f>CD39+CD40</f>
        <v/>
      </c>
      <c r="CE41" s="270">
        <f>CE39+CE40</f>
        <v/>
      </c>
      <c r="CF41" s="270">
        <f>CF39+CF40</f>
        <v/>
      </c>
      <c r="CG41" s="270">
        <f>CG39+CG40</f>
        <v/>
      </c>
      <c r="CH41" s="270">
        <f>CH39+CH40</f>
        <v/>
      </c>
    </row>
    <row r="42" ht="15" customHeight="1" s="202">
      <c r="A42" s="263" t="inlineStr">
        <is>
          <t xml:space="preserve">  Cumulative Net</t>
        </is>
      </c>
      <c r="B42" s="204" t="n"/>
      <c r="C42" s="271">
        <f>C41</f>
        <v/>
      </c>
      <c r="D42" s="271">
        <f>C42+D41</f>
        <v/>
      </c>
      <c r="E42" s="271">
        <f>D42+E41</f>
        <v/>
      </c>
      <c r="F42" s="271">
        <f>E42+F41</f>
        <v/>
      </c>
      <c r="G42" s="271">
        <f>F42+G41</f>
        <v/>
      </c>
      <c r="H42" s="271">
        <f>G42+H41</f>
        <v/>
      </c>
      <c r="I42" s="271">
        <f>H42+I41</f>
        <v/>
      </c>
      <c r="J42" s="271">
        <f>I42+J41</f>
        <v/>
      </c>
      <c r="K42" s="271">
        <f>J42+K41</f>
        <v/>
      </c>
      <c r="L42" s="271">
        <f>K42+L41</f>
        <v/>
      </c>
      <c r="M42" s="271">
        <f>L42+M41</f>
        <v/>
      </c>
      <c r="N42" s="271">
        <f>M42+N41</f>
        <v/>
      </c>
      <c r="O42" s="271">
        <f>N42+O41</f>
        <v/>
      </c>
      <c r="P42" s="271">
        <f>O42+P41</f>
        <v/>
      </c>
      <c r="Q42" s="271">
        <f>P42+Q41</f>
        <v/>
      </c>
      <c r="R42" s="271">
        <f>Q42+R41</f>
        <v/>
      </c>
      <c r="S42" s="271">
        <f>R42+S41</f>
        <v/>
      </c>
      <c r="T42" s="271">
        <f>S42+T41</f>
        <v/>
      </c>
      <c r="U42" s="271">
        <f>T42+U41</f>
        <v/>
      </c>
      <c r="V42" s="271">
        <f>U42+V41</f>
        <v/>
      </c>
      <c r="W42" s="271">
        <f>V42+W41</f>
        <v/>
      </c>
      <c r="X42" s="271">
        <f>W42+X41</f>
        <v/>
      </c>
      <c r="Y42" s="271">
        <f>X42+Y41</f>
        <v/>
      </c>
      <c r="Z42" s="271">
        <f>Y42+Z41</f>
        <v/>
      </c>
      <c r="AA42" s="271">
        <f>Z42+AA41</f>
        <v/>
      </c>
      <c r="AB42" s="271">
        <f>AA42+AB41</f>
        <v/>
      </c>
      <c r="AC42" s="271">
        <f>AB42+AC41</f>
        <v/>
      </c>
      <c r="AD42" s="271">
        <f>AC42+AD41</f>
        <v/>
      </c>
      <c r="AE42" s="271">
        <f>AD42+AE41</f>
        <v/>
      </c>
      <c r="AF42" s="271">
        <f>AE42+AF41</f>
        <v/>
      </c>
      <c r="AG42" s="271">
        <f>AF42+AG41</f>
        <v/>
      </c>
      <c r="AH42" s="271">
        <f>AG42+AH41</f>
        <v/>
      </c>
      <c r="AI42" s="271">
        <f>AH42+AI41</f>
        <v/>
      </c>
      <c r="AJ42" s="271">
        <f>AI42+AJ41</f>
        <v/>
      </c>
      <c r="AK42" s="271">
        <f>AJ42+AK41</f>
        <v/>
      </c>
      <c r="AL42" s="271">
        <f>AK42+AL41</f>
        <v/>
      </c>
      <c r="AM42" s="271">
        <f>AL42+AM41</f>
        <v/>
      </c>
      <c r="AN42" s="271">
        <f>AM42+AN41</f>
        <v/>
      </c>
      <c r="AO42" s="271">
        <f>AN42+AO41</f>
        <v/>
      </c>
      <c r="AP42" s="271">
        <f>AO42+AP41</f>
        <v/>
      </c>
      <c r="AQ42" s="271">
        <f>AP42+AQ41</f>
        <v/>
      </c>
      <c r="AR42" s="271">
        <f>AQ42+AR41</f>
        <v/>
      </c>
      <c r="AS42" s="271">
        <f>AR42+AS41</f>
        <v/>
      </c>
      <c r="AT42" s="271">
        <f>AS42+AT41</f>
        <v/>
      </c>
      <c r="AU42" s="271">
        <f>AT42+AU41</f>
        <v/>
      </c>
      <c r="AV42" s="271">
        <f>AU42+AV41</f>
        <v/>
      </c>
      <c r="AW42" s="271">
        <f>AV42+AW41</f>
        <v/>
      </c>
      <c r="AX42" s="271">
        <f>AW42+AX41</f>
        <v/>
      </c>
      <c r="AY42" s="271">
        <f>AX42+AY41</f>
        <v/>
      </c>
      <c r="AZ42" s="271">
        <f>AY42+AZ41</f>
        <v/>
      </c>
      <c r="BA42" s="271">
        <f>AZ42+BA41</f>
        <v/>
      </c>
      <c r="BB42" s="271">
        <f>BA42+BB41</f>
        <v/>
      </c>
      <c r="BC42" s="271">
        <f>BB42+BC41</f>
        <v/>
      </c>
      <c r="BD42" s="271">
        <f>BC42+BD41</f>
        <v/>
      </c>
      <c r="BE42" s="271">
        <f>BD42+BE41</f>
        <v/>
      </c>
      <c r="BF42" s="271">
        <f>BE42+BF41</f>
        <v/>
      </c>
      <c r="BG42" s="271">
        <f>BF42+BG41</f>
        <v/>
      </c>
      <c r="BH42" s="271">
        <f>BG42+BH41</f>
        <v/>
      </c>
      <c r="BI42" s="271">
        <f>BH42+BI41</f>
        <v/>
      </c>
      <c r="BJ42" s="271">
        <f>BI42+BJ41</f>
        <v/>
      </c>
      <c r="BK42" s="271">
        <f>BJ42+BK41</f>
        <v/>
      </c>
      <c r="BL42" s="271">
        <f>BK42+BL41</f>
        <v/>
      </c>
      <c r="BM42" s="271">
        <f>BL42+BM41</f>
        <v/>
      </c>
      <c r="BN42" s="271">
        <f>BM42+BN41</f>
        <v/>
      </c>
      <c r="BO42" s="271">
        <f>BN42+BO41</f>
        <v/>
      </c>
      <c r="BP42" s="271">
        <f>BO42+BP41</f>
        <v/>
      </c>
      <c r="BQ42" s="271">
        <f>BP42+BQ41</f>
        <v/>
      </c>
      <c r="BR42" s="271">
        <f>BQ42+BR41</f>
        <v/>
      </c>
      <c r="BS42" s="271">
        <f>BR42+BS41</f>
        <v/>
      </c>
      <c r="BT42" s="271">
        <f>BS42+BT41</f>
        <v/>
      </c>
      <c r="BU42" s="271">
        <f>BT42+BU41</f>
        <v/>
      </c>
      <c r="BV42" s="271">
        <f>BU42+BV41</f>
        <v/>
      </c>
      <c r="BW42" s="271">
        <f>BV42+BW41</f>
        <v/>
      </c>
      <c r="BX42" s="271">
        <f>BW42+BX41</f>
        <v/>
      </c>
      <c r="BY42" s="271">
        <f>BX42+BY41</f>
        <v/>
      </c>
      <c r="BZ42" s="271">
        <f>BY42+BZ41</f>
        <v/>
      </c>
      <c r="CA42" s="271">
        <f>BZ42+CA41</f>
        <v/>
      </c>
      <c r="CB42" s="271">
        <f>CA42+CB41</f>
        <v/>
      </c>
      <c r="CC42" s="271">
        <f>CB42+CC41</f>
        <v/>
      </c>
      <c r="CD42" s="271">
        <f>CC42+CD41</f>
        <v/>
      </c>
      <c r="CE42" s="271">
        <f>CD42+CE41</f>
        <v/>
      </c>
      <c r="CF42" s="271">
        <f>CE42+CF41</f>
        <v/>
      </c>
      <c r="CG42" s="271">
        <f>CF42+CG41</f>
        <v/>
      </c>
      <c r="CH42" s="271">
        <f>CG42+CH41</f>
        <v/>
      </c>
    </row>
    <row r="43" ht="15" customHeight="1" s="202">
      <c r="A43" s="204" t="n"/>
      <c r="B43" s="204" t="n"/>
      <c r="C43" s="204" t="n"/>
      <c r="D43" s="204" t="n"/>
      <c r="E43" s="204" t="n"/>
      <c r="F43" s="204" t="n"/>
      <c r="G43" s="204" t="n"/>
      <c r="H43" s="204" t="n"/>
      <c r="I43" s="204" t="n"/>
      <c r="J43" s="204" t="n"/>
      <c r="K43" s="204" t="n"/>
      <c r="L43" s="204" t="n"/>
      <c r="M43" s="204" t="n"/>
      <c r="N43" s="204" t="n"/>
      <c r="O43" s="204" t="n"/>
      <c r="P43" s="204" t="n"/>
      <c r="Q43" s="204" t="n"/>
      <c r="R43" s="204" t="n"/>
      <c r="S43" s="204" t="n"/>
      <c r="T43" s="204" t="n"/>
      <c r="U43" s="204" t="n"/>
      <c r="V43" s="204" t="n"/>
      <c r="W43" s="204" t="n"/>
      <c r="X43" s="204" t="n"/>
      <c r="Y43" s="204" t="n"/>
      <c r="Z43" s="204" t="n"/>
      <c r="AA43" s="204" t="n"/>
      <c r="AB43" s="204" t="n"/>
      <c r="AC43" s="204" t="n"/>
      <c r="AD43" s="204" t="n"/>
      <c r="AE43" s="204" t="n"/>
      <c r="AF43" s="204" t="n"/>
      <c r="AG43" s="204" t="n"/>
      <c r="AH43" s="204" t="n"/>
      <c r="AI43" s="204" t="n"/>
      <c r="AJ43" s="204" t="n"/>
      <c r="AK43" s="204" t="n"/>
      <c r="AL43" s="204" t="n"/>
      <c r="AM43" s="204" t="n"/>
      <c r="AN43" s="204" t="n"/>
      <c r="AO43" s="204" t="n"/>
      <c r="AP43" s="204" t="n"/>
      <c r="AQ43" s="204" t="n"/>
      <c r="AR43" s="204" t="n"/>
      <c r="AS43" s="204" t="n"/>
      <c r="AT43" s="204" t="n"/>
      <c r="AU43" s="204" t="n"/>
      <c r="AV43" s="204" t="n"/>
      <c r="AW43" s="204" t="n"/>
      <c r="AX43" s="204" t="n"/>
      <c r="AY43" s="204" t="n"/>
      <c r="AZ43" s="204" t="n"/>
      <c r="BA43" s="204" t="n"/>
      <c r="BB43" s="204" t="n"/>
      <c r="BC43" s="204" t="n"/>
      <c r="BD43" s="204" t="n"/>
      <c r="BE43" s="204" t="n"/>
      <c r="BF43" s="204" t="n"/>
      <c r="BG43" s="204" t="n"/>
      <c r="BH43" s="204" t="n"/>
      <c r="BI43" s="204" t="n"/>
      <c r="BJ43" s="204" t="n"/>
      <c r="BK43" s="204" t="n"/>
      <c r="BL43" s="204" t="n"/>
      <c r="BM43" s="204" t="n"/>
      <c r="BN43" s="204" t="n"/>
      <c r="BO43" s="204" t="n"/>
      <c r="BP43" s="204" t="n"/>
      <c r="BQ43" s="204" t="n"/>
      <c r="BR43" s="204" t="n"/>
      <c r="BS43" s="204" t="n"/>
      <c r="BT43" s="204" t="n"/>
      <c r="BU43" s="204" t="n"/>
      <c r="BV43" s="204" t="n"/>
      <c r="BW43" s="204" t="n"/>
      <c r="BX43" s="204" t="n"/>
      <c r="BY43" s="204" t="n"/>
      <c r="BZ43" s="204" t="n"/>
      <c r="CA43" s="204" t="n"/>
      <c r="CB43" s="204" t="n"/>
      <c r="CC43" s="204" t="n"/>
      <c r="CD43" s="204" t="n"/>
      <c r="CE43" s="204" t="n"/>
      <c r="CF43" s="204" t="n"/>
      <c r="CG43" s="204" t="n"/>
      <c r="CH43" s="204" t="n"/>
    </row>
    <row r="44" ht="27.75" customHeight="1" s="202">
      <c r="A44" s="229" t="inlineStr">
        <is>
          <t>ALL GC + DEVELOPER DEALS</t>
        </is>
      </c>
      <c r="B44" s="229" t="n"/>
      <c r="C44" s="229" t="n"/>
      <c r="D44" s="229" t="n"/>
      <c r="E44" s="229" t="n"/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  <c r="AA44" s="229" t="n"/>
      <c r="AB44" s="229" t="n"/>
      <c r="AC44" s="229" t="n"/>
      <c r="AD44" s="229" t="n"/>
      <c r="AE44" s="229" t="n"/>
      <c r="AF44" s="229" t="n"/>
      <c r="AG44" s="229" t="n"/>
      <c r="AH44" s="229" t="n"/>
      <c r="AI44" s="229" t="n"/>
      <c r="AJ44" s="229" t="n"/>
      <c r="AK44" s="229" t="n"/>
      <c r="AL44" s="229" t="n"/>
      <c r="AM44" s="229" t="n"/>
      <c r="AN44" s="229" t="n"/>
      <c r="AO44" s="229" t="n"/>
      <c r="AP44" s="229" t="n"/>
      <c r="AQ44" s="229" t="n"/>
      <c r="AR44" s="229" t="n"/>
      <c r="AS44" s="229" t="n"/>
      <c r="AT44" s="229" t="n"/>
      <c r="AU44" s="229" t="n"/>
      <c r="AV44" s="229" t="n"/>
      <c r="AW44" s="229" t="n"/>
      <c r="AX44" s="229" t="n"/>
      <c r="AY44" s="229" t="n"/>
      <c r="AZ44" s="229" t="n"/>
      <c r="BA44" s="229" t="n"/>
      <c r="BB44" s="229" t="n"/>
      <c r="BC44" s="229" t="n"/>
      <c r="BD44" s="229" t="n"/>
      <c r="BE44" s="229" t="n"/>
      <c r="BF44" s="229" t="n"/>
      <c r="BG44" s="229" t="n"/>
      <c r="BH44" s="229" t="n"/>
      <c r="BI44" s="229" t="n"/>
      <c r="BJ44" s="229" t="n"/>
      <c r="BK44" s="229" t="n"/>
      <c r="BL44" s="229" t="n"/>
      <c r="BM44" s="229" t="n"/>
      <c r="BN44" s="229" t="n"/>
      <c r="BO44" s="229" t="n"/>
      <c r="BP44" s="229" t="n"/>
      <c r="BQ44" s="229" t="n"/>
      <c r="BR44" s="229" t="n"/>
      <c r="BS44" s="229" t="n"/>
      <c r="BT44" s="229" t="n"/>
      <c r="BU44" s="229" t="n"/>
      <c r="BV44" s="229" t="n"/>
      <c r="BW44" s="229" t="n"/>
      <c r="BX44" s="229" t="n"/>
      <c r="BY44" s="229" t="n"/>
      <c r="BZ44" s="229" t="n"/>
      <c r="CA44" s="229" t="n"/>
      <c r="CB44" s="229" t="n"/>
      <c r="CC44" s="229" t="n"/>
      <c r="CD44" s="229" t="n"/>
      <c r="CE44" s="229" t="n"/>
      <c r="CF44" s="229" t="n"/>
      <c r="CG44" s="229" t="n"/>
      <c r="CH44" s="229" t="n"/>
    </row>
    <row r="45" ht="15" customHeight="1" s="202">
      <c r="A45" s="231" t="inlineStr">
        <is>
          <t>Total Net to Six Peak</t>
        </is>
      </c>
      <c r="B45" s="231" t="n"/>
      <c r="C45" s="270">
        <f>C5+C10+C16+C22+C28+C35+C41</f>
        <v/>
      </c>
      <c r="D45" s="270">
        <f>D5+D10+D16+D22+D28+D35+D41</f>
        <v/>
      </c>
      <c r="E45" s="270">
        <f>E5+E10+E16+E22+E28+E35+E41</f>
        <v/>
      </c>
      <c r="F45" s="270">
        <f>F5+F10+F16+F22+F28+F35+F41</f>
        <v/>
      </c>
      <c r="G45" s="270">
        <f>G5+G10+G16+G22+G28+G35+G41</f>
        <v/>
      </c>
      <c r="H45" s="270">
        <f>H5+H10+H16+H22+H28+H35+H41</f>
        <v/>
      </c>
      <c r="I45" s="270">
        <f>I5+I10+I16+I22+I28+I35+I41</f>
        <v/>
      </c>
      <c r="J45" s="270">
        <f>J5+J10+J16+J22+J28+J35+J41</f>
        <v/>
      </c>
      <c r="K45" s="270">
        <f>K5+K10+K16+K22+K28+K35+K41</f>
        <v/>
      </c>
      <c r="L45" s="270">
        <f>L5+L10+L16+L22+L28+L35+L41</f>
        <v/>
      </c>
      <c r="M45" s="270">
        <f>M5+M10+M16+M22+M28+M35+M41</f>
        <v/>
      </c>
      <c r="N45" s="270">
        <f>N5+N10+N16+N22+N28+N35+N41</f>
        <v/>
      </c>
      <c r="O45" s="270">
        <f>O5+O10+O16+O22+O28+O35+O41</f>
        <v/>
      </c>
      <c r="P45" s="270">
        <f>P5+P10+P16+P22+P28+P35+P41</f>
        <v/>
      </c>
      <c r="Q45" s="270">
        <f>Q5+Q10+Q16+Q22+Q28+Q35+Q41</f>
        <v/>
      </c>
      <c r="R45" s="270">
        <f>R5+R10+R16+R22+R28+R35+R41</f>
        <v/>
      </c>
      <c r="S45" s="270">
        <f>S5+S10+S16+S22+S28+S35+S41</f>
        <v/>
      </c>
      <c r="T45" s="270">
        <f>T5+T10+T16+T22+T28+T35+T41</f>
        <v/>
      </c>
      <c r="U45" s="270">
        <f>U5+U10+U16+U22+U28+U35+U41</f>
        <v/>
      </c>
      <c r="V45" s="270">
        <f>V5+V10+V16+V22+V28+V35+V41</f>
        <v/>
      </c>
      <c r="W45" s="270">
        <f>W5+W10+W16+W22+W28+W35+W41</f>
        <v/>
      </c>
      <c r="X45" s="270">
        <f>X5+X10+X16+X22+X28+X35+X41</f>
        <v/>
      </c>
      <c r="Y45" s="270">
        <f>Y5+Y10+Y16+Y22+Y28+Y35+Y41</f>
        <v/>
      </c>
      <c r="Z45" s="270">
        <f>Z5+Z10+Z16+Z22+Z28+Z35+Z41</f>
        <v/>
      </c>
      <c r="AA45" s="270">
        <f>AA5+AA10+AA16+AA22+AA28+AA35+AA41</f>
        <v/>
      </c>
      <c r="AB45" s="270">
        <f>AB5+AB10+AB16+AB22+AB28+AB35+AB41</f>
        <v/>
      </c>
      <c r="AC45" s="270">
        <f>AC5+AC10+AC16+AC22+AC28+AC35+AC41</f>
        <v/>
      </c>
      <c r="AD45" s="270">
        <f>AD5+AD10+AD16+AD22+AD28+AD35+AD41</f>
        <v/>
      </c>
      <c r="AE45" s="270">
        <f>AE5+AE10+AE16+AE22+AE28+AE35+AE41</f>
        <v/>
      </c>
      <c r="AF45" s="270">
        <f>AF5+AF10+AF16+AF22+AF28+AF35+AF41</f>
        <v/>
      </c>
      <c r="AG45" s="270">
        <f>AG5+AG10+AG16+AG22+AG28+AG35+AG41</f>
        <v/>
      </c>
      <c r="AH45" s="270">
        <f>AH5+AH10+AH16+AH22+AH28+AH35+AH41</f>
        <v/>
      </c>
      <c r="AI45" s="270">
        <f>AI5+AI10+AI16+AI22+AI28+AI35+AI41</f>
        <v/>
      </c>
      <c r="AJ45" s="270">
        <f>AJ5+AJ10+AJ16+AJ22+AJ28+AJ35+AJ41</f>
        <v/>
      </c>
      <c r="AK45" s="270">
        <f>AK5+AK10+AK16+AK22+AK28+AK35+AK41</f>
        <v/>
      </c>
      <c r="AL45" s="270">
        <f>AL5+AL10+AL16+AL22+AL28+AL35+AL41</f>
        <v/>
      </c>
      <c r="AM45" s="270">
        <f>AM5+AM10+AM16+AM22+AM28+AM35+AM41</f>
        <v/>
      </c>
      <c r="AN45" s="270">
        <f>AN5+AN10+AN16+AN22+AN28+AN35+AN41</f>
        <v/>
      </c>
      <c r="AO45" s="270">
        <f>AO5+AO10+AO16+AO22+AO28+AO35+AO41</f>
        <v/>
      </c>
      <c r="AP45" s="270">
        <f>AP5+AP10+AP16+AP22+AP28+AP35+AP41</f>
        <v/>
      </c>
      <c r="AQ45" s="270">
        <f>AQ5+AQ10+AQ16+AQ22+AQ28+AQ35+AQ41</f>
        <v/>
      </c>
      <c r="AR45" s="270">
        <f>AR5+AR10+AR16+AR22+AR28+AR35+AR41</f>
        <v/>
      </c>
      <c r="AS45" s="270">
        <f>AS5+AS10+AS16+AS22+AS28+AS35+AS41</f>
        <v/>
      </c>
      <c r="AT45" s="270">
        <f>AT5+AT10+AT16+AT22+AT28+AT35+AT41</f>
        <v/>
      </c>
      <c r="AU45" s="270">
        <f>AU5+AU10+AU16+AU22+AU28+AU35+AU41</f>
        <v/>
      </c>
      <c r="AV45" s="270">
        <f>AV5+AV10+AV16+AV22+AV28+AV35+AV41</f>
        <v/>
      </c>
      <c r="AW45" s="270">
        <f>AW5+AW10+AW16+AW22+AW28+AW35+AW41</f>
        <v/>
      </c>
      <c r="AX45" s="270">
        <f>AX5+AX10+AX16+AX22+AX28+AX35+AX41</f>
        <v/>
      </c>
      <c r="AY45" s="270">
        <f>AY5+AY10+AY16+AY22+AY28+AY35+AY41</f>
        <v/>
      </c>
      <c r="AZ45" s="270">
        <f>AZ5+AZ10+AZ16+AZ22+AZ28+AZ35+AZ41</f>
        <v/>
      </c>
      <c r="BA45" s="270">
        <f>BA5+BA10+BA16+BA22+BA28+BA35+BA41</f>
        <v/>
      </c>
      <c r="BB45" s="270">
        <f>BB5+BB10+BB16+BB22+BB28+BB35+BB41</f>
        <v/>
      </c>
      <c r="BC45" s="270">
        <f>BC5+BC10+BC16+BC22+BC28+BC35+BC41</f>
        <v/>
      </c>
      <c r="BD45" s="270">
        <f>BD5+BD10+BD16+BD22+BD28+BD35+BD41</f>
        <v/>
      </c>
      <c r="BE45" s="270">
        <f>BE5+BE10+BE16+BE22+BE28+BE35+BE41</f>
        <v/>
      </c>
      <c r="BF45" s="270">
        <f>BF5+BF10+BF16+BF22+BF28+BF35+BF41</f>
        <v/>
      </c>
      <c r="BG45" s="270">
        <f>BG5+BG10+BG16+BG22+BG28+BG35+BG41</f>
        <v/>
      </c>
      <c r="BH45" s="270">
        <f>BH5+BH10+BH16+BH22+BH28+BH35+BH41</f>
        <v/>
      </c>
      <c r="BI45" s="270">
        <f>BI5+BI10+BI16+BI22+BI28+BI35+BI41</f>
        <v/>
      </c>
      <c r="BJ45" s="270">
        <f>BJ5+BJ10+BJ16+BJ22+BJ28+BJ35+BJ41</f>
        <v/>
      </c>
      <c r="BK45" s="270">
        <f>BK5+BK10+BK16+BK22+BK28+BK35+BK41</f>
        <v/>
      </c>
      <c r="BL45" s="270">
        <f>BL5+BL10+BL16+BL22+BL28+BL35+BL41</f>
        <v/>
      </c>
      <c r="BM45" s="270">
        <f>BM5+BM10+BM16+BM22+BM28+BM35+BM41</f>
        <v/>
      </c>
      <c r="BN45" s="270">
        <f>BN5+BN10+BN16+BN22+BN28+BN35+BN41</f>
        <v/>
      </c>
      <c r="BO45" s="270">
        <f>BO5+BO10+BO16+BO22+BO28+BO35+BO41</f>
        <v/>
      </c>
      <c r="BP45" s="270">
        <f>BP5+BP10+BP16+BP22+BP28+BP35+BP41</f>
        <v/>
      </c>
      <c r="BQ45" s="270">
        <f>BQ5+BQ10+BQ16+BQ22+BQ28+BQ35+BQ41</f>
        <v/>
      </c>
      <c r="BR45" s="270">
        <f>BR5+BR10+BR16+BR22+BR28+BR35+BR41</f>
        <v/>
      </c>
      <c r="BS45" s="270">
        <f>BS5+BS10+BS16+BS22+BS28+BS35+BS41</f>
        <v/>
      </c>
      <c r="BT45" s="270">
        <f>BT5+BT10+BT16+BT22+BT28+BT35+BT41</f>
        <v/>
      </c>
      <c r="BU45" s="270">
        <f>BU5+BU10+BU16+BU22+BU28+BU35+BU41</f>
        <v/>
      </c>
      <c r="BV45" s="270">
        <f>BV5+BV10+BV16+BV22+BV28+BV35+BV41</f>
        <v/>
      </c>
      <c r="BW45" s="270">
        <f>BW5+BW10+BW16+BW22+BW28+BW35+BW41</f>
        <v/>
      </c>
      <c r="BX45" s="270">
        <f>BX5+BX10+BX16+BX22+BX28+BX35+BX41</f>
        <v/>
      </c>
      <c r="BY45" s="270">
        <f>BY5+BY10+BY16+BY22+BY28+BY35+BY41</f>
        <v/>
      </c>
      <c r="BZ45" s="270">
        <f>BZ5+BZ10+BZ16+BZ22+BZ28+BZ35+BZ41</f>
        <v/>
      </c>
      <c r="CA45" s="270">
        <f>CA5+CA10+CA16+CA22+CA28+CA35+CA41</f>
        <v/>
      </c>
      <c r="CB45" s="270">
        <f>CB5+CB10+CB16+CB22+CB28+CB35+CB41</f>
        <v/>
      </c>
      <c r="CC45" s="270">
        <f>CC5+CC10+CC16+CC22+CC28+CC35+CC41</f>
        <v/>
      </c>
      <c r="CD45" s="270">
        <f>CD5+CD10+CD16+CD22+CD28+CD35+CD41</f>
        <v/>
      </c>
      <c r="CE45" s="270">
        <f>CE5+CE10+CE16+CE22+CE28+CE35+CE41</f>
        <v/>
      </c>
      <c r="CF45" s="270">
        <f>CF5+CF10+CF16+CF22+CF28+CF35+CF41</f>
        <v/>
      </c>
      <c r="CG45" s="270">
        <f>CG5+CG10+CG16+CG22+CG28+CG35+CG41</f>
        <v/>
      </c>
      <c r="CH45" s="270">
        <f>CH5+CH10+CH16+CH22+CH28+CH35+CH41</f>
        <v/>
      </c>
    </row>
    <row r="46" ht="15" customHeight="1" s="202">
      <c r="A46" s="274" t="inlineStr">
        <is>
          <t>Total Cumulative Net</t>
        </is>
      </c>
      <c r="B46" s="204" t="n"/>
      <c r="C46" s="271">
        <f>C45</f>
        <v/>
      </c>
      <c r="D46" s="271">
        <f>C46+D45</f>
        <v/>
      </c>
      <c r="E46" s="271">
        <f>D46+E45</f>
        <v/>
      </c>
      <c r="F46" s="271">
        <f>E46+F45</f>
        <v/>
      </c>
      <c r="G46" s="271">
        <f>F46+G45</f>
        <v/>
      </c>
      <c r="H46" s="271">
        <f>G46+H45</f>
        <v/>
      </c>
      <c r="I46" s="271">
        <f>H46+I45</f>
        <v/>
      </c>
      <c r="J46" s="271">
        <f>I46+J45</f>
        <v/>
      </c>
      <c r="K46" s="271">
        <f>J46+K45</f>
        <v/>
      </c>
      <c r="L46" s="271">
        <f>K46+L45</f>
        <v/>
      </c>
      <c r="M46" s="271">
        <f>L46+M45</f>
        <v/>
      </c>
      <c r="N46" s="271">
        <f>M46+N45</f>
        <v/>
      </c>
      <c r="O46" s="271">
        <f>N46+O45</f>
        <v/>
      </c>
      <c r="P46" s="271">
        <f>O46+P45</f>
        <v/>
      </c>
      <c r="Q46" s="271">
        <f>P46+Q45</f>
        <v/>
      </c>
      <c r="R46" s="271">
        <f>Q46+R45</f>
        <v/>
      </c>
      <c r="S46" s="271">
        <f>R46+S45</f>
        <v/>
      </c>
      <c r="T46" s="271">
        <f>S46+T45</f>
        <v/>
      </c>
      <c r="U46" s="271">
        <f>T46+U45</f>
        <v/>
      </c>
      <c r="V46" s="271">
        <f>U46+V45</f>
        <v/>
      </c>
      <c r="W46" s="271">
        <f>V46+W45</f>
        <v/>
      </c>
      <c r="X46" s="271">
        <f>W46+X45</f>
        <v/>
      </c>
      <c r="Y46" s="271">
        <f>X46+Y45</f>
        <v/>
      </c>
      <c r="Z46" s="271">
        <f>Y46+Z45</f>
        <v/>
      </c>
      <c r="AA46" s="271">
        <f>Z46+AA45</f>
        <v/>
      </c>
      <c r="AB46" s="271">
        <f>AA46+AB45</f>
        <v/>
      </c>
      <c r="AC46" s="271">
        <f>AB46+AC45</f>
        <v/>
      </c>
      <c r="AD46" s="271">
        <f>AC46+AD45</f>
        <v/>
      </c>
      <c r="AE46" s="271">
        <f>AD46+AE45</f>
        <v/>
      </c>
      <c r="AF46" s="271">
        <f>AE46+AF45</f>
        <v/>
      </c>
      <c r="AG46" s="271">
        <f>AF46+AG45</f>
        <v/>
      </c>
      <c r="AH46" s="271">
        <f>AG46+AH45</f>
        <v/>
      </c>
      <c r="AI46" s="271">
        <f>AH46+AI45</f>
        <v/>
      </c>
      <c r="AJ46" s="271">
        <f>AI46+AJ45</f>
        <v/>
      </c>
      <c r="AK46" s="271">
        <f>AJ46+AK45</f>
        <v/>
      </c>
      <c r="AL46" s="271">
        <f>AK46+AL45</f>
        <v/>
      </c>
      <c r="AM46" s="271">
        <f>AL46+AM45</f>
        <v/>
      </c>
      <c r="AN46" s="271">
        <f>AM46+AN45</f>
        <v/>
      </c>
      <c r="AO46" s="271">
        <f>AN46+AO45</f>
        <v/>
      </c>
      <c r="AP46" s="271">
        <f>AO46+AP45</f>
        <v/>
      </c>
      <c r="AQ46" s="271">
        <f>AP46+AQ45</f>
        <v/>
      </c>
      <c r="AR46" s="271">
        <f>AQ46+AR45</f>
        <v/>
      </c>
      <c r="AS46" s="271">
        <f>AR46+AS45</f>
        <v/>
      </c>
      <c r="AT46" s="271">
        <f>AS46+AT45</f>
        <v/>
      </c>
      <c r="AU46" s="271">
        <f>AT46+AU45</f>
        <v/>
      </c>
      <c r="AV46" s="271">
        <f>AU46+AV45</f>
        <v/>
      </c>
      <c r="AW46" s="271">
        <f>AV46+AW45</f>
        <v/>
      </c>
      <c r="AX46" s="271">
        <f>AW46+AX45</f>
        <v/>
      </c>
      <c r="AY46" s="271">
        <f>AX46+AY45</f>
        <v/>
      </c>
      <c r="AZ46" s="271">
        <f>AY46+AZ45</f>
        <v/>
      </c>
      <c r="BA46" s="271">
        <f>AZ46+BA45</f>
        <v/>
      </c>
      <c r="BB46" s="271">
        <f>BA46+BB45</f>
        <v/>
      </c>
      <c r="BC46" s="271">
        <f>BB46+BC45</f>
        <v/>
      </c>
      <c r="BD46" s="271">
        <f>BC46+BD45</f>
        <v/>
      </c>
      <c r="BE46" s="271">
        <f>BD46+BE45</f>
        <v/>
      </c>
      <c r="BF46" s="271">
        <f>BE46+BF45</f>
        <v/>
      </c>
      <c r="BG46" s="271">
        <f>BF46+BG45</f>
        <v/>
      </c>
      <c r="BH46" s="271">
        <f>BG46+BH45</f>
        <v/>
      </c>
      <c r="BI46" s="271">
        <f>BH46+BI45</f>
        <v/>
      </c>
      <c r="BJ46" s="271">
        <f>BI46+BJ45</f>
        <v/>
      </c>
      <c r="BK46" s="271">
        <f>BJ46+BK45</f>
        <v/>
      </c>
      <c r="BL46" s="271">
        <f>BK46+BL45</f>
        <v/>
      </c>
      <c r="BM46" s="271">
        <f>BL46+BM45</f>
        <v/>
      </c>
      <c r="BN46" s="271">
        <f>BM46+BN45</f>
        <v/>
      </c>
      <c r="BO46" s="271">
        <f>BN46+BO45</f>
        <v/>
      </c>
      <c r="BP46" s="271">
        <f>BO46+BP45</f>
        <v/>
      </c>
      <c r="BQ46" s="271">
        <f>BP46+BQ45</f>
        <v/>
      </c>
      <c r="BR46" s="271">
        <f>BQ46+BR45</f>
        <v/>
      </c>
      <c r="BS46" s="271">
        <f>BR46+BS45</f>
        <v/>
      </c>
      <c r="BT46" s="271">
        <f>BS46+BT45</f>
        <v/>
      </c>
      <c r="BU46" s="271">
        <f>BT46+BU45</f>
        <v/>
      </c>
      <c r="BV46" s="271">
        <f>BU46+BV45</f>
        <v/>
      </c>
      <c r="BW46" s="271">
        <f>BV46+BW45</f>
        <v/>
      </c>
      <c r="BX46" s="271">
        <f>BW46+BX45</f>
        <v/>
      </c>
      <c r="BY46" s="271">
        <f>BX46+BY45</f>
        <v/>
      </c>
      <c r="BZ46" s="271">
        <f>BY46+BZ45</f>
        <v/>
      </c>
      <c r="CA46" s="271">
        <f>BZ46+CA45</f>
        <v/>
      </c>
      <c r="CB46" s="271">
        <f>CA46+CB45</f>
        <v/>
      </c>
      <c r="CC46" s="271">
        <f>CB46+CC45</f>
        <v/>
      </c>
      <c r="CD46" s="271">
        <f>CC46+CD45</f>
        <v/>
      </c>
      <c r="CE46" s="271">
        <f>CD46+CE45</f>
        <v/>
      </c>
      <c r="CF46" s="271">
        <f>CE46+CF45</f>
        <v/>
      </c>
      <c r="CG46" s="271">
        <f>CF46+CG45</f>
        <v/>
      </c>
      <c r="CH46" s="271">
        <f>CG46+CH45</f>
        <v/>
      </c>
    </row>
    <row r="47" ht="15" customHeight="1" s="202">
      <c r="A47" s="204" t="n"/>
      <c r="B47" s="204" t="n"/>
      <c r="C47" s="204" t="n"/>
      <c r="D47" s="204" t="n"/>
      <c r="E47" s="204" t="n"/>
      <c r="F47" s="204" t="n"/>
      <c r="G47" s="204" t="n"/>
      <c r="H47" s="204" t="n"/>
      <c r="I47" s="204" t="n"/>
      <c r="J47" s="204" t="n"/>
      <c r="K47" s="204" t="n"/>
      <c r="L47" s="204" t="n"/>
      <c r="M47" s="204" t="n"/>
      <c r="N47" s="204" t="n"/>
      <c r="O47" s="204" t="n"/>
      <c r="P47" s="204" t="n"/>
      <c r="Q47" s="204" t="n"/>
      <c r="R47" s="204" t="n"/>
      <c r="S47" s="204" t="n"/>
      <c r="T47" s="204" t="n"/>
      <c r="U47" s="204" t="n"/>
      <c r="V47" s="204" t="n"/>
      <c r="W47" s="204" t="n"/>
      <c r="X47" s="204" t="n"/>
      <c r="Y47" s="204" t="n"/>
      <c r="Z47" s="204" t="n"/>
      <c r="AA47" s="204" t="n"/>
      <c r="AB47" s="204" t="n"/>
      <c r="AC47" s="204" t="n"/>
      <c r="AD47" s="204" t="n"/>
      <c r="AE47" s="204" t="n"/>
      <c r="AF47" s="204" t="n"/>
      <c r="AG47" s="204" t="n"/>
      <c r="AH47" s="204" t="n"/>
      <c r="AI47" s="204" t="n"/>
      <c r="AJ47" s="204" t="n"/>
      <c r="AK47" s="204" t="n"/>
      <c r="AL47" s="204" t="n"/>
      <c r="AM47" s="204" t="n"/>
      <c r="AN47" s="204" t="n"/>
      <c r="AO47" s="204" t="n"/>
      <c r="AP47" s="204" t="n"/>
      <c r="AQ47" s="204" t="n"/>
      <c r="AR47" s="204" t="n"/>
      <c r="AS47" s="204" t="n"/>
      <c r="AT47" s="204" t="n"/>
      <c r="AU47" s="204" t="n"/>
      <c r="AV47" s="204" t="n"/>
      <c r="AW47" s="204" t="n"/>
      <c r="AX47" s="204" t="n"/>
      <c r="AY47" s="204" t="n"/>
      <c r="AZ47" s="204" t="n"/>
      <c r="BA47" s="204" t="n"/>
      <c r="BB47" s="204" t="n"/>
      <c r="BC47" s="204" t="n"/>
      <c r="BD47" s="204" t="n"/>
      <c r="BE47" s="204" t="n"/>
      <c r="BF47" s="204" t="n"/>
      <c r="BG47" s="204" t="n"/>
      <c r="BH47" s="204" t="n"/>
      <c r="BI47" s="204" t="n"/>
      <c r="BJ47" s="204" t="n"/>
      <c r="BK47" s="204" t="n"/>
      <c r="BL47" s="204" t="n"/>
      <c r="BM47" s="204" t="n"/>
      <c r="BN47" s="204" t="n"/>
      <c r="BO47" s="204" t="n"/>
      <c r="BP47" s="204" t="n"/>
      <c r="BQ47" s="204" t="n"/>
      <c r="BR47" s="204" t="n"/>
      <c r="BS47" s="204" t="n"/>
      <c r="BT47" s="204" t="n"/>
      <c r="BU47" s="204" t="n"/>
      <c r="BV47" s="204" t="n"/>
      <c r="BW47" s="204" t="n"/>
      <c r="BX47" s="204" t="n"/>
      <c r="BY47" s="204" t="n"/>
      <c r="BZ47" s="204" t="n"/>
      <c r="CA47" s="204" t="n"/>
      <c r="CB47" s="204" t="n"/>
      <c r="CC47" s="204" t="n"/>
      <c r="CD47" s="204" t="n"/>
      <c r="CE47" s="204" t="n"/>
      <c r="CF47" s="204" t="n"/>
      <c r="CG47" s="204" t="n"/>
      <c r="CH47" s="204" t="n"/>
    </row>
    <row r="48" ht="15" customHeight="1" s="202">
      <c r="A48" s="263" t="inlineStr">
        <is>
          <t>First Month of Positive Net Income by Deal:</t>
        </is>
      </c>
      <c r="B48" s="204" t="n"/>
      <c r="C48" s="204" t="n"/>
      <c r="D48" s="204" t="n"/>
      <c r="E48" s="204" t="n"/>
      <c r="F48" s="204" t="n"/>
      <c r="G48" s="204" t="n"/>
      <c r="H48" s="204" t="n"/>
      <c r="I48" s="204" t="n"/>
      <c r="J48" s="204" t="n"/>
      <c r="K48" s="204" t="n"/>
      <c r="L48" s="204" t="n"/>
      <c r="M48" s="204" t="n"/>
      <c r="N48" s="204" t="n"/>
      <c r="O48" s="204" t="n"/>
      <c r="P48" s="204" t="n"/>
      <c r="Q48" s="204" t="n"/>
      <c r="R48" s="204" t="n"/>
      <c r="S48" s="204" t="n"/>
      <c r="T48" s="204" t="n"/>
      <c r="U48" s="204" t="n"/>
      <c r="V48" s="204" t="n"/>
      <c r="W48" s="204" t="n"/>
      <c r="X48" s="204" t="n"/>
      <c r="Y48" s="204" t="n"/>
      <c r="Z48" s="204" t="n"/>
      <c r="AA48" s="204" t="n"/>
      <c r="AB48" s="204" t="n"/>
      <c r="AC48" s="204" t="n"/>
      <c r="AD48" s="204" t="n"/>
      <c r="AE48" s="204" t="n"/>
      <c r="AF48" s="204" t="n"/>
      <c r="AG48" s="204" t="n"/>
      <c r="AH48" s="204" t="n"/>
      <c r="AI48" s="204" t="n"/>
      <c r="AJ48" s="204" t="n"/>
      <c r="AK48" s="204" t="n"/>
      <c r="AL48" s="204" t="n"/>
      <c r="AM48" s="204" t="n"/>
      <c r="AN48" s="204" t="n"/>
      <c r="AO48" s="204" t="n"/>
      <c r="AP48" s="204" t="n"/>
      <c r="AQ48" s="204" t="n"/>
      <c r="AR48" s="204" t="n"/>
      <c r="AS48" s="204" t="n"/>
      <c r="AT48" s="204" t="n"/>
      <c r="AU48" s="204" t="n"/>
      <c r="AV48" s="204" t="n"/>
      <c r="AW48" s="204" t="n"/>
      <c r="AX48" s="204" t="n"/>
      <c r="AY48" s="204" t="n"/>
      <c r="AZ48" s="204" t="n"/>
      <c r="BA48" s="204" t="n"/>
      <c r="BB48" s="204" t="n"/>
      <c r="BC48" s="204" t="n"/>
      <c r="BD48" s="204" t="n"/>
      <c r="BE48" s="204" t="n"/>
      <c r="BF48" s="204" t="n"/>
      <c r="BG48" s="204" t="n"/>
      <c r="BH48" s="204" t="n"/>
      <c r="BI48" s="204" t="n"/>
      <c r="BJ48" s="204" t="n"/>
      <c r="BK48" s="204" t="n"/>
      <c r="BL48" s="204" t="n"/>
      <c r="BM48" s="204" t="n"/>
      <c r="BN48" s="204" t="n"/>
      <c r="BO48" s="204" t="n"/>
      <c r="BP48" s="204" t="n"/>
      <c r="BQ48" s="204" t="n"/>
      <c r="BR48" s="204" t="n"/>
      <c r="BS48" s="204" t="n"/>
      <c r="BT48" s="204" t="n"/>
      <c r="BU48" s="204" t="n"/>
      <c r="BV48" s="204" t="n"/>
      <c r="BW48" s="204" t="n"/>
      <c r="BX48" s="204" t="n"/>
      <c r="BY48" s="204" t="n"/>
      <c r="BZ48" s="204" t="n"/>
      <c r="CA48" s="204" t="n"/>
      <c r="CB48" s="204" t="n"/>
      <c r="CC48" s="204" t="n"/>
      <c r="CD48" s="204" t="n"/>
      <c r="CE48" s="204" t="n"/>
      <c r="CF48" s="204" t="n"/>
      <c r="CG48" s="204" t="n"/>
      <c r="CH48" s="204" t="n"/>
    </row>
    <row r="49" ht="15" customHeight="1" s="202">
      <c r="A49" s="219" t="inlineStr">
        <is>
          <t xml:space="preserve">  Crenshaw:</t>
        </is>
      </c>
      <c r="B49" s="275" t="n">
        <v>46113</v>
      </c>
      <c r="C49" s="204" t="n"/>
      <c r="D49" s="204" t="n"/>
      <c r="E49" s="204" t="n"/>
      <c r="F49" s="204" t="n"/>
      <c r="G49" s="204" t="n"/>
      <c r="H49" s="204" t="n"/>
      <c r="I49" s="204" t="n"/>
      <c r="J49" s="204" t="n"/>
      <c r="K49" s="204" t="n"/>
      <c r="L49" s="204" t="n"/>
      <c r="M49" s="204" t="n"/>
      <c r="N49" s="204" t="n"/>
      <c r="O49" s="204" t="n"/>
      <c r="P49" s="204" t="n"/>
      <c r="Q49" s="204" t="n"/>
      <c r="R49" s="204" t="n"/>
      <c r="S49" s="204" t="n"/>
      <c r="T49" s="204" t="n"/>
      <c r="U49" s="204" t="n"/>
      <c r="V49" s="204" t="n"/>
      <c r="W49" s="204" t="n"/>
      <c r="X49" s="204" t="n"/>
      <c r="Y49" s="204" t="n"/>
      <c r="Z49" s="204" t="n"/>
      <c r="AA49" s="204" t="n"/>
      <c r="AB49" s="204" t="n"/>
      <c r="AC49" s="204" t="n"/>
      <c r="AD49" s="204" t="n"/>
      <c r="AE49" s="204" t="n"/>
      <c r="AF49" s="204" t="n"/>
      <c r="AG49" s="204" t="n"/>
      <c r="AH49" s="204" t="n"/>
      <c r="AI49" s="204" t="n"/>
      <c r="AJ49" s="204" t="n"/>
      <c r="AK49" s="204" t="n"/>
      <c r="AL49" s="204" t="n"/>
      <c r="AM49" s="204" t="n"/>
      <c r="AN49" s="204" t="n"/>
      <c r="AO49" s="204" t="n"/>
      <c r="AP49" s="204" t="n"/>
      <c r="AQ49" s="204" t="n"/>
      <c r="AR49" s="204" t="n"/>
      <c r="AS49" s="204" t="n"/>
      <c r="AT49" s="204" t="n"/>
      <c r="AU49" s="204" t="n"/>
      <c r="AV49" s="204" t="n"/>
      <c r="AW49" s="204" t="n"/>
      <c r="AX49" s="204" t="n"/>
      <c r="AY49" s="204" t="n"/>
      <c r="AZ49" s="204" t="n"/>
      <c r="BA49" s="204" t="n"/>
      <c r="BB49" s="204" t="n"/>
      <c r="BC49" s="204" t="n"/>
      <c r="BD49" s="204" t="n"/>
      <c r="BE49" s="204" t="n"/>
      <c r="BF49" s="204" t="n"/>
      <c r="BG49" s="204" t="n"/>
      <c r="BH49" s="204" t="n"/>
      <c r="BI49" s="204" t="n"/>
      <c r="BJ49" s="204" t="n"/>
      <c r="BK49" s="204" t="n"/>
      <c r="BL49" s="204" t="n"/>
      <c r="BM49" s="204" t="n"/>
      <c r="BN49" s="204" t="n"/>
      <c r="BO49" s="204" t="n"/>
      <c r="BP49" s="204" t="n"/>
      <c r="BQ49" s="204" t="n"/>
      <c r="BR49" s="204" t="n"/>
      <c r="BS49" s="204" t="n"/>
      <c r="BT49" s="204" t="n"/>
      <c r="BU49" s="204" t="n"/>
      <c r="BV49" s="204" t="n"/>
      <c r="BW49" s="204" t="n"/>
      <c r="BX49" s="204" t="n"/>
      <c r="BY49" s="204" t="n"/>
      <c r="BZ49" s="204" t="n"/>
      <c r="CA49" s="204" t="n"/>
      <c r="CB49" s="204" t="n"/>
      <c r="CC49" s="204" t="n"/>
      <c r="CD49" s="204" t="n"/>
      <c r="CE49" s="204" t="n"/>
      <c r="CF49" s="204" t="n"/>
      <c r="CG49" s="204" t="n"/>
      <c r="CH49" s="204" t="n"/>
    </row>
    <row r="50" ht="15" customHeight="1" s="202">
      <c r="A50" s="219" t="inlineStr">
        <is>
          <t xml:space="preserve">  Ramsgate:</t>
        </is>
      </c>
      <c r="B50" s="275" t="n">
        <v>46113</v>
      </c>
      <c r="C50" s="204" t="n"/>
      <c r="D50" s="204" t="n"/>
      <c r="E50" s="204" t="n"/>
      <c r="F50" s="204" t="n"/>
      <c r="G50" s="204" t="n"/>
      <c r="H50" s="204" t="n"/>
      <c r="I50" s="204" t="n"/>
      <c r="J50" s="204" t="n"/>
      <c r="K50" s="204" t="n"/>
      <c r="L50" s="204" t="n"/>
      <c r="M50" s="204" t="n"/>
      <c r="N50" s="204" t="n"/>
      <c r="O50" s="204" t="n"/>
      <c r="P50" s="204" t="n"/>
      <c r="Q50" s="204" t="n"/>
      <c r="R50" s="204" t="n"/>
      <c r="S50" s="204" t="n"/>
      <c r="T50" s="204" t="n"/>
      <c r="U50" s="204" t="n"/>
      <c r="V50" s="204" t="n"/>
      <c r="W50" s="204" t="n"/>
      <c r="X50" s="204" t="n"/>
      <c r="Y50" s="204" t="n"/>
      <c r="Z50" s="204" t="n"/>
      <c r="AA50" s="204" t="n"/>
      <c r="AB50" s="204" t="n"/>
      <c r="AC50" s="204" t="n"/>
      <c r="AD50" s="204" t="n"/>
      <c r="AE50" s="204" t="n"/>
      <c r="AF50" s="204" t="n"/>
      <c r="AG50" s="204" t="n"/>
      <c r="AH50" s="204" t="n"/>
      <c r="AI50" s="204" t="n"/>
      <c r="AJ50" s="204" t="n"/>
      <c r="AK50" s="204" t="n"/>
      <c r="AL50" s="204" t="n"/>
      <c r="AM50" s="204" t="n"/>
      <c r="AN50" s="204" t="n"/>
      <c r="AO50" s="204" t="n"/>
      <c r="AP50" s="204" t="n"/>
      <c r="AQ50" s="204" t="n"/>
      <c r="AR50" s="204" t="n"/>
      <c r="AS50" s="204" t="n"/>
      <c r="AT50" s="204" t="n"/>
      <c r="AU50" s="204" t="n"/>
      <c r="AV50" s="204" t="n"/>
      <c r="AW50" s="204" t="n"/>
      <c r="AX50" s="204" t="n"/>
      <c r="AY50" s="204" t="n"/>
      <c r="AZ50" s="204" t="n"/>
      <c r="BA50" s="204" t="n"/>
      <c r="BB50" s="204" t="n"/>
      <c r="BC50" s="204" t="n"/>
      <c r="BD50" s="204" t="n"/>
      <c r="BE50" s="204" t="n"/>
      <c r="BF50" s="204" t="n"/>
      <c r="BG50" s="204" t="n"/>
      <c r="BH50" s="204" t="n"/>
      <c r="BI50" s="204" t="n"/>
      <c r="BJ50" s="204" t="n"/>
      <c r="BK50" s="204" t="n"/>
      <c r="BL50" s="204" t="n"/>
      <c r="BM50" s="204" t="n"/>
      <c r="BN50" s="204" t="n"/>
      <c r="BO50" s="204" t="n"/>
      <c r="BP50" s="204" t="n"/>
      <c r="BQ50" s="204" t="n"/>
      <c r="BR50" s="204" t="n"/>
      <c r="BS50" s="204" t="n"/>
      <c r="BT50" s="204" t="n"/>
      <c r="BU50" s="204" t="n"/>
      <c r="BV50" s="204" t="n"/>
      <c r="BW50" s="204" t="n"/>
      <c r="BX50" s="204" t="n"/>
      <c r="BY50" s="204" t="n"/>
      <c r="BZ50" s="204" t="n"/>
      <c r="CA50" s="204" t="n"/>
      <c r="CB50" s="204" t="n"/>
      <c r="CC50" s="204" t="n"/>
      <c r="CD50" s="204" t="n"/>
      <c r="CE50" s="204" t="n"/>
      <c r="CF50" s="204" t="n"/>
      <c r="CG50" s="204" t="n"/>
      <c r="CH50" s="204" t="n"/>
    </row>
    <row r="51" ht="15" customHeight="1" s="202">
      <c r="A51" s="219" t="inlineStr">
        <is>
          <t xml:space="preserve">  Klump:</t>
        </is>
      </c>
      <c r="B51" s="275" t="n">
        <v>46235</v>
      </c>
      <c r="C51" s="204" t="n"/>
      <c r="D51" s="204" t="n"/>
      <c r="E51" s="204" t="n"/>
      <c r="F51" s="204" t="n"/>
      <c r="G51" s="204" t="n"/>
      <c r="H51" s="204" t="n"/>
      <c r="I51" s="204" t="n"/>
      <c r="J51" s="204" t="n"/>
      <c r="K51" s="204" t="n"/>
      <c r="L51" s="204" t="n"/>
      <c r="M51" s="204" t="n"/>
      <c r="N51" s="204" t="n"/>
      <c r="O51" s="204" t="n"/>
      <c r="P51" s="204" t="n"/>
      <c r="Q51" s="204" t="n"/>
      <c r="R51" s="204" t="n"/>
      <c r="S51" s="204" t="n"/>
      <c r="T51" s="204" t="n"/>
      <c r="U51" s="204" t="n"/>
      <c r="V51" s="204" t="n"/>
      <c r="W51" s="204" t="n"/>
      <c r="X51" s="204" t="n"/>
      <c r="Y51" s="204" t="n"/>
      <c r="Z51" s="204" t="n"/>
      <c r="AA51" s="204" t="n"/>
      <c r="AB51" s="204" t="n"/>
      <c r="AC51" s="204" t="n"/>
      <c r="AD51" s="204" t="n"/>
      <c r="AE51" s="204" t="n"/>
      <c r="AF51" s="204" t="n"/>
      <c r="AG51" s="204" t="n"/>
      <c r="AH51" s="204" t="n"/>
      <c r="AI51" s="204" t="n"/>
      <c r="AJ51" s="204" t="n"/>
      <c r="AK51" s="204" t="n"/>
      <c r="AL51" s="204" t="n"/>
      <c r="AM51" s="204" t="n"/>
      <c r="AN51" s="204" t="n"/>
      <c r="AO51" s="204" t="n"/>
      <c r="AP51" s="204" t="n"/>
      <c r="AQ51" s="204" t="n"/>
      <c r="AR51" s="204" t="n"/>
      <c r="AS51" s="204" t="n"/>
      <c r="AT51" s="204" t="n"/>
      <c r="AU51" s="204" t="n"/>
      <c r="AV51" s="204" t="n"/>
      <c r="AW51" s="204" t="n"/>
      <c r="AX51" s="204" t="n"/>
      <c r="AY51" s="204" t="n"/>
      <c r="AZ51" s="204" t="n"/>
      <c r="BA51" s="204" t="n"/>
      <c r="BB51" s="204" t="n"/>
      <c r="BC51" s="204" t="n"/>
      <c r="BD51" s="204" t="n"/>
      <c r="BE51" s="204" t="n"/>
      <c r="BF51" s="204" t="n"/>
      <c r="BG51" s="204" t="n"/>
      <c r="BH51" s="204" t="n"/>
      <c r="BI51" s="204" t="n"/>
      <c r="BJ51" s="204" t="n"/>
      <c r="BK51" s="204" t="n"/>
      <c r="BL51" s="204" t="n"/>
      <c r="BM51" s="204" t="n"/>
      <c r="BN51" s="204" t="n"/>
      <c r="BO51" s="204" t="n"/>
      <c r="BP51" s="204" t="n"/>
      <c r="BQ51" s="204" t="n"/>
      <c r="BR51" s="204" t="n"/>
      <c r="BS51" s="204" t="n"/>
      <c r="BT51" s="204" t="n"/>
      <c r="BU51" s="204" t="n"/>
      <c r="BV51" s="204" t="n"/>
      <c r="BW51" s="204" t="n"/>
      <c r="BX51" s="204" t="n"/>
      <c r="BY51" s="204" t="n"/>
      <c r="BZ51" s="204" t="n"/>
      <c r="CA51" s="204" t="n"/>
      <c r="CB51" s="204" t="n"/>
      <c r="CC51" s="204" t="n"/>
      <c r="CD51" s="204" t="n"/>
      <c r="CE51" s="204" t="n"/>
      <c r="CF51" s="204" t="n"/>
      <c r="CG51" s="204" t="n"/>
      <c r="CH51" s="204" t="n"/>
    </row>
    <row r="52" ht="15" customHeight="1" s="202">
      <c r="A52" s="219" t="inlineStr">
        <is>
          <t xml:space="preserve">  Scott:</t>
        </is>
      </c>
      <c r="B52" s="275" t="n">
        <v>46266</v>
      </c>
      <c r="C52" s="204" t="n"/>
      <c r="D52" s="204" t="n"/>
      <c r="E52" s="204" t="n"/>
      <c r="F52" s="204" t="n"/>
      <c r="G52" s="204" t="n"/>
      <c r="H52" s="204" t="n"/>
      <c r="I52" s="204" t="n"/>
      <c r="J52" s="204" t="n"/>
      <c r="K52" s="204" t="n"/>
      <c r="L52" s="204" t="n"/>
      <c r="M52" s="204" t="n"/>
      <c r="N52" s="204" t="n"/>
      <c r="O52" s="204" t="n"/>
      <c r="P52" s="204" t="n"/>
      <c r="Q52" s="204" t="n"/>
      <c r="R52" s="204" t="n"/>
      <c r="S52" s="204" t="n"/>
      <c r="T52" s="204" t="n"/>
      <c r="U52" s="204" t="n"/>
      <c r="V52" s="204" t="n"/>
      <c r="W52" s="204" t="n"/>
      <c r="X52" s="204" t="n"/>
      <c r="Y52" s="204" t="n"/>
      <c r="Z52" s="204" t="n"/>
      <c r="AA52" s="204" t="n"/>
      <c r="AB52" s="204" t="n"/>
      <c r="AC52" s="204" t="n"/>
      <c r="AD52" s="204" t="n"/>
      <c r="AE52" s="204" t="n"/>
      <c r="AF52" s="204" t="n"/>
      <c r="AG52" s="204" t="n"/>
      <c r="AH52" s="204" t="n"/>
      <c r="AI52" s="204" t="n"/>
      <c r="AJ52" s="204" t="n"/>
      <c r="AK52" s="204" t="n"/>
      <c r="AL52" s="204" t="n"/>
      <c r="AM52" s="204" t="n"/>
      <c r="AN52" s="204" t="n"/>
      <c r="AO52" s="204" t="n"/>
      <c r="AP52" s="204" t="n"/>
      <c r="AQ52" s="204" t="n"/>
      <c r="AR52" s="204" t="n"/>
      <c r="AS52" s="204" t="n"/>
      <c r="AT52" s="204" t="n"/>
      <c r="AU52" s="204" t="n"/>
      <c r="AV52" s="204" t="n"/>
      <c r="AW52" s="204" t="n"/>
      <c r="AX52" s="204" t="n"/>
      <c r="AY52" s="204" t="n"/>
      <c r="AZ52" s="204" t="n"/>
      <c r="BA52" s="204" t="n"/>
      <c r="BB52" s="204" t="n"/>
      <c r="BC52" s="204" t="n"/>
      <c r="BD52" s="204" t="n"/>
      <c r="BE52" s="204" t="n"/>
      <c r="BF52" s="204" t="n"/>
      <c r="BG52" s="204" t="n"/>
      <c r="BH52" s="204" t="n"/>
      <c r="BI52" s="204" t="n"/>
      <c r="BJ52" s="204" t="n"/>
      <c r="BK52" s="204" t="n"/>
      <c r="BL52" s="204" t="n"/>
      <c r="BM52" s="204" t="n"/>
      <c r="BN52" s="204" t="n"/>
      <c r="BO52" s="204" t="n"/>
      <c r="BP52" s="204" t="n"/>
      <c r="BQ52" s="204" t="n"/>
      <c r="BR52" s="204" t="n"/>
      <c r="BS52" s="204" t="n"/>
      <c r="BT52" s="204" t="n"/>
      <c r="BU52" s="204" t="n"/>
      <c r="BV52" s="204" t="n"/>
      <c r="BW52" s="204" t="n"/>
      <c r="BX52" s="204" t="n"/>
      <c r="BY52" s="204" t="n"/>
      <c r="BZ52" s="204" t="n"/>
      <c r="CA52" s="204" t="n"/>
      <c r="CB52" s="204" t="n"/>
      <c r="CC52" s="204" t="n"/>
      <c r="CD52" s="204" t="n"/>
      <c r="CE52" s="204" t="n"/>
      <c r="CF52" s="204" t="n"/>
      <c r="CG52" s="204" t="n"/>
      <c r="CH52" s="204" t="n"/>
    </row>
    <row r="53" ht="15" customHeight="1" s="202">
      <c r="A53" s="219" t="inlineStr">
        <is>
          <t xml:space="preserve">  Francis:</t>
        </is>
      </c>
      <c r="B53" s="275" t="n">
        <v>48092</v>
      </c>
      <c r="C53" s="204" t="n"/>
      <c r="D53" s="204" t="n"/>
      <c r="E53" s="204" t="n"/>
      <c r="F53" s="204" t="n"/>
      <c r="G53" s="204" t="n"/>
      <c r="H53" s="204" t="n"/>
      <c r="I53" s="204" t="n"/>
      <c r="J53" s="204" t="n"/>
      <c r="K53" s="204" t="n"/>
      <c r="L53" s="204" t="n"/>
      <c r="M53" s="204" t="n"/>
      <c r="N53" s="204" t="n"/>
      <c r="O53" s="204" t="n"/>
      <c r="P53" s="204" t="n"/>
      <c r="Q53" s="204" t="n"/>
      <c r="R53" s="204" t="n"/>
      <c r="S53" s="204" t="n"/>
      <c r="T53" s="204" t="n"/>
      <c r="U53" s="204" t="n"/>
      <c r="V53" s="204" t="n"/>
      <c r="W53" s="204" t="n"/>
      <c r="X53" s="204" t="n"/>
      <c r="Y53" s="204" t="n"/>
      <c r="Z53" s="204" t="n"/>
      <c r="AA53" s="204" t="n"/>
      <c r="AB53" s="204" t="n"/>
      <c r="AC53" s="204" t="n"/>
      <c r="AD53" s="204" t="n"/>
      <c r="AE53" s="204" t="n"/>
      <c r="AF53" s="204" t="n"/>
      <c r="AG53" s="204" t="n"/>
      <c r="AH53" s="204" t="n"/>
      <c r="AI53" s="204" t="n"/>
      <c r="AJ53" s="204" t="n"/>
      <c r="AK53" s="204" t="n"/>
      <c r="AL53" s="204" t="n"/>
      <c r="AM53" s="204" t="n"/>
      <c r="AN53" s="204" t="n"/>
      <c r="AO53" s="204" t="n"/>
      <c r="AP53" s="204" t="n"/>
      <c r="AQ53" s="204" t="n"/>
      <c r="AR53" s="204" t="n"/>
      <c r="AS53" s="204" t="n"/>
      <c r="AT53" s="204" t="n"/>
      <c r="AU53" s="204" t="n"/>
      <c r="AV53" s="204" t="n"/>
      <c r="AW53" s="204" t="n"/>
      <c r="AX53" s="204" t="n"/>
      <c r="AY53" s="204" t="n"/>
      <c r="AZ53" s="204" t="n"/>
      <c r="BA53" s="204" t="n"/>
      <c r="BB53" s="204" t="n"/>
      <c r="BC53" s="204" t="n"/>
      <c r="BD53" s="204" t="n"/>
      <c r="BE53" s="204" t="n"/>
      <c r="BF53" s="204" t="n"/>
      <c r="BG53" s="204" t="n"/>
      <c r="BH53" s="204" t="n"/>
      <c r="BI53" s="204" t="n"/>
      <c r="BJ53" s="204" t="n"/>
      <c r="BK53" s="204" t="n"/>
      <c r="BL53" s="204" t="n"/>
      <c r="BM53" s="204" t="n"/>
      <c r="BN53" s="204" t="n"/>
      <c r="BO53" s="204" t="n"/>
      <c r="BP53" s="204" t="n"/>
      <c r="BQ53" s="204" t="n"/>
      <c r="BR53" s="204" t="n"/>
      <c r="BS53" s="204" t="n"/>
      <c r="BT53" s="204" t="n"/>
      <c r="BU53" s="204" t="n"/>
      <c r="BV53" s="204" t="n"/>
      <c r="BW53" s="204" t="n"/>
      <c r="BX53" s="204" t="n"/>
      <c r="BY53" s="204" t="n"/>
      <c r="BZ53" s="204" t="n"/>
      <c r="CA53" s="204" t="n"/>
      <c r="CB53" s="204" t="n"/>
      <c r="CC53" s="204" t="n"/>
      <c r="CD53" s="204" t="n"/>
      <c r="CE53" s="204" t="n"/>
      <c r="CF53" s="204" t="n"/>
      <c r="CG53" s="204" t="n"/>
      <c r="CH53" s="204" t="n"/>
    </row>
    <row r="54" ht="15" customHeight="1" s="202">
      <c r="A54" s="219" t="inlineStr">
        <is>
          <t xml:space="preserve">  Reseda:</t>
        </is>
      </c>
      <c r="B54" s="275" t="n">
        <v>47635</v>
      </c>
      <c r="C54" s="204" t="n"/>
      <c r="D54" s="204" t="n"/>
      <c r="E54" s="204" t="n"/>
      <c r="F54" s="204" t="n"/>
      <c r="G54" s="204" t="n"/>
      <c r="H54" s="204" t="n"/>
      <c r="I54" s="204" t="n"/>
      <c r="J54" s="204" t="n"/>
      <c r="K54" s="204" t="n"/>
      <c r="L54" s="204" t="n"/>
      <c r="M54" s="204" t="n"/>
      <c r="N54" s="204" t="n"/>
      <c r="O54" s="204" t="n"/>
      <c r="P54" s="204" t="n"/>
      <c r="Q54" s="204" t="n"/>
      <c r="R54" s="204" t="n"/>
      <c r="S54" s="204" t="n"/>
      <c r="T54" s="204" t="n"/>
      <c r="U54" s="204" t="n"/>
      <c r="V54" s="204" t="n"/>
      <c r="W54" s="204" t="n"/>
      <c r="X54" s="204" t="n"/>
      <c r="Y54" s="204" t="n"/>
      <c r="Z54" s="204" t="n"/>
      <c r="AA54" s="204" t="n"/>
      <c r="AB54" s="204" t="n"/>
      <c r="AC54" s="204" t="n"/>
      <c r="AD54" s="204" t="n"/>
      <c r="AE54" s="204" t="n"/>
      <c r="AF54" s="204" t="n"/>
      <c r="AG54" s="204" t="n"/>
      <c r="AH54" s="204" t="n"/>
      <c r="AI54" s="204" t="n"/>
      <c r="AJ54" s="204" t="n"/>
      <c r="AK54" s="204" t="n"/>
      <c r="AL54" s="204" t="n"/>
      <c r="AM54" s="204" t="n"/>
      <c r="AN54" s="204" t="n"/>
      <c r="AO54" s="204" t="n"/>
      <c r="AP54" s="204" t="n"/>
      <c r="AQ54" s="204" t="n"/>
      <c r="AR54" s="204" t="n"/>
      <c r="AS54" s="204" t="n"/>
      <c r="AT54" s="204" t="n"/>
      <c r="AU54" s="204" t="n"/>
      <c r="AV54" s="204" t="n"/>
      <c r="AW54" s="204" t="n"/>
      <c r="AX54" s="204" t="n"/>
      <c r="AY54" s="204" t="n"/>
      <c r="AZ54" s="204" t="n"/>
      <c r="BA54" s="204" t="n"/>
      <c r="BB54" s="204" t="n"/>
      <c r="BC54" s="204" t="n"/>
      <c r="BD54" s="204" t="n"/>
      <c r="BE54" s="204" t="n"/>
      <c r="BF54" s="204" t="n"/>
      <c r="BG54" s="204" t="n"/>
      <c r="BH54" s="204" t="n"/>
      <c r="BI54" s="204" t="n"/>
      <c r="BJ54" s="204" t="n"/>
      <c r="BK54" s="204" t="n"/>
      <c r="BL54" s="204" t="n"/>
      <c r="BM54" s="204" t="n"/>
      <c r="BN54" s="204" t="n"/>
      <c r="BO54" s="204" t="n"/>
      <c r="BP54" s="204" t="n"/>
      <c r="BQ54" s="204" t="n"/>
      <c r="BR54" s="204" t="n"/>
      <c r="BS54" s="204" t="n"/>
      <c r="BT54" s="204" t="n"/>
      <c r="BU54" s="204" t="n"/>
      <c r="BV54" s="204" t="n"/>
      <c r="BW54" s="204" t="n"/>
      <c r="BX54" s="204" t="n"/>
      <c r="BY54" s="204" t="n"/>
      <c r="BZ54" s="204" t="n"/>
      <c r="CA54" s="204" t="n"/>
      <c r="CB54" s="204" t="n"/>
      <c r="CC54" s="204" t="n"/>
      <c r="CD54" s="204" t="n"/>
      <c r="CE54" s="204" t="n"/>
      <c r="CF54" s="204" t="n"/>
      <c r="CG54" s="204" t="n"/>
      <c r="CH54" s="204" t="n"/>
    </row>
    <row r="55" ht="15" customHeight="1" s="202">
      <c r="A55" s="219" t="inlineStr">
        <is>
          <t xml:space="preserve">  3rd St:</t>
        </is>
      </c>
      <c r="B55" s="276" t="inlineStr">
        <is>
          <t>Beyond model period</t>
        </is>
      </c>
      <c r="C55" s="204" t="n"/>
      <c r="D55" s="204" t="n"/>
      <c r="E55" s="204" t="n"/>
      <c r="F55" s="204" t="n"/>
      <c r="G55" s="204" t="n"/>
      <c r="H55" s="204" t="n"/>
      <c r="I55" s="204" t="n"/>
      <c r="J55" s="204" t="n"/>
      <c r="K55" s="204" t="n"/>
      <c r="L55" s="204" t="n"/>
      <c r="M55" s="204" t="n"/>
      <c r="N55" s="204" t="n"/>
      <c r="O55" s="204" t="n"/>
      <c r="P55" s="204" t="n"/>
      <c r="Q55" s="204" t="n"/>
      <c r="R55" s="204" t="n"/>
      <c r="S55" s="204" t="n"/>
      <c r="T55" s="204" t="n"/>
      <c r="U55" s="204" t="n"/>
      <c r="V55" s="204" t="n"/>
      <c r="W55" s="204" t="n"/>
      <c r="X55" s="204" t="n"/>
      <c r="Y55" s="204" t="n"/>
      <c r="Z55" s="204" t="n"/>
      <c r="AA55" s="204" t="n"/>
      <c r="AB55" s="204" t="n"/>
      <c r="AC55" s="204" t="n"/>
      <c r="AD55" s="204" t="n"/>
      <c r="AE55" s="204" t="n"/>
      <c r="AF55" s="204" t="n"/>
      <c r="AG55" s="204" t="n"/>
      <c r="AH55" s="204" t="n"/>
      <c r="AI55" s="204" t="n"/>
      <c r="AJ55" s="204" t="n"/>
      <c r="AK55" s="204" t="n"/>
      <c r="AL55" s="204" t="n"/>
      <c r="AM55" s="204" t="n"/>
      <c r="AN55" s="204" t="n"/>
      <c r="AO55" s="204" t="n"/>
      <c r="AP55" s="204" t="n"/>
      <c r="AQ55" s="204" t="n"/>
      <c r="AR55" s="204" t="n"/>
      <c r="AS55" s="204" t="n"/>
      <c r="AT55" s="204" t="n"/>
      <c r="AU55" s="204" t="n"/>
      <c r="AV55" s="204" t="n"/>
      <c r="AW55" s="204" t="n"/>
      <c r="AX55" s="204" t="n"/>
      <c r="AY55" s="204" t="n"/>
      <c r="AZ55" s="204" t="n"/>
      <c r="BA55" s="204" t="n"/>
      <c r="BB55" s="204" t="n"/>
      <c r="BC55" s="204" t="n"/>
      <c r="BD55" s="204" t="n"/>
      <c r="BE55" s="204" t="n"/>
      <c r="BF55" s="204" t="n"/>
      <c r="BG55" s="204" t="n"/>
      <c r="BH55" s="204" t="n"/>
      <c r="BI55" s="204" t="n"/>
      <c r="BJ55" s="204" t="n"/>
      <c r="BK55" s="204" t="n"/>
      <c r="BL55" s="204" t="n"/>
      <c r="BM55" s="204" t="n"/>
      <c r="BN55" s="204" t="n"/>
      <c r="BO55" s="204" t="n"/>
      <c r="BP55" s="204" t="n"/>
      <c r="BQ55" s="204" t="n"/>
      <c r="BR55" s="204" t="n"/>
      <c r="BS55" s="204" t="n"/>
      <c r="BT55" s="204" t="n"/>
      <c r="BU55" s="204" t="n"/>
      <c r="BV55" s="204" t="n"/>
      <c r="BW55" s="204" t="n"/>
      <c r="BX55" s="204" t="n"/>
      <c r="BY55" s="204" t="n"/>
      <c r="BZ55" s="204" t="n"/>
      <c r="CA55" s="204" t="n"/>
      <c r="CB55" s="204" t="n"/>
      <c r="CC55" s="204" t="n"/>
      <c r="CD55" s="204" t="n"/>
      <c r="CE55" s="204" t="n"/>
      <c r="CF55" s="204" t="n"/>
      <c r="CG55" s="204" t="n"/>
      <c r="CH55" s="204" t="n"/>
    </row>
    <row r="56" ht="15" customHeight="1" s="202">
      <c r="A56" s="263" t="inlineStr">
        <is>
          <t xml:space="preserve">  All Deals Combined:</t>
        </is>
      </c>
      <c r="B56" s="277" t="n">
        <v>46113</v>
      </c>
      <c r="C56" s="204" t="n"/>
      <c r="D56" s="204" t="n"/>
      <c r="E56" s="204" t="n"/>
      <c r="F56" s="204" t="n"/>
      <c r="G56" s="204" t="n"/>
      <c r="H56" s="204" t="n"/>
      <c r="I56" s="204" t="n"/>
      <c r="J56" s="204" t="n"/>
      <c r="K56" s="204" t="n"/>
      <c r="L56" s="204" t="n"/>
      <c r="M56" s="204" t="n"/>
      <c r="N56" s="204" t="n"/>
      <c r="O56" s="204" t="n"/>
      <c r="P56" s="204" t="n"/>
      <c r="Q56" s="204" t="n"/>
      <c r="R56" s="204" t="n"/>
      <c r="S56" s="204" t="n"/>
      <c r="T56" s="204" t="n"/>
      <c r="U56" s="204" t="n"/>
      <c r="V56" s="204" t="n"/>
      <c r="W56" s="204" t="n"/>
      <c r="X56" s="204" t="n"/>
      <c r="Y56" s="204" t="n"/>
      <c r="Z56" s="204" t="n"/>
      <c r="AA56" s="204" t="n"/>
      <c r="AB56" s="204" t="n"/>
      <c r="AC56" s="204" t="n"/>
      <c r="AD56" s="204" t="n"/>
      <c r="AE56" s="204" t="n"/>
      <c r="AF56" s="204" t="n"/>
      <c r="AG56" s="204" t="n"/>
      <c r="AH56" s="204" t="n"/>
      <c r="AI56" s="204" t="n"/>
      <c r="AJ56" s="204" t="n"/>
      <c r="AK56" s="204" t="n"/>
      <c r="AL56" s="204" t="n"/>
      <c r="AM56" s="204" t="n"/>
      <c r="AN56" s="204" t="n"/>
      <c r="AO56" s="204" t="n"/>
      <c r="AP56" s="204" t="n"/>
      <c r="AQ56" s="204" t="n"/>
      <c r="AR56" s="204" t="n"/>
      <c r="AS56" s="204" t="n"/>
      <c r="AT56" s="204" t="n"/>
      <c r="AU56" s="204" t="n"/>
      <c r="AV56" s="204" t="n"/>
      <c r="AW56" s="204" t="n"/>
      <c r="AX56" s="204" t="n"/>
      <c r="AY56" s="204" t="n"/>
      <c r="AZ56" s="204" t="n"/>
      <c r="BA56" s="204" t="n"/>
      <c r="BB56" s="204" t="n"/>
      <c r="BC56" s="204" t="n"/>
      <c r="BD56" s="204" t="n"/>
      <c r="BE56" s="204" t="n"/>
      <c r="BF56" s="204" t="n"/>
      <c r="BG56" s="204" t="n"/>
      <c r="BH56" s="204" t="n"/>
      <c r="BI56" s="204" t="n"/>
      <c r="BJ56" s="204" t="n"/>
      <c r="BK56" s="204" t="n"/>
      <c r="BL56" s="204" t="n"/>
      <c r="BM56" s="204" t="n"/>
      <c r="BN56" s="204" t="n"/>
      <c r="BO56" s="204" t="n"/>
      <c r="BP56" s="204" t="n"/>
      <c r="BQ56" s="204" t="n"/>
      <c r="BR56" s="204" t="n"/>
      <c r="BS56" s="204" t="n"/>
      <c r="BT56" s="204" t="n"/>
      <c r="BU56" s="204" t="n"/>
      <c r="BV56" s="204" t="n"/>
      <c r="BW56" s="204" t="n"/>
      <c r="BX56" s="204" t="n"/>
      <c r="BY56" s="204" t="n"/>
      <c r="BZ56" s="204" t="n"/>
      <c r="CA56" s="204" t="n"/>
      <c r="CB56" s="204" t="n"/>
      <c r="CC56" s="204" t="n"/>
      <c r="CD56" s="204" t="n"/>
      <c r="CE56" s="204" t="n"/>
      <c r="CF56" s="204" t="n"/>
      <c r="CG56" s="204" t="n"/>
      <c r="CH56" s="204" t="n"/>
    </row>
    <row r="57" ht="15" customHeight="1" s="202">
      <c r="A57" s="204" t="n"/>
      <c r="B57" s="204" t="n"/>
      <c r="C57" s="204" t="n"/>
      <c r="D57" s="204" t="n"/>
      <c r="E57" s="204" t="n"/>
      <c r="F57" s="204" t="n"/>
      <c r="G57" s="204" t="n"/>
      <c r="H57" s="204" t="n"/>
      <c r="I57" s="204" t="n"/>
      <c r="J57" s="204" t="n"/>
      <c r="K57" s="204" t="n"/>
      <c r="L57" s="204" t="n"/>
      <c r="M57" s="204" t="n"/>
      <c r="N57" s="204" t="n"/>
      <c r="O57" s="204" t="n"/>
      <c r="P57" s="204" t="n"/>
      <c r="Q57" s="204" t="n"/>
      <c r="R57" s="204" t="n"/>
      <c r="S57" s="204" t="n"/>
      <c r="T57" s="204" t="n"/>
      <c r="U57" s="204" t="n"/>
      <c r="V57" s="204" t="n"/>
      <c r="W57" s="204" t="n"/>
      <c r="X57" s="204" t="n"/>
      <c r="Y57" s="204" t="n"/>
      <c r="Z57" s="204" t="n"/>
      <c r="AA57" s="204" t="n"/>
      <c r="AB57" s="204" t="n"/>
      <c r="AC57" s="204" t="n"/>
      <c r="AD57" s="204" t="n"/>
      <c r="AE57" s="204" t="n"/>
      <c r="AF57" s="204" t="n"/>
      <c r="AG57" s="204" t="n"/>
      <c r="AH57" s="204" t="n"/>
      <c r="AI57" s="204" t="n"/>
      <c r="AJ57" s="204" t="n"/>
      <c r="AK57" s="204" t="n"/>
      <c r="AL57" s="204" t="n"/>
      <c r="AM57" s="204" t="n"/>
      <c r="AN57" s="204" t="n"/>
      <c r="AO57" s="204" t="n"/>
      <c r="AP57" s="204" t="n"/>
      <c r="AQ57" s="204" t="n"/>
      <c r="AR57" s="204" t="n"/>
      <c r="AS57" s="204" t="n"/>
      <c r="AT57" s="204" t="n"/>
      <c r="AU57" s="204" t="n"/>
      <c r="AV57" s="204" t="n"/>
      <c r="AW57" s="204" t="n"/>
      <c r="AX57" s="204" t="n"/>
      <c r="AY57" s="204" t="n"/>
      <c r="AZ57" s="204" t="n"/>
      <c r="BA57" s="204" t="n"/>
      <c r="BB57" s="204" t="n"/>
      <c r="BC57" s="204" t="n"/>
      <c r="BD57" s="204" t="n"/>
      <c r="BE57" s="204" t="n"/>
      <c r="BF57" s="204" t="n"/>
      <c r="BG57" s="204" t="n"/>
      <c r="BH57" s="204" t="n"/>
      <c r="BI57" s="204" t="n"/>
      <c r="BJ57" s="204" t="n"/>
      <c r="BK57" s="204" t="n"/>
      <c r="BL57" s="204" t="n"/>
      <c r="BM57" s="204" t="n"/>
      <c r="BN57" s="204" t="n"/>
      <c r="BO57" s="204" t="n"/>
      <c r="BP57" s="204" t="n"/>
      <c r="BQ57" s="204" t="n"/>
      <c r="BR57" s="204" t="n"/>
      <c r="BS57" s="204" t="n"/>
      <c r="BT57" s="204" t="n"/>
      <c r="BU57" s="204" t="n"/>
      <c r="BV57" s="204" t="n"/>
      <c r="BW57" s="204" t="n"/>
      <c r="BX57" s="204" t="n"/>
      <c r="BY57" s="204" t="n"/>
      <c r="BZ57" s="204" t="n"/>
      <c r="CA57" s="204" t="n"/>
      <c r="CB57" s="204" t="n"/>
      <c r="CC57" s="204" t="n"/>
      <c r="CD57" s="204" t="n"/>
      <c r="CE57" s="204" t="n"/>
      <c r="CF57" s="204" t="n"/>
      <c r="CG57" s="204" t="n"/>
      <c r="CH57" s="20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C4581A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71484375" defaultRowHeight="15" customHeight="1" zeroHeight="0" outlineLevelRow="0"/>
  <cols>
    <col width="42" customWidth="1" style="201" min="1" max="1"/>
    <col width="16" customWidth="1" style="201" min="2" max="7"/>
    <col width="14" customWidth="1" style="201" min="8" max="9"/>
  </cols>
  <sheetData>
    <row r="1" ht="17.25" customHeight="1" s="202">
      <c r="A1" s="203" t="inlineStr">
        <is>
          <t>Six Peak Capital - Sensitivity Analysis</t>
        </is>
      </c>
      <c r="H1" s="204" t="n"/>
      <c r="I1" s="204" t="n"/>
    </row>
    <row r="2" ht="15" customHeight="1" s="202">
      <c r="A2" s="204" t="n"/>
      <c r="B2" s="204" t="n"/>
      <c r="C2" s="204" t="n"/>
      <c r="D2" s="204" t="n"/>
      <c r="E2" s="204" t="n"/>
      <c r="F2" s="204" t="n"/>
      <c r="G2" s="204" t="n"/>
      <c r="H2" s="204" t="n"/>
      <c r="I2" s="204" t="n"/>
    </row>
    <row r="3" ht="15" customHeight="1" s="202">
      <c r="A3" s="205" t="inlineStr">
        <is>
          <t>KEY ASSUMPTIONS (Change Yellow Cells for Analysis)</t>
        </is>
      </c>
      <c r="B3" s="205" t="n"/>
      <c r="C3" s="205" t="n"/>
      <c r="D3" s="205" t="n"/>
      <c r="E3" s="205" t="n"/>
      <c r="F3" s="205" t="n"/>
      <c r="G3" s="205" t="n"/>
      <c r="H3" s="204" t="n"/>
      <c r="I3" s="204" t="n"/>
    </row>
    <row r="4" ht="15" customHeight="1" s="202">
      <c r="A4" s="209" t="inlineStr">
        <is>
          <t>Assumption</t>
        </is>
      </c>
      <c r="B4" s="209" t="inlineStr">
        <is>
          <t>Base Case</t>
        </is>
      </c>
      <c r="C4" s="209" t="inlineStr">
        <is>
          <t>Scenario</t>
        </is>
      </c>
      <c r="D4" s="209" t="inlineStr">
        <is>
          <t>Low</t>
        </is>
      </c>
      <c r="E4" s="209" t="inlineStr">
        <is>
          <t>High</t>
        </is>
      </c>
      <c r="F4" s="209" t="inlineStr">
        <is>
          <t>Unit</t>
        </is>
      </c>
      <c r="G4" s="209" t="inlineStr">
        <is>
          <t>Notes</t>
        </is>
      </c>
      <c r="H4" s="204" t="n"/>
      <c r="I4" s="204" t="n"/>
    </row>
    <row r="5" ht="15" customHeight="1" s="202">
      <c r="A5" s="219" t="inlineStr">
        <is>
          <t>GC Fee Rate (Supervision)</t>
        </is>
      </c>
      <c r="B5" s="278">
        <f>Assumptions!B4</f>
        <v/>
      </c>
      <c r="C5" s="279" t="n">
        <v>0.06</v>
      </c>
      <c r="D5" s="280" t="n">
        <v>0.04</v>
      </c>
      <c r="E5" s="280" t="n">
        <v>0.08</v>
      </c>
      <c r="F5" s="219" t="inlineStr">
        <is>
          <t>%</t>
        </is>
      </c>
      <c r="G5" s="264" t="inlineStr">
        <is>
          <t>Each 1% ≈ $1.2M cumulative revenue impact</t>
        </is>
      </c>
      <c r="H5" s="204" t="n"/>
      <c r="I5" s="204" t="n"/>
    </row>
    <row r="6" ht="15" customHeight="1" s="202">
      <c r="A6" s="219" t="inlineStr">
        <is>
          <t>GC-CM Fee Rate</t>
        </is>
      </c>
      <c r="B6" s="278">
        <f>Assumptions!B5</f>
        <v/>
      </c>
      <c r="C6" s="279" t="n">
        <v>0.06</v>
      </c>
      <c r="D6" s="280" t="n">
        <v>0.04</v>
      </c>
      <c r="E6" s="280" t="n">
        <v>0.08</v>
      </c>
      <c r="F6" s="219" t="inlineStr">
        <is>
          <t>%</t>
        </is>
      </c>
      <c r="G6" s="264" t="inlineStr">
        <is>
          <t>Each 1% ≈ $1.2M cumulative revenue impact</t>
        </is>
      </c>
      <c r="H6" s="204" t="n"/>
      <c r="I6" s="204" t="n"/>
    </row>
    <row r="7" ht="15" customHeight="1" s="202">
      <c r="A7" s="219" t="inlineStr">
        <is>
          <t>Admin Fee Rate</t>
        </is>
      </c>
      <c r="B7" s="278">
        <f>Assumptions!B6</f>
        <v/>
      </c>
      <c r="C7" s="279" t="n">
        <v>0.02</v>
      </c>
      <c r="D7" s="280" t="n">
        <v>0.01</v>
      </c>
      <c r="E7" s="280" t="n">
        <v>0.03</v>
      </c>
      <c r="F7" s="219" t="inlineStr">
        <is>
          <t>%</t>
        </is>
      </c>
      <c r="G7" s="264" t="inlineStr">
        <is>
          <t>Each 1% ≈ $400K cumulative revenue impact</t>
        </is>
      </c>
      <c r="H7" s="204" t="n"/>
      <c r="I7" s="204" t="n"/>
    </row>
    <row r="8" ht="15" customHeight="1" s="202">
      <c r="A8" s="219" t="inlineStr">
        <is>
          <t>Overhead Rate</t>
        </is>
      </c>
      <c r="B8" s="278">
        <f>Assumptions!B8</f>
        <v/>
      </c>
      <c r="C8" s="279" t="n">
        <v>0.092</v>
      </c>
      <c r="D8" s="280" t="n">
        <v>0.07000000000000001</v>
      </c>
      <c r="E8" s="280" t="n">
        <v>0.12</v>
      </c>
      <c r="F8" s="219" t="inlineStr">
        <is>
          <t>%</t>
        </is>
      </c>
      <c r="G8" s="264" t="inlineStr">
        <is>
          <t>Higher overhead reduces effective GMP revenue</t>
        </is>
      </c>
      <c r="H8" s="204" t="n"/>
      <c r="I8" s="204" t="n"/>
    </row>
    <row r="9" ht="15" customHeight="1" s="202">
      <c r="A9" s="219" t="inlineStr">
        <is>
          <t>Annual Escalation Rate</t>
        </is>
      </c>
      <c r="B9" s="278">
        <f>Assumptions!B26</f>
        <v/>
      </c>
      <c r="C9" s="279" t="n">
        <v>0.02</v>
      </c>
      <c r="D9" s="280" t="n">
        <v>0</v>
      </c>
      <c r="E9" s="280" t="n">
        <v>0.04</v>
      </c>
      <c r="F9" s="219" t="inlineStr">
        <is>
          <t>%</t>
        </is>
      </c>
      <c r="G9" s="264" t="inlineStr">
        <is>
          <t>Impacts personnel costs &amp; revenue over time</t>
        </is>
      </c>
      <c r="H9" s="204" t="n"/>
      <c r="I9" s="204" t="n"/>
    </row>
    <row r="10" ht="15" customHeight="1" s="202">
      <c r="A10" s="219" t="inlineStr">
        <is>
          <t>Bonding Revenue Rate</t>
        </is>
      </c>
      <c r="B10" s="278">
        <f>Assumptions!B15</f>
        <v/>
      </c>
      <c r="C10" s="279" t="n">
        <v>0.015</v>
      </c>
      <c r="D10" s="280" t="n">
        <v>0.01</v>
      </c>
      <c r="E10" s="280" t="n">
        <v>0.02</v>
      </c>
      <c r="F10" s="219" t="inlineStr">
        <is>
          <t>%</t>
        </is>
      </c>
      <c r="G10" s="264" t="inlineStr">
        <is>
          <t>One-time revenue at project start</t>
        </is>
      </c>
      <c r="H10" s="204" t="n"/>
      <c r="I10" s="204" t="n"/>
    </row>
    <row r="11" ht="15" customHeight="1" s="202">
      <c r="A11" s="219" t="inlineStr">
        <is>
          <t>Tier 1 Bond Cost Rate</t>
        </is>
      </c>
      <c r="B11" s="278">
        <f>Assumptions!B16</f>
        <v/>
      </c>
      <c r="C11" s="279" t="n">
        <v>0.0074</v>
      </c>
      <c r="D11" s="280" t="n">
        <v>0.005</v>
      </c>
      <c r="E11" s="280" t="n">
        <v>0.015</v>
      </c>
      <c r="F11" s="219" t="inlineStr">
        <is>
          <t>%</t>
        </is>
      </c>
      <c r="G11" s="264" t="inlineStr">
        <is>
          <t>Annual cost on bonded projects</t>
        </is>
      </c>
      <c r="H11" s="204" t="n"/>
      <c r="I11" s="204" t="n"/>
    </row>
    <row r="12" ht="15" customHeight="1" s="202">
      <c r="A12" s="219" t="inlineStr">
        <is>
          <t>Tier 2 Bond Cost Rate</t>
        </is>
      </c>
      <c r="B12" s="278">
        <f>Assumptions!B17</f>
        <v/>
      </c>
      <c r="C12" s="279" t="n">
        <v>0.0325</v>
      </c>
      <c r="D12" s="280" t="n">
        <v>0.02</v>
      </c>
      <c r="E12" s="280" t="n">
        <v>0.05</v>
      </c>
      <c r="F12" s="219" t="inlineStr">
        <is>
          <t>%</t>
        </is>
      </c>
      <c r="G12" s="264" t="inlineStr">
        <is>
          <t>Reseda/3rd St bonding costs</t>
        </is>
      </c>
      <c r="H12" s="204" t="n"/>
      <c r="I12" s="204" t="n"/>
    </row>
    <row r="13" ht="15" customHeight="1" s="202">
      <c r="A13" s="219" t="inlineStr">
        <is>
          <t>Debt Facility Interest Rate</t>
        </is>
      </c>
      <c r="B13" s="278">
        <f>Assumptions!B34</f>
        <v/>
      </c>
      <c r="C13" s="279" t="n">
        <v>0.15</v>
      </c>
      <c r="D13" s="280" t="n">
        <v>0.1</v>
      </c>
      <c r="E13" s="280" t="n">
        <v>0.2</v>
      </c>
      <c r="F13" s="219" t="inlineStr">
        <is>
          <t>%</t>
        </is>
      </c>
      <c r="G13" s="264" t="inlineStr">
        <is>
          <t>PE debt at $1.6M starting balance</t>
        </is>
      </c>
      <c r="H13" s="204" t="n"/>
      <c r="I13" s="204" t="n"/>
    </row>
    <row r="14" ht="15" customHeight="1" s="202">
      <c r="A14" s="219" t="inlineStr">
        <is>
          <t>Monthly Debt Payment</t>
        </is>
      </c>
      <c r="B14" s="269">
        <f>Assumptions!B36</f>
        <v/>
      </c>
      <c r="C14" s="281" t="n">
        <v>130000</v>
      </c>
      <c r="D14" s="282" t="n">
        <v>100000</v>
      </c>
      <c r="E14" s="282" t="n">
        <v>175000</v>
      </c>
      <c r="F14" s="219" t="inlineStr">
        <is>
          <t>$</t>
        </is>
      </c>
      <c r="G14" s="264" t="inlineStr">
        <is>
          <t>PE debt monthly payment</t>
        </is>
      </c>
      <c r="H14" s="204" t="n"/>
      <c r="I14" s="204" t="n"/>
    </row>
    <row r="15" ht="15" customHeight="1" s="202">
      <c r="A15" s="219" t="inlineStr">
        <is>
          <t>PIK Accrual Rate</t>
        </is>
      </c>
      <c r="B15" s="278">
        <f>Assumptions!B58</f>
        <v/>
      </c>
      <c r="C15" s="279" t="n">
        <v>0.15</v>
      </c>
      <c r="D15" s="280" t="n">
        <v>0.1</v>
      </c>
      <c r="E15" s="280" t="n">
        <v>0.2</v>
      </c>
      <c r="F15" s="219" t="inlineStr">
        <is>
          <t>%</t>
        </is>
      </c>
      <c r="G15" s="264" t="inlineStr">
        <is>
          <t>Steyn investment capital return</t>
        </is>
      </c>
      <c r="H15" s="204" t="n"/>
      <c r="I15" s="204" t="n"/>
    </row>
    <row r="16" ht="15" customHeight="1" s="202">
      <c r="A16" s="219" t="inlineStr">
        <is>
          <t>Steyn Completion Guaranty Rate</t>
        </is>
      </c>
      <c r="B16" s="278">
        <f>Assumptions!B47</f>
        <v/>
      </c>
      <c r="C16" s="279" t="n">
        <v>0.01</v>
      </c>
      <c r="D16" s="280" t="n">
        <v>0.005</v>
      </c>
      <c r="E16" s="280" t="n">
        <v>0.02</v>
      </c>
      <c r="F16" s="219" t="inlineStr">
        <is>
          <t>%</t>
        </is>
      </c>
      <c r="G16" s="264" t="inlineStr">
        <is>
          <t>1% of GMP for Steyn projects</t>
        </is>
      </c>
      <c r="H16" s="204" t="n"/>
      <c r="I16" s="204" t="n"/>
    </row>
    <row r="17" ht="15" customHeight="1" s="202">
      <c r="A17" s="219" t="inlineStr">
        <is>
          <t>Steyn Liquidity Fee Rate</t>
        </is>
      </c>
      <c r="B17" s="278">
        <f>Assumptions!B48</f>
        <v/>
      </c>
      <c r="C17" s="279" t="n">
        <v>0.03</v>
      </c>
      <c r="D17" s="280" t="n">
        <v>0.02</v>
      </c>
      <c r="E17" s="280" t="n">
        <v>0.05</v>
      </c>
      <c r="F17" s="219" t="inlineStr">
        <is>
          <t>%</t>
        </is>
      </c>
      <c r="G17" s="264" t="inlineStr">
        <is>
          <t>3% of liquidity requirement</t>
        </is>
      </c>
      <c r="H17" s="204" t="n"/>
      <c r="I17" s="204" t="n"/>
    </row>
    <row r="18" ht="15" customHeight="1" s="202">
      <c r="A18" s="219" t="inlineStr">
        <is>
          <t>GC Headcount Growth (New Hires)</t>
        </is>
      </c>
      <c r="B18" s="283" t="n">
        <v>10</v>
      </c>
      <c r="C18" s="284" t="n">
        <v>10</v>
      </c>
      <c r="D18" s="285" t="n">
        <v>5</v>
      </c>
      <c r="E18" s="285" t="n">
        <v>15</v>
      </c>
      <c r="F18" s="219" t="inlineStr">
        <is>
          <t>#</t>
        </is>
      </c>
      <c r="G18" s="264" t="inlineStr">
        <is>
          <t>Number of new hires over model period</t>
        </is>
      </c>
      <c r="H18" s="204" t="n"/>
      <c r="I18" s="204" t="n"/>
    </row>
    <row r="19" ht="15" customHeight="1" s="202">
      <c r="A19" s="219" t="inlineStr">
        <is>
          <t>SP Monthly Operating Expenses</t>
        </is>
      </c>
      <c r="B19" s="286" t="n">
        <v>18700</v>
      </c>
      <c r="C19" s="281" t="n">
        <v>18700</v>
      </c>
      <c r="D19" s="282" t="n">
        <v>15000</v>
      </c>
      <c r="E19" s="282" t="n">
        <v>25000</v>
      </c>
      <c r="F19" s="219" t="inlineStr">
        <is>
          <t>$</t>
        </is>
      </c>
      <c r="G19" s="264" t="inlineStr">
        <is>
          <t>Total SP monthly opex (rent+IT+etc.)</t>
        </is>
      </c>
      <c r="H19" s="204" t="n"/>
      <c r="I19" s="204" t="n"/>
    </row>
    <row r="20" ht="15" customHeight="1" s="202">
      <c r="A20" s="204" t="n"/>
      <c r="B20" s="204" t="n"/>
      <c r="C20" s="204" t="n"/>
      <c r="D20" s="204" t="n"/>
      <c r="E20" s="204" t="n"/>
      <c r="F20" s="204" t="n"/>
      <c r="G20" s="204" t="n"/>
      <c r="H20" s="204" t="n"/>
      <c r="I20" s="204" t="n"/>
    </row>
    <row r="21" ht="15" customHeight="1" s="202">
      <c r="A21" s="204" t="n"/>
      <c r="B21" s="204" t="n"/>
      <c r="C21" s="204" t="n"/>
      <c r="D21" s="204" t="n"/>
      <c r="E21" s="204" t="n"/>
      <c r="F21" s="204" t="n"/>
      <c r="G21" s="204" t="n"/>
      <c r="H21" s="204" t="n"/>
      <c r="I21" s="204" t="n"/>
    </row>
    <row r="22" ht="15" customHeight="1" s="202">
      <c r="A22" s="205" t="inlineStr">
        <is>
          <t>PROJECT TOGGLE (Change to Yes/No on Projects Tab)</t>
        </is>
      </c>
      <c r="B22" s="205" t="n"/>
      <c r="C22" s="205" t="n"/>
      <c r="D22" s="205" t="n"/>
      <c r="E22" s="205" t="n"/>
      <c r="F22" s="205" t="n"/>
      <c r="G22" s="205" t="n"/>
      <c r="H22" s="204" t="n"/>
      <c r="I22" s="204" t="n"/>
    </row>
    <row r="23" ht="15" customHeight="1" s="202">
      <c r="A23" s="209" t="inlineStr">
        <is>
          <t>Project</t>
        </is>
      </c>
      <c r="B23" s="209" t="inlineStr">
        <is>
          <t>Active</t>
        </is>
      </c>
      <c r="C23" s="209" t="inlineStr">
        <is>
          <t>GMP</t>
        </is>
      </c>
      <c r="D23" s="209" t="inlineStr">
        <is>
          <t>Type</t>
        </is>
      </c>
      <c r="E23" s="209" t="inlineStr">
        <is>
          <t>Duration</t>
        </is>
      </c>
      <c r="F23" s="209" t="inlineStr">
        <is>
          <t>Steyn</t>
        </is>
      </c>
      <c r="G23" s="209" t="inlineStr">
        <is>
          <t>LIHTC</t>
        </is>
      </c>
      <c r="H23" s="204" t="n"/>
      <c r="I23" s="204" t="n"/>
    </row>
    <row r="24" ht="15" customHeight="1" s="202">
      <c r="A24" s="219" t="inlineStr">
        <is>
          <t>Crenshaw</t>
        </is>
      </c>
      <c r="B24" s="287">
        <f>Projects!$G$2</f>
        <v/>
      </c>
      <c r="C24" s="286" t="n">
        <v>5321971</v>
      </c>
      <c r="D24" s="219" t="inlineStr">
        <is>
          <t>Dev</t>
        </is>
      </c>
      <c r="E24" s="219" t="inlineStr">
        <is>
          <t>8 mo</t>
        </is>
      </c>
      <c r="F24" s="219" t="inlineStr">
        <is>
          <t>No</t>
        </is>
      </c>
      <c r="G24" s="219" t="inlineStr">
        <is>
          <t>No</t>
        </is>
      </c>
      <c r="H24" s="204" t="n"/>
      <c r="I24" s="204" t="n"/>
    </row>
    <row r="25" ht="15" customHeight="1" s="202">
      <c r="A25" s="219" t="inlineStr">
        <is>
          <t>Ramsgate</t>
        </is>
      </c>
      <c r="B25" s="287">
        <f>Projects!$G$3</f>
        <v/>
      </c>
      <c r="C25" s="286" t="n">
        <v>19982132</v>
      </c>
      <c r="D25" s="219" t="inlineStr">
        <is>
          <t>Dev</t>
        </is>
      </c>
      <c r="E25" s="219" t="inlineStr">
        <is>
          <t>16 mo</t>
        </is>
      </c>
      <c r="F25" s="219" t="inlineStr">
        <is>
          <t>No</t>
        </is>
      </c>
      <c r="G25" s="219" t="inlineStr">
        <is>
          <t>No</t>
        </is>
      </c>
      <c r="H25" s="204" t="n"/>
      <c r="I25" s="204" t="n"/>
    </row>
    <row r="26" ht="15" customHeight="1" s="202">
      <c r="A26" s="219" t="inlineStr">
        <is>
          <t>Califa</t>
        </is>
      </c>
      <c r="B26" s="287">
        <f>Projects!$G$4</f>
        <v/>
      </c>
      <c r="C26" s="286" t="n">
        <v>11673185</v>
      </c>
      <c r="D26" s="219" t="inlineStr">
        <is>
          <t>3PGC</t>
        </is>
      </c>
      <c r="E26" s="219" t="inlineStr">
        <is>
          <t>15 mo</t>
        </is>
      </c>
      <c r="F26" s="219" t="inlineStr">
        <is>
          <t>No</t>
        </is>
      </c>
      <c r="G26" s="219" t="inlineStr">
        <is>
          <t>Yes</t>
        </is>
      </c>
      <c r="H26" s="204" t="n"/>
      <c r="I26" s="204" t="n"/>
    </row>
    <row r="27" ht="15" customHeight="1" s="202">
      <c r="A27" s="219" t="inlineStr">
        <is>
          <t>Whipple</t>
        </is>
      </c>
      <c r="B27" s="287">
        <f>Projects!$G$5</f>
        <v/>
      </c>
      <c r="C27" s="286" t="n">
        <v>13492534</v>
      </c>
      <c r="D27" s="219" t="inlineStr">
        <is>
          <t>3PGC</t>
        </is>
      </c>
      <c r="E27" s="219" t="inlineStr">
        <is>
          <t>15 mo</t>
        </is>
      </c>
      <c r="F27" s="219" t="inlineStr">
        <is>
          <t>No</t>
        </is>
      </c>
      <c r="G27" s="219" t="inlineStr">
        <is>
          <t>Yes</t>
        </is>
      </c>
      <c r="H27" s="204" t="n"/>
      <c r="I27" s="204" t="n"/>
    </row>
    <row r="28" ht="15" customHeight="1" s="202">
      <c r="A28" s="219" t="inlineStr">
        <is>
          <t>Nelrose</t>
        </is>
      </c>
      <c r="B28" s="287">
        <f>Projects!$G$6</f>
        <v/>
      </c>
      <c r="C28" s="286" t="n">
        <v>4052747</v>
      </c>
      <c r="D28" s="219" t="inlineStr">
        <is>
          <t>3PGC</t>
        </is>
      </c>
      <c r="E28" s="219" t="inlineStr">
        <is>
          <t>19 mo</t>
        </is>
      </c>
      <c r="F28" s="219" t="inlineStr">
        <is>
          <t>No</t>
        </is>
      </c>
      <c r="G28" s="219" t="inlineStr">
        <is>
          <t>Yes</t>
        </is>
      </c>
      <c r="H28" s="204" t="n"/>
      <c r="I28" s="204" t="n"/>
    </row>
    <row r="29" ht="15" customHeight="1" s="202">
      <c r="A29" s="219" t="inlineStr">
        <is>
          <t>Francis</t>
        </is>
      </c>
      <c r="B29" s="287">
        <f>Projects!$G$7</f>
        <v/>
      </c>
      <c r="C29" s="286" t="n">
        <v>42968448</v>
      </c>
      <c r="D29" s="219" t="inlineStr">
        <is>
          <t>Dev</t>
        </is>
      </c>
      <c r="E29" s="219" t="inlineStr">
        <is>
          <t>24 mo</t>
        </is>
      </c>
      <c r="F29" s="219" t="inlineStr">
        <is>
          <t>Yes</t>
        </is>
      </c>
      <c r="G29" s="219" t="inlineStr">
        <is>
          <t>Yes</t>
        </is>
      </c>
      <c r="H29" s="204" t="n"/>
      <c r="I29" s="204" t="n"/>
    </row>
    <row r="30" ht="15" customHeight="1" s="202">
      <c r="A30" s="219" t="inlineStr">
        <is>
          <t>Lexington</t>
        </is>
      </c>
      <c r="B30" s="287">
        <f>Projects!$G$8</f>
        <v/>
      </c>
      <c r="C30" s="286" t="n">
        <v>13625772</v>
      </c>
      <c r="D30" s="219" t="inlineStr">
        <is>
          <t>3PGC</t>
        </is>
      </c>
      <c r="E30" s="219" t="inlineStr">
        <is>
          <t>19 mo</t>
        </is>
      </c>
      <c r="F30" s="219" t="inlineStr">
        <is>
          <t>No</t>
        </is>
      </c>
      <c r="G30" s="219" t="inlineStr">
        <is>
          <t>Yes</t>
        </is>
      </c>
      <c r="H30" s="204" t="n"/>
      <c r="I30" s="204" t="n"/>
    </row>
    <row r="31" ht="15" customHeight="1" s="202">
      <c r="A31" s="219" t="inlineStr">
        <is>
          <t>Denny</t>
        </is>
      </c>
      <c r="B31" s="287">
        <f>Projects!$G$9</f>
        <v/>
      </c>
      <c r="C31" s="286" t="n">
        <v>15844883</v>
      </c>
      <c r="D31" s="219" t="inlineStr">
        <is>
          <t>3PGC</t>
        </is>
      </c>
      <c r="E31" s="219" t="inlineStr">
        <is>
          <t>30 mo</t>
        </is>
      </c>
      <c r="F31" s="219" t="inlineStr">
        <is>
          <t>No</t>
        </is>
      </c>
      <c r="G31" s="219" t="inlineStr">
        <is>
          <t>Yes</t>
        </is>
      </c>
      <c r="H31" s="204" t="n"/>
      <c r="I31" s="204" t="n"/>
    </row>
    <row r="32" ht="15" customHeight="1" s="202">
      <c r="A32" s="219" t="inlineStr">
        <is>
          <t>Acama</t>
        </is>
      </c>
      <c r="B32" s="287">
        <f>Projects!$G$10</f>
        <v/>
      </c>
      <c r="C32" s="286" t="n">
        <v>21263405</v>
      </c>
      <c r="D32" s="219" t="inlineStr">
        <is>
          <t>3PGC</t>
        </is>
      </c>
      <c r="E32" s="219" t="inlineStr">
        <is>
          <t>19 mo</t>
        </is>
      </c>
      <c r="F32" s="219" t="inlineStr">
        <is>
          <t>No</t>
        </is>
      </c>
      <c r="G32" s="219" t="inlineStr">
        <is>
          <t>Yes</t>
        </is>
      </c>
      <c r="H32" s="204" t="n"/>
      <c r="I32" s="204" t="n"/>
    </row>
    <row r="33" ht="15" customHeight="1" s="202">
      <c r="A33" s="219" t="inlineStr">
        <is>
          <t>Klump</t>
        </is>
      </c>
      <c r="B33" s="287">
        <f>Projects!$G$11</f>
        <v/>
      </c>
      <c r="C33" s="286" t="n">
        <v>9577109</v>
      </c>
      <c r="D33" s="219" t="inlineStr">
        <is>
          <t>Dev</t>
        </is>
      </c>
      <c r="E33" s="219" t="inlineStr">
        <is>
          <t>19 mo</t>
        </is>
      </c>
      <c r="F33" s="219" t="inlineStr">
        <is>
          <t>Yes</t>
        </is>
      </c>
      <c r="G33" s="219" t="inlineStr">
        <is>
          <t>No</t>
        </is>
      </c>
      <c r="H33" s="204" t="n"/>
      <c r="I33" s="204" t="n"/>
    </row>
    <row r="34" ht="15" customHeight="1" s="202">
      <c r="A34" s="219" t="inlineStr">
        <is>
          <t>Scott</t>
        </is>
      </c>
      <c r="B34" s="287">
        <f>Projects!$G$12</f>
        <v/>
      </c>
      <c r="C34" s="286" t="n">
        <v>7545203</v>
      </c>
      <c r="D34" s="219" t="inlineStr">
        <is>
          <t>Dev</t>
        </is>
      </c>
      <c r="E34" s="219" t="inlineStr">
        <is>
          <t>19 mo</t>
        </is>
      </c>
      <c r="F34" s="219" t="inlineStr">
        <is>
          <t>Yes</t>
        </is>
      </c>
      <c r="G34" s="219" t="inlineStr">
        <is>
          <t>No</t>
        </is>
      </c>
      <c r="H34" s="204" t="n"/>
      <c r="I34" s="204" t="n"/>
    </row>
    <row r="35" ht="15" customHeight="1" s="202">
      <c r="A35" s="219" t="inlineStr">
        <is>
          <t>Reseda</t>
        </is>
      </c>
      <c r="B35" s="287">
        <f>Projects!$G$13</f>
        <v/>
      </c>
      <c r="C35" s="286" t="n">
        <v>45266770</v>
      </c>
      <c r="D35" s="219" t="inlineStr">
        <is>
          <t>Dev</t>
        </is>
      </c>
      <c r="E35" s="219" t="inlineStr">
        <is>
          <t>30 mo</t>
        </is>
      </c>
      <c r="F35" s="219" t="inlineStr">
        <is>
          <t>Yes</t>
        </is>
      </c>
      <c r="G35" s="219" t="inlineStr">
        <is>
          <t>Yes</t>
        </is>
      </c>
      <c r="H35" s="204" t="n"/>
      <c r="I35" s="204" t="n"/>
    </row>
    <row r="36" ht="15" customHeight="1" s="202">
      <c r="A36" s="219" t="inlineStr">
        <is>
          <t>3rd St</t>
        </is>
      </c>
      <c r="B36" s="287">
        <f>Projects!$G$14</f>
        <v/>
      </c>
      <c r="C36" s="286" t="n">
        <v>41354632</v>
      </c>
      <c r="D36" s="219" t="inlineStr">
        <is>
          <t>Dev</t>
        </is>
      </c>
      <c r="E36" s="219" t="inlineStr">
        <is>
          <t>30 mo</t>
        </is>
      </c>
      <c r="F36" s="219" t="inlineStr">
        <is>
          <t>Yes</t>
        </is>
      </c>
      <c r="G36" s="219" t="inlineStr">
        <is>
          <t>Yes</t>
        </is>
      </c>
      <c r="H36" s="204" t="n"/>
      <c r="I36" s="204" t="n"/>
    </row>
    <row r="37" ht="15" customHeight="1" s="202">
      <c r="A37" s="204" t="n"/>
      <c r="B37" s="204" t="n"/>
      <c r="C37" s="204" t="n"/>
      <c r="D37" s="204" t="n"/>
      <c r="E37" s="204" t="n"/>
      <c r="F37" s="204" t="n"/>
      <c r="G37" s="204" t="n"/>
      <c r="H37" s="204" t="n"/>
      <c r="I37" s="204" t="n"/>
    </row>
    <row r="38" ht="15" customHeight="1" s="202">
      <c r="A38" s="204" t="n"/>
      <c r="B38" s="204" t="n"/>
      <c r="C38" s="204" t="n"/>
      <c r="D38" s="204" t="n"/>
      <c r="E38" s="204" t="n"/>
      <c r="F38" s="204" t="n"/>
      <c r="G38" s="204" t="n"/>
      <c r="H38" s="204" t="n"/>
      <c r="I38" s="204" t="n"/>
    </row>
    <row r="39" ht="15" customHeight="1" s="202">
      <c r="A39" s="205" t="inlineStr">
        <is>
          <t>ANNUAL RESULTS (Live from Model)</t>
        </is>
      </c>
      <c r="B39" s="205" t="n"/>
      <c r="C39" s="205" t="n"/>
      <c r="D39" s="205" t="n"/>
      <c r="E39" s="205" t="n"/>
      <c r="F39" s="205" t="n"/>
      <c r="G39" s="205" t="n"/>
      <c r="H39" s="205" t="n"/>
      <c r="I39" s="205" t="n"/>
    </row>
    <row r="40" ht="15" customHeight="1" s="202">
      <c r="A40" s="209" t="inlineStr">
        <is>
          <t>Metric</t>
        </is>
      </c>
      <c r="B40" s="288" t="inlineStr">
        <is>
          <t>FY 2026</t>
        </is>
      </c>
      <c r="C40" s="288" t="inlineStr">
        <is>
          <t>FY 2027</t>
        </is>
      </c>
      <c r="D40" s="288" t="inlineStr">
        <is>
          <t>FY 2028</t>
        </is>
      </c>
      <c r="E40" s="288" t="inlineStr">
        <is>
          <t>FY 2029</t>
        </is>
      </c>
      <c r="F40" s="288" t="inlineStr">
        <is>
          <t>FY 2030</t>
        </is>
      </c>
      <c r="G40" s="288" t="inlineStr">
        <is>
          <t>FY 2031</t>
        </is>
      </c>
      <c r="H40" s="288" t="inlineStr">
        <is>
          <t>FY 2032</t>
        </is>
      </c>
      <c r="I40" s="288" t="inlineStr">
        <is>
          <t>FY 2033</t>
        </is>
      </c>
    </row>
    <row r="41" ht="15" customHeight="1" s="202">
      <c r="A41" s="231" t="inlineStr">
        <is>
          <t>Total GC Revenue</t>
        </is>
      </c>
      <c r="B41" s="270">
        <f>'Annual Summary'!B8</f>
        <v/>
      </c>
      <c r="C41" s="270">
        <f>'Annual Summary'!C8</f>
        <v/>
      </c>
      <c r="D41" s="270">
        <f>'Annual Summary'!D8</f>
        <v/>
      </c>
      <c r="E41" s="270">
        <f>'Annual Summary'!E8</f>
        <v/>
      </c>
      <c r="F41" s="270">
        <f>'Annual Summary'!F8</f>
        <v/>
      </c>
      <c r="G41" s="270">
        <f>'Annual Summary'!G8</f>
        <v/>
      </c>
      <c r="H41" s="270">
        <f>'Annual Summary'!H8</f>
        <v/>
      </c>
      <c r="I41" s="270">
        <f>'Annual Summary'!I8</f>
        <v/>
      </c>
    </row>
    <row r="42" ht="15" customHeight="1" s="202">
      <c r="A42" s="289" t="inlineStr">
        <is>
          <t>GC Net Income</t>
        </is>
      </c>
      <c r="B42" s="290">
        <f>'Annual Summary'!B15</f>
        <v/>
      </c>
      <c r="C42" s="290">
        <f>'Annual Summary'!C15</f>
        <v/>
      </c>
      <c r="D42" s="290">
        <f>'Annual Summary'!D15</f>
        <v/>
      </c>
      <c r="E42" s="290">
        <f>'Annual Summary'!E15</f>
        <v/>
      </c>
      <c r="F42" s="290">
        <f>'Annual Summary'!F15</f>
        <v/>
      </c>
      <c r="G42" s="290">
        <f>'Annual Summary'!G15</f>
        <v/>
      </c>
      <c r="H42" s="290">
        <f>'Annual Summary'!H15</f>
        <v/>
      </c>
      <c r="I42" s="290">
        <f>'Annual Summary'!I15</f>
        <v/>
      </c>
    </row>
    <row r="43" ht="15" customHeight="1" s="202">
      <c r="A43" s="219" t="inlineStr">
        <is>
          <t>GC Profit Margin %</t>
        </is>
      </c>
      <c r="B43" s="278">
        <f>'Annual Summary'!B16</f>
        <v/>
      </c>
      <c r="C43" s="278">
        <f>'Annual Summary'!C16</f>
        <v/>
      </c>
      <c r="D43" s="278">
        <f>'Annual Summary'!D16</f>
        <v/>
      </c>
      <c r="E43" s="278">
        <f>'Annual Summary'!E16</f>
        <v/>
      </c>
      <c r="F43" s="278">
        <f>'Annual Summary'!F16</f>
        <v/>
      </c>
      <c r="G43" s="278">
        <f>'Annual Summary'!G16</f>
        <v/>
      </c>
      <c r="H43" s="278">
        <f>'Annual Summary'!H16</f>
        <v/>
      </c>
      <c r="I43" s="278">
        <f>'Annual Summary'!I16</f>
        <v/>
      </c>
    </row>
    <row r="44" ht="15" customHeight="1" s="202">
      <c r="A44" s="204" t="n"/>
      <c r="B44" s="204" t="n"/>
      <c r="C44" s="204" t="n"/>
      <c r="D44" s="204" t="n"/>
      <c r="E44" s="204" t="n"/>
      <c r="F44" s="204" t="n"/>
      <c r="G44" s="204" t="n"/>
      <c r="H44" s="204" t="n"/>
      <c r="I44" s="204" t="n"/>
    </row>
    <row r="45" ht="15" customHeight="1" s="202">
      <c r="A45" s="231" t="inlineStr">
        <is>
          <t>Six Peak Revenue</t>
        </is>
      </c>
      <c r="B45" s="270">
        <f>'Annual Summary'!B18</f>
        <v/>
      </c>
      <c r="C45" s="270">
        <f>'Annual Summary'!C18</f>
        <v/>
      </c>
      <c r="D45" s="270">
        <f>'Annual Summary'!D18</f>
        <v/>
      </c>
      <c r="E45" s="270">
        <f>'Annual Summary'!E18</f>
        <v/>
      </c>
      <c r="F45" s="270">
        <f>'Annual Summary'!F18</f>
        <v/>
      </c>
      <c r="G45" s="270">
        <f>'Annual Summary'!G18</f>
        <v/>
      </c>
      <c r="H45" s="270">
        <f>'Annual Summary'!H18</f>
        <v/>
      </c>
      <c r="I45" s="270">
        <f>'Annual Summary'!I18</f>
        <v/>
      </c>
    </row>
    <row r="46" ht="15" customHeight="1" s="202">
      <c r="A46" s="289" t="inlineStr">
        <is>
          <t>Six Peak Net Income</t>
        </is>
      </c>
      <c r="B46" s="290">
        <f>'Annual Summary'!B20</f>
        <v/>
      </c>
      <c r="C46" s="290">
        <f>'Annual Summary'!C20</f>
        <v/>
      </c>
      <c r="D46" s="290">
        <f>'Annual Summary'!D20</f>
        <v/>
      </c>
      <c r="E46" s="290">
        <f>'Annual Summary'!E20</f>
        <v/>
      </c>
      <c r="F46" s="290">
        <f>'Annual Summary'!F20</f>
        <v/>
      </c>
      <c r="G46" s="290">
        <f>'Annual Summary'!G20</f>
        <v/>
      </c>
      <c r="H46" s="290">
        <f>'Annual Summary'!H20</f>
        <v/>
      </c>
      <c r="I46" s="290">
        <f>'Annual Summary'!I20</f>
        <v/>
      </c>
    </row>
    <row r="47" ht="15" customHeight="1" s="202">
      <c r="A47" s="204" t="n"/>
      <c r="B47" s="204" t="n"/>
      <c r="C47" s="204" t="n"/>
      <c r="D47" s="204" t="n"/>
      <c r="E47" s="204" t="n"/>
      <c r="F47" s="204" t="n"/>
      <c r="G47" s="204" t="n"/>
      <c r="H47" s="204" t="n"/>
      <c r="I47" s="204" t="n"/>
    </row>
    <row r="48" ht="15" customHeight="1" s="202">
      <c r="A48" s="289" t="inlineStr">
        <is>
          <t>Consolidated Net Income</t>
        </is>
      </c>
      <c r="B48" s="290">
        <f>'Annual Summary'!B22</f>
        <v/>
      </c>
      <c r="C48" s="290">
        <f>'Annual Summary'!C22</f>
        <v/>
      </c>
      <c r="D48" s="290">
        <f>'Annual Summary'!D22</f>
        <v/>
      </c>
      <c r="E48" s="290">
        <f>'Annual Summary'!E22</f>
        <v/>
      </c>
      <c r="F48" s="290">
        <f>'Annual Summary'!F22</f>
        <v/>
      </c>
      <c r="G48" s="290">
        <f>'Annual Summary'!G22</f>
        <v/>
      </c>
      <c r="H48" s="290">
        <f>'Annual Summary'!H22</f>
        <v/>
      </c>
      <c r="I48" s="290">
        <f>'Annual Summary'!I22</f>
        <v/>
      </c>
    </row>
    <row r="49" ht="15" customHeight="1" s="202">
      <c r="A49" s="204" t="n"/>
      <c r="B49" s="204" t="n"/>
      <c r="C49" s="204" t="n"/>
      <c r="D49" s="204" t="n"/>
      <c r="E49" s="204" t="n"/>
      <c r="F49" s="204" t="n"/>
      <c r="G49" s="204" t="n"/>
      <c r="H49" s="204" t="n"/>
      <c r="I49" s="204" t="n"/>
    </row>
    <row r="50" ht="15" customHeight="1" s="202">
      <c r="A50" s="291" t="inlineStr">
        <is>
          <t>Total Ending Cash</t>
        </is>
      </c>
      <c r="B50" s="292">
        <f>'Annual Summary'!B43</f>
        <v/>
      </c>
      <c r="C50" s="292">
        <f>'Annual Summary'!C43</f>
        <v/>
      </c>
      <c r="D50" s="292">
        <f>'Annual Summary'!D43</f>
        <v/>
      </c>
      <c r="E50" s="292">
        <f>'Annual Summary'!E43</f>
        <v/>
      </c>
      <c r="F50" s="292">
        <f>'Annual Summary'!F43</f>
        <v/>
      </c>
      <c r="G50" s="292">
        <f>'Annual Summary'!G43</f>
        <v/>
      </c>
      <c r="H50" s="292">
        <f>'Annual Summary'!H43</f>
        <v/>
      </c>
      <c r="I50" s="292">
        <f>'Annual Summary'!I43</f>
        <v/>
      </c>
    </row>
    <row r="51" ht="15" customHeight="1" s="202">
      <c r="A51" s="291" t="inlineStr">
        <is>
          <t>LV Ending Cash</t>
        </is>
      </c>
      <c r="B51" s="292">
        <f>'Annual Summary'!B41</f>
        <v/>
      </c>
      <c r="C51" s="292">
        <f>'Annual Summary'!C41</f>
        <v/>
      </c>
      <c r="D51" s="292">
        <f>'Annual Summary'!D41</f>
        <v/>
      </c>
      <c r="E51" s="292">
        <f>'Annual Summary'!E41</f>
        <v/>
      </c>
      <c r="F51" s="292">
        <f>'Annual Summary'!F41</f>
        <v/>
      </c>
      <c r="G51" s="292">
        <f>'Annual Summary'!G41</f>
        <v/>
      </c>
      <c r="H51" s="292">
        <f>'Annual Summary'!H41</f>
        <v/>
      </c>
      <c r="I51" s="292">
        <f>'Annual Summary'!I41</f>
        <v/>
      </c>
    </row>
    <row r="52" ht="15" customHeight="1" s="202">
      <c r="A52" s="291" t="inlineStr">
        <is>
          <t>SP Ending Cash</t>
        </is>
      </c>
      <c r="B52" s="292">
        <f>'Annual Summary'!B42</f>
        <v/>
      </c>
      <c r="C52" s="292">
        <f>'Annual Summary'!C42</f>
        <v/>
      </c>
      <c r="D52" s="292">
        <f>'Annual Summary'!D42</f>
        <v/>
      </c>
      <c r="E52" s="292">
        <f>'Annual Summary'!E42</f>
        <v/>
      </c>
      <c r="F52" s="292">
        <f>'Annual Summary'!F42</f>
        <v/>
      </c>
      <c r="G52" s="292">
        <f>'Annual Summary'!G42</f>
        <v/>
      </c>
      <c r="H52" s="292">
        <f>'Annual Summary'!H42</f>
        <v/>
      </c>
      <c r="I52" s="292">
        <f>'Annual Summary'!I42</f>
        <v/>
      </c>
    </row>
    <row r="53" ht="15" customHeight="1" s="202">
      <c r="A53" s="204" t="n"/>
      <c r="B53" s="204" t="n"/>
      <c r="C53" s="204" t="n"/>
      <c r="D53" s="204" t="n"/>
      <c r="E53" s="204" t="n"/>
      <c r="F53" s="204" t="n"/>
      <c r="G53" s="204" t="n"/>
      <c r="H53" s="204" t="n"/>
      <c r="I53" s="204" t="n"/>
    </row>
    <row r="54" ht="15" customHeight="1" s="202">
      <c r="A54" s="219" t="inlineStr">
        <is>
          <t>Total Bonding Outstanding</t>
        </is>
      </c>
      <c r="B54" s="269">
        <f>'Annual Summary'!B39</f>
        <v/>
      </c>
      <c r="C54" s="269">
        <f>'Annual Summary'!C39</f>
        <v/>
      </c>
      <c r="D54" s="269">
        <f>'Annual Summary'!D39</f>
        <v/>
      </c>
      <c r="E54" s="269">
        <f>'Annual Summary'!E39</f>
        <v/>
      </c>
      <c r="F54" s="269">
        <f>'Annual Summary'!F39</f>
        <v/>
      </c>
      <c r="G54" s="269">
        <f>'Annual Summary'!G39</f>
        <v/>
      </c>
      <c r="H54" s="269">
        <f>'Annual Summary'!H39</f>
        <v/>
      </c>
      <c r="I54" s="269">
        <f>'Annual Summary'!I39</f>
        <v/>
      </c>
    </row>
    <row r="55" ht="15" customHeight="1" s="202">
      <c r="A55" s="219" t="inlineStr">
        <is>
          <t>PIK Outstanding</t>
        </is>
      </c>
      <c r="B55" s="269">
        <f>'Annual Summary'!B37</f>
        <v/>
      </c>
      <c r="C55" s="269">
        <f>'Annual Summary'!C37</f>
        <v/>
      </c>
      <c r="D55" s="269">
        <f>'Annual Summary'!D37</f>
        <v/>
      </c>
      <c r="E55" s="269">
        <f>'Annual Summary'!E37</f>
        <v/>
      </c>
      <c r="F55" s="269">
        <f>'Annual Summary'!F37</f>
        <v/>
      </c>
      <c r="G55" s="269">
        <f>'Annual Summary'!G37</f>
        <v/>
      </c>
      <c r="H55" s="269">
        <f>'Annual Summary'!H37</f>
        <v/>
      </c>
      <c r="I55" s="269">
        <f>'Annual Summary'!I37</f>
        <v/>
      </c>
    </row>
    <row r="56" ht="15" customHeight="1" s="202">
      <c r="A56" s="204" t="n"/>
      <c r="B56" s="204" t="n"/>
      <c r="C56" s="204" t="n"/>
      <c r="D56" s="204" t="n"/>
      <c r="E56" s="204" t="n"/>
      <c r="F56" s="204" t="n"/>
      <c r="G56" s="204" t="n"/>
      <c r="H56" s="204" t="n"/>
      <c r="I56" s="204" t="n"/>
    </row>
    <row r="57" ht="15" customHeight="1" s="202">
      <c r="A57" s="204" t="n"/>
      <c r="B57" s="204" t="n"/>
      <c r="C57" s="204" t="n"/>
      <c r="D57" s="204" t="n"/>
      <c r="E57" s="204" t="n"/>
      <c r="F57" s="204" t="n"/>
      <c r="G57" s="204" t="n"/>
      <c r="H57" s="204" t="n"/>
      <c r="I57" s="204" t="n"/>
    </row>
    <row r="58" ht="15" customHeight="1" s="202">
      <c r="A58" s="205" t="inlineStr">
        <is>
          <t>GC REVENUE SENSITIVITY — Total Fee Revenue by Rate Combination</t>
        </is>
      </c>
      <c r="B58" s="205" t="n"/>
      <c r="C58" s="205" t="n"/>
      <c r="D58" s="205" t="n"/>
      <c r="E58" s="205" t="n"/>
      <c r="F58" s="205" t="n"/>
      <c r="G58" s="205" t="n"/>
      <c r="H58" s="204" t="n"/>
      <c r="I58" s="204" t="n"/>
    </row>
    <row r="59" ht="15" customHeight="1" s="202">
      <c r="A59" s="264" t="inlineStr">
        <is>
          <t>Combined GMP: $251,968,791  |  Shows total fee revenue (Sup+GC+Admin) at different rate/overhead combos</t>
        </is>
      </c>
      <c r="B59" s="204" t="n"/>
      <c r="C59" s="204" t="n"/>
      <c r="D59" s="204" t="n"/>
      <c r="E59" s="204" t="n"/>
      <c r="F59" s="204" t="n"/>
      <c r="G59" s="204" t="n"/>
      <c r="H59" s="204" t="n"/>
      <c r="I59" s="204" t="n"/>
    </row>
    <row r="60" ht="15" customHeight="1" s="202">
      <c r="A60" s="293" t="inlineStr">
        <is>
          <t>Total Fee Rate ↓  /  Overhead Rate →</t>
        </is>
      </c>
      <c r="B60" s="294" t="n">
        <v>0.07000000000000001</v>
      </c>
      <c r="C60" s="294" t="n">
        <v>0.08</v>
      </c>
      <c r="D60" s="294" t="n">
        <v>0.092</v>
      </c>
      <c r="E60" s="294" t="n">
        <v>0.1</v>
      </c>
      <c r="F60" s="294" t="n">
        <v>0.12</v>
      </c>
      <c r="G60" s="204" t="n"/>
      <c r="H60" s="204" t="n"/>
      <c r="I60" s="204" t="n"/>
    </row>
    <row r="61" ht="15" customHeight="1" s="202">
      <c r="A61" s="295" t="n">
        <v>0.1</v>
      </c>
      <c r="B61" s="282" t="n">
        <v>21535794</v>
      </c>
      <c r="C61" s="282" t="n">
        <v>21353287</v>
      </c>
      <c r="D61" s="282" t="n">
        <v>21138321</v>
      </c>
      <c r="E61" s="282" t="n">
        <v>20997399</v>
      </c>
      <c r="F61" s="282" t="n">
        <v>20653180</v>
      </c>
      <c r="G61" s="204" t="n"/>
      <c r="H61" s="204" t="n"/>
      <c r="I61" s="204" t="n"/>
    </row>
    <row r="62" ht="15" customHeight="1" s="202">
      <c r="A62" s="295" t="n">
        <v>0.12</v>
      </c>
      <c r="B62" s="282" t="n">
        <v>25408618</v>
      </c>
      <c r="C62" s="282" t="n">
        <v>25196879</v>
      </c>
      <c r="D62" s="282" t="n">
        <v>24947405</v>
      </c>
      <c r="E62" s="282" t="n">
        <v>24783816</v>
      </c>
      <c r="F62" s="282" t="n">
        <v>24384077</v>
      </c>
      <c r="G62" s="204" t="n"/>
      <c r="H62" s="204" t="n"/>
      <c r="I62" s="204" t="n"/>
    </row>
    <row r="63" ht="15" customHeight="1" s="202">
      <c r="A63" s="295" t="n">
        <v>0.14</v>
      </c>
      <c r="B63" s="282" t="n">
        <v>29153414</v>
      </c>
      <c r="C63" s="282" t="n">
        <v>28914451</v>
      </c>
      <c r="D63" s="296" t="n">
        <v>28632817</v>
      </c>
      <c r="E63" s="282" t="n">
        <v>28448089</v>
      </c>
      <c r="F63" s="282" t="n">
        <v>27996532</v>
      </c>
      <c r="G63" s="204" t="n"/>
      <c r="H63" s="204" t="n"/>
      <c r="I63" s="204" t="n"/>
    </row>
    <row r="64" ht="15" customHeight="1" s="202">
      <c r="A64" s="295" t="n">
        <v>0.16</v>
      </c>
      <c r="B64" s="282" t="n">
        <v>32776428</v>
      </c>
      <c r="C64" s="282" t="n">
        <v>32512102</v>
      </c>
      <c r="D64" s="282" t="n">
        <v>32200484</v>
      </c>
      <c r="E64" s="282" t="n">
        <v>31996037</v>
      </c>
      <c r="F64" s="282" t="n">
        <v>31496099</v>
      </c>
      <c r="G64" s="204" t="n"/>
      <c r="H64" s="204" t="n"/>
      <c r="I64" s="204" t="n"/>
    </row>
    <row r="65" ht="15" customHeight="1" s="202">
      <c r="A65" s="295" t="n">
        <v>0.18</v>
      </c>
      <c r="B65" s="282" t="n">
        <v>36283506</v>
      </c>
      <c r="C65" s="282" t="n">
        <v>35995542</v>
      </c>
      <c r="D65" s="282" t="n">
        <v>35655961</v>
      </c>
      <c r="E65" s="282" t="n">
        <v>35433111</v>
      </c>
      <c r="F65" s="282" t="n">
        <v>34887986</v>
      </c>
      <c r="G65" s="204" t="n"/>
      <c r="H65" s="204" t="n"/>
      <c r="I65" s="204" t="n"/>
    </row>
    <row r="66" ht="15" customHeight="1" s="202">
      <c r="A66" s="204" t="n"/>
      <c r="B66" s="204" t="n"/>
      <c r="C66" s="204" t="n"/>
      <c r="D66" s="204" t="n"/>
      <c r="E66" s="204" t="n"/>
      <c r="F66" s="204" t="n"/>
      <c r="G66" s="204" t="n"/>
      <c r="H66" s="204" t="n"/>
      <c r="I66" s="204" t="n"/>
    </row>
    <row r="67" ht="15" customHeight="1" s="202">
      <c r="A67" s="204" t="n"/>
      <c r="B67" s="204" t="n"/>
      <c r="C67" s="204" t="n"/>
      <c r="D67" s="204" t="n"/>
      <c r="E67" s="204" t="n"/>
      <c r="F67" s="204" t="n"/>
      <c r="G67" s="204" t="n"/>
      <c r="H67" s="204" t="n"/>
      <c r="I67" s="204" t="n"/>
    </row>
    <row r="68" ht="15" customHeight="1" s="202">
      <c r="A68" s="205" t="inlineStr">
        <is>
          <t>CASH POSITION ANALYSIS</t>
        </is>
      </c>
      <c r="B68" s="205" t="n"/>
      <c r="C68" s="205" t="n"/>
      <c r="D68" s="205" t="n"/>
      <c r="E68" s="205" t="n"/>
      <c r="F68" s="205" t="n"/>
      <c r="G68" s="204" t="n"/>
      <c r="H68" s="204" t="n"/>
      <c r="I68" s="204" t="n"/>
    </row>
    <row r="69" ht="15" customHeight="1" s="202">
      <c r="A69" s="209" t="inlineStr">
        <is>
          <t>Entity</t>
        </is>
      </c>
      <c r="B69" s="209" t="inlineStr">
        <is>
          <t>Starting Cash</t>
        </is>
      </c>
      <c r="C69" s="209" t="inlineStr">
        <is>
          <t>FY 2027 Cash</t>
        </is>
      </c>
      <c r="D69" s="209" t="inlineStr">
        <is>
          <t>FY 2029 Cash</t>
        </is>
      </c>
      <c r="E69" s="209" t="inlineStr">
        <is>
          <t>FY 2031 Cash</t>
        </is>
      </c>
      <c r="F69" s="209" t="inlineStr">
        <is>
          <t>FY 2033 Cash</t>
        </is>
      </c>
      <c r="G69" s="204" t="n"/>
      <c r="H69" s="204" t="n"/>
      <c r="I69" s="204" t="n"/>
    </row>
    <row r="70" ht="15" customHeight="1" s="202">
      <c r="A70" s="219" t="inlineStr">
        <is>
          <t>LV (GC)</t>
        </is>
      </c>
      <c r="B70" s="286">
        <f>'Annual Summary'!B41</f>
        <v/>
      </c>
      <c r="C70" s="282">
        <f>'Annual Summary'!C41</f>
        <v/>
      </c>
      <c r="D70" s="282">
        <f>'Annual Summary'!E41</f>
        <v/>
      </c>
      <c r="E70" s="282">
        <f>'Annual Summary'!G41</f>
        <v/>
      </c>
      <c r="F70" s="282">
        <f>'Annual Summary'!I41</f>
        <v/>
      </c>
      <c r="G70" s="204" t="n"/>
      <c r="H70" s="204" t="n"/>
      <c r="I70" s="204" t="n"/>
    </row>
    <row r="71" ht="15" customHeight="1" s="202">
      <c r="A71" s="219" t="inlineStr">
        <is>
          <t>Six Peak</t>
        </is>
      </c>
      <c r="B71" s="286">
        <f>'Annual Summary'!B42</f>
        <v/>
      </c>
      <c r="C71" s="282">
        <f>'Annual Summary'!C42</f>
        <v/>
      </c>
      <c r="D71" s="282">
        <f>'Annual Summary'!E42</f>
        <v/>
      </c>
      <c r="E71" s="282">
        <f>'Annual Summary'!G42</f>
        <v/>
      </c>
      <c r="F71" s="282">
        <f>'Annual Summary'!I42</f>
        <v/>
      </c>
      <c r="G71" s="204" t="n"/>
      <c r="H71" s="204" t="n"/>
      <c r="I71" s="204" t="n"/>
    </row>
    <row r="72" ht="15" customHeight="1" s="202">
      <c r="A72" s="291" t="inlineStr">
        <is>
          <t>Consolidated</t>
        </is>
      </c>
      <c r="B72" s="297">
        <f>'Annual Summary'!B43</f>
        <v/>
      </c>
      <c r="C72" s="298">
        <f>'Annual Summary'!C43</f>
        <v/>
      </c>
      <c r="D72" s="298">
        <f>'Annual Summary'!E43</f>
        <v/>
      </c>
      <c r="E72" s="298">
        <f>'Annual Summary'!G43</f>
        <v/>
      </c>
      <c r="F72" s="298">
        <f>'Annual Summary'!I43</f>
        <v/>
      </c>
      <c r="G72" s="204" t="n"/>
      <c r="H72" s="204" t="n"/>
      <c r="I72" s="204" t="n"/>
    </row>
    <row r="73" ht="15" customHeight="1" s="202">
      <c r="A73" s="204" t="n"/>
      <c r="B73" s="204" t="n"/>
      <c r="C73" s="204" t="n"/>
      <c r="D73" s="204" t="n"/>
      <c r="E73" s="204" t="n"/>
      <c r="F73" s="204" t="n"/>
      <c r="G73" s="204" t="n"/>
      <c r="H73" s="204" t="n"/>
      <c r="I73" s="204" t="n"/>
    </row>
    <row r="74" ht="15" customHeight="1" s="202">
      <c r="A74" s="204" t="n"/>
      <c r="B74" s="204" t="n"/>
      <c r="C74" s="204" t="n"/>
      <c r="D74" s="204" t="n"/>
      <c r="E74" s="204" t="n"/>
      <c r="F74" s="204" t="n"/>
      <c r="G74" s="204" t="n"/>
      <c r="H74" s="204" t="n"/>
      <c r="I74" s="204" t="n"/>
    </row>
    <row r="75" ht="15" customHeight="1" s="202">
      <c r="A75" s="205" t="inlineStr">
        <is>
          <t>STEYN GROUP — INVESTMENT &amp; FEE SUMMARY</t>
        </is>
      </c>
      <c r="B75" s="205" t="n"/>
      <c r="C75" s="205" t="n"/>
      <c r="D75" s="205" t="n"/>
      <c r="E75" s="205" t="n"/>
      <c r="F75" s="205" t="n"/>
      <c r="G75" s="204" t="n"/>
      <c r="H75" s="204" t="n"/>
      <c r="I75" s="204" t="n"/>
    </row>
    <row r="76" ht="15" customHeight="1" s="202">
      <c r="A76" s="209" t="inlineStr">
        <is>
          <t>Project</t>
        </is>
      </c>
      <c r="B76" s="209" t="inlineStr">
        <is>
          <t>Completion Guaranty</t>
        </is>
      </c>
      <c r="C76" s="209" t="inlineStr">
        <is>
          <t>Liquidity Fee</t>
        </is>
      </c>
      <c r="D76" s="209" t="inlineStr">
        <is>
          <t>PIK Invested</t>
        </is>
      </c>
      <c r="E76" s="209" t="inlineStr">
        <is>
          <t>Total Steyn Fees</t>
        </is>
      </c>
      <c r="F76" s="209" t="inlineStr">
        <is>
          <t>LIHTC Payback</t>
        </is>
      </c>
      <c r="G76" s="204" t="n"/>
      <c r="H76" s="204" t="n"/>
      <c r="I76" s="204" t="n"/>
    </row>
    <row r="77" ht="15" customHeight="1" s="202">
      <c r="A77" s="219" t="inlineStr">
        <is>
          <t>Klump</t>
        </is>
      </c>
      <c r="B77" s="273" t="n">
        <v>95771</v>
      </c>
      <c r="C77" s="273" t="n">
        <v>60000</v>
      </c>
      <c r="D77" s="273" t="n">
        <v>0</v>
      </c>
      <c r="E77" s="271" t="n">
        <v>155771</v>
      </c>
      <c r="F77" s="264" t="inlineStr">
        <is>
          <t>Non-LIHTC — paid at start</t>
        </is>
      </c>
      <c r="G77" s="204" t="n"/>
      <c r="H77" s="204" t="n"/>
      <c r="I77" s="204" t="n"/>
    </row>
    <row r="78" ht="15" customHeight="1" s="202">
      <c r="A78" s="219" t="inlineStr">
        <is>
          <t>Scott</t>
        </is>
      </c>
      <c r="B78" s="273" t="n">
        <v>75452</v>
      </c>
      <c r="C78" s="273" t="n">
        <v>60000</v>
      </c>
      <c r="D78" s="273" t="n">
        <v>0</v>
      </c>
      <c r="E78" s="271" t="n">
        <v>135452</v>
      </c>
      <c r="F78" s="264" t="inlineStr">
        <is>
          <t>Non-LIHTC — paid at start</t>
        </is>
      </c>
      <c r="G78" s="204" t="n"/>
      <c r="H78" s="204" t="n"/>
      <c r="I78" s="204" t="n"/>
    </row>
    <row r="79" ht="15" customHeight="1" s="202">
      <c r="A79" s="219" t="inlineStr">
        <is>
          <t>Francis</t>
        </is>
      </c>
      <c r="B79" s="273" t="n">
        <v>579684</v>
      </c>
      <c r="C79" s="273" t="n">
        <v>150000</v>
      </c>
      <c r="D79" s="273" t="n">
        <v>0</v>
      </c>
      <c r="E79" s="271" t="n">
        <v>729684</v>
      </c>
      <c r="F79" s="264" t="inlineStr">
        <is>
          <t>Quarterly from LIHTC rev</t>
        </is>
      </c>
      <c r="G79" s="204" t="n"/>
      <c r="H79" s="204" t="n"/>
      <c r="I79" s="204" t="n"/>
    </row>
    <row r="80" ht="15" customHeight="1" s="202">
      <c r="A80" s="219" t="inlineStr">
        <is>
          <t>Reseda</t>
        </is>
      </c>
      <c r="B80" s="273" t="n">
        <v>602668</v>
      </c>
      <c r="C80" s="273" t="n">
        <v>150000</v>
      </c>
      <c r="D80" s="273" t="n">
        <v>1450000</v>
      </c>
      <c r="E80" s="271" t="n">
        <v>752668</v>
      </c>
      <c r="F80" s="264" t="inlineStr">
        <is>
          <t>Quarterly from LIHTC rev</t>
        </is>
      </c>
      <c r="G80" s="204" t="n"/>
      <c r="H80" s="204" t="n"/>
      <c r="I80" s="204" t="n"/>
    </row>
    <row r="81" ht="15" customHeight="1" s="202">
      <c r="A81" s="219" t="inlineStr">
        <is>
          <t>3rd St</t>
        </is>
      </c>
      <c r="B81" s="273" t="n">
        <v>563546</v>
      </c>
      <c r="C81" s="273" t="n">
        <v>150000</v>
      </c>
      <c r="D81" s="273" t="n">
        <v>0</v>
      </c>
      <c r="E81" s="271" t="n">
        <v>713546</v>
      </c>
      <c r="F81" s="264" t="inlineStr">
        <is>
          <t>Pending — no revenue yet</t>
        </is>
      </c>
      <c r="G81" s="204" t="n"/>
      <c r="H81" s="204" t="n"/>
      <c r="I81" s="204" t="n"/>
    </row>
    <row r="82" ht="15" customHeight="1" s="202">
      <c r="A82" s="231" t="inlineStr">
        <is>
          <t>TOTAL</t>
        </is>
      </c>
      <c r="B82" s="270" t="n">
        <v>1917121</v>
      </c>
      <c r="C82" s="270" t="n">
        <v>570000</v>
      </c>
      <c r="D82" s="270" t="n">
        <v>1450000</v>
      </c>
      <c r="E82" s="270" t="n">
        <v>2487121</v>
      </c>
      <c r="F82" s="231" t="n"/>
      <c r="G82" s="204" t="n"/>
      <c r="H82" s="204" t="n"/>
      <c r="I82" s="204" t="n"/>
    </row>
    <row r="83" ht="15" customHeight="1" s="202">
      <c r="A83" s="204" t="n"/>
      <c r="B83" s="204" t="n"/>
      <c r="C83" s="204" t="n"/>
      <c r="D83" s="204" t="n"/>
      <c r="E83" s="204" t="n"/>
      <c r="F83" s="204" t="n"/>
      <c r="G83" s="204" t="n"/>
      <c r="H83" s="204" t="n"/>
      <c r="I83" s="204" t="n"/>
    </row>
    <row r="84" ht="15" customHeight="1" s="202">
      <c r="A84" s="204" t="n"/>
      <c r="B84" s="204" t="n"/>
      <c r="C84" s="204" t="n"/>
      <c r="D84" s="204" t="n"/>
      <c r="E84" s="204" t="n"/>
      <c r="F84" s="204" t="n"/>
      <c r="G84" s="204" t="n"/>
      <c r="H84" s="204" t="n"/>
      <c r="I84" s="204" t="n"/>
    </row>
    <row r="85" ht="15" customHeight="1" s="202">
      <c r="A85" s="205" t="inlineStr">
        <is>
          <t>TIER 2 BONDING SENSITIVITY — Reseda &amp; 3rd St</t>
        </is>
      </c>
      <c r="B85" s="205" t="n"/>
      <c r="C85" s="205" t="n"/>
      <c r="D85" s="205" t="n"/>
      <c r="E85" s="205" t="n"/>
      <c r="F85" s="205" t="n"/>
      <c r="G85" s="205" t="n"/>
      <c r="H85" s="204" t="n"/>
      <c r="I85" s="204" t="n"/>
    </row>
    <row r="86" ht="15" customHeight="1" s="202">
      <c r="A86" s="219" t="inlineStr">
        <is>
          <t>Tier 2 Bonded GMP (Reseda + 3rd St)</t>
        </is>
      </c>
      <c r="B86" s="286" t="n">
        <v>86621402</v>
      </c>
      <c r="C86" s="204" t="n"/>
      <c r="D86" s="204" t="n"/>
      <c r="E86" s="204" t="n"/>
      <c r="F86" s="204" t="n"/>
      <c r="G86" s="204" t="n"/>
      <c r="H86" s="204" t="n"/>
      <c r="I86" s="204" t="n"/>
    </row>
    <row r="87" ht="15" customHeight="1" s="202">
      <c r="A87" s="219" t="inlineStr">
        <is>
          <t>Current Tier 2 Rate</t>
        </is>
      </c>
      <c r="B87" s="299" t="n">
        <v>0.0325</v>
      </c>
      <c r="C87" s="204" t="n"/>
      <c r="D87" s="204" t="n"/>
      <c r="E87" s="204" t="n"/>
      <c r="F87" s="204" t="n"/>
      <c r="G87" s="204" t="n"/>
      <c r="H87" s="204" t="n"/>
      <c r="I87" s="204" t="n"/>
    </row>
    <row r="88" ht="15" customHeight="1" s="202">
      <c r="A88" s="219" t="inlineStr">
        <is>
          <t>Proposed Tier 2 Rate</t>
        </is>
      </c>
      <c r="B88" s="279" t="n">
        <v>0.015</v>
      </c>
      <c r="C88" s="204" t="n"/>
      <c r="D88" s="204" t="n"/>
      <c r="E88" s="204" t="n"/>
      <c r="F88" s="204" t="n"/>
      <c r="G88" s="204" t="n"/>
      <c r="H88" s="204" t="n"/>
      <c r="I88" s="204" t="n"/>
    </row>
    <row r="89" ht="15" customHeight="1" s="202">
      <c r="A89" s="209" t="n"/>
      <c r="B89" s="209" t="inlineStr">
        <is>
          <t>FY 2026</t>
        </is>
      </c>
      <c r="C89" s="209" t="inlineStr">
        <is>
          <t>FY 2027</t>
        </is>
      </c>
      <c r="D89" s="209" t="inlineStr">
        <is>
          <t>FY 2028</t>
        </is>
      </c>
      <c r="E89" s="209" t="inlineStr">
        <is>
          <t>FY 2029</t>
        </is>
      </c>
      <c r="F89" s="209" t="inlineStr">
        <is>
          <t>Total</t>
        </is>
      </c>
      <c r="G89" s="204" t="n"/>
      <c r="H89" s="204" t="n"/>
      <c r="I89" s="204" t="n"/>
    </row>
    <row r="90" ht="15" customHeight="1" s="202">
      <c r="A90" s="272" t="inlineStr">
        <is>
          <t>Current Cost (3.25%)</t>
        </is>
      </c>
      <c r="B90" s="273" t="n">
        <v>0</v>
      </c>
      <c r="C90" s="273" t="n">
        <v>-956261</v>
      </c>
      <c r="D90" s="273" t="n">
        <v>-1465718</v>
      </c>
      <c r="E90" s="273" t="n">
        <v>-967911</v>
      </c>
      <c r="F90" s="273" t="n">
        <v>-3389890</v>
      </c>
      <c r="G90" s="204" t="n"/>
      <c r="H90" s="204" t="n"/>
      <c r="I90" s="204" t="n"/>
    </row>
    <row r="91" ht="15" customHeight="1" s="202">
      <c r="A91" s="287" t="inlineStr">
        <is>
          <t>Reduced Cost (1.50%)</t>
        </is>
      </c>
      <c r="B91" s="269" t="n">
        <v>0</v>
      </c>
      <c r="C91" s="269" t="n">
        <v>-441351</v>
      </c>
      <c r="D91" s="269" t="n">
        <v>-676485</v>
      </c>
      <c r="E91" s="269" t="n">
        <v>-446728</v>
      </c>
      <c r="F91" s="269" t="n">
        <v>-1564564</v>
      </c>
      <c r="G91" s="204" t="n"/>
      <c r="H91" s="204" t="n"/>
      <c r="I91" s="204" t="n"/>
    </row>
    <row r="92" ht="15" customHeight="1" s="202">
      <c r="A92" s="231" t="inlineStr">
        <is>
          <t>Annual Savings</t>
        </is>
      </c>
      <c r="B92" s="270" t="n">
        <v>0</v>
      </c>
      <c r="C92" s="270" t="n">
        <v>514910</v>
      </c>
      <c r="D92" s="270" t="n">
        <v>789233</v>
      </c>
      <c r="E92" s="270" t="n">
        <v>521183</v>
      </c>
      <c r="F92" s="270" t="n">
        <v>1825325</v>
      </c>
      <c r="G92" s="204" t="n"/>
      <c r="H92" s="204" t="n"/>
      <c r="I92" s="204" t="n"/>
    </row>
    <row r="93" ht="15" customHeight="1" s="202">
      <c r="A93" s="204" t="n"/>
      <c r="B93" s="204" t="n"/>
      <c r="C93" s="204" t="n"/>
      <c r="D93" s="204" t="n"/>
      <c r="E93" s="204" t="n"/>
      <c r="F93" s="204" t="n"/>
      <c r="G93" s="204" t="n"/>
      <c r="H93" s="204" t="n"/>
      <c r="I93" s="204" t="n"/>
    </row>
    <row r="94" ht="15" customHeight="1" s="202">
      <c r="A94" s="204" t="n"/>
      <c r="B94" s="204" t="n"/>
      <c r="C94" s="204" t="n"/>
      <c r="D94" s="204" t="n"/>
      <c r="E94" s="204" t="n"/>
      <c r="F94" s="204" t="n"/>
      <c r="G94" s="204" t="n"/>
      <c r="H94" s="204" t="n"/>
      <c r="I94" s="204" t="n"/>
    </row>
    <row r="95" ht="15" customHeight="1" s="202">
      <c r="A95" s="205" t="inlineStr">
        <is>
          <t>BONDING LIQUIDITY — 2.5% of Outstanding</t>
        </is>
      </c>
      <c r="B95" s="205" t="n"/>
      <c r="C95" s="205" t="n"/>
      <c r="D95" s="205" t="n"/>
      <c r="E95" s="205" t="n"/>
      <c r="F95" s="205" t="n"/>
      <c r="G95" s="205" t="n"/>
      <c r="H95" s="204" t="n"/>
      <c r="I95" s="204" t="n"/>
    </row>
    <row r="96" ht="15" customHeight="1" s="202">
      <c r="A96" s="264" t="inlineStr">
        <is>
          <t>Assumes 2.5% liquidity required on total bonding outstanding. Tax distributions estimated at ~5% of GC NI.</t>
        </is>
      </c>
      <c r="B96" s="204" t="n"/>
      <c r="C96" s="204" t="n"/>
      <c r="D96" s="204" t="n"/>
      <c r="E96" s="204" t="n"/>
      <c r="F96" s="204" t="n"/>
      <c r="G96" s="204" t="n"/>
      <c r="H96" s="204" t="n"/>
      <c r="I96" s="204" t="n"/>
    </row>
    <row r="97" ht="15" customHeight="1" s="202">
      <c r="A97" s="209" t="n"/>
      <c r="B97" s="209" t="inlineStr">
        <is>
          <t>FY 2026</t>
        </is>
      </c>
      <c r="C97" s="209" t="inlineStr">
        <is>
          <t>FY 2027</t>
        </is>
      </c>
      <c r="D97" s="209" t="inlineStr">
        <is>
          <t>FY 2028</t>
        </is>
      </c>
      <c r="E97" s="209" t="inlineStr">
        <is>
          <t>FY 2029</t>
        </is>
      </c>
      <c r="F97" s="204" t="n"/>
      <c r="G97" s="204" t="n"/>
      <c r="H97" s="204" t="n"/>
      <c r="I97" s="204" t="n"/>
    </row>
    <row r="98" ht="15" customHeight="1" s="202">
      <c r="A98" s="219" t="inlineStr">
        <is>
          <t>Bonding Outstanding (Year-End)</t>
        </is>
      </c>
      <c r="B98" s="282">
        <f>'Annual Summary'!B39</f>
        <v/>
      </c>
      <c r="C98" s="282">
        <f>'Annual Summary'!C39</f>
        <v/>
      </c>
      <c r="D98" s="282">
        <f>'Annual Summary'!D39</f>
        <v/>
      </c>
      <c r="E98" s="282">
        <f>'Annual Summary'!E39</f>
        <v/>
      </c>
      <c r="F98" s="204" t="n"/>
      <c r="G98" s="204" t="n"/>
      <c r="H98" s="204" t="n"/>
      <c r="I98" s="204" t="n"/>
    </row>
    <row r="99" ht="15" customHeight="1" s="202">
      <c r="A99" s="272" t="inlineStr">
        <is>
          <t>2.5% Liquidity Requirement</t>
        </is>
      </c>
      <c r="B99" s="273">
        <f>B98*0.025</f>
        <v/>
      </c>
      <c r="C99" s="273">
        <f>C98*0.025</f>
        <v/>
      </c>
      <c r="D99" s="273">
        <f>D98*0.025</f>
        <v/>
      </c>
      <c r="E99" s="273">
        <f>E98*0.025</f>
        <v/>
      </c>
      <c r="F99" s="204" t="n"/>
      <c r="G99" s="204" t="n"/>
      <c r="H99" s="204" t="n"/>
      <c r="I99" s="204" t="n"/>
    </row>
    <row r="100" ht="15" customHeight="1" s="202">
      <c r="A100" s="219" t="inlineStr">
        <is>
          <t>Total Ending Cash (Baseline)</t>
        </is>
      </c>
      <c r="B100" s="282">
        <f>'Annual Summary'!B43</f>
        <v/>
      </c>
      <c r="C100" s="282">
        <f>'Annual Summary'!C43</f>
        <v/>
      </c>
      <c r="D100" s="282">
        <f>'Annual Summary'!D43</f>
        <v/>
      </c>
      <c r="E100" s="282">
        <f>'Annual Summary'!E43</f>
        <v/>
      </c>
      <c r="F100" s="204" t="n"/>
      <c r="G100" s="204" t="n"/>
      <c r="H100" s="204" t="n"/>
      <c r="I100" s="204" t="n"/>
    </row>
    <row r="101" ht="15" customHeight="1" s="202">
      <c r="A101" s="219" t="inlineStr">
        <is>
          <t>Est. Tax Distributions (~5% of GC NI)</t>
        </is>
      </c>
      <c r="B101" s="282">
        <f>'Annual Summary'!B15*0.05</f>
        <v/>
      </c>
      <c r="C101" s="282">
        <f>'Annual Summary'!C15*0.05</f>
        <v/>
      </c>
      <c r="D101" s="282">
        <f>'Annual Summary'!D15*0.05</f>
        <v/>
      </c>
      <c r="E101" s="282">
        <f>'Annual Summary'!E15*0.05</f>
        <v/>
      </c>
      <c r="F101" s="204" t="n"/>
      <c r="G101" s="204" t="n"/>
      <c r="H101" s="204" t="n"/>
      <c r="I101" s="204" t="n"/>
    </row>
    <row r="102" ht="15" customHeight="1" s="202">
      <c r="A102" s="219" t="inlineStr">
        <is>
          <t>Cash After Tax Distributions</t>
        </is>
      </c>
      <c r="B102" s="282">
        <f>B100+B101</f>
        <v/>
      </c>
      <c r="C102" s="282">
        <f>C100+C101</f>
        <v/>
      </c>
      <c r="D102" s="282">
        <f>D100+D101</f>
        <v/>
      </c>
      <c r="E102" s="282">
        <f>E100+E101</f>
        <v/>
      </c>
      <c r="F102" s="204" t="n"/>
      <c r="G102" s="204" t="n"/>
      <c r="H102" s="204" t="n"/>
      <c r="I102" s="204" t="n"/>
    </row>
    <row r="103" ht="15" customHeight="1" s="202">
      <c r="A103" s="231" t="inlineStr">
        <is>
          <t>Surplus / (Shortfall) vs Requirement</t>
        </is>
      </c>
      <c r="B103" s="270">
        <f>B102-B99</f>
        <v/>
      </c>
      <c r="C103" s="270">
        <f>C102-C99</f>
        <v/>
      </c>
      <c r="D103" s="270">
        <f>D102-D99</f>
        <v/>
      </c>
      <c r="E103" s="270">
        <f>E102-E99</f>
        <v/>
      </c>
      <c r="F103" s="204" t="n"/>
      <c r="G103" s="204" t="n"/>
      <c r="H103" s="204" t="n"/>
      <c r="I103" s="204" t="n"/>
    </row>
    <row r="104" ht="15" customHeight="1" s="202">
      <c r="A104" s="204" t="n"/>
      <c r="B104" s="204" t="n"/>
      <c r="C104" s="204" t="n"/>
      <c r="D104" s="204" t="n"/>
      <c r="E104" s="204" t="n"/>
      <c r="F104" s="204" t="n"/>
      <c r="G104" s="204" t="n"/>
      <c r="H104" s="204" t="n"/>
      <c r="I104" s="204" t="n"/>
    </row>
    <row r="105" ht="15" customHeight="1" s="202">
      <c r="A105" s="204" t="n"/>
      <c r="B105" s="204" t="n"/>
      <c r="C105" s="204" t="n"/>
      <c r="D105" s="204" t="n"/>
      <c r="E105" s="204" t="n"/>
      <c r="F105" s="204" t="n"/>
      <c r="G105" s="204" t="n"/>
      <c r="H105" s="204" t="n"/>
      <c r="I105" s="204" t="n"/>
    </row>
    <row r="106" ht="15" customHeight="1" s="202">
      <c r="A106" s="205" t="inlineStr">
        <is>
          <t>HVN PIPELINE — ESTIMATED GC REVENUE (3 New Deals)</t>
        </is>
      </c>
      <c r="B106" s="205" t="n"/>
      <c r="C106" s="205" t="n"/>
      <c r="D106" s="205" t="n"/>
      <c r="E106" s="205" t="n"/>
      <c r="F106" s="205" t="n"/>
      <c r="G106" s="205" t="n"/>
      <c r="H106" s="204" t="n"/>
      <c r="I106" s="204" t="n"/>
    </row>
    <row r="107" ht="15" customHeight="1" s="202">
      <c r="A107" s="219" t="inlineStr">
        <is>
          <t>Avg GMP (Califa/Whipple/Denny/Lexington/Acama)</t>
        </is>
      </c>
      <c r="B107" s="286" t="n">
        <v>15179956</v>
      </c>
      <c r="C107" s="204" t="n"/>
      <c r="D107" s="204" t="n"/>
      <c r="E107" s="204" t="n"/>
      <c r="F107" s="204" t="n"/>
      <c r="G107" s="204" t="n"/>
      <c r="H107" s="204" t="n"/>
      <c r="I107" s="204" t="n"/>
    </row>
    <row r="108" ht="15" customHeight="1" s="202">
      <c r="A108" s="219" t="inlineStr">
        <is>
          <t>Effective GC Revenue Rate on GMP</t>
        </is>
      </c>
      <c r="B108" s="299" t="n">
        <v>0.1136</v>
      </c>
      <c r="C108" s="204" t="n"/>
      <c r="D108" s="204" t="n"/>
      <c r="E108" s="204" t="n"/>
      <c r="F108" s="204" t="n"/>
      <c r="G108" s="204" t="n"/>
      <c r="H108" s="204" t="n"/>
      <c r="I108" s="204" t="n"/>
    </row>
    <row r="109" ht="15" customHeight="1" s="202">
      <c r="A109" s="219" t="inlineStr">
        <is>
          <t>Revenue Per Deal (over project life)</t>
        </is>
      </c>
      <c r="B109" s="271" t="n">
        <v>1724443</v>
      </c>
      <c r="C109" s="204" t="n"/>
      <c r="D109" s="204" t="n"/>
      <c r="E109" s="204" t="n"/>
      <c r="F109" s="204" t="n"/>
      <c r="G109" s="204" t="n"/>
      <c r="H109" s="204" t="n"/>
      <c r="I109" s="204" t="n"/>
    </row>
    <row r="110" ht="15" customHeight="1" s="202">
      <c r="A110" s="219" t="inlineStr">
        <is>
          <t>Number of New Deals (2 R2 + 1 R3)</t>
        </is>
      </c>
      <c r="B110" s="300" t="n">
        <v>3</v>
      </c>
      <c r="C110" s="204" t="n"/>
      <c r="D110" s="204" t="n"/>
      <c r="E110" s="204" t="n"/>
      <c r="F110" s="204" t="n"/>
      <c r="G110" s="204" t="n"/>
      <c r="H110" s="204" t="n"/>
      <c r="I110" s="204" t="n"/>
    </row>
    <row r="111" ht="15" customHeight="1" s="202">
      <c r="A111" s="231" t="inlineStr">
        <is>
          <t>Total New Pipeline GMP (3 deals)</t>
        </is>
      </c>
      <c r="B111" s="270" t="n">
        <v>45539868</v>
      </c>
      <c r="C111" s="231" t="n"/>
      <c r="D111" s="231" t="n"/>
      <c r="E111" s="231" t="n"/>
      <c r="F111" s="231" t="n"/>
      <c r="G111" s="204" t="n"/>
      <c r="H111" s="204" t="n"/>
      <c r="I111" s="204" t="n"/>
    </row>
    <row r="112" ht="15" customHeight="1" s="202">
      <c r="A112" s="204" t="n"/>
      <c r="B112" s="204" t="n"/>
      <c r="C112" s="204" t="n"/>
      <c r="D112" s="204" t="n"/>
      <c r="E112" s="204" t="n"/>
      <c r="F112" s="204" t="n"/>
      <c r="G112" s="204" t="n"/>
      <c r="H112" s="204" t="n"/>
      <c r="I112" s="204" t="n"/>
    </row>
    <row r="113" ht="15" customHeight="1" s="202">
      <c r="A113" s="263" t="inlineStr">
        <is>
          <t>Estimated Revenue Timeline (3 deals):</t>
        </is>
      </c>
      <c r="B113" s="204" t="n"/>
      <c r="C113" s="204" t="n"/>
      <c r="D113" s="204" t="n"/>
      <c r="E113" s="204" t="n"/>
      <c r="F113" s="204" t="n"/>
      <c r="G113" s="204" t="n"/>
      <c r="H113" s="204" t="n"/>
      <c r="I113" s="204" t="n"/>
    </row>
    <row r="114" ht="15" customHeight="1" s="202">
      <c r="A114" s="209" t="n"/>
      <c r="B114" s="209" t="inlineStr">
        <is>
          <t>FY 2027</t>
        </is>
      </c>
      <c r="C114" s="209" t="inlineStr">
        <is>
          <t>FY 2028</t>
        </is>
      </c>
      <c r="D114" s="209" t="inlineStr">
        <is>
          <t>FY 2029</t>
        </is>
      </c>
      <c r="E114" s="209" t="inlineStr">
        <is>
          <t>FY 2030</t>
        </is>
      </c>
      <c r="F114" s="209" t="inlineStr">
        <is>
          <t>Total</t>
        </is>
      </c>
      <c r="G114" s="204" t="n"/>
      <c r="H114" s="204" t="n"/>
      <c r="I114" s="204" t="n"/>
    </row>
    <row r="115" ht="15" customHeight="1" s="202">
      <c r="A115" s="219" t="inlineStr">
        <is>
          <t>2 Round 2 Deals (close ~Q3 FY27)</t>
        </is>
      </c>
      <c r="B115" s="282" t="n">
        <v>0</v>
      </c>
      <c r="C115" s="282" t="n">
        <v>1896887</v>
      </c>
      <c r="D115" s="282" t="n">
        <v>1379554</v>
      </c>
      <c r="E115" s="282" t="n">
        <v>172444</v>
      </c>
      <c r="F115" s="271" t="n">
        <v>3448885</v>
      </c>
      <c r="G115" s="204" t="n"/>
      <c r="H115" s="204" t="n"/>
      <c r="I115" s="204" t="n"/>
    </row>
    <row r="116" ht="15" customHeight="1" s="202">
      <c r="A116" s="219" t="inlineStr">
        <is>
          <t>1 Round 3 Deal (close ~Q1 FY28)</t>
        </is>
      </c>
      <c r="B116" s="282" t="n">
        <v>0</v>
      </c>
      <c r="C116" s="282" t="n">
        <v>603555</v>
      </c>
      <c r="D116" s="282" t="n">
        <v>948444</v>
      </c>
      <c r="E116" s="282" t="n">
        <v>172444</v>
      </c>
      <c r="F116" s="271" t="n">
        <v>1724443</v>
      </c>
      <c r="G116" s="204" t="n"/>
      <c r="H116" s="204" t="n"/>
      <c r="I116" s="204" t="n"/>
    </row>
    <row r="117" ht="15" customHeight="1" s="202">
      <c r="A117" s="231" t="inlineStr">
        <is>
          <t>Total New HVN Revenue</t>
        </is>
      </c>
      <c r="B117" s="270" t="n">
        <v>0</v>
      </c>
      <c r="C117" s="270" t="n">
        <v>2500442</v>
      </c>
      <c r="D117" s="270" t="n">
        <v>2327998</v>
      </c>
      <c r="E117" s="270" t="n">
        <v>344888</v>
      </c>
      <c r="F117" s="270" t="n">
        <v>5173328</v>
      </c>
      <c r="G117" s="204" t="n"/>
      <c r="H117" s="204" t="n"/>
      <c r="I117" s="204" t="n"/>
    </row>
    <row r="118" ht="15" customHeight="1" s="202">
      <c r="A118" s="204" t="n"/>
      <c r="B118" s="204" t="n"/>
      <c r="C118" s="204" t="n"/>
      <c r="D118" s="204" t="n"/>
      <c r="E118" s="204" t="n"/>
      <c r="F118" s="204" t="n"/>
      <c r="G118" s="204" t="n"/>
      <c r="H118" s="204" t="n"/>
      <c r="I118" s="204" t="n"/>
    </row>
    <row r="119" ht="15" customHeight="1" s="202">
      <c r="A119" s="264" t="inlineStr">
        <is>
          <t>FY28 revenue gap to breakeven: 1,225,136 → New pipeline covers 204%</t>
        </is>
      </c>
      <c r="B119" s="204" t="n"/>
      <c r="C119" s="204" t="n"/>
      <c r="D119" s="204" t="n"/>
      <c r="E119" s="204" t="n"/>
      <c r="F119" s="204" t="n"/>
      <c r="G119" s="204" t="n"/>
      <c r="H119" s="204" t="n"/>
      <c r="I119" s="204" t="n"/>
    </row>
    <row r="120" ht="15" customHeight="1" s="202">
      <c r="A120" s="204" t="n"/>
      <c r="B120" s="204" t="n"/>
      <c r="C120" s="204" t="n"/>
      <c r="D120" s="204" t="n"/>
      <c r="E120" s="204" t="n"/>
      <c r="F120" s="204" t="n"/>
      <c r="G120" s="204" t="n"/>
      <c r="H120" s="204" t="n"/>
      <c r="I120" s="204" t="n"/>
    </row>
    <row r="121" ht="15" customHeight="1" s="202">
      <c r="A121" s="204" t="n"/>
      <c r="B121" s="204" t="n"/>
      <c r="C121" s="204" t="n"/>
      <c r="D121" s="204" t="n"/>
      <c r="E121" s="204" t="n"/>
      <c r="F121" s="204" t="n"/>
      <c r="G121" s="204" t="n"/>
      <c r="H121" s="204" t="n"/>
      <c r="I121" s="204" t="n"/>
    </row>
    <row r="122" ht="15" customHeight="1" s="202">
      <c r="A122" s="205" t="inlineStr">
        <is>
          <t>PREFERRED EQUITY (PIK) — PAYOFF &amp; STEYN RETURNS</t>
        </is>
      </c>
      <c r="B122" s="205" t="n"/>
      <c r="C122" s="205" t="n"/>
      <c r="D122" s="205" t="n"/>
      <c r="E122" s="205" t="n"/>
      <c r="F122" s="205" t="n"/>
      <c r="G122" s="205" t="n"/>
      <c r="H122" s="204" t="n"/>
      <c r="I122" s="204" t="n"/>
    </row>
    <row r="123" ht="15" customHeight="1" s="202">
      <c r="A123" s="264" t="inlineStr">
        <is>
          <t>Reseda is the only active PIK investment. Capital accrues at 15%/yr (3.75% quarterly). Repaid from LIHTC revenue after Steyn fees.</t>
        </is>
      </c>
      <c r="B123" s="204" t="n"/>
      <c r="C123" s="204" t="n"/>
      <c r="D123" s="204" t="n"/>
      <c r="E123" s="204" t="n"/>
      <c r="F123" s="204" t="n"/>
      <c r="G123" s="204" t="n"/>
      <c r="H123" s="204" t="n"/>
      <c r="I123" s="204" t="n"/>
    </row>
    <row r="124" ht="15" customHeight="1" s="202">
      <c r="A124" s="209" t="n"/>
      <c r="B124" s="209" t="inlineStr">
        <is>
          <t>Amount</t>
        </is>
      </c>
      <c r="C124" s="209" t="inlineStr">
        <is>
          <t>Date / Month</t>
        </is>
      </c>
      <c r="D124" s="209" t="inlineStr">
        <is>
          <t>Notes</t>
        </is>
      </c>
      <c r="E124" s="204" t="n"/>
      <c r="F124" s="204" t="n"/>
      <c r="G124" s="204" t="n"/>
      <c r="H124" s="204" t="n"/>
      <c r="I124" s="204" t="n"/>
    </row>
    <row r="125" ht="15" customHeight="1" s="202">
      <c r="A125" s="219" t="inlineStr">
        <is>
          <t>Reseda — Capital Invested</t>
        </is>
      </c>
      <c r="B125" s="286" t="n">
        <v>1450000</v>
      </c>
      <c r="C125" s="228" t="inlineStr">
        <is>
          <t>Apr 2026 (Pre-model)</t>
        </is>
      </c>
      <c r="D125" s="264" t="inlineStr">
        <is>
          <t>Full amount deployed before model start</t>
        </is>
      </c>
      <c r="E125" s="204" t="n"/>
      <c r="F125" s="204" t="n"/>
      <c r="G125" s="204" t="n"/>
      <c r="H125" s="204" t="n"/>
      <c r="I125" s="204" t="n"/>
    </row>
    <row r="126" ht="15" customHeight="1" s="202">
      <c r="A126" s="219" t="inlineStr">
        <is>
          <t>Deal Distribution (Reseda)</t>
        </is>
      </c>
      <c r="B126" s="273" t="n">
        <v>-1450000</v>
      </c>
      <c r="C126" s="228" t="inlineStr">
        <is>
          <t>Apr 2027 (Mo 13)</t>
        </is>
      </c>
      <c r="D126" s="264" t="inlineStr">
        <is>
          <t>Returned at Reseda project start</t>
        </is>
      </c>
      <c r="E126" s="204" t="n"/>
      <c r="F126" s="204" t="n"/>
      <c r="G126" s="204" t="n"/>
      <c r="H126" s="204" t="n"/>
      <c r="I126" s="204" t="n"/>
    </row>
    <row r="127" ht="15" customHeight="1" s="202">
      <c r="A127" s="219" t="inlineStr">
        <is>
          <t>Remaining Balance (after dist)</t>
        </is>
      </c>
      <c r="B127" s="204" t="n"/>
      <c r="C127" s="228" t="inlineStr">
        <is>
          <t>Apr 2027</t>
        </is>
      </c>
      <c r="D127" s="264" t="inlineStr">
        <is>
          <t>Reduced balance accrues interest</t>
        </is>
      </c>
      <c r="E127" s="204" t="n"/>
      <c r="F127" s="204" t="n"/>
      <c r="G127" s="204" t="n"/>
      <c r="H127" s="204" t="n"/>
      <c r="I127" s="204" t="n"/>
    </row>
    <row r="128" ht="15" customHeight="1" s="202">
      <c r="A128" s="231" t="inlineStr">
        <is>
          <t>PIK Fully Paid Off</t>
        </is>
      </c>
      <c r="B128" s="270" t="n">
        <v>0</v>
      </c>
      <c r="C128" s="231" t="inlineStr">
        <is>
          <t>Apr 2030 (Mo 50)</t>
        </is>
      </c>
      <c r="D128" s="231" t="inlineStr">
        <is>
          <t>Repaid from LIHTC revenue after Steyn fees</t>
        </is>
      </c>
      <c r="E128" s="204" t="n"/>
      <c r="F128" s="204" t="n"/>
      <c r="G128" s="204" t="n"/>
      <c r="H128" s="204" t="n"/>
      <c r="I128" s="204" t="n"/>
    </row>
    <row r="129" ht="15" customHeight="1" s="202">
      <c r="A129" s="204" t="n"/>
      <c r="B129" s="204" t="n"/>
      <c r="C129" s="204" t="n"/>
      <c r="D129" s="204" t="n"/>
      <c r="E129" s="204" t="n"/>
      <c r="F129" s="204" t="n"/>
      <c r="G129" s="204" t="n"/>
      <c r="H129" s="204" t="n"/>
      <c r="I129" s="204" t="n"/>
    </row>
    <row r="130" ht="15" customHeight="1" s="202">
      <c r="A130" s="219" t="inlineStr">
        <is>
          <t>Total Interest Earned by Steyn</t>
        </is>
      </c>
      <c r="B130" s="301" t="n">
        <v>362885</v>
      </c>
      <c r="C130" s="228" t="inlineStr">
        <is>
          <t>Over 50 months</t>
        </is>
      </c>
      <c r="D130" s="264" t="inlineStr">
        <is>
          <t>15% annual accrual on outstanding balance</t>
        </is>
      </c>
      <c r="E130" s="204" t="n"/>
      <c r="F130" s="204" t="n"/>
      <c r="G130" s="204" t="n"/>
      <c r="H130" s="204" t="n"/>
      <c r="I130" s="204" t="n"/>
    </row>
    <row r="131" ht="15" customHeight="1" s="202">
      <c r="A131" s="231" t="inlineStr">
        <is>
          <t>Total Returned to Steyn</t>
        </is>
      </c>
      <c r="B131" s="270" t="n">
        <v>1812885</v>
      </c>
      <c r="C131" s="231" t="inlineStr">
        <is>
          <t>By Apr 2030</t>
        </is>
      </c>
      <c r="D131" s="231" t="inlineStr">
        <is>
          <t>Principal + interest = 1.25x return</t>
        </is>
      </c>
      <c r="E131" s="204" t="n"/>
      <c r="F131" s="204" t="n"/>
      <c r="G131" s="204" t="n"/>
      <c r="H131" s="204" t="n"/>
      <c r="I131" s="204" t="n"/>
    </row>
    <row r="132" ht="15" customHeight="1" s="202">
      <c r="A132" s="204" t="n"/>
      <c r="B132" s="204" t="n"/>
      <c r="C132" s="204" t="n"/>
      <c r="D132" s="204" t="n"/>
      <c r="E132" s="204" t="n"/>
      <c r="F132" s="204" t="n"/>
      <c r="G132" s="204" t="n"/>
      <c r="H132" s="204" t="n"/>
      <c r="I132" s="20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20" customWidth="1" style="201" min="1" max="1"/>
  </cols>
  <sheetData>
    <row r="1" ht="15" customHeight="1" s="202">
      <c r="A1" s="205" t="inlineStr">
        <is>
          <t>Curve</t>
        </is>
      </c>
      <c r="B1" s="206" t="inlineStr">
        <is>
          <t>Mo 1</t>
        </is>
      </c>
      <c r="C1" s="206" t="inlineStr">
        <is>
          <t>Mo 2</t>
        </is>
      </c>
      <c r="D1" s="206" t="inlineStr">
        <is>
          <t>Mo 3</t>
        </is>
      </c>
      <c r="E1" s="206" t="inlineStr">
        <is>
          <t>Mo 4</t>
        </is>
      </c>
      <c r="F1" s="206" t="inlineStr">
        <is>
          <t>Mo 5</t>
        </is>
      </c>
      <c r="G1" s="206" t="inlineStr">
        <is>
          <t>Mo 6</t>
        </is>
      </c>
      <c r="H1" s="206" t="inlineStr">
        <is>
          <t>Mo 7</t>
        </is>
      </c>
      <c r="I1" s="206" t="inlineStr">
        <is>
          <t>Mo 8</t>
        </is>
      </c>
      <c r="J1" s="206" t="inlineStr">
        <is>
          <t>Mo 9</t>
        </is>
      </c>
      <c r="K1" s="206" t="inlineStr">
        <is>
          <t>Mo 10</t>
        </is>
      </c>
      <c r="L1" s="206" t="inlineStr">
        <is>
          <t>Mo 11</t>
        </is>
      </c>
      <c r="M1" s="206" t="inlineStr">
        <is>
          <t>Mo 12</t>
        </is>
      </c>
      <c r="N1" s="206" t="inlineStr">
        <is>
          <t>Mo 13</t>
        </is>
      </c>
      <c r="O1" s="206" t="inlineStr">
        <is>
          <t>Mo 14</t>
        </is>
      </c>
      <c r="P1" s="206" t="inlineStr">
        <is>
          <t>Mo 15</t>
        </is>
      </c>
      <c r="Q1" s="206" t="inlineStr">
        <is>
          <t>Mo 16</t>
        </is>
      </c>
      <c r="R1" s="206" t="inlineStr">
        <is>
          <t>Mo 17</t>
        </is>
      </c>
      <c r="S1" s="206" t="inlineStr">
        <is>
          <t>Mo 18</t>
        </is>
      </c>
      <c r="T1" s="206" t="inlineStr">
        <is>
          <t>Mo 19</t>
        </is>
      </c>
      <c r="U1" s="206" t="inlineStr">
        <is>
          <t>Mo 20</t>
        </is>
      </c>
      <c r="V1" s="206" t="inlineStr">
        <is>
          <t>Mo 21</t>
        </is>
      </c>
      <c r="W1" s="206" t="inlineStr">
        <is>
          <t>Mo 22</t>
        </is>
      </c>
      <c r="X1" s="206" t="inlineStr">
        <is>
          <t>Mo 23</t>
        </is>
      </c>
      <c r="Y1" s="206" t="inlineStr">
        <is>
          <t>Mo 24</t>
        </is>
      </c>
      <c r="Z1" s="206" t="inlineStr">
        <is>
          <t>Mo 25</t>
        </is>
      </c>
      <c r="AA1" s="206" t="inlineStr">
        <is>
          <t>Mo 26</t>
        </is>
      </c>
      <c r="AB1" s="206" t="inlineStr">
        <is>
          <t>Mo 27</t>
        </is>
      </c>
      <c r="AC1" s="206" t="inlineStr">
        <is>
          <t>Mo 28</t>
        </is>
      </c>
      <c r="AD1" s="206" t="inlineStr">
        <is>
          <t>Mo 29</t>
        </is>
      </c>
      <c r="AE1" s="206" t="inlineStr">
        <is>
          <t>Mo 30</t>
        </is>
      </c>
      <c r="AF1" s="206" t="inlineStr">
        <is>
          <t>Mo 31</t>
        </is>
      </c>
      <c r="AG1" s="206" t="inlineStr">
        <is>
          <t>Mo 32</t>
        </is>
      </c>
      <c r="AH1" s="206" t="inlineStr">
        <is>
          <t>Mo 33</t>
        </is>
      </c>
      <c r="AI1" s="206" t="inlineStr">
        <is>
          <t>Mo 34</t>
        </is>
      </c>
      <c r="AJ1" s="206" t="inlineStr">
        <is>
          <t>Mo 35</t>
        </is>
      </c>
      <c r="AK1" s="206" t="inlineStr">
        <is>
          <t>Mo 36</t>
        </is>
      </c>
      <c r="AL1" s="206" t="inlineStr">
        <is>
          <t>Mo 37</t>
        </is>
      </c>
      <c r="AM1" s="206" t="inlineStr">
        <is>
          <t>Mo 38</t>
        </is>
      </c>
      <c r="AN1" s="206" t="inlineStr">
        <is>
          <t>Mo 39</t>
        </is>
      </c>
      <c r="AO1" s="206" t="inlineStr">
        <is>
          <t>Mo 40</t>
        </is>
      </c>
    </row>
    <row r="2" ht="15" customHeight="1" s="202">
      <c r="A2" s="302" t="inlineStr">
        <is>
          <t>Curve 1</t>
        </is>
      </c>
      <c r="B2" s="303" t="n">
        <v>0.016101</v>
      </c>
      <c r="C2" s="303" t="n">
        <v>0.018518</v>
      </c>
      <c r="D2" s="303" t="n">
        <v>0.021087</v>
      </c>
      <c r="E2" s="303" t="n">
        <v>0.023773</v>
      </c>
      <c r="F2" s="303" t="n">
        <v>0.026535</v>
      </c>
      <c r="G2" s="303" t="n">
        <v>0.029323</v>
      </c>
      <c r="H2" s="303" t="n">
        <v>0.032082</v>
      </c>
      <c r="I2" s="303" t="n">
        <v>0.034752</v>
      </c>
      <c r="J2" s="303" t="n">
        <v>0.037269</v>
      </c>
      <c r="K2" s="303" t="n">
        <v>0.039572</v>
      </c>
      <c r="L2" s="303" t="n">
        <v>0.041599</v>
      </c>
      <c r="M2" s="303" t="n">
        <v>0.043295</v>
      </c>
      <c r="N2" s="303" t="n">
        <v>0.044613</v>
      </c>
      <c r="O2" s="303" t="n">
        <v>0.045513</v>
      </c>
      <c r="P2" s="303" t="n">
        <v>0.04597</v>
      </c>
      <c r="Q2" s="303" t="n">
        <v>0.04597</v>
      </c>
      <c r="R2" s="303" t="n">
        <v>0.045513</v>
      </c>
      <c r="S2" s="303" t="n">
        <v>0.044613</v>
      </c>
      <c r="T2" s="303" t="n">
        <v>0.043295</v>
      </c>
      <c r="U2" s="303" t="n">
        <v>0.041599</v>
      </c>
      <c r="V2" s="303" t="n">
        <v>0.039572</v>
      </c>
      <c r="W2" s="303" t="n">
        <v>0.037269</v>
      </c>
      <c r="X2" s="303" t="n">
        <v>0.034752</v>
      </c>
      <c r="Y2" s="303" t="n">
        <v>0.032082</v>
      </c>
      <c r="Z2" s="303" t="n">
        <v>0.029323</v>
      </c>
      <c r="AA2" s="303" t="n">
        <v>0.026535</v>
      </c>
      <c r="AB2" s="303" t="n">
        <v>0.023773</v>
      </c>
      <c r="AC2" s="303" t="n">
        <v>0.021087</v>
      </c>
      <c r="AD2" s="303" t="n">
        <v>0.018518</v>
      </c>
      <c r="AE2" s="303" t="n">
        <v>0.016101</v>
      </c>
    </row>
    <row r="3" ht="15" customHeight="1" s="202">
      <c r="A3" s="302" t="inlineStr">
        <is>
          <t>Curve 2</t>
        </is>
      </c>
      <c r="B3" s="303" t="n">
        <v>0.020497</v>
      </c>
      <c r="C3" s="303" t="n">
        <v>0.024336</v>
      </c>
      <c r="D3" s="303" t="n">
        <v>0.028445</v>
      </c>
      <c r="E3" s="303" t="n">
        <v>0.032735</v>
      </c>
      <c r="F3" s="303" t="n">
        <v>0.037087</v>
      </c>
      <c r="G3" s="303" t="n">
        <v>0.041368</v>
      </c>
      <c r="H3" s="303" t="n">
        <v>0.045428</v>
      </c>
      <c r="I3" s="303" t="n">
        <v>0.049114</v>
      </c>
      <c r="J3" s="303" t="n">
        <v>0.052278</v>
      </c>
      <c r="K3" s="303" t="n">
        <v>0.054783</v>
      </c>
      <c r="L3" s="303" t="n">
        <v>0.05652</v>
      </c>
      <c r="M3" s="303" t="n">
        <v>0.057409</v>
      </c>
      <c r="N3" s="303" t="n">
        <v>0.057409</v>
      </c>
      <c r="O3" s="303" t="n">
        <v>0.05652</v>
      </c>
      <c r="P3" s="303" t="n">
        <v>0.054783</v>
      </c>
      <c r="Q3" s="303" t="n">
        <v>0.052278</v>
      </c>
      <c r="R3" s="303" t="n">
        <v>0.049114</v>
      </c>
      <c r="S3" s="303" t="n">
        <v>0.045428</v>
      </c>
      <c r="T3" s="303" t="n">
        <v>0.041368</v>
      </c>
      <c r="U3" s="303" t="n">
        <v>0.037087</v>
      </c>
      <c r="V3" s="303" t="n">
        <v>0.032735</v>
      </c>
      <c r="W3" s="303" t="n">
        <v>0.028445</v>
      </c>
      <c r="X3" s="303" t="n">
        <v>0.024336</v>
      </c>
      <c r="Y3" s="303" t="n">
        <v>0.020497</v>
      </c>
    </row>
    <row r="4" ht="15" customHeight="1" s="202">
      <c r="A4" s="302" t="inlineStr">
        <is>
          <t>Curve 3</t>
        </is>
      </c>
      <c r="B4" s="303" t="n">
        <v>0.026517</v>
      </c>
      <c r="C4" s="303" t="n">
        <v>0.032761</v>
      </c>
      <c r="D4" s="303" t="n">
        <v>0.039482</v>
      </c>
      <c r="E4" s="303" t="n">
        <v>0.046412</v>
      </c>
      <c r="F4" s="303" t="n">
        <v>0.053218</v>
      </c>
      <c r="G4" s="303" t="n">
        <v>0.059522</v>
      </c>
      <c r="H4" s="303" t="n">
        <v>0.06493699999999999</v>
      </c>
      <c r="I4" s="303" t="n">
        <v>0.069104</v>
      </c>
      <c r="J4" s="303" t="n">
        <v>0.071732</v>
      </c>
      <c r="K4" s="303" t="n">
        <v>0.07263</v>
      </c>
      <c r="L4" s="303" t="n">
        <v>0.071732</v>
      </c>
      <c r="M4" s="303" t="n">
        <v>0.069104</v>
      </c>
      <c r="N4" s="303" t="n">
        <v>0.06493699999999999</v>
      </c>
      <c r="O4" s="303" t="n">
        <v>0.059522</v>
      </c>
      <c r="P4" s="303" t="n">
        <v>0.053218</v>
      </c>
      <c r="Q4" s="303" t="n">
        <v>0.046412</v>
      </c>
      <c r="R4" s="303" t="n">
        <v>0.039482</v>
      </c>
      <c r="S4" s="303" t="n">
        <v>0.032761</v>
      </c>
      <c r="T4" s="303" t="n">
        <v>0.026517</v>
      </c>
    </row>
    <row r="5" ht="15" customHeight="1" s="202">
      <c r="A5" s="304" t="inlineStr">
        <is>
          <t>Renormalized (In-Place)</t>
        </is>
      </c>
    </row>
    <row r="6" ht="15" customHeight="1" s="202">
      <c r="A6" s="302" t="inlineStr">
        <is>
          <t>Crenshaw</t>
        </is>
      </c>
      <c r="B6" s="303" t="n">
        <v>0.176029532991649</v>
      </c>
      <c r="C6" s="303" t="n">
        <v>0.162818536970001</v>
      </c>
      <c r="D6" s="303" t="n">
        <v>0.148267087201176</v>
      </c>
      <c r="E6" s="303" t="n">
        <v>0.1329235511272</v>
      </c>
      <c r="F6" s="303" t="n">
        <v>0.117325543887316</v>
      </c>
      <c r="G6" s="303" t="n">
        <v>0.101949750904986</v>
      </c>
      <c r="H6" s="303" t="n">
        <v>0.0872226801906742</v>
      </c>
      <c r="I6" s="303" t="n">
        <v>0.073463316726999</v>
      </c>
    </row>
    <row r="7" ht="15" customHeight="1" s="202">
      <c r="A7" s="302" t="inlineStr">
        <is>
          <t>Ramsgate</t>
        </is>
      </c>
      <c r="B7" s="303" t="n">
        <v>0.07250863396163609</v>
      </c>
      <c r="C7" s="303" t="n">
        <v>0.07598302334290349</v>
      </c>
      <c r="D7" s="303" t="n">
        <v>0.0783922107102734</v>
      </c>
      <c r="E7" s="303" t="n">
        <v>0.0796252375206314</v>
      </c>
      <c r="F7" s="303" t="n">
        <v>0.0796252375206314</v>
      </c>
      <c r="G7" s="303" t="n">
        <v>0.0783922107102734</v>
      </c>
      <c r="H7" s="303" t="n">
        <v>0.07598302334290349</v>
      </c>
      <c r="I7" s="303" t="n">
        <v>0.07250863396163609</v>
      </c>
      <c r="J7" s="303" t="n">
        <v>0.0681202235814644</v>
      </c>
      <c r="K7" s="303" t="n">
        <v>0.0630078087074717</v>
      </c>
      <c r="L7" s="303" t="n">
        <v>0.0573766626444195</v>
      </c>
      <c r="M7" s="303" t="n">
        <v>0.051438993606014</v>
      </c>
      <c r="N7" s="303" t="n">
        <v>0.0454028488605945</v>
      </c>
      <c r="O7" s="303" t="n">
        <v>0.0394526969860886</v>
      </c>
      <c r="P7" s="303" t="n">
        <v>0.0337535888153789</v>
      </c>
      <c r="Q7" s="303" t="n">
        <v>0.02842896572768</v>
      </c>
    </row>
    <row r="8" ht="15" customHeight="1" s="202">
      <c r="A8" s="302" t="inlineStr">
        <is>
          <t>Califa</t>
        </is>
      </c>
      <c r="B8" s="303" t="n">
        <v>0.0622557988273664</v>
      </c>
      <c r="C8" s="303" t="n">
        <v>0.0696303817844058</v>
      </c>
      <c r="D8" s="303" t="n">
        <v>0.07596498944816971</v>
      </c>
      <c r="E8" s="303" t="n">
        <v>0.0808396542930274</v>
      </c>
      <c r="F8" s="303" t="n">
        <v>0.0839139569597627</v>
      </c>
      <c r="G8" s="303" t="n">
        <v>0.0849644606868282</v>
      </c>
      <c r="H8" s="303" t="n">
        <v>0.0839139569597627</v>
      </c>
      <c r="I8" s="303" t="n">
        <v>0.0808396542930274</v>
      </c>
      <c r="J8" s="303" t="n">
        <v>0.07596498944816971</v>
      </c>
      <c r="K8" s="303" t="n">
        <v>0.0696303817844058</v>
      </c>
      <c r="L8" s="303" t="n">
        <v>0.0622557988273664</v>
      </c>
      <c r="M8" s="303" t="n">
        <v>0.0542939632300299</v>
      </c>
      <c r="N8" s="303" t="n">
        <v>0.0461870692115841</v>
      </c>
      <c r="O8" s="303" t="n">
        <v>0.038324668822266</v>
      </c>
      <c r="P8" s="303" t="n">
        <v>0.031020275423828</v>
      </c>
    </row>
    <row r="9" ht="15" customHeight="1" s="202">
      <c r="A9" s="302" t="inlineStr">
        <is>
          <t>Whipple</t>
        </is>
      </c>
      <c r="B9" s="303" t="n">
        <v>0.0622557988273664</v>
      </c>
      <c r="C9" s="303" t="n">
        <v>0.0696303817844058</v>
      </c>
      <c r="D9" s="303" t="n">
        <v>0.07596498944816971</v>
      </c>
      <c r="E9" s="303" t="n">
        <v>0.0808396542930274</v>
      </c>
      <c r="F9" s="303" t="n">
        <v>0.0839139569597627</v>
      </c>
      <c r="G9" s="303" t="n">
        <v>0.0849644606868282</v>
      </c>
      <c r="H9" s="303" t="n">
        <v>0.0839139569597627</v>
      </c>
      <c r="I9" s="303" t="n">
        <v>0.0808396542930274</v>
      </c>
      <c r="J9" s="303" t="n">
        <v>0.07596498944816971</v>
      </c>
      <c r="K9" s="303" t="n">
        <v>0.0696303817844058</v>
      </c>
      <c r="L9" s="303" t="n">
        <v>0.0622557988273664</v>
      </c>
      <c r="M9" s="303" t="n">
        <v>0.0542939632300299</v>
      </c>
      <c r="N9" s="303" t="n">
        <v>0.0461870692115841</v>
      </c>
      <c r="O9" s="303" t="n">
        <v>0.038324668822266</v>
      </c>
      <c r="P9" s="303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D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40" customWidth="1" style="201" min="1" max="1"/>
    <col width="15" customWidth="1" style="201" min="2" max="2"/>
  </cols>
  <sheetData>
    <row r="1" ht="17.25" customHeight="1" s="202">
      <c r="A1" s="305" t="inlineStr">
        <is>
          <t>Six Peak Capital - Model Assumptions</t>
        </is>
      </c>
    </row>
    <row r="2"/>
    <row r="3" ht="15" customHeight="1" s="202">
      <c r="A3" s="209" t="inlineStr">
        <is>
          <t>GC Fee Structure</t>
        </is>
      </c>
      <c r="B3" s="209" t="n"/>
      <c r="C3" s="209" t="n"/>
      <c r="D3" s="209" t="n"/>
    </row>
    <row r="4" ht="15" customHeight="1" s="202">
      <c r="A4" s="302" t="inlineStr">
        <is>
          <t>Field Supervision Rate</t>
        </is>
      </c>
      <c r="B4" s="303" t="n">
        <v>0.06</v>
      </c>
    </row>
    <row r="5" ht="15" customHeight="1" s="202">
      <c r="A5" s="302" t="inlineStr">
        <is>
          <t>GC-CM Fee Rate</t>
        </is>
      </c>
      <c r="B5" s="303" t="n">
        <v>0.06</v>
      </c>
    </row>
    <row r="6" ht="15" customHeight="1" s="202">
      <c r="A6" s="302" t="inlineStr">
        <is>
          <t>Project Admin Rate</t>
        </is>
      </c>
      <c r="B6" s="303" t="n">
        <v>0.02</v>
      </c>
    </row>
    <row r="7" ht="15" customHeight="1" s="202">
      <c r="A7" s="302" t="inlineStr">
        <is>
          <t>Total Fee Rate</t>
        </is>
      </c>
      <c r="B7" s="306">
        <f>B4+B5+B6</f>
        <v/>
      </c>
    </row>
    <row r="8" ht="15" customHeight="1" s="202">
      <c r="A8" s="302" t="inlineStr">
        <is>
          <t>Overhead Rate</t>
        </is>
      </c>
      <c r="B8" s="303" t="n">
        <v>0.092</v>
      </c>
    </row>
    <row r="9" ht="15" customHeight="1" s="202">
      <c r="A9" s="302" t="inlineStr">
        <is>
          <t>Effective Revenue Rate on GMP</t>
        </is>
      </c>
      <c r="B9" s="306">
        <f>B7/(1+B7+B8)</f>
        <v/>
      </c>
    </row>
    <row r="10" ht="15" customHeight="1" s="202">
      <c r="A10" s="302" t="inlineStr">
        <is>
          <t>Supervision Rate on GMP</t>
        </is>
      </c>
      <c r="B10" s="306">
        <f>B4/(1+B7+B8)</f>
        <v/>
      </c>
    </row>
    <row r="11" ht="15" customHeight="1" s="202">
      <c r="A11" s="302" t="inlineStr">
        <is>
          <t>GC-CM Fee Rate on GMP</t>
        </is>
      </c>
      <c r="B11" s="306">
        <f>B5/(1+B7+B8)</f>
        <v/>
      </c>
    </row>
    <row r="12" ht="15" customHeight="1" s="202">
      <c r="A12" s="302" t="inlineStr">
        <is>
          <t>Admin Rate on GMP</t>
        </is>
      </c>
      <c r="B12" s="306">
        <f>B6/(1+B7+B8)</f>
        <v/>
      </c>
    </row>
    <row r="13"/>
    <row r="14" ht="15" customHeight="1" s="202">
      <c r="A14" s="209" t="inlineStr">
        <is>
          <t>Bonding</t>
        </is>
      </c>
      <c r="B14" s="209" t="n"/>
      <c r="C14" s="209" t="n"/>
      <c r="D14" s="209" t="n"/>
    </row>
    <row r="15" ht="15" customHeight="1" s="202">
      <c r="A15" s="302" t="inlineStr">
        <is>
          <t>Bonding Revenue Rate</t>
        </is>
      </c>
      <c r="B15" s="303" t="n">
        <v>0.015</v>
      </c>
    </row>
    <row r="16" ht="15" customHeight="1" s="202">
      <c r="A16" s="302" t="inlineStr">
        <is>
          <t>Tier 1 Bond Cost Rate</t>
        </is>
      </c>
      <c r="B16" s="303" t="n">
        <v>0.0074</v>
      </c>
    </row>
    <row r="17" ht="15" customHeight="1" s="202">
      <c r="A17" s="302" t="inlineStr">
        <is>
          <t>Tier 2 Bond Cost Rate</t>
        </is>
      </c>
      <c r="B17" s="303" t="n">
        <v>0.0325</v>
      </c>
    </row>
    <row r="18"/>
    <row r="19" ht="15" customHeight="1" s="202">
      <c r="A19" s="209" t="inlineStr">
        <is>
          <t>Payroll Burden Rates</t>
        </is>
      </c>
      <c r="B19" s="209" t="n"/>
      <c r="C19" s="209" t="n"/>
      <c r="D19" s="209" t="n"/>
    </row>
    <row r="20" ht="15" customHeight="1" s="202">
      <c r="A20" s="302" t="inlineStr">
        <is>
          <t>Payroll Tax Rate</t>
        </is>
      </c>
      <c r="B20" s="303" t="n">
        <v>0.15</v>
      </c>
    </row>
    <row r="21" ht="15" customHeight="1" s="202">
      <c r="A21" s="302" t="inlineStr">
        <is>
          <t>Payroll Servicing Rate</t>
        </is>
      </c>
      <c r="B21" s="303" t="n">
        <v>0.005</v>
      </c>
    </row>
    <row r="22" ht="15" customHeight="1" s="202">
      <c r="A22" s="302" t="inlineStr">
        <is>
          <t>Employee Benefits Rate</t>
        </is>
      </c>
      <c r="B22" s="303" t="n">
        <v>0.121</v>
      </c>
    </row>
    <row r="23" ht="15" customHeight="1" s="202">
      <c r="A23" s="302" t="inlineStr">
        <is>
          <t>Workers Comp Rate</t>
        </is>
      </c>
      <c r="B23" s="303" t="n">
        <v>0.008999999999999999</v>
      </c>
    </row>
    <row r="24"/>
    <row r="25" ht="15" customHeight="1" s="202">
      <c r="A25" s="209" t="inlineStr">
        <is>
          <t>Expense Escalation</t>
        </is>
      </c>
      <c r="B25" s="209" t="n"/>
      <c r="C25" s="209" t="n"/>
      <c r="D25" s="209" t="n"/>
    </row>
    <row r="26" ht="15" customHeight="1" s="202">
      <c r="A26" s="302" t="inlineStr">
        <is>
          <t>Annual Expense Escalation Rate</t>
        </is>
      </c>
      <c r="B26" s="279" t="n">
        <v>0.02</v>
      </c>
    </row>
    <row r="27"/>
    <row r="28" ht="15" customHeight="1" s="202">
      <c r="A28" s="209" t="inlineStr">
        <is>
          <t>Beginning Cash Balances</t>
        </is>
      </c>
      <c r="B28" s="209" t="n"/>
      <c r="C28" s="209" t="n"/>
      <c r="D28" s="209" t="n"/>
    </row>
    <row r="29" ht="15" customHeight="1" s="202">
      <c r="A29" s="302" t="inlineStr">
        <is>
          <t>LV (GC) Beginning Cash</t>
        </is>
      </c>
      <c r="B29" s="281" t="n">
        <v>1651915.69</v>
      </c>
    </row>
    <row r="30" ht="15" customHeight="1" s="202">
      <c r="A30" s="302" t="inlineStr">
        <is>
          <t>Six Peak Beginning Cash</t>
        </is>
      </c>
      <c r="B30" s="281" t="n">
        <v>451631.16</v>
      </c>
    </row>
    <row r="31"/>
    <row r="32" ht="15" customHeight="1" s="202">
      <c r="A32" s="209" t="inlineStr">
        <is>
          <t>Debt Facility</t>
        </is>
      </c>
      <c r="B32" s="209" t="n"/>
      <c r="C32" s="209" t="n"/>
      <c r="D32" s="209" t="n"/>
    </row>
    <row r="33" ht="15" customHeight="1" s="202">
      <c r="A33" s="302" t="inlineStr">
        <is>
          <t>Debt Starting Balance (Apr 2026)</t>
        </is>
      </c>
      <c r="B33" s="281" t="n">
        <v>1615485</v>
      </c>
    </row>
    <row r="34" ht="15" customHeight="1" s="202">
      <c r="A34" s="302" t="inlineStr">
        <is>
          <t>Interest Rate (Annual)</t>
        </is>
      </c>
      <c r="B34" s="303" t="n">
        <v>0.15</v>
      </c>
    </row>
    <row r="35" ht="15" customHeight="1" s="202">
      <c r="A35" s="302" t="inlineStr">
        <is>
          <t>Quarterly Rate</t>
        </is>
      </c>
      <c r="B35" s="306">
        <f>B34/4</f>
        <v/>
      </c>
    </row>
    <row r="36" ht="15" customHeight="1" s="202">
      <c r="A36" s="302" t="inlineStr">
        <is>
          <t>Monthly Payment Amount</t>
        </is>
      </c>
      <c r="B36" s="281" t="n">
        <v>130000</v>
      </c>
    </row>
    <row r="37" ht="15" customHeight="1" s="202">
      <c r="A37" s="302" t="inlineStr">
        <is>
          <t>First Payment Month #</t>
        </is>
      </c>
      <c r="B37" s="307" t="n">
        <v>7</v>
      </c>
    </row>
    <row r="38" ht="15" customHeight="1" s="202">
      <c r="A38" s="308" t="inlineStr">
        <is>
          <t>(Month 7 = Oct 2026, paid off Dec 2027)</t>
        </is>
      </c>
    </row>
    <row r="39"/>
    <row r="40" ht="15" customHeight="1" s="202">
      <c r="A40" s="209" t="inlineStr">
        <is>
          <t>Row Run Capital LLC</t>
        </is>
      </c>
      <c r="B40" s="209" t="n"/>
      <c r="C40" s="209" t="n"/>
      <c r="D40" s="209" t="n"/>
    </row>
    <row r="41" ht="15" customHeight="1" s="202">
      <c r="A41" s="302" t="inlineStr">
        <is>
          <t>Loan Amount</t>
        </is>
      </c>
      <c r="B41" s="281" t="n">
        <v>1000000</v>
      </c>
    </row>
    <row r="42" ht="15" customHeight="1" s="202">
      <c r="A42" s="302" t="inlineStr">
        <is>
          <t>Tranche Size (25%)</t>
        </is>
      </c>
      <c r="B42" s="309">
        <f>B41*0.25</f>
        <v/>
      </c>
    </row>
    <row r="43" ht="15" customHeight="1" s="202">
      <c r="A43" s="302" t="inlineStr">
        <is>
          <t>Net Income Threshold</t>
        </is>
      </c>
      <c r="B43" s="281" t="n">
        <v>1000000</v>
      </c>
    </row>
    <row r="44" ht="15" customHeight="1" s="202">
      <c r="A44" s="308" t="inlineStr">
        <is>
          <t>(Payable only when annual consolidated NI &gt;= threshold)</t>
        </is>
      </c>
    </row>
    <row r="45"/>
    <row r="46" ht="15" customHeight="1" s="202">
      <c r="A46" s="209" t="inlineStr">
        <is>
          <t>Steyn Group Guaranty</t>
        </is>
      </c>
      <c r="B46" s="209" t="n"/>
      <c r="C46" s="209" t="n"/>
      <c r="D46" s="209" t="n"/>
    </row>
    <row r="47" ht="15" customHeight="1" s="202">
      <c r="A47" s="302" t="inlineStr">
        <is>
          <t>Completion Guaranty Fee Rate</t>
        </is>
      </c>
      <c r="B47" s="303" t="n">
        <v>0.01</v>
      </c>
    </row>
    <row r="48" ht="15" customHeight="1" s="202">
      <c r="A48" s="302" t="inlineStr">
        <is>
          <t>Liquidity Guarantee Fee Rate</t>
        </is>
      </c>
      <c r="B48" s="303" t="n">
        <v>0.03</v>
      </c>
    </row>
    <row r="49"/>
    <row r="50" ht="15" customHeight="1" s="202">
      <c r="A50" s="209" t="inlineStr">
        <is>
          <t>Steyn Liquidity Requirements</t>
        </is>
      </c>
      <c r="B50" s="209" t="n"/>
      <c r="C50" s="310" t="n"/>
      <c r="D50" s="209" t="n"/>
    </row>
    <row r="51" ht="15" customHeight="1" s="202">
      <c r="A51" s="302" t="inlineStr">
        <is>
          <t>Klump</t>
        </is>
      </c>
      <c r="B51" s="281" t="n">
        <v>2000000</v>
      </c>
    </row>
    <row r="52" ht="15" customHeight="1" s="202">
      <c r="A52" s="302" t="inlineStr">
        <is>
          <t>Scott</t>
        </is>
      </c>
      <c r="B52" s="281" t="n">
        <v>2000000</v>
      </c>
    </row>
    <row r="53" ht="15" customHeight="1" s="202">
      <c r="A53" s="302" t="inlineStr">
        <is>
          <t>Francis</t>
        </is>
      </c>
      <c r="B53" s="281" t="n">
        <v>5000000</v>
      </c>
      <c r="C53" s="311" t="n"/>
    </row>
    <row r="54" ht="15" customHeight="1" s="202">
      <c r="A54" s="302" t="inlineStr">
        <is>
          <t>Reseda</t>
        </is>
      </c>
      <c r="B54" s="281" t="n">
        <v>5000000</v>
      </c>
      <c r="C54" s="311" t="n"/>
    </row>
    <row r="55" ht="15" customHeight="1" s="202">
      <c r="A55" s="302" t="inlineStr">
        <is>
          <t>3rd St</t>
        </is>
      </c>
      <c r="B55" s="281" t="n">
        <v>5000000</v>
      </c>
      <c r="C55" s="311" t="n"/>
    </row>
    <row r="56"/>
    <row r="57" ht="15" customHeight="1" s="202">
      <c r="A57" s="209" t="inlineStr">
        <is>
          <t>Project Investment Capital</t>
        </is>
      </c>
      <c r="B57" s="209" t="n"/>
      <c r="C57" s="209" t="n"/>
      <c r="D57" s="209" t="n"/>
    </row>
    <row r="58" ht="15" customHeight="1" s="202">
      <c r="A58" s="302" t="inlineStr">
        <is>
          <t>Accrual Rate (Annual)</t>
        </is>
      </c>
      <c r="B58" s="303" t="n">
        <v>0.15</v>
      </c>
    </row>
    <row r="59" ht="15" customHeight="1" s="202">
      <c r="A59" s="302" t="inlineStr">
        <is>
          <t>Quarterly Accrual Rate</t>
        </is>
      </c>
      <c r="B59" s="306">
        <f>B58/4</f>
        <v/>
      </c>
    </row>
    <row r="60" ht="15" customHeight="1" s="202">
      <c r="A60" s="302" t="inlineStr">
        <is>
          <t>Klump - Capital Invested</t>
        </is>
      </c>
      <c r="B60" s="281" t="n">
        <v>0</v>
      </c>
    </row>
    <row r="61" ht="15" customHeight="1" s="202">
      <c r="A61" s="302" t="inlineStr">
        <is>
          <t>Scott - Capital Invested</t>
        </is>
      </c>
      <c r="B61" s="281" t="n">
        <v>0</v>
      </c>
    </row>
    <row r="62" ht="15" customHeight="1" s="202">
      <c r="A62" s="302" t="inlineStr">
        <is>
          <t>Reseda - Capital Invested</t>
        </is>
      </c>
      <c r="B62" s="281" t="n">
        <v>1784000</v>
      </c>
    </row>
    <row r="63" ht="15" customHeight="1" s="202">
      <c r="A63" s="302" t="inlineStr">
        <is>
          <t>3rd St - Capital Invested</t>
        </is>
      </c>
      <c r="B63" s="281" t="n">
        <v>1766181</v>
      </c>
    </row>
    <row r="64" ht="15" customHeight="1" s="202">
      <c r="A64" s="308" t="inlineStr">
        <is>
          <t>(Capital amounts TBD - enter when available)</t>
        </is>
      </c>
    </row>
    <row r="65"/>
    <row r="66" ht="15" customHeight="1" s="202">
      <c r="A66" s="207" t="inlineStr">
        <is>
          <t>Edgemont Management Fee</t>
        </is>
      </c>
    </row>
    <row r="67" ht="15" customHeight="1" s="202">
      <c r="A67" s="311" t="inlineStr">
        <is>
          <t>Monthly Fee Amount</t>
        </is>
      </c>
      <c r="B67" s="312" t="n">
        <v>833.33</v>
      </c>
    </row>
    <row r="68" ht="15" customHeight="1" s="202">
      <c r="A68" s="311" t="inlineStr">
        <is>
          <t>Last Active Month #</t>
        </is>
      </c>
      <c r="B68" s="311" t="n">
        <v>5</v>
      </c>
    </row>
    <row r="69"/>
    <row r="70" ht="15" customHeight="1" s="202">
      <c r="A70" s="313" t="inlineStr">
        <is>
          <t>PIK Detail Parameters</t>
        </is>
      </c>
      <c r="B70" s="313" t="n"/>
    </row>
    <row r="71" ht="15" customHeight="1" s="202">
      <c r="A71" s="314" t="inlineStr">
        <is>
          <t>Reseda - Initial PIK Balance</t>
        </is>
      </c>
      <c r="B71" s="315" t="n">
        <v>1134000</v>
      </c>
    </row>
    <row r="72" ht="15" customHeight="1" s="202">
      <c r="A72" s="316" t="inlineStr">
        <is>
          <t>Reseda - Monthly PIK Ramp</t>
        </is>
      </c>
      <c r="B72" s="317" t="n">
        <v>50000</v>
      </c>
    </row>
    <row r="73" ht="15" customHeight="1" s="202">
      <c r="A73" s="314" t="inlineStr">
        <is>
          <t>Reseda - PIK Ramp Until Month</t>
        </is>
      </c>
      <c r="B73" s="318" t="n">
        <v>14</v>
      </c>
    </row>
    <row r="74" ht="15" customHeight="1" s="202">
      <c r="A74" s="316" t="inlineStr">
        <is>
          <t>Reseda - Deal Distribution</t>
        </is>
      </c>
      <c r="B74" s="317" t="n">
        <v>-1450000</v>
      </c>
    </row>
    <row r="75" ht="15" customHeight="1" s="202">
      <c r="A75" s="314" t="inlineStr">
        <is>
          <t>3rd St - Initial PIK Balance</t>
        </is>
      </c>
      <c r="B75" s="315" t="n">
        <v>264927.15</v>
      </c>
    </row>
    <row r="76" ht="15" customHeight="1" s="202">
      <c r="A76" s="316" t="inlineStr">
        <is>
          <t>3rd St - Monthly PIK Ramp</t>
        </is>
      </c>
      <c r="B76" s="317" t="n">
        <v>883090.5</v>
      </c>
    </row>
    <row r="77" ht="15" customHeight="1" s="202">
      <c r="A77" s="314" t="inlineStr">
        <is>
          <t>3rd St - Deal Distribution</t>
        </is>
      </c>
      <c r="B77" s="315" t="n">
        <v>-1800000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L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18" customWidth="1" style="201" min="1" max="2"/>
    <col width="14" customWidth="1" style="201" min="3" max="12"/>
  </cols>
  <sheetData>
    <row r="1" ht="27.75" customHeight="1" s="202">
      <c r="A1" s="229" t="inlineStr">
        <is>
          <t>Project</t>
        </is>
      </c>
      <c r="B1" s="229" t="inlineStr">
        <is>
          <t>Contract Value</t>
        </is>
      </c>
      <c r="C1" s="229" t="inlineStr">
        <is>
          <t>Start Month</t>
        </is>
      </c>
      <c r="D1" s="229" t="inlineStr">
        <is>
          <t>Duration</t>
        </is>
      </c>
      <c r="E1" s="229" t="inlineStr">
        <is>
          <t>Curve</t>
        </is>
      </c>
      <c r="F1" s="229" t="inlineStr">
        <is>
          <t>Bonded</t>
        </is>
      </c>
      <c r="G1" s="229" t="inlineStr">
        <is>
          <t>Active</t>
        </is>
      </c>
      <c r="H1" s="229" t="inlineStr">
        <is>
          <t>Bond Tier</t>
        </is>
      </c>
      <c r="I1" s="229" t="inlineStr">
        <is>
          <t>Bond Cost Rate</t>
        </is>
      </c>
      <c r="J1" s="229" t="inlineStr">
        <is>
          <t>Steyn Guaranty</t>
        </is>
      </c>
      <c r="K1" s="229" t="inlineStr">
        <is>
          <t>LIHTC</t>
        </is>
      </c>
      <c r="L1" s="229" t="inlineStr">
        <is>
          <t>Type</t>
        </is>
      </c>
    </row>
    <row r="2" ht="15" customHeight="1" s="202">
      <c r="A2" s="302" t="inlineStr">
        <is>
          <t>Crenshaw</t>
        </is>
      </c>
      <c r="B2" s="319" t="n">
        <v>5321971</v>
      </c>
      <c r="C2" s="320" t="n">
        <v>1</v>
      </c>
      <c r="D2" s="320" t="n">
        <v>8</v>
      </c>
      <c r="E2" s="320" t="n">
        <v>2</v>
      </c>
      <c r="F2" s="320" t="inlineStr">
        <is>
          <t>No</t>
        </is>
      </c>
      <c r="G2" s="320" t="inlineStr">
        <is>
          <t>Yes</t>
        </is>
      </c>
      <c r="H2" s="320" t="n">
        <v>0</v>
      </c>
      <c r="I2" s="306">
        <f>IF(H2=1,Assumptions!$B$16,IF(H2=2,Assumptions!$B$17,0))</f>
        <v/>
      </c>
      <c r="J2" s="320" t="inlineStr">
        <is>
          <t>No</t>
        </is>
      </c>
      <c r="K2" s="320" t="inlineStr">
        <is>
          <t>No</t>
        </is>
      </c>
      <c r="L2" s="320" t="inlineStr">
        <is>
          <t>GC + Developer</t>
        </is>
      </c>
    </row>
    <row r="3" ht="15" customHeight="1" s="202">
      <c r="A3" s="302" t="inlineStr">
        <is>
          <t>Ramsgate</t>
        </is>
      </c>
      <c r="B3" s="319" t="n">
        <v>19982132</v>
      </c>
      <c r="C3" s="320" t="n">
        <v>1</v>
      </c>
      <c r="D3" s="320" t="n">
        <v>16</v>
      </c>
      <c r="E3" s="320" t="n">
        <v>2</v>
      </c>
      <c r="F3" s="320" t="inlineStr">
        <is>
          <t>No</t>
        </is>
      </c>
      <c r="G3" s="320" t="inlineStr">
        <is>
          <t>Yes</t>
        </is>
      </c>
      <c r="H3" s="320" t="n">
        <v>0</v>
      </c>
      <c r="I3" s="306">
        <f>IF(H3=1,Assumptions!$B$16,IF(H3=2,Assumptions!$B$17,0))</f>
        <v/>
      </c>
      <c r="J3" s="320" t="inlineStr">
        <is>
          <t>No</t>
        </is>
      </c>
      <c r="K3" s="320" t="inlineStr">
        <is>
          <t>No</t>
        </is>
      </c>
      <c r="L3" s="320" t="inlineStr">
        <is>
          <t>GC + Developer</t>
        </is>
      </c>
    </row>
    <row r="4" ht="15" customHeight="1" s="202">
      <c r="A4" s="302" t="inlineStr">
        <is>
          <t>Califa</t>
        </is>
      </c>
      <c r="B4" s="319" t="n">
        <v>11673185</v>
      </c>
      <c r="C4" s="320" t="n">
        <v>1</v>
      </c>
      <c r="D4" s="320" t="n">
        <v>15</v>
      </c>
      <c r="E4" s="320" t="n">
        <v>3</v>
      </c>
      <c r="F4" s="320" t="inlineStr">
        <is>
          <t>Yes</t>
        </is>
      </c>
      <c r="G4" s="320" t="inlineStr">
        <is>
          <t>Yes</t>
        </is>
      </c>
      <c r="H4" s="320" t="n">
        <v>1</v>
      </c>
      <c r="I4" s="306">
        <f>IF(H4=1,Assumptions!$B$16,IF(H4=2,Assumptions!$B$17,0))</f>
        <v/>
      </c>
      <c r="J4" s="320" t="inlineStr">
        <is>
          <t>No</t>
        </is>
      </c>
      <c r="K4" s="320" t="inlineStr">
        <is>
          <t>Yes</t>
        </is>
      </c>
      <c r="L4" s="320" t="inlineStr">
        <is>
          <t>3rd Party GC</t>
        </is>
      </c>
    </row>
    <row r="5" ht="15" customHeight="1" s="202">
      <c r="A5" s="302" t="inlineStr">
        <is>
          <t>Whipple</t>
        </is>
      </c>
      <c r="B5" s="319" t="n">
        <v>13492534</v>
      </c>
      <c r="C5" s="320" t="n">
        <v>1</v>
      </c>
      <c r="D5" s="320" t="n">
        <v>15</v>
      </c>
      <c r="E5" s="320" t="n">
        <v>3</v>
      </c>
      <c r="F5" s="320" t="inlineStr">
        <is>
          <t>Yes</t>
        </is>
      </c>
      <c r="G5" s="320" t="inlineStr">
        <is>
          <t>Yes</t>
        </is>
      </c>
      <c r="H5" s="320" t="n">
        <v>1</v>
      </c>
      <c r="I5" s="306">
        <f>IF(H5=1,Assumptions!$B$16,IF(H5=2,Assumptions!$B$17,0))</f>
        <v/>
      </c>
      <c r="J5" s="320" t="inlineStr">
        <is>
          <t>No</t>
        </is>
      </c>
      <c r="K5" s="320" t="inlineStr">
        <is>
          <t>Yes</t>
        </is>
      </c>
      <c r="L5" s="320" t="inlineStr">
        <is>
          <t>3rd Party GC</t>
        </is>
      </c>
    </row>
    <row r="6" ht="15" customHeight="1" s="202">
      <c r="A6" s="302" t="inlineStr">
        <is>
          <t>Nelrose</t>
        </is>
      </c>
      <c r="B6" s="319" t="n">
        <v>4052747</v>
      </c>
      <c r="C6" s="320" t="n">
        <v>1</v>
      </c>
      <c r="D6" s="320" t="n">
        <v>19</v>
      </c>
      <c r="E6" s="320" t="n">
        <v>3</v>
      </c>
      <c r="F6" s="320" t="inlineStr">
        <is>
          <t>No</t>
        </is>
      </c>
      <c r="G6" s="320" t="inlineStr">
        <is>
          <t>Yes</t>
        </is>
      </c>
      <c r="H6" s="320" t="n">
        <v>0</v>
      </c>
      <c r="I6" s="306">
        <f>IF(H6=1,Assumptions!$B$16,IF(H6=2,Assumptions!$B$17,0))</f>
        <v/>
      </c>
      <c r="J6" s="320" t="inlineStr">
        <is>
          <t>No</t>
        </is>
      </c>
      <c r="K6" s="320" t="inlineStr">
        <is>
          <t>Yes</t>
        </is>
      </c>
      <c r="L6" s="320" t="inlineStr">
        <is>
          <t>3rd Party GC</t>
        </is>
      </c>
    </row>
    <row r="7" ht="15" customHeight="1" s="202">
      <c r="A7" s="302" t="inlineStr">
        <is>
          <t>Francis</t>
        </is>
      </c>
      <c r="B7" s="319" t="n">
        <v>42968448</v>
      </c>
      <c r="C7" s="320" t="n">
        <v>4</v>
      </c>
      <c r="D7" s="320" t="n">
        <v>30</v>
      </c>
      <c r="E7" s="320" t="n">
        <v>1</v>
      </c>
      <c r="F7" s="320" t="inlineStr">
        <is>
          <t>Yes</t>
        </is>
      </c>
      <c r="G7" s="320" t="inlineStr">
        <is>
          <t>Yes</t>
        </is>
      </c>
      <c r="H7" s="320" t="n">
        <v>1</v>
      </c>
      <c r="I7" s="306">
        <f>IF(H7=1,Assumptions!$B$16,IF(H7=2,Assumptions!$B$17,0))</f>
        <v/>
      </c>
      <c r="J7" s="320" t="inlineStr">
        <is>
          <t>Yes</t>
        </is>
      </c>
      <c r="K7" s="320" t="inlineStr">
        <is>
          <t>Yes</t>
        </is>
      </c>
      <c r="L7" s="320" t="inlineStr">
        <is>
          <t>GC + Developer</t>
        </is>
      </c>
    </row>
    <row r="8" ht="15" customHeight="1" s="202">
      <c r="A8" s="302" t="inlineStr">
        <is>
          <t>Lexington</t>
        </is>
      </c>
      <c r="B8" s="319" t="n">
        <v>13625772</v>
      </c>
      <c r="C8" s="320" t="n">
        <v>7</v>
      </c>
      <c r="D8" s="320" t="n">
        <v>19</v>
      </c>
      <c r="E8" s="320" t="n">
        <v>3</v>
      </c>
      <c r="F8" s="320" t="inlineStr">
        <is>
          <t>Yes</t>
        </is>
      </c>
      <c r="G8" s="320" t="inlineStr">
        <is>
          <t>Yes</t>
        </is>
      </c>
      <c r="H8" s="320" t="n">
        <v>1</v>
      </c>
      <c r="I8" s="306">
        <f>IF(H8=1,Assumptions!$B$16,IF(H8=2,Assumptions!$B$17,0))</f>
        <v/>
      </c>
      <c r="J8" s="320" t="inlineStr">
        <is>
          <t>No</t>
        </is>
      </c>
      <c r="K8" s="320" t="inlineStr">
        <is>
          <t>Yes</t>
        </is>
      </c>
      <c r="L8" s="320" t="inlineStr">
        <is>
          <t>3rd Party GC</t>
        </is>
      </c>
    </row>
    <row r="9" ht="15" customHeight="1" s="202">
      <c r="A9" s="302" t="inlineStr">
        <is>
          <t>Denny</t>
        </is>
      </c>
      <c r="B9" s="319" t="n">
        <v>15844883</v>
      </c>
      <c r="C9" s="320" t="n">
        <v>7</v>
      </c>
      <c r="D9" s="320" t="n">
        <v>30</v>
      </c>
      <c r="E9" s="320" t="n">
        <v>1</v>
      </c>
      <c r="F9" s="320" t="inlineStr">
        <is>
          <t>Yes</t>
        </is>
      </c>
      <c r="G9" s="320" t="inlineStr">
        <is>
          <t>Yes</t>
        </is>
      </c>
      <c r="H9" s="320" t="n">
        <v>1</v>
      </c>
      <c r="I9" s="306">
        <f>IF(H9=1,Assumptions!$B$16,IF(H9=2,Assumptions!$B$17,0))</f>
        <v/>
      </c>
      <c r="J9" s="320" t="inlineStr">
        <is>
          <t>No</t>
        </is>
      </c>
      <c r="K9" s="320" t="inlineStr">
        <is>
          <t>Yes</t>
        </is>
      </c>
      <c r="L9" s="320" t="inlineStr">
        <is>
          <t>3rd Party GC</t>
        </is>
      </c>
    </row>
    <row r="10" ht="15" customHeight="1" s="202">
      <c r="A10" s="302" t="inlineStr">
        <is>
          <t>Acama</t>
        </is>
      </c>
      <c r="B10" s="319" t="n">
        <v>21263405</v>
      </c>
      <c r="C10" s="320" t="n">
        <v>8</v>
      </c>
      <c r="D10" s="320" t="n">
        <v>24</v>
      </c>
      <c r="E10" s="320" t="n">
        <v>2</v>
      </c>
      <c r="F10" s="320" t="inlineStr">
        <is>
          <t>Yes</t>
        </is>
      </c>
      <c r="G10" s="320" t="inlineStr">
        <is>
          <t>Yes</t>
        </is>
      </c>
      <c r="H10" s="320" t="n">
        <v>1</v>
      </c>
      <c r="I10" s="306">
        <f>IF(H10=1,Assumptions!$B$16,IF(H10=2,Assumptions!$B$17,0))</f>
        <v/>
      </c>
      <c r="J10" s="320" t="inlineStr">
        <is>
          <t>No</t>
        </is>
      </c>
      <c r="K10" s="320" t="inlineStr">
        <is>
          <t>Yes</t>
        </is>
      </c>
      <c r="L10" s="320" t="inlineStr">
        <is>
          <t>3rd Party GC</t>
        </is>
      </c>
    </row>
    <row r="11" ht="15" customHeight="1" s="202">
      <c r="A11" s="302" t="inlineStr">
        <is>
          <t>Klump</t>
        </is>
      </c>
      <c r="B11" s="319" t="n">
        <v>9577109</v>
      </c>
      <c r="C11" s="320" t="n">
        <v>5</v>
      </c>
      <c r="D11" s="320" t="n">
        <v>19</v>
      </c>
      <c r="E11" s="320" t="n">
        <v>3</v>
      </c>
      <c r="F11" s="320" t="inlineStr">
        <is>
          <t>No</t>
        </is>
      </c>
      <c r="G11" s="320" t="inlineStr">
        <is>
          <t>Yes</t>
        </is>
      </c>
      <c r="H11" s="320" t="n">
        <v>0</v>
      </c>
      <c r="I11" s="306">
        <f>IF(H11=1,Assumptions!$B$16,IF(H11=2,Assumptions!$B$17,0))</f>
        <v/>
      </c>
      <c r="J11" s="320" t="inlineStr">
        <is>
          <t>Yes</t>
        </is>
      </c>
      <c r="K11" s="320" t="inlineStr">
        <is>
          <t>No</t>
        </is>
      </c>
      <c r="L11" s="320" t="inlineStr">
        <is>
          <t>GC + Developer</t>
        </is>
      </c>
    </row>
    <row r="12" ht="15" customHeight="1" s="202">
      <c r="A12" s="302" t="inlineStr">
        <is>
          <t>Scott</t>
        </is>
      </c>
      <c r="B12" s="319" t="n">
        <v>7545203</v>
      </c>
      <c r="C12" s="320" t="n">
        <v>6</v>
      </c>
      <c r="D12" s="320" t="n">
        <v>19</v>
      </c>
      <c r="E12" s="320" t="n">
        <v>3</v>
      </c>
      <c r="F12" s="320" t="inlineStr">
        <is>
          <t>No</t>
        </is>
      </c>
      <c r="G12" s="320" t="inlineStr">
        <is>
          <t>Yes</t>
        </is>
      </c>
      <c r="H12" s="320" t="n">
        <v>0</v>
      </c>
      <c r="I12" s="306">
        <f>IF(H12=1,Assumptions!$B$16,IF(H12=2,Assumptions!$B$17,0))</f>
        <v/>
      </c>
      <c r="J12" s="320" t="inlineStr">
        <is>
          <t>Yes</t>
        </is>
      </c>
      <c r="K12" s="320" t="inlineStr">
        <is>
          <t>No</t>
        </is>
      </c>
      <c r="L12" s="320" t="inlineStr">
        <is>
          <t>GC + Developer</t>
        </is>
      </c>
    </row>
    <row r="13" ht="15" customHeight="1" s="202">
      <c r="A13" s="302" t="inlineStr">
        <is>
          <t>Reseda</t>
        </is>
      </c>
      <c r="B13" s="319" t="n">
        <v>45266770</v>
      </c>
      <c r="C13" s="320" t="n">
        <v>13</v>
      </c>
      <c r="D13" s="320" t="n">
        <v>30</v>
      </c>
      <c r="E13" s="320" t="n">
        <v>1</v>
      </c>
      <c r="F13" s="320" t="inlineStr">
        <is>
          <t>Yes</t>
        </is>
      </c>
      <c r="G13" s="320" t="inlineStr">
        <is>
          <t>Yes</t>
        </is>
      </c>
      <c r="H13" s="320" t="n">
        <v>2</v>
      </c>
      <c r="I13" s="306">
        <f>IF(H13=1,Assumptions!$B$16,IF(H13=2,Assumptions!$B$17,0))</f>
        <v/>
      </c>
      <c r="J13" s="320" t="inlineStr">
        <is>
          <t>Yes</t>
        </is>
      </c>
      <c r="K13" s="320" t="inlineStr">
        <is>
          <t>Yes</t>
        </is>
      </c>
      <c r="L13" s="320" t="inlineStr">
        <is>
          <t>GC + Developer</t>
        </is>
      </c>
    </row>
    <row r="14" ht="15" customHeight="1" s="202">
      <c r="A14" s="302" t="inlineStr">
        <is>
          <t>3rd St</t>
        </is>
      </c>
      <c r="B14" s="319" t="n">
        <v>41354632</v>
      </c>
      <c r="C14" s="320" t="n">
        <v>27</v>
      </c>
      <c r="D14" s="320" t="n">
        <v>30</v>
      </c>
      <c r="E14" s="320" t="n">
        <v>1</v>
      </c>
      <c r="F14" s="320" t="inlineStr">
        <is>
          <t>Yes</t>
        </is>
      </c>
      <c r="G14" s="320" t="inlineStr">
        <is>
          <t>Yes</t>
        </is>
      </c>
      <c r="H14" s="320" t="n">
        <v>2</v>
      </c>
      <c r="I14" s="306">
        <f>IF(H14=1,Assumptions!$B$16,IF(H14=2,Assumptions!$B$17,0))</f>
        <v/>
      </c>
      <c r="J14" s="320" t="inlineStr">
        <is>
          <t>Yes</t>
        </is>
      </c>
      <c r="K14" s="320" t="inlineStr">
        <is>
          <t>Yes</t>
        </is>
      </c>
      <c r="L14" s="320" t="inlineStr">
        <is>
          <t>GC + Developer</t>
        </is>
      </c>
    </row>
    <row r="15" ht="15" customHeight="1" s="202">
      <c r="A15" s="302" t="inlineStr">
        <is>
          <t>HVN Pipeline 1</t>
        </is>
      </c>
      <c r="B15" s="319" t="n">
        <v>15179956</v>
      </c>
      <c r="C15" s="320" t="n">
        <v>16</v>
      </c>
      <c r="D15" s="320" t="n">
        <v>19</v>
      </c>
      <c r="E15" s="320" t="n">
        <v>3</v>
      </c>
      <c r="F15" s="320" t="inlineStr">
        <is>
          <t>Yes</t>
        </is>
      </c>
      <c r="G15" s="320" t="inlineStr">
        <is>
          <t>Yes</t>
        </is>
      </c>
      <c r="H15" s="320" t="n">
        <v>2</v>
      </c>
      <c r="I15" s="306">
        <f>IF(H15=1,Assumptions!$B$16,IF(H15=2,Assumptions!$B$17,0))</f>
        <v/>
      </c>
      <c r="J15" s="320" t="inlineStr">
        <is>
          <t>No</t>
        </is>
      </c>
      <c r="K15" s="320" t="inlineStr">
        <is>
          <t>Yes</t>
        </is>
      </c>
      <c r="L15" s="320" t="inlineStr">
        <is>
          <t>3rd Party GC</t>
        </is>
      </c>
    </row>
    <row r="16" ht="15" customHeight="1" s="202">
      <c r="A16" s="302" t="inlineStr">
        <is>
          <t>HVN Pipeline 2</t>
        </is>
      </c>
      <c r="B16" s="319" t="n">
        <v>15179956</v>
      </c>
      <c r="C16" s="320" t="n">
        <v>19</v>
      </c>
      <c r="D16" s="320" t="n">
        <v>19</v>
      </c>
      <c r="E16" s="320" t="n">
        <v>3</v>
      </c>
      <c r="F16" s="320" t="inlineStr">
        <is>
          <t>Yes</t>
        </is>
      </c>
      <c r="G16" s="320" t="inlineStr">
        <is>
          <t>Yes</t>
        </is>
      </c>
      <c r="H16" s="320" t="n">
        <v>2</v>
      </c>
      <c r="I16" s="306">
        <f>IF(H16=1,Assumptions!$B$16,IF(H16=2,Assumptions!$B$17,0))</f>
        <v/>
      </c>
      <c r="J16" s="320" t="inlineStr">
        <is>
          <t>No</t>
        </is>
      </c>
      <c r="K16" s="320" t="inlineStr">
        <is>
          <t>Yes</t>
        </is>
      </c>
      <c r="L16" s="320" t="inlineStr">
        <is>
          <t>3rd Party GC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I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5" activeCellId="0" sqref="A15"/>
    </sheetView>
  </sheetViews>
  <sheetFormatPr baseColWidth="8" defaultColWidth="8.71484375" defaultRowHeight="15" customHeight="1" zeroHeight="0" outlineLevelRow="0"/>
  <cols>
    <col width="26" customWidth="1" style="201" min="1" max="2"/>
    <col width="16" customWidth="1" style="201" min="3" max="3"/>
    <col width="14" customWidth="1" style="201" min="4" max="5"/>
    <col width="10" customWidth="1" style="201" min="7" max="7"/>
    <col width="12" customWidth="1" style="201" min="8" max="9"/>
  </cols>
  <sheetData>
    <row r="1" ht="27.75" customHeight="1" s="202">
      <c r="A1" s="229" t="inlineStr">
        <is>
          <t>Name</t>
        </is>
      </c>
      <c r="B1" s="229" t="inlineStr">
        <is>
          <t>Role</t>
        </is>
      </c>
      <c r="C1" s="229" t="inlineStr">
        <is>
          <t>Annual Salary</t>
        </is>
      </c>
      <c r="D1" s="229" t="inlineStr">
        <is>
          <t>Monthly Cost</t>
        </is>
      </c>
      <c r="E1" s="229" t="inlineStr">
        <is>
          <t>Start Month</t>
        </is>
      </c>
      <c r="F1" s="229" t="inlineStr">
        <is>
          <t>Type</t>
        </is>
      </c>
      <c r="G1" s="229" t="inlineStr">
        <is>
          <t>Active</t>
        </is>
      </c>
      <c r="H1" s="229" t="inlineStr">
        <is>
          <t>Consult %</t>
        </is>
      </c>
      <c r="I1" s="229" t="inlineStr">
        <is>
          <t>LV Alloc %</t>
        </is>
      </c>
    </row>
    <row r="2" ht="15" customHeight="1" s="202">
      <c r="A2" s="302" t="inlineStr">
        <is>
          <t>Grady LaKamp</t>
        </is>
      </c>
      <c r="B2" s="302" t="inlineStr">
        <is>
          <t>Executive</t>
        </is>
      </c>
      <c r="C2" s="319" t="n">
        <v>400000</v>
      </c>
      <c r="D2" s="309">
        <f>C2/12</f>
        <v/>
      </c>
      <c r="E2" s="320" t="n">
        <v>1</v>
      </c>
      <c r="F2" s="302" t="inlineStr">
        <is>
          <t>GC</t>
        </is>
      </c>
      <c r="G2" s="307" t="inlineStr">
        <is>
          <t>Yes</t>
        </is>
      </c>
      <c r="H2" s="303" t="n">
        <v>0.5</v>
      </c>
      <c r="I2" s="306" t="n">
        <v>0</v>
      </c>
    </row>
    <row r="3" ht="15" customHeight="1" s="202">
      <c r="A3" s="302" t="inlineStr">
        <is>
          <t>Joe LaKamp</t>
        </is>
      </c>
      <c r="B3" s="302" t="inlineStr">
        <is>
          <t>Executive</t>
        </is>
      </c>
      <c r="C3" s="319" t="n">
        <v>250000</v>
      </c>
      <c r="D3" s="309">
        <f>C3/12</f>
        <v/>
      </c>
      <c r="E3" s="320" t="n">
        <v>1</v>
      </c>
      <c r="F3" s="302" t="inlineStr">
        <is>
          <t>GC</t>
        </is>
      </c>
      <c r="G3" s="307" t="inlineStr">
        <is>
          <t>Yes</t>
        </is>
      </c>
      <c r="H3" s="303" t="n">
        <v>0.5</v>
      </c>
      <c r="I3" s="306" t="n">
        <v>0</v>
      </c>
    </row>
    <row r="4" ht="15" customHeight="1" s="202">
      <c r="A4" s="302" t="inlineStr">
        <is>
          <t>Pedro Rosalas</t>
        </is>
      </c>
      <c r="B4" s="302" t="inlineStr">
        <is>
          <t>Project Manager</t>
        </is>
      </c>
      <c r="C4" s="319" t="n">
        <v>190000</v>
      </c>
      <c r="D4" s="309">
        <f>C4/12</f>
        <v/>
      </c>
      <c r="E4" s="320" t="n">
        <v>1</v>
      </c>
      <c r="F4" s="302" t="inlineStr">
        <is>
          <t>GC</t>
        </is>
      </c>
      <c r="G4" s="307" t="inlineStr">
        <is>
          <t>Yes</t>
        </is>
      </c>
      <c r="H4" s="303" t="n">
        <v>0</v>
      </c>
      <c r="I4" s="306" t="n">
        <v>0</v>
      </c>
    </row>
    <row r="5" ht="15" customHeight="1" s="202">
      <c r="A5" s="302" t="inlineStr">
        <is>
          <t>Greg Smith</t>
        </is>
      </c>
      <c r="B5" s="302" t="inlineStr">
        <is>
          <t>Project Manager</t>
        </is>
      </c>
      <c r="C5" s="319" t="n">
        <v>200000</v>
      </c>
      <c r="D5" s="309">
        <f>C5/12</f>
        <v/>
      </c>
      <c r="E5" s="320" t="n">
        <v>1</v>
      </c>
      <c r="F5" s="302" t="inlineStr">
        <is>
          <t>GC</t>
        </is>
      </c>
      <c r="G5" s="307" t="inlineStr">
        <is>
          <t>Yes</t>
        </is>
      </c>
      <c r="H5" s="303" t="n">
        <v>0</v>
      </c>
      <c r="I5" s="306" t="n">
        <v>0</v>
      </c>
    </row>
    <row r="6" ht="15" customHeight="1" s="202">
      <c r="A6" s="321" t="inlineStr">
        <is>
          <t>New Hire - PM</t>
        </is>
      </c>
      <c r="B6" s="302" t="inlineStr">
        <is>
          <t>Project Manager</t>
        </is>
      </c>
      <c r="C6" s="319" t="n">
        <v>175000</v>
      </c>
      <c r="D6" s="309">
        <f>C6/12</f>
        <v/>
      </c>
      <c r="E6" s="320" t="n">
        <v>2</v>
      </c>
      <c r="F6" s="302" t="inlineStr">
        <is>
          <t>GC</t>
        </is>
      </c>
      <c r="G6" s="307" t="inlineStr">
        <is>
          <t>Yes</t>
        </is>
      </c>
      <c r="H6" s="303" t="n">
        <v>0</v>
      </c>
      <c r="I6" s="306" t="n">
        <v>0</v>
      </c>
    </row>
    <row r="7" ht="15" customHeight="1" s="202">
      <c r="A7" s="302" t="inlineStr">
        <is>
          <t>Dorian Puentes</t>
        </is>
      </c>
      <c r="B7" s="302" t="inlineStr">
        <is>
          <t>Asst Project Manager</t>
        </is>
      </c>
      <c r="C7" s="319" t="n">
        <v>145000</v>
      </c>
      <c r="D7" s="309">
        <f>C7/12</f>
        <v/>
      </c>
      <c r="E7" s="320" t="n">
        <v>1</v>
      </c>
      <c r="F7" s="302" t="inlineStr">
        <is>
          <t>GC</t>
        </is>
      </c>
      <c r="G7" s="307" t="inlineStr">
        <is>
          <t>Yes</t>
        </is>
      </c>
      <c r="H7" s="303" t="n">
        <v>0</v>
      </c>
      <c r="I7" s="306" t="n">
        <v>0</v>
      </c>
    </row>
    <row r="8" ht="15" customHeight="1" s="202">
      <c r="A8" s="302" t="inlineStr">
        <is>
          <t>Roy Torries</t>
        </is>
      </c>
      <c r="B8" s="302" t="inlineStr">
        <is>
          <t>Asst Project Manager</t>
        </is>
      </c>
      <c r="C8" s="319" t="n">
        <v>185000</v>
      </c>
      <c r="D8" s="309">
        <f>C8/12</f>
        <v/>
      </c>
      <c r="E8" s="320" t="n">
        <v>1</v>
      </c>
      <c r="F8" s="302" t="inlineStr">
        <is>
          <t>GC</t>
        </is>
      </c>
      <c r="G8" s="307" t="inlineStr">
        <is>
          <t>Yes</t>
        </is>
      </c>
      <c r="H8" s="303" t="n">
        <v>0</v>
      </c>
      <c r="I8" s="306" t="n">
        <v>0</v>
      </c>
    </row>
    <row r="9" ht="15" customHeight="1" s="202">
      <c r="A9" s="321" t="inlineStr">
        <is>
          <t>Lucy Mohler</t>
        </is>
      </c>
      <c r="B9" s="302" t="inlineStr">
        <is>
          <t>Asst Project Manager</t>
        </is>
      </c>
      <c r="C9" s="319" t="n">
        <v>135000</v>
      </c>
      <c r="D9" s="309">
        <f>C9/12</f>
        <v/>
      </c>
      <c r="E9" s="320" t="n">
        <v>2</v>
      </c>
      <c r="F9" s="302" t="inlineStr">
        <is>
          <t>GC</t>
        </is>
      </c>
      <c r="G9" s="307" t="inlineStr">
        <is>
          <t>Yes</t>
        </is>
      </c>
      <c r="H9" s="303" t="n">
        <v>0</v>
      </c>
      <c r="I9" s="306" t="n">
        <v>0</v>
      </c>
    </row>
    <row r="10" ht="15" customHeight="1" s="202">
      <c r="A10" s="321" t="inlineStr">
        <is>
          <t>New Hire - APM 2</t>
        </is>
      </c>
      <c r="B10" s="302" t="inlineStr">
        <is>
          <t>Asst Project Manager</t>
        </is>
      </c>
      <c r="C10" s="319" t="n">
        <v>135000</v>
      </c>
      <c r="D10" s="309">
        <f>C10/12</f>
        <v/>
      </c>
      <c r="E10" s="320" t="n">
        <v>3</v>
      </c>
      <c r="F10" s="302" t="inlineStr">
        <is>
          <t>GC</t>
        </is>
      </c>
      <c r="G10" s="307" t="inlineStr">
        <is>
          <t>Yes</t>
        </is>
      </c>
      <c r="H10" s="303" t="n">
        <v>0</v>
      </c>
      <c r="I10" s="306" t="n">
        <v>0</v>
      </c>
    </row>
    <row r="11" ht="15" customHeight="1" s="202">
      <c r="A11" s="302" t="inlineStr">
        <is>
          <t>Mike Savaiki</t>
        </is>
      </c>
      <c r="B11" s="302" t="inlineStr">
        <is>
          <t>Senior Superintendent</t>
        </is>
      </c>
      <c r="C11" s="319" t="n">
        <v>150000</v>
      </c>
      <c r="D11" s="309">
        <f>C11/12</f>
        <v/>
      </c>
      <c r="E11" s="320" t="n">
        <v>1</v>
      </c>
      <c r="F11" s="302" t="inlineStr">
        <is>
          <t>GC</t>
        </is>
      </c>
      <c r="G11" s="307" t="inlineStr">
        <is>
          <t>Yes</t>
        </is>
      </c>
      <c r="H11" s="303" t="n">
        <v>0</v>
      </c>
      <c r="I11" s="306" t="n">
        <v>0</v>
      </c>
    </row>
    <row r="12" ht="15" customHeight="1" s="202">
      <c r="A12" s="302" t="inlineStr">
        <is>
          <t>Daniel Carrillo</t>
        </is>
      </c>
      <c r="B12" s="302" t="inlineStr">
        <is>
          <t>Senior Superintendent</t>
        </is>
      </c>
      <c r="C12" s="319" t="n">
        <v>150000</v>
      </c>
      <c r="D12" s="309">
        <f>C12/12</f>
        <v/>
      </c>
      <c r="E12" s="320" t="n">
        <v>1</v>
      </c>
      <c r="F12" s="302" t="inlineStr">
        <is>
          <t>GC</t>
        </is>
      </c>
      <c r="G12" s="307" t="inlineStr">
        <is>
          <t>Yes</t>
        </is>
      </c>
      <c r="H12" s="303" t="n">
        <v>0</v>
      </c>
      <c r="I12" s="306" t="n">
        <v>0</v>
      </c>
    </row>
    <row r="13" ht="15" customHeight="1" s="202">
      <c r="A13" s="302" t="inlineStr">
        <is>
          <t>Alex Gottlieb</t>
        </is>
      </c>
      <c r="B13" s="302" t="inlineStr">
        <is>
          <t>Senior Superintendent</t>
        </is>
      </c>
      <c r="C13" s="319" t="n">
        <v>110000</v>
      </c>
      <c r="D13" s="309">
        <f>C13/12</f>
        <v/>
      </c>
      <c r="E13" s="320" t="n">
        <v>1</v>
      </c>
      <c r="F13" s="302" t="inlineStr">
        <is>
          <t>GC</t>
        </is>
      </c>
      <c r="G13" s="307" t="inlineStr">
        <is>
          <t>Yes</t>
        </is>
      </c>
      <c r="H13" s="303" t="n">
        <v>0</v>
      </c>
      <c r="I13" s="306" t="n">
        <v>0</v>
      </c>
    </row>
    <row r="14" ht="15" customHeight="1" s="202">
      <c r="A14" s="302" t="inlineStr">
        <is>
          <t>Nick Donald</t>
        </is>
      </c>
      <c r="B14" s="302" t="inlineStr">
        <is>
          <t>Site Superintendent</t>
        </is>
      </c>
      <c r="C14" s="319" t="n">
        <v>75000</v>
      </c>
      <c r="D14" s="309">
        <f>C14/12</f>
        <v/>
      </c>
      <c r="E14" s="320" t="n">
        <v>1</v>
      </c>
      <c r="F14" s="302" t="inlineStr">
        <is>
          <t>GC</t>
        </is>
      </c>
      <c r="G14" s="307" t="inlineStr">
        <is>
          <t>Yes</t>
        </is>
      </c>
      <c r="H14" s="303" t="n">
        <v>0</v>
      </c>
      <c r="I14" s="306" t="n">
        <v>0</v>
      </c>
    </row>
    <row r="15" ht="15" customHeight="1" s="202">
      <c r="A15" s="321" t="inlineStr">
        <is>
          <t>Steve Garcia</t>
        </is>
      </c>
      <c r="B15" s="302" t="inlineStr">
        <is>
          <t>Site Superintendent</t>
        </is>
      </c>
      <c r="C15" s="319" t="n">
        <v>125000</v>
      </c>
      <c r="D15" s="309">
        <f>C15/12</f>
        <v/>
      </c>
      <c r="E15" s="320" t="n">
        <v>2</v>
      </c>
      <c r="F15" s="302" t="inlineStr">
        <is>
          <t>GC</t>
        </is>
      </c>
      <c r="G15" s="307" t="inlineStr">
        <is>
          <t>Yes</t>
        </is>
      </c>
      <c r="H15" s="303" t="n">
        <v>0</v>
      </c>
      <c r="I15" s="306" t="n">
        <v>0</v>
      </c>
    </row>
    <row r="16" ht="15" customHeight="1" s="202">
      <c r="A16" s="321" t="inlineStr">
        <is>
          <t>Logan Terriquez</t>
        </is>
      </c>
      <c r="B16" s="302" t="inlineStr">
        <is>
          <t>Site Superintendent</t>
        </is>
      </c>
      <c r="C16" s="319" t="n">
        <v>125000</v>
      </c>
      <c r="D16" s="309">
        <f>C16/12</f>
        <v/>
      </c>
      <c r="E16" s="320" t="n">
        <v>3</v>
      </c>
      <c r="F16" s="302" t="inlineStr">
        <is>
          <t>GC</t>
        </is>
      </c>
      <c r="G16" s="307" t="inlineStr">
        <is>
          <t>Yes</t>
        </is>
      </c>
      <c r="H16" s="303" t="n">
        <v>0</v>
      </c>
      <c r="I16" s="306" t="n">
        <v>0</v>
      </c>
    </row>
    <row r="17" ht="15" customHeight="1" s="202">
      <c r="A17" s="321" t="inlineStr">
        <is>
          <t>New Hire - Site Supt 3</t>
        </is>
      </c>
      <c r="B17" s="302" t="inlineStr">
        <is>
          <t>Site Superintendent</t>
        </is>
      </c>
      <c r="C17" s="319" t="n">
        <v>125000</v>
      </c>
      <c r="D17" s="309">
        <f>C17/12</f>
        <v/>
      </c>
      <c r="E17" s="320" t="n">
        <v>4</v>
      </c>
      <c r="F17" s="302" t="inlineStr">
        <is>
          <t>GC</t>
        </is>
      </c>
      <c r="G17" s="307" t="inlineStr">
        <is>
          <t>Yes</t>
        </is>
      </c>
      <c r="H17" s="303" t="n">
        <v>0</v>
      </c>
      <c r="I17" s="306" t="n">
        <v>0</v>
      </c>
    </row>
    <row r="18" ht="15" customHeight="1" s="202">
      <c r="A18" s="321" t="inlineStr">
        <is>
          <t>New Hire - Site Supt 4</t>
        </is>
      </c>
      <c r="B18" s="302" t="inlineStr">
        <is>
          <t>Site Superintendent</t>
        </is>
      </c>
      <c r="C18" s="319" t="n">
        <v>125000</v>
      </c>
      <c r="D18" s="309">
        <f>C18/12</f>
        <v/>
      </c>
      <c r="E18" s="320" t="n">
        <v>5</v>
      </c>
      <c r="F18" s="302" t="inlineStr">
        <is>
          <t>GC</t>
        </is>
      </c>
      <c r="G18" s="307" t="inlineStr">
        <is>
          <t>Yes</t>
        </is>
      </c>
      <c r="H18" s="303" t="n">
        <v>0</v>
      </c>
      <c r="I18" s="306" t="n">
        <v>0</v>
      </c>
    </row>
    <row r="19" ht="15" customHeight="1" s="202">
      <c r="A19" s="302" t="inlineStr">
        <is>
          <t>Ivan Delgado</t>
        </is>
      </c>
      <c r="B19" s="302" t="inlineStr">
        <is>
          <t>Field Engineer</t>
        </is>
      </c>
      <c r="C19" s="319" t="n">
        <v>62400</v>
      </c>
      <c r="D19" s="309">
        <f>C19/12</f>
        <v/>
      </c>
      <c r="E19" s="320" t="n">
        <v>1</v>
      </c>
      <c r="F19" s="302" t="inlineStr">
        <is>
          <t>GC</t>
        </is>
      </c>
      <c r="G19" s="307" t="inlineStr">
        <is>
          <t>Yes</t>
        </is>
      </c>
      <c r="H19" s="303" t="n">
        <v>0</v>
      </c>
      <c r="I19" s="306" t="n">
        <v>0</v>
      </c>
    </row>
    <row r="20" ht="15" customHeight="1" s="202">
      <c r="A20" s="302" t="inlineStr">
        <is>
          <t>Jonas Dobkin</t>
        </is>
      </c>
      <c r="B20" s="302" t="inlineStr">
        <is>
          <t>Field Engineer</t>
        </is>
      </c>
      <c r="C20" s="319" t="n">
        <v>85000</v>
      </c>
      <c r="D20" s="309">
        <f>C20/12</f>
        <v/>
      </c>
      <c r="E20" s="320" t="n">
        <v>1</v>
      </c>
      <c r="F20" s="302" t="inlineStr">
        <is>
          <t>GC</t>
        </is>
      </c>
      <c r="G20" s="307" t="inlineStr">
        <is>
          <t>Yes</t>
        </is>
      </c>
      <c r="H20" s="303" t="n">
        <v>0</v>
      </c>
      <c r="I20" s="306" t="n">
        <v>0</v>
      </c>
    </row>
    <row r="21" ht="15" customHeight="1" s="202">
      <c r="A21" s="302" t="inlineStr">
        <is>
          <t>Carlos Rocha</t>
        </is>
      </c>
      <c r="B21" s="302" t="inlineStr">
        <is>
          <t>Laborer</t>
        </is>
      </c>
      <c r="C21" s="319" t="n">
        <v>69992</v>
      </c>
      <c r="D21" s="309">
        <f>C21/12</f>
        <v/>
      </c>
      <c r="E21" s="320" t="n">
        <v>1</v>
      </c>
      <c r="F21" s="302" t="inlineStr">
        <is>
          <t>GC</t>
        </is>
      </c>
      <c r="G21" s="307" t="inlineStr">
        <is>
          <t>Yes</t>
        </is>
      </c>
      <c r="H21" s="303" t="n">
        <v>0</v>
      </c>
      <c r="I21" s="306" t="n">
        <v>0</v>
      </c>
    </row>
    <row r="22" ht="15" customHeight="1" s="202">
      <c r="A22" s="302" t="inlineStr">
        <is>
          <t>Devis Tejada</t>
        </is>
      </c>
      <c r="B22" s="302" t="inlineStr">
        <is>
          <t>Laborer</t>
        </is>
      </c>
      <c r="C22" s="319" t="n">
        <v>52000</v>
      </c>
      <c r="D22" s="309">
        <f>C22/12</f>
        <v/>
      </c>
      <c r="E22" s="320" t="n">
        <v>1</v>
      </c>
      <c r="F22" s="302" t="inlineStr">
        <is>
          <t>GC</t>
        </is>
      </c>
      <c r="G22" s="307" t="inlineStr">
        <is>
          <t>Yes</t>
        </is>
      </c>
      <c r="H22" s="303" t="n">
        <v>0</v>
      </c>
      <c r="I22" s="306" t="n">
        <v>0</v>
      </c>
    </row>
    <row r="23" ht="15" customHeight="1" s="202">
      <c r="A23" s="302" t="inlineStr">
        <is>
          <t>Kim Moreno</t>
        </is>
      </c>
      <c r="B23" s="302" t="inlineStr">
        <is>
          <t>Project Coordinator/Admin</t>
        </is>
      </c>
      <c r="C23" s="319" t="n">
        <v>70000</v>
      </c>
      <c r="D23" s="309">
        <f>C23/12</f>
        <v/>
      </c>
      <c r="E23" s="320" t="n">
        <v>1</v>
      </c>
      <c r="F23" s="302" t="inlineStr">
        <is>
          <t>GC</t>
        </is>
      </c>
      <c r="G23" s="307" t="inlineStr">
        <is>
          <t>Yes</t>
        </is>
      </c>
      <c r="H23" s="303" t="n">
        <v>0</v>
      </c>
      <c r="I23" s="306" t="n">
        <v>0</v>
      </c>
    </row>
    <row r="24" ht="15" customHeight="1" s="202">
      <c r="A24" s="302" t="inlineStr">
        <is>
          <t>Alina Akopian</t>
        </is>
      </c>
      <c r="B24" s="302" t="inlineStr">
        <is>
          <t>Project Coordinator/Admin</t>
        </is>
      </c>
      <c r="C24" s="319" t="n">
        <v>97500</v>
      </c>
      <c r="D24" s="309">
        <f>C24/12</f>
        <v/>
      </c>
      <c r="E24" s="320" t="n">
        <v>1</v>
      </c>
      <c r="F24" s="302" t="inlineStr">
        <is>
          <t>GC</t>
        </is>
      </c>
      <c r="G24" s="307" t="inlineStr">
        <is>
          <t>Yes</t>
        </is>
      </c>
      <c r="H24" s="303" t="n">
        <v>0</v>
      </c>
      <c r="I24" s="306" t="n">
        <v>0</v>
      </c>
    </row>
    <row r="25" ht="15" customHeight="1" s="202">
      <c r="A25" s="321" t="inlineStr">
        <is>
          <t>New Hire - Admin</t>
        </is>
      </c>
      <c r="B25" s="302" t="inlineStr">
        <is>
          <t>Project Coordinator/Admin</t>
        </is>
      </c>
      <c r="C25" s="319" t="n">
        <v>100000</v>
      </c>
      <c r="D25" s="309">
        <f>C25/12</f>
        <v/>
      </c>
      <c r="E25" s="320" t="n">
        <v>3</v>
      </c>
      <c r="F25" s="302" t="inlineStr">
        <is>
          <t>GC</t>
        </is>
      </c>
      <c r="G25" s="307" t="inlineStr">
        <is>
          <t>Yes</t>
        </is>
      </c>
      <c r="H25" s="303" t="n">
        <v>0</v>
      </c>
      <c r="I25" s="306" t="n">
        <v>0</v>
      </c>
    </row>
    <row r="26"/>
    <row r="27" ht="15" customHeight="1" s="202">
      <c r="A27" s="209" t="inlineStr">
        <is>
          <t>Six Peak Capital Personnel</t>
        </is>
      </c>
      <c r="B27" s="209" t="n"/>
      <c r="C27" s="209" t="n"/>
      <c r="D27" s="209" t="n"/>
      <c r="E27" s="209" t="n"/>
      <c r="F27" s="209" t="n"/>
      <c r="G27" s="209" t="n"/>
      <c r="H27" s="209" t="n"/>
      <c r="I27" s="209" t="n"/>
    </row>
    <row r="28" ht="15" customHeight="1" s="202">
      <c r="A28" s="302" t="inlineStr">
        <is>
          <t>Chris Aiello</t>
        </is>
      </c>
      <c r="B28" s="302" t="inlineStr">
        <is>
          <t>Partner</t>
        </is>
      </c>
      <c r="C28" s="319" t="n">
        <v>400000</v>
      </c>
      <c r="D28" s="309">
        <f>C28/12</f>
        <v/>
      </c>
      <c r="E28" s="320" t="n">
        <v>1</v>
      </c>
      <c r="F28" s="302" t="inlineStr">
        <is>
          <t>SixPeak</t>
        </is>
      </c>
      <c r="G28" s="307" t="inlineStr">
        <is>
          <t>Yes</t>
        </is>
      </c>
      <c r="H28" s="303" t="n">
        <v>1</v>
      </c>
      <c r="I28" s="279" t="n">
        <v>0.5</v>
      </c>
    </row>
    <row r="29" ht="15" customHeight="1" s="202">
      <c r="A29" s="302" t="inlineStr">
        <is>
          <t>Bob Kennedy</t>
        </is>
      </c>
      <c r="B29" s="302" t="inlineStr">
        <is>
          <t>Partner</t>
        </is>
      </c>
      <c r="C29" s="319" t="n">
        <v>400000</v>
      </c>
      <c r="D29" s="309">
        <f>C29/12</f>
        <v/>
      </c>
      <c r="E29" s="320" t="n">
        <v>1</v>
      </c>
      <c r="F29" s="302" t="inlineStr">
        <is>
          <t>SixPeak</t>
        </is>
      </c>
      <c r="G29" s="307" t="inlineStr">
        <is>
          <t>Yes</t>
        </is>
      </c>
      <c r="H29" s="303" t="n">
        <v>1</v>
      </c>
      <c r="I29" s="279" t="n">
        <v>0.2</v>
      </c>
    </row>
    <row r="30" ht="15" customHeight="1" s="202">
      <c r="A30" s="302" t="inlineStr">
        <is>
          <t>Tom Taggart</t>
        </is>
      </c>
      <c r="B30" s="302" t="inlineStr">
        <is>
          <t>Asset Mgmt/Bus Dev</t>
        </is>
      </c>
      <c r="C30" s="319" t="n">
        <v>222000</v>
      </c>
      <c r="D30" s="309">
        <f>C30/12</f>
        <v/>
      </c>
      <c r="E30" s="320" t="n">
        <v>1</v>
      </c>
      <c r="F30" s="302" t="inlineStr">
        <is>
          <t>SixPeak</t>
        </is>
      </c>
      <c r="G30" s="307" t="inlineStr">
        <is>
          <t>Yes</t>
        </is>
      </c>
      <c r="H30" s="303" t="n">
        <v>1</v>
      </c>
      <c r="I30" s="303" t="n">
        <v>0</v>
      </c>
    </row>
    <row r="31" ht="15" customHeight="1" s="202">
      <c r="A31" s="302" t="inlineStr">
        <is>
          <t>Schuyler Dietz</t>
        </is>
      </c>
      <c r="B31" s="302" t="inlineStr">
        <is>
          <t>Associate</t>
        </is>
      </c>
      <c r="C31" s="319" t="n">
        <v>115000</v>
      </c>
      <c r="D31" s="309">
        <f>C31/12</f>
        <v/>
      </c>
      <c r="E31" s="320" t="n">
        <v>1</v>
      </c>
      <c r="F31" s="302" t="inlineStr">
        <is>
          <t>SixPeak</t>
        </is>
      </c>
      <c r="G31" s="307" t="inlineStr">
        <is>
          <t>Yes</t>
        </is>
      </c>
      <c r="H31" s="303" t="n">
        <v>1</v>
      </c>
      <c r="I31" s="303" t="n">
        <v>0</v>
      </c>
    </row>
    <row r="32" ht="15" customHeight="1" s="202">
      <c r="A32" s="302" t="inlineStr">
        <is>
          <t>Derek Sanders</t>
        </is>
      </c>
      <c r="B32" s="302" t="inlineStr">
        <is>
          <t>Director of Development</t>
        </is>
      </c>
      <c r="C32" s="319" t="n">
        <v>250000</v>
      </c>
      <c r="D32" s="309">
        <f>C32/12</f>
        <v/>
      </c>
      <c r="E32" s="320" t="n">
        <v>1</v>
      </c>
      <c r="F32" s="302" t="inlineStr">
        <is>
          <t>SixPeak</t>
        </is>
      </c>
      <c r="G32" s="307" t="inlineStr">
        <is>
          <t>Yes</t>
        </is>
      </c>
      <c r="H32" s="303" t="n">
        <v>0</v>
      </c>
      <c r="I32" s="279" t="n">
        <v>0.3</v>
      </c>
    </row>
    <row r="33" ht="15" customHeight="1" s="202">
      <c r="A33" s="302" t="inlineStr">
        <is>
          <t>Robert Carrega</t>
        </is>
      </c>
      <c r="B33" s="302" t="inlineStr">
        <is>
          <t>Controller</t>
        </is>
      </c>
      <c r="C33" s="319" t="n">
        <v>150000</v>
      </c>
      <c r="D33" s="309">
        <f>C33/12</f>
        <v/>
      </c>
      <c r="E33" s="320" t="n">
        <v>1</v>
      </c>
      <c r="F33" s="302" t="inlineStr">
        <is>
          <t>SixPeak</t>
        </is>
      </c>
      <c r="G33" s="307" t="inlineStr">
        <is>
          <t>Yes</t>
        </is>
      </c>
      <c r="H33" s="303" t="n">
        <v>0</v>
      </c>
      <c r="I33" s="279" t="n">
        <v>0.75</v>
      </c>
    </row>
    <row r="34" ht="15" customHeight="1" s="202">
      <c r="A34" s="302" t="inlineStr">
        <is>
          <t>Chris Andresen</t>
        </is>
      </c>
      <c r="B34" s="302" t="inlineStr">
        <is>
          <t>CFO</t>
        </is>
      </c>
      <c r="C34" s="319" t="n">
        <v>250000</v>
      </c>
      <c r="D34" s="309">
        <f>C34/12</f>
        <v/>
      </c>
      <c r="E34" s="320" t="n">
        <v>1</v>
      </c>
      <c r="F34" s="302" t="inlineStr">
        <is>
          <t>SixPeak</t>
        </is>
      </c>
      <c r="G34" s="307" t="inlineStr">
        <is>
          <t>Yes</t>
        </is>
      </c>
      <c r="H34" s="303" t="n">
        <v>0</v>
      </c>
      <c r="I34" s="279" t="n">
        <v>0.75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BFC7DA"/>
    <outlinePr summaryBelow="1" summaryRight="1"/>
    <pageSetUpPr fitToPage="0"/>
  </sheetPr>
  <dimension ref="A1:B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10" customWidth="1" style="201" min="1" max="1"/>
    <col width="12" customWidth="1" style="201" min="2" max="2"/>
  </cols>
  <sheetData>
    <row r="1" ht="15" customHeight="1" s="202">
      <c r="A1" s="205" t="inlineStr">
        <is>
          <t>Month</t>
        </is>
      </c>
      <c r="B1" s="205" t="inlineStr">
        <is>
          <t>Factor</t>
        </is>
      </c>
    </row>
    <row r="2" ht="15" customHeight="1" s="202">
      <c r="A2" s="322" t="n">
        <v>1</v>
      </c>
      <c r="B2" s="323">
        <f>(1+Assumptions!$B$26)^INT((A2-1)/12)</f>
        <v/>
      </c>
    </row>
    <row r="3" ht="15" customHeight="1" s="202">
      <c r="A3" s="322" t="n">
        <v>2</v>
      </c>
      <c r="B3" s="323">
        <f>(1+Assumptions!$B$26)^INT((A3-1)/12)</f>
        <v/>
      </c>
    </row>
    <row r="4" ht="15" customHeight="1" s="202">
      <c r="A4" s="322" t="n">
        <v>3</v>
      </c>
      <c r="B4" s="323">
        <f>(1+Assumptions!$B$26)^INT((A4-1)/12)</f>
        <v/>
      </c>
    </row>
    <row r="5" ht="15" customHeight="1" s="202">
      <c r="A5" s="322" t="n">
        <v>4</v>
      </c>
      <c r="B5" s="323">
        <f>(1+Assumptions!$B$26)^INT((A5-1)/12)</f>
        <v/>
      </c>
    </row>
    <row r="6" ht="15" customHeight="1" s="202">
      <c r="A6" s="322" t="n">
        <v>5</v>
      </c>
      <c r="B6" s="323">
        <f>(1+Assumptions!$B$26)^INT((A6-1)/12)</f>
        <v/>
      </c>
    </row>
    <row r="7" ht="15" customHeight="1" s="202">
      <c r="A7" s="322" t="n">
        <v>6</v>
      </c>
      <c r="B7" s="323">
        <f>(1+Assumptions!$B$26)^INT((A7-1)/12)</f>
        <v/>
      </c>
    </row>
    <row r="8" ht="15" customHeight="1" s="202">
      <c r="A8" s="322" t="n">
        <v>7</v>
      </c>
      <c r="B8" s="323">
        <f>(1+Assumptions!$B$26)^INT((A8-1)/12)</f>
        <v/>
      </c>
    </row>
    <row r="9" ht="15" customHeight="1" s="202">
      <c r="A9" s="322" t="n">
        <v>8</v>
      </c>
      <c r="B9" s="323">
        <f>(1+Assumptions!$B$26)^INT((A9-1)/12)</f>
        <v/>
      </c>
    </row>
    <row r="10" ht="15" customHeight="1" s="202">
      <c r="A10" s="322" t="n">
        <v>9</v>
      </c>
      <c r="B10" s="323">
        <f>(1+Assumptions!$B$26)^INT((A10-1)/12)</f>
        <v/>
      </c>
    </row>
    <row r="11" ht="15" customHeight="1" s="202">
      <c r="A11" s="322" t="n">
        <v>10</v>
      </c>
      <c r="B11" s="323">
        <f>(1+Assumptions!$B$26)^INT((A11-1)/12)</f>
        <v/>
      </c>
    </row>
    <row r="12" ht="15" customHeight="1" s="202">
      <c r="A12" s="322" t="n">
        <v>11</v>
      </c>
      <c r="B12" s="323">
        <f>(1+Assumptions!$B$26)^INT((A12-1)/12)</f>
        <v/>
      </c>
    </row>
    <row r="13" ht="15" customHeight="1" s="202">
      <c r="A13" s="322" t="n">
        <v>12</v>
      </c>
      <c r="B13" s="323">
        <f>(1+Assumptions!$B$26)^INT((A13-1)/12)</f>
        <v/>
      </c>
    </row>
    <row r="14" ht="15" customHeight="1" s="202">
      <c r="A14" s="322" t="n">
        <v>13</v>
      </c>
      <c r="B14" s="323">
        <f>(1+Assumptions!$B$26)^INT((A14-1)/12)</f>
        <v/>
      </c>
    </row>
    <row r="15" ht="15" customHeight="1" s="202">
      <c r="A15" s="322" t="n">
        <v>14</v>
      </c>
      <c r="B15" s="323">
        <f>(1+Assumptions!$B$26)^INT((A15-1)/12)</f>
        <v/>
      </c>
    </row>
    <row r="16" ht="15" customHeight="1" s="202">
      <c r="A16" s="322" t="n">
        <v>15</v>
      </c>
      <c r="B16" s="323">
        <f>(1+Assumptions!$B$26)^INT((A16-1)/12)</f>
        <v/>
      </c>
    </row>
    <row r="17" ht="15" customHeight="1" s="202">
      <c r="A17" s="322" t="n">
        <v>16</v>
      </c>
      <c r="B17" s="323">
        <f>(1+Assumptions!$B$26)^INT((A17-1)/12)</f>
        <v/>
      </c>
    </row>
    <row r="18" ht="15" customHeight="1" s="202">
      <c r="A18" s="322" t="n">
        <v>17</v>
      </c>
      <c r="B18" s="323">
        <f>(1+Assumptions!$B$26)^INT((A18-1)/12)</f>
        <v/>
      </c>
    </row>
    <row r="19" ht="15" customHeight="1" s="202">
      <c r="A19" s="322" t="n">
        <v>18</v>
      </c>
      <c r="B19" s="323">
        <f>(1+Assumptions!$B$26)^INT((A19-1)/12)</f>
        <v/>
      </c>
    </row>
    <row r="20" ht="15" customHeight="1" s="202">
      <c r="A20" s="322" t="n">
        <v>19</v>
      </c>
      <c r="B20" s="323">
        <f>(1+Assumptions!$B$26)^INT((A20-1)/12)</f>
        <v/>
      </c>
    </row>
    <row r="21" ht="15" customHeight="1" s="202">
      <c r="A21" s="322" t="n">
        <v>20</v>
      </c>
      <c r="B21" s="323">
        <f>(1+Assumptions!$B$26)^INT((A21-1)/12)</f>
        <v/>
      </c>
    </row>
    <row r="22" ht="15" customHeight="1" s="202">
      <c r="A22" s="322" t="n">
        <v>21</v>
      </c>
      <c r="B22" s="323">
        <f>(1+Assumptions!$B$26)^INT((A22-1)/12)</f>
        <v/>
      </c>
    </row>
    <row r="23" ht="15" customHeight="1" s="202">
      <c r="A23" s="322" t="n">
        <v>22</v>
      </c>
      <c r="B23" s="323">
        <f>(1+Assumptions!$B$26)^INT((A23-1)/12)</f>
        <v/>
      </c>
    </row>
    <row r="24" ht="15" customHeight="1" s="202">
      <c r="A24" s="322" t="n">
        <v>23</v>
      </c>
      <c r="B24" s="323">
        <f>(1+Assumptions!$B$26)^INT((A24-1)/12)</f>
        <v/>
      </c>
    </row>
    <row r="25" ht="15" customHeight="1" s="202">
      <c r="A25" s="322" t="n">
        <v>24</v>
      </c>
      <c r="B25" s="323">
        <f>(1+Assumptions!$B$26)^INT((A25-1)/12)</f>
        <v/>
      </c>
    </row>
    <row r="26" ht="15" customHeight="1" s="202">
      <c r="A26" s="322" t="n">
        <v>25</v>
      </c>
      <c r="B26" s="323">
        <f>(1+Assumptions!$B$26)^INT((A26-1)/12)</f>
        <v/>
      </c>
    </row>
    <row r="27" ht="15" customHeight="1" s="202">
      <c r="A27" s="322" t="n">
        <v>26</v>
      </c>
      <c r="B27" s="323">
        <f>(1+Assumptions!$B$26)^INT((A27-1)/12)</f>
        <v/>
      </c>
    </row>
    <row r="28" ht="15" customHeight="1" s="202">
      <c r="A28" s="322" t="n">
        <v>27</v>
      </c>
      <c r="B28" s="323">
        <f>(1+Assumptions!$B$26)^INT((A28-1)/12)</f>
        <v/>
      </c>
    </row>
    <row r="29" ht="15" customHeight="1" s="202">
      <c r="A29" s="322" t="n">
        <v>28</v>
      </c>
      <c r="B29" s="323">
        <f>(1+Assumptions!$B$26)^INT((A29-1)/12)</f>
        <v/>
      </c>
    </row>
    <row r="30" ht="15" customHeight="1" s="202">
      <c r="A30" s="322" t="n">
        <v>29</v>
      </c>
      <c r="B30" s="323">
        <f>(1+Assumptions!$B$26)^INT((A30-1)/12)</f>
        <v/>
      </c>
    </row>
    <row r="31" ht="15" customHeight="1" s="202">
      <c r="A31" s="322" t="n">
        <v>30</v>
      </c>
      <c r="B31" s="323">
        <f>(1+Assumptions!$B$26)^INT((A31-1)/12)</f>
        <v/>
      </c>
    </row>
    <row r="32" ht="15" customHeight="1" s="202">
      <c r="A32" s="322" t="n">
        <v>31</v>
      </c>
      <c r="B32" s="323">
        <f>(1+Assumptions!$B$26)^INT((A32-1)/12)</f>
        <v/>
      </c>
    </row>
    <row r="33" ht="15" customHeight="1" s="202">
      <c r="A33" s="322" t="n">
        <v>32</v>
      </c>
      <c r="B33" s="323">
        <f>(1+Assumptions!$B$26)^INT((A33-1)/12)</f>
        <v/>
      </c>
    </row>
    <row r="34" ht="15" customHeight="1" s="202">
      <c r="A34" s="322" t="n">
        <v>33</v>
      </c>
      <c r="B34" s="323">
        <f>(1+Assumptions!$B$26)^INT((A34-1)/12)</f>
        <v/>
      </c>
    </row>
    <row r="35" ht="15" customHeight="1" s="202">
      <c r="A35" s="322" t="n">
        <v>34</v>
      </c>
      <c r="B35" s="323">
        <f>(1+Assumptions!$B$26)^INT((A35-1)/12)</f>
        <v/>
      </c>
    </row>
    <row r="36" ht="15" customHeight="1" s="202">
      <c r="A36" s="322" t="n">
        <v>35</v>
      </c>
      <c r="B36" s="323">
        <f>(1+Assumptions!$B$26)^INT((A36-1)/12)</f>
        <v/>
      </c>
    </row>
    <row r="37" ht="15" customHeight="1" s="202">
      <c r="A37" s="322" t="n">
        <v>36</v>
      </c>
      <c r="B37" s="323">
        <f>(1+Assumptions!$B$26)^INT((A37-1)/12)</f>
        <v/>
      </c>
    </row>
    <row r="38" ht="15" customHeight="1" s="202">
      <c r="A38" s="322" t="n">
        <v>37</v>
      </c>
      <c r="B38" s="323">
        <f>(1+Assumptions!$B$26)^INT((A38-1)/12)</f>
        <v/>
      </c>
    </row>
    <row r="39" ht="15" customHeight="1" s="202">
      <c r="A39" s="322" t="n">
        <v>38</v>
      </c>
      <c r="B39" s="323">
        <f>(1+Assumptions!$B$26)^INT((A39-1)/12)</f>
        <v/>
      </c>
    </row>
    <row r="40" ht="15" customHeight="1" s="202">
      <c r="A40" s="322" t="n">
        <v>39</v>
      </c>
      <c r="B40" s="323">
        <f>(1+Assumptions!$B$26)^INT((A40-1)/12)</f>
        <v/>
      </c>
    </row>
    <row r="41" ht="15" customHeight="1" s="202">
      <c r="A41" s="322" t="n">
        <v>40</v>
      </c>
      <c r="B41" s="323">
        <f>(1+Assumptions!$B$26)^INT((A41-1)/12)</f>
        <v/>
      </c>
    </row>
    <row r="42" ht="15" customHeight="1" s="202">
      <c r="A42" s="322" t="n">
        <v>41</v>
      </c>
      <c r="B42" s="323">
        <f>(1+Assumptions!$B$26)^INT((A42-1)/12)</f>
        <v/>
      </c>
    </row>
    <row r="43" ht="15" customHeight="1" s="202">
      <c r="A43" s="322" t="n">
        <v>42</v>
      </c>
      <c r="B43" s="323">
        <f>(1+Assumptions!$B$26)^INT((A43-1)/12)</f>
        <v/>
      </c>
    </row>
    <row r="44" ht="15" customHeight="1" s="202">
      <c r="A44" s="322" t="n">
        <v>43</v>
      </c>
      <c r="B44" s="323">
        <f>(1+Assumptions!$B$26)^INT((A44-1)/12)</f>
        <v/>
      </c>
    </row>
    <row r="45" ht="15" customHeight="1" s="202">
      <c r="A45" s="322" t="n">
        <v>44</v>
      </c>
      <c r="B45" s="323">
        <f>(1+Assumptions!$B$26)^INT((A45-1)/12)</f>
        <v/>
      </c>
    </row>
    <row r="46" ht="15" customHeight="1" s="202">
      <c r="A46" s="322" t="n">
        <v>45</v>
      </c>
      <c r="B46" s="323">
        <f>(1+Assumptions!$B$26)^INT((A46-1)/12)</f>
        <v/>
      </c>
    </row>
    <row r="47" ht="15" customHeight="1" s="202">
      <c r="A47" s="322" t="n">
        <v>46</v>
      </c>
      <c r="B47" s="323">
        <f>(1+Assumptions!$B$26)^INT((A47-1)/12)</f>
        <v/>
      </c>
    </row>
    <row r="48" ht="15" customHeight="1" s="202">
      <c r="A48" s="322" t="n">
        <v>47</v>
      </c>
      <c r="B48" s="323">
        <f>(1+Assumptions!$B$26)^INT((A48-1)/12)</f>
        <v/>
      </c>
    </row>
    <row r="49" ht="15" customHeight="1" s="202">
      <c r="A49" s="322" t="n">
        <v>48</v>
      </c>
      <c r="B49" s="323">
        <f>(1+Assumptions!$B$26)^INT((A49-1)/12)</f>
        <v/>
      </c>
    </row>
    <row r="50" ht="15" customHeight="1" s="202">
      <c r="A50" s="322" t="n">
        <v>49</v>
      </c>
      <c r="B50" s="323">
        <f>(1+Assumptions!$B$26)^INT((A50-1)/12)</f>
        <v/>
      </c>
    </row>
    <row r="51" ht="15" customHeight="1" s="202">
      <c r="A51" s="322" t="n">
        <v>50</v>
      </c>
      <c r="B51" s="323">
        <f>(1+Assumptions!$B$26)^INT((A51-1)/12)</f>
        <v/>
      </c>
    </row>
    <row r="52" ht="15" customHeight="1" s="202">
      <c r="A52" s="322" t="n">
        <v>51</v>
      </c>
      <c r="B52" s="323">
        <f>(1+Assumptions!$B$26)^INT((A52-1)/12)</f>
        <v/>
      </c>
    </row>
    <row r="53" ht="15" customHeight="1" s="202">
      <c r="A53" s="322" t="n">
        <v>52</v>
      </c>
      <c r="B53" s="323">
        <f>(1+Assumptions!$B$26)^INT((A53-1)/12)</f>
        <v/>
      </c>
    </row>
    <row r="54" ht="15" customHeight="1" s="202">
      <c r="A54" s="322" t="n">
        <v>53</v>
      </c>
      <c r="B54" s="323">
        <f>(1+Assumptions!$B$26)^INT((A54-1)/12)</f>
        <v/>
      </c>
    </row>
    <row r="55" ht="15" customHeight="1" s="202">
      <c r="A55" s="322" t="n">
        <v>54</v>
      </c>
      <c r="B55" s="323">
        <f>(1+Assumptions!$B$26)^INT((A55-1)/12)</f>
        <v/>
      </c>
    </row>
    <row r="56" ht="15" customHeight="1" s="202">
      <c r="A56" s="322" t="n">
        <v>55</v>
      </c>
      <c r="B56" s="323">
        <f>(1+Assumptions!$B$26)^INT((A56-1)/12)</f>
        <v/>
      </c>
    </row>
    <row r="57" ht="15" customHeight="1" s="202">
      <c r="A57" s="322" t="n">
        <v>56</v>
      </c>
      <c r="B57" s="323">
        <f>(1+Assumptions!$B$26)^INT((A57-1)/12)</f>
        <v/>
      </c>
    </row>
    <row r="58" ht="15" customHeight="1" s="202">
      <c r="A58" s="322" t="n">
        <v>57</v>
      </c>
      <c r="B58" s="323">
        <f>(1+Assumptions!$B$26)^INT((A58-1)/12)</f>
        <v/>
      </c>
    </row>
    <row r="59" ht="15" customHeight="1" s="202">
      <c r="A59" s="322" t="n">
        <v>58</v>
      </c>
      <c r="B59" s="323">
        <f>(1+Assumptions!$B$26)^INT((A59-1)/12)</f>
        <v/>
      </c>
    </row>
    <row r="60" ht="15" customHeight="1" s="202">
      <c r="A60" s="322" t="n">
        <v>59</v>
      </c>
      <c r="B60" s="323">
        <f>(1+Assumptions!$B$26)^INT((A60-1)/12)</f>
        <v/>
      </c>
    </row>
    <row r="61" ht="15" customHeight="1" s="202">
      <c r="A61" s="322" t="n">
        <v>60</v>
      </c>
      <c r="B61" s="323">
        <f>(1+Assumptions!$B$26)^INT((A61-1)/12)</f>
        <v/>
      </c>
    </row>
    <row r="62" ht="15" customHeight="1" s="202">
      <c r="A62" s="322" t="n">
        <v>61</v>
      </c>
      <c r="B62" s="323">
        <f>(1+Assumptions!$B$26)^INT((A62-1)/12)</f>
        <v/>
      </c>
    </row>
    <row r="63" ht="15" customHeight="1" s="202">
      <c r="A63" s="322" t="n">
        <v>62</v>
      </c>
      <c r="B63" s="323">
        <f>(1+Assumptions!$B$26)^INT((A63-1)/12)</f>
        <v/>
      </c>
    </row>
    <row r="64" ht="15" customHeight="1" s="202">
      <c r="A64" s="322" t="n">
        <v>63</v>
      </c>
      <c r="B64" s="323">
        <f>(1+Assumptions!$B$26)^INT((A64-1)/12)</f>
        <v/>
      </c>
    </row>
    <row r="65" ht="15" customHeight="1" s="202">
      <c r="A65" s="322" t="n">
        <v>64</v>
      </c>
      <c r="B65" s="323">
        <f>(1+Assumptions!$B$26)^INT((A65-1)/12)</f>
        <v/>
      </c>
    </row>
    <row r="66" ht="15" customHeight="1" s="202">
      <c r="A66" s="322" t="n">
        <v>65</v>
      </c>
      <c r="B66" s="323">
        <f>(1+Assumptions!$B$26)^INT((A66-1)/12)</f>
        <v/>
      </c>
    </row>
    <row r="67" ht="15" customHeight="1" s="202">
      <c r="A67" s="322" t="n">
        <v>66</v>
      </c>
      <c r="B67" s="323">
        <f>(1+Assumptions!$B$26)^INT((A67-1)/12)</f>
        <v/>
      </c>
    </row>
    <row r="68" ht="15" customHeight="1" s="202">
      <c r="A68" s="322" t="n">
        <v>67</v>
      </c>
      <c r="B68" s="323">
        <f>(1+Assumptions!$B$26)^INT((A68-1)/12)</f>
        <v/>
      </c>
    </row>
    <row r="69" ht="15" customHeight="1" s="202">
      <c r="A69" s="322" t="n">
        <v>68</v>
      </c>
      <c r="B69" s="323">
        <f>(1+Assumptions!$B$26)^INT((A69-1)/12)</f>
        <v/>
      </c>
    </row>
    <row r="70" ht="15" customHeight="1" s="202">
      <c r="A70" s="322" t="n">
        <v>69</v>
      </c>
      <c r="B70" s="323">
        <f>(1+Assumptions!$B$26)^INT((A70-1)/12)</f>
        <v/>
      </c>
    </row>
    <row r="71" ht="15" customHeight="1" s="202">
      <c r="A71" s="322" t="n">
        <v>70</v>
      </c>
      <c r="B71" s="323">
        <f>(1+Assumptions!$B$26)^INT((A71-1)/12)</f>
        <v/>
      </c>
    </row>
    <row r="72" ht="15" customHeight="1" s="202">
      <c r="A72" s="322" t="n">
        <v>71</v>
      </c>
      <c r="B72" s="323">
        <f>(1+Assumptions!$B$26)^INT((A72-1)/12)</f>
        <v/>
      </c>
    </row>
    <row r="73" ht="15" customHeight="1" s="202">
      <c r="A73" s="322" t="n">
        <v>72</v>
      </c>
      <c r="B73" s="323">
        <f>(1+Assumptions!$B$26)^INT((A73-1)/12)</f>
        <v/>
      </c>
    </row>
    <row r="74" ht="15" customHeight="1" s="202">
      <c r="A74" s="322" t="n">
        <v>73</v>
      </c>
      <c r="B74" s="323">
        <f>(1+Assumptions!$B$26)^INT((A74-1)/12)</f>
        <v/>
      </c>
    </row>
    <row r="75" ht="15" customHeight="1" s="202">
      <c r="A75" s="322" t="n">
        <v>74</v>
      </c>
      <c r="B75" s="323">
        <f>(1+Assumptions!$B$26)^INT((A75-1)/12)</f>
        <v/>
      </c>
    </row>
    <row r="76" ht="15" customHeight="1" s="202">
      <c r="A76" s="322" t="n">
        <v>75</v>
      </c>
      <c r="B76" s="323">
        <f>(1+Assumptions!$B$26)^INT((A76-1)/12)</f>
        <v/>
      </c>
    </row>
    <row r="77" ht="15" customHeight="1" s="202">
      <c r="A77" s="322" t="n">
        <v>76</v>
      </c>
      <c r="B77" s="323">
        <f>(1+Assumptions!$B$26)^INT((A77-1)/12)</f>
        <v/>
      </c>
    </row>
    <row r="78" ht="15" customHeight="1" s="202">
      <c r="A78" s="322" t="n">
        <v>77</v>
      </c>
      <c r="B78" s="323">
        <f>(1+Assumptions!$B$26)^INT((A78-1)/12)</f>
        <v/>
      </c>
    </row>
    <row r="79" ht="15" customHeight="1" s="202">
      <c r="A79" s="322" t="n">
        <v>78</v>
      </c>
      <c r="B79" s="323">
        <f>(1+Assumptions!$B$26)^INT((A79-1)/12)</f>
        <v/>
      </c>
    </row>
    <row r="80" ht="15" customHeight="1" s="202">
      <c r="A80" s="322" t="n">
        <v>79</v>
      </c>
      <c r="B80" s="323">
        <f>(1+Assumptions!$B$26)^INT((A80-1)/12)</f>
        <v/>
      </c>
    </row>
    <row r="81" ht="15" customHeight="1" s="202">
      <c r="A81" s="322" t="n">
        <v>80</v>
      </c>
      <c r="B81" s="323">
        <f>(1+Assumptions!$B$26)^INT((A81-1)/12)</f>
        <v/>
      </c>
    </row>
    <row r="82" ht="15" customHeight="1" s="202">
      <c r="A82" s="322" t="n">
        <v>81</v>
      </c>
      <c r="B82" s="323">
        <f>(1+Assumptions!$B$26)^INT((A82-1)/12)</f>
        <v/>
      </c>
    </row>
    <row r="83" ht="15" customHeight="1" s="202">
      <c r="A83" s="322" t="n">
        <v>82</v>
      </c>
      <c r="B83" s="323">
        <f>(1+Assumptions!$B$26)^INT((A83-1)/12)</f>
        <v/>
      </c>
    </row>
    <row r="84" ht="15" customHeight="1" s="202">
      <c r="A84" s="322" t="n">
        <v>83</v>
      </c>
      <c r="B84" s="323">
        <f>(1+Assumptions!$B$26)^INT((A84-1)/12)</f>
        <v/>
      </c>
    </row>
    <row r="85" ht="15" customHeight="1" s="202">
      <c r="A85" s="322" t="n">
        <v>84</v>
      </c>
      <c r="B85" s="323">
        <f>(1+Assumptions!$B$26)^INT((A85-1)/12)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customHeight="1" zeroHeight="0" outlineLevelRow="0"/>
  <cols>
    <col width="28" customWidth="1" style="201" min="1" max="1"/>
    <col width="4" customWidth="1" style="201" min="2" max="2"/>
    <col width="14" customWidth="1" style="201" min="3" max="86"/>
  </cols>
  <sheetData>
    <row r="1" ht="17.25" customHeight="1" s="202">
      <c r="A1" s="305" t="inlineStr">
        <is>
          <t>W2 Payroll Basis &amp; Bonding Calculations</t>
        </is>
      </c>
    </row>
    <row r="2" ht="15" customHeight="1" s="202">
      <c r="A2" s="205" t="n"/>
      <c r="B2" s="205" t="n"/>
      <c r="C2" s="227" t="n">
        <v>46113</v>
      </c>
      <c r="D2" s="227" t="n">
        <v>46143</v>
      </c>
      <c r="E2" s="227" t="n">
        <v>46174</v>
      </c>
      <c r="F2" s="227" t="n">
        <v>46204</v>
      </c>
      <c r="G2" s="227" t="n">
        <v>46235</v>
      </c>
      <c r="H2" s="227" t="n">
        <v>46266</v>
      </c>
      <c r="I2" s="227" t="n">
        <v>46296</v>
      </c>
      <c r="J2" s="227" t="n">
        <v>46327</v>
      </c>
      <c r="K2" s="227" t="n">
        <v>46357</v>
      </c>
      <c r="L2" s="227" t="n">
        <v>46388</v>
      </c>
      <c r="M2" s="227" t="n">
        <v>46419</v>
      </c>
      <c r="N2" s="227" t="n">
        <v>46447</v>
      </c>
      <c r="O2" s="227" t="n">
        <v>46478</v>
      </c>
      <c r="P2" s="227" t="n">
        <v>46508</v>
      </c>
      <c r="Q2" s="227" t="n">
        <v>46539</v>
      </c>
      <c r="R2" s="227" t="n">
        <v>46569</v>
      </c>
      <c r="S2" s="227" t="n">
        <v>46600</v>
      </c>
      <c r="T2" s="227" t="n">
        <v>46631</v>
      </c>
      <c r="U2" s="227" t="n">
        <v>46661</v>
      </c>
      <c r="V2" s="227" t="n">
        <v>46692</v>
      </c>
      <c r="W2" s="227" t="n">
        <v>46722</v>
      </c>
      <c r="X2" s="227" t="n">
        <v>46753</v>
      </c>
      <c r="Y2" s="227" t="n">
        <v>46784</v>
      </c>
      <c r="Z2" s="227" t="n">
        <v>46813</v>
      </c>
      <c r="AA2" s="227" t="n">
        <v>46844</v>
      </c>
      <c r="AB2" s="227" t="n">
        <v>46874</v>
      </c>
      <c r="AC2" s="227" t="n">
        <v>46905</v>
      </c>
      <c r="AD2" s="227" t="n">
        <v>46935</v>
      </c>
      <c r="AE2" s="227" t="n">
        <v>46966</v>
      </c>
      <c r="AF2" s="227" t="n">
        <v>46997</v>
      </c>
      <c r="AG2" s="227" t="n">
        <v>47027</v>
      </c>
      <c r="AH2" s="227" t="n">
        <v>47058</v>
      </c>
      <c r="AI2" s="227" t="n">
        <v>47088</v>
      </c>
      <c r="AJ2" s="227" t="n">
        <v>47119</v>
      </c>
      <c r="AK2" s="227" t="n">
        <v>47150</v>
      </c>
      <c r="AL2" s="227" t="n">
        <v>47178</v>
      </c>
      <c r="AM2" s="227" t="n">
        <v>47209</v>
      </c>
      <c r="AN2" s="227" t="n">
        <v>47239</v>
      </c>
      <c r="AO2" s="227" t="n">
        <v>47270</v>
      </c>
      <c r="AP2" s="227" t="n">
        <v>47300</v>
      </c>
      <c r="AQ2" s="227" t="n">
        <v>47331</v>
      </c>
      <c r="AR2" s="227" t="n">
        <v>47362</v>
      </c>
      <c r="AS2" s="227" t="n">
        <v>47392</v>
      </c>
      <c r="AT2" s="227" t="n">
        <v>47423</v>
      </c>
      <c r="AU2" s="227" t="n">
        <v>47453</v>
      </c>
      <c r="AV2" s="227" t="n">
        <v>47484</v>
      </c>
      <c r="AW2" s="227" t="n">
        <v>47515</v>
      </c>
      <c r="AX2" s="227" t="n">
        <v>47543</v>
      </c>
      <c r="AY2" s="227" t="n">
        <v>47574</v>
      </c>
      <c r="AZ2" s="227" t="n">
        <v>47604</v>
      </c>
      <c r="BA2" s="227" t="n">
        <v>47635</v>
      </c>
      <c r="BB2" s="227" t="n">
        <v>47665</v>
      </c>
      <c r="BC2" s="227" t="n">
        <v>47696</v>
      </c>
      <c r="BD2" s="227" t="n">
        <v>47727</v>
      </c>
      <c r="BE2" s="227" t="n">
        <v>47757</v>
      </c>
      <c r="BF2" s="227" t="n">
        <v>47788</v>
      </c>
      <c r="BG2" s="227" t="n">
        <v>47818</v>
      </c>
      <c r="BH2" s="227" t="n">
        <v>47849</v>
      </c>
      <c r="BI2" s="227" t="n">
        <v>47880</v>
      </c>
      <c r="BJ2" s="227" t="n">
        <v>47908</v>
      </c>
      <c r="BK2" s="227" t="n">
        <v>47939</v>
      </c>
      <c r="BL2" s="227" t="n">
        <v>47969</v>
      </c>
      <c r="BM2" s="227" t="n">
        <v>48000</v>
      </c>
      <c r="BN2" s="227" t="n">
        <v>48030</v>
      </c>
      <c r="BO2" s="227" t="n">
        <v>48061</v>
      </c>
      <c r="BP2" s="227" t="n">
        <v>48092</v>
      </c>
      <c r="BQ2" s="227" t="n">
        <v>48122</v>
      </c>
      <c r="BR2" s="227" t="n">
        <v>48153</v>
      </c>
      <c r="BS2" s="227" t="n">
        <v>48183</v>
      </c>
      <c r="BT2" s="227" t="n">
        <v>48214</v>
      </c>
      <c r="BU2" s="227" t="n">
        <v>48245</v>
      </c>
      <c r="BV2" s="227" t="n">
        <v>48274</v>
      </c>
      <c r="BW2" s="227" t="n">
        <v>48305</v>
      </c>
      <c r="BX2" s="227" t="n">
        <v>48335</v>
      </c>
      <c r="BY2" s="227" t="n">
        <v>48366</v>
      </c>
      <c r="BZ2" s="227" t="n">
        <v>48396</v>
      </c>
      <c r="CA2" s="227" t="n">
        <v>48427</v>
      </c>
      <c r="CB2" s="227" t="n">
        <v>48458</v>
      </c>
      <c r="CC2" s="227" t="n">
        <v>48488</v>
      </c>
      <c r="CD2" s="227" t="n">
        <v>48519</v>
      </c>
      <c r="CE2" s="227" t="n">
        <v>48549</v>
      </c>
      <c r="CF2" s="227" t="n">
        <v>48580</v>
      </c>
      <c r="CG2" s="227" t="n">
        <v>48611</v>
      </c>
      <c r="CH2" s="227" t="n">
        <v>48639</v>
      </c>
    </row>
    <row r="3" hidden="1" ht="15" customHeight="1" s="202">
      <c r="A3" s="302" t="inlineStr">
        <is>
          <t>Month #</t>
        </is>
      </c>
      <c r="C3" s="322" t="n">
        <v>1</v>
      </c>
      <c r="D3" s="322" t="n">
        <v>2</v>
      </c>
      <c r="E3" s="322" t="n">
        <v>3</v>
      </c>
      <c r="F3" s="322" t="n">
        <v>4</v>
      </c>
      <c r="G3" s="322" t="n">
        <v>5</v>
      </c>
      <c r="H3" s="322" t="n">
        <v>6</v>
      </c>
      <c r="I3" s="322" t="n">
        <v>7</v>
      </c>
      <c r="J3" s="322" t="n">
        <v>8</v>
      </c>
      <c r="K3" s="322" t="n">
        <v>9</v>
      </c>
      <c r="L3" s="322" t="n">
        <v>10</v>
      </c>
      <c r="M3" s="322" t="n">
        <v>11</v>
      </c>
      <c r="N3" s="322" t="n">
        <v>12</v>
      </c>
      <c r="O3" s="322" t="n">
        <v>13</v>
      </c>
      <c r="P3" s="322" t="n">
        <v>14</v>
      </c>
      <c r="Q3" s="322" t="n">
        <v>15</v>
      </c>
      <c r="R3" s="322" t="n">
        <v>16</v>
      </c>
      <c r="S3" s="322" t="n">
        <v>17</v>
      </c>
      <c r="T3" s="322" t="n">
        <v>18</v>
      </c>
      <c r="U3" s="322" t="n">
        <v>19</v>
      </c>
      <c r="V3" s="322" t="n">
        <v>20</v>
      </c>
      <c r="W3" s="322" t="n">
        <v>21</v>
      </c>
      <c r="X3" s="322" t="n">
        <v>22</v>
      </c>
      <c r="Y3" s="322" t="n">
        <v>23</v>
      </c>
      <c r="Z3" s="322" t="n">
        <v>24</v>
      </c>
      <c r="AA3" s="322" t="n">
        <v>25</v>
      </c>
      <c r="AB3" s="322" t="n">
        <v>26</v>
      </c>
      <c r="AC3" s="322" t="n">
        <v>27</v>
      </c>
      <c r="AD3" s="322" t="n">
        <v>28</v>
      </c>
      <c r="AE3" s="322" t="n">
        <v>29</v>
      </c>
      <c r="AF3" s="322" t="n">
        <v>30</v>
      </c>
      <c r="AG3" s="322" t="n">
        <v>31</v>
      </c>
      <c r="AH3" s="322" t="n">
        <v>32</v>
      </c>
      <c r="AI3" s="322" t="n">
        <v>33</v>
      </c>
      <c r="AJ3" s="322" t="n">
        <v>34</v>
      </c>
      <c r="AK3" s="322" t="n">
        <v>35</v>
      </c>
      <c r="AL3" s="322" t="n">
        <v>36</v>
      </c>
      <c r="AM3" s="322" t="n">
        <v>37</v>
      </c>
      <c r="AN3" s="322" t="n">
        <v>38</v>
      </c>
      <c r="AO3" s="322" t="n">
        <v>39</v>
      </c>
      <c r="AP3" s="322" t="n">
        <v>40</v>
      </c>
      <c r="AQ3" s="322" t="n">
        <v>41</v>
      </c>
      <c r="AR3" s="322" t="n">
        <v>42</v>
      </c>
      <c r="AS3" s="322" t="n">
        <v>43</v>
      </c>
      <c r="AT3" s="322" t="n">
        <v>44</v>
      </c>
      <c r="AU3" s="322" t="n">
        <v>45</v>
      </c>
      <c r="AV3" s="322" t="n">
        <v>46</v>
      </c>
      <c r="AW3" s="322" t="n">
        <v>47</v>
      </c>
      <c r="AX3" s="322" t="n">
        <v>48</v>
      </c>
      <c r="AY3" s="322" t="n">
        <v>49</v>
      </c>
      <c r="AZ3" s="322" t="n">
        <v>50</v>
      </c>
      <c r="BA3" s="322" t="n">
        <v>51</v>
      </c>
      <c r="BB3" s="322" t="n">
        <v>52</v>
      </c>
      <c r="BC3" s="322" t="n">
        <v>53</v>
      </c>
      <c r="BD3" s="322" t="n">
        <v>54</v>
      </c>
      <c r="BE3" s="322" t="n">
        <v>55</v>
      </c>
      <c r="BF3" s="322" t="n">
        <v>56</v>
      </c>
      <c r="BG3" s="322" t="n">
        <v>57</v>
      </c>
      <c r="BH3" s="322" t="n">
        <v>58</v>
      </c>
      <c r="BI3" s="322" t="n">
        <v>59</v>
      </c>
      <c r="BJ3" s="322" t="n">
        <v>60</v>
      </c>
      <c r="BK3" s="322" t="n">
        <v>61</v>
      </c>
      <c r="BL3" s="322" t="n">
        <v>62</v>
      </c>
      <c r="BM3" s="322" t="n">
        <v>63</v>
      </c>
      <c r="BN3" s="322" t="n">
        <v>64</v>
      </c>
      <c r="BO3" s="322" t="n">
        <v>65</v>
      </c>
      <c r="BP3" s="322" t="n">
        <v>66</v>
      </c>
      <c r="BQ3" s="322" t="n">
        <v>67</v>
      </c>
      <c r="BR3" s="322" t="n">
        <v>68</v>
      </c>
      <c r="BS3" s="322" t="n">
        <v>69</v>
      </c>
      <c r="BT3" s="322" t="n">
        <v>70</v>
      </c>
      <c r="BU3" s="322" t="n">
        <v>71</v>
      </c>
      <c r="BV3" s="322" t="n">
        <v>72</v>
      </c>
      <c r="BW3" s="322" t="n">
        <v>73</v>
      </c>
      <c r="BX3" s="322" t="n">
        <v>74</v>
      </c>
      <c r="BY3" s="322" t="n">
        <v>75</v>
      </c>
      <c r="BZ3" s="322" t="n">
        <v>76</v>
      </c>
      <c r="CA3" s="322" t="n">
        <v>77</v>
      </c>
      <c r="CB3" s="322" t="n">
        <v>78</v>
      </c>
      <c r="CC3" s="322" t="n">
        <v>79</v>
      </c>
      <c r="CD3" s="322" t="n">
        <v>80</v>
      </c>
      <c r="CE3" s="322" t="n">
        <v>81</v>
      </c>
      <c r="CF3" s="322" t="n">
        <v>82</v>
      </c>
      <c r="CG3" s="322" t="n">
        <v>83</v>
      </c>
      <c r="CH3" s="322" t="n">
        <v>84</v>
      </c>
    </row>
    <row r="4" ht="15" customHeight="1" s="202">
      <c r="A4" s="302" t="inlineStr">
        <is>
          <t>GC W2 Payroll Basis</t>
        </is>
      </c>
      <c r="C4" s="309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/>
      </c>
      <c r="D4" s="309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/>
      </c>
      <c r="E4" s="309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/>
      </c>
      <c r="F4" s="309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/>
      </c>
      <c r="G4" s="309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/>
      </c>
      <c r="H4" s="309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/>
      </c>
      <c r="I4" s="309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/>
      </c>
      <c r="J4" s="309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/>
      </c>
      <c r="K4" s="309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/>
      </c>
      <c r="L4" s="309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/>
      </c>
      <c r="M4" s="309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/>
      </c>
      <c r="N4" s="309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/>
      </c>
      <c r="O4" s="309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/>
      </c>
      <c r="P4" s="309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/>
      </c>
      <c r="Q4" s="309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/>
      </c>
      <c r="R4" s="309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/>
      </c>
      <c r="S4" s="309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/>
      </c>
      <c r="T4" s="309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/>
      </c>
      <c r="U4" s="309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/>
      </c>
      <c r="V4" s="309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/>
      </c>
      <c r="W4" s="309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/>
      </c>
      <c r="X4" s="309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/>
      </c>
      <c r="Y4" s="309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/>
      </c>
      <c r="Z4" s="309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/>
      </c>
      <c r="AA4" s="309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/>
      </c>
      <c r="AB4" s="309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/>
      </c>
      <c r="AC4" s="309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/>
      </c>
      <c r="AD4" s="309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/>
      </c>
      <c r="AE4" s="309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/>
      </c>
      <c r="AF4" s="309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/>
      </c>
      <c r="AG4" s="309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/>
      </c>
      <c r="AH4" s="309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/>
      </c>
      <c r="AI4" s="309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/>
      </c>
      <c r="AJ4" s="309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/>
      </c>
      <c r="AK4" s="309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/>
      </c>
      <c r="AL4" s="309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/>
      </c>
      <c r="AM4" s="309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/>
      </c>
      <c r="AN4" s="309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/>
      </c>
      <c r="AO4" s="309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/>
      </c>
      <c r="AP4" s="309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/>
      </c>
      <c r="AQ4" s="309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/>
      </c>
      <c r="AR4" s="309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/>
      </c>
      <c r="AS4" s="309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/>
      </c>
      <c r="AT4" s="309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/>
      </c>
      <c r="AU4" s="309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/>
      </c>
      <c r="AV4" s="309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/>
      </c>
      <c r="AW4" s="309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/>
      </c>
      <c r="AX4" s="309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/>
      </c>
      <c r="AY4" s="309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/>
      </c>
      <c r="AZ4" s="309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/>
      </c>
      <c r="BA4" s="309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/>
      </c>
      <c r="BB4" s="309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/>
      </c>
      <c r="BC4" s="309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/>
      </c>
      <c r="BD4" s="309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/>
      </c>
      <c r="BE4" s="309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/>
      </c>
      <c r="BF4" s="309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/>
      </c>
      <c r="BG4" s="309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/>
      </c>
      <c r="BH4" s="309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/>
      </c>
      <c r="BI4" s="309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/>
      </c>
      <c r="BJ4" s="309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/>
      </c>
      <c r="BK4" s="309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/>
      </c>
      <c r="BL4" s="309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/>
      </c>
      <c r="BM4" s="309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/>
      </c>
      <c r="BN4" s="309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/>
      </c>
      <c r="BO4" s="309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/>
      </c>
      <c r="BP4" s="309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/>
      </c>
      <c r="BQ4" s="309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/>
      </c>
      <c r="BR4" s="309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/>
      </c>
      <c r="BS4" s="309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/>
      </c>
      <c r="BT4" s="309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/>
      </c>
      <c r="BU4" s="309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/>
      </c>
      <c r="BV4" s="309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/>
      </c>
      <c r="BW4" s="309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/>
      </c>
      <c r="BX4" s="309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/>
      </c>
      <c r="BY4" s="309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/>
      </c>
      <c r="BZ4" s="309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/>
      </c>
      <c r="CA4" s="309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/>
      </c>
      <c r="CB4" s="309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/>
      </c>
      <c r="CC4" s="309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/>
      </c>
      <c r="CD4" s="309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/>
      </c>
      <c r="CE4" s="309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/>
      </c>
      <c r="CF4" s="309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/>
      </c>
      <c r="CG4" s="309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/>
      </c>
      <c r="CH4" s="309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/>
      </c>
    </row>
    <row r="5" ht="15" customHeight="1" s="202">
      <c r="A5" s="302" t="inlineStr">
        <is>
          <t>SP W2 Payroll Basis</t>
        </is>
      </c>
      <c r="C5" s="309">
        <f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/>
      </c>
      <c r="D5" s="309">
        <f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/>
      </c>
      <c r="E5" s="309">
        <f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/>
      </c>
      <c r="F5" s="309">
        <f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/>
      </c>
      <c r="G5" s="309">
        <f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/>
      </c>
      <c r="H5" s="309">
        <f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/>
      </c>
      <c r="I5" s="309">
        <f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/>
      </c>
      <c r="J5" s="309">
        <f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/>
      </c>
      <c r="K5" s="309">
        <f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/>
      </c>
      <c r="L5" s="309">
        <f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/>
      </c>
      <c r="M5" s="309">
        <f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/>
      </c>
      <c r="N5" s="309">
        <f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/>
      </c>
      <c r="O5" s="309">
        <f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/>
      </c>
      <c r="P5" s="309">
        <f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/>
      </c>
      <c r="Q5" s="309">
        <f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/>
      </c>
      <c r="R5" s="309">
        <f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/>
      </c>
      <c r="S5" s="309">
        <f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/>
      </c>
      <c r="T5" s="309">
        <f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/>
      </c>
      <c r="U5" s="309">
        <f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/>
      </c>
      <c r="V5" s="309">
        <f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/>
      </c>
      <c r="W5" s="309">
        <f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/>
      </c>
      <c r="X5" s="309">
        <f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/>
      </c>
      <c r="Y5" s="309">
        <f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/>
      </c>
      <c r="Z5" s="309">
        <f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/>
      </c>
      <c r="AA5" s="309">
        <f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/>
      </c>
      <c r="AB5" s="309">
        <f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/>
      </c>
      <c r="AC5" s="309">
        <f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/>
      </c>
      <c r="AD5" s="309">
        <f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/>
      </c>
      <c r="AE5" s="309">
        <f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/>
      </c>
      <c r="AF5" s="309">
        <f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/>
      </c>
      <c r="AG5" s="309">
        <f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/>
      </c>
      <c r="AH5" s="309">
        <f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/>
      </c>
      <c r="AI5" s="309">
        <f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/>
      </c>
      <c r="AJ5" s="309">
        <f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/>
      </c>
      <c r="AK5" s="309">
        <f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/>
      </c>
      <c r="AL5" s="309">
        <f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/>
      </c>
      <c r="AM5" s="309">
        <f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/>
      </c>
      <c r="AN5" s="309">
        <f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/>
      </c>
      <c r="AO5" s="309">
        <f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/>
      </c>
      <c r="AP5" s="309">
        <f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/>
      </c>
      <c r="AQ5" s="309">
        <f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/>
      </c>
      <c r="AR5" s="309">
        <f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/>
      </c>
      <c r="AS5" s="309">
        <f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/>
      </c>
      <c r="AT5" s="309">
        <f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/>
      </c>
      <c r="AU5" s="309">
        <f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/>
      </c>
      <c r="AV5" s="309">
        <f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/>
      </c>
      <c r="AW5" s="309">
        <f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/>
      </c>
      <c r="AX5" s="309">
        <f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/>
      </c>
      <c r="AY5" s="309">
        <f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/>
      </c>
      <c r="AZ5" s="309">
        <f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/>
      </c>
      <c r="BA5" s="309">
        <f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/>
      </c>
      <c r="BB5" s="309">
        <f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/>
      </c>
      <c r="BC5" s="309">
        <f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/>
      </c>
      <c r="BD5" s="309">
        <f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/>
      </c>
      <c r="BE5" s="309">
        <f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/>
      </c>
      <c r="BF5" s="309">
        <f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/>
      </c>
      <c r="BG5" s="309">
        <f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/>
      </c>
      <c r="BH5" s="309">
        <f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/>
      </c>
      <c r="BI5" s="309">
        <f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/>
      </c>
      <c r="BJ5" s="309">
        <f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/>
      </c>
      <c r="BK5" s="309">
        <f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/>
      </c>
      <c r="BL5" s="309">
        <f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/>
      </c>
      <c r="BM5" s="309">
        <f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/>
      </c>
      <c r="BN5" s="309">
        <f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/>
      </c>
      <c r="BO5" s="309">
        <f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/>
      </c>
      <c r="BP5" s="309">
        <f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/>
      </c>
      <c r="BQ5" s="309">
        <f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/>
      </c>
      <c r="BR5" s="309">
        <f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/>
      </c>
      <c r="BS5" s="309">
        <f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/>
      </c>
      <c r="BT5" s="309">
        <f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/>
      </c>
      <c r="BU5" s="309">
        <f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/>
      </c>
      <c r="BV5" s="309">
        <f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/>
      </c>
      <c r="BW5" s="309">
        <f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/>
      </c>
      <c r="BX5" s="309">
        <f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/>
      </c>
      <c r="BY5" s="309">
        <f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/>
      </c>
      <c r="BZ5" s="309">
        <f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/>
      </c>
      <c r="CA5" s="309">
        <f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/>
      </c>
      <c r="CB5" s="309">
        <f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/>
      </c>
      <c r="CC5" s="309">
        <f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/>
      </c>
      <c r="CD5" s="309">
        <f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/>
      </c>
      <c r="CE5" s="309">
        <f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/>
      </c>
      <c r="CF5" s="309">
        <f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/>
      </c>
      <c r="CG5" s="309">
        <f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/>
      </c>
      <c r="CH5" s="309">
        <f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/>
      </c>
    </row>
    <row r="6"/>
    <row r="7" ht="15" customHeight="1" s="202">
      <c r="A7" s="304" t="inlineStr">
        <is>
          <t>Bonding Outstanding by Project</t>
        </is>
      </c>
    </row>
    <row r="8" ht="15" customHeight="1" s="202">
      <c r="A8" s="302" t="inlineStr">
        <is>
          <t>Califa</t>
        </is>
      </c>
      <c r="C8" s="309">
        <f>IF(AND(Projects!$G$4="Yes",Projects!$F$4="Yes",1&gt;=Projects!$C$4,1&lt;Projects!$C$4+Projects!$D$4),Projects!$B$4*(1-SUMPRODUCT((Curves!$B$8:$AO$8)*(COLUMN(Curves!$B$8:$AO$8)-COLUMN(Curves!$B$8)+1&lt;=1-Projects!$C$4+1))),0)</f>
        <v/>
      </c>
      <c r="D8" s="309">
        <f>IF(AND(Projects!$G$4="Yes",Projects!$F$4="Yes",2&gt;=Projects!$C$4,2&lt;Projects!$C$4+Projects!$D$4),Projects!$B$4*(1-SUMPRODUCT((Curves!$B$8:$AO$8)*(COLUMN(Curves!$B$8:$AO$8)-COLUMN(Curves!$B$8)+1&lt;=2-Projects!$C$4+1))),0)</f>
        <v/>
      </c>
      <c r="E8" s="309">
        <f>IF(AND(Projects!$G$4="Yes",Projects!$F$4="Yes",3&gt;=Projects!$C$4,3&lt;Projects!$C$4+Projects!$D$4),Projects!$B$4*(1-SUMPRODUCT((Curves!$B$8:$AO$8)*(COLUMN(Curves!$B$8:$AO$8)-COLUMN(Curves!$B$8)+1&lt;=3-Projects!$C$4+1))),0)</f>
        <v/>
      </c>
      <c r="F8" s="309">
        <f>IF(AND(Projects!$G$4="Yes",Projects!$F$4="Yes",4&gt;=Projects!$C$4,4&lt;Projects!$C$4+Projects!$D$4),Projects!$B$4*(1-SUMPRODUCT((Curves!$B$8:$AO$8)*(COLUMN(Curves!$B$8:$AO$8)-COLUMN(Curves!$B$8)+1&lt;=4-Projects!$C$4+1))),0)</f>
        <v/>
      </c>
      <c r="G8" s="309">
        <f>IF(AND(Projects!$G$4="Yes",Projects!$F$4="Yes",5&gt;=Projects!$C$4,5&lt;Projects!$C$4+Projects!$D$4),Projects!$B$4*(1-SUMPRODUCT((Curves!$B$8:$AO$8)*(COLUMN(Curves!$B$8:$AO$8)-COLUMN(Curves!$B$8)+1&lt;=5-Projects!$C$4+1))),0)</f>
        <v/>
      </c>
      <c r="H8" s="309">
        <f>IF(AND(Projects!$G$4="Yes",Projects!$F$4="Yes",6&gt;=Projects!$C$4,6&lt;Projects!$C$4+Projects!$D$4),Projects!$B$4*(1-SUMPRODUCT((Curves!$B$8:$AO$8)*(COLUMN(Curves!$B$8:$AO$8)-COLUMN(Curves!$B$8)+1&lt;=6-Projects!$C$4+1))),0)</f>
        <v/>
      </c>
      <c r="I8" s="309">
        <f>IF(AND(Projects!$G$4="Yes",Projects!$F$4="Yes",7&gt;=Projects!$C$4,7&lt;Projects!$C$4+Projects!$D$4),Projects!$B$4*(1-SUMPRODUCT((Curves!$B$8:$AO$8)*(COLUMN(Curves!$B$8:$AO$8)-COLUMN(Curves!$B$8)+1&lt;=7-Projects!$C$4+1))),0)</f>
        <v/>
      </c>
      <c r="J8" s="309">
        <f>IF(AND(Projects!$G$4="Yes",Projects!$F$4="Yes",8&gt;=Projects!$C$4,8&lt;Projects!$C$4+Projects!$D$4),Projects!$B$4*(1-SUMPRODUCT((Curves!$B$8:$AO$8)*(COLUMN(Curves!$B$8:$AO$8)-COLUMN(Curves!$B$8)+1&lt;=8-Projects!$C$4+1))),0)</f>
        <v/>
      </c>
      <c r="K8" s="309">
        <f>IF(AND(Projects!$G$4="Yes",Projects!$F$4="Yes",9&gt;=Projects!$C$4,9&lt;Projects!$C$4+Projects!$D$4),Projects!$B$4*(1-SUMPRODUCT((Curves!$B$8:$AO$8)*(COLUMN(Curves!$B$8:$AO$8)-COLUMN(Curves!$B$8)+1&lt;=9-Projects!$C$4+1))),0)</f>
        <v/>
      </c>
      <c r="L8" s="309">
        <f>IF(AND(Projects!$G$4="Yes",Projects!$F$4="Yes",10&gt;=Projects!$C$4,10&lt;Projects!$C$4+Projects!$D$4),Projects!$B$4*(1-SUMPRODUCT((Curves!$B$8:$AO$8)*(COLUMN(Curves!$B$8:$AO$8)-COLUMN(Curves!$B$8)+1&lt;=10-Projects!$C$4+1))),0)</f>
        <v/>
      </c>
      <c r="M8" s="309">
        <f>IF(AND(Projects!$G$4="Yes",Projects!$F$4="Yes",11&gt;=Projects!$C$4,11&lt;Projects!$C$4+Projects!$D$4),Projects!$B$4*(1-SUMPRODUCT((Curves!$B$8:$AO$8)*(COLUMN(Curves!$B$8:$AO$8)-COLUMN(Curves!$B$8)+1&lt;=11-Projects!$C$4+1))),0)</f>
        <v/>
      </c>
      <c r="N8" s="309">
        <f>IF(AND(Projects!$G$4="Yes",Projects!$F$4="Yes",12&gt;=Projects!$C$4,12&lt;Projects!$C$4+Projects!$D$4),Projects!$B$4*(1-SUMPRODUCT((Curves!$B$8:$AO$8)*(COLUMN(Curves!$B$8:$AO$8)-COLUMN(Curves!$B$8)+1&lt;=12-Projects!$C$4+1))),0)</f>
        <v/>
      </c>
      <c r="O8" s="309">
        <f>IF(AND(Projects!$G$4="Yes",Projects!$F$4="Yes",13&gt;=Projects!$C$4,13&lt;Projects!$C$4+Projects!$D$4),Projects!$B$4*(1-SUMPRODUCT((Curves!$B$8:$AO$8)*(COLUMN(Curves!$B$8:$AO$8)-COLUMN(Curves!$B$8)+1&lt;=13-Projects!$C$4+1))),0)</f>
        <v/>
      </c>
      <c r="P8" s="309">
        <f>IF(AND(Projects!$G$4="Yes",Projects!$F$4="Yes",14&gt;=Projects!$C$4,14&lt;Projects!$C$4+Projects!$D$4),Projects!$B$4*(1-SUMPRODUCT((Curves!$B$8:$AO$8)*(COLUMN(Curves!$B$8:$AO$8)-COLUMN(Curves!$B$8)+1&lt;=14-Projects!$C$4+1))),0)</f>
        <v/>
      </c>
      <c r="Q8" s="309">
        <f>IF(AND(Projects!$G$4="Yes",Projects!$F$4="Yes",15&gt;=Projects!$C$4,15&lt;Projects!$C$4+Projects!$D$4),Projects!$B$4*(1-SUMPRODUCT((Curves!$B$8:$AO$8)*(COLUMN(Curves!$B$8:$AO$8)-COLUMN(Curves!$B$8)+1&lt;=15-Projects!$C$4+1))),0)</f>
        <v/>
      </c>
      <c r="R8" s="309">
        <f>IF(AND(Projects!$G$4="Yes",Projects!$F$4="Yes",16&gt;=Projects!$C$4,16&lt;Projects!$C$4+Projects!$D$4),Projects!$B$4*(1-SUMPRODUCT((Curves!$B$8:$AO$8)*(COLUMN(Curves!$B$8:$AO$8)-COLUMN(Curves!$B$8)+1&lt;=16-Projects!$C$4+1))),0)</f>
        <v/>
      </c>
      <c r="S8" s="309">
        <f>IF(AND(Projects!$G$4="Yes",Projects!$F$4="Yes",17&gt;=Projects!$C$4,17&lt;Projects!$C$4+Projects!$D$4),Projects!$B$4*(1-SUMPRODUCT((Curves!$B$8:$AO$8)*(COLUMN(Curves!$B$8:$AO$8)-COLUMN(Curves!$B$8)+1&lt;=17-Projects!$C$4+1))),0)</f>
        <v/>
      </c>
      <c r="T8" s="309">
        <f>IF(AND(Projects!$G$4="Yes",Projects!$F$4="Yes",18&gt;=Projects!$C$4,18&lt;Projects!$C$4+Projects!$D$4),Projects!$B$4*(1-SUMPRODUCT((Curves!$B$8:$AO$8)*(COLUMN(Curves!$B$8:$AO$8)-COLUMN(Curves!$B$8)+1&lt;=18-Projects!$C$4+1))),0)</f>
        <v/>
      </c>
      <c r="U8" s="309">
        <f>IF(AND(Projects!$G$4="Yes",Projects!$F$4="Yes",19&gt;=Projects!$C$4,19&lt;Projects!$C$4+Projects!$D$4),Projects!$B$4*(1-SUMPRODUCT((Curves!$B$8:$AO$8)*(COLUMN(Curves!$B$8:$AO$8)-COLUMN(Curves!$B$8)+1&lt;=19-Projects!$C$4+1))),0)</f>
        <v/>
      </c>
      <c r="V8" s="309">
        <f>IF(AND(Projects!$G$4="Yes",Projects!$F$4="Yes",20&gt;=Projects!$C$4,20&lt;Projects!$C$4+Projects!$D$4),Projects!$B$4*(1-SUMPRODUCT((Curves!$B$8:$AO$8)*(COLUMN(Curves!$B$8:$AO$8)-COLUMN(Curves!$B$8)+1&lt;=20-Projects!$C$4+1))),0)</f>
        <v/>
      </c>
      <c r="W8" s="309">
        <f>IF(AND(Projects!$G$4="Yes",Projects!$F$4="Yes",21&gt;=Projects!$C$4,21&lt;Projects!$C$4+Projects!$D$4),Projects!$B$4*(1-SUMPRODUCT((Curves!$B$8:$AO$8)*(COLUMN(Curves!$B$8:$AO$8)-COLUMN(Curves!$B$8)+1&lt;=21-Projects!$C$4+1))),0)</f>
        <v/>
      </c>
      <c r="X8" s="309">
        <f>IF(AND(Projects!$G$4="Yes",Projects!$F$4="Yes",22&gt;=Projects!$C$4,22&lt;Projects!$C$4+Projects!$D$4),Projects!$B$4*(1-SUMPRODUCT((Curves!$B$8:$AO$8)*(COLUMN(Curves!$B$8:$AO$8)-COLUMN(Curves!$B$8)+1&lt;=22-Projects!$C$4+1))),0)</f>
        <v/>
      </c>
      <c r="Y8" s="309">
        <f>IF(AND(Projects!$G$4="Yes",Projects!$F$4="Yes",23&gt;=Projects!$C$4,23&lt;Projects!$C$4+Projects!$D$4),Projects!$B$4*(1-SUMPRODUCT((Curves!$B$8:$AO$8)*(COLUMN(Curves!$B$8:$AO$8)-COLUMN(Curves!$B$8)+1&lt;=23-Projects!$C$4+1))),0)</f>
        <v/>
      </c>
      <c r="Z8" s="309">
        <f>IF(AND(Projects!$G$4="Yes",Projects!$F$4="Yes",24&gt;=Projects!$C$4,24&lt;Projects!$C$4+Projects!$D$4),Projects!$B$4*(1-SUMPRODUCT((Curves!$B$8:$AO$8)*(COLUMN(Curves!$B$8:$AO$8)-COLUMN(Curves!$B$8)+1&lt;=24-Projects!$C$4+1))),0)</f>
        <v/>
      </c>
      <c r="AA8" s="309">
        <f>IF(AND(Projects!$G$4="Yes",Projects!$F$4="Yes",25&gt;=Projects!$C$4,25&lt;Projects!$C$4+Projects!$D$4),Projects!$B$4*(1-SUMPRODUCT((Curves!$B$8:$AO$8)*(COLUMN(Curves!$B$8:$AO$8)-COLUMN(Curves!$B$8)+1&lt;=25-Projects!$C$4+1))),0)</f>
        <v/>
      </c>
      <c r="AB8" s="309">
        <f>IF(AND(Projects!$G$4="Yes",Projects!$F$4="Yes",26&gt;=Projects!$C$4,26&lt;Projects!$C$4+Projects!$D$4),Projects!$B$4*(1-SUMPRODUCT((Curves!$B$8:$AO$8)*(COLUMN(Curves!$B$8:$AO$8)-COLUMN(Curves!$B$8)+1&lt;=26-Projects!$C$4+1))),0)</f>
        <v/>
      </c>
      <c r="AC8" s="309">
        <f>IF(AND(Projects!$G$4="Yes",Projects!$F$4="Yes",27&gt;=Projects!$C$4,27&lt;Projects!$C$4+Projects!$D$4),Projects!$B$4*(1-SUMPRODUCT((Curves!$B$8:$AO$8)*(COLUMN(Curves!$B$8:$AO$8)-COLUMN(Curves!$B$8)+1&lt;=27-Projects!$C$4+1))),0)</f>
        <v/>
      </c>
      <c r="AD8" s="309">
        <f>IF(AND(Projects!$G$4="Yes",Projects!$F$4="Yes",28&gt;=Projects!$C$4,28&lt;Projects!$C$4+Projects!$D$4),Projects!$B$4*(1-SUMPRODUCT((Curves!$B$8:$AO$8)*(COLUMN(Curves!$B$8:$AO$8)-COLUMN(Curves!$B$8)+1&lt;=28-Projects!$C$4+1))),0)</f>
        <v/>
      </c>
      <c r="AE8" s="309">
        <f>IF(AND(Projects!$G$4="Yes",Projects!$F$4="Yes",29&gt;=Projects!$C$4,29&lt;Projects!$C$4+Projects!$D$4),Projects!$B$4*(1-SUMPRODUCT((Curves!$B$8:$AO$8)*(COLUMN(Curves!$B$8:$AO$8)-COLUMN(Curves!$B$8)+1&lt;=29-Projects!$C$4+1))),0)</f>
        <v/>
      </c>
      <c r="AF8" s="309">
        <f>IF(AND(Projects!$G$4="Yes",Projects!$F$4="Yes",30&gt;=Projects!$C$4,30&lt;Projects!$C$4+Projects!$D$4),Projects!$B$4*(1-SUMPRODUCT((Curves!$B$8:$AO$8)*(COLUMN(Curves!$B$8:$AO$8)-COLUMN(Curves!$B$8)+1&lt;=30-Projects!$C$4+1))),0)</f>
        <v/>
      </c>
      <c r="AG8" s="309">
        <f>IF(AND(Projects!$G$4="Yes",Projects!$F$4="Yes",31&gt;=Projects!$C$4,31&lt;Projects!$C$4+Projects!$D$4),Projects!$B$4*(1-SUMPRODUCT((Curves!$B$8:$AO$8)*(COLUMN(Curves!$B$8:$AO$8)-COLUMN(Curves!$B$8)+1&lt;=31-Projects!$C$4+1))),0)</f>
        <v/>
      </c>
      <c r="AH8" s="309">
        <f>IF(AND(Projects!$G$4="Yes",Projects!$F$4="Yes",32&gt;=Projects!$C$4,32&lt;Projects!$C$4+Projects!$D$4),Projects!$B$4*(1-SUMPRODUCT((Curves!$B$8:$AO$8)*(COLUMN(Curves!$B$8:$AO$8)-COLUMN(Curves!$B$8)+1&lt;=32-Projects!$C$4+1))),0)</f>
        <v/>
      </c>
      <c r="AI8" s="309">
        <f>IF(AND(Projects!$G$4="Yes",Projects!$F$4="Yes",33&gt;=Projects!$C$4,33&lt;Projects!$C$4+Projects!$D$4),Projects!$B$4*(1-SUMPRODUCT((Curves!$B$8:$AO$8)*(COLUMN(Curves!$B$8:$AO$8)-COLUMN(Curves!$B$8)+1&lt;=33-Projects!$C$4+1))),0)</f>
        <v/>
      </c>
      <c r="AJ8" s="309">
        <f>IF(AND(Projects!$G$4="Yes",Projects!$F$4="Yes",34&gt;=Projects!$C$4,34&lt;Projects!$C$4+Projects!$D$4),Projects!$B$4*(1-SUMPRODUCT((Curves!$B$8:$AO$8)*(COLUMN(Curves!$B$8:$AO$8)-COLUMN(Curves!$B$8)+1&lt;=34-Projects!$C$4+1))),0)</f>
        <v/>
      </c>
      <c r="AK8" s="309">
        <f>IF(AND(Projects!$G$4="Yes",Projects!$F$4="Yes",35&gt;=Projects!$C$4,35&lt;Projects!$C$4+Projects!$D$4),Projects!$B$4*(1-SUMPRODUCT((Curves!$B$8:$AO$8)*(COLUMN(Curves!$B$8:$AO$8)-COLUMN(Curves!$B$8)+1&lt;=35-Projects!$C$4+1))),0)</f>
        <v/>
      </c>
      <c r="AL8" s="309">
        <f>IF(AND(Projects!$G$4="Yes",Projects!$F$4="Yes",36&gt;=Projects!$C$4,36&lt;Projects!$C$4+Projects!$D$4),Projects!$B$4*(1-SUMPRODUCT((Curves!$B$8:$AO$8)*(COLUMN(Curves!$B$8:$AO$8)-COLUMN(Curves!$B$8)+1&lt;=36-Projects!$C$4+1))),0)</f>
        <v/>
      </c>
      <c r="AM8" s="309">
        <f>IF(AND(Projects!$G$4="Yes",Projects!$F$4="Yes",37&gt;=Projects!$C$4,37&lt;Projects!$C$4+Projects!$D$4),Projects!$B$4*(1-SUMPRODUCT((Curves!$B$8:$AO$8)*(COLUMN(Curves!$B$8:$AO$8)-COLUMN(Curves!$B$8)+1&lt;=37-Projects!$C$4+1))),0)</f>
        <v/>
      </c>
      <c r="AN8" s="309">
        <f>IF(AND(Projects!$G$4="Yes",Projects!$F$4="Yes",38&gt;=Projects!$C$4,38&lt;Projects!$C$4+Projects!$D$4),Projects!$B$4*(1-SUMPRODUCT((Curves!$B$8:$AO$8)*(COLUMN(Curves!$B$8:$AO$8)-COLUMN(Curves!$B$8)+1&lt;=38-Projects!$C$4+1))),0)</f>
        <v/>
      </c>
      <c r="AO8" s="309">
        <f>IF(AND(Projects!$G$4="Yes",Projects!$F$4="Yes",39&gt;=Projects!$C$4,39&lt;Projects!$C$4+Projects!$D$4),Projects!$B$4*(1-SUMPRODUCT((Curves!$B$8:$AO$8)*(COLUMN(Curves!$B$8:$AO$8)-COLUMN(Curves!$B$8)+1&lt;=39-Projects!$C$4+1))),0)</f>
        <v/>
      </c>
      <c r="AP8" s="309">
        <f>IF(AND(Projects!$G$4="Yes",Projects!$F$4="Yes",40&gt;=Projects!$C$4,40&lt;Projects!$C$4+Projects!$D$4),Projects!$B$4*(1-SUMPRODUCT((Curves!$B$8:$AO$8)*(COLUMN(Curves!$B$8:$AO$8)-COLUMN(Curves!$B$8)+1&lt;=40-Projects!$C$4+1))),0)</f>
        <v/>
      </c>
      <c r="AQ8" s="309">
        <f>IF(AND(Projects!$G$4="Yes",Projects!$F$4="Yes",41&gt;=Projects!$C$4,41&lt;Projects!$C$4+Projects!$D$4),Projects!$B$4*(1-SUMPRODUCT((Curves!$B$8:$AO$8)*(COLUMN(Curves!$B$8:$AO$8)-COLUMN(Curves!$B$8)+1&lt;=41-Projects!$C$4+1))),0)</f>
        <v/>
      </c>
      <c r="AR8" s="309">
        <f>IF(AND(Projects!$G$4="Yes",Projects!$F$4="Yes",42&gt;=Projects!$C$4,42&lt;Projects!$C$4+Projects!$D$4),Projects!$B$4*(1-SUMPRODUCT((Curves!$B$8:$AO$8)*(COLUMN(Curves!$B$8:$AO$8)-COLUMN(Curves!$B$8)+1&lt;=42-Projects!$C$4+1))),0)</f>
        <v/>
      </c>
      <c r="AS8" s="309">
        <f>IF(AND(Projects!$G$4="Yes",Projects!$F$4="Yes",43&gt;=Projects!$C$4,43&lt;Projects!$C$4+Projects!$D$4),Projects!$B$4*(1-SUMPRODUCT((Curves!$B$8:$AO$8)*(COLUMN(Curves!$B$8:$AO$8)-COLUMN(Curves!$B$8)+1&lt;=43-Projects!$C$4+1))),0)</f>
        <v/>
      </c>
      <c r="AT8" s="309">
        <f>IF(AND(Projects!$G$4="Yes",Projects!$F$4="Yes",44&gt;=Projects!$C$4,44&lt;Projects!$C$4+Projects!$D$4),Projects!$B$4*(1-SUMPRODUCT((Curves!$B$8:$AO$8)*(COLUMN(Curves!$B$8:$AO$8)-COLUMN(Curves!$B$8)+1&lt;=44-Projects!$C$4+1))),0)</f>
        <v/>
      </c>
      <c r="AU8" s="309">
        <f>IF(AND(Projects!$G$4="Yes",Projects!$F$4="Yes",45&gt;=Projects!$C$4,45&lt;Projects!$C$4+Projects!$D$4),Projects!$B$4*(1-SUMPRODUCT((Curves!$B$8:$AO$8)*(COLUMN(Curves!$B$8:$AO$8)-COLUMN(Curves!$B$8)+1&lt;=45-Projects!$C$4+1))),0)</f>
        <v/>
      </c>
      <c r="AV8" s="309">
        <f>IF(AND(Projects!$G$4="Yes",Projects!$F$4="Yes",46&gt;=Projects!$C$4,46&lt;Projects!$C$4+Projects!$D$4),Projects!$B$4*(1-SUMPRODUCT((Curves!$B$8:$AO$8)*(COLUMN(Curves!$B$8:$AO$8)-COLUMN(Curves!$B$8)+1&lt;=46-Projects!$C$4+1))),0)</f>
        <v/>
      </c>
      <c r="AW8" s="309">
        <f>IF(AND(Projects!$G$4="Yes",Projects!$F$4="Yes",47&gt;=Projects!$C$4,47&lt;Projects!$C$4+Projects!$D$4),Projects!$B$4*(1-SUMPRODUCT((Curves!$B$8:$AO$8)*(COLUMN(Curves!$B$8:$AO$8)-COLUMN(Curves!$B$8)+1&lt;=47-Projects!$C$4+1))),0)</f>
        <v/>
      </c>
      <c r="AX8" s="309">
        <f>IF(AND(Projects!$G$4="Yes",Projects!$F$4="Yes",48&gt;=Projects!$C$4,48&lt;Projects!$C$4+Projects!$D$4),Projects!$B$4*(1-SUMPRODUCT((Curves!$B$8:$AO$8)*(COLUMN(Curves!$B$8:$AO$8)-COLUMN(Curves!$B$8)+1&lt;=48-Projects!$C$4+1))),0)</f>
        <v/>
      </c>
      <c r="AY8" s="309">
        <f>IF(AND(Projects!$G$4="Yes",Projects!$F$4="Yes",49&gt;=Projects!$C$4,49&lt;Projects!$C$4+Projects!$D$4),Projects!$B$4*(1-SUMPRODUCT((Curves!$B$8:$AO$8)*(COLUMN(Curves!$B$8:$AO$8)-COLUMN(Curves!$B$8)+1&lt;=49-Projects!$C$4+1))),0)</f>
        <v/>
      </c>
      <c r="AZ8" s="309">
        <f>IF(AND(Projects!$G$4="Yes",Projects!$F$4="Yes",50&gt;=Projects!$C$4,50&lt;Projects!$C$4+Projects!$D$4),Projects!$B$4*(1-SUMPRODUCT((Curves!$B$8:$AO$8)*(COLUMN(Curves!$B$8:$AO$8)-COLUMN(Curves!$B$8)+1&lt;=50-Projects!$C$4+1))),0)</f>
        <v/>
      </c>
      <c r="BA8" s="309">
        <f>IF(AND(Projects!$G$4="Yes",Projects!$F$4="Yes",51&gt;=Projects!$C$4,51&lt;Projects!$C$4+Projects!$D$4),Projects!$B$4*(1-SUMPRODUCT((Curves!$B$8:$AO$8)*(COLUMN(Curves!$B$8:$AO$8)-COLUMN(Curves!$B$8)+1&lt;=51-Projects!$C$4+1))),0)</f>
        <v/>
      </c>
      <c r="BB8" s="309">
        <f>IF(AND(Projects!$G$4="Yes",Projects!$F$4="Yes",52&gt;=Projects!$C$4,52&lt;Projects!$C$4+Projects!$D$4),Projects!$B$4*(1-SUMPRODUCT((Curves!$B$8:$AO$8)*(COLUMN(Curves!$B$8:$AO$8)-COLUMN(Curves!$B$8)+1&lt;=52-Projects!$C$4+1))),0)</f>
        <v/>
      </c>
      <c r="BC8" s="309">
        <f>IF(AND(Projects!$G$4="Yes",Projects!$F$4="Yes",53&gt;=Projects!$C$4,53&lt;Projects!$C$4+Projects!$D$4),Projects!$B$4*(1-SUMPRODUCT((Curves!$B$8:$AO$8)*(COLUMN(Curves!$B$8:$AO$8)-COLUMN(Curves!$B$8)+1&lt;=53-Projects!$C$4+1))),0)</f>
        <v/>
      </c>
      <c r="BD8" s="309">
        <f>IF(AND(Projects!$G$4="Yes",Projects!$F$4="Yes",54&gt;=Projects!$C$4,54&lt;Projects!$C$4+Projects!$D$4),Projects!$B$4*(1-SUMPRODUCT((Curves!$B$8:$AO$8)*(COLUMN(Curves!$B$8:$AO$8)-COLUMN(Curves!$B$8)+1&lt;=54-Projects!$C$4+1))),0)</f>
        <v/>
      </c>
      <c r="BE8" s="309">
        <f>IF(AND(Projects!$G$4="Yes",Projects!$F$4="Yes",55&gt;=Projects!$C$4,55&lt;Projects!$C$4+Projects!$D$4),Projects!$B$4*(1-SUMPRODUCT((Curves!$B$8:$AO$8)*(COLUMN(Curves!$B$8:$AO$8)-COLUMN(Curves!$B$8)+1&lt;=55-Projects!$C$4+1))),0)</f>
        <v/>
      </c>
      <c r="BF8" s="309">
        <f>IF(AND(Projects!$G$4="Yes",Projects!$F$4="Yes",56&gt;=Projects!$C$4,56&lt;Projects!$C$4+Projects!$D$4),Projects!$B$4*(1-SUMPRODUCT((Curves!$B$8:$AO$8)*(COLUMN(Curves!$B$8:$AO$8)-COLUMN(Curves!$B$8)+1&lt;=56-Projects!$C$4+1))),0)</f>
        <v/>
      </c>
      <c r="BG8" s="309">
        <f>IF(AND(Projects!$G$4="Yes",Projects!$F$4="Yes",57&gt;=Projects!$C$4,57&lt;Projects!$C$4+Projects!$D$4),Projects!$B$4*(1-SUMPRODUCT((Curves!$B$8:$AO$8)*(COLUMN(Curves!$B$8:$AO$8)-COLUMN(Curves!$B$8)+1&lt;=57-Projects!$C$4+1))),0)</f>
        <v/>
      </c>
      <c r="BH8" s="309">
        <f>IF(AND(Projects!$G$4="Yes",Projects!$F$4="Yes",58&gt;=Projects!$C$4,58&lt;Projects!$C$4+Projects!$D$4),Projects!$B$4*(1-SUMPRODUCT((Curves!$B$8:$AO$8)*(COLUMN(Curves!$B$8:$AO$8)-COLUMN(Curves!$B$8)+1&lt;=58-Projects!$C$4+1))),0)</f>
        <v/>
      </c>
      <c r="BI8" s="309">
        <f>IF(AND(Projects!$G$4="Yes",Projects!$F$4="Yes",59&gt;=Projects!$C$4,59&lt;Projects!$C$4+Projects!$D$4),Projects!$B$4*(1-SUMPRODUCT((Curves!$B$8:$AO$8)*(COLUMN(Curves!$B$8:$AO$8)-COLUMN(Curves!$B$8)+1&lt;=59-Projects!$C$4+1))),0)</f>
        <v/>
      </c>
      <c r="BJ8" s="309">
        <f>IF(AND(Projects!$G$4="Yes",Projects!$F$4="Yes",60&gt;=Projects!$C$4,60&lt;Projects!$C$4+Projects!$D$4),Projects!$B$4*(1-SUMPRODUCT((Curves!$B$8:$AO$8)*(COLUMN(Curves!$B$8:$AO$8)-COLUMN(Curves!$B$8)+1&lt;=60-Projects!$C$4+1))),0)</f>
        <v/>
      </c>
      <c r="BK8" s="309">
        <f>IF(AND(Projects!$G$4="Yes",Projects!$F$4="Yes",61&gt;=Projects!$C$4,61&lt;Projects!$C$4+Projects!$D$4),Projects!$B$4*(1-SUMPRODUCT((Curves!$B$8:$AO$8)*(COLUMN(Curves!$B$8:$AO$8)-COLUMN(Curves!$B$8)+1&lt;=61-Projects!$C$4+1))),0)</f>
        <v/>
      </c>
      <c r="BL8" s="309">
        <f>IF(AND(Projects!$G$4="Yes",Projects!$F$4="Yes",62&gt;=Projects!$C$4,62&lt;Projects!$C$4+Projects!$D$4),Projects!$B$4*(1-SUMPRODUCT((Curves!$B$8:$AO$8)*(COLUMN(Curves!$B$8:$AO$8)-COLUMN(Curves!$B$8)+1&lt;=62-Projects!$C$4+1))),0)</f>
        <v/>
      </c>
      <c r="BM8" s="309">
        <f>IF(AND(Projects!$G$4="Yes",Projects!$F$4="Yes",63&gt;=Projects!$C$4,63&lt;Projects!$C$4+Projects!$D$4),Projects!$B$4*(1-SUMPRODUCT((Curves!$B$8:$AO$8)*(COLUMN(Curves!$B$8:$AO$8)-COLUMN(Curves!$B$8)+1&lt;=63-Projects!$C$4+1))),0)</f>
        <v/>
      </c>
      <c r="BN8" s="309">
        <f>IF(AND(Projects!$G$4="Yes",Projects!$F$4="Yes",64&gt;=Projects!$C$4,64&lt;Projects!$C$4+Projects!$D$4),Projects!$B$4*(1-SUMPRODUCT((Curves!$B$8:$AO$8)*(COLUMN(Curves!$B$8:$AO$8)-COLUMN(Curves!$B$8)+1&lt;=64-Projects!$C$4+1))),0)</f>
        <v/>
      </c>
      <c r="BO8" s="309">
        <f>IF(AND(Projects!$G$4="Yes",Projects!$F$4="Yes",65&gt;=Projects!$C$4,65&lt;Projects!$C$4+Projects!$D$4),Projects!$B$4*(1-SUMPRODUCT((Curves!$B$8:$AO$8)*(COLUMN(Curves!$B$8:$AO$8)-COLUMN(Curves!$B$8)+1&lt;=65-Projects!$C$4+1))),0)</f>
        <v/>
      </c>
      <c r="BP8" s="309">
        <f>IF(AND(Projects!$G$4="Yes",Projects!$F$4="Yes",66&gt;=Projects!$C$4,66&lt;Projects!$C$4+Projects!$D$4),Projects!$B$4*(1-SUMPRODUCT((Curves!$B$8:$AO$8)*(COLUMN(Curves!$B$8:$AO$8)-COLUMN(Curves!$B$8)+1&lt;=66-Projects!$C$4+1))),0)</f>
        <v/>
      </c>
      <c r="BQ8" s="309">
        <f>IF(AND(Projects!$G$4="Yes",Projects!$F$4="Yes",67&gt;=Projects!$C$4,67&lt;Projects!$C$4+Projects!$D$4),Projects!$B$4*(1-SUMPRODUCT((Curves!$B$8:$AO$8)*(COLUMN(Curves!$B$8:$AO$8)-COLUMN(Curves!$B$8)+1&lt;=67-Projects!$C$4+1))),0)</f>
        <v/>
      </c>
      <c r="BR8" s="309">
        <f>IF(AND(Projects!$G$4="Yes",Projects!$F$4="Yes",68&gt;=Projects!$C$4,68&lt;Projects!$C$4+Projects!$D$4),Projects!$B$4*(1-SUMPRODUCT((Curves!$B$8:$AO$8)*(COLUMN(Curves!$B$8:$AO$8)-COLUMN(Curves!$B$8)+1&lt;=68-Projects!$C$4+1))),0)</f>
        <v/>
      </c>
      <c r="BS8" s="309">
        <f>IF(AND(Projects!$G$4="Yes",Projects!$F$4="Yes",69&gt;=Projects!$C$4,69&lt;Projects!$C$4+Projects!$D$4),Projects!$B$4*(1-SUMPRODUCT((Curves!$B$8:$AO$8)*(COLUMN(Curves!$B$8:$AO$8)-COLUMN(Curves!$B$8)+1&lt;=69-Projects!$C$4+1))),0)</f>
        <v/>
      </c>
      <c r="BT8" s="309">
        <f>IF(AND(Projects!$G$4="Yes",Projects!$F$4="Yes",70&gt;=Projects!$C$4,70&lt;Projects!$C$4+Projects!$D$4),Projects!$B$4*(1-SUMPRODUCT((Curves!$B$8:$AO$8)*(COLUMN(Curves!$B$8:$AO$8)-COLUMN(Curves!$B$8)+1&lt;=70-Projects!$C$4+1))),0)</f>
        <v/>
      </c>
      <c r="BU8" s="309">
        <f>IF(AND(Projects!$G$4="Yes",Projects!$F$4="Yes",71&gt;=Projects!$C$4,71&lt;Projects!$C$4+Projects!$D$4),Projects!$B$4*(1-SUMPRODUCT((Curves!$B$8:$AO$8)*(COLUMN(Curves!$B$8:$AO$8)-COLUMN(Curves!$B$8)+1&lt;=71-Projects!$C$4+1))),0)</f>
        <v/>
      </c>
      <c r="BV8" s="309">
        <f>IF(AND(Projects!$G$4="Yes",Projects!$F$4="Yes",72&gt;=Projects!$C$4,72&lt;Projects!$C$4+Projects!$D$4),Projects!$B$4*(1-SUMPRODUCT((Curves!$B$8:$AO$8)*(COLUMN(Curves!$B$8:$AO$8)-COLUMN(Curves!$B$8)+1&lt;=72-Projects!$C$4+1))),0)</f>
        <v/>
      </c>
      <c r="BW8" s="309">
        <f>IF(AND(Projects!$G$4="Yes",Projects!$F$4="Yes",73&gt;=Projects!$C$4,73&lt;Projects!$C$4+Projects!$D$4),Projects!$B$4*(1-SUMPRODUCT((Curves!$B$8:$AO$8)*(COLUMN(Curves!$B$8:$AO$8)-COLUMN(Curves!$B$8)+1&lt;=73-Projects!$C$4+1))),0)</f>
        <v/>
      </c>
      <c r="BX8" s="309">
        <f>IF(AND(Projects!$G$4="Yes",Projects!$F$4="Yes",74&gt;=Projects!$C$4,74&lt;Projects!$C$4+Projects!$D$4),Projects!$B$4*(1-SUMPRODUCT((Curves!$B$8:$AO$8)*(COLUMN(Curves!$B$8:$AO$8)-COLUMN(Curves!$B$8)+1&lt;=74-Projects!$C$4+1))),0)</f>
        <v/>
      </c>
      <c r="BY8" s="309">
        <f>IF(AND(Projects!$G$4="Yes",Projects!$F$4="Yes",75&gt;=Projects!$C$4,75&lt;Projects!$C$4+Projects!$D$4),Projects!$B$4*(1-SUMPRODUCT((Curves!$B$8:$AO$8)*(COLUMN(Curves!$B$8:$AO$8)-COLUMN(Curves!$B$8)+1&lt;=75-Projects!$C$4+1))),0)</f>
        <v/>
      </c>
      <c r="BZ8" s="309">
        <f>IF(AND(Projects!$G$4="Yes",Projects!$F$4="Yes",76&gt;=Projects!$C$4,76&lt;Projects!$C$4+Projects!$D$4),Projects!$B$4*(1-SUMPRODUCT((Curves!$B$8:$AO$8)*(COLUMN(Curves!$B$8:$AO$8)-COLUMN(Curves!$B$8)+1&lt;=76-Projects!$C$4+1))),0)</f>
        <v/>
      </c>
      <c r="CA8" s="309">
        <f>IF(AND(Projects!$G$4="Yes",Projects!$F$4="Yes",77&gt;=Projects!$C$4,77&lt;Projects!$C$4+Projects!$D$4),Projects!$B$4*(1-SUMPRODUCT((Curves!$B$8:$AO$8)*(COLUMN(Curves!$B$8:$AO$8)-COLUMN(Curves!$B$8)+1&lt;=77-Projects!$C$4+1))),0)</f>
        <v/>
      </c>
      <c r="CB8" s="309">
        <f>IF(AND(Projects!$G$4="Yes",Projects!$F$4="Yes",78&gt;=Projects!$C$4,78&lt;Projects!$C$4+Projects!$D$4),Projects!$B$4*(1-SUMPRODUCT((Curves!$B$8:$AO$8)*(COLUMN(Curves!$B$8:$AO$8)-COLUMN(Curves!$B$8)+1&lt;=78-Projects!$C$4+1))),0)</f>
        <v/>
      </c>
      <c r="CC8" s="309">
        <f>IF(AND(Projects!$G$4="Yes",Projects!$F$4="Yes",79&gt;=Projects!$C$4,79&lt;Projects!$C$4+Projects!$D$4),Projects!$B$4*(1-SUMPRODUCT((Curves!$B$8:$AO$8)*(COLUMN(Curves!$B$8:$AO$8)-COLUMN(Curves!$B$8)+1&lt;=79-Projects!$C$4+1))),0)</f>
        <v/>
      </c>
      <c r="CD8" s="309">
        <f>IF(AND(Projects!$G$4="Yes",Projects!$F$4="Yes",80&gt;=Projects!$C$4,80&lt;Projects!$C$4+Projects!$D$4),Projects!$B$4*(1-SUMPRODUCT((Curves!$B$8:$AO$8)*(COLUMN(Curves!$B$8:$AO$8)-COLUMN(Curves!$B$8)+1&lt;=80-Projects!$C$4+1))),0)</f>
        <v/>
      </c>
      <c r="CE8" s="309">
        <f>IF(AND(Projects!$G$4="Yes",Projects!$F$4="Yes",81&gt;=Projects!$C$4,81&lt;Projects!$C$4+Projects!$D$4),Projects!$B$4*(1-SUMPRODUCT((Curves!$B$8:$AO$8)*(COLUMN(Curves!$B$8:$AO$8)-COLUMN(Curves!$B$8)+1&lt;=81-Projects!$C$4+1))),0)</f>
        <v/>
      </c>
      <c r="CF8" s="309">
        <f>IF(AND(Projects!$G$4="Yes",Projects!$F$4="Yes",82&gt;=Projects!$C$4,82&lt;Projects!$C$4+Projects!$D$4),Projects!$B$4*(1-SUMPRODUCT((Curves!$B$8:$AO$8)*(COLUMN(Curves!$B$8:$AO$8)-COLUMN(Curves!$B$8)+1&lt;=82-Projects!$C$4+1))),0)</f>
        <v/>
      </c>
      <c r="CG8" s="309">
        <f>IF(AND(Projects!$G$4="Yes",Projects!$F$4="Yes",83&gt;=Projects!$C$4,83&lt;Projects!$C$4+Projects!$D$4),Projects!$B$4*(1-SUMPRODUCT((Curves!$B$8:$AO$8)*(COLUMN(Curves!$B$8:$AO$8)-COLUMN(Curves!$B$8)+1&lt;=83-Projects!$C$4+1))),0)</f>
        <v/>
      </c>
      <c r="CH8" s="309">
        <f>IF(AND(Projects!$G$4="Yes",Projects!$F$4="Yes",84&gt;=Projects!$C$4,84&lt;Projects!$C$4+Projects!$D$4),Projects!$B$4*(1-SUMPRODUCT((Curves!$B$8:$AO$8)*(COLUMN(Curves!$B$8:$AO$8)-COLUMN(Curves!$B$8)+1&lt;=84-Projects!$C$4+1))),0)</f>
        <v/>
      </c>
    </row>
    <row r="9" ht="15" customHeight="1" s="202">
      <c r="A9" s="302" t="inlineStr">
        <is>
          <t>Whipple</t>
        </is>
      </c>
      <c r="C9" s="309">
        <f>IF(AND(Projects!$G$5="Yes",Projects!$F$5="Yes",1&gt;=Projects!$C$5,1&lt;Projects!$C$5+Projects!$D$5),Projects!$B$5*(1-SUMPRODUCT((Curves!$B$9:$AO$9)*(COLUMN(Curves!$B$9:$AO$9)-COLUMN(Curves!$B$9)+1&lt;=1-Projects!$C$5+1))),0)</f>
        <v/>
      </c>
      <c r="D9" s="309">
        <f>IF(AND(Projects!$G$5="Yes",Projects!$F$5="Yes",2&gt;=Projects!$C$5,2&lt;Projects!$C$5+Projects!$D$5),Projects!$B$5*(1-SUMPRODUCT((Curves!$B$9:$AO$9)*(COLUMN(Curves!$B$9:$AO$9)-COLUMN(Curves!$B$9)+1&lt;=2-Projects!$C$5+1))),0)</f>
        <v/>
      </c>
      <c r="E9" s="309">
        <f>IF(AND(Projects!$G$5="Yes",Projects!$F$5="Yes",3&gt;=Projects!$C$5,3&lt;Projects!$C$5+Projects!$D$5),Projects!$B$5*(1-SUMPRODUCT((Curves!$B$9:$AO$9)*(COLUMN(Curves!$B$9:$AO$9)-COLUMN(Curves!$B$9)+1&lt;=3-Projects!$C$5+1))),0)</f>
        <v/>
      </c>
      <c r="F9" s="309">
        <f>IF(AND(Projects!$G$5="Yes",Projects!$F$5="Yes",4&gt;=Projects!$C$5,4&lt;Projects!$C$5+Projects!$D$5),Projects!$B$5*(1-SUMPRODUCT((Curves!$B$9:$AO$9)*(COLUMN(Curves!$B$9:$AO$9)-COLUMN(Curves!$B$9)+1&lt;=4-Projects!$C$5+1))),0)</f>
        <v/>
      </c>
      <c r="G9" s="309">
        <f>IF(AND(Projects!$G$5="Yes",Projects!$F$5="Yes",5&gt;=Projects!$C$5,5&lt;Projects!$C$5+Projects!$D$5),Projects!$B$5*(1-SUMPRODUCT((Curves!$B$9:$AO$9)*(COLUMN(Curves!$B$9:$AO$9)-COLUMN(Curves!$B$9)+1&lt;=5-Projects!$C$5+1))),0)</f>
        <v/>
      </c>
      <c r="H9" s="309">
        <f>IF(AND(Projects!$G$5="Yes",Projects!$F$5="Yes",6&gt;=Projects!$C$5,6&lt;Projects!$C$5+Projects!$D$5),Projects!$B$5*(1-SUMPRODUCT((Curves!$B$9:$AO$9)*(COLUMN(Curves!$B$9:$AO$9)-COLUMN(Curves!$B$9)+1&lt;=6-Projects!$C$5+1))),0)</f>
        <v/>
      </c>
      <c r="I9" s="309">
        <f>IF(AND(Projects!$G$5="Yes",Projects!$F$5="Yes",7&gt;=Projects!$C$5,7&lt;Projects!$C$5+Projects!$D$5),Projects!$B$5*(1-SUMPRODUCT((Curves!$B$9:$AO$9)*(COLUMN(Curves!$B$9:$AO$9)-COLUMN(Curves!$B$9)+1&lt;=7-Projects!$C$5+1))),0)</f>
        <v/>
      </c>
      <c r="J9" s="309">
        <f>IF(AND(Projects!$G$5="Yes",Projects!$F$5="Yes",8&gt;=Projects!$C$5,8&lt;Projects!$C$5+Projects!$D$5),Projects!$B$5*(1-SUMPRODUCT((Curves!$B$9:$AO$9)*(COLUMN(Curves!$B$9:$AO$9)-COLUMN(Curves!$B$9)+1&lt;=8-Projects!$C$5+1))),0)</f>
        <v/>
      </c>
      <c r="K9" s="309">
        <f>IF(AND(Projects!$G$5="Yes",Projects!$F$5="Yes",9&gt;=Projects!$C$5,9&lt;Projects!$C$5+Projects!$D$5),Projects!$B$5*(1-SUMPRODUCT((Curves!$B$9:$AO$9)*(COLUMN(Curves!$B$9:$AO$9)-COLUMN(Curves!$B$9)+1&lt;=9-Projects!$C$5+1))),0)</f>
        <v/>
      </c>
      <c r="L9" s="309">
        <f>IF(AND(Projects!$G$5="Yes",Projects!$F$5="Yes",10&gt;=Projects!$C$5,10&lt;Projects!$C$5+Projects!$D$5),Projects!$B$5*(1-SUMPRODUCT((Curves!$B$9:$AO$9)*(COLUMN(Curves!$B$9:$AO$9)-COLUMN(Curves!$B$9)+1&lt;=10-Projects!$C$5+1))),0)</f>
        <v/>
      </c>
      <c r="M9" s="309">
        <f>IF(AND(Projects!$G$5="Yes",Projects!$F$5="Yes",11&gt;=Projects!$C$5,11&lt;Projects!$C$5+Projects!$D$5),Projects!$B$5*(1-SUMPRODUCT((Curves!$B$9:$AO$9)*(COLUMN(Curves!$B$9:$AO$9)-COLUMN(Curves!$B$9)+1&lt;=11-Projects!$C$5+1))),0)</f>
        <v/>
      </c>
      <c r="N9" s="309">
        <f>IF(AND(Projects!$G$5="Yes",Projects!$F$5="Yes",12&gt;=Projects!$C$5,12&lt;Projects!$C$5+Projects!$D$5),Projects!$B$5*(1-SUMPRODUCT((Curves!$B$9:$AO$9)*(COLUMN(Curves!$B$9:$AO$9)-COLUMN(Curves!$B$9)+1&lt;=12-Projects!$C$5+1))),0)</f>
        <v/>
      </c>
      <c r="O9" s="309">
        <f>IF(AND(Projects!$G$5="Yes",Projects!$F$5="Yes",13&gt;=Projects!$C$5,13&lt;Projects!$C$5+Projects!$D$5),Projects!$B$5*(1-SUMPRODUCT((Curves!$B$9:$AO$9)*(COLUMN(Curves!$B$9:$AO$9)-COLUMN(Curves!$B$9)+1&lt;=13-Projects!$C$5+1))),0)</f>
        <v/>
      </c>
      <c r="P9" s="309">
        <f>IF(AND(Projects!$G$5="Yes",Projects!$F$5="Yes",14&gt;=Projects!$C$5,14&lt;Projects!$C$5+Projects!$D$5),Projects!$B$5*(1-SUMPRODUCT((Curves!$B$9:$AO$9)*(COLUMN(Curves!$B$9:$AO$9)-COLUMN(Curves!$B$9)+1&lt;=14-Projects!$C$5+1))),0)</f>
        <v/>
      </c>
      <c r="Q9" s="309">
        <f>IF(AND(Projects!$G$5="Yes",Projects!$F$5="Yes",15&gt;=Projects!$C$5,15&lt;Projects!$C$5+Projects!$D$5),Projects!$B$5*(1-SUMPRODUCT((Curves!$B$9:$AO$9)*(COLUMN(Curves!$B$9:$AO$9)-COLUMN(Curves!$B$9)+1&lt;=15-Projects!$C$5+1))),0)</f>
        <v/>
      </c>
      <c r="R9" s="309">
        <f>IF(AND(Projects!$G$5="Yes",Projects!$F$5="Yes",16&gt;=Projects!$C$5,16&lt;Projects!$C$5+Projects!$D$5),Projects!$B$5*(1-SUMPRODUCT((Curves!$B$9:$AO$9)*(COLUMN(Curves!$B$9:$AO$9)-COLUMN(Curves!$B$9)+1&lt;=16-Projects!$C$5+1))),0)</f>
        <v/>
      </c>
      <c r="S9" s="309">
        <f>IF(AND(Projects!$G$5="Yes",Projects!$F$5="Yes",17&gt;=Projects!$C$5,17&lt;Projects!$C$5+Projects!$D$5),Projects!$B$5*(1-SUMPRODUCT((Curves!$B$9:$AO$9)*(COLUMN(Curves!$B$9:$AO$9)-COLUMN(Curves!$B$9)+1&lt;=17-Projects!$C$5+1))),0)</f>
        <v/>
      </c>
      <c r="T9" s="309">
        <f>IF(AND(Projects!$G$5="Yes",Projects!$F$5="Yes",18&gt;=Projects!$C$5,18&lt;Projects!$C$5+Projects!$D$5),Projects!$B$5*(1-SUMPRODUCT((Curves!$B$9:$AO$9)*(COLUMN(Curves!$B$9:$AO$9)-COLUMN(Curves!$B$9)+1&lt;=18-Projects!$C$5+1))),0)</f>
        <v/>
      </c>
      <c r="U9" s="309">
        <f>IF(AND(Projects!$G$5="Yes",Projects!$F$5="Yes",19&gt;=Projects!$C$5,19&lt;Projects!$C$5+Projects!$D$5),Projects!$B$5*(1-SUMPRODUCT((Curves!$B$9:$AO$9)*(COLUMN(Curves!$B$9:$AO$9)-COLUMN(Curves!$B$9)+1&lt;=19-Projects!$C$5+1))),0)</f>
        <v/>
      </c>
      <c r="V9" s="309">
        <f>IF(AND(Projects!$G$5="Yes",Projects!$F$5="Yes",20&gt;=Projects!$C$5,20&lt;Projects!$C$5+Projects!$D$5),Projects!$B$5*(1-SUMPRODUCT((Curves!$B$9:$AO$9)*(COLUMN(Curves!$B$9:$AO$9)-COLUMN(Curves!$B$9)+1&lt;=20-Projects!$C$5+1))),0)</f>
        <v/>
      </c>
      <c r="W9" s="309">
        <f>IF(AND(Projects!$G$5="Yes",Projects!$F$5="Yes",21&gt;=Projects!$C$5,21&lt;Projects!$C$5+Projects!$D$5),Projects!$B$5*(1-SUMPRODUCT((Curves!$B$9:$AO$9)*(COLUMN(Curves!$B$9:$AO$9)-COLUMN(Curves!$B$9)+1&lt;=21-Projects!$C$5+1))),0)</f>
        <v/>
      </c>
      <c r="X9" s="309">
        <f>IF(AND(Projects!$G$5="Yes",Projects!$F$5="Yes",22&gt;=Projects!$C$5,22&lt;Projects!$C$5+Projects!$D$5),Projects!$B$5*(1-SUMPRODUCT((Curves!$B$9:$AO$9)*(COLUMN(Curves!$B$9:$AO$9)-COLUMN(Curves!$B$9)+1&lt;=22-Projects!$C$5+1))),0)</f>
        <v/>
      </c>
      <c r="Y9" s="309">
        <f>IF(AND(Projects!$G$5="Yes",Projects!$F$5="Yes",23&gt;=Projects!$C$5,23&lt;Projects!$C$5+Projects!$D$5),Projects!$B$5*(1-SUMPRODUCT((Curves!$B$9:$AO$9)*(COLUMN(Curves!$B$9:$AO$9)-COLUMN(Curves!$B$9)+1&lt;=23-Projects!$C$5+1))),0)</f>
        <v/>
      </c>
      <c r="Z9" s="309">
        <f>IF(AND(Projects!$G$5="Yes",Projects!$F$5="Yes",24&gt;=Projects!$C$5,24&lt;Projects!$C$5+Projects!$D$5),Projects!$B$5*(1-SUMPRODUCT((Curves!$B$9:$AO$9)*(COLUMN(Curves!$B$9:$AO$9)-COLUMN(Curves!$B$9)+1&lt;=24-Projects!$C$5+1))),0)</f>
        <v/>
      </c>
      <c r="AA9" s="309">
        <f>IF(AND(Projects!$G$5="Yes",Projects!$F$5="Yes",25&gt;=Projects!$C$5,25&lt;Projects!$C$5+Projects!$D$5),Projects!$B$5*(1-SUMPRODUCT((Curves!$B$9:$AO$9)*(COLUMN(Curves!$B$9:$AO$9)-COLUMN(Curves!$B$9)+1&lt;=25-Projects!$C$5+1))),0)</f>
        <v/>
      </c>
      <c r="AB9" s="309">
        <f>IF(AND(Projects!$G$5="Yes",Projects!$F$5="Yes",26&gt;=Projects!$C$5,26&lt;Projects!$C$5+Projects!$D$5),Projects!$B$5*(1-SUMPRODUCT((Curves!$B$9:$AO$9)*(COLUMN(Curves!$B$9:$AO$9)-COLUMN(Curves!$B$9)+1&lt;=26-Projects!$C$5+1))),0)</f>
        <v/>
      </c>
      <c r="AC9" s="309">
        <f>IF(AND(Projects!$G$5="Yes",Projects!$F$5="Yes",27&gt;=Projects!$C$5,27&lt;Projects!$C$5+Projects!$D$5),Projects!$B$5*(1-SUMPRODUCT((Curves!$B$9:$AO$9)*(COLUMN(Curves!$B$9:$AO$9)-COLUMN(Curves!$B$9)+1&lt;=27-Projects!$C$5+1))),0)</f>
        <v/>
      </c>
      <c r="AD9" s="309">
        <f>IF(AND(Projects!$G$5="Yes",Projects!$F$5="Yes",28&gt;=Projects!$C$5,28&lt;Projects!$C$5+Projects!$D$5),Projects!$B$5*(1-SUMPRODUCT((Curves!$B$9:$AO$9)*(COLUMN(Curves!$B$9:$AO$9)-COLUMN(Curves!$B$9)+1&lt;=28-Projects!$C$5+1))),0)</f>
        <v/>
      </c>
      <c r="AE9" s="309">
        <f>IF(AND(Projects!$G$5="Yes",Projects!$F$5="Yes",29&gt;=Projects!$C$5,29&lt;Projects!$C$5+Projects!$D$5),Projects!$B$5*(1-SUMPRODUCT((Curves!$B$9:$AO$9)*(COLUMN(Curves!$B$9:$AO$9)-COLUMN(Curves!$B$9)+1&lt;=29-Projects!$C$5+1))),0)</f>
        <v/>
      </c>
      <c r="AF9" s="309">
        <f>IF(AND(Projects!$G$5="Yes",Projects!$F$5="Yes",30&gt;=Projects!$C$5,30&lt;Projects!$C$5+Projects!$D$5),Projects!$B$5*(1-SUMPRODUCT((Curves!$B$9:$AO$9)*(COLUMN(Curves!$B$9:$AO$9)-COLUMN(Curves!$B$9)+1&lt;=30-Projects!$C$5+1))),0)</f>
        <v/>
      </c>
      <c r="AG9" s="309">
        <f>IF(AND(Projects!$G$5="Yes",Projects!$F$5="Yes",31&gt;=Projects!$C$5,31&lt;Projects!$C$5+Projects!$D$5),Projects!$B$5*(1-SUMPRODUCT((Curves!$B$9:$AO$9)*(COLUMN(Curves!$B$9:$AO$9)-COLUMN(Curves!$B$9)+1&lt;=31-Projects!$C$5+1))),0)</f>
        <v/>
      </c>
      <c r="AH9" s="309">
        <f>IF(AND(Projects!$G$5="Yes",Projects!$F$5="Yes",32&gt;=Projects!$C$5,32&lt;Projects!$C$5+Projects!$D$5),Projects!$B$5*(1-SUMPRODUCT((Curves!$B$9:$AO$9)*(COLUMN(Curves!$B$9:$AO$9)-COLUMN(Curves!$B$9)+1&lt;=32-Projects!$C$5+1))),0)</f>
        <v/>
      </c>
      <c r="AI9" s="309">
        <f>IF(AND(Projects!$G$5="Yes",Projects!$F$5="Yes",33&gt;=Projects!$C$5,33&lt;Projects!$C$5+Projects!$D$5),Projects!$B$5*(1-SUMPRODUCT((Curves!$B$9:$AO$9)*(COLUMN(Curves!$B$9:$AO$9)-COLUMN(Curves!$B$9)+1&lt;=33-Projects!$C$5+1))),0)</f>
        <v/>
      </c>
      <c r="AJ9" s="309">
        <f>IF(AND(Projects!$G$5="Yes",Projects!$F$5="Yes",34&gt;=Projects!$C$5,34&lt;Projects!$C$5+Projects!$D$5),Projects!$B$5*(1-SUMPRODUCT((Curves!$B$9:$AO$9)*(COLUMN(Curves!$B$9:$AO$9)-COLUMN(Curves!$B$9)+1&lt;=34-Projects!$C$5+1))),0)</f>
        <v/>
      </c>
      <c r="AK9" s="309">
        <f>IF(AND(Projects!$G$5="Yes",Projects!$F$5="Yes",35&gt;=Projects!$C$5,35&lt;Projects!$C$5+Projects!$D$5),Projects!$B$5*(1-SUMPRODUCT((Curves!$B$9:$AO$9)*(COLUMN(Curves!$B$9:$AO$9)-COLUMN(Curves!$B$9)+1&lt;=35-Projects!$C$5+1))),0)</f>
        <v/>
      </c>
      <c r="AL9" s="309">
        <f>IF(AND(Projects!$G$5="Yes",Projects!$F$5="Yes",36&gt;=Projects!$C$5,36&lt;Projects!$C$5+Projects!$D$5),Projects!$B$5*(1-SUMPRODUCT((Curves!$B$9:$AO$9)*(COLUMN(Curves!$B$9:$AO$9)-COLUMN(Curves!$B$9)+1&lt;=36-Projects!$C$5+1))),0)</f>
        <v/>
      </c>
      <c r="AM9" s="309">
        <f>IF(AND(Projects!$G$5="Yes",Projects!$F$5="Yes",37&gt;=Projects!$C$5,37&lt;Projects!$C$5+Projects!$D$5),Projects!$B$5*(1-SUMPRODUCT((Curves!$B$9:$AO$9)*(COLUMN(Curves!$B$9:$AO$9)-COLUMN(Curves!$B$9)+1&lt;=37-Projects!$C$5+1))),0)</f>
        <v/>
      </c>
      <c r="AN9" s="309">
        <f>IF(AND(Projects!$G$5="Yes",Projects!$F$5="Yes",38&gt;=Projects!$C$5,38&lt;Projects!$C$5+Projects!$D$5),Projects!$B$5*(1-SUMPRODUCT((Curves!$B$9:$AO$9)*(COLUMN(Curves!$B$9:$AO$9)-COLUMN(Curves!$B$9)+1&lt;=38-Projects!$C$5+1))),0)</f>
        <v/>
      </c>
      <c r="AO9" s="309">
        <f>IF(AND(Projects!$G$5="Yes",Projects!$F$5="Yes",39&gt;=Projects!$C$5,39&lt;Projects!$C$5+Projects!$D$5),Projects!$B$5*(1-SUMPRODUCT((Curves!$B$9:$AO$9)*(COLUMN(Curves!$B$9:$AO$9)-COLUMN(Curves!$B$9)+1&lt;=39-Projects!$C$5+1))),0)</f>
        <v/>
      </c>
      <c r="AP9" s="309">
        <f>IF(AND(Projects!$G$5="Yes",Projects!$F$5="Yes",40&gt;=Projects!$C$5,40&lt;Projects!$C$5+Projects!$D$5),Projects!$B$5*(1-SUMPRODUCT((Curves!$B$9:$AO$9)*(COLUMN(Curves!$B$9:$AO$9)-COLUMN(Curves!$B$9)+1&lt;=40-Projects!$C$5+1))),0)</f>
        <v/>
      </c>
      <c r="AQ9" s="309">
        <f>IF(AND(Projects!$G$5="Yes",Projects!$F$5="Yes",41&gt;=Projects!$C$5,41&lt;Projects!$C$5+Projects!$D$5),Projects!$B$5*(1-SUMPRODUCT((Curves!$B$9:$AO$9)*(COLUMN(Curves!$B$9:$AO$9)-COLUMN(Curves!$B$9)+1&lt;=41-Projects!$C$5+1))),0)</f>
        <v/>
      </c>
      <c r="AR9" s="309">
        <f>IF(AND(Projects!$G$5="Yes",Projects!$F$5="Yes",42&gt;=Projects!$C$5,42&lt;Projects!$C$5+Projects!$D$5),Projects!$B$5*(1-SUMPRODUCT((Curves!$B$9:$AO$9)*(COLUMN(Curves!$B$9:$AO$9)-COLUMN(Curves!$B$9)+1&lt;=42-Projects!$C$5+1))),0)</f>
        <v/>
      </c>
      <c r="AS9" s="309">
        <f>IF(AND(Projects!$G$5="Yes",Projects!$F$5="Yes",43&gt;=Projects!$C$5,43&lt;Projects!$C$5+Projects!$D$5),Projects!$B$5*(1-SUMPRODUCT((Curves!$B$9:$AO$9)*(COLUMN(Curves!$B$9:$AO$9)-COLUMN(Curves!$B$9)+1&lt;=43-Projects!$C$5+1))),0)</f>
        <v/>
      </c>
      <c r="AT9" s="309">
        <f>IF(AND(Projects!$G$5="Yes",Projects!$F$5="Yes",44&gt;=Projects!$C$5,44&lt;Projects!$C$5+Projects!$D$5),Projects!$B$5*(1-SUMPRODUCT((Curves!$B$9:$AO$9)*(COLUMN(Curves!$B$9:$AO$9)-COLUMN(Curves!$B$9)+1&lt;=44-Projects!$C$5+1))),0)</f>
        <v/>
      </c>
      <c r="AU9" s="309">
        <f>IF(AND(Projects!$G$5="Yes",Projects!$F$5="Yes",45&gt;=Projects!$C$5,45&lt;Projects!$C$5+Projects!$D$5),Projects!$B$5*(1-SUMPRODUCT((Curves!$B$9:$AO$9)*(COLUMN(Curves!$B$9:$AO$9)-COLUMN(Curves!$B$9)+1&lt;=45-Projects!$C$5+1))),0)</f>
        <v/>
      </c>
      <c r="AV9" s="309">
        <f>IF(AND(Projects!$G$5="Yes",Projects!$F$5="Yes",46&gt;=Projects!$C$5,46&lt;Projects!$C$5+Projects!$D$5),Projects!$B$5*(1-SUMPRODUCT((Curves!$B$9:$AO$9)*(COLUMN(Curves!$B$9:$AO$9)-COLUMN(Curves!$B$9)+1&lt;=46-Projects!$C$5+1))),0)</f>
        <v/>
      </c>
      <c r="AW9" s="309">
        <f>IF(AND(Projects!$G$5="Yes",Projects!$F$5="Yes",47&gt;=Projects!$C$5,47&lt;Projects!$C$5+Projects!$D$5),Projects!$B$5*(1-SUMPRODUCT((Curves!$B$9:$AO$9)*(COLUMN(Curves!$B$9:$AO$9)-COLUMN(Curves!$B$9)+1&lt;=47-Projects!$C$5+1))),0)</f>
        <v/>
      </c>
      <c r="AX9" s="309">
        <f>IF(AND(Projects!$G$5="Yes",Projects!$F$5="Yes",48&gt;=Projects!$C$5,48&lt;Projects!$C$5+Projects!$D$5),Projects!$B$5*(1-SUMPRODUCT((Curves!$B$9:$AO$9)*(COLUMN(Curves!$B$9:$AO$9)-COLUMN(Curves!$B$9)+1&lt;=48-Projects!$C$5+1))),0)</f>
        <v/>
      </c>
      <c r="AY9" s="309">
        <f>IF(AND(Projects!$G$5="Yes",Projects!$F$5="Yes",49&gt;=Projects!$C$5,49&lt;Projects!$C$5+Projects!$D$5),Projects!$B$5*(1-SUMPRODUCT((Curves!$B$9:$AO$9)*(COLUMN(Curves!$B$9:$AO$9)-COLUMN(Curves!$B$9)+1&lt;=49-Projects!$C$5+1))),0)</f>
        <v/>
      </c>
      <c r="AZ9" s="309">
        <f>IF(AND(Projects!$G$5="Yes",Projects!$F$5="Yes",50&gt;=Projects!$C$5,50&lt;Projects!$C$5+Projects!$D$5),Projects!$B$5*(1-SUMPRODUCT((Curves!$B$9:$AO$9)*(COLUMN(Curves!$B$9:$AO$9)-COLUMN(Curves!$B$9)+1&lt;=50-Projects!$C$5+1))),0)</f>
        <v/>
      </c>
      <c r="BA9" s="309">
        <f>IF(AND(Projects!$G$5="Yes",Projects!$F$5="Yes",51&gt;=Projects!$C$5,51&lt;Projects!$C$5+Projects!$D$5),Projects!$B$5*(1-SUMPRODUCT((Curves!$B$9:$AO$9)*(COLUMN(Curves!$B$9:$AO$9)-COLUMN(Curves!$B$9)+1&lt;=51-Projects!$C$5+1))),0)</f>
        <v/>
      </c>
      <c r="BB9" s="309">
        <f>IF(AND(Projects!$G$5="Yes",Projects!$F$5="Yes",52&gt;=Projects!$C$5,52&lt;Projects!$C$5+Projects!$D$5),Projects!$B$5*(1-SUMPRODUCT((Curves!$B$9:$AO$9)*(COLUMN(Curves!$B$9:$AO$9)-COLUMN(Curves!$B$9)+1&lt;=52-Projects!$C$5+1))),0)</f>
        <v/>
      </c>
      <c r="BC9" s="309">
        <f>IF(AND(Projects!$G$5="Yes",Projects!$F$5="Yes",53&gt;=Projects!$C$5,53&lt;Projects!$C$5+Projects!$D$5),Projects!$B$5*(1-SUMPRODUCT((Curves!$B$9:$AO$9)*(COLUMN(Curves!$B$9:$AO$9)-COLUMN(Curves!$B$9)+1&lt;=53-Projects!$C$5+1))),0)</f>
        <v/>
      </c>
      <c r="BD9" s="309">
        <f>IF(AND(Projects!$G$5="Yes",Projects!$F$5="Yes",54&gt;=Projects!$C$5,54&lt;Projects!$C$5+Projects!$D$5),Projects!$B$5*(1-SUMPRODUCT((Curves!$B$9:$AO$9)*(COLUMN(Curves!$B$9:$AO$9)-COLUMN(Curves!$B$9)+1&lt;=54-Projects!$C$5+1))),0)</f>
        <v/>
      </c>
      <c r="BE9" s="309">
        <f>IF(AND(Projects!$G$5="Yes",Projects!$F$5="Yes",55&gt;=Projects!$C$5,55&lt;Projects!$C$5+Projects!$D$5),Projects!$B$5*(1-SUMPRODUCT((Curves!$B$9:$AO$9)*(COLUMN(Curves!$B$9:$AO$9)-COLUMN(Curves!$B$9)+1&lt;=55-Projects!$C$5+1))),0)</f>
        <v/>
      </c>
      <c r="BF9" s="309">
        <f>IF(AND(Projects!$G$5="Yes",Projects!$F$5="Yes",56&gt;=Projects!$C$5,56&lt;Projects!$C$5+Projects!$D$5),Projects!$B$5*(1-SUMPRODUCT((Curves!$B$9:$AO$9)*(COLUMN(Curves!$B$9:$AO$9)-COLUMN(Curves!$B$9)+1&lt;=56-Projects!$C$5+1))),0)</f>
        <v/>
      </c>
      <c r="BG9" s="309">
        <f>IF(AND(Projects!$G$5="Yes",Projects!$F$5="Yes",57&gt;=Projects!$C$5,57&lt;Projects!$C$5+Projects!$D$5),Projects!$B$5*(1-SUMPRODUCT((Curves!$B$9:$AO$9)*(COLUMN(Curves!$B$9:$AO$9)-COLUMN(Curves!$B$9)+1&lt;=57-Projects!$C$5+1))),0)</f>
        <v/>
      </c>
      <c r="BH9" s="309">
        <f>IF(AND(Projects!$G$5="Yes",Projects!$F$5="Yes",58&gt;=Projects!$C$5,58&lt;Projects!$C$5+Projects!$D$5),Projects!$B$5*(1-SUMPRODUCT((Curves!$B$9:$AO$9)*(COLUMN(Curves!$B$9:$AO$9)-COLUMN(Curves!$B$9)+1&lt;=58-Projects!$C$5+1))),0)</f>
        <v/>
      </c>
      <c r="BI9" s="309">
        <f>IF(AND(Projects!$G$5="Yes",Projects!$F$5="Yes",59&gt;=Projects!$C$5,59&lt;Projects!$C$5+Projects!$D$5),Projects!$B$5*(1-SUMPRODUCT((Curves!$B$9:$AO$9)*(COLUMN(Curves!$B$9:$AO$9)-COLUMN(Curves!$B$9)+1&lt;=59-Projects!$C$5+1))),0)</f>
        <v/>
      </c>
      <c r="BJ9" s="309">
        <f>IF(AND(Projects!$G$5="Yes",Projects!$F$5="Yes",60&gt;=Projects!$C$5,60&lt;Projects!$C$5+Projects!$D$5),Projects!$B$5*(1-SUMPRODUCT((Curves!$B$9:$AO$9)*(COLUMN(Curves!$B$9:$AO$9)-COLUMN(Curves!$B$9)+1&lt;=60-Projects!$C$5+1))),0)</f>
        <v/>
      </c>
      <c r="BK9" s="309">
        <f>IF(AND(Projects!$G$5="Yes",Projects!$F$5="Yes",61&gt;=Projects!$C$5,61&lt;Projects!$C$5+Projects!$D$5),Projects!$B$5*(1-SUMPRODUCT((Curves!$B$9:$AO$9)*(COLUMN(Curves!$B$9:$AO$9)-COLUMN(Curves!$B$9)+1&lt;=61-Projects!$C$5+1))),0)</f>
        <v/>
      </c>
      <c r="BL9" s="309">
        <f>IF(AND(Projects!$G$5="Yes",Projects!$F$5="Yes",62&gt;=Projects!$C$5,62&lt;Projects!$C$5+Projects!$D$5),Projects!$B$5*(1-SUMPRODUCT((Curves!$B$9:$AO$9)*(COLUMN(Curves!$B$9:$AO$9)-COLUMN(Curves!$B$9)+1&lt;=62-Projects!$C$5+1))),0)</f>
        <v/>
      </c>
      <c r="BM9" s="309">
        <f>IF(AND(Projects!$G$5="Yes",Projects!$F$5="Yes",63&gt;=Projects!$C$5,63&lt;Projects!$C$5+Projects!$D$5),Projects!$B$5*(1-SUMPRODUCT((Curves!$B$9:$AO$9)*(COLUMN(Curves!$B$9:$AO$9)-COLUMN(Curves!$B$9)+1&lt;=63-Projects!$C$5+1))),0)</f>
        <v/>
      </c>
      <c r="BN9" s="309">
        <f>IF(AND(Projects!$G$5="Yes",Projects!$F$5="Yes",64&gt;=Projects!$C$5,64&lt;Projects!$C$5+Projects!$D$5),Projects!$B$5*(1-SUMPRODUCT((Curves!$B$9:$AO$9)*(COLUMN(Curves!$B$9:$AO$9)-COLUMN(Curves!$B$9)+1&lt;=64-Projects!$C$5+1))),0)</f>
        <v/>
      </c>
      <c r="BO9" s="309">
        <f>IF(AND(Projects!$G$5="Yes",Projects!$F$5="Yes",65&gt;=Projects!$C$5,65&lt;Projects!$C$5+Projects!$D$5),Projects!$B$5*(1-SUMPRODUCT((Curves!$B$9:$AO$9)*(COLUMN(Curves!$B$9:$AO$9)-COLUMN(Curves!$B$9)+1&lt;=65-Projects!$C$5+1))),0)</f>
        <v/>
      </c>
      <c r="BP9" s="309">
        <f>IF(AND(Projects!$G$5="Yes",Projects!$F$5="Yes",66&gt;=Projects!$C$5,66&lt;Projects!$C$5+Projects!$D$5),Projects!$B$5*(1-SUMPRODUCT((Curves!$B$9:$AO$9)*(COLUMN(Curves!$B$9:$AO$9)-COLUMN(Curves!$B$9)+1&lt;=66-Projects!$C$5+1))),0)</f>
        <v/>
      </c>
      <c r="BQ9" s="309">
        <f>IF(AND(Projects!$G$5="Yes",Projects!$F$5="Yes",67&gt;=Projects!$C$5,67&lt;Projects!$C$5+Projects!$D$5),Projects!$B$5*(1-SUMPRODUCT((Curves!$B$9:$AO$9)*(COLUMN(Curves!$B$9:$AO$9)-COLUMN(Curves!$B$9)+1&lt;=67-Projects!$C$5+1))),0)</f>
        <v/>
      </c>
      <c r="BR9" s="309">
        <f>IF(AND(Projects!$G$5="Yes",Projects!$F$5="Yes",68&gt;=Projects!$C$5,68&lt;Projects!$C$5+Projects!$D$5),Projects!$B$5*(1-SUMPRODUCT((Curves!$B$9:$AO$9)*(COLUMN(Curves!$B$9:$AO$9)-COLUMN(Curves!$B$9)+1&lt;=68-Projects!$C$5+1))),0)</f>
        <v/>
      </c>
      <c r="BS9" s="309">
        <f>IF(AND(Projects!$G$5="Yes",Projects!$F$5="Yes",69&gt;=Projects!$C$5,69&lt;Projects!$C$5+Projects!$D$5),Projects!$B$5*(1-SUMPRODUCT((Curves!$B$9:$AO$9)*(COLUMN(Curves!$B$9:$AO$9)-COLUMN(Curves!$B$9)+1&lt;=69-Projects!$C$5+1))),0)</f>
        <v/>
      </c>
      <c r="BT9" s="309">
        <f>IF(AND(Projects!$G$5="Yes",Projects!$F$5="Yes",70&gt;=Projects!$C$5,70&lt;Projects!$C$5+Projects!$D$5),Projects!$B$5*(1-SUMPRODUCT((Curves!$B$9:$AO$9)*(COLUMN(Curves!$B$9:$AO$9)-COLUMN(Curves!$B$9)+1&lt;=70-Projects!$C$5+1))),0)</f>
        <v/>
      </c>
      <c r="BU9" s="309">
        <f>IF(AND(Projects!$G$5="Yes",Projects!$F$5="Yes",71&gt;=Projects!$C$5,71&lt;Projects!$C$5+Projects!$D$5),Projects!$B$5*(1-SUMPRODUCT((Curves!$B$9:$AO$9)*(COLUMN(Curves!$B$9:$AO$9)-COLUMN(Curves!$B$9)+1&lt;=71-Projects!$C$5+1))),0)</f>
        <v/>
      </c>
      <c r="BV9" s="309">
        <f>IF(AND(Projects!$G$5="Yes",Projects!$F$5="Yes",72&gt;=Projects!$C$5,72&lt;Projects!$C$5+Projects!$D$5),Projects!$B$5*(1-SUMPRODUCT((Curves!$B$9:$AO$9)*(COLUMN(Curves!$B$9:$AO$9)-COLUMN(Curves!$B$9)+1&lt;=72-Projects!$C$5+1))),0)</f>
        <v/>
      </c>
      <c r="BW9" s="309">
        <f>IF(AND(Projects!$G$5="Yes",Projects!$F$5="Yes",73&gt;=Projects!$C$5,73&lt;Projects!$C$5+Projects!$D$5),Projects!$B$5*(1-SUMPRODUCT((Curves!$B$9:$AO$9)*(COLUMN(Curves!$B$9:$AO$9)-COLUMN(Curves!$B$9)+1&lt;=73-Projects!$C$5+1))),0)</f>
        <v/>
      </c>
      <c r="BX9" s="309">
        <f>IF(AND(Projects!$G$5="Yes",Projects!$F$5="Yes",74&gt;=Projects!$C$5,74&lt;Projects!$C$5+Projects!$D$5),Projects!$B$5*(1-SUMPRODUCT((Curves!$B$9:$AO$9)*(COLUMN(Curves!$B$9:$AO$9)-COLUMN(Curves!$B$9)+1&lt;=74-Projects!$C$5+1))),0)</f>
        <v/>
      </c>
      <c r="BY9" s="309">
        <f>IF(AND(Projects!$G$5="Yes",Projects!$F$5="Yes",75&gt;=Projects!$C$5,75&lt;Projects!$C$5+Projects!$D$5),Projects!$B$5*(1-SUMPRODUCT((Curves!$B$9:$AO$9)*(COLUMN(Curves!$B$9:$AO$9)-COLUMN(Curves!$B$9)+1&lt;=75-Projects!$C$5+1))),0)</f>
        <v/>
      </c>
      <c r="BZ9" s="309">
        <f>IF(AND(Projects!$G$5="Yes",Projects!$F$5="Yes",76&gt;=Projects!$C$5,76&lt;Projects!$C$5+Projects!$D$5),Projects!$B$5*(1-SUMPRODUCT((Curves!$B$9:$AO$9)*(COLUMN(Curves!$B$9:$AO$9)-COLUMN(Curves!$B$9)+1&lt;=76-Projects!$C$5+1))),0)</f>
        <v/>
      </c>
      <c r="CA9" s="309">
        <f>IF(AND(Projects!$G$5="Yes",Projects!$F$5="Yes",77&gt;=Projects!$C$5,77&lt;Projects!$C$5+Projects!$D$5),Projects!$B$5*(1-SUMPRODUCT((Curves!$B$9:$AO$9)*(COLUMN(Curves!$B$9:$AO$9)-COLUMN(Curves!$B$9)+1&lt;=77-Projects!$C$5+1))),0)</f>
        <v/>
      </c>
      <c r="CB9" s="309">
        <f>IF(AND(Projects!$G$5="Yes",Projects!$F$5="Yes",78&gt;=Projects!$C$5,78&lt;Projects!$C$5+Projects!$D$5),Projects!$B$5*(1-SUMPRODUCT((Curves!$B$9:$AO$9)*(COLUMN(Curves!$B$9:$AO$9)-COLUMN(Curves!$B$9)+1&lt;=78-Projects!$C$5+1))),0)</f>
        <v/>
      </c>
      <c r="CC9" s="309">
        <f>IF(AND(Projects!$G$5="Yes",Projects!$F$5="Yes",79&gt;=Projects!$C$5,79&lt;Projects!$C$5+Projects!$D$5),Projects!$B$5*(1-SUMPRODUCT((Curves!$B$9:$AO$9)*(COLUMN(Curves!$B$9:$AO$9)-COLUMN(Curves!$B$9)+1&lt;=79-Projects!$C$5+1))),0)</f>
        <v/>
      </c>
      <c r="CD9" s="309">
        <f>IF(AND(Projects!$G$5="Yes",Projects!$F$5="Yes",80&gt;=Projects!$C$5,80&lt;Projects!$C$5+Projects!$D$5),Projects!$B$5*(1-SUMPRODUCT((Curves!$B$9:$AO$9)*(COLUMN(Curves!$B$9:$AO$9)-COLUMN(Curves!$B$9)+1&lt;=80-Projects!$C$5+1))),0)</f>
        <v/>
      </c>
      <c r="CE9" s="309">
        <f>IF(AND(Projects!$G$5="Yes",Projects!$F$5="Yes",81&gt;=Projects!$C$5,81&lt;Projects!$C$5+Projects!$D$5),Projects!$B$5*(1-SUMPRODUCT((Curves!$B$9:$AO$9)*(COLUMN(Curves!$B$9:$AO$9)-COLUMN(Curves!$B$9)+1&lt;=81-Projects!$C$5+1))),0)</f>
        <v/>
      </c>
      <c r="CF9" s="309">
        <f>IF(AND(Projects!$G$5="Yes",Projects!$F$5="Yes",82&gt;=Projects!$C$5,82&lt;Projects!$C$5+Projects!$D$5),Projects!$B$5*(1-SUMPRODUCT((Curves!$B$9:$AO$9)*(COLUMN(Curves!$B$9:$AO$9)-COLUMN(Curves!$B$9)+1&lt;=82-Projects!$C$5+1))),0)</f>
        <v/>
      </c>
      <c r="CG9" s="309">
        <f>IF(AND(Projects!$G$5="Yes",Projects!$F$5="Yes",83&gt;=Projects!$C$5,83&lt;Projects!$C$5+Projects!$D$5),Projects!$B$5*(1-SUMPRODUCT((Curves!$B$9:$AO$9)*(COLUMN(Curves!$B$9:$AO$9)-COLUMN(Curves!$B$9)+1&lt;=83-Projects!$C$5+1))),0)</f>
        <v/>
      </c>
      <c r="CH9" s="309">
        <f>IF(AND(Projects!$G$5="Yes",Projects!$F$5="Yes",84&gt;=Projects!$C$5,84&lt;Projects!$C$5+Projects!$D$5),Projects!$B$5*(1-SUMPRODUCT((Curves!$B$9:$AO$9)*(COLUMN(Curves!$B$9:$AO$9)-COLUMN(Curves!$B$9)+1&lt;=84-Projects!$C$5+1))),0)</f>
        <v/>
      </c>
    </row>
    <row r="10" ht="15" customHeight="1" s="202">
      <c r="A10" s="302" t="inlineStr">
        <is>
          <t>Francis</t>
        </is>
      </c>
      <c r="C10" s="309">
        <f>IF(AND(Projects!$G$7="Yes",Projects!$F$7="Yes",1&gt;=Projects!$C$7,1&lt;Projects!$C$7+Projects!$D$7),Projects!$B$7*(1-SUMPRODUCT((Curves!$B$3:$AO$3)*(COLUMN(Curves!$B$3:$AO$3)-COLUMN(Curves!$B$3)+1&lt;=1-Projects!$C$7+1))),0)</f>
        <v/>
      </c>
      <c r="D10" s="309">
        <f>IF(AND(Projects!$G$7="Yes",Projects!$F$7="Yes",2&gt;=Projects!$C$7,2&lt;Projects!$C$7+Projects!$D$7),Projects!$B$7*(1-SUMPRODUCT((Curves!$B$3:$AO$3)*(COLUMN(Curves!$B$3:$AO$3)-COLUMN(Curves!$B$3)+1&lt;=2-Projects!$C$7+1))),0)</f>
        <v/>
      </c>
      <c r="E10" s="309">
        <f>IF(AND(Projects!$G$7="Yes",Projects!$F$7="Yes",3&gt;=Projects!$C$7,3&lt;Projects!$C$7+Projects!$D$7),Projects!$B$7*(1-SUMPRODUCT((Curves!$B$3:$AO$3)*(COLUMN(Curves!$B$3:$AO$3)-COLUMN(Curves!$B$3)+1&lt;=3-Projects!$C$7+1))),0)</f>
        <v/>
      </c>
      <c r="F10" s="309">
        <f>IF(AND(Projects!$G$7="Yes",Projects!$F$7="Yes",4&gt;=Projects!$C$7,4&lt;Projects!$C$7+Projects!$D$7),Projects!$B$7*(1-SUMPRODUCT((Curves!$B$3:$AO$3)*(COLUMN(Curves!$B$3:$AO$3)-COLUMN(Curves!$B$3)+1&lt;=4-Projects!$C$7+1))),0)</f>
        <v/>
      </c>
      <c r="G10" s="309">
        <f>IF(AND(Projects!$G$7="Yes",Projects!$F$7="Yes",5&gt;=Projects!$C$7,5&lt;Projects!$C$7+Projects!$D$7),Projects!$B$7*(1-SUMPRODUCT((Curves!$B$3:$AO$3)*(COLUMN(Curves!$B$3:$AO$3)-COLUMN(Curves!$B$3)+1&lt;=5-Projects!$C$7+1))),0)</f>
        <v/>
      </c>
      <c r="H10" s="309">
        <f>IF(AND(Projects!$G$7="Yes",Projects!$F$7="Yes",6&gt;=Projects!$C$7,6&lt;Projects!$C$7+Projects!$D$7),Projects!$B$7*(1-SUMPRODUCT((Curves!$B$3:$AO$3)*(COLUMN(Curves!$B$3:$AO$3)-COLUMN(Curves!$B$3)+1&lt;=6-Projects!$C$7+1))),0)</f>
        <v/>
      </c>
      <c r="I10" s="309">
        <f>IF(AND(Projects!$G$7="Yes",Projects!$F$7="Yes",7&gt;=Projects!$C$7,7&lt;Projects!$C$7+Projects!$D$7),Projects!$B$7*(1-SUMPRODUCT((Curves!$B$3:$AO$3)*(COLUMN(Curves!$B$3:$AO$3)-COLUMN(Curves!$B$3)+1&lt;=7-Projects!$C$7+1))),0)</f>
        <v/>
      </c>
      <c r="J10" s="309">
        <f>IF(AND(Projects!$G$7="Yes",Projects!$F$7="Yes",8&gt;=Projects!$C$7,8&lt;Projects!$C$7+Projects!$D$7),Projects!$B$7*(1-SUMPRODUCT((Curves!$B$3:$AO$3)*(COLUMN(Curves!$B$3:$AO$3)-COLUMN(Curves!$B$3)+1&lt;=8-Projects!$C$7+1))),0)</f>
        <v/>
      </c>
      <c r="K10" s="309">
        <f>IF(AND(Projects!$G$7="Yes",Projects!$F$7="Yes",9&gt;=Projects!$C$7,9&lt;Projects!$C$7+Projects!$D$7),Projects!$B$7*(1-SUMPRODUCT((Curves!$B$3:$AO$3)*(COLUMN(Curves!$B$3:$AO$3)-COLUMN(Curves!$B$3)+1&lt;=9-Projects!$C$7+1))),0)</f>
        <v/>
      </c>
      <c r="L10" s="309">
        <f>IF(AND(Projects!$G$7="Yes",Projects!$F$7="Yes",10&gt;=Projects!$C$7,10&lt;Projects!$C$7+Projects!$D$7),Projects!$B$7*(1-SUMPRODUCT((Curves!$B$3:$AO$3)*(COLUMN(Curves!$B$3:$AO$3)-COLUMN(Curves!$B$3)+1&lt;=10-Projects!$C$7+1))),0)</f>
        <v/>
      </c>
      <c r="M10" s="309">
        <f>IF(AND(Projects!$G$7="Yes",Projects!$F$7="Yes",11&gt;=Projects!$C$7,11&lt;Projects!$C$7+Projects!$D$7),Projects!$B$7*(1-SUMPRODUCT((Curves!$B$3:$AO$3)*(COLUMN(Curves!$B$3:$AO$3)-COLUMN(Curves!$B$3)+1&lt;=11-Projects!$C$7+1))),0)</f>
        <v/>
      </c>
      <c r="N10" s="309">
        <f>IF(AND(Projects!$G$7="Yes",Projects!$F$7="Yes",12&gt;=Projects!$C$7,12&lt;Projects!$C$7+Projects!$D$7),Projects!$B$7*(1-SUMPRODUCT((Curves!$B$3:$AO$3)*(COLUMN(Curves!$B$3:$AO$3)-COLUMN(Curves!$B$3)+1&lt;=12-Projects!$C$7+1))),0)</f>
        <v/>
      </c>
      <c r="O10" s="309">
        <f>IF(AND(Projects!$G$7="Yes",Projects!$F$7="Yes",13&gt;=Projects!$C$7,13&lt;Projects!$C$7+Projects!$D$7),Projects!$B$7*(1-SUMPRODUCT((Curves!$B$3:$AO$3)*(COLUMN(Curves!$B$3:$AO$3)-COLUMN(Curves!$B$3)+1&lt;=13-Projects!$C$7+1))),0)</f>
        <v/>
      </c>
      <c r="P10" s="309">
        <f>IF(AND(Projects!$G$7="Yes",Projects!$F$7="Yes",14&gt;=Projects!$C$7,14&lt;Projects!$C$7+Projects!$D$7),Projects!$B$7*(1-SUMPRODUCT((Curves!$B$3:$AO$3)*(COLUMN(Curves!$B$3:$AO$3)-COLUMN(Curves!$B$3)+1&lt;=14-Projects!$C$7+1))),0)</f>
        <v/>
      </c>
      <c r="Q10" s="309">
        <f>IF(AND(Projects!$G$7="Yes",Projects!$F$7="Yes",15&gt;=Projects!$C$7,15&lt;Projects!$C$7+Projects!$D$7),Projects!$B$7*(1-SUMPRODUCT((Curves!$B$3:$AO$3)*(COLUMN(Curves!$B$3:$AO$3)-COLUMN(Curves!$B$3)+1&lt;=15-Projects!$C$7+1))),0)</f>
        <v/>
      </c>
      <c r="R10" s="309">
        <f>IF(AND(Projects!$G$7="Yes",Projects!$F$7="Yes",16&gt;=Projects!$C$7,16&lt;Projects!$C$7+Projects!$D$7),Projects!$B$7*(1-SUMPRODUCT((Curves!$B$3:$AO$3)*(COLUMN(Curves!$B$3:$AO$3)-COLUMN(Curves!$B$3)+1&lt;=16-Projects!$C$7+1))),0)</f>
        <v/>
      </c>
      <c r="S10" s="309">
        <f>IF(AND(Projects!$G$7="Yes",Projects!$F$7="Yes",17&gt;=Projects!$C$7,17&lt;Projects!$C$7+Projects!$D$7),Projects!$B$7*(1-SUMPRODUCT((Curves!$B$3:$AO$3)*(COLUMN(Curves!$B$3:$AO$3)-COLUMN(Curves!$B$3)+1&lt;=17-Projects!$C$7+1))),0)</f>
        <v/>
      </c>
      <c r="T10" s="309">
        <f>IF(AND(Projects!$G$7="Yes",Projects!$F$7="Yes",18&gt;=Projects!$C$7,18&lt;Projects!$C$7+Projects!$D$7),Projects!$B$7*(1-SUMPRODUCT((Curves!$B$3:$AO$3)*(COLUMN(Curves!$B$3:$AO$3)-COLUMN(Curves!$B$3)+1&lt;=18-Projects!$C$7+1))),0)</f>
        <v/>
      </c>
      <c r="U10" s="309">
        <f>IF(AND(Projects!$G$7="Yes",Projects!$F$7="Yes",19&gt;=Projects!$C$7,19&lt;Projects!$C$7+Projects!$D$7),Projects!$B$7*(1-SUMPRODUCT((Curves!$B$3:$AO$3)*(COLUMN(Curves!$B$3:$AO$3)-COLUMN(Curves!$B$3)+1&lt;=19-Projects!$C$7+1))),0)</f>
        <v/>
      </c>
      <c r="V10" s="309">
        <f>IF(AND(Projects!$G$7="Yes",Projects!$F$7="Yes",20&gt;=Projects!$C$7,20&lt;Projects!$C$7+Projects!$D$7),Projects!$B$7*(1-SUMPRODUCT((Curves!$B$3:$AO$3)*(COLUMN(Curves!$B$3:$AO$3)-COLUMN(Curves!$B$3)+1&lt;=20-Projects!$C$7+1))),0)</f>
        <v/>
      </c>
      <c r="W10" s="309">
        <f>IF(AND(Projects!$G$7="Yes",Projects!$F$7="Yes",21&gt;=Projects!$C$7,21&lt;Projects!$C$7+Projects!$D$7),Projects!$B$7*(1-SUMPRODUCT((Curves!$B$3:$AO$3)*(COLUMN(Curves!$B$3:$AO$3)-COLUMN(Curves!$B$3)+1&lt;=21-Projects!$C$7+1))),0)</f>
        <v/>
      </c>
      <c r="X10" s="309">
        <f>IF(AND(Projects!$G$7="Yes",Projects!$F$7="Yes",22&gt;=Projects!$C$7,22&lt;Projects!$C$7+Projects!$D$7),Projects!$B$7*(1-SUMPRODUCT((Curves!$B$3:$AO$3)*(COLUMN(Curves!$B$3:$AO$3)-COLUMN(Curves!$B$3)+1&lt;=22-Projects!$C$7+1))),0)</f>
        <v/>
      </c>
      <c r="Y10" s="309">
        <f>IF(AND(Projects!$G$7="Yes",Projects!$F$7="Yes",23&gt;=Projects!$C$7,23&lt;Projects!$C$7+Projects!$D$7),Projects!$B$7*(1-SUMPRODUCT((Curves!$B$3:$AO$3)*(COLUMN(Curves!$B$3:$AO$3)-COLUMN(Curves!$B$3)+1&lt;=23-Projects!$C$7+1))),0)</f>
        <v/>
      </c>
      <c r="Z10" s="309">
        <f>IF(AND(Projects!$G$7="Yes",Projects!$F$7="Yes",24&gt;=Projects!$C$7,24&lt;Projects!$C$7+Projects!$D$7),Projects!$B$7*(1-SUMPRODUCT((Curves!$B$3:$AO$3)*(COLUMN(Curves!$B$3:$AO$3)-COLUMN(Curves!$B$3)+1&lt;=24-Projects!$C$7+1))),0)</f>
        <v/>
      </c>
      <c r="AA10" s="309">
        <f>IF(AND(Projects!$G$7="Yes",Projects!$F$7="Yes",25&gt;=Projects!$C$7,25&lt;Projects!$C$7+Projects!$D$7),Projects!$B$7*(1-SUMPRODUCT((Curves!$B$3:$AO$3)*(COLUMN(Curves!$B$3:$AO$3)-COLUMN(Curves!$B$3)+1&lt;=25-Projects!$C$7+1))),0)</f>
        <v/>
      </c>
      <c r="AB10" s="309">
        <f>IF(AND(Projects!$G$7="Yes",Projects!$F$7="Yes",26&gt;=Projects!$C$7,26&lt;Projects!$C$7+Projects!$D$7),Projects!$B$7*(1-SUMPRODUCT((Curves!$B$3:$AO$3)*(COLUMN(Curves!$B$3:$AO$3)-COLUMN(Curves!$B$3)+1&lt;=26-Projects!$C$7+1))),0)</f>
        <v/>
      </c>
      <c r="AC10" s="309">
        <f>IF(AND(Projects!$G$7="Yes",Projects!$F$7="Yes",27&gt;=Projects!$C$7,27&lt;Projects!$C$7+Projects!$D$7),Projects!$B$7*(1-SUMPRODUCT((Curves!$B$3:$AO$3)*(COLUMN(Curves!$B$3:$AO$3)-COLUMN(Curves!$B$3)+1&lt;=27-Projects!$C$7+1))),0)</f>
        <v/>
      </c>
      <c r="AD10" s="309">
        <f>IF(AND(Projects!$G$7="Yes",Projects!$F$7="Yes",28&gt;=Projects!$C$7,28&lt;Projects!$C$7+Projects!$D$7),Projects!$B$7*(1-SUMPRODUCT((Curves!$B$3:$AO$3)*(COLUMN(Curves!$B$3:$AO$3)-COLUMN(Curves!$B$3)+1&lt;=28-Projects!$C$7+1))),0)</f>
        <v/>
      </c>
      <c r="AE10" s="309">
        <f>IF(AND(Projects!$G$7="Yes",Projects!$F$7="Yes",29&gt;=Projects!$C$7,29&lt;Projects!$C$7+Projects!$D$7),Projects!$B$7*(1-SUMPRODUCT((Curves!$B$3:$AO$3)*(COLUMN(Curves!$B$3:$AO$3)-COLUMN(Curves!$B$3)+1&lt;=29-Projects!$C$7+1))),0)</f>
        <v/>
      </c>
      <c r="AF10" s="309">
        <f>IF(AND(Projects!$G$7="Yes",Projects!$F$7="Yes",30&gt;=Projects!$C$7,30&lt;Projects!$C$7+Projects!$D$7),Projects!$B$7*(1-SUMPRODUCT((Curves!$B$3:$AO$3)*(COLUMN(Curves!$B$3:$AO$3)-COLUMN(Curves!$B$3)+1&lt;=30-Projects!$C$7+1))),0)</f>
        <v/>
      </c>
      <c r="AG10" s="309">
        <f>IF(AND(Projects!$G$7="Yes",Projects!$F$7="Yes",31&gt;=Projects!$C$7,31&lt;Projects!$C$7+Projects!$D$7),Projects!$B$7*(1-SUMPRODUCT((Curves!$B$3:$AO$3)*(COLUMN(Curves!$B$3:$AO$3)-COLUMN(Curves!$B$3)+1&lt;=31-Projects!$C$7+1))),0)</f>
        <v/>
      </c>
      <c r="AH10" s="309">
        <f>IF(AND(Projects!$G$7="Yes",Projects!$F$7="Yes",32&gt;=Projects!$C$7,32&lt;Projects!$C$7+Projects!$D$7),Projects!$B$7*(1-SUMPRODUCT((Curves!$B$3:$AO$3)*(COLUMN(Curves!$B$3:$AO$3)-COLUMN(Curves!$B$3)+1&lt;=32-Projects!$C$7+1))),0)</f>
        <v/>
      </c>
      <c r="AI10" s="309">
        <f>IF(AND(Projects!$G$7="Yes",Projects!$F$7="Yes",33&gt;=Projects!$C$7,33&lt;Projects!$C$7+Projects!$D$7),Projects!$B$7*(1-SUMPRODUCT((Curves!$B$3:$AO$3)*(COLUMN(Curves!$B$3:$AO$3)-COLUMN(Curves!$B$3)+1&lt;=33-Projects!$C$7+1))),0)</f>
        <v/>
      </c>
      <c r="AJ10" s="309">
        <f>IF(AND(Projects!$G$7="Yes",Projects!$F$7="Yes",34&gt;=Projects!$C$7,34&lt;Projects!$C$7+Projects!$D$7),Projects!$B$7*(1-SUMPRODUCT((Curves!$B$3:$AO$3)*(COLUMN(Curves!$B$3:$AO$3)-COLUMN(Curves!$B$3)+1&lt;=34-Projects!$C$7+1))),0)</f>
        <v/>
      </c>
      <c r="AK10" s="309">
        <f>IF(AND(Projects!$G$7="Yes",Projects!$F$7="Yes",35&gt;=Projects!$C$7,35&lt;Projects!$C$7+Projects!$D$7),Projects!$B$7*(1-SUMPRODUCT((Curves!$B$3:$AO$3)*(COLUMN(Curves!$B$3:$AO$3)-COLUMN(Curves!$B$3)+1&lt;=35-Projects!$C$7+1))),0)</f>
        <v/>
      </c>
      <c r="AL10" s="309">
        <f>IF(AND(Projects!$G$7="Yes",Projects!$F$7="Yes",36&gt;=Projects!$C$7,36&lt;Projects!$C$7+Projects!$D$7),Projects!$B$7*(1-SUMPRODUCT((Curves!$B$3:$AO$3)*(COLUMN(Curves!$B$3:$AO$3)-COLUMN(Curves!$B$3)+1&lt;=36-Projects!$C$7+1))),0)</f>
        <v/>
      </c>
      <c r="AM10" s="309">
        <f>IF(AND(Projects!$G$7="Yes",Projects!$F$7="Yes",37&gt;=Projects!$C$7,37&lt;Projects!$C$7+Projects!$D$7),Projects!$B$7*(1-SUMPRODUCT((Curves!$B$3:$AO$3)*(COLUMN(Curves!$B$3:$AO$3)-COLUMN(Curves!$B$3)+1&lt;=37-Projects!$C$7+1))),0)</f>
        <v/>
      </c>
      <c r="AN10" s="309">
        <f>IF(AND(Projects!$G$7="Yes",Projects!$F$7="Yes",38&gt;=Projects!$C$7,38&lt;Projects!$C$7+Projects!$D$7),Projects!$B$7*(1-SUMPRODUCT((Curves!$B$3:$AO$3)*(COLUMN(Curves!$B$3:$AO$3)-COLUMN(Curves!$B$3)+1&lt;=38-Projects!$C$7+1))),0)</f>
        <v/>
      </c>
      <c r="AO10" s="309">
        <f>IF(AND(Projects!$G$7="Yes",Projects!$F$7="Yes",39&gt;=Projects!$C$7,39&lt;Projects!$C$7+Projects!$D$7),Projects!$B$7*(1-SUMPRODUCT((Curves!$B$3:$AO$3)*(COLUMN(Curves!$B$3:$AO$3)-COLUMN(Curves!$B$3)+1&lt;=39-Projects!$C$7+1))),0)</f>
        <v/>
      </c>
      <c r="AP10" s="309">
        <f>IF(AND(Projects!$G$7="Yes",Projects!$F$7="Yes",40&gt;=Projects!$C$7,40&lt;Projects!$C$7+Projects!$D$7),Projects!$B$7*(1-SUMPRODUCT((Curves!$B$3:$AO$3)*(COLUMN(Curves!$B$3:$AO$3)-COLUMN(Curves!$B$3)+1&lt;=40-Projects!$C$7+1))),0)</f>
        <v/>
      </c>
      <c r="AQ10" s="309">
        <f>IF(AND(Projects!$G$7="Yes",Projects!$F$7="Yes",41&gt;=Projects!$C$7,41&lt;Projects!$C$7+Projects!$D$7),Projects!$B$7*(1-SUMPRODUCT((Curves!$B$3:$AO$3)*(COLUMN(Curves!$B$3:$AO$3)-COLUMN(Curves!$B$3)+1&lt;=41-Projects!$C$7+1))),0)</f>
        <v/>
      </c>
      <c r="AR10" s="309">
        <f>IF(AND(Projects!$G$7="Yes",Projects!$F$7="Yes",42&gt;=Projects!$C$7,42&lt;Projects!$C$7+Projects!$D$7),Projects!$B$7*(1-SUMPRODUCT((Curves!$B$3:$AO$3)*(COLUMN(Curves!$B$3:$AO$3)-COLUMN(Curves!$B$3)+1&lt;=42-Projects!$C$7+1))),0)</f>
        <v/>
      </c>
      <c r="AS10" s="309">
        <f>IF(AND(Projects!$G$7="Yes",Projects!$F$7="Yes",43&gt;=Projects!$C$7,43&lt;Projects!$C$7+Projects!$D$7),Projects!$B$7*(1-SUMPRODUCT((Curves!$B$3:$AO$3)*(COLUMN(Curves!$B$3:$AO$3)-COLUMN(Curves!$B$3)+1&lt;=43-Projects!$C$7+1))),0)</f>
        <v/>
      </c>
      <c r="AT10" s="309">
        <f>IF(AND(Projects!$G$7="Yes",Projects!$F$7="Yes",44&gt;=Projects!$C$7,44&lt;Projects!$C$7+Projects!$D$7),Projects!$B$7*(1-SUMPRODUCT((Curves!$B$3:$AO$3)*(COLUMN(Curves!$B$3:$AO$3)-COLUMN(Curves!$B$3)+1&lt;=44-Projects!$C$7+1))),0)</f>
        <v/>
      </c>
      <c r="AU10" s="309">
        <f>IF(AND(Projects!$G$7="Yes",Projects!$F$7="Yes",45&gt;=Projects!$C$7,45&lt;Projects!$C$7+Projects!$D$7),Projects!$B$7*(1-SUMPRODUCT((Curves!$B$3:$AO$3)*(COLUMN(Curves!$B$3:$AO$3)-COLUMN(Curves!$B$3)+1&lt;=45-Projects!$C$7+1))),0)</f>
        <v/>
      </c>
      <c r="AV10" s="309">
        <f>IF(AND(Projects!$G$7="Yes",Projects!$F$7="Yes",46&gt;=Projects!$C$7,46&lt;Projects!$C$7+Projects!$D$7),Projects!$B$7*(1-SUMPRODUCT((Curves!$B$3:$AO$3)*(COLUMN(Curves!$B$3:$AO$3)-COLUMN(Curves!$B$3)+1&lt;=46-Projects!$C$7+1))),0)</f>
        <v/>
      </c>
      <c r="AW10" s="309">
        <f>IF(AND(Projects!$G$7="Yes",Projects!$F$7="Yes",47&gt;=Projects!$C$7,47&lt;Projects!$C$7+Projects!$D$7),Projects!$B$7*(1-SUMPRODUCT((Curves!$B$3:$AO$3)*(COLUMN(Curves!$B$3:$AO$3)-COLUMN(Curves!$B$3)+1&lt;=47-Projects!$C$7+1))),0)</f>
        <v/>
      </c>
      <c r="AX10" s="309">
        <f>IF(AND(Projects!$G$7="Yes",Projects!$F$7="Yes",48&gt;=Projects!$C$7,48&lt;Projects!$C$7+Projects!$D$7),Projects!$B$7*(1-SUMPRODUCT((Curves!$B$3:$AO$3)*(COLUMN(Curves!$B$3:$AO$3)-COLUMN(Curves!$B$3)+1&lt;=48-Projects!$C$7+1))),0)</f>
        <v/>
      </c>
      <c r="AY10" s="309">
        <f>IF(AND(Projects!$G$7="Yes",Projects!$F$7="Yes",49&gt;=Projects!$C$7,49&lt;Projects!$C$7+Projects!$D$7),Projects!$B$7*(1-SUMPRODUCT((Curves!$B$3:$AO$3)*(COLUMN(Curves!$B$3:$AO$3)-COLUMN(Curves!$B$3)+1&lt;=49-Projects!$C$7+1))),0)</f>
        <v/>
      </c>
      <c r="AZ10" s="309">
        <f>IF(AND(Projects!$G$7="Yes",Projects!$F$7="Yes",50&gt;=Projects!$C$7,50&lt;Projects!$C$7+Projects!$D$7),Projects!$B$7*(1-SUMPRODUCT((Curves!$B$3:$AO$3)*(COLUMN(Curves!$B$3:$AO$3)-COLUMN(Curves!$B$3)+1&lt;=50-Projects!$C$7+1))),0)</f>
        <v/>
      </c>
      <c r="BA10" s="309">
        <f>IF(AND(Projects!$G$7="Yes",Projects!$F$7="Yes",51&gt;=Projects!$C$7,51&lt;Projects!$C$7+Projects!$D$7),Projects!$B$7*(1-SUMPRODUCT((Curves!$B$3:$AO$3)*(COLUMN(Curves!$B$3:$AO$3)-COLUMN(Curves!$B$3)+1&lt;=51-Projects!$C$7+1))),0)</f>
        <v/>
      </c>
      <c r="BB10" s="309">
        <f>IF(AND(Projects!$G$7="Yes",Projects!$F$7="Yes",52&gt;=Projects!$C$7,52&lt;Projects!$C$7+Projects!$D$7),Projects!$B$7*(1-SUMPRODUCT((Curves!$B$3:$AO$3)*(COLUMN(Curves!$B$3:$AO$3)-COLUMN(Curves!$B$3)+1&lt;=52-Projects!$C$7+1))),0)</f>
        <v/>
      </c>
      <c r="BC10" s="309">
        <f>IF(AND(Projects!$G$7="Yes",Projects!$F$7="Yes",53&gt;=Projects!$C$7,53&lt;Projects!$C$7+Projects!$D$7),Projects!$B$7*(1-SUMPRODUCT((Curves!$B$3:$AO$3)*(COLUMN(Curves!$B$3:$AO$3)-COLUMN(Curves!$B$3)+1&lt;=53-Projects!$C$7+1))),0)</f>
        <v/>
      </c>
      <c r="BD10" s="309">
        <f>IF(AND(Projects!$G$7="Yes",Projects!$F$7="Yes",54&gt;=Projects!$C$7,54&lt;Projects!$C$7+Projects!$D$7),Projects!$B$7*(1-SUMPRODUCT((Curves!$B$3:$AO$3)*(COLUMN(Curves!$B$3:$AO$3)-COLUMN(Curves!$B$3)+1&lt;=54-Projects!$C$7+1))),0)</f>
        <v/>
      </c>
      <c r="BE10" s="309">
        <f>IF(AND(Projects!$G$7="Yes",Projects!$F$7="Yes",55&gt;=Projects!$C$7,55&lt;Projects!$C$7+Projects!$D$7),Projects!$B$7*(1-SUMPRODUCT((Curves!$B$3:$AO$3)*(COLUMN(Curves!$B$3:$AO$3)-COLUMN(Curves!$B$3)+1&lt;=55-Projects!$C$7+1))),0)</f>
        <v/>
      </c>
      <c r="BF10" s="309">
        <f>IF(AND(Projects!$G$7="Yes",Projects!$F$7="Yes",56&gt;=Projects!$C$7,56&lt;Projects!$C$7+Projects!$D$7),Projects!$B$7*(1-SUMPRODUCT((Curves!$B$3:$AO$3)*(COLUMN(Curves!$B$3:$AO$3)-COLUMN(Curves!$B$3)+1&lt;=56-Projects!$C$7+1))),0)</f>
        <v/>
      </c>
      <c r="BG10" s="309">
        <f>IF(AND(Projects!$G$7="Yes",Projects!$F$7="Yes",57&gt;=Projects!$C$7,57&lt;Projects!$C$7+Projects!$D$7),Projects!$B$7*(1-SUMPRODUCT((Curves!$B$3:$AO$3)*(COLUMN(Curves!$B$3:$AO$3)-COLUMN(Curves!$B$3)+1&lt;=57-Projects!$C$7+1))),0)</f>
        <v/>
      </c>
      <c r="BH10" s="309">
        <f>IF(AND(Projects!$G$7="Yes",Projects!$F$7="Yes",58&gt;=Projects!$C$7,58&lt;Projects!$C$7+Projects!$D$7),Projects!$B$7*(1-SUMPRODUCT((Curves!$B$3:$AO$3)*(COLUMN(Curves!$B$3:$AO$3)-COLUMN(Curves!$B$3)+1&lt;=58-Projects!$C$7+1))),0)</f>
        <v/>
      </c>
      <c r="BI10" s="309">
        <f>IF(AND(Projects!$G$7="Yes",Projects!$F$7="Yes",59&gt;=Projects!$C$7,59&lt;Projects!$C$7+Projects!$D$7),Projects!$B$7*(1-SUMPRODUCT((Curves!$B$3:$AO$3)*(COLUMN(Curves!$B$3:$AO$3)-COLUMN(Curves!$B$3)+1&lt;=59-Projects!$C$7+1))),0)</f>
        <v/>
      </c>
      <c r="BJ10" s="309">
        <f>IF(AND(Projects!$G$7="Yes",Projects!$F$7="Yes",60&gt;=Projects!$C$7,60&lt;Projects!$C$7+Projects!$D$7),Projects!$B$7*(1-SUMPRODUCT((Curves!$B$3:$AO$3)*(COLUMN(Curves!$B$3:$AO$3)-COLUMN(Curves!$B$3)+1&lt;=60-Projects!$C$7+1))),0)</f>
        <v/>
      </c>
      <c r="BK10" s="309">
        <f>IF(AND(Projects!$G$7="Yes",Projects!$F$7="Yes",61&gt;=Projects!$C$7,61&lt;Projects!$C$7+Projects!$D$7),Projects!$B$7*(1-SUMPRODUCT((Curves!$B$3:$AO$3)*(COLUMN(Curves!$B$3:$AO$3)-COLUMN(Curves!$B$3)+1&lt;=61-Projects!$C$7+1))),0)</f>
        <v/>
      </c>
      <c r="BL10" s="309">
        <f>IF(AND(Projects!$G$7="Yes",Projects!$F$7="Yes",62&gt;=Projects!$C$7,62&lt;Projects!$C$7+Projects!$D$7),Projects!$B$7*(1-SUMPRODUCT((Curves!$B$3:$AO$3)*(COLUMN(Curves!$B$3:$AO$3)-COLUMN(Curves!$B$3)+1&lt;=62-Projects!$C$7+1))),0)</f>
        <v/>
      </c>
      <c r="BM10" s="309">
        <f>IF(AND(Projects!$G$7="Yes",Projects!$F$7="Yes",63&gt;=Projects!$C$7,63&lt;Projects!$C$7+Projects!$D$7),Projects!$B$7*(1-SUMPRODUCT((Curves!$B$3:$AO$3)*(COLUMN(Curves!$B$3:$AO$3)-COLUMN(Curves!$B$3)+1&lt;=63-Projects!$C$7+1))),0)</f>
        <v/>
      </c>
      <c r="BN10" s="309">
        <f>IF(AND(Projects!$G$7="Yes",Projects!$F$7="Yes",64&gt;=Projects!$C$7,64&lt;Projects!$C$7+Projects!$D$7),Projects!$B$7*(1-SUMPRODUCT((Curves!$B$3:$AO$3)*(COLUMN(Curves!$B$3:$AO$3)-COLUMN(Curves!$B$3)+1&lt;=64-Projects!$C$7+1))),0)</f>
        <v/>
      </c>
      <c r="BO10" s="309">
        <f>IF(AND(Projects!$G$7="Yes",Projects!$F$7="Yes",65&gt;=Projects!$C$7,65&lt;Projects!$C$7+Projects!$D$7),Projects!$B$7*(1-SUMPRODUCT((Curves!$B$3:$AO$3)*(COLUMN(Curves!$B$3:$AO$3)-COLUMN(Curves!$B$3)+1&lt;=65-Projects!$C$7+1))),0)</f>
        <v/>
      </c>
      <c r="BP10" s="309">
        <f>IF(AND(Projects!$G$7="Yes",Projects!$F$7="Yes",66&gt;=Projects!$C$7,66&lt;Projects!$C$7+Projects!$D$7),Projects!$B$7*(1-SUMPRODUCT((Curves!$B$3:$AO$3)*(COLUMN(Curves!$B$3:$AO$3)-COLUMN(Curves!$B$3)+1&lt;=66-Projects!$C$7+1))),0)</f>
        <v/>
      </c>
      <c r="BQ10" s="309">
        <f>IF(AND(Projects!$G$7="Yes",Projects!$F$7="Yes",67&gt;=Projects!$C$7,67&lt;Projects!$C$7+Projects!$D$7),Projects!$B$7*(1-SUMPRODUCT((Curves!$B$3:$AO$3)*(COLUMN(Curves!$B$3:$AO$3)-COLUMN(Curves!$B$3)+1&lt;=67-Projects!$C$7+1))),0)</f>
        <v/>
      </c>
      <c r="BR10" s="309">
        <f>IF(AND(Projects!$G$7="Yes",Projects!$F$7="Yes",68&gt;=Projects!$C$7,68&lt;Projects!$C$7+Projects!$D$7),Projects!$B$7*(1-SUMPRODUCT((Curves!$B$3:$AO$3)*(COLUMN(Curves!$B$3:$AO$3)-COLUMN(Curves!$B$3)+1&lt;=68-Projects!$C$7+1))),0)</f>
        <v/>
      </c>
      <c r="BS10" s="309">
        <f>IF(AND(Projects!$G$7="Yes",Projects!$F$7="Yes",69&gt;=Projects!$C$7,69&lt;Projects!$C$7+Projects!$D$7),Projects!$B$7*(1-SUMPRODUCT((Curves!$B$3:$AO$3)*(COLUMN(Curves!$B$3:$AO$3)-COLUMN(Curves!$B$3)+1&lt;=69-Projects!$C$7+1))),0)</f>
        <v/>
      </c>
      <c r="BT10" s="309">
        <f>IF(AND(Projects!$G$7="Yes",Projects!$F$7="Yes",70&gt;=Projects!$C$7,70&lt;Projects!$C$7+Projects!$D$7),Projects!$B$7*(1-SUMPRODUCT((Curves!$B$3:$AO$3)*(COLUMN(Curves!$B$3:$AO$3)-COLUMN(Curves!$B$3)+1&lt;=70-Projects!$C$7+1))),0)</f>
        <v/>
      </c>
      <c r="BU10" s="309">
        <f>IF(AND(Projects!$G$7="Yes",Projects!$F$7="Yes",71&gt;=Projects!$C$7,71&lt;Projects!$C$7+Projects!$D$7),Projects!$B$7*(1-SUMPRODUCT((Curves!$B$3:$AO$3)*(COLUMN(Curves!$B$3:$AO$3)-COLUMN(Curves!$B$3)+1&lt;=71-Projects!$C$7+1))),0)</f>
        <v/>
      </c>
      <c r="BV10" s="309">
        <f>IF(AND(Projects!$G$7="Yes",Projects!$F$7="Yes",72&gt;=Projects!$C$7,72&lt;Projects!$C$7+Projects!$D$7),Projects!$B$7*(1-SUMPRODUCT((Curves!$B$3:$AO$3)*(COLUMN(Curves!$B$3:$AO$3)-COLUMN(Curves!$B$3)+1&lt;=72-Projects!$C$7+1))),0)</f>
        <v/>
      </c>
      <c r="BW10" s="309">
        <f>IF(AND(Projects!$G$7="Yes",Projects!$F$7="Yes",73&gt;=Projects!$C$7,73&lt;Projects!$C$7+Projects!$D$7),Projects!$B$7*(1-SUMPRODUCT((Curves!$B$3:$AO$3)*(COLUMN(Curves!$B$3:$AO$3)-COLUMN(Curves!$B$3)+1&lt;=73-Projects!$C$7+1))),0)</f>
        <v/>
      </c>
      <c r="BX10" s="309">
        <f>IF(AND(Projects!$G$7="Yes",Projects!$F$7="Yes",74&gt;=Projects!$C$7,74&lt;Projects!$C$7+Projects!$D$7),Projects!$B$7*(1-SUMPRODUCT((Curves!$B$3:$AO$3)*(COLUMN(Curves!$B$3:$AO$3)-COLUMN(Curves!$B$3)+1&lt;=74-Projects!$C$7+1))),0)</f>
        <v/>
      </c>
      <c r="BY10" s="309">
        <f>IF(AND(Projects!$G$7="Yes",Projects!$F$7="Yes",75&gt;=Projects!$C$7,75&lt;Projects!$C$7+Projects!$D$7),Projects!$B$7*(1-SUMPRODUCT((Curves!$B$3:$AO$3)*(COLUMN(Curves!$B$3:$AO$3)-COLUMN(Curves!$B$3)+1&lt;=75-Projects!$C$7+1))),0)</f>
        <v/>
      </c>
      <c r="BZ10" s="309">
        <f>IF(AND(Projects!$G$7="Yes",Projects!$F$7="Yes",76&gt;=Projects!$C$7,76&lt;Projects!$C$7+Projects!$D$7),Projects!$B$7*(1-SUMPRODUCT((Curves!$B$3:$AO$3)*(COLUMN(Curves!$B$3:$AO$3)-COLUMN(Curves!$B$3)+1&lt;=76-Projects!$C$7+1))),0)</f>
        <v/>
      </c>
      <c r="CA10" s="309">
        <f>IF(AND(Projects!$G$7="Yes",Projects!$F$7="Yes",77&gt;=Projects!$C$7,77&lt;Projects!$C$7+Projects!$D$7),Projects!$B$7*(1-SUMPRODUCT((Curves!$B$3:$AO$3)*(COLUMN(Curves!$B$3:$AO$3)-COLUMN(Curves!$B$3)+1&lt;=77-Projects!$C$7+1))),0)</f>
        <v/>
      </c>
      <c r="CB10" s="309">
        <f>IF(AND(Projects!$G$7="Yes",Projects!$F$7="Yes",78&gt;=Projects!$C$7,78&lt;Projects!$C$7+Projects!$D$7),Projects!$B$7*(1-SUMPRODUCT((Curves!$B$3:$AO$3)*(COLUMN(Curves!$B$3:$AO$3)-COLUMN(Curves!$B$3)+1&lt;=78-Projects!$C$7+1))),0)</f>
        <v/>
      </c>
      <c r="CC10" s="309">
        <f>IF(AND(Projects!$G$7="Yes",Projects!$F$7="Yes",79&gt;=Projects!$C$7,79&lt;Projects!$C$7+Projects!$D$7),Projects!$B$7*(1-SUMPRODUCT((Curves!$B$3:$AO$3)*(COLUMN(Curves!$B$3:$AO$3)-COLUMN(Curves!$B$3)+1&lt;=79-Projects!$C$7+1))),0)</f>
        <v/>
      </c>
      <c r="CD10" s="309">
        <f>IF(AND(Projects!$G$7="Yes",Projects!$F$7="Yes",80&gt;=Projects!$C$7,80&lt;Projects!$C$7+Projects!$D$7),Projects!$B$7*(1-SUMPRODUCT((Curves!$B$3:$AO$3)*(COLUMN(Curves!$B$3:$AO$3)-COLUMN(Curves!$B$3)+1&lt;=80-Projects!$C$7+1))),0)</f>
        <v/>
      </c>
      <c r="CE10" s="309">
        <f>IF(AND(Projects!$G$7="Yes",Projects!$F$7="Yes",81&gt;=Projects!$C$7,81&lt;Projects!$C$7+Projects!$D$7),Projects!$B$7*(1-SUMPRODUCT((Curves!$B$3:$AO$3)*(COLUMN(Curves!$B$3:$AO$3)-COLUMN(Curves!$B$3)+1&lt;=81-Projects!$C$7+1))),0)</f>
        <v/>
      </c>
      <c r="CF10" s="309">
        <f>IF(AND(Projects!$G$7="Yes",Projects!$F$7="Yes",82&gt;=Projects!$C$7,82&lt;Projects!$C$7+Projects!$D$7),Projects!$B$7*(1-SUMPRODUCT((Curves!$B$3:$AO$3)*(COLUMN(Curves!$B$3:$AO$3)-COLUMN(Curves!$B$3)+1&lt;=82-Projects!$C$7+1))),0)</f>
        <v/>
      </c>
      <c r="CG10" s="309">
        <f>IF(AND(Projects!$G$7="Yes",Projects!$F$7="Yes",83&gt;=Projects!$C$7,83&lt;Projects!$C$7+Projects!$D$7),Projects!$B$7*(1-SUMPRODUCT((Curves!$B$3:$AO$3)*(COLUMN(Curves!$B$3:$AO$3)-COLUMN(Curves!$B$3)+1&lt;=83-Projects!$C$7+1))),0)</f>
        <v/>
      </c>
      <c r="CH10" s="309">
        <f>IF(AND(Projects!$G$7="Yes",Projects!$F$7="Yes",84&gt;=Projects!$C$7,84&lt;Projects!$C$7+Projects!$D$7),Projects!$B$7*(1-SUMPRODUCT((Curves!$B$3:$AO$3)*(COLUMN(Curves!$B$3:$AO$3)-COLUMN(Curves!$B$3)+1&lt;=84-Projects!$C$7+1))),0)</f>
        <v/>
      </c>
    </row>
    <row r="11" ht="15" customHeight="1" s="202">
      <c r="A11" s="302" t="inlineStr">
        <is>
          <t>Lexington</t>
        </is>
      </c>
      <c r="C11" s="309">
        <f>IF(AND(Projects!$G$8="Yes",Projects!$F$8="Yes",1&gt;=Projects!$C$8,1&lt;Projects!$C$8+Projects!$D$8),Projects!$B$8*(1-SUMPRODUCT((Curves!$B$4:$AO$4)*(COLUMN(Curves!$B$4:$AO$4)-COLUMN(Curves!$B$4)+1&lt;=1-Projects!$C$8+1))),0)</f>
        <v/>
      </c>
      <c r="D11" s="309">
        <f>IF(AND(Projects!$G$8="Yes",Projects!$F$8="Yes",2&gt;=Projects!$C$8,2&lt;Projects!$C$8+Projects!$D$8),Projects!$B$8*(1-SUMPRODUCT((Curves!$B$4:$AO$4)*(COLUMN(Curves!$B$4:$AO$4)-COLUMN(Curves!$B$4)+1&lt;=2-Projects!$C$8+1))),0)</f>
        <v/>
      </c>
      <c r="E11" s="309">
        <f>IF(AND(Projects!$G$8="Yes",Projects!$F$8="Yes",3&gt;=Projects!$C$8,3&lt;Projects!$C$8+Projects!$D$8),Projects!$B$8*(1-SUMPRODUCT((Curves!$B$4:$AO$4)*(COLUMN(Curves!$B$4:$AO$4)-COLUMN(Curves!$B$4)+1&lt;=3-Projects!$C$8+1))),0)</f>
        <v/>
      </c>
      <c r="F11" s="309">
        <f>IF(AND(Projects!$G$8="Yes",Projects!$F$8="Yes",4&gt;=Projects!$C$8,4&lt;Projects!$C$8+Projects!$D$8),Projects!$B$8*(1-SUMPRODUCT((Curves!$B$4:$AO$4)*(COLUMN(Curves!$B$4:$AO$4)-COLUMN(Curves!$B$4)+1&lt;=4-Projects!$C$8+1))),0)</f>
        <v/>
      </c>
      <c r="G11" s="309">
        <f>IF(AND(Projects!$G$8="Yes",Projects!$F$8="Yes",5&gt;=Projects!$C$8,5&lt;Projects!$C$8+Projects!$D$8),Projects!$B$8*(1-SUMPRODUCT((Curves!$B$4:$AO$4)*(COLUMN(Curves!$B$4:$AO$4)-COLUMN(Curves!$B$4)+1&lt;=5-Projects!$C$8+1))),0)</f>
        <v/>
      </c>
      <c r="H11" s="309">
        <f>IF(AND(Projects!$G$8="Yes",Projects!$F$8="Yes",6&gt;=Projects!$C$8,6&lt;Projects!$C$8+Projects!$D$8),Projects!$B$8*(1-SUMPRODUCT((Curves!$B$4:$AO$4)*(COLUMN(Curves!$B$4:$AO$4)-COLUMN(Curves!$B$4)+1&lt;=6-Projects!$C$8+1))),0)</f>
        <v/>
      </c>
      <c r="I11" s="309">
        <f>IF(AND(Projects!$G$8="Yes",Projects!$F$8="Yes",7&gt;=Projects!$C$8,7&lt;Projects!$C$8+Projects!$D$8),Projects!$B$8*(1-SUMPRODUCT((Curves!$B$4:$AO$4)*(COLUMN(Curves!$B$4:$AO$4)-COLUMN(Curves!$B$4)+1&lt;=7-Projects!$C$8+1))),0)</f>
        <v/>
      </c>
      <c r="J11" s="309">
        <f>IF(AND(Projects!$G$8="Yes",Projects!$F$8="Yes",8&gt;=Projects!$C$8,8&lt;Projects!$C$8+Projects!$D$8),Projects!$B$8*(1-SUMPRODUCT((Curves!$B$4:$AO$4)*(COLUMN(Curves!$B$4:$AO$4)-COLUMN(Curves!$B$4)+1&lt;=8-Projects!$C$8+1))),0)</f>
        <v/>
      </c>
      <c r="K11" s="309">
        <f>IF(AND(Projects!$G$8="Yes",Projects!$F$8="Yes",9&gt;=Projects!$C$8,9&lt;Projects!$C$8+Projects!$D$8),Projects!$B$8*(1-SUMPRODUCT((Curves!$B$4:$AO$4)*(COLUMN(Curves!$B$4:$AO$4)-COLUMN(Curves!$B$4)+1&lt;=9-Projects!$C$8+1))),0)</f>
        <v/>
      </c>
      <c r="L11" s="309">
        <f>IF(AND(Projects!$G$8="Yes",Projects!$F$8="Yes",10&gt;=Projects!$C$8,10&lt;Projects!$C$8+Projects!$D$8),Projects!$B$8*(1-SUMPRODUCT((Curves!$B$4:$AO$4)*(COLUMN(Curves!$B$4:$AO$4)-COLUMN(Curves!$B$4)+1&lt;=10-Projects!$C$8+1))),0)</f>
        <v/>
      </c>
      <c r="M11" s="309">
        <f>IF(AND(Projects!$G$8="Yes",Projects!$F$8="Yes",11&gt;=Projects!$C$8,11&lt;Projects!$C$8+Projects!$D$8),Projects!$B$8*(1-SUMPRODUCT((Curves!$B$4:$AO$4)*(COLUMN(Curves!$B$4:$AO$4)-COLUMN(Curves!$B$4)+1&lt;=11-Projects!$C$8+1))),0)</f>
        <v/>
      </c>
      <c r="N11" s="309">
        <f>IF(AND(Projects!$G$8="Yes",Projects!$F$8="Yes",12&gt;=Projects!$C$8,12&lt;Projects!$C$8+Projects!$D$8),Projects!$B$8*(1-SUMPRODUCT((Curves!$B$4:$AO$4)*(COLUMN(Curves!$B$4:$AO$4)-COLUMN(Curves!$B$4)+1&lt;=12-Projects!$C$8+1))),0)</f>
        <v/>
      </c>
      <c r="O11" s="309">
        <f>IF(AND(Projects!$G$8="Yes",Projects!$F$8="Yes",13&gt;=Projects!$C$8,13&lt;Projects!$C$8+Projects!$D$8),Projects!$B$8*(1-SUMPRODUCT((Curves!$B$4:$AO$4)*(COLUMN(Curves!$B$4:$AO$4)-COLUMN(Curves!$B$4)+1&lt;=13-Projects!$C$8+1))),0)</f>
        <v/>
      </c>
      <c r="P11" s="309">
        <f>IF(AND(Projects!$G$8="Yes",Projects!$F$8="Yes",14&gt;=Projects!$C$8,14&lt;Projects!$C$8+Projects!$D$8),Projects!$B$8*(1-SUMPRODUCT((Curves!$B$4:$AO$4)*(COLUMN(Curves!$B$4:$AO$4)-COLUMN(Curves!$B$4)+1&lt;=14-Projects!$C$8+1))),0)</f>
        <v/>
      </c>
      <c r="Q11" s="309">
        <f>IF(AND(Projects!$G$8="Yes",Projects!$F$8="Yes",15&gt;=Projects!$C$8,15&lt;Projects!$C$8+Projects!$D$8),Projects!$B$8*(1-SUMPRODUCT((Curves!$B$4:$AO$4)*(COLUMN(Curves!$B$4:$AO$4)-COLUMN(Curves!$B$4)+1&lt;=15-Projects!$C$8+1))),0)</f>
        <v/>
      </c>
      <c r="R11" s="309">
        <f>IF(AND(Projects!$G$8="Yes",Projects!$F$8="Yes",16&gt;=Projects!$C$8,16&lt;Projects!$C$8+Projects!$D$8),Projects!$B$8*(1-SUMPRODUCT((Curves!$B$4:$AO$4)*(COLUMN(Curves!$B$4:$AO$4)-COLUMN(Curves!$B$4)+1&lt;=16-Projects!$C$8+1))),0)</f>
        <v/>
      </c>
      <c r="S11" s="309">
        <f>IF(AND(Projects!$G$8="Yes",Projects!$F$8="Yes",17&gt;=Projects!$C$8,17&lt;Projects!$C$8+Projects!$D$8),Projects!$B$8*(1-SUMPRODUCT((Curves!$B$4:$AO$4)*(COLUMN(Curves!$B$4:$AO$4)-COLUMN(Curves!$B$4)+1&lt;=17-Projects!$C$8+1))),0)</f>
        <v/>
      </c>
      <c r="T11" s="309">
        <f>IF(AND(Projects!$G$8="Yes",Projects!$F$8="Yes",18&gt;=Projects!$C$8,18&lt;Projects!$C$8+Projects!$D$8),Projects!$B$8*(1-SUMPRODUCT((Curves!$B$4:$AO$4)*(COLUMN(Curves!$B$4:$AO$4)-COLUMN(Curves!$B$4)+1&lt;=18-Projects!$C$8+1))),0)</f>
        <v/>
      </c>
      <c r="U11" s="309">
        <f>IF(AND(Projects!$G$8="Yes",Projects!$F$8="Yes",19&gt;=Projects!$C$8,19&lt;Projects!$C$8+Projects!$D$8),Projects!$B$8*(1-SUMPRODUCT((Curves!$B$4:$AO$4)*(COLUMN(Curves!$B$4:$AO$4)-COLUMN(Curves!$B$4)+1&lt;=19-Projects!$C$8+1))),0)</f>
        <v/>
      </c>
      <c r="V11" s="309">
        <f>IF(AND(Projects!$G$8="Yes",Projects!$F$8="Yes",20&gt;=Projects!$C$8,20&lt;Projects!$C$8+Projects!$D$8),Projects!$B$8*(1-SUMPRODUCT((Curves!$B$4:$AO$4)*(COLUMN(Curves!$B$4:$AO$4)-COLUMN(Curves!$B$4)+1&lt;=20-Projects!$C$8+1))),0)</f>
        <v/>
      </c>
      <c r="W11" s="309">
        <f>IF(AND(Projects!$G$8="Yes",Projects!$F$8="Yes",21&gt;=Projects!$C$8,21&lt;Projects!$C$8+Projects!$D$8),Projects!$B$8*(1-SUMPRODUCT((Curves!$B$4:$AO$4)*(COLUMN(Curves!$B$4:$AO$4)-COLUMN(Curves!$B$4)+1&lt;=21-Projects!$C$8+1))),0)</f>
        <v/>
      </c>
      <c r="X11" s="309">
        <f>IF(AND(Projects!$G$8="Yes",Projects!$F$8="Yes",22&gt;=Projects!$C$8,22&lt;Projects!$C$8+Projects!$D$8),Projects!$B$8*(1-SUMPRODUCT((Curves!$B$4:$AO$4)*(COLUMN(Curves!$B$4:$AO$4)-COLUMN(Curves!$B$4)+1&lt;=22-Projects!$C$8+1))),0)</f>
        <v/>
      </c>
      <c r="Y11" s="309">
        <f>IF(AND(Projects!$G$8="Yes",Projects!$F$8="Yes",23&gt;=Projects!$C$8,23&lt;Projects!$C$8+Projects!$D$8),Projects!$B$8*(1-SUMPRODUCT((Curves!$B$4:$AO$4)*(COLUMN(Curves!$B$4:$AO$4)-COLUMN(Curves!$B$4)+1&lt;=23-Projects!$C$8+1))),0)</f>
        <v/>
      </c>
      <c r="Z11" s="309">
        <f>IF(AND(Projects!$G$8="Yes",Projects!$F$8="Yes",24&gt;=Projects!$C$8,24&lt;Projects!$C$8+Projects!$D$8),Projects!$B$8*(1-SUMPRODUCT((Curves!$B$4:$AO$4)*(COLUMN(Curves!$B$4:$AO$4)-COLUMN(Curves!$B$4)+1&lt;=24-Projects!$C$8+1))),0)</f>
        <v/>
      </c>
      <c r="AA11" s="309">
        <f>IF(AND(Projects!$G$8="Yes",Projects!$F$8="Yes",25&gt;=Projects!$C$8,25&lt;Projects!$C$8+Projects!$D$8),Projects!$B$8*(1-SUMPRODUCT((Curves!$B$4:$AO$4)*(COLUMN(Curves!$B$4:$AO$4)-COLUMN(Curves!$B$4)+1&lt;=25-Projects!$C$8+1))),0)</f>
        <v/>
      </c>
      <c r="AB11" s="309">
        <f>IF(AND(Projects!$G$8="Yes",Projects!$F$8="Yes",26&gt;=Projects!$C$8,26&lt;Projects!$C$8+Projects!$D$8),Projects!$B$8*(1-SUMPRODUCT((Curves!$B$4:$AO$4)*(COLUMN(Curves!$B$4:$AO$4)-COLUMN(Curves!$B$4)+1&lt;=26-Projects!$C$8+1))),0)</f>
        <v/>
      </c>
      <c r="AC11" s="309">
        <f>IF(AND(Projects!$G$8="Yes",Projects!$F$8="Yes",27&gt;=Projects!$C$8,27&lt;Projects!$C$8+Projects!$D$8),Projects!$B$8*(1-SUMPRODUCT((Curves!$B$4:$AO$4)*(COLUMN(Curves!$B$4:$AO$4)-COLUMN(Curves!$B$4)+1&lt;=27-Projects!$C$8+1))),0)</f>
        <v/>
      </c>
      <c r="AD11" s="309">
        <f>IF(AND(Projects!$G$8="Yes",Projects!$F$8="Yes",28&gt;=Projects!$C$8,28&lt;Projects!$C$8+Projects!$D$8),Projects!$B$8*(1-SUMPRODUCT((Curves!$B$4:$AO$4)*(COLUMN(Curves!$B$4:$AO$4)-COLUMN(Curves!$B$4)+1&lt;=28-Projects!$C$8+1))),0)</f>
        <v/>
      </c>
      <c r="AE11" s="309">
        <f>IF(AND(Projects!$G$8="Yes",Projects!$F$8="Yes",29&gt;=Projects!$C$8,29&lt;Projects!$C$8+Projects!$D$8),Projects!$B$8*(1-SUMPRODUCT((Curves!$B$4:$AO$4)*(COLUMN(Curves!$B$4:$AO$4)-COLUMN(Curves!$B$4)+1&lt;=29-Projects!$C$8+1))),0)</f>
        <v/>
      </c>
      <c r="AF11" s="309">
        <f>IF(AND(Projects!$G$8="Yes",Projects!$F$8="Yes",30&gt;=Projects!$C$8,30&lt;Projects!$C$8+Projects!$D$8),Projects!$B$8*(1-SUMPRODUCT((Curves!$B$4:$AO$4)*(COLUMN(Curves!$B$4:$AO$4)-COLUMN(Curves!$B$4)+1&lt;=30-Projects!$C$8+1))),0)</f>
        <v/>
      </c>
      <c r="AG11" s="309">
        <f>IF(AND(Projects!$G$8="Yes",Projects!$F$8="Yes",31&gt;=Projects!$C$8,31&lt;Projects!$C$8+Projects!$D$8),Projects!$B$8*(1-SUMPRODUCT((Curves!$B$4:$AO$4)*(COLUMN(Curves!$B$4:$AO$4)-COLUMN(Curves!$B$4)+1&lt;=31-Projects!$C$8+1))),0)</f>
        <v/>
      </c>
      <c r="AH11" s="309">
        <f>IF(AND(Projects!$G$8="Yes",Projects!$F$8="Yes",32&gt;=Projects!$C$8,32&lt;Projects!$C$8+Projects!$D$8),Projects!$B$8*(1-SUMPRODUCT((Curves!$B$4:$AO$4)*(COLUMN(Curves!$B$4:$AO$4)-COLUMN(Curves!$B$4)+1&lt;=32-Projects!$C$8+1))),0)</f>
        <v/>
      </c>
      <c r="AI11" s="309">
        <f>IF(AND(Projects!$G$8="Yes",Projects!$F$8="Yes",33&gt;=Projects!$C$8,33&lt;Projects!$C$8+Projects!$D$8),Projects!$B$8*(1-SUMPRODUCT((Curves!$B$4:$AO$4)*(COLUMN(Curves!$B$4:$AO$4)-COLUMN(Curves!$B$4)+1&lt;=33-Projects!$C$8+1))),0)</f>
        <v/>
      </c>
      <c r="AJ11" s="309">
        <f>IF(AND(Projects!$G$8="Yes",Projects!$F$8="Yes",34&gt;=Projects!$C$8,34&lt;Projects!$C$8+Projects!$D$8),Projects!$B$8*(1-SUMPRODUCT((Curves!$B$4:$AO$4)*(COLUMN(Curves!$B$4:$AO$4)-COLUMN(Curves!$B$4)+1&lt;=34-Projects!$C$8+1))),0)</f>
        <v/>
      </c>
      <c r="AK11" s="309">
        <f>IF(AND(Projects!$G$8="Yes",Projects!$F$8="Yes",35&gt;=Projects!$C$8,35&lt;Projects!$C$8+Projects!$D$8),Projects!$B$8*(1-SUMPRODUCT((Curves!$B$4:$AO$4)*(COLUMN(Curves!$B$4:$AO$4)-COLUMN(Curves!$B$4)+1&lt;=35-Projects!$C$8+1))),0)</f>
        <v/>
      </c>
      <c r="AL11" s="309">
        <f>IF(AND(Projects!$G$8="Yes",Projects!$F$8="Yes",36&gt;=Projects!$C$8,36&lt;Projects!$C$8+Projects!$D$8),Projects!$B$8*(1-SUMPRODUCT((Curves!$B$4:$AO$4)*(COLUMN(Curves!$B$4:$AO$4)-COLUMN(Curves!$B$4)+1&lt;=36-Projects!$C$8+1))),0)</f>
        <v/>
      </c>
      <c r="AM11" s="309">
        <f>IF(AND(Projects!$G$8="Yes",Projects!$F$8="Yes",37&gt;=Projects!$C$8,37&lt;Projects!$C$8+Projects!$D$8),Projects!$B$8*(1-SUMPRODUCT((Curves!$B$4:$AO$4)*(COLUMN(Curves!$B$4:$AO$4)-COLUMN(Curves!$B$4)+1&lt;=37-Projects!$C$8+1))),0)</f>
        <v/>
      </c>
      <c r="AN11" s="309">
        <f>IF(AND(Projects!$G$8="Yes",Projects!$F$8="Yes",38&gt;=Projects!$C$8,38&lt;Projects!$C$8+Projects!$D$8),Projects!$B$8*(1-SUMPRODUCT((Curves!$B$4:$AO$4)*(COLUMN(Curves!$B$4:$AO$4)-COLUMN(Curves!$B$4)+1&lt;=38-Projects!$C$8+1))),0)</f>
        <v/>
      </c>
      <c r="AO11" s="309">
        <f>IF(AND(Projects!$G$8="Yes",Projects!$F$8="Yes",39&gt;=Projects!$C$8,39&lt;Projects!$C$8+Projects!$D$8),Projects!$B$8*(1-SUMPRODUCT((Curves!$B$4:$AO$4)*(COLUMN(Curves!$B$4:$AO$4)-COLUMN(Curves!$B$4)+1&lt;=39-Projects!$C$8+1))),0)</f>
        <v/>
      </c>
      <c r="AP11" s="309">
        <f>IF(AND(Projects!$G$8="Yes",Projects!$F$8="Yes",40&gt;=Projects!$C$8,40&lt;Projects!$C$8+Projects!$D$8),Projects!$B$8*(1-SUMPRODUCT((Curves!$B$4:$AO$4)*(COLUMN(Curves!$B$4:$AO$4)-COLUMN(Curves!$B$4)+1&lt;=40-Projects!$C$8+1))),0)</f>
        <v/>
      </c>
      <c r="AQ11" s="309">
        <f>IF(AND(Projects!$G$8="Yes",Projects!$F$8="Yes",41&gt;=Projects!$C$8,41&lt;Projects!$C$8+Projects!$D$8),Projects!$B$8*(1-SUMPRODUCT((Curves!$B$4:$AO$4)*(COLUMN(Curves!$B$4:$AO$4)-COLUMN(Curves!$B$4)+1&lt;=41-Projects!$C$8+1))),0)</f>
        <v/>
      </c>
      <c r="AR11" s="309">
        <f>IF(AND(Projects!$G$8="Yes",Projects!$F$8="Yes",42&gt;=Projects!$C$8,42&lt;Projects!$C$8+Projects!$D$8),Projects!$B$8*(1-SUMPRODUCT((Curves!$B$4:$AO$4)*(COLUMN(Curves!$B$4:$AO$4)-COLUMN(Curves!$B$4)+1&lt;=42-Projects!$C$8+1))),0)</f>
        <v/>
      </c>
      <c r="AS11" s="309">
        <f>IF(AND(Projects!$G$8="Yes",Projects!$F$8="Yes",43&gt;=Projects!$C$8,43&lt;Projects!$C$8+Projects!$D$8),Projects!$B$8*(1-SUMPRODUCT((Curves!$B$4:$AO$4)*(COLUMN(Curves!$B$4:$AO$4)-COLUMN(Curves!$B$4)+1&lt;=43-Projects!$C$8+1))),0)</f>
        <v/>
      </c>
      <c r="AT11" s="309">
        <f>IF(AND(Projects!$G$8="Yes",Projects!$F$8="Yes",44&gt;=Projects!$C$8,44&lt;Projects!$C$8+Projects!$D$8),Projects!$B$8*(1-SUMPRODUCT((Curves!$B$4:$AO$4)*(COLUMN(Curves!$B$4:$AO$4)-COLUMN(Curves!$B$4)+1&lt;=44-Projects!$C$8+1))),0)</f>
        <v/>
      </c>
      <c r="AU11" s="309">
        <f>IF(AND(Projects!$G$8="Yes",Projects!$F$8="Yes",45&gt;=Projects!$C$8,45&lt;Projects!$C$8+Projects!$D$8),Projects!$B$8*(1-SUMPRODUCT((Curves!$B$4:$AO$4)*(COLUMN(Curves!$B$4:$AO$4)-COLUMN(Curves!$B$4)+1&lt;=45-Projects!$C$8+1))),0)</f>
        <v/>
      </c>
      <c r="AV11" s="309">
        <f>IF(AND(Projects!$G$8="Yes",Projects!$F$8="Yes",46&gt;=Projects!$C$8,46&lt;Projects!$C$8+Projects!$D$8),Projects!$B$8*(1-SUMPRODUCT((Curves!$B$4:$AO$4)*(COLUMN(Curves!$B$4:$AO$4)-COLUMN(Curves!$B$4)+1&lt;=46-Projects!$C$8+1))),0)</f>
        <v/>
      </c>
      <c r="AW11" s="309">
        <f>IF(AND(Projects!$G$8="Yes",Projects!$F$8="Yes",47&gt;=Projects!$C$8,47&lt;Projects!$C$8+Projects!$D$8),Projects!$B$8*(1-SUMPRODUCT((Curves!$B$4:$AO$4)*(COLUMN(Curves!$B$4:$AO$4)-COLUMN(Curves!$B$4)+1&lt;=47-Projects!$C$8+1))),0)</f>
        <v/>
      </c>
      <c r="AX11" s="309">
        <f>IF(AND(Projects!$G$8="Yes",Projects!$F$8="Yes",48&gt;=Projects!$C$8,48&lt;Projects!$C$8+Projects!$D$8),Projects!$B$8*(1-SUMPRODUCT((Curves!$B$4:$AO$4)*(COLUMN(Curves!$B$4:$AO$4)-COLUMN(Curves!$B$4)+1&lt;=48-Projects!$C$8+1))),0)</f>
        <v/>
      </c>
      <c r="AY11" s="309">
        <f>IF(AND(Projects!$G$8="Yes",Projects!$F$8="Yes",49&gt;=Projects!$C$8,49&lt;Projects!$C$8+Projects!$D$8),Projects!$B$8*(1-SUMPRODUCT((Curves!$B$4:$AO$4)*(COLUMN(Curves!$B$4:$AO$4)-COLUMN(Curves!$B$4)+1&lt;=49-Projects!$C$8+1))),0)</f>
        <v/>
      </c>
      <c r="AZ11" s="309">
        <f>IF(AND(Projects!$G$8="Yes",Projects!$F$8="Yes",50&gt;=Projects!$C$8,50&lt;Projects!$C$8+Projects!$D$8),Projects!$B$8*(1-SUMPRODUCT((Curves!$B$4:$AO$4)*(COLUMN(Curves!$B$4:$AO$4)-COLUMN(Curves!$B$4)+1&lt;=50-Projects!$C$8+1))),0)</f>
        <v/>
      </c>
      <c r="BA11" s="309">
        <f>IF(AND(Projects!$G$8="Yes",Projects!$F$8="Yes",51&gt;=Projects!$C$8,51&lt;Projects!$C$8+Projects!$D$8),Projects!$B$8*(1-SUMPRODUCT((Curves!$B$4:$AO$4)*(COLUMN(Curves!$B$4:$AO$4)-COLUMN(Curves!$B$4)+1&lt;=51-Projects!$C$8+1))),0)</f>
        <v/>
      </c>
      <c r="BB11" s="309">
        <f>IF(AND(Projects!$G$8="Yes",Projects!$F$8="Yes",52&gt;=Projects!$C$8,52&lt;Projects!$C$8+Projects!$D$8),Projects!$B$8*(1-SUMPRODUCT((Curves!$B$4:$AO$4)*(COLUMN(Curves!$B$4:$AO$4)-COLUMN(Curves!$B$4)+1&lt;=52-Projects!$C$8+1))),0)</f>
        <v/>
      </c>
      <c r="BC11" s="309">
        <f>IF(AND(Projects!$G$8="Yes",Projects!$F$8="Yes",53&gt;=Projects!$C$8,53&lt;Projects!$C$8+Projects!$D$8),Projects!$B$8*(1-SUMPRODUCT((Curves!$B$4:$AO$4)*(COLUMN(Curves!$B$4:$AO$4)-COLUMN(Curves!$B$4)+1&lt;=53-Projects!$C$8+1))),0)</f>
        <v/>
      </c>
      <c r="BD11" s="309">
        <f>IF(AND(Projects!$G$8="Yes",Projects!$F$8="Yes",54&gt;=Projects!$C$8,54&lt;Projects!$C$8+Projects!$D$8),Projects!$B$8*(1-SUMPRODUCT((Curves!$B$4:$AO$4)*(COLUMN(Curves!$B$4:$AO$4)-COLUMN(Curves!$B$4)+1&lt;=54-Projects!$C$8+1))),0)</f>
        <v/>
      </c>
      <c r="BE11" s="309">
        <f>IF(AND(Projects!$G$8="Yes",Projects!$F$8="Yes",55&gt;=Projects!$C$8,55&lt;Projects!$C$8+Projects!$D$8),Projects!$B$8*(1-SUMPRODUCT((Curves!$B$4:$AO$4)*(COLUMN(Curves!$B$4:$AO$4)-COLUMN(Curves!$B$4)+1&lt;=55-Projects!$C$8+1))),0)</f>
        <v/>
      </c>
      <c r="BF11" s="309">
        <f>IF(AND(Projects!$G$8="Yes",Projects!$F$8="Yes",56&gt;=Projects!$C$8,56&lt;Projects!$C$8+Projects!$D$8),Projects!$B$8*(1-SUMPRODUCT((Curves!$B$4:$AO$4)*(COLUMN(Curves!$B$4:$AO$4)-COLUMN(Curves!$B$4)+1&lt;=56-Projects!$C$8+1))),0)</f>
        <v/>
      </c>
      <c r="BG11" s="309">
        <f>IF(AND(Projects!$G$8="Yes",Projects!$F$8="Yes",57&gt;=Projects!$C$8,57&lt;Projects!$C$8+Projects!$D$8),Projects!$B$8*(1-SUMPRODUCT((Curves!$B$4:$AO$4)*(COLUMN(Curves!$B$4:$AO$4)-COLUMN(Curves!$B$4)+1&lt;=57-Projects!$C$8+1))),0)</f>
        <v/>
      </c>
      <c r="BH11" s="309">
        <f>IF(AND(Projects!$G$8="Yes",Projects!$F$8="Yes",58&gt;=Projects!$C$8,58&lt;Projects!$C$8+Projects!$D$8),Projects!$B$8*(1-SUMPRODUCT((Curves!$B$4:$AO$4)*(COLUMN(Curves!$B$4:$AO$4)-COLUMN(Curves!$B$4)+1&lt;=58-Projects!$C$8+1))),0)</f>
        <v/>
      </c>
      <c r="BI11" s="309">
        <f>IF(AND(Projects!$G$8="Yes",Projects!$F$8="Yes",59&gt;=Projects!$C$8,59&lt;Projects!$C$8+Projects!$D$8),Projects!$B$8*(1-SUMPRODUCT((Curves!$B$4:$AO$4)*(COLUMN(Curves!$B$4:$AO$4)-COLUMN(Curves!$B$4)+1&lt;=59-Projects!$C$8+1))),0)</f>
        <v/>
      </c>
      <c r="BJ11" s="309">
        <f>IF(AND(Projects!$G$8="Yes",Projects!$F$8="Yes",60&gt;=Projects!$C$8,60&lt;Projects!$C$8+Projects!$D$8),Projects!$B$8*(1-SUMPRODUCT((Curves!$B$4:$AO$4)*(COLUMN(Curves!$B$4:$AO$4)-COLUMN(Curves!$B$4)+1&lt;=60-Projects!$C$8+1))),0)</f>
        <v/>
      </c>
      <c r="BK11" s="309">
        <f>IF(AND(Projects!$G$8="Yes",Projects!$F$8="Yes",61&gt;=Projects!$C$8,61&lt;Projects!$C$8+Projects!$D$8),Projects!$B$8*(1-SUMPRODUCT((Curves!$B$4:$AO$4)*(COLUMN(Curves!$B$4:$AO$4)-COLUMN(Curves!$B$4)+1&lt;=61-Projects!$C$8+1))),0)</f>
        <v/>
      </c>
      <c r="BL11" s="309">
        <f>IF(AND(Projects!$G$8="Yes",Projects!$F$8="Yes",62&gt;=Projects!$C$8,62&lt;Projects!$C$8+Projects!$D$8),Projects!$B$8*(1-SUMPRODUCT((Curves!$B$4:$AO$4)*(COLUMN(Curves!$B$4:$AO$4)-COLUMN(Curves!$B$4)+1&lt;=62-Projects!$C$8+1))),0)</f>
        <v/>
      </c>
      <c r="BM11" s="309">
        <f>IF(AND(Projects!$G$8="Yes",Projects!$F$8="Yes",63&gt;=Projects!$C$8,63&lt;Projects!$C$8+Projects!$D$8),Projects!$B$8*(1-SUMPRODUCT((Curves!$B$4:$AO$4)*(COLUMN(Curves!$B$4:$AO$4)-COLUMN(Curves!$B$4)+1&lt;=63-Projects!$C$8+1))),0)</f>
        <v/>
      </c>
      <c r="BN11" s="309">
        <f>IF(AND(Projects!$G$8="Yes",Projects!$F$8="Yes",64&gt;=Projects!$C$8,64&lt;Projects!$C$8+Projects!$D$8),Projects!$B$8*(1-SUMPRODUCT((Curves!$B$4:$AO$4)*(COLUMN(Curves!$B$4:$AO$4)-COLUMN(Curves!$B$4)+1&lt;=64-Projects!$C$8+1))),0)</f>
        <v/>
      </c>
      <c r="BO11" s="309">
        <f>IF(AND(Projects!$G$8="Yes",Projects!$F$8="Yes",65&gt;=Projects!$C$8,65&lt;Projects!$C$8+Projects!$D$8),Projects!$B$8*(1-SUMPRODUCT((Curves!$B$4:$AO$4)*(COLUMN(Curves!$B$4:$AO$4)-COLUMN(Curves!$B$4)+1&lt;=65-Projects!$C$8+1))),0)</f>
        <v/>
      </c>
      <c r="BP11" s="309">
        <f>IF(AND(Projects!$G$8="Yes",Projects!$F$8="Yes",66&gt;=Projects!$C$8,66&lt;Projects!$C$8+Projects!$D$8),Projects!$B$8*(1-SUMPRODUCT((Curves!$B$4:$AO$4)*(COLUMN(Curves!$B$4:$AO$4)-COLUMN(Curves!$B$4)+1&lt;=66-Projects!$C$8+1))),0)</f>
        <v/>
      </c>
      <c r="BQ11" s="309">
        <f>IF(AND(Projects!$G$8="Yes",Projects!$F$8="Yes",67&gt;=Projects!$C$8,67&lt;Projects!$C$8+Projects!$D$8),Projects!$B$8*(1-SUMPRODUCT((Curves!$B$4:$AO$4)*(COLUMN(Curves!$B$4:$AO$4)-COLUMN(Curves!$B$4)+1&lt;=67-Projects!$C$8+1))),0)</f>
        <v/>
      </c>
      <c r="BR11" s="309">
        <f>IF(AND(Projects!$G$8="Yes",Projects!$F$8="Yes",68&gt;=Projects!$C$8,68&lt;Projects!$C$8+Projects!$D$8),Projects!$B$8*(1-SUMPRODUCT((Curves!$B$4:$AO$4)*(COLUMN(Curves!$B$4:$AO$4)-COLUMN(Curves!$B$4)+1&lt;=68-Projects!$C$8+1))),0)</f>
        <v/>
      </c>
      <c r="BS11" s="309">
        <f>IF(AND(Projects!$G$8="Yes",Projects!$F$8="Yes",69&gt;=Projects!$C$8,69&lt;Projects!$C$8+Projects!$D$8),Projects!$B$8*(1-SUMPRODUCT((Curves!$B$4:$AO$4)*(COLUMN(Curves!$B$4:$AO$4)-COLUMN(Curves!$B$4)+1&lt;=69-Projects!$C$8+1))),0)</f>
        <v/>
      </c>
      <c r="BT11" s="309">
        <f>IF(AND(Projects!$G$8="Yes",Projects!$F$8="Yes",70&gt;=Projects!$C$8,70&lt;Projects!$C$8+Projects!$D$8),Projects!$B$8*(1-SUMPRODUCT((Curves!$B$4:$AO$4)*(COLUMN(Curves!$B$4:$AO$4)-COLUMN(Curves!$B$4)+1&lt;=70-Projects!$C$8+1))),0)</f>
        <v/>
      </c>
      <c r="BU11" s="309">
        <f>IF(AND(Projects!$G$8="Yes",Projects!$F$8="Yes",71&gt;=Projects!$C$8,71&lt;Projects!$C$8+Projects!$D$8),Projects!$B$8*(1-SUMPRODUCT((Curves!$B$4:$AO$4)*(COLUMN(Curves!$B$4:$AO$4)-COLUMN(Curves!$B$4)+1&lt;=71-Projects!$C$8+1))),0)</f>
        <v/>
      </c>
      <c r="BV11" s="309">
        <f>IF(AND(Projects!$G$8="Yes",Projects!$F$8="Yes",72&gt;=Projects!$C$8,72&lt;Projects!$C$8+Projects!$D$8),Projects!$B$8*(1-SUMPRODUCT((Curves!$B$4:$AO$4)*(COLUMN(Curves!$B$4:$AO$4)-COLUMN(Curves!$B$4)+1&lt;=72-Projects!$C$8+1))),0)</f>
        <v/>
      </c>
      <c r="BW11" s="309">
        <f>IF(AND(Projects!$G$8="Yes",Projects!$F$8="Yes",73&gt;=Projects!$C$8,73&lt;Projects!$C$8+Projects!$D$8),Projects!$B$8*(1-SUMPRODUCT((Curves!$B$4:$AO$4)*(COLUMN(Curves!$B$4:$AO$4)-COLUMN(Curves!$B$4)+1&lt;=73-Projects!$C$8+1))),0)</f>
        <v/>
      </c>
      <c r="BX11" s="309">
        <f>IF(AND(Projects!$G$8="Yes",Projects!$F$8="Yes",74&gt;=Projects!$C$8,74&lt;Projects!$C$8+Projects!$D$8),Projects!$B$8*(1-SUMPRODUCT((Curves!$B$4:$AO$4)*(COLUMN(Curves!$B$4:$AO$4)-COLUMN(Curves!$B$4)+1&lt;=74-Projects!$C$8+1))),0)</f>
        <v/>
      </c>
      <c r="BY11" s="309">
        <f>IF(AND(Projects!$G$8="Yes",Projects!$F$8="Yes",75&gt;=Projects!$C$8,75&lt;Projects!$C$8+Projects!$D$8),Projects!$B$8*(1-SUMPRODUCT((Curves!$B$4:$AO$4)*(COLUMN(Curves!$B$4:$AO$4)-COLUMN(Curves!$B$4)+1&lt;=75-Projects!$C$8+1))),0)</f>
        <v/>
      </c>
      <c r="BZ11" s="309">
        <f>IF(AND(Projects!$G$8="Yes",Projects!$F$8="Yes",76&gt;=Projects!$C$8,76&lt;Projects!$C$8+Projects!$D$8),Projects!$B$8*(1-SUMPRODUCT((Curves!$B$4:$AO$4)*(COLUMN(Curves!$B$4:$AO$4)-COLUMN(Curves!$B$4)+1&lt;=76-Projects!$C$8+1))),0)</f>
        <v/>
      </c>
      <c r="CA11" s="309">
        <f>IF(AND(Projects!$G$8="Yes",Projects!$F$8="Yes",77&gt;=Projects!$C$8,77&lt;Projects!$C$8+Projects!$D$8),Projects!$B$8*(1-SUMPRODUCT((Curves!$B$4:$AO$4)*(COLUMN(Curves!$B$4:$AO$4)-COLUMN(Curves!$B$4)+1&lt;=77-Projects!$C$8+1))),0)</f>
        <v/>
      </c>
      <c r="CB11" s="309">
        <f>IF(AND(Projects!$G$8="Yes",Projects!$F$8="Yes",78&gt;=Projects!$C$8,78&lt;Projects!$C$8+Projects!$D$8),Projects!$B$8*(1-SUMPRODUCT((Curves!$B$4:$AO$4)*(COLUMN(Curves!$B$4:$AO$4)-COLUMN(Curves!$B$4)+1&lt;=78-Projects!$C$8+1))),0)</f>
        <v/>
      </c>
      <c r="CC11" s="309">
        <f>IF(AND(Projects!$G$8="Yes",Projects!$F$8="Yes",79&gt;=Projects!$C$8,79&lt;Projects!$C$8+Projects!$D$8),Projects!$B$8*(1-SUMPRODUCT((Curves!$B$4:$AO$4)*(COLUMN(Curves!$B$4:$AO$4)-COLUMN(Curves!$B$4)+1&lt;=79-Projects!$C$8+1))),0)</f>
        <v/>
      </c>
      <c r="CD11" s="309">
        <f>IF(AND(Projects!$G$8="Yes",Projects!$F$8="Yes",80&gt;=Projects!$C$8,80&lt;Projects!$C$8+Projects!$D$8),Projects!$B$8*(1-SUMPRODUCT((Curves!$B$4:$AO$4)*(COLUMN(Curves!$B$4:$AO$4)-COLUMN(Curves!$B$4)+1&lt;=80-Projects!$C$8+1))),0)</f>
        <v/>
      </c>
      <c r="CE11" s="309">
        <f>IF(AND(Projects!$G$8="Yes",Projects!$F$8="Yes",81&gt;=Projects!$C$8,81&lt;Projects!$C$8+Projects!$D$8),Projects!$B$8*(1-SUMPRODUCT((Curves!$B$4:$AO$4)*(COLUMN(Curves!$B$4:$AO$4)-COLUMN(Curves!$B$4)+1&lt;=81-Projects!$C$8+1))),0)</f>
        <v/>
      </c>
      <c r="CF11" s="309">
        <f>IF(AND(Projects!$G$8="Yes",Projects!$F$8="Yes",82&gt;=Projects!$C$8,82&lt;Projects!$C$8+Projects!$D$8),Projects!$B$8*(1-SUMPRODUCT((Curves!$B$4:$AO$4)*(COLUMN(Curves!$B$4:$AO$4)-COLUMN(Curves!$B$4)+1&lt;=82-Projects!$C$8+1))),0)</f>
        <v/>
      </c>
      <c r="CG11" s="309">
        <f>IF(AND(Projects!$G$8="Yes",Projects!$F$8="Yes",83&gt;=Projects!$C$8,83&lt;Projects!$C$8+Projects!$D$8),Projects!$B$8*(1-SUMPRODUCT((Curves!$B$4:$AO$4)*(COLUMN(Curves!$B$4:$AO$4)-COLUMN(Curves!$B$4)+1&lt;=83-Projects!$C$8+1))),0)</f>
        <v/>
      </c>
      <c r="CH11" s="309">
        <f>IF(AND(Projects!$G$8="Yes",Projects!$F$8="Yes",84&gt;=Projects!$C$8,84&lt;Projects!$C$8+Projects!$D$8),Projects!$B$8*(1-SUMPRODUCT((Curves!$B$4:$AO$4)*(COLUMN(Curves!$B$4:$AO$4)-COLUMN(Curves!$B$4)+1&lt;=84-Projects!$C$8+1))),0)</f>
        <v/>
      </c>
    </row>
    <row r="12" ht="15" customHeight="1" s="202">
      <c r="A12" s="302" t="inlineStr">
        <is>
          <t>Denny</t>
        </is>
      </c>
      <c r="C12" s="309">
        <f>IF(AND(Projects!$G$9="Yes",Projects!$F$9="Yes",1&gt;=Projects!$C$9,1&lt;Projects!$C$9+Projects!$D$9),Projects!$B$9*(1-SUMPRODUCT((Curves!$B$2:$AO$2)*(COLUMN(Curves!$B$2:$AO$2)-COLUMN(Curves!$B$2)+1&lt;=1-Projects!$C$9+1))),0)</f>
        <v/>
      </c>
      <c r="D12" s="309">
        <f>IF(AND(Projects!$G$9="Yes",Projects!$F$9="Yes",2&gt;=Projects!$C$9,2&lt;Projects!$C$9+Projects!$D$9),Projects!$B$9*(1-SUMPRODUCT((Curves!$B$2:$AO$2)*(COLUMN(Curves!$B$2:$AO$2)-COLUMN(Curves!$B$2)+1&lt;=2-Projects!$C$9+1))),0)</f>
        <v/>
      </c>
      <c r="E12" s="309">
        <f>IF(AND(Projects!$G$9="Yes",Projects!$F$9="Yes",3&gt;=Projects!$C$9,3&lt;Projects!$C$9+Projects!$D$9),Projects!$B$9*(1-SUMPRODUCT((Curves!$B$2:$AO$2)*(COLUMN(Curves!$B$2:$AO$2)-COLUMN(Curves!$B$2)+1&lt;=3-Projects!$C$9+1))),0)</f>
        <v/>
      </c>
      <c r="F12" s="309">
        <f>IF(AND(Projects!$G$9="Yes",Projects!$F$9="Yes",4&gt;=Projects!$C$9,4&lt;Projects!$C$9+Projects!$D$9),Projects!$B$9*(1-SUMPRODUCT((Curves!$B$2:$AO$2)*(COLUMN(Curves!$B$2:$AO$2)-COLUMN(Curves!$B$2)+1&lt;=4-Projects!$C$9+1))),0)</f>
        <v/>
      </c>
      <c r="G12" s="309">
        <f>IF(AND(Projects!$G$9="Yes",Projects!$F$9="Yes",5&gt;=Projects!$C$9,5&lt;Projects!$C$9+Projects!$D$9),Projects!$B$9*(1-SUMPRODUCT((Curves!$B$2:$AO$2)*(COLUMN(Curves!$B$2:$AO$2)-COLUMN(Curves!$B$2)+1&lt;=5-Projects!$C$9+1))),0)</f>
        <v/>
      </c>
      <c r="H12" s="309">
        <f>IF(AND(Projects!$G$9="Yes",Projects!$F$9="Yes",6&gt;=Projects!$C$9,6&lt;Projects!$C$9+Projects!$D$9),Projects!$B$9*(1-SUMPRODUCT((Curves!$B$2:$AO$2)*(COLUMN(Curves!$B$2:$AO$2)-COLUMN(Curves!$B$2)+1&lt;=6-Projects!$C$9+1))),0)</f>
        <v/>
      </c>
      <c r="I12" s="309">
        <f>IF(AND(Projects!$G$9="Yes",Projects!$F$9="Yes",7&gt;=Projects!$C$9,7&lt;Projects!$C$9+Projects!$D$9),Projects!$B$9*(1-SUMPRODUCT((Curves!$B$2:$AO$2)*(COLUMN(Curves!$B$2:$AO$2)-COLUMN(Curves!$B$2)+1&lt;=7-Projects!$C$9+1))),0)</f>
        <v/>
      </c>
      <c r="J12" s="309">
        <f>IF(AND(Projects!$G$9="Yes",Projects!$F$9="Yes",8&gt;=Projects!$C$9,8&lt;Projects!$C$9+Projects!$D$9),Projects!$B$9*(1-SUMPRODUCT((Curves!$B$2:$AO$2)*(COLUMN(Curves!$B$2:$AO$2)-COLUMN(Curves!$B$2)+1&lt;=8-Projects!$C$9+1))),0)</f>
        <v/>
      </c>
      <c r="K12" s="309">
        <f>IF(AND(Projects!$G$9="Yes",Projects!$F$9="Yes",9&gt;=Projects!$C$9,9&lt;Projects!$C$9+Projects!$D$9),Projects!$B$9*(1-SUMPRODUCT((Curves!$B$2:$AO$2)*(COLUMN(Curves!$B$2:$AO$2)-COLUMN(Curves!$B$2)+1&lt;=9-Projects!$C$9+1))),0)</f>
        <v/>
      </c>
      <c r="L12" s="309">
        <f>IF(AND(Projects!$G$9="Yes",Projects!$F$9="Yes",10&gt;=Projects!$C$9,10&lt;Projects!$C$9+Projects!$D$9),Projects!$B$9*(1-SUMPRODUCT((Curves!$B$2:$AO$2)*(COLUMN(Curves!$B$2:$AO$2)-COLUMN(Curves!$B$2)+1&lt;=10-Projects!$C$9+1))),0)</f>
        <v/>
      </c>
      <c r="M12" s="309">
        <f>IF(AND(Projects!$G$9="Yes",Projects!$F$9="Yes",11&gt;=Projects!$C$9,11&lt;Projects!$C$9+Projects!$D$9),Projects!$B$9*(1-SUMPRODUCT((Curves!$B$2:$AO$2)*(COLUMN(Curves!$B$2:$AO$2)-COLUMN(Curves!$B$2)+1&lt;=11-Projects!$C$9+1))),0)</f>
        <v/>
      </c>
      <c r="N12" s="309">
        <f>IF(AND(Projects!$G$9="Yes",Projects!$F$9="Yes",12&gt;=Projects!$C$9,12&lt;Projects!$C$9+Projects!$D$9),Projects!$B$9*(1-SUMPRODUCT((Curves!$B$2:$AO$2)*(COLUMN(Curves!$B$2:$AO$2)-COLUMN(Curves!$B$2)+1&lt;=12-Projects!$C$9+1))),0)</f>
        <v/>
      </c>
      <c r="O12" s="309">
        <f>IF(AND(Projects!$G$9="Yes",Projects!$F$9="Yes",13&gt;=Projects!$C$9,13&lt;Projects!$C$9+Projects!$D$9),Projects!$B$9*(1-SUMPRODUCT((Curves!$B$2:$AO$2)*(COLUMN(Curves!$B$2:$AO$2)-COLUMN(Curves!$B$2)+1&lt;=13-Projects!$C$9+1))),0)</f>
        <v/>
      </c>
      <c r="P12" s="309">
        <f>IF(AND(Projects!$G$9="Yes",Projects!$F$9="Yes",14&gt;=Projects!$C$9,14&lt;Projects!$C$9+Projects!$D$9),Projects!$B$9*(1-SUMPRODUCT((Curves!$B$2:$AO$2)*(COLUMN(Curves!$B$2:$AO$2)-COLUMN(Curves!$B$2)+1&lt;=14-Projects!$C$9+1))),0)</f>
        <v/>
      </c>
      <c r="Q12" s="309">
        <f>IF(AND(Projects!$G$9="Yes",Projects!$F$9="Yes",15&gt;=Projects!$C$9,15&lt;Projects!$C$9+Projects!$D$9),Projects!$B$9*(1-SUMPRODUCT((Curves!$B$2:$AO$2)*(COLUMN(Curves!$B$2:$AO$2)-COLUMN(Curves!$B$2)+1&lt;=15-Projects!$C$9+1))),0)</f>
        <v/>
      </c>
      <c r="R12" s="309">
        <f>IF(AND(Projects!$G$9="Yes",Projects!$F$9="Yes",16&gt;=Projects!$C$9,16&lt;Projects!$C$9+Projects!$D$9),Projects!$B$9*(1-SUMPRODUCT((Curves!$B$2:$AO$2)*(COLUMN(Curves!$B$2:$AO$2)-COLUMN(Curves!$B$2)+1&lt;=16-Projects!$C$9+1))),0)</f>
        <v/>
      </c>
      <c r="S12" s="309">
        <f>IF(AND(Projects!$G$9="Yes",Projects!$F$9="Yes",17&gt;=Projects!$C$9,17&lt;Projects!$C$9+Projects!$D$9),Projects!$B$9*(1-SUMPRODUCT((Curves!$B$2:$AO$2)*(COLUMN(Curves!$B$2:$AO$2)-COLUMN(Curves!$B$2)+1&lt;=17-Projects!$C$9+1))),0)</f>
        <v/>
      </c>
      <c r="T12" s="309">
        <f>IF(AND(Projects!$G$9="Yes",Projects!$F$9="Yes",18&gt;=Projects!$C$9,18&lt;Projects!$C$9+Projects!$D$9),Projects!$B$9*(1-SUMPRODUCT((Curves!$B$2:$AO$2)*(COLUMN(Curves!$B$2:$AO$2)-COLUMN(Curves!$B$2)+1&lt;=18-Projects!$C$9+1))),0)</f>
        <v/>
      </c>
      <c r="U12" s="309">
        <f>IF(AND(Projects!$G$9="Yes",Projects!$F$9="Yes",19&gt;=Projects!$C$9,19&lt;Projects!$C$9+Projects!$D$9),Projects!$B$9*(1-SUMPRODUCT((Curves!$B$2:$AO$2)*(COLUMN(Curves!$B$2:$AO$2)-COLUMN(Curves!$B$2)+1&lt;=19-Projects!$C$9+1))),0)</f>
        <v/>
      </c>
      <c r="V12" s="309">
        <f>IF(AND(Projects!$G$9="Yes",Projects!$F$9="Yes",20&gt;=Projects!$C$9,20&lt;Projects!$C$9+Projects!$D$9),Projects!$B$9*(1-SUMPRODUCT((Curves!$B$2:$AO$2)*(COLUMN(Curves!$B$2:$AO$2)-COLUMN(Curves!$B$2)+1&lt;=20-Projects!$C$9+1))),0)</f>
        <v/>
      </c>
      <c r="W12" s="309">
        <f>IF(AND(Projects!$G$9="Yes",Projects!$F$9="Yes",21&gt;=Projects!$C$9,21&lt;Projects!$C$9+Projects!$D$9),Projects!$B$9*(1-SUMPRODUCT((Curves!$B$2:$AO$2)*(COLUMN(Curves!$B$2:$AO$2)-COLUMN(Curves!$B$2)+1&lt;=21-Projects!$C$9+1))),0)</f>
        <v/>
      </c>
      <c r="X12" s="309">
        <f>IF(AND(Projects!$G$9="Yes",Projects!$F$9="Yes",22&gt;=Projects!$C$9,22&lt;Projects!$C$9+Projects!$D$9),Projects!$B$9*(1-SUMPRODUCT((Curves!$B$2:$AO$2)*(COLUMN(Curves!$B$2:$AO$2)-COLUMN(Curves!$B$2)+1&lt;=22-Projects!$C$9+1))),0)</f>
        <v/>
      </c>
      <c r="Y12" s="309">
        <f>IF(AND(Projects!$G$9="Yes",Projects!$F$9="Yes",23&gt;=Projects!$C$9,23&lt;Projects!$C$9+Projects!$D$9),Projects!$B$9*(1-SUMPRODUCT((Curves!$B$2:$AO$2)*(COLUMN(Curves!$B$2:$AO$2)-COLUMN(Curves!$B$2)+1&lt;=23-Projects!$C$9+1))),0)</f>
        <v/>
      </c>
      <c r="Z12" s="309">
        <f>IF(AND(Projects!$G$9="Yes",Projects!$F$9="Yes",24&gt;=Projects!$C$9,24&lt;Projects!$C$9+Projects!$D$9),Projects!$B$9*(1-SUMPRODUCT((Curves!$B$2:$AO$2)*(COLUMN(Curves!$B$2:$AO$2)-COLUMN(Curves!$B$2)+1&lt;=24-Projects!$C$9+1))),0)</f>
        <v/>
      </c>
      <c r="AA12" s="309">
        <f>IF(AND(Projects!$G$9="Yes",Projects!$F$9="Yes",25&gt;=Projects!$C$9,25&lt;Projects!$C$9+Projects!$D$9),Projects!$B$9*(1-SUMPRODUCT((Curves!$B$2:$AO$2)*(COLUMN(Curves!$B$2:$AO$2)-COLUMN(Curves!$B$2)+1&lt;=25-Projects!$C$9+1))),0)</f>
        <v/>
      </c>
      <c r="AB12" s="309">
        <f>IF(AND(Projects!$G$9="Yes",Projects!$F$9="Yes",26&gt;=Projects!$C$9,26&lt;Projects!$C$9+Projects!$D$9),Projects!$B$9*(1-SUMPRODUCT((Curves!$B$2:$AO$2)*(COLUMN(Curves!$B$2:$AO$2)-COLUMN(Curves!$B$2)+1&lt;=26-Projects!$C$9+1))),0)</f>
        <v/>
      </c>
      <c r="AC12" s="309">
        <f>IF(AND(Projects!$G$9="Yes",Projects!$F$9="Yes",27&gt;=Projects!$C$9,27&lt;Projects!$C$9+Projects!$D$9),Projects!$B$9*(1-SUMPRODUCT((Curves!$B$2:$AO$2)*(COLUMN(Curves!$B$2:$AO$2)-COLUMN(Curves!$B$2)+1&lt;=27-Projects!$C$9+1))),0)</f>
        <v/>
      </c>
      <c r="AD12" s="309">
        <f>IF(AND(Projects!$G$9="Yes",Projects!$F$9="Yes",28&gt;=Projects!$C$9,28&lt;Projects!$C$9+Projects!$D$9),Projects!$B$9*(1-SUMPRODUCT((Curves!$B$2:$AO$2)*(COLUMN(Curves!$B$2:$AO$2)-COLUMN(Curves!$B$2)+1&lt;=28-Projects!$C$9+1))),0)</f>
        <v/>
      </c>
      <c r="AE12" s="309">
        <f>IF(AND(Projects!$G$9="Yes",Projects!$F$9="Yes",29&gt;=Projects!$C$9,29&lt;Projects!$C$9+Projects!$D$9),Projects!$B$9*(1-SUMPRODUCT((Curves!$B$2:$AO$2)*(COLUMN(Curves!$B$2:$AO$2)-COLUMN(Curves!$B$2)+1&lt;=29-Projects!$C$9+1))),0)</f>
        <v/>
      </c>
      <c r="AF12" s="309">
        <f>IF(AND(Projects!$G$9="Yes",Projects!$F$9="Yes",30&gt;=Projects!$C$9,30&lt;Projects!$C$9+Projects!$D$9),Projects!$B$9*(1-SUMPRODUCT((Curves!$B$2:$AO$2)*(COLUMN(Curves!$B$2:$AO$2)-COLUMN(Curves!$B$2)+1&lt;=30-Projects!$C$9+1))),0)</f>
        <v/>
      </c>
      <c r="AG12" s="309">
        <f>IF(AND(Projects!$G$9="Yes",Projects!$F$9="Yes",31&gt;=Projects!$C$9,31&lt;Projects!$C$9+Projects!$D$9),Projects!$B$9*(1-SUMPRODUCT((Curves!$B$2:$AO$2)*(COLUMN(Curves!$B$2:$AO$2)-COLUMN(Curves!$B$2)+1&lt;=31-Projects!$C$9+1))),0)</f>
        <v/>
      </c>
      <c r="AH12" s="309">
        <f>IF(AND(Projects!$G$9="Yes",Projects!$F$9="Yes",32&gt;=Projects!$C$9,32&lt;Projects!$C$9+Projects!$D$9),Projects!$B$9*(1-SUMPRODUCT((Curves!$B$2:$AO$2)*(COLUMN(Curves!$B$2:$AO$2)-COLUMN(Curves!$B$2)+1&lt;=32-Projects!$C$9+1))),0)</f>
        <v/>
      </c>
      <c r="AI12" s="309">
        <f>IF(AND(Projects!$G$9="Yes",Projects!$F$9="Yes",33&gt;=Projects!$C$9,33&lt;Projects!$C$9+Projects!$D$9),Projects!$B$9*(1-SUMPRODUCT((Curves!$B$2:$AO$2)*(COLUMN(Curves!$B$2:$AO$2)-COLUMN(Curves!$B$2)+1&lt;=33-Projects!$C$9+1))),0)</f>
        <v/>
      </c>
      <c r="AJ12" s="309">
        <f>IF(AND(Projects!$G$9="Yes",Projects!$F$9="Yes",34&gt;=Projects!$C$9,34&lt;Projects!$C$9+Projects!$D$9),Projects!$B$9*(1-SUMPRODUCT((Curves!$B$2:$AO$2)*(COLUMN(Curves!$B$2:$AO$2)-COLUMN(Curves!$B$2)+1&lt;=34-Projects!$C$9+1))),0)</f>
        <v/>
      </c>
      <c r="AK12" s="309">
        <f>IF(AND(Projects!$G$9="Yes",Projects!$F$9="Yes",35&gt;=Projects!$C$9,35&lt;Projects!$C$9+Projects!$D$9),Projects!$B$9*(1-SUMPRODUCT((Curves!$B$2:$AO$2)*(COLUMN(Curves!$B$2:$AO$2)-COLUMN(Curves!$B$2)+1&lt;=35-Projects!$C$9+1))),0)</f>
        <v/>
      </c>
      <c r="AL12" s="309">
        <f>IF(AND(Projects!$G$9="Yes",Projects!$F$9="Yes",36&gt;=Projects!$C$9,36&lt;Projects!$C$9+Projects!$D$9),Projects!$B$9*(1-SUMPRODUCT((Curves!$B$2:$AO$2)*(COLUMN(Curves!$B$2:$AO$2)-COLUMN(Curves!$B$2)+1&lt;=36-Projects!$C$9+1))),0)</f>
        <v/>
      </c>
      <c r="AM12" s="309">
        <f>IF(AND(Projects!$G$9="Yes",Projects!$F$9="Yes",37&gt;=Projects!$C$9,37&lt;Projects!$C$9+Projects!$D$9),Projects!$B$9*(1-SUMPRODUCT((Curves!$B$2:$AO$2)*(COLUMN(Curves!$B$2:$AO$2)-COLUMN(Curves!$B$2)+1&lt;=37-Projects!$C$9+1))),0)</f>
        <v/>
      </c>
      <c r="AN12" s="309">
        <f>IF(AND(Projects!$G$9="Yes",Projects!$F$9="Yes",38&gt;=Projects!$C$9,38&lt;Projects!$C$9+Projects!$D$9),Projects!$B$9*(1-SUMPRODUCT((Curves!$B$2:$AO$2)*(COLUMN(Curves!$B$2:$AO$2)-COLUMN(Curves!$B$2)+1&lt;=38-Projects!$C$9+1))),0)</f>
        <v/>
      </c>
      <c r="AO12" s="309">
        <f>IF(AND(Projects!$G$9="Yes",Projects!$F$9="Yes",39&gt;=Projects!$C$9,39&lt;Projects!$C$9+Projects!$D$9),Projects!$B$9*(1-SUMPRODUCT((Curves!$B$2:$AO$2)*(COLUMN(Curves!$B$2:$AO$2)-COLUMN(Curves!$B$2)+1&lt;=39-Projects!$C$9+1))),0)</f>
        <v/>
      </c>
      <c r="AP12" s="309">
        <f>IF(AND(Projects!$G$9="Yes",Projects!$F$9="Yes",40&gt;=Projects!$C$9,40&lt;Projects!$C$9+Projects!$D$9),Projects!$B$9*(1-SUMPRODUCT((Curves!$B$2:$AO$2)*(COLUMN(Curves!$B$2:$AO$2)-COLUMN(Curves!$B$2)+1&lt;=40-Projects!$C$9+1))),0)</f>
        <v/>
      </c>
      <c r="AQ12" s="309">
        <f>IF(AND(Projects!$G$9="Yes",Projects!$F$9="Yes",41&gt;=Projects!$C$9,41&lt;Projects!$C$9+Projects!$D$9),Projects!$B$9*(1-SUMPRODUCT((Curves!$B$2:$AO$2)*(COLUMN(Curves!$B$2:$AO$2)-COLUMN(Curves!$B$2)+1&lt;=41-Projects!$C$9+1))),0)</f>
        <v/>
      </c>
      <c r="AR12" s="309">
        <f>IF(AND(Projects!$G$9="Yes",Projects!$F$9="Yes",42&gt;=Projects!$C$9,42&lt;Projects!$C$9+Projects!$D$9),Projects!$B$9*(1-SUMPRODUCT((Curves!$B$2:$AO$2)*(COLUMN(Curves!$B$2:$AO$2)-COLUMN(Curves!$B$2)+1&lt;=42-Projects!$C$9+1))),0)</f>
        <v/>
      </c>
      <c r="AS12" s="309">
        <f>IF(AND(Projects!$G$9="Yes",Projects!$F$9="Yes",43&gt;=Projects!$C$9,43&lt;Projects!$C$9+Projects!$D$9),Projects!$B$9*(1-SUMPRODUCT((Curves!$B$2:$AO$2)*(COLUMN(Curves!$B$2:$AO$2)-COLUMN(Curves!$B$2)+1&lt;=43-Projects!$C$9+1))),0)</f>
        <v/>
      </c>
      <c r="AT12" s="309">
        <f>IF(AND(Projects!$G$9="Yes",Projects!$F$9="Yes",44&gt;=Projects!$C$9,44&lt;Projects!$C$9+Projects!$D$9),Projects!$B$9*(1-SUMPRODUCT((Curves!$B$2:$AO$2)*(COLUMN(Curves!$B$2:$AO$2)-COLUMN(Curves!$B$2)+1&lt;=44-Projects!$C$9+1))),0)</f>
        <v/>
      </c>
      <c r="AU12" s="309">
        <f>IF(AND(Projects!$G$9="Yes",Projects!$F$9="Yes",45&gt;=Projects!$C$9,45&lt;Projects!$C$9+Projects!$D$9),Projects!$B$9*(1-SUMPRODUCT((Curves!$B$2:$AO$2)*(COLUMN(Curves!$B$2:$AO$2)-COLUMN(Curves!$B$2)+1&lt;=45-Projects!$C$9+1))),0)</f>
        <v/>
      </c>
      <c r="AV12" s="309">
        <f>IF(AND(Projects!$G$9="Yes",Projects!$F$9="Yes",46&gt;=Projects!$C$9,46&lt;Projects!$C$9+Projects!$D$9),Projects!$B$9*(1-SUMPRODUCT((Curves!$B$2:$AO$2)*(COLUMN(Curves!$B$2:$AO$2)-COLUMN(Curves!$B$2)+1&lt;=46-Projects!$C$9+1))),0)</f>
        <v/>
      </c>
      <c r="AW12" s="309">
        <f>IF(AND(Projects!$G$9="Yes",Projects!$F$9="Yes",47&gt;=Projects!$C$9,47&lt;Projects!$C$9+Projects!$D$9),Projects!$B$9*(1-SUMPRODUCT((Curves!$B$2:$AO$2)*(COLUMN(Curves!$B$2:$AO$2)-COLUMN(Curves!$B$2)+1&lt;=47-Projects!$C$9+1))),0)</f>
        <v/>
      </c>
      <c r="AX12" s="309">
        <f>IF(AND(Projects!$G$9="Yes",Projects!$F$9="Yes",48&gt;=Projects!$C$9,48&lt;Projects!$C$9+Projects!$D$9),Projects!$B$9*(1-SUMPRODUCT((Curves!$B$2:$AO$2)*(COLUMN(Curves!$B$2:$AO$2)-COLUMN(Curves!$B$2)+1&lt;=48-Projects!$C$9+1))),0)</f>
        <v/>
      </c>
      <c r="AY12" s="309">
        <f>IF(AND(Projects!$G$9="Yes",Projects!$F$9="Yes",49&gt;=Projects!$C$9,49&lt;Projects!$C$9+Projects!$D$9),Projects!$B$9*(1-SUMPRODUCT((Curves!$B$2:$AO$2)*(COLUMN(Curves!$B$2:$AO$2)-COLUMN(Curves!$B$2)+1&lt;=49-Projects!$C$9+1))),0)</f>
        <v/>
      </c>
      <c r="AZ12" s="309">
        <f>IF(AND(Projects!$G$9="Yes",Projects!$F$9="Yes",50&gt;=Projects!$C$9,50&lt;Projects!$C$9+Projects!$D$9),Projects!$B$9*(1-SUMPRODUCT((Curves!$B$2:$AO$2)*(COLUMN(Curves!$B$2:$AO$2)-COLUMN(Curves!$B$2)+1&lt;=50-Projects!$C$9+1))),0)</f>
        <v/>
      </c>
      <c r="BA12" s="309">
        <f>IF(AND(Projects!$G$9="Yes",Projects!$F$9="Yes",51&gt;=Projects!$C$9,51&lt;Projects!$C$9+Projects!$D$9),Projects!$B$9*(1-SUMPRODUCT((Curves!$B$2:$AO$2)*(COLUMN(Curves!$B$2:$AO$2)-COLUMN(Curves!$B$2)+1&lt;=51-Projects!$C$9+1))),0)</f>
        <v/>
      </c>
      <c r="BB12" s="309">
        <f>IF(AND(Projects!$G$9="Yes",Projects!$F$9="Yes",52&gt;=Projects!$C$9,52&lt;Projects!$C$9+Projects!$D$9),Projects!$B$9*(1-SUMPRODUCT((Curves!$B$2:$AO$2)*(COLUMN(Curves!$B$2:$AO$2)-COLUMN(Curves!$B$2)+1&lt;=52-Projects!$C$9+1))),0)</f>
        <v/>
      </c>
      <c r="BC12" s="309">
        <f>IF(AND(Projects!$G$9="Yes",Projects!$F$9="Yes",53&gt;=Projects!$C$9,53&lt;Projects!$C$9+Projects!$D$9),Projects!$B$9*(1-SUMPRODUCT((Curves!$B$2:$AO$2)*(COLUMN(Curves!$B$2:$AO$2)-COLUMN(Curves!$B$2)+1&lt;=53-Projects!$C$9+1))),0)</f>
        <v/>
      </c>
      <c r="BD12" s="309">
        <f>IF(AND(Projects!$G$9="Yes",Projects!$F$9="Yes",54&gt;=Projects!$C$9,54&lt;Projects!$C$9+Projects!$D$9),Projects!$B$9*(1-SUMPRODUCT((Curves!$B$2:$AO$2)*(COLUMN(Curves!$B$2:$AO$2)-COLUMN(Curves!$B$2)+1&lt;=54-Projects!$C$9+1))),0)</f>
        <v/>
      </c>
      <c r="BE12" s="309">
        <f>IF(AND(Projects!$G$9="Yes",Projects!$F$9="Yes",55&gt;=Projects!$C$9,55&lt;Projects!$C$9+Projects!$D$9),Projects!$B$9*(1-SUMPRODUCT((Curves!$B$2:$AO$2)*(COLUMN(Curves!$B$2:$AO$2)-COLUMN(Curves!$B$2)+1&lt;=55-Projects!$C$9+1))),0)</f>
        <v/>
      </c>
      <c r="BF12" s="309">
        <f>IF(AND(Projects!$G$9="Yes",Projects!$F$9="Yes",56&gt;=Projects!$C$9,56&lt;Projects!$C$9+Projects!$D$9),Projects!$B$9*(1-SUMPRODUCT((Curves!$B$2:$AO$2)*(COLUMN(Curves!$B$2:$AO$2)-COLUMN(Curves!$B$2)+1&lt;=56-Projects!$C$9+1))),0)</f>
        <v/>
      </c>
      <c r="BG12" s="309">
        <f>IF(AND(Projects!$G$9="Yes",Projects!$F$9="Yes",57&gt;=Projects!$C$9,57&lt;Projects!$C$9+Projects!$D$9),Projects!$B$9*(1-SUMPRODUCT((Curves!$B$2:$AO$2)*(COLUMN(Curves!$B$2:$AO$2)-COLUMN(Curves!$B$2)+1&lt;=57-Projects!$C$9+1))),0)</f>
        <v/>
      </c>
      <c r="BH12" s="309">
        <f>IF(AND(Projects!$G$9="Yes",Projects!$F$9="Yes",58&gt;=Projects!$C$9,58&lt;Projects!$C$9+Projects!$D$9),Projects!$B$9*(1-SUMPRODUCT((Curves!$B$2:$AO$2)*(COLUMN(Curves!$B$2:$AO$2)-COLUMN(Curves!$B$2)+1&lt;=58-Projects!$C$9+1))),0)</f>
        <v/>
      </c>
      <c r="BI12" s="309">
        <f>IF(AND(Projects!$G$9="Yes",Projects!$F$9="Yes",59&gt;=Projects!$C$9,59&lt;Projects!$C$9+Projects!$D$9),Projects!$B$9*(1-SUMPRODUCT((Curves!$B$2:$AO$2)*(COLUMN(Curves!$B$2:$AO$2)-COLUMN(Curves!$B$2)+1&lt;=59-Projects!$C$9+1))),0)</f>
        <v/>
      </c>
      <c r="BJ12" s="309">
        <f>IF(AND(Projects!$G$9="Yes",Projects!$F$9="Yes",60&gt;=Projects!$C$9,60&lt;Projects!$C$9+Projects!$D$9),Projects!$B$9*(1-SUMPRODUCT((Curves!$B$2:$AO$2)*(COLUMN(Curves!$B$2:$AO$2)-COLUMN(Curves!$B$2)+1&lt;=60-Projects!$C$9+1))),0)</f>
        <v/>
      </c>
      <c r="BK12" s="309">
        <f>IF(AND(Projects!$G$9="Yes",Projects!$F$9="Yes",61&gt;=Projects!$C$9,61&lt;Projects!$C$9+Projects!$D$9),Projects!$B$9*(1-SUMPRODUCT((Curves!$B$2:$AO$2)*(COLUMN(Curves!$B$2:$AO$2)-COLUMN(Curves!$B$2)+1&lt;=61-Projects!$C$9+1))),0)</f>
        <v/>
      </c>
      <c r="BL12" s="309">
        <f>IF(AND(Projects!$G$9="Yes",Projects!$F$9="Yes",62&gt;=Projects!$C$9,62&lt;Projects!$C$9+Projects!$D$9),Projects!$B$9*(1-SUMPRODUCT((Curves!$B$2:$AO$2)*(COLUMN(Curves!$B$2:$AO$2)-COLUMN(Curves!$B$2)+1&lt;=62-Projects!$C$9+1))),0)</f>
        <v/>
      </c>
      <c r="BM12" s="309">
        <f>IF(AND(Projects!$G$9="Yes",Projects!$F$9="Yes",63&gt;=Projects!$C$9,63&lt;Projects!$C$9+Projects!$D$9),Projects!$B$9*(1-SUMPRODUCT((Curves!$B$2:$AO$2)*(COLUMN(Curves!$B$2:$AO$2)-COLUMN(Curves!$B$2)+1&lt;=63-Projects!$C$9+1))),0)</f>
        <v/>
      </c>
      <c r="BN12" s="309">
        <f>IF(AND(Projects!$G$9="Yes",Projects!$F$9="Yes",64&gt;=Projects!$C$9,64&lt;Projects!$C$9+Projects!$D$9),Projects!$B$9*(1-SUMPRODUCT((Curves!$B$2:$AO$2)*(COLUMN(Curves!$B$2:$AO$2)-COLUMN(Curves!$B$2)+1&lt;=64-Projects!$C$9+1))),0)</f>
        <v/>
      </c>
      <c r="BO12" s="309">
        <f>IF(AND(Projects!$G$9="Yes",Projects!$F$9="Yes",65&gt;=Projects!$C$9,65&lt;Projects!$C$9+Projects!$D$9),Projects!$B$9*(1-SUMPRODUCT((Curves!$B$2:$AO$2)*(COLUMN(Curves!$B$2:$AO$2)-COLUMN(Curves!$B$2)+1&lt;=65-Projects!$C$9+1))),0)</f>
        <v/>
      </c>
      <c r="BP12" s="309">
        <f>IF(AND(Projects!$G$9="Yes",Projects!$F$9="Yes",66&gt;=Projects!$C$9,66&lt;Projects!$C$9+Projects!$D$9),Projects!$B$9*(1-SUMPRODUCT((Curves!$B$2:$AO$2)*(COLUMN(Curves!$B$2:$AO$2)-COLUMN(Curves!$B$2)+1&lt;=66-Projects!$C$9+1))),0)</f>
        <v/>
      </c>
      <c r="BQ12" s="309">
        <f>IF(AND(Projects!$G$9="Yes",Projects!$F$9="Yes",67&gt;=Projects!$C$9,67&lt;Projects!$C$9+Projects!$D$9),Projects!$B$9*(1-SUMPRODUCT((Curves!$B$2:$AO$2)*(COLUMN(Curves!$B$2:$AO$2)-COLUMN(Curves!$B$2)+1&lt;=67-Projects!$C$9+1))),0)</f>
        <v/>
      </c>
      <c r="BR12" s="309">
        <f>IF(AND(Projects!$G$9="Yes",Projects!$F$9="Yes",68&gt;=Projects!$C$9,68&lt;Projects!$C$9+Projects!$D$9),Projects!$B$9*(1-SUMPRODUCT((Curves!$B$2:$AO$2)*(COLUMN(Curves!$B$2:$AO$2)-COLUMN(Curves!$B$2)+1&lt;=68-Projects!$C$9+1))),0)</f>
        <v/>
      </c>
      <c r="BS12" s="309">
        <f>IF(AND(Projects!$G$9="Yes",Projects!$F$9="Yes",69&gt;=Projects!$C$9,69&lt;Projects!$C$9+Projects!$D$9),Projects!$B$9*(1-SUMPRODUCT((Curves!$B$2:$AO$2)*(COLUMN(Curves!$B$2:$AO$2)-COLUMN(Curves!$B$2)+1&lt;=69-Projects!$C$9+1))),0)</f>
        <v/>
      </c>
      <c r="BT12" s="309">
        <f>IF(AND(Projects!$G$9="Yes",Projects!$F$9="Yes",70&gt;=Projects!$C$9,70&lt;Projects!$C$9+Projects!$D$9),Projects!$B$9*(1-SUMPRODUCT((Curves!$B$2:$AO$2)*(COLUMN(Curves!$B$2:$AO$2)-COLUMN(Curves!$B$2)+1&lt;=70-Projects!$C$9+1))),0)</f>
        <v/>
      </c>
      <c r="BU12" s="309">
        <f>IF(AND(Projects!$G$9="Yes",Projects!$F$9="Yes",71&gt;=Projects!$C$9,71&lt;Projects!$C$9+Projects!$D$9),Projects!$B$9*(1-SUMPRODUCT((Curves!$B$2:$AO$2)*(COLUMN(Curves!$B$2:$AO$2)-COLUMN(Curves!$B$2)+1&lt;=71-Projects!$C$9+1))),0)</f>
        <v/>
      </c>
      <c r="BV12" s="309">
        <f>IF(AND(Projects!$G$9="Yes",Projects!$F$9="Yes",72&gt;=Projects!$C$9,72&lt;Projects!$C$9+Projects!$D$9),Projects!$B$9*(1-SUMPRODUCT((Curves!$B$2:$AO$2)*(COLUMN(Curves!$B$2:$AO$2)-COLUMN(Curves!$B$2)+1&lt;=72-Projects!$C$9+1))),0)</f>
        <v/>
      </c>
      <c r="BW12" s="309">
        <f>IF(AND(Projects!$G$9="Yes",Projects!$F$9="Yes",73&gt;=Projects!$C$9,73&lt;Projects!$C$9+Projects!$D$9),Projects!$B$9*(1-SUMPRODUCT((Curves!$B$2:$AO$2)*(COLUMN(Curves!$B$2:$AO$2)-COLUMN(Curves!$B$2)+1&lt;=73-Projects!$C$9+1))),0)</f>
        <v/>
      </c>
      <c r="BX12" s="309">
        <f>IF(AND(Projects!$G$9="Yes",Projects!$F$9="Yes",74&gt;=Projects!$C$9,74&lt;Projects!$C$9+Projects!$D$9),Projects!$B$9*(1-SUMPRODUCT((Curves!$B$2:$AO$2)*(COLUMN(Curves!$B$2:$AO$2)-COLUMN(Curves!$B$2)+1&lt;=74-Projects!$C$9+1))),0)</f>
        <v/>
      </c>
      <c r="BY12" s="309">
        <f>IF(AND(Projects!$G$9="Yes",Projects!$F$9="Yes",75&gt;=Projects!$C$9,75&lt;Projects!$C$9+Projects!$D$9),Projects!$B$9*(1-SUMPRODUCT((Curves!$B$2:$AO$2)*(COLUMN(Curves!$B$2:$AO$2)-COLUMN(Curves!$B$2)+1&lt;=75-Projects!$C$9+1))),0)</f>
        <v/>
      </c>
      <c r="BZ12" s="309">
        <f>IF(AND(Projects!$G$9="Yes",Projects!$F$9="Yes",76&gt;=Projects!$C$9,76&lt;Projects!$C$9+Projects!$D$9),Projects!$B$9*(1-SUMPRODUCT((Curves!$B$2:$AO$2)*(COLUMN(Curves!$B$2:$AO$2)-COLUMN(Curves!$B$2)+1&lt;=76-Projects!$C$9+1))),0)</f>
        <v/>
      </c>
      <c r="CA12" s="309">
        <f>IF(AND(Projects!$G$9="Yes",Projects!$F$9="Yes",77&gt;=Projects!$C$9,77&lt;Projects!$C$9+Projects!$D$9),Projects!$B$9*(1-SUMPRODUCT((Curves!$B$2:$AO$2)*(COLUMN(Curves!$B$2:$AO$2)-COLUMN(Curves!$B$2)+1&lt;=77-Projects!$C$9+1))),0)</f>
        <v/>
      </c>
      <c r="CB12" s="309">
        <f>IF(AND(Projects!$G$9="Yes",Projects!$F$9="Yes",78&gt;=Projects!$C$9,78&lt;Projects!$C$9+Projects!$D$9),Projects!$B$9*(1-SUMPRODUCT((Curves!$B$2:$AO$2)*(COLUMN(Curves!$B$2:$AO$2)-COLUMN(Curves!$B$2)+1&lt;=78-Projects!$C$9+1))),0)</f>
        <v/>
      </c>
      <c r="CC12" s="309">
        <f>IF(AND(Projects!$G$9="Yes",Projects!$F$9="Yes",79&gt;=Projects!$C$9,79&lt;Projects!$C$9+Projects!$D$9),Projects!$B$9*(1-SUMPRODUCT((Curves!$B$2:$AO$2)*(COLUMN(Curves!$B$2:$AO$2)-COLUMN(Curves!$B$2)+1&lt;=79-Projects!$C$9+1))),0)</f>
        <v/>
      </c>
      <c r="CD12" s="309">
        <f>IF(AND(Projects!$G$9="Yes",Projects!$F$9="Yes",80&gt;=Projects!$C$9,80&lt;Projects!$C$9+Projects!$D$9),Projects!$B$9*(1-SUMPRODUCT((Curves!$B$2:$AO$2)*(COLUMN(Curves!$B$2:$AO$2)-COLUMN(Curves!$B$2)+1&lt;=80-Projects!$C$9+1))),0)</f>
        <v/>
      </c>
      <c r="CE12" s="309">
        <f>IF(AND(Projects!$G$9="Yes",Projects!$F$9="Yes",81&gt;=Projects!$C$9,81&lt;Projects!$C$9+Projects!$D$9),Projects!$B$9*(1-SUMPRODUCT((Curves!$B$2:$AO$2)*(COLUMN(Curves!$B$2:$AO$2)-COLUMN(Curves!$B$2)+1&lt;=81-Projects!$C$9+1))),0)</f>
        <v/>
      </c>
      <c r="CF12" s="309">
        <f>IF(AND(Projects!$G$9="Yes",Projects!$F$9="Yes",82&gt;=Projects!$C$9,82&lt;Projects!$C$9+Projects!$D$9),Projects!$B$9*(1-SUMPRODUCT((Curves!$B$2:$AO$2)*(COLUMN(Curves!$B$2:$AO$2)-COLUMN(Curves!$B$2)+1&lt;=82-Projects!$C$9+1))),0)</f>
        <v/>
      </c>
      <c r="CG12" s="309">
        <f>IF(AND(Projects!$G$9="Yes",Projects!$F$9="Yes",83&gt;=Projects!$C$9,83&lt;Projects!$C$9+Projects!$D$9),Projects!$B$9*(1-SUMPRODUCT((Curves!$B$2:$AO$2)*(COLUMN(Curves!$B$2:$AO$2)-COLUMN(Curves!$B$2)+1&lt;=83-Projects!$C$9+1))),0)</f>
        <v/>
      </c>
      <c r="CH12" s="309">
        <f>IF(AND(Projects!$G$9="Yes",Projects!$F$9="Yes",84&gt;=Projects!$C$9,84&lt;Projects!$C$9+Projects!$D$9),Projects!$B$9*(1-SUMPRODUCT((Curves!$B$2:$AO$2)*(COLUMN(Curves!$B$2:$AO$2)-COLUMN(Curves!$B$2)+1&lt;=84-Projects!$C$9+1))),0)</f>
        <v/>
      </c>
    </row>
    <row r="13" ht="15" customHeight="1" s="202">
      <c r="A13" s="302" t="inlineStr">
        <is>
          <t>Acama</t>
        </is>
      </c>
      <c r="C13" s="309">
        <f>IF(AND(Projects!$G$10="Yes",Projects!$F$10="Yes",1&gt;=Projects!$C$10,1&lt;Projects!$C$10+Projects!$D$10),Projects!$B$10*(1-SUMPRODUCT((Curves!$B$4:$AO$4)*(COLUMN(Curves!$B$4:$AO$4)-COLUMN(Curves!$B$4)+1&lt;=1-Projects!$C$10+1))),0)</f>
        <v/>
      </c>
      <c r="D13" s="309">
        <f>IF(AND(Projects!$G$10="Yes",Projects!$F$10="Yes",2&gt;=Projects!$C$10,2&lt;Projects!$C$10+Projects!$D$10),Projects!$B$10*(1-SUMPRODUCT((Curves!$B$4:$AO$4)*(COLUMN(Curves!$B$4:$AO$4)-COLUMN(Curves!$B$4)+1&lt;=2-Projects!$C$10+1))),0)</f>
        <v/>
      </c>
      <c r="E13" s="309">
        <f>IF(AND(Projects!$G$10="Yes",Projects!$F$10="Yes",3&gt;=Projects!$C$10,3&lt;Projects!$C$10+Projects!$D$10),Projects!$B$10*(1-SUMPRODUCT((Curves!$B$4:$AO$4)*(COLUMN(Curves!$B$4:$AO$4)-COLUMN(Curves!$B$4)+1&lt;=3-Projects!$C$10+1))),0)</f>
        <v/>
      </c>
      <c r="F13" s="309">
        <f>IF(AND(Projects!$G$10="Yes",Projects!$F$10="Yes",4&gt;=Projects!$C$10,4&lt;Projects!$C$10+Projects!$D$10),Projects!$B$10*(1-SUMPRODUCT((Curves!$B$4:$AO$4)*(COLUMN(Curves!$B$4:$AO$4)-COLUMN(Curves!$B$4)+1&lt;=4-Projects!$C$10+1))),0)</f>
        <v/>
      </c>
      <c r="G13" s="309">
        <f>IF(AND(Projects!$G$10="Yes",Projects!$F$10="Yes",5&gt;=Projects!$C$10,5&lt;Projects!$C$10+Projects!$D$10),Projects!$B$10*(1-SUMPRODUCT((Curves!$B$4:$AO$4)*(COLUMN(Curves!$B$4:$AO$4)-COLUMN(Curves!$B$4)+1&lt;=5-Projects!$C$10+1))),0)</f>
        <v/>
      </c>
      <c r="H13" s="309">
        <f>IF(AND(Projects!$G$10="Yes",Projects!$F$10="Yes",6&gt;=Projects!$C$10,6&lt;Projects!$C$10+Projects!$D$10),Projects!$B$10*(1-SUMPRODUCT((Curves!$B$4:$AO$4)*(COLUMN(Curves!$B$4:$AO$4)-COLUMN(Curves!$B$4)+1&lt;=6-Projects!$C$10+1))),0)</f>
        <v/>
      </c>
      <c r="I13" s="309">
        <f>IF(AND(Projects!$G$10="Yes",Projects!$F$10="Yes",7&gt;=Projects!$C$10,7&lt;Projects!$C$10+Projects!$D$10),Projects!$B$10*(1-SUMPRODUCT((Curves!$B$4:$AO$4)*(COLUMN(Curves!$B$4:$AO$4)-COLUMN(Curves!$B$4)+1&lt;=7-Projects!$C$10+1))),0)</f>
        <v/>
      </c>
      <c r="J13" s="309">
        <f>IF(AND(Projects!$G$10="Yes",Projects!$F$10="Yes",8&gt;=Projects!$C$10,8&lt;Projects!$C$10+Projects!$D$10),Projects!$B$10*(1-SUMPRODUCT((Curves!$B$4:$AO$4)*(COLUMN(Curves!$B$4:$AO$4)-COLUMN(Curves!$B$4)+1&lt;=8-Projects!$C$10+1))),0)</f>
        <v/>
      </c>
      <c r="K13" s="309">
        <f>IF(AND(Projects!$G$10="Yes",Projects!$F$10="Yes",9&gt;=Projects!$C$10,9&lt;Projects!$C$10+Projects!$D$10),Projects!$B$10*(1-SUMPRODUCT((Curves!$B$4:$AO$4)*(COLUMN(Curves!$B$4:$AO$4)-COLUMN(Curves!$B$4)+1&lt;=9-Projects!$C$10+1))),0)</f>
        <v/>
      </c>
      <c r="L13" s="309">
        <f>IF(AND(Projects!$G$10="Yes",Projects!$F$10="Yes",10&gt;=Projects!$C$10,10&lt;Projects!$C$10+Projects!$D$10),Projects!$B$10*(1-SUMPRODUCT((Curves!$B$4:$AO$4)*(COLUMN(Curves!$B$4:$AO$4)-COLUMN(Curves!$B$4)+1&lt;=10-Projects!$C$10+1))),0)</f>
        <v/>
      </c>
      <c r="M13" s="309">
        <f>IF(AND(Projects!$G$10="Yes",Projects!$F$10="Yes",11&gt;=Projects!$C$10,11&lt;Projects!$C$10+Projects!$D$10),Projects!$B$10*(1-SUMPRODUCT((Curves!$B$4:$AO$4)*(COLUMN(Curves!$B$4:$AO$4)-COLUMN(Curves!$B$4)+1&lt;=11-Projects!$C$10+1))),0)</f>
        <v/>
      </c>
      <c r="N13" s="309">
        <f>IF(AND(Projects!$G$10="Yes",Projects!$F$10="Yes",12&gt;=Projects!$C$10,12&lt;Projects!$C$10+Projects!$D$10),Projects!$B$10*(1-SUMPRODUCT((Curves!$B$4:$AO$4)*(COLUMN(Curves!$B$4:$AO$4)-COLUMN(Curves!$B$4)+1&lt;=12-Projects!$C$10+1))),0)</f>
        <v/>
      </c>
      <c r="O13" s="309">
        <f>IF(AND(Projects!$G$10="Yes",Projects!$F$10="Yes",13&gt;=Projects!$C$10,13&lt;Projects!$C$10+Projects!$D$10),Projects!$B$10*(1-SUMPRODUCT((Curves!$B$4:$AO$4)*(COLUMN(Curves!$B$4:$AO$4)-COLUMN(Curves!$B$4)+1&lt;=13-Projects!$C$10+1))),0)</f>
        <v/>
      </c>
      <c r="P13" s="309">
        <f>IF(AND(Projects!$G$10="Yes",Projects!$F$10="Yes",14&gt;=Projects!$C$10,14&lt;Projects!$C$10+Projects!$D$10),Projects!$B$10*(1-SUMPRODUCT((Curves!$B$4:$AO$4)*(COLUMN(Curves!$B$4:$AO$4)-COLUMN(Curves!$B$4)+1&lt;=14-Projects!$C$10+1))),0)</f>
        <v/>
      </c>
      <c r="Q13" s="309">
        <f>IF(AND(Projects!$G$10="Yes",Projects!$F$10="Yes",15&gt;=Projects!$C$10,15&lt;Projects!$C$10+Projects!$D$10),Projects!$B$10*(1-SUMPRODUCT((Curves!$B$4:$AO$4)*(COLUMN(Curves!$B$4:$AO$4)-COLUMN(Curves!$B$4)+1&lt;=15-Projects!$C$10+1))),0)</f>
        <v/>
      </c>
      <c r="R13" s="309">
        <f>IF(AND(Projects!$G$10="Yes",Projects!$F$10="Yes",16&gt;=Projects!$C$10,16&lt;Projects!$C$10+Projects!$D$10),Projects!$B$10*(1-SUMPRODUCT((Curves!$B$4:$AO$4)*(COLUMN(Curves!$B$4:$AO$4)-COLUMN(Curves!$B$4)+1&lt;=16-Projects!$C$10+1))),0)</f>
        <v/>
      </c>
      <c r="S13" s="309">
        <f>IF(AND(Projects!$G$10="Yes",Projects!$F$10="Yes",17&gt;=Projects!$C$10,17&lt;Projects!$C$10+Projects!$D$10),Projects!$B$10*(1-SUMPRODUCT((Curves!$B$4:$AO$4)*(COLUMN(Curves!$B$4:$AO$4)-COLUMN(Curves!$B$4)+1&lt;=17-Projects!$C$10+1))),0)</f>
        <v/>
      </c>
      <c r="T13" s="309">
        <f>IF(AND(Projects!$G$10="Yes",Projects!$F$10="Yes",18&gt;=Projects!$C$10,18&lt;Projects!$C$10+Projects!$D$10),Projects!$B$10*(1-SUMPRODUCT((Curves!$B$4:$AO$4)*(COLUMN(Curves!$B$4:$AO$4)-COLUMN(Curves!$B$4)+1&lt;=18-Projects!$C$10+1))),0)</f>
        <v/>
      </c>
      <c r="U13" s="309">
        <f>IF(AND(Projects!$G$10="Yes",Projects!$F$10="Yes",19&gt;=Projects!$C$10,19&lt;Projects!$C$10+Projects!$D$10),Projects!$B$10*(1-SUMPRODUCT((Curves!$B$4:$AO$4)*(COLUMN(Curves!$B$4:$AO$4)-COLUMN(Curves!$B$4)+1&lt;=19-Projects!$C$10+1))),0)</f>
        <v/>
      </c>
      <c r="V13" s="309">
        <f>IF(AND(Projects!$G$10="Yes",Projects!$F$10="Yes",20&gt;=Projects!$C$10,20&lt;Projects!$C$10+Projects!$D$10),Projects!$B$10*(1-SUMPRODUCT((Curves!$B$4:$AO$4)*(COLUMN(Curves!$B$4:$AO$4)-COLUMN(Curves!$B$4)+1&lt;=20-Projects!$C$10+1))),0)</f>
        <v/>
      </c>
      <c r="W13" s="309">
        <f>IF(AND(Projects!$G$10="Yes",Projects!$F$10="Yes",21&gt;=Projects!$C$10,21&lt;Projects!$C$10+Projects!$D$10),Projects!$B$10*(1-SUMPRODUCT((Curves!$B$4:$AO$4)*(COLUMN(Curves!$B$4:$AO$4)-COLUMN(Curves!$B$4)+1&lt;=21-Projects!$C$10+1))),0)</f>
        <v/>
      </c>
      <c r="X13" s="309">
        <f>IF(AND(Projects!$G$10="Yes",Projects!$F$10="Yes",22&gt;=Projects!$C$10,22&lt;Projects!$C$10+Projects!$D$10),Projects!$B$10*(1-SUMPRODUCT((Curves!$B$4:$AO$4)*(COLUMN(Curves!$B$4:$AO$4)-COLUMN(Curves!$B$4)+1&lt;=22-Projects!$C$10+1))),0)</f>
        <v/>
      </c>
      <c r="Y13" s="309">
        <f>IF(AND(Projects!$G$10="Yes",Projects!$F$10="Yes",23&gt;=Projects!$C$10,23&lt;Projects!$C$10+Projects!$D$10),Projects!$B$10*(1-SUMPRODUCT((Curves!$B$4:$AO$4)*(COLUMN(Curves!$B$4:$AO$4)-COLUMN(Curves!$B$4)+1&lt;=23-Projects!$C$10+1))),0)</f>
        <v/>
      </c>
      <c r="Z13" s="309">
        <f>IF(AND(Projects!$G$10="Yes",Projects!$F$10="Yes",24&gt;=Projects!$C$10,24&lt;Projects!$C$10+Projects!$D$10),Projects!$B$10*(1-SUMPRODUCT((Curves!$B$4:$AO$4)*(COLUMN(Curves!$B$4:$AO$4)-COLUMN(Curves!$B$4)+1&lt;=24-Projects!$C$10+1))),0)</f>
        <v/>
      </c>
      <c r="AA13" s="309">
        <f>IF(AND(Projects!$G$10="Yes",Projects!$F$10="Yes",25&gt;=Projects!$C$10,25&lt;Projects!$C$10+Projects!$D$10),Projects!$B$10*(1-SUMPRODUCT((Curves!$B$4:$AO$4)*(COLUMN(Curves!$B$4:$AO$4)-COLUMN(Curves!$B$4)+1&lt;=25-Projects!$C$10+1))),0)</f>
        <v/>
      </c>
      <c r="AB13" s="309">
        <f>IF(AND(Projects!$G$10="Yes",Projects!$F$10="Yes",26&gt;=Projects!$C$10,26&lt;Projects!$C$10+Projects!$D$10),Projects!$B$10*(1-SUMPRODUCT((Curves!$B$4:$AO$4)*(COLUMN(Curves!$B$4:$AO$4)-COLUMN(Curves!$B$4)+1&lt;=26-Projects!$C$10+1))),0)</f>
        <v/>
      </c>
      <c r="AC13" s="309">
        <f>IF(AND(Projects!$G$10="Yes",Projects!$F$10="Yes",27&gt;=Projects!$C$10,27&lt;Projects!$C$10+Projects!$D$10),Projects!$B$10*(1-SUMPRODUCT((Curves!$B$4:$AO$4)*(COLUMN(Curves!$B$4:$AO$4)-COLUMN(Curves!$B$4)+1&lt;=27-Projects!$C$10+1))),0)</f>
        <v/>
      </c>
      <c r="AD13" s="309">
        <f>IF(AND(Projects!$G$10="Yes",Projects!$F$10="Yes",28&gt;=Projects!$C$10,28&lt;Projects!$C$10+Projects!$D$10),Projects!$B$10*(1-SUMPRODUCT((Curves!$B$4:$AO$4)*(COLUMN(Curves!$B$4:$AO$4)-COLUMN(Curves!$B$4)+1&lt;=28-Projects!$C$10+1))),0)</f>
        <v/>
      </c>
      <c r="AE13" s="309">
        <f>IF(AND(Projects!$G$10="Yes",Projects!$F$10="Yes",29&gt;=Projects!$C$10,29&lt;Projects!$C$10+Projects!$D$10),Projects!$B$10*(1-SUMPRODUCT((Curves!$B$4:$AO$4)*(COLUMN(Curves!$B$4:$AO$4)-COLUMN(Curves!$B$4)+1&lt;=29-Projects!$C$10+1))),0)</f>
        <v/>
      </c>
      <c r="AF13" s="309">
        <f>IF(AND(Projects!$G$10="Yes",Projects!$F$10="Yes",30&gt;=Projects!$C$10,30&lt;Projects!$C$10+Projects!$D$10),Projects!$B$10*(1-SUMPRODUCT((Curves!$B$4:$AO$4)*(COLUMN(Curves!$B$4:$AO$4)-COLUMN(Curves!$B$4)+1&lt;=30-Projects!$C$10+1))),0)</f>
        <v/>
      </c>
      <c r="AG13" s="309">
        <f>IF(AND(Projects!$G$10="Yes",Projects!$F$10="Yes",31&gt;=Projects!$C$10,31&lt;Projects!$C$10+Projects!$D$10),Projects!$B$10*(1-SUMPRODUCT((Curves!$B$4:$AO$4)*(COLUMN(Curves!$B$4:$AO$4)-COLUMN(Curves!$B$4)+1&lt;=31-Projects!$C$10+1))),0)</f>
        <v/>
      </c>
      <c r="AH13" s="309">
        <f>IF(AND(Projects!$G$10="Yes",Projects!$F$10="Yes",32&gt;=Projects!$C$10,32&lt;Projects!$C$10+Projects!$D$10),Projects!$B$10*(1-SUMPRODUCT((Curves!$B$4:$AO$4)*(COLUMN(Curves!$B$4:$AO$4)-COLUMN(Curves!$B$4)+1&lt;=32-Projects!$C$10+1))),0)</f>
        <v/>
      </c>
      <c r="AI13" s="309">
        <f>IF(AND(Projects!$G$10="Yes",Projects!$F$10="Yes",33&gt;=Projects!$C$10,33&lt;Projects!$C$10+Projects!$D$10),Projects!$B$10*(1-SUMPRODUCT((Curves!$B$4:$AO$4)*(COLUMN(Curves!$B$4:$AO$4)-COLUMN(Curves!$B$4)+1&lt;=33-Projects!$C$10+1))),0)</f>
        <v/>
      </c>
      <c r="AJ13" s="309">
        <f>IF(AND(Projects!$G$10="Yes",Projects!$F$10="Yes",34&gt;=Projects!$C$10,34&lt;Projects!$C$10+Projects!$D$10),Projects!$B$10*(1-SUMPRODUCT((Curves!$B$4:$AO$4)*(COLUMN(Curves!$B$4:$AO$4)-COLUMN(Curves!$B$4)+1&lt;=34-Projects!$C$10+1))),0)</f>
        <v/>
      </c>
      <c r="AK13" s="309">
        <f>IF(AND(Projects!$G$10="Yes",Projects!$F$10="Yes",35&gt;=Projects!$C$10,35&lt;Projects!$C$10+Projects!$D$10),Projects!$B$10*(1-SUMPRODUCT((Curves!$B$4:$AO$4)*(COLUMN(Curves!$B$4:$AO$4)-COLUMN(Curves!$B$4)+1&lt;=35-Projects!$C$10+1))),0)</f>
        <v/>
      </c>
      <c r="AL13" s="309">
        <f>IF(AND(Projects!$G$10="Yes",Projects!$F$10="Yes",36&gt;=Projects!$C$10,36&lt;Projects!$C$10+Projects!$D$10),Projects!$B$10*(1-SUMPRODUCT((Curves!$B$4:$AO$4)*(COLUMN(Curves!$B$4:$AO$4)-COLUMN(Curves!$B$4)+1&lt;=36-Projects!$C$10+1))),0)</f>
        <v/>
      </c>
      <c r="AM13" s="309">
        <f>IF(AND(Projects!$G$10="Yes",Projects!$F$10="Yes",37&gt;=Projects!$C$10,37&lt;Projects!$C$10+Projects!$D$10),Projects!$B$10*(1-SUMPRODUCT((Curves!$B$4:$AO$4)*(COLUMN(Curves!$B$4:$AO$4)-COLUMN(Curves!$B$4)+1&lt;=37-Projects!$C$10+1))),0)</f>
        <v/>
      </c>
      <c r="AN13" s="309">
        <f>IF(AND(Projects!$G$10="Yes",Projects!$F$10="Yes",38&gt;=Projects!$C$10,38&lt;Projects!$C$10+Projects!$D$10),Projects!$B$10*(1-SUMPRODUCT((Curves!$B$4:$AO$4)*(COLUMN(Curves!$B$4:$AO$4)-COLUMN(Curves!$B$4)+1&lt;=38-Projects!$C$10+1))),0)</f>
        <v/>
      </c>
      <c r="AO13" s="309">
        <f>IF(AND(Projects!$G$10="Yes",Projects!$F$10="Yes",39&gt;=Projects!$C$10,39&lt;Projects!$C$10+Projects!$D$10),Projects!$B$10*(1-SUMPRODUCT((Curves!$B$4:$AO$4)*(COLUMN(Curves!$B$4:$AO$4)-COLUMN(Curves!$B$4)+1&lt;=39-Projects!$C$10+1))),0)</f>
        <v/>
      </c>
      <c r="AP13" s="309">
        <f>IF(AND(Projects!$G$10="Yes",Projects!$F$10="Yes",40&gt;=Projects!$C$10,40&lt;Projects!$C$10+Projects!$D$10),Projects!$B$10*(1-SUMPRODUCT((Curves!$B$4:$AO$4)*(COLUMN(Curves!$B$4:$AO$4)-COLUMN(Curves!$B$4)+1&lt;=40-Projects!$C$10+1))),0)</f>
        <v/>
      </c>
      <c r="AQ13" s="309">
        <f>IF(AND(Projects!$G$10="Yes",Projects!$F$10="Yes",41&gt;=Projects!$C$10,41&lt;Projects!$C$10+Projects!$D$10),Projects!$B$10*(1-SUMPRODUCT((Curves!$B$4:$AO$4)*(COLUMN(Curves!$B$4:$AO$4)-COLUMN(Curves!$B$4)+1&lt;=41-Projects!$C$10+1))),0)</f>
        <v/>
      </c>
      <c r="AR13" s="309">
        <f>IF(AND(Projects!$G$10="Yes",Projects!$F$10="Yes",42&gt;=Projects!$C$10,42&lt;Projects!$C$10+Projects!$D$10),Projects!$B$10*(1-SUMPRODUCT((Curves!$B$4:$AO$4)*(COLUMN(Curves!$B$4:$AO$4)-COLUMN(Curves!$B$4)+1&lt;=42-Projects!$C$10+1))),0)</f>
        <v/>
      </c>
      <c r="AS13" s="309">
        <f>IF(AND(Projects!$G$10="Yes",Projects!$F$10="Yes",43&gt;=Projects!$C$10,43&lt;Projects!$C$10+Projects!$D$10),Projects!$B$10*(1-SUMPRODUCT((Curves!$B$4:$AO$4)*(COLUMN(Curves!$B$4:$AO$4)-COLUMN(Curves!$B$4)+1&lt;=43-Projects!$C$10+1))),0)</f>
        <v/>
      </c>
      <c r="AT13" s="309">
        <f>IF(AND(Projects!$G$10="Yes",Projects!$F$10="Yes",44&gt;=Projects!$C$10,44&lt;Projects!$C$10+Projects!$D$10),Projects!$B$10*(1-SUMPRODUCT((Curves!$B$4:$AO$4)*(COLUMN(Curves!$B$4:$AO$4)-COLUMN(Curves!$B$4)+1&lt;=44-Projects!$C$10+1))),0)</f>
        <v/>
      </c>
      <c r="AU13" s="309">
        <f>IF(AND(Projects!$G$10="Yes",Projects!$F$10="Yes",45&gt;=Projects!$C$10,45&lt;Projects!$C$10+Projects!$D$10),Projects!$B$10*(1-SUMPRODUCT((Curves!$B$4:$AO$4)*(COLUMN(Curves!$B$4:$AO$4)-COLUMN(Curves!$B$4)+1&lt;=45-Projects!$C$10+1))),0)</f>
        <v/>
      </c>
      <c r="AV13" s="309">
        <f>IF(AND(Projects!$G$10="Yes",Projects!$F$10="Yes",46&gt;=Projects!$C$10,46&lt;Projects!$C$10+Projects!$D$10),Projects!$B$10*(1-SUMPRODUCT((Curves!$B$4:$AO$4)*(COLUMN(Curves!$B$4:$AO$4)-COLUMN(Curves!$B$4)+1&lt;=46-Projects!$C$10+1))),0)</f>
        <v/>
      </c>
      <c r="AW13" s="309">
        <f>IF(AND(Projects!$G$10="Yes",Projects!$F$10="Yes",47&gt;=Projects!$C$10,47&lt;Projects!$C$10+Projects!$D$10),Projects!$B$10*(1-SUMPRODUCT((Curves!$B$4:$AO$4)*(COLUMN(Curves!$B$4:$AO$4)-COLUMN(Curves!$B$4)+1&lt;=47-Projects!$C$10+1))),0)</f>
        <v/>
      </c>
      <c r="AX13" s="309">
        <f>IF(AND(Projects!$G$10="Yes",Projects!$F$10="Yes",48&gt;=Projects!$C$10,48&lt;Projects!$C$10+Projects!$D$10),Projects!$B$10*(1-SUMPRODUCT((Curves!$B$4:$AO$4)*(COLUMN(Curves!$B$4:$AO$4)-COLUMN(Curves!$B$4)+1&lt;=48-Projects!$C$10+1))),0)</f>
        <v/>
      </c>
      <c r="AY13" s="309">
        <f>IF(AND(Projects!$G$10="Yes",Projects!$F$10="Yes",49&gt;=Projects!$C$10,49&lt;Projects!$C$10+Projects!$D$10),Projects!$B$10*(1-SUMPRODUCT((Curves!$B$4:$AO$4)*(COLUMN(Curves!$B$4:$AO$4)-COLUMN(Curves!$B$4)+1&lt;=49-Projects!$C$10+1))),0)</f>
        <v/>
      </c>
      <c r="AZ13" s="309">
        <f>IF(AND(Projects!$G$10="Yes",Projects!$F$10="Yes",50&gt;=Projects!$C$10,50&lt;Projects!$C$10+Projects!$D$10),Projects!$B$10*(1-SUMPRODUCT((Curves!$B$4:$AO$4)*(COLUMN(Curves!$B$4:$AO$4)-COLUMN(Curves!$B$4)+1&lt;=50-Projects!$C$10+1))),0)</f>
        <v/>
      </c>
      <c r="BA13" s="309">
        <f>IF(AND(Projects!$G$10="Yes",Projects!$F$10="Yes",51&gt;=Projects!$C$10,51&lt;Projects!$C$10+Projects!$D$10),Projects!$B$10*(1-SUMPRODUCT((Curves!$B$4:$AO$4)*(COLUMN(Curves!$B$4:$AO$4)-COLUMN(Curves!$B$4)+1&lt;=51-Projects!$C$10+1))),0)</f>
        <v/>
      </c>
      <c r="BB13" s="309">
        <f>IF(AND(Projects!$G$10="Yes",Projects!$F$10="Yes",52&gt;=Projects!$C$10,52&lt;Projects!$C$10+Projects!$D$10),Projects!$B$10*(1-SUMPRODUCT((Curves!$B$4:$AO$4)*(COLUMN(Curves!$B$4:$AO$4)-COLUMN(Curves!$B$4)+1&lt;=52-Projects!$C$10+1))),0)</f>
        <v/>
      </c>
      <c r="BC13" s="309">
        <f>IF(AND(Projects!$G$10="Yes",Projects!$F$10="Yes",53&gt;=Projects!$C$10,53&lt;Projects!$C$10+Projects!$D$10),Projects!$B$10*(1-SUMPRODUCT((Curves!$B$4:$AO$4)*(COLUMN(Curves!$B$4:$AO$4)-COLUMN(Curves!$B$4)+1&lt;=53-Projects!$C$10+1))),0)</f>
        <v/>
      </c>
      <c r="BD13" s="309">
        <f>IF(AND(Projects!$G$10="Yes",Projects!$F$10="Yes",54&gt;=Projects!$C$10,54&lt;Projects!$C$10+Projects!$D$10),Projects!$B$10*(1-SUMPRODUCT((Curves!$B$4:$AO$4)*(COLUMN(Curves!$B$4:$AO$4)-COLUMN(Curves!$B$4)+1&lt;=54-Projects!$C$10+1))),0)</f>
        <v/>
      </c>
      <c r="BE13" s="309">
        <f>IF(AND(Projects!$G$10="Yes",Projects!$F$10="Yes",55&gt;=Projects!$C$10,55&lt;Projects!$C$10+Projects!$D$10),Projects!$B$10*(1-SUMPRODUCT((Curves!$B$4:$AO$4)*(COLUMN(Curves!$B$4:$AO$4)-COLUMN(Curves!$B$4)+1&lt;=55-Projects!$C$10+1))),0)</f>
        <v/>
      </c>
      <c r="BF13" s="309">
        <f>IF(AND(Projects!$G$10="Yes",Projects!$F$10="Yes",56&gt;=Projects!$C$10,56&lt;Projects!$C$10+Projects!$D$10),Projects!$B$10*(1-SUMPRODUCT((Curves!$B$4:$AO$4)*(COLUMN(Curves!$B$4:$AO$4)-COLUMN(Curves!$B$4)+1&lt;=56-Projects!$C$10+1))),0)</f>
        <v/>
      </c>
      <c r="BG13" s="309">
        <f>IF(AND(Projects!$G$10="Yes",Projects!$F$10="Yes",57&gt;=Projects!$C$10,57&lt;Projects!$C$10+Projects!$D$10),Projects!$B$10*(1-SUMPRODUCT((Curves!$B$4:$AO$4)*(COLUMN(Curves!$B$4:$AO$4)-COLUMN(Curves!$B$4)+1&lt;=57-Projects!$C$10+1))),0)</f>
        <v/>
      </c>
      <c r="BH13" s="309">
        <f>IF(AND(Projects!$G$10="Yes",Projects!$F$10="Yes",58&gt;=Projects!$C$10,58&lt;Projects!$C$10+Projects!$D$10),Projects!$B$10*(1-SUMPRODUCT((Curves!$B$4:$AO$4)*(COLUMN(Curves!$B$4:$AO$4)-COLUMN(Curves!$B$4)+1&lt;=58-Projects!$C$10+1))),0)</f>
        <v/>
      </c>
      <c r="BI13" s="309">
        <f>IF(AND(Projects!$G$10="Yes",Projects!$F$10="Yes",59&gt;=Projects!$C$10,59&lt;Projects!$C$10+Projects!$D$10),Projects!$B$10*(1-SUMPRODUCT((Curves!$B$4:$AO$4)*(COLUMN(Curves!$B$4:$AO$4)-COLUMN(Curves!$B$4)+1&lt;=59-Projects!$C$10+1))),0)</f>
        <v/>
      </c>
      <c r="BJ13" s="309">
        <f>IF(AND(Projects!$G$10="Yes",Projects!$F$10="Yes",60&gt;=Projects!$C$10,60&lt;Projects!$C$10+Projects!$D$10),Projects!$B$10*(1-SUMPRODUCT((Curves!$B$4:$AO$4)*(COLUMN(Curves!$B$4:$AO$4)-COLUMN(Curves!$B$4)+1&lt;=60-Projects!$C$10+1))),0)</f>
        <v/>
      </c>
      <c r="BK13" s="309">
        <f>IF(AND(Projects!$G$10="Yes",Projects!$F$10="Yes",61&gt;=Projects!$C$10,61&lt;Projects!$C$10+Projects!$D$10),Projects!$B$10*(1-SUMPRODUCT((Curves!$B$4:$AO$4)*(COLUMN(Curves!$B$4:$AO$4)-COLUMN(Curves!$B$4)+1&lt;=61-Projects!$C$10+1))),0)</f>
        <v/>
      </c>
      <c r="BL13" s="309">
        <f>IF(AND(Projects!$G$10="Yes",Projects!$F$10="Yes",62&gt;=Projects!$C$10,62&lt;Projects!$C$10+Projects!$D$10),Projects!$B$10*(1-SUMPRODUCT((Curves!$B$4:$AO$4)*(COLUMN(Curves!$B$4:$AO$4)-COLUMN(Curves!$B$4)+1&lt;=62-Projects!$C$10+1))),0)</f>
        <v/>
      </c>
      <c r="BM13" s="309">
        <f>IF(AND(Projects!$G$10="Yes",Projects!$F$10="Yes",63&gt;=Projects!$C$10,63&lt;Projects!$C$10+Projects!$D$10),Projects!$B$10*(1-SUMPRODUCT((Curves!$B$4:$AO$4)*(COLUMN(Curves!$B$4:$AO$4)-COLUMN(Curves!$B$4)+1&lt;=63-Projects!$C$10+1))),0)</f>
        <v/>
      </c>
      <c r="BN13" s="309">
        <f>IF(AND(Projects!$G$10="Yes",Projects!$F$10="Yes",64&gt;=Projects!$C$10,64&lt;Projects!$C$10+Projects!$D$10),Projects!$B$10*(1-SUMPRODUCT((Curves!$B$4:$AO$4)*(COLUMN(Curves!$B$4:$AO$4)-COLUMN(Curves!$B$4)+1&lt;=64-Projects!$C$10+1))),0)</f>
        <v/>
      </c>
      <c r="BO13" s="309">
        <f>IF(AND(Projects!$G$10="Yes",Projects!$F$10="Yes",65&gt;=Projects!$C$10,65&lt;Projects!$C$10+Projects!$D$10),Projects!$B$10*(1-SUMPRODUCT((Curves!$B$4:$AO$4)*(COLUMN(Curves!$B$4:$AO$4)-COLUMN(Curves!$B$4)+1&lt;=65-Projects!$C$10+1))),0)</f>
        <v/>
      </c>
      <c r="BP13" s="309">
        <f>IF(AND(Projects!$G$10="Yes",Projects!$F$10="Yes",66&gt;=Projects!$C$10,66&lt;Projects!$C$10+Projects!$D$10),Projects!$B$10*(1-SUMPRODUCT((Curves!$B$4:$AO$4)*(COLUMN(Curves!$B$4:$AO$4)-COLUMN(Curves!$B$4)+1&lt;=66-Projects!$C$10+1))),0)</f>
        <v/>
      </c>
      <c r="BQ13" s="309">
        <f>IF(AND(Projects!$G$10="Yes",Projects!$F$10="Yes",67&gt;=Projects!$C$10,67&lt;Projects!$C$10+Projects!$D$10),Projects!$B$10*(1-SUMPRODUCT((Curves!$B$4:$AO$4)*(COLUMN(Curves!$B$4:$AO$4)-COLUMN(Curves!$B$4)+1&lt;=67-Projects!$C$10+1))),0)</f>
        <v/>
      </c>
      <c r="BR13" s="309">
        <f>IF(AND(Projects!$G$10="Yes",Projects!$F$10="Yes",68&gt;=Projects!$C$10,68&lt;Projects!$C$10+Projects!$D$10),Projects!$B$10*(1-SUMPRODUCT((Curves!$B$4:$AO$4)*(COLUMN(Curves!$B$4:$AO$4)-COLUMN(Curves!$B$4)+1&lt;=68-Projects!$C$10+1))),0)</f>
        <v/>
      </c>
      <c r="BS13" s="309">
        <f>IF(AND(Projects!$G$10="Yes",Projects!$F$10="Yes",69&gt;=Projects!$C$10,69&lt;Projects!$C$10+Projects!$D$10),Projects!$B$10*(1-SUMPRODUCT((Curves!$B$4:$AO$4)*(COLUMN(Curves!$B$4:$AO$4)-COLUMN(Curves!$B$4)+1&lt;=69-Projects!$C$10+1))),0)</f>
        <v/>
      </c>
      <c r="BT13" s="309">
        <f>IF(AND(Projects!$G$10="Yes",Projects!$F$10="Yes",70&gt;=Projects!$C$10,70&lt;Projects!$C$10+Projects!$D$10),Projects!$B$10*(1-SUMPRODUCT((Curves!$B$4:$AO$4)*(COLUMN(Curves!$B$4:$AO$4)-COLUMN(Curves!$B$4)+1&lt;=70-Projects!$C$10+1))),0)</f>
        <v/>
      </c>
      <c r="BU13" s="309">
        <f>IF(AND(Projects!$G$10="Yes",Projects!$F$10="Yes",71&gt;=Projects!$C$10,71&lt;Projects!$C$10+Projects!$D$10),Projects!$B$10*(1-SUMPRODUCT((Curves!$B$4:$AO$4)*(COLUMN(Curves!$B$4:$AO$4)-COLUMN(Curves!$B$4)+1&lt;=71-Projects!$C$10+1))),0)</f>
        <v/>
      </c>
      <c r="BV13" s="309">
        <f>IF(AND(Projects!$G$10="Yes",Projects!$F$10="Yes",72&gt;=Projects!$C$10,72&lt;Projects!$C$10+Projects!$D$10),Projects!$B$10*(1-SUMPRODUCT((Curves!$B$4:$AO$4)*(COLUMN(Curves!$B$4:$AO$4)-COLUMN(Curves!$B$4)+1&lt;=72-Projects!$C$10+1))),0)</f>
        <v/>
      </c>
      <c r="BW13" s="309">
        <f>IF(AND(Projects!$G$10="Yes",Projects!$F$10="Yes",73&gt;=Projects!$C$10,73&lt;Projects!$C$10+Projects!$D$10),Projects!$B$10*(1-SUMPRODUCT((Curves!$B$4:$AO$4)*(COLUMN(Curves!$B$4:$AO$4)-COLUMN(Curves!$B$4)+1&lt;=73-Projects!$C$10+1))),0)</f>
        <v/>
      </c>
      <c r="BX13" s="309">
        <f>IF(AND(Projects!$G$10="Yes",Projects!$F$10="Yes",74&gt;=Projects!$C$10,74&lt;Projects!$C$10+Projects!$D$10),Projects!$B$10*(1-SUMPRODUCT((Curves!$B$4:$AO$4)*(COLUMN(Curves!$B$4:$AO$4)-COLUMN(Curves!$B$4)+1&lt;=74-Projects!$C$10+1))),0)</f>
        <v/>
      </c>
      <c r="BY13" s="309">
        <f>IF(AND(Projects!$G$10="Yes",Projects!$F$10="Yes",75&gt;=Projects!$C$10,75&lt;Projects!$C$10+Projects!$D$10),Projects!$B$10*(1-SUMPRODUCT((Curves!$B$4:$AO$4)*(COLUMN(Curves!$B$4:$AO$4)-COLUMN(Curves!$B$4)+1&lt;=75-Projects!$C$10+1))),0)</f>
        <v/>
      </c>
      <c r="BZ13" s="309">
        <f>IF(AND(Projects!$G$10="Yes",Projects!$F$10="Yes",76&gt;=Projects!$C$10,76&lt;Projects!$C$10+Projects!$D$10),Projects!$B$10*(1-SUMPRODUCT((Curves!$B$4:$AO$4)*(COLUMN(Curves!$B$4:$AO$4)-COLUMN(Curves!$B$4)+1&lt;=76-Projects!$C$10+1))),0)</f>
        <v/>
      </c>
      <c r="CA13" s="309">
        <f>IF(AND(Projects!$G$10="Yes",Projects!$F$10="Yes",77&gt;=Projects!$C$10,77&lt;Projects!$C$10+Projects!$D$10),Projects!$B$10*(1-SUMPRODUCT((Curves!$B$4:$AO$4)*(COLUMN(Curves!$B$4:$AO$4)-COLUMN(Curves!$B$4)+1&lt;=77-Projects!$C$10+1))),0)</f>
        <v/>
      </c>
      <c r="CB13" s="309">
        <f>IF(AND(Projects!$G$10="Yes",Projects!$F$10="Yes",78&gt;=Projects!$C$10,78&lt;Projects!$C$10+Projects!$D$10),Projects!$B$10*(1-SUMPRODUCT((Curves!$B$4:$AO$4)*(COLUMN(Curves!$B$4:$AO$4)-COLUMN(Curves!$B$4)+1&lt;=78-Projects!$C$10+1))),0)</f>
        <v/>
      </c>
      <c r="CC13" s="309">
        <f>IF(AND(Projects!$G$10="Yes",Projects!$F$10="Yes",79&gt;=Projects!$C$10,79&lt;Projects!$C$10+Projects!$D$10),Projects!$B$10*(1-SUMPRODUCT((Curves!$B$4:$AO$4)*(COLUMN(Curves!$B$4:$AO$4)-COLUMN(Curves!$B$4)+1&lt;=79-Projects!$C$10+1))),0)</f>
        <v/>
      </c>
      <c r="CD13" s="309">
        <f>IF(AND(Projects!$G$10="Yes",Projects!$F$10="Yes",80&gt;=Projects!$C$10,80&lt;Projects!$C$10+Projects!$D$10),Projects!$B$10*(1-SUMPRODUCT((Curves!$B$4:$AO$4)*(COLUMN(Curves!$B$4:$AO$4)-COLUMN(Curves!$B$4)+1&lt;=80-Projects!$C$10+1))),0)</f>
        <v/>
      </c>
      <c r="CE13" s="309">
        <f>IF(AND(Projects!$G$10="Yes",Projects!$F$10="Yes",81&gt;=Projects!$C$10,81&lt;Projects!$C$10+Projects!$D$10),Projects!$B$10*(1-SUMPRODUCT((Curves!$B$4:$AO$4)*(COLUMN(Curves!$B$4:$AO$4)-COLUMN(Curves!$B$4)+1&lt;=81-Projects!$C$10+1))),0)</f>
        <v/>
      </c>
      <c r="CF13" s="309">
        <f>IF(AND(Projects!$G$10="Yes",Projects!$F$10="Yes",82&gt;=Projects!$C$10,82&lt;Projects!$C$10+Projects!$D$10),Projects!$B$10*(1-SUMPRODUCT((Curves!$B$4:$AO$4)*(COLUMN(Curves!$B$4:$AO$4)-COLUMN(Curves!$B$4)+1&lt;=82-Projects!$C$10+1))),0)</f>
        <v/>
      </c>
      <c r="CG13" s="309">
        <f>IF(AND(Projects!$G$10="Yes",Projects!$F$10="Yes",83&gt;=Projects!$C$10,83&lt;Projects!$C$10+Projects!$D$10),Projects!$B$10*(1-SUMPRODUCT((Curves!$B$4:$AO$4)*(COLUMN(Curves!$B$4:$AO$4)-COLUMN(Curves!$B$4)+1&lt;=83-Projects!$C$10+1))),0)</f>
        <v/>
      </c>
      <c r="CH13" s="309">
        <f>IF(AND(Projects!$G$10="Yes",Projects!$F$10="Yes",84&gt;=Projects!$C$10,84&lt;Projects!$C$10+Projects!$D$10),Projects!$B$10*(1-SUMPRODUCT((Curves!$B$4:$AO$4)*(COLUMN(Curves!$B$4:$AO$4)-COLUMN(Curves!$B$4)+1&lt;=84-Projects!$C$10+1))),0)</f>
        <v/>
      </c>
    </row>
    <row r="14" ht="15" customHeight="1" s="202">
      <c r="A14" s="302" t="inlineStr">
        <is>
          <t>Reseda</t>
        </is>
      </c>
      <c r="C14" s="309">
        <f>IF(AND(Projects!$G$13="Yes",Projects!$F$13="Yes",1&gt;=Projects!$C$13,1&lt;Projects!$C$13+Projects!$D$13),Projects!$B$13*(1-SUMPRODUCT((Curves!$B$2:$AO$2)*(COLUMN(Curves!$B$2:$AO$2)-COLUMN(Curves!$B$2)+1&lt;=1-Projects!$C$13+1))),0)</f>
        <v/>
      </c>
      <c r="D14" s="309">
        <f>IF(AND(Projects!$G$13="Yes",Projects!$F$13="Yes",2&gt;=Projects!$C$13,2&lt;Projects!$C$13+Projects!$D$13),Projects!$B$13*(1-SUMPRODUCT((Curves!$B$2:$AO$2)*(COLUMN(Curves!$B$2:$AO$2)-COLUMN(Curves!$B$2)+1&lt;=2-Projects!$C$13+1))),0)</f>
        <v/>
      </c>
      <c r="E14" s="309">
        <f>IF(AND(Projects!$G$13="Yes",Projects!$F$13="Yes",3&gt;=Projects!$C$13,3&lt;Projects!$C$13+Projects!$D$13),Projects!$B$13*(1-SUMPRODUCT((Curves!$B$2:$AO$2)*(COLUMN(Curves!$B$2:$AO$2)-COLUMN(Curves!$B$2)+1&lt;=3-Projects!$C$13+1))),0)</f>
        <v/>
      </c>
      <c r="F14" s="309">
        <f>IF(AND(Projects!$G$13="Yes",Projects!$F$13="Yes",4&gt;=Projects!$C$13,4&lt;Projects!$C$13+Projects!$D$13),Projects!$B$13*(1-SUMPRODUCT((Curves!$B$2:$AO$2)*(COLUMN(Curves!$B$2:$AO$2)-COLUMN(Curves!$B$2)+1&lt;=4-Projects!$C$13+1))),0)</f>
        <v/>
      </c>
      <c r="G14" s="309">
        <f>IF(AND(Projects!$G$13="Yes",Projects!$F$13="Yes",5&gt;=Projects!$C$13,5&lt;Projects!$C$13+Projects!$D$13),Projects!$B$13*(1-SUMPRODUCT((Curves!$B$2:$AO$2)*(COLUMN(Curves!$B$2:$AO$2)-COLUMN(Curves!$B$2)+1&lt;=5-Projects!$C$13+1))),0)</f>
        <v/>
      </c>
      <c r="H14" s="309">
        <f>IF(AND(Projects!$G$13="Yes",Projects!$F$13="Yes",6&gt;=Projects!$C$13,6&lt;Projects!$C$13+Projects!$D$13),Projects!$B$13*(1-SUMPRODUCT((Curves!$B$2:$AO$2)*(COLUMN(Curves!$B$2:$AO$2)-COLUMN(Curves!$B$2)+1&lt;=6-Projects!$C$13+1))),0)</f>
        <v/>
      </c>
      <c r="I14" s="309">
        <f>IF(AND(Projects!$G$13="Yes",Projects!$F$13="Yes",7&gt;=Projects!$C$13,7&lt;Projects!$C$13+Projects!$D$13),Projects!$B$13*(1-SUMPRODUCT((Curves!$B$2:$AO$2)*(COLUMN(Curves!$B$2:$AO$2)-COLUMN(Curves!$B$2)+1&lt;=7-Projects!$C$13+1))),0)</f>
        <v/>
      </c>
      <c r="J14" s="309">
        <f>IF(AND(Projects!$G$13="Yes",Projects!$F$13="Yes",8&gt;=Projects!$C$13,8&lt;Projects!$C$13+Projects!$D$13),Projects!$B$13*(1-SUMPRODUCT((Curves!$B$2:$AO$2)*(COLUMN(Curves!$B$2:$AO$2)-COLUMN(Curves!$B$2)+1&lt;=8-Projects!$C$13+1))),0)</f>
        <v/>
      </c>
      <c r="K14" s="309">
        <f>IF(AND(Projects!$G$13="Yes",Projects!$F$13="Yes",9&gt;=Projects!$C$13,9&lt;Projects!$C$13+Projects!$D$13),Projects!$B$13*(1-SUMPRODUCT((Curves!$B$2:$AO$2)*(COLUMN(Curves!$B$2:$AO$2)-COLUMN(Curves!$B$2)+1&lt;=9-Projects!$C$13+1))),0)</f>
        <v/>
      </c>
      <c r="L14" s="309">
        <f>IF(AND(Projects!$G$13="Yes",Projects!$F$13="Yes",10&gt;=Projects!$C$13,10&lt;Projects!$C$13+Projects!$D$13),Projects!$B$13*(1-SUMPRODUCT((Curves!$B$2:$AO$2)*(COLUMN(Curves!$B$2:$AO$2)-COLUMN(Curves!$B$2)+1&lt;=10-Projects!$C$13+1))),0)</f>
        <v/>
      </c>
      <c r="M14" s="309">
        <f>IF(AND(Projects!$G$13="Yes",Projects!$F$13="Yes",11&gt;=Projects!$C$13,11&lt;Projects!$C$13+Projects!$D$13),Projects!$B$13*(1-SUMPRODUCT((Curves!$B$2:$AO$2)*(COLUMN(Curves!$B$2:$AO$2)-COLUMN(Curves!$B$2)+1&lt;=11-Projects!$C$13+1))),0)</f>
        <v/>
      </c>
      <c r="N14" s="309">
        <f>IF(AND(Projects!$G$13="Yes",Projects!$F$13="Yes",12&gt;=Projects!$C$13,12&lt;Projects!$C$13+Projects!$D$13),Projects!$B$13*(1-SUMPRODUCT((Curves!$B$2:$AO$2)*(COLUMN(Curves!$B$2:$AO$2)-COLUMN(Curves!$B$2)+1&lt;=12-Projects!$C$13+1))),0)</f>
        <v/>
      </c>
      <c r="O14" s="309">
        <f>IF(AND(Projects!$G$13="Yes",Projects!$F$13="Yes",13&gt;=Projects!$C$13,13&lt;Projects!$C$13+Projects!$D$13),Projects!$B$13*(1-SUMPRODUCT((Curves!$B$2:$AO$2)*(COLUMN(Curves!$B$2:$AO$2)-COLUMN(Curves!$B$2)+1&lt;=13-Projects!$C$13+1))),0)</f>
        <v/>
      </c>
      <c r="P14" s="309">
        <f>IF(AND(Projects!$G$13="Yes",Projects!$F$13="Yes",14&gt;=Projects!$C$13,14&lt;Projects!$C$13+Projects!$D$13),Projects!$B$13*(1-SUMPRODUCT((Curves!$B$2:$AO$2)*(COLUMN(Curves!$B$2:$AO$2)-COLUMN(Curves!$B$2)+1&lt;=14-Projects!$C$13+1))),0)</f>
        <v/>
      </c>
      <c r="Q14" s="309">
        <f>IF(AND(Projects!$G$13="Yes",Projects!$F$13="Yes",15&gt;=Projects!$C$13,15&lt;Projects!$C$13+Projects!$D$13),Projects!$B$13*(1-SUMPRODUCT((Curves!$B$2:$AO$2)*(COLUMN(Curves!$B$2:$AO$2)-COLUMN(Curves!$B$2)+1&lt;=15-Projects!$C$13+1))),0)</f>
        <v/>
      </c>
      <c r="R14" s="309">
        <f>IF(AND(Projects!$G$13="Yes",Projects!$F$13="Yes",16&gt;=Projects!$C$13,16&lt;Projects!$C$13+Projects!$D$13),Projects!$B$13*(1-SUMPRODUCT((Curves!$B$2:$AO$2)*(COLUMN(Curves!$B$2:$AO$2)-COLUMN(Curves!$B$2)+1&lt;=16-Projects!$C$13+1))),0)</f>
        <v/>
      </c>
      <c r="S14" s="309">
        <f>IF(AND(Projects!$G$13="Yes",Projects!$F$13="Yes",17&gt;=Projects!$C$13,17&lt;Projects!$C$13+Projects!$D$13),Projects!$B$13*(1-SUMPRODUCT((Curves!$B$2:$AO$2)*(COLUMN(Curves!$B$2:$AO$2)-COLUMN(Curves!$B$2)+1&lt;=17-Projects!$C$13+1))),0)</f>
        <v/>
      </c>
      <c r="T14" s="309">
        <f>IF(AND(Projects!$G$13="Yes",Projects!$F$13="Yes",18&gt;=Projects!$C$13,18&lt;Projects!$C$13+Projects!$D$13),Projects!$B$13*(1-SUMPRODUCT((Curves!$B$2:$AO$2)*(COLUMN(Curves!$B$2:$AO$2)-COLUMN(Curves!$B$2)+1&lt;=18-Projects!$C$13+1))),0)</f>
        <v/>
      </c>
      <c r="U14" s="309">
        <f>IF(AND(Projects!$G$13="Yes",Projects!$F$13="Yes",19&gt;=Projects!$C$13,19&lt;Projects!$C$13+Projects!$D$13),Projects!$B$13*(1-SUMPRODUCT((Curves!$B$2:$AO$2)*(COLUMN(Curves!$B$2:$AO$2)-COLUMN(Curves!$B$2)+1&lt;=19-Projects!$C$13+1))),0)</f>
        <v/>
      </c>
      <c r="V14" s="309">
        <f>IF(AND(Projects!$G$13="Yes",Projects!$F$13="Yes",20&gt;=Projects!$C$13,20&lt;Projects!$C$13+Projects!$D$13),Projects!$B$13*(1-SUMPRODUCT((Curves!$B$2:$AO$2)*(COLUMN(Curves!$B$2:$AO$2)-COLUMN(Curves!$B$2)+1&lt;=20-Projects!$C$13+1))),0)</f>
        <v/>
      </c>
      <c r="W14" s="309">
        <f>IF(AND(Projects!$G$13="Yes",Projects!$F$13="Yes",21&gt;=Projects!$C$13,21&lt;Projects!$C$13+Projects!$D$13),Projects!$B$13*(1-SUMPRODUCT((Curves!$B$2:$AO$2)*(COLUMN(Curves!$B$2:$AO$2)-COLUMN(Curves!$B$2)+1&lt;=21-Projects!$C$13+1))),0)</f>
        <v/>
      </c>
      <c r="X14" s="309">
        <f>IF(AND(Projects!$G$13="Yes",Projects!$F$13="Yes",22&gt;=Projects!$C$13,22&lt;Projects!$C$13+Projects!$D$13),Projects!$B$13*(1-SUMPRODUCT((Curves!$B$2:$AO$2)*(COLUMN(Curves!$B$2:$AO$2)-COLUMN(Curves!$B$2)+1&lt;=22-Projects!$C$13+1))),0)</f>
        <v/>
      </c>
      <c r="Y14" s="309">
        <f>IF(AND(Projects!$G$13="Yes",Projects!$F$13="Yes",23&gt;=Projects!$C$13,23&lt;Projects!$C$13+Projects!$D$13),Projects!$B$13*(1-SUMPRODUCT((Curves!$B$2:$AO$2)*(COLUMN(Curves!$B$2:$AO$2)-COLUMN(Curves!$B$2)+1&lt;=23-Projects!$C$13+1))),0)</f>
        <v/>
      </c>
      <c r="Z14" s="309">
        <f>IF(AND(Projects!$G$13="Yes",Projects!$F$13="Yes",24&gt;=Projects!$C$13,24&lt;Projects!$C$13+Projects!$D$13),Projects!$B$13*(1-SUMPRODUCT((Curves!$B$2:$AO$2)*(COLUMN(Curves!$B$2:$AO$2)-COLUMN(Curves!$B$2)+1&lt;=24-Projects!$C$13+1))),0)</f>
        <v/>
      </c>
      <c r="AA14" s="309">
        <f>IF(AND(Projects!$G$13="Yes",Projects!$F$13="Yes",25&gt;=Projects!$C$13,25&lt;Projects!$C$13+Projects!$D$13),Projects!$B$13*(1-SUMPRODUCT((Curves!$B$2:$AO$2)*(COLUMN(Curves!$B$2:$AO$2)-COLUMN(Curves!$B$2)+1&lt;=25-Projects!$C$13+1))),0)</f>
        <v/>
      </c>
      <c r="AB14" s="309">
        <f>IF(AND(Projects!$G$13="Yes",Projects!$F$13="Yes",26&gt;=Projects!$C$13,26&lt;Projects!$C$13+Projects!$D$13),Projects!$B$13*(1-SUMPRODUCT((Curves!$B$2:$AO$2)*(COLUMN(Curves!$B$2:$AO$2)-COLUMN(Curves!$B$2)+1&lt;=26-Projects!$C$13+1))),0)</f>
        <v/>
      </c>
      <c r="AC14" s="309">
        <f>IF(AND(Projects!$G$13="Yes",Projects!$F$13="Yes",27&gt;=Projects!$C$13,27&lt;Projects!$C$13+Projects!$D$13),Projects!$B$13*(1-SUMPRODUCT((Curves!$B$2:$AO$2)*(COLUMN(Curves!$B$2:$AO$2)-COLUMN(Curves!$B$2)+1&lt;=27-Projects!$C$13+1))),0)</f>
        <v/>
      </c>
      <c r="AD14" s="309">
        <f>IF(AND(Projects!$G$13="Yes",Projects!$F$13="Yes",28&gt;=Projects!$C$13,28&lt;Projects!$C$13+Projects!$D$13),Projects!$B$13*(1-SUMPRODUCT((Curves!$B$2:$AO$2)*(COLUMN(Curves!$B$2:$AO$2)-COLUMN(Curves!$B$2)+1&lt;=28-Projects!$C$13+1))),0)</f>
        <v/>
      </c>
      <c r="AE14" s="309">
        <f>IF(AND(Projects!$G$13="Yes",Projects!$F$13="Yes",29&gt;=Projects!$C$13,29&lt;Projects!$C$13+Projects!$D$13),Projects!$B$13*(1-SUMPRODUCT((Curves!$B$2:$AO$2)*(COLUMN(Curves!$B$2:$AO$2)-COLUMN(Curves!$B$2)+1&lt;=29-Projects!$C$13+1))),0)</f>
        <v/>
      </c>
      <c r="AF14" s="309">
        <f>IF(AND(Projects!$G$13="Yes",Projects!$F$13="Yes",30&gt;=Projects!$C$13,30&lt;Projects!$C$13+Projects!$D$13),Projects!$B$13*(1-SUMPRODUCT((Curves!$B$2:$AO$2)*(COLUMN(Curves!$B$2:$AO$2)-COLUMN(Curves!$B$2)+1&lt;=30-Projects!$C$13+1))),0)</f>
        <v/>
      </c>
      <c r="AG14" s="309">
        <f>IF(AND(Projects!$G$13="Yes",Projects!$F$13="Yes",31&gt;=Projects!$C$13,31&lt;Projects!$C$13+Projects!$D$13),Projects!$B$13*(1-SUMPRODUCT((Curves!$B$2:$AO$2)*(COLUMN(Curves!$B$2:$AO$2)-COLUMN(Curves!$B$2)+1&lt;=31-Projects!$C$13+1))),0)</f>
        <v/>
      </c>
      <c r="AH14" s="309">
        <f>IF(AND(Projects!$G$13="Yes",Projects!$F$13="Yes",32&gt;=Projects!$C$13,32&lt;Projects!$C$13+Projects!$D$13),Projects!$B$13*(1-SUMPRODUCT((Curves!$B$2:$AO$2)*(COLUMN(Curves!$B$2:$AO$2)-COLUMN(Curves!$B$2)+1&lt;=32-Projects!$C$13+1))),0)</f>
        <v/>
      </c>
      <c r="AI14" s="309">
        <f>IF(AND(Projects!$G$13="Yes",Projects!$F$13="Yes",33&gt;=Projects!$C$13,33&lt;Projects!$C$13+Projects!$D$13),Projects!$B$13*(1-SUMPRODUCT((Curves!$B$2:$AO$2)*(COLUMN(Curves!$B$2:$AO$2)-COLUMN(Curves!$B$2)+1&lt;=33-Projects!$C$13+1))),0)</f>
        <v/>
      </c>
      <c r="AJ14" s="309">
        <f>IF(AND(Projects!$G$13="Yes",Projects!$F$13="Yes",34&gt;=Projects!$C$13,34&lt;Projects!$C$13+Projects!$D$13),Projects!$B$13*(1-SUMPRODUCT((Curves!$B$2:$AO$2)*(COLUMN(Curves!$B$2:$AO$2)-COLUMN(Curves!$B$2)+1&lt;=34-Projects!$C$13+1))),0)</f>
        <v/>
      </c>
      <c r="AK14" s="309">
        <f>IF(AND(Projects!$G$13="Yes",Projects!$F$13="Yes",35&gt;=Projects!$C$13,35&lt;Projects!$C$13+Projects!$D$13),Projects!$B$13*(1-SUMPRODUCT((Curves!$B$2:$AO$2)*(COLUMN(Curves!$B$2:$AO$2)-COLUMN(Curves!$B$2)+1&lt;=35-Projects!$C$13+1))),0)</f>
        <v/>
      </c>
      <c r="AL14" s="309">
        <f>IF(AND(Projects!$G$13="Yes",Projects!$F$13="Yes",36&gt;=Projects!$C$13,36&lt;Projects!$C$13+Projects!$D$13),Projects!$B$13*(1-SUMPRODUCT((Curves!$B$2:$AO$2)*(COLUMN(Curves!$B$2:$AO$2)-COLUMN(Curves!$B$2)+1&lt;=36-Projects!$C$13+1))),0)</f>
        <v/>
      </c>
      <c r="AM14" s="309">
        <f>IF(AND(Projects!$G$13="Yes",Projects!$F$13="Yes",37&gt;=Projects!$C$13,37&lt;Projects!$C$13+Projects!$D$13),Projects!$B$13*(1-SUMPRODUCT((Curves!$B$2:$AO$2)*(COLUMN(Curves!$B$2:$AO$2)-COLUMN(Curves!$B$2)+1&lt;=37-Projects!$C$13+1))),0)</f>
        <v/>
      </c>
      <c r="AN14" s="309">
        <f>IF(AND(Projects!$G$13="Yes",Projects!$F$13="Yes",38&gt;=Projects!$C$13,38&lt;Projects!$C$13+Projects!$D$13),Projects!$B$13*(1-SUMPRODUCT((Curves!$B$2:$AO$2)*(COLUMN(Curves!$B$2:$AO$2)-COLUMN(Curves!$B$2)+1&lt;=38-Projects!$C$13+1))),0)</f>
        <v/>
      </c>
      <c r="AO14" s="309">
        <f>IF(AND(Projects!$G$13="Yes",Projects!$F$13="Yes",39&gt;=Projects!$C$13,39&lt;Projects!$C$13+Projects!$D$13),Projects!$B$13*(1-SUMPRODUCT((Curves!$B$2:$AO$2)*(COLUMN(Curves!$B$2:$AO$2)-COLUMN(Curves!$B$2)+1&lt;=39-Projects!$C$13+1))),0)</f>
        <v/>
      </c>
      <c r="AP14" s="309">
        <f>IF(AND(Projects!$G$13="Yes",Projects!$F$13="Yes",40&gt;=Projects!$C$13,40&lt;Projects!$C$13+Projects!$D$13),Projects!$B$13*(1-SUMPRODUCT((Curves!$B$2:$AO$2)*(COLUMN(Curves!$B$2:$AO$2)-COLUMN(Curves!$B$2)+1&lt;=40-Projects!$C$13+1))),0)</f>
        <v/>
      </c>
      <c r="AQ14" s="309">
        <f>IF(AND(Projects!$G$13="Yes",Projects!$F$13="Yes",41&gt;=Projects!$C$13,41&lt;Projects!$C$13+Projects!$D$13),Projects!$B$13*(1-SUMPRODUCT((Curves!$B$2:$AO$2)*(COLUMN(Curves!$B$2:$AO$2)-COLUMN(Curves!$B$2)+1&lt;=41-Projects!$C$13+1))),0)</f>
        <v/>
      </c>
      <c r="AR14" s="309">
        <f>IF(AND(Projects!$G$13="Yes",Projects!$F$13="Yes",42&gt;=Projects!$C$13,42&lt;Projects!$C$13+Projects!$D$13),Projects!$B$13*(1-SUMPRODUCT((Curves!$B$2:$AO$2)*(COLUMN(Curves!$B$2:$AO$2)-COLUMN(Curves!$B$2)+1&lt;=42-Projects!$C$13+1))),0)</f>
        <v/>
      </c>
      <c r="AS14" s="309">
        <f>IF(AND(Projects!$G$13="Yes",Projects!$F$13="Yes",43&gt;=Projects!$C$13,43&lt;Projects!$C$13+Projects!$D$13),Projects!$B$13*(1-SUMPRODUCT((Curves!$B$2:$AO$2)*(COLUMN(Curves!$B$2:$AO$2)-COLUMN(Curves!$B$2)+1&lt;=43-Projects!$C$13+1))),0)</f>
        <v/>
      </c>
      <c r="AT14" s="309">
        <f>IF(AND(Projects!$G$13="Yes",Projects!$F$13="Yes",44&gt;=Projects!$C$13,44&lt;Projects!$C$13+Projects!$D$13),Projects!$B$13*(1-SUMPRODUCT((Curves!$B$2:$AO$2)*(COLUMN(Curves!$B$2:$AO$2)-COLUMN(Curves!$B$2)+1&lt;=44-Projects!$C$13+1))),0)</f>
        <v/>
      </c>
      <c r="AU14" s="309">
        <f>IF(AND(Projects!$G$13="Yes",Projects!$F$13="Yes",45&gt;=Projects!$C$13,45&lt;Projects!$C$13+Projects!$D$13),Projects!$B$13*(1-SUMPRODUCT((Curves!$B$2:$AO$2)*(COLUMN(Curves!$B$2:$AO$2)-COLUMN(Curves!$B$2)+1&lt;=45-Projects!$C$13+1))),0)</f>
        <v/>
      </c>
      <c r="AV14" s="309">
        <f>IF(AND(Projects!$G$13="Yes",Projects!$F$13="Yes",46&gt;=Projects!$C$13,46&lt;Projects!$C$13+Projects!$D$13),Projects!$B$13*(1-SUMPRODUCT((Curves!$B$2:$AO$2)*(COLUMN(Curves!$B$2:$AO$2)-COLUMN(Curves!$B$2)+1&lt;=46-Projects!$C$13+1))),0)</f>
        <v/>
      </c>
      <c r="AW14" s="309">
        <f>IF(AND(Projects!$G$13="Yes",Projects!$F$13="Yes",47&gt;=Projects!$C$13,47&lt;Projects!$C$13+Projects!$D$13),Projects!$B$13*(1-SUMPRODUCT((Curves!$B$2:$AO$2)*(COLUMN(Curves!$B$2:$AO$2)-COLUMN(Curves!$B$2)+1&lt;=47-Projects!$C$13+1))),0)</f>
        <v/>
      </c>
      <c r="AX14" s="309">
        <f>IF(AND(Projects!$G$13="Yes",Projects!$F$13="Yes",48&gt;=Projects!$C$13,48&lt;Projects!$C$13+Projects!$D$13),Projects!$B$13*(1-SUMPRODUCT((Curves!$B$2:$AO$2)*(COLUMN(Curves!$B$2:$AO$2)-COLUMN(Curves!$B$2)+1&lt;=48-Projects!$C$13+1))),0)</f>
        <v/>
      </c>
      <c r="AY14" s="309">
        <f>IF(AND(Projects!$G$13="Yes",Projects!$F$13="Yes",49&gt;=Projects!$C$13,49&lt;Projects!$C$13+Projects!$D$13),Projects!$B$13*(1-SUMPRODUCT((Curves!$B$2:$AO$2)*(COLUMN(Curves!$B$2:$AO$2)-COLUMN(Curves!$B$2)+1&lt;=49-Projects!$C$13+1))),0)</f>
        <v/>
      </c>
      <c r="AZ14" s="309">
        <f>IF(AND(Projects!$G$13="Yes",Projects!$F$13="Yes",50&gt;=Projects!$C$13,50&lt;Projects!$C$13+Projects!$D$13),Projects!$B$13*(1-SUMPRODUCT((Curves!$B$2:$AO$2)*(COLUMN(Curves!$B$2:$AO$2)-COLUMN(Curves!$B$2)+1&lt;=50-Projects!$C$13+1))),0)</f>
        <v/>
      </c>
      <c r="BA14" s="309">
        <f>IF(AND(Projects!$G$13="Yes",Projects!$F$13="Yes",51&gt;=Projects!$C$13,51&lt;Projects!$C$13+Projects!$D$13),Projects!$B$13*(1-SUMPRODUCT((Curves!$B$2:$AO$2)*(COLUMN(Curves!$B$2:$AO$2)-COLUMN(Curves!$B$2)+1&lt;=51-Projects!$C$13+1))),0)</f>
        <v/>
      </c>
      <c r="BB14" s="309">
        <f>IF(AND(Projects!$G$13="Yes",Projects!$F$13="Yes",52&gt;=Projects!$C$13,52&lt;Projects!$C$13+Projects!$D$13),Projects!$B$13*(1-SUMPRODUCT((Curves!$B$2:$AO$2)*(COLUMN(Curves!$B$2:$AO$2)-COLUMN(Curves!$B$2)+1&lt;=52-Projects!$C$13+1))),0)</f>
        <v/>
      </c>
      <c r="BC14" s="309">
        <f>IF(AND(Projects!$G$13="Yes",Projects!$F$13="Yes",53&gt;=Projects!$C$13,53&lt;Projects!$C$13+Projects!$D$13),Projects!$B$13*(1-SUMPRODUCT((Curves!$B$2:$AO$2)*(COLUMN(Curves!$B$2:$AO$2)-COLUMN(Curves!$B$2)+1&lt;=53-Projects!$C$13+1))),0)</f>
        <v/>
      </c>
      <c r="BD14" s="309">
        <f>IF(AND(Projects!$G$13="Yes",Projects!$F$13="Yes",54&gt;=Projects!$C$13,54&lt;Projects!$C$13+Projects!$D$13),Projects!$B$13*(1-SUMPRODUCT((Curves!$B$2:$AO$2)*(COLUMN(Curves!$B$2:$AO$2)-COLUMN(Curves!$B$2)+1&lt;=54-Projects!$C$13+1))),0)</f>
        <v/>
      </c>
      <c r="BE14" s="309">
        <f>IF(AND(Projects!$G$13="Yes",Projects!$F$13="Yes",55&gt;=Projects!$C$13,55&lt;Projects!$C$13+Projects!$D$13),Projects!$B$13*(1-SUMPRODUCT((Curves!$B$2:$AO$2)*(COLUMN(Curves!$B$2:$AO$2)-COLUMN(Curves!$B$2)+1&lt;=55-Projects!$C$13+1))),0)</f>
        <v/>
      </c>
      <c r="BF14" s="309">
        <f>IF(AND(Projects!$G$13="Yes",Projects!$F$13="Yes",56&gt;=Projects!$C$13,56&lt;Projects!$C$13+Projects!$D$13),Projects!$B$13*(1-SUMPRODUCT((Curves!$B$2:$AO$2)*(COLUMN(Curves!$B$2:$AO$2)-COLUMN(Curves!$B$2)+1&lt;=56-Projects!$C$13+1))),0)</f>
        <v/>
      </c>
      <c r="BG14" s="309">
        <f>IF(AND(Projects!$G$13="Yes",Projects!$F$13="Yes",57&gt;=Projects!$C$13,57&lt;Projects!$C$13+Projects!$D$13),Projects!$B$13*(1-SUMPRODUCT((Curves!$B$2:$AO$2)*(COLUMN(Curves!$B$2:$AO$2)-COLUMN(Curves!$B$2)+1&lt;=57-Projects!$C$13+1))),0)</f>
        <v/>
      </c>
      <c r="BH14" s="309">
        <f>IF(AND(Projects!$G$13="Yes",Projects!$F$13="Yes",58&gt;=Projects!$C$13,58&lt;Projects!$C$13+Projects!$D$13),Projects!$B$13*(1-SUMPRODUCT((Curves!$B$2:$AO$2)*(COLUMN(Curves!$B$2:$AO$2)-COLUMN(Curves!$B$2)+1&lt;=58-Projects!$C$13+1))),0)</f>
        <v/>
      </c>
      <c r="BI14" s="309">
        <f>IF(AND(Projects!$G$13="Yes",Projects!$F$13="Yes",59&gt;=Projects!$C$13,59&lt;Projects!$C$13+Projects!$D$13),Projects!$B$13*(1-SUMPRODUCT((Curves!$B$2:$AO$2)*(COLUMN(Curves!$B$2:$AO$2)-COLUMN(Curves!$B$2)+1&lt;=59-Projects!$C$13+1))),0)</f>
        <v/>
      </c>
      <c r="BJ14" s="309">
        <f>IF(AND(Projects!$G$13="Yes",Projects!$F$13="Yes",60&gt;=Projects!$C$13,60&lt;Projects!$C$13+Projects!$D$13),Projects!$B$13*(1-SUMPRODUCT((Curves!$B$2:$AO$2)*(COLUMN(Curves!$B$2:$AO$2)-COLUMN(Curves!$B$2)+1&lt;=60-Projects!$C$13+1))),0)</f>
        <v/>
      </c>
      <c r="BK14" s="309">
        <f>IF(AND(Projects!$G$13="Yes",Projects!$F$13="Yes",61&gt;=Projects!$C$13,61&lt;Projects!$C$13+Projects!$D$13),Projects!$B$13*(1-SUMPRODUCT((Curves!$B$2:$AO$2)*(COLUMN(Curves!$B$2:$AO$2)-COLUMN(Curves!$B$2)+1&lt;=61-Projects!$C$13+1))),0)</f>
        <v/>
      </c>
      <c r="BL14" s="309">
        <f>IF(AND(Projects!$G$13="Yes",Projects!$F$13="Yes",62&gt;=Projects!$C$13,62&lt;Projects!$C$13+Projects!$D$13),Projects!$B$13*(1-SUMPRODUCT((Curves!$B$2:$AO$2)*(COLUMN(Curves!$B$2:$AO$2)-COLUMN(Curves!$B$2)+1&lt;=62-Projects!$C$13+1))),0)</f>
        <v/>
      </c>
      <c r="BM14" s="309">
        <f>IF(AND(Projects!$G$13="Yes",Projects!$F$13="Yes",63&gt;=Projects!$C$13,63&lt;Projects!$C$13+Projects!$D$13),Projects!$B$13*(1-SUMPRODUCT((Curves!$B$2:$AO$2)*(COLUMN(Curves!$B$2:$AO$2)-COLUMN(Curves!$B$2)+1&lt;=63-Projects!$C$13+1))),0)</f>
        <v/>
      </c>
      <c r="BN14" s="309">
        <f>IF(AND(Projects!$G$13="Yes",Projects!$F$13="Yes",64&gt;=Projects!$C$13,64&lt;Projects!$C$13+Projects!$D$13),Projects!$B$13*(1-SUMPRODUCT((Curves!$B$2:$AO$2)*(COLUMN(Curves!$B$2:$AO$2)-COLUMN(Curves!$B$2)+1&lt;=64-Projects!$C$13+1))),0)</f>
        <v/>
      </c>
      <c r="BO14" s="309">
        <f>IF(AND(Projects!$G$13="Yes",Projects!$F$13="Yes",65&gt;=Projects!$C$13,65&lt;Projects!$C$13+Projects!$D$13),Projects!$B$13*(1-SUMPRODUCT((Curves!$B$2:$AO$2)*(COLUMN(Curves!$B$2:$AO$2)-COLUMN(Curves!$B$2)+1&lt;=65-Projects!$C$13+1))),0)</f>
        <v/>
      </c>
      <c r="BP14" s="309">
        <f>IF(AND(Projects!$G$13="Yes",Projects!$F$13="Yes",66&gt;=Projects!$C$13,66&lt;Projects!$C$13+Projects!$D$13),Projects!$B$13*(1-SUMPRODUCT((Curves!$B$2:$AO$2)*(COLUMN(Curves!$B$2:$AO$2)-COLUMN(Curves!$B$2)+1&lt;=66-Projects!$C$13+1))),0)</f>
        <v/>
      </c>
      <c r="BQ14" s="309">
        <f>IF(AND(Projects!$G$13="Yes",Projects!$F$13="Yes",67&gt;=Projects!$C$13,67&lt;Projects!$C$13+Projects!$D$13),Projects!$B$13*(1-SUMPRODUCT((Curves!$B$2:$AO$2)*(COLUMN(Curves!$B$2:$AO$2)-COLUMN(Curves!$B$2)+1&lt;=67-Projects!$C$13+1))),0)</f>
        <v/>
      </c>
      <c r="BR14" s="309">
        <f>IF(AND(Projects!$G$13="Yes",Projects!$F$13="Yes",68&gt;=Projects!$C$13,68&lt;Projects!$C$13+Projects!$D$13),Projects!$B$13*(1-SUMPRODUCT((Curves!$B$2:$AO$2)*(COLUMN(Curves!$B$2:$AO$2)-COLUMN(Curves!$B$2)+1&lt;=68-Projects!$C$13+1))),0)</f>
        <v/>
      </c>
      <c r="BS14" s="309">
        <f>IF(AND(Projects!$G$13="Yes",Projects!$F$13="Yes",69&gt;=Projects!$C$13,69&lt;Projects!$C$13+Projects!$D$13),Projects!$B$13*(1-SUMPRODUCT((Curves!$B$2:$AO$2)*(COLUMN(Curves!$B$2:$AO$2)-COLUMN(Curves!$B$2)+1&lt;=69-Projects!$C$13+1))),0)</f>
        <v/>
      </c>
      <c r="BT14" s="309">
        <f>IF(AND(Projects!$G$13="Yes",Projects!$F$13="Yes",70&gt;=Projects!$C$13,70&lt;Projects!$C$13+Projects!$D$13),Projects!$B$13*(1-SUMPRODUCT((Curves!$B$2:$AO$2)*(COLUMN(Curves!$B$2:$AO$2)-COLUMN(Curves!$B$2)+1&lt;=70-Projects!$C$13+1))),0)</f>
        <v/>
      </c>
      <c r="BU14" s="309">
        <f>IF(AND(Projects!$G$13="Yes",Projects!$F$13="Yes",71&gt;=Projects!$C$13,71&lt;Projects!$C$13+Projects!$D$13),Projects!$B$13*(1-SUMPRODUCT((Curves!$B$2:$AO$2)*(COLUMN(Curves!$B$2:$AO$2)-COLUMN(Curves!$B$2)+1&lt;=71-Projects!$C$13+1))),0)</f>
        <v/>
      </c>
      <c r="BV14" s="309">
        <f>IF(AND(Projects!$G$13="Yes",Projects!$F$13="Yes",72&gt;=Projects!$C$13,72&lt;Projects!$C$13+Projects!$D$13),Projects!$B$13*(1-SUMPRODUCT((Curves!$B$2:$AO$2)*(COLUMN(Curves!$B$2:$AO$2)-COLUMN(Curves!$B$2)+1&lt;=72-Projects!$C$13+1))),0)</f>
        <v/>
      </c>
      <c r="BW14" s="309">
        <f>IF(AND(Projects!$G$13="Yes",Projects!$F$13="Yes",73&gt;=Projects!$C$13,73&lt;Projects!$C$13+Projects!$D$13),Projects!$B$13*(1-SUMPRODUCT((Curves!$B$2:$AO$2)*(COLUMN(Curves!$B$2:$AO$2)-COLUMN(Curves!$B$2)+1&lt;=73-Projects!$C$13+1))),0)</f>
        <v/>
      </c>
      <c r="BX14" s="309">
        <f>IF(AND(Projects!$G$13="Yes",Projects!$F$13="Yes",74&gt;=Projects!$C$13,74&lt;Projects!$C$13+Projects!$D$13),Projects!$B$13*(1-SUMPRODUCT((Curves!$B$2:$AO$2)*(COLUMN(Curves!$B$2:$AO$2)-COLUMN(Curves!$B$2)+1&lt;=74-Projects!$C$13+1))),0)</f>
        <v/>
      </c>
      <c r="BY14" s="309">
        <f>IF(AND(Projects!$G$13="Yes",Projects!$F$13="Yes",75&gt;=Projects!$C$13,75&lt;Projects!$C$13+Projects!$D$13),Projects!$B$13*(1-SUMPRODUCT((Curves!$B$2:$AO$2)*(COLUMN(Curves!$B$2:$AO$2)-COLUMN(Curves!$B$2)+1&lt;=75-Projects!$C$13+1))),0)</f>
        <v/>
      </c>
      <c r="BZ14" s="309">
        <f>IF(AND(Projects!$G$13="Yes",Projects!$F$13="Yes",76&gt;=Projects!$C$13,76&lt;Projects!$C$13+Projects!$D$13),Projects!$B$13*(1-SUMPRODUCT((Curves!$B$2:$AO$2)*(COLUMN(Curves!$B$2:$AO$2)-COLUMN(Curves!$B$2)+1&lt;=76-Projects!$C$13+1))),0)</f>
        <v/>
      </c>
      <c r="CA14" s="309">
        <f>IF(AND(Projects!$G$13="Yes",Projects!$F$13="Yes",77&gt;=Projects!$C$13,77&lt;Projects!$C$13+Projects!$D$13),Projects!$B$13*(1-SUMPRODUCT((Curves!$B$2:$AO$2)*(COLUMN(Curves!$B$2:$AO$2)-COLUMN(Curves!$B$2)+1&lt;=77-Projects!$C$13+1))),0)</f>
        <v/>
      </c>
      <c r="CB14" s="309">
        <f>IF(AND(Projects!$G$13="Yes",Projects!$F$13="Yes",78&gt;=Projects!$C$13,78&lt;Projects!$C$13+Projects!$D$13),Projects!$B$13*(1-SUMPRODUCT((Curves!$B$2:$AO$2)*(COLUMN(Curves!$B$2:$AO$2)-COLUMN(Curves!$B$2)+1&lt;=78-Projects!$C$13+1))),0)</f>
        <v/>
      </c>
      <c r="CC14" s="309">
        <f>IF(AND(Projects!$G$13="Yes",Projects!$F$13="Yes",79&gt;=Projects!$C$13,79&lt;Projects!$C$13+Projects!$D$13),Projects!$B$13*(1-SUMPRODUCT((Curves!$B$2:$AO$2)*(COLUMN(Curves!$B$2:$AO$2)-COLUMN(Curves!$B$2)+1&lt;=79-Projects!$C$13+1))),0)</f>
        <v/>
      </c>
      <c r="CD14" s="309">
        <f>IF(AND(Projects!$G$13="Yes",Projects!$F$13="Yes",80&gt;=Projects!$C$13,80&lt;Projects!$C$13+Projects!$D$13),Projects!$B$13*(1-SUMPRODUCT((Curves!$B$2:$AO$2)*(COLUMN(Curves!$B$2:$AO$2)-COLUMN(Curves!$B$2)+1&lt;=80-Projects!$C$13+1))),0)</f>
        <v/>
      </c>
      <c r="CE14" s="309">
        <f>IF(AND(Projects!$G$13="Yes",Projects!$F$13="Yes",81&gt;=Projects!$C$13,81&lt;Projects!$C$13+Projects!$D$13),Projects!$B$13*(1-SUMPRODUCT((Curves!$B$2:$AO$2)*(COLUMN(Curves!$B$2:$AO$2)-COLUMN(Curves!$B$2)+1&lt;=81-Projects!$C$13+1))),0)</f>
        <v/>
      </c>
      <c r="CF14" s="309">
        <f>IF(AND(Projects!$G$13="Yes",Projects!$F$13="Yes",82&gt;=Projects!$C$13,82&lt;Projects!$C$13+Projects!$D$13),Projects!$B$13*(1-SUMPRODUCT((Curves!$B$2:$AO$2)*(COLUMN(Curves!$B$2:$AO$2)-COLUMN(Curves!$B$2)+1&lt;=82-Projects!$C$13+1))),0)</f>
        <v/>
      </c>
      <c r="CG14" s="309">
        <f>IF(AND(Projects!$G$13="Yes",Projects!$F$13="Yes",83&gt;=Projects!$C$13,83&lt;Projects!$C$13+Projects!$D$13),Projects!$B$13*(1-SUMPRODUCT((Curves!$B$2:$AO$2)*(COLUMN(Curves!$B$2:$AO$2)-COLUMN(Curves!$B$2)+1&lt;=83-Projects!$C$13+1))),0)</f>
        <v/>
      </c>
      <c r="CH14" s="309">
        <f>IF(AND(Projects!$G$13="Yes",Projects!$F$13="Yes",84&gt;=Projects!$C$13,84&lt;Projects!$C$13+Projects!$D$13),Projects!$B$13*(1-SUMPRODUCT((Curves!$B$2:$AO$2)*(COLUMN(Curves!$B$2:$AO$2)-COLUMN(Curves!$B$2)+1&lt;=84-Projects!$C$13+1))),0)</f>
        <v/>
      </c>
    </row>
    <row r="15" ht="15" customHeight="1" s="202">
      <c r="A15" s="302" t="inlineStr">
        <is>
          <t>3rd St</t>
        </is>
      </c>
      <c r="C15" s="309">
        <f>IF(AND(Projects!$G$14="Yes",Projects!$F$14="Yes",1&gt;=Projects!$C$14,1&lt;Projects!$C$14+Projects!$D$14),Projects!$B$14*(1-SUMPRODUCT((Curves!$B$2:$AO$2)*(COLUMN(Curves!$B$2:$AO$2)-COLUMN(Curves!$B$2)+1&lt;=1-Projects!$C$14+1))),0)</f>
        <v/>
      </c>
      <c r="D15" s="309">
        <f>IF(AND(Projects!$G$14="Yes",Projects!$F$14="Yes",2&gt;=Projects!$C$14,2&lt;Projects!$C$14+Projects!$D$14),Projects!$B$14*(1-SUMPRODUCT((Curves!$B$2:$AO$2)*(COLUMN(Curves!$B$2:$AO$2)-COLUMN(Curves!$B$2)+1&lt;=2-Projects!$C$14+1))),0)</f>
        <v/>
      </c>
      <c r="E15" s="309">
        <f>IF(AND(Projects!$G$14="Yes",Projects!$F$14="Yes",3&gt;=Projects!$C$14,3&lt;Projects!$C$14+Projects!$D$14),Projects!$B$14*(1-SUMPRODUCT((Curves!$B$2:$AO$2)*(COLUMN(Curves!$B$2:$AO$2)-COLUMN(Curves!$B$2)+1&lt;=3-Projects!$C$14+1))),0)</f>
        <v/>
      </c>
      <c r="F15" s="309">
        <f>IF(AND(Projects!$G$14="Yes",Projects!$F$14="Yes",4&gt;=Projects!$C$14,4&lt;Projects!$C$14+Projects!$D$14),Projects!$B$14*(1-SUMPRODUCT((Curves!$B$2:$AO$2)*(COLUMN(Curves!$B$2:$AO$2)-COLUMN(Curves!$B$2)+1&lt;=4-Projects!$C$14+1))),0)</f>
        <v/>
      </c>
      <c r="G15" s="309">
        <f>IF(AND(Projects!$G$14="Yes",Projects!$F$14="Yes",5&gt;=Projects!$C$14,5&lt;Projects!$C$14+Projects!$D$14),Projects!$B$14*(1-SUMPRODUCT((Curves!$B$2:$AO$2)*(COLUMN(Curves!$B$2:$AO$2)-COLUMN(Curves!$B$2)+1&lt;=5-Projects!$C$14+1))),0)</f>
        <v/>
      </c>
      <c r="H15" s="309">
        <f>IF(AND(Projects!$G$14="Yes",Projects!$F$14="Yes",6&gt;=Projects!$C$14,6&lt;Projects!$C$14+Projects!$D$14),Projects!$B$14*(1-SUMPRODUCT((Curves!$B$2:$AO$2)*(COLUMN(Curves!$B$2:$AO$2)-COLUMN(Curves!$B$2)+1&lt;=6-Projects!$C$14+1))),0)</f>
        <v/>
      </c>
      <c r="I15" s="309">
        <f>IF(AND(Projects!$G$14="Yes",Projects!$F$14="Yes",7&gt;=Projects!$C$14,7&lt;Projects!$C$14+Projects!$D$14),Projects!$B$14*(1-SUMPRODUCT((Curves!$B$2:$AO$2)*(COLUMN(Curves!$B$2:$AO$2)-COLUMN(Curves!$B$2)+1&lt;=7-Projects!$C$14+1))),0)</f>
        <v/>
      </c>
      <c r="J15" s="309">
        <f>IF(AND(Projects!$G$14="Yes",Projects!$F$14="Yes",8&gt;=Projects!$C$14,8&lt;Projects!$C$14+Projects!$D$14),Projects!$B$14*(1-SUMPRODUCT((Curves!$B$2:$AO$2)*(COLUMN(Curves!$B$2:$AO$2)-COLUMN(Curves!$B$2)+1&lt;=8-Projects!$C$14+1))),0)</f>
        <v/>
      </c>
      <c r="K15" s="309">
        <f>IF(AND(Projects!$G$14="Yes",Projects!$F$14="Yes",9&gt;=Projects!$C$14,9&lt;Projects!$C$14+Projects!$D$14),Projects!$B$14*(1-SUMPRODUCT((Curves!$B$2:$AO$2)*(COLUMN(Curves!$B$2:$AO$2)-COLUMN(Curves!$B$2)+1&lt;=9-Projects!$C$14+1))),0)</f>
        <v/>
      </c>
      <c r="L15" s="309">
        <f>IF(AND(Projects!$G$14="Yes",Projects!$F$14="Yes",10&gt;=Projects!$C$14,10&lt;Projects!$C$14+Projects!$D$14),Projects!$B$14*(1-SUMPRODUCT((Curves!$B$2:$AO$2)*(COLUMN(Curves!$B$2:$AO$2)-COLUMN(Curves!$B$2)+1&lt;=10-Projects!$C$14+1))),0)</f>
        <v/>
      </c>
      <c r="M15" s="309">
        <f>IF(AND(Projects!$G$14="Yes",Projects!$F$14="Yes",11&gt;=Projects!$C$14,11&lt;Projects!$C$14+Projects!$D$14),Projects!$B$14*(1-SUMPRODUCT((Curves!$B$2:$AO$2)*(COLUMN(Curves!$B$2:$AO$2)-COLUMN(Curves!$B$2)+1&lt;=11-Projects!$C$14+1))),0)</f>
        <v/>
      </c>
      <c r="N15" s="309">
        <f>IF(AND(Projects!$G$14="Yes",Projects!$F$14="Yes",12&gt;=Projects!$C$14,12&lt;Projects!$C$14+Projects!$D$14),Projects!$B$14*(1-SUMPRODUCT((Curves!$B$2:$AO$2)*(COLUMN(Curves!$B$2:$AO$2)-COLUMN(Curves!$B$2)+1&lt;=12-Projects!$C$14+1))),0)</f>
        <v/>
      </c>
      <c r="O15" s="309">
        <f>IF(AND(Projects!$G$14="Yes",Projects!$F$14="Yes",13&gt;=Projects!$C$14,13&lt;Projects!$C$14+Projects!$D$14),Projects!$B$14*(1-SUMPRODUCT((Curves!$B$2:$AO$2)*(COLUMN(Curves!$B$2:$AO$2)-COLUMN(Curves!$B$2)+1&lt;=13-Projects!$C$14+1))),0)</f>
        <v/>
      </c>
      <c r="P15" s="309">
        <f>IF(AND(Projects!$G$14="Yes",Projects!$F$14="Yes",14&gt;=Projects!$C$14,14&lt;Projects!$C$14+Projects!$D$14),Projects!$B$14*(1-SUMPRODUCT((Curves!$B$2:$AO$2)*(COLUMN(Curves!$B$2:$AO$2)-COLUMN(Curves!$B$2)+1&lt;=14-Projects!$C$14+1))),0)</f>
        <v/>
      </c>
      <c r="Q15" s="309">
        <f>IF(AND(Projects!$G$14="Yes",Projects!$F$14="Yes",15&gt;=Projects!$C$14,15&lt;Projects!$C$14+Projects!$D$14),Projects!$B$14*(1-SUMPRODUCT((Curves!$B$2:$AO$2)*(COLUMN(Curves!$B$2:$AO$2)-COLUMN(Curves!$B$2)+1&lt;=15-Projects!$C$14+1))),0)</f>
        <v/>
      </c>
      <c r="R15" s="309">
        <f>IF(AND(Projects!$G$14="Yes",Projects!$F$14="Yes",16&gt;=Projects!$C$14,16&lt;Projects!$C$14+Projects!$D$14),Projects!$B$14*(1-SUMPRODUCT((Curves!$B$2:$AO$2)*(COLUMN(Curves!$B$2:$AO$2)-COLUMN(Curves!$B$2)+1&lt;=16-Projects!$C$14+1))),0)</f>
        <v/>
      </c>
      <c r="S15" s="309">
        <f>IF(AND(Projects!$G$14="Yes",Projects!$F$14="Yes",17&gt;=Projects!$C$14,17&lt;Projects!$C$14+Projects!$D$14),Projects!$B$14*(1-SUMPRODUCT((Curves!$B$2:$AO$2)*(COLUMN(Curves!$B$2:$AO$2)-COLUMN(Curves!$B$2)+1&lt;=17-Projects!$C$14+1))),0)</f>
        <v/>
      </c>
      <c r="T15" s="309">
        <f>IF(AND(Projects!$G$14="Yes",Projects!$F$14="Yes",18&gt;=Projects!$C$14,18&lt;Projects!$C$14+Projects!$D$14),Projects!$B$14*(1-SUMPRODUCT((Curves!$B$2:$AO$2)*(COLUMN(Curves!$B$2:$AO$2)-COLUMN(Curves!$B$2)+1&lt;=18-Projects!$C$14+1))),0)</f>
        <v/>
      </c>
      <c r="U15" s="309">
        <f>IF(AND(Projects!$G$14="Yes",Projects!$F$14="Yes",19&gt;=Projects!$C$14,19&lt;Projects!$C$14+Projects!$D$14),Projects!$B$14*(1-SUMPRODUCT((Curves!$B$2:$AO$2)*(COLUMN(Curves!$B$2:$AO$2)-COLUMN(Curves!$B$2)+1&lt;=19-Projects!$C$14+1))),0)</f>
        <v/>
      </c>
      <c r="V15" s="309">
        <f>IF(AND(Projects!$G$14="Yes",Projects!$F$14="Yes",20&gt;=Projects!$C$14,20&lt;Projects!$C$14+Projects!$D$14),Projects!$B$14*(1-SUMPRODUCT((Curves!$B$2:$AO$2)*(COLUMN(Curves!$B$2:$AO$2)-COLUMN(Curves!$B$2)+1&lt;=20-Projects!$C$14+1))),0)</f>
        <v/>
      </c>
      <c r="W15" s="309">
        <f>IF(AND(Projects!$G$14="Yes",Projects!$F$14="Yes",21&gt;=Projects!$C$14,21&lt;Projects!$C$14+Projects!$D$14),Projects!$B$14*(1-SUMPRODUCT((Curves!$B$2:$AO$2)*(COLUMN(Curves!$B$2:$AO$2)-COLUMN(Curves!$B$2)+1&lt;=21-Projects!$C$14+1))),0)</f>
        <v/>
      </c>
      <c r="X15" s="309">
        <f>IF(AND(Projects!$G$14="Yes",Projects!$F$14="Yes",22&gt;=Projects!$C$14,22&lt;Projects!$C$14+Projects!$D$14),Projects!$B$14*(1-SUMPRODUCT((Curves!$B$2:$AO$2)*(COLUMN(Curves!$B$2:$AO$2)-COLUMN(Curves!$B$2)+1&lt;=22-Projects!$C$14+1))),0)</f>
        <v/>
      </c>
      <c r="Y15" s="309">
        <f>IF(AND(Projects!$G$14="Yes",Projects!$F$14="Yes",23&gt;=Projects!$C$14,23&lt;Projects!$C$14+Projects!$D$14),Projects!$B$14*(1-SUMPRODUCT((Curves!$B$2:$AO$2)*(COLUMN(Curves!$B$2:$AO$2)-COLUMN(Curves!$B$2)+1&lt;=23-Projects!$C$14+1))),0)</f>
        <v/>
      </c>
      <c r="Z15" s="309">
        <f>IF(AND(Projects!$G$14="Yes",Projects!$F$14="Yes",24&gt;=Projects!$C$14,24&lt;Projects!$C$14+Projects!$D$14),Projects!$B$14*(1-SUMPRODUCT((Curves!$B$2:$AO$2)*(COLUMN(Curves!$B$2:$AO$2)-COLUMN(Curves!$B$2)+1&lt;=24-Projects!$C$14+1))),0)</f>
        <v/>
      </c>
      <c r="AA15" s="309">
        <f>IF(AND(Projects!$G$14="Yes",Projects!$F$14="Yes",25&gt;=Projects!$C$14,25&lt;Projects!$C$14+Projects!$D$14),Projects!$B$14*(1-SUMPRODUCT((Curves!$B$2:$AO$2)*(COLUMN(Curves!$B$2:$AO$2)-COLUMN(Curves!$B$2)+1&lt;=25-Projects!$C$14+1))),0)</f>
        <v/>
      </c>
      <c r="AB15" s="309">
        <f>IF(AND(Projects!$G$14="Yes",Projects!$F$14="Yes",26&gt;=Projects!$C$14,26&lt;Projects!$C$14+Projects!$D$14),Projects!$B$14*(1-SUMPRODUCT((Curves!$B$2:$AO$2)*(COLUMN(Curves!$B$2:$AO$2)-COLUMN(Curves!$B$2)+1&lt;=26-Projects!$C$14+1))),0)</f>
        <v/>
      </c>
      <c r="AC15" s="309">
        <f>IF(AND(Projects!$G$14="Yes",Projects!$F$14="Yes",27&gt;=Projects!$C$14,27&lt;Projects!$C$14+Projects!$D$14),Projects!$B$14*(1-SUMPRODUCT((Curves!$B$2:$AO$2)*(COLUMN(Curves!$B$2:$AO$2)-COLUMN(Curves!$B$2)+1&lt;=27-Projects!$C$14+1))),0)</f>
        <v/>
      </c>
      <c r="AD15" s="309">
        <f>IF(AND(Projects!$G$14="Yes",Projects!$F$14="Yes",28&gt;=Projects!$C$14,28&lt;Projects!$C$14+Projects!$D$14),Projects!$B$14*(1-SUMPRODUCT((Curves!$B$2:$AO$2)*(COLUMN(Curves!$B$2:$AO$2)-COLUMN(Curves!$B$2)+1&lt;=28-Projects!$C$14+1))),0)</f>
        <v/>
      </c>
      <c r="AE15" s="309">
        <f>IF(AND(Projects!$G$14="Yes",Projects!$F$14="Yes",29&gt;=Projects!$C$14,29&lt;Projects!$C$14+Projects!$D$14),Projects!$B$14*(1-SUMPRODUCT((Curves!$B$2:$AO$2)*(COLUMN(Curves!$B$2:$AO$2)-COLUMN(Curves!$B$2)+1&lt;=29-Projects!$C$14+1))),0)</f>
        <v/>
      </c>
      <c r="AF15" s="309">
        <f>IF(AND(Projects!$G$14="Yes",Projects!$F$14="Yes",30&gt;=Projects!$C$14,30&lt;Projects!$C$14+Projects!$D$14),Projects!$B$14*(1-SUMPRODUCT((Curves!$B$2:$AO$2)*(COLUMN(Curves!$B$2:$AO$2)-COLUMN(Curves!$B$2)+1&lt;=30-Projects!$C$14+1))),0)</f>
        <v/>
      </c>
      <c r="AG15" s="309">
        <f>IF(AND(Projects!$G$14="Yes",Projects!$F$14="Yes",31&gt;=Projects!$C$14,31&lt;Projects!$C$14+Projects!$D$14),Projects!$B$14*(1-SUMPRODUCT((Curves!$B$2:$AO$2)*(COLUMN(Curves!$B$2:$AO$2)-COLUMN(Curves!$B$2)+1&lt;=31-Projects!$C$14+1))),0)</f>
        <v/>
      </c>
      <c r="AH15" s="309">
        <f>IF(AND(Projects!$G$14="Yes",Projects!$F$14="Yes",32&gt;=Projects!$C$14,32&lt;Projects!$C$14+Projects!$D$14),Projects!$B$14*(1-SUMPRODUCT((Curves!$B$2:$AO$2)*(COLUMN(Curves!$B$2:$AO$2)-COLUMN(Curves!$B$2)+1&lt;=32-Projects!$C$14+1))),0)</f>
        <v/>
      </c>
      <c r="AI15" s="309">
        <f>IF(AND(Projects!$G$14="Yes",Projects!$F$14="Yes",33&gt;=Projects!$C$14,33&lt;Projects!$C$14+Projects!$D$14),Projects!$B$14*(1-SUMPRODUCT((Curves!$B$2:$AO$2)*(COLUMN(Curves!$B$2:$AO$2)-COLUMN(Curves!$B$2)+1&lt;=33-Projects!$C$14+1))),0)</f>
        <v/>
      </c>
      <c r="AJ15" s="309">
        <f>IF(AND(Projects!$G$14="Yes",Projects!$F$14="Yes",34&gt;=Projects!$C$14,34&lt;Projects!$C$14+Projects!$D$14),Projects!$B$14*(1-SUMPRODUCT((Curves!$B$2:$AO$2)*(COLUMN(Curves!$B$2:$AO$2)-COLUMN(Curves!$B$2)+1&lt;=34-Projects!$C$14+1))),0)</f>
        <v/>
      </c>
      <c r="AK15" s="309">
        <f>IF(AND(Projects!$G$14="Yes",Projects!$F$14="Yes",35&gt;=Projects!$C$14,35&lt;Projects!$C$14+Projects!$D$14),Projects!$B$14*(1-SUMPRODUCT((Curves!$B$2:$AO$2)*(COLUMN(Curves!$B$2:$AO$2)-COLUMN(Curves!$B$2)+1&lt;=35-Projects!$C$14+1))),0)</f>
        <v/>
      </c>
      <c r="AL15" s="309">
        <f>IF(AND(Projects!$G$14="Yes",Projects!$F$14="Yes",36&gt;=Projects!$C$14,36&lt;Projects!$C$14+Projects!$D$14),Projects!$B$14*(1-SUMPRODUCT((Curves!$B$2:$AO$2)*(COLUMN(Curves!$B$2:$AO$2)-COLUMN(Curves!$B$2)+1&lt;=36-Projects!$C$14+1))),0)</f>
        <v/>
      </c>
      <c r="AM15" s="309">
        <f>IF(AND(Projects!$G$14="Yes",Projects!$F$14="Yes",37&gt;=Projects!$C$14,37&lt;Projects!$C$14+Projects!$D$14),Projects!$B$14*(1-SUMPRODUCT((Curves!$B$2:$AO$2)*(COLUMN(Curves!$B$2:$AO$2)-COLUMN(Curves!$B$2)+1&lt;=37-Projects!$C$14+1))),0)</f>
        <v/>
      </c>
      <c r="AN15" s="309">
        <f>IF(AND(Projects!$G$14="Yes",Projects!$F$14="Yes",38&gt;=Projects!$C$14,38&lt;Projects!$C$14+Projects!$D$14),Projects!$B$14*(1-SUMPRODUCT((Curves!$B$2:$AO$2)*(COLUMN(Curves!$B$2:$AO$2)-COLUMN(Curves!$B$2)+1&lt;=38-Projects!$C$14+1))),0)</f>
        <v/>
      </c>
      <c r="AO15" s="309">
        <f>IF(AND(Projects!$G$14="Yes",Projects!$F$14="Yes",39&gt;=Projects!$C$14,39&lt;Projects!$C$14+Projects!$D$14),Projects!$B$14*(1-SUMPRODUCT((Curves!$B$2:$AO$2)*(COLUMN(Curves!$B$2:$AO$2)-COLUMN(Curves!$B$2)+1&lt;=39-Projects!$C$14+1))),0)</f>
        <v/>
      </c>
      <c r="AP15" s="309">
        <f>IF(AND(Projects!$G$14="Yes",Projects!$F$14="Yes",40&gt;=Projects!$C$14,40&lt;Projects!$C$14+Projects!$D$14),Projects!$B$14*(1-SUMPRODUCT((Curves!$B$2:$AO$2)*(COLUMN(Curves!$B$2:$AO$2)-COLUMN(Curves!$B$2)+1&lt;=40-Projects!$C$14+1))),0)</f>
        <v/>
      </c>
      <c r="AQ15" s="309">
        <f>IF(AND(Projects!$G$14="Yes",Projects!$F$14="Yes",41&gt;=Projects!$C$14,41&lt;Projects!$C$14+Projects!$D$14),Projects!$B$14*(1-SUMPRODUCT((Curves!$B$2:$AO$2)*(COLUMN(Curves!$B$2:$AO$2)-COLUMN(Curves!$B$2)+1&lt;=41-Projects!$C$14+1))),0)</f>
        <v/>
      </c>
      <c r="AR15" s="309">
        <f>IF(AND(Projects!$G$14="Yes",Projects!$F$14="Yes",42&gt;=Projects!$C$14,42&lt;Projects!$C$14+Projects!$D$14),Projects!$B$14*(1-SUMPRODUCT((Curves!$B$2:$AO$2)*(COLUMN(Curves!$B$2:$AO$2)-COLUMN(Curves!$B$2)+1&lt;=42-Projects!$C$14+1))),0)</f>
        <v/>
      </c>
      <c r="AS15" s="309">
        <f>IF(AND(Projects!$G$14="Yes",Projects!$F$14="Yes",43&gt;=Projects!$C$14,43&lt;Projects!$C$14+Projects!$D$14),Projects!$B$14*(1-SUMPRODUCT((Curves!$B$2:$AO$2)*(COLUMN(Curves!$B$2:$AO$2)-COLUMN(Curves!$B$2)+1&lt;=43-Projects!$C$14+1))),0)</f>
        <v/>
      </c>
      <c r="AT15" s="309">
        <f>IF(AND(Projects!$G$14="Yes",Projects!$F$14="Yes",44&gt;=Projects!$C$14,44&lt;Projects!$C$14+Projects!$D$14),Projects!$B$14*(1-SUMPRODUCT((Curves!$B$2:$AO$2)*(COLUMN(Curves!$B$2:$AO$2)-COLUMN(Curves!$B$2)+1&lt;=44-Projects!$C$14+1))),0)</f>
        <v/>
      </c>
      <c r="AU15" s="309">
        <f>IF(AND(Projects!$G$14="Yes",Projects!$F$14="Yes",45&gt;=Projects!$C$14,45&lt;Projects!$C$14+Projects!$D$14),Projects!$B$14*(1-SUMPRODUCT((Curves!$B$2:$AO$2)*(COLUMN(Curves!$B$2:$AO$2)-COLUMN(Curves!$B$2)+1&lt;=45-Projects!$C$14+1))),0)</f>
        <v/>
      </c>
      <c r="AV15" s="309">
        <f>IF(AND(Projects!$G$14="Yes",Projects!$F$14="Yes",46&gt;=Projects!$C$14,46&lt;Projects!$C$14+Projects!$D$14),Projects!$B$14*(1-SUMPRODUCT((Curves!$B$2:$AO$2)*(COLUMN(Curves!$B$2:$AO$2)-COLUMN(Curves!$B$2)+1&lt;=46-Projects!$C$14+1))),0)</f>
        <v/>
      </c>
      <c r="AW15" s="309">
        <f>IF(AND(Projects!$G$14="Yes",Projects!$F$14="Yes",47&gt;=Projects!$C$14,47&lt;Projects!$C$14+Projects!$D$14),Projects!$B$14*(1-SUMPRODUCT((Curves!$B$2:$AO$2)*(COLUMN(Curves!$B$2:$AO$2)-COLUMN(Curves!$B$2)+1&lt;=47-Projects!$C$14+1))),0)</f>
        <v/>
      </c>
      <c r="AX15" s="309">
        <f>IF(AND(Projects!$G$14="Yes",Projects!$F$14="Yes",48&gt;=Projects!$C$14,48&lt;Projects!$C$14+Projects!$D$14),Projects!$B$14*(1-SUMPRODUCT((Curves!$B$2:$AO$2)*(COLUMN(Curves!$B$2:$AO$2)-COLUMN(Curves!$B$2)+1&lt;=48-Projects!$C$14+1))),0)</f>
        <v/>
      </c>
      <c r="AY15" s="309">
        <f>IF(AND(Projects!$G$14="Yes",Projects!$F$14="Yes",49&gt;=Projects!$C$14,49&lt;Projects!$C$14+Projects!$D$14),Projects!$B$14*(1-SUMPRODUCT((Curves!$B$2:$AO$2)*(COLUMN(Curves!$B$2:$AO$2)-COLUMN(Curves!$B$2)+1&lt;=49-Projects!$C$14+1))),0)</f>
        <v/>
      </c>
      <c r="AZ15" s="309">
        <f>IF(AND(Projects!$G$14="Yes",Projects!$F$14="Yes",50&gt;=Projects!$C$14,50&lt;Projects!$C$14+Projects!$D$14),Projects!$B$14*(1-SUMPRODUCT((Curves!$B$2:$AO$2)*(COLUMN(Curves!$B$2:$AO$2)-COLUMN(Curves!$B$2)+1&lt;=50-Projects!$C$14+1))),0)</f>
        <v/>
      </c>
      <c r="BA15" s="309">
        <f>IF(AND(Projects!$G$14="Yes",Projects!$F$14="Yes",51&gt;=Projects!$C$14,51&lt;Projects!$C$14+Projects!$D$14),Projects!$B$14*(1-SUMPRODUCT((Curves!$B$2:$AO$2)*(COLUMN(Curves!$B$2:$AO$2)-COLUMN(Curves!$B$2)+1&lt;=51-Projects!$C$14+1))),0)</f>
        <v/>
      </c>
      <c r="BB15" s="309">
        <f>IF(AND(Projects!$G$14="Yes",Projects!$F$14="Yes",52&gt;=Projects!$C$14,52&lt;Projects!$C$14+Projects!$D$14),Projects!$B$14*(1-SUMPRODUCT((Curves!$B$2:$AO$2)*(COLUMN(Curves!$B$2:$AO$2)-COLUMN(Curves!$B$2)+1&lt;=52-Projects!$C$14+1))),0)</f>
        <v/>
      </c>
      <c r="BC15" s="309">
        <f>IF(AND(Projects!$G$14="Yes",Projects!$F$14="Yes",53&gt;=Projects!$C$14,53&lt;Projects!$C$14+Projects!$D$14),Projects!$B$14*(1-SUMPRODUCT((Curves!$B$2:$AO$2)*(COLUMN(Curves!$B$2:$AO$2)-COLUMN(Curves!$B$2)+1&lt;=53-Projects!$C$14+1))),0)</f>
        <v/>
      </c>
      <c r="BD15" s="309">
        <f>IF(AND(Projects!$G$14="Yes",Projects!$F$14="Yes",54&gt;=Projects!$C$14,54&lt;Projects!$C$14+Projects!$D$14),Projects!$B$14*(1-SUMPRODUCT((Curves!$B$2:$AO$2)*(COLUMN(Curves!$B$2:$AO$2)-COLUMN(Curves!$B$2)+1&lt;=54-Projects!$C$14+1))),0)</f>
        <v/>
      </c>
      <c r="BE15" s="309">
        <f>IF(AND(Projects!$G$14="Yes",Projects!$F$14="Yes",55&gt;=Projects!$C$14,55&lt;Projects!$C$14+Projects!$D$14),Projects!$B$14*(1-SUMPRODUCT((Curves!$B$2:$AO$2)*(COLUMN(Curves!$B$2:$AO$2)-COLUMN(Curves!$B$2)+1&lt;=55-Projects!$C$14+1))),0)</f>
        <v/>
      </c>
      <c r="BF15" s="309">
        <f>IF(AND(Projects!$G$14="Yes",Projects!$F$14="Yes",56&gt;=Projects!$C$14,56&lt;Projects!$C$14+Projects!$D$14),Projects!$B$14*(1-SUMPRODUCT((Curves!$B$2:$AO$2)*(COLUMN(Curves!$B$2:$AO$2)-COLUMN(Curves!$B$2)+1&lt;=56-Projects!$C$14+1))),0)</f>
        <v/>
      </c>
      <c r="BG15" s="309">
        <f>IF(AND(Projects!$G$14="Yes",Projects!$F$14="Yes",57&gt;=Projects!$C$14,57&lt;Projects!$C$14+Projects!$D$14),Projects!$B$14*(1-SUMPRODUCT((Curves!$B$2:$AO$2)*(COLUMN(Curves!$B$2:$AO$2)-COLUMN(Curves!$B$2)+1&lt;=57-Projects!$C$14+1))),0)</f>
        <v/>
      </c>
      <c r="BH15" s="309">
        <f>IF(AND(Projects!$G$14="Yes",Projects!$F$14="Yes",58&gt;=Projects!$C$14,58&lt;Projects!$C$14+Projects!$D$14),Projects!$B$14*(1-SUMPRODUCT((Curves!$B$2:$AO$2)*(COLUMN(Curves!$B$2:$AO$2)-COLUMN(Curves!$B$2)+1&lt;=58-Projects!$C$14+1))),0)</f>
        <v/>
      </c>
      <c r="BI15" s="309">
        <f>IF(AND(Projects!$G$14="Yes",Projects!$F$14="Yes",59&gt;=Projects!$C$14,59&lt;Projects!$C$14+Projects!$D$14),Projects!$B$14*(1-SUMPRODUCT((Curves!$B$2:$AO$2)*(COLUMN(Curves!$B$2:$AO$2)-COLUMN(Curves!$B$2)+1&lt;=59-Projects!$C$14+1))),0)</f>
        <v/>
      </c>
      <c r="BJ15" s="309">
        <f>IF(AND(Projects!$G$14="Yes",Projects!$F$14="Yes",60&gt;=Projects!$C$14,60&lt;Projects!$C$14+Projects!$D$14),Projects!$B$14*(1-SUMPRODUCT((Curves!$B$2:$AO$2)*(COLUMN(Curves!$B$2:$AO$2)-COLUMN(Curves!$B$2)+1&lt;=60-Projects!$C$14+1))),0)</f>
        <v/>
      </c>
      <c r="BK15" s="309">
        <f>IF(AND(Projects!$G$14="Yes",Projects!$F$14="Yes",61&gt;=Projects!$C$14,61&lt;Projects!$C$14+Projects!$D$14),Projects!$B$14*(1-SUMPRODUCT((Curves!$B$2:$AO$2)*(COLUMN(Curves!$B$2:$AO$2)-COLUMN(Curves!$B$2)+1&lt;=61-Projects!$C$14+1))),0)</f>
        <v/>
      </c>
      <c r="BL15" s="309">
        <f>IF(AND(Projects!$G$14="Yes",Projects!$F$14="Yes",62&gt;=Projects!$C$14,62&lt;Projects!$C$14+Projects!$D$14),Projects!$B$14*(1-SUMPRODUCT((Curves!$B$2:$AO$2)*(COLUMN(Curves!$B$2:$AO$2)-COLUMN(Curves!$B$2)+1&lt;=62-Projects!$C$14+1))),0)</f>
        <v/>
      </c>
      <c r="BM15" s="309">
        <f>IF(AND(Projects!$G$14="Yes",Projects!$F$14="Yes",63&gt;=Projects!$C$14,63&lt;Projects!$C$14+Projects!$D$14),Projects!$B$14*(1-SUMPRODUCT((Curves!$B$2:$AO$2)*(COLUMN(Curves!$B$2:$AO$2)-COLUMN(Curves!$B$2)+1&lt;=63-Projects!$C$14+1))),0)</f>
        <v/>
      </c>
      <c r="BN15" s="309">
        <f>IF(AND(Projects!$G$14="Yes",Projects!$F$14="Yes",64&gt;=Projects!$C$14,64&lt;Projects!$C$14+Projects!$D$14),Projects!$B$14*(1-SUMPRODUCT((Curves!$B$2:$AO$2)*(COLUMN(Curves!$B$2:$AO$2)-COLUMN(Curves!$B$2)+1&lt;=64-Projects!$C$14+1))),0)</f>
        <v/>
      </c>
      <c r="BO15" s="309">
        <f>IF(AND(Projects!$G$14="Yes",Projects!$F$14="Yes",65&gt;=Projects!$C$14,65&lt;Projects!$C$14+Projects!$D$14),Projects!$B$14*(1-SUMPRODUCT((Curves!$B$2:$AO$2)*(COLUMN(Curves!$B$2:$AO$2)-COLUMN(Curves!$B$2)+1&lt;=65-Projects!$C$14+1))),0)</f>
        <v/>
      </c>
      <c r="BP15" s="309">
        <f>IF(AND(Projects!$G$14="Yes",Projects!$F$14="Yes",66&gt;=Projects!$C$14,66&lt;Projects!$C$14+Projects!$D$14),Projects!$B$14*(1-SUMPRODUCT((Curves!$B$2:$AO$2)*(COLUMN(Curves!$B$2:$AO$2)-COLUMN(Curves!$B$2)+1&lt;=66-Projects!$C$14+1))),0)</f>
        <v/>
      </c>
      <c r="BQ15" s="309">
        <f>IF(AND(Projects!$G$14="Yes",Projects!$F$14="Yes",67&gt;=Projects!$C$14,67&lt;Projects!$C$14+Projects!$D$14),Projects!$B$14*(1-SUMPRODUCT((Curves!$B$2:$AO$2)*(COLUMN(Curves!$B$2:$AO$2)-COLUMN(Curves!$B$2)+1&lt;=67-Projects!$C$14+1))),0)</f>
        <v/>
      </c>
      <c r="BR15" s="309">
        <f>IF(AND(Projects!$G$14="Yes",Projects!$F$14="Yes",68&gt;=Projects!$C$14,68&lt;Projects!$C$14+Projects!$D$14),Projects!$B$14*(1-SUMPRODUCT((Curves!$B$2:$AO$2)*(COLUMN(Curves!$B$2:$AO$2)-COLUMN(Curves!$B$2)+1&lt;=68-Projects!$C$14+1))),0)</f>
        <v/>
      </c>
      <c r="BS15" s="309">
        <f>IF(AND(Projects!$G$14="Yes",Projects!$F$14="Yes",69&gt;=Projects!$C$14,69&lt;Projects!$C$14+Projects!$D$14),Projects!$B$14*(1-SUMPRODUCT((Curves!$B$2:$AO$2)*(COLUMN(Curves!$B$2:$AO$2)-COLUMN(Curves!$B$2)+1&lt;=69-Projects!$C$14+1))),0)</f>
        <v/>
      </c>
      <c r="BT15" s="309">
        <f>IF(AND(Projects!$G$14="Yes",Projects!$F$14="Yes",70&gt;=Projects!$C$14,70&lt;Projects!$C$14+Projects!$D$14),Projects!$B$14*(1-SUMPRODUCT((Curves!$B$2:$AO$2)*(COLUMN(Curves!$B$2:$AO$2)-COLUMN(Curves!$B$2)+1&lt;=70-Projects!$C$14+1))),0)</f>
        <v/>
      </c>
      <c r="BU15" s="309">
        <f>IF(AND(Projects!$G$14="Yes",Projects!$F$14="Yes",71&gt;=Projects!$C$14,71&lt;Projects!$C$14+Projects!$D$14),Projects!$B$14*(1-SUMPRODUCT((Curves!$B$2:$AO$2)*(COLUMN(Curves!$B$2:$AO$2)-COLUMN(Curves!$B$2)+1&lt;=71-Projects!$C$14+1))),0)</f>
        <v/>
      </c>
      <c r="BV15" s="309">
        <f>IF(AND(Projects!$G$14="Yes",Projects!$F$14="Yes",72&gt;=Projects!$C$14,72&lt;Projects!$C$14+Projects!$D$14),Projects!$B$14*(1-SUMPRODUCT((Curves!$B$2:$AO$2)*(COLUMN(Curves!$B$2:$AO$2)-COLUMN(Curves!$B$2)+1&lt;=72-Projects!$C$14+1))),0)</f>
        <v/>
      </c>
      <c r="BW15" s="309">
        <f>IF(AND(Projects!$G$14="Yes",Projects!$F$14="Yes",73&gt;=Projects!$C$14,73&lt;Projects!$C$14+Projects!$D$14),Projects!$B$14*(1-SUMPRODUCT((Curves!$B$2:$AO$2)*(COLUMN(Curves!$B$2:$AO$2)-COLUMN(Curves!$B$2)+1&lt;=73-Projects!$C$14+1))),0)</f>
        <v/>
      </c>
      <c r="BX15" s="309">
        <f>IF(AND(Projects!$G$14="Yes",Projects!$F$14="Yes",74&gt;=Projects!$C$14,74&lt;Projects!$C$14+Projects!$D$14),Projects!$B$14*(1-SUMPRODUCT((Curves!$B$2:$AO$2)*(COLUMN(Curves!$B$2:$AO$2)-COLUMN(Curves!$B$2)+1&lt;=74-Projects!$C$14+1))),0)</f>
        <v/>
      </c>
      <c r="BY15" s="309">
        <f>IF(AND(Projects!$G$14="Yes",Projects!$F$14="Yes",75&gt;=Projects!$C$14,75&lt;Projects!$C$14+Projects!$D$14),Projects!$B$14*(1-SUMPRODUCT((Curves!$B$2:$AO$2)*(COLUMN(Curves!$B$2:$AO$2)-COLUMN(Curves!$B$2)+1&lt;=75-Projects!$C$14+1))),0)</f>
        <v/>
      </c>
      <c r="BZ15" s="309">
        <f>IF(AND(Projects!$G$14="Yes",Projects!$F$14="Yes",76&gt;=Projects!$C$14,76&lt;Projects!$C$14+Projects!$D$14),Projects!$B$14*(1-SUMPRODUCT((Curves!$B$2:$AO$2)*(COLUMN(Curves!$B$2:$AO$2)-COLUMN(Curves!$B$2)+1&lt;=76-Projects!$C$14+1))),0)</f>
        <v/>
      </c>
      <c r="CA15" s="309">
        <f>IF(AND(Projects!$G$14="Yes",Projects!$F$14="Yes",77&gt;=Projects!$C$14,77&lt;Projects!$C$14+Projects!$D$14),Projects!$B$14*(1-SUMPRODUCT((Curves!$B$2:$AO$2)*(COLUMN(Curves!$B$2:$AO$2)-COLUMN(Curves!$B$2)+1&lt;=77-Projects!$C$14+1))),0)</f>
        <v/>
      </c>
      <c r="CB15" s="309">
        <f>IF(AND(Projects!$G$14="Yes",Projects!$F$14="Yes",78&gt;=Projects!$C$14,78&lt;Projects!$C$14+Projects!$D$14),Projects!$B$14*(1-SUMPRODUCT((Curves!$B$2:$AO$2)*(COLUMN(Curves!$B$2:$AO$2)-COLUMN(Curves!$B$2)+1&lt;=78-Projects!$C$14+1))),0)</f>
        <v/>
      </c>
      <c r="CC15" s="309">
        <f>IF(AND(Projects!$G$14="Yes",Projects!$F$14="Yes",79&gt;=Projects!$C$14,79&lt;Projects!$C$14+Projects!$D$14),Projects!$B$14*(1-SUMPRODUCT((Curves!$B$2:$AO$2)*(COLUMN(Curves!$B$2:$AO$2)-COLUMN(Curves!$B$2)+1&lt;=79-Projects!$C$14+1))),0)</f>
        <v/>
      </c>
      <c r="CD15" s="309">
        <f>IF(AND(Projects!$G$14="Yes",Projects!$F$14="Yes",80&gt;=Projects!$C$14,80&lt;Projects!$C$14+Projects!$D$14),Projects!$B$14*(1-SUMPRODUCT((Curves!$B$2:$AO$2)*(COLUMN(Curves!$B$2:$AO$2)-COLUMN(Curves!$B$2)+1&lt;=80-Projects!$C$14+1))),0)</f>
        <v/>
      </c>
      <c r="CE15" s="309">
        <f>IF(AND(Projects!$G$14="Yes",Projects!$F$14="Yes",81&gt;=Projects!$C$14,81&lt;Projects!$C$14+Projects!$D$14),Projects!$B$14*(1-SUMPRODUCT((Curves!$B$2:$AO$2)*(COLUMN(Curves!$B$2:$AO$2)-COLUMN(Curves!$B$2)+1&lt;=81-Projects!$C$14+1))),0)</f>
        <v/>
      </c>
      <c r="CF15" s="309">
        <f>IF(AND(Projects!$G$14="Yes",Projects!$F$14="Yes",82&gt;=Projects!$C$14,82&lt;Projects!$C$14+Projects!$D$14),Projects!$B$14*(1-SUMPRODUCT((Curves!$B$2:$AO$2)*(COLUMN(Curves!$B$2:$AO$2)-COLUMN(Curves!$B$2)+1&lt;=82-Projects!$C$14+1))),0)</f>
        <v/>
      </c>
      <c r="CG15" s="309">
        <f>IF(AND(Projects!$G$14="Yes",Projects!$F$14="Yes",83&gt;=Projects!$C$14,83&lt;Projects!$C$14+Projects!$D$14),Projects!$B$14*(1-SUMPRODUCT((Curves!$B$2:$AO$2)*(COLUMN(Curves!$B$2:$AO$2)-COLUMN(Curves!$B$2)+1&lt;=83-Projects!$C$14+1))),0)</f>
        <v/>
      </c>
      <c r="CH15" s="309">
        <f>IF(AND(Projects!$G$14="Yes",Projects!$F$14="Yes",84&gt;=Projects!$C$14,84&lt;Projects!$C$14+Projects!$D$14),Projects!$B$14*(1-SUMPRODUCT((Curves!$B$2:$AO$2)*(COLUMN(Curves!$B$2:$AO$2)-COLUMN(Curves!$B$2)+1&lt;=84-Projects!$C$14+1))),0)</f>
        <v/>
      </c>
    </row>
    <row r="16" ht="15" customHeight="1" s="202">
      <c r="A16" s="324" t="inlineStr">
        <is>
          <t>Total Bonding Outstanding</t>
        </is>
      </c>
      <c r="C16" s="325">
        <f>SUM(C8:C15)</f>
        <v/>
      </c>
      <c r="D16" s="325">
        <f>SUM(D8:D15)</f>
        <v/>
      </c>
      <c r="E16" s="325">
        <f>SUM(E8:E15)</f>
        <v/>
      </c>
      <c r="F16" s="325">
        <f>SUM(F8:F15)</f>
        <v/>
      </c>
      <c r="G16" s="325">
        <f>SUM(G8:G15)</f>
        <v/>
      </c>
      <c r="H16" s="325">
        <f>SUM(H8:H15)</f>
        <v/>
      </c>
      <c r="I16" s="325">
        <f>SUM(I8:I15)</f>
        <v/>
      </c>
      <c r="J16" s="325">
        <f>SUM(J8:J15)</f>
        <v/>
      </c>
      <c r="K16" s="325">
        <f>SUM(K8:K15)</f>
        <v/>
      </c>
      <c r="L16" s="325">
        <f>SUM(L8:L15)</f>
        <v/>
      </c>
      <c r="M16" s="325">
        <f>SUM(M8:M15)</f>
        <v/>
      </c>
      <c r="N16" s="325">
        <f>SUM(N8:N15)</f>
        <v/>
      </c>
      <c r="O16" s="325">
        <f>SUM(O8:O15)</f>
        <v/>
      </c>
      <c r="P16" s="325">
        <f>SUM(P8:P15)</f>
        <v/>
      </c>
      <c r="Q16" s="325">
        <f>SUM(Q8:Q15)</f>
        <v/>
      </c>
      <c r="R16" s="325">
        <f>SUM(R8:R15)</f>
        <v/>
      </c>
      <c r="S16" s="325">
        <f>SUM(S8:S15)</f>
        <v/>
      </c>
      <c r="T16" s="325">
        <f>SUM(T8:T15)</f>
        <v/>
      </c>
      <c r="U16" s="325">
        <f>SUM(U8:U15)</f>
        <v/>
      </c>
      <c r="V16" s="325">
        <f>SUM(V8:V15)</f>
        <v/>
      </c>
      <c r="W16" s="325">
        <f>SUM(W8:W15)</f>
        <v/>
      </c>
      <c r="X16" s="325">
        <f>SUM(X8:X15)</f>
        <v/>
      </c>
      <c r="Y16" s="325">
        <f>SUM(Y8:Y15)</f>
        <v/>
      </c>
      <c r="Z16" s="325">
        <f>SUM(Z8:Z15)</f>
        <v/>
      </c>
      <c r="AA16" s="325">
        <f>SUM(AA8:AA15)</f>
        <v/>
      </c>
      <c r="AB16" s="325">
        <f>SUM(AB8:AB15)</f>
        <v/>
      </c>
      <c r="AC16" s="325">
        <f>SUM(AC8:AC15)</f>
        <v/>
      </c>
      <c r="AD16" s="325">
        <f>SUM(AD8:AD15)</f>
        <v/>
      </c>
      <c r="AE16" s="325">
        <f>SUM(AE8:AE15)</f>
        <v/>
      </c>
      <c r="AF16" s="325">
        <f>SUM(AF8:AF15)</f>
        <v/>
      </c>
      <c r="AG16" s="325">
        <f>SUM(AG8:AG15)</f>
        <v/>
      </c>
      <c r="AH16" s="325">
        <f>SUM(AH8:AH15)</f>
        <v/>
      </c>
      <c r="AI16" s="325">
        <f>SUM(AI8:AI15)</f>
        <v/>
      </c>
      <c r="AJ16" s="325">
        <f>SUM(AJ8:AJ15)</f>
        <v/>
      </c>
      <c r="AK16" s="325">
        <f>SUM(AK8:AK15)</f>
        <v/>
      </c>
      <c r="AL16" s="325">
        <f>SUM(AL8:AL15)</f>
        <v/>
      </c>
      <c r="AM16" s="325">
        <f>SUM(AM8:AM15)</f>
        <v/>
      </c>
      <c r="AN16" s="325">
        <f>SUM(AN8:AN15)</f>
        <v/>
      </c>
      <c r="AO16" s="325">
        <f>SUM(AO8:AO15)</f>
        <v/>
      </c>
      <c r="AP16" s="325">
        <f>SUM(AP8:AP15)</f>
        <v/>
      </c>
      <c r="AQ16" s="325">
        <f>SUM(AQ8:AQ15)</f>
        <v/>
      </c>
      <c r="AR16" s="325">
        <f>SUM(AR8:AR15)</f>
        <v/>
      </c>
      <c r="AS16" s="325">
        <f>SUM(AS8:AS15)</f>
        <v/>
      </c>
      <c r="AT16" s="325">
        <f>SUM(AT8:AT15)</f>
        <v/>
      </c>
      <c r="AU16" s="325">
        <f>SUM(AU8:AU15)</f>
        <v/>
      </c>
      <c r="AV16" s="325">
        <f>SUM(AV8:AV15)</f>
        <v/>
      </c>
      <c r="AW16" s="325">
        <f>SUM(AW8:AW15)</f>
        <v/>
      </c>
      <c r="AX16" s="325">
        <f>SUM(AX8:AX15)</f>
        <v/>
      </c>
      <c r="AY16" s="325">
        <f>SUM(AY8:AY15)</f>
        <v/>
      </c>
      <c r="AZ16" s="325">
        <f>SUM(AZ8:AZ15)</f>
        <v/>
      </c>
      <c r="BA16" s="325">
        <f>SUM(BA8:BA15)</f>
        <v/>
      </c>
      <c r="BB16" s="325">
        <f>SUM(BB8:BB15)</f>
        <v/>
      </c>
      <c r="BC16" s="325">
        <f>SUM(BC8:BC15)</f>
        <v/>
      </c>
      <c r="BD16" s="325">
        <f>SUM(BD8:BD15)</f>
        <v/>
      </c>
      <c r="BE16" s="325">
        <f>SUM(BE8:BE15)</f>
        <v/>
      </c>
      <c r="BF16" s="325">
        <f>SUM(BF8:BF15)</f>
        <v/>
      </c>
      <c r="BG16" s="325">
        <f>SUM(BG8:BG15)</f>
        <v/>
      </c>
      <c r="BH16" s="325">
        <f>SUM(BH8:BH15)</f>
        <v/>
      </c>
      <c r="BI16" s="325">
        <f>SUM(BI8:BI15)</f>
        <v/>
      </c>
      <c r="BJ16" s="325">
        <f>SUM(BJ8:BJ15)</f>
        <v/>
      </c>
      <c r="BK16" s="325">
        <f>SUM(BK8:BK15)</f>
        <v/>
      </c>
      <c r="BL16" s="325">
        <f>SUM(BL8:BL15)</f>
        <v/>
      </c>
      <c r="BM16" s="325">
        <f>SUM(BM8:BM15)</f>
        <v/>
      </c>
      <c r="BN16" s="325">
        <f>SUM(BN8:BN15)</f>
        <v/>
      </c>
      <c r="BO16" s="325">
        <f>SUM(BO8:BO15)</f>
        <v/>
      </c>
      <c r="BP16" s="325">
        <f>SUM(BP8:BP15)</f>
        <v/>
      </c>
      <c r="BQ16" s="325">
        <f>SUM(BQ8:BQ15)</f>
        <v/>
      </c>
      <c r="BR16" s="325">
        <f>SUM(BR8:BR15)</f>
        <v/>
      </c>
      <c r="BS16" s="325">
        <f>SUM(BS8:BS15)</f>
        <v/>
      </c>
      <c r="BT16" s="325">
        <f>SUM(BT8:BT15)</f>
        <v/>
      </c>
      <c r="BU16" s="325">
        <f>SUM(BU8:BU15)</f>
        <v/>
      </c>
      <c r="BV16" s="325">
        <f>SUM(BV8:BV15)</f>
        <v/>
      </c>
      <c r="BW16" s="325">
        <f>SUM(BW8:BW15)</f>
        <v/>
      </c>
      <c r="BX16" s="325">
        <f>SUM(BX8:BX15)</f>
        <v/>
      </c>
      <c r="BY16" s="325">
        <f>SUM(BY8:BY15)</f>
        <v/>
      </c>
      <c r="BZ16" s="325">
        <f>SUM(BZ8:BZ15)</f>
        <v/>
      </c>
      <c r="CA16" s="325">
        <f>SUM(CA8:CA15)</f>
        <v/>
      </c>
      <c r="CB16" s="325">
        <f>SUM(CB8:CB15)</f>
        <v/>
      </c>
      <c r="CC16" s="325">
        <f>SUM(CC8:CC15)</f>
        <v/>
      </c>
      <c r="CD16" s="325">
        <f>SUM(CD8:CD15)</f>
        <v/>
      </c>
      <c r="CE16" s="325">
        <f>SUM(CE8:CE15)</f>
        <v/>
      </c>
      <c r="CF16" s="325">
        <f>SUM(CF8:CF15)</f>
        <v/>
      </c>
      <c r="CG16" s="325">
        <f>SUM(CG8:CG15)</f>
        <v/>
      </c>
      <c r="CH16" s="325">
        <f>SUM(CH8:CH15)</f>
        <v/>
      </c>
    </row>
    <row r="17"/>
    <row r="18" ht="15" customHeight="1" s="202">
      <c r="A18" s="209" t="inlineStr">
        <is>
          <t>Steyn Fee Balance Tracking</t>
        </is>
      </c>
      <c r="B18" s="209" t="n"/>
      <c r="C18" s="209" t="n"/>
      <c r="D18" s="209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209" t="n"/>
      <c r="W18" s="209" t="n"/>
      <c r="X18" s="209" t="n"/>
      <c r="Y18" s="209" t="n"/>
      <c r="Z18" s="209" t="n"/>
      <c r="AA18" s="209" t="n"/>
      <c r="AB18" s="209" t="n"/>
      <c r="AC18" s="209" t="n"/>
      <c r="AD18" s="209" t="n"/>
      <c r="AE18" s="209" t="n"/>
      <c r="AF18" s="209" t="n"/>
      <c r="AG18" s="209" t="n"/>
      <c r="AH18" s="209" t="n"/>
      <c r="AI18" s="209" t="n"/>
      <c r="AJ18" s="209" t="n"/>
      <c r="AK18" s="209" t="n"/>
      <c r="AL18" s="209" t="n"/>
      <c r="AM18" s="209" t="n"/>
      <c r="AN18" s="209" t="n"/>
      <c r="AO18" s="209" t="n"/>
      <c r="AP18" s="209" t="n"/>
      <c r="AQ18" s="209" t="n"/>
      <c r="AR18" s="209" t="n"/>
      <c r="AS18" s="209" t="n"/>
      <c r="AT18" s="209" t="n"/>
      <c r="AU18" s="209" t="n"/>
      <c r="AV18" s="209" t="n"/>
      <c r="AW18" s="209" t="n"/>
      <c r="AX18" s="209" t="n"/>
      <c r="AY18" s="209" t="n"/>
      <c r="AZ18" s="209" t="n"/>
      <c r="BA18" s="209" t="n"/>
      <c r="BB18" s="209" t="n"/>
      <c r="BC18" s="209" t="n"/>
      <c r="BD18" s="209" t="n"/>
      <c r="BE18" s="209" t="n"/>
      <c r="BF18" s="209" t="n"/>
      <c r="BG18" s="209" t="n"/>
      <c r="BH18" s="209" t="n"/>
      <c r="BI18" s="209" t="n"/>
      <c r="BJ18" s="209" t="n"/>
      <c r="BK18" s="209" t="n"/>
      <c r="BL18" s="209" t="n"/>
      <c r="BM18" s="209" t="n"/>
      <c r="BN18" s="209" t="n"/>
      <c r="BO18" s="209" t="n"/>
      <c r="BP18" s="209" t="n"/>
      <c r="BQ18" s="209" t="n"/>
      <c r="BR18" s="209" t="n"/>
      <c r="BS18" s="209" t="n"/>
      <c r="BT18" s="209" t="n"/>
      <c r="BU18" s="209" t="n"/>
      <c r="BV18" s="209" t="n"/>
      <c r="BW18" s="209" t="n"/>
      <c r="BX18" s="209" t="n"/>
      <c r="BY18" s="209" t="n"/>
      <c r="BZ18" s="209" t="n"/>
      <c r="CA18" s="209" t="n"/>
      <c r="CB18" s="209" t="n"/>
      <c r="CC18" s="209" t="n"/>
      <c r="CD18" s="209" t="n"/>
      <c r="CE18" s="209" t="n"/>
      <c r="CF18" s="209" t="n"/>
      <c r="CG18" s="209" t="n"/>
      <c r="CH18" s="209" t="n"/>
    </row>
    <row r="19" ht="15" customHeight="1" s="202">
      <c r="A19" s="302" t="inlineStr">
        <is>
          <t>Francis Steyn - Beginning Balance</t>
        </is>
      </c>
      <c r="C19" s="309">
        <f>IF(Projects!$G$7="Yes",Projects!$B$7*Assumptions!$B$47+Assumptions!$B$53*Assumptions!$B$48,0)</f>
        <v/>
      </c>
      <c r="D19" s="309">
        <f>C21</f>
        <v/>
      </c>
      <c r="E19" s="309">
        <f>D21</f>
        <v/>
      </c>
      <c r="F19" s="309">
        <f>E21</f>
        <v/>
      </c>
      <c r="G19" s="309">
        <f>F21</f>
        <v/>
      </c>
      <c r="H19" s="309">
        <f>G21</f>
        <v/>
      </c>
      <c r="I19" s="309">
        <f>H21</f>
        <v/>
      </c>
      <c r="J19" s="309">
        <f>I21</f>
        <v/>
      </c>
      <c r="K19" s="309">
        <f>J21</f>
        <v/>
      </c>
      <c r="L19" s="309">
        <f>K21</f>
        <v/>
      </c>
      <c r="M19" s="309">
        <f>L21</f>
        <v/>
      </c>
      <c r="N19" s="309">
        <f>M21</f>
        <v/>
      </c>
      <c r="O19" s="309">
        <f>N21</f>
        <v/>
      </c>
      <c r="P19" s="309">
        <f>O21</f>
        <v/>
      </c>
      <c r="Q19" s="309">
        <f>P21</f>
        <v/>
      </c>
      <c r="R19" s="309">
        <f>Q21</f>
        <v/>
      </c>
      <c r="S19" s="309">
        <f>R21</f>
        <v/>
      </c>
      <c r="T19" s="309">
        <f>S21</f>
        <v/>
      </c>
      <c r="U19" s="309">
        <f>T21</f>
        <v/>
      </c>
      <c r="V19" s="309">
        <f>U21</f>
        <v/>
      </c>
      <c r="W19" s="309">
        <f>V21</f>
        <v/>
      </c>
      <c r="X19" s="309">
        <f>W21</f>
        <v/>
      </c>
      <c r="Y19" s="309">
        <f>X21</f>
        <v/>
      </c>
      <c r="Z19" s="309">
        <f>Y21</f>
        <v/>
      </c>
      <c r="AA19" s="309">
        <f>Z21</f>
        <v/>
      </c>
      <c r="AB19" s="309">
        <f>AA21</f>
        <v/>
      </c>
      <c r="AC19" s="309">
        <f>AB21</f>
        <v/>
      </c>
      <c r="AD19" s="309">
        <f>AC21</f>
        <v/>
      </c>
      <c r="AE19" s="309">
        <f>AD21</f>
        <v/>
      </c>
      <c r="AF19" s="309">
        <f>AE21</f>
        <v/>
      </c>
      <c r="AG19" s="309">
        <f>AF21</f>
        <v/>
      </c>
      <c r="AH19" s="309">
        <f>AG21</f>
        <v/>
      </c>
      <c r="AI19" s="309">
        <f>AH21</f>
        <v/>
      </c>
      <c r="AJ19" s="309">
        <f>AI21</f>
        <v/>
      </c>
      <c r="AK19" s="309">
        <f>AJ21</f>
        <v/>
      </c>
      <c r="AL19" s="309">
        <f>AK21</f>
        <v/>
      </c>
      <c r="AM19" s="309">
        <f>AL21</f>
        <v/>
      </c>
      <c r="AN19" s="309">
        <f>AM21</f>
        <v/>
      </c>
      <c r="AO19" s="309">
        <f>AN21</f>
        <v/>
      </c>
      <c r="AP19" s="309">
        <f>AO21</f>
        <v/>
      </c>
      <c r="AQ19" s="309">
        <f>AP21</f>
        <v/>
      </c>
      <c r="AR19" s="309">
        <f>AQ21</f>
        <v/>
      </c>
      <c r="AS19" s="309">
        <f>AR21</f>
        <v/>
      </c>
      <c r="AT19" s="309">
        <f>AS21</f>
        <v/>
      </c>
      <c r="AU19" s="309">
        <f>AT21</f>
        <v/>
      </c>
      <c r="AV19" s="309">
        <f>AU21</f>
        <v/>
      </c>
      <c r="AW19" s="309">
        <f>AV21</f>
        <v/>
      </c>
      <c r="AX19" s="309">
        <f>AW21</f>
        <v/>
      </c>
      <c r="AY19" s="309">
        <f>AX21</f>
        <v/>
      </c>
      <c r="AZ19" s="309">
        <f>AY21</f>
        <v/>
      </c>
      <c r="BA19" s="309">
        <f>AZ21</f>
        <v/>
      </c>
      <c r="BB19" s="309">
        <f>BA21</f>
        <v/>
      </c>
      <c r="BC19" s="309">
        <f>BB21</f>
        <v/>
      </c>
      <c r="BD19" s="309">
        <f>BC21</f>
        <v/>
      </c>
      <c r="BE19" s="309">
        <f>BD21</f>
        <v/>
      </c>
      <c r="BF19" s="309">
        <f>BE21</f>
        <v/>
      </c>
      <c r="BG19" s="309">
        <f>BF21</f>
        <v/>
      </c>
      <c r="BH19" s="309">
        <f>BG21</f>
        <v/>
      </c>
      <c r="BI19" s="309">
        <f>BH21</f>
        <v/>
      </c>
      <c r="BJ19" s="309">
        <f>BI21</f>
        <v/>
      </c>
      <c r="BK19" s="309">
        <f>BJ21</f>
        <v/>
      </c>
      <c r="BL19" s="309">
        <f>BK21</f>
        <v/>
      </c>
      <c r="BM19" s="309">
        <f>BL21</f>
        <v/>
      </c>
      <c r="BN19" s="309">
        <f>BM21</f>
        <v/>
      </c>
      <c r="BO19" s="309">
        <f>BN21</f>
        <v/>
      </c>
      <c r="BP19" s="309">
        <f>BO21</f>
        <v/>
      </c>
      <c r="BQ19" s="309">
        <f>BP21</f>
        <v/>
      </c>
      <c r="BR19" s="309">
        <f>BQ21</f>
        <v/>
      </c>
      <c r="BS19" s="309">
        <f>BR21</f>
        <v/>
      </c>
      <c r="BT19" s="309">
        <f>BS21</f>
        <v/>
      </c>
      <c r="BU19" s="309">
        <f>BT21</f>
        <v/>
      </c>
      <c r="BV19" s="309">
        <f>BU21</f>
        <v/>
      </c>
      <c r="BW19" s="309">
        <f>BV21</f>
        <v/>
      </c>
      <c r="BX19" s="309">
        <f>BW21</f>
        <v/>
      </c>
      <c r="BY19" s="309">
        <f>BX21</f>
        <v/>
      </c>
      <c r="BZ19" s="309">
        <f>BY21</f>
        <v/>
      </c>
      <c r="CA19" s="309">
        <f>BZ21</f>
        <v/>
      </c>
      <c r="CB19" s="309">
        <f>CA21</f>
        <v/>
      </c>
      <c r="CC19" s="309">
        <f>CB21</f>
        <v/>
      </c>
      <c r="CD19" s="309">
        <f>CC21</f>
        <v/>
      </c>
      <c r="CE19" s="309">
        <f>CD21</f>
        <v/>
      </c>
      <c r="CF19" s="309">
        <f>CE21</f>
        <v/>
      </c>
      <c r="CG19" s="309">
        <f>CF21</f>
        <v/>
      </c>
      <c r="CH19" s="309">
        <f>CG21</f>
        <v/>
      </c>
    </row>
    <row r="20" ht="15" customHeight="1" s="202">
      <c r="A20" s="326" t="inlineStr">
        <is>
          <t>Francis Steyn - Payment</t>
        </is>
      </c>
      <c r="C20" s="327">
        <f>MIN(C19,Model!C59)</f>
        <v/>
      </c>
      <c r="D20" s="327">
        <f>MIN(D19,Model!D59)</f>
        <v/>
      </c>
      <c r="E20" s="327">
        <f>MIN(E19,Model!E59)</f>
        <v/>
      </c>
      <c r="F20" s="327">
        <f>MIN(F19,Model!F59)</f>
        <v/>
      </c>
      <c r="G20" s="327">
        <f>MIN(G19,Model!G59)</f>
        <v/>
      </c>
      <c r="H20" s="327">
        <f>MIN(H19,Model!H59)</f>
        <v/>
      </c>
      <c r="I20" s="327">
        <f>MIN(I19,Model!I59)</f>
        <v/>
      </c>
      <c r="J20" s="327">
        <f>MIN(J19,Model!J59)</f>
        <v/>
      </c>
      <c r="K20" s="327">
        <f>MIN(K19,Model!K59)</f>
        <v/>
      </c>
      <c r="L20" s="327">
        <f>MIN(L19,Model!L59)</f>
        <v/>
      </c>
      <c r="M20" s="327">
        <f>MIN(M19,Model!M59)</f>
        <v/>
      </c>
      <c r="N20" s="327">
        <f>MIN(N19,Model!N59)</f>
        <v/>
      </c>
      <c r="O20" s="327">
        <f>MIN(O19,Model!O59)</f>
        <v/>
      </c>
      <c r="P20" s="327">
        <f>MIN(P19,Model!P59)</f>
        <v/>
      </c>
      <c r="Q20" s="327">
        <f>MIN(Q19,Model!Q59)</f>
        <v/>
      </c>
      <c r="R20" s="327">
        <f>MIN(R19,Model!R59)</f>
        <v/>
      </c>
      <c r="S20" s="327">
        <f>MIN(S19,Model!S59)</f>
        <v/>
      </c>
      <c r="T20" s="327">
        <f>MIN(T19,Model!T59)</f>
        <v/>
      </c>
      <c r="U20" s="327">
        <f>MIN(U19,Model!U59)</f>
        <v/>
      </c>
      <c r="V20" s="327">
        <f>MIN(V19,Model!V59)</f>
        <v/>
      </c>
      <c r="W20" s="327">
        <f>MIN(W19,Model!W59)</f>
        <v/>
      </c>
      <c r="X20" s="327">
        <f>MIN(X19,Model!X59)</f>
        <v/>
      </c>
      <c r="Y20" s="327">
        <f>MIN(Y19,Model!Y59)</f>
        <v/>
      </c>
      <c r="Z20" s="327">
        <f>MIN(Z19,Model!Z59)</f>
        <v/>
      </c>
      <c r="AA20" s="327">
        <f>MIN(AA19,Model!AA59)</f>
        <v/>
      </c>
      <c r="AB20" s="327">
        <f>MIN(AB19,Model!AB59)</f>
        <v/>
      </c>
      <c r="AC20" s="327">
        <f>MIN(AC19,Model!AC59)</f>
        <v/>
      </c>
      <c r="AD20" s="327">
        <f>MIN(AD19,Model!AD59)</f>
        <v/>
      </c>
      <c r="AE20" s="327">
        <f>MIN(AE19,Model!AE59)</f>
        <v/>
      </c>
      <c r="AF20" s="327">
        <f>MIN(AF19,Model!AF59)</f>
        <v/>
      </c>
      <c r="AG20" s="327">
        <f>MIN(AG19,Model!AG59)</f>
        <v/>
      </c>
      <c r="AH20" s="327">
        <f>MIN(AH19,Model!AH59)</f>
        <v/>
      </c>
      <c r="AI20" s="327">
        <f>MIN(AI19,Model!AI59)</f>
        <v/>
      </c>
      <c r="AJ20" s="327">
        <f>MIN(AJ19,Model!AJ59)</f>
        <v/>
      </c>
      <c r="AK20" s="327">
        <f>MIN(AK19,Model!AK59)</f>
        <v/>
      </c>
      <c r="AL20" s="327">
        <f>MIN(AL19,Model!AL59)</f>
        <v/>
      </c>
      <c r="AM20" s="327">
        <f>MIN(AM19,Model!AM59)</f>
        <v/>
      </c>
      <c r="AN20" s="327">
        <f>MIN(AN19,Model!AN59)</f>
        <v/>
      </c>
      <c r="AO20" s="327">
        <f>MIN(AO19,Model!AO59)</f>
        <v/>
      </c>
      <c r="AP20" s="327">
        <f>MIN(AP19,Model!AP59)</f>
        <v/>
      </c>
      <c r="AQ20" s="327">
        <f>MIN(AQ19,Model!AQ59)</f>
        <v/>
      </c>
      <c r="AR20" s="327">
        <f>MIN(AR19,Model!AR59)</f>
        <v/>
      </c>
      <c r="AS20" s="327">
        <f>MIN(AS19,Model!AS59)</f>
        <v/>
      </c>
      <c r="AT20" s="327">
        <f>MIN(AT19,Model!AT59)</f>
        <v/>
      </c>
      <c r="AU20" s="327">
        <f>MIN(AU19,Model!AU59)</f>
        <v/>
      </c>
      <c r="AV20" s="327">
        <f>MIN(AV19,Model!AV59)</f>
        <v/>
      </c>
      <c r="AW20" s="327">
        <f>MIN(AW19,Model!AW59)</f>
        <v/>
      </c>
      <c r="AX20" s="327">
        <f>MIN(AX19,Model!AX59)</f>
        <v/>
      </c>
      <c r="AY20" s="327">
        <f>MIN(AY19,Model!AY59)</f>
        <v/>
      </c>
      <c r="AZ20" s="327">
        <f>MIN(AZ19,Model!AZ59)</f>
        <v/>
      </c>
      <c r="BA20" s="327">
        <f>MIN(BA19,Model!BA59)</f>
        <v/>
      </c>
      <c r="BB20" s="327">
        <f>MIN(BB19,Model!BB59)</f>
        <v/>
      </c>
      <c r="BC20" s="327">
        <f>MIN(BC19,Model!BC59)</f>
        <v/>
      </c>
      <c r="BD20" s="327">
        <f>MIN(BD19,Model!BD59)</f>
        <v/>
      </c>
      <c r="BE20" s="327">
        <f>MIN(BE19,Model!BE59)</f>
        <v/>
      </c>
      <c r="BF20" s="327">
        <f>MIN(BF19,Model!BF59)</f>
        <v/>
      </c>
      <c r="BG20" s="327">
        <f>MIN(BG19,Model!BG59)</f>
        <v/>
      </c>
      <c r="BH20" s="327">
        <f>MIN(BH19,Model!BH59)</f>
        <v/>
      </c>
      <c r="BI20" s="327">
        <f>MIN(BI19,Model!BI59)</f>
        <v/>
      </c>
      <c r="BJ20" s="327">
        <f>MIN(BJ19,Model!BJ59)</f>
        <v/>
      </c>
      <c r="BK20" s="327">
        <f>MIN(BK19,Model!BK59)</f>
        <v/>
      </c>
      <c r="BL20" s="327">
        <f>MIN(BL19,Model!BL59)</f>
        <v/>
      </c>
      <c r="BM20" s="327">
        <f>MIN(BM19,Model!BM59)</f>
        <v/>
      </c>
      <c r="BN20" s="327">
        <f>MIN(BN19,Model!BN59)</f>
        <v/>
      </c>
      <c r="BO20" s="327">
        <f>MIN(BO19,Model!BO59)</f>
        <v/>
      </c>
      <c r="BP20" s="327">
        <f>MIN(BP19,Model!BP59)</f>
        <v/>
      </c>
      <c r="BQ20" s="327">
        <f>MIN(BQ19,Model!BQ59)</f>
        <v/>
      </c>
      <c r="BR20" s="327">
        <f>MIN(BR19,Model!BR59)</f>
        <v/>
      </c>
      <c r="BS20" s="327">
        <f>MIN(BS19,Model!BS59)</f>
        <v/>
      </c>
      <c r="BT20" s="327">
        <f>MIN(BT19,Model!BT59)</f>
        <v/>
      </c>
      <c r="BU20" s="327">
        <f>MIN(BU19,Model!BU59)</f>
        <v/>
      </c>
      <c r="BV20" s="327">
        <f>MIN(BV19,Model!BV59)</f>
        <v/>
      </c>
      <c r="BW20" s="327">
        <f>MIN(BW19,Model!BW59)</f>
        <v/>
      </c>
      <c r="BX20" s="327">
        <f>MIN(BX19,Model!BX59)</f>
        <v/>
      </c>
      <c r="BY20" s="327">
        <f>MIN(BY19,Model!BY59)</f>
        <v/>
      </c>
      <c r="BZ20" s="327">
        <f>MIN(BZ19,Model!BZ59)</f>
        <v/>
      </c>
      <c r="CA20" s="327">
        <f>MIN(CA19,Model!CA59)</f>
        <v/>
      </c>
      <c r="CB20" s="327">
        <f>MIN(CB19,Model!CB59)</f>
        <v/>
      </c>
      <c r="CC20" s="327">
        <f>MIN(CC19,Model!CC59)</f>
        <v/>
      </c>
      <c r="CD20" s="327">
        <f>MIN(CD19,Model!CD59)</f>
        <v/>
      </c>
      <c r="CE20" s="327">
        <f>MIN(CE19,Model!CE59)</f>
        <v/>
      </c>
      <c r="CF20" s="327">
        <f>MIN(CF19,Model!CF59)</f>
        <v/>
      </c>
      <c r="CG20" s="327">
        <f>MIN(CG19,Model!CG59)</f>
        <v/>
      </c>
      <c r="CH20" s="327">
        <f>MIN(CH19,Model!CH59)</f>
        <v/>
      </c>
    </row>
    <row r="21" ht="15" customHeight="1" s="202">
      <c r="A21" s="324" t="inlineStr">
        <is>
          <t>Francis Steyn - Ending Balance</t>
        </is>
      </c>
      <c r="C21" s="325">
        <f>MAX(0,C19-C20)</f>
        <v/>
      </c>
      <c r="D21" s="325">
        <f>MAX(0,D19-D20)</f>
        <v/>
      </c>
      <c r="E21" s="325">
        <f>MAX(0,E19-E20)</f>
        <v/>
      </c>
      <c r="F21" s="325">
        <f>MAX(0,F19-F20)</f>
        <v/>
      </c>
      <c r="G21" s="325">
        <f>MAX(0,G19-G20)</f>
        <v/>
      </c>
      <c r="H21" s="325">
        <f>MAX(0,H19-H20)</f>
        <v/>
      </c>
      <c r="I21" s="325">
        <f>MAX(0,I19-I20)</f>
        <v/>
      </c>
      <c r="J21" s="325">
        <f>MAX(0,J19-J20)</f>
        <v/>
      </c>
      <c r="K21" s="325">
        <f>MAX(0,K19-K20)</f>
        <v/>
      </c>
      <c r="L21" s="325">
        <f>MAX(0,L19-L20)</f>
        <v/>
      </c>
      <c r="M21" s="325">
        <f>MAX(0,M19-M20)</f>
        <v/>
      </c>
      <c r="N21" s="325">
        <f>MAX(0,N19-N20)</f>
        <v/>
      </c>
      <c r="O21" s="325">
        <f>MAX(0,O19-O20)</f>
        <v/>
      </c>
      <c r="P21" s="325">
        <f>MAX(0,P19-P20)</f>
        <v/>
      </c>
      <c r="Q21" s="325">
        <f>MAX(0,Q19-Q20)</f>
        <v/>
      </c>
      <c r="R21" s="325">
        <f>MAX(0,R19-R20)</f>
        <v/>
      </c>
      <c r="S21" s="325">
        <f>MAX(0,S19-S20)</f>
        <v/>
      </c>
      <c r="T21" s="325">
        <f>MAX(0,T19-T20)</f>
        <v/>
      </c>
      <c r="U21" s="325">
        <f>MAX(0,U19-U20)</f>
        <v/>
      </c>
      <c r="V21" s="325">
        <f>MAX(0,V19-V20)</f>
        <v/>
      </c>
      <c r="W21" s="325">
        <f>MAX(0,W19-W20)</f>
        <v/>
      </c>
      <c r="X21" s="325">
        <f>MAX(0,X19-X20)</f>
        <v/>
      </c>
      <c r="Y21" s="325">
        <f>MAX(0,Y19-Y20)</f>
        <v/>
      </c>
      <c r="Z21" s="325">
        <f>MAX(0,Z19-Z20)</f>
        <v/>
      </c>
      <c r="AA21" s="325">
        <f>MAX(0,AA19-AA20)</f>
        <v/>
      </c>
      <c r="AB21" s="325">
        <f>MAX(0,AB19-AB20)</f>
        <v/>
      </c>
      <c r="AC21" s="325">
        <f>MAX(0,AC19-AC20)</f>
        <v/>
      </c>
      <c r="AD21" s="325">
        <f>MAX(0,AD19-AD20)</f>
        <v/>
      </c>
      <c r="AE21" s="325">
        <f>MAX(0,AE19-AE20)</f>
        <v/>
      </c>
      <c r="AF21" s="325">
        <f>MAX(0,AF19-AF20)</f>
        <v/>
      </c>
      <c r="AG21" s="325">
        <f>MAX(0,AG19-AG20)</f>
        <v/>
      </c>
      <c r="AH21" s="325">
        <f>MAX(0,AH19-AH20)</f>
        <v/>
      </c>
      <c r="AI21" s="325">
        <f>MAX(0,AI19-AI20)</f>
        <v/>
      </c>
      <c r="AJ21" s="325">
        <f>MAX(0,AJ19-AJ20)</f>
        <v/>
      </c>
      <c r="AK21" s="325">
        <f>MAX(0,AK19-AK20)</f>
        <v/>
      </c>
      <c r="AL21" s="325">
        <f>MAX(0,AL19-AL20)</f>
        <v/>
      </c>
      <c r="AM21" s="325">
        <f>MAX(0,AM19-AM20)</f>
        <v/>
      </c>
      <c r="AN21" s="325">
        <f>MAX(0,AN19-AN20)</f>
        <v/>
      </c>
      <c r="AO21" s="325">
        <f>MAX(0,AO19-AO20)</f>
        <v/>
      </c>
      <c r="AP21" s="325">
        <f>MAX(0,AP19-AP20)</f>
        <v/>
      </c>
      <c r="AQ21" s="325">
        <f>MAX(0,AQ19-AQ20)</f>
        <v/>
      </c>
      <c r="AR21" s="325">
        <f>MAX(0,AR19-AR20)</f>
        <v/>
      </c>
      <c r="AS21" s="325">
        <f>MAX(0,AS19-AS20)</f>
        <v/>
      </c>
      <c r="AT21" s="325">
        <f>MAX(0,AT19-AT20)</f>
        <v/>
      </c>
      <c r="AU21" s="325">
        <f>MAX(0,AU19-AU20)</f>
        <v/>
      </c>
      <c r="AV21" s="325">
        <f>MAX(0,AV19-AV20)</f>
        <v/>
      </c>
      <c r="AW21" s="325">
        <f>MAX(0,AW19-AW20)</f>
        <v/>
      </c>
      <c r="AX21" s="325">
        <f>MAX(0,AX19-AX20)</f>
        <v/>
      </c>
      <c r="AY21" s="325">
        <f>MAX(0,AY19-AY20)</f>
        <v/>
      </c>
      <c r="AZ21" s="325">
        <f>MAX(0,AZ19-AZ20)</f>
        <v/>
      </c>
      <c r="BA21" s="325">
        <f>MAX(0,BA19-BA20)</f>
        <v/>
      </c>
      <c r="BB21" s="325">
        <f>MAX(0,BB19-BB20)</f>
        <v/>
      </c>
      <c r="BC21" s="325">
        <f>MAX(0,BC19-BC20)</f>
        <v/>
      </c>
      <c r="BD21" s="325">
        <f>MAX(0,BD19-BD20)</f>
        <v/>
      </c>
      <c r="BE21" s="325">
        <f>MAX(0,BE19-BE20)</f>
        <v/>
      </c>
      <c r="BF21" s="325">
        <f>MAX(0,BF19-BF20)</f>
        <v/>
      </c>
      <c r="BG21" s="325">
        <f>MAX(0,BG19-BG20)</f>
        <v/>
      </c>
      <c r="BH21" s="325">
        <f>MAX(0,BH19-BH20)</f>
        <v/>
      </c>
      <c r="BI21" s="325">
        <f>MAX(0,BI19-BI20)</f>
        <v/>
      </c>
      <c r="BJ21" s="325">
        <f>MAX(0,BJ19-BJ20)</f>
        <v/>
      </c>
      <c r="BK21" s="325">
        <f>MAX(0,BK19-BK20)</f>
        <v/>
      </c>
      <c r="BL21" s="325">
        <f>MAX(0,BL19-BL20)</f>
        <v/>
      </c>
      <c r="BM21" s="325">
        <f>MAX(0,BM19-BM20)</f>
        <v/>
      </c>
      <c r="BN21" s="325">
        <f>MAX(0,BN19-BN20)</f>
        <v/>
      </c>
      <c r="BO21" s="325">
        <f>MAX(0,BO19-BO20)</f>
        <v/>
      </c>
      <c r="BP21" s="325">
        <f>MAX(0,BP19-BP20)</f>
        <v/>
      </c>
      <c r="BQ21" s="325">
        <f>MAX(0,BQ19-BQ20)</f>
        <v/>
      </c>
      <c r="BR21" s="325">
        <f>MAX(0,BR19-BR20)</f>
        <v/>
      </c>
      <c r="BS21" s="325">
        <f>MAX(0,BS19-BS20)</f>
        <v/>
      </c>
      <c r="BT21" s="325">
        <f>MAX(0,BT19-BT20)</f>
        <v/>
      </c>
      <c r="BU21" s="325">
        <f>MAX(0,BU19-BU20)</f>
        <v/>
      </c>
      <c r="BV21" s="325">
        <f>MAX(0,BV19-BV20)</f>
        <v/>
      </c>
      <c r="BW21" s="325">
        <f>MAX(0,BW19-BW20)</f>
        <v/>
      </c>
      <c r="BX21" s="325">
        <f>MAX(0,BX19-BX20)</f>
        <v/>
      </c>
      <c r="BY21" s="325">
        <f>MAX(0,BY19-BY20)</f>
        <v/>
      </c>
      <c r="BZ21" s="325">
        <f>MAX(0,BZ19-BZ20)</f>
        <v/>
      </c>
      <c r="CA21" s="325">
        <f>MAX(0,CA19-CA20)</f>
        <v/>
      </c>
      <c r="CB21" s="325">
        <f>MAX(0,CB19-CB20)</f>
        <v/>
      </c>
      <c r="CC21" s="325">
        <f>MAX(0,CC19-CC20)</f>
        <v/>
      </c>
      <c r="CD21" s="325">
        <f>MAX(0,CD19-CD20)</f>
        <v/>
      </c>
      <c r="CE21" s="325">
        <f>MAX(0,CE19-CE20)</f>
        <v/>
      </c>
      <c r="CF21" s="325">
        <f>MAX(0,CF19-CF20)</f>
        <v/>
      </c>
      <c r="CG21" s="325">
        <f>MAX(0,CG19-CG20)</f>
        <v/>
      </c>
      <c r="CH21" s="325">
        <f>MAX(0,CH19-CH20)</f>
        <v/>
      </c>
    </row>
    <row r="22" ht="15" customHeight="1" s="202">
      <c r="A22" s="302" t="inlineStr">
        <is>
          <t>Reseda Steyn - Beginning Balance</t>
        </is>
      </c>
      <c r="C22" s="309">
        <f>IF(Projects!$G$13="Yes",Projects!$B$13*Assumptions!$B$47+Assumptions!$B$54*Assumptions!$B$48,0)</f>
        <v/>
      </c>
      <c r="D22" s="309">
        <f>C24</f>
        <v/>
      </c>
      <c r="E22" s="309">
        <f>D24</f>
        <v/>
      </c>
      <c r="F22" s="309">
        <f>E24</f>
        <v/>
      </c>
      <c r="G22" s="309">
        <f>F24</f>
        <v/>
      </c>
      <c r="H22" s="309">
        <f>G24</f>
        <v/>
      </c>
      <c r="I22" s="309">
        <f>H24</f>
        <v/>
      </c>
      <c r="J22" s="309">
        <f>I24</f>
        <v/>
      </c>
      <c r="K22" s="309">
        <f>J24</f>
        <v/>
      </c>
      <c r="L22" s="309">
        <f>K24</f>
        <v/>
      </c>
      <c r="M22" s="309">
        <f>L24</f>
        <v/>
      </c>
      <c r="N22" s="309">
        <f>M24</f>
        <v/>
      </c>
      <c r="O22" s="309">
        <f>N24</f>
        <v/>
      </c>
      <c r="P22" s="309">
        <f>O24</f>
        <v/>
      </c>
      <c r="Q22" s="309">
        <f>P24</f>
        <v/>
      </c>
      <c r="R22" s="309">
        <f>Q24</f>
        <v/>
      </c>
      <c r="S22" s="309">
        <f>R24</f>
        <v/>
      </c>
      <c r="T22" s="309">
        <f>S24</f>
        <v/>
      </c>
      <c r="U22" s="309">
        <f>T24</f>
        <v/>
      </c>
      <c r="V22" s="309">
        <f>U24</f>
        <v/>
      </c>
      <c r="W22" s="309">
        <f>V24</f>
        <v/>
      </c>
      <c r="X22" s="309">
        <f>W24</f>
        <v/>
      </c>
      <c r="Y22" s="309">
        <f>X24</f>
        <v/>
      </c>
      <c r="Z22" s="309">
        <f>Y24</f>
        <v/>
      </c>
      <c r="AA22" s="309">
        <f>Z24</f>
        <v/>
      </c>
      <c r="AB22" s="309">
        <f>AA24</f>
        <v/>
      </c>
      <c r="AC22" s="309">
        <f>AB24</f>
        <v/>
      </c>
      <c r="AD22" s="309">
        <f>AC24</f>
        <v/>
      </c>
      <c r="AE22" s="309">
        <f>AD24</f>
        <v/>
      </c>
      <c r="AF22" s="309">
        <f>AE24</f>
        <v/>
      </c>
      <c r="AG22" s="309">
        <f>AF24</f>
        <v/>
      </c>
      <c r="AH22" s="309">
        <f>AG24</f>
        <v/>
      </c>
      <c r="AI22" s="309">
        <f>AH24</f>
        <v/>
      </c>
      <c r="AJ22" s="309">
        <f>AI24</f>
        <v/>
      </c>
      <c r="AK22" s="309">
        <f>AJ24</f>
        <v/>
      </c>
      <c r="AL22" s="309">
        <f>AK24</f>
        <v/>
      </c>
      <c r="AM22" s="309">
        <f>AL24</f>
        <v/>
      </c>
      <c r="AN22" s="309">
        <f>AM24</f>
        <v/>
      </c>
      <c r="AO22" s="309">
        <f>AN24</f>
        <v/>
      </c>
      <c r="AP22" s="309">
        <f>AO24</f>
        <v/>
      </c>
      <c r="AQ22" s="309">
        <f>AP24</f>
        <v/>
      </c>
      <c r="AR22" s="309">
        <f>AQ24</f>
        <v/>
      </c>
      <c r="AS22" s="309">
        <f>AR24</f>
        <v/>
      </c>
      <c r="AT22" s="309">
        <f>AS24</f>
        <v/>
      </c>
      <c r="AU22" s="309">
        <f>AT24</f>
        <v/>
      </c>
      <c r="AV22" s="309">
        <f>AU24</f>
        <v/>
      </c>
      <c r="AW22" s="309">
        <f>AV24</f>
        <v/>
      </c>
      <c r="AX22" s="309">
        <f>AW24</f>
        <v/>
      </c>
      <c r="AY22" s="309">
        <f>AX24</f>
        <v/>
      </c>
      <c r="AZ22" s="309">
        <f>AY24</f>
        <v/>
      </c>
      <c r="BA22" s="309">
        <f>AZ24</f>
        <v/>
      </c>
      <c r="BB22" s="309">
        <f>BA24</f>
        <v/>
      </c>
      <c r="BC22" s="309">
        <f>BB24</f>
        <v/>
      </c>
      <c r="BD22" s="309">
        <f>BC24</f>
        <v/>
      </c>
      <c r="BE22" s="309">
        <f>BD24</f>
        <v/>
      </c>
      <c r="BF22" s="309">
        <f>BE24</f>
        <v/>
      </c>
      <c r="BG22" s="309">
        <f>BF24</f>
        <v/>
      </c>
      <c r="BH22" s="309">
        <f>BG24</f>
        <v/>
      </c>
      <c r="BI22" s="309">
        <f>BH24</f>
        <v/>
      </c>
      <c r="BJ22" s="309">
        <f>BI24</f>
        <v/>
      </c>
      <c r="BK22" s="309">
        <f>BJ24</f>
        <v/>
      </c>
      <c r="BL22" s="309">
        <f>BK24</f>
        <v/>
      </c>
      <c r="BM22" s="309">
        <f>BL24</f>
        <v/>
      </c>
      <c r="BN22" s="309">
        <f>BM24</f>
        <v/>
      </c>
      <c r="BO22" s="309">
        <f>BN24</f>
        <v/>
      </c>
      <c r="BP22" s="309">
        <f>BO24</f>
        <v/>
      </c>
      <c r="BQ22" s="309">
        <f>BP24</f>
        <v/>
      </c>
      <c r="BR22" s="309">
        <f>BQ24</f>
        <v/>
      </c>
      <c r="BS22" s="309">
        <f>BR24</f>
        <v/>
      </c>
      <c r="BT22" s="309">
        <f>BS24</f>
        <v/>
      </c>
      <c r="BU22" s="309">
        <f>BT24</f>
        <v/>
      </c>
      <c r="BV22" s="309">
        <f>BU24</f>
        <v/>
      </c>
      <c r="BW22" s="309">
        <f>BV24</f>
        <v/>
      </c>
      <c r="BX22" s="309">
        <f>BW24</f>
        <v/>
      </c>
      <c r="BY22" s="309">
        <f>BX24</f>
        <v/>
      </c>
      <c r="BZ22" s="309">
        <f>BY24</f>
        <v/>
      </c>
      <c r="CA22" s="309">
        <f>BZ24</f>
        <v/>
      </c>
      <c r="CB22" s="309">
        <f>CA24</f>
        <v/>
      </c>
      <c r="CC22" s="309">
        <f>CB24</f>
        <v/>
      </c>
      <c r="CD22" s="309">
        <f>CC24</f>
        <v/>
      </c>
      <c r="CE22" s="309">
        <f>CD24</f>
        <v/>
      </c>
      <c r="CF22" s="309">
        <f>CE24</f>
        <v/>
      </c>
      <c r="CG22" s="309">
        <f>CF24</f>
        <v/>
      </c>
      <c r="CH22" s="309">
        <f>CG24</f>
        <v/>
      </c>
    </row>
    <row r="23" ht="15" customHeight="1" s="202">
      <c r="A23" s="326" t="inlineStr">
        <is>
          <t>Reseda Steyn - Payment</t>
        </is>
      </c>
      <c r="C23" s="327">
        <f>MIN(C22,Model!C60)</f>
        <v/>
      </c>
      <c r="D23" s="327">
        <f>MIN(D22,Model!D60)</f>
        <v/>
      </c>
      <c r="E23" s="327">
        <f>MIN(E22,Model!E60)</f>
        <v/>
      </c>
      <c r="F23" s="327">
        <f>MIN(F22,Model!F60)</f>
        <v/>
      </c>
      <c r="G23" s="327">
        <f>MIN(G22,Model!G60)</f>
        <v/>
      </c>
      <c r="H23" s="327">
        <f>MIN(H22,Model!H60)</f>
        <v/>
      </c>
      <c r="I23" s="327">
        <f>MIN(I22,Model!I60)</f>
        <v/>
      </c>
      <c r="J23" s="327">
        <f>MIN(J22,Model!J60)</f>
        <v/>
      </c>
      <c r="K23" s="327">
        <f>MIN(K22,Model!K60)</f>
        <v/>
      </c>
      <c r="L23" s="327">
        <f>MIN(L22,Model!L60)</f>
        <v/>
      </c>
      <c r="M23" s="327">
        <f>MIN(M22,Model!M60)</f>
        <v/>
      </c>
      <c r="N23" s="327">
        <f>MIN(N22,Model!N60)</f>
        <v/>
      </c>
      <c r="O23" s="327">
        <f>MIN(O22,Model!O60)</f>
        <v/>
      </c>
      <c r="P23" s="327">
        <f>MIN(P22,Model!P60)</f>
        <v/>
      </c>
      <c r="Q23" s="327">
        <f>MIN(Q22,Model!Q60)</f>
        <v/>
      </c>
      <c r="R23" s="327">
        <f>MIN(R22,Model!R60)</f>
        <v/>
      </c>
      <c r="S23" s="327">
        <f>MIN(S22,Model!S60)</f>
        <v/>
      </c>
      <c r="T23" s="327">
        <f>MIN(T22,Model!T60)</f>
        <v/>
      </c>
      <c r="U23" s="327">
        <f>MIN(U22,Model!U60)</f>
        <v/>
      </c>
      <c r="V23" s="327">
        <f>MIN(V22,Model!V60)</f>
        <v/>
      </c>
      <c r="W23" s="327">
        <f>MIN(W22,Model!W60)</f>
        <v/>
      </c>
      <c r="X23" s="327">
        <f>MIN(X22,Model!X60)</f>
        <v/>
      </c>
      <c r="Y23" s="327">
        <f>MIN(Y22,Model!Y60)</f>
        <v/>
      </c>
      <c r="Z23" s="327">
        <f>MIN(Z22,Model!Z60)</f>
        <v/>
      </c>
      <c r="AA23" s="327">
        <f>MIN(AA22,Model!AA60)</f>
        <v/>
      </c>
      <c r="AB23" s="327">
        <f>MIN(AB22,Model!AB60)</f>
        <v/>
      </c>
      <c r="AC23" s="327">
        <f>MIN(AC22,Model!AC60)</f>
        <v/>
      </c>
      <c r="AD23" s="327">
        <f>MIN(AD22,Model!AD60)</f>
        <v/>
      </c>
      <c r="AE23" s="327">
        <f>MIN(AE22,Model!AE60)</f>
        <v/>
      </c>
      <c r="AF23" s="327">
        <f>MIN(AF22,Model!AF60)</f>
        <v/>
      </c>
      <c r="AG23" s="327">
        <f>MIN(AG22,Model!AG60)</f>
        <v/>
      </c>
      <c r="AH23" s="327">
        <f>MIN(AH22,Model!AH60)</f>
        <v/>
      </c>
      <c r="AI23" s="327">
        <f>MIN(AI22,Model!AI60)</f>
        <v/>
      </c>
      <c r="AJ23" s="327">
        <f>MIN(AJ22,Model!AJ60)</f>
        <v/>
      </c>
      <c r="AK23" s="327">
        <f>MIN(AK22,Model!AK60)</f>
        <v/>
      </c>
      <c r="AL23" s="327">
        <f>MIN(AL22,Model!AL60)</f>
        <v/>
      </c>
      <c r="AM23" s="327">
        <f>MIN(AM22,Model!AM60)</f>
        <v/>
      </c>
      <c r="AN23" s="327">
        <f>MIN(AN22,Model!AN60)</f>
        <v/>
      </c>
      <c r="AO23" s="327">
        <f>MIN(AO22,Model!AO60)</f>
        <v/>
      </c>
      <c r="AP23" s="327">
        <f>MIN(AP22,Model!AP60)</f>
        <v/>
      </c>
      <c r="AQ23" s="327">
        <f>MIN(AQ22,Model!AQ60)</f>
        <v/>
      </c>
      <c r="AR23" s="327">
        <f>MIN(AR22,Model!AR60)</f>
        <v/>
      </c>
      <c r="AS23" s="327">
        <f>MIN(AS22,Model!AS60)</f>
        <v/>
      </c>
      <c r="AT23" s="327">
        <f>MIN(AT22,Model!AT60)</f>
        <v/>
      </c>
      <c r="AU23" s="327">
        <f>MIN(AU22,Model!AU60)</f>
        <v/>
      </c>
      <c r="AV23" s="327">
        <f>MIN(AV22,Model!AV60)</f>
        <v/>
      </c>
      <c r="AW23" s="327">
        <f>MIN(AW22,Model!AW60)</f>
        <v/>
      </c>
      <c r="AX23" s="327">
        <f>MIN(AX22,Model!AX60)</f>
        <v/>
      </c>
      <c r="AY23" s="327">
        <f>MIN(AY22,Model!AY60)</f>
        <v/>
      </c>
      <c r="AZ23" s="327">
        <f>MIN(AZ22,Model!AZ60)</f>
        <v/>
      </c>
      <c r="BA23" s="327">
        <f>MIN(BA22,Model!BA60)</f>
        <v/>
      </c>
      <c r="BB23" s="327">
        <f>MIN(BB22,Model!BB60)</f>
        <v/>
      </c>
      <c r="BC23" s="327">
        <f>MIN(BC22,Model!BC60)</f>
        <v/>
      </c>
      <c r="BD23" s="327">
        <f>MIN(BD22,Model!BD60)</f>
        <v/>
      </c>
      <c r="BE23" s="327">
        <f>MIN(BE22,Model!BE60)</f>
        <v/>
      </c>
      <c r="BF23" s="327">
        <f>MIN(BF22,Model!BF60)</f>
        <v/>
      </c>
      <c r="BG23" s="327">
        <f>MIN(BG22,Model!BG60)</f>
        <v/>
      </c>
      <c r="BH23" s="327">
        <f>MIN(BH22,Model!BH60)</f>
        <v/>
      </c>
      <c r="BI23" s="327">
        <f>MIN(BI22,Model!BI60)</f>
        <v/>
      </c>
      <c r="BJ23" s="327">
        <f>MIN(BJ22,Model!BJ60)</f>
        <v/>
      </c>
      <c r="BK23" s="327">
        <f>MIN(BK22,Model!BK60)</f>
        <v/>
      </c>
      <c r="BL23" s="327">
        <f>MIN(BL22,Model!BL60)</f>
        <v/>
      </c>
      <c r="BM23" s="327">
        <f>MIN(BM22,Model!BM60)</f>
        <v/>
      </c>
      <c r="BN23" s="327">
        <f>MIN(BN22,Model!BN60)</f>
        <v/>
      </c>
      <c r="BO23" s="327">
        <f>MIN(BO22,Model!BO60)</f>
        <v/>
      </c>
      <c r="BP23" s="327">
        <f>MIN(BP22,Model!BP60)</f>
        <v/>
      </c>
      <c r="BQ23" s="327">
        <f>MIN(BQ22,Model!BQ60)</f>
        <v/>
      </c>
      <c r="BR23" s="327">
        <f>MIN(BR22,Model!BR60)</f>
        <v/>
      </c>
      <c r="BS23" s="327">
        <f>MIN(BS22,Model!BS60)</f>
        <v/>
      </c>
      <c r="BT23" s="327">
        <f>MIN(BT22,Model!BT60)</f>
        <v/>
      </c>
      <c r="BU23" s="327">
        <f>MIN(BU22,Model!BU60)</f>
        <v/>
      </c>
      <c r="BV23" s="327">
        <f>MIN(BV22,Model!BV60)</f>
        <v/>
      </c>
      <c r="BW23" s="327">
        <f>MIN(BW22,Model!BW60)</f>
        <v/>
      </c>
      <c r="BX23" s="327">
        <f>MIN(BX22,Model!BX60)</f>
        <v/>
      </c>
      <c r="BY23" s="327">
        <f>MIN(BY22,Model!BY60)</f>
        <v/>
      </c>
      <c r="BZ23" s="327">
        <f>MIN(BZ22,Model!BZ60)</f>
        <v/>
      </c>
      <c r="CA23" s="327">
        <f>MIN(CA22,Model!CA60)</f>
        <v/>
      </c>
      <c r="CB23" s="327">
        <f>MIN(CB22,Model!CB60)</f>
        <v/>
      </c>
      <c r="CC23" s="327">
        <f>MIN(CC22,Model!CC60)</f>
        <v/>
      </c>
      <c r="CD23" s="327">
        <f>MIN(CD22,Model!CD60)</f>
        <v/>
      </c>
      <c r="CE23" s="327">
        <f>MIN(CE22,Model!CE60)</f>
        <v/>
      </c>
      <c r="CF23" s="327">
        <f>MIN(CF22,Model!CF60)</f>
        <v/>
      </c>
      <c r="CG23" s="327">
        <f>MIN(CG22,Model!CG60)</f>
        <v/>
      </c>
      <c r="CH23" s="327">
        <f>MIN(CH22,Model!CH60)</f>
        <v/>
      </c>
    </row>
    <row r="24" ht="15" customHeight="1" s="202">
      <c r="A24" s="324" t="inlineStr">
        <is>
          <t>Reseda Steyn - Ending Balance</t>
        </is>
      </c>
      <c r="C24" s="325">
        <f>MAX(0,C22-C23)</f>
        <v/>
      </c>
      <c r="D24" s="325">
        <f>MAX(0,D22-D23)</f>
        <v/>
      </c>
      <c r="E24" s="325">
        <f>MAX(0,E22-E23)</f>
        <v/>
      </c>
      <c r="F24" s="325">
        <f>MAX(0,F22-F23)</f>
        <v/>
      </c>
      <c r="G24" s="325">
        <f>MAX(0,G22-G23)</f>
        <v/>
      </c>
      <c r="H24" s="325">
        <f>MAX(0,H22-H23)</f>
        <v/>
      </c>
      <c r="I24" s="325">
        <f>MAX(0,I22-I23)</f>
        <v/>
      </c>
      <c r="J24" s="325">
        <f>MAX(0,J22-J23)</f>
        <v/>
      </c>
      <c r="K24" s="325">
        <f>MAX(0,K22-K23)</f>
        <v/>
      </c>
      <c r="L24" s="325">
        <f>MAX(0,L22-L23)</f>
        <v/>
      </c>
      <c r="M24" s="325">
        <f>MAX(0,M22-M23)</f>
        <v/>
      </c>
      <c r="N24" s="325">
        <f>MAX(0,N22-N23)</f>
        <v/>
      </c>
      <c r="O24" s="325">
        <f>MAX(0,O22-O23)</f>
        <v/>
      </c>
      <c r="P24" s="325">
        <f>MAX(0,P22-P23)</f>
        <v/>
      </c>
      <c r="Q24" s="325">
        <f>MAX(0,Q22-Q23)</f>
        <v/>
      </c>
      <c r="R24" s="325">
        <f>MAX(0,R22-R23)</f>
        <v/>
      </c>
      <c r="S24" s="325">
        <f>MAX(0,S22-S23)</f>
        <v/>
      </c>
      <c r="T24" s="325">
        <f>MAX(0,T22-T23)</f>
        <v/>
      </c>
      <c r="U24" s="325">
        <f>MAX(0,U22-U23)</f>
        <v/>
      </c>
      <c r="V24" s="325">
        <f>MAX(0,V22-V23)</f>
        <v/>
      </c>
      <c r="W24" s="325">
        <f>MAX(0,W22-W23)</f>
        <v/>
      </c>
      <c r="X24" s="325">
        <f>MAX(0,X22-X23)</f>
        <v/>
      </c>
      <c r="Y24" s="325">
        <f>MAX(0,Y22-Y23)</f>
        <v/>
      </c>
      <c r="Z24" s="325">
        <f>MAX(0,Z22-Z23)</f>
        <v/>
      </c>
      <c r="AA24" s="325">
        <f>MAX(0,AA22-AA23)</f>
        <v/>
      </c>
      <c r="AB24" s="325">
        <f>MAX(0,AB22-AB23)</f>
        <v/>
      </c>
      <c r="AC24" s="325">
        <f>MAX(0,AC22-AC23)</f>
        <v/>
      </c>
      <c r="AD24" s="325">
        <f>MAX(0,AD22-AD23)</f>
        <v/>
      </c>
      <c r="AE24" s="325">
        <f>MAX(0,AE22-AE23)</f>
        <v/>
      </c>
      <c r="AF24" s="325">
        <f>MAX(0,AF22-AF23)</f>
        <v/>
      </c>
      <c r="AG24" s="325">
        <f>MAX(0,AG22-AG23)</f>
        <v/>
      </c>
      <c r="AH24" s="325">
        <f>MAX(0,AH22-AH23)</f>
        <v/>
      </c>
      <c r="AI24" s="325">
        <f>MAX(0,AI22-AI23)</f>
        <v/>
      </c>
      <c r="AJ24" s="325">
        <f>MAX(0,AJ22-AJ23)</f>
        <v/>
      </c>
      <c r="AK24" s="325">
        <f>MAX(0,AK22-AK23)</f>
        <v/>
      </c>
      <c r="AL24" s="325">
        <f>MAX(0,AL22-AL23)</f>
        <v/>
      </c>
      <c r="AM24" s="325">
        <f>MAX(0,AM22-AM23)</f>
        <v/>
      </c>
      <c r="AN24" s="325">
        <f>MAX(0,AN22-AN23)</f>
        <v/>
      </c>
      <c r="AO24" s="325">
        <f>MAX(0,AO22-AO23)</f>
        <v/>
      </c>
      <c r="AP24" s="325">
        <f>MAX(0,AP22-AP23)</f>
        <v/>
      </c>
      <c r="AQ24" s="325">
        <f>MAX(0,AQ22-AQ23)</f>
        <v/>
      </c>
      <c r="AR24" s="325">
        <f>MAX(0,AR22-AR23)</f>
        <v/>
      </c>
      <c r="AS24" s="325">
        <f>MAX(0,AS22-AS23)</f>
        <v/>
      </c>
      <c r="AT24" s="325">
        <f>MAX(0,AT22-AT23)</f>
        <v/>
      </c>
      <c r="AU24" s="325">
        <f>MAX(0,AU22-AU23)</f>
        <v/>
      </c>
      <c r="AV24" s="325">
        <f>MAX(0,AV22-AV23)</f>
        <v/>
      </c>
      <c r="AW24" s="325">
        <f>MAX(0,AW22-AW23)</f>
        <v/>
      </c>
      <c r="AX24" s="325">
        <f>MAX(0,AX22-AX23)</f>
        <v/>
      </c>
      <c r="AY24" s="325">
        <f>MAX(0,AY22-AY23)</f>
        <v/>
      </c>
      <c r="AZ24" s="325">
        <f>MAX(0,AZ22-AZ23)</f>
        <v/>
      </c>
      <c r="BA24" s="325">
        <f>MAX(0,BA22-BA23)</f>
        <v/>
      </c>
      <c r="BB24" s="325">
        <f>MAX(0,BB22-BB23)</f>
        <v/>
      </c>
      <c r="BC24" s="325">
        <f>MAX(0,BC22-BC23)</f>
        <v/>
      </c>
      <c r="BD24" s="325">
        <f>MAX(0,BD22-BD23)</f>
        <v/>
      </c>
      <c r="BE24" s="325">
        <f>MAX(0,BE22-BE23)</f>
        <v/>
      </c>
      <c r="BF24" s="325">
        <f>MAX(0,BF22-BF23)</f>
        <v/>
      </c>
      <c r="BG24" s="325">
        <f>MAX(0,BG22-BG23)</f>
        <v/>
      </c>
      <c r="BH24" s="325">
        <f>MAX(0,BH22-BH23)</f>
        <v/>
      </c>
      <c r="BI24" s="325">
        <f>MAX(0,BI22-BI23)</f>
        <v/>
      </c>
      <c r="BJ24" s="325">
        <f>MAX(0,BJ22-BJ23)</f>
        <v/>
      </c>
      <c r="BK24" s="325">
        <f>MAX(0,BK22-BK23)</f>
        <v/>
      </c>
      <c r="BL24" s="325">
        <f>MAX(0,BL22-BL23)</f>
        <v/>
      </c>
      <c r="BM24" s="325">
        <f>MAX(0,BM22-BM23)</f>
        <v/>
      </c>
      <c r="BN24" s="325">
        <f>MAX(0,BN22-BN23)</f>
        <v/>
      </c>
      <c r="BO24" s="325">
        <f>MAX(0,BO22-BO23)</f>
        <v/>
      </c>
      <c r="BP24" s="325">
        <f>MAX(0,BP22-BP23)</f>
        <v/>
      </c>
      <c r="BQ24" s="325">
        <f>MAX(0,BQ22-BQ23)</f>
        <v/>
      </c>
      <c r="BR24" s="325">
        <f>MAX(0,BR22-BR23)</f>
        <v/>
      </c>
      <c r="BS24" s="325">
        <f>MAX(0,BS22-BS23)</f>
        <v/>
      </c>
      <c r="BT24" s="325">
        <f>MAX(0,BT22-BT23)</f>
        <v/>
      </c>
      <c r="BU24" s="325">
        <f>MAX(0,BU22-BU23)</f>
        <v/>
      </c>
      <c r="BV24" s="325">
        <f>MAX(0,BV22-BV23)</f>
        <v/>
      </c>
      <c r="BW24" s="325">
        <f>MAX(0,BW22-BW23)</f>
        <v/>
      </c>
      <c r="BX24" s="325">
        <f>MAX(0,BX22-BX23)</f>
        <v/>
      </c>
      <c r="BY24" s="325">
        <f>MAX(0,BY22-BY23)</f>
        <v/>
      </c>
      <c r="BZ24" s="325">
        <f>MAX(0,BZ22-BZ23)</f>
        <v/>
      </c>
      <c r="CA24" s="325">
        <f>MAX(0,CA22-CA23)</f>
        <v/>
      </c>
      <c r="CB24" s="325">
        <f>MAX(0,CB22-CB23)</f>
        <v/>
      </c>
      <c r="CC24" s="325">
        <f>MAX(0,CC22-CC23)</f>
        <v/>
      </c>
      <c r="CD24" s="325">
        <f>MAX(0,CD22-CD23)</f>
        <v/>
      </c>
      <c r="CE24" s="325">
        <f>MAX(0,CE22-CE23)</f>
        <v/>
      </c>
      <c r="CF24" s="325">
        <f>MAX(0,CF22-CF23)</f>
        <v/>
      </c>
      <c r="CG24" s="325">
        <f>MAX(0,CG22-CG23)</f>
        <v/>
      </c>
      <c r="CH24" s="325">
        <f>MAX(0,CH22-CH23)</f>
        <v/>
      </c>
    </row>
    <row r="25" ht="15" customHeight="1" s="202">
      <c r="A25" s="201" t="inlineStr">
        <is>
          <t>3rd St Steyn</t>
        </is>
      </c>
      <c r="B25" s="201" t="inlineStr">
        <is>
          <t>Beg Balance</t>
        </is>
      </c>
      <c r="C25" s="328">
        <f>IF(Projects!$G$14="Yes",Projects!$B$14*Assumptions!$B$47+Assumptions!$B$55*Assumptions!$B$48,0)</f>
        <v/>
      </c>
      <c r="D25" s="201">
        <f>C27</f>
        <v/>
      </c>
      <c r="E25" s="201">
        <f>D27</f>
        <v/>
      </c>
      <c r="F25" s="201">
        <f>E27</f>
        <v/>
      </c>
      <c r="G25" s="201">
        <f>F27</f>
        <v/>
      </c>
      <c r="H25" s="201">
        <f>G27</f>
        <v/>
      </c>
      <c r="I25" s="201">
        <f>H27</f>
        <v/>
      </c>
      <c r="J25" s="201">
        <f>I27</f>
        <v/>
      </c>
      <c r="K25" s="201">
        <f>J27</f>
        <v/>
      </c>
      <c r="L25" s="201">
        <f>K27</f>
        <v/>
      </c>
      <c r="M25" s="201">
        <f>L27</f>
        <v/>
      </c>
      <c r="N25" s="201">
        <f>M27</f>
        <v/>
      </c>
      <c r="O25" s="201">
        <f>N27</f>
        <v/>
      </c>
      <c r="P25" s="201">
        <f>O27</f>
        <v/>
      </c>
      <c r="Q25" s="201">
        <f>P27</f>
        <v/>
      </c>
      <c r="R25" s="201">
        <f>Q27</f>
        <v/>
      </c>
      <c r="S25" s="201">
        <f>R27</f>
        <v/>
      </c>
      <c r="T25" s="201">
        <f>S27</f>
        <v/>
      </c>
      <c r="U25" s="201">
        <f>T27</f>
        <v/>
      </c>
      <c r="V25" s="201">
        <f>U27</f>
        <v/>
      </c>
      <c r="W25" s="201">
        <f>V27</f>
        <v/>
      </c>
      <c r="X25" s="201">
        <f>W27</f>
        <v/>
      </c>
      <c r="Y25" s="201">
        <f>X27</f>
        <v/>
      </c>
      <c r="Z25" s="201">
        <f>Y27</f>
        <v/>
      </c>
      <c r="AA25" s="201">
        <f>Z27</f>
        <v/>
      </c>
      <c r="AB25" s="201">
        <f>AA27</f>
        <v/>
      </c>
      <c r="AC25" s="201">
        <f>AB27</f>
        <v/>
      </c>
      <c r="AD25" s="201">
        <f>AC27</f>
        <v/>
      </c>
      <c r="AE25" s="201">
        <f>AD27</f>
        <v/>
      </c>
      <c r="AF25" s="201">
        <f>AE27</f>
        <v/>
      </c>
      <c r="AG25" s="201">
        <f>AF27</f>
        <v/>
      </c>
      <c r="AH25" s="201">
        <f>AG27</f>
        <v/>
      </c>
      <c r="AI25" s="201">
        <f>AH27</f>
        <v/>
      </c>
      <c r="AJ25" s="201">
        <f>AI27</f>
        <v/>
      </c>
      <c r="AK25" s="201">
        <f>AJ27</f>
        <v/>
      </c>
      <c r="AL25" s="201">
        <f>AK27</f>
        <v/>
      </c>
      <c r="AM25" s="201">
        <f>AL27</f>
        <v/>
      </c>
      <c r="AN25" s="201">
        <f>AM27</f>
        <v/>
      </c>
      <c r="AO25" s="201">
        <f>AN27</f>
        <v/>
      </c>
      <c r="AP25" s="201">
        <f>AO27</f>
        <v/>
      </c>
      <c r="AQ25" s="201">
        <f>AP27</f>
        <v/>
      </c>
      <c r="AR25" s="201">
        <f>AQ27</f>
        <v/>
      </c>
      <c r="AS25" s="201">
        <f>AR27</f>
        <v/>
      </c>
      <c r="AT25" s="201">
        <f>AS27</f>
        <v/>
      </c>
      <c r="AU25" s="201">
        <f>AT27</f>
        <v/>
      </c>
      <c r="AV25" s="201">
        <f>AU27</f>
        <v/>
      </c>
      <c r="AW25" s="201">
        <f>AV27</f>
        <v/>
      </c>
      <c r="AX25" s="201">
        <f>AW27</f>
        <v/>
      </c>
      <c r="AY25" s="201">
        <f>AX27</f>
        <v/>
      </c>
      <c r="AZ25" s="201">
        <f>AY27</f>
        <v/>
      </c>
      <c r="BA25" s="201">
        <f>AZ27</f>
        <v/>
      </c>
      <c r="BB25" s="201">
        <f>BA27</f>
        <v/>
      </c>
      <c r="BC25" s="201">
        <f>BB27</f>
        <v/>
      </c>
      <c r="BD25" s="201">
        <f>BC27</f>
        <v/>
      </c>
      <c r="BE25" s="201">
        <f>BD27</f>
        <v/>
      </c>
      <c r="BF25" s="201">
        <f>BE27</f>
        <v/>
      </c>
      <c r="BG25" s="201">
        <f>BF27</f>
        <v/>
      </c>
      <c r="BH25" s="201">
        <f>BG27</f>
        <v/>
      </c>
      <c r="BI25" s="201">
        <f>BH27</f>
        <v/>
      </c>
      <c r="BJ25" s="201">
        <f>BI27</f>
        <v/>
      </c>
      <c r="BK25" s="201">
        <f>BJ27</f>
        <v/>
      </c>
      <c r="BL25" s="201">
        <f>BK27</f>
        <v/>
      </c>
      <c r="BM25" s="201">
        <f>BL27</f>
        <v/>
      </c>
      <c r="BN25" s="201">
        <f>BM27</f>
        <v/>
      </c>
      <c r="BO25" s="201">
        <f>BN27</f>
        <v/>
      </c>
      <c r="BP25" s="201">
        <f>BO27</f>
        <v/>
      </c>
      <c r="BQ25" s="201">
        <f>BP27</f>
        <v/>
      </c>
      <c r="BR25" s="201">
        <f>BQ27</f>
        <v/>
      </c>
      <c r="BS25" s="201">
        <f>BR27</f>
        <v/>
      </c>
      <c r="BT25" s="201">
        <f>BS27</f>
        <v/>
      </c>
      <c r="BU25" s="201">
        <f>BT27</f>
        <v/>
      </c>
      <c r="BV25" s="201">
        <f>BU27</f>
        <v/>
      </c>
      <c r="BW25" s="201">
        <f>BV27</f>
        <v/>
      </c>
      <c r="BX25" s="201">
        <f>BW27</f>
        <v/>
      </c>
      <c r="BY25" s="201">
        <f>BX27</f>
        <v/>
      </c>
      <c r="BZ25" s="201">
        <f>BY27</f>
        <v/>
      </c>
      <c r="CA25" s="201">
        <f>BZ27</f>
        <v/>
      </c>
      <c r="CB25" s="201">
        <f>CA27</f>
        <v/>
      </c>
      <c r="CC25" s="201">
        <f>CB27</f>
        <v/>
      </c>
      <c r="CD25" s="201">
        <f>CC27</f>
        <v/>
      </c>
      <c r="CE25" s="201">
        <f>CD27</f>
        <v/>
      </c>
      <c r="CF25" s="201">
        <f>CE27</f>
        <v/>
      </c>
      <c r="CG25" s="201">
        <f>CF27</f>
        <v/>
      </c>
      <c r="CH25" s="201">
        <f>CG27</f>
        <v/>
      </c>
    </row>
    <row r="26" ht="15" customHeight="1" s="202">
      <c r="B26" s="201" t="inlineStr">
        <is>
          <t>Payment</t>
        </is>
      </c>
      <c r="C26" s="328">
        <f>MIN(C25,Model!C61)</f>
        <v/>
      </c>
      <c r="D26" s="201">
        <f>MIN(D25,Model!D61)</f>
        <v/>
      </c>
      <c r="E26" s="201">
        <f>MIN(E25,Model!E61)</f>
        <v/>
      </c>
      <c r="F26" s="201">
        <f>MIN(F25,Model!F61)</f>
        <v/>
      </c>
      <c r="G26" s="201">
        <f>MIN(G25,Model!G61)</f>
        <v/>
      </c>
      <c r="H26" s="201">
        <f>MIN(H25,Model!H61)</f>
        <v/>
      </c>
      <c r="I26" s="201">
        <f>MIN(I25,Model!I61)</f>
        <v/>
      </c>
      <c r="J26" s="201">
        <f>MIN(J25,Model!J61)</f>
        <v/>
      </c>
      <c r="K26" s="201">
        <f>MIN(K25,Model!K61)</f>
        <v/>
      </c>
      <c r="L26" s="201">
        <f>MIN(L25,Model!L61)</f>
        <v/>
      </c>
      <c r="M26" s="201">
        <f>MIN(M25,Model!M61)</f>
        <v/>
      </c>
      <c r="N26" s="201">
        <f>MIN(N25,Model!N61)</f>
        <v/>
      </c>
      <c r="O26" s="201">
        <f>MIN(O25,Model!O61)</f>
        <v/>
      </c>
      <c r="P26" s="201">
        <f>MIN(P25,Model!P61)</f>
        <v/>
      </c>
      <c r="Q26" s="201">
        <f>MIN(Q25,Model!Q61)</f>
        <v/>
      </c>
      <c r="R26" s="201">
        <f>MIN(R25,Model!R61)</f>
        <v/>
      </c>
      <c r="S26" s="201">
        <f>MIN(S25,Model!S61)</f>
        <v/>
      </c>
      <c r="T26" s="201">
        <f>MIN(T25,Model!T61)</f>
        <v/>
      </c>
      <c r="U26" s="201">
        <f>MIN(U25,Model!U61)</f>
        <v/>
      </c>
      <c r="V26" s="201">
        <f>MIN(V25,Model!V61)</f>
        <v/>
      </c>
      <c r="W26" s="201">
        <f>MIN(W25,Model!W61)</f>
        <v/>
      </c>
      <c r="X26" s="201">
        <f>MIN(X25,Model!X61)</f>
        <v/>
      </c>
      <c r="Y26" s="201">
        <f>MIN(Y25,Model!Y61)</f>
        <v/>
      </c>
      <c r="Z26" s="201">
        <f>MIN(Z25,Model!Z61)</f>
        <v/>
      </c>
      <c r="AA26" s="201">
        <f>MIN(AA25,Model!AA61)</f>
        <v/>
      </c>
      <c r="AB26" s="201">
        <f>MIN(AB25,Model!AB61)</f>
        <v/>
      </c>
      <c r="AC26" s="201">
        <f>MIN(AC25,Model!AC61)</f>
        <v/>
      </c>
      <c r="AD26" s="201">
        <f>MIN(AD25,Model!AD61)</f>
        <v/>
      </c>
      <c r="AE26" s="201">
        <f>MIN(AE25,Model!AE61)</f>
        <v/>
      </c>
      <c r="AF26" s="201">
        <f>MIN(AF25,Model!AF61)</f>
        <v/>
      </c>
      <c r="AG26" s="201">
        <f>MIN(AG25,Model!AG61)</f>
        <v/>
      </c>
      <c r="AH26" s="201">
        <f>MIN(AH25,Model!AH61)</f>
        <v/>
      </c>
      <c r="AI26" s="201">
        <f>MIN(AI25,Model!AI61)</f>
        <v/>
      </c>
      <c r="AJ26" s="201">
        <f>MIN(AJ25,Model!AJ61)</f>
        <v/>
      </c>
      <c r="AK26" s="201">
        <f>MIN(AK25,Model!AK61)</f>
        <v/>
      </c>
      <c r="AL26" s="201">
        <f>MIN(AL25,Model!AL61)</f>
        <v/>
      </c>
      <c r="AM26" s="201">
        <f>MIN(AM25,Model!AM61)</f>
        <v/>
      </c>
      <c r="AN26" s="201">
        <f>MIN(AN25,Model!AN61)</f>
        <v/>
      </c>
      <c r="AO26" s="201">
        <f>MIN(AO25,Model!AO61)</f>
        <v/>
      </c>
      <c r="AP26" s="201">
        <f>MIN(AP25,Model!AP61)</f>
        <v/>
      </c>
      <c r="AQ26" s="201">
        <f>MIN(AQ25,Model!AQ61)</f>
        <v/>
      </c>
      <c r="AR26" s="201">
        <f>MIN(AR25,Model!AR61)</f>
        <v/>
      </c>
      <c r="AS26" s="201">
        <f>MIN(AS25,Model!AS61)</f>
        <v/>
      </c>
      <c r="AT26" s="201">
        <f>MIN(AT25,Model!AT61)</f>
        <v/>
      </c>
      <c r="AU26" s="201">
        <f>MIN(AU25,Model!AU61)</f>
        <v/>
      </c>
      <c r="AV26" s="201">
        <f>MIN(AV25,Model!AV61)</f>
        <v/>
      </c>
      <c r="AW26" s="201">
        <f>MIN(AW25,Model!AW61)</f>
        <v/>
      </c>
      <c r="AX26" s="201">
        <f>MIN(AX25,Model!AX61)</f>
        <v/>
      </c>
      <c r="AY26" s="201">
        <f>MIN(AY25,Model!AY61)</f>
        <v/>
      </c>
      <c r="AZ26" s="201">
        <f>MIN(AZ25,Model!AZ61)</f>
        <v/>
      </c>
      <c r="BA26" s="201">
        <f>MIN(BA25,Model!BA61)</f>
        <v/>
      </c>
      <c r="BB26" s="201">
        <f>MIN(BB25,Model!BB61)</f>
        <v/>
      </c>
      <c r="BC26" s="201">
        <f>MIN(BC25,Model!BC61)</f>
        <v/>
      </c>
      <c r="BD26" s="201">
        <f>MIN(BD25,Model!BD61)</f>
        <v/>
      </c>
      <c r="BE26" s="201">
        <f>MIN(BE25,Model!BE61)</f>
        <v/>
      </c>
      <c r="BF26" s="201">
        <f>MIN(BF25,Model!BF61)</f>
        <v/>
      </c>
      <c r="BG26" s="201">
        <f>MIN(BG25,Model!BG61)</f>
        <v/>
      </c>
      <c r="BH26" s="201">
        <f>MIN(BH25,Model!BH61)</f>
        <v/>
      </c>
      <c r="BI26" s="201">
        <f>MIN(BI25,Model!BI61)</f>
        <v/>
      </c>
      <c r="BJ26" s="201">
        <f>MIN(BJ25,Model!BJ61)</f>
        <v/>
      </c>
      <c r="BK26" s="201">
        <f>MIN(BK25,Model!BK61)</f>
        <v/>
      </c>
      <c r="BL26" s="201">
        <f>MIN(BL25,Model!BL61)</f>
        <v/>
      </c>
      <c r="BM26" s="201">
        <f>MIN(BM25,Model!BM61)</f>
        <v/>
      </c>
      <c r="BN26" s="201">
        <f>MIN(BN25,Model!BN61)</f>
        <v/>
      </c>
      <c r="BO26" s="201">
        <f>MIN(BO25,Model!BO61)</f>
        <v/>
      </c>
      <c r="BP26" s="201">
        <f>MIN(BP25,Model!BP61)</f>
        <v/>
      </c>
      <c r="BQ26" s="201">
        <f>MIN(BQ25,Model!BQ61)</f>
        <v/>
      </c>
      <c r="BR26" s="201">
        <f>MIN(BR25,Model!BR61)</f>
        <v/>
      </c>
      <c r="BS26" s="201">
        <f>MIN(BS25,Model!BS61)</f>
        <v/>
      </c>
      <c r="BT26" s="201">
        <f>MIN(BT25,Model!BT61)</f>
        <v/>
      </c>
      <c r="BU26" s="201">
        <f>MIN(BU25,Model!BU61)</f>
        <v/>
      </c>
      <c r="BV26" s="201">
        <f>MIN(BV25,Model!BV61)</f>
        <v/>
      </c>
      <c r="BW26" s="201">
        <f>MIN(BW25,Model!BW61)</f>
        <v/>
      </c>
      <c r="BX26" s="201">
        <f>MIN(BX25,Model!BX61)</f>
        <v/>
      </c>
      <c r="BY26" s="201">
        <f>MIN(BY25,Model!BY61)</f>
        <v/>
      </c>
      <c r="BZ26" s="201">
        <f>MIN(BZ25,Model!BZ61)</f>
        <v/>
      </c>
      <c r="CA26" s="201">
        <f>MIN(CA25,Model!CA61)</f>
        <v/>
      </c>
      <c r="CB26" s="201">
        <f>MIN(CB25,Model!CB61)</f>
        <v/>
      </c>
      <c r="CC26" s="201">
        <f>MIN(CC25,Model!CC61)</f>
        <v/>
      </c>
      <c r="CD26" s="201">
        <f>MIN(CD25,Model!CD61)</f>
        <v/>
      </c>
      <c r="CE26" s="201">
        <f>MIN(CE25,Model!CE61)</f>
        <v/>
      </c>
      <c r="CF26" s="201">
        <f>MIN(CF25,Model!CF61)</f>
        <v/>
      </c>
      <c r="CG26" s="201">
        <f>MIN(CG25,Model!CG61)</f>
        <v/>
      </c>
      <c r="CH26" s="201">
        <f>MIN(CH25,Model!CH61)</f>
        <v/>
      </c>
    </row>
    <row r="27" ht="15" customHeight="1" s="202">
      <c r="B27" s="201" t="inlineStr">
        <is>
          <t>End Balance</t>
        </is>
      </c>
      <c r="C27" s="201">
        <f>MAX(0,C25-C26)</f>
        <v/>
      </c>
      <c r="D27" s="201">
        <f>MAX(0,D25-D26)</f>
        <v/>
      </c>
      <c r="E27" s="201">
        <f>MAX(0,E25-E26)</f>
        <v/>
      </c>
      <c r="F27" s="201">
        <f>MAX(0,F25-F26)</f>
        <v/>
      </c>
      <c r="G27" s="201">
        <f>MAX(0,G25-G26)</f>
        <v/>
      </c>
      <c r="H27" s="201">
        <f>MAX(0,H25-H26)</f>
        <v/>
      </c>
      <c r="I27" s="201">
        <f>MAX(0,I25-I26)</f>
        <v/>
      </c>
      <c r="J27" s="201">
        <f>MAX(0,J25-J26)</f>
        <v/>
      </c>
      <c r="K27" s="201">
        <f>MAX(0,K25-K26)</f>
        <v/>
      </c>
      <c r="L27" s="201">
        <f>MAX(0,L25-L26)</f>
        <v/>
      </c>
      <c r="M27" s="201">
        <f>MAX(0,M25-M26)</f>
        <v/>
      </c>
      <c r="N27" s="201">
        <f>MAX(0,N25-N26)</f>
        <v/>
      </c>
      <c r="O27" s="201">
        <f>MAX(0,O25-O26)</f>
        <v/>
      </c>
      <c r="P27" s="201">
        <f>MAX(0,P25-P26)</f>
        <v/>
      </c>
      <c r="Q27" s="201">
        <f>MAX(0,Q25-Q26)</f>
        <v/>
      </c>
      <c r="R27" s="201">
        <f>MAX(0,R25-R26)</f>
        <v/>
      </c>
      <c r="S27" s="201">
        <f>MAX(0,S25-S26)</f>
        <v/>
      </c>
      <c r="T27" s="201">
        <f>MAX(0,T25-T26)</f>
        <v/>
      </c>
      <c r="U27" s="201">
        <f>MAX(0,U25-U26)</f>
        <v/>
      </c>
      <c r="V27" s="201">
        <f>MAX(0,V25-V26)</f>
        <v/>
      </c>
      <c r="W27" s="201">
        <f>MAX(0,W25-W26)</f>
        <v/>
      </c>
      <c r="X27" s="201">
        <f>MAX(0,X25-X26)</f>
        <v/>
      </c>
      <c r="Y27" s="201">
        <f>MAX(0,Y25-Y26)</f>
        <v/>
      </c>
      <c r="Z27" s="201">
        <f>MAX(0,Z25-Z26)</f>
        <v/>
      </c>
      <c r="AA27" s="201">
        <f>MAX(0,AA25-AA26)</f>
        <v/>
      </c>
      <c r="AB27" s="201">
        <f>MAX(0,AB25-AB26)</f>
        <v/>
      </c>
      <c r="AC27" s="201">
        <f>MAX(0,AC25-AC26)</f>
        <v/>
      </c>
      <c r="AD27" s="201">
        <f>MAX(0,AD25-AD26)</f>
        <v/>
      </c>
      <c r="AE27" s="201">
        <f>MAX(0,AE25-AE26)</f>
        <v/>
      </c>
      <c r="AF27" s="201">
        <f>MAX(0,AF25-AF26)</f>
        <v/>
      </c>
      <c r="AG27" s="201">
        <f>MAX(0,AG25-AG26)</f>
        <v/>
      </c>
      <c r="AH27" s="201">
        <f>MAX(0,AH25-AH26)</f>
        <v/>
      </c>
      <c r="AI27" s="201">
        <f>MAX(0,AI25-AI26)</f>
        <v/>
      </c>
      <c r="AJ27" s="201">
        <f>MAX(0,AJ25-AJ26)</f>
        <v/>
      </c>
      <c r="AK27" s="201">
        <f>MAX(0,AK25-AK26)</f>
        <v/>
      </c>
      <c r="AL27" s="201">
        <f>MAX(0,AL25-AL26)</f>
        <v/>
      </c>
      <c r="AM27" s="201">
        <f>MAX(0,AM25-AM26)</f>
        <v/>
      </c>
      <c r="AN27" s="201">
        <f>MAX(0,AN25-AN26)</f>
        <v/>
      </c>
      <c r="AO27" s="201">
        <f>MAX(0,AO25-AO26)</f>
        <v/>
      </c>
      <c r="AP27" s="201">
        <f>MAX(0,AP25-AP26)</f>
        <v/>
      </c>
      <c r="AQ27" s="201">
        <f>MAX(0,AQ25-AQ26)</f>
        <v/>
      </c>
      <c r="AR27" s="201">
        <f>MAX(0,AR25-AR26)</f>
        <v/>
      </c>
      <c r="AS27" s="201">
        <f>MAX(0,AS25-AS26)</f>
        <v/>
      </c>
      <c r="AT27" s="201">
        <f>MAX(0,AT25-AT26)</f>
        <v/>
      </c>
      <c r="AU27" s="201">
        <f>MAX(0,AU25-AU26)</f>
        <v/>
      </c>
      <c r="AV27" s="201">
        <f>MAX(0,AV25-AV26)</f>
        <v/>
      </c>
      <c r="AW27" s="201">
        <f>MAX(0,AW25-AW26)</f>
        <v/>
      </c>
      <c r="AX27" s="201">
        <f>MAX(0,AX25-AX26)</f>
        <v/>
      </c>
      <c r="AY27" s="201">
        <f>MAX(0,AY25-AY26)</f>
        <v/>
      </c>
      <c r="AZ27" s="201">
        <f>MAX(0,AZ25-AZ26)</f>
        <v/>
      </c>
      <c r="BA27" s="201">
        <f>MAX(0,BA25-BA26)</f>
        <v/>
      </c>
      <c r="BB27" s="201">
        <f>MAX(0,BB25-BB26)</f>
        <v/>
      </c>
      <c r="BC27" s="201">
        <f>MAX(0,BC25-BC26)</f>
        <v/>
      </c>
      <c r="BD27" s="201">
        <f>MAX(0,BD25-BD26)</f>
        <v/>
      </c>
      <c r="BE27" s="201">
        <f>MAX(0,BE25-BE26)</f>
        <v/>
      </c>
      <c r="BF27" s="201">
        <f>MAX(0,BF25-BF26)</f>
        <v/>
      </c>
      <c r="BG27" s="201">
        <f>MAX(0,BG25-BG26)</f>
        <v/>
      </c>
      <c r="BH27" s="201">
        <f>MAX(0,BH25-BH26)</f>
        <v/>
      </c>
      <c r="BI27" s="201">
        <f>MAX(0,BI25-BI26)</f>
        <v/>
      </c>
      <c r="BJ27" s="201">
        <f>MAX(0,BJ25-BJ26)</f>
        <v/>
      </c>
      <c r="BK27" s="201">
        <f>MAX(0,BK25-BK26)</f>
        <v/>
      </c>
      <c r="BL27" s="201">
        <f>MAX(0,BL25-BL26)</f>
        <v/>
      </c>
      <c r="BM27" s="201">
        <f>MAX(0,BM25-BM26)</f>
        <v/>
      </c>
      <c r="BN27" s="201">
        <f>MAX(0,BN25-BN26)</f>
        <v/>
      </c>
      <c r="BO27" s="201">
        <f>MAX(0,BO25-BO26)</f>
        <v/>
      </c>
      <c r="BP27" s="201">
        <f>MAX(0,BP25-BP26)</f>
        <v/>
      </c>
      <c r="BQ27" s="201">
        <f>MAX(0,BQ25-BQ26)</f>
        <v/>
      </c>
      <c r="BR27" s="201">
        <f>MAX(0,BR25-BR26)</f>
        <v/>
      </c>
      <c r="BS27" s="201">
        <f>MAX(0,BS25-BS26)</f>
        <v/>
      </c>
      <c r="BT27" s="201">
        <f>MAX(0,BT25-BT26)</f>
        <v/>
      </c>
      <c r="BU27" s="201">
        <f>MAX(0,BU25-BU26)</f>
        <v/>
      </c>
      <c r="BV27" s="201">
        <f>MAX(0,BV25-BV26)</f>
        <v/>
      </c>
      <c r="BW27" s="201">
        <f>MAX(0,BW25-BW26)</f>
        <v/>
      </c>
      <c r="BX27" s="201">
        <f>MAX(0,BX25-BX26)</f>
        <v/>
      </c>
      <c r="BY27" s="201">
        <f>MAX(0,BY25-BY26)</f>
        <v/>
      </c>
      <c r="BZ27" s="201">
        <f>MAX(0,BZ25-BZ26)</f>
        <v/>
      </c>
      <c r="CA27" s="201">
        <f>MAX(0,CA25-CA26)</f>
        <v/>
      </c>
      <c r="CB27" s="201">
        <f>MAX(0,CB25-CB26)</f>
        <v/>
      </c>
      <c r="CC27" s="201">
        <f>MAX(0,CC25-CC26)</f>
        <v/>
      </c>
      <c r="CD27" s="201">
        <f>MAX(0,CD25-CD26)</f>
        <v/>
      </c>
      <c r="CE27" s="201">
        <f>MAX(0,CE25-CE26)</f>
        <v/>
      </c>
      <c r="CF27" s="201">
        <f>MAX(0,CF25-CF26)</f>
        <v/>
      </c>
      <c r="CG27" s="201">
        <f>MAX(0,CG25-CG26)</f>
        <v/>
      </c>
      <c r="CH27" s="201">
        <f>MAX(0,CH25-CH26)</f>
        <v/>
      </c>
    </row>
    <row r="28"/>
    <row r="29"/>
    <row r="30" ht="15" customHeight="1" s="202">
      <c r="A30" s="313" t="inlineStr">
        <is>
          <t>POST-MODEL LIHTC PROJECTIONS (10-Year Credit = 40 Quarters)</t>
        </is>
      </c>
      <c r="B30" s="313" t="n"/>
      <c r="C30" s="313" t="n"/>
      <c r="D30" s="313" t="n"/>
      <c r="E30" s="313" t="n"/>
      <c r="F30" s="313" t="n"/>
      <c r="G30" s="313" t="n"/>
      <c r="H30" s="313" t="n"/>
      <c r="I30" s="313" t="n"/>
    </row>
    <row r="31" ht="15" customHeight="1" s="202">
      <c r="A31" s="329" t="inlineStr">
        <is>
          <t>Last Quarterly LIHTC Rate</t>
        </is>
      </c>
    </row>
    <row r="32" ht="15" customHeight="1" s="202">
      <c r="A32" s="330" t="inlineStr">
        <is>
          <t>Francis</t>
        </is>
      </c>
      <c r="B32" s="266">
        <f>LOOKUP(2,1/(Model!C59:CH59&gt;0),Model!C59:CH59)</f>
        <v/>
      </c>
    </row>
    <row r="33" ht="15" customHeight="1" s="202">
      <c r="A33" s="330" t="inlineStr">
        <is>
          <t>3rd St</t>
        </is>
      </c>
      <c r="B33" s="266">
        <f>LOOKUP(2,1/(Model!C61:CH61&gt;0),Model!C61:CH61)</f>
        <v/>
      </c>
    </row>
    <row r="34" ht="15" customHeight="1" s="202">
      <c r="A34" s="330" t="inlineStr">
        <is>
          <t>Reseda</t>
        </is>
      </c>
      <c r="B34" s="266">
        <f>LOOKUP(2,1/(Model!C60:CH60&gt;0),Model!C60:CH60)</f>
        <v/>
      </c>
    </row>
    <row r="35"/>
    <row r="36" ht="15" customHeight="1" s="202">
      <c r="A36" s="329" t="inlineStr">
        <is>
          <t>In-Model Quarterly Payments</t>
        </is>
      </c>
    </row>
    <row r="37" ht="15" customHeight="1" s="202">
      <c r="A37" s="330" t="inlineStr">
        <is>
          <t>Francis</t>
        </is>
      </c>
      <c r="B37" s="311">
        <f>SUMPRODUCT((Model!C59:CH59&gt;0)*1)</f>
        <v/>
      </c>
    </row>
    <row r="38" ht="15" customHeight="1" s="202">
      <c r="A38" s="330" t="inlineStr">
        <is>
          <t>3rd St</t>
        </is>
      </c>
      <c r="B38" s="311">
        <f>SUMPRODUCT((Model!C61:CH61&gt;0)*1)</f>
        <v/>
      </c>
    </row>
    <row r="39" ht="15" customHeight="1" s="202">
      <c r="A39" s="330" t="inlineStr">
        <is>
          <t>Reseda</t>
        </is>
      </c>
      <c r="B39" s="311">
        <f>SUMPRODUCT((Model!C60:CH60&gt;0)*1)</f>
        <v/>
      </c>
    </row>
    <row r="40"/>
    <row r="41" ht="15" customHeight="1" s="202">
      <c r="A41" s="329" t="inlineStr">
        <is>
          <t>Remaining Quarters (Post-Model)</t>
        </is>
      </c>
    </row>
    <row r="42" ht="15" customHeight="1" s="202">
      <c r="A42" s="330" t="inlineStr">
        <is>
          <t>Francis</t>
        </is>
      </c>
      <c r="B42" s="311">
        <f>40-B37</f>
        <v/>
      </c>
    </row>
    <row r="43" ht="15" customHeight="1" s="202">
      <c r="A43" s="330" t="inlineStr">
        <is>
          <t>3rd St</t>
        </is>
      </c>
      <c r="B43" s="311">
        <f>40-B38</f>
        <v/>
      </c>
    </row>
    <row r="44" ht="15" customHeight="1" s="202">
      <c r="A44" s="330" t="inlineStr">
        <is>
          <t>Reseda</t>
        </is>
      </c>
      <c r="B44" s="311">
        <f>40-B39</f>
        <v/>
      </c>
    </row>
    <row r="45"/>
    <row r="46" ht="15" customHeight="1" s="202">
      <c r="A46" s="329" t="inlineStr">
        <is>
          <t>Post-Model Total LIHTC Revenue</t>
        </is>
      </c>
    </row>
    <row r="47" ht="15" customHeight="1" s="202">
      <c r="A47" s="330" t="inlineStr">
        <is>
          <t>Francis</t>
        </is>
      </c>
      <c r="B47" s="266">
        <f>B32*B42</f>
        <v/>
      </c>
    </row>
    <row r="48" ht="15" customHeight="1" s="202">
      <c r="A48" s="330" t="inlineStr">
        <is>
          <t>3rd St</t>
        </is>
      </c>
      <c r="B48" s="266">
        <f>B33*B43</f>
        <v/>
      </c>
    </row>
    <row r="49" ht="15" customHeight="1" s="202">
      <c r="A49" s="330" t="inlineStr">
        <is>
          <t>Reseda</t>
        </is>
      </c>
      <c r="B49" s="266">
        <f>B34*B44</f>
        <v/>
      </c>
    </row>
    <row r="50"/>
    <row r="51" ht="15" customHeight="1" s="202">
      <c r="A51" s="313" t="inlineStr">
        <is>
          <t>3RD ST POST-MODEL PIK AMORTIZATION</t>
        </is>
      </c>
      <c r="B51" s="313" t="n"/>
      <c r="C51" s="313" t="n"/>
      <c r="D51" s="313" t="n"/>
      <c r="E51" s="313" t="n"/>
      <c r="F51" s="313" t="n"/>
      <c r="G51" s="313" t="n"/>
    </row>
    <row r="52" ht="15" customHeight="1" s="202">
      <c r="A52" s="329" t="inlineStr">
        <is>
          <t>Quarter</t>
        </is>
      </c>
      <c r="B52" s="329" t="inlineStr">
        <is>
          <t>LIHTC Rev</t>
        </is>
      </c>
      <c r="C52" s="329" t="inlineStr">
        <is>
          <t>Steyn Bal</t>
        </is>
      </c>
      <c r="D52" s="329" t="inlineStr">
        <is>
          <t>Steyn Pmt</t>
        </is>
      </c>
      <c r="E52" s="329" t="inlineStr">
        <is>
          <t>PIK Bal</t>
        </is>
      </c>
      <c r="F52" s="329" t="inlineStr">
        <is>
          <t>PIK Interest</t>
        </is>
      </c>
      <c r="G52" s="329" t="inlineStr">
        <is>
          <t>PIK Pmt</t>
        </is>
      </c>
    </row>
    <row r="53" ht="15" customHeight="1" s="202">
      <c r="A53" s="311" t="n">
        <v>1</v>
      </c>
      <c r="B53" s="266">
        <f>$B$33</f>
        <v/>
      </c>
      <c r="C53" s="266">
        <f>CH27</f>
        <v/>
      </c>
      <c r="D53" s="266">
        <f>MIN(C53,B53)</f>
        <v/>
      </c>
      <c r="E53" s="266">
        <f>Model!CH124</f>
        <v/>
      </c>
      <c r="F53" s="266">
        <f>E53*Assumptions!$B$59</f>
        <v/>
      </c>
      <c r="G53" s="266">
        <f>MIN(E53+F53,MAX(0,B53-D53))</f>
        <v/>
      </c>
    </row>
    <row r="54" ht="15" customHeight="1" s="202">
      <c r="A54" s="311" t="n">
        <v>2</v>
      </c>
      <c r="B54" s="266">
        <f>$B$33</f>
        <v/>
      </c>
      <c r="C54" s="266">
        <f>MAX(0,C53-D53)</f>
        <v/>
      </c>
      <c r="D54" s="266">
        <f>MIN(C54,B54)</f>
        <v/>
      </c>
      <c r="E54" s="266">
        <f>MAX(0,E53+F53-G53)</f>
        <v/>
      </c>
      <c r="F54" s="266">
        <f>E54*Assumptions!$B$59</f>
        <v/>
      </c>
      <c r="G54" s="266">
        <f>MIN(E54+F54,MAX(0,B54-D54))</f>
        <v/>
      </c>
    </row>
    <row r="55" ht="15" customHeight="1" s="202">
      <c r="A55" s="311" t="n">
        <v>3</v>
      </c>
      <c r="B55" s="266">
        <f>$B$33</f>
        <v/>
      </c>
      <c r="C55" s="266">
        <f>MAX(0,C54-D54)</f>
        <v/>
      </c>
      <c r="D55" s="266">
        <f>MIN(C55,B55)</f>
        <v/>
      </c>
      <c r="E55" s="266">
        <f>MAX(0,E54+F54-G54)</f>
        <v/>
      </c>
      <c r="F55" s="266">
        <f>E55*Assumptions!$B$59</f>
        <v/>
      </c>
      <c r="G55" s="266">
        <f>MIN(E55+F55,MAX(0,B55-D55))</f>
        <v/>
      </c>
    </row>
    <row r="56" ht="15" customHeight="1" s="202">
      <c r="A56" s="311" t="n">
        <v>4</v>
      </c>
      <c r="B56" s="266">
        <f>$B$33</f>
        <v/>
      </c>
      <c r="C56" s="266">
        <f>MAX(0,C55-D55)</f>
        <v/>
      </c>
      <c r="D56" s="266">
        <f>MIN(C56,B56)</f>
        <v/>
      </c>
      <c r="E56" s="266">
        <f>MAX(0,E55+F55-G55)</f>
        <v/>
      </c>
      <c r="F56" s="266">
        <f>E56*Assumptions!$B$59</f>
        <v/>
      </c>
      <c r="G56" s="266">
        <f>MIN(E56+F56,MAX(0,B56-D56))</f>
        <v/>
      </c>
    </row>
    <row r="57" ht="15" customHeight="1" s="202">
      <c r="A57" s="311" t="n">
        <v>5</v>
      </c>
      <c r="B57" s="266">
        <f>$B$33</f>
        <v/>
      </c>
      <c r="C57" s="266">
        <f>MAX(0,C56-D56)</f>
        <v/>
      </c>
      <c r="D57" s="266">
        <f>MIN(C57,B57)</f>
        <v/>
      </c>
      <c r="E57" s="266">
        <f>MAX(0,E56+F56-G56)</f>
        <v/>
      </c>
      <c r="F57" s="266">
        <f>E57*Assumptions!$B$59</f>
        <v/>
      </c>
      <c r="G57" s="266">
        <f>MIN(E57+F57,MAX(0,B57-D57))</f>
        <v/>
      </c>
    </row>
    <row r="58" ht="15" customHeight="1" s="202">
      <c r="A58" s="311" t="n">
        <v>6</v>
      </c>
      <c r="B58" s="266">
        <f>$B$33</f>
        <v/>
      </c>
      <c r="C58" s="266">
        <f>MAX(0,C57-D57)</f>
        <v/>
      </c>
      <c r="D58" s="266">
        <f>MIN(C58,B58)</f>
        <v/>
      </c>
      <c r="E58" s="266">
        <f>MAX(0,E57+F57-G57)</f>
        <v/>
      </c>
      <c r="F58" s="266">
        <f>E58*Assumptions!$B$59</f>
        <v/>
      </c>
      <c r="G58" s="266">
        <f>MIN(E58+F58,MAX(0,B58-D58))</f>
        <v/>
      </c>
    </row>
    <row r="59" ht="15" customHeight="1" s="202">
      <c r="A59" s="311" t="n">
        <v>7</v>
      </c>
      <c r="B59" s="266">
        <f>$B$33</f>
        <v/>
      </c>
      <c r="C59" s="266">
        <f>MAX(0,C58-D58)</f>
        <v/>
      </c>
      <c r="D59" s="266">
        <f>MIN(C59,B59)</f>
        <v/>
      </c>
      <c r="E59" s="266">
        <f>MAX(0,E58+F58-G58)</f>
        <v/>
      </c>
      <c r="F59" s="266">
        <f>E59*Assumptions!$B$59</f>
        <v/>
      </c>
      <c r="G59" s="266">
        <f>MIN(E59+F59,MAX(0,B59-D59))</f>
        <v/>
      </c>
    </row>
    <row r="60" ht="15" customHeight="1" s="202">
      <c r="A60" s="311" t="n">
        <v>8</v>
      </c>
      <c r="B60" s="266">
        <f>$B$33</f>
        <v/>
      </c>
      <c r="C60" s="266">
        <f>MAX(0,C59-D59)</f>
        <v/>
      </c>
      <c r="D60" s="266">
        <f>MIN(C60,B60)</f>
        <v/>
      </c>
      <c r="E60" s="266">
        <f>MAX(0,E59+F59-G59)</f>
        <v/>
      </c>
      <c r="F60" s="266">
        <f>E60*Assumptions!$B$59</f>
        <v/>
      </c>
      <c r="G60" s="266">
        <f>MIN(E60+F60,MAX(0,B60-D60))</f>
        <v/>
      </c>
    </row>
    <row r="61" ht="15" customHeight="1" s="202">
      <c r="A61" s="311" t="n">
        <v>9</v>
      </c>
      <c r="B61" s="266">
        <f>$B$33</f>
        <v/>
      </c>
      <c r="C61" s="266">
        <f>MAX(0,C60-D60)</f>
        <v/>
      </c>
      <c r="D61" s="266">
        <f>MIN(C61,B61)</f>
        <v/>
      </c>
      <c r="E61" s="266">
        <f>MAX(0,E60+F60-G60)</f>
        <v/>
      </c>
      <c r="F61" s="266">
        <f>E61*Assumptions!$B$59</f>
        <v/>
      </c>
      <c r="G61" s="266">
        <f>MIN(E61+F61,MAX(0,B61-D61))</f>
        <v/>
      </c>
    </row>
    <row r="62" ht="15" customHeight="1" s="202">
      <c r="A62" s="311" t="n">
        <v>10</v>
      </c>
      <c r="B62" s="266">
        <f>$B$33</f>
        <v/>
      </c>
      <c r="C62" s="266">
        <f>MAX(0,C61-D61)</f>
        <v/>
      </c>
      <c r="D62" s="266">
        <f>MIN(C62,B62)</f>
        <v/>
      </c>
      <c r="E62" s="266">
        <f>MAX(0,E61+F61-G61)</f>
        <v/>
      </c>
      <c r="F62" s="266">
        <f>E62*Assumptions!$B$59</f>
        <v/>
      </c>
      <c r="G62" s="266">
        <f>MIN(E62+F62,MAX(0,B62-D62))</f>
        <v/>
      </c>
    </row>
    <row r="63" ht="15" customHeight="1" s="202">
      <c r="A63" s="311" t="n">
        <v>11</v>
      </c>
      <c r="B63" s="266">
        <f>$B$33</f>
        <v/>
      </c>
      <c r="C63" s="266">
        <f>MAX(0,C62-D62)</f>
        <v/>
      </c>
      <c r="D63" s="266">
        <f>MIN(C63,B63)</f>
        <v/>
      </c>
      <c r="E63" s="266">
        <f>MAX(0,E62+F62-G62)</f>
        <v/>
      </c>
      <c r="F63" s="266">
        <f>E63*Assumptions!$B$59</f>
        <v/>
      </c>
      <c r="G63" s="266">
        <f>MIN(E63+F63,MAX(0,B63-D63))</f>
        <v/>
      </c>
    </row>
    <row r="64" ht="15" customHeight="1" s="202">
      <c r="A64" s="311" t="n">
        <v>12</v>
      </c>
      <c r="B64" s="266">
        <f>$B$33</f>
        <v/>
      </c>
      <c r="C64" s="266">
        <f>MAX(0,C63-D63)</f>
        <v/>
      </c>
      <c r="D64" s="266">
        <f>MIN(C64,B64)</f>
        <v/>
      </c>
      <c r="E64" s="266">
        <f>MAX(0,E63+F63-G63)</f>
        <v/>
      </c>
      <c r="F64" s="266">
        <f>E64*Assumptions!$B$59</f>
        <v/>
      </c>
      <c r="G64" s="266">
        <f>MIN(E64+F64,MAX(0,B64-D64))</f>
        <v/>
      </c>
    </row>
    <row r="65" ht="15" customHeight="1" s="202">
      <c r="A65" s="311" t="n">
        <v>13</v>
      </c>
      <c r="B65" s="266">
        <f>$B$33</f>
        <v/>
      </c>
      <c r="C65" s="266">
        <f>MAX(0,C64-D64)</f>
        <v/>
      </c>
      <c r="D65" s="266">
        <f>MIN(C65,B65)</f>
        <v/>
      </c>
      <c r="E65" s="266">
        <f>MAX(0,E64+F64-G64)</f>
        <v/>
      </c>
      <c r="F65" s="266">
        <f>E65*Assumptions!$B$59</f>
        <v/>
      </c>
      <c r="G65" s="266">
        <f>MIN(E65+F65,MAX(0,B65-D65))</f>
        <v/>
      </c>
    </row>
    <row r="66" ht="15" customHeight="1" s="202">
      <c r="A66" s="311" t="n">
        <v>14</v>
      </c>
      <c r="B66" s="266">
        <f>$B$33</f>
        <v/>
      </c>
      <c r="C66" s="266">
        <f>MAX(0,C65-D65)</f>
        <v/>
      </c>
      <c r="D66" s="266">
        <f>MIN(C66,B66)</f>
        <v/>
      </c>
      <c r="E66" s="266">
        <f>MAX(0,E65+F65-G65)</f>
        <v/>
      </c>
      <c r="F66" s="266">
        <f>E66*Assumptions!$B$59</f>
        <v/>
      </c>
      <c r="G66" s="266">
        <f>MIN(E66+F66,MAX(0,B66-D66))</f>
        <v/>
      </c>
    </row>
    <row r="67" ht="15" customHeight="1" s="202">
      <c r="A67" s="311" t="n">
        <v>15</v>
      </c>
      <c r="B67" s="266">
        <f>$B$33</f>
        <v/>
      </c>
      <c r="C67" s="266">
        <f>MAX(0,C66-D66)</f>
        <v/>
      </c>
      <c r="D67" s="266">
        <f>MIN(C67,B67)</f>
        <v/>
      </c>
      <c r="E67" s="266">
        <f>MAX(0,E66+F66-G66)</f>
        <v/>
      </c>
      <c r="F67" s="266">
        <f>E67*Assumptions!$B$59</f>
        <v/>
      </c>
      <c r="G67" s="266">
        <f>MIN(E67+F67,MAX(0,B67-D67))</f>
        <v/>
      </c>
    </row>
    <row r="68" ht="15" customHeight="1" s="202">
      <c r="A68" s="311" t="n">
        <v>16</v>
      </c>
      <c r="B68" s="266">
        <f>$B$33</f>
        <v/>
      </c>
      <c r="C68" s="266">
        <f>MAX(0,C67-D67)</f>
        <v/>
      </c>
      <c r="D68" s="266">
        <f>MIN(C68,B68)</f>
        <v/>
      </c>
      <c r="E68" s="266">
        <f>MAX(0,E67+F67-G67)</f>
        <v/>
      </c>
      <c r="F68" s="266">
        <f>E68*Assumptions!$B$59</f>
        <v/>
      </c>
      <c r="G68" s="266">
        <f>MIN(E68+F68,MAX(0,B68-D68))</f>
        <v/>
      </c>
    </row>
    <row r="69" ht="15" customHeight="1" s="202">
      <c r="A69" s="311" t="n">
        <v>17</v>
      </c>
      <c r="B69" s="266">
        <f>$B$33</f>
        <v/>
      </c>
      <c r="C69" s="266">
        <f>MAX(0,C68-D68)</f>
        <v/>
      </c>
      <c r="D69" s="266">
        <f>MIN(C69,B69)</f>
        <v/>
      </c>
      <c r="E69" s="266">
        <f>MAX(0,E68+F68-G68)</f>
        <v/>
      </c>
      <c r="F69" s="266">
        <f>E69*Assumptions!$B$59</f>
        <v/>
      </c>
      <c r="G69" s="266">
        <f>MIN(E69+F69,MAX(0,B69-D69))</f>
        <v/>
      </c>
    </row>
    <row r="70" ht="15" customHeight="1" s="202">
      <c r="A70" s="311" t="n">
        <v>18</v>
      </c>
      <c r="B70" s="266">
        <f>$B$33</f>
        <v/>
      </c>
      <c r="C70" s="266">
        <f>MAX(0,C69-D69)</f>
        <v/>
      </c>
      <c r="D70" s="266">
        <f>MIN(C70,B70)</f>
        <v/>
      </c>
      <c r="E70" s="266">
        <f>MAX(0,E69+F69-G69)</f>
        <v/>
      </c>
      <c r="F70" s="266">
        <f>E70*Assumptions!$B$59</f>
        <v/>
      </c>
      <c r="G70" s="266">
        <f>MIN(E70+F70,MAX(0,B70-D70))</f>
        <v/>
      </c>
    </row>
    <row r="71" ht="15" customHeight="1" s="202">
      <c r="A71" s="311" t="n">
        <v>19</v>
      </c>
      <c r="B71" s="266">
        <f>$B$33</f>
        <v/>
      </c>
      <c r="C71" s="266">
        <f>MAX(0,C70-D70)</f>
        <v/>
      </c>
      <c r="D71" s="266">
        <f>MIN(C71,B71)</f>
        <v/>
      </c>
      <c r="E71" s="266">
        <f>MAX(0,E70+F70-G70)</f>
        <v/>
      </c>
      <c r="F71" s="266">
        <f>E71*Assumptions!$B$59</f>
        <v/>
      </c>
      <c r="G71" s="266">
        <f>MIN(E71+F71,MAX(0,B71-D71))</f>
        <v/>
      </c>
    </row>
    <row r="72" ht="15" customHeight="1" s="202">
      <c r="A72" s="311" t="n">
        <v>20</v>
      </c>
      <c r="B72" s="266">
        <f>$B$33</f>
        <v/>
      </c>
      <c r="C72" s="266">
        <f>MAX(0,C71-D71)</f>
        <v/>
      </c>
      <c r="D72" s="266">
        <f>MIN(C72,B72)</f>
        <v/>
      </c>
      <c r="E72" s="266">
        <f>MAX(0,E71+F71-G71)</f>
        <v/>
      </c>
      <c r="F72" s="266">
        <f>E72*Assumptions!$B$59</f>
        <v/>
      </c>
      <c r="G72" s="266">
        <f>MIN(E72+F72,MAX(0,B72-D72))</f>
        <v/>
      </c>
    </row>
    <row r="73" ht="15" customHeight="1" s="202">
      <c r="A73" s="311" t="n">
        <v>21</v>
      </c>
      <c r="B73" s="266">
        <f>$B$33</f>
        <v/>
      </c>
      <c r="C73" s="266">
        <f>MAX(0,C72-D72)</f>
        <v/>
      </c>
      <c r="D73" s="266">
        <f>MIN(C73,B73)</f>
        <v/>
      </c>
      <c r="E73" s="266">
        <f>MAX(0,E72+F72-G72)</f>
        <v/>
      </c>
      <c r="F73" s="266">
        <f>E73*Assumptions!$B$59</f>
        <v/>
      </c>
      <c r="G73" s="266">
        <f>MIN(E73+F73,MAX(0,B73-D73))</f>
        <v/>
      </c>
    </row>
    <row r="74" ht="15" customHeight="1" s="202">
      <c r="A74" s="311" t="n">
        <v>22</v>
      </c>
      <c r="B74" s="266">
        <f>$B$33</f>
        <v/>
      </c>
      <c r="C74" s="266">
        <f>MAX(0,C73-D73)</f>
        <v/>
      </c>
      <c r="D74" s="266">
        <f>MIN(C74,B74)</f>
        <v/>
      </c>
      <c r="E74" s="266">
        <f>MAX(0,E73+F73-G73)</f>
        <v/>
      </c>
      <c r="F74" s="266">
        <f>E74*Assumptions!$B$59</f>
        <v/>
      </c>
      <c r="G74" s="266">
        <f>MIN(E74+F74,MAX(0,B74-D74))</f>
        <v/>
      </c>
    </row>
    <row r="75" ht="15" customHeight="1" s="202">
      <c r="A75" s="311" t="n">
        <v>23</v>
      </c>
      <c r="B75" s="266">
        <f>$B$33</f>
        <v/>
      </c>
      <c r="C75" s="266">
        <f>MAX(0,C74-D74)</f>
        <v/>
      </c>
      <c r="D75" s="266">
        <f>MIN(C75,B75)</f>
        <v/>
      </c>
      <c r="E75" s="266">
        <f>MAX(0,E74+F74-G74)</f>
        <v/>
      </c>
      <c r="F75" s="266">
        <f>E75*Assumptions!$B$59</f>
        <v/>
      </c>
      <c r="G75" s="266">
        <f>MIN(E75+F75,MAX(0,B75-D75))</f>
        <v/>
      </c>
    </row>
    <row r="76" ht="15" customHeight="1" s="202">
      <c r="A76" s="311" t="n">
        <v>24</v>
      </c>
      <c r="B76" s="266">
        <f>$B$33</f>
        <v/>
      </c>
      <c r="C76" s="266">
        <f>MAX(0,C75-D75)</f>
        <v/>
      </c>
      <c r="D76" s="266">
        <f>MIN(C76,B76)</f>
        <v/>
      </c>
      <c r="E76" s="266">
        <f>MAX(0,E75+F75-G75)</f>
        <v/>
      </c>
      <c r="F76" s="266">
        <f>E76*Assumptions!$B$59</f>
        <v/>
      </c>
      <c r="G76" s="266">
        <f>MIN(E76+F76,MAX(0,B76-D76))</f>
        <v/>
      </c>
    </row>
    <row r="77" ht="15" customHeight="1" s="202">
      <c r="A77" s="311" t="n">
        <v>25</v>
      </c>
      <c r="B77" s="266">
        <f>$B$33</f>
        <v/>
      </c>
      <c r="C77" s="266">
        <f>MAX(0,C76-D76)</f>
        <v/>
      </c>
      <c r="D77" s="266">
        <f>MIN(C77,B77)</f>
        <v/>
      </c>
      <c r="E77" s="266">
        <f>MAX(0,E76+F76-G76)</f>
        <v/>
      </c>
      <c r="F77" s="266">
        <f>E77*Assumptions!$B$59</f>
        <v/>
      </c>
      <c r="G77" s="266">
        <f>MIN(E77+F77,MAX(0,B77-D77))</f>
        <v/>
      </c>
    </row>
    <row r="78" ht="15" customHeight="1" s="202">
      <c r="A78" s="311" t="n">
        <v>26</v>
      </c>
      <c r="B78" s="266">
        <f>$B$33</f>
        <v/>
      </c>
      <c r="C78" s="266">
        <f>MAX(0,C77-D77)</f>
        <v/>
      </c>
      <c r="D78" s="266">
        <f>MIN(C78,B78)</f>
        <v/>
      </c>
      <c r="E78" s="266">
        <f>MAX(0,E77+F77-G77)</f>
        <v/>
      </c>
      <c r="F78" s="266">
        <f>E78*Assumptions!$B$59</f>
        <v/>
      </c>
      <c r="G78" s="266">
        <f>MIN(E78+F78,MAX(0,B78-D78))</f>
        <v/>
      </c>
    </row>
    <row r="79" ht="15" customHeight="1" s="202">
      <c r="A79" s="311" t="n">
        <v>27</v>
      </c>
      <c r="B79" s="266">
        <f>$B$33</f>
        <v/>
      </c>
      <c r="C79" s="266">
        <f>MAX(0,C78-D78)</f>
        <v/>
      </c>
      <c r="D79" s="266">
        <f>MIN(C79,B79)</f>
        <v/>
      </c>
      <c r="E79" s="266">
        <f>MAX(0,E78+F78-G78)</f>
        <v/>
      </c>
      <c r="F79" s="266">
        <f>E79*Assumptions!$B$59</f>
        <v/>
      </c>
      <c r="G79" s="266">
        <f>MIN(E79+F79,MAX(0,B79-D79))</f>
        <v/>
      </c>
    </row>
    <row r="80" ht="15" customHeight="1" s="202">
      <c r="A80" s="311" t="n">
        <v>28</v>
      </c>
      <c r="B80" s="266">
        <f>$B$33</f>
        <v/>
      </c>
      <c r="C80" s="266">
        <f>MAX(0,C79-D79)</f>
        <v/>
      </c>
      <c r="D80" s="266">
        <f>MIN(C80,B80)</f>
        <v/>
      </c>
      <c r="E80" s="266">
        <f>MAX(0,E79+F79-G79)</f>
        <v/>
      </c>
      <c r="F80" s="266">
        <f>E80*Assumptions!$B$59</f>
        <v/>
      </c>
      <c r="G80" s="266">
        <f>MIN(E80+F80,MAX(0,B80-D80))</f>
        <v/>
      </c>
    </row>
    <row r="81" ht="15" customHeight="1" s="202">
      <c r="A81" s="311" t="n">
        <v>29</v>
      </c>
      <c r="B81" s="266">
        <f>$B$33</f>
        <v/>
      </c>
      <c r="C81" s="266">
        <f>MAX(0,C80-D80)</f>
        <v/>
      </c>
      <c r="D81" s="266">
        <f>MIN(C81,B81)</f>
        <v/>
      </c>
      <c r="E81" s="266">
        <f>MAX(0,E80+F80-G80)</f>
        <v/>
      </c>
      <c r="F81" s="266">
        <f>E81*Assumptions!$B$59</f>
        <v/>
      </c>
      <c r="G81" s="266">
        <f>MIN(E81+F81,MAX(0,B81-D81))</f>
        <v/>
      </c>
    </row>
    <row r="82" ht="15" customHeight="1" s="202">
      <c r="A82" s="311" t="n">
        <v>30</v>
      </c>
      <c r="B82" s="266">
        <f>$B$33</f>
        <v/>
      </c>
      <c r="C82" s="266">
        <f>MAX(0,C81-D81)</f>
        <v/>
      </c>
      <c r="D82" s="266">
        <f>MIN(C82,B82)</f>
        <v/>
      </c>
      <c r="E82" s="266">
        <f>MAX(0,E81+F81-G81)</f>
        <v/>
      </c>
      <c r="F82" s="266">
        <f>E82*Assumptions!$B$59</f>
        <v/>
      </c>
      <c r="G82" s="266">
        <f>MIN(E82+F82,MAX(0,B82-D82))</f>
        <v/>
      </c>
    </row>
    <row r="83" ht="15" customHeight="1" s="202">
      <c r="A83" s="311" t="n">
        <v>31</v>
      </c>
      <c r="B83" s="266">
        <f>$B$33</f>
        <v/>
      </c>
      <c r="C83" s="266">
        <f>MAX(0,C82-D82)</f>
        <v/>
      </c>
      <c r="D83" s="266">
        <f>MIN(C83,B83)</f>
        <v/>
      </c>
      <c r="E83" s="266">
        <f>MAX(0,E82+F82-G82)</f>
        <v/>
      </c>
      <c r="F83" s="266">
        <f>E83*Assumptions!$B$59</f>
        <v/>
      </c>
      <c r="G83" s="266">
        <f>MIN(E83+F83,MAX(0,B83-D83))</f>
        <v/>
      </c>
    </row>
    <row r="84" ht="15" customHeight="1" s="202">
      <c r="A84" s="311" t="n">
        <v>32</v>
      </c>
      <c r="B84" s="266">
        <f>$B$33</f>
        <v/>
      </c>
      <c r="C84" s="266">
        <f>MAX(0,C83-D83)</f>
        <v/>
      </c>
      <c r="D84" s="266">
        <f>MIN(C84,B84)</f>
        <v/>
      </c>
      <c r="E84" s="266">
        <f>MAX(0,E83+F83-G83)</f>
        <v/>
      </c>
      <c r="F84" s="266">
        <f>E84*Assumptions!$B$59</f>
        <v/>
      </c>
      <c r="G84" s="266">
        <f>MIN(E84+F84,MAX(0,B84-D84))</f>
        <v/>
      </c>
    </row>
    <row r="85" ht="15" customHeight="1" s="202">
      <c r="A85" s="311" t="n">
        <v>33</v>
      </c>
      <c r="B85" s="266">
        <f>$B$33</f>
        <v/>
      </c>
      <c r="C85" s="266">
        <f>MAX(0,C84-D84)</f>
        <v/>
      </c>
      <c r="D85" s="266">
        <f>MIN(C85,B85)</f>
        <v/>
      </c>
      <c r="E85" s="266">
        <f>MAX(0,E84+F84-G84)</f>
        <v/>
      </c>
      <c r="F85" s="266">
        <f>E85*Assumptions!$B$59</f>
        <v/>
      </c>
      <c r="G85" s="266">
        <f>MIN(E85+F85,MAX(0,B85-D85))</f>
        <v/>
      </c>
    </row>
    <row r="86" ht="15" customHeight="1" s="202">
      <c r="A86" s="311" t="n">
        <v>34</v>
      </c>
      <c r="B86" s="266">
        <f>$B$33</f>
        <v/>
      </c>
      <c r="C86" s="266">
        <f>MAX(0,C85-D85)</f>
        <v/>
      </c>
      <c r="D86" s="266">
        <f>MIN(C86,B86)</f>
        <v/>
      </c>
      <c r="E86" s="266">
        <f>MAX(0,E85+F85-G85)</f>
        <v/>
      </c>
      <c r="F86" s="266">
        <f>E86*Assumptions!$B$59</f>
        <v/>
      </c>
      <c r="G86" s="266">
        <f>MIN(E86+F86,MAX(0,B86-D86))</f>
        <v/>
      </c>
    </row>
    <row r="87" ht="15" customHeight="1" s="202">
      <c r="A87" s="311" t="n">
        <v>35</v>
      </c>
      <c r="B87" s="266">
        <f>$B$33</f>
        <v/>
      </c>
      <c r="C87" s="266">
        <f>MAX(0,C86-D86)</f>
        <v/>
      </c>
      <c r="D87" s="266">
        <f>MIN(C87,B87)</f>
        <v/>
      </c>
      <c r="E87" s="266">
        <f>MAX(0,E86+F86-G86)</f>
        <v/>
      </c>
      <c r="F87" s="266">
        <f>E87*Assumptions!$B$59</f>
        <v/>
      </c>
      <c r="G87" s="266">
        <f>MIN(E87+F87,MAX(0,B87-D87))</f>
        <v/>
      </c>
    </row>
    <row r="88" ht="15" customHeight="1" s="202">
      <c r="A88" s="311" t="n">
        <v>36</v>
      </c>
      <c r="B88" s="266">
        <f>$B$33</f>
        <v/>
      </c>
      <c r="C88" s="266">
        <f>MAX(0,C87-D87)</f>
        <v/>
      </c>
      <c r="D88" s="266">
        <f>MIN(C88,B88)</f>
        <v/>
      </c>
      <c r="E88" s="266">
        <f>MAX(0,E87+F87-G87)</f>
        <v/>
      </c>
      <c r="F88" s="266">
        <f>E88*Assumptions!$B$59</f>
        <v/>
      </c>
      <c r="G88" s="266">
        <f>MIN(E88+F88,MAX(0,B88-D88))</f>
        <v/>
      </c>
    </row>
    <row r="89" ht="15" customHeight="1" s="202">
      <c r="A89" s="311" t="n">
        <v>37</v>
      </c>
      <c r="B89" s="266">
        <f>$B$33</f>
        <v/>
      </c>
      <c r="C89" s="266">
        <f>MAX(0,C88-D88)</f>
        <v/>
      </c>
      <c r="D89" s="266">
        <f>MIN(C89,B89)</f>
        <v/>
      </c>
      <c r="E89" s="266">
        <f>MAX(0,E88+F88-G88)</f>
        <v/>
      </c>
      <c r="F89" s="266">
        <f>E89*Assumptions!$B$59</f>
        <v/>
      </c>
      <c r="G89" s="266">
        <f>MIN(E89+F89,MAX(0,B89-D89))</f>
        <v/>
      </c>
    </row>
    <row r="90" ht="15" customHeight="1" s="202">
      <c r="A90" s="311" t="n">
        <v>38</v>
      </c>
      <c r="B90" s="266">
        <f>$B$33</f>
        <v/>
      </c>
      <c r="C90" s="266">
        <f>MAX(0,C89-D89)</f>
        <v/>
      </c>
      <c r="D90" s="266">
        <f>MIN(C90,B90)</f>
        <v/>
      </c>
      <c r="E90" s="266">
        <f>MAX(0,E89+F89-G89)</f>
        <v/>
      </c>
      <c r="F90" s="266">
        <f>E90*Assumptions!$B$59</f>
        <v/>
      </c>
      <c r="G90" s="266">
        <f>MIN(E90+F90,MAX(0,B90-D90))</f>
        <v/>
      </c>
    </row>
    <row r="91" ht="15" customHeight="1" s="202">
      <c r="A91" s="311" t="n">
        <v>39</v>
      </c>
      <c r="B91" s="266">
        <f>$B$33</f>
        <v/>
      </c>
      <c r="C91" s="266">
        <f>MAX(0,C90-D90)</f>
        <v/>
      </c>
      <c r="D91" s="266">
        <f>MIN(C91,B91)</f>
        <v/>
      </c>
      <c r="E91" s="266">
        <f>MAX(0,E90+F90-G90)</f>
        <v/>
      </c>
      <c r="F91" s="266">
        <f>E91*Assumptions!$B$59</f>
        <v/>
      </c>
      <c r="G91" s="266">
        <f>MIN(E91+F91,MAX(0,B91-D91))</f>
        <v/>
      </c>
    </row>
    <row r="92" ht="15" customHeight="1" s="202">
      <c r="A92" s="311" t="n">
        <v>40</v>
      </c>
      <c r="B92" s="266">
        <f>$B$33</f>
        <v/>
      </c>
      <c r="C92" s="266">
        <f>MAX(0,C91-D91)</f>
        <v/>
      </c>
      <c r="D92" s="266">
        <f>MIN(C92,B92)</f>
        <v/>
      </c>
      <c r="E92" s="266">
        <f>MAX(0,E91+F91-G91)</f>
        <v/>
      </c>
      <c r="F92" s="266">
        <f>E92*Assumptions!$B$59</f>
        <v/>
      </c>
      <c r="G92" s="266">
        <f>MIN(E92+F92,MAX(0,B92-D92))</f>
        <v/>
      </c>
    </row>
    <row r="93" ht="15" customHeight="1" s="202">
      <c r="A93" s="329" t="inlineStr">
        <is>
          <t>TOTALS</t>
        </is>
      </c>
      <c r="D93" s="331">
        <f>SUM(D53:D92)</f>
        <v/>
      </c>
      <c r="F93" s="331">
        <f>SUM(F53:F92)</f>
        <v/>
      </c>
      <c r="G93" s="331">
        <f>SUM(G53:G92)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4581A"/>
    <outlinePr summaryBelow="1" summaryRight="1"/>
    <pageSetUpPr fitToPage="0"/>
  </sheetPr>
  <dimension ref="A1:CH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" customWidth="1" style="201" min="1" max="1"/>
    <col width="27" customWidth="1" style="201" min="2" max="86"/>
  </cols>
  <sheetData>
    <row r="1" ht="15" customHeight="1" s="202">
      <c r="A1" s="332" t="inlineStr">
        <is>
          <t>Uplifters Foundation — Development Fee Program</t>
        </is>
      </c>
    </row>
    <row r="2" ht="15" customHeight="1" s="202">
      <c r="A2" s="311" t="inlineStr">
        <is>
          <t>Active</t>
        </is>
      </c>
      <c r="B2" s="207" t="inlineStr">
        <is>
          <t>Yes</t>
        </is>
      </c>
    </row>
    <row r="3"/>
    <row r="4" ht="15" customHeight="1" s="202">
      <c r="A4" s="333" t="inlineStr">
        <is>
          <t>PROGRAM OVERVIEW</t>
        </is>
      </c>
      <c r="B4" s="333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</row>
    <row r="5" ht="15" customHeight="1" s="202">
      <c r="A5" s="311" t="inlineStr">
        <is>
          <t>Program Name</t>
        </is>
      </c>
      <c r="B5" s="311" t="inlineStr">
        <is>
          <t>Uplifters Foundation — Development Fee Program</t>
        </is>
      </c>
    </row>
    <row r="6" ht="15" customHeight="1" s="202">
      <c r="A6" s="311" t="inlineStr">
        <is>
          <t>Program Duration</t>
        </is>
      </c>
      <c r="B6" s="311" t="inlineStr">
        <is>
          <t>5 Years (Jan 2027 – Dec 2031)</t>
        </is>
      </c>
    </row>
    <row r="7" ht="15" customHeight="1" s="202">
      <c r="A7" s="311" t="inlineStr">
        <is>
          <t>Total Properties</t>
        </is>
      </c>
      <c r="B7" s="334" t="n">
        <v>60</v>
      </c>
    </row>
    <row r="8" ht="15" customHeight="1" s="202">
      <c r="A8" s="311" t="inlineStr">
        <is>
          <t>Property Type</t>
        </is>
      </c>
      <c r="B8" s="311" t="inlineStr">
        <is>
          <t>Single-Family Residential (no ADUs)</t>
        </is>
      </c>
    </row>
    <row r="9" ht="15" customHeight="1" s="202">
      <c r="A9" s="311" t="inlineStr">
        <is>
          <t>Avg Lot Price</t>
        </is>
      </c>
      <c r="B9" s="266" t="n">
        <v>1400000</v>
      </c>
    </row>
    <row r="10" ht="15" customHeight="1" s="202">
      <c r="A10" s="311" t="inlineStr">
        <is>
          <t>Avg Construction Cost</t>
        </is>
      </c>
      <c r="B10" s="266" t="n">
        <v>1609391</v>
      </c>
    </row>
    <row r="11" ht="15" customHeight="1" s="202">
      <c r="A11" s="311" t="inlineStr">
        <is>
          <t>Avg Sale Price</t>
        </is>
      </c>
      <c r="B11" s="266" t="n">
        <v>3419763</v>
      </c>
    </row>
    <row r="12" ht="15" customHeight="1" s="202">
      <c r="A12" s="311" t="inlineStr">
        <is>
          <t>Total Fee Revenue</t>
        </is>
      </c>
      <c r="B12" s="208" t="n">
        <v>9009665</v>
      </c>
    </row>
    <row r="13"/>
    <row r="14" ht="15" customHeight="1" s="202">
      <c r="A14" s="335" t="inlineStr">
        <is>
          <t>ANNUAL P&amp;L SUMMARY</t>
        </is>
      </c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</row>
    <row r="15" ht="15" customHeight="1" s="202">
      <c r="B15" s="336" t="inlineStr">
        <is>
          <t>Total</t>
        </is>
      </c>
      <c r="C15" s="336" t="inlineStr">
        <is>
          <t>FY 2026</t>
        </is>
      </c>
      <c r="D15" s="336" t="inlineStr">
        <is>
          <t>FY 2027</t>
        </is>
      </c>
      <c r="E15" s="336" t="inlineStr">
        <is>
          <t>FY 2028</t>
        </is>
      </c>
      <c r="F15" s="336" t="inlineStr">
        <is>
          <t>FY 2029</t>
        </is>
      </c>
      <c r="G15" s="336" t="inlineStr">
        <is>
          <t>FY 2030</t>
        </is>
      </c>
      <c r="H15" s="336" t="inlineStr">
        <is>
          <t>FY 2031</t>
        </is>
      </c>
      <c r="I15" s="336" t="inlineStr">
        <is>
          <t>FY 2032</t>
        </is>
      </c>
      <c r="J15" s="336" t="inlineStr">
        <is>
          <t>FY 2033</t>
        </is>
      </c>
    </row>
    <row r="16" ht="15" customHeight="1" s="202">
      <c r="A16" s="311" t="inlineStr">
        <is>
          <t>Total Fee Revenue</t>
        </is>
      </c>
      <c r="B16" s="208">
        <f>C16+D16+E16+F16+G16+H16+I16+J16</f>
        <v/>
      </c>
      <c r="C16" s="266">
        <f>SUM(C99:K99)</f>
        <v/>
      </c>
      <c r="D16" s="266">
        <f>SUM(L99:W99)</f>
        <v/>
      </c>
      <c r="E16" s="266">
        <f>SUM(X99:AI99)</f>
        <v/>
      </c>
      <c r="F16" s="266">
        <f>SUM(AJ99:AU99)</f>
        <v/>
      </c>
      <c r="G16" s="266">
        <f>SUM(AV99:BG99)</f>
        <v/>
      </c>
      <c r="H16" s="266">
        <f>SUM(BH99:BS99)</f>
        <v/>
      </c>
      <c r="I16" s="266">
        <f>SUM(BT99:CE99)</f>
        <v/>
      </c>
      <c r="J16" s="266">
        <f>SUM(CF99:CH99)</f>
        <v/>
      </c>
    </row>
    <row r="17" ht="15" customHeight="1" s="202">
      <c r="A17" s="311" t="inlineStr">
        <is>
          <t>Staffing Cost</t>
        </is>
      </c>
      <c r="B17" s="208">
        <f>C17+D17+E17+F17+G17+H17+I17+J17</f>
        <v/>
      </c>
      <c r="C17" s="266">
        <f>SUM(C100:K100)</f>
        <v/>
      </c>
      <c r="D17" s="266">
        <f>SUM(L100:W100)</f>
        <v/>
      </c>
      <c r="E17" s="266">
        <f>SUM(X100:AI100)</f>
        <v/>
      </c>
      <c r="F17" s="266">
        <f>SUM(AJ100:AU100)</f>
        <v/>
      </c>
      <c r="G17" s="266">
        <f>SUM(AV100:BG100)</f>
        <v/>
      </c>
      <c r="H17" s="266">
        <f>SUM(BH100:BS100)</f>
        <v/>
      </c>
      <c r="I17" s="266">
        <f>SUM(BT100:CE100)</f>
        <v/>
      </c>
      <c r="J17" s="266">
        <f>SUM(CF100:CH100)</f>
        <v/>
      </c>
    </row>
    <row r="18" ht="15" customHeight="1" s="202">
      <c r="A18" s="311" t="inlineStr">
        <is>
          <t>Other OpEx</t>
        </is>
      </c>
      <c r="B18" s="208">
        <f>C18+D18+E18+F18+G18+H18+I18+J18</f>
        <v/>
      </c>
      <c r="C18" s="266">
        <f>SUM(C101:K101)</f>
        <v/>
      </c>
      <c r="D18" s="266">
        <f>SUM(L101:W101)</f>
        <v/>
      </c>
      <c r="E18" s="266">
        <f>SUM(X101:AI101)</f>
        <v/>
      </c>
      <c r="F18" s="266">
        <f>SUM(AJ101:AU101)</f>
        <v/>
      </c>
      <c r="G18" s="266">
        <f>SUM(AV101:BG101)</f>
        <v/>
      </c>
      <c r="H18" s="266">
        <f>SUM(BH101:BS101)</f>
        <v/>
      </c>
      <c r="I18" s="266">
        <f>SUM(BT101:CE101)</f>
        <v/>
      </c>
      <c r="J18" s="266">
        <f>SUM(CF101:CH101)</f>
        <v/>
      </c>
    </row>
    <row r="19" ht="15" customHeight="1" s="202">
      <c r="A19" s="337" t="inlineStr">
        <is>
          <t>Net Fee Income</t>
        </is>
      </c>
      <c r="B19" s="338">
        <f>C19+D19+E19+F19+G19+H19+I19+J19</f>
        <v/>
      </c>
      <c r="C19" s="338">
        <f>SUM(C102:K102)</f>
        <v/>
      </c>
      <c r="D19" s="338">
        <f>SUM(L102:W102)</f>
        <v/>
      </c>
      <c r="E19" s="338">
        <f>SUM(X102:AI102)</f>
        <v/>
      </c>
      <c r="F19" s="338">
        <f>SUM(AJ102:AU102)</f>
        <v/>
      </c>
      <c r="G19" s="338">
        <f>SUM(AV102:BG102)</f>
        <v/>
      </c>
      <c r="H19" s="338">
        <f>SUM(BH102:BS102)</f>
        <v/>
      </c>
      <c r="I19" s="338">
        <f>SUM(BT102:CE102)</f>
        <v/>
      </c>
      <c r="J19" s="338">
        <f>SUM(CF102:CH102)</f>
        <v/>
      </c>
    </row>
    <row r="20" ht="15" customHeight="1" s="202">
      <c r="A20" s="311" t="inlineStr">
        <is>
          <t>SP Overhead Fee (to Six Peak)</t>
        </is>
      </c>
      <c r="B20" s="208">
        <f>C20+D20+E20+F20+G20+H20+I20+J20</f>
        <v/>
      </c>
      <c r="C20" s="266">
        <f>SUM(C103:K103)</f>
        <v/>
      </c>
      <c r="D20" s="266">
        <f>SUM(L103:W103)</f>
        <v/>
      </c>
      <c r="E20" s="266">
        <f>SUM(X103:AI103)</f>
        <v/>
      </c>
      <c r="F20" s="266">
        <f>SUM(AJ103:AU103)</f>
        <v/>
      </c>
      <c r="G20" s="266">
        <f>SUM(AV103:BG103)</f>
        <v/>
      </c>
      <c r="H20" s="266">
        <f>SUM(BH103:BS103)</f>
        <v/>
      </c>
      <c r="I20" s="266">
        <f>SUM(BT103:CE103)</f>
        <v/>
      </c>
      <c r="J20" s="266">
        <f>SUM(CF103:CH103)</f>
        <v/>
      </c>
    </row>
    <row r="21" ht="15" customHeight="1" s="202">
      <c r="A21" s="337" t="inlineStr">
        <is>
          <t>Net Before Bonus</t>
        </is>
      </c>
      <c r="B21" s="338">
        <f>C21+D21+E21+F21+G21+H21+I21+J21</f>
        <v/>
      </c>
      <c r="C21" s="338">
        <f>SUM(C104:K104)</f>
        <v/>
      </c>
      <c r="D21" s="338">
        <f>SUM(L104:W104)</f>
        <v/>
      </c>
      <c r="E21" s="338">
        <f>SUM(X104:AI104)</f>
        <v/>
      </c>
      <c r="F21" s="338">
        <f>SUM(AJ104:AU104)</f>
        <v/>
      </c>
      <c r="G21" s="338">
        <f>SUM(AV104:BG104)</f>
        <v/>
      </c>
      <c r="H21" s="338">
        <f>SUM(BH104:BS104)</f>
        <v/>
      </c>
      <c r="I21" s="338">
        <f>SUM(BT104:CE104)</f>
        <v/>
      </c>
      <c r="J21" s="338">
        <f>SUM(CF104:CH104)</f>
        <v/>
      </c>
    </row>
    <row r="22" ht="15" customHeight="1" s="202">
      <c r="A22" s="311" t="inlineStr">
        <is>
          <t>Schuyler Bonus (40%)</t>
        </is>
      </c>
      <c r="B22" s="208">
        <f>C22+D22+E22+F22+G22+H22+I22+J22</f>
        <v/>
      </c>
      <c r="C22" s="266">
        <f>SUM(C105:K105)</f>
        <v/>
      </c>
      <c r="D22" s="266">
        <f>SUM(L105:W105)</f>
        <v/>
      </c>
      <c r="E22" s="266">
        <f>SUM(X105:AI105)</f>
        <v/>
      </c>
      <c r="F22" s="266">
        <f>SUM(AJ105:AU105)</f>
        <v/>
      </c>
      <c r="G22" s="266">
        <f>SUM(AV105:BG105)</f>
        <v/>
      </c>
      <c r="H22" s="266">
        <f>SUM(BH105:BS105)</f>
        <v/>
      </c>
      <c r="I22" s="266">
        <f>SUM(BT105:CE105)</f>
        <v/>
      </c>
      <c r="J22" s="266">
        <f>SUM(CF105:CH105)</f>
        <v/>
      </c>
    </row>
    <row r="23" ht="15" customHeight="1" s="202">
      <c r="A23" s="311" t="inlineStr">
        <is>
          <t>NI After Bonus (to Six Peak)</t>
        </is>
      </c>
      <c r="B23" s="208">
        <f>C23+D23+E23+F23+G23+H23+I23+J23</f>
        <v/>
      </c>
      <c r="C23" s="266">
        <f>SUM(C106:K106)</f>
        <v/>
      </c>
      <c r="D23" s="266">
        <f>SUM(L106:W106)</f>
        <v/>
      </c>
      <c r="E23" s="266">
        <f>SUM(X106:AI106)</f>
        <v/>
      </c>
      <c r="F23" s="266">
        <f>SUM(AJ106:AU106)</f>
        <v/>
      </c>
      <c r="G23" s="266">
        <f>SUM(AV106:BG106)</f>
        <v/>
      </c>
      <c r="H23" s="266">
        <f>SUM(BH106:BS106)</f>
        <v/>
      </c>
      <c r="I23" s="266">
        <f>SUM(BT106:CE106)</f>
        <v/>
      </c>
      <c r="J23" s="266">
        <f>SUM(CF106:CH106)</f>
        <v/>
      </c>
    </row>
    <row r="24" ht="15" customHeight="1" s="202">
      <c r="A24" s="339" t="inlineStr">
        <is>
          <t>Total to Six Peak</t>
        </is>
      </c>
      <c r="B24" s="340">
        <f>C24+D24+E24+F24+G24+H24+I24+J24</f>
        <v/>
      </c>
      <c r="C24" s="340">
        <f>SUM(C107:K107)</f>
        <v/>
      </c>
      <c r="D24" s="340">
        <f>SUM(L107:W107)</f>
        <v/>
      </c>
      <c r="E24" s="340">
        <f>SUM(X107:AI107)</f>
        <v/>
      </c>
      <c r="F24" s="340">
        <f>SUM(AJ107:AU107)</f>
        <v/>
      </c>
      <c r="G24" s="340">
        <f>SUM(AV107:BG107)</f>
        <v/>
      </c>
      <c r="H24" s="340">
        <f>SUM(BH107:BS107)</f>
        <v/>
      </c>
      <c r="I24" s="340">
        <f>SUM(BT107:CE107)</f>
        <v/>
      </c>
      <c r="J24" s="340">
        <f>SUM(CF107:CH107)</f>
        <v/>
      </c>
    </row>
    <row r="25"/>
    <row r="26" ht="15" customHeight="1" s="202">
      <c r="A26" s="341" t="inlineStr">
        <is>
          <t>ACQUISITION SCHEDULE</t>
        </is>
      </c>
      <c r="B26" s="341" t="n"/>
      <c r="C26" s="341" t="n"/>
      <c r="D26" s="341" t="n"/>
      <c r="E26" s="341" t="n"/>
      <c r="F26" s="341" t="n"/>
      <c r="G26" s="341" t="n"/>
      <c r="H26" s="341" t="n"/>
      <c r="I26" s="341" t="n"/>
      <c r="J26" s="341" t="n"/>
      <c r="K26" s="341" t="n"/>
    </row>
    <row r="27" ht="15" customHeight="1" s="202">
      <c r="A27" s="342" t="inlineStr">
        <is>
          <t>Phase</t>
        </is>
      </c>
      <c r="B27" s="342" t="inlineStr">
        <is>
          <t>Properties</t>
        </is>
      </c>
      <c r="C27" s="342" t="inlineStr">
        <is>
          <t>Timing</t>
        </is>
      </c>
      <c r="D27" s="342" t="inlineStr">
        <is>
          <t>Avg Lot Price</t>
        </is>
      </c>
      <c r="E27" s="342" t="inlineStr">
        <is>
          <t>Status</t>
        </is>
      </c>
    </row>
    <row r="28" ht="15" customHeight="1" s="202">
      <c r="A28" s="311" t="inlineStr">
        <is>
          <t>Phase 1 — Initial Acquisitions</t>
        </is>
      </c>
      <c r="B28" s="334" t="n">
        <v>6</v>
      </c>
      <c r="C28" s="311" t="inlineStr">
        <is>
          <t>Jan – Jun 2027 (Mo 10-15)</t>
        </is>
      </c>
      <c r="D28" s="266" t="n">
        <v>1400000</v>
      </c>
      <c r="E28" s="343" t="inlineStr">
        <is>
          <t>Acquisition</t>
        </is>
      </c>
    </row>
    <row r="29" ht="15" customHeight="1" s="202">
      <c r="A29" s="311" t="inlineStr">
        <is>
          <t>Phase 2 — Ramp Up</t>
        </is>
      </c>
      <c r="B29" s="334" t="n">
        <v>18</v>
      </c>
      <c r="C29" s="311" t="inlineStr">
        <is>
          <t>Jul 2027 – Jun 2028 (Mo 16-27)</t>
        </is>
      </c>
      <c r="D29" s="266" t="n">
        <v>1400000</v>
      </c>
      <c r="E29" s="343" t="inlineStr">
        <is>
          <t>Acquisition → Development</t>
        </is>
      </c>
    </row>
    <row r="30" ht="15" customHeight="1" s="202">
      <c r="A30" s="311" t="inlineStr">
        <is>
          <t>Phase 3 — Continued Buying</t>
        </is>
      </c>
      <c r="B30" s="334" t="n">
        <v>18</v>
      </c>
      <c r="C30" s="311" t="inlineStr">
        <is>
          <t>Jul 2028 – Jun 2029 (Mo 28-39)</t>
        </is>
      </c>
      <c r="D30" s="266" t="n">
        <v>1400000</v>
      </c>
      <c r="E30" s="343" t="inlineStr">
        <is>
          <t>Development → Leasing</t>
        </is>
      </c>
    </row>
    <row r="31" ht="15" customHeight="1" s="202">
      <c r="A31" s="311" t="inlineStr">
        <is>
          <t>Phase 4 — Final Batch</t>
        </is>
      </c>
      <c r="B31" s="334" t="n">
        <v>18</v>
      </c>
      <c r="C31" s="311" t="inlineStr">
        <is>
          <t>Jul 2029 – Jun 2030 (Mo 40-51)</t>
        </is>
      </c>
      <c r="D31" s="266" t="n">
        <v>1400000</v>
      </c>
      <c r="E31" s="343" t="inlineStr">
        <is>
          <t>Leasing → Exits</t>
        </is>
      </c>
    </row>
    <row r="32" ht="15" customHeight="1" s="202">
      <c r="A32" s="342" t="inlineStr">
        <is>
          <t>Total</t>
        </is>
      </c>
      <c r="B32" s="344" t="n">
        <v>60</v>
      </c>
      <c r="C32" s="342" t="inlineStr">
        <is>
          <t>Jan 2027 – Jun 2030</t>
        </is>
      </c>
      <c r="D32" s="345" t="n">
        <v>1400000</v>
      </c>
    </row>
    <row r="33"/>
    <row r="34" ht="15" customHeight="1" s="202">
      <c r="A34" s="346" t="inlineStr">
        <is>
          <t>FEE STRUCTURE</t>
        </is>
      </c>
      <c r="B34" s="346" t="n"/>
      <c r="C34" s="346" t="n"/>
      <c r="D34" s="346" t="n"/>
      <c r="E34" s="346" t="n"/>
      <c r="F34" s="346" t="n"/>
      <c r="G34" s="346" t="n"/>
      <c r="H34" s="346" t="n"/>
      <c r="I34" s="346" t="n"/>
      <c r="J34" s="346" t="n"/>
      <c r="K34" s="346" t="n"/>
    </row>
    <row r="35" ht="15" customHeight="1" s="202">
      <c r="A35" s="347" t="inlineStr">
        <is>
          <t>Fee Category</t>
        </is>
      </c>
      <c r="B35" s="347" t="inlineStr">
        <is>
          <t>Rate</t>
        </is>
      </c>
      <c r="C35" s="347" t="inlineStr">
        <is>
          <t>Basis</t>
        </is>
      </c>
      <c r="D35" s="347" t="inlineStr">
        <is>
          <t>Per Property</t>
        </is>
      </c>
      <c r="E35" s="347" t="inlineStr">
        <is>
          <t>× 60</t>
        </is>
      </c>
      <c r="F35" s="347" t="inlineStr">
        <is>
          <t>Notes</t>
        </is>
      </c>
    </row>
    <row r="36" ht="15" customHeight="1" s="202">
      <c r="A36" s="311" t="inlineStr">
        <is>
          <t>Acquisition Fee</t>
        </is>
      </c>
      <c r="B36" s="311" t="inlineStr">
        <is>
          <t>1%</t>
        </is>
      </c>
      <c r="C36" s="311" t="inlineStr">
        <is>
          <t>Lot Price ($1,400,000)</t>
        </is>
      </c>
      <c r="D36" s="266" t="n">
        <v>14000</v>
      </c>
      <c r="E36" s="266" t="n">
        <v>840000</v>
      </c>
      <c r="F36" s="348" t="inlineStr">
        <is>
          <t>At closing</t>
        </is>
      </c>
    </row>
    <row r="37" ht="15" customHeight="1" s="202">
      <c r="A37" s="311" t="inlineStr">
        <is>
          <t>Development Mgmt Fee</t>
        </is>
      </c>
      <c r="B37" s="311" t="inlineStr">
        <is>
          <t>6%</t>
        </is>
      </c>
      <c r="C37" s="311" t="inlineStr">
        <is>
          <t>Construction ($1,609,391)</t>
        </is>
      </c>
      <c r="D37" s="266" t="n">
        <v>96563</v>
      </c>
      <c r="E37" s="266" t="n">
        <v>5793808</v>
      </c>
      <c r="F37" s="348" t="inlineStr">
        <is>
          <t>During renovation</t>
        </is>
      </c>
    </row>
    <row r="38" ht="15" customHeight="1" s="202">
      <c r="A38" s="311" t="inlineStr">
        <is>
          <t>Leasing Commission</t>
        </is>
      </c>
      <c r="B38" s="311" t="inlineStr">
        <is>
          <t>3%</t>
        </is>
      </c>
      <c r="C38" s="311" t="inlineStr">
        <is>
          <t>Annual Rent ($180,000)</t>
        </is>
      </c>
      <c r="D38" s="266" t="n">
        <v>5400</v>
      </c>
      <c r="E38" s="266" t="n">
        <v>324000</v>
      </c>
      <c r="F38" s="348" t="inlineStr">
        <is>
          <t>At lease-up</t>
        </is>
      </c>
    </row>
    <row r="39" ht="15" customHeight="1" s="202">
      <c r="A39" s="311" t="inlineStr">
        <is>
          <t>Exit / Disposition Fee</t>
        </is>
      </c>
      <c r="B39" s="311" t="inlineStr">
        <is>
          <t>1%</t>
        </is>
      </c>
      <c r="C39" s="311" t="inlineStr">
        <is>
          <t>Sale Price ($3,419,763)</t>
        </is>
      </c>
      <c r="D39" s="266" t="n">
        <v>34198</v>
      </c>
      <c r="E39" s="266" t="n">
        <v>2051858</v>
      </c>
      <c r="F39" s="348" t="inlineStr">
        <is>
          <t>At disposition</t>
        </is>
      </c>
    </row>
    <row r="40" ht="15" customHeight="1" s="202">
      <c r="A40" s="347" t="inlineStr">
        <is>
          <t>Total Fee Revenue</t>
        </is>
      </c>
      <c r="D40" s="349" t="n">
        <v>150161</v>
      </c>
      <c r="E40" s="349" t="n">
        <v>9009665</v>
      </c>
    </row>
    <row r="41"/>
    <row r="42" ht="15" customHeight="1" s="202">
      <c r="A42" s="350" t="inlineStr">
        <is>
          <t>STAFFING &amp; COMPENSATION</t>
        </is>
      </c>
      <c r="B42" s="350" t="n"/>
      <c r="C42" s="350" t="n"/>
      <c r="D42" s="350" t="n"/>
      <c r="E42" s="350" t="n"/>
      <c r="F42" s="350" t="n"/>
      <c r="G42" s="350" t="n"/>
      <c r="H42" s="350" t="n"/>
      <c r="I42" s="350" t="n"/>
      <c r="J42" s="350" t="n"/>
      <c r="K42" s="350" t="n"/>
    </row>
    <row r="43" ht="15" customHeight="1" s="202">
      <c r="A43" s="351" t="inlineStr">
        <is>
          <t>Role</t>
        </is>
      </c>
      <c r="B43" s="351" t="inlineStr">
        <is>
          <t>Annual Comp</t>
        </is>
      </c>
      <c r="C43" s="351" t="inlineStr">
        <is>
          <t>Monthly</t>
        </is>
      </c>
      <c r="D43" s="351" t="inlineStr">
        <is>
          <t>Start</t>
        </is>
      </c>
      <c r="E43" s="351" t="inlineStr">
        <is>
          <t>End</t>
        </is>
      </c>
      <c r="F43" s="351" t="inlineStr">
        <is>
          <t>Months</t>
        </is>
      </c>
      <c r="G43" s="351" t="inlineStr">
        <is>
          <t>Total Cost</t>
        </is>
      </c>
    </row>
    <row r="44" ht="15" customHeight="1" s="202">
      <c r="A44" s="311" t="inlineStr">
        <is>
          <t>Accountant</t>
        </is>
      </c>
      <c r="B44" s="266" t="n">
        <v>110000</v>
      </c>
      <c r="C44" s="266" t="n">
        <v>9167</v>
      </c>
      <c r="D44" s="311" t="inlineStr">
        <is>
          <t>Mo 10</t>
        </is>
      </c>
      <c r="E44" s="311" t="inlineStr">
        <is>
          <t>Mo 57</t>
        </is>
      </c>
      <c r="F44" s="311" t="n">
        <v>48</v>
      </c>
      <c r="G44" s="266" t="n">
        <v>440016</v>
      </c>
    </row>
    <row r="45" ht="15" customHeight="1" s="202">
      <c r="A45" s="311" t="inlineStr">
        <is>
          <t>Project Coordinator</t>
        </is>
      </c>
      <c r="B45" s="266" t="n">
        <v>90000</v>
      </c>
      <c r="C45" s="266" t="n">
        <v>7500</v>
      </c>
      <c r="D45" s="311" t="inlineStr">
        <is>
          <t>Mo 10</t>
        </is>
      </c>
      <c r="E45" s="311" t="inlineStr">
        <is>
          <t>Mo 57</t>
        </is>
      </c>
      <c r="F45" s="311" t="n">
        <v>48</v>
      </c>
      <c r="G45" s="266" t="n">
        <v>360000</v>
      </c>
    </row>
    <row r="46" ht="15" customHeight="1" s="202">
      <c r="A46" s="311" t="inlineStr">
        <is>
          <t>Project Manager 1</t>
        </is>
      </c>
      <c r="B46" s="266" t="n">
        <v>125000</v>
      </c>
      <c r="C46" s="266" t="n">
        <v>10417</v>
      </c>
      <c r="D46" s="311" t="inlineStr">
        <is>
          <t>Mo 16</t>
        </is>
      </c>
      <c r="E46" s="311" t="inlineStr">
        <is>
          <t>Mo 57</t>
        </is>
      </c>
      <c r="F46" s="311" t="n">
        <v>42</v>
      </c>
      <c r="G46" s="266" t="n">
        <v>437514</v>
      </c>
    </row>
    <row r="47" ht="15" customHeight="1" s="202">
      <c r="A47" s="311" t="inlineStr">
        <is>
          <t>Project Manager 2</t>
        </is>
      </c>
      <c r="B47" s="266" t="n">
        <v>125000</v>
      </c>
      <c r="C47" s="266" t="n">
        <v>10417</v>
      </c>
      <c r="D47" s="311" t="inlineStr">
        <is>
          <t>Mo 16</t>
        </is>
      </c>
      <c r="E47" s="311" t="inlineStr">
        <is>
          <t>Mo 57</t>
        </is>
      </c>
      <c r="F47" s="311" t="n">
        <v>42</v>
      </c>
      <c r="G47" s="266" t="n">
        <v>437514</v>
      </c>
    </row>
    <row r="48" ht="15" customHeight="1" s="202">
      <c r="A48" s="351" t="inlineStr">
        <is>
          <t>Total Staffing Cost</t>
        </is>
      </c>
      <c r="G48" s="352" t="n">
        <v>1675044</v>
      </c>
    </row>
    <row r="49"/>
    <row r="50" ht="15" customHeight="1" s="202">
      <c r="A50" s="353" t="inlineStr">
        <is>
          <t>OTHER OPERATING EXPENSES</t>
        </is>
      </c>
      <c r="B50" s="353" t="n"/>
      <c r="C50" s="353" t="n"/>
      <c r="D50" s="353" t="n"/>
      <c r="E50" s="353" t="n"/>
      <c r="F50" s="353" t="n"/>
      <c r="G50" s="353" t="n"/>
      <c r="H50" s="353" t="n"/>
      <c r="I50" s="353" t="n"/>
      <c r="J50" s="353" t="n"/>
      <c r="K50" s="353" t="n"/>
    </row>
    <row r="51" ht="15" customHeight="1" s="202">
      <c r="A51" s="354" t="inlineStr">
        <is>
          <t>Expense</t>
        </is>
      </c>
      <c r="B51" s="354" t="inlineStr">
        <is>
          <t>Annual</t>
        </is>
      </c>
      <c r="C51" s="354" t="inlineStr">
        <is>
          <t>Monthly</t>
        </is>
      </c>
      <c r="D51" s="354" t="inlineStr">
        <is>
          <t>Years</t>
        </is>
      </c>
      <c r="E51" s="354" t="inlineStr">
        <is>
          <t>Total</t>
        </is>
      </c>
    </row>
    <row r="52" ht="15" customHeight="1" s="202">
      <c r="A52" s="311" t="inlineStr">
        <is>
          <t>Accounting / Audit / Tax</t>
        </is>
      </c>
      <c r="B52" s="266" t="n">
        <v>40000</v>
      </c>
      <c r="C52" s="266" t="n">
        <v>3333</v>
      </c>
      <c r="D52" s="311" t="n">
        <v>4</v>
      </c>
      <c r="E52" s="266" t="n">
        <v>160000</v>
      </c>
    </row>
    <row r="53" ht="15" customHeight="1" s="202">
      <c r="A53" s="311" t="inlineStr">
        <is>
          <t>Insurance</t>
        </is>
      </c>
      <c r="B53" s="266" t="n">
        <v>40000</v>
      </c>
      <c r="C53" s="266" t="n">
        <v>3333</v>
      </c>
      <c r="D53" s="311" t="n">
        <v>4</v>
      </c>
      <c r="E53" s="266" t="n">
        <v>160000</v>
      </c>
    </row>
    <row r="54" ht="15" customHeight="1" s="202">
      <c r="A54" s="311" t="inlineStr">
        <is>
          <t>Office Space</t>
        </is>
      </c>
      <c r="B54" s="266" t="n">
        <v>30000</v>
      </c>
      <c r="C54" s="266" t="n">
        <v>2500</v>
      </c>
      <c r="D54" s="311" t="n">
        <v>4</v>
      </c>
      <c r="E54" s="266" t="n">
        <v>120000</v>
      </c>
    </row>
    <row r="55" ht="15" customHeight="1" s="202">
      <c r="A55" s="311" t="inlineStr">
        <is>
          <t>Computer / Internet</t>
        </is>
      </c>
      <c r="B55" s="266" t="n">
        <v>24000</v>
      </c>
      <c r="C55" s="266" t="n">
        <v>2000</v>
      </c>
      <c r="D55" s="311" t="n">
        <v>4</v>
      </c>
      <c r="E55" s="266" t="n">
        <v>96000</v>
      </c>
    </row>
    <row r="56" ht="15" customHeight="1" s="202">
      <c r="A56" s="354" t="inlineStr">
        <is>
          <t>Total Other OpEx</t>
        </is>
      </c>
      <c r="E56" s="355" t="n">
        <v>536000</v>
      </c>
    </row>
    <row r="57" ht="15" customHeight="1" s="202">
      <c r="A57" s="356" t="inlineStr">
        <is>
          <t>Note: Legal ($25K/project) is a deal cost in closing, not in P&amp;L</t>
        </is>
      </c>
    </row>
    <row r="58"/>
    <row r="59" ht="15" customHeight="1" s="202">
      <c r="A59" s="357" t="inlineStr">
        <is>
          <t>ECONOMICS SUMMARY (CONFIRMED)</t>
        </is>
      </c>
      <c r="B59" s="357" t="n"/>
      <c r="C59" s="357" t="n"/>
      <c r="D59" s="357" t="n"/>
      <c r="E59" s="357" t="n"/>
      <c r="F59" s="357" t="n"/>
      <c r="G59" s="357" t="n"/>
      <c r="H59" s="357" t="n"/>
      <c r="I59" s="357" t="n"/>
      <c r="J59" s="357" t="n"/>
      <c r="K59" s="357" t="n"/>
    </row>
    <row r="60" ht="15" customHeight="1" s="202">
      <c r="A60" s="311" t="inlineStr">
        <is>
          <t>Total Fee Revenue (60 properties)</t>
        </is>
      </c>
      <c r="B60" s="266" t="n">
        <v>9009665</v>
      </c>
    </row>
    <row r="61" ht="15" customHeight="1" s="202">
      <c r="A61" s="311" t="inlineStr">
        <is>
          <t>Staffing Cost</t>
        </is>
      </c>
      <c r="B61" s="266" t="n">
        <v>-1675044</v>
      </c>
    </row>
    <row r="62" ht="15" customHeight="1" s="202">
      <c r="A62" s="311" t="inlineStr">
        <is>
          <t>Other OpEx</t>
        </is>
      </c>
      <c r="B62" s="266" t="n">
        <v>-536000</v>
      </c>
    </row>
    <row r="63" ht="15" customHeight="1" s="202">
      <c r="A63" s="342" t="inlineStr">
        <is>
          <t>Net Fee Income</t>
        </is>
      </c>
      <c r="B63" s="345" t="n">
        <v>6798621</v>
      </c>
    </row>
    <row r="64" ht="15" customHeight="1" s="202">
      <c r="A64" s="311" t="inlineStr">
        <is>
          <t>SP Overhead (10% of Revenue)</t>
        </is>
      </c>
      <c r="B64" s="266" t="n">
        <v>-900966.5</v>
      </c>
    </row>
    <row r="65" ht="15" customHeight="1" s="202">
      <c r="A65" s="342" t="inlineStr">
        <is>
          <t>Net Before Bonus</t>
        </is>
      </c>
      <c r="B65" s="345" t="n">
        <v>5897654.5</v>
      </c>
    </row>
    <row r="66" ht="15" customHeight="1" s="202">
      <c r="A66" s="311" t="inlineStr">
        <is>
          <t>Schuyler Bonus (40% of Net)</t>
        </is>
      </c>
      <c r="B66" s="266" t="n">
        <v>-2359061.8</v>
      </c>
    </row>
    <row r="67" ht="15" customHeight="1" s="202">
      <c r="A67" s="342" t="inlineStr">
        <is>
          <t>NI After Bonus (to Six Peak)</t>
        </is>
      </c>
      <c r="B67" s="345" t="n">
        <v>3538592.7</v>
      </c>
    </row>
    <row r="68" ht="15" customHeight="1" s="202">
      <c r="A68" s="311" t="inlineStr">
        <is>
          <t>SP Overhead Fee (to Six Peak)</t>
        </is>
      </c>
      <c r="B68" s="266" t="n">
        <v>900966.5</v>
      </c>
    </row>
    <row r="69" ht="15" customHeight="1" s="202">
      <c r="A69" s="342" t="inlineStr">
        <is>
          <t>Total to Six Peak</t>
        </is>
      </c>
      <c r="B69" s="345" t="n">
        <v>4439559.2</v>
      </c>
    </row>
    <row r="70"/>
    <row r="71" ht="15" customHeight="1" s="202">
      <c r="A71" s="346" t="inlineStr">
        <is>
          <t>LEADERSHIP &amp; ORGANIZATION</t>
        </is>
      </c>
      <c r="B71" s="346" t="n"/>
      <c r="C71" s="346" t="n"/>
      <c r="D71" s="346" t="n"/>
      <c r="E71" s="346" t="n"/>
      <c r="F71" s="346" t="n"/>
      <c r="G71" s="346" t="n"/>
      <c r="H71" s="346" t="n"/>
      <c r="I71" s="346" t="n"/>
      <c r="J71" s="346" t="n"/>
      <c r="K71" s="346" t="n"/>
    </row>
    <row r="72" ht="15" customHeight="1" s="202">
      <c r="A72" s="347" t="inlineStr">
        <is>
          <t>Name</t>
        </is>
      </c>
      <c r="B72" s="347" t="inlineStr">
        <is>
          <t>Role</t>
        </is>
      </c>
      <c r="C72" s="347" t="inlineStr">
        <is>
          <t>Responsibility</t>
        </is>
      </c>
    </row>
    <row r="73" ht="31.5" customHeight="1" s="202">
      <c r="A73" s="207" t="inlineStr">
        <is>
          <t>Schuyler Dietz</t>
        </is>
      </c>
      <c r="B73" s="311" t="inlineStr">
        <is>
          <t>Program Lead</t>
        </is>
      </c>
      <c r="C73" s="358" t="inlineStr">
        <is>
          <t>Day-to-day leadership. Manages acquisitions, development oversight, investor relations. 40% bonus on net income.</t>
        </is>
      </c>
    </row>
    <row r="74" ht="31.5" customHeight="1" s="202">
      <c r="A74" s="207" t="inlineStr">
        <is>
          <t>Chris Aiello</t>
        </is>
      </c>
      <c r="B74" s="311" t="inlineStr">
        <is>
          <t>Leadership</t>
        </is>
      </c>
      <c r="C74" s="358" t="inlineStr">
        <is>
          <t>Senior leadership and strategic direction. Works directly with Schuyler on execution.</t>
        </is>
      </c>
    </row>
    <row r="75" ht="31.5" customHeight="1" s="202">
      <c r="A75" s="207" t="inlineStr">
        <is>
          <t>Derek Sanders</t>
        </is>
      </c>
      <c r="B75" s="311" t="inlineStr">
        <is>
          <t>PM Advisory</t>
        </is>
      </c>
      <c r="C75" s="358" t="inlineStr">
        <is>
          <t>Advises on PM employees. Guidance on renovation scoping, contractor mgmt, PM development.</t>
        </is>
      </c>
    </row>
    <row r="76" ht="31.5" customHeight="1" s="202">
      <c r="A76" s="207" t="inlineStr">
        <is>
          <t>Chris Andresen</t>
        </is>
      </c>
      <c r="B76" s="311" t="inlineStr">
        <is>
          <t>Accounting &amp; Back Office</t>
        </is>
      </c>
      <c r="C76" s="358" t="inlineStr">
        <is>
          <t>Manages accounting, financial reporting, and back office with Robert Carrega.</t>
        </is>
      </c>
    </row>
    <row r="77" ht="31.5" customHeight="1" s="202">
      <c r="A77" s="207" t="inlineStr">
        <is>
          <t>Robert Carrega</t>
        </is>
      </c>
      <c r="B77" s="311" t="inlineStr">
        <is>
          <t>Accounting &amp; Back Office</t>
        </is>
      </c>
      <c r="C77" s="358" t="inlineStr">
        <is>
          <t>Supports accounting and back office processes alongside Chris Andresen.</t>
        </is>
      </c>
    </row>
    <row r="78" ht="31.5" customHeight="1" s="202">
      <c r="A78" s="207" t="inlineStr">
        <is>
          <t>Tom Taggart</t>
        </is>
      </c>
      <c r="B78" s="311" t="inlineStr">
        <is>
          <t>Acquisitions &amp; Field</t>
        </is>
      </c>
      <c r="C78" s="358" t="inlineStr">
        <is>
          <t>Assists in acquisitions. Available on-the-ground resource daily for program execution.</t>
        </is>
      </c>
    </row>
    <row r="79"/>
    <row r="80" ht="15" customHeight="1" s="202">
      <c r="A80" s="359" t="inlineStr">
        <is>
          <t>NOTES &amp; ASSUMPTIONS</t>
        </is>
      </c>
      <c r="B80" s="359" t="n"/>
      <c r="C80" s="359" t="n"/>
      <c r="D80" s="359" t="n"/>
      <c r="E80" s="359" t="n"/>
      <c r="F80" s="359" t="n"/>
      <c r="G80" s="359" t="n"/>
      <c r="H80" s="359" t="n"/>
      <c r="I80" s="359" t="n"/>
      <c r="J80" s="359" t="n"/>
      <c r="K80" s="359" t="n"/>
    </row>
    <row r="81" ht="27.75" customHeight="1" s="202">
      <c r="A81" s="207" t="inlineStr">
        <is>
          <t>1.</t>
        </is>
      </c>
      <c r="B81" s="358" t="inlineStr">
        <is>
          <t>All 60 properties are single-family residential. No ADUs.</t>
        </is>
      </c>
    </row>
    <row r="82" ht="27.75" customHeight="1" s="202">
      <c r="A82" s="207" t="inlineStr">
        <is>
          <t>2.</t>
        </is>
      </c>
      <c r="B82" s="358" t="inlineStr">
        <is>
          <t>Avg lot price: $1,400,000. Avg construction: $1,609,391. Avg sale: $3,419,763.</t>
        </is>
      </c>
    </row>
    <row r="83" ht="27.75" customHeight="1" s="202">
      <c r="A83" s="207" t="inlineStr">
        <is>
          <t>3.</t>
        </is>
      </c>
      <c r="B83" s="358" t="inlineStr">
        <is>
          <t>Fees: 1% acquisition on lot, 6% development on construction, 3% leasing on rent ($180K/yr), 1% exit on sale.</t>
        </is>
      </c>
    </row>
    <row r="84" ht="27.75" customHeight="1" s="202">
      <c r="A84" s="207" t="inlineStr">
        <is>
          <t>4.</t>
        </is>
      </c>
      <c r="B84" s="358" t="inlineStr">
        <is>
          <t>Legal ($25K/project) is a deal cost in closing, not in the Uplifters P&amp;L.</t>
        </is>
      </c>
    </row>
    <row r="85" ht="27.75" customHeight="1" s="202">
      <c r="A85" s="207" t="inlineStr">
        <is>
          <t>5.</t>
        </is>
      </c>
      <c r="B85" s="358" t="inlineStr">
        <is>
          <t>SP Overhead is 10% of all fee revenue, retained by Six Peak as management fee.</t>
        </is>
      </c>
    </row>
    <row r="86" ht="27.75" customHeight="1" s="202">
      <c r="A86" s="207" t="inlineStr">
        <is>
          <t>6.</t>
        </is>
      </c>
      <c r="B86" s="358" t="inlineStr">
        <is>
          <t>Schuyler bonus is 40% of net income after overhead, staffing, and other opex. Paid on positive months only.</t>
        </is>
      </c>
    </row>
    <row r="87" ht="27.75" customHeight="1" s="202">
      <c r="A87" s="207" t="inlineStr">
        <is>
          <t>7.</t>
        </is>
      </c>
      <c r="B87" s="358" t="inlineStr">
        <is>
          <t>Staffing: Accountant ($110K) &amp; PC ($90K) start Mo 10; two PMs ($125K each) start Mo 16.</t>
        </is>
      </c>
    </row>
    <row r="88" ht="27.75" customHeight="1" s="202">
      <c r="A88" s="207" t="inlineStr">
        <is>
          <t>8.</t>
        </is>
      </c>
      <c r="B88" s="358" t="inlineStr">
        <is>
          <t>Other OpEx: Acctg/Audit/Tax ($40K/yr), Insurance ($40K/yr), Office ($2,500/mo), Computer ($24K/yr).</t>
        </is>
      </c>
    </row>
    <row r="89" ht="27.75" customHeight="1" s="202">
      <c r="A89" s="207" t="inlineStr">
        <is>
          <t>9.</t>
        </is>
      </c>
      <c r="B89" s="358" t="inlineStr">
        <is>
          <t>Six Peak does NOT perform construction. All renovation contracted to third-party builders.</t>
        </is>
      </c>
    </row>
    <row r="90" ht="27.75" customHeight="1" s="202">
      <c r="A90" s="207" t="inlineStr">
        <is>
          <t>10.</t>
        </is>
      </c>
      <c r="B90" s="358" t="inlineStr">
        <is>
          <t>Program: Jan 2027 (Mo 10) through Dec 2031. Revenue recognized as fees are earned.</t>
        </is>
      </c>
    </row>
    <row r="91"/>
    <row r="92"/>
    <row r="93" ht="15" customHeight="1" s="202">
      <c r="A93" s="341" t="inlineStr">
        <is>
          <t>SP INTEGRATION ASSUMPTIONS</t>
        </is>
      </c>
      <c r="B93" s="341" t="n"/>
      <c r="C93" s="341" t="n"/>
      <c r="D93" s="341" t="n"/>
      <c r="E93" s="341" t="n"/>
      <c r="F93" s="341" t="n"/>
      <c r="G93" s="341" t="n"/>
      <c r="H93" s="341" t="n"/>
      <c r="I93" s="341" t="n"/>
      <c r="J93" s="341" t="n"/>
      <c r="K93" s="341" t="n"/>
    </row>
    <row r="94" ht="15" customHeight="1" s="202">
      <c r="A94" s="311" t="inlineStr">
        <is>
          <t>SP Overhead Rate</t>
        </is>
      </c>
      <c r="B94" s="360" t="n">
        <v>0.1</v>
      </c>
    </row>
    <row r="95" ht="15" customHeight="1" s="202">
      <c r="A95" s="311" t="inlineStr">
        <is>
          <t>Schuyler Bonus Rate</t>
        </is>
      </c>
      <c r="B95" s="360" t="n">
        <v>0.4</v>
      </c>
    </row>
    <row r="96"/>
    <row r="97" ht="15" customHeight="1" s="202">
      <c r="A97" s="361" t="inlineStr">
        <is>
          <t>MONTHLY P&amp;L</t>
        </is>
      </c>
      <c r="B97" s="361" t="n"/>
      <c r="C97" s="361" t="n"/>
      <c r="D97" s="361" t="n"/>
      <c r="E97" s="361" t="n"/>
      <c r="F97" s="361" t="n"/>
      <c r="G97" s="361" t="n"/>
      <c r="H97" s="361" t="n"/>
      <c r="I97" s="361" t="n"/>
      <c r="J97" s="361" t="n"/>
      <c r="K97" s="361" t="n"/>
      <c r="L97" s="362" t="n"/>
      <c r="M97" s="362" t="n"/>
      <c r="N97" s="362" t="n"/>
      <c r="O97" s="362" t="n"/>
      <c r="P97" s="362" t="n"/>
      <c r="Q97" s="362" t="n"/>
      <c r="R97" s="362" t="n"/>
      <c r="S97" s="362" t="n"/>
      <c r="T97" s="362" t="n"/>
      <c r="U97" s="362" t="n"/>
      <c r="V97" s="362" t="n"/>
      <c r="W97" s="362" t="n"/>
      <c r="X97" s="362" t="n"/>
      <c r="Y97" s="362" t="n"/>
      <c r="Z97" s="362" t="n"/>
      <c r="AA97" s="362" t="n"/>
      <c r="AB97" s="362" t="n"/>
      <c r="AC97" s="362" t="n"/>
      <c r="AD97" s="362" t="n"/>
      <c r="AE97" s="362" t="n"/>
      <c r="AF97" s="362" t="n"/>
      <c r="AG97" s="362" t="n"/>
      <c r="AH97" s="362" t="n"/>
      <c r="AI97" s="362" t="n"/>
      <c r="AJ97" s="362" t="n"/>
      <c r="AK97" s="362" t="n"/>
      <c r="AL97" s="362" t="n"/>
      <c r="AM97" s="362" t="n"/>
      <c r="AN97" s="362" t="n"/>
      <c r="AO97" s="362" t="n"/>
      <c r="AP97" s="362" t="n"/>
      <c r="AQ97" s="362" t="n"/>
      <c r="AR97" s="362" t="n"/>
      <c r="AS97" s="362" t="n"/>
      <c r="AT97" s="362" t="n"/>
      <c r="AU97" s="362" t="n"/>
      <c r="AV97" s="362" t="n"/>
      <c r="AW97" s="362" t="n"/>
      <c r="AX97" s="362" t="n"/>
      <c r="AY97" s="362" t="n"/>
      <c r="AZ97" s="362" t="n"/>
      <c r="BA97" s="362" t="n"/>
      <c r="BB97" s="362" t="n"/>
      <c r="BC97" s="362" t="n"/>
      <c r="BD97" s="362" t="n"/>
      <c r="BE97" s="362" t="n"/>
      <c r="BF97" s="362" t="n"/>
      <c r="BG97" s="362" t="n"/>
      <c r="BH97" s="362" t="n"/>
      <c r="BI97" s="362" t="n"/>
      <c r="BJ97" s="362" t="n"/>
      <c r="BK97" s="362" t="n"/>
      <c r="BL97" s="362" t="n"/>
      <c r="BM97" s="362" t="n"/>
      <c r="BN97" s="362" t="n"/>
      <c r="BO97" s="362" t="n"/>
      <c r="BP97" s="362" t="n"/>
      <c r="BQ97" s="362" t="n"/>
      <c r="BR97" s="362" t="n"/>
      <c r="BS97" s="362" t="n"/>
      <c r="BT97" s="362" t="n"/>
      <c r="BU97" s="362" t="n"/>
      <c r="BV97" s="362" t="n"/>
      <c r="BW97" s="362" t="n"/>
      <c r="BX97" s="362" t="n"/>
      <c r="BY97" s="362" t="n"/>
      <c r="BZ97" s="362" t="n"/>
      <c r="CA97" s="362" t="n"/>
      <c r="CB97" s="362" t="n"/>
      <c r="CC97" s="362" t="n"/>
      <c r="CD97" s="362" t="n"/>
      <c r="CE97" s="362" t="n"/>
      <c r="CF97" s="362" t="n"/>
      <c r="CG97" s="362" t="n"/>
      <c r="CH97" s="362" t="n"/>
    </row>
    <row r="98" ht="15" customHeight="1" s="202">
      <c r="A98" s="362" t="n"/>
      <c r="B98" s="363" t="inlineStr">
        <is>
          <t>Total</t>
        </is>
      </c>
      <c r="C98" s="364" t="n">
        <v>1</v>
      </c>
      <c r="D98" s="364" t="n">
        <v>2</v>
      </c>
      <c r="E98" s="364" t="n">
        <v>3</v>
      </c>
      <c r="F98" s="364" t="n">
        <v>4</v>
      </c>
      <c r="G98" s="364" t="n">
        <v>5</v>
      </c>
      <c r="H98" s="364" t="n">
        <v>6</v>
      </c>
      <c r="I98" s="364" t="n">
        <v>7</v>
      </c>
      <c r="J98" s="364" t="n">
        <v>8</v>
      </c>
      <c r="K98" s="364" t="n">
        <v>9</v>
      </c>
      <c r="L98" s="364" t="n">
        <v>10</v>
      </c>
      <c r="M98" s="364" t="n">
        <v>11</v>
      </c>
      <c r="N98" s="364" t="n">
        <v>12</v>
      </c>
      <c r="O98" s="364" t="n">
        <v>13</v>
      </c>
      <c r="P98" s="364" t="n">
        <v>14</v>
      </c>
      <c r="Q98" s="364" t="n">
        <v>15</v>
      </c>
      <c r="R98" s="364" t="n">
        <v>16</v>
      </c>
      <c r="S98" s="364" t="n">
        <v>17</v>
      </c>
      <c r="T98" s="364" t="n">
        <v>18</v>
      </c>
      <c r="U98" s="364" t="n">
        <v>19</v>
      </c>
      <c r="V98" s="364" t="n">
        <v>20</v>
      </c>
      <c r="W98" s="364" t="n">
        <v>21</v>
      </c>
      <c r="X98" s="364" t="n">
        <v>22</v>
      </c>
      <c r="Y98" s="364" t="n">
        <v>23</v>
      </c>
      <c r="Z98" s="364" t="n">
        <v>24</v>
      </c>
      <c r="AA98" s="364" t="n">
        <v>25</v>
      </c>
      <c r="AB98" s="364" t="n">
        <v>26</v>
      </c>
      <c r="AC98" s="364" t="n">
        <v>27</v>
      </c>
      <c r="AD98" s="364" t="n">
        <v>28</v>
      </c>
      <c r="AE98" s="364" t="n">
        <v>29</v>
      </c>
      <c r="AF98" s="364" t="n">
        <v>30</v>
      </c>
      <c r="AG98" s="364" t="n">
        <v>31</v>
      </c>
      <c r="AH98" s="364" t="n">
        <v>32</v>
      </c>
      <c r="AI98" s="364" t="n">
        <v>33</v>
      </c>
      <c r="AJ98" s="364" t="n">
        <v>34</v>
      </c>
      <c r="AK98" s="364" t="n">
        <v>35</v>
      </c>
      <c r="AL98" s="364" t="n">
        <v>36</v>
      </c>
      <c r="AM98" s="364" t="n">
        <v>37</v>
      </c>
      <c r="AN98" s="364" t="n">
        <v>38</v>
      </c>
      <c r="AO98" s="364" t="n">
        <v>39</v>
      </c>
      <c r="AP98" s="364" t="n">
        <v>40</v>
      </c>
      <c r="AQ98" s="364" t="n">
        <v>41</v>
      </c>
      <c r="AR98" s="364" t="n">
        <v>42</v>
      </c>
      <c r="AS98" s="364" t="n">
        <v>43</v>
      </c>
      <c r="AT98" s="364" t="n">
        <v>44</v>
      </c>
      <c r="AU98" s="364" t="n">
        <v>45</v>
      </c>
      <c r="AV98" s="364" t="n">
        <v>46</v>
      </c>
      <c r="AW98" s="364" t="n">
        <v>47</v>
      </c>
      <c r="AX98" s="364" t="n">
        <v>48</v>
      </c>
      <c r="AY98" s="364" t="n">
        <v>49</v>
      </c>
      <c r="AZ98" s="364" t="n">
        <v>50</v>
      </c>
      <c r="BA98" s="364" t="n">
        <v>51</v>
      </c>
      <c r="BB98" s="364" t="n">
        <v>52</v>
      </c>
      <c r="BC98" s="364" t="n">
        <v>53</v>
      </c>
      <c r="BD98" s="364" t="n">
        <v>54</v>
      </c>
      <c r="BE98" s="364" t="n">
        <v>55</v>
      </c>
      <c r="BF98" s="364" t="n">
        <v>56</v>
      </c>
      <c r="BG98" s="364" t="n">
        <v>57</v>
      </c>
      <c r="BH98" s="364" t="n">
        <v>58</v>
      </c>
      <c r="BI98" s="364" t="n">
        <v>59</v>
      </c>
      <c r="BJ98" s="364" t="n">
        <v>60</v>
      </c>
      <c r="BK98" s="364" t="n">
        <v>61</v>
      </c>
      <c r="BL98" s="364" t="n">
        <v>62</v>
      </c>
      <c r="BM98" s="364" t="n">
        <v>63</v>
      </c>
      <c r="BN98" s="364" t="n">
        <v>64</v>
      </c>
      <c r="BO98" s="364" t="n">
        <v>65</v>
      </c>
      <c r="BP98" s="364" t="n">
        <v>66</v>
      </c>
      <c r="BQ98" s="364" t="n">
        <v>67</v>
      </c>
      <c r="BR98" s="364" t="n">
        <v>68</v>
      </c>
      <c r="BS98" s="364" t="n">
        <v>69</v>
      </c>
      <c r="BT98" s="364" t="n">
        <v>70</v>
      </c>
      <c r="BU98" s="364" t="n">
        <v>71</v>
      </c>
      <c r="BV98" s="364" t="n">
        <v>72</v>
      </c>
      <c r="BW98" s="364" t="n">
        <v>73</v>
      </c>
      <c r="BX98" s="364" t="n">
        <v>74</v>
      </c>
      <c r="BY98" s="364" t="n">
        <v>75</v>
      </c>
      <c r="BZ98" s="364" t="n">
        <v>76</v>
      </c>
      <c r="CA98" s="364" t="n">
        <v>77</v>
      </c>
      <c r="CB98" s="364" t="n">
        <v>78</v>
      </c>
      <c r="CC98" s="364" t="n">
        <v>79</v>
      </c>
      <c r="CD98" s="364" t="n">
        <v>80</v>
      </c>
      <c r="CE98" s="364" t="n">
        <v>81</v>
      </c>
      <c r="CF98" s="364" t="n">
        <v>82</v>
      </c>
      <c r="CG98" s="364" t="n">
        <v>83</v>
      </c>
      <c r="CH98" s="364" t="n">
        <v>84</v>
      </c>
    </row>
    <row r="99" ht="15" customHeight="1" s="202">
      <c r="A99" s="364" t="inlineStr">
        <is>
          <t>Total Fee Revenue</t>
        </is>
      </c>
      <c r="B99" s="365">
        <f>SUM(C99:CH99)</f>
        <v/>
      </c>
      <c r="C99" s="362" t="n"/>
      <c r="D99" s="362" t="n"/>
      <c r="E99" s="362" t="n"/>
      <c r="F99" s="362" t="n"/>
      <c r="G99" s="362" t="n"/>
      <c r="H99" s="362" t="n"/>
      <c r="I99" s="362" t="n"/>
      <c r="J99" s="362" t="n"/>
      <c r="K99" s="362" t="n"/>
      <c r="L99" s="366" t="n">
        <v>45050.36</v>
      </c>
      <c r="M99" s="366" t="n">
        <v>45050.36</v>
      </c>
      <c r="N99" s="366" t="n">
        <v>45050.36</v>
      </c>
      <c r="O99" s="366" t="n">
        <v>45050.36</v>
      </c>
      <c r="P99" s="366" t="n">
        <v>45050.36</v>
      </c>
      <c r="Q99" s="366" t="n">
        <v>45050.36</v>
      </c>
      <c r="R99" s="366" t="n">
        <v>70944.52</v>
      </c>
      <c r="S99" s="366" t="n">
        <v>96838.67999999999</v>
      </c>
      <c r="T99" s="366" t="n">
        <v>122732.84</v>
      </c>
      <c r="U99" s="366" t="n">
        <v>148626.99</v>
      </c>
      <c r="V99" s="366" t="n">
        <v>174521.16</v>
      </c>
      <c r="W99" s="366" t="n">
        <v>200415.31</v>
      </c>
      <c r="X99" s="366" t="n">
        <v>226309.46</v>
      </c>
      <c r="Y99" s="366" t="n">
        <v>252203.62</v>
      </c>
      <c r="Z99" s="366" t="n">
        <v>278097.79</v>
      </c>
      <c r="AA99" s="366" t="n">
        <v>303991.94</v>
      </c>
      <c r="AB99" s="366" t="n">
        <v>329886.11</v>
      </c>
      <c r="AC99" s="366" t="n">
        <v>400830.61</v>
      </c>
      <c r="AD99" s="366" t="n">
        <v>311512.01</v>
      </c>
      <c r="AE99" s="366" t="n">
        <v>312294.13</v>
      </c>
      <c r="AF99" s="366" t="n">
        <v>313076.23</v>
      </c>
      <c r="AG99" s="366" t="n">
        <v>313858.34</v>
      </c>
      <c r="AH99" s="366" t="n">
        <v>314640.44</v>
      </c>
      <c r="AI99" s="366" t="n">
        <v>341316.71</v>
      </c>
      <c r="AJ99" s="366" t="n">
        <v>316204.67</v>
      </c>
      <c r="AK99" s="366" t="n">
        <v>291092.62</v>
      </c>
      <c r="AL99" s="366" t="n">
        <v>265980.57</v>
      </c>
      <c r="AM99" s="366" t="n">
        <v>240868.51</v>
      </c>
      <c r="AN99" s="366" t="n">
        <v>215756.47</v>
      </c>
      <c r="AO99" s="366" t="n">
        <v>190644.42</v>
      </c>
      <c r="AP99" s="366" t="n">
        <v>165532.36</v>
      </c>
      <c r="AQ99" s="366" t="n">
        <v>140420.32</v>
      </c>
      <c r="AR99" s="366" t="n">
        <v>115308.27</v>
      </c>
      <c r="AS99" s="366" t="n">
        <v>196095.1</v>
      </c>
      <c r="AT99" s="366" t="n">
        <v>170200.95</v>
      </c>
      <c r="AU99" s="366" t="n">
        <v>119194.75</v>
      </c>
      <c r="AV99" s="366" t="n">
        <v>118412.64</v>
      </c>
      <c r="AW99" s="366" t="n">
        <v>117630.52</v>
      </c>
      <c r="AX99" s="366" t="n">
        <v>116848.42</v>
      </c>
      <c r="AY99" s="366" t="n">
        <v>116066.31</v>
      </c>
      <c r="AZ99" s="366" t="n">
        <v>115284.2</v>
      </c>
      <c r="BA99" s="366" t="n">
        <v>114502.09</v>
      </c>
      <c r="BB99" s="366" t="n">
        <v>113719.98</v>
      </c>
      <c r="BC99" s="366" t="n">
        <v>112937.87</v>
      </c>
      <c r="BD99" s="366" t="n">
        <v>112155.76</v>
      </c>
      <c r="BE99" s="366" t="n">
        <v>111373.65</v>
      </c>
      <c r="BF99" s="366" t="n">
        <v>110591.54</v>
      </c>
      <c r="BG99" s="366" t="n">
        <v>109809.44</v>
      </c>
      <c r="BH99" s="366" t="n">
        <v>109027.32</v>
      </c>
      <c r="BI99" s="366" t="n">
        <v>108245.21</v>
      </c>
      <c r="BJ99" s="366" t="n">
        <v>213361.99</v>
      </c>
      <c r="BK99" s="362" t="n"/>
      <c r="BL99" s="362" t="n"/>
      <c r="BM99" s="362" t="n"/>
      <c r="BN99" s="362" t="n"/>
      <c r="BO99" s="362" t="n"/>
      <c r="BP99" s="362" t="n"/>
      <c r="BQ99" s="362" t="n"/>
      <c r="BR99" s="362" t="n"/>
      <c r="BS99" s="362" t="n"/>
      <c r="BT99" s="362" t="n"/>
      <c r="BU99" s="362" t="n"/>
      <c r="BV99" s="362" t="n"/>
      <c r="BW99" s="362" t="n"/>
      <c r="BX99" s="362" t="n"/>
      <c r="BY99" s="362" t="n"/>
      <c r="BZ99" s="362" t="n"/>
      <c r="CA99" s="362" t="n"/>
      <c r="CB99" s="362" t="n"/>
      <c r="CC99" s="362" t="n"/>
      <c r="CD99" s="362" t="n"/>
      <c r="CE99" s="362" t="n"/>
      <c r="CF99" s="362" t="n"/>
      <c r="CG99" s="362" t="n"/>
      <c r="CH99" s="362" t="n"/>
    </row>
    <row r="100" ht="15" customHeight="1" s="202">
      <c r="A100" s="364" t="inlineStr">
        <is>
          <t>Staffing Cost</t>
        </is>
      </c>
      <c r="B100" s="365">
        <f>SUM(C100:CH100)</f>
        <v/>
      </c>
      <c r="C100" s="362" t="n"/>
      <c r="D100" s="362" t="n"/>
      <c r="E100" s="362" t="n"/>
      <c r="F100" s="362" t="n"/>
      <c r="G100" s="362" t="n"/>
      <c r="H100" s="362" t="n"/>
      <c r="I100" s="362" t="n"/>
      <c r="J100" s="362" t="n"/>
      <c r="K100" s="362" t="n"/>
      <c r="L100" s="366" t="n">
        <v>-16667</v>
      </c>
      <c r="M100" s="366" t="n">
        <v>-16667</v>
      </c>
      <c r="N100" s="366" t="n">
        <v>-16667</v>
      </c>
      <c r="O100" s="366" t="n">
        <v>-16667</v>
      </c>
      <c r="P100" s="366" t="n">
        <v>-16667</v>
      </c>
      <c r="Q100" s="366" t="n">
        <v>-16667</v>
      </c>
      <c r="R100" s="366" t="n">
        <v>-37501</v>
      </c>
      <c r="S100" s="366" t="n">
        <v>-37501</v>
      </c>
      <c r="T100" s="366" t="n">
        <v>-37501</v>
      </c>
      <c r="U100" s="366" t="n">
        <v>-37501</v>
      </c>
      <c r="V100" s="366" t="n">
        <v>-37501</v>
      </c>
      <c r="W100" s="366" t="n">
        <v>-37501</v>
      </c>
      <c r="X100" s="366" t="n">
        <v>-37501</v>
      </c>
      <c r="Y100" s="366" t="n">
        <v>-37501</v>
      </c>
      <c r="Z100" s="366" t="n">
        <v>-37501</v>
      </c>
      <c r="AA100" s="366" t="n">
        <v>-37501</v>
      </c>
      <c r="AB100" s="366" t="n">
        <v>-37501</v>
      </c>
      <c r="AC100" s="366" t="n">
        <v>-37501</v>
      </c>
      <c r="AD100" s="366" t="n">
        <v>-37501</v>
      </c>
      <c r="AE100" s="366" t="n">
        <v>-37501</v>
      </c>
      <c r="AF100" s="366" t="n">
        <v>-37501</v>
      </c>
      <c r="AG100" s="366" t="n">
        <v>-37501</v>
      </c>
      <c r="AH100" s="366" t="n">
        <v>-37501</v>
      </c>
      <c r="AI100" s="366" t="n">
        <v>-37501</v>
      </c>
      <c r="AJ100" s="366" t="n">
        <v>-37501</v>
      </c>
      <c r="AK100" s="366" t="n">
        <v>-37501</v>
      </c>
      <c r="AL100" s="366" t="n">
        <v>-37501</v>
      </c>
      <c r="AM100" s="366" t="n">
        <v>-37501</v>
      </c>
      <c r="AN100" s="366" t="n">
        <v>-37501</v>
      </c>
      <c r="AO100" s="366" t="n">
        <v>-37501</v>
      </c>
      <c r="AP100" s="366" t="n">
        <v>-37501</v>
      </c>
      <c r="AQ100" s="366" t="n">
        <v>-37501</v>
      </c>
      <c r="AR100" s="366" t="n">
        <v>-37501</v>
      </c>
      <c r="AS100" s="366" t="n">
        <v>-37501</v>
      </c>
      <c r="AT100" s="366" t="n">
        <v>-37501</v>
      </c>
      <c r="AU100" s="366" t="n">
        <v>-37501</v>
      </c>
      <c r="AV100" s="366" t="n">
        <v>-37501</v>
      </c>
      <c r="AW100" s="366" t="n">
        <v>-37501</v>
      </c>
      <c r="AX100" s="366" t="n">
        <v>-37501</v>
      </c>
      <c r="AY100" s="366" t="n">
        <v>-37501</v>
      </c>
      <c r="AZ100" s="366" t="n">
        <v>-37501</v>
      </c>
      <c r="BA100" s="366" t="n">
        <v>-37501</v>
      </c>
      <c r="BB100" s="366" t="n">
        <v>-37501</v>
      </c>
      <c r="BC100" s="366" t="n">
        <v>-37501</v>
      </c>
      <c r="BD100" s="366" t="n">
        <v>-37501</v>
      </c>
      <c r="BE100" s="366" t="n">
        <v>-37501</v>
      </c>
      <c r="BF100" s="366" t="n">
        <v>-37501</v>
      </c>
      <c r="BG100" s="366" t="n">
        <v>-37501</v>
      </c>
      <c r="BH100" s="362" t="n"/>
      <c r="BI100" s="362" t="n"/>
      <c r="BJ100" s="362" t="n"/>
      <c r="BK100" s="362" t="n"/>
      <c r="BL100" s="362" t="n"/>
      <c r="BM100" s="362" t="n"/>
      <c r="BN100" s="362" t="n"/>
      <c r="BO100" s="362" t="n"/>
      <c r="BP100" s="362" t="n"/>
      <c r="BQ100" s="362" t="n"/>
      <c r="BR100" s="362" t="n"/>
      <c r="BS100" s="362" t="n"/>
      <c r="BT100" s="362" t="n"/>
      <c r="BU100" s="362" t="n"/>
      <c r="BV100" s="362" t="n"/>
      <c r="BW100" s="362" t="n"/>
      <c r="BX100" s="362" t="n"/>
      <c r="BY100" s="362" t="n"/>
      <c r="BZ100" s="362" t="n"/>
      <c r="CA100" s="362" t="n"/>
      <c r="CB100" s="362" t="n"/>
      <c r="CC100" s="362" t="n"/>
      <c r="CD100" s="362" t="n"/>
      <c r="CE100" s="362" t="n"/>
      <c r="CF100" s="362" t="n"/>
      <c r="CG100" s="362" t="n"/>
      <c r="CH100" s="362" t="n"/>
    </row>
    <row r="101" ht="15" customHeight="1" s="202">
      <c r="A101" s="364" t="inlineStr">
        <is>
          <t>Other OpEx</t>
        </is>
      </c>
      <c r="B101" s="365">
        <f>SUM(C101:CH101)</f>
        <v/>
      </c>
      <c r="C101" s="362" t="n"/>
      <c r="D101" s="362" t="n"/>
      <c r="E101" s="362" t="n"/>
      <c r="F101" s="362" t="n"/>
      <c r="G101" s="362" t="n"/>
      <c r="H101" s="362" t="n"/>
      <c r="I101" s="362" t="n"/>
      <c r="J101" s="362" t="n"/>
      <c r="K101" s="362" t="n"/>
      <c r="L101" s="366" t="n">
        <v>-11167</v>
      </c>
      <c r="M101" s="366" t="n">
        <v>-11167</v>
      </c>
      <c r="N101" s="366" t="n">
        <v>-11167</v>
      </c>
      <c r="O101" s="366" t="n">
        <v>-11167</v>
      </c>
      <c r="P101" s="366" t="n">
        <v>-11167</v>
      </c>
      <c r="Q101" s="366" t="n">
        <v>-11167</v>
      </c>
      <c r="R101" s="366" t="n">
        <v>-11167</v>
      </c>
      <c r="S101" s="366" t="n">
        <v>-11167</v>
      </c>
      <c r="T101" s="366" t="n">
        <v>-11167</v>
      </c>
      <c r="U101" s="366" t="n">
        <v>-11167</v>
      </c>
      <c r="V101" s="366" t="n">
        <v>-11167</v>
      </c>
      <c r="W101" s="366" t="n">
        <v>-11167</v>
      </c>
      <c r="X101" s="366" t="n">
        <v>-11167</v>
      </c>
      <c r="Y101" s="366" t="n">
        <v>-11167</v>
      </c>
      <c r="Z101" s="366" t="n">
        <v>-11167</v>
      </c>
      <c r="AA101" s="366" t="n">
        <v>-11167</v>
      </c>
      <c r="AB101" s="366" t="n">
        <v>-11167</v>
      </c>
      <c r="AC101" s="366" t="n">
        <v>-11167</v>
      </c>
      <c r="AD101" s="366" t="n">
        <v>-11167</v>
      </c>
      <c r="AE101" s="366" t="n">
        <v>-11167</v>
      </c>
      <c r="AF101" s="366" t="n">
        <v>-11167</v>
      </c>
      <c r="AG101" s="366" t="n">
        <v>-11167</v>
      </c>
      <c r="AH101" s="366" t="n">
        <v>-11167</v>
      </c>
      <c r="AI101" s="366" t="n">
        <v>-11167</v>
      </c>
      <c r="AJ101" s="366" t="n">
        <v>-11167</v>
      </c>
      <c r="AK101" s="366" t="n">
        <v>-11167</v>
      </c>
      <c r="AL101" s="366" t="n">
        <v>-11167</v>
      </c>
      <c r="AM101" s="366" t="n">
        <v>-11167</v>
      </c>
      <c r="AN101" s="366" t="n">
        <v>-11167</v>
      </c>
      <c r="AO101" s="366" t="n">
        <v>-11167</v>
      </c>
      <c r="AP101" s="366" t="n">
        <v>-11167</v>
      </c>
      <c r="AQ101" s="366" t="n">
        <v>-11167</v>
      </c>
      <c r="AR101" s="366" t="n">
        <v>-11167</v>
      </c>
      <c r="AS101" s="366" t="n">
        <v>-11167</v>
      </c>
      <c r="AT101" s="366" t="n">
        <v>-11167</v>
      </c>
      <c r="AU101" s="366" t="n">
        <v>-11167</v>
      </c>
      <c r="AV101" s="366" t="n">
        <v>-11167</v>
      </c>
      <c r="AW101" s="366" t="n">
        <v>-11167</v>
      </c>
      <c r="AX101" s="366" t="n">
        <v>-11167</v>
      </c>
      <c r="AY101" s="366" t="n">
        <v>-11167</v>
      </c>
      <c r="AZ101" s="366" t="n">
        <v>-11167</v>
      </c>
      <c r="BA101" s="366" t="n">
        <v>-11167</v>
      </c>
      <c r="BB101" s="366" t="n">
        <v>-11167</v>
      </c>
      <c r="BC101" s="366" t="n">
        <v>-11167</v>
      </c>
      <c r="BD101" s="366" t="n">
        <v>-11167</v>
      </c>
      <c r="BE101" s="366" t="n">
        <v>-11167</v>
      </c>
      <c r="BF101" s="366" t="n">
        <v>-11167</v>
      </c>
      <c r="BG101" s="366" t="n">
        <v>-11167</v>
      </c>
      <c r="BH101" s="362" t="n"/>
      <c r="BI101" s="362" t="n"/>
      <c r="BJ101" s="362" t="n"/>
      <c r="BK101" s="362" t="n"/>
      <c r="BL101" s="362" t="n"/>
      <c r="BM101" s="362" t="n"/>
      <c r="BN101" s="362" t="n"/>
      <c r="BO101" s="362" t="n"/>
      <c r="BP101" s="362" t="n"/>
      <c r="BQ101" s="362" t="n"/>
      <c r="BR101" s="362" t="n"/>
      <c r="BS101" s="362" t="n"/>
      <c r="BT101" s="362" t="n"/>
      <c r="BU101" s="362" t="n"/>
      <c r="BV101" s="362" t="n"/>
      <c r="BW101" s="362" t="n"/>
      <c r="BX101" s="362" t="n"/>
      <c r="BY101" s="362" t="n"/>
      <c r="BZ101" s="362" t="n"/>
      <c r="CA101" s="362" t="n"/>
      <c r="CB101" s="362" t="n"/>
      <c r="CC101" s="362" t="n"/>
      <c r="CD101" s="362" t="n"/>
      <c r="CE101" s="362" t="n"/>
      <c r="CF101" s="362" t="n"/>
      <c r="CG101" s="362" t="n"/>
      <c r="CH101" s="362" t="n"/>
    </row>
    <row r="102" ht="15" customHeight="1" s="202">
      <c r="A102" s="364" t="inlineStr">
        <is>
          <t>Net Fee Income</t>
        </is>
      </c>
      <c r="B102" s="365">
        <f>SUM(C102:CH102)</f>
        <v/>
      </c>
      <c r="C102" s="367">
        <f>C99+C100+C101</f>
        <v/>
      </c>
      <c r="D102" s="367">
        <f>D99+D100+D101</f>
        <v/>
      </c>
      <c r="E102" s="367">
        <f>E99+E100+E101</f>
        <v/>
      </c>
      <c r="F102" s="367">
        <f>F99+F100+F101</f>
        <v/>
      </c>
      <c r="G102" s="367">
        <f>G99+G100+G101</f>
        <v/>
      </c>
      <c r="H102" s="367">
        <f>H99+H100+H101</f>
        <v/>
      </c>
      <c r="I102" s="367">
        <f>I99+I100+I101</f>
        <v/>
      </c>
      <c r="J102" s="367">
        <f>J99+J100+J101</f>
        <v/>
      </c>
      <c r="K102" s="367">
        <f>K99+K100+K101</f>
        <v/>
      </c>
      <c r="L102" s="367">
        <f>L99+L100+L101</f>
        <v/>
      </c>
      <c r="M102" s="367">
        <f>M99+M100+M101</f>
        <v/>
      </c>
      <c r="N102" s="367">
        <f>N99+N100+N101</f>
        <v/>
      </c>
      <c r="O102" s="367">
        <f>O99+O100+O101</f>
        <v/>
      </c>
      <c r="P102" s="367">
        <f>P99+P100+P101</f>
        <v/>
      </c>
      <c r="Q102" s="367">
        <f>Q99+Q100+Q101</f>
        <v/>
      </c>
      <c r="R102" s="367">
        <f>R99+R100+R101</f>
        <v/>
      </c>
      <c r="S102" s="367">
        <f>S99+S100+S101</f>
        <v/>
      </c>
      <c r="T102" s="367">
        <f>T99+T100+T101</f>
        <v/>
      </c>
      <c r="U102" s="367">
        <f>U99+U100+U101</f>
        <v/>
      </c>
      <c r="V102" s="367">
        <f>V99+V100+V101</f>
        <v/>
      </c>
      <c r="W102" s="367">
        <f>W99+W100+W101</f>
        <v/>
      </c>
      <c r="X102" s="367">
        <f>X99+X100+X101</f>
        <v/>
      </c>
      <c r="Y102" s="367">
        <f>Y99+Y100+Y101</f>
        <v/>
      </c>
      <c r="Z102" s="367">
        <f>Z99+Z100+Z101</f>
        <v/>
      </c>
      <c r="AA102" s="367">
        <f>AA99+AA100+AA101</f>
        <v/>
      </c>
      <c r="AB102" s="367">
        <f>AB99+AB100+AB101</f>
        <v/>
      </c>
      <c r="AC102" s="367">
        <f>AC99+AC100+AC101</f>
        <v/>
      </c>
      <c r="AD102" s="367">
        <f>AD99+AD100+AD101</f>
        <v/>
      </c>
      <c r="AE102" s="367">
        <f>AE99+AE100+AE101</f>
        <v/>
      </c>
      <c r="AF102" s="367">
        <f>AF99+AF100+AF101</f>
        <v/>
      </c>
      <c r="AG102" s="367">
        <f>AG99+AG100+AG101</f>
        <v/>
      </c>
      <c r="AH102" s="367">
        <f>AH99+AH100+AH101</f>
        <v/>
      </c>
      <c r="AI102" s="367">
        <f>AI99+AI100+AI101</f>
        <v/>
      </c>
      <c r="AJ102" s="367">
        <f>AJ99+AJ100+AJ101</f>
        <v/>
      </c>
      <c r="AK102" s="367">
        <f>AK99+AK100+AK101</f>
        <v/>
      </c>
      <c r="AL102" s="367">
        <f>AL99+AL100+AL101</f>
        <v/>
      </c>
      <c r="AM102" s="367">
        <f>AM99+AM100+AM101</f>
        <v/>
      </c>
      <c r="AN102" s="367">
        <f>AN99+AN100+AN101</f>
        <v/>
      </c>
      <c r="AO102" s="367">
        <f>AO99+AO100+AO101</f>
        <v/>
      </c>
      <c r="AP102" s="367">
        <f>AP99+AP100+AP101</f>
        <v/>
      </c>
      <c r="AQ102" s="367">
        <f>AQ99+AQ100+AQ101</f>
        <v/>
      </c>
      <c r="AR102" s="367">
        <f>AR99+AR100+AR101</f>
        <v/>
      </c>
      <c r="AS102" s="367">
        <f>AS99+AS100+AS101</f>
        <v/>
      </c>
      <c r="AT102" s="367">
        <f>AT99+AT100+AT101</f>
        <v/>
      </c>
      <c r="AU102" s="367">
        <f>AU99+AU100+AU101</f>
        <v/>
      </c>
      <c r="AV102" s="367">
        <f>AV99+AV100+AV101</f>
        <v/>
      </c>
      <c r="AW102" s="367">
        <f>AW99+AW100+AW101</f>
        <v/>
      </c>
      <c r="AX102" s="367">
        <f>AX99+AX100+AX101</f>
        <v/>
      </c>
      <c r="AY102" s="367">
        <f>AY99+AY100+AY101</f>
        <v/>
      </c>
      <c r="AZ102" s="367">
        <f>AZ99+AZ100+AZ101</f>
        <v/>
      </c>
      <c r="BA102" s="367">
        <f>BA99+BA100+BA101</f>
        <v/>
      </c>
      <c r="BB102" s="367">
        <f>BB99+BB100+BB101</f>
        <v/>
      </c>
      <c r="BC102" s="367">
        <f>BC99+BC100+BC101</f>
        <v/>
      </c>
      <c r="BD102" s="367">
        <f>BD99+BD100+BD101</f>
        <v/>
      </c>
      <c r="BE102" s="367">
        <f>BE99+BE100+BE101</f>
        <v/>
      </c>
      <c r="BF102" s="367">
        <f>BF99+BF100+BF101</f>
        <v/>
      </c>
      <c r="BG102" s="367">
        <f>BG99+BG100+BG101</f>
        <v/>
      </c>
      <c r="BH102" s="367">
        <f>BH99+BH100+BH101</f>
        <v/>
      </c>
      <c r="BI102" s="367">
        <f>BI99+BI100+BI101</f>
        <v/>
      </c>
      <c r="BJ102" s="367">
        <f>BJ99+BJ100+BJ101</f>
        <v/>
      </c>
      <c r="BK102" s="367">
        <f>BK99+BK100+BK101</f>
        <v/>
      </c>
      <c r="BL102" s="367">
        <f>BL99+BL100+BL101</f>
        <v/>
      </c>
      <c r="BM102" s="367">
        <f>BM99+BM100+BM101</f>
        <v/>
      </c>
      <c r="BN102" s="367">
        <f>BN99+BN100+BN101</f>
        <v/>
      </c>
      <c r="BO102" s="367">
        <f>BO99+BO100+BO101</f>
        <v/>
      </c>
      <c r="BP102" s="367">
        <f>BP99+BP100+BP101</f>
        <v/>
      </c>
      <c r="BQ102" s="367">
        <f>BQ99+BQ100+BQ101</f>
        <v/>
      </c>
      <c r="BR102" s="367">
        <f>BR99+BR100+BR101</f>
        <v/>
      </c>
      <c r="BS102" s="367">
        <f>BS99+BS100+BS101</f>
        <v/>
      </c>
      <c r="BT102" s="367">
        <f>BT99+BT100+BT101</f>
        <v/>
      </c>
      <c r="BU102" s="367">
        <f>BU99+BU100+BU101</f>
        <v/>
      </c>
      <c r="BV102" s="367">
        <f>BV99+BV100+BV101</f>
        <v/>
      </c>
      <c r="BW102" s="367">
        <f>BW99+BW100+BW101</f>
        <v/>
      </c>
      <c r="BX102" s="367">
        <f>BX99+BX100+BX101</f>
        <v/>
      </c>
      <c r="BY102" s="367">
        <f>BY99+BY100+BY101</f>
        <v/>
      </c>
      <c r="BZ102" s="367">
        <f>BZ99+BZ100+BZ101</f>
        <v/>
      </c>
      <c r="CA102" s="367">
        <f>CA99+CA100+CA101</f>
        <v/>
      </c>
      <c r="CB102" s="367">
        <f>CB99+CB100+CB101</f>
        <v/>
      </c>
      <c r="CC102" s="367">
        <f>CC99+CC100+CC101</f>
        <v/>
      </c>
      <c r="CD102" s="367">
        <f>CD99+CD100+CD101</f>
        <v/>
      </c>
      <c r="CE102" s="367">
        <f>CE99+CE100+CE101</f>
        <v/>
      </c>
      <c r="CF102" s="367">
        <f>CF99+CF100+CF101</f>
        <v/>
      </c>
      <c r="CG102" s="367">
        <f>CG99+CG100+CG101</f>
        <v/>
      </c>
      <c r="CH102" s="367">
        <f>CH99+CH100+CH101</f>
        <v/>
      </c>
    </row>
    <row r="103" ht="15" customHeight="1" s="202">
      <c r="A103" s="364" t="inlineStr">
        <is>
          <t>SP Overhead Fee (to Six Peak)</t>
        </is>
      </c>
      <c r="B103" s="365">
        <f>SUM(C103:CH103)</f>
        <v/>
      </c>
      <c r="C103" s="367">
        <f>C99*$B$94</f>
        <v/>
      </c>
      <c r="D103" s="367">
        <f>D99*$B$94</f>
        <v/>
      </c>
      <c r="E103" s="367">
        <f>E99*$B$94</f>
        <v/>
      </c>
      <c r="F103" s="367">
        <f>F99*$B$94</f>
        <v/>
      </c>
      <c r="G103" s="367">
        <f>G99*$B$94</f>
        <v/>
      </c>
      <c r="H103" s="367">
        <f>H99*$B$94</f>
        <v/>
      </c>
      <c r="I103" s="367">
        <f>I99*$B$94</f>
        <v/>
      </c>
      <c r="J103" s="367">
        <f>J99*$B$94</f>
        <v/>
      </c>
      <c r="K103" s="367">
        <f>K99*$B$94</f>
        <v/>
      </c>
      <c r="L103" s="367">
        <f>L99*$B$94</f>
        <v/>
      </c>
      <c r="M103" s="367">
        <f>M99*$B$94</f>
        <v/>
      </c>
      <c r="N103" s="367">
        <f>N99*$B$94</f>
        <v/>
      </c>
      <c r="O103" s="367">
        <f>O99*$B$94</f>
        <v/>
      </c>
      <c r="P103" s="367">
        <f>P99*$B$94</f>
        <v/>
      </c>
      <c r="Q103" s="367">
        <f>Q99*$B$94</f>
        <v/>
      </c>
      <c r="R103" s="367">
        <f>R99*$B$94</f>
        <v/>
      </c>
      <c r="S103" s="367">
        <f>S99*$B$94</f>
        <v/>
      </c>
      <c r="T103" s="367">
        <f>T99*$B$94</f>
        <v/>
      </c>
      <c r="U103" s="367">
        <f>U99*$B$94</f>
        <v/>
      </c>
      <c r="V103" s="367">
        <f>V99*$B$94</f>
        <v/>
      </c>
      <c r="W103" s="367">
        <f>W99*$B$94</f>
        <v/>
      </c>
      <c r="X103" s="367">
        <f>X99*$B$94</f>
        <v/>
      </c>
      <c r="Y103" s="367">
        <f>Y99*$B$94</f>
        <v/>
      </c>
      <c r="Z103" s="367">
        <f>Z99*$B$94</f>
        <v/>
      </c>
      <c r="AA103" s="367">
        <f>AA99*$B$94</f>
        <v/>
      </c>
      <c r="AB103" s="367">
        <f>AB99*$B$94</f>
        <v/>
      </c>
      <c r="AC103" s="367">
        <f>AC99*$B$94</f>
        <v/>
      </c>
      <c r="AD103" s="367">
        <f>AD99*$B$94</f>
        <v/>
      </c>
      <c r="AE103" s="367">
        <f>AE99*$B$94</f>
        <v/>
      </c>
      <c r="AF103" s="367">
        <f>AF99*$B$94</f>
        <v/>
      </c>
      <c r="AG103" s="367">
        <f>AG99*$B$94</f>
        <v/>
      </c>
      <c r="AH103" s="367">
        <f>AH99*$B$94</f>
        <v/>
      </c>
      <c r="AI103" s="367">
        <f>AI99*$B$94</f>
        <v/>
      </c>
      <c r="AJ103" s="367">
        <f>AJ99*$B$94</f>
        <v/>
      </c>
      <c r="AK103" s="367">
        <f>AK99*$B$94</f>
        <v/>
      </c>
      <c r="AL103" s="367">
        <f>AL99*$B$94</f>
        <v/>
      </c>
      <c r="AM103" s="367">
        <f>AM99*$B$94</f>
        <v/>
      </c>
      <c r="AN103" s="367">
        <f>AN99*$B$94</f>
        <v/>
      </c>
      <c r="AO103" s="367">
        <f>AO99*$B$94</f>
        <v/>
      </c>
      <c r="AP103" s="367">
        <f>AP99*$B$94</f>
        <v/>
      </c>
      <c r="AQ103" s="367">
        <f>AQ99*$B$94</f>
        <v/>
      </c>
      <c r="AR103" s="367">
        <f>AR99*$B$94</f>
        <v/>
      </c>
      <c r="AS103" s="367">
        <f>AS99*$B$94</f>
        <v/>
      </c>
      <c r="AT103" s="367">
        <f>AT99*$B$94</f>
        <v/>
      </c>
      <c r="AU103" s="367">
        <f>AU99*$B$94</f>
        <v/>
      </c>
      <c r="AV103" s="367">
        <f>AV99*$B$94</f>
        <v/>
      </c>
      <c r="AW103" s="367">
        <f>AW99*$B$94</f>
        <v/>
      </c>
      <c r="AX103" s="367">
        <f>AX99*$B$94</f>
        <v/>
      </c>
      <c r="AY103" s="367">
        <f>AY99*$B$94</f>
        <v/>
      </c>
      <c r="AZ103" s="367">
        <f>AZ99*$B$94</f>
        <v/>
      </c>
      <c r="BA103" s="367">
        <f>BA99*$B$94</f>
        <v/>
      </c>
      <c r="BB103" s="367">
        <f>BB99*$B$94</f>
        <v/>
      </c>
      <c r="BC103" s="367">
        <f>BC99*$B$94</f>
        <v/>
      </c>
      <c r="BD103" s="367">
        <f>BD99*$B$94</f>
        <v/>
      </c>
      <c r="BE103" s="367">
        <f>BE99*$B$94</f>
        <v/>
      </c>
      <c r="BF103" s="367">
        <f>BF99*$B$94</f>
        <v/>
      </c>
      <c r="BG103" s="367">
        <f>BG99*$B$94</f>
        <v/>
      </c>
      <c r="BH103" s="367">
        <f>BH99*$B$94</f>
        <v/>
      </c>
      <c r="BI103" s="367">
        <f>BI99*$B$94</f>
        <v/>
      </c>
      <c r="BJ103" s="367">
        <f>BJ99*$B$94</f>
        <v/>
      </c>
      <c r="BK103" s="367">
        <f>BK99*$B$94</f>
        <v/>
      </c>
      <c r="BL103" s="367">
        <f>BL99*$B$94</f>
        <v/>
      </c>
      <c r="BM103" s="367">
        <f>BM99*$B$94</f>
        <v/>
      </c>
      <c r="BN103" s="367">
        <f>BN99*$B$94</f>
        <v/>
      </c>
      <c r="BO103" s="367">
        <f>BO99*$B$94</f>
        <v/>
      </c>
      <c r="BP103" s="367">
        <f>BP99*$B$94</f>
        <v/>
      </c>
      <c r="BQ103" s="367">
        <f>BQ99*$B$94</f>
        <v/>
      </c>
      <c r="BR103" s="367">
        <f>BR99*$B$94</f>
        <v/>
      </c>
      <c r="BS103" s="367">
        <f>BS99*$B$94</f>
        <v/>
      </c>
      <c r="BT103" s="367">
        <f>BT99*$B$94</f>
        <v/>
      </c>
      <c r="BU103" s="367">
        <f>BU99*$B$94</f>
        <v/>
      </c>
      <c r="BV103" s="367">
        <f>BV99*$B$94</f>
        <v/>
      </c>
      <c r="BW103" s="367">
        <f>BW99*$B$94</f>
        <v/>
      </c>
      <c r="BX103" s="367">
        <f>BX99*$B$94</f>
        <v/>
      </c>
      <c r="BY103" s="367">
        <f>BY99*$B$94</f>
        <v/>
      </c>
      <c r="BZ103" s="367">
        <f>BZ99*$B$94</f>
        <v/>
      </c>
      <c r="CA103" s="367">
        <f>CA99*$B$94</f>
        <v/>
      </c>
      <c r="CB103" s="367">
        <f>CB99*$B$94</f>
        <v/>
      </c>
      <c r="CC103" s="367">
        <f>CC99*$B$94</f>
        <v/>
      </c>
      <c r="CD103" s="367">
        <f>CD99*$B$94</f>
        <v/>
      </c>
      <c r="CE103" s="367">
        <f>CE99*$B$94</f>
        <v/>
      </c>
      <c r="CF103" s="367">
        <f>CF99*$B$94</f>
        <v/>
      </c>
      <c r="CG103" s="367">
        <f>CG99*$B$94</f>
        <v/>
      </c>
      <c r="CH103" s="367">
        <f>CH99*$B$94</f>
        <v/>
      </c>
    </row>
    <row r="104" ht="15" customHeight="1" s="202">
      <c r="A104" s="364" t="inlineStr">
        <is>
          <t>Net Before Bonus</t>
        </is>
      </c>
      <c r="B104" s="365">
        <f>SUM(C104:CH104)</f>
        <v/>
      </c>
      <c r="C104" s="367">
        <f>C102-C103</f>
        <v/>
      </c>
      <c r="D104" s="367">
        <f>D102-D103</f>
        <v/>
      </c>
      <c r="E104" s="367">
        <f>E102-E103</f>
        <v/>
      </c>
      <c r="F104" s="367">
        <f>F102-F103</f>
        <v/>
      </c>
      <c r="G104" s="367">
        <f>G102-G103</f>
        <v/>
      </c>
      <c r="H104" s="367">
        <f>H102-H103</f>
        <v/>
      </c>
      <c r="I104" s="367">
        <f>I102-I103</f>
        <v/>
      </c>
      <c r="J104" s="367">
        <f>J102-J103</f>
        <v/>
      </c>
      <c r="K104" s="367">
        <f>K102-K103</f>
        <v/>
      </c>
      <c r="L104" s="367">
        <f>L102-L103</f>
        <v/>
      </c>
      <c r="M104" s="367">
        <f>M102-M103</f>
        <v/>
      </c>
      <c r="N104" s="367">
        <f>N102-N103</f>
        <v/>
      </c>
      <c r="O104" s="367">
        <f>O102-O103</f>
        <v/>
      </c>
      <c r="P104" s="367">
        <f>P102-P103</f>
        <v/>
      </c>
      <c r="Q104" s="367">
        <f>Q102-Q103</f>
        <v/>
      </c>
      <c r="R104" s="367">
        <f>R102-R103</f>
        <v/>
      </c>
      <c r="S104" s="367">
        <f>S102-S103</f>
        <v/>
      </c>
      <c r="T104" s="367">
        <f>T102-T103</f>
        <v/>
      </c>
      <c r="U104" s="367">
        <f>U102-U103</f>
        <v/>
      </c>
      <c r="V104" s="367">
        <f>V102-V103</f>
        <v/>
      </c>
      <c r="W104" s="367">
        <f>W102-W103</f>
        <v/>
      </c>
      <c r="X104" s="367">
        <f>X102-X103</f>
        <v/>
      </c>
      <c r="Y104" s="367">
        <f>Y102-Y103</f>
        <v/>
      </c>
      <c r="Z104" s="367">
        <f>Z102-Z103</f>
        <v/>
      </c>
      <c r="AA104" s="367">
        <f>AA102-AA103</f>
        <v/>
      </c>
      <c r="AB104" s="367">
        <f>AB102-AB103</f>
        <v/>
      </c>
      <c r="AC104" s="367">
        <f>AC102-AC103</f>
        <v/>
      </c>
      <c r="AD104" s="367">
        <f>AD102-AD103</f>
        <v/>
      </c>
      <c r="AE104" s="367">
        <f>AE102-AE103</f>
        <v/>
      </c>
      <c r="AF104" s="367">
        <f>AF102-AF103</f>
        <v/>
      </c>
      <c r="AG104" s="367">
        <f>AG102-AG103</f>
        <v/>
      </c>
      <c r="AH104" s="367">
        <f>AH102-AH103</f>
        <v/>
      </c>
      <c r="AI104" s="367">
        <f>AI102-AI103</f>
        <v/>
      </c>
      <c r="AJ104" s="367">
        <f>AJ102-AJ103</f>
        <v/>
      </c>
      <c r="AK104" s="367">
        <f>AK102-AK103</f>
        <v/>
      </c>
      <c r="AL104" s="367">
        <f>AL102-AL103</f>
        <v/>
      </c>
      <c r="AM104" s="367">
        <f>AM102-AM103</f>
        <v/>
      </c>
      <c r="AN104" s="367">
        <f>AN102-AN103</f>
        <v/>
      </c>
      <c r="AO104" s="367">
        <f>AO102-AO103</f>
        <v/>
      </c>
      <c r="AP104" s="367">
        <f>AP102-AP103</f>
        <v/>
      </c>
      <c r="AQ104" s="367">
        <f>AQ102-AQ103</f>
        <v/>
      </c>
      <c r="AR104" s="367">
        <f>AR102-AR103</f>
        <v/>
      </c>
      <c r="AS104" s="367">
        <f>AS102-AS103</f>
        <v/>
      </c>
      <c r="AT104" s="367">
        <f>AT102-AT103</f>
        <v/>
      </c>
      <c r="AU104" s="367">
        <f>AU102-AU103</f>
        <v/>
      </c>
      <c r="AV104" s="367">
        <f>AV102-AV103</f>
        <v/>
      </c>
      <c r="AW104" s="367">
        <f>AW102-AW103</f>
        <v/>
      </c>
      <c r="AX104" s="367">
        <f>AX102-AX103</f>
        <v/>
      </c>
      <c r="AY104" s="367">
        <f>AY102-AY103</f>
        <v/>
      </c>
      <c r="AZ104" s="367">
        <f>AZ102-AZ103</f>
        <v/>
      </c>
      <c r="BA104" s="367">
        <f>BA102-BA103</f>
        <v/>
      </c>
      <c r="BB104" s="367">
        <f>BB102-BB103</f>
        <v/>
      </c>
      <c r="BC104" s="367">
        <f>BC102-BC103</f>
        <v/>
      </c>
      <c r="BD104" s="367">
        <f>BD102-BD103</f>
        <v/>
      </c>
      <c r="BE104" s="367">
        <f>BE102-BE103</f>
        <v/>
      </c>
      <c r="BF104" s="367">
        <f>BF102-BF103</f>
        <v/>
      </c>
      <c r="BG104" s="367">
        <f>BG102-BG103</f>
        <v/>
      </c>
      <c r="BH104" s="367">
        <f>BH102-BH103</f>
        <v/>
      </c>
      <c r="BI104" s="367">
        <f>BI102-BI103</f>
        <v/>
      </c>
      <c r="BJ104" s="367">
        <f>BJ102-BJ103</f>
        <v/>
      </c>
      <c r="BK104" s="367">
        <f>BK102-BK103</f>
        <v/>
      </c>
      <c r="BL104" s="367">
        <f>BL102-BL103</f>
        <v/>
      </c>
      <c r="BM104" s="367">
        <f>BM102-BM103</f>
        <v/>
      </c>
      <c r="BN104" s="367">
        <f>BN102-BN103</f>
        <v/>
      </c>
      <c r="BO104" s="367">
        <f>BO102-BO103</f>
        <v/>
      </c>
      <c r="BP104" s="367">
        <f>BP102-BP103</f>
        <v/>
      </c>
      <c r="BQ104" s="367">
        <f>BQ102-BQ103</f>
        <v/>
      </c>
      <c r="BR104" s="367">
        <f>BR102-BR103</f>
        <v/>
      </c>
      <c r="BS104" s="367">
        <f>BS102-BS103</f>
        <v/>
      </c>
      <c r="BT104" s="367">
        <f>BT102-BT103</f>
        <v/>
      </c>
      <c r="BU104" s="367">
        <f>BU102-BU103</f>
        <v/>
      </c>
      <c r="BV104" s="367">
        <f>BV102-BV103</f>
        <v/>
      </c>
      <c r="BW104" s="367">
        <f>BW102-BW103</f>
        <v/>
      </c>
      <c r="BX104" s="367">
        <f>BX102-BX103</f>
        <v/>
      </c>
      <c r="BY104" s="367">
        <f>BY102-BY103</f>
        <v/>
      </c>
      <c r="BZ104" s="367">
        <f>BZ102-BZ103</f>
        <v/>
      </c>
      <c r="CA104" s="367">
        <f>CA102-CA103</f>
        <v/>
      </c>
      <c r="CB104" s="367">
        <f>CB102-CB103</f>
        <v/>
      </c>
      <c r="CC104" s="367">
        <f>CC102-CC103</f>
        <v/>
      </c>
      <c r="CD104" s="367">
        <f>CD102-CD103</f>
        <v/>
      </c>
      <c r="CE104" s="367">
        <f>CE102-CE103</f>
        <v/>
      </c>
      <c r="CF104" s="367">
        <f>CF102-CF103</f>
        <v/>
      </c>
      <c r="CG104" s="367">
        <f>CG102-CG103</f>
        <v/>
      </c>
      <c r="CH104" s="367">
        <f>CH102-CH103</f>
        <v/>
      </c>
    </row>
    <row r="105" ht="15" customHeight="1" s="202">
      <c r="A105" s="364" t="inlineStr">
        <is>
          <t>Schuyler Bonus (40%)</t>
        </is>
      </c>
      <c r="B105" s="365">
        <f>SUM(C105:CH105)</f>
        <v/>
      </c>
      <c r="C105" s="367">
        <f>MAX(0,C104)*$B$95</f>
        <v/>
      </c>
      <c r="D105" s="367">
        <f>MAX(0,D104)*$B$95</f>
        <v/>
      </c>
      <c r="E105" s="367">
        <f>MAX(0,E104)*$B$95</f>
        <v/>
      </c>
      <c r="F105" s="367">
        <f>MAX(0,F104)*$B$95</f>
        <v/>
      </c>
      <c r="G105" s="367">
        <f>MAX(0,G104)*$B$95</f>
        <v/>
      </c>
      <c r="H105" s="367">
        <f>MAX(0,H104)*$B$95</f>
        <v/>
      </c>
      <c r="I105" s="367">
        <f>MAX(0,I104)*$B$95</f>
        <v/>
      </c>
      <c r="J105" s="367">
        <f>MAX(0,J104)*$B$95</f>
        <v/>
      </c>
      <c r="K105" s="367">
        <f>MAX(0,K104)*$B$95</f>
        <v/>
      </c>
      <c r="L105" s="367">
        <f>MAX(0,L104)*$B$95</f>
        <v/>
      </c>
      <c r="M105" s="367">
        <f>MAX(0,M104)*$B$95</f>
        <v/>
      </c>
      <c r="N105" s="367">
        <f>MAX(0,N104)*$B$95</f>
        <v/>
      </c>
      <c r="O105" s="367">
        <f>MAX(0,O104)*$B$95</f>
        <v/>
      </c>
      <c r="P105" s="367">
        <f>MAX(0,P104)*$B$95</f>
        <v/>
      </c>
      <c r="Q105" s="367">
        <f>MAX(0,Q104)*$B$95</f>
        <v/>
      </c>
      <c r="R105" s="367">
        <f>MAX(0,R104)*$B$95</f>
        <v/>
      </c>
      <c r="S105" s="367">
        <f>MAX(0,S104)*$B$95</f>
        <v/>
      </c>
      <c r="T105" s="367">
        <f>MAX(0,T104)*$B$95</f>
        <v/>
      </c>
      <c r="U105" s="367">
        <f>MAX(0,U104)*$B$95</f>
        <v/>
      </c>
      <c r="V105" s="367">
        <f>MAX(0,V104)*$B$95</f>
        <v/>
      </c>
      <c r="W105" s="367">
        <f>MAX(0,W104)*$B$95</f>
        <v/>
      </c>
      <c r="X105" s="367">
        <f>MAX(0,X104)*$B$95</f>
        <v/>
      </c>
      <c r="Y105" s="367">
        <f>MAX(0,Y104)*$B$95</f>
        <v/>
      </c>
      <c r="Z105" s="367">
        <f>MAX(0,Z104)*$B$95</f>
        <v/>
      </c>
      <c r="AA105" s="367">
        <f>MAX(0,AA104)*$B$95</f>
        <v/>
      </c>
      <c r="AB105" s="367">
        <f>MAX(0,AB104)*$B$95</f>
        <v/>
      </c>
      <c r="AC105" s="367">
        <f>MAX(0,AC104)*$B$95</f>
        <v/>
      </c>
      <c r="AD105" s="367">
        <f>MAX(0,AD104)*$B$95</f>
        <v/>
      </c>
      <c r="AE105" s="367">
        <f>MAX(0,AE104)*$B$95</f>
        <v/>
      </c>
      <c r="AF105" s="367">
        <f>MAX(0,AF104)*$B$95</f>
        <v/>
      </c>
      <c r="AG105" s="367">
        <f>MAX(0,AG104)*$B$95</f>
        <v/>
      </c>
      <c r="AH105" s="367">
        <f>MAX(0,AH104)*$B$95</f>
        <v/>
      </c>
      <c r="AI105" s="367">
        <f>MAX(0,AI104)*$B$95</f>
        <v/>
      </c>
      <c r="AJ105" s="367">
        <f>MAX(0,AJ104)*$B$95</f>
        <v/>
      </c>
      <c r="AK105" s="367">
        <f>MAX(0,AK104)*$B$95</f>
        <v/>
      </c>
      <c r="AL105" s="367">
        <f>MAX(0,AL104)*$B$95</f>
        <v/>
      </c>
      <c r="AM105" s="367">
        <f>MAX(0,AM104)*$B$95</f>
        <v/>
      </c>
      <c r="AN105" s="367">
        <f>MAX(0,AN104)*$B$95</f>
        <v/>
      </c>
      <c r="AO105" s="367">
        <f>MAX(0,AO104)*$B$95</f>
        <v/>
      </c>
      <c r="AP105" s="367">
        <f>MAX(0,AP104)*$B$95</f>
        <v/>
      </c>
      <c r="AQ105" s="367">
        <f>MAX(0,AQ104)*$B$95</f>
        <v/>
      </c>
      <c r="AR105" s="367">
        <f>MAX(0,AR104)*$B$95</f>
        <v/>
      </c>
      <c r="AS105" s="367">
        <f>MAX(0,AS104)*$B$95</f>
        <v/>
      </c>
      <c r="AT105" s="367">
        <f>MAX(0,AT104)*$B$95</f>
        <v/>
      </c>
      <c r="AU105" s="367">
        <f>MAX(0,AU104)*$B$95</f>
        <v/>
      </c>
      <c r="AV105" s="367">
        <f>MAX(0,AV104)*$B$95</f>
        <v/>
      </c>
      <c r="AW105" s="367">
        <f>MAX(0,AW104)*$B$95</f>
        <v/>
      </c>
      <c r="AX105" s="367">
        <f>MAX(0,AX104)*$B$95</f>
        <v/>
      </c>
      <c r="AY105" s="367">
        <f>MAX(0,AY104)*$B$95</f>
        <v/>
      </c>
      <c r="AZ105" s="367">
        <f>MAX(0,AZ104)*$B$95</f>
        <v/>
      </c>
      <c r="BA105" s="367">
        <f>MAX(0,BA104)*$B$95</f>
        <v/>
      </c>
      <c r="BB105" s="367">
        <f>MAX(0,BB104)*$B$95</f>
        <v/>
      </c>
      <c r="BC105" s="367">
        <f>MAX(0,BC104)*$B$95</f>
        <v/>
      </c>
      <c r="BD105" s="367">
        <f>MAX(0,BD104)*$B$95</f>
        <v/>
      </c>
      <c r="BE105" s="367">
        <f>MAX(0,BE104)*$B$95</f>
        <v/>
      </c>
      <c r="BF105" s="367">
        <f>MAX(0,BF104)*$B$95</f>
        <v/>
      </c>
      <c r="BG105" s="367">
        <f>MAX(0,BG104)*$B$95</f>
        <v/>
      </c>
      <c r="BH105" s="367">
        <f>MAX(0,BH104)*$B$95</f>
        <v/>
      </c>
      <c r="BI105" s="367">
        <f>MAX(0,BI104)*$B$95</f>
        <v/>
      </c>
      <c r="BJ105" s="367">
        <f>MAX(0,BJ104)*$B$95</f>
        <v/>
      </c>
      <c r="BK105" s="367">
        <f>MAX(0,BK104)*$B$95</f>
        <v/>
      </c>
      <c r="BL105" s="367">
        <f>MAX(0,BL104)*$B$95</f>
        <v/>
      </c>
      <c r="BM105" s="367">
        <f>MAX(0,BM104)*$B$95</f>
        <v/>
      </c>
      <c r="BN105" s="367">
        <f>MAX(0,BN104)*$B$95</f>
        <v/>
      </c>
      <c r="BO105" s="367">
        <f>MAX(0,BO104)*$B$95</f>
        <v/>
      </c>
      <c r="BP105" s="367">
        <f>MAX(0,BP104)*$B$95</f>
        <v/>
      </c>
      <c r="BQ105" s="367">
        <f>MAX(0,BQ104)*$B$95</f>
        <v/>
      </c>
      <c r="BR105" s="367">
        <f>MAX(0,BR104)*$B$95</f>
        <v/>
      </c>
      <c r="BS105" s="367">
        <f>MAX(0,BS104)*$B$95</f>
        <v/>
      </c>
      <c r="BT105" s="367">
        <f>MAX(0,BT104)*$B$95</f>
        <v/>
      </c>
      <c r="BU105" s="367">
        <f>MAX(0,BU104)*$B$95</f>
        <v/>
      </c>
      <c r="BV105" s="367">
        <f>MAX(0,BV104)*$B$95</f>
        <v/>
      </c>
      <c r="BW105" s="367">
        <f>MAX(0,BW104)*$B$95</f>
        <v/>
      </c>
      <c r="BX105" s="367">
        <f>MAX(0,BX104)*$B$95</f>
        <v/>
      </c>
      <c r="BY105" s="367">
        <f>MAX(0,BY104)*$B$95</f>
        <v/>
      </c>
      <c r="BZ105" s="367">
        <f>MAX(0,BZ104)*$B$95</f>
        <v/>
      </c>
      <c r="CA105" s="367">
        <f>MAX(0,CA104)*$B$95</f>
        <v/>
      </c>
      <c r="CB105" s="367">
        <f>MAX(0,CB104)*$B$95</f>
        <v/>
      </c>
      <c r="CC105" s="367">
        <f>MAX(0,CC104)*$B$95</f>
        <v/>
      </c>
      <c r="CD105" s="367">
        <f>MAX(0,CD104)*$B$95</f>
        <v/>
      </c>
      <c r="CE105" s="367">
        <f>MAX(0,CE104)*$B$95</f>
        <v/>
      </c>
      <c r="CF105" s="367">
        <f>MAX(0,CF104)*$B$95</f>
        <v/>
      </c>
      <c r="CG105" s="367">
        <f>MAX(0,CG104)*$B$95</f>
        <v/>
      </c>
      <c r="CH105" s="367">
        <f>MAX(0,CH104)*$B$95</f>
        <v/>
      </c>
    </row>
    <row r="106" ht="15" customHeight="1" s="202">
      <c r="A106" s="364" t="inlineStr">
        <is>
          <t>NI After Bonus (to Six Peak)</t>
        </is>
      </c>
      <c r="B106" s="365">
        <f>SUM(C106:CH106)</f>
        <v/>
      </c>
      <c r="C106" s="367">
        <f>C104-C105</f>
        <v/>
      </c>
      <c r="D106" s="367">
        <f>D104-D105</f>
        <v/>
      </c>
      <c r="E106" s="367">
        <f>E104-E105</f>
        <v/>
      </c>
      <c r="F106" s="367">
        <f>F104-F105</f>
        <v/>
      </c>
      <c r="G106" s="367">
        <f>G104-G105</f>
        <v/>
      </c>
      <c r="H106" s="367">
        <f>H104-H105</f>
        <v/>
      </c>
      <c r="I106" s="367">
        <f>I104-I105</f>
        <v/>
      </c>
      <c r="J106" s="367">
        <f>J104-J105</f>
        <v/>
      </c>
      <c r="K106" s="367">
        <f>K104-K105</f>
        <v/>
      </c>
      <c r="L106" s="367">
        <f>L104-L105</f>
        <v/>
      </c>
      <c r="M106" s="367">
        <f>M104-M105</f>
        <v/>
      </c>
      <c r="N106" s="367">
        <f>N104-N105</f>
        <v/>
      </c>
      <c r="O106" s="367">
        <f>O104-O105</f>
        <v/>
      </c>
      <c r="P106" s="367">
        <f>P104-P105</f>
        <v/>
      </c>
      <c r="Q106" s="367">
        <f>Q104-Q105</f>
        <v/>
      </c>
      <c r="R106" s="367">
        <f>R104-R105</f>
        <v/>
      </c>
      <c r="S106" s="367">
        <f>S104-S105</f>
        <v/>
      </c>
      <c r="T106" s="367">
        <f>T104-T105</f>
        <v/>
      </c>
      <c r="U106" s="367">
        <f>U104-U105</f>
        <v/>
      </c>
      <c r="V106" s="367">
        <f>V104-V105</f>
        <v/>
      </c>
      <c r="W106" s="367">
        <f>W104-W105</f>
        <v/>
      </c>
      <c r="X106" s="367">
        <f>X104-X105</f>
        <v/>
      </c>
      <c r="Y106" s="367">
        <f>Y104-Y105</f>
        <v/>
      </c>
      <c r="Z106" s="367">
        <f>Z104-Z105</f>
        <v/>
      </c>
      <c r="AA106" s="367">
        <f>AA104-AA105</f>
        <v/>
      </c>
      <c r="AB106" s="367">
        <f>AB104-AB105</f>
        <v/>
      </c>
      <c r="AC106" s="367">
        <f>AC104-AC105</f>
        <v/>
      </c>
      <c r="AD106" s="367">
        <f>AD104-AD105</f>
        <v/>
      </c>
      <c r="AE106" s="367">
        <f>AE104-AE105</f>
        <v/>
      </c>
      <c r="AF106" s="367">
        <f>AF104-AF105</f>
        <v/>
      </c>
      <c r="AG106" s="367">
        <f>AG104-AG105</f>
        <v/>
      </c>
      <c r="AH106" s="367">
        <f>AH104-AH105</f>
        <v/>
      </c>
      <c r="AI106" s="367">
        <f>AI104-AI105</f>
        <v/>
      </c>
      <c r="AJ106" s="367">
        <f>AJ104-AJ105</f>
        <v/>
      </c>
      <c r="AK106" s="367">
        <f>AK104-AK105</f>
        <v/>
      </c>
      <c r="AL106" s="367">
        <f>AL104-AL105</f>
        <v/>
      </c>
      <c r="AM106" s="367">
        <f>AM104-AM105</f>
        <v/>
      </c>
      <c r="AN106" s="367">
        <f>AN104-AN105</f>
        <v/>
      </c>
      <c r="AO106" s="367">
        <f>AO104-AO105</f>
        <v/>
      </c>
      <c r="AP106" s="367">
        <f>AP104-AP105</f>
        <v/>
      </c>
      <c r="AQ106" s="367">
        <f>AQ104-AQ105</f>
        <v/>
      </c>
      <c r="AR106" s="367">
        <f>AR104-AR105</f>
        <v/>
      </c>
      <c r="AS106" s="367">
        <f>AS104-AS105</f>
        <v/>
      </c>
      <c r="AT106" s="367">
        <f>AT104-AT105</f>
        <v/>
      </c>
      <c r="AU106" s="367">
        <f>AU104-AU105</f>
        <v/>
      </c>
      <c r="AV106" s="367">
        <f>AV104-AV105</f>
        <v/>
      </c>
      <c r="AW106" s="367">
        <f>AW104-AW105</f>
        <v/>
      </c>
      <c r="AX106" s="367">
        <f>AX104-AX105</f>
        <v/>
      </c>
      <c r="AY106" s="367">
        <f>AY104-AY105</f>
        <v/>
      </c>
      <c r="AZ106" s="367">
        <f>AZ104-AZ105</f>
        <v/>
      </c>
      <c r="BA106" s="367">
        <f>BA104-BA105</f>
        <v/>
      </c>
      <c r="BB106" s="367">
        <f>BB104-BB105</f>
        <v/>
      </c>
      <c r="BC106" s="367">
        <f>BC104-BC105</f>
        <v/>
      </c>
      <c r="BD106" s="367">
        <f>BD104-BD105</f>
        <v/>
      </c>
      <c r="BE106" s="367">
        <f>BE104-BE105</f>
        <v/>
      </c>
      <c r="BF106" s="367">
        <f>BF104-BF105</f>
        <v/>
      </c>
      <c r="BG106" s="367">
        <f>BG104-BG105</f>
        <v/>
      </c>
      <c r="BH106" s="367">
        <f>BH104-BH105</f>
        <v/>
      </c>
      <c r="BI106" s="367">
        <f>BI104-BI105</f>
        <v/>
      </c>
      <c r="BJ106" s="367">
        <f>BJ104-BJ105</f>
        <v/>
      </c>
      <c r="BK106" s="367">
        <f>BK104-BK105</f>
        <v/>
      </c>
      <c r="BL106" s="367">
        <f>BL104-BL105</f>
        <v/>
      </c>
      <c r="BM106" s="367">
        <f>BM104-BM105</f>
        <v/>
      </c>
      <c r="BN106" s="367">
        <f>BN104-BN105</f>
        <v/>
      </c>
      <c r="BO106" s="367">
        <f>BO104-BO105</f>
        <v/>
      </c>
      <c r="BP106" s="367">
        <f>BP104-BP105</f>
        <v/>
      </c>
      <c r="BQ106" s="367">
        <f>BQ104-BQ105</f>
        <v/>
      </c>
      <c r="BR106" s="367">
        <f>BR104-BR105</f>
        <v/>
      </c>
      <c r="BS106" s="367">
        <f>BS104-BS105</f>
        <v/>
      </c>
      <c r="BT106" s="367">
        <f>BT104-BT105</f>
        <v/>
      </c>
      <c r="BU106" s="367">
        <f>BU104-BU105</f>
        <v/>
      </c>
      <c r="BV106" s="367">
        <f>BV104-BV105</f>
        <v/>
      </c>
      <c r="BW106" s="367">
        <f>BW104-BW105</f>
        <v/>
      </c>
      <c r="BX106" s="367">
        <f>BX104-BX105</f>
        <v/>
      </c>
      <c r="BY106" s="367">
        <f>BY104-BY105</f>
        <v/>
      </c>
      <c r="BZ106" s="367">
        <f>BZ104-BZ105</f>
        <v/>
      </c>
      <c r="CA106" s="367">
        <f>CA104-CA105</f>
        <v/>
      </c>
      <c r="CB106" s="367">
        <f>CB104-CB105</f>
        <v/>
      </c>
      <c r="CC106" s="367">
        <f>CC104-CC105</f>
        <v/>
      </c>
      <c r="CD106" s="367">
        <f>CD104-CD105</f>
        <v/>
      </c>
      <c r="CE106" s="367">
        <f>CE104-CE105</f>
        <v/>
      </c>
      <c r="CF106" s="367">
        <f>CF104-CF105</f>
        <v/>
      </c>
      <c r="CG106" s="367">
        <f>CG104-CG105</f>
        <v/>
      </c>
      <c r="CH106" s="367">
        <f>CH104-CH105</f>
        <v/>
      </c>
    </row>
    <row r="107" ht="15" customHeight="1" s="202">
      <c r="A107" s="364" t="inlineStr">
        <is>
          <t>Total to Six Peak</t>
        </is>
      </c>
      <c r="B107" s="365">
        <f>SUM(C107:CH107)</f>
        <v/>
      </c>
      <c r="C107" s="367">
        <f>C103+C106</f>
        <v/>
      </c>
      <c r="D107" s="367">
        <f>D103+D106</f>
        <v/>
      </c>
      <c r="E107" s="367">
        <f>E103+E106</f>
        <v/>
      </c>
      <c r="F107" s="367">
        <f>F103+F106</f>
        <v/>
      </c>
      <c r="G107" s="367">
        <f>G103+G106</f>
        <v/>
      </c>
      <c r="H107" s="367">
        <f>H103+H106</f>
        <v/>
      </c>
      <c r="I107" s="367">
        <f>I103+I106</f>
        <v/>
      </c>
      <c r="J107" s="367">
        <f>J103+J106</f>
        <v/>
      </c>
      <c r="K107" s="367">
        <f>K103+K106</f>
        <v/>
      </c>
      <c r="L107" s="367">
        <f>L103+L106</f>
        <v/>
      </c>
      <c r="M107" s="367">
        <f>M103+M106</f>
        <v/>
      </c>
      <c r="N107" s="367">
        <f>N103+N106</f>
        <v/>
      </c>
      <c r="O107" s="367">
        <f>O103+O106</f>
        <v/>
      </c>
      <c r="P107" s="367">
        <f>P103+P106</f>
        <v/>
      </c>
      <c r="Q107" s="367">
        <f>Q103+Q106</f>
        <v/>
      </c>
      <c r="R107" s="367">
        <f>R103+R106</f>
        <v/>
      </c>
      <c r="S107" s="367">
        <f>S103+S106</f>
        <v/>
      </c>
      <c r="T107" s="367">
        <f>T103+T106</f>
        <v/>
      </c>
      <c r="U107" s="367">
        <f>U103+U106</f>
        <v/>
      </c>
      <c r="V107" s="367">
        <f>V103+V106</f>
        <v/>
      </c>
      <c r="W107" s="367">
        <f>W103+W106</f>
        <v/>
      </c>
      <c r="X107" s="367">
        <f>X103+X106</f>
        <v/>
      </c>
      <c r="Y107" s="367">
        <f>Y103+Y106</f>
        <v/>
      </c>
      <c r="Z107" s="367">
        <f>Z103+Z106</f>
        <v/>
      </c>
      <c r="AA107" s="367">
        <f>AA103+AA106</f>
        <v/>
      </c>
      <c r="AB107" s="367">
        <f>AB103+AB106</f>
        <v/>
      </c>
      <c r="AC107" s="367">
        <f>AC103+AC106</f>
        <v/>
      </c>
      <c r="AD107" s="367">
        <f>AD103+AD106</f>
        <v/>
      </c>
      <c r="AE107" s="367">
        <f>AE103+AE106</f>
        <v/>
      </c>
      <c r="AF107" s="367">
        <f>AF103+AF106</f>
        <v/>
      </c>
      <c r="AG107" s="367">
        <f>AG103+AG106</f>
        <v/>
      </c>
      <c r="AH107" s="367">
        <f>AH103+AH106</f>
        <v/>
      </c>
      <c r="AI107" s="367">
        <f>AI103+AI106</f>
        <v/>
      </c>
      <c r="AJ107" s="367">
        <f>AJ103+AJ106</f>
        <v/>
      </c>
      <c r="AK107" s="367">
        <f>AK103+AK106</f>
        <v/>
      </c>
      <c r="AL107" s="367">
        <f>AL103+AL106</f>
        <v/>
      </c>
      <c r="AM107" s="367">
        <f>AM103+AM106</f>
        <v/>
      </c>
      <c r="AN107" s="367">
        <f>AN103+AN106</f>
        <v/>
      </c>
      <c r="AO107" s="367">
        <f>AO103+AO106</f>
        <v/>
      </c>
      <c r="AP107" s="367">
        <f>AP103+AP106</f>
        <v/>
      </c>
      <c r="AQ107" s="367">
        <f>AQ103+AQ106</f>
        <v/>
      </c>
      <c r="AR107" s="367">
        <f>AR103+AR106</f>
        <v/>
      </c>
      <c r="AS107" s="367">
        <f>AS103+AS106</f>
        <v/>
      </c>
      <c r="AT107" s="367">
        <f>AT103+AT106</f>
        <v/>
      </c>
      <c r="AU107" s="367">
        <f>AU103+AU106</f>
        <v/>
      </c>
      <c r="AV107" s="367">
        <f>AV103+AV106</f>
        <v/>
      </c>
      <c r="AW107" s="367">
        <f>AW103+AW106</f>
        <v/>
      </c>
      <c r="AX107" s="367">
        <f>AX103+AX106</f>
        <v/>
      </c>
      <c r="AY107" s="367">
        <f>AY103+AY106</f>
        <v/>
      </c>
      <c r="AZ107" s="367">
        <f>AZ103+AZ106</f>
        <v/>
      </c>
      <c r="BA107" s="367">
        <f>BA103+BA106</f>
        <v/>
      </c>
      <c r="BB107" s="367">
        <f>BB103+BB106</f>
        <v/>
      </c>
      <c r="BC107" s="367">
        <f>BC103+BC106</f>
        <v/>
      </c>
      <c r="BD107" s="367">
        <f>BD103+BD106</f>
        <v/>
      </c>
      <c r="BE107" s="367">
        <f>BE103+BE106</f>
        <v/>
      </c>
      <c r="BF107" s="367">
        <f>BF103+BF106</f>
        <v/>
      </c>
      <c r="BG107" s="367">
        <f>BG103+BG106</f>
        <v/>
      </c>
      <c r="BH107" s="367">
        <f>BH103+BH106</f>
        <v/>
      </c>
      <c r="BI107" s="367">
        <f>BI103+BI106</f>
        <v/>
      </c>
      <c r="BJ107" s="367">
        <f>BJ103+BJ106</f>
        <v/>
      </c>
      <c r="BK107" s="367">
        <f>BK103+BK106</f>
        <v/>
      </c>
      <c r="BL107" s="367">
        <f>BL103+BL106</f>
        <v/>
      </c>
      <c r="BM107" s="367">
        <f>BM103+BM106</f>
        <v/>
      </c>
      <c r="BN107" s="367">
        <f>BN103+BN106</f>
        <v/>
      </c>
      <c r="BO107" s="367">
        <f>BO103+BO106</f>
        <v/>
      </c>
      <c r="BP107" s="367">
        <f>BP103+BP106</f>
        <v/>
      </c>
      <c r="BQ107" s="367">
        <f>BQ103+BQ106</f>
        <v/>
      </c>
      <c r="BR107" s="367">
        <f>BR103+BR106</f>
        <v/>
      </c>
      <c r="BS107" s="367">
        <f>BS103+BS106</f>
        <v/>
      </c>
      <c r="BT107" s="367">
        <f>BT103+BT106</f>
        <v/>
      </c>
      <c r="BU107" s="367">
        <f>BU103+BU106</f>
        <v/>
      </c>
      <c r="BV107" s="367">
        <f>BV103+BV106</f>
        <v/>
      </c>
      <c r="BW107" s="367">
        <f>BW103+BW106</f>
        <v/>
      </c>
      <c r="BX107" s="367">
        <f>BX103+BX106</f>
        <v/>
      </c>
      <c r="BY107" s="367">
        <f>BY103+BY106</f>
        <v/>
      </c>
      <c r="BZ107" s="367">
        <f>BZ103+BZ106</f>
        <v/>
      </c>
      <c r="CA107" s="367">
        <f>CA103+CA106</f>
        <v/>
      </c>
      <c r="CB107" s="367">
        <f>CB103+CB106</f>
        <v/>
      </c>
      <c r="CC107" s="367">
        <f>CC103+CC106</f>
        <v/>
      </c>
      <c r="CD107" s="367">
        <f>CD103+CD106</f>
        <v/>
      </c>
      <c r="CE107" s="367">
        <f>CE103+CE106</f>
        <v/>
      </c>
      <c r="CF107" s="367">
        <f>CF103+CF106</f>
        <v/>
      </c>
      <c r="CG107" s="367">
        <f>CG103+CG106</f>
        <v/>
      </c>
      <c r="CH107" s="367">
        <f>CH103+CH106</f>
        <v/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0" customWidth="1" style="201" min="1" max="1"/>
    <col width="16" customWidth="1" style="201" min="2" max="4"/>
    <col width="12" customWidth="1" style="201" min="5" max="86"/>
  </cols>
  <sheetData>
    <row r="1" ht="15.75" customHeight="1" s="202">
      <c r="A1" s="368" t="inlineStr">
        <is>
          <t>Project P&amp;L — Development Fee Income</t>
        </is>
      </c>
      <c r="B1" s="311" t="n"/>
      <c r="C1" s="311" t="n"/>
      <c r="D1" s="311" t="n"/>
      <c r="E1" s="311" t="n"/>
      <c r="F1" s="311" t="n"/>
      <c r="G1" s="311" t="n"/>
      <c r="H1" s="311" t="n"/>
      <c r="I1" s="311" t="n"/>
      <c r="J1" s="311" t="n"/>
      <c r="K1" s="311" t="n"/>
      <c r="L1" s="311" t="n"/>
      <c r="M1" s="311" t="n"/>
      <c r="N1" s="311" t="n"/>
      <c r="O1" s="311" t="n"/>
      <c r="P1" s="311" t="n"/>
      <c r="Q1" s="311" t="n"/>
      <c r="R1" s="311" t="n"/>
      <c r="S1" s="311" t="n"/>
      <c r="T1" s="311" t="n"/>
      <c r="U1" s="311" t="n"/>
      <c r="V1" s="311" t="n"/>
      <c r="W1" s="311" t="n"/>
      <c r="X1" s="311" t="n"/>
      <c r="Y1" s="311" t="n"/>
      <c r="Z1" s="311" t="n"/>
      <c r="AA1" s="311" t="n"/>
      <c r="AB1" s="311" t="n"/>
      <c r="AC1" s="311" t="n"/>
      <c r="AD1" s="311" t="n"/>
      <c r="AE1" s="311" t="n"/>
      <c r="AF1" s="311" t="n"/>
      <c r="AG1" s="311" t="n"/>
      <c r="AH1" s="311" t="n"/>
      <c r="AI1" s="311" t="n"/>
      <c r="AJ1" s="311" t="n"/>
      <c r="AK1" s="311" t="n"/>
      <c r="AL1" s="311" t="n"/>
      <c r="AM1" s="311" t="n"/>
      <c r="AN1" s="311" t="n"/>
      <c r="AO1" s="311" t="n"/>
      <c r="AP1" s="311" t="n"/>
      <c r="AQ1" s="311" t="n"/>
      <c r="AR1" s="311" t="n"/>
      <c r="AS1" s="311" t="n"/>
      <c r="AT1" s="311" t="n"/>
      <c r="AU1" s="311" t="n"/>
      <c r="AV1" s="311" t="n"/>
      <c r="AW1" s="311" t="n"/>
      <c r="AX1" s="311" t="n"/>
      <c r="AY1" s="311" t="n"/>
      <c r="AZ1" s="311" t="n"/>
      <c r="BA1" s="311" t="n"/>
      <c r="BB1" s="311" t="n"/>
      <c r="BC1" s="311" t="n"/>
      <c r="BD1" s="311" t="n"/>
      <c r="BE1" s="311" t="n"/>
      <c r="BF1" s="311" t="n"/>
      <c r="BG1" s="311" t="n"/>
      <c r="BH1" s="311" t="n"/>
      <c r="BI1" s="311" t="n"/>
      <c r="BJ1" s="311" t="n"/>
      <c r="BK1" s="311" t="n"/>
      <c r="BL1" s="311" t="n"/>
      <c r="BM1" s="311" t="n"/>
      <c r="BN1" s="311" t="n"/>
      <c r="BO1" s="311" t="n"/>
      <c r="BP1" s="311" t="n"/>
      <c r="BQ1" s="311" t="n"/>
      <c r="BR1" s="311" t="n"/>
      <c r="BS1" s="311" t="n"/>
      <c r="BT1" s="311" t="n"/>
      <c r="BU1" s="311" t="n"/>
      <c r="BV1" s="311" t="n"/>
      <c r="BW1" s="311" t="n"/>
      <c r="BX1" s="311" t="n"/>
      <c r="BY1" s="311" t="n"/>
      <c r="BZ1" s="311" t="n"/>
      <c r="CA1" s="311" t="n"/>
      <c r="CB1" s="311" t="n"/>
      <c r="CC1" s="311" t="n"/>
      <c r="CD1" s="311" t="n"/>
      <c r="CE1" s="311" t="n"/>
      <c r="CF1" s="311" t="n"/>
      <c r="CG1" s="311" t="n"/>
      <c r="CH1" s="311" t="n"/>
    </row>
    <row r="2" ht="15" customHeight="1" s="202">
      <c r="A2" s="311" t="n"/>
      <c r="B2" s="311" t="n"/>
      <c r="C2" s="369" t="n"/>
      <c r="D2" s="369" t="n"/>
      <c r="E2" s="369" t="n"/>
      <c r="F2" s="369" t="n"/>
      <c r="G2" s="369" t="n"/>
      <c r="H2" s="369" t="n"/>
      <c r="I2" s="369" t="n"/>
      <c r="J2" s="369" t="n"/>
      <c r="K2" s="369" t="n"/>
      <c r="L2" s="369" t="n"/>
      <c r="M2" s="369" t="n"/>
      <c r="N2" s="369" t="n"/>
      <c r="O2" s="369" t="n"/>
      <c r="P2" s="369" t="n"/>
      <c r="Q2" s="369" t="n"/>
      <c r="R2" s="369" t="n"/>
      <c r="S2" s="369" t="n"/>
      <c r="T2" s="369" t="n"/>
      <c r="U2" s="369" t="n"/>
      <c r="V2" s="369" t="n"/>
      <c r="W2" s="369" t="n"/>
      <c r="X2" s="369" t="n"/>
      <c r="Y2" s="369" t="n"/>
      <c r="Z2" s="369" t="n"/>
      <c r="AA2" s="369" t="n"/>
      <c r="AB2" s="369" t="n"/>
      <c r="AC2" s="369" t="n"/>
      <c r="AD2" s="369" t="n"/>
      <c r="AE2" s="369" t="n"/>
      <c r="AF2" s="369" t="n"/>
      <c r="AG2" s="369" t="n"/>
      <c r="AH2" s="369" t="n"/>
      <c r="AI2" s="369" t="n"/>
      <c r="AJ2" s="369" t="n"/>
      <c r="AK2" s="369" t="n"/>
      <c r="AL2" s="369" t="n"/>
      <c r="AM2" s="369" t="n"/>
      <c r="AN2" s="369" t="n"/>
      <c r="AO2" s="369" t="n"/>
      <c r="AP2" s="369" t="n"/>
      <c r="AQ2" s="369" t="n"/>
      <c r="AR2" s="369" t="n"/>
      <c r="AS2" s="369" t="n"/>
      <c r="AT2" s="369" t="n"/>
      <c r="AU2" s="369" t="n"/>
      <c r="AV2" s="369" t="n"/>
      <c r="AW2" s="369" t="n"/>
      <c r="AX2" s="369" t="n"/>
      <c r="AY2" s="369" t="n"/>
      <c r="AZ2" s="369" t="n"/>
      <c r="BA2" s="369" t="n"/>
      <c r="BB2" s="369" t="n"/>
      <c r="BC2" s="369" t="n"/>
      <c r="BD2" s="369" t="n"/>
      <c r="BE2" s="369" t="n"/>
      <c r="BF2" s="369" t="n"/>
      <c r="BG2" s="369" t="n"/>
      <c r="BH2" s="369" t="n"/>
      <c r="BI2" s="369" t="n"/>
      <c r="BJ2" s="369" t="n"/>
      <c r="BK2" s="369" t="n"/>
      <c r="BL2" s="369" t="n"/>
      <c r="BM2" s="369" t="n"/>
      <c r="BN2" s="369" t="n"/>
      <c r="BO2" s="369" t="n"/>
      <c r="BP2" s="369" t="n"/>
      <c r="BQ2" s="369" t="n"/>
      <c r="BR2" s="369" t="n"/>
      <c r="BS2" s="369" t="n"/>
      <c r="BT2" s="369" t="n"/>
      <c r="BU2" s="369" t="n"/>
      <c r="BV2" s="369" t="n"/>
      <c r="BW2" s="369" t="n"/>
      <c r="BX2" s="369" t="n"/>
      <c r="BY2" s="369" t="n"/>
      <c r="BZ2" s="369" t="n"/>
      <c r="CA2" s="369" t="n"/>
      <c r="CB2" s="369" t="n"/>
      <c r="CC2" s="369" t="n"/>
      <c r="CD2" s="369" t="n"/>
      <c r="CE2" s="369" t="n"/>
      <c r="CF2" s="369" t="n"/>
      <c r="CG2" s="369" t="n"/>
      <c r="CH2" s="369" t="n"/>
    </row>
    <row r="3" ht="15" customHeight="1" s="202">
      <c r="A3" s="370" t="n"/>
      <c r="B3" s="371" t="inlineStr">
        <is>
          <t>In-Model</t>
        </is>
      </c>
      <c r="C3" s="371" t="inlineStr">
        <is>
          <t>Post-Model</t>
        </is>
      </c>
      <c r="D3" s="371" t="inlineStr">
        <is>
          <t>Lifetime Total</t>
        </is>
      </c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1" t="n"/>
      <c r="O3" s="311" t="n"/>
      <c r="P3" s="311" t="n"/>
      <c r="Q3" s="311" t="n"/>
      <c r="R3" s="311" t="n"/>
      <c r="S3" s="311" t="n"/>
      <c r="T3" s="311" t="n"/>
      <c r="U3" s="311" t="n"/>
      <c r="V3" s="311" t="n"/>
      <c r="W3" s="311" t="n"/>
      <c r="X3" s="311" t="n"/>
      <c r="Y3" s="311" t="n"/>
      <c r="Z3" s="311" t="n"/>
      <c r="AA3" s="311" t="n"/>
      <c r="AB3" s="311" t="n"/>
      <c r="AC3" s="311" t="n"/>
      <c r="AD3" s="311" t="n"/>
      <c r="AE3" s="311" t="n"/>
      <c r="AF3" s="311" t="n"/>
      <c r="AG3" s="311" t="n"/>
      <c r="AH3" s="311" t="n"/>
      <c r="AI3" s="311" t="n"/>
      <c r="AJ3" s="311" t="n"/>
      <c r="AK3" s="311" t="n"/>
      <c r="AL3" s="311" t="n"/>
      <c r="AM3" s="311" t="n"/>
      <c r="AN3" s="311" t="n"/>
      <c r="AO3" s="311" t="n"/>
      <c r="AP3" s="311" t="n"/>
      <c r="AQ3" s="311" t="n"/>
      <c r="AR3" s="311" t="n"/>
      <c r="AS3" s="311" t="n"/>
      <c r="AT3" s="311" t="n"/>
      <c r="AU3" s="311" t="n"/>
      <c r="AV3" s="311" t="n"/>
      <c r="AW3" s="311" t="n"/>
      <c r="AX3" s="311" t="n"/>
      <c r="AY3" s="311" t="n"/>
      <c r="AZ3" s="311" t="n"/>
      <c r="BA3" s="311" t="n"/>
      <c r="BB3" s="311" t="n"/>
      <c r="BC3" s="311" t="n"/>
      <c r="BD3" s="311" t="n"/>
      <c r="BE3" s="311" t="n"/>
      <c r="BF3" s="311" t="n"/>
      <c r="BG3" s="311" t="n"/>
      <c r="BH3" s="311" t="n"/>
      <c r="BI3" s="311" t="n"/>
      <c r="BJ3" s="311" t="n"/>
      <c r="BK3" s="311" t="n"/>
      <c r="BL3" s="311" t="n"/>
      <c r="BM3" s="311" t="n"/>
      <c r="BN3" s="311" t="n"/>
      <c r="BO3" s="311" t="n"/>
      <c r="BP3" s="311" t="n"/>
      <c r="BQ3" s="311" t="n"/>
      <c r="BR3" s="311" t="n"/>
      <c r="BS3" s="311" t="n"/>
      <c r="BT3" s="311" t="n"/>
      <c r="BU3" s="311" t="n"/>
      <c r="BV3" s="311" t="n"/>
      <c r="BW3" s="311" t="n"/>
      <c r="BX3" s="311" t="n"/>
      <c r="BY3" s="311" t="n"/>
      <c r="BZ3" s="311" t="n"/>
      <c r="CA3" s="311" t="n"/>
      <c r="CB3" s="311" t="n"/>
      <c r="CC3" s="311" t="n"/>
      <c r="CD3" s="311" t="n"/>
      <c r="CE3" s="311" t="n"/>
      <c r="CF3" s="311" t="n"/>
      <c r="CG3" s="311" t="n"/>
      <c r="CH3" s="311" t="n"/>
    </row>
    <row r="4" ht="15" customHeight="1" s="202">
      <c r="A4" s="311" t="n"/>
      <c r="B4" s="266" t="n"/>
      <c r="C4" s="266" t="n"/>
      <c r="D4" s="266" t="n"/>
      <c r="E4" s="311" t="n"/>
      <c r="F4" s="311" t="n"/>
      <c r="G4" s="311" t="n"/>
      <c r="H4" s="311" t="n"/>
      <c r="I4" s="311" t="n"/>
      <c r="J4" s="311" t="n"/>
      <c r="K4" s="311" t="n"/>
      <c r="L4" s="311" t="n"/>
      <c r="M4" s="311" t="n"/>
      <c r="N4" s="311" t="n"/>
      <c r="O4" s="311" t="n"/>
      <c r="P4" s="311" t="n"/>
      <c r="Q4" s="311" t="n"/>
      <c r="R4" s="311" t="n"/>
      <c r="S4" s="311" t="n"/>
      <c r="T4" s="311" t="n"/>
      <c r="U4" s="311" t="n"/>
      <c r="V4" s="311" t="n"/>
      <c r="W4" s="311" t="n"/>
      <c r="X4" s="311" t="n"/>
      <c r="Y4" s="311" t="n"/>
      <c r="Z4" s="311" t="n"/>
      <c r="AA4" s="311" t="n"/>
      <c r="AB4" s="311" t="n"/>
      <c r="AC4" s="311" t="n"/>
      <c r="AD4" s="311" t="n"/>
      <c r="AE4" s="311" t="n"/>
      <c r="AF4" s="311" t="n"/>
      <c r="AG4" s="311" t="n"/>
      <c r="AH4" s="311" t="n"/>
      <c r="AI4" s="311" t="n"/>
      <c r="AJ4" s="311" t="n"/>
      <c r="AK4" s="311" t="n"/>
      <c r="AL4" s="311" t="n"/>
      <c r="AM4" s="311" t="n"/>
      <c r="AN4" s="311" t="n"/>
      <c r="AO4" s="311" t="n"/>
      <c r="AP4" s="311" t="n"/>
      <c r="AQ4" s="311" t="n"/>
      <c r="AR4" s="311" t="n"/>
      <c r="AS4" s="311" t="n"/>
      <c r="AT4" s="311" t="n"/>
      <c r="AU4" s="311" t="n"/>
      <c r="AV4" s="311" t="n"/>
      <c r="AW4" s="311" t="n"/>
      <c r="AX4" s="311" t="n"/>
      <c r="AY4" s="311" t="n"/>
      <c r="AZ4" s="311" t="n"/>
      <c r="BA4" s="311" t="n"/>
      <c r="BB4" s="311" t="n"/>
      <c r="BC4" s="311" t="n"/>
      <c r="BD4" s="311" t="n"/>
      <c r="BE4" s="311" t="n"/>
      <c r="BF4" s="311" t="n"/>
      <c r="BG4" s="311" t="n"/>
      <c r="BH4" s="311" t="n"/>
      <c r="BI4" s="311" t="n"/>
      <c r="BJ4" s="311" t="n"/>
      <c r="BK4" s="311" t="n"/>
      <c r="BL4" s="311" t="n"/>
      <c r="BM4" s="311" t="n"/>
      <c r="BN4" s="311" t="n"/>
      <c r="BO4" s="311" t="n"/>
      <c r="BP4" s="311" t="n"/>
      <c r="BQ4" s="311" t="n"/>
      <c r="BR4" s="311" t="n"/>
      <c r="BS4" s="311" t="n"/>
      <c r="BT4" s="311" t="n"/>
      <c r="BU4" s="311" t="n"/>
      <c r="BV4" s="311" t="n"/>
      <c r="BW4" s="311" t="n"/>
      <c r="BX4" s="311" t="n"/>
      <c r="BY4" s="311" t="n"/>
      <c r="BZ4" s="311" t="n"/>
      <c r="CA4" s="311" t="n"/>
      <c r="CB4" s="311" t="n"/>
      <c r="CC4" s="311" t="n"/>
      <c r="CD4" s="311" t="n"/>
      <c r="CE4" s="311" t="n"/>
      <c r="CF4" s="311" t="n"/>
      <c r="CG4" s="311" t="n"/>
      <c r="CH4" s="311" t="n"/>
    </row>
    <row r="5" ht="15" customHeight="1" s="202">
      <c r="A5" s="372" t="inlineStr">
        <is>
          <t>Francis</t>
        </is>
      </c>
      <c r="B5" s="373" t="n"/>
      <c r="C5" s="373" t="n"/>
      <c r="D5" s="373" t="n"/>
      <c r="E5" s="266" t="n"/>
      <c r="F5" s="266" t="n"/>
      <c r="G5" s="266" t="n"/>
      <c r="H5" s="266" t="n"/>
      <c r="I5" s="266" t="n"/>
      <c r="J5" s="266" t="n"/>
      <c r="K5" s="266" t="n"/>
      <c r="L5" s="266" t="n"/>
      <c r="M5" s="266" t="n"/>
      <c r="N5" s="266" t="n"/>
      <c r="O5" s="266" t="n"/>
      <c r="P5" s="266" t="n"/>
      <c r="Q5" s="266" t="n"/>
      <c r="R5" s="266" t="n"/>
      <c r="S5" s="266" t="n"/>
      <c r="T5" s="266" t="n"/>
      <c r="U5" s="266" t="n"/>
      <c r="V5" s="266" t="n"/>
      <c r="W5" s="266" t="n"/>
      <c r="X5" s="266" t="n"/>
      <c r="Y5" s="266" t="n"/>
      <c r="Z5" s="266" t="n"/>
      <c r="AA5" s="266" t="n"/>
      <c r="AB5" s="266" t="n"/>
      <c r="AC5" s="266" t="n"/>
      <c r="AD5" s="266" t="n"/>
      <c r="AE5" s="266" t="n"/>
      <c r="AF5" s="266" t="n"/>
      <c r="AG5" s="266" t="n"/>
      <c r="AH5" s="266" t="n"/>
      <c r="AI5" s="266" t="n"/>
      <c r="AJ5" s="266" t="n"/>
      <c r="AK5" s="266" t="n"/>
      <c r="AL5" s="266" t="n"/>
      <c r="AM5" s="266" t="n"/>
      <c r="AN5" s="266" t="n"/>
      <c r="AO5" s="266" t="n"/>
      <c r="AP5" s="266" t="n"/>
      <c r="AQ5" s="266" t="n"/>
      <c r="AR5" s="266" t="n"/>
      <c r="AS5" s="266" t="n"/>
      <c r="AT5" s="266" t="n"/>
      <c r="AU5" s="266" t="n"/>
      <c r="AV5" s="266" t="n"/>
      <c r="AW5" s="266" t="n"/>
      <c r="AX5" s="266" t="n"/>
      <c r="AY5" s="266" t="n"/>
      <c r="AZ5" s="266" t="n"/>
      <c r="BA5" s="266" t="n"/>
      <c r="BB5" s="266" t="n"/>
      <c r="BC5" s="266" t="n"/>
      <c r="BD5" s="266" t="n"/>
      <c r="BE5" s="266" t="n"/>
      <c r="BF5" s="266" t="n"/>
      <c r="BG5" s="266" t="n"/>
      <c r="BH5" s="266" t="n"/>
      <c r="BI5" s="266" t="n"/>
      <c r="BJ5" s="266" t="n"/>
      <c r="BK5" s="266" t="n"/>
      <c r="BL5" s="266" t="n"/>
      <c r="BM5" s="266" t="n"/>
      <c r="BN5" s="266" t="n"/>
      <c r="BO5" s="266" t="n"/>
      <c r="BP5" s="266" t="n"/>
      <c r="BQ5" s="266" t="n"/>
      <c r="BR5" s="266" t="n"/>
      <c r="BS5" s="266" t="n"/>
      <c r="BT5" s="266" t="n"/>
      <c r="BU5" s="266" t="n"/>
      <c r="BV5" s="266" t="n"/>
      <c r="BW5" s="266" t="n"/>
      <c r="BX5" s="266" t="n"/>
      <c r="BY5" s="266" t="n"/>
      <c r="BZ5" s="266" t="n"/>
      <c r="CA5" s="266" t="n"/>
      <c r="CB5" s="266" t="n"/>
      <c r="CC5" s="266" t="n"/>
      <c r="CD5" s="266" t="n"/>
      <c r="CE5" s="266" t="n"/>
      <c r="CF5" s="266" t="n"/>
      <c r="CG5" s="266" t="n"/>
      <c r="CH5" s="266" t="n"/>
    </row>
    <row r="6" ht="15" customHeight="1" s="202">
      <c r="A6" s="374" t="inlineStr">
        <is>
          <t>LIHTC Revenue</t>
        </is>
      </c>
      <c r="B6" s="375">
        <f>SUM(Model!C59:CH59)</f>
        <v/>
      </c>
      <c r="C6" s="375">
        <f>Helpers!B47</f>
        <v/>
      </c>
      <c r="D6" s="375">
        <f>B6+C6</f>
        <v/>
      </c>
      <c r="E6" s="266" t="n"/>
      <c r="F6" s="266" t="n"/>
      <c r="G6" s="266" t="n"/>
      <c r="H6" s="266" t="n"/>
      <c r="I6" s="266" t="n"/>
      <c r="J6" s="266" t="n"/>
      <c r="K6" s="266" t="n"/>
      <c r="L6" s="266" t="n"/>
      <c r="M6" s="266" t="n"/>
      <c r="N6" s="266" t="n"/>
      <c r="O6" s="266" t="n"/>
      <c r="P6" s="266" t="n"/>
      <c r="Q6" s="266" t="n"/>
      <c r="R6" s="266" t="n"/>
      <c r="S6" s="266" t="n"/>
      <c r="T6" s="266" t="n"/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266" t="n"/>
      <c r="AD6" s="266" t="n"/>
      <c r="AE6" s="266" t="n"/>
      <c r="AF6" s="266" t="n"/>
      <c r="AG6" s="266" t="n"/>
      <c r="AH6" s="266" t="n"/>
      <c r="AI6" s="266" t="n"/>
      <c r="AJ6" s="266" t="n"/>
      <c r="AK6" s="266" t="n"/>
      <c r="AL6" s="266" t="n"/>
      <c r="AM6" s="266" t="n"/>
      <c r="AN6" s="266" t="n"/>
      <c r="AO6" s="266" t="n"/>
      <c r="AP6" s="266" t="n"/>
      <c r="AQ6" s="266" t="n"/>
      <c r="AR6" s="266" t="n"/>
      <c r="AS6" s="266" t="n"/>
      <c r="AT6" s="266" t="n"/>
      <c r="AU6" s="266" t="n"/>
      <c r="AV6" s="266" t="n"/>
      <c r="AW6" s="266" t="n"/>
      <c r="AX6" s="266" t="n"/>
      <c r="AY6" s="266" t="n"/>
      <c r="AZ6" s="266" t="n"/>
      <c r="BA6" s="266" t="n"/>
      <c r="BB6" s="266" t="n"/>
      <c r="BC6" s="266" t="n"/>
      <c r="BD6" s="266" t="n"/>
      <c r="BE6" s="266" t="n"/>
      <c r="BF6" s="266" t="n"/>
      <c r="BG6" s="266" t="n"/>
      <c r="BH6" s="266" t="n"/>
      <c r="BI6" s="266" t="n"/>
      <c r="BJ6" s="266" t="n"/>
      <c r="BK6" s="266" t="n"/>
      <c r="BL6" s="266" t="n"/>
      <c r="BM6" s="266" t="n"/>
      <c r="BN6" s="266" t="n"/>
      <c r="BO6" s="266" t="n"/>
      <c r="BP6" s="266" t="n"/>
      <c r="BQ6" s="266" t="n"/>
      <c r="BR6" s="266" t="n"/>
      <c r="BS6" s="266" t="n"/>
      <c r="BT6" s="266" t="n"/>
      <c r="BU6" s="266" t="n"/>
      <c r="BV6" s="266" t="n"/>
      <c r="BW6" s="266" t="n"/>
      <c r="BX6" s="266" t="n"/>
      <c r="BY6" s="266" t="n"/>
      <c r="BZ6" s="266" t="n"/>
      <c r="CA6" s="266" t="n"/>
      <c r="CB6" s="266" t="n"/>
      <c r="CC6" s="266" t="n"/>
      <c r="CD6" s="266" t="n"/>
      <c r="CE6" s="266" t="n"/>
      <c r="CF6" s="266" t="n"/>
      <c r="CG6" s="266" t="n"/>
      <c r="CH6" s="266" t="n"/>
    </row>
    <row r="7" ht="15" customHeight="1" s="202">
      <c r="A7" s="311" t="inlineStr">
        <is>
          <t>GMP Fee (1%)</t>
        </is>
      </c>
      <c r="B7" s="266">
        <f>-Projects!$B$7*Assumptions!$B$47</f>
        <v/>
      </c>
      <c r="C7" s="266" t="n">
        <v>0</v>
      </c>
      <c r="D7" s="266">
        <f>B7+C7</f>
        <v/>
      </c>
      <c r="E7" s="266" t="n"/>
      <c r="F7" s="266" t="n"/>
      <c r="G7" s="266" t="n"/>
      <c r="H7" s="266" t="n"/>
      <c r="I7" s="266" t="n"/>
      <c r="J7" s="266" t="n"/>
      <c r="K7" s="266" t="n"/>
      <c r="L7" s="266" t="n"/>
      <c r="M7" s="266" t="n"/>
      <c r="N7" s="266" t="n"/>
      <c r="O7" s="266" t="n"/>
      <c r="P7" s="266" t="n"/>
      <c r="Q7" s="266" t="n"/>
      <c r="R7" s="266" t="n"/>
      <c r="S7" s="266" t="n"/>
      <c r="T7" s="266" t="n"/>
      <c r="U7" s="266" t="n"/>
      <c r="V7" s="266" t="n"/>
      <c r="W7" s="266" t="n"/>
      <c r="X7" s="266" t="n"/>
      <c r="Y7" s="266" t="n"/>
      <c r="Z7" s="266" t="n"/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  <c r="AM7" s="266" t="n"/>
      <c r="AN7" s="266" t="n"/>
      <c r="AO7" s="266" t="n"/>
      <c r="AP7" s="266" t="n"/>
      <c r="AQ7" s="266" t="n"/>
      <c r="AR7" s="266" t="n"/>
      <c r="AS7" s="266" t="n"/>
      <c r="AT7" s="266" t="n"/>
      <c r="AU7" s="266" t="n"/>
      <c r="AV7" s="266" t="n"/>
      <c r="AW7" s="266" t="n"/>
      <c r="AX7" s="266" t="n"/>
      <c r="AY7" s="266" t="n"/>
      <c r="AZ7" s="266" t="n"/>
      <c r="BA7" s="266" t="n"/>
      <c r="BB7" s="266" t="n"/>
      <c r="BC7" s="266" t="n"/>
      <c r="BD7" s="266" t="n"/>
      <c r="BE7" s="266" t="n"/>
      <c r="BF7" s="266" t="n"/>
      <c r="BG7" s="266" t="n"/>
      <c r="BH7" s="266" t="n"/>
      <c r="BI7" s="266" t="n"/>
      <c r="BJ7" s="266" t="n"/>
      <c r="BK7" s="266" t="n"/>
      <c r="BL7" s="266" t="n"/>
      <c r="BM7" s="266" t="n"/>
      <c r="BN7" s="266" t="n"/>
      <c r="BO7" s="266" t="n"/>
      <c r="BP7" s="266" t="n"/>
      <c r="BQ7" s="266" t="n"/>
      <c r="BR7" s="266" t="n"/>
      <c r="BS7" s="266" t="n"/>
      <c r="BT7" s="266" t="n"/>
      <c r="BU7" s="266" t="n"/>
      <c r="BV7" s="266" t="n"/>
      <c r="BW7" s="266" t="n"/>
      <c r="BX7" s="266" t="n"/>
      <c r="BY7" s="266" t="n"/>
      <c r="BZ7" s="266" t="n"/>
      <c r="CA7" s="266" t="n"/>
      <c r="CB7" s="266" t="n"/>
      <c r="CC7" s="266" t="n"/>
      <c r="CD7" s="266" t="n"/>
      <c r="CE7" s="266" t="n"/>
      <c r="CF7" s="266" t="n"/>
      <c r="CG7" s="266" t="n"/>
      <c r="CH7" s="266" t="n"/>
    </row>
    <row r="8" ht="15" customHeight="1" s="202">
      <c r="A8" s="374" t="inlineStr">
        <is>
          <t>Liquidity Guarantee Fee (3%)</t>
        </is>
      </c>
      <c r="B8" s="375">
        <f>-Assumptions!$B$53*Assumptions!$B$48</f>
        <v/>
      </c>
      <c r="C8" s="375" t="n">
        <v>0</v>
      </c>
      <c r="D8" s="375">
        <f>B8+C8</f>
        <v/>
      </c>
      <c r="E8" s="311" t="n"/>
      <c r="F8" s="311" t="n"/>
      <c r="G8" s="311" t="n"/>
      <c r="H8" s="311" t="n"/>
      <c r="I8" s="311" t="n"/>
      <c r="J8" s="311" t="n"/>
      <c r="K8" s="311" t="n"/>
      <c r="L8" s="311" t="n"/>
      <c r="M8" s="311" t="n"/>
      <c r="N8" s="311" t="n"/>
      <c r="O8" s="311" t="n"/>
      <c r="P8" s="311" t="n"/>
      <c r="Q8" s="311" t="n"/>
      <c r="R8" s="311" t="n"/>
      <c r="S8" s="311" t="n"/>
      <c r="T8" s="311" t="n"/>
      <c r="U8" s="311" t="n"/>
      <c r="V8" s="311" t="n"/>
      <c r="W8" s="311" t="n"/>
      <c r="X8" s="311" t="n"/>
      <c r="Y8" s="311" t="n"/>
      <c r="Z8" s="311" t="n"/>
      <c r="AA8" s="311" t="n"/>
      <c r="AB8" s="311" t="n"/>
      <c r="AC8" s="311" t="n"/>
      <c r="AD8" s="311" t="n"/>
      <c r="AE8" s="311" t="n"/>
      <c r="AF8" s="311" t="n"/>
      <c r="AG8" s="311" t="n"/>
      <c r="AH8" s="311" t="n"/>
      <c r="AI8" s="311" t="n"/>
      <c r="AJ8" s="311" t="n"/>
      <c r="AK8" s="311" t="n"/>
      <c r="AL8" s="311" t="n"/>
      <c r="AM8" s="311" t="n"/>
      <c r="AN8" s="311" t="n"/>
      <c r="AO8" s="311" t="n"/>
      <c r="AP8" s="311" t="n"/>
      <c r="AQ8" s="311" t="n"/>
      <c r="AR8" s="311" t="n"/>
      <c r="AS8" s="311" t="n"/>
      <c r="AT8" s="311" t="n"/>
      <c r="AU8" s="311" t="n"/>
      <c r="AV8" s="311" t="n"/>
      <c r="AW8" s="311" t="n"/>
      <c r="AX8" s="311" t="n"/>
      <c r="AY8" s="311" t="n"/>
      <c r="AZ8" s="311" t="n"/>
      <c r="BA8" s="311" t="n"/>
      <c r="BB8" s="311" t="n"/>
      <c r="BC8" s="311" t="n"/>
      <c r="BD8" s="311" t="n"/>
      <c r="BE8" s="311" t="n"/>
      <c r="BF8" s="311" t="n"/>
      <c r="BG8" s="311" t="n"/>
      <c r="BH8" s="311" t="n"/>
      <c r="BI8" s="311" t="n"/>
      <c r="BJ8" s="311" t="n"/>
      <c r="BK8" s="311" t="n"/>
      <c r="BL8" s="311" t="n"/>
      <c r="BM8" s="311" t="n"/>
      <c r="BN8" s="311" t="n"/>
      <c r="BO8" s="311" t="n"/>
      <c r="BP8" s="311" t="n"/>
      <c r="BQ8" s="311" t="n"/>
      <c r="BR8" s="311" t="n"/>
      <c r="BS8" s="311" t="n"/>
      <c r="BT8" s="311" t="n"/>
      <c r="BU8" s="311" t="n"/>
      <c r="BV8" s="311" t="n"/>
      <c r="BW8" s="311" t="n"/>
      <c r="BX8" s="311" t="n"/>
      <c r="BY8" s="311" t="n"/>
      <c r="BZ8" s="311" t="n"/>
      <c r="CA8" s="311" t="n"/>
      <c r="CB8" s="311" t="n"/>
      <c r="CC8" s="311" t="n"/>
      <c r="CD8" s="311" t="n"/>
      <c r="CE8" s="311" t="n"/>
      <c r="CF8" s="311" t="n"/>
      <c r="CG8" s="311" t="n"/>
      <c r="CH8" s="311" t="n"/>
    </row>
    <row r="9" ht="15" customHeight="1" s="202">
      <c r="A9" s="311" t="inlineStr">
        <is>
          <t>PIK Interest</t>
        </is>
      </c>
      <c r="B9" s="266" t="n">
        <v>0</v>
      </c>
      <c r="C9" s="266" t="n">
        <v>0</v>
      </c>
      <c r="D9" s="266">
        <f>B9+C9</f>
        <v/>
      </c>
      <c r="E9" s="311" t="n"/>
      <c r="F9" s="311" t="n"/>
      <c r="G9" s="311" t="n"/>
      <c r="H9" s="311" t="n"/>
      <c r="I9" s="311" t="n"/>
      <c r="J9" s="311" t="n"/>
      <c r="K9" s="311" t="n"/>
      <c r="L9" s="311" t="n"/>
      <c r="M9" s="311" t="n"/>
      <c r="N9" s="311" t="n"/>
      <c r="O9" s="311" t="n"/>
      <c r="P9" s="311" t="n"/>
      <c r="Q9" s="311" t="n"/>
      <c r="R9" s="311" t="n"/>
      <c r="S9" s="311" t="n"/>
      <c r="T9" s="311" t="n"/>
      <c r="U9" s="311" t="n"/>
      <c r="V9" s="311" t="n"/>
      <c r="W9" s="311" t="n"/>
      <c r="X9" s="311" t="n"/>
      <c r="Y9" s="311" t="n"/>
      <c r="Z9" s="311" t="n"/>
      <c r="AA9" s="311" t="n"/>
      <c r="AB9" s="311" t="n"/>
      <c r="AC9" s="311" t="n"/>
      <c r="AD9" s="311" t="n"/>
      <c r="AE9" s="311" t="n"/>
      <c r="AF9" s="311" t="n"/>
      <c r="AG9" s="311" t="n"/>
      <c r="AH9" s="311" t="n"/>
      <c r="AI9" s="311" t="n"/>
      <c r="AJ9" s="311" t="n"/>
      <c r="AK9" s="311" t="n"/>
      <c r="AL9" s="311" t="n"/>
      <c r="AM9" s="311" t="n"/>
      <c r="AN9" s="311" t="n"/>
      <c r="AO9" s="311" t="n"/>
      <c r="AP9" s="311" t="n"/>
      <c r="AQ9" s="311" t="n"/>
      <c r="AR9" s="311" t="n"/>
      <c r="AS9" s="311" t="n"/>
      <c r="AT9" s="311" t="n"/>
      <c r="AU9" s="311" t="n"/>
      <c r="AV9" s="311" t="n"/>
      <c r="AW9" s="311" t="n"/>
      <c r="AX9" s="311" t="n"/>
      <c r="AY9" s="311" t="n"/>
      <c r="AZ9" s="311" t="n"/>
      <c r="BA9" s="311" t="n"/>
      <c r="BB9" s="311" t="n"/>
      <c r="BC9" s="311" t="n"/>
      <c r="BD9" s="311" t="n"/>
      <c r="BE9" s="311" t="n"/>
      <c r="BF9" s="311" t="n"/>
      <c r="BG9" s="311" t="n"/>
      <c r="BH9" s="311" t="n"/>
      <c r="BI9" s="311" t="n"/>
      <c r="BJ9" s="311" t="n"/>
      <c r="BK9" s="311" t="n"/>
      <c r="BL9" s="311" t="n"/>
      <c r="BM9" s="311" t="n"/>
      <c r="BN9" s="311" t="n"/>
      <c r="BO9" s="311" t="n"/>
      <c r="BP9" s="311" t="n"/>
      <c r="BQ9" s="311" t="n"/>
      <c r="BR9" s="311" t="n"/>
      <c r="BS9" s="311" t="n"/>
      <c r="BT9" s="311" t="n"/>
      <c r="BU9" s="311" t="n"/>
      <c r="BV9" s="311" t="n"/>
      <c r="BW9" s="311" t="n"/>
      <c r="BX9" s="311" t="n"/>
      <c r="BY9" s="311" t="n"/>
      <c r="BZ9" s="311" t="n"/>
      <c r="CA9" s="311" t="n"/>
      <c r="CB9" s="311" t="n"/>
      <c r="CC9" s="311" t="n"/>
      <c r="CD9" s="311" t="n"/>
      <c r="CE9" s="311" t="n"/>
      <c r="CF9" s="311" t="n"/>
      <c r="CG9" s="311" t="n"/>
      <c r="CH9" s="311" t="n"/>
    </row>
    <row r="10" ht="15" customHeight="1" s="202">
      <c r="A10" s="342" t="inlineStr">
        <is>
          <t>Net Income to Six Peak</t>
        </is>
      </c>
      <c r="B10" s="345">
        <f>SUM(B6:B9)</f>
        <v/>
      </c>
      <c r="C10" s="345">
        <f>SUM(C6:C9)</f>
        <v/>
      </c>
      <c r="D10" s="345">
        <f>SUM(D6:D9)</f>
        <v/>
      </c>
      <c r="E10" s="266" t="n"/>
      <c r="F10" s="266" t="n"/>
      <c r="G10" s="266" t="n"/>
      <c r="H10" s="266" t="n"/>
      <c r="I10" s="266" t="n"/>
      <c r="J10" s="266" t="n"/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I10" s="266" t="n"/>
      <c r="AJ10" s="266" t="n"/>
      <c r="AK10" s="266" t="n"/>
      <c r="AL10" s="266" t="n"/>
      <c r="AM10" s="266" t="n"/>
      <c r="AN10" s="266" t="n"/>
      <c r="AO10" s="266" t="n"/>
      <c r="AP10" s="266" t="n"/>
      <c r="AQ10" s="266" t="n"/>
      <c r="AR10" s="266" t="n"/>
      <c r="AS10" s="266" t="n"/>
      <c r="AT10" s="266" t="n"/>
      <c r="AU10" s="266" t="n"/>
      <c r="AV10" s="266" t="n"/>
      <c r="AW10" s="266" t="n"/>
      <c r="AX10" s="266" t="n"/>
      <c r="AY10" s="266" t="n"/>
      <c r="AZ10" s="266" t="n"/>
      <c r="BA10" s="266" t="n"/>
      <c r="BB10" s="266" t="n"/>
      <c r="BC10" s="266" t="n"/>
      <c r="BD10" s="266" t="n"/>
      <c r="BE10" s="266" t="n"/>
      <c r="BF10" s="266" t="n"/>
      <c r="BG10" s="266" t="n"/>
      <c r="BH10" s="266" t="n"/>
      <c r="BI10" s="266" t="n"/>
      <c r="BJ10" s="266" t="n"/>
      <c r="BK10" s="266" t="n"/>
      <c r="BL10" s="266" t="n"/>
      <c r="BM10" s="266" t="n"/>
      <c r="BN10" s="266" t="n"/>
      <c r="BO10" s="266" t="n"/>
      <c r="BP10" s="266" t="n"/>
      <c r="BQ10" s="266" t="n"/>
      <c r="BR10" s="266" t="n"/>
      <c r="BS10" s="266" t="n"/>
      <c r="BT10" s="266" t="n"/>
      <c r="BU10" s="266" t="n"/>
      <c r="BV10" s="266" t="n"/>
      <c r="BW10" s="266" t="n"/>
      <c r="BX10" s="266" t="n"/>
      <c r="BY10" s="266" t="n"/>
      <c r="BZ10" s="266" t="n"/>
      <c r="CA10" s="266" t="n"/>
      <c r="CB10" s="266" t="n"/>
      <c r="CC10" s="266" t="n"/>
      <c r="CD10" s="266" t="n"/>
      <c r="CE10" s="266" t="n"/>
      <c r="CF10" s="266" t="n"/>
      <c r="CG10" s="266" t="n"/>
      <c r="CH10" s="266" t="n"/>
    </row>
    <row r="11" ht="15" customHeight="1" s="202">
      <c r="A11" s="376" t="n"/>
      <c r="B11" s="377" t="n"/>
      <c r="C11" s="377" t="n"/>
      <c r="D11" s="377" t="n"/>
      <c r="E11" s="266" t="n"/>
      <c r="F11" s="266" t="n"/>
      <c r="G11" s="266" t="n"/>
      <c r="H11" s="266" t="n"/>
      <c r="I11" s="266" t="n"/>
      <c r="J11" s="266" t="n"/>
      <c r="K11" s="266" t="n"/>
      <c r="L11" s="266" t="n"/>
      <c r="M11" s="266" t="n"/>
      <c r="N11" s="266" t="n"/>
      <c r="O11" s="266" t="n"/>
      <c r="P11" s="266" t="n"/>
      <c r="Q11" s="266" t="n"/>
      <c r="R11" s="266" t="n"/>
      <c r="S11" s="266" t="n"/>
      <c r="T11" s="266" t="n"/>
      <c r="U11" s="266" t="n"/>
      <c r="V11" s="266" t="n"/>
      <c r="W11" s="266" t="n"/>
      <c r="X11" s="266" t="n"/>
      <c r="Y11" s="266" t="n"/>
      <c r="Z11" s="266" t="n"/>
      <c r="AA11" s="266" t="n"/>
      <c r="AB11" s="266" t="n"/>
      <c r="AC11" s="266" t="n"/>
      <c r="AD11" s="266" t="n"/>
      <c r="AE11" s="266" t="n"/>
      <c r="AF11" s="266" t="n"/>
      <c r="AG11" s="266" t="n"/>
      <c r="AH11" s="266" t="n"/>
      <c r="AI11" s="266" t="n"/>
      <c r="AJ11" s="266" t="n"/>
      <c r="AK11" s="266" t="n"/>
      <c r="AL11" s="266" t="n"/>
      <c r="AM11" s="266" t="n"/>
      <c r="AN11" s="266" t="n"/>
      <c r="AO11" s="266" t="n"/>
      <c r="AP11" s="266" t="n"/>
      <c r="AQ11" s="266" t="n"/>
      <c r="AR11" s="266" t="n"/>
      <c r="AS11" s="266" t="n"/>
      <c r="AT11" s="266" t="n"/>
      <c r="AU11" s="266" t="n"/>
      <c r="AV11" s="266" t="n"/>
      <c r="AW11" s="266" t="n"/>
      <c r="AX11" s="266" t="n"/>
      <c r="AY11" s="266" t="n"/>
      <c r="AZ11" s="266" t="n"/>
      <c r="BA11" s="266" t="n"/>
      <c r="BB11" s="266" t="n"/>
      <c r="BC11" s="266" t="n"/>
      <c r="BD11" s="266" t="n"/>
      <c r="BE11" s="266" t="n"/>
      <c r="BF11" s="266" t="n"/>
      <c r="BG11" s="266" t="n"/>
      <c r="BH11" s="266" t="n"/>
      <c r="BI11" s="266" t="n"/>
      <c r="BJ11" s="266" t="n"/>
      <c r="BK11" s="266" t="n"/>
      <c r="BL11" s="266" t="n"/>
      <c r="BM11" s="266" t="n"/>
      <c r="BN11" s="266" t="n"/>
      <c r="BO11" s="266" t="n"/>
      <c r="BP11" s="266" t="n"/>
      <c r="BQ11" s="266" t="n"/>
      <c r="BR11" s="266" t="n"/>
      <c r="BS11" s="266" t="n"/>
      <c r="BT11" s="266" t="n"/>
      <c r="BU11" s="266" t="n"/>
      <c r="BV11" s="266" t="n"/>
      <c r="BW11" s="266" t="n"/>
      <c r="BX11" s="266" t="n"/>
      <c r="BY11" s="266" t="n"/>
      <c r="BZ11" s="266" t="n"/>
      <c r="CA11" s="266" t="n"/>
      <c r="CB11" s="266" t="n"/>
      <c r="CC11" s="266" t="n"/>
      <c r="CD11" s="266" t="n"/>
      <c r="CE11" s="266" t="n"/>
      <c r="CF11" s="266" t="n"/>
      <c r="CG11" s="266" t="n"/>
      <c r="CH11" s="266" t="n"/>
    </row>
    <row r="12" ht="15" customHeight="1" s="202">
      <c r="A12" s="313" t="inlineStr">
        <is>
          <t>3rd Street</t>
        </is>
      </c>
      <c r="B12" s="313" t="n"/>
      <c r="C12" s="378" t="n"/>
      <c r="D12" s="378" t="n"/>
      <c r="E12" s="266" t="n"/>
      <c r="F12" s="266" t="n"/>
      <c r="G12" s="266" t="n"/>
      <c r="H12" s="266" t="n"/>
      <c r="I12" s="266" t="n"/>
      <c r="J12" s="266" t="n"/>
      <c r="K12" s="266" t="n"/>
      <c r="L12" s="266" t="n"/>
      <c r="M12" s="266" t="n"/>
      <c r="N12" s="266" t="n"/>
      <c r="O12" s="266" t="n"/>
      <c r="P12" s="266" t="n"/>
      <c r="Q12" s="266" t="n"/>
      <c r="R12" s="266" t="n"/>
      <c r="S12" s="266" t="n"/>
      <c r="T12" s="266" t="n"/>
      <c r="U12" s="266" t="n"/>
      <c r="V12" s="266" t="n"/>
      <c r="W12" s="266" t="n"/>
      <c r="X12" s="266" t="n"/>
      <c r="Y12" s="266" t="n"/>
      <c r="Z12" s="266" t="n"/>
      <c r="AA12" s="266" t="n"/>
      <c r="AB12" s="266" t="n"/>
      <c r="AC12" s="266" t="n"/>
      <c r="AD12" s="266" t="n"/>
      <c r="AE12" s="266" t="n"/>
      <c r="AF12" s="266" t="n"/>
      <c r="AG12" s="266" t="n"/>
      <c r="AH12" s="266" t="n"/>
      <c r="AI12" s="266" t="n"/>
      <c r="AJ12" s="266" t="n"/>
      <c r="AK12" s="266" t="n"/>
      <c r="AL12" s="266" t="n"/>
      <c r="AM12" s="266" t="n"/>
      <c r="AN12" s="266" t="n"/>
      <c r="AO12" s="266" t="n"/>
      <c r="AP12" s="266" t="n"/>
      <c r="AQ12" s="266" t="n"/>
      <c r="AR12" s="266" t="n"/>
      <c r="AS12" s="266" t="n"/>
      <c r="AT12" s="266" t="n"/>
      <c r="AU12" s="266" t="n"/>
      <c r="AV12" s="266" t="n"/>
      <c r="AW12" s="266" t="n"/>
      <c r="AX12" s="266" t="n"/>
      <c r="AY12" s="266" t="n"/>
      <c r="AZ12" s="266" t="n"/>
      <c r="BA12" s="266" t="n"/>
      <c r="BB12" s="266" t="n"/>
      <c r="BC12" s="266" t="n"/>
      <c r="BD12" s="266" t="n"/>
      <c r="BE12" s="266" t="n"/>
      <c r="BF12" s="266" t="n"/>
      <c r="BG12" s="266" t="n"/>
      <c r="BH12" s="266" t="n"/>
      <c r="BI12" s="266" t="n"/>
      <c r="BJ12" s="266" t="n"/>
      <c r="BK12" s="266" t="n"/>
      <c r="BL12" s="266" t="n"/>
      <c r="BM12" s="266" t="n"/>
      <c r="BN12" s="266" t="n"/>
      <c r="BO12" s="266" t="n"/>
      <c r="BP12" s="266" t="n"/>
      <c r="BQ12" s="266" t="n"/>
      <c r="BR12" s="266" t="n"/>
      <c r="BS12" s="266" t="n"/>
      <c r="BT12" s="266" t="n"/>
      <c r="BU12" s="266" t="n"/>
      <c r="BV12" s="266" t="n"/>
      <c r="BW12" s="266" t="n"/>
      <c r="BX12" s="266" t="n"/>
      <c r="BY12" s="266" t="n"/>
      <c r="BZ12" s="266" t="n"/>
      <c r="CA12" s="266" t="n"/>
      <c r="CB12" s="266" t="n"/>
      <c r="CC12" s="266" t="n"/>
      <c r="CD12" s="266" t="n"/>
      <c r="CE12" s="266" t="n"/>
      <c r="CF12" s="266" t="n"/>
      <c r="CG12" s="266" t="n"/>
      <c r="CH12" s="266" t="n"/>
    </row>
    <row r="13" ht="15" customHeight="1" s="202">
      <c r="A13" s="374" t="inlineStr">
        <is>
          <t>LIHTC Revenue</t>
        </is>
      </c>
      <c r="B13" s="375">
        <f>SUM(Model!C61:CH61)</f>
        <v/>
      </c>
      <c r="C13" s="375">
        <f>Helpers!B48</f>
        <v/>
      </c>
      <c r="D13" s="375">
        <f>B13+C13</f>
        <v/>
      </c>
      <c r="E13" s="266" t="n"/>
      <c r="F13" s="266" t="n"/>
      <c r="G13" s="266" t="n"/>
      <c r="H13" s="266" t="n"/>
      <c r="I13" s="266" t="n"/>
      <c r="J13" s="266" t="n"/>
      <c r="K13" s="266" t="n"/>
      <c r="L13" s="266" t="n"/>
      <c r="M13" s="266" t="n"/>
      <c r="N13" s="266" t="n"/>
      <c r="O13" s="266" t="n"/>
      <c r="P13" s="266" t="n"/>
      <c r="Q13" s="266" t="n"/>
      <c r="R13" s="266" t="n"/>
      <c r="S13" s="266" t="n"/>
      <c r="T13" s="266" t="n"/>
      <c r="U13" s="266" t="n"/>
      <c r="V13" s="266" t="n"/>
      <c r="W13" s="266" t="n"/>
      <c r="X13" s="266" t="n"/>
      <c r="Y13" s="266" t="n"/>
      <c r="Z13" s="266" t="n"/>
      <c r="AA13" s="266" t="n"/>
      <c r="AB13" s="266" t="n"/>
      <c r="AC13" s="266" t="n"/>
      <c r="AD13" s="266" t="n"/>
      <c r="AE13" s="266" t="n"/>
      <c r="AF13" s="266" t="n"/>
      <c r="AG13" s="266" t="n"/>
      <c r="AH13" s="266" t="n"/>
      <c r="AI13" s="266" t="n"/>
      <c r="AJ13" s="266" t="n"/>
      <c r="AK13" s="266" t="n"/>
      <c r="AL13" s="266" t="n"/>
      <c r="AM13" s="266" t="n"/>
      <c r="AN13" s="266" t="n"/>
      <c r="AO13" s="266" t="n"/>
      <c r="AP13" s="266" t="n"/>
      <c r="AQ13" s="266" t="n"/>
      <c r="AR13" s="266" t="n"/>
      <c r="AS13" s="266" t="n"/>
      <c r="AT13" s="266" t="n"/>
      <c r="AU13" s="266" t="n"/>
      <c r="AV13" s="266" t="n"/>
      <c r="AW13" s="266" t="n"/>
      <c r="AX13" s="266" t="n"/>
      <c r="AY13" s="266" t="n"/>
      <c r="AZ13" s="266" t="n"/>
      <c r="BA13" s="266" t="n"/>
      <c r="BB13" s="266" t="n"/>
      <c r="BC13" s="266" t="n"/>
      <c r="BD13" s="266" t="n"/>
      <c r="BE13" s="266" t="n"/>
      <c r="BF13" s="266" t="n"/>
      <c r="BG13" s="266" t="n"/>
      <c r="BH13" s="266" t="n"/>
      <c r="BI13" s="266" t="n"/>
      <c r="BJ13" s="266" t="n"/>
      <c r="BK13" s="266" t="n"/>
      <c r="BL13" s="266" t="n"/>
      <c r="BM13" s="266" t="n"/>
      <c r="BN13" s="266" t="n"/>
      <c r="BO13" s="266" t="n"/>
      <c r="BP13" s="266" t="n"/>
      <c r="BQ13" s="266" t="n"/>
      <c r="BR13" s="266" t="n"/>
      <c r="BS13" s="266" t="n"/>
      <c r="BT13" s="266" t="n"/>
      <c r="BU13" s="266" t="n"/>
      <c r="BV13" s="266" t="n"/>
      <c r="BW13" s="266" t="n"/>
      <c r="BX13" s="266" t="n"/>
      <c r="BY13" s="266" t="n"/>
      <c r="BZ13" s="266" t="n"/>
      <c r="CA13" s="266" t="n"/>
      <c r="CB13" s="266" t="n"/>
      <c r="CC13" s="266" t="n"/>
      <c r="CD13" s="266" t="n"/>
      <c r="CE13" s="266" t="n"/>
      <c r="CF13" s="266" t="n"/>
      <c r="CG13" s="266" t="n"/>
      <c r="CH13" s="266" t="n"/>
    </row>
    <row r="14" ht="15" customHeight="1" s="202">
      <c r="A14" s="379" t="inlineStr">
        <is>
          <t>GMP Fee (1%)</t>
        </is>
      </c>
      <c r="B14" s="380">
        <f>-Projects!$B$14*Assumptions!$B$47</f>
        <v/>
      </c>
      <c r="C14" s="380" t="n">
        <v>0</v>
      </c>
      <c r="D14" s="380">
        <f>B14+C14</f>
        <v/>
      </c>
      <c r="E14" s="266" t="n"/>
      <c r="F14" s="266" t="n"/>
      <c r="G14" s="266" t="n"/>
      <c r="H14" s="266" t="n"/>
      <c r="I14" s="266" t="n"/>
      <c r="J14" s="266" t="n"/>
      <c r="K14" s="266" t="n"/>
      <c r="L14" s="266" t="n"/>
      <c r="M14" s="266" t="n"/>
      <c r="N14" s="266" t="n"/>
      <c r="O14" s="266" t="n"/>
      <c r="P14" s="266" t="n"/>
      <c r="Q14" s="266" t="n"/>
      <c r="R14" s="266" t="n"/>
      <c r="S14" s="266" t="n"/>
      <c r="T14" s="266" t="n"/>
      <c r="U14" s="266" t="n"/>
      <c r="V14" s="266" t="n"/>
      <c r="W14" s="266" t="n"/>
      <c r="X14" s="266" t="n"/>
      <c r="Y14" s="266" t="n"/>
      <c r="Z14" s="266" t="n"/>
      <c r="AA14" s="266" t="n"/>
      <c r="AB14" s="266" t="n"/>
      <c r="AC14" s="266" t="n"/>
      <c r="AD14" s="266" t="n"/>
      <c r="AE14" s="266" t="n"/>
      <c r="AF14" s="266" t="n"/>
      <c r="AG14" s="266" t="n"/>
      <c r="AH14" s="266" t="n"/>
      <c r="AI14" s="266" t="n"/>
      <c r="AJ14" s="266" t="n"/>
      <c r="AK14" s="266" t="n"/>
      <c r="AL14" s="266" t="n"/>
      <c r="AM14" s="266" t="n"/>
      <c r="AN14" s="266" t="n"/>
      <c r="AO14" s="266" t="n"/>
      <c r="AP14" s="266" t="n"/>
      <c r="AQ14" s="266" t="n"/>
      <c r="AR14" s="266" t="n"/>
      <c r="AS14" s="266" t="n"/>
      <c r="AT14" s="266" t="n"/>
      <c r="AU14" s="266" t="n"/>
      <c r="AV14" s="266" t="n"/>
      <c r="AW14" s="266" t="n"/>
      <c r="AX14" s="266" t="n"/>
      <c r="AY14" s="266" t="n"/>
      <c r="AZ14" s="266" t="n"/>
      <c r="BA14" s="266" t="n"/>
      <c r="BB14" s="266" t="n"/>
      <c r="BC14" s="266" t="n"/>
      <c r="BD14" s="266" t="n"/>
      <c r="BE14" s="266" t="n"/>
      <c r="BF14" s="266" t="n"/>
      <c r="BG14" s="266" t="n"/>
      <c r="BH14" s="266" t="n"/>
      <c r="BI14" s="266" t="n"/>
      <c r="BJ14" s="266" t="n"/>
      <c r="BK14" s="266" t="n"/>
      <c r="BL14" s="266" t="n"/>
      <c r="BM14" s="266" t="n"/>
      <c r="BN14" s="266" t="n"/>
      <c r="BO14" s="266" t="n"/>
      <c r="BP14" s="266" t="n"/>
      <c r="BQ14" s="266" t="n"/>
      <c r="BR14" s="266" t="n"/>
      <c r="BS14" s="266" t="n"/>
      <c r="BT14" s="266" t="n"/>
      <c r="BU14" s="266" t="n"/>
      <c r="BV14" s="266" t="n"/>
      <c r="BW14" s="266" t="n"/>
      <c r="BX14" s="266" t="n"/>
      <c r="BY14" s="266" t="n"/>
      <c r="BZ14" s="266" t="n"/>
      <c r="CA14" s="266" t="n"/>
      <c r="CB14" s="266" t="n"/>
      <c r="CC14" s="266" t="n"/>
      <c r="CD14" s="266" t="n"/>
      <c r="CE14" s="266" t="n"/>
      <c r="CF14" s="266" t="n"/>
      <c r="CG14" s="266" t="n"/>
      <c r="CH14" s="266" t="n"/>
    </row>
    <row r="15" ht="15" customHeight="1" s="202">
      <c r="A15" s="374" t="inlineStr">
        <is>
          <t>Liquidity Guarantee Fee (3%)</t>
        </is>
      </c>
      <c r="B15" s="375">
        <f>-Assumptions!$B$55*Assumptions!$B$48</f>
        <v/>
      </c>
      <c r="C15" s="375" t="n">
        <v>0</v>
      </c>
      <c r="D15" s="375">
        <f>B15+C15</f>
        <v/>
      </c>
      <c r="E15" s="311" t="n"/>
      <c r="F15" s="311" t="n"/>
      <c r="G15" s="311" t="n"/>
      <c r="H15" s="311" t="n"/>
      <c r="I15" s="311" t="n"/>
      <c r="J15" s="311" t="n"/>
      <c r="K15" s="311" t="n"/>
      <c r="L15" s="311" t="n"/>
      <c r="M15" s="311" t="n"/>
      <c r="N15" s="311" t="n"/>
      <c r="O15" s="311" t="n"/>
      <c r="P15" s="311" t="n"/>
      <c r="Q15" s="311" t="n"/>
      <c r="R15" s="311" t="n"/>
      <c r="S15" s="311" t="n"/>
      <c r="T15" s="311" t="n"/>
      <c r="U15" s="311" t="n"/>
      <c r="V15" s="311" t="n"/>
      <c r="W15" s="311" t="n"/>
      <c r="X15" s="311" t="n"/>
      <c r="Y15" s="311" t="n"/>
      <c r="Z15" s="311" t="n"/>
      <c r="AA15" s="311" t="n"/>
      <c r="AB15" s="311" t="n"/>
      <c r="AC15" s="311" t="n"/>
      <c r="AD15" s="311" t="n"/>
      <c r="AE15" s="311" t="n"/>
      <c r="AF15" s="311" t="n"/>
      <c r="AG15" s="311" t="n"/>
      <c r="AH15" s="311" t="n"/>
      <c r="AI15" s="311" t="n"/>
      <c r="AJ15" s="311" t="n"/>
      <c r="AK15" s="311" t="n"/>
      <c r="AL15" s="311" t="n"/>
      <c r="AM15" s="311" t="n"/>
      <c r="AN15" s="311" t="n"/>
      <c r="AO15" s="311" t="n"/>
      <c r="AP15" s="311" t="n"/>
      <c r="AQ15" s="311" t="n"/>
      <c r="AR15" s="311" t="n"/>
      <c r="AS15" s="311" t="n"/>
      <c r="AT15" s="311" t="n"/>
      <c r="AU15" s="311" t="n"/>
      <c r="AV15" s="311" t="n"/>
      <c r="AW15" s="311" t="n"/>
      <c r="AX15" s="311" t="n"/>
      <c r="AY15" s="311" t="n"/>
      <c r="AZ15" s="311" t="n"/>
      <c r="BA15" s="311" t="n"/>
      <c r="BB15" s="311" t="n"/>
      <c r="BC15" s="311" t="n"/>
      <c r="BD15" s="311" t="n"/>
      <c r="BE15" s="311" t="n"/>
      <c r="BF15" s="311" t="n"/>
      <c r="BG15" s="311" t="n"/>
      <c r="BH15" s="311" t="n"/>
      <c r="BI15" s="311" t="n"/>
      <c r="BJ15" s="311" t="n"/>
      <c r="BK15" s="311" t="n"/>
      <c r="BL15" s="311" t="n"/>
      <c r="BM15" s="311" t="n"/>
      <c r="BN15" s="311" t="n"/>
      <c r="BO15" s="311" t="n"/>
      <c r="BP15" s="311" t="n"/>
      <c r="BQ15" s="311" t="n"/>
      <c r="BR15" s="311" t="n"/>
      <c r="BS15" s="311" t="n"/>
      <c r="BT15" s="311" t="n"/>
      <c r="BU15" s="311" t="n"/>
      <c r="BV15" s="311" t="n"/>
      <c r="BW15" s="311" t="n"/>
      <c r="BX15" s="311" t="n"/>
      <c r="BY15" s="311" t="n"/>
      <c r="BZ15" s="311" t="n"/>
      <c r="CA15" s="311" t="n"/>
      <c r="CB15" s="311" t="n"/>
      <c r="CC15" s="311" t="n"/>
      <c r="CD15" s="311" t="n"/>
      <c r="CE15" s="311" t="n"/>
      <c r="CF15" s="311" t="n"/>
      <c r="CG15" s="311" t="n"/>
      <c r="CH15" s="311" t="n"/>
    </row>
    <row r="16" ht="15" customHeight="1" s="202">
      <c r="A16" s="379" t="inlineStr">
        <is>
          <t>PIK Interest</t>
        </is>
      </c>
      <c r="B16" s="380">
        <f>-SUM(Model!C121:CH121)</f>
        <v/>
      </c>
      <c r="C16" s="380">
        <f>-Helpers!F93</f>
        <v/>
      </c>
      <c r="D16" s="380">
        <f>B16+C16</f>
        <v/>
      </c>
      <c r="E16" s="311" t="n"/>
      <c r="F16" s="311" t="n"/>
      <c r="G16" s="311" t="n"/>
      <c r="H16" s="311" t="n"/>
      <c r="I16" s="311" t="n"/>
      <c r="J16" s="311" t="n"/>
      <c r="K16" s="311" t="n"/>
      <c r="L16" s="311" t="n"/>
      <c r="M16" s="311" t="n"/>
      <c r="N16" s="311" t="n"/>
      <c r="O16" s="311" t="n"/>
      <c r="P16" s="311" t="n"/>
      <c r="Q16" s="311" t="n"/>
      <c r="R16" s="311" t="n"/>
      <c r="S16" s="311" t="n"/>
      <c r="T16" s="311" t="n"/>
      <c r="U16" s="311" t="n"/>
      <c r="V16" s="311" t="n"/>
      <c r="W16" s="311" t="n"/>
      <c r="X16" s="311" t="n"/>
      <c r="Y16" s="311" t="n"/>
      <c r="Z16" s="311" t="n"/>
      <c r="AA16" s="311" t="n"/>
      <c r="AB16" s="311" t="n"/>
      <c r="AC16" s="311" t="n"/>
      <c r="AD16" s="311" t="n"/>
      <c r="AE16" s="311" t="n"/>
      <c r="AF16" s="311" t="n"/>
      <c r="AG16" s="311" t="n"/>
      <c r="AH16" s="311" t="n"/>
      <c r="AI16" s="311" t="n"/>
      <c r="AJ16" s="311" t="n"/>
      <c r="AK16" s="311" t="n"/>
      <c r="AL16" s="311" t="n"/>
      <c r="AM16" s="311" t="n"/>
      <c r="AN16" s="311" t="n"/>
      <c r="AO16" s="311" t="n"/>
      <c r="AP16" s="311" t="n"/>
      <c r="AQ16" s="311" t="n"/>
      <c r="AR16" s="311" t="n"/>
      <c r="AS16" s="311" t="n"/>
      <c r="AT16" s="311" t="n"/>
      <c r="AU16" s="311" t="n"/>
      <c r="AV16" s="311" t="n"/>
      <c r="AW16" s="311" t="n"/>
      <c r="AX16" s="311" t="n"/>
      <c r="AY16" s="311" t="n"/>
      <c r="AZ16" s="311" t="n"/>
      <c r="BA16" s="311" t="n"/>
      <c r="BB16" s="311" t="n"/>
      <c r="BC16" s="311" t="n"/>
      <c r="BD16" s="311" t="n"/>
      <c r="BE16" s="311" t="n"/>
      <c r="BF16" s="311" t="n"/>
      <c r="BG16" s="311" t="n"/>
      <c r="BH16" s="311" t="n"/>
      <c r="BI16" s="311" t="n"/>
      <c r="BJ16" s="311" t="n"/>
      <c r="BK16" s="311" t="n"/>
      <c r="BL16" s="311" t="n"/>
      <c r="BM16" s="311" t="n"/>
      <c r="BN16" s="311" t="n"/>
      <c r="BO16" s="311" t="n"/>
      <c r="BP16" s="311" t="n"/>
      <c r="BQ16" s="311" t="n"/>
      <c r="BR16" s="311" t="n"/>
      <c r="BS16" s="311" t="n"/>
      <c r="BT16" s="311" t="n"/>
      <c r="BU16" s="311" t="n"/>
      <c r="BV16" s="311" t="n"/>
      <c r="BW16" s="311" t="n"/>
      <c r="BX16" s="311" t="n"/>
      <c r="BY16" s="311" t="n"/>
      <c r="BZ16" s="311" t="n"/>
      <c r="CA16" s="311" t="n"/>
      <c r="CB16" s="311" t="n"/>
      <c r="CC16" s="311" t="n"/>
      <c r="CD16" s="311" t="n"/>
      <c r="CE16" s="311" t="n"/>
      <c r="CF16" s="311" t="n"/>
      <c r="CG16" s="311" t="n"/>
      <c r="CH16" s="311" t="n"/>
    </row>
    <row r="17" ht="15" customHeight="1" s="202">
      <c r="A17" s="207" t="inlineStr">
        <is>
          <t>Net Income to Six Peak</t>
        </is>
      </c>
      <c r="B17" s="208">
        <f>SUM(B13:B16)</f>
        <v/>
      </c>
      <c r="C17" s="208">
        <f>SUM(C13:C16)</f>
        <v/>
      </c>
      <c r="D17" s="208">
        <f>SUM(D13:D16)</f>
        <v/>
      </c>
      <c r="E17" s="266" t="n"/>
      <c r="F17" s="266" t="n"/>
      <c r="G17" s="266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266" t="n"/>
      <c r="Q17" s="266" t="n"/>
      <c r="R17" s="266" t="n"/>
      <c r="S17" s="266" t="n"/>
      <c r="T17" s="266" t="n"/>
      <c r="U17" s="266" t="n"/>
      <c r="V17" s="266" t="n"/>
      <c r="W17" s="266" t="n"/>
      <c r="X17" s="266" t="n"/>
      <c r="Y17" s="266" t="n"/>
      <c r="Z17" s="266" t="n"/>
      <c r="AA17" s="266" t="n"/>
      <c r="AB17" s="266" t="n"/>
      <c r="AC17" s="266" t="n"/>
      <c r="AD17" s="266" t="n"/>
      <c r="AE17" s="266" t="n"/>
      <c r="AF17" s="266" t="n"/>
      <c r="AG17" s="266" t="n"/>
      <c r="AH17" s="266" t="n"/>
      <c r="AI17" s="266" t="n"/>
      <c r="AJ17" s="266" t="n"/>
      <c r="AK17" s="266" t="n"/>
      <c r="AL17" s="266" t="n"/>
      <c r="AM17" s="266" t="n"/>
      <c r="AN17" s="266" t="n"/>
      <c r="AO17" s="266" t="n"/>
      <c r="AP17" s="266" t="n"/>
      <c r="AQ17" s="266" t="n"/>
      <c r="AR17" s="266" t="n"/>
      <c r="AS17" s="266" t="n"/>
      <c r="AT17" s="266" t="n"/>
      <c r="AU17" s="266" t="n"/>
      <c r="AV17" s="266" t="n"/>
      <c r="AW17" s="266" t="n"/>
      <c r="AX17" s="266" t="n"/>
      <c r="AY17" s="266" t="n"/>
      <c r="AZ17" s="266" t="n"/>
      <c r="BA17" s="266" t="n"/>
      <c r="BB17" s="266" t="n"/>
      <c r="BC17" s="266" t="n"/>
      <c r="BD17" s="266" t="n"/>
      <c r="BE17" s="266" t="n"/>
      <c r="BF17" s="266" t="n"/>
      <c r="BG17" s="266" t="n"/>
      <c r="BH17" s="266" t="n"/>
      <c r="BI17" s="266" t="n"/>
      <c r="BJ17" s="266" t="n"/>
      <c r="BK17" s="266" t="n"/>
      <c r="BL17" s="266" t="n"/>
      <c r="BM17" s="266" t="n"/>
      <c r="BN17" s="266" t="n"/>
      <c r="BO17" s="266" t="n"/>
      <c r="BP17" s="266" t="n"/>
      <c r="BQ17" s="266" t="n"/>
      <c r="BR17" s="266" t="n"/>
      <c r="BS17" s="266" t="n"/>
      <c r="BT17" s="266" t="n"/>
      <c r="BU17" s="266" t="n"/>
      <c r="BV17" s="266" t="n"/>
      <c r="BW17" s="266" t="n"/>
      <c r="BX17" s="266" t="n"/>
      <c r="BY17" s="266" t="n"/>
      <c r="BZ17" s="266" t="n"/>
      <c r="CA17" s="266" t="n"/>
      <c r="CB17" s="266" t="n"/>
      <c r="CC17" s="266" t="n"/>
      <c r="CD17" s="266" t="n"/>
      <c r="CE17" s="266" t="n"/>
      <c r="CF17" s="266" t="n"/>
      <c r="CG17" s="266" t="n"/>
      <c r="CH17" s="266" t="n"/>
    </row>
    <row r="18" ht="15" customHeight="1" s="202">
      <c r="A18" s="381" t="n"/>
      <c r="B18" s="382" t="n"/>
      <c r="C18" s="382" t="n"/>
      <c r="D18" s="382" t="n"/>
      <c r="E18" s="266" t="n"/>
      <c r="F18" s="266" t="n"/>
      <c r="G18" s="266" t="n"/>
      <c r="H18" s="266" t="n"/>
      <c r="I18" s="266" t="n"/>
      <c r="J18" s="266" t="n"/>
      <c r="K18" s="266" t="n"/>
      <c r="L18" s="266" t="n"/>
      <c r="M18" s="266" t="n"/>
      <c r="N18" s="266" t="n"/>
      <c r="O18" s="266" t="n"/>
      <c r="P18" s="266" t="n"/>
      <c r="Q18" s="266" t="n"/>
      <c r="R18" s="266" t="n"/>
      <c r="S18" s="266" t="n"/>
      <c r="T18" s="266" t="n"/>
      <c r="U18" s="266" t="n"/>
      <c r="V18" s="266" t="n"/>
      <c r="W18" s="266" t="n"/>
      <c r="X18" s="266" t="n"/>
      <c r="Y18" s="266" t="n"/>
      <c r="Z18" s="266" t="n"/>
      <c r="AA18" s="266" t="n"/>
      <c r="AB18" s="266" t="n"/>
      <c r="AC18" s="266" t="n"/>
      <c r="AD18" s="266" t="n"/>
      <c r="AE18" s="266" t="n"/>
      <c r="AF18" s="266" t="n"/>
      <c r="AG18" s="266" t="n"/>
      <c r="AH18" s="266" t="n"/>
      <c r="AI18" s="266" t="n"/>
      <c r="AJ18" s="266" t="n"/>
      <c r="AK18" s="266" t="n"/>
      <c r="AL18" s="266" t="n"/>
      <c r="AM18" s="266" t="n"/>
      <c r="AN18" s="266" t="n"/>
      <c r="AO18" s="266" t="n"/>
      <c r="AP18" s="266" t="n"/>
      <c r="AQ18" s="266" t="n"/>
      <c r="AR18" s="266" t="n"/>
      <c r="AS18" s="266" t="n"/>
      <c r="AT18" s="266" t="n"/>
      <c r="AU18" s="266" t="n"/>
      <c r="AV18" s="266" t="n"/>
      <c r="AW18" s="266" t="n"/>
      <c r="AX18" s="266" t="n"/>
      <c r="AY18" s="266" t="n"/>
      <c r="AZ18" s="266" t="n"/>
      <c r="BA18" s="266" t="n"/>
      <c r="BB18" s="266" t="n"/>
      <c r="BC18" s="266" t="n"/>
      <c r="BD18" s="266" t="n"/>
      <c r="BE18" s="266" t="n"/>
      <c r="BF18" s="266" t="n"/>
      <c r="BG18" s="266" t="n"/>
      <c r="BH18" s="266" t="n"/>
      <c r="BI18" s="266" t="n"/>
      <c r="BJ18" s="266" t="n"/>
      <c r="BK18" s="266" t="n"/>
      <c r="BL18" s="266" t="n"/>
      <c r="BM18" s="266" t="n"/>
      <c r="BN18" s="266" t="n"/>
      <c r="BO18" s="266" t="n"/>
      <c r="BP18" s="266" t="n"/>
      <c r="BQ18" s="266" t="n"/>
      <c r="BR18" s="266" t="n"/>
      <c r="BS18" s="266" t="n"/>
      <c r="BT18" s="266" t="n"/>
      <c r="BU18" s="266" t="n"/>
      <c r="BV18" s="266" t="n"/>
      <c r="BW18" s="266" t="n"/>
      <c r="BX18" s="266" t="n"/>
      <c r="BY18" s="266" t="n"/>
      <c r="BZ18" s="266" t="n"/>
      <c r="CA18" s="266" t="n"/>
      <c r="CB18" s="266" t="n"/>
      <c r="CC18" s="266" t="n"/>
      <c r="CD18" s="266" t="n"/>
      <c r="CE18" s="266" t="n"/>
      <c r="CF18" s="266" t="n"/>
      <c r="CG18" s="266" t="n"/>
      <c r="CH18" s="266" t="n"/>
    </row>
    <row r="19" ht="15" customHeight="1" s="202">
      <c r="A19" s="383" t="inlineStr">
        <is>
          <t>Reseda</t>
        </is>
      </c>
      <c r="B19" s="384" t="n"/>
      <c r="C19" s="384" t="n"/>
      <c r="D19" s="384" t="n"/>
      <c r="E19" s="266" t="n"/>
      <c r="F19" s="266" t="n"/>
      <c r="G19" s="266" t="n"/>
      <c r="H19" s="266" t="n"/>
      <c r="I19" s="266" t="n"/>
      <c r="J19" s="266" t="n"/>
      <c r="K19" s="266" t="n"/>
      <c r="L19" s="266" t="n"/>
      <c r="M19" s="266" t="n"/>
      <c r="N19" s="266" t="n"/>
      <c r="O19" s="266" t="n"/>
      <c r="P19" s="266" t="n"/>
      <c r="Q19" s="266" t="n"/>
      <c r="R19" s="266" t="n"/>
      <c r="S19" s="266" t="n"/>
      <c r="T19" s="266" t="n"/>
      <c r="U19" s="266" t="n"/>
      <c r="V19" s="266" t="n"/>
      <c r="W19" s="266" t="n"/>
      <c r="X19" s="266" t="n"/>
      <c r="Y19" s="266" t="n"/>
      <c r="Z19" s="266" t="n"/>
      <c r="AA19" s="266" t="n"/>
      <c r="AB19" s="266" t="n"/>
      <c r="AC19" s="266" t="n"/>
      <c r="AD19" s="266" t="n"/>
      <c r="AE19" s="266" t="n"/>
      <c r="AF19" s="266" t="n"/>
      <c r="AG19" s="266" t="n"/>
      <c r="AH19" s="266" t="n"/>
      <c r="AI19" s="266" t="n"/>
      <c r="AJ19" s="266" t="n"/>
      <c r="AK19" s="266" t="n"/>
      <c r="AL19" s="266" t="n"/>
      <c r="AM19" s="266" t="n"/>
      <c r="AN19" s="266" t="n"/>
      <c r="AO19" s="266" t="n"/>
      <c r="AP19" s="266" t="n"/>
      <c r="AQ19" s="266" t="n"/>
      <c r="AR19" s="266" t="n"/>
      <c r="AS19" s="266" t="n"/>
      <c r="AT19" s="266" t="n"/>
      <c r="AU19" s="266" t="n"/>
      <c r="AV19" s="266" t="n"/>
      <c r="AW19" s="266" t="n"/>
      <c r="AX19" s="266" t="n"/>
      <c r="AY19" s="266" t="n"/>
      <c r="AZ19" s="266" t="n"/>
      <c r="BA19" s="266" t="n"/>
      <c r="BB19" s="266" t="n"/>
      <c r="BC19" s="266" t="n"/>
      <c r="BD19" s="266" t="n"/>
      <c r="BE19" s="266" t="n"/>
      <c r="BF19" s="266" t="n"/>
      <c r="BG19" s="266" t="n"/>
      <c r="BH19" s="266" t="n"/>
      <c r="BI19" s="266" t="n"/>
      <c r="BJ19" s="266" t="n"/>
      <c r="BK19" s="266" t="n"/>
      <c r="BL19" s="266" t="n"/>
      <c r="BM19" s="266" t="n"/>
      <c r="BN19" s="266" t="n"/>
      <c r="BO19" s="266" t="n"/>
      <c r="BP19" s="266" t="n"/>
      <c r="BQ19" s="266" t="n"/>
      <c r="BR19" s="266" t="n"/>
      <c r="BS19" s="266" t="n"/>
      <c r="BT19" s="266" t="n"/>
      <c r="BU19" s="266" t="n"/>
      <c r="BV19" s="266" t="n"/>
      <c r="BW19" s="266" t="n"/>
      <c r="BX19" s="266" t="n"/>
      <c r="BY19" s="266" t="n"/>
      <c r="BZ19" s="266" t="n"/>
      <c r="CA19" s="266" t="n"/>
      <c r="CB19" s="266" t="n"/>
      <c r="CC19" s="266" t="n"/>
      <c r="CD19" s="266" t="n"/>
      <c r="CE19" s="266" t="n"/>
      <c r="CF19" s="266" t="n"/>
      <c r="CG19" s="266" t="n"/>
      <c r="CH19" s="266" t="n"/>
    </row>
    <row r="20" ht="15" customHeight="1" s="202">
      <c r="A20" s="385" t="inlineStr">
        <is>
          <t>LIHTC Revenue</t>
        </is>
      </c>
      <c r="B20" s="386">
        <f>SUM(Model!C60:CH60)</f>
        <v/>
      </c>
      <c r="C20" s="386">
        <f>Helpers!B49</f>
        <v/>
      </c>
      <c r="D20" s="386">
        <f>B20+C20</f>
        <v/>
      </c>
      <c r="E20" s="311" t="n"/>
      <c r="F20" s="311" t="n"/>
      <c r="G20" s="311" t="n"/>
      <c r="H20" s="311" t="n"/>
      <c r="I20" s="311" t="n"/>
      <c r="J20" s="311" t="n"/>
      <c r="K20" s="311" t="n"/>
      <c r="L20" s="311" t="n"/>
      <c r="M20" s="311" t="n"/>
      <c r="N20" s="311" t="n"/>
      <c r="O20" s="311" t="n"/>
      <c r="P20" s="311" t="n"/>
      <c r="Q20" s="311" t="n"/>
      <c r="R20" s="311" t="n"/>
      <c r="S20" s="311" t="n"/>
      <c r="T20" s="311" t="n"/>
      <c r="U20" s="311" t="n"/>
      <c r="V20" s="311" t="n"/>
      <c r="W20" s="311" t="n"/>
      <c r="X20" s="311" t="n"/>
      <c r="Y20" s="311" t="n"/>
      <c r="Z20" s="311" t="n"/>
      <c r="AA20" s="311" t="n"/>
      <c r="AB20" s="311" t="n"/>
      <c r="AC20" s="311" t="n"/>
      <c r="AD20" s="311" t="n"/>
      <c r="AE20" s="311" t="n"/>
      <c r="AF20" s="311" t="n"/>
      <c r="AG20" s="311" t="n"/>
      <c r="AH20" s="311" t="n"/>
      <c r="AI20" s="311" t="n"/>
      <c r="AJ20" s="311" t="n"/>
      <c r="AK20" s="311" t="n"/>
      <c r="AL20" s="311" t="n"/>
      <c r="AM20" s="311" t="n"/>
      <c r="AN20" s="311" t="n"/>
      <c r="AO20" s="311" t="n"/>
      <c r="AP20" s="311" t="n"/>
      <c r="AQ20" s="311" t="n"/>
      <c r="AR20" s="311" t="n"/>
      <c r="AS20" s="311" t="n"/>
      <c r="AT20" s="311" t="n"/>
      <c r="AU20" s="311" t="n"/>
      <c r="AV20" s="311" t="n"/>
      <c r="AW20" s="311" t="n"/>
      <c r="AX20" s="311" t="n"/>
      <c r="AY20" s="311" t="n"/>
      <c r="AZ20" s="311" t="n"/>
      <c r="BA20" s="311" t="n"/>
      <c r="BB20" s="311" t="n"/>
      <c r="BC20" s="311" t="n"/>
      <c r="BD20" s="311" t="n"/>
      <c r="BE20" s="311" t="n"/>
      <c r="BF20" s="311" t="n"/>
      <c r="BG20" s="311" t="n"/>
      <c r="BH20" s="311" t="n"/>
      <c r="BI20" s="311" t="n"/>
      <c r="BJ20" s="311" t="n"/>
      <c r="BK20" s="311" t="n"/>
      <c r="BL20" s="311" t="n"/>
      <c r="BM20" s="311" t="n"/>
      <c r="BN20" s="311" t="n"/>
      <c r="BO20" s="311" t="n"/>
      <c r="BP20" s="311" t="n"/>
      <c r="BQ20" s="311" t="n"/>
      <c r="BR20" s="311" t="n"/>
      <c r="BS20" s="311" t="n"/>
      <c r="BT20" s="311" t="n"/>
      <c r="BU20" s="311" t="n"/>
      <c r="BV20" s="311" t="n"/>
      <c r="BW20" s="311" t="n"/>
      <c r="BX20" s="311" t="n"/>
      <c r="BY20" s="311" t="n"/>
      <c r="BZ20" s="311" t="n"/>
      <c r="CA20" s="311" t="n"/>
      <c r="CB20" s="311" t="n"/>
      <c r="CC20" s="311" t="n"/>
      <c r="CD20" s="311" t="n"/>
      <c r="CE20" s="311" t="n"/>
      <c r="CF20" s="311" t="n"/>
      <c r="CG20" s="311" t="n"/>
      <c r="CH20" s="311" t="n"/>
    </row>
    <row r="21" ht="15" customHeight="1" s="202">
      <c r="A21" s="387" t="inlineStr">
        <is>
          <t>GMP Fee (1%)</t>
        </is>
      </c>
      <c r="B21" s="388">
        <f>-Projects!$B$13*Assumptions!$B$47</f>
        <v/>
      </c>
      <c r="C21" s="388" t="n">
        <v>0</v>
      </c>
      <c r="D21" s="388">
        <f>B21+C21</f>
        <v/>
      </c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311" t="n"/>
      <c r="AF21" s="311" t="n"/>
      <c r="AG21" s="311" t="n"/>
      <c r="AH21" s="311" t="n"/>
      <c r="AI21" s="311" t="n"/>
      <c r="AJ21" s="311" t="n"/>
      <c r="AK21" s="311" t="n"/>
      <c r="AL21" s="311" t="n"/>
      <c r="AM21" s="311" t="n"/>
      <c r="AN21" s="311" t="n"/>
      <c r="AO21" s="311" t="n"/>
      <c r="AP21" s="311" t="n"/>
      <c r="AQ21" s="311" t="n"/>
      <c r="AR21" s="311" t="n"/>
      <c r="AS21" s="311" t="n"/>
      <c r="AT21" s="311" t="n"/>
      <c r="AU21" s="311" t="n"/>
      <c r="AV21" s="311" t="n"/>
      <c r="AW21" s="311" t="n"/>
      <c r="AX21" s="311" t="n"/>
      <c r="AY21" s="311" t="n"/>
      <c r="AZ21" s="311" t="n"/>
      <c r="BA21" s="311" t="n"/>
      <c r="BB21" s="311" t="n"/>
      <c r="BC21" s="311" t="n"/>
      <c r="BD21" s="311" t="n"/>
      <c r="BE21" s="311" t="n"/>
      <c r="BF21" s="311" t="n"/>
      <c r="BG21" s="311" t="n"/>
      <c r="BH21" s="311" t="n"/>
      <c r="BI21" s="311" t="n"/>
      <c r="BJ21" s="311" t="n"/>
      <c r="BK21" s="311" t="n"/>
      <c r="BL21" s="311" t="n"/>
      <c r="BM21" s="311" t="n"/>
      <c r="BN21" s="311" t="n"/>
      <c r="BO21" s="311" t="n"/>
      <c r="BP21" s="311" t="n"/>
      <c r="BQ21" s="311" t="n"/>
      <c r="BR21" s="311" t="n"/>
      <c r="BS21" s="311" t="n"/>
      <c r="BT21" s="311" t="n"/>
      <c r="BU21" s="311" t="n"/>
      <c r="BV21" s="311" t="n"/>
      <c r="BW21" s="311" t="n"/>
      <c r="BX21" s="311" t="n"/>
      <c r="BY21" s="311" t="n"/>
      <c r="BZ21" s="311" t="n"/>
      <c r="CA21" s="311" t="n"/>
      <c r="CB21" s="311" t="n"/>
      <c r="CC21" s="311" t="n"/>
      <c r="CD21" s="311" t="n"/>
      <c r="CE21" s="311" t="n"/>
      <c r="CF21" s="311" t="n"/>
      <c r="CG21" s="311" t="n"/>
      <c r="CH21" s="311" t="n"/>
    </row>
    <row r="22" ht="15" customHeight="1" s="202">
      <c r="A22" s="385" t="inlineStr">
        <is>
          <t>Liquidity Guarantee Fee (3%)</t>
        </is>
      </c>
      <c r="B22" s="386">
        <f>-Assumptions!$B$54*Assumptions!$B$48</f>
        <v/>
      </c>
      <c r="C22" s="386" t="n">
        <v>0</v>
      </c>
      <c r="D22" s="386">
        <f>B22+C22</f>
        <v/>
      </c>
      <c r="E22" s="266" t="n"/>
      <c r="F22" s="266" t="n"/>
      <c r="G22" s="266" t="n"/>
      <c r="H22" s="266" t="n"/>
      <c r="I22" s="266" t="n"/>
      <c r="J22" s="266" t="n"/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I22" s="266" t="n"/>
      <c r="AJ22" s="266" t="n"/>
      <c r="AK22" s="266" t="n"/>
      <c r="AL22" s="266" t="n"/>
      <c r="AM22" s="266" t="n"/>
      <c r="AN22" s="266" t="n"/>
      <c r="AO22" s="266" t="n"/>
      <c r="AP22" s="266" t="n"/>
      <c r="AQ22" s="266" t="n"/>
      <c r="AR22" s="266" t="n"/>
      <c r="AS22" s="266" t="n"/>
      <c r="AT22" s="266" t="n"/>
      <c r="AU22" s="266" t="n"/>
      <c r="AV22" s="266" t="n"/>
      <c r="AW22" s="266" t="n"/>
      <c r="AX22" s="266" t="n"/>
      <c r="AY22" s="266" t="n"/>
      <c r="AZ22" s="266" t="n"/>
      <c r="BA22" s="266" t="n"/>
      <c r="BB22" s="266" t="n"/>
      <c r="BC22" s="266" t="n"/>
      <c r="BD22" s="266" t="n"/>
      <c r="BE22" s="266" t="n"/>
      <c r="BF22" s="266" t="n"/>
      <c r="BG22" s="266" t="n"/>
      <c r="BH22" s="266" t="n"/>
      <c r="BI22" s="266" t="n"/>
      <c r="BJ22" s="266" t="n"/>
      <c r="BK22" s="266" t="n"/>
      <c r="BL22" s="266" t="n"/>
      <c r="BM22" s="266" t="n"/>
      <c r="BN22" s="266" t="n"/>
      <c r="BO22" s="266" t="n"/>
      <c r="BP22" s="266" t="n"/>
      <c r="BQ22" s="266" t="n"/>
      <c r="BR22" s="266" t="n"/>
      <c r="BS22" s="266" t="n"/>
      <c r="BT22" s="266" t="n"/>
      <c r="BU22" s="266" t="n"/>
      <c r="BV22" s="266" t="n"/>
      <c r="BW22" s="266" t="n"/>
      <c r="BX22" s="266" t="n"/>
      <c r="BY22" s="266" t="n"/>
      <c r="BZ22" s="266" t="n"/>
      <c r="CA22" s="266" t="n"/>
      <c r="CB22" s="266" t="n"/>
      <c r="CC22" s="266" t="n"/>
      <c r="CD22" s="266" t="n"/>
      <c r="CE22" s="266" t="n"/>
      <c r="CF22" s="266" t="n"/>
      <c r="CG22" s="266" t="n"/>
      <c r="CH22" s="266" t="n"/>
    </row>
    <row r="23" ht="15" customHeight="1" s="202">
      <c r="A23" s="311" t="inlineStr">
        <is>
          <t>PIK Interest</t>
        </is>
      </c>
      <c r="B23" s="266">
        <f>-SUM(Model!C126:CH126)</f>
        <v/>
      </c>
      <c r="C23" s="266" t="n">
        <v>0</v>
      </c>
      <c r="D23" s="266">
        <f>B23+C23</f>
        <v/>
      </c>
      <c r="E23" s="266" t="n"/>
      <c r="F23" s="266" t="n"/>
      <c r="G23" s="266" t="n"/>
      <c r="H23" s="266" t="n"/>
      <c r="I23" s="266" t="n"/>
      <c r="J23" s="266" t="n"/>
      <c r="K23" s="266" t="n"/>
      <c r="L23" s="266" t="n"/>
      <c r="M23" s="266" t="n"/>
      <c r="N23" s="266" t="n"/>
      <c r="O23" s="266" t="n"/>
      <c r="P23" s="266" t="n"/>
      <c r="Q23" s="266" t="n"/>
      <c r="R23" s="266" t="n"/>
      <c r="S23" s="266" t="n"/>
      <c r="T23" s="266" t="n"/>
      <c r="U23" s="266" t="n"/>
      <c r="V23" s="266" t="n"/>
      <c r="W23" s="266" t="n"/>
      <c r="X23" s="266" t="n"/>
      <c r="Y23" s="266" t="n"/>
      <c r="Z23" s="266" t="n"/>
      <c r="AA23" s="266" t="n"/>
      <c r="AB23" s="266" t="n"/>
      <c r="AC23" s="266" t="n"/>
      <c r="AD23" s="266" t="n"/>
      <c r="AE23" s="266" t="n"/>
      <c r="AF23" s="266" t="n"/>
      <c r="AG23" s="266" t="n"/>
      <c r="AH23" s="266" t="n"/>
      <c r="AI23" s="266" t="n"/>
      <c r="AJ23" s="266" t="n"/>
      <c r="AK23" s="266" t="n"/>
      <c r="AL23" s="266" t="n"/>
      <c r="AM23" s="266" t="n"/>
      <c r="AN23" s="266" t="n"/>
      <c r="AO23" s="266" t="n"/>
      <c r="AP23" s="266" t="n"/>
      <c r="AQ23" s="266" t="n"/>
      <c r="AR23" s="266" t="n"/>
      <c r="AS23" s="266" t="n"/>
      <c r="AT23" s="266" t="n"/>
      <c r="AU23" s="266" t="n"/>
      <c r="AV23" s="266" t="n"/>
      <c r="AW23" s="266" t="n"/>
      <c r="AX23" s="266" t="n"/>
      <c r="AY23" s="266" t="n"/>
      <c r="AZ23" s="266" t="n"/>
      <c r="BA23" s="266" t="n"/>
      <c r="BB23" s="266" t="n"/>
      <c r="BC23" s="266" t="n"/>
      <c r="BD23" s="266" t="n"/>
      <c r="BE23" s="266" t="n"/>
      <c r="BF23" s="266" t="n"/>
      <c r="BG23" s="266" t="n"/>
      <c r="BH23" s="266" t="n"/>
      <c r="BI23" s="266" t="n"/>
      <c r="BJ23" s="266" t="n"/>
      <c r="BK23" s="266" t="n"/>
      <c r="BL23" s="266" t="n"/>
      <c r="BM23" s="266" t="n"/>
      <c r="BN23" s="266" t="n"/>
      <c r="BO23" s="266" t="n"/>
      <c r="BP23" s="266" t="n"/>
      <c r="BQ23" s="266" t="n"/>
      <c r="BR23" s="266" t="n"/>
      <c r="BS23" s="266" t="n"/>
      <c r="BT23" s="266" t="n"/>
      <c r="BU23" s="266" t="n"/>
      <c r="BV23" s="266" t="n"/>
      <c r="BW23" s="266" t="n"/>
      <c r="BX23" s="266" t="n"/>
      <c r="BY23" s="266" t="n"/>
      <c r="BZ23" s="266" t="n"/>
      <c r="CA23" s="266" t="n"/>
      <c r="CB23" s="266" t="n"/>
      <c r="CC23" s="266" t="n"/>
      <c r="CD23" s="266" t="n"/>
      <c r="CE23" s="266" t="n"/>
      <c r="CF23" s="266" t="n"/>
      <c r="CG23" s="266" t="n"/>
      <c r="CH23" s="266" t="n"/>
    </row>
    <row r="24" ht="15" customHeight="1" s="202">
      <c r="A24" s="347" t="inlineStr">
        <is>
          <t>Net Income to Six Peak</t>
        </is>
      </c>
      <c r="B24" s="349">
        <f>SUM(B20:B23)</f>
        <v/>
      </c>
      <c r="C24" s="349">
        <f>SUM(C20:C23)</f>
        <v/>
      </c>
      <c r="D24" s="349">
        <f>SUM(D20:D23)</f>
        <v/>
      </c>
      <c r="E24" s="266" t="n"/>
      <c r="F24" s="266" t="n"/>
      <c r="G24" s="266" t="n"/>
      <c r="H24" s="266" t="n"/>
      <c r="I24" s="266" t="n"/>
      <c r="J24" s="266" t="n"/>
      <c r="K24" s="266" t="n"/>
      <c r="L24" s="266" t="n"/>
      <c r="M24" s="266" t="n"/>
      <c r="N24" s="266" t="n"/>
      <c r="O24" s="266" t="n"/>
      <c r="P24" s="266" t="n"/>
      <c r="Q24" s="266" t="n"/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I24" s="266" t="n"/>
      <c r="AJ24" s="266" t="n"/>
      <c r="AK24" s="266" t="n"/>
      <c r="AL24" s="266" t="n"/>
      <c r="AM24" s="266" t="n"/>
      <c r="AN24" s="266" t="n"/>
      <c r="AO24" s="266" t="n"/>
      <c r="AP24" s="266" t="n"/>
      <c r="AQ24" s="266" t="n"/>
      <c r="AR24" s="266" t="n"/>
      <c r="AS24" s="266" t="n"/>
      <c r="AT24" s="266" t="n"/>
      <c r="AU24" s="266" t="n"/>
      <c r="AV24" s="266" t="n"/>
      <c r="AW24" s="266" t="n"/>
      <c r="AX24" s="266" t="n"/>
      <c r="AY24" s="266" t="n"/>
      <c r="AZ24" s="266" t="n"/>
      <c r="BA24" s="266" t="n"/>
      <c r="BB24" s="266" t="n"/>
      <c r="BC24" s="266" t="n"/>
      <c r="BD24" s="266" t="n"/>
      <c r="BE24" s="266" t="n"/>
      <c r="BF24" s="266" t="n"/>
      <c r="BG24" s="266" t="n"/>
      <c r="BH24" s="266" t="n"/>
      <c r="BI24" s="266" t="n"/>
      <c r="BJ24" s="266" t="n"/>
      <c r="BK24" s="266" t="n"/>
      <c r="BL24" s="266" t="n"/>
      <c r="BM24" s="266" t="n"/>
      <c r="BN24" s="266" t="n"/>
      <c r="BO24" s="266" t="n"/>
      <c r="BP24" s="266" t="n"/>
      <c r="BQ24" s="266" t="n"/>
      <c r="BR24" s="266" t="n"/>
      <c r="BS24" s="266" t="n"/>
      <c r="BT24" s="266" t="n"/>
      <c r="BU24" s="266" t="n"/>
      <c r="BV24" s="266" t="n"/>
      <c r="BW24" s="266" t="n"/>
      <c r="BX24" s="266" t="n"/>
      <c r="BY24" s="266" t="n"/>
      <c r="BZ24" s="266" t="n"/>
      <c r="CA24" s="266" t="n"/>
      <c r="CB24" s="266" t="n"/>
      <c r="CC24" s="266" t="n"/>
      <c r="CD24" s="266" t="n"/>
      <c r="CE24" s="266" t="n"/>
      <c r="CF24" s="266" t="n"/>
      <c r="CG24" s="266" t="n"/>
      <c r="CH24" s="266" t="n"/>
    </row>
    <row r="25" ht="15" customHeight="1" s="202">
      <c r="A25" s="330" t="n"/>
      <c r="B25" s="389" t="n"/>
      <c r="C25" s="389" t="n"/>
      <c r="D25" s="389" t="n"/>
      <c r="E25" s="266" t="n"/>
      <c r="F25" s="266" t="n"/>
      <c r="G25" s="266" t="n"/>
      <c r="H25" s="266" t="n"/>
      <c r="I25" s="266" t="n"/>
      <c r="J25" s="266" t="n"/>
      <c r="K25" s="266" t="n"/>
      <c r="L25" s="266" t="n"/>
      <c r="M25" s="266" t="n"/>
      <c r="N25" s="266" t="n"/>
      <c r="O25" s="266" t="n"/>
      <c r="P25" s="266" t="n"/>
      <c r="Q25" s="266" t="n"/>
      <c r="R25" s="266" t="n"/>
      <c r="S25" s="266" t="n"/>
      <c r="T25" s="266" t="n"/>
      <c r="U25" s="266" t="n"/>
      <c r="V25" s="266" t="n"/>
      <c r="W25" s="266" t="n"/>
      <c r="X25" s="266" t="n"/>
      <c r="Y25" s="266" t="n"/>
      <c r="Z25" s="266" t="n"/>
      <c r="AA25" s="266" t="n"/>
      <c r="AB25" s="266" t="n"/>
      <c r="AC25" s="266" t="n"/>
      <c r="AD25" s="266" t="n"/>
      <c r="AE25" s="266" t="n"/>
      <c r="AF25" s="266" t="n"/>
      <c r="AG25" s="266" t="n"/>
      <c r="AH25" s="266" t="n"/>
      <c r="AI25" s="266" t="n"/>
      <c r="AJ25" s="266" t="n"/>
      <c r="AK25" s="266" t="n"/>
      <c r="AL25" s="266" t="n"/>
      <c r="AM25" s="266" t="n"/>
      <c r="AN25" s="266" t="n"/>
      <c r="AO25" s="266" t="n"/>
      <c r="AP25" s="266" t="n"/>
      <c r="AQ25" s="266" t="n"/>
      <c r="AR25" s="266" t="n"/>
      <c r="AS25" s="266" t="n"/>
      <c r="AT25" s="266" t="n"/>
      <c r="AU25" s="266" t="n"/>
      <c r="AV25" s="266" t="n"/>
      <c r="AW25" s="266" t="n"/>
      <c r="AX25" s="266" t="n"/>
      <c r="AY25" s="266" t="n"/>
      <c r="AZ25" s="266" t="n"/>
      <c r="BA25" s="266" t="n"/>
      <c r="BB25" s="266" t="n"/>
      <c r="BC25" s="266" t="n"/>
      <c r="BD25" s="266" t="n"/>
      <c r="BE25" s="266" t="n"/>
      <c r="BF25" s="266" t="n"/>
      <c r="BG25" s="266" t="n"/>
      <c r="BH25" s="266" t="n"/>
      <c r="BI25" s="266" t="n"/>
      <c r="BJ25" s="266" t="n"/>
      <c r="BK25" s="266" t="n"/>
      <c r="BL25" s="266" t="n"/>
      <c r="BM25" s="266" t="n"/>
      <c r="BN25" s="266" t="n"/>
      <c r="BO25" s="266" t="n"/>
      <c r="BP25" s="266" t="n"/>
      <c r="BQ25" s="266" t="n"/>
      <c r="BR25" s="266" t="n"/>
      <c r="BS25" s="266" t="n"/>
      <c r="BT25" s="266" t="n"/>
      <c r="BU25" s="266" t="n"/>
      <c r="BV25" s="266" t="n"/>
      <c r="BW25" s="266" t="n"/>
      <c r="BX25" s="266" t="n"/>
      <c r="BY25" s="266" t="n"/>
      <c r="BZ25" s="266" t="n"/>
      <c r="CA25" s="266" t="n"/>
      <c r="CB25" s="266" t="n"/>
      <c r="CC25" s="266" t="n"/>
      <c r="CD25" s="266" t="n"/>
      <c r="CE25" s="266" t="n"/>
      <c r="CF25" s="266" t="n"/>
      <c r="CG25" s="266" t="n"/>
      <c r="CH25" s="266" t="n"/>
    </row>
    <row r="26" ht="15" customHeight="1" s="202">
      <c r="A26" s="390" t="inlineStr">
        <is>
          <t>COMBINED</t>
        </is>
      </c>
      <c r="B26" s="391" t="n"/>
      <c r="C26" s="391" t="n"/>
      <c r="D26" s="391" t="n"/>
      <c r="E26" s="266" t="n"/>
      <c r="F26" s="266" t="n"/>
      <c r="G26" s="266" t="n"/>
      <c r="H26" s="266" t="n"/>
      <c r="I26" s="266" t="n"/>
      <c r="J26" s="266" t="n"/>
      <c r="K26" s="266" t="n"/>
      <c r="L26" s="266" t="n"/>
      <c r="M26" s="266" t="n"/>
      <c r="N26" s="266" t="n"/>
      <c r="O26" s="266" t="n"/>
      <c r="P26" s="266" t="n"/>
      <c r="Q26" s="266" t="n"/>
      <c r="R26" s="266" t="n"/>
      <c r="S26" s="266" t="n"/>
      <c r="T26" s="266" t="n"/>
      <c r="U26" s="266" t="n"/>
      <c r="V26" s="266" t="n"/>
      <c r="W26" s="266" t="n"/>
      <c r="X26" s="266" t="n"/>
      <c r="Y26" s="266" t="n"/>
      <c r="Z26" s="266" t="n"/>
      <c r="AA26" s="266" t="n"/>
      <c r="AB26" s="266" t="n"/>
      <c r="AC26" s="266" t="n"/>
      <c r="AD26" s="266" t="n"/>
      <c r="AE26" s="266" t="n"/>
      <c r="AF26" s="266" t="n"/>
      <c r="AG26" s="266" t="n"/>
      <c r="AH26" s="266" t="n"/>
      <c r="AI26" s="266" t="n"/>
      <c r="AJ26" s="266" t="n"/>
      <c r="AK26" s="266" t="n"/>
      <c r="AL26" s="266" t="n"/>
      <c r="AM26" s="266" t="n"/>
      <c r="AN26" s="266" t="n"/>
      <c r="AO26" s="266" t="n"/>
      <c r="AP26" s="266" t="n"/>
      <c r="AQ26" s="266" t="n"/>
      <c r="AR26" s="266" t="n"/>
      <c r="AS26" s="266" t="n"/>
      <c r="AT26" s="266" t="n"/>
      <c r="AU26" s="266" t="n"/>
      <c r="AV26" s="266" t="n"/>
      <c r="AW26" s="266" t="n"/>
      <c r="AX26" s="266" t="n"/>
      <c r="AY26" s="266" t="n"/>
      <c r="AZ26" s="266" t="n"/>
      <c r="BA26" s="266" t="n"/>
      <c r="BB26" s="266" t="n"/>
      <c r="BC26" s="266" t="n"/>
      <c r="BD26" s="266" t="n"/>
      <c r="BE26" s="266" t="n"/>
      <c r="BF26" s="266" t="n"/>
      <c r="BG26" s="266" t="n"/>
      <c r="BH26" s="266" t="n"/>
      <c r="BI26" s="266" t="n"/>
      <c r="BJ26" s="266" t="n"/>
      <c r="BK26" s="266" t="n"/>
      <c r="BL26" s="266" t="n"/>
      <c r="BM26" s="266" t="n"/>
      <c r="BN26" s="266" t="n"/>
      <c r="BO26" s="266" t="n"/>
      <c r="BP26" s="266" t="n"/>
      <c r="BQ26" s="266" t="n"/>
      <c r="BR26" s="266" t="n"/>
      <c r="BS26" s="266" t="n"/>
      <c r="BT26" s="266" t="n"/>
      <c r="BU26" s="266" t="n"/>
      <c r="BV26" s="266" t="n"/>
      <c r="BW26" s="266" t="n"/>
      <c r="BX26" s="266" t="n"/>
      <c r="BY26" s="266" t="n"/>
      <c r="BZ26" s="266" t="n"/>
      <c r="CA26" s="266" t="n"/>
      <c r="CB26" s="266" t="n"/>
      <c r="CC26" s="266" t="n"/>
      <c r="CD26" s="266" t="n"/>
      <c r="CE26" s="266" t="n"/>
      <c r="CF26" s="266" t="n"/>
      <c r="CG26" s="266" t="n"/>
      <c r="CH26" s="266" t="n"/>
    </row>
    <row r="27" ht="15" customHeight="1" s="202">
      <c r="A27" s="392" t="inlineStr">
        <is>
          <t>Total LIHTC Revenue</t>
        </is>
      </c>
      <c r="B27" s="393">
        <f>B6+B13+B20</f>
        <v/>
      </c>
      <c r="C27" s="393">
        <f>C6+C13+C20</f>
        <v/>
      </c>
      <c r="D27" s="393">
        <f>D6+D13+D20</f>
        <v/>
      </c>
      <c r="E27" s="311" t="n"/>
      <c r="F27" s="311" t="n"/>
      <c r="G27" s="311" t="n"/>
      <c r="H27" s="311" t="n"/>
      <c r="I27" s="311" t="n"/>
      <c r="J27" s="311" t="n"/>
      <c r="K27" s="311" t="n"/>
      <c r="L27" s="311" t="n"/>
      <c r="M27" s="311" t="n"/>
      <c r="N27" s="311" t="n"/>
      <c r="O27" s="311" t="n"/>
      <c r="P27" s="311" t="n"/>
      <c r="Q27" s="311" t="n"/>
      <c r="R27" s="311" t="n"/>
      <c r="S27" s="311" t="n"/>
      <c r="T27" s="311" t="n"/>
      <c r="U27" s="311" t="n"/>
      <c r="V27" s="311" t="n"/>
      <c r="W27" s="311" t="n"/>
      <c r="X27" s="311" t="n"/>
      <c r="Y27" s="311" t="n"/>
      <c r="Z27" s="311" t="n"/>
      <c r="AA27" s="311" t="n"/>
      <c r="AB27" s="311" t="n"/>
      <c r="AC27" s="311" t="n"/>
      <c r="AD27" s="311" t="n"/>
      <c r="AE27" s="311" t="n"/>
      <c r="AF27" s="311" t="n"/>
      <c r="AG27" s="311" t="n"/>
      <c r="AH27" s="311" t="n"/>
      <c r="AI27" s="311" t="n"/>
      <c r="AJ27" s="311" t="n"/>
      <c r="AK27" s="311" t="n"/>
      <c r="AL27" s="311" t="n"/>
      <c r="AM27" s="311" t="n"/>
      <c r="AN27" s="311" t="n"/>
      <c r="AO27" s="311" t="n"/>
      <c r="AP27" s="311" t="n"/>
      <c r="AQ27" s="311" t="n"/>
      <c r="AR27" s="311" t="n"/>
      <c r="AS27" s="311" t="n"/>
      <c r="AT27" s="311" t="n"/>
      <c r="AU27" s="311" t="n"/>
      <c r="AV27" s="311" t="n"/>
      <c r="AW27" s="311" t="n"/>
      <c r="AX27" s="311" t="n"/>
      <c r="AY27" s="311" t="n"/>
      <c r="AZ27" s="311" t="n"/>
      <c r="BA27" s="311" t="n"/>
      <c r="BB27" s="311" t="n"/>
      <c r="BC27" s="311" t="n"/>
      <c r="BD27" s="311" t="n"/>
      <c r="BE27" s="311" t="n"/>
      <c r="BF27" s="311" t="n"/>
      <c r="BG27" s="311" t="n"/>
      <c r="BH27" s="311" t="n"/>
      <c r="BI27" s="311" t="n"/>
      <c r="BJ27" s="311" t="n"/>
      <c r="BK27" s="311" t="n"/>
      <c r="BL27" s="311" t="n"/>
      <c r="BM27" s="311" t="n"/>
      <c r="BN27" s="311" t="n"/>
      <c r="BO27" s="311" t="n"/>
      <c r="BP27" s="311" t="n"/>
      <c r="BQ27" s="311" t="n"/>
      <c r="BR27" s="311" t="n"/>
      <c r="BS27" s="311" t="n"/>
      <c r="BT27" s="311" t="n"/>
      <c r="BU27" s="311" t="n"/>
      <c r="BV27" s="311" t="n"/>
      <c r="BW27" s="311" t="n"/>
      <c r="BX27" s="311" t="n"/>
      <c r="BY27" s="311" t="n"/>
      <c r="BZ27" s="311" t="n"/>
      <c r="CA27" s="311" t="n"/>
      <c r="CB27" s="311" t="n"/>
      <c r="CC27" s="311" t="n"/>
      <c r="CD27" s="311" t="n"/>
      <c r="CE27" s="311" t="n"/>
      <c r="CF27" s="311" t="n"/>
      <c r="CG27" s="311" t="n"/>
      <c r="CH27" s="311" t="n"/>
    </row>
    <row r="28" ht="15" customHeight="1" s="202">
      <c r="A28" s="311" t="inlineStr">
        <is>
          <t>Total GMP Fees</t>
        </is>
      </c>
      <c r="B28" s="266">
        <f>B7+B14+B21</f>
        <v/>
      </c>
      <c r="C28" s="266">
        <f>C7+C14+C21</f>
        <v/>
      </c>
      <c r="D28" s="266">
        <f>D7+D14+D21</f>
        <v/>
      </c>
      <c r="E28" s="311" t="n"/>
      <c r="F28" s="311" t="n"/>
      <c r="G28" s="311" t="n"/>
      <c r="H28" s="311" t="n"/>
      <c r="I28" s="311" t="n"/>
      <c r="J28" s="311" t="n"/>
      <c r="K28" s="311" t="n"/>
      <c r="L28" s="311" t="n"/>
      <c r="M28" s="311" t="n"/>
      <c r="N28" s="311" t="n"/>
      <c r="O28" s="311" t="n"/>
      <c r="P28" s="311" t="n"/>
      <c r="Q28" s="311" t="n"/>
      <c r="R28" s="311" t="n"/>
      <c r="S28" s="311" t="n"/>
      <c r="T28" s="311" t="n"/>
      <c r="U28" s="311" t="n"/>
      <c r="V28" s="311" t="n"/>
      <c r="W28" s="311" t="n"/>
      <c r="X28" s="311" t="n"/>
      <c r="Y28" s="311" t="n"/>
      <c r="Z28" s="311" t="n"/>
      <c r="AA28" s="311" t="n"/>
      <c r="AB28" s="311" t="n"/>
      <c r="AC28" s="311" t="n"/>
      <c r="AD28" s="311" t="n"/>
      <c r="AE28" s="311" t="n"/>
      <c r="AF28" s="311" t="n"/>
      <c r="AG28" s="311" t="n"/>
      <c r="AH28" s="311" t="n"/>
      <c r="AI28" s="311" t="n"/>
      <c r="AJ28" s="311" t="n"/>
      <c r="AK28" s="311" t="n"/>
      <c r="AL28" s="311" t="n"/>
      <c r="AM28" s="311" t="n"/>
      <c r="AN28" s="311" t="n"/>
      <c r="AO28" s="311" t="n"/>
      <c r="AP28" s="311" t="n"/>
      <c r="AQ28" s="311" t="n"/>
      <c r="AR28" s="311" t="n"/>
      <c r="AS28" s="311" t="n"/>
      <c r="AT28" s="311" t="n"/>
      <c r="AU28" s="311" t="n"/>
      <c r="AV28" s="311" t="n"/>
      <c r="AW28" s="311" t="n"/>
      <c r="AX28" s="311" t="n"/>
      <c r="AY28" s="311" t="n"/>
      <c r="AZ28" s="311" t="n"/>
      <c r="BA28" s="311" t="n"/>
      <c r="BB28" s="311" t="n"/>
      <c r="BC28" s="311" t="n"/>
      <c r="BD28" s="311" t="n"/>
      <c r="BE28" s="311" t="n"/>
      <c r="BF28" s="311" t="n"/>
      <c r="BG28" s="311" t="n"/>
      <c r="BH28" s="311" t="n"/>
      <c r="BI28" s="311" t="n"/>
      <c r="BJ28" s="311" t="n"/>
      <c r="BK28" s="311" t="n"/>
      <c r="BL28" s="311" t="n"/>
      <c r="BM28" s="311" t="n"/>
      <c r="BN28" s="311" t="n"/>
      <c r="BO28" s="311" t="n"/>
      <c r="BP28" s="311" t="n"/>
      <c r="BQ28" s="311" t="n"/>
      <c r="BR28" s="311" t="n"/>
      <c r="BS28" s="311" t="n"/>
      <c r="BT28" s="311" t="n"/>
      <c r="BU28" s="311" t="n"/>
      <c r="BV28" s="311" t="n"/>
      <c r="BW28" s="311" t="n"/>
      <c r="BX28" s="311" t="n"/>
      <c r="BY28" s="311" t="n"/>
      <c r="BZ28" s="311" t="n"/>
      <c r="CA28" s="311" t="n"/>
      <c r="CB28" s="311" t="n"/>
      <c r="CC28" s="311" t="n"/>
      <c r="CD28" s="311" t="n"/>
      <c r="CE28" s="311" t="n"/>
      <c r="CF28" s="311" t="n"/>
      <c r="CG28" s="311" t="n"/>
      <c r="CH28" s="311" t="n"/>
    </row>
    <row r="29" ht="15" customHeight="1" s="202">
      <c r="A29" s="394" t="inlineStr">
        <is>
          <t>Total Liquidity Fees</t>
        </is>
      </c>
      <c r="B29" s="395">
        <f>B8+B15+B22</f>
        <v/>
      </c>
      <c r="C29" s="395">
        <f>C8+C15+C22</f>
        <v/>
      </c>
      <c r="D29" s="395">
        <f>D8+D15+D22</f>
        <v/>
      </c>
      <c r="E29" s="266" t="n"/>
      <c r="F29" s="266" t="n"/>
      <c r="G29" s="266" t="n"/>
      <c r="H29" s="266" t="n"/>
      <c r="I29" s="266" t="n"/>
      <c r="J29" s="266" t="n"/>
      <c r="K29" s="266" t="n"/>
      <c r="L29" s="266" t="n"/>
      <c r="M29" s="266" t="n"/>
      <c r="N29" s="266" t="n"/>
      <c r="O29" s="266" t="n"/>
      <c r="P29" s="266" t="n"/>
      <c r="Q29" s="266" t="n"/>
      <c r="R29" s="266" t="n"/>
      <c r="S29" s="266" t="n"/>
      <c r="T29" s="266" t="n"/>
      <c r="U29" s="266" t="n"/>
      <c r="V29" s="266" t="n"/>
      <c r="W29" s="266" t="n"/>
      <c r="X29" s="266" t="n"/>
      <c r="Y29" s="266" t="n"/>
      <c r="Z29" s="266" t="n"/>
      <c r="AA29" s="266" t="n"/>
      <c r="AB29" s="266" t="n"/>
      <c r="AC29" s="266" t="n"/>
      <c r="AD29" s="266" t="n"/>
      <c r="AE29" s="266" t="n"/>
      <c r="AF29" s="266" t="n"/>
      <c r="AG29" s="266" t="n"/>
      <c r="AH29" s="266" t="n"/>
      <c r="AI29" s="266" t="n"/>
      <c r="AJ29" s="266" t="n"/>
      <c r="AK29" s="266" t="n"/>
      <c r="AL29" s="266" t="n"/>
      <c r="AM29" s="266" t="n"/>
      <c r="AN29" s="266" t="n"/>
      <c r="AO29" s="266" t="n"/>
      <c r="AP29" s="266" t="n"/>
      <c r="AQ29" s="266" t="n"/>
      <c r="AR29" s="266" t="n"/>
      <c r="AS29" s="266" t="n"/>
      <c r="AT29" s="266" t="n"/>
      <c r="AU29" s="266" t="n"/>
      <c r="AV29" s="266" t="n"/>
      <c r="AW29" s="266" t="n"/>
      <c r="AX29" s="266" t="n"/>
      <c r="AY29" s="266" t="n"/>
      <c r="AZ29" s="266" t="n"/>
      <c r="BA29" s="266" t="n"/>
      <c r="BB29" s="266" t="n"/>
      <c r="BC29" s="266" t="n"/>
      <c r="BD29" s="266" t="n"/>
      <c r="BE29" s="266" t="n"/>
      <c r="BF29" s="266" t="n"/>
      <c r="BG29" s="266" t="n"/>
      <c r="BH29" s="266" t="n"/>
      <c r="BI29" s="266" t="n"/>
      <c r="BJ29" s="266" t="n"/>
      <c r="BK29" s="266" t="n"/>
      <c r="BL29" s="266" t="n"/>
      <c r="BM29" s="266" t="n"/>
      <c r="BN29" s="266" t="n"/>
      <c r="BO29" s="266" t="n"/>
      <c r="BP29" s="266" t="n"/>
      <c r="BQ29" s="266" t="n"/>
      <c r="BR29" s="266" t="n"/>
      <c r="BS29" s="266" t="n"/>
      <c r="BT29" s="266" t="n"/>
      <c r="BU29" s="266" t="n"/>
      <c r="BV29" s="266" t="n"/>
      <c r="BW29" s="266" t="n"/>
      <c r="BX29" s="266" t="n"/>
      <c r="BY29" s="266" t="n"/>
      <c r="BZ29" s="266" t="n"/>
      <c r="CA29" s="266" t="n"/>
      <c r="CB29" s="266" t="n"/>
      <c r="CC29" s="266" t="n"/>
      <c r="CD29" s="266" t="n"/>
      <c r="CE29" s="266" t="n"/>
      <c r="CF29" s="266" t="n"/>
      <c r="CG29" s="266" t="n"/>
      <c r="CH29" s="266" t="n"/>
    </row>
    <row r="30" ht="15" customHeight="1" s="202">
      <c r="A30" s="396" t="inlineStr">
        <is>
          <t>Total PIK Interest</t>
        </is>
      </c>
      <c r="B30" s="397">
        <f>B9+B16+B23</f>
        <v/>
      </c>
      <c r="C30" s="397">
        <f>C9+C16+C23</f>
        <v/>
      </c>
      <c r="D30" s="397">
        <f>D9+D16+D23</f>
        <v/>
      </c>
      <c r="E30" s="266" t="n"/>
      <c r="F30" s="266" t="n"/>
      <c r="G30" s="266" t="n"/>
      <c r="H30" s="266" t="n"/>
      <c r="I30" s="266" t="n"/>
      <c r="J30" s="266" t="n"/>
      <c r="K30" s="266" t="n"/>
      <c r="L30" s="266" t="n"/>
      <c r="M30" s="266" t="n"/>
      <c r="N30" s="266" t="n"/>
      <c r="O30" s="266" t="n"/>
      <c r="P30" s="266" t="n"/>
      <c r="Q30" s="266" t="n"/>
      <c r="R30" s="266" t="n"/>
      <c r="S30" s="266" t="n"/>
      <c r="T30" s="266" t="n"/>
      <c r="U30" s="266" t="n"/>
      <c r="V30" s="266" t="n"/>
      <c r="W30" s="266" t="n"/>
      <c r="X30" s="266" t="n"/>
      <c r="Y30" s="266" t="n"/>
      <c r="Z30" s="266" t="n"/>
      <c r="AA30" s="266" t="n"/>
      <c r="AB30" s="266" t="n"/>
      <c r="AC30" s="266" t="n"/>
      <c r="AD30" s="266" t="n"/>
      <c r="AE30" s="266" t="n"/>
      <c r="AF30" s="266" t="n"/>
      <c r="AG30" s="266" t="n"/>
      <c r="AH30" s="266" t="n"/>
      <c r="AI30" s="266" t="n"/>
      <c r="AJ30" s="266" t="n"/>
      <c r="AK30" s="266" t="n"/>
      <c r="AL30" s="266" t="n"/>
      <c r="AM30" s="266" t="n"/>
      <c r="AN30" s="266" t="n"/>
      <c r="AO30" s="266" t="n"/>
      <c r="AP30" s="266" t="n"/>
      <c r="AQ30" s="266" t="n"/>
      <c r="AR30" s="266" t="n"/>
      <c r="AS30" s="266" t="n"/>
      <c r="AT30" s="266" t="n"/>
      <c r="AU30" s="266" t="n"/>
      <c r="AV30" s="266" t="n"/>
      <c r="AW30" s="266" t="n"/>
      <c r="AX30" s="266" t="n"/>
      <c r="AY30" s="266" t="n"/>
      <c r="AZ30" s="266" t="n"/>
      <c r="BA30" s="266" t="n"/>
      <c r="BB30" s="266" t="n"/>
      <c r="BC30" s="266" t="n"/>
      <c r="BD30" s="266" t="n"/>
      <c r="BE30" s="266" t="n"/>
      <c r="BF30" s="266" t="n"/>
      <c r="BG30" s="266" t="n"/>
      <c r="BH30" s="266" t="n"/>
      <c r="BI30" s="266" t="n"/>
      <c r="BJ30" s="266" t="n"/>
      <c r="BK30" s="266" t="n"/>
      <c r="BL30" s="266" t="n"/>
      <c r="BM30" s="266" t="n"/>
      <c r="BN30" s="266" t="n"/>
      <c r="BO30" s="266" t="n"/>
      <c r="BP30" s="266" t="n"/>
      <c r="BQ30" s="266" t="n"/>
      <c r="BR30" s="266" t="n"/>
      <c r="BS30" s="266" t="n"/>
      <c r="BT30" s="266" t="n"/>
      <c r="BU30" s="266" t="n"/>
      <c r="BV30" s="266" t="n"/>
      <c r="BW30" s="266" t="n"/>
      <c r="BX30" s="266" t="n"/>
      <c r="BY30" s="266" t="n"/>
      <c r="BZ30" s="266" t="n"/>
      <c r="CA30" s="266" t="n"/>
      <c r="CB30" s="266" t="n"/>
      <c r="CC30" s="266" t="n"/>
      <c r="CD30" s="266" t="n"/>
      <c r="CE30" s="266" t="n"/>
      <c r="CF30" s="266" t="n"/>
      <c r="CG30" s="266" t="n"/>
      <c r="CH30" s="266" t="n"/>
    </row>
    <row r="31" ht="15" customHeight="1" s="202">
      <c r="A31" s="207" t="inlineStr">
        <is>
          <t>Combined Net Income to Six Peak</t>
        </is>
      </c>
      <c r="B31" s="208">
        <f>B10+B17+B24</f>
        <v/>
      </c>
      <c r="C31" s="208">
        <f>C10+C17+C24</f>
        <v/>
      </c>
      <c r="D31" s="208">
        <f>D10+D17+D24</f>
        <v/>
      </c>
      <c r="E31" s="266" t="n"/>
      <c r="F31" s="266" t="n"/>
      <c r="G31" s="266" t="n"/>
      <c r="H31" s="266" t="n"/>
      <c r="I31" s="266" t="n"/>
      <c r="J31" s="266" t="n"/>
      <c r="K31" s="266" t="n"/>
      <c r="L31" s="266" t="n"/>
      <c r="M31" s="266" t="n"/>
      <c r="N31" s="266" t="n"/>
      <c r="O31" s="266" t="n"/>
      <c r="P31" s="266" t="n"/>
      <c r="Q31" s="266" t="n"/>
      <c r="R31" s="266" t="n"/>
      <c r="S31" s="266" t="n"/>
      <c r="T31" s="266" t="n"/>
      <c r="U31" s="266" t="n"/>
      <c r="V31" s="266" t="n"/>
      <c r="W31" s="266" t="n"/>
      <c r="X31" s="266" t="n"/>
      <c r="Y31" s="266" t="n"/>
      <c r="Z31" s="266" t="n"/>
      <c r="AA31" s="266" t="n"/>
      <c r="AB31" s="266" t="n"/>
      <c r="AC31" s="266" t="n"/>
      <c r="AD31" s="266" t="n"/>
      <c r="AE31" s="266" t="n"/>
      <c r="AF31" s="266" t="n"/>
      <c r="AG31" s="266" t="n"/>
      <c r="AH31" s="266" t="n"/>
      <c r="AI31" s="266" t="n"/>
      <c r="AJ31" s="266" t="n"/>
      <c r="AK31" s="266" t="n"/>
      <c r="AL31" s="266" t="n"/>
      <c r="AM31" s="266" t="n"/>
      <c r="AN31" s="266" t="n"/>
      <c r="AO31" s="266" t="n"/>
      <c r="AP31" s="266" t="n"/>
      <c r="AQ31" s="266" t="n"/>
      <c r="AR31" s="266" t="n"/>
      <c r="AS31" s="266" t="n"/>
      <c r="AT31" s="266" t="n"/>
      <c r="AU31" s="266" t="n"/>
      <c r="AV31" s="266" t="n"/>
      <c r="AW31" s="266" t="n"/>
      <c r="AX31" s="266" t="n"/>
      <c r="AY31" s="266" t="n"/>
      <c r="AZ31" s="266" t="n"/>
      <c r="BA31" s="266" t="n"/>
      <c r="BB31" s="266" t="n"/>
      <c r="BC31" s="266" t="n"/>
      <c r="BD31" s="266" t="n"/>
      <c r="BE31" s="266" t="n"/>
      <c r="BF31" s="266" t="n"/>
      <c r="BG31" s="266" t="n"/>
      <c r="BH31" s="266" t="n"/>
      <c r="BI31" s="266" t="n"/>
      <c r="BJ31" s="266" t="n"/>
      <c r="BK31" s="266" t="n"/>
      <c r="BL31" s="266" t="n"/>
      <c r="BM31" s="266" t="n"/>
      <c r="BN31" s="266" t="n"/>
      <c r="BO31" s="266" t="n"/>
      <c r="BP31" s="266" t="n"/>
      <c r="BQ31" s="266" t="n"/>
      <c r="BR31" s="266" t="n"/>
      <c r="BS31" s="266" t="n"/>
      <c r="BT31" s="266" t="n"/>
      <c r="BU31" s="266" t="n"/>
      <c r="BV31" s="266" t="n"/>
      <c r="BW31" s="266" t="n"/>
      <c r="BX31" s="266" t="n"/>
      <c r="BY31" s="266" t="n"/>
      <c r="BZ31" s="266" t="n"/>
      <c r="CA31" s="266" t="n"/>
      <c r="CB31" s="266" t="n"/>
      <c r="CC31" s="266" t="n"/>
      <c r="CD31" s="266" t="n"/>
      <c r="CE31" s="266" t="n"/>
      <c r="CF31" s="266" t="n"/>
      <c r="CG31" s="266" t="n"/>
      <c r="CH31" s="266" t="n"/>
    </row>
    <row r="32" ht="15" customHeight="1" s="202">
      <c r="A32" s="398" t="n"/>
      <c r="B32" s="399" t="n"/>
      <c r="C32" s="399" t="n"/>
      <c r="D32" s="399" t="n"/>
      <c r="E32" s="311" t="n"/>
      <c r="F32" s="311" t="n"/>
      <c r="G32" s="311" t="n"/>
      <c r="H32" s="311" t="n"/>
      <c r="I32" s="311" t="n"/>
      <c r="J32" s="311" t="n"/>
      <c r="K32" s="311" t="n"/>
      <c r="L32" s="311" t="n"/>
      <c r="M32" s="311" t="n"/>
      <c r="N32" s="311" t="n"/>
      <c r="O32" s="311" t="n"/>
      <c r="P32" s="311" t="n"/>
      <c r="Q32" s="311" t="n"/>
      <c r="R32" s="311" t="n"/>
      <c r="S32" s="311" t="n"/>
      <c r="T32" s="311" t="n"/>
      <c r="U32" s="311" t="n"/>
      <c r="V32" s="311" t="n"/>
      <c r="W32" s="311" t="n"/>
      <c r="X32" s="311" t="n"/>
      <c r="Y32" s="311" t="n"/>
      <c r="Z32" s="311" t="n"/>
      <c r="AA32" s="311" t="n"/>
      <c r="AB32" s="311" t="n"/>
      <c r="AC32" s="311" t="n"/>
      <c r="AD32" s="311" t="n"/>
      <c r="AE32" s="311" t="n"/>
      <c r="AF32" s="311" t="n"/>
      <c r="AG32" s="311" t="n"/>
      <c r="AH32" s="311" t="n"/>
      <c r="AI32" s="311" t="n"/>
      <c r="AJ32" s="311" t="n"/>
      <c r="AK32" s="311" t="n"/>
      <c r="AL32" s="311" t="n"/>
      <c r="AM32" s="311" t="n"/>
      <c r="AN32" s="311" t="n"/>
      <c r="AO32" s="311" t="n"/>
      <c r="AP32" s="311" t="n"/>
      <c r="AQ32" s="311" t="n"/>
      <c r="AR32" s="311" t="n"/>
      <c r="AS32" s="311" t="n"/>
      <c r="AT32" s="311" t="n"/>
      <c r="AU32" s="311" t="n"/>
      <c r="AV32" s="311" t="n"/>
      <c r="AW32" s="311" t="n"/>
      <c r="AX32" s="311" t="n"/>
      <c r="AY32" s="311" t="n"/>
      <c r="AZ32" s="311" t="n"/>
      <c r="BA32" s="311" t="n"/>
      <c r="BB32" s="311" t="n"/>
      <c r="BC32" s="311" t="n"/>
      <c r="BD32" s="311" t="n"/>
      <c r="BE32" s="311" t="n"/>
      <c r="BF32" s="311" t="n"/>
      <c r="BG32" s="311" t="n"/>
      <c r="BH32" s="311" t="n"/>
      <c r="BI32" s="311" t="n"/>
      <c r="BJ32" s="311" t="n"/>
      <c r="BK32" s="311" t="n"/>
      <c r="BL32" s="311" t="n"/>
      <c r="BM32" s="311" t="n"/>
      <c r="BN32" s="311" t="n"/>
      <c r="BO32" s="311" t="n"/>
      <c r="BP32" s="311" t="n"/>
      <c r="BQ32" s="311" t="n"/>
      <c r="BR32" s="311" t="n"/>
      <c r="BS32" s="311" t="n"/>
      <c r="BT32" s="311" t="n"/>
      <c r="BU32" s="311" t="n"/>
      <c r="BV32" s="311" t="n"/>
      <c r="BW32" s="311" t="n"/>
      <c r="BX32" s="311" t="n"/>
      <c r="BY32" s="311" t="n"/>
      <c r="BZ32" s="311" t="n"/>
      <c r="CA32" s="311" t="n"/>
      <c r="CB32" s="311" t="n"/>
      <c r="CC32" s="311" t="n"/>
      <c r="CD32" s="311" t="n"/>
      <c r="CE32" s="311" t="n"/>
      <c r="CF32" s="311" t="n"/>
      <c r="CG32" s="311" t="n"/>
      <c r="CH32" s="311" t="n"/>
    </row>
    <row r="33" ht="15" customHeight="1" s="202">
      <c r="A33" s="330" t="n"/>
      <c r="B33" s="389" t="n"/>
      <c r="C33" s="389" t="n"/>
      <c r="D33" s="389" t="n"/>
      <c r="E33" s="266" t="n"/>
      <c r="F33" s="266" t="n"/>
      <c r="G33" s="266" t="n"/>
      <c r="H33" s="266" t="n"/>
      <c r="I33" s="266" t="n"/>
      <c r="J33" s="266" t="n"/>
      <c r="K33" s="266" t="n"/>
      <c r="L33" s="266" t="n"/>
      <c r="M33" s="266" t="n"/>
      <c r="N33" s="266" t="n"/>
      <c r="O33" s="266" t="n"/>
      <c r="P33" s="266" t="n"/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  <c r="AH33" s="266" t="n"/>
      <c r="AI33" s="266" t="n"/>
      <c r="AJ33" s="266" t="n"/>
      <c r="AK33" s="266" t="n"/>
      <c r="AL33" s="266" t="n"/>
      <c r="AM33" s="266" t="n"/>
      <c r="AN33" s="266" t="n"/>
      <c r="AO33" s="266" t="n"/>
      <c r="AP33" s="266" t="n"/>
      <c r="AQ33" s="266" t="n"/>
      <c r="AR33" s="266" t="n"/>
      <c r="AS33" s="266" t="n"/>
      <c r="AT33" s="266" t="n"/>
      <c r="AU33" s="266" t="n"/>
      <c r="AV33" s="266" t="n"/>
      <c r="AW33" s="266" t="n"/>
      <c r="AX33" s="266" t="n"/>
      <c r="AY33" s="266" t="n"/>
      <c r="AZ33" s="266" t="n"/>
      <c r="BA33" s="266" t="n"/>
      <c r="BB33" s="266" t="n"/>
      <c r="BC33" s="266" t="n"/>
      <c r="BD33" s="266" t="n"/>
      <c r="BE33" s="266" t="n"/>
      <c r="BF33" s="266" t="n"/>
      <c r="BG33" s="266" t="n"/>
      <c r="BH33" s="266" t="n"/>
      <c r="BI33" s="266" t="n"/>
      <c r="BJ33" s="266" t="n"/>
      <c r="BK33" s="266" t="n"/>
      <c r="BL33" s="266" t="n"/>
      <c r="BM33" s="266" t="n"/>
      <c r="BN33" s="266" t="n"/>
      <c r="BO33" s="266" t="n"/>
      <c r="BP33" s="266" t="n"/>
      <c r="BQ33" s="266" t="n"/>
      <c r="BR33" s="266" t="n"/>
      <c r="BS33" s="266" t="n"/>
      <c r="BT33" s="266" t="n"/>
      <c r="BU33" s="266" t="n"/>
      <c r="BV33" s="266" t="n"/>
      <c r="BW33" s="266" t="n"/>
      <c r="BX33" s="266" t="n"/>
      <c r="BY33" s="266" t="n"/>
      <c r="BZ33" s="266" t="n"/>
      <c r="CA33" s="266" t="n"/>
      <c r="CB33" s="266" t="n"/>
      <c r="CC33" s="266" t="n"/>
      <c r="CD33" s="266" t="n"/>
      <c r="CE33" s="266" t="n"/>
      <c r="CF33" s="266" t="n"/>
      <c r="CG33" s="266" t="n"/>
      <c r="CH33" s="266" t="n"/>
    </row>
    <row r="34" ht="15" customHeight="1" s="202">
      <c r="A34" s="398" t="n"/>
      <c r="B34" s="399" t="n"/>
      <c r="C34" s="399" t="n"/>
      <c r="D34" s="399" t="n"/>
    </row>
    <row r="35" ht="15" customHeight="1" s="202">
      <c r="A35" s="376" t="n"/>
      <c r="B35" s="377" t="n"/>
      <c r="C35" s="377" t="n"/>
      <c r="D35" s="377" t="n"/>
    </row>
    <row r="36" ht="15" customHeight="1" s="202"/>
    <row r="37" ht="15" customHeight="1" s="202">
      <c r="A37" s="400" t="n"/>
    </row>
    <row r="38" ht="15" customHeight="1" s="202">
      <c r="A38" s="401" t="n"/>
    </row>
    <row r="39" ht="15" customHeight="1" s="202">
      <c r="A39" s="401" t="n"/>
    </row>
    <row r="40" ht="15" customHeight="1" s="202">
      <c r="A40" s="401" t="inlineStr">
        <is>
          <t>Interest Carry = Steyn balance accrual (GMP + Liquidity unpaid balance interest)</t>
        </is>
      </c>
    </row>
    <row r="41" ht="15" customHeight="1" s="202">
      <c r="A41" s="401" t="inlineStr">
        <is>
          <t>PIK Interest = 15% annual (3.75% quarterly) on Project Investment Capital</t>
        </is>
      </c>
    </row>
    <row r="42" ht="15" customHeight="1" s="202">
      <c r="A42" s="401" t="inlineStr">
        <is>
          <t>3rd St: 36 remaining quarterly LIHTC payments at $73,155; PIK balance of $570K fully repaid post-model</t>
        </is>
      </c>
    </row>
    <row r="43" ht="15" customHeight="1" s="202">
      <c r="A43" s="401" t="inlineStr">
        <is>
          <t>Reseda: 28 remaining quarterly LIHTC payments at $81,362; PIK and Steyn fully repaid in-model</t>
        </is>
      </c>
    </row>
    <row r="44" ht="15" customHeight="1" s="202">
      <c r="A44" s="401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2026-03-23T03:32:22Z</dcterms:created>
  <dcterms:modified xsi:type="dcterms:W3CDTF">2026-04-02T19:27:58Z</dcterms:modified>
  <cp:lastModifiedBy>Chris Aiello</cp:lastModifiedBy>
  <cp:revision>0</cp:revision>
</cp:coreProperties>
</file>