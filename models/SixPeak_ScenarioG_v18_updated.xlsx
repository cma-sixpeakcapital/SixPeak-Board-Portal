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<sst xmlns="http://schemas.openxmlformats.org/spreadsheetml/2006/main" count="1173" uniqueCount="696">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</sst>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599023.02</v>
      </c>
      <c r="D19" s="19" t="n">
        <f aca="false">Model!X63+Model!Y63+Model!Z63+Model!AA63+Model!AB63+Model!AC63+Model!AD63+Model!AE63+Model!AF63+Model!AG63+Model!AH63+Model!AI63</f>
        <v>258671.05</v>
      </c>
      <c r="E19" s="19" t="n">
        <f aca="false">Model!AJ63+Model!AK63+Model!AL63+Model!AM63+Model!AN63+Model!AO63+Model!AP63+Model!AQ63+Model!AR63+Model!AS63+Model!AT63+Model!AU63</f>
        <v>163365</v>
      </c>
      <c r="F19" s="19" t="n">
        <f aca="false">Model!AV63+Model!AW63+Model!AX63+Model!AY63+Model!AZ63+Model!BA63+Model!BB63+Model!BC63+Model!BD63+Model!BE63+Model!BF63+Model!BG63</f>
        <v>1276957</v>
      </c>
      <c r="G19" s="19" t="n">
        <f aca="false">Model!BH63+Model!BI63+Model!BJ63+Model!BK63+Model!BL63+Model!BM63+Model!BN63+Model!BO63+Model!BP63+Model!BQ63+Model!BR63+Model!BS63</f>
        <v>546560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-902153.605</v>
      </c>
      <c r="D21" s="16" t="n">
        <f aca="false">Model!X86+Model!Y86+Model!Z86+Model!AA86+Model!AB86+Model!AC86+Model!AD86+Model!AE86+Model!AF86+Model!AG86+Model!AH86+Model!AI86</f>
        <v>-1272529.1075</v>
      </c>
      <c r="E21" s="16" t="n">
        <f aca="false">Model!AJ86+Model!AK86+Model!AL86+Model!AM86+Model!AN86+Model!AO86+Model!AP86+Model!AQ86+Model!AR86+Model!AS86+Model!AT86+Model!AU86</f>
        <v>-1561824.16065</v>
      </c>
      <c r="F21" s="16" t="n">
        <f aca="false">Model!AV86+Model!AW86+Model!AX86+Model!AY86+Model!AZ86+Model!BA86+Model!BB86+Model!BC86+Model!BD86+Model!BE86+Model!BF86+Model!BG86</f>
        <v>-1593060.643863</v>
      </c>
      <c r="G21" s="16" t="n">
        <f aca="false">Model!BH86+Model!BI86+Model!BJ86+Model!BK86+Model!BL86+Model!BM86+Model!BN86+Model!BO86+Model!BP86+Model!BQ86+Model!BR86+Model!BS86</f>
        <v>-1505646.33674026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3124264.85219282</v>
      </c>
      <c r="D23" s="16" t="n">
        <f aca="false">Model!X95+Model!Y95+Model!Z95+Model!AA95+Model!AB95+Model!AC95+Model!AD95+Model!AE95+Model!AF95+Model!AG95+Model!AH95+Model!AI95</f>
        <v>2057144.49152392</v>
      </c>
      <c r="E23" s="16" t="n">
        <f aca="false">Model!AJ95+Model!AK95+Model!AL95+Model!AM95+Model!AN95+Model!AO95+Model!AP95+Model!AQ95+Model!AR95+Model!AS95+Model!AT95+Model!AU95</f>
        <v>-3151299.33973149</v>
      </c>
      <c r="F23" s="16" t="n">
        <f aca="false">Model!AV95+Model!AW95+Model!AX95+Model!AY95+Model!AZ95+Model!BA95+Model!BB95+Model!BC95+Model!BD95+Model!BE95+Model!BF95+Model!BG95</f>
        <v>-5629297.39968002</v>
      </c>
      <c r="G23" s="16" t="n">
        <f aca="false">Model!BH95+Model!BI95+Model!BJ95+Model!BK95+Model!BL95+Model!BM95+Model!BN95+Model!BO95+Model!BP95+Model!BQ95+Model!BR95+Model!BS95</f>
        <v>-7380179.68767362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-3084254.73828545</v>
      </c>
      <c r="D43" s="21" t="n">
        <f aca="false">Model!AI155</f>
        <v>-4606783.84578545</v>
      </c>
      <c r="E43" s="21" t="n">
        <f aca="false">Model!AU155</f>
        <v>-6418608.00643545</v>
      </c>
      <c r="F43" s="21" t="n">
        <f aca="false">Model!BG155</f>
        <v>-8011668.65029845</v>
      </c>
      <c r="G43" s="21" t="n">
        <f aca="false">Model!BS155</f>
        <v>-9517314.9870387</v>
      </c>
      <c r="H43" s="21" t="n">
        <f aca="false">Model!CE155</f>
        <v>-10886213.2809138</v>
      </c>
      <c r="I43" s="21" t="n">
        <f aca="false">Model!CH155</f>
        <v>-11207053.6755822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-937279.455657847</v>
      </c>
      <c r="E44" s="21" t="n">
        <f aca="false">Model!AJ159+Model!AK159+Model!AL159+Model!AM159+Model!AN159+Model!AO159+Model!AP159+Model!AQ159+Model!AR159+Model!AS159+Model!AT159+Model!AU159</f>
        <v>-617143.347457176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5189823.45066033</v>
      </c>
      <c r="D45" s="23" t="n">
        <f aca="false">Model!AI160</f>
        <v>6996967.94218425</v>
      </c>
      <c r="E45" s="23" t="n">
        <f aca="false">Model!AU160</f>
        <v>3595668.60245276</v>
      </c>
      <c r="F45" s="23" t="n">
        <f aca="false">Model!BG160</f>
        <v>-2033628.79722727</v>
      </c>
      <c r="G45" s="23" t="n">
        <f aca="false">Model!BS160</f>
        <v>-9413808.48490089</v>
      </c>
      <c r="H45" s="23" t="n">
        <f aca="false">Model!CE160</f>
        <v>-16774730.796728</v>
      </c>
      <c r="I45" s="23" t="n">
        <f aca="false">Model!CH160</f>
        <v>-18600956.535808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0</v>
      </c>
      <c r="M62" s="10" t="n">
        <f aca="false">IF(Uplifters!$B$2="Yes",Uplifters!M107,0)</f>
        <v>0</v>
      </c>
      <c r="N62" s="10" t="n">
        <f aca="false">IF(Uplifters!$B$2="Yes",Uplifters!N107,0)</f>
        <v>0</v>
      </c>
      <c r="O62" s="10" t="n">
        <f aca="false">IF(Uplifters!$B$2="Yes",Uplifters!O107,0)</f>
        <v>0</v>
      </c>
      <c r="P62" s="10" t="n">
        <f aca="false">IF(Uplifters!$B$2="Yes",Uplifters!P107,0)</f>
        <v>0</v>
      </c>
      <c r="Q62" s="10" t="n">
        <f aca="false">IF(Uplifters!$B$2="Yes",Uplifters!Q107,0)</f>
        <v>0</v>
      </c>
      <c r="R62" s="10" t="n">
        <f aca="false">IF(Uplifters!$B$2="Yes",Uplifters!R107,0)</f>
        <v>0</v>
      </c>
      <c r="S62" s="10" t="n">
        <f aca="false">IF(Uplifters!$B$2="Yes",Uplifters!S107,0)</f>
        <v>0</v>
      </c>
      <c r="T62" s="10" t="n">
        <f aca="false">IF(Uplifters!$B$2="Yes",Uplifters!T107,0)</f>
        <v>0</v>
      </c>
      <c r="U62" s="10" t="n">
        <f aca="false">IF(Uplifters!$B$2="Yes",Uplifters!U107,0)</f>
        <v>0</v>
      </c>
      <c r="V62" s="10" t="n">
        <f aca="false">IF(Uplifters!$B$2="Yes",Uplifters!V107,0)</f>
        <v>0</v>
      </c>
      <c r="W62" s="10" t="n">
        <f aca="false">IF(Uplifters!$B$2="Yes",Uplifters!W107,0)</f>
        <v>0</v>
      </c>
      <c r="X62" s="10" t="n">
        <f aca="false">IF(Uplifters!$B$2="Yes",Uplifters!X107,0)</f>
        <v>0</v>
      </c>
      <c r="Y62" s="10" t="n">
        <f aca="false">IF(Uplifters!$B$2="Yes",Uplifters!Y107,0)</f>
        <v>0</v>
      </c>
      <c r="Z62" s="10" t="n">
        <f aca="false">IF(Uplifters!$B$2="Yes",Uplifters!Z107,0)</f>
        <v>0</v>
      </c>
      <c r="AA62" s="10" t="n">
        <f aca="false">IF(Uplifters!$B$2="Yes",Uplifters!AA107,0)</f>
        <v>0</v>
      </c>
      <c r="AB62" s="10" t="n">
        <f aca="false">IF(Uplifters!$B$2="Yes",Uplifters!AB107,0)</f>
        <v>0</v>
      </c>
      <c r="AC62" s="10" t="n">
        <f aca="false">IF(Uplifters!$B$2="Yes",Uplifters!AC107,0)</f>
        <v>0</v>
      </c>
      <c r="AD62" s="10" t="n">
        <f aca="false">IF(Uplifters!$B$2="Yes",Uplifters!AD107,0)</f>
        <v>0</v>
      </c>
      <c r="AE62" s="10" t="n">
        <f aca="false">IF(Uplifters!$B$2="Yes",Uplifters!AE107,0)</f>
        <v>0</v>
      </c>
      <c r="AF62" s="10" t="n">
        <f aca="false">IF(Uplifters!$B$2="Yes",Uplifters!AF107,0)</f>
        <v>0</v>
      </c>
      <c r="AG62" s="10" t="n">
        <f aca="false">IF(Uplifters!$B$2="Yes",Uplifters!AG107,0)</f>
        <v>0</v>
      </c>
      <c r="AH62" s="10" t="n">
        <f aca="false">IF(Uplifters!$B$2="Yes",Uplifters!AH107,0)</f>
        <v>0</v>
      </c>
      <c r="AI62" s="10" t="n">
        <f aca="false">IF(Uplifters!$B$2="Yes",Uplifters!AI107,0)</f>
        <v>0</v>
      </c>
      <c r="AJ62" s="10" t="n">
        <f aca="false">IF(Uplifters!$B$2="Yes",Uplifters!AJ107,0)</f>
        <v>0</v>
      </c>
      <c r="AK62" s="10" t="n">
        <f aca="false">IF(Uplifters!$B$2="Yes",Uplifters!AK107,0)</f>
        <v>0</v>
      </c>
      <c r="AL62" s="10" t="n">
        <f aca="false">IF(Uplifters!$B$2="Yes",Uplifters!AL107,0)</f>
        <v>0</v>
      </c>
      <c r="AM62" s="10" t="n">
        <f aca="false">IF(Uplifters!$B$2="Yes",Uplifters!AM107,0)</f>
        <v>0</v>
      </c>
      <c r="AN62" s="10" t="n">
        <f aca="false">IF(Uplifters!$B$2="Yes",Uplifters!AN107,0)</f>
        <v>0</v>
      </c>
      <c r="AO62" s="10" t="n">
        <f aca="false">IF(Uplifters!$B$2="Yes",Uplifters!AO107,0)</f>
        <v>0</v>
      </c>
      <c r="AP62" s="10" t="n">
        <f aca="false">IF(Uplifters!$B$2="Yes",Uplifters!AP107,0)</f>
        <v>0</v>
      </c>
      <c r="AQ62" s="10" t="n">
        <f aca="false">IF(Uplifters!$B$2="Yes",Uplifters!AQ107,0)</f>
        <v>0</v>
      </c>
      <c r="AR62" s="10" t="n">
        <f aca="false">IF(Uplifters!$B$2="Yes",Uplifters!AR107,0)</f>
        <v>0</v>
      </c>
      <c r="AS62" s="10" t="n">
        <f aca="false">IF(Uplifters!$B$2="Yes",Uplifters!AS107,0)</f>
        <v>0</v>
      </c>
      <c r="AT62" s="10" t="n">
        <f aca="false">IF(Uplifters!$B$2="Yes",Uplifters!AT107,0)</f>
        <v>0</v>
      </c>
      <c r="AU62" s="10" t="n">
        <f aca="false">IF(Uplifters!$B$2="Yes",Uplifters!AU107,0)</f>
        <v>0</v>
      </c>
      <c r="AV62" s="10" t="n">
        <f aca="false">IF(Uplifters!$B$2="Yes",Uplifters!AV107,0)</f>
        <v>0</v>
      </c>
      <c r="AW62" s="10" t="n">
        <f aca="false">IF(Uplifters!$B$2="Yes",Uplifters!AW107,0)</f>
        <v>0</v>
      </c>
      <c r="AX62" s="10" t="n">
        <f aca="false">IF(Uplifters!$B$2="Yes",Uplifters!AX107,0)</f>
        <v>0</v>
      </c>
      <c r="AY62" s="10" t="n">
        <f aca="false">IF(Uplifters!$B$2="Yes",Uplifters!AY107,0)</f>
        <v>0</v>
      </c>
      <c r="AZ62" s="10" t="n">
        <f aca="false">IF(Uplifters!$B$2="Yes",Uplifters!AZ107,0)</f>
        <v>0</v>
      </c>
      <c r="BA62" s="10" t="n">
        <f aca="false">IF(Uplifters!$B$2="Yes",Uplifters!BA107,0)</f>
        <v>0</v>
      </c>
      <c r="BB62" s="10" t="n">
        <f aca="false">IF(Uplifters!$B$2="Yes",Uplifters!BB107,0)</f>
        <v>0</v>
      </c>
      <c r="BC62" s="10" t="n">
        <f aca="false">IF(Uplifters!$B$2="Yes",Uplifters!BC107,0)</f>
        <v>0</v>
      </c>
      <c r="BD62" s="10" t="n">
        <f aca="false">IF(Uplifters!$B$2="Yes",Uplifters!BD107,0)</f>
        <v>0</v>
      </c>
      <c r="BE62" s="10" t="n">
        <f aca="false">IF(Uplifters!$B$2="Yes",Uplifters!BE107,0)</f>
        <v>0</v>
      </c>
      <c r="BF62" s="10" t="n">
        <f aca="false">IF(Uplifters!$B$2="Yes",Uplifters!BF107,0)</f>
        <v>0</v>
      </c>
      <c r="BG62" s="10" t="n">
        <f aca="false">IF(Uplifters!$B$2="Yes",Uplifters!BG107,0)</f>
        <v>0</v>
      </c>
      <c r="BH62" s="10" t="n">
        <f aca="false">IF(Uplifters!$B$2="Yes",Uplifters!BH107,0)</f>
        <v>0</v>
      </c>
      <c r="BI62" s="10" t="n">
        <f aca="false">IF(Uplifters!$B$2="Yes",Uplifters!BI107,0)</f>
        <v>0</v>
      </c>
      <c r="BJ62" s="10" t="n">
        <f aca="false">IF(Uplifters!$B$2="Yes",Uplifters!BJ107,0)</f>
        <v>0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57090.46</v>
      </c>
      <c r="M63" s="34" t="n">
        <f aca="false">SUM(M46:M62)</f>
        <v>57090.46</v>
      </c>
      <c r="N63" s="34" t="n">
        <f aca="false">SUM(N46:N62)</f>
        <v>57090.46</v>
      </c>
      <c r="O63" s="34" t="n">
        <f aca="false">SUM(O46:O62)</f>
        <v>57090.46</v>
      </c>
      <c r="P63" s="34" t="n">
        <f aca="false">SUM(P46:P62)</f>
        <v>57090.46</v>
      </c>
      <c r="Q63" s="34" t="n">
        <f aca="false">SUM(Q46:Q62)</f>
        <v>57090.46</v>
      </c>
      <c r="R63" s="34" t="n">
        <f aca="false">SUM(R46:R62)</f>
        <v>33184.21</v>
      </c>
      <c r="S63" s="34" t="n">
        <f aca="false">SUM(S46:S62)</f>
        <v>33184.21</v>
      </c>
      <c r="T63" s="34" t="n">
        <f aca="false">SUM(T46:T62)</f>
        <v>33184.21</v>
      </c>
      <c r="U63" s="34" t="n">
        <f aca="false">SUM(U46:U62)</f>
        <v>33184.21</v>
      </c>
      <c r="V63" s="34" t="n">
        <f aca="false">SUM(V46:V62)</f>
        <v>33184.21</v>
      </c>
      <c r="W63" s="34" t="n">
        <f aca="false">SUM(W46:W62)</f>
        <v>90559.21</v>
      </c>
      <c r="X63" s="34" t="n">
        <f aca="false">SUM(X46:X62)</f>
        <v>33184.21</v>
      </c>
      <c r="Y63" s="34" t="n">
        <f aca="false">SUM(Y46:Y62)</f>
        <v>33184.21</v>
      </c>
      <c r="Z63" s="34" t="n">
        <f aca="false">SUM(Z46:Z62)</f>
        <v>77927.63</v>
      </c>
      <c r="AA63" s="34" t="n">
        <f aca="false">SUM(AA46:AA62)</f>
        <v>9500</v>
      </c>
      <c r="AB63" s="34" t="n">
        <f aca="false">SUM(AB46:AB62)</f>
        <v>9500</v>
      </c>
      <c r="AC63" s="34" t="n">
        <f aca="false">SUM(AC46:AC62)</f>
        <v>66875</v>
      </c>
      <c r="AD63" s="34" t="n">
        <f aca="false">SUM(AD46:AD62)</f>
        <v>9500</v>
      </c>
      <c r="AE63" s="34" t="n">
        <f aca="false">SUM(AE46:AE62)</f>
        <v>9500</v>
      </c>
      <c r="AF63" s="34" t="n">
        <f aca="false">SUM(AF46:AF62)</f>
        <v>9500</v>
      </c>
      <c r="AG63" s="34" t="n">
        <f aca="false">SUM(AG46:AG62)</f>
        <v>0</v>
      </c>
      <c r="AH63" s="34" t="n">
        <f aca="false">SUM(AH46:AH62)</f>
        <v>0</v>
      </c>
      <c r="AI63" s="34" t="n">
        <f aca="false">SUM(AI46:AI62)</f>
        <v>0</v>
      </c>
      <c r="AJ63" s="34" t="n">
        <f aca="false">SUM(AJ46:AJ62)</f>
        <v>0</v>
      </c>
      <c r="AK63" s="34" t="n">
        <f aca="false">SUM(AK46:AK62)</f>
        <v>0</v>
      </c>
      <c r="AL63" s="34" t="n">
        <f aca="false">SUM(AL46:AL62)</f>
        <v>0</v>
      </c>
      <c r="AM63" s="34" t="n">
        <f aca="false">SUM(AM46:AM62)</f>
        <v>0</v>
      </c>
      <c r="AN63" s="34" t="n">
        <f aca="false">SUM(AN46:AN62)</f>
        <v>0</v>
      </c>
      <c r="AO63" s="34" t="n">
        <f aca="false">SUM(AO46:AO62)</f>
        <v>0</v>
      </c>
      <c r="AP63" s="34" t="n">
        <f aca="false">SUM(AP46:AP62)</f>
        <v>0</v>
      </c>
      <c r="AQ63" s="34" t="n">
        <f aca="false">SUM(AQ46:AQ62)</f>
        <v>0</v>
      </c>
      <c r="AR63" s="34" t="n">
        <f aca="false">SUM(AR46:AR62)</f>
        <v>81683</v>
      </c>
      <c r="AS63" s="34" t="n">
        <f aca="false">SUM(AS46:AS62)</f>
        <v>0</v>
      </c>
      <c r="AT63" s="34" t="n">
        <f aca="false">SUM(AT46:AT62)</f>
        <v>0</v>
      </c>
      <c r="AU63" s="34" t="n">
        <f aca="false">SUM(AU46:AU62)</f>
        <v>81682</v>
      </c>
      <c r="AV63" s="34" t="n">
        <f aca="false">SUM(AV46:AV62)</f>
        <v>0</v>
      </c>
      <c r="AW63" s="34" t="n">
        <f aca="false">SUM(AW46:AW62)</f>
        <v>0</v>
      </c>
      <c r="AX63" s="34" t="n">
        <f aca="false">SUM(AX46:AX62)</f>
        <v>81682</v>
      </c>
      <c r="AY63" s="34" t="n">
        <f aca="false">SUM(AY46:AY62)</f>
        <v>0</v>
      </c>
      <c r="AZ63" s="34" t="n">
        <f aca="false">SUM(AZ46:AZ62)</f>
        <v>0</v>
      </c>
      <c r="BA63" s="34" t="n">
        <f aca="false">SUM(BA46:BA62)</f>
        <v>933521</v>
      </c>
      <c r="BB63" s="34" t="n">
        <f aca="false">SUM(BB46:BB62)</f>
        <v>0</v>
      </c>
      <c r="BC63" s="34" t="n">
        <f aca="false">SUM(BC46:BC62)</f>
        <v>0</v>
      </c>
      <c r="BD63" s="34" t="n">
        <f aca="false">SUM(BD46:BD62)</f>
        <v>130878</v>
      </c>
      <c r="BE63" s="34" t="n">
        <f aca="false">SUM(BE46:BE62)</f>
        <v>0</v>
      </c>
      <c r="BF63" s="34" t="n">
        <f aca="false">SUM(BF46:BF62)</f>
        <v>0</v>
      </c>
      <c r="BG63" s="34" t="n">
        <f aca="false">SUM(BG46:BG62)</f>
        <v>130876</v>
      </c>
      <c r="BH63" s="34" t="n">
        <f aca="false">SUM(BH46:BH62)</f>
        <v>0</v>
      </c>
      <c r="BI63" s="34" t="n">
        <f aca="false">SUM(BI46:BI62)</f>
        <v>0</v>
      </c>
      <c r="BJ63" s="34" t="n">
        <f aca="false">SUM(BJ46:BJ62)</f>
        <v>130876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-62474.1233333333</v>
      </c>
      <c r="M86" s="16" t="n">
        <f aca="false">M63+M84</f>
        <v>-62474.1233333333</v>
      </c>
      <c r="N86" s="16" t="n">
        <f aca="false">N63+N84</f>
        <v>-62474.1233333333</v>
      </c>
      <c r="O86" s="16" t="n">
        <f aca="false">O63+O84</f>
        <v>-64865.415</v>
      </c>
      <c r="P86" s="16" t="n">
        <f aca="false">P63+P84</f>
        <v>-64865.415</v>
      </c>
      <c r="Q86" s="16" t="n">
        <f aca="false">Q63+Q84</f>
        <v>-64865.415</v>
      </c>
      <c r="R86" s="16" t="n">
        <f aca="false">R63+R84</f>
        <v>-112231.665</v>
      </c>
      <c r="S86" s="16" t="n">
        <f aca="false">S63+S84</f>
        <v>-88771.665</v>
      </c>
      <c r="T86" s="16" t="n">
        <f aca="false">T63+T84</f>
        <v>-88771.665</v>
      </c>
      <c r="U86" s="16" t="n">
        <f aca="false">U63+U84</f>
        <v>-88771.665</v>
      </c>
      <c r="V86" s="16" t="n">
        <f aca="false">V63+V84</f>
        <v>-88771.665</v>
      </c>
      <c r="W86" s="16" t="n">
        <f aca="false">W63+W84</f>
        <v>-52816.665</v>
      </c>
      <c r="X86" s="16" t="n">
        <f aca="false">X63+X84</f>
        <v>-88771.665</v>
      </c>
      <c r="Y86" s="16" t="n">
        <f aca="false">Y63+Y84</f>
        <v>-88771.665</v>
      </c>
      <c r="Z86" s="16" t="n">
        <f aca="false">Z63+Z84</f>
        <v>-44028.245</v>
      </c>
      <c r="AA86" s="16" t="n">
        <f aca="false">AA63+AA84</f>
        <v>-114894.9925</v>
      </c>
      <c r="AB86" s="16" t="n">
        <f aca="false">AB63+AB84</f>
        <v>-114894.9925</v>
      </c>
      <c r="AC86" s="16" t="n">
        <f aca="false">AC63+AC84</f>
        <v>-57519.9925</v>
      </c>
      <c r="AD86" s="16" t="n">
        <f aca="false">AD63+AD84</f>
        <v>-138824.1925</v>
      </c>
      <c r="AE86" s="16" t="n">
        <f aca="false">AE63+AE84</f>
        <v>-114894.9925</v>
      </c>
      <c r="AF86" s="16" t="n">
        <f aca="false">AF63+AF84</f>
        <v>-114894.9925</v>
      </c>
      <c r="AG86" s="16" t="n">
        <f aca="false">AG63+AG84</f>
        <v>-124394.9925</v>
      </c>
      <c r="AH86" s="16" t="n">
        <f aca="false">AH63+AH84</f>
        <v>-124394.9925</v>
      </c>
      <c r="AI86" s="16" t="n">
        <f aca="false">AI63+AI84</f>
        <v>-146243.3925</v>
      </c>
      <c r="AJ86" s="16" t="n">
        <f aca="false">AJ63+AJ84</f>
        <v>-124394.9925</v>
      </c>
      <c r="AK86" s="16" t="n">
        <f aca="false">AK63+AK84</f>
        <v>-124394.9925</v>
      </c>
      <c r="AL86" s="16" t="n">
        <f aca="false">AL63+AL84</f>
        <v>-124394.9925</v>
      </c>
      <c r="AM86" s="16" t="n">
        <f aca="false">AM63+AM84</f>
        <v>-126882.89235</v>
      </c>
      <c r="AN86" s="16" t="n">
        <f aca="false">AN63+AN84</f>
        <v>-126882.89235</v>
      </c>
      <c r="AO86" s="16" t="n">
        <f aca="false">AO63+AO84</f>
        <v>-126882.89235</v>
      </c>
      <c r="AP86" s="16" t="n">
        <f aca="false">AP63+AP84</f>
        <v>-151290.67635</v>
      </c>
      <c r="AQ86" s="16" t="n">
        <f aca="false">AQ63+AQ84</f>
        <v>-126882.89235</v>
      </c>
      <c r="AR86" s="16" t="n">
        <f aca="false">AR63+AR84</f>
        <v>-126882.89235</v>
      </c>
      <c r="AS86" s="16" t="n">
        <f aca="false">AS63+AS84</f>
        <v>-126882.89235</v>
      </c>
      <c r="AT86" s="16" t="n">
        <f aca="false">AT63+AT84</f>
        <v>-126882.89235</v>
      </c>
      <c r="AU86" s="16" t="n">
        <f aca="false">AU63+AU84</f>
        <v>-149168.26035</v>
      </c>
      <c r="AV86" s="16" t="n">
        <f aca="false">AV63+AV84</f>
        <v>-126882.89235</v>
      </c>
      <c r="AW86" s="16" t="n">
        <f aca="false">AW63+AW84</f>
        <v>-126882.89235</v>
      </c>
      <c r="AX86" s="16" t="n">
        <f aca="false">AX63+AX84</f>
        <v>-126882.89235</v>
      </c>
      <c r="AY86" s="16" t="n">
        <f aca="false">AY63+AY84</f>
        <v>-129420.550197</v>
      </c>
      <c r="AZ86" s="16" t="n">
        <f aca="false">AZ63+AZ84</f>
        <v>-129420.550197</v>
      </c>
      <c r="BA86" s="16" t="n">
        <f aca="false">BA63+BA84</f>
        <v>-129420.550197</v>
      </c>
      <c r="BB86" s="16" t="n">
        <f aca="false">BB63+BB84</f>
        <v>-154316.489877</v>
      </c>
      <c r="BC86" s="16" t="n">
        <f aca="false">BC63+BC84</f>
        <v>-129420.550197</v>
      </c>
      <c r="BD86" s="16" t="n">
        <f aca="false">BD63+BD84</f>
        <v>-129420.550197</v>
      </c>
      <c r="BE86" s="16" t="n">
        <f aca="false">BE63+BE84</f>
        <v>-129420.550197</v>
      </c>
      <c r="BF86" s="16" t="n">
        <f aca="false">BF63+BF84</f>
        <v>-129420.550197</v>
      </c>
      <c r="BG86" s="16" t="n">
        <f aca="false">BG63+BG84</f>
        <v>-152151.625557</v>
      </c>
      <c r="BH86" s="16" t="n">
        <f aca="false">BH63+BH84</f>
        <v>-129420.550197</v>
      </c>
      <c r="BI86" s="16" t="n">
        <f aca="false">BI63+BI84</f>
        <v>-129420.550197</v>
      </c>
      <c r="BJ86" s="16" t="n">
        <f aca="false">BJ63+BJ84</f>
        <v>-129420.550197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57090.46</v>
      </c>
      <c r="M90" s="10" t="n">
        <f aca="false">M63</f>
        <v>57090.46</v>
      </c>
      <c r="N90" s="10" t="n">
        <f aca="false">N63</f>
        <v>57090.46</v>
      </c>
      <c r="O90" s="10" t="n">
        <f aca="false">O63</f>
        <v>57090.46</v>
      </c>
      <c r="P90" s="10" t="n">
        <f aca="false">P63</f>
        <v>57090.46</v>
      </c>
      <c r="Q90" s="10" t="n">
        <f aca="false">Q63</f>
        <v>57090.46</v>
      </c>
      <c r="R90" s="10" t="n">
        <f aca="false">R63</f>
        <v>33184.21</v>
      </c>
      <c r="S90" s="10" t="n">
        <f aca="false">S63</f>
        <v>33184.21</v>
      </c>
      <c r="T90" s="10" t="n">
        <f aca="false">T63</f>
        <v>33184.21</v>
      </c>
      <c r="U90" s="10" t="n">
        <f aca="false">U63</f>
        <v>33184.21</v>
      </c>
      <c r="V90" s="10" t="n">
        <f aca="false">V63</f>
        <v>33184.21</v>
      </c>
      <c r="W90" s="10" t="n">
        <f aca="false">W63</f>
        <v>90559.21</v>
      </c>
      <c r="X90" s="10" t="n">
        <f aca="false">X63</f>
        <v>33184.21</v>
      </c>
      <c r="Y90" s="10" t="n">
        <f aca="false">Y63</f>
        <v>33184.21</v>
      </c>
      <c r="Z90" s="10" t="n">
        <f aca="false">Z63</f>
        <v>77927.63</v>
      </c>
      <c r="AA90" s="10" t="n">
        <f aca="false">AA63</f>
        <v>9500</v>
      </c>
      <c r="AB90" s="10" t="n">
        <f aca="false">AB63</f>
        <v>9500</v>
      </c>
      <c r="AC90" s="10" t="n">
        <f aca="false">AC63</f>
        <v>66875</v>
      </c>
      <c r="AD90" s="10" t="n">
        <f aca="false">AD63</f>
        <v>9500</v>
      </c>
      <c r="AE90" s="10" t="n">
        <f aca="false">AE63</f>
        <v>9500</v>
      </c>
      <c r="AF90" s="10" t="n">
        <f aca="false">AF63</f>
        <v>9500</v>
      </c>
      <c r="AG90" s="10" t="n">
        <f aca="false">AG63</f>
        <v>0</v>
      </c>
      <c r="AH90" s="10" t="n">
        <f aca="false">AH63</f>
        <v>0</v>
      </c>
      <c r="AI90" s="10" t="n">
        <f aca="false">AI63</f>
        <v>0</v>
      </c>
      <c r="AJ90" s="10" t="n">
        <f aca="false">AJ63</f>
        <v>0</v>
      </c>
      <c r="AK90" s="10" t="n">
        <f aca="false">AK63</f>
        <v>0</v>
      </c>
      <c r="AL90" s="10" t="n">
        <f aca="false">AL63</f>
        <v>0</v>
      </c>
      <c r="AM90" s="10" t="n">
        <f aca="false">AM63</f>
        <v>0</v>
      </c>
      <c r="AN90" s="10" t="n">
        <f aca="false">AN63</f>
        <v>0</v>
      </c>
      <c r="AO90" s="10" t="n">
        <f aca="false">AO63</f>
        <v>0</v>
      </c>
      <c r="AP90" s="10" t="n">
        <f aca="false">AP63</f>
        <v>0</v>
      </c>
      <c r="AQ90" s="10" t="n">
        <f aca="false">AQ63</f>
        <v>0</v>
      </c>
      <c r="AR90" s="10" t="n">
        <f aca="false">AR63</f>
        <v>81683</v>
      </c>
      <c r="AS90" s="10" t="n">
        <f aca="false">AS63</f>
        <v>0</v>
      </c>
      <c r="AT90" s="10" t="n">
        <f aca="false">AT63</f>
        <v>0</v>
      </c>
      <c r="AU90" s="10" t="n">
        <f aca="false">AU63</f>
        <v>81682</v>
      </c>
      <c r="AV90" s="10" t="n">
        <f aca="false">AV63</f>
        <v>0</v>
      </c>
      <c r="AW90" s="10" t="n">
        <f aca="false">AW63</f>
        <v>0</v>
      </c>
      <c r="AX90" s="10" t="n">
        <f aca="false">AX63</f>
        <v>81682</v>
      </c>
      <c r="AY90" s="10" t="n">
        <f aca="false">AY63</f>
        <v>0</v>
      </c>
      <c r="AZ90" s="10" t="n">
        <f aca="false">AZ63</f>
        <v>0</v>
      </c>
      <c r="BA90" s="10" t="n">
        <f aca="false">BA63</f>
        <v>933521</v>
      </c>
      <c r="BB90" s="10" t="n">
        <f aca="false">BB63</f>
        <v>0</v>
      </c>
      <c r="BC90" s="10" t="n">
        <f aca="false">BC63</f>
        <v>0</v>
      </c>
      <c r="BD90" s="10" t="n">
        <f aca="false">BD63</f>
        <v>130878</v>
      </c>
      <c r="BE90" s="10" t="n">
        <f aca="false">BE63</f>
        <v>0</v>
      </c>
      <c r="BF90" s="10" t="n">
        <f aca="false">BF63</f>
        <v>0</v>
      </c>
      <c r="BG90" s="10" t="n">
        <f aca="false">BG63</f>
        <v>130876</v>
      </c>
      <c r="BH90" s="10" t="n">
        <f aca="false">BH63</f>
        <v>0</v>
      </c>
      <c r="BI90" s="10" t="n">
        <f aca="false">BI63</f>
        <v>0</v>
      </c>
      <c r="BJ90" s="10" t="n">
        <f aca="false">BJ63</f>
        <v>130876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911335.298068182</v>
      </c>
      <c r="M91" s="12" t="n">
        <f aca="false">M89+M90</f>
        <v>911335.298068182</v>
      </c>
      <c r="N91" s="12" t="n">
        <f aca="false">N89+N90</f>
        <v>911335.298068182</v>
      </c>
      <c r="O91" s="12" t="n">
        <f aca="false">O89+O90</f>
        <v>1761801.88594697</v>
      </c>
      <c r="P91" s="12" t="n">
        <f aca="false">P89+P90</f>
        <v>1082800.33594697</v>
      </c>
      <c r="Q91" s="12" t="n">
        <f aca="false">Q89+Q90</f>
        <v>1082800.33594697</v>
      </c>
      <c r="R91" s="12" t="n">
        <f aca="false">R89+R90</f>
        <v>1186733.25010965</v>
      </c>
      <c r="S91" s="12" t="n">
        <f aca="false">S89+S90</f>
        <v>833098.410109649</v>
      </c>
      <c r="T91" s="12" t="n">
        <f aca="false">T89+T90</f>
        <v>833098.410109649</v>
      </c>
      <c r="U91" s="12" t="n">
        <f aca="false">U89+U90</f>
        <v>1151586.96063597</v>
      </c>
      <c r="V91" s="12" t="n">
        <f aca="false">V89+V90</f>
        <v>893584.462741228</v>
      </c>
      <c r="W91" s="12" t="n">
        <f aca="false">W89+W90</f>
        <v>950959.462741228</v>
      </c>
      <c r="X91" s="12" t="n">
        <f aca="false">X89+X90</f>
        <v>893584.462741228</v>
      </c>
      <c r="Y91" s="12" t="n">
        <f aca="false">Y89+Y90</f>
        <v>893584.462741228</v>
      </c>
      <c r="Z91" s="12" t="n">
        <f aca="false">Z89+Z90</f>
        <v>881048.522693381</v>
      </c>
      <c r="AA91" s="12" t="n">
        <f aca="false">AA89+AA90</f>
        <v>767494.080492424</v>
      </c>
      <c r="AB91" s="12" t="n">
        <f aca="false">AB89+AB90</f>
        <v>686000.228817783</v>
      </c>
      <c r="AC91" s="12" t="n">
        <f aca="false">AC89+AC90</f>
        <v>1520341.04215112</v>
      </c>
      <c r="AD91" s="12" t="n">
        <f aca="false">AD89+AD90</f>
        <v>842646.562151116</v>
      </c>
      <c r="AE91" s="12" t="n">
        <f aca="false">AE89+AE90</f>
        <v>842646.562151116</v>
      </c>
      <c r="AF91" s="12" t="n">
        <f aca="false">AF89+AF90</f>
        <v>842646.562151116</v>
      </c>
      <c r="AG91" s="12" t="n">
        <f aca="false">AG89+AG90</f>
        <v>833146.562151116</v>
      </c>
      <c r="AH91" s="12" t="n">
        <f aca="false">AH89+AH90</f>
        <v>732467.561204147</v>
      </c>
      <c r="AI91" s="12" t="n">
        <f aca="false">AI89+AI90</f>
        <v>732467.561204147</v>
      </c>
      <c r="AJ91" s="12" t="n">
        <f aca="false">AJ89+AJ90</f>
        <v>569708.288476874</v>
      </c>
      <c r="AK91" s="12" t="n">
        <f aca="false">AK89+AK90</f>
        <v>478919.077950558</v>
      </c>
      <c r="AL91" s="12" t="n">
        <f aca="false">AL89+AL90</f>
        <v>478919.077950558</v>
      </c>
      <c r="AM91" s="12" t="n">
        <f aca="false">AM89+AM90</f>
        <v>418900.581738437</v>
      </c>
      <c r="AN91" s="12" t="n">
        <f aca="false">AN89+AN90</f>
        <v>328111.371212121</v>
      </c>
      <c r="AO91" s="12" t="n">
        <f aca="false">AO89+AO90</f>
        <v>328111.371212121</v>
      </c>
      <c r="AP91" s="12" t="n">
        <f aca="false">AP89+AP90</f>
        <v>328111.371212121</v>
      </c>
      <c r="AQ91" s="12" t="n">
        <f aca="false">AQ89+AQ90</f>
        <v>328111.371212121</v>
      </c>
      <c r="AR91" s="12" t="n">
        <f aca="false">AR89+AR90</f>
        <v>409794.371212121</v>
      </c>
      <c r="AS91" s="12" t="n">
        <f aca="false">AS89+AS90</f>
        <v>156646.333333333</v>
      </c>
      <c r="AT91" s="12" t="n">
        <f aca="false">AT89+AT90</f>
        <v>156646.333333333</v>
      </c>
      <c r="AU91" s="12" t="n">
        <f aca="false">AU89+AU90</f>
        <v>238328.333333333</v>
      </c>
      <c r="AV91" s="12" t="n">
        <f aca="false">AV89+AV90</f>
        <v>156646.333333333</v>
      </c>
      <c r="AW91" s="12" t="n">
        <f aca="false">AW89+AW90</f>
        <v>156646.333333333</v>
      </c>
      <c r="AX91" s="12" t="n">
        <f aca="false">AX89+AX90</f>
        <v>238328.333333333</v>
      </c>
      <c r="AY91" s="12" t="n">
        <f aca="false">AY89+AY90</f>
        <v>156646.333333333</v>
      </c>
      <c r="AZ91" s="12" t="n">
        <f aca="false">AZ89+AZ90</f>
        <v>156646.333333333</v>
      </c>
      <c r="BA91" s="12" t="n">
        <f aca="false">BA89+BA90</f>
        <v>1090167.33333333</v>
      </c>
      <c r="BB91" s="12" t="n">
        <f aca="false">BB89+BB90</f>
        <v>156646.333333333</v>
      </c>
      <c r="BC91" s="12" t="n">
        <f aca="false">BC89+BC90</f>
        <v>156646.333333333</v>
      </c>
      <c r="BD91" s="12" t="n">
        <f aca="false">BD89+BD90</f>
        <v>287524.333333333</v>
      </c>
      <c r="BE91" s="12" t="n">
        <f aca="false">BE89+BE90</f>
        <v>156646.333333333</v>
      </c>
      <c r="BF91" s="12" t="n">
        <f aca="false">BF89+BF90</f>
        <v>156646.333333333</v>
      </c>
      <c r="BG91" s="12" t="n">
        <f aca="false">BG89+BG90</f>
        <v>130876</v>
      </c>
      <c r="BH91" s="12" t="n">
        <f aca="false">BH89+BH90</f>
        <v>0</v>
      </c>
      <c r="BI91" s="12" t="n">
        <f aca="false">BI89+BI90</f>
        <v>0</v>
      </c>
      <c r="BJ91" s="12" t="n">
        <f aca="false">BJ89+BJ90</f>
        <v>130876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346191.013068182</v>
      </c>
      <c r="M95" s="16" t="n">
        <f aca="false">M91+M94</f>
        <v>346191.013068182</v>
      </c>
      <c r="N95" s="16" t="n">
        <f aca="false">N91+N94</f>
        <v>346191.013068182</v>
      </c>
      <c r="O95" s="16" t="n">
        <f aca="false">O91+O94</f>
        <v>-285815.309753031</v>
      </c>
      <c r="P95" s="16" t="n">
        <f aca="false">P91+P94</f>
        <v>506353.16524697</v>
      </c>
      <c r="Q95" s="16" t="n">
        <f aca="false">Q91+Q94</f>
        <v>506353.16524697</v>
      </c>
      <c r="R95" s="16" t="n">
        <f aca="false">R91+R94</f>
        <v>93477.5094096491</v>
      </c>
      <c r="S95" s="16" t="n">
        <f aca="false">S91+S94</f>
        <v>256651.239409649</v>
      </c>
      <c r="T95" s="16" t="n">
        <f aca="false">T91+T94</f>
        <v>256651.239409649</v>
      </c>
      <c r="U95" s="16" t="n">
        <f aca="false">U91+U94</f>
        <v>81791.219935965</v>
      </c>
      <c r="V95" s="16" t="n">
        <f aca="false">V91+V94</f>
        <v>317137.292041228</v>
      </c>
      <c r="W95" s="16" t="n">
        <f aca="false">W91+W94</f>
        <v>353092.292041228</v>
      </c>
      <c r="X95" s="16" t="n">
        <f aca="false">X91+X94</f>
        <v>317137.292041228</v>
      </c>
      <c r="Y95" s="16" t="n">
        <f aca="false">Y91+Y94</f>
        <v>317137.292041228</v>
      </c>
      <c r="Z95" s="16" t="n">
        <f aca="false">Z91+Z94</f>
        <v>304601.351993381</v>
      </c>
      <c r="AA95" s="16" t="n">
        <f aca="false">AA91+AA94</f>
        <v>179517.966378424</v>
      </c>
      <c r="AB95" s="16" t="n">
        <f aca="false">AB91+AB94</f>
        <v>98024.1147037831</v>
      </c>
      <c r="AC95" s="16" t="n">
        <f aca="false">AC91+AC94</f>
        <v>-411660.611962884</v>
      </c>
      <c r="AD95" s="16" t="n">
        <f aca="false">AD91+AD94</f>
        <v>230741.248037116</v>
      </c>
      <c r="AE95" s="16" t="n">
        <f aca="false">AE91+AE94</f>
        <v>254670.448037116</v>
      </c>
      <c r="AF95" s="16" t="n">
        <f aca="false">AF91+AF94</f>
        <v>254670.448037116</v>
      </c>
      <c r="AG95" s="16" t="n">
        <f aca="false">AG91+AG94</f>
        <v>245170.448037116</v>
      </c>
      <c r="AH95" s="16" t="n">
        <f aca="false">AH91+AH94</f>
        <v>144491.447090147</v>
      </c>
      <c r="AI95" s="16" t="n">
        <f aca="false">AI91+AI94</f>
        <v>122643.047090147</v>
      </c>
      <c r="AJ95" s="16" t="n">
        <f aca="false">AJ91+AJ94</f>
        <v>-18267.825637126</v>
      </c>
      <c r="AK95" s="16" t="n">
        <f aca="false">AK91+AK94</f>
        <v>-109057.036163442</v>
      </c>
      <c r="AL95" s="16" t="n">
        <f aca="false">AL91+AL94</f>
        <v>-109057.036163442</v>
      </c>
      <c r="AM95" s="16" t="n">
        <f aca="false">AM91+AM94</f>
        <v>-180835.054657843</v>
      </c>
      <c r="AN95" s="16" t="n">
        <f aca="false">AN91+AN94</f>
        <v>-271624.265184159</v>
      </c>
      <c r="AO95" s="16" t="n">
        <f aca="false">AO91+AO94</f>
        <v>-271624.265184159</v>
      </c>
      <c r="AP95" s="16" t="n">
        <f aca="false">AP91+AP94</f>
        <v>-296032.049184159</v>
      </c>
      <c r="AQ95" s="16" t="n">
        <f aca="false">AQ91+AQ94</f>
        <v>-271624.265184159</v>
      </c>
      <c r="AR95" s="16" t="n">
        <f aca="false">AR91+AR94</f>
        <v>-271624.265184159</v>
      </c>
      <c r="AS95" s="16" t="n">
        <f aca="false">AS91+AS94</f>
        <v>-443089.303062947</v>
      </c>
      <c r="AT95" s="16" t="n">
        <f aca="false">AT91+AT94</f>
        <v>-443089.303062947</v>
      </c>
      <c r="AU95" s="16" t="n">
        <f aca="false">AU91+AU94</f>
        <v>-465374.671062947</v>
      </c>
      <c r="AV95" s="16" t="n">
        <f aca="false">AV91+AV94</f>
        <v>-443089.303062947</v>
      </c>
      <c r="AW95" s="16" t="n">
        <f aca="false">AW91+AW94</f>
        <v>-443089.303062947</v>
      </c>
      <c r="AX95" s="16" t="n">
        <f aca="false">AX91+AX94</f>
        <v>-443089.303062947</v>
      </c>
      <c r="AY95" s="16" t="n">
        <f aca="false">AY91+AY94</f>
        <v>-455084.015790872</v>
      </c>
      <c r="AZ95" s="16" t="n">
        <f aca="false">AZ91+AZ94</f>
        <v>-455084.015790872</v>
      </c>
      <c r="BA95" s="16" t="n">
        <f aca="false">BA91+BA94</f>
        <v>-455084.015790872</v>
      </c>
      <c r="BB95" s="16" t="n">
        <f aca="false">BB91+BB94</f>
        <v>-479979.955470872</v>
      </c>
      <c r="BC95" s="16" t="n">
        <f aca="false">BC91+BC94</f>
        <v>-455084.015790872</v>
      </c>
      <c r="BD95" s="16" t="n">
        <f aca="false">BD91+BD94</f>
        <v>-455084.015790872</v>
      </c>
      <c r="BE95" s="16" t="n">
        <f aca="false">BE91+BE94</f>
        <v>-455084.015790872</v>
      </c>
      <c r="BF95" s="16" t="n">
        <f aca="false">BF91+BF94</f>
        <v>-455084.015790872</v>
      </c>
      <c r="BG95" s="16" t="n">
        <f aca="false">BG91+BG94</f>
        <v>-634461.424484206</v>
      </c>
      <c r="BH95" s="16" t="n">
        <f aca="false">BH91+BH94</f>
        <v>-611730.349124206</v>
      </c>
      <c r="BI95" s="16" t="n">
        <f aca="false">BI91+BI94</f>
        <v>-611730.349124206</v>
      </c>
      <c r="BJ95" s="16" t="n">
        <f aca="false">BJ91+BJ94</f>
        <v>-611730.349124206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6600851.58110806</v>
      </c>
      <c r="S147" s="61" t="n">
        <f aca="false">S145+S146</f>
        <v>6946274.4855177</v>
      </c>
      <c r="T147" s="61" t="n">
        <f aca="false">T145+T146</f>
        <v>7291697.38992735</v>
      </c>
      <c r="U147" s="61" t="n">
        <f aca="false">U145+U146</f>
        <v>7462260.27486332</v>
      </c>
      <c r="V147" s="61" t="n">
        <f aca="false">V145+V146</f>
        <v>7868169.23190455</v>
      </c>
      <c r="W147" s="61" t="n">
        <f aca="false">W145+W146</f>
        <v>8274078.18894577</v>
      </c>
      <c r="X147" s="61" t="n">
        <f aca="false">X145+X146</f>
        <v>8679987.145987</v>
      </c>
      <c r="Y147" s="61" t="n">
        <f aca="false">Y145+Y146</f>
        <v>9085896.10302823</v>
      </c>
      <c r="Z147" s="61" t="n">
        <f aca="false">Z145+Z146</f>
        <v>9434525.70002161</v>
      </c>
      <c r="AA147" s="61" t="n">
        <f aca="false">AA145+AA146</f>
        <v>9728938.65890004</v>
      </c>
      <c r="AB147" s="61" t="n">
        <f aca="false">AB145+AB146</f>
        <v>9941857.76610382</v>
      </c>
      <c r="AC147" s="61" t="n">
        <f aca="false">AC145+AC146</f>
        <v>9587717.14664094</v>
      </c>
      <c r="AD147" s="61" t="n">
        <f aca="false">AD145+AD146</f>
        <v>9957282.58717805</v>
      </c>
      <c r="AE147" s="61" t="n">
        <f aca="false">AE145+AE146</f>
        <v>10326848.0277152</v>
      </c>
      <c r="AF147" s="61" t="n">
        <f aca="false">AF145+AF146</f>
        <v>10696413.4682523</v>
      </c>
      <c r="AG147" s="61" t="n">
        <f aca="false">AG145+AG146</f>
        <v>11065978.9087894</v>
      </c>
      <c r="AH147" s="61" t="n">
        <f aca="false">AH145+AH146</f>
        <v>11334865.3483795</v>
      </c>
      <c r="AI147" s="61" t="n">
        <f aca="false">AI145+AI146</f>
        <v>11603751.7879697</v>
      </c>
      <c r="AJ147" s="61" t="n">
        <f aca="false">AJ145+AJ146</f>
        <v>11709878.9548326</v>
      </c>
      <c r="AK147" s="61" t="n">
        <f aca="false">AK145+AK146</f>
        <v>11725216.9111691</v>
      </c>
      <c r="AL147" s="61" t="n">
        <f aca="false">AL145+AL146</f>
        <v>11740554.8675057</v>
      </c>
      <c r="AM147" s="61" t="n">
        <f aca="false">AM145+AM146</f>
        <v>11686602.7051978</v>
      </c>
      <c r="AN147" s="61" t="n">
        <f aca="false">AN145+AN146</f>
        <v>11541861.3323637</v>
      </c>
      <c r="AO147" s="61" t="n">
        <f aca="false">AO145+AO146</f>
        <v>11397119.9595295</v>
      </c>
      <c r="AP147" s="61" t="n">
        <f aca="false">AP145+AP146</f>
        <v>11252378.5866954</v>
      </c>
      <c r="AQ147" s="61" t="n">
        <f aca="false">AQ145+AQ146</f>
        <v>11107637.2138612</v>
      </c>
      <c r="AR147" s="61" t="n">
        <f aca="false">AR145+AR146</f>
        <v>10962895.841027</v>
      </c>
      <c r="AS147" s="61" t="n">
        <f aca="false">AS145+AS146</f>
        <v>10646689.4303141</v>
      </c>
      <c r="AT147" s="61" t="n">
        <f aca="false">AT145+AT146</f>
        <v>10330483.0196012</v>
      </c>
      <c r="AU147" s="61" t="n">
        <f aca="false">AU145+AU146</f>
        <v>10014276.6088882</v>
      </c>
      <c r="AV147" s="61" t="n">
        <f aca="false">AV145+AV146</f>
        <v>9698070.19817526</v>
      </c>
      <c r="AW147" s="61" t="n">
        <f aca="false">AW145+AW146</f>
        <v>9381863.78746231</v>
      </c>
      <c r="AX147" s="61" t="n">
        <f aca="false">AX145+AX146</f>
        <v>9065657.37674937</v>
      </c>
      <c r="AY147" s="61" t="n">
        <f aca="false">AY145+AY146</f>
        <v>8739993.91115549</v>
      </c>
      <c r="AZ147" s="61" t="n">
        <f aca="false">AZ145+AZ146</f>
        <v>8414330.44556162</v>
      </c>
      <c r="BA147" s="61" t="n">
        <f aca="false">BA145+BA146</f>
        <v>8088666.97996775</v>
      </c>
      <c r="BB147" s="61" t="n">
        <f aca="false">BB145+BB146</f>
        <v>7763003.51437387</v>
      </c>
      <c r="BC147" s="61" t="n">
        <f aca="false">BC145+BC146</f>
        <v>7437340.04878</v>
      </c>
      <c r="BD147" s="61" t="n">
        <f aca="false">BD145+BD146</f>
        <v>7111676.58318613</v>
      </c>
      <c r="BE147" s="61" t="n">
        <f aca="false">BE145+BE146</f>
        <v>6786013.11759226</v>
      </c>
      <c r="BF147" s="61" t="n">
        <f aca="false">BF145+BF146</f>
        <v>6460349.65199838</v>
      </c>
      <c r="BG147" s="61" t="n">
        <f aca="false">BG145+BG146</f>
        <v>5978039.85307118</v>
      </c>
      <c r="BH147" s="61" t="n">
        <f aca="false">BH145+BH146</f>
        <v>5495730.05414397</v>
      </c>
      <c r="BI147" s="61" t="n">
        <f aca="false">BI145+BI146</f>
        <v>5013420.25521677</v>
      </c>
      <c r="BJ147" s="61" t="n">
        <f aca="false">BJ145+BJ146</f>
        <v>4531110.45628956</v>
      </c>
      <c r="BK147" s="61" t="n">
        <f aca="false">BK145+BK146</f>
        <v>4039154.46138381</v>
      </c>
      <c r="BL147" s="61" t="n">
        <f aca="false">BL145+BL146</f>
        <v>3547198.46647806</v>
      </c>
      <c r="BM147" s="61" t="n">
        <f aca="false">BM145+BM146</f>
        <v>3055242.47157231</v>
      </c>
      <c r="BN147" s="61" t="n">
        <f aca="false">BN145+BN146</f>
        <v>2563286.47666656</v>
      </c>
      <c r="BO147" s="61" t="n">
        <f aca="false">BO145+BO146</f>
        <v>2071330.48176081</v>
      </c>
      <c r="BP147" s="61" t="n">
        <f aca="false">BP145+BP146</f>
        <v>1579374.48685506</v>
      </c>
      <c r="BQ147" s="61" t="n">
        <f aca="false">BQ145+BQ146</f>
        <v>1087418.49194931</v>
      </c>
      <c r="BR147" s="61" t="n">
        <f aca="false">BR145+BR146</f>
        <v>595462.497043563</v>
      </c>
      <c r="BS147" s="61" t="n">
        <f aca="false">BS145+BS146</f>
        <v>103506.502137813</v>
      </c>
      <c r="BT147" s="61" t="n">
        <f aca="false">BT145+BT146</f>
        <v>-388449.492767936</v>
      </c>
      <c r="BU147" s="61" t="n">
        <f aca="false">BU145+BU146</f>
        <v>-880405.487673686</v>
      </c>
      <c r="BV147" s="61" t="n">
        <f aca="false">BV145+BV146</f>
        <v>-1372361.48257944</v>
      </c>
      <c r="BW147" s="61" t="n">
        <f aca="false">BW145+BW146</f>
        <v>-1874156.5973833</v>
      </c>
      <c r="BX147" s="61" t="n">
        <f aca="false">BX145+BX146</f>
        <v>-2375951.71218717</v>
      </c>
      <c r="BY147" s="61" t="n">
        <f aca="false">BY145+BY146</f>
        <v>-2877746.82699103</v>
      </c>
      <c r="BZ147" s="61" t="n">
        <f aca="false">BZ145+BZ146</f>
        <v>-3379541.94179489</v>
      </c>
      <c r="CA147" s="61" t="n">
        <f aca="false">CA145+CA146</f>
        <v>-3881337.05659876</v>
      </c>
      <c r="CB147" s="61" t="n">
        <f aca="false">CB145+CB146</f>
        <v>-4383132.17140262</v>
      </c>
      <c r="CC147" s="61" t="n">
        <f aca="false">CC145+CC146</f>
        <v>-4884927.28620649</v>
      </c>
      <c r="CD147" s="61" t="n">
        <f aca="false">CD145+CD146</f>
        <v>-5386722.40101035</v>
      </c>
      <c r="CE147" s="61" t="n">
        <f aca="false">CE145+CE146</f>
        <v>-5888517.51581422</v>
      </c>
      <c r="CF147" s="61" t="n">
        <f aca="false">CF145+CF146</f>
        <v>-6390312.63061808</v>
      </c>
      <c r="CG147" s="61" t="n">
        <f aca="false">CG145+CG146</f>
        <v>-6892107.74542195</v>
      </c>
      <c r="CH147" s="61" t="n">
        <f aca="false">CH145+CH146</f>
        <v>-7393902.86022581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-628606.013333333</v>
      </c>
      <c r="N150" s="10" t="n">
        <f aca="false">M155</f>
        <v>-1071080.13666667</v>
      </c>
      <c r="O150" s="10" t="n">
        <f aca="false">N155</f>
        <v>-1263554.26</v>
      </c>
      <c r="P150" s="10" t="n">
        <f aca="false">O155</f>
        <v>-1458419.675</v>
      </c>
      <c r="Q150" s="10" t="n">
        <f aca="false">P155</f>
        <v>-1653285.09</v>
      </c>
      <c r="R150" s="10" t="n">
        <f aca="false">Q155</f>
        <v>-1848150.505</v>
      </c>
      <c r="S150" s="10" t="n">
        <f aca="false">R155</f>
        <v>-2090382.17</v>
      </c>
      <c r="T150" s="10" t="n">
        <f aca="false">S155</f>
        <v>-2309153.835</v>
      </c>
      <c r="U150" s="10" t="n">
        <f aca="false">T155</f>
        <v>-2527925.5</v>
      </c>
      <c r="V150" s="10" t="n">
        <f aca="false">U155</f>
        <v>-2746697.165</v>
      </c>
      <c r="W150" s="10" t="n">
        <f aca="false">V155</f>
        <v>-2965468.83</v>
      </c>
      <c r="X150" s="10" t="n">
        <f aca="false">W155</f>
        <v>-3084254.73828545</v>
      </c>
      <c r="Y150" s="10" t="n">
        <f aca="false">X155</f>
        <v>-3173026.40328545</v>
      </c>
      <c r="Z150" s="10" t="n">
        <f aca="false">Y155</f>
        <v>-3511798.06828545</v>
      </c>
      <c r="AA150" s="10" t="n">
        <f aca="false">Z155</f>
        <v>-3555826.31328545</v>
      </c>
      <c r="AB150" s="10" t="n">
        <f aca="false">AA155</f>
        <v>-3670721.30578545</v>
      </c>
      <c r="AC150" s="10" t="n">
        <f aca="false">AB155</f>
        <v>-3785616.29828545</v>
      </c>
      <c r="AD150" s="10" t="n">
        <f aca="false">AC155</f>
        <v>-3843136.29078545</v>
      </c>
      <c r="AE150" s="10" t="n">
        <f aca="false">AD155</f>
        <v>-3981960.48328545</v>
      </c>
      <c r="AF150" s="10" t="n">
        <f aca="false">AE155</f>
        <v>-4096855.47578545</v>
      </c>
      <c r="AG150" s="10" t="n">
        <f aca="false">AF155</f>
        <v>-4211750.46828545</v>
      </c>
      <c r="AH150" s="10" t="n">
        <f aca="false">AG155</f>
        <v>-4336145.46078545</v>
      </c>
      <c r="AI150" s="10" t="n">
        <f aca="false">AH155</f>
        <v>-4460540.45328545</v>
      </c>
      <c r="AJ150" s="10" t="n">
        <f aca="false">AI155</f>
        <v>-4606783.84578545</v>
      </c>
      <c r="AK150" s="10" t="n">
        <f aca="false">AJ155</f>
        <v>-4731178.83828545</v>
      </c>
      <c r="AL150" s="10" t="n">
        <f aca="false">AK155</f>
        <v>-5105573.83078545</v>
      </c>
      <c r="AM150" s="10" t="n">
        <f aca="false">AL155</f>
        <v>-5229968.82328545</v>
      </c>
      <c r="AN150" s="10" t="n">
        <f aca="false">AM155</f>
        <v>-5356851.71563545</v>
      </c>
      <c r="AO150" s="10" t="n">
        <f aca="false">AN155</f>
        <v>-5483734.60798545</v>
      </c>
      <c r="AP150" s="10" t="n">
        <f aca="false">AO155</f>
        <v>-5610617.50033545</v>
      </c>
      <c r="AQ150" s="10" t="n">
        <f aca="false">AP155</f>
        <v>-5761908.17668545</v>
      </c>
      <c r="AR150" s="10" t="n">
        <f aca="false">AQ155</f>
        <v>-5888791.06903545</v>
      </c>
      <c r="AS150" s="10" t="n">
        <f aca="false">AR155</f>
        <v>-6015673.96138545</v>
      </c>
      <c r="AT150" s="10" t="n">
        <f aca="false">AS155</f>
        <v>-6142556.85373545</v>
      </c>
      <c r="AU150" s="10" t="n">
        <f aca="false">AT155</f>
        <v>-6269439.74608545</v>
      </c>
      <c r="AV150" s="10" t="n">
        <f aca="false">AU155</f>
        <v>-6418608.00643545</v>
      </c>
      <c r="AW150" s="10" t="n">
        <f aca="false">AV155</f>
        <v>-6545490.89878545</v>
      </c>
      <c r="AX150" s="10" t="n">
        <f aca="false">AW155</f>
        <v>-6672373.79113545</v>
      </c>
      <c r="AY150" s="10" t="n">
        <f aca="false">AX155</f>
        <v>-6799256.68348545</v>
      </c>
      <c r="AZ150" s="10" t="n">
        <f aca="false">AY155</f>
        <v>-6928677.23368245</v>
      </c>
      <c r="BA150" s="10" t="n">
        <f aca="false">AZ155</f>
        <v>-7058097.78387945</v>
      </c>
      <c r="BB150" s="10" t="n">
        <f aca="false">BA155</f>
        <v>-7187518.33407645</v>
      </c>
      <c r="BC150" s="10" t="n">
        <f aca="false">BB155</f>
        <v>-7341834.82395345</v>
      </c>
      <c r="BD150" s="10" t="n">
        <f aca="false">BC155</f>
        <v>-7471255.37415045</v>
      </c>
      <c r="BE150" s="10" t="n">
        <f aca="false">BD155</f>
        <v>-7600675.92434745</v>
      </c>
      <c r="BF150" s="10" t="n">
        <f aca="false">BE155</f>
        <v>-7730096.47454445</v>
      </c>
      <c r="BG150" s="10" t="n">
        <f aca="false">BF155</f>
        <v>-7859517.02474145</v>
      </c>
      <c r="BH150" s="10" t="n">
        <f aca="false">BG155</f>
        <v>-8011668.65029845</v>
      </c>
      <c r="BI150" s="10" t="n">
        <f aca="false">BH155</f>
        <v>-8141089.20049545</v>
      </c>
      <c r="BJ150" s="10" t="n">
        <f aca="false">BI155</f>
        <v>-8270509.75069245</v>
      </c>
      <c r="BK150" s="10" t="n">
        <f aca="false">BJ155</f>
        <v>-8399930.30088945</v>
      </c>
      <c r="BL150" s="10" t="n">
        <f aca="false">BK155</f>
        <v>-8531939.26209039</v>
      </c>
      <c r="BM150" s="10" t="n">
        <f aca="false">BL155</f>
        <v>-8663948.22329132</v>
      </c>
      <c r="BN150" s="10" t="n">
        <f aca="false">BM155</f>
        <v>-8795957.18449226</v>
      </c>
      <c r="BO150" s="10" t="n">
        <f aca="false">BN155</f>
        <v>-8953360.0041668</v>
      </c>
      <c r="BP150" s="10" t="n">
        <f aca="false">BO155</f>
        <v>-9085368.96536774</v>
      </c>
      <c r="BQ150" s="10" t="n">
        <f aca="false">BP155</f>
        <v>-9165864.40656868</v>
      </c>
      <c r="BR150" s="10" t="n">
        <f aca="false">BQ155</f>
        <v>-9297873.36776962</v>
      </c>
      <c r="BS150" s="10" t="n">
        <f aca="false">BR155</f>
        <v>-9429882.32897056</v>
      </c>
      <c r="BT150" s="10" t="n">
        <f aca="false">BS155</f>
        <v>-9517314.9870387</v>
      </c>
      <c r="BU150" s="10" t="n">
        <f aca="false">BT155</f>
        <v>-9649323.94823964</v>
      </c>
      <c r="BV150" s="10" t="n">
        <f aca="false">BU155</f>
        <v>-9781332.90944058</v>
      </c>
      <c r="BW150" s="10" t="n">
        <f aca="false">BV155</f>
        <v>-9845579.87064152</v>
      </c>
      <c r="BX150" s="10" t="n">
        <f aca="false">BW155</f>
        <v>-9980229.01106648</v>
      </c>
      <c r="BY150" s="10" t="n">
        <f aca="false">BX155</f>
        <v>-10114878.1514914</v>
      </c>
      <c r="BZ150" s="10" t="n">
        <f aca="false">BY155</f>
        <v>-10181765.2919164</v>
      </c>
      <c r="CA150" s="10" t="n">
        <f aca="false">BZ155</f>
        <v>-10342316.1679844</v>
      </c>
      <c r="CB150" s="10" t="n">
        <f aca="false">CA155</f>
        <v>-10476965.3084094</v>
      </c>
      <c r="CC150" s="10" t="n">
        <f aca="false">CB155</f>
        <v>-10535115.4488343</v>
      </c>
      <c r="CD150" s="10" t="n">
        <f aca="false">CC155</f>
        <v>-10669764.5892593</v>
      </c>
      <c r="CE150" s="10" t="n">
        <f aca="false">CD155</f>
        <v>-10804413.7296843</v>
      </c>
      <c r="CF150" s="10" t="n">
        <f aca="false">CE155</f>
        <v>-10886213.2809138</v>
      </c>
      <c r="CG150" s="10" t="n">
        <f aca="false">CF155</f>
        <v>-11020862.4213387</v>
      </c>
      <c r="CH150" s="10" t="n">
        <f aca="false">CG155</f>
        <v>-11155511.5617637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-62474.1233333333</v>
      </c>
      <c r="M151" s="10" t="n">
        <f aca="false">M86</f>
        <v>-62474.1233333333</v>
      </c>
      <c r="N151" s="10" t="n">
        <f aca="false">N86</f>
        <v>-62474.1233333333</v>
      </c>
      <c r="O151" s="10" t="n">
        <f aca="false">O86</f>
        <v>-64865.415</v>
      </c>
      <c r="P151" s="10" t="n">
        <f aca="false">P86</f>
        <v>-64865.415</v>
      </c>
      <c r="Q151" s="10" t="n">
        <f aca="false">Q86</f>
        <v>-64865.415</v>
      </c>
      <c r="R151" s="10" t="n">
        <f aca="false">R86</f>
        <v>-112231.665</v>
      </c>
      <c r="S151" s="10" t="n">
        <f aca="false">S86</f>
        <v>-88771.665</v>
      </c>
      <c r="T151" s="10" t="n">
        <f aca="false">T86</f>
        <v>-88771.665</v>
      </c>
      <c r="U151" s="10" t="n">
        <f aca="false">U86</f>
        <v>-88771.665</v>
      </c>
      <c r="V151" s="10" t="n">
        <f aca="false">V86</f>
        <v>-88771.665</v>
      </c>
      <c r="W151" s="10" t="n">
        <f aca="false">W86</f>
        <v>-52816.665</v>
      </c>
      <c r="X151" s="10" t="n">
        <f aca="false">X86</f>
        <v>-88771.665</v>
      </c>
      <c r="Y151" s="10" t="n">
        <f aca="false">Y86</f>
        <v>-88771.665</v>
      </c>
      <c r="Z151" s="10" t="n">
        <f aca="false">Z86</f>
        <v>-44028.245</v>
      </c>
      <c r="AA151" s="10" t="n">
        <f aca="false">AA86</f>
        <v>-114894.9925</v>
      </c>
      <c r="AB151" s="10" t="n">
        <f aca="false">AB86</f>
        <v>-114894.9925</v>
      </c>
      <c r="AC151" s="10" t="n">
        <f aca="false">AC86</f>
        <v>-57519.9925</v>
      </c>
      <c r="AD151" s="10" t="n">
        <f aca="false">AD86</f>
        <v>-138824.1925</v>
      </c>
      <c r="AE151" s="10" t="n">
        <f aca="false">AE86</f>
        <v>-114894.9925</v>
      </c>
      <c r="AF151" s="10" t="n">
        <f aca="false">AF86</f>
        <v>-114894.9925</v>
      </c>
      <c r="AG151" s="10" t="n">
        <f aca="false">AG86</f>
        <v>-124394.9925</v>
      </c>
      <c r="AH151" s="10" t="n">
        <f aca="false">AH86</f>
        <v>-124394.9925</v>
      </c>
      <c r="AI151" s="10" t="n">
        <f aca="false">AI86</f>
        <v>-146243.3925</v>
      </c>
      <c r="AJ151" s="10" t="n">
        <f aca="false">AJ86</f>
        <v>-124394.9925</v>
      </c>
      <c r="AK151" s="10" t="n">
        <f aca="false">AK86</f>
        <v>-124394.9925</v>
      </c>
      <c r="AL151" s="10" t="n">
        <f aca="false">AL86</f>
        <v>-124394.9925</v>
      </c>
      <c r="AM151" s="10" t="n">
        <f aca="false">AM86</f>
        <v>-126882.89235</v>
      </c>
      <c r="AN151" s="10" t="n">
        <f aca="false">AN86</f>
        <v>-126882.89235</v>
      </c>
      <c r="AO151" s="10" t="n">
        <f aca="false">AO86</f>
        <v>-126882.89235</v>
      </c>
      <c r="AP151" s="10" t="n">
        <f aca="false">AP86</f>
        <v>-151290.67635</v>
      </c>
      <c r="AQ151" s="10" t="n">
        <f aca="false">AQ86</f>
        <v>-126882.89235</v>
      </c>
      <c r="AR151" s="10" t="n">
        <f aca="false">AR86</f>
        <v>-126882.89235</v>
      </c>
      <c r="AS151" s="10" t="n">
        <f aca="false">AS86</f>
        <v>-126882.89235</v>
      </c>
      <c r="AT151" s="10" t="n">
        <f aca="false">AT86</f>
        <v>-126882.89235</v>
      </c>
      <c r="AU151" s="10" t="n">
        <f aca="false">AU86</f>
        <v>-149168.26035</v>
      </c>
      <c r="AV151" s="10" t="n">
        <f aca="false">AV86</f>
        <v>-126882.89235</v>
      </c>
      <c r="AW151" s="10" t="n">
        <f aca="false">AW86</f>
        <v>-126882.89235</v>
      </c>
      <c r="AX151" s="10" t="n">
        <f aca="false">AX86</f>
        <v>-126882.89235</v>
      </c>
      <c r="AY151" s="10" t="n">
        <f aca="false">AY86</f>
        <v>-129420.550197</v>
      </c>
      <c r="AZ151" s="10" t="n">
        <f aca="false">AZ86</f>
        <v>-129420.550197</v>
      </c>
      <c r="BA151" s="10" t="n">
        <f aca="false">BA86</f>
        <v>-129420.550197</v>
      </c>
      <c r="BB151" s="10" t="n">
        <f aca="false">BB86</f>
        <v>-154316.489877</v>
      </c>
      <c r="BC151" s="10" t="n">
        <f aca="false">BC86</f>
        <v>-129420.550197</v>
      </c>
      <c r="BD151" s="10" t="n">
        <f aca="false">BD86</f>
        <v>-129420.550197</v>
      </c>
      <c r="BE151" s="10" t="n">
        <f aca="false">BE86</f>
        <v>-129420.550197</v>
      </c>
      <c r="BF151" s="10" t="n">
        <f aca="false">BF86</f>
        <v>-129420.550197</v>
      </c>
      <c r="BG151" s="10" t="n">
        <f aca="false">BG86</f>
        <v>-152151.625557</v>
      </c>
      <c r="BH151" s="10" t="n">
        <f aca="false">BH86</f>
        <v>-129420.550197</v>
      </c>
      <c r="BI151" s="10" t="n">
        <f aca="false">BI86</f>
        <v>-129420.550197</v>
      </c>
      <c r="BJ151" s="10" t="n">
        <f aca="false">BJ86</f>
        <v>-129420.550197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-628606.013333333</v>
      </c>
      <c r="M155" s="61" t="n">
        <f aca="false">M150+M151+M152+M153+M154</f>
        <v>-1071080.13666667</v>
      </c>
      <c r="N155" s="61" t="n">
        <f aca="false">N150+N151+N152+N153+N154</f>
        <v>-1263554.26</v>
      </c>
      <c r="O155" s="61" t="n">
        <f aca="false">O150+O151+O152+O153+O154</f>
        <v>-1458419.675</v>
      </c>
      <c r="P155" s="61" t="n">
        <f aca="false">P150+P151+P152+P153+P154</f>
        <v>-1653285.09</v>
      </c>
      <c r="Q155" s="61" t="n">
        <f aca="false">Q150+Q151+Q152+Q153+Q154</f>
        <v>-1848150.505</v>
      </c>
      <c r="R155" s="61" t="n">
        <f aca="false">R150+R151+R152+R153+R154</f>
        <v>-2090382.17</v>
      </c>
      <c r="S155" s="61" t="n">
        <f aca="false">S150+S151+S152+S153+S154</f>
        <v>-2309153.835</v>
      </c>
      <c r="T155" s="61" t="n">
        <f aca="false">T150+T151+T152+T153+T154</f>
        <v>-2527925.5</v>
      </c>
      <c r="U155" s="61" t="n">
        <f aca="false">U150+U151+U152+U153+U154</f>
        <v>-2746697.165</v>
      </c>
      <c r="V155" s="61" t="n">
        <f aca="false">V150+V151+V152+V153+V154</f>
        <v>-2965468.83</v>
      </c>
      <c r="W155" s="61" t="n">
        <f aca="false">W150+W151+W152+W153+W154</f>
        <v>-3084254.73828545</v>
      </c>
      <c r="X155" s="61" t="n">
        <f aca="false">X150+X151+X152+X153+X154</f>
        <v>-3173026.40328545</v>
      </c>
      <c r="Y155" s="61" t="n">
        <f aca="false">Y150+Y151+Y152+Y153+Y154</f>
        <v>-3511798.06828545</v>
      </c>
      <c r="Z155" s="61" t="n">
        <f aca="false">Z150+Z151+Z152+Z153+Z154</f>
        <v>-3555826.31328545</v>
      </c>
      <c r="AA155" s="61" t="n">
        <f aca="false">AA150+AA151+AA152+AA153+AA154</f>
        <v>-3670721.30578545</v>
      </c>
      <c r="AB155" s="61" t="n">
        <f aca="false">AB150+AB151+AB152+AB153+AB154</f>
        <v>-3785616.29828545</v>
      </c>
      <c r="AC155" s="61" t="n">
        <f aca="false">AC150+AC151+AC152+AC153+AC154</f>
        <v>-3843136.29078545</v>
      </c>
      <c r="AD155" s="61" t="n">
        <f aca="false">AD150+AD151+AD152+AD153+AD154</f>
        <v>-3981960.48328545</v>
      </c>
      <c r="AE155" s="61" t="n">
        <f aca="false">AE150+AE151+AE152+AE153+AE154</f>
        <v>-4096855.47578545</v>
      </c>
      <c r="AF155" s="61" t="n">
        <f aca="false">AF150+AF151+AF152+AF153+AF154</f>
        <v>-4211750.46828545</v>
      </c>
      <c r="AG155" s="61" t="n">
        <f aca="false">AG150+AG151+AG152+AG153+AG154</f>
        <v>-4336145.46078545</v>
      </c>
      <c r="AH155" s="61" t="n">
        <f aca="false">AH150+AH151+AH152+AH153+AH154</f>
        <v>-4460540.45328545</v>
      </c>
      <c r="AI155" s="61" t="n">
        <f aca="false">AI150+AI151+AI152+AI153+AI154</f>
        <v>-4606783.84578545</v>
      </c>
      <c r="AJ155" s="61" t="n">
        <f aca="false">AJ150+AJ151+AJ152+AJ153+AJ154</f>
        <v>-4731178.83828545</v>
      </c>
      <c r="AK155" s="61" t="n">
        <f aca="false">AK150+AK151+AK152+AK153+AK154</f>
        <v>-5105573.83078545</v>
      </c>
      <c r="AL155" s="61" t="n">
        <f aca="false">AL150+AL151+AL152+AL153+AL154</f>
        <v>-5229968.82328545</v>
      </c>
      <c r="AM155" s="61" t="n">
        <f aca="false">AM150+AM151+AM152+AM153+AM154</f>
        <v>-5356851.71563545</v>
      </c>
      <c r="AN155" s="61" t="n">
        <f aca="false">AN150+AN151+AN152+AN153+AN154</f>
        <v>-5483734.60798545</v>
      </c>
      <c r="AO155" s="61" t="n">
        <f aca="false">AO150+AO151+AO152+AO153+AO154</f>
        <v>-5610617.50033545</v>
      </c>
      <c r="AP155" s="61" t="n">
        <f aca="false">AP150+AP151+AP152+AP153+AP154</f>
        <v>-5761908.17668545</v>
      </c>
      <c r="AQ155" s="61" t="n">
        <f aca="false">AQ150+AQ151+AQ152+AQ153+AQ154</f>
        <v>-5888791.06903545</v>
      </c>
      <c r="AR155" s="61" t="n">
        <f aca="false">AR150+AR151+AR152+AR153+AR154</f>
        <v>-6015673.96138545</v>
      </c>
      <c r="AS155" s="61" t="n">
        <f aca="false">AS150+AS151+AS152+AS153+AS154</f>
        <v>-6142556.85373545</v>
      </c>
      <c r="AT155" s="61" t="n">
        <f aca="false">AT150+AT151+AT152+AT153+AT154</f>
        <v>-6269439.74608545</v>
      </c>
      <c r="AU155" s="61" t="n">
        <f aca="false">AU150+AU151+AU152+AU153+AU154</f>
        <v>-6418608.00643545</v>
      </c>
      <c r="AV155" s="61" t="n">
        <f aca="false">AV150+AV151+AV152+AV153+AV154</f>
        <v>-6545490.89878545</v>
      </c>
      <c r="AW155" s="61" t="n">
        <f aca="false">AW150+AW151+AW152+AW153+AW154</f>
        <v>-6672373.79113545</v>
      </c>
      <c r="AX155" s="61" t="n">
        <f aca="false">AX150+AX151+AX152+AX153+AX154</f>
        <v>-6799256.68348545</v>
      </c>
      <c r="AY155" s="61" t="n">
        <f aca="false">AY150+AY151+AY152+AY153+AY154</f>
        <v>-6928677.23368245</v>
      </c>
      <c r="AZ155" s="61" t="n">
        <f aca="false">AZ150+AZ151+AZ152+AZ153+AZ154</f>
        <v>-7058097.78387945</v>
      </c>
      <c r="BA155" s="61" t="n">
        <f aca="false">BA150+BA151+BA152+BA153+BA154</f>
        <v>-7187518.33407645</v>
      </c>
      <c r="BB155" s="61" t="n">
        <f aca="false">BB150+BB151+BB152+BB153+BB154</f>
        <v>-7341834.82395345</v>
      </c>
      <c r="BC155" s="61" t="n">
        <f aca="false">BC150+BC151+BC152+BC153+BC154</f>
        <v>-7471255.37415045</v>
      </c>
      <c r="BD155" s="61" t="n">
        <f aca="false">BD150+BD151+BD152+BD153+BD154</f>
        <v>-7600675.92434745</v>
      </c>
      <c r="BE155" s="61" t="n">
        <f aca="false">BE150+BE151+BE152+BE153+BE154</f>
        <v>-7730096.47454445</v>
      </c>
      <c r="BF155" s="61" t="n">
        <f aca="false">BF150+BF151+BF152+BF153+BF154</f>
        <v>-7859517.02474145</v>
      </c>
      <c r="BG155" s="61" t="n">
        <f aca="false">BG150+BG151+BG152+BG153+BG154</f>
        <v>-8011668.65029845</v>
      </c>
      <c r="BH155" s="61" t="n">
        <f aca="false">BH150+BH151+BH152+BH153+BH154</f>
        <v>-8141089.20049545</v>
      </c>
      <c r="BI155" s="61" t="n">
        <f aca="false">BI150+BI151+BI152+BI153+BI154</f>
        <v>-8270509.75069245</v>
      </c>
      <c r="BJ155" s="61" t="n">
        <f aca="false">BJ150+BJ151+BJ152+BJ153+BJ154</f>
        <v>-8399930.30088945</v>
      </c>
      <c r="BK155" s="61" t="n">
        <f aca="false">BK150+BK151+BK152+BK153+BK154</f>
        <v>-8531939.26209039</v>
      </c>
      <c r="BL155" s="61" t="n">
        <f aca="false">BL150+BL151+BL152+BL153+BL154</f>
        <v>-8663948.22329132</v>
      </c>
      <c r="BM155" s="61" t="n">
        <f aca="false">BM150+BM151+BM152+BM153+BM154</f>
        <v>-8795957.18449226</v>
      </c>
      <c r="BN155" s="61" t="n">
        <f aca="false">BN150+BN151+BN152+BN153+BN154</f>
        <v>-8953360.0041668</v>
      </c>
      <c r="BO155" s="61" t="n">
        <f aca="false">BO150+BO151+BO152+BO153+BO154</f>
        <v>-9085368.96536774</v>
      </c>
      <c r="BP155" s="61" t="n">
        <f aca="false">BP150+BP151+BP152+BP153+BP154</f>
        <v>-9165864.40656868</v>
      </c>
      <c r="BQ155" s="61" t="n">
        <f aca="false">BQ150+BQ151+BQ152+BQ153+BQ154</f>
        <v>-9297873.36776962</v>
      </c>
      <c r="BR155" s="61" t="n">
        <f aca="false">BR150+BR151+BR152+BR153+BR154</f>
        <v>-9429882.32897056</v>
      </c>
      <c r="BS155" s="61" t="n">
        <f aca="false">BS150+BS151+BS152+BS153+BS154</f>
        <v>-9517314.9870387</v>
      </c>
      <c r="BT155" s="61" t="n">
        <f aca="false">BT150+BT151+BT152+BT153+BT154</f>
        <v>-9649323.94823964</v>
      </c>
      <c r="BU155" s="61" t="n">
        <f aca="false">BU150+BU151+BU152+BU153+BU154</f>
        <v>-9781332.90944058</v>
      </c>
      <c r="BV155" s="61" t="n">
        <f aca="false">BV150+BV151+BV152+BV153+BV154</f>
        <v>-9845579.87064152</v>
      </c>
      <c r="BW155" s="61" t="n">
        <f aca="false">BW150+BW151+BW152+BW153+BW154</f>
        <v>-9980229.01106648</v>
      </c>
      <c r="BX155" s="61" t="n">
        <f aca="false">BX150+BX151+BX152+BX153+BX154</f>
        <v>-10114878.1514914</v>
      </c>
      <c r="BY155" s="61" t="n">
        <f aca="false">BY150+BY151+BY152+BY153+BY154</f>
        <v>-10181765.2919164</v>
      </c>
      <c r="BZ155" s="61" t="n">
        <f aca="false">BZ150+BZ151+BZ152+BZ153+BZ154</f>
        <v>-10342316.1679844</v>
      </c>
      <c r="CA155" s="61" t="n">
        <f aca="false">CA150+CA151+CA152+CA153+CA154</f>
        <v>-10476965.3084094</v>
      </c>
      <c r="CB155" s="61" t="n">
        <f aca="false">CB150+CB151+CB152+CB153+CB154</f>
        <v>-10535115.4488343</v>
      </c>
      <c r="CC155" s="61" t="n">
        <f aca="false">CC150+CC151+CC152+CC153+CC154</f>
        <v>-10669764.5892593</v>
      </c>
      <c r="CD155" s="61" t="n">
        <f aca="false">CD150+CD151+CD152+CD153+CD154</f>
        <v>-10804413.7296843</v>
      </c>
      <c r="CE155" s="61" t="n">
        <f aca="false">CE150+CE151+CE152+CE153+CE154</f>
        <v>-10886213.2809138</v>
      </c>
      <c r="CF155" s="61" t="n">
        <f aca="false">CF150+CF151+CF152+CF153+CF154</f>
        <v>-11020862.4213387</v>
      </c>
      <c r="CG155" s="61" t="n">
        <f aca="false">CG150+CG151+CG152+CG153+CG154</f>
        <v>-11155511.5617637</v>
      </c>
      <c r="CH155" s="61" t="n">
        <f aca="false">CH150+CH151+CH152+CH153+CH154</f>
        <v>-11207053.6755822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4027718.85482113</v>
      </c>
      <c r="N158" s="10" t="n">
        <f aca="false">N145+N150</f>
        <v>3993909.86788932</v>
      </c>
      <c r="O158" s="10" t="n">
        <f aca="false">O145+O150</f>
        <v>4210100.8809575</v>
      </c>
      <c r="P158" s="10" t="n">
        <f aca="false">P145+P150</f>
        <v>3794285.57120447</v>
      </c>
      <c r="Q158" s="10" t="n">
        <f aca="false">Q145+Q150</f>
        <v>4170638.73645144</v>
      </c>
      <c r="R158" s="10" t="n">
        <f aca="false">R145+R150</f>
        <v>4546991.90169841</v>
      </c>
      <c r="S158" s="10" t="n">
        <f aca="false">S145+S150</f>
        <v>4510469.41110806</v>
      </c>
      <c r="T158" s="10" t="n">
        <f aca="false">T145+T150</f>
        <v>4637120.6505177</v>
      </c>
      <c r="U158" s="10" t="n">
        <f aca="false">U145+U150</f>
        <v>4763771.88992735</v>
      </c>
      <c r="V158" s="10" t="n">
        <f aca="false">V145+V150</f>
        <v>4715563.10986332</v>
      </c>
      <c r="W158" s="10" t="n">
        <f aca="false">W145+W150</f>
        <v>4902700.40190455</v>
      </c>
      <c r="X158" s="10" t="n">
        <f aca="false">X145+X150</f>
        <v>5189823.45066033</v>
      </c>
      <c r="Y158" s="10" t="n">
        <f aca="false">Y145+Y150</f>
        <v>5506960.74270156</v>
      </c>
      <c r="Z158" s="10" t="n">
        <f aca="false">Z145+Z150</f>
        <v>5574098.03474279</v>
      </c>
      <c r="AA158" s="10" t="n">
        <f aca="false">AA145+AA150</f>
        <v>5878699.38673617</v>
      </c>
      <c r="AB158" s="10" t="n">
        <f aca="false">AB145+AB150</f>
        <v>6058217.35311459</v>
      </c>
      <c r="AC158" s="10" t="n">
        <f aca="false">AC145+AC150</f>
        <v>6156241.46781837</v>
      </c>
      <c r="AD158" s="10" t="n">
        <f aca="false">AD145+AD150</f>
        <v>5744580.85585549</v>
      </c>
      <c r="AE158" s="10" t="n">
        <f aca="false">AE145+AE150</f>
        <v>5975322.10389261</v>
      </c>
      <c r="AF158" s="10" t="n">
        <f aca="false">AF145+AF150</f>
        <v>6229992.55192972</v>
      </c>
      <c r="AG158" s="10" t="n">
        <f aca="false">AG145+AG150</f>
        <v>6484662.99996684</v>
      </c>
      <c r="AH158" s="10" t="n">
        <f aca="false">AH145+AH150</f>
        <v>6729833.44800395</v>
      </c>
      <c r="AI158" s="10" t="n">
        <f aca="false">AI145+AI150</f>
        <v>6874324.8950941</v>
      </c>
      <c r="AJ158" s="10" t="n">
        <f aca="false">AJ145+AJ150</f>
        <v>6996967.94218425</v>
      </c>
      <c r="AK158" s="10" t="n">
        <f aca="false">AK145+AK150</f>
        <v>6978700.11654712</v>
      </c>
      <c r="AL158" s="10" t="n">
        <f aca="false">AL145+AL150</f>
        <v>6619643.08038368</v>
      </c>
      <c r="AM158" s="10" t="n">
        <f aca="false">AM145+AM150</f>
        <v>6510586.04422024</v>
      </c>
      <c r="AN158" s="10" t="n">
        <f aca="false">AN145+AN150</f>
        <v>6329750.98956239</v>
      </c>
      <c r="AO158" s="10" t="n">
        <f aca="false">AO145+AO150</f>
        <v>6058126.72437823</v>
      </c>
      <c r="AP158" s="10" t="n">
        <f aca="false">AP145+AP150</f>
        <v>5786502.45919407</v>
      </c>
      <c r="AQ158" s="10" t="n">
        <f aca="false">AQ145+AQ150</f>
        <v>5490470.41000991</v>
      </c>
      <c r="AR158" s="10" t="n">
        <f aca="false">AR145+AR150</f>
        <v>5218846.14482576</v>
      </c>
      <c r="AS158" s="10" t="n">
        <f aca="false">AS145+AS150</f>
        <v>4947221.8796416</v>
      </c>
      <c r="AT158" s="10" t="n">
        <f aca="false">AT145+AT150</f>
        <v>4504132.57657865</v>
      </c>
      <c r="AU158" s="10" t="n">
        <f aca="false">AU145+AU150</f>
        <v>4061043.2735157</v>
      </c>
      <c r="AV158" s="10" t="n">
        <f aca="false">AV145+AV150</f>
        <v>3595668.60245276</v>
      </c>
      <c r="AW158" s="10" t="n">
        <f aca="false">AW145+AW150</f>
        <v>3152579.29938981</v>
      </c>
      <c r="AX158" s="10" t="n">
        <f aca="false">AX145+AX150</f>
        <v>2709489.99632686</v>
      </c>
      <c r="AY158" s="10" t="n">
        <f aca="false">AY145+AY150</f>
        <v>2266400.69326392</v>
      </c>
      <c r="AZ158" s="10" t="n">
        <f aca="false">AZ145+AZ150</f>
        <v>1811316.67747304</v>
      </c>
      <c r="BA158" s="10" t="n">
        <f aca="false">BA145+BA150</f>
        <v>1356232.66168217</v>
      </c>
      <c r="BB158" s="10" t="n">
        <f aca="false">BB145+BB150</f>
        <v>901148.6458913</v>
      </c>
      <c r="BC158" s="10" t="n">
        <f aca="false">BC145+BC150</f>
        <v>421168.690420426</v>
      </c>
      <c r="BD158" s="10" t="n">
        <f aca="false">BD145+BD150</f>
        <v>-33915.3253704459</v>
      </c>
      <c r="BE158" s="10" t="n">
        <f aca="false">BE145+BE150</f>
        <v>-488999.341161318</v>
      </c>
      <c r="BF158" s="10" t="n">
        <f aca="false">BF145+BF150</f>
        <v>-944083.35695219</v>
      </c>
      <c r="BG158" s="10" t="n">
        <f aca="false">BG145+BG150</f>
        <v>-1399167.37274306</v>
      </c>
      <c r="BH158" s="10" t="n">
        <f aca="false">BH145+BH150</f>
        <v>-2033628.79722727</v>
      </c>
      <c r="BI158" s="10" t="n">
        <f aca="false">BI145+BI150</f>
        <v>-2645359.14635147</v>
      </c>
      <c r="BJ158" s="10" t="n">
        <f aca="false">BJ145+BJ150</f>
        <v>-3257089.49547568</v>
      </c>
      <c r="BK158" s="10" t="n">
        <f aca="false">BK145+BK150</f>
        <v>-3868819.84459988</v>
      </c>
      <c r="BL158" s="10" t="n">
        <f aca="false">BL145+BL150</f>
        <v>-4492784.80070657</v>
      </c>
      <c r="BM158" s="10" t="n">
        <f aca="false">BM145+BM150</f>
        <v>-5116749.75681326</v>
      </c>
      <c r="BN158" s="10" t="n">
        <f aca="false">BN145+BN150</f>
        <v>-5740714.71291995</v>
      </c>
      <c r="BO158" s="10" t="n">
        <f aca="false">BO145+BO150</f>
        <v>-6390073.52750024</v>
      </c>
      <c r="BP158" s="10" t="n">
        <f aca="false">BP145+BP150</f>
        <v>-7014038.48360693</v>
      </c>
      <c r="BQ158" s="10" t="n">
        <f aca="false">BQ145+BQ150</f>
        <v>-7586489.91971362</v>
      </c>
      <c r="BR158" s="10" t="n">
        <f aca="false">BR145+BR150</f>
        <v>-8210454.87582031</v>
      </c>
      <c r="BS158" s="10" t="n">
        <f aca="false">BS145+BS150</f>
        <v>-8834419.831927</v>
      </c>
      <c r="BT158" s="10" t="n">
        <f aca="false">BT145+BT150</f>
        <v>-9413808.48490089</v>
      </c>
      <c r="BU158" s="10" t="n">
        <f aca="false">BU145+BU150</f>
        <v>-10037773.4410076</v>
      </c>
      <c r="BV158" s="10" t="n">
        <f aca="false">BV145+BV150</f>
        <v>-10661738.3971143</v>
      </c>
      <c r="BW158" s="10" t="n">
        <f aca="false">BW145+BW150</f>
        <v>-11217941.353221</v>
      </c>
      <c r="BX158" s="10" t="n">
        <f aca="false">BX145+BX150</f>
        <v>-11854385.6084498</v>
      </c>
      <c r="BY158" s="10" t="n">
        <f aca="false">BY145+BY150</f>
        <v>-12490829.8636786</v>
      </c>
      <c r="BZ158" s="10" t="n">
        <f aca="false">BZ145+BZ150</f>
        <v>-13059512.1189074</v>
      </c>
      <c r="CA158" s="10" t="n">
        <f aca="false">CA145+CA150</f>
        <v>-13721858.1097793</v>
      </c>
      <c r="CB158" s="10" t="n">
        <f aca="false">CB145+CB150</f>
        <v>-14358302.3650081</v>
      </c>
      <c r="CC158" s="10" t="n">
        <f aca="false">CC145+CC150</f>
        <v>-14918247.620237</v>
      </c>
      <c r="CD158" s="10" t="n">
        <f aca="false">CD145+CD150</f>
        <v>-15554691.8754658</v>
      </c>
      <c r="CE158" s="10" t="n">
        <f aca="false">CE145+CE150</f>
        <v>-16191136.1306946</v>
      </c>
      <c r="CF158" s="10" t="n">
        <f aca="false">CF145+CF150</f>
        <v>-16774730.796728</v>
      </c>
      <c r="CG158" s="10" t="n">
        <f aca="false">CG145+CG150</f>
        <v>-17411175.0519568</v>
      </c>
      <c r="CH158" s="10" t="n">
        <f aca="false">CH145+CH150</f>
        <v>-18047619.3071856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-937279.455657847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-617143.347457176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4027718.85482113</v>
      </c>
      <c r="M160" s="61" t="n">
        <f aca="false">M158+M146+M151+M152+M153+M154+M159</f>
        <v>3993909.86788932</v>
      </c>
      <c r="N160" s="61" t="n">
        <f aca="false">N158+N146+N151+N152+N153+N154+N159</f>
        <v>3580706.58343161</v>
      </c>
      <c r="O160" s="61" t="n">
        <f aca="false">O158+O146+O151+O152+O153+O154+O159</f>
        <v>3794285.57120447</v>
      </c>
      <c r="P160" s="61" t="n">
        <f aca="false">P158+P146+P151+P152+P153+P154+P159</f>
        <v>4170638.73645144</v>
      </c>
      <c r="Q160" s="61" t="n">
        <f aca="false">Q158+Q146+Q151+Q152+Q153+Q154+Q159</f>
        <v>4546991.90169841</v>
      </c>
      <c r="R160" s="61" t="n">
        <f aca="false">R158+R146+R151+R152+R153+R154+R159</f>
        <v>4510469.41110806</v>
      </c>
      <c r="S160" s="61" t="n">
        <f aca="false">S158+S146+S151+S152+S153+S154+S159</f>
        <v>4637120.6505177</v>
      </c>
      <c r="T160" s="61" t="n">
        <f aca="false">T158+T146+T151+T152+T153+T154+T159</f>
        <v>4763771.88992735</v>
      </c>
      <c r="U160" s="61" t="n">
        <f aca="false">U158+U146+U151+U152+U153+U154+U159</f>
        <v>4715563.10986332</v>
      </c>
      <c r="V160" s="61" t="n">
        <f aca="false">V158+V146+V151+V152+V153+V154+V159</f>
        <v>4902700.40190455</v>
      </c>
      <c r="W160" s="61" t="n">
        <f aca="false">W158+W146+W151+W152+W153+W154+W159</f>
        <v>5189823.45066033</v>
      </c>
      <c r="X160" s="61" t="n">
        <f aca="false">X158+X146+X151+X152+X153+X154+X159</f>
        <v>5506960.74270156</v>
      </c>
      <c r="Y160" s="61" t="n">
        <f aca="false">Y158+Y146+Y151+Y152+Y153+Y154+Y159</f>
        <v>5574098.03474279</v>
      </c>
      <c r="Z160" s="61" t="n">
        <f aca="false">Z158+Z146+Z151+Z152+Z153+Z154+Z159</f>
        <v>4941419.93107832</v>
      </c>
      <c r="AA160" s="61" t="n">
        <f aca="false">AA158+AA146+AA151+AA152+AA153+AA154+AA159</f>
        <v>6058217.35311459</v>
      </c>
      <c r="AB160" s="61" t="n">
        <f aca="false">AB158+AB146+AB151+AB152+AB153+AB154+AB159</f>
        <v>6156241.46781837</v>
      </c>
      <c r="AC160" s="61" t="n">
        <f aca="false">AC158+AC146+AC151+AC152+AC153+AC154+AC159</f>
        <v>5744580.85585549</v>
      </c>
      <c r="AD160" s="61" t="n">
        <f aca="false">AD158+AD146+AD151+AD152+AD153+AD154+AD159</f>
        <v>5975322.10389261</v>
      </c>
      <c r="AE160" s="61" t="n">
        <f aca="false">AE158+AE146+AE151+AE152+AE153+AE154+AE159</f>
        <v>6229992.55192972</v>
      </c>
      <c r="AF160" s="61" t="n">
        <f aca="false">AF158+AF146+AF151+AF152+AF153+AF154+AF159</f>
        <v>6484662.99996684</v>
      </c>
      <c r="AG160" s="61" t="n">
        <f aca="false">AG158+AG146+AG151+AG152+AG153+AG154+AG159</f>
        <v>6729833.44800395</v>
      </c>
      <c r="AH160" s="61" t="n">
        <f aca="false">AH158+AH146+AH151+AH152+AH153+AH154+AH159</f>
        <v>6874324.8950941</v>
      </c>
      <c r="AI160" s="61" t="n">
        <f aca="false">AI158+AI146+AI151+AI152+AI153+AI154+AI159</f>
        <v>6996967.94218425</v>
      </c>
      <c r="AJ160" s="61" t="n">
        <f aca="false">AJ158+AJ146+AJ151+AJ152+AJ153+AJ154+AJ159</f>
        <v>6978700.11654712</v>
      </c>
      <c r="AK160" s="61" t="n">
        <f aca="false">AK158+AK146+AK151+AK152+AK153+AK154+AK159</f>
        <v>6619643.08038368</v>
      </c>
      <c r="AL160" s="61" t="n">
        <f aca="false">AL158+AL146+AL151+AL152+AL153+AL154+AL159</f>
        <v>5893442.69676306</v>
      </c>
      <c r="AM160" s="61" t="n">
        <f aca="false">AM158+AM146+AM151+AM152+AM153+AM154+AM159</f>
        <v>6329750.98956239</v>
      </c>
      <c r="AN160" s="61" t="n">
        <f aca="false">AN158+AN146+AN151+AN152+AN153+AN154+AN159</f>
        <v>6058126.72437823</v>
      </c>
      <c r="AO160" s="61" t="n">
        <f aca="false">AO158+AO146+AO151+AO152+AO153+AO154+AO159</f>
        <v>5786502.45919407</v>
      </c>
      <c r="AP160" s="61" t="n">
        <f aca="false">AP158+AP146+AP151+AP152+AP153+AP154+AP159</f>
        <v>5490470.41000991</v>
      </c>
      <c r="AQ160" s="61" t="n">
        <f aca="false">AQ158+AQ146+AQ151+AQ152+AQ153+AQ154+AQ159</f>
        <v>5218846.14482576</v>
      </c>
      <c r="AR160" s="61" t="n">
        <f aca="false">AR158+AR146+AR151+AR152+AR153+AR154+AR159</f>
        <v>4947221.8796416</v>
      </c>
      <c r="AS160" s="61" t="n">
        <f aca="false">AS158+AS146+AS151+AS152+AS153+AS154+AS159</f>
        <v>4504132.57657865</v>
      </c>
      <c r="AT160" s="61" t="n">
        <f aca="false">AT158+AT146+AT151+AT152+AT153+AT154+AT159</f>
        <v>4061043.2735157</v>
      </c>
      <c r="AU160" s="61" t="n">
        <f aca="false">AU158+AU146+AU151+AU152+AU153+AU154+AU159</f>
        <v>3595668.60245276</v>
      </c>
      <c r="AV160" s="61" t="n">
        <f aca="false">AV158+AV146+AV151+AV152+AV153+AV154+AV159</f>
        <v>3152579.29938981</v>
      </c>
      <c r="AW160" s="61" t="n">
        <f aca="false">AW158+AW146+AW151+AW152+AW153+AW154+AW159</f>
        <v>2709489.99632686</v>
      </c>
      <c r="AX160" s="61" t="n">
        <f aca="false">AX158+AX146+AX151+AX152+AX153+AX154+AX159</f>
        <v>2266400.69326392</v>
      </c>
      <c r="AY160" s="61" t="n">
        <f aca="false">AY158+AY146+AY151+AY152+AY153+AY154+AY159</f>
        <v>1811316.67747304</v>
      </c>
      <c r="AZ160" s="61" t="n">
        <f aca="false">AZ158+AZ146+AZ151+AZ152+AZ153+AZ154+AZ159</f>
        <v>1356232.66168217</v>
      </c>
      <c r="BA160" s="61" t="n">
        <f aca="false">BA158+BA146+BA151+BA152+BA153+BA154+BA159</f>
        <v>901148.6458913</v>
      </c>
      <c r="BB160" s="61" t="n">
        <f aca="false">BB158+BB146+BB151+BB152+BB153+BB154+BB159</f>
        <v>421168.690420427</v>
      </c>
      <c r="BC160" s="61" t="n">
        <f aca="false">BC158+BC146+BC151+BC152+BC153+BC154+BC159</f>
        <v>-33915.3253704458</v>
      </c>
      <c r="BD160" s="61" t="n">
        <f aca="false">BD158+BD146+BD151+BD152+BD153+BD154+BD159</f>
        <v>-488999.341161318</v>
      </c>
      <c r="BE160" s="61" t="n">
        <f aca="false">BE158+BE146+BE151+BE152+BE153+BE154+BE159</f>
        <v>-944083.35695219</v>
      </c>
      <c r="BF160" s="61" t="n">
        <f aca="false">BF158+BF146+BF151+BF152+BF153+BF154+BF159</f>
        <v>-1399167.37274306</v>
      </c>
      <c r="BG160" s="61" t="n">
        <f aca="false">BG158+BG146+BG151+BG152+BG153+BG154+BG159</f>
        <v>-2033628.79722727</v>
      </c>
      <c r="BH160" s="61" t="n">
        <f aca="false">BH158+BH146+BH151+BH152+BH153+BH154+BH159</f>
        <v>-2645359.14635147</v>
      </c>
      <c r="BI160" s="61" t="n">
        <f aca="false">BI158+BI146+BI151+BI152+BI153+BI154+BI159</f>
        <v>-3257089.49547568</v>
      </c>
      <c r="BJ160" s="61" t="n">
        <f aca="false">BJ158+BJ146+BJ151+BJ152+BJ153+BJ154+BJ159</f>
        <v>-3868819.84459988</v>
      </c>
      <c r="BK160" s="61" t="n">
        <f aca="false">BK158+BK146+BK151+BK152+BK153+BK154+BK159</f>
        <v>-4492784.80070657</v>
      </c>
      <c r="BL160" s="61" t="n">
        <f aca="false">BL158+BL146+BL151+BL152+BL153+BL154+BL159</f>
        <v>-5116749.75681326</v>
      </c>
      <c r="BM160" s="61" t="n">
        <f aca="false">BM158+BM146+BM151+BM152+BM153+BM154+BM159</f>
        <v>-5740714.71291995</v>
      </c>
      <c r="BN160" s="61" t="n">
        <f aca="false">BN158+BN146+BN151+BN152+BN153+BN154+BN159</f>
        <v>-6390073.52750024</v>
      </c>
      <c r="BO160" s="61" t="n">
        <f aca="false">BO158+BO146+BO151+BO152+BO153+BO154+BO159</f>
        <v>-7014038.48360693</v>
      </c>
      <c r="BP160" s="61" t="n">
        <f aca="false">BP158+BP146+BP151+BP152+BP153+BP154+BP159</f>
        <v>-7586489.91971362</v>
      </c>
      <c r="BQ160" s="61" t="n">
        <f aca="false">BQ158+BQ146+BQ151+BQ152+BQ153+BQ154+BQ159</f>
        <v>-8210454.87582031</v>
      </c>
      <c r="BR160" s="61" t="n">
        <f aca="false">BR158+BR146+BR151+BR152+BR153+BR154+BR159</f>
        <v>-8834419.831927</v>
      </c>
      <c r="BS160" s="61" t="n">
        <f aca="false">BS158+BS146+BS151+BS152+BS153+BS154+BS159</f>
        <v>-9413808.48490089</v>
      </c>
      <c r="BT160" s="61" t="n">
        <f aca="false">BT158+BT146+BT151+BT152+BT153+BT154+BT159</f>
        <v>-10037773.4410076</v>
      </c>
      <c r="BU160" s="61" t="n">
        <f aca="false">BU158+BU146+BU151+BU152+BU153+BU154+BU159</f>
        <v>-10661738.3971143</v>
      </c>
      <c r="BV160" s="61" t="n">
        <f aca="false">BV158+BV146+BV151+BV152+BV153+BV154+BV159</f>
        <v>-11217941.353221</v>
      </c>
      <c r="BW160" s="61" t="n">
        <f aca="false">BW158+BW146+BW151+BW152+BW153+BW154+BW159</f>
        <v>-11854385.6084498</v>
      </c>
      <c r="BX160" s="61" t="n">
        <f aca="false">BX158+BX146+BX151+BX152+BX153+BX154+BX159</f>
        <v>-12490829.8636786</v>
      </c>
      <c r="BY160" s="61" t="n">
        <f aca="false">BY158+BY146+BY151+BY152+BY153+BY154+BY159</f>
        <v>-13059512.1189074</v>
      </c>
      <c r="BZ160" s="61" t="n">
        <f aca="false">BZ158+BZ146+BZ151+BZ152+BZ153+BZ154+BZ159</f>
        <v>-13721858.1097793</v>
      </c>
      <c r="CA160" s="61" t="n">
        <f aca="false">CA158+CA146+CA151+CA152+CA153+CA154+CA159</f>
        <v>-14358302.3650082</v>
      </c>
      <c r="CB160" s="61" t="n">
        <f aca="false">CB158+CB146+CB151+CB152+CB153+CB154+CB159</f>
        <v>-14918247.620237</v>
      </c>
      <c r="CC160" s="61" t="n">
        <f aca="false">CC158+CC146+CC151+CC152+CC153+CC154+CC159</f>
        <v>-15554691.8754658</v>
      </c>
      <c r="CD160" s="61" t="n">
        <f aca="false">CD158+CD146+CD151+CD152+CD153+CD154+CD159</f>
        <v>-16191136.1306946</v>
      </c>
      <c r="CE160" s="61" t="n">
        <f aca="false">CE158+CE146+CE151+CE152+CE153+CE154+CE159</f>
        <v>-16774730.796728</v>
      </c>
      <c r="CF160" s="61" t="n">
        <f aca="false">CF158+CF146+CF151+CF152+CF153+CF154+CF159</f>
        <v>-17411175.0519568</v>
      </c>
      <c r="CG160" s="61" t="n">
        <f aca="false">CG158+CG146+CG151+CG152+CG153+CG154+CG159</f>
        <v>-18047619.3071856</v>
      </c>
      <c r="CH160" s="61" t="n">
        <f aca="false">CH158+CH146+CH151+CH152+CH153+CH154+CH159</f>
        <v>-18600956.535808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171271.38</v>
      </c>
      <c r="F19" s="19" t="n">
        <f aca="false">Model!O63+Model!P63+Model!Q63</f>
        <v>171271.38</v>
      </c>
      <c r="G19" s="19" t="n">
        <f aca="false">Model!R63+Model!S63+Model!T63</f>
        <v>99552.63</v>
      </c>
      <c r="H19" s="19" t="n">
        <f aca="false">Model!U63+Model!V63+Model!W63</f>
        <v>156927.63</v>
      </c>
      <c r="I19" s="19" t="n">
        <f aca="false">Model!X63+Model!Y63+Model!Z63</f>
        <v>144296.05</v>
      </c>
      <c r="J19" s="19" t="n">
        <f aca="false">Model!AA63+Model!AB63+Model!AC63</f>
        <v>85875</v>
      </c>
      <c r="K19" s="19" t="n">
        <f aca="false">Model!AD63+Model!AE63+Model!AF63</f>
        <v>28500</v>
      </c>
      <c r="L19" s="19" t="n">
        <f aca="false">Model!AG63+Model!AH63+Model!AI63</f>
        <v>0</v>
      </c>
      <c r="M19" s="19" t="n">
        <f aca="false">Model!AJ63+Model!AK63+Model!AL63</f>
        <v>0</v>
      </c>
      <c r="N19" s="19" t="n">
        <f aca="false">Model!AM63+Model!AN63+Model!AO63</f>
        <v>0</v>
      </c>
      <c r="O19" s="19" t="n">
        <f aca="false">Model!AP63+Model!AQ63+Model!AR63</f>
        <v>81683</v>
      </c>
      <c r="P19" s="19" t="n">
        <f aca="false">Model!AS63+Model!AT63+Model!AU63</f>
        <v>81682</v>
      </c>
      <c r="Q19" s="19" t="n">
        <f aca="false">Model!AV63+Model!AW63+Model!AX63</f>
        <v>81682</v>
      </c>
      <c r="R19" s="19" t="n">
        <f aca="false">Model!AY63+Model!AZ63+Model!BA63</f>
        <v>933521</v>
      </c>
      <c r="S19" s="19" t="n">
        <f aca="false">Model!BB63+Model!BC63+Model!BD63</f>
        <v>130878</v>
      </c>
      <c r="T19" s="19" t="n">
        <f aca="false">Model!BE63+Model!BF63+Model!BG63</f>
        <v>130876</v>
      </c>
      <c r="U19" s="19" t="n">
        <f aca="false">Model!BH63+Model!BI63+Model!BJ63</f>
        <v>130876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-187422.37</v>
      </c>
      <c r="F21" s="16" t="n">
        <f aca="false">Model!O86+Model!P86+Model!Q86</f>
        <v>-194596.245</v>
      </c>
      <c r="G21" s="16" t="n">
        <f aca="false">Model!R86+Model!S86+Model!T86</f>
        <v>-289774.995</v>
      </c>
      <c r="H21" s="16" t="n">
        <f aca="false">Model!U86+Model!V86+Model!W86</f>
        <v>-230359.995</v>
      </c>
      <c r="I21" s="16" t="n">
        <f aca="false">Model!X86+Model!Y86+Model!Z86</f>
        <v>-221571.575</v>
      </c>
      <c r="J21" s="16" t="n">
        <f aca="false">Model!AA86+Model!AB86+Model!AC86</f>
        <v>-287309.9775</v>
      </c>
      <c r="K21" s="16" t="n">
        <f aca="false">Model!AD86+Model!AE86+Model!AF86</f>
        <v>-368614.1775</v>
      </c>
      <c r="L21" s="16" t="n">
        <f aca="false">Model!AG86+Model!AH86+Model!AI86</f>
        <v>-395033.3775</v>
      </c>
      <c r="M21" s="16" t="n">
        <f aca="false">Model!AJ86+Model!AK86+Model!AL86</f>
        <v>-373184.9775</v>
      </c>
      <c r="N21" s="16" t="n">
        <f aca="false">Model!AM86+Model!AN86+Model!AO86</f>
        <v>-380648.67705</v>
      </c>
      <c r="O21" s="16" t="n">
        <f aca="false">Model!AP86+Model!AQ86+Model!AR86</f>
        <v>-405056.46105</v>
      </c>
      <c r="P21" s="16" t="n">
        <f aca="false">Model!AS86+Model!AT86+Model!AU86</f>
        <v>-402934.04505</v>
      </c>
      <c r="Q21" s="16" t="n">
        <f aca="false">Model!AV86+Model!AW86+Model!AX86</f>
        <v>-380648.67705</v>
      </c>
      <c r="R21" s="16" t="n">
        <f aca="false">Model!AY86+Model!AZ86+Model!BA86</f>
        <v>-388261.650591</v>
      </c>
      <c r="S21" s="16" t="n">
        <f aca="false">Model!BB86+Model!BC86+Model!BD86</f>
        <v>-413157.590271</v>
      </c>
      <c r="T21" s="16" t="n">
        <f aca="false">Model!BE86+Model!BF86+Model!BG86</f>
        <v>-410992.725951</v>
      </c>
      <c r="U21" s="16" t="n">
        <f aca="false">Model!BH86+Model!BI86+Model!BJ86</f>
        <v>-388261.650591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1038573.03920455</v>
      </c>
      <c r="F23" s="16" t="n">
        <f aca="false">Model!O95+Model!P95+Model!Q95</f>
        <v>726891.020740909</v>
      </c>
      <c r="G23" s="16" t="n">
        <f aca="false">Model!R95+Model!S95+Model!T95</f>
        <v>606779.988228947</v>
      </c>
      <c r="H23" s="16" t="n">
        <f aca="false">Model!U95+Model!V95+Model!W95</f>
        <v>752020.804018421</v>
      </c>
      <c r="I23" s="16" t="n">
        <f aca="false">Model!X95+Model!Y95+Model!Z95</f>
        <v>938875.936075837</v>
      </c>
      <c r="J23" s="16" t="n">
        <f aca="false">Model!AA95+Model!AB95+Model!AC95</f>
        <v>-134118.530880677</v>
      </c>
      <c r="K23" s="16" t="n">
        <f aca="false">Model!AD95+Model!AE95+Model!AF95</f>
        <v>740082.144111349</v>
      </c>
      <c r="L23" s="16" t="n">
        <f aca="false">Model!AG95+Model!AH95+Model!AI95</f>
        <v>512304.94221741</v>
      </c>
      <c r="M23" s="16" t="n">
        <f aca="false">Model!AJ95+Model!AK95+Model!AL95</f>
        <v>-236381.89796401</v>
      </c>
      <c r="N23" s="16" t="n">
        <f aca="false">Model!AM95+Model!AN95+Model!AO95</f>
        <v>-724083.585026161</v>
      </c>
      <c r="O23" s="16" t="n">
        <f aca="false">Model!AP95+Model!AQ95+Model!AR95</f>
        <v>-839280.579552477</v>
      </c>
      <c r="P23" s="16" t="n">
        <f aca="false">Model!AS95+Model!AT95+Model!AU95</f>
        <v>-1351553.27718884</v>
      </c>
      <c r="Q23" s="16" t="n">
        <f aca="false">Model!AV95+Model!AW95+Model!AX95</f>
        <v>-1329267.90918884</v>
      </c>
      <c r="R23" s="16" t="n">
        <f aca="false">Model!AY95+Model!AZ95+Model!BA95</f>
        <v>-1365252.04737262</v>
      </c>
      <c r="S23" s="16" t="n">
        <f aca="false">Model!BB95+Model!BC95+Model!BD95</f>
        <v>-1390147.98705262</v>
      </c>
      <c r="T23" s="16" t="n">
        <f aca="false">Model!BE95+Model!BF95+Model!BG95</f>
        <v>-1544629.45606595</v>
      </c>
      <c r="U23" s="16" t="n">
        <f aca="false">Model!BH95+Model!BI95+Model!BJ95</f>
        <v>-1835191.04737262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-1263554.26</v>
      </c>
      <c r="F43" s="21" t="n">
        <f aca="false">Model!Q155</f>
        <v>-1848150.505</v>
      </c>
      <c r="G43" s="21" t="n">
        <f aca="false">Model!T155</f>
        <v>-2527925.5</v>
      </c>
      <c r="H43" s="21" t="n">
        <f aca="false">Model!W155</f>
        <v>-3084254.73828545</v>
      </c>
      <c r="I43" s="21" t="n">
        <f aca="false">Model!Z155</f>
        <v>-3555826.31328545</v>
      </c>
      <c r="J43" s="21" t="n">
        <f aca="false">Model!AC155</f>
        <v>-3843136.29078545</v>
      </c>
      <c r="K43" s="21" t="n">
        <f aca="false">Model!AF155</f>
        <v>-4211750.46828545</v>
      </c>
      <c r="L43" s="21" t="n">
        <f aca="false">Model!AI155</f>
        <v>-4606783.84578545</v>
      </c>
      <c r="M43" s="21" t="n">
        <f aca="false">Model!AL155</f>
        <v>-5229968.82328545</v>
      </c>
      <c r="N43" s="21" t="n">
        <f aca="false">Model!AO155</f>
        <v>-5610617.50033545</v>
      </c>
      <c r="O43" s="21" t="n">
        <f aca="false">Model!AR155</f>
        <v>-6015673.96138545</v>
      </c>
      <c r="P43" s="21" t="n">
        <f aca="false">Model!AU155</f>
        <v>-6418608.00643545</v>
      </c>
      <c r="Q43" s="21" t="n">
        <f aca="false">Model!AX155</f>
        <v>-6799256.68348545</v>
      </c>
      <c r="R43" s="21" t="n">
        <f aca="false">Model!BA155</f>
        <v>-7187518.33407645</v>
      </c>
      <c r="S43" s="21" t="n">
        <f aca="false">Model!BD155</f>
        <v>-7600675.92434745</v>
      </c>
      <c r="T43" s="21" t="n">
        <f aca="false">Model!BG155</f>
        <v>-8011668.65029845</v>
      </c>
      <c r="U43" s="21" t="n">
        <f aca="false">Model!BJ155</f>
        <v>-8399930.30088945</v>
      </c>
      <c r="V43" s="21" t="n">
        <f aca="false">Model!BM155</f>
        <v>-8795957.18449226</v>
      </c>
      <c r="W43" s="21" t="n">
        <f aca="false">Model!BP155</f>
        <v>-9165864.40656868</v>
      </c>
      <c r="X43" s="21" t="n">
        <f aca="false">Model!BS155</f>
        <v>-9517314.9870387</v>
      </c>
      <c r="Y43" s="21" t="n">
        <f aca="false">Model!BV155</f>
        <v>-9845579.87064152</v>
      </c>
      <c r="Z43" s="21" t="n">
        <f aca="false">Model!BY155</f>
        <v>-10181765.2919164</v>
      </c>
      <c r="AA43" s="21" t="n">
        <f aca="false">Model!CB155</f>
        <v>-10535115.4488343</v>
      </c>
      <c r="AB43" s="21" t="n">
        <f aca="false">Model!CE155</f>
        <v>-10886213.2809138</v>
      </c>
      <c r="AC43" s="21" t="n">
        <f aca="false">Model!CH155</f>
        <v>-11207053.6755822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-937279.455657847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-617143.347457176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3580706.58343161</v>
      </c>
      <c r="F45" s="23" t="n">
        <f aca="false">Model!Q160</f>
        <v>4546991.90169841</v>
      </c>
      <c r="G45" s="23" t="n">
        <f aca="false">Model!T160</f>
        <v>4763771.88992735</v>
      </c>
      <c r="H45" s="23" t="n">
        <f aca="false">Model!W160</f>
        <v>5189823.45066033</v>
      </c>
      <c r="I45" s="23" t="n">
        <f aca="false">Model!Z160</f>
        <v>4941419.93107832</v>
      </c>
      <c r="J45" s="23" t="n">
        <f aca="false">Model!AC160</f>
        <v>5744580.85585549</v>
      </c>
      <c r="K45" s="23" t="n">
        <f aca="false">Model!AF160</f>
        <v>6484662.99996684</v>
      </c>
      <c r="L45" s="23" t="n">
        <f aca="false">Model!AI160</f>
        <v>6996967.94218425</v>
      </c>
      <c r="M45" s="23" t="n">
        <f aca="false">Model!AL160</f>
        <v>5893442.69676306</v>
      </c>
      <c r="N45" s="23" t="n">
        <f aca="false">Model!AO160</f>
        <v>5786502.45919407</v>
      </c>
      <c r="O45" s="23" t="n">
        <f aca="false">Model!AR160</f>
        <v>4947221.8796416</v>
      </c>
      <c r="P45" s="23" t="n">
        <f aca="false">Model!AU160</f>
        <v>3595668.60245276</v>
      </c>
      <c r="Q45" s="23" t="n">
        <f aca="false">Model!AX160</f>
        <v>2266400.69326392</v>
      </c>
      <c r="R45" s="23" t="n">
        <f aca="false">Model!BA160</f>
        <v>901148.6458913</v>
      </c>
      <c r="S45" s="23" t="n">
        <f aca="false">Model!BD160</f>
        <v>-488999.341161318</v>
      </c>
      <c r="T45" s="23" t="n">
        <f aca="false">Model!BG160</f>
        <v>-2033628.79722727</v>
      </c>
      <c r="U45" s="23" t="n">
        <f aca="false">Model!BJ160</f>
        <v>-3868819.84459988</v>
      </c>
      <c r="V45" s="23" t="n">
        <f aca="false">Model!BM160</f>
        <v>-5740714.71291995</v>
      </c>
      <c r="W45" s="23" t="n">
        <f aca="false">Model!BP160</f>
        <v>-7586489.91971362</v>
      </c>
      <c r="X45" s="23" t="n">
        <f aca="false">Model!BS160</f>
        <v>-9413808.48490089</v>
      </c>
      <c r="Y45" s="23" t="n">
        <f aca="false">Model!BV160</f>
        <v>-11217941.353221</v>
      </c>
      <c r="Z45" s="23" t="n">
        <f aca="false">Model!BY160</f>
        <v>-13059512.1189074</v>
      </c>
      <c r="AA45" s="23" t="n">
        <f aca="false">Model!CB160</f>
        <v>-14918247.620237</v>
      </c>
      <c r="AB45" s="23" t="n">
        <f aca="false">Model!CE160</f>
        <v>-16774730.796728</v>
      </c>
      <c r="AC45" s="23" t="n">
        <f aca="false">Model!CH160</f>
        <v>-18600956.535808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-7885027.9313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4026418.45719282</v>
      </c>
      <c r="D43" s="77" t="n">
        <f aca="false">'Annual Summary'!D16</f>
        <v>3329673.59902392</v>
      </c>
      <c r="E43" s="77" t="n">
        <f aca="false">'Annual Summary'!E16</f>
        <v>-1589475.17908149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-3084254.73828545</v>
      </c>
      <c r="D50" s="91" t="n">
        <f aca="false">'Annual Summary'!D43</f>
        <v>-4606783.84578545</v>
      </c>
      <c r="E50" s="91" t="n">
        <f aca="false">'Annual Summary'!E43</f>
        <v>-6418608.00643545</v>
      </c>
      <c r="F50" s="91" t="n">
        <f aca="false">'Annual Summary'!F43</f>
        <v>-8011668.65029845</v>
      </c>
      <c r="G50" s="91" t="n">
        <f aca="false">'Annual Summary'!G43</f>
        <v>-9517314.9870387</v>
      </c>
      <c r="H50" s="91" t="n">
        <f aca="false">'Annual Summary'!H43</f>
        <v>-10886213.2809138</v>
      </c>
      <c r="I50" s="91" t="n">
        <f aca="false">'Annual Summary'!I43</f>
        <v>-11207053.6755822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8274078.18894577</v>
      </c>
      <c r="D52" s="91" t="n">
        <f aca="false">'Annual Summary'!D42</f>
        <v>11603751.7879697</v>
      </c>
      <c r="E52" s="91" t="n">
        <f aca="false">'Annual Summary'!E42</f>
        <v>10014276.6088882</v>
      </c>
      <c r="F52" s="91" t="n">
        <f aca="false">'Annual Summary'!F42</f>
        <v>5978039.85307118</v>
      </c>
      <c r="G52" s="91" t="n">
        <f aca="false">'Annual Summary'!G42</f>
        <v>103506.502137813</v>
      </c>
      <c r="H52" s="91" t="n">
        <f aca="false">'Annual Summary'!H42</f>
        <v>-5888517.51581422</v>
      </c>
      <c r="I52" s="91" t="n">
        <f aca="false">'Annual Summary'!I42</f>
        <v>-7393902.86022581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8274078.18894577</v>
      </c>
      <c r="D71" s="81" t="n">
        <f aca="false">'Annual Summary'!E42</f>
        <v>10014276.6088882</v>
      </c>
      <c r="E71" s="81" t="n">
        <f aca="false">'Annual Summary'!G42</f>
        <v>103506.502137813</v>
      </c>
      <c r="F71" s="81" t="n">
        <f aca="false">'Annual Summary'!I42</f>
        <v>-7393902.86022581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-3084254.73828545</v>
      </c>
      <c r="D72" s="97" t="n">
        <f aca="false">'Annual Summary'!E43</f>
        <v>-6418608.00643545</v>
      </c>
      <c r="E72" s="97" t="n">
        <f aca="false">'Annual Summary'!G43</f>
        <v>-9517314.9870387</v>
      </c>
      <c r="F72" s="97" t="n">
        <f aca="false">'Annual Summary'!I43</f>
        <v>-11207053.6755822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-3084254.73828545</v>
      </c>
      <c r="D100" s="81" t="n">
        <f aca="false">'Annual Summary'!D43</f>
        <v>-4606783.84578545</v>
      </c>
      <c r="E100" s="81" t="n">
        <f aca="false">'Annual Summary'!E43</f>
        <v>-6418608.00643545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-394251.396565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-3478506.13485045</v>
      </c>
      <c r="D102" s="81" t="n">
        <f aca="false">D100+D101</f>
        <v>-4950770.32186675</v>
      </c>
      <c r="E102" s="81" t="n">
        <f aca="false">E100+E101</f>
        <v>-6700928.90949837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-3478506.13485045</v>
      </c>
      <c r="D103" s="69" t="n">
        <f aca="false">D102-D99</f>
        <v>-4950770.32186675</v>
      </c>
      <c r="E103" s="69" t="n">
        <f aca="false">E102-E99</f>
        <v>-6700928.90949837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278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