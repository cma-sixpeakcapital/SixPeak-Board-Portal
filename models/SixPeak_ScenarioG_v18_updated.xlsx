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<sst xmlns="http://schemas.openxmlformats.org/spreadsheetml/2006/main" count="1212" uniqueCount="706">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</sst>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105447082.911511</v>
      </c>
      <c r="D3" s="7" t="n">
        <f aca="false">Model!X7+Model!Y7+Model!Z7+Model!AA7+Model!AB7+Model!AC7+Model!AD7+Model!AE7+Model!AF7+Model!AG7+Model!AH7+Model!AI7</f>
        <v>75328092.06152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4515040.40344968</v>
      </c>
      <c r="D5" s="10" t="n">
        <f aca="false">Model!X8+Model!Y8+Model!Z8+Model!AA8+Model!AB8+Model!AC8+Model!AD8+Model!AE8+Model!AF8+Model!AG8+Model!AH8+Model!AI8</f>
        <v>4135409.22495942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4998446.03892542</v>
      </c>
      <c r="D6" s="10" t="n">
        <f aca="false">Model!X9+Model!Y9+Model!Z9+Model!AA9+Model!AB9+Model!AC9+Model!AD9+Model!AE9+Model!AF9+Model!AG9+Model!AH9+Model!AI9</f>
        <v>3716429.43060604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1404502.88344156</v>
      </c>
      <c r="D7" s="10" t="n">
        <f aca="false">Model!X10+Model!Y10+Model!Z10+Model!AA10+Model!AB10+Model!AC10+Model!AD10+Model!AE10+Model!AF10+Model!AG10+Model!AH10+Model!AI10</f>
        <v>1378469.74165314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12052389.5558167</v>
      </c>
      <c r="D9" s="12" t="n">
        <f aca="false">Model!X12+Model!Y12+Model!Z12+Model!AA12+Model!AB12+Model!AC12+Model!AD12+Model!AE12+Model!AF12+Model!AG12+Model!AH12+Model!AI12</f>
        <v>9850627.87721859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-7422451.1057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4629938.45011665</v>
      </c>
      <c r="D16" s="16" t="n">
        <f aca="false">Model!X41+Model!Y41+Model!Z41+Model!AA41+Model!AB41+Model!AC41+Model!AD41+Model!AE41+Model!AF41+Model!AG41+Model!AH41+Model!AI41</f>
        <v>3509464.55770459</v>
      </c>
      <c r="E16" s="16" t="n">
        <f aca="false">Model!AJ41+Model!AK41+Model!AL41+Model!AM41+Model!AN41+Model!AO41+Model!AP41+Model!AQ41+Model!AR41+Model!AS41+Model!AT41+Model!AU41</f>
        <v>-665823.476633787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0.384151078810938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0.356268108129521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-0.152553681930428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599023.02</v>
      </c>
      <c r="D19" s="19" t="n">
        <f aca="false">Model!X64+Model!Y64+Model!Z64+Model!AA64+Model!AB64+Model!AC64+Model!AD64+Model!AE64+Model!AF64+Model!AG64+Model!AH64+Model!AI64</f>
        <v>258671.05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-868658.605</v>
      </c>
      <c r="D21" s="16" t="n">
        <f aca="false">Model!X87+Model!Y87+Model!Z87+Model!AA87+Model!AB87+Model!AC87+Model!AD87+Model!AE87+Model!AF87+Model!AG87+Model!AH87+Model!AI87</f>
        <v>-1238364.2075</v>
      </c>
      <c r="E21" s="16" t="n">
        <f aca="false">Model!AJ87+Model!AK87+Model!AL87+Model!AM87+Model!AN87+Model!AO87+Model!AP87+Model!AQ87+Model!AR87+Model!AS87+Model!AT87+Model!AU87</f>
        <v>-1526975.96265</v>
      </c>
      <c r="F21" s="16" t="n">
        <f aca="false">Model!AV87+Model!AW87+Model!AX87+Model!AY87+Model!AZ87+Model!BA87+Model!BB87+Model!BC87+Model!BD87+Model!BE87+Model!BF87+Model!BG87</f>
        <v>-1557515.481903</v>
      </c>
      <c r="G21" s="16" t="n">
        <f aca="false">Model!BH87+Model!BI87+Model!BJ87+Model!BK87+Model!BL87+Model!BM87+Model!BN87+Model!BO87+Model!BP87+Model!BQ87+Model!BR87+Model!BS87</f>
        <v>-1469390.27154106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3761279.84511665</v>
      </c>
      <c r="D23" s="16" t="n">
        <f aca="false">Model!X96+Model!Y96+Model!Z96+Model!AA96+Model!AB96+Model!AC96+Model!AD96+Model!AE96+Model!AF96+Model!AG96+Model!AH96+Model!AI96</f>
        <v>2271100.35020459</v>
      </c>
      <c r="E23" s="16" t="n">
        <f aca="false">Model!AJ96+Model!AK96+Model!AL96+Model!AM96+Model!AN96+Model!AO96+Model!AP96+Model!AQ96+Model!AR96+Model!AS96+Model!AT96+Model!AU96</f>
        <v>-2192799.43928379</v>
      </c>
      <c r="F23" s="16" t="n">
        <f aca="false">Model!AV96+Model!AW96+Model!AX96+Model!AY96+Model!AZ96+Model!BA96+Model!BB96+Model!BC96+Model!BD96+Model!BE96+Model!BF96+Model!BG96</f>
        <v>-4837922.87717939</v>
      </c>
      <c r="G23" s="16" t="n">
        <f aca="false">Model!BH96+Model!BI96+Model!BJ96+Model!BK96+Model!BL96+Model!BM96+Model!BN96+Model!BO96+Model!BP96+Model!BQ96+Model!BR96+Model!BS96</f>
        <v>-6568148.37472755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8916539.23831593</v>
      </c>
      <c r="D42" s="21" t="n">
        <f aca="false">Model!AI148</f>
        <v>12426003.7960205</v>
      </c>
      <c r="E42" s="21" t="n">
        <f aca="false">Model!AU148</f>
        <v>11760180.3193867</v>
      </c>
      <c r="F42" s="21" t="n">
        <f aca="false">Model!BG148</f>
        <v>8479772.92411034</v>
      </c>
      <c r="G42" s="21" t="n">
        <f aca="false">Model!BS148</f>
        <v>3381014.82092385</v>
      </c>
      <c r="H42" s="21" t="n">
        <f aca="false">Model!CE148</f>
        <v>-1752980.60432638</v>
      </c>
      <c r="I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-3026009.73828545</v>
      </c>
      <c r="D43" s="21" t="n">
        <f aca="false">Model!AI156</f>
        <v>-4514373.94578545</v>
      </c>
      <c r="E43" s="21" t="n">
        <f aca="false">Model!AU156</f>
        <v>-6291349.90843544</v>
      </c>
      <c r="F43" s="21" t="n">
        <f aca="false">Model!BG156</f>
        <v>-7848865.39033844</v>
      </c>
      <c r="G43" s="21" t="n">
        <f aca="false">Model!BS156</f>
        <v>-9318255.6618795</v>
      </c>
      <c r="H43" s="21" t="n">
        <f aca="false">Model!CE156</f>
        <v>-10650172.7692514</v>
      </c>
      <c r="I43" s="21" t="n">
        <f aca="false">Model!CH156</f>
        <v>-10961722.3239608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-1128383.953535</v>
      </c>
      <c r="E44" s="21" t="n">
        <f aca="false">Model!AJ160+Model!AK160+Model!AL160+Model!AM160+Model!AN160+Model!AO160+Model!AP160+Model!AQ160+Model!AR160+Model!AS160+Model!AT160+Model!AU160</f>
        <v>-681330.105061377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5890529.50003049</v>
      </c>
      <c r="D45" s="23" t="n">
        <f aca="false">Model!AI161</f>
        <v>7911629.85023508</v>
      </c>
      <c r="E45" s="23" t="n">
        <f aca="false">Model!AU161</f>
        <v>5468830.41095129</v>
      </c>
      <c r="F45" s="23" t="n">
        <f aca="false">Model!BG161</f>
        <v>630907.533771901</v>
      </c>
      <c r="G45" s="23" t="n">
        <f aca="false">Model!BS161</f>
        <v>-5937240.84095566</v>
      </c>
      <c r="H45" s="23" t="n">
        <f aca="false">Model!CE161</f>
        <v>-12403153.3735778</v>
      </c>
      <c r="I45" s="23" t="n">
        <f aca="false">Model!CH161</f>
        <v>-14000414.966158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9046566.02707998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8611260.223896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8626282.705095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8932949.763498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8747617.070646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8589371.648088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8363128.161607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8080608.411817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7551706.483186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422723.966741071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325591.638616071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325591.638616071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374805.8171875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350305.8171875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350305.8171875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350305.8171875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373626.699492695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345357.994135552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467208.32755159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398410.578540643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399105.612167545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423162.644090411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404719.296288005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397397.8765755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386930.442541882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397180.200059715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367762.076738313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123765.681622024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104447.212872024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104447.212872024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116768.605729167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116768.605729167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116768.605729167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116768.605729167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124542.233164232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115119.331378517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1241397.31591469</v>
      </c>
      <c r="S12" s="12" t="n">
        <f aca="false">S8+S9+S10+S11</f>
        <v>828449.430028738</v>
      </c>
      <c r="T12" s="12" t="n">
        <f aca="false">T8+T9+T10+T11</f>
        <v>829144.46365564</v>
      </c>
      <c r="U12" s="12" t="n">
        <f aca="false">U8+U9+U10+U11</f>
        <v>1142436.40700708</v>
      </c>
      <c r="V12" s="12" t="n">
        <f aca="false">V8+V9+V10+V11</f>
        <v>871793.719204671</v>
      </c>
      <c r="W12" s="12" t="n">
        <f aca="false">W8+W9+W10+W11</f>
        <v>864472.299492167</v>
      </c>
      <c r="X12" s="12" t="n">
        <f aca="false">X8+X9+X10+X11</f>
        <v>854004.865458549</v>
      </c>
      <c r="Y12" s="12" t="n">
        <f aca="false">Y8+Y9+Y10+Y11</f>
        <v>895349.132716641</v>
      </c>
      <c r="Z12" s="12" t="n">
        <f aca="false">Z8+Z9+Z10+Z11</f>
        <v>828239.402252383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-907732.080633333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-907732.080633333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333665.235281352</v>
      </c>
      <c r="S41" s="16" t="n">
        <f aca="false">S12+S39</f>
        <v>414065.919395405</v>
      </c>
      <c r="T41" s="16" t="n">
        <f aca="false">T12+T39</f>
        <v>414760.953022306</v>
      </c>
      <c r="U41" s="16" t="n">
        <f aca="false">U12+U39</f>
        <v>234704.326373744</v>
      </c>
      <c r="V41" s="16" t="n">
        <f aca="false">V12+V39</f>
        <v>457410.208571338</v>
      </c>
      <c r="W41" s="16" t="n">
        <f aca="false">W12+W39</f>
        <v>450088.788858833</v>
      </c>
      <c r="X41" s="16" t="n">
        <f aca="false">X12+X39</f>
        <v>439621.354825216</v>
      </c>
      <c r="Y41" s="16" t="n">
        <f aca="false">Y12+Y39</f>
        <v>480965.622083308</v>
      </c>
      <c r="Z41" s="16" t="n">
        <f aca="false">Z12+Z39</f>
        <v>413855.891619049</v>
      </c>
      <c r="AA41" s="16" t="n">
        <f aca="false">AA12+AA39</f>
        <v>399075.330865947</v>
      </c>
      <c r="AB41" s="16" t="n">
        <f aca="false">AB12+AB39</f>
        <v>249326.099109242</v>
      </c>
      <c r="AC41" s="16" t="n">
        <f aca="false">AC12+AC39</f>
        <v>-392784.538244734</v>
      </c>
      <c r="AD41" s="16" t="n">
        <f aca="false">AD12+AD39</f>
        <v>290814.055874564</v>
      </c>
      <c r="AE41" s="16" t="n">
        <f aca="false">AE12+AE39</f>
        <v>288493.364859794</v>
      </c>
      <c r="AF41" s="16" t="n">
        <f aca="false">AF12+AF39</f>
        <v>283517.211373714</v>
      </c>
      <c r="AG41" s="16" t="n">
        <f aca="false">AG12+AG39</f>
        <v>397127.166305794</v>
      </c>
      <c r="AH41" s="16" t="n">
        <f aca="false">AH12+AH39</f>
        <v>212726.454869569</v>
      </c>
      <c r="AI41" s="16" t="n">
        <f aca="false">AI12+AI39</f>
        <v>446726.544163128</v>
      </c>
      <c r="AJ41" s="16" t="n">
        <f aca="false">AJ12+AJ39</f>
        <v>189633.368945388</v>
      </c>
      <c r="AK41" s="16" t="n">
        <f aca="false">AK12+AK39</f>
        <v>28268.7036742959</v>
      </c>
      <c r="AL41" s="16" t="n">
        <f aca="false">AL12+AL39</f>
        <v>110618.838318138</v>
      </c>
      <c r="AM41" s="16" t="n">
        <f aca="false">AM12+AM39</f>
        <v>53390.0835703672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0.268781985431877</v>
      </c>
      <c r="S42" s="32" t="n">
        <f aca="false">IF(S12&lt;&gt;0,S41/S12,0)</f>
        <v>0.499808321892431</v>
      </c>
      <c r="T42" s="32" t="n">
        <f aca="false">IF(T12&lt;&gt;0,T41/T12,0)</f>
        <v>0.500227609545452</v>
      </c>
      <c r="U42" s="32" t="n">
        <f aca="false">IF(U12&lt;&gt;0,U41/U12,0)</f>
        <v>0.205441917759445</v>
      </c>
      <c r="V42" s="32" t="n">
        <f aca="false">IF(V12&lt;&gt;0,V41/V12,0)</f>
        <v>0.52467710938389</v>
      </c>
      <c r="W42" s="32" t="n">
        <f aca="false">IF(W12&lt;&gt;0,W41/W12,0)</f>
        <v>0.520651487761074</v>
      </c>
      <c r="X42" s="32" t="n">
        <f aca="false">IF(X12&lt;&gt;0,X41/X12,0)</f>
        <v>0.514776171198001</v>
      </c>
      <c r="Y42" s="32" t="n">
        <f aca="false">IF(Y12&lt;&gt;0,Y41/Y12,0)</f>
        <v>0.537182205810572</v>
      </c>
      <c r="Z42" s="32" t="n">
        <f aca="false">IF(Z12&lt;&gt;0,Z41/Z12,0)</f>
        <v>0.499681481578364</v>
      </c>
      <c r="AA42" s="32" t="n">
        <f aca="false">IF(AA12&lt;&gt;0,AA41/AA12,0)</f>
        <v>0.488952037368986</v>
      </c>
      <c r="AB42" s="32" t="n">
        <f aca="false">IF(AB12&lt;&gt;0,AB41/AB12,0)</f>
        <v>0.37411870973935</v>
      </c>
      <c r="AC42" s="32" t="n">
        <f aca="false">IF(AC12&lt;&gt;0,AC41/AC12,0)</f>
        <v>-0.287049613386178</v>
      </c>
      <c r="AD42" s="32" t="n">
        <f aca="false">IF(AD12&lt;&gt;0,AD41/AD12,0)</f>
        <v>0.410798558252104</v>
      </c>
      <c r="AE42" s="32" t="n">
        <f aca="false">IF(AE12&lt;&gt;0,AE41/AE12,0)</f>
        <v>0.408860705979162</v>
      </c>
      <c r="AF42" s="32" t="n">
        <f aca="false">IF(AF12&lt;&gt;0,AF41/AF12,0)</f>
        <v>0.404662180579429</v>
      </c>
      <c r="AG42" s="32" t="n">
        <f aca="false">IF(AG12&lt;&gt;0,AG41/AG12,0)</f>
        <v>0.487729290552117</v>
      </c>
      <c r="AH42" s="32" t="n">
        <f aca="false">IF(AH12&lt;&gt;0,AH41/AH12,0)</f>
        <v>0.337748881500056</v>
      </c>
      <c r="AI42" s="32" t="n">
        <f aca="false">IF(AI12&lt;&gt;0,AI41/AI12,0)</f>
        <v>0.517142629973838</v>
      </c>
      <c r="AJ42" s="32" t="n">
        <f aca="false">IF(AJ12&lt;&gt;0,AJ41/AJ12,0)</f>
        <v>0.312543118282684</v>
      </c>
      <c r="AK42" s="32" t="n">
        <f aca="false">IF(AK12&lt;&gt;0,AK41/AK12,0)</f>
        <v>0.0634712051831177</v>
      </c>
      <c r="AL42" s="32" t="n">
        <f aca="false">IF(AL12&lt;&gt;0,AL41/AL12,0)</f>
        <v>0.209613146734051</v>
      </c>
      <c r="AM42" s="32" t="n">
        <f aca="false">IF(AM12&lt;&gt;0,AM41/AM12,0)</f>
        <v>0.112808546446052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57090.46</v>
      </c>
      <c r="M64" s="34" t="n">
        <f aca="false">SUM(M47:M63)</f>
        <v>57090.46</v>
      </c>
      <c r="N64" s="34" t="n">
        <f aca="false">SUM(N47:N63)</f>
        <v>57090.46</v>
      </c>
      <c r="O64" s="34" t="n">
        <f aca="false">SUM(O47:O63)</f>
        <v>57090.46</v>
      </c>
      <c r="P64" s="34" t="n">
        <f aca="false">SUM(P47:P63)</f>
        <v>57090.46</v>
      </c>
      <c r="Q64" s="34" t="n">
        <f aca="false">SUM(Q47:Q63)</f>
        <v>57090.46</v>
      </c>
      <c r="R64" s="34" t="n">
        <f aca="false">SUM(R47:R63)</f>
        <v>33184.21</v>
      </c>
      <c r="S64" s="34" t="n">
        <f aca="false">SUM(S47:S63)</f>
        <v>33184.21</v>
      </c>
      <c r="T64" s="34" t="n">
        <f aca="false">SUM(T47:T63)</f>
        <v>33184.21</v>
      </c>
      <c r="U64" s="34" t="n">
        <f aca="false">SUM(U47:U63)</f>
        <v>33184.21</v>
      </c>
      <c r="V64" s="34" t="n">
        <f aca="false">SUM(V47:V63)</f>
        <v>33184.21</v>
      </c>
      <c r="W64" s="34" t="n">
        <f aca="false">SUM(W47:W63)</f>
        <v>90559.21</v>
      </c>
      <c r="X64" s="34" t="n">
        <f aca="false">SUM(X47:X63)</f>
        <v>33184.21</v>
      </c>
      <c r="Y64" s="34" t="n">
        <f aca="false">SUM(Y47:Y63)</f>
        <v>33184.21</v>
      </c>
      <c r="Z64" s="34" t="n">
        <f aca="false">SUM(Z47:Z63)</f>
        <v>77927.63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-59724.1233333333</v>
      </c>
      <c r="M87" s="16" t="n">
        <f aca="false">M64+M85</f>
        <v>-59724.1233333333</v>
      </c>
      <c r="N87" s="16" t="n">
        <f aca="false">N64+N85</f>
        <v>-59724.1233333333</v>
      </c>
      <c r="O87" s="16" t="n">
        <f aca="false">O64+O85</f>
        <v>-62060.415</v>
      </c>
      <c r="P87" s="16" t="n">
        <f aca="false">P64+P85</f>
        <v>-62060.415</v>
      </c>
      <c r="Q87" s="16" t="n">
        <f aca="false">Q64+Q85</f>
        <v>-62060.415</v>
      </c>
      <c r="R87" s="16" t="n">
        <f aca="false">R64+R85</f>
        <v>-109426.665</v>
      </c>
      <c r="S87" s="16" t="n">
        <f aca="false">S64+S85</f>
        <v>-85966.665</v>
      </c>
      <c r="T87" s="16" t="n">
        <f aca="false">T64+T85</f>
        <v>-85966.665</v>
      </c>
      <c r="U87" s="16" t="n">
        <f aca="false">U64+U85</f>
        <v>-85966.665</v>
      </c>
      <c r="V87" s="16" t="n">
        <f aca="false">V64+V85</f>
        <v>-85966.665</v>
      </c>
      <c r="W87" s="16" t="n">
        <f aca="false">W64+W85</f>
        <v>-50011.665</v>
      </c>
      <c r="X87" s="16" t="n">
        <f aca="false">X64+X85</f>
        <v>-85966.665</v>
      </c>
      <c r="Y87" s="16" t="n">
        <f aca="false">Y64+Y85</f>
        <v>-85966.665</v>
      </c>
      <c r="Z87" s="16" t="n">
        <f aca="false">Z64+Z85</f>
        <v>-41223.245</v>
      </c>
      <c r="AA87" s="16" t="n">
        <f aca="false">AA64+AA85</f>
        <v>-112033.8925</v>
      </c>
      <c r="AB87" s="16" t="n">
        <f aca="false">AB64+AB85</f>
        <v>-112033.8925</v>
      </c>
      <c r="AC87" s="16" t="n">
        <f aca="false">AC64+AC85</f>
        <v>-54658.8925</v>
      </c>
      <c r="AD87" s="16" t="n">
        <f aca="false">AD64+AD85</f>
        <v>-135963.0925</v>
      </c>
      <c r="AE87" s="16" t="n">
        <f aca="false">AE64+AE85</f>
        <v>-112033.8925</v>
      </c>
      <c r="AF87" s="16" t="n">
        <f aca="false">AF64+AF85</f>
        <v>-112033.8925</v>
      </c>
      <c r="AG87" s="16" t="n">
        <f aca="false">AG64+AG85</f>
        <v>-121533.8925</v>
      </c>
      <c r="AH87" s="16" t="n">
        <f aca="false">AH64+AH85</f>
        <v>-121533.8925</v>
      </c>
      <c r="AI87" s="16" t="n">
        <f aca="false">AI64+AI85</f>
        <v>-143382.2925</v>
      </c>
      <c r="AJ87" s="16" t="n">
        <f aca="false">AJ64+AJ85</f>
        <v>-121533.8925</v>
      </c>
      <c r="AK87" s="16" t="n">
        <f aca="false">AK64+AK85</f>
        <v>-121533.8925</v>
      </c>
      <c r="AL87" s="16" t="n">
        <f aca="false">AL64+AL85</f>
        <v>-121533.8925</v>
      </c>
      <c r="AM87" s="16" t="n">
        <f aca="false">AM64+AM85</f>
        <v>-123964.57035</v>
      </c>
      <c r="AN87" s="16" t="n">
        <f aca="false">AN64+AN85</f>
        <v>-123964.57035</v>
      </c>
      <c r="AO87" s="16" t="n">
        <f aca="false">AO64+AO85</f>
        <v>-123964.57035</v>
      </c>
      <c r="AP87" s="16" t="n">
        <f aca="false">AP64+AP85</f>
        <v>-148372.35435</v>
      </c>
      <c r="AQ87" s="16" t="n">
        <f aca="false">AQ64+AQ85</f>
        <v>-123964.57035</v>
      </c>
      <c r="AR87" s="16" t="n">
        <f aca="false">AR64+AR85</f>
        <v>-123964.57035</v>
      </c>
      <c r="AS87" s="16" t="n">
        <f aca="false">AS64+AS85</f>
        <v>-123964.57035</v>
      </c>
      <c r="AT87" s="16" t="n">
        <f aca="false">AT64+AT85</f>
        <v>-123964.57035</v>
      </c>
      <c r="AU87" s="16" t="n">
        <f aca="false">AU64+AU85</f>
        <v>-146249.93835</v>
      </c>
      <c r="AV87" s="16" t="n">
        <f aca="false">AV64+AV85</f>
        <v>-123964.57035</v>
      </c>
      <c r="AW87" s="16" t="n">
        <f aca="false">AW64+AW85</f>
        <v>-123964.57035</v>
      </c>
      <c r="AX87" s="16" t="n">
        <f aca="false">AX64+AX85</f>
        <v>-123964.57035</v>
      </c>
      <c r="AY87" s="16" t="n">
        <f aca="false">AY64+AY85</f>
        <v>-126443.861757</v>
      </c>
      <c r="AZ87" s="16" t="n">
        <f aca="false">AZ64+AZ85</f>
        <v>-126443.861757</v>
      </c>
      <c r="BA87" s="16" t="n">
        <f aca="false">BA64+BA85</f>
        <v>-126443.861757</v>
      </c>
      <c r="BB87" s="16" t="n">
        <f aca="false">BB64+BB85</f>
        <v>-151339.801437</v>
      </c>
      <c r="BC87" s="16" t="n">
        <f aca="false">BC64+BC85</f>
        <v>-126443.861757</v>
      </c>
      <c r="BD87" s="16" t="n">
        <f aca="false">BD64+BD85</f>
        <v>-126443.861757</v>
      </c>
      <c r="BE87" s="16" t="n">
        <f aca="false">BE64+BE85</f>
        <v>-126443.861757</v>
      </c>
      <c r="BF87" s="16" t="n">
        <f aca="false">BF64+BF85</f>
        <v>-126443.861757</v>
      </c>
      <c r="BG87" s="16" t="n">
        <f aca="false">BG64+BG85</f>
        <v>-149174.937117</v>
      </c>
      <c r="BH87" s="16" t="n">
        <f aca="false">BH64+BH85</f>
        <v>-126443.861757</v>
      </c>
      <c r="BI87" s="16" t="n">
        <f aca="false">BI64+BI85</f>
        <v>-126443.861757</v>
      </c>
      <c r="BJ87" s="16" t="n">
        <f aca="false">BJ64+BJ85</f>
        <v>-126443.861757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1241397.31591469</v>
      </c>
      <c r="S90" s="10" t="n">
        <f aca="false">S12</f>
        <v>828449.430028738</v>
      </c>
      <c r="T90" s="10" t="n">
        <f aca="false">T12</f>
        <v>829144.46365564</v>
      </c>
      <c r="U90" s="10" t="n">
        <f aca="false">U12</f>
        <v>1142436.40700708</v>
      </c>
      <c r="V90" s="10" t="n">
        <f aca="false">V12</f>
        <v>871793.719204671</v>
      </c>
      <c r="W90" s="10" t="n">
        <f aca="false">W12</f>
        <v>864472.299492167</v>
      </c>
      <c r="X90" s="10" t="n">
        <f aca="false">X12</f>
        <v>854004.865458549</v>
      </c>
      <c r="Y90" s="10" t="n">
        <f aca="false">Y12</f>
        <v>895349.132716641</v>
      </c>
      <c r="Z90" s="10" t="n">
        <f aca="false">Z12</f>
        <v>828239.402252383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57090.46</v>
      </c>
      <c r="M91" s="10" t="n">
        <f aca="false">M64</f>
        <v>57090.46</v>
      </c>
      <c r="N91" s="10" t="n">
        <f aca="false">N64</f>
        <v>57090.46</v>
      </c>
      <c r="O91" s="10" t="n">
        <f aca="false">O64</f>
        <v>57090.46</v>
      </c>
      <c r="P91" s="10" t="n">
        <f aca="false">P64</f>
        <v>57090.46</v>
      </c>
      <c r="Q91" s="10" t="n">
        <f aca="false">Q64</f>
        <v>57090.46</v>
      </c>
      <c r="R91" s="10" t="n">
        <f aca="false">R64</f>
        <v>33184.21</v>
      </c>
      <c r="S91" s="10" t="n">
        <f aca="false">S64</f>
        <v>33184.21</v>
      </c>
      <c r="T91" s="10" t="n">
        <f aca="false">T64</f>
        <v>33184.21</v>
      </c>
      <c r="U91" s="10" t="n">
        <f aca="false">U64</f>
        <v>33184.21</v>
      </c>
      <c r="V91" s="10" t="n">
        <f aca="false">V64</f>
        <v>33184.21</v>
      </c>
      <c r="W91" s="10" t="n">
        <f aca="false">W64</f>
        <v>90559.21</v>
      </c>
      <c r="X91" s="10" t="n">
        <f aca="false">X64</f>
        <v>33184.21</v>
      </c>
      <c r="Y91" s="10" t="n">
        <f aca="false">Y64</f>
        <v>33184.21</v>
      </c>
      <c r="Z91" s="10" t="n">
        <f aca="false">Z64</f>
        <v>77927.63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885205.54736628</v>
      </c>
      <c r="M92" s="12" t="n">
        <f aca="false">M90+M91</f>
        <v>896305.479324431</v>
      </c>
      <c r="N92" s="12" t="n">
        <f aca="false">N90+N91</f>
        <v>903793.445740912</v>
      </c>
      <c r="O92" s="12" t="n">
        <f aca="false">O90+O91</f>
        <v>1713032.94531516</v>
      </c>
      <c r="P92" s="12" t="n">
        <f aca="false">P90+P91</f>
        <v>1038102.61467977</v>
      </c>
      <c r="Q92" s="12" t="n">
        <f aca="false">Q90+Q91</f>
        <v>1180798.64808712</v>
      </c>
      <c r="R92" s="12" t="n">
        <f aca="false">R90+R91</f>
        <v>1274581.52591468</v>
      </c>
      <c r="S92" s="12" t="n">
        <f aca="false">S90+S91</f>
        <v>861633.640028738</v>
      </c>
      <c r="T92" s="12" t="n">
        <f aca="false">T90+T91</f>
        <v>862328.67365564</v>
      </c>
      <c r="U92" s="12" t="n">
        <f aca="false">U90+U91</f>
        <v>1175620.61700708</v>
      </c>
      <c r="V92" s="12" t="n">
        <f aca="false">V90+V91</f>
        <v>904977.929204671</v>
      </c>
      <c r="W92" s="12" t="n">
        <f aca="false">W90+W91</f>
        <v>955031.509492167</v>
      </c>
      <c r="X92" s="12" t="n">
        <f aca="false">X90+X91</f>
        <v>887189.075458549</v>
      </c>
      <c r="Y92" s="12" t="n">
        <f aca="false">Y90+Y91</f>
        <v>928533.342716641</v>
      </c>
      <c r="Z92" s="12" t="n">
        <f aca="false">Z90+Z91</f>
        <v>906167.032252383</v>
      </c>
      <c r="AA92" s="12" t="n">
        <f aca="false">AA90+AA91</f>
        <v>825685.02504528</v>
      </c>
      <c r="AB92" s="12" t="n">
        <f aca="false">AB90+AB91</f>
        <v>675935.793288576</v>
      </c>
      <c r="AC92" s="12" t="n">
        <f aca="false">AC90+AC91</f>
        <v>1435225.6959346</v>
      </c>
      <c r="AD92" s="12" t="n">
        <f aca="false">AD90+AD91</f>
        <v>717423.750053897</v>
      </c>
      <c r="AE92" s="12" t="n">
        <f aca="false">AE90+AE91</f>
        <v>715103.059039127</v>
      </c>
      <c r="AF92" s="12" t="n">
        <f aca="false">AF90+AF91</f>
        <v>710126.905553048</v>
      </c>
      <c r="AG92" s="12" t="n">
        <f aca="false">AG90+AG91</f>
        <v>814236.860485128</v>
      </c>
      <c r="AH92" s="12" t="n">
        <f aca="false">AH90+AH91</f>
        <v>629836.149048903</v>
      </c>
      <c r="AI92" s="12" t="n">
        <f aca="false">AI90+AI91</f>
        <v>863836.238342461</v>
      </c>
      <c r="AJ92" s="12" t="n">
        <f aca="false">AJ90+AJ91</f>
        <v>606743.063124721</v>
      </c>
      <c r="AK92" s="12" t="n">
        <f aca="false">AK90+AK91</f>
        <v>445378.397853629</v>
      </c>
      <c r="AL92" s="12" t="n">
        <f aca="false">AL90+AL91</f>
        <v>527728.532497471</v>
      </c>
      <c r="AM92" s="12" t="n">
        <f aca="false">AM90+AM91</f>
        <v>473280.484966621</v>
      </c>
      <c r="AN92" s="12" t="n">
        <f aca="false">AN90+AN91</f>
        <v>316527.783706897</v>
      </c>
      <c r="AO92" s="12" t="n">
        <f aca="false">AO90+AO91</f>
        <v>313265.023492166</v>
      </c>
      <c r="AP92" s="12" t="n">
        <f aca="false">AP90+AP91</f>
        <v>309361.662778741</v>
      </c>
      <c r="AQ92" s="12" t="n">
        <f aca="false">AQ90+AQ91</f>
        <v>304855.735731304</v>
      </c>
      <c r="AR92" s="12" t="n">
        <f aca="false">AR90+AR91</f>
        <v>638674.313948731</v>
      </c>
      <c r="AS92" s="12" t="n">
        <f aca="false">AS90+AS91</f>
        <v>172117.653902309</v>
      </c>
      <c r="AT92" s="12" t="n">
        <f aca="false">AT90+AT91</f>
        <v>170395.663138024</v>
      </c>
      <c r="AU92" s="12" t="n">
        <f aca="false">AU90+AU91</f>
        <v>249555.903329881</v>
      </c>
      <c r="AV92" s="12" t="n">
        <f aca="false">AV90+AV91</f>
        <v>164628.907400738</v>
      </c>
      <c r="AW92" s="12" t="n">
        <f aca="false">AW90+AW91</f>
        <v>160750.601534952</v>
      </c>
      <c r="AX92" s="12" t="n">
        <f aca="false">AX90+AX91</f>
        <v>238026.218501452</v>
      </c>
      <c r="AY92" s="12" t="n">
        <f aca="false">AY90+AY91</f>
        <v>151528.384330667</v>
      </c>
      <c r="AZ92" s="12" t="n">
        <f aca="false">AZ90+AZ91</f>
        <v>146419.811729952</v>
      </c>
      <c r="BA92" s="12" t="n">
        <f aca="false">BA90+BA91</f>
        <v>1074661.95337588</v>
      </c>
      <c r="BB92" s="12" t="n">
        <f aca="false">BB90+BB91</f>
        <v>135806.608652738</v>
      </c>
      <c r="BC92" s="12" t="n">
        <f aca="false">BC90+BC91</f>
        <v>130522.010329452</v>
      </c>
      <c r="BD92" s="12" t="n">
        <f aca="false">BD90+BD91</f>
        <v>256260.824559595</v>
      </c>
      <c r="BE92" s="12" t="n">
        <f aca="false">BE90+BE91</f>
        <v>120467.497589095</v>
      </c>
      <c r="BF92" s="12" t="n">
        <f aca="false">BF90+BF91</f>
        <v>350812.495725452</v>
      </c>
      <c r="BG92" s="12" t="n">
        <f aca="false">BG90+BG91</f>
        <v>130876</v>
      </c>
      <c r="BH92" s="12" t="n">
        <f aca="false">BH90+BH91</f>
        <v>0</v>
      </c>
      <c r="BI92" s="12" t="n">
        <f aca="false">BI90+BI91</f>
        <v>0</v>
      </c>
      <c r="BJ92" s="12" t="n">
        <f aca="false">BJ90+BJ91</f>
        <v>130876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-907732.080633333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-907732.080633333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-1050342.95563333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-1026882.95563333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356680.18236628</v>
      </c>
      <c r="M96" s="16" t="n">
        <f aca="false">M92+M95</f>
        <v>367780.114324431</v>
      </c>
      <c r="N96" s="16" t="n">
        <f aca="false">N92+N95</f>
        <v>375268.080740912</v>
      </c>
      <c r="O96" s="16" t="n">
        <f aca="false">O92+O95</f>
        <v>-291671.465318175</v>
      </c>
      <c r="P96" s="16" t="n">
        <f aca="false">P92+P95</f>
        <v>504568.229046436</v>
      </c>
      <c r="Q96" s="16" t="n">
        <f aca="false">Q92+Q95</f>
        <v>647264.26245379</v>
      </c>
      <c r="R96" s="16" t="n">
        <f aca="false">R92+R95</f>
        <v>224238.570281351</v>
      </c>
      <c r="S96" s="16" t="n">
        <f aca="false">S92+S95</f>
        <v>328099.254395405</v>
      </c>
      <c r="T96" s="16" t="n">
        <f aca="false">T92+T95</f>
        <v>328794.288022306</v>
      </c>
      <c r="U96" s="16" t="n">
        <f aca="false">U92+U95</f>
        <v>148737.661373744</v>
      </c>
      <c r="V96" s="16" t="n">
        <f aca="false">V92+V95</f>
        <v>371443.543571338</v>
      </c>
      <c r="W96" s="16" t="n">
        <f aca="false">W92+W95</f>
        <v>400077.123858833</v>
      </c>
      <c r="X96" s="16" t="n">
        <f aca="false">X92+X95</f>
        <v>353654.689825216</v>
      </c>
      <c r="Y96" s="16" t="n">
        <f aca="false">Y92+Y95</f>
        <v>394998.957083308</v>
      </c>
      <c r="Z96" s="16" t="n">
        <f aca="false">Z92+Z95</f>
        <v>372632.646619049</v>
      </c>
      <c r="AA96" s="16" t="n">
        <f aca="false">AA92+AA95</f>
        <v>287041.438365947</v>
      </c>
      <c r="AB96" s="16" t="n">
        <f aca="false">AB92+AB95</f>
        <v>137292.206609242</v>
      </c>
      <c r="AC96" s="16" t="n">
        <f aca="false">AC92+AC95</f>
        <v>-447443.430744734</v>
      </c>
      <c r="AD96" s="16" t="n">
        <f aca="false">AD92+AD95</f>
        <v>154850.963374564</v>
      </c>
      <c r="AE96" s="16" t="n">
        <f aca="false">AE92+AE95</f>
        <v>176459.472359794</v>
      </c>
      <c r="AF96" s="16" t="n">
        <f aca="false">AF92+AF95</f>
        <v>171483.318873714</v>
      </c>
      <c r="AG96" s="16" t="n">
        <f aca="false">AG92+AG95</f>
        <v>275593.273805794</v>
      </c>
      <c r="AH96" s="16" t="n">
        <f aca="false">AH92+AH95</f>
        <v>91192.5623695694</v>
      </c>
      <c r="AI96" s="16" t="n">
        <f aca="false">AI92+AI95</f>
        <v>303344.251663128</v>
      </c>
      <c r="AJ96" s="16" t="n">
        <f aca="false">AJ92+AJ95</f>
        <v>68099.4764453876</v>
      </c>
      <c r="AK96" s="16" t="n">
        <f aca="false">AK92+AK95</f>
        <v>-93265.188825704</v>
      </c>
      <c r="AL96" s="16" t="n">
        <f aca="false">AL92+AL95</f>
        <v>-10915.0541818624</v>
      </c>
      <c r="AM96" s="16" t="n">
        <f aca="false">AM92+AM95</f>
        <v>-70574.4867796329</v>
      </c>
      <c r="AN96" s="16" t="n">
        <f aca="false">AN92+AN95</f>
        <v>-227327.188039357</v>
      </c>
      <c r="AO96" s="16" t="n">
        <f aca="false">AO92+AO95</f>
        <v>-230589.948254087</v>
      </c>
      <c r="AP96" s="16" t="n">
        <f aca="false">AP92+AP95</f>
        <v>-258901.092967513</v>
      </c>
      <c r="AQ96" s="16" t="n">
        <f aca="false">AQ92+AQ95</f>
        <v>-238999.236014949</v>
      </c>
      <c r="AR96" s="16" t="n">
        <f aca="false">AR92+AR95</f>
        <v>13136.3422024775</v>
      </c>
      <c r="AS96" s="16" t="n">
        <f aca="false">AS92+AS95</f>
        <v>-371737.317843944</v>
      </c>
      <c r="AT96" s="16" t="n">
        <f aca="false">AT92+AT95</f>
        <v>-373459.30860823</v>
      </c>
      <c r="AU96" s="16" t="n">
        <f aca="false">AU92+AU95</f>
        <v>-398266.436416373</v>
      </c>
      <c r="AV96" s="16" t="n">
        <f aca="false">AV92+AV95</f>
        <v>-379226.064345515</v>
      </c>
      <c r="AW96" s="16" t="n">
        <f aca="false">AW92+AW95</f>
        <v>-383104.370211301</v>
      </c>
      <c r="AX96" s="16" t="n">
        <f aca="false">AX92+AX95</f>
        <v>-387510.753244801</v>
      </c>
      <c r="AY96" s="16" t="n">
        <f aca="false">AY92+AY95</f>
        <v>-397642.200183845</v>
      </c>
      <c r="AZ96" s="16" t="n">
        <f aca="false">AZ92+AZ95</f>
        <v>-402750.77278456</v>
      </c>
      <c r="BA96" s="16" t="n">
        <f aca="false">BA92+BA95</f>
        <v>-408029.631138631</v>
      </c>
      <c r="BB96" s="16" t="n">
        <f aca="false">BB92+BB95</f>
        <v>-438259.915541774</v>
      </c>
      <c r="BC96" s="16" t="n">
        <f aca="false">BC92+BC95</f>
        <v>-418648.57418506</v>
      </c>
      <c r="BD96" s="16" t="n">
        <f aca="false">BD92+BD95</f>
        <v>-423787.759954917</v>
      </c>
      <c r="BE96" s="16" t="n">
        <f aca="false">BE92+BE95</f>
        <v>-428703.086925417</v>
      </c>
      <c r="BF96" s="16" t="n">
        <f aca="false">BF92+BF95</f>
        <v>-198358.08878906</v>
      </c>
      <c r="BG96" s="16" t="n">
        <f aca="false">BG92+BG95</f>
        <v>-571901.659874512</v>
      </c>
      <c r="BH96" s="16" t="n">
        <f aca="false">BH92+BH95</f>
        <v>-549170.584514512</v>
      </c>
      <c r="BI96" s="16" t="n">
        <f aca="false">BI92+BI95</f>
        <v>-549170.584514512</v>
      </c>
      <c r="BJ96" s="16" t="n">
        <f aca="false">BJ92+BJ95</f>
        <v>-549170.584514512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6945509.0420943</v>
      </c>
      <c r="T146" s="10" t="n">
        <f aca="false">S148</f>
        <v>7359574.96148971</v>
      </c>
      <c r="U146" s="10" t="n">
        <f aca="false">T148</f>
        <v>7774335.91451202</v>
      </c>
      <c r="V146" s="10" t="n">
        <f aca="false">U148</f>
        <v>8009040.24088576</v>
      </c>
      <c r="W146" s="10" t="n">
        <f aca="false">V148</f>
        <v>8466450.4494571</v>
      </c>
      <c r="X146" s="10" t="n">
        <f aca="false">W148</f>
        <v>8916539.23831593</v>
      </c>
      <c r="Y146" s="10" t="n">
        <f aca="false">X148</f>
        <v>9356160.59314115</v>
      </c>
      <c r="Z146" s="10" t="n">
        <f aca="false">Y148</f>
        <v>9837126.21522445</v>
      </c>
      <c r="AA146" s="10" t="n">
        <f aca="false">Z148</f>
        <v>10250982.1068435</v>
      </c>
      <c r="AB146" s="10" t="n">
        <f aca="false">AA148</f>
        <v>10650057.4377095</v>
      </c>
      <c r="AC146" s="10" t="n">
        <f aca="false">AB148</f>
        <v>10899383.5368187</v>
      </c>
      <c r="AD146" s="10" t="n">
        <f aca="false">AC148</f>
        <v>10506598.998574</v>
      </c>
      <c r="AE146" s="10" t="n">
        <f aca="false">AD148</f>
        <v>10797413.0544485</v>
      </c>
      <c r="AF146" s="10" t="n">
        <f aca="false">AE148</f>
        <v>11085906.4193083</v>
      </c>
      <c r="AG146" s="10" t="n">
        <f aca="false">AF148</f>
        <v>11369423.630682</v>
      </c>
      <c r="AH146" s="10" t="n">
        <f aca="false">AG148</f>
        <v>11766550.7969878</v>
      </c>
      <c r="AI146" s="10" t="n">
        <f aca="false">AH148</f>
        <v>11979277.2518574</v>
      </c>
      <c r="AJ146" s="10" t="n">
        <f aca="false">AI148</f>
        <v>12426003.7960205</v>
      </c>
      <c r="AK146" s="10" t="n">
        <f aca="false">AJ148</f>
        <v>12615637.1649659</v>
      </c>
      <c r="AL146" s="10" t="n">
        <f aca="false">AK148</f>
        <v>12643905.8686402</v>
      </c>
      <c r="AM146" s="10" t="n">
        <f aca="false">AL148</f>
        <v>12754524.7069583</v>
      </c>
      <c r="AN146" s="10" t="n">
        <f aca="false">AM148</f>
        <v>12807914.7905287</v>
      </c>
      <c r="AO146" s="10" t="n">
        <f aca="false">AN148</f>
        <v>12704552.1728394</v>
      </c>
      <c r="AP146" s="10" t="n">
        <f aca="false">AO148</f>
        <v>12597926.7949353</v>
      </c>
      <c r="AQ146" s="10" t="n">
        <f aca="false">AP148</f>
        <v>12487398.0563178</v>
      </c>
      <c r="AR146" s="10" t="n">
        <f aca="false">AQ148</f>
        <v>12372363.3906528</v>
      </c>
      <c r="AS146" s="10" t="n">
        <f aca="false">AR148</f>
        <v>12509464.3032053</v>
      </c>
      <c r="AT146" s="10" t="n">
        <f aca="false">AS148</f>
        <v>12261691.5557113</v>
      </c>
      <c r="AU146" s="10" t="n">
        <f aca="false">AT148</f>
        <v>12012196.8174531</v>
      </c>
      <c r="AV146" s="10" t="n">
        <f aca="false">AU148</f>
        <v>11760180.3193867</v>
      </c>
      <c r="AW146" s="10" t="n">
        <f aca="false">AV148</f>
        <v>11504918.8253912</v>
      </c>
      <c r="AX146" s="10" t="n">
        <f aca="false">AW148</f>
        <v>11245779.0255299</v>
      </c>
      <c r="AY146" s="10" t="n">
        <f aca="false">AX148</f>
        <v>10982232.8426351</v>
      </c>
      <c r="AZ146" s="10" t="n">
        <f aca="false">AY148</f>
        <v>10711034.5042083</v>
      </c>
      <c r="BA146" s="10" t="n">
        <f aca="false">AZ148</f>
        <v>10434727.5931807</v>
      </c>
      <c r="BB146" s="10" t="n">
        <f aca="false">BA148</f>
        <v>10153141.8237991</v>
      </c>
      <c r="BC146" s="10" t="n">
        <f aca="false">BB148</f>
        <v>9866221.70969431</v>
      </c>
      <c r="BD146" s="10" t="n">
        <f aca="false">BC148</f>
        <v>9574016.99726625</v>
      </c>
      <c r="BE146" s="10" t="n">
        <f aca="false">BD148</f>
        <v>9276673.09906833</v>
      </c>
      <c r="BF146" s="10" t="n">
        <f aca="false">BE148</f>
        <v>8974413.87389992</v>
      </c>
      <c r="BG146" s="10" t="n">
        <f aca="false">BF148</f>
        <v>8902499.64686786</v>
      </c>
      <c r="BH146" s="10" t="n">
        <f aca="false">BG148</f>
        <v>8479772.92411034</v>
      </c>
      <c r="BI146" s="10" t="n">
        <f aca="false">BH148</f>
        <v>8057046.20135283</v>
      </c>
      <c r="BJ146" s="10" t="n">
        <f aca="false">BI148</f>
        <v>7634319.47859532</v>
      </c>
      <c r="BK146" s="10" t="n">
        <f aca="false">BJ148</f>
        <v>7211592.75583781</v>
      </c>
      <c r="BL146" s="10" t="n">
        <f aca="false">BK148</f>
        <v>6785972.98529181</v>
      </c>
      <c r="BM146" s="10" t="n">
        <f aca="false">BL148</f>
        <v>6360353.21474582</v>
      </c>
      <c r="BN146" s="10" t="n">
        <f aca="false">BM148</f>
        <v>5934733.44419982</v>
      </c>
      <c r="BO146" s="10" t="n">
        <f aca="false">BN148</f>
        <v>5509113.67365383</v>
      </c>
      <c r="BP146" s="10" t="n">
        <f aca="false">BO148</f>
        <v>5083493.90310783</v>
      </c>
      <c r="BQ146" s="10" t="n">
        <f aca="false">BP148</f>
        <v>4657874.13256183</v>
      </c>
      <c r="BR146" s="10" t="n">
        <f aca="false">BQ148</f>
        <v>4232254.36201584</v>
      </c>
      <c r="BS146" s="10" t="n">
        <f aca="false">BR148</f>
        <v>3806634.59146984</v>
      </c>
      <c r="BT146" s="10" t="n">
        <f aca="false">BS148</f>
        <v>3381014.82092385</v>
      </c>
      <c r="BU146" s="10" t="n">
        <f aca="false">BT148</f>
        <v>2955395.05037785</v>
      </c>
      <c r="BV146" s="10" t="n">
        <f aca="false">BU148</f>
        <v>2529775.27983186</v>
      </c>
      <c r="BW146" s="10" t="n">
        <f aca="false">BV148</f>
        <v>2104155.50928586</v>
      </c>
      <c r="BX146" s="10" t="n">
        <f aca="false">BW148</f>
        <v>1675584.82999561</v>
      </c>
      <c r="BY146" s="10" t="n">
        <f aca="false">BX148</f>
        <v>1247014.15070536</v>
      </c>
      <c r="BZ146" s="10" t="n">
        <f aca="false">BY148</f>
        <v>818443.471415116</v>
      </c>
      <c r="CA146" s="10" t="n">
        <f aca="false">BZ148</f>
        <v>389872.792124867</v>
      </c>
      <c r="CB146" s="10" t="n">
        <f aca="false">CA148</f>
        <v>-38697.8871653816</v>
      </c>
      <c r="CC146" s="10" t="n">
        <f aca="false">CB148</f>
        <v>-467268.56645563</v>
      </c>
      <c r="CD146" s="10" t="n">
        <f aca="false">CC148</f>
        <v>-895839.245745879</v>
      </c>
      <c r="CE146" s="10" t="n">
        <f aca="false">CD148</f>
        <v>-1324409.92503613</v>
      </c>
      <c r="CF146" s="10" t="n">
        <f aca="false">CE148</f>
        <v>-1752980.60432638</v>
      </c>
      <c r="CG146" s="10" t="n">
        <f aca="false">CF148</f>
        <v>-2181551.28361662</v>
      </c>
      <c r="CH146" s="10" t="n">
        <f aca="false">CG148</f>
        <v>-2610121.96290687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333665.235281352</v>
      </c>
      <c r="S147" s="10" t="n">
        <f aca="false">S41</f>
        <v>414065.919395405</v>
      </c>
      <c r="T147" s="10" t="n">
        <f aca="false">T41</f>
        <v>414760.953022306</v>
      </c>
      <c r="U147" s="10" t="n">
        <f aca="false">U41</f>
        <v>234704.326373744</v>
      </c>
      <c r="V147" s="10" t="n">
        <f aca="false">V41</f>
        <v>457410.208571338</v>
      </c>
      <c r="W147" s="10" t="n">
        <f aca="false">W41</f>
        <v>450088.788858833</v>
      </c>
      <c r="X147" s="10" t="n">
        <f aca="false">X41</f>
        <v>439621.354825216</v>
      </c>
      <c r="Y147" s="10" t="n">
        <f aca="false">Y41</f>
        <v>480965.622083308</v>
      </c>
      <c r="Z147" s="10" t="n">
        <f aca="false">Z41</f>
        <v>413855.891619049</v>
      </c>
      <c r="AA147" s="10" t="n">
        <f aca="false">AA41</f>
        <v>399075.330865947</v>
      </c>
      <c r="AB147" s="10" t="n">
        <f aca="false">AB41</f>
        <v>249326.099109242</v>
      </c>
      <c r="AC147" s="10" t="n">
        <f aca="false">AC41</f>
        <v>-392784.538244734</v>
      </c>
      <c r="AD147" s="10" t="n">
        <f aca="false">AD41</f>
        <v>290814.055874564</v>
      </c>
      <c r="AE147" s="10" t="n">
        <f aca="false">AE41</f>
        <v>288493.364859794</v>
      </c>
      <c r="AF147" s="10" t="n">
        <f aca="false">AF41</f>
        <v>283517.211373714</v>
      </c>
      <c r="AG147" s="10" t="n">
        <f aca="false">AG41</f>
        <v>397127.166305794</v>
      </c>
      <c r="AH147" s="10" t="n">
        <f aca="false">AH41</f>
        <v>212726.454869569</v>
      </c>
      <c r="AI147" s="10" t="n">
        <f aca="false">AI41</f>
        <v>446726.544163128</v>
      </c>
      <c r="AJ147" s="10" t="n">
        <f aca="false">AJ41</f>
        <v>189633.368945388</v>
      </c>
      <c r="AK147" s="10" t="n">
        <f aca="false">AK41</f>
        <v>28268.7036742959</v>
      </c>
      <c r="AL147" s="10" t="n">
        <f aca="false">AL41</f>
        <v>110618.838318138</v>
      </c>
      <c r="AM147" s="10" t="n">
        <f aca="false">AM41</f>
        <v>53390.0835703672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6945509.0420943</v>
      </c>
      <c r="S148" s="61" t="n">
        <f aca="false">S146+S147</f>
        <v>7359574.96148971</v>
      </c>
      <c r="T148" s="61" t="n">
        <f aca="false">T146+T147</f>
        <v>7774335.91451202</v>
      </c>
      <c r="U148" s="61" t="n">
        <f aca="false">U146+U147</f>
        <v>8009040.24088576</v>
      </c>
      <c r="V148" s="61" t="n">
        <f aca="false">V146+V147</f>
        <v>8466450.4494571</v>
      </c>
      <c r="W148" s="61" t="n">
        <f aca="false">W146+W147</f>
        <v>8916539.23831593</v>
      </c>
      <c r="X148" s="61" t="n">
        <f aca="false">X146+X147</f>
        <v>9356160.59314115</v>
      </c>
      <c r="Y148" s="61" t="n">
        <f aca="false">Y146+Y147</f>
        <v>9837126.21522445</v>
      </c>
      <c r="Z148" s="61" t="n">
        <f aca="false">Z146+Z147</f>
        <v>10250982.1068435</v>
      </c>
      <c r="AA148" s="61" t="n">
        <f aca="false">AA146+AA147</f>
        <v>10650057.4377095</v>
      </c>
      <c r="AB148" s="61" t="n">
        <f aca="false">AB146+AB147</f>
        <v>10899383.5368187</v>
      </c>
      <c r="AC148" s="61" t="n">
        <f aca="false">AC146+AC147</f>
        <v>10506598.998574</v>
      </c>
      <c r="AD148" s="61" t="n">
        <f aca="false">AD146+AD147</f>
        <v>10797413.0544485</v>
      </c>
      <c r="AE148" s="61" t="n">
        <f aca="false">AE146+AE147</f>
        <v>11085906.4193083</v>
      </c>
      <c r="AF148" s="61" t="n">
        <f aca="false">AF146+AF147</f>
        <v>11369423.630682</v>
      </c>
      <c r="AG148" s="61" t="n">
        <f aca="false">AG146+AG147</f>
        <v>11766550.7969878</v>
      </c>
      <c r="AH148" s="61" t="n">
        <f aca="false">AH146+AH147</f>
        <v>11979277.2518574</v>
      </c>
      <c r="AI148" s="61" t="n">
        <f aca="false">AI146+AI147</f>
        <v>12426003.7960205</v>
      </c>
      <c r="AJ148" s="61" t="n">
        <f aca="false">AJ146+AJ147</f>
        <v>12615637.1649659</v>
      </c>
      <c r="AK148" s="61" t="n">
        <f aca="false">AK146+AK147</f>
        <v>12643905.8686402</v>
      </c>
      <c r="AL148" s="61" t="n">
        <f aca="false">AL146+AL147</f>
        <v>12754524.7069583</v>
      </c>
      <c r="AM148" s="61" t="n">
        <f aca="false">AM146+AM147</f>
        <v>12807914.7905287</v>
      </c>
      <c r="AN148" s="61" t="n">
        <f aca="false">AN146+AN147</f>
        <v>12704552.1728394</v>
      </c>
      <c r="AO148" s="61" t="n">
        <f aca="false">AO146+AO147</f>
        <v>12597926.7949353</v>
      </c>
      <c r="AP148" s="61" t="n">
        <f aca="false">AP146+AP147</f>
        <v>12487398.0563178</v>
      </c>
      <c r="AQ148" s="61" t="n">
        <f aca="false">AQ146+AQ147</f>
        <v>12372363.3906528</v>
      </c>
      <c r="AR148" s="61" t="n">
        <f aca="false">AR146+AR147</f>
        <v>12509464.3032053</v>
      </c>
      <c r="AS148" s="61" t="n">
        <f aca="false">AS146+AS147</f>
        <v>12261691.5557113</v>
      </c>
      <c r="AT148" s="61" t="n">
        <f aca="false">AT146+AT147</f>
        <v>12012196.8174531</v>
      </c>
      <c r="AU148" s="61" t="n">
        <f aca="false">AU146+AU147</f>
        <v>11760180.3193867</v>
      </c>
      <c r="AV148" s="61" t="n">
        <f aca="false">AV146+AV147</f>
        <v>11504918.8253912</v>
      </c>
      <c r="AW148" s="61" t="n">
        <f aca="false">AW146+AW147</f>
        <v>11245779.0255299</v>
      </c>
      <c r="AX148" s="61" t="n">
        <f aca="false">AX146+AX147</f>
        <v>10982232.8426351</v>
      </c>
      <c r="AY148" s="61" t="n">
        <f aca="false">AY146+AY147</f>
        <v>10711034.5042083</v>
      </c>
      <c r="AZ148" s="61" t="n">
        <f aca="false">AZ146+AZ147</f>
        <v>10434727.5931807</v>
      </c>
      <c r="BA148" s="61" t="n">
        <f aca="false">BA146+BA147</f>
        <v>10153141.8237991</v>
      </c>
      <c r="BB148" s="61" t="n">
        <f aca="false">BB146+BB147</f>
        <v>9866221.70969431</v>
      </c>
      <c r="BC148" s="61" t="n">
        <f aca="false">BC146+BC147</f>
        <v>9574016.99726625</v>
      </c>
      <c r="BD148" s="61" t="n">
        <f aca="false">BD146+BD147</f>
        <v>9276673.09906833</v>
      </c>
      <c r="BE148" s="61" t="n">
        <f aca="false">BE146+BE147</f>
        <v>8974413.87389992</v>
      </c>
      <c r="BF148" s="61" t="n">
        <f aca="false">BF146+BF147</f>
        <v>8902499.64686786</v>
      </c>
      <c r="BG148" s="61" t="n">
        <f aca="false">BG146+BG147</f>
        <v>8479772.92411034</v>
      </c>
      <c r="BH148" s="61" t="n">
        <f aca="false">BH146+BH147</f>
        <v>8057046.20135283</v>
      </c>
      <c r="BI148" s="61" t="n">
        <f aca="false">BI146+BI147</f>
        <v>7634319.47859532</v>
      </c>
      <c r="BJ148" s="61" t="n">
        <f aca="false">BJ146+BJ147</f>
        <v>7211592.75583781</v>
      </c>
      <c r="BK148" s="61" t="n">
        <f aca="false">BK146+BK147</f>
        <v>6785972.98529181</v>
      </c>
      <c r="BL148" s="61" t="n">
        <f aca="false">BL146+BL147</f>
        <v>6360353.21474582</v>
      </c>
      <c r="BM148" s="61" t="n">
        <f aca="false">BM146+BM147</f>
        <v>5934733.44419982</v>
      </c>
      <c r="BN148" s="61" t="n">
        <f aca="false">BN146+BN147</f>
        <v>5509113.67365383</v>
      </c>
      <c r="BO148" s="61" t="n">
        <f aca="false">BO146+BO147</f>
        <v>5083493.90310783</v>
      </c>
      <c r="BP148" s="61" t="n">
        <f aca="false">BP146+BP147</f>
        <v>4657874.13256183</v>
      </c>
      <c r="BQ148" s="61" t="n">
        <f aca="false">BQ146+BQ147</f>
        <v>4232254.36201584</v>
      </c>
      <c r="BR148" s="61" t="n">
        <f aca="false">BR146+BR147</f>
        <v>3806634.59146984</v>
      </c>
      <c r="BS148" s="61" t="n">
        <f aca="false">BS146+BS147</f>
        <v>3381014.82092385</v>
      </c>
      <c r="BT148" s="61" t="n">
        <f aca="false">BT146+BT147</f>
        <v>2955395.05037785</v>
      </c>
      <c r="BU148" s="61" t="n">
        <f aca="false">BU146+BU147</f>
        <v>2529775.27983186</v>
      </c>
      <c r="BV148" s="61" t="n">
        <f aca="false">BV146+BV147</f>
        <v>2104155.50928586</v>
      </c>
      <c r="BW148" s="61" t="n">
        <f aca="false">BW146+BW147</f>
        <v>1675584.82999561</v>
      </c>
      <c r="BX148" s="61" t="n">
        <f aca="false">BX146+BX147</f>
        <v>1247014.15070536</v>
      </c>
      <c r="BY148" s="61" t="n">
        <f aca="false">BY146+BY147</f>
        <v>818443.471415116</v>
      </c>
      <c r="BZ148" s="61" t="n">
        <f aca="false">BZ146+BZ147</f>
        <v>389872.792124867</v>
      </c>
      <c r="CA148" s="61" t="n">
        <f aca="false">CA146+CA147</f>
        <v>-38697.8871653816</v>
      </c>
      <c r="CB148" s="61" t="n">
        <f aca="false">CB146+CB147</f>
        <v>-467268.56645563</v>
      </c>
      <c r="CC148" s="61" t="n">
        <f aca="false">CC146+CC147</f>
        <v>-895839.245745879</v>
      </c>
      <c r="CD148" s="61" t="n">
        <f aca="false">CD146+CD147</f>
        <v>-1324409.92503613</v>
      </c>
      <c r="CE148" s="61" t="n">
        <f aca="false">CE146+CE147</f>
        <v>-1752980.60432638</v>
      </c>
      <c r="CF148" s="61" t="n">
        <f aca="false">CF146+CF147</f>
        <v>-2181551.28361662</v>
      </c>
      <c r="CG148" s="61" t="n">
        <f aca="false">CG146+CG147</f>
        <v>-2610121.96290687</v>
      </c>
      <c r="CH148" s="61" t="n">
        <f aca="false">CH146+CH147</f>
        <v>-3038692.64219712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-601106.013333333</v>
      </c>
      <c r="N151" s="10" t="n">
        <f aca="false">M156</f>
        <v>-1040830.13666667</v>
      </c>
      <c r="O151" s="10" t="n">
        <f aca="false">N156</f>
        <v>-1230554.26</v>
      </c>
      <c r="P151" s="10" t="n">
        <f aca="false">O156</f>
        <v>-1422614.675</v>
      </c>
      <c r="Q151" s="10" t="n">
        <f aca="false">P156</f>
        <v>-1614675.09</v>
      </c>
      <c r="R151" s="10" t="n">
        <f aca="false">Q156</f>
        <v>-1806735.505</v>
      </c>
      <c r="S151" s="10" t="n">
        <f aca="false">R156</f>
        <v>-2046162.17</v>
      </c>
      <c r="T151" s="10" t="n">
        <f aca="false">S156</f>
        <v>-2262128.835</v>
      </c>
      <c r="U151" s="10" t="n">
        <f aca="false">T156</f>
        <v>-2478095.5</v>
      </c>
      <c r="V151" s="10" t="n">
        <f aca="false">U156</f>
        <v>-2694062.165</v>
      </c>
      <c r="W151" s="10" t="n">
        <f aca="false">V156</f>
        <v>-2910028.83</v>
      </c>
      <c r="X151" s="10" t="n">
        <f aca="false">W156</f>
        <v>-3026009.73828545</v>
      </c>
      <c r="Y151" s="10" t="n">
        <f aca="false">X156</f>
        <v>-3111976.40328545</v>
      </c>
      <c r="Z151" s="10" t="n">
        <f aca="false">Y156</f>
        <v>-3447943.06828545</v>
      </c>
      <c r="AA151" s="10" t="n">
        <f aca="false">Z156</f>
        <v>-3489166.31328545</v>
      </c>
      <c r="AB151" s="10" t="n">
        <f aca="false">AA156</f>
        <v>-3601200.20578545</v>
      </c>
      <c r="AC151" s="10" t="n">
        <f aca="false">AB156</f>
        <v>-3713234.09828545</v>
      </c>
      <c r="AD151" s="10" t="n">
        <f aca="false">AC156</f>
        <v>-3767892.99078545</v>
      </c>
      <c r="AE151" s="10" t="n">
        <f aca="false">AD156</f>
        <v>-3903856.08328545</v>
      </c>
      <c r="AF151" s="10" t="n">
        <f aca="false">AE156</f>
        <v>-4015889.97578545</v>
      </c>
      <c r="AG151" s="10" t="n">
        <f aca="false">AF156</f>
        <v>-4127923.86828545</v>
      </c>
      <c r="AH151" s="10" t="n">
        <f aca="false">AG156</f>
        <v>-4249457.76078545</v>
      </c>
      <c r="AI151" s="10" t="n">
        <f aca="false">AH156</f>
        <v>-4370991.65328545</v>
      </c>
      <c r="AJ151" s="10" t="n">
        <f aca="false">AI156</f>
        <v>-4514373.94578545</v>
      </c>
      <c r="AK151" s="10" t="n">
        <f aca="false">AJ156</f>
        <v>-4635907.83828545</v>
      </c>
      <c r="AL151" s="10" t="n">
        <f aca="false">AK156</f>
        <v>-5007441.73078545</v>
      </c>
      <c r="AM151" s="10" t="n">
        <f aca="false">AL156</f>
        <v>-5128975.62328545</v>
      </c>
      <c r="AN151" s="10" t="n">
        <f aca="false">AM156</f>
        <v>-5252940.19363545</v>
      </c>
      <c r="AO151" s="10" t="n">
        <f aca="false">AN156</f>
        <v>-5376904.76398545</v>
      </c>
      <c r="AP151" s="10" t="n">
        <f aca="false">AO156</f>
        <v>-5500869.33433545</v>
      </c>
      <c r="AQ151" s="10" t="n">
        <f aca="false">AP156</f>
        <v>-5649241.68868545</v>
      </c>
      <c r="AR151" s="10" t="n">
        <f aca="false">AQ156</f>
        <v>-5773206.25903545</v>
      </c>
      <c r="AS151" s="10" t="n">
        <f aca="false">AR156</f>
        <v>-5897170.82938544</v>
      </c>
      <c r="AT151" s="10" t="n">
        <f aca="false">AS156</f>
        <v>-6021135.39973544</v>
      </c>
      <c r="AU151" s="10" t="n">
        <f aca="false">AT156</f>
        <v>-6145099.97008544</v>
      </c>
      <c r="AV151" s="10" t="n">
        <f aca="false">AU156</f>
        <v>-6291349.90843544</v>
      </c>
      <c r="AW151" s="10" t="n">
        <f aca="false">AV156</f>
        <v>-6415314.47878544</v>
      </c>
      <c r="AX151" s="10" t="n">
        <f aca="false">AW156</f>
        <v>-6539279.04913544</v>
      </c>
      <c r="AY151" s="10" t="n">
        <f aca="false">AX156</f>
        <v>-6663243.61948544</v>
      </c>
      <c r="AZ151" s="10" t="n">
        <f aca="false">AY156</f>
        <v>-6789687.48124244</v>
      </c>
      <c r="BA151" s="10" t="n">
        <f aca="false">AZ156</f>
        <v>-6916131.34299944</v>
      </c>
      <c r="BB151" s="10" t="n">
        <f aca="false">BA156</f>
        <v>-7042575.20475644</v>
      </c>
      <c r="BC151" s="10" t="n">
        <f aca="false">BB156</f>
        <v>-7193915.00619344</v>
      </c>
      <c r="BD151" s="10" t="n">
        <f aca="false">BC156</f>
        <v>-7320358.86795044</v>
      </c>
      <c r="BE151" s="10" t="n">
        <f aca="false">BD156</f>
        <v>-7446802.72970744</v>
      </c>
      <c r="BF151" s="10" t="n">
        <f aca="false">BE156</f>
        <v>-7573246.59146444</v>
      </c>
      <c r="BG151" s="10" t="n">
        <f aca="false">BF156</f>
        <v>-7699690.45322144</v>
      </c>
      <c r="BH151" s="10" t="n">
        <f aca="false">BG156</f>
        <v>-7848865.39033844</v>
      </c>
      <c r="BI151" s="10" t="n">
        <f aca="false">BH156</f>
        <v>-7975309.25209544</v>
      </c>
      <c r="BJ151" s="10" t="n">
        <f aca="false">BI156</f>
        <v>-8101753.11385244</v>
      </c>
      <c r="BK151" s="10" t="n">
        <f aca="false">BJ156</f>
        <v>-8228196.97560944</v>
      </c>
      <c r="BL151" s="10" t="n">
        <f aca="false">BK156</f>
        <v>-8357169.71460158</v>
      </c>
      <c r="BM151" s="10" t="n">
        <f aca="false">BL156</f>
        <v>-8486142.45359372</v>
      </c>
      <c r="BN151" s="10" t="n">
        <f aca="false">BM156</f>
        <v>-8615115.19258586</v>
      </c>
      <c r="BO151" s="10" t="n">
        <f aca="false">BN156</f>
        <v>-8769481.7900516</v>
      </c>
      <c r="BP151" s="10" t="n">
        <f aca="false">BO156</f>
        <v>-8898454.52904374</v>
      </c>
      <c r="BQ151" s="10" t="n">
        <f aca="false">BP156</f>
        <v>-8975913.74803588</v>
      </c>
      <c r="BR151" s="10" t="n">
        <f aca="false">BQ156</f>
        <v>-9104886.48702802</v>
      </c>
      <c r="BS151" s="10" t="n">
        <f aca="false">BR156</f>
        <v>-9233859.22602016</v>
      </c>
      <c r="BT151" s="10" t="n">
        <f aca="false">BS156</f>
        <v>-9318255.6618795</v>
      </c>
      <c r="BU151" s="10" t="n">
        <f aca="false">BT156</f>
        <v>-9447228.40087164</v>
      </c>
      <c r="BV151" s="10" t="n">
        <f aca="false">BU156</f>
        <v>-9576201.13986378</v>
      </c>
      <c r="BW151" s="10" t="n">
        <f aca="false">BV156</f>
        <v>-9637411.87885592</v>
      </c>
      <c r="BX151" s="10" t="n">
        <f aca="false">BW156</f>
        <v>-9768964.0726279</v>
      </c>
      <c r="BY151" s="10" t="n">
        <f aca="false">BX156</f>
        <v>-9900516.26639989</v>
      </c>
      <c r="BZ151" s="10" t="n">
        <f aca="false">BY156</f>
        <v>-9964306.46017187</v>
      </c>
      <c r="CA151" s="10" t="n">
        <f aca="false">BZ156</f>
        <v>-10121760.3895869</v>
      </c>
      <c r="CB151" s="10" t="n">
        <f aca="false">CA156</f>
        <v>-10253312.5833589</v>
      </c>
      <c r="CC151" s="10" t="n">
        <f aca="false">CB156</f>
        <v>-10308365.7771309</v>
      </c>
      <c r="CD151" s="10" t="n">
        <f aca="false">CC156</f>
        <v>-10439917.9709029</v>
      </c>
      <c r="CE151" s="10" t="n">
        <f aca="false">CD156</f>
        <v>-10571470.1646749</v>
      </c>
      <c r="CF151" s="10" t="n">
        <f aca="false">CE156</f>
        <v>-10650172.7692514</v>
      </c>
      <c r="CG151" s="10" t="n">
        <f aca="false">CF156</f>
        <v>-10781724.9630234</v>
      </c>
      <c r="CH151" s="10" t="n">
        <f aca="false">CG156</f>
        <v>-10913277.1567953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-59724.1233333333</v>
      </c>
      <c r="M152" s="10" t="n">
        <f aca="false">M87</f>
        <v>-59724.1233333333</v>
      </c>
      <c r="N152" s="10" t="n">
        <f aca="false">N87</f>
        <v>-59724.1233333333</v>
      </c>
      <c r="O152" s="10" t="n">
        <f aca="false">O87</f>
        <v>-62060.415</v>
      </c>
      <c r="P152" s="10" t="n">
        <f aca="false">P87</f>
        <v>-62060.415</v>
      </c>
      <c r="Q152" s="10" t="n">
        <f aca="false">Q87</f>
        <v>-62060.415</v>
      </c>
      <c r="R152" s="10" t="n">
        <f aca="false">R87</f>
        <v>-109426.665</v>
      </c>
      <c r="S152" s="10" t="n">
        <f aca="false">S87</f>
        <v>-85966.665</v>
      </c>
      <c r="T152" s="10" t="n">
        <f aca="false">T87</f>
        <v>-85966.665</v>
      </c>
      <c r="U152" s="10" t="n">
        <f aca="false">U87</f>
        <v>-85966.665</v>
      </c>
      <c r="V152" s="10" t="n">
        <f aca="false">V87</f>
        <v>-85966.665</v>
      </c>
      <c r="W152" s="10" t="n">
        <f aca="false">W87</f>
        <v>-50011.665</v>
      </c>
      <c r="X152" s="10" t="n">
        <f aca="false">X87</f>
        <v>-85966.665</v>
      </c>
      <c r="Y152" s="10" t="n">
        <f aca="false">Y87</f>
        <v>-85966.665</v>
      </c>
      <c r="Z152" s="10" t="n">
        <f aca="false">Z87</f>
        <v>-41223.245</v>
      </c>
      <c r="AA152" s="10" t="n">
        <f aca="false">AA87</f>
        <v>-112033.8925</v>
      </c>
      <c r="AB152" s="10" t="n">
        <f aca="false">AB87</f>
        <v>-112033.8925</v>
      </c>
      <c r="AC152" s="10" t="n">
        <f aca="false">AC87</f>
        <v>-54658.8925</v>
      </c>
      <c r="AD152" s="10" t="n">
        <f aca="false">AD87</f>
        <v>-135963.0925</v>
      </c>
      <c r="AE152" s="10" t="n">
        <f aca="false">AE87</f>
        <v>-112033.8925</v>
      </c>
      <c r="AF152" s="10" t="n">
        <f aca="false">AF87</f>
        <v>-112033.8925</v>
      </c>
      <c r="AG152" s="10" t="n">
        <f aca="false">AG87</f>
        <v>-121533.8925</v>
      </c>
      <c r="AH152" s="10" t="n">
        <f aca="false">AH87</f>
        <v>-121533.8925</v>
      </c>
      <c r="AI152" s="10" t="n">
        <f aca="false">AI87</f>
        <v>-143382.2925</v>
      </c>
      <c r="AJ152" s="10" t="n">
        <f aca="false">AJ87</f>
        <v>-121533.8925</v>
      </c>
      <c r="AK152" s="10" t="n">
        <f aca="false">AK87</f>
        <v>-121533.8925</v>
      </c>
      <c r="AL152" s="10" t="n">
        <f aca="false">AL87</f>
        <v>-121533.8925</v>
      </c>
      <c r="AM152" s="10" t="n">
        <f aca="false">AM87</f>
        <v>-123964.57035</v>
      </c>
      <c r="AN152" s="10" t="n">
        <f aca="false">AN87</f>
        <v>-123964.57035</v>
      </c>
      <c r="AO152" s="10" t="n">
        <f aca="false">AO87</f>
        <v>-123964.57035</v>
      </c>
      <c r="AP152" s="10" t="n">
        <f aca="false">AP87</f>
        <v>-148372.35435</v>
      </c>
      <c r="AQ152" s="10" t="n">
        <f aca="false">AQ87</f>
        <v>-123964.57035</v>
      </c>
      <c r="AR152" s="10" t="n">
        <f aca="false">AR87</f>
        <v>-123964.57035</v>
      </c>
      <c r="AS152" s="10" t="n">
        <f aca="false">AS87</f>
        <v>-123964.57035</v>
      </c>
      <c r="AT152" s="10" t="n">
        <f aca="false">AT87</f>
        <v>-123964.57035</v>
      </c>
      <c r="AU152" s="10" t="n">
        <f aca="false">AU87</f>
        <v>-146249.93835</v>
      </c>
      <c r="AV152" s="10" t="n">
        <f aca="false">AV87</f>
        <v>-123964.57035</v>
      </c>
      <c r="AW152" s="10" t="n">
        <f aca="false">AW87</f>
        <v>-123964.57035</v>
      </c>
      <c r="AX152" s="10" t="n">
        <f aca="false">AX87</f>
        <v>-123964.57035</v>
      </c>
      <c r="AY152" s="10" t="n">
        <f aca="false">AY87</f>
        <v>-126443.861757</v>
      </c>
      <c r="AZ152" s="10" t="n">
        <f aca="false">AZ87</f>
        <v>-126443.861757</v>
      </c>
      <c r="BA152" s="10" t="n">
        <f aca="false">BA87</f>
        <v>-126443.861757</v>
      </c>
      <c r="BB152" s="10" t="n">
        <f aca="false">BB87</f>
        <v>-151339.801437</v>
      </c>
      <c r="BC152" s="10" t="n">
        <f aca="false">BC87</f>
        <v>-126443.861757</v>
      </c>
      <c r="BD152" s="10" t="n">
        <f aca="false">BD87</f>
        <v>-126443.861757</v>
      </c>
      <c r="BE152" s="10" t="n">
        <f aca="false">BE87</f>
        <v>-126443.861757</v>
      </c>
      <c r="BF152" s="10" t="n">
        <f aca="false">BF87</f>
        <v>-126443.861757</v>
      </c>
      <c r="BG152" s="10" t="n">
        <f aca="false">BG87</f>
        <v>-149174.937117</v>
      </c>
      <c r="BH152" s="10" t="n">
        <f aca="false">BH87</f>
        <v>-126443.861757</v>
      </c>
      <c r="BI152" s="10" t="n">
        <f aca="false">BI87</f>
        <v>-126443.861757</v>
      </c>
      <c r="BJ152" s="10" t="n">
        <f aca="false">BJ87</f>
        <v>-126443.861757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-601106.013333333</v>
      </c>
      <c r="M156" s="61" t="n">
        <f aca="false">M151+M152+M153+M154+M155</f>
        <v>-1040830.13666667</v>
      </c>
      <c r="N156" s="61" t="n">
        <f aca="false">N151+N152+N153+N154+N155</f>
        <v>-1230554.26</v>
      </c>
      <c r="O156" s="61" t="n">
        <f aca="false">O151+O152+O153+O154+O155</f>
        <v>-1422614.675</v>
      </c>
      <c r="P156" s="61" t="n">
        <f aca="false">P151+P152+P153+P154+P155</f>
        <v>-1614675.09</v>
      </c>
      <c r="Q156" s="61" t="n">
        <f aca="false">Q151+Q152+Q153+Q154+Q155</f>
        <v>-1806735.505</v>
      </c>
      <c r="R156" s="61" t="n">
        <f aca="false">R151+R152+R153+R154+R155</f>
        <v>-2046162.17</v>
      </c>
      <c r="S156" s="61" t="n">
        <f aca="false">S151+S152+S153+S154+S155</f>
        <v>-2262128.835</v>
      </c>
      <c r="T156" s="61" t="n">
        <f aca="false">T151+T152+T153+T154+T155</f>
        <v>-2478095.5</v>
      </c>
      <c r="U156" s="61" t="n">
        <f aca="false">U151+U152+U153+U154+U155</f>
        <v>-2694062.165</v>
      </c>
      <c r="V156" s="61" t="n">
        <f aca="false">V151+V152+V153+V154+V155</f>
        <v>-2910028.83</v>
      </c>
      <c r="W156" s="61" t="n">
        <f aca="false">W151+W152+W153+W154+W155</f>
        <v>-3026009.73828545</v>
      </c>
      <c r="X156" s="61" t="n">
        <f aca="false">X151+X152+X153+X154+X155</f>
        <v>-3111976.40328545</v>
      </c>
      <c r="Y156" s="61" t="n">
        <f aca="false">Y151+Y152+Y153+Y154+Y155</f>
        <v>-3447943.06828545</v>
      </c>
      <c r="Z156" s="61" t="n">
        <f aca="false">Z151+Z152+Z153+Z154+Z155</f>
        <v>-3489166.31328545</v>
      </c>
      <c r="AA156" s="61" t="n">
        <f aca="false">AA151+AA152+AA153+AA154+AA155</f>
        <v>-3601200.20578545</v>
      </c>
      <c r="AB156" s="61" t="n">
        <f aca="false">AB151+AB152+AB153+AB154+AB155</f>
        <v>-3713234.09828545</v>
      </c>
      <c r="AC156" s="61" t="n">
        <f aca="false">AC151+AC152+AC153+AC154+AC155</f>
        <v>-3767892.99078545</v>
      </c>
      <c r="AD156" s="61" t="n">
        <f aca="false">AD151+AD152+AD153+AD154+AD155</f>
        <v>-3903856.08328545</v>
      </c>
      <c r="AE156" s="61" t="n">
        <f aca="false">AE151+AE152+AE153+AE154+AE155</f>
        <v>-4015889.97578545</v>
      </c>
      <c r="AF156" s="61" t="n">
        <f aca="false">AF151+AF152+AF153+AF154+AF155</f>
        <v>-4127923.86828545</v>
      </c>
      <c r="AG156" s="61" t="n">
        <f aca="false">AG151+AG152+AG153+AG154+AG155</f>
        <v>-4249457.76078545</v>
      </c>
      <c r="AH156" s="61" t="n">
        <f aca="false">AH151+AH152+AH153+AH154+AH155</f>
        <v>-4370991.65328545</v>
      </c>
      <c r="AI156" s="61" t="n">
        <f aca="false">AI151+AI152+AI153+AI154+AI155</f>
        <v>-4514373.94578545</v>
      </c>
      <c r="AJ156" s="61" t="n">
        <f aca="false">AJ151+AJ152+AJ153+AJ154+AJ155</f>
        <v>-4635907.83828545</v>
      </c>
      <c r="AK156" s="61" t="n">
        <f aca="false">AK151+AK152+AK153+AK154+AK155</f>
        <v>-5007441.73078545</v>
      </c>
      <c r="AL156" s="61" t="n">
        <f aca="false">AL151+AL152+AL153+AL154+AL155</f>
        <v>-5128975.62328545</v>
      </c>
      <c r="AM156" s="61" t="n">
        <f aca="false">AM151+AM152+AM153+AM154+AM155</f>
        <v>-5252940.19363545</v>
      </c>
      <c r="AN156" s="61" t="n">
        <f aca="false">AN151+AN152+AN153+AN154+AN155</f>
        <v>-5376904.76398545</v>
      </c>
      <c r="AO156" s="61" t="n">
        <f aca="false">AO151+AO152+AO153+AO154+AO155</f>
        <v>-5500869.33433545</v>
      </c>
      <c r="AP156" s="61" t="n">
        <f aca="false">AP151+AP152+AP153+AP154+AP155</f>
        <v>-5649241.68868545</v>
      </c>
      <c r="AQ156" s="61" t="n">
        <f aca="false">AQ151+AQ152+AQ153+AQ154+AQ155</f>
        <v>-5773206.25903545</v>
      </c>
      <c r="AR156" s="61" t="n">
        <f aca="false">AR151+AR152+AR153+AR154+AR155</f>
        <v>-5897170.82938544</v>
      </c>
      <c r="AS156" s="61" t="n">
        <f aca="false">AS151+AS152+AS153+AS154+AS155</f>
        <v>-6021135.39973544</v>
      </c>
      <c r="AT156" s="61" t="n">
        <f aca="false">AT151+AT152+AT153+AT154+AT155</f>
        <v>-6145099.97008544</v>
      </c>
      <c r="AU156" s="61" t="n">
        <f aca="false">AU151+AU152+AU153+AU154+AU155</f>
        <v>-6291349.90843544</v>
      </c>
      <c r="AV156" s="61" t="n">
        <f aca="false">AV151+AV152+AV153+AV154+AV155</f>
        <v>-6415314.47878544</v>
      </c>
      <c r="AW156" s="61" t="n">
        <f aca="false">AW151+AW152+AW153+AW154+AW155</f>
        <v>-6539279.04913544</v>
      </c>
      <c r="AX156" s="61" t="n">
        <f aca="false">AX151+AX152+AX153+AX154+AX155</f>
        <v>-6663243.61948544</v>
      </c>
      <c r="AY156" s="61" t="n">
        <f aca="false">AY151+AY152+AY153+AY154+AY155</f>
        <v>-6789687.48124244</v>
      </c>
      <c r="AZ156" s="61" t="n">
        <f aca="false">AZ151+AZ152+AZ153+AZ154+AZ155</f>
        <v>-6916131.34299944</v>
      </c>
      <c r="BA156" s="61" t="n">
        <f aca="false">BA151+BA152+BA153+BA154+BA155</f>
        <v>-7042575.20475644</v>
      </c>
      <c r="BB156" s="61" t="n">
        <f aca="false">BB151+BB152+BB153+BB154+BB155</f>
        <v>-7193915.00619344</v>
      </c>
      <c r="BC156" s="61" t="n">
        <f aca="false">BC151+BC152+BC153+BC154+BC155</f>
        <v>-7320358.86795044</v>
      </c>
      <c r="BD156" s="61" t="n">
        <f aca="false">BD151+BD152+BD153+BD154+BD155</f>
        <v>-7446802.72970744</v>
      </c>
      <c r="BE156" s="61" t="n">
        <f aca="false">BE151+BE152+BE153+BE154+BE155</f>
        <v>-7573246.59146444</v>
      </c>
      <c r="BF156" s="61" t="n">
        <f aca="false">BF151+BF152+BF153+BF154+BF155</f>
        <v>-7699690.45322144</v>
      </c>
      <c r="BG156" s="61" t="n">
        <f aca="false">BG151+BG152+BG153+BG154+BG155</f>
        <v>-7848865.39033844</v>
      </c>
      <c r="BH156" s="61" t="n">
        <f aca="false">BH151+BH152+BH153+BH154+BH155</f>
        <v>-7975309.25209544</v>
      </c>
      <c r="BI156" s="61" t="n">
        <f aca="false">BI151+BI152+BI153+BI154+BI155</f>
        <v>-8101753.11385244</v>
      </c>
      <c r="BJ156" s="61" t="n">
        <f aca="false">BJ151+BJ152+BJ153+BJ154+BJ155</f>
        <v>-8228196.97560944</v>
      </c>
      <c r="BK156" s="61" t="n">
        <f aca="false">BK151+BK152+BK153+BK154+BK155</f>
        <v>-8357169.71460158</v>
      </c>
      <c r="BL156" s="61" t="n">
        <f aca="false">BL151+BL152+BL153+BL154+BL155</f>
        <v>-8486142.45359372</v>
      </c>
      <c r="BM156" s="61" t="n">
        <f aca="false">BM151+BM152+BM153+BM154+BM155</f>
        <v>-8615115.19258586</v>
      </c>
      <c r="BN156" s="61" t="n">
        <f aca="false">BN151+BN152+BN153+BN154+BN155</f>
        <v>-8769481.7900516</v>
      </c>
      <c r="BO156" s="61" t="n">
        <f aca="false">BO151+BO152+BO153+BO154+BO155</f>
        <v>-8898454.52904374</v>
      </c>
      <c r="BP156" s="61" t="n">
        <f aca="false">BP151+BP152+BP153+BP154+BP155</f>
        <v>-8975913.74803588</v>
      </c>
      <c r="BQ156" s="61" t="n">
        <f aca="false">BQ151+BQ152+BQ153+BQ154+BQ155</f>
        <v>-9104886.48702802</v>
      </c>
      <c r="BR156" s="61" t="n">
        <f aca="false">BR151+BR152+BR153+BR154+BR155</f>
        <v>-9233859.22602016</v>
      </c>
      <c r="BS156" s="61" t="n">
        <f aca="false">BS151+BS152+BS153+BS154+BS155</f>
        <v>-9318255.6618795</v>
      </c>
      <c r="BT156" s="61" t="n">
        <f aca="false">BT151+BT152+BT153+BT154+BT155</f>
        <v>-9447228.40087164</v>
      </c>
      <c r="BU156" s="61" t="n">
        <f aca="false">BU151+BU152+BU153+BU154+BU155</f>
        <v>-9576201.13986378</v>
      </c>
      <c r="BV156" s="61" t="n">
        <f aca="false">BV151+BV152+BV153+BV154+BV155</f>
        <v>-9637411.87885592</v>
      </c>
      <c r="BW156" s="61" t="n">
        <f aca="false">BW151+BW152+BW153+BW154+BW155</f>
        <v>-9768964.0726279</v>
      </c>
      <c r="BX156" s="61" t="n">
        <f aca="false">BX151+BX152+BX153+BX154+BX155</f>
        <v>-9900516.26639989</v>
      </c>
      <c r="BY156" s="61" t="n">
        <f aca="false">BY151+BY152+BY153+BY154+BY155</f>
        <v>-9964306.46017187</v>
      </c>
      <c r="BZ156" s="61" t="n">
        <f aca="false">BZ151+BZ152+BZ153+BZ154+BZ155</f>
        <v>-10121760.3895869</v>
      </c>
      <c r="CA156" s="61" t="n">
        <f aca="false">CA151+CA152+CA153+CA154+CA155</f>
        <v>-10253312.5833589</v>
      </c>
      <c r="CB156" s="61" t="n">
        <f aca="false">CB151+CB152+CB153+CB154+CB155</f>
        <v>-10308365.7771309</v>
      </c>
      <c r="CC156" s="61" t="n">
        <f aca="false">CC151+CC152+CC153+CC154+CC155</f>
        <v>-10439917.9709029</v>
      </c>
      <c r="CD156" s="61" t="n">
        <f aca="false">CD151+CD152+CD153+CD154+CD155</f>
        <v>-10571470.1646749</v>
      </c>
      <c r="CE156" s="61" t="n">
        <f aca="false">CE151+CE152+CE153+CE154+CE155</f>
        <v>-10650172.7692514</v>
      </c>
      <c r="CF156" s="61" t="n">
        <f aca="false">CF151+CF152+CF153+CF154+CF155</f>
        <v>-10781724.9630234</v>
      </c>
      <c r="CG156" s="61" t="n">
        <f aca="false">CG151+CG152+CG153+CG154+CG155</f>
        <v>-10913277.1567953</v>
      </c>
      <c r="CH156" s="61" t="n">
        <f aca="false">CH151+CH152+CH153+CH154+CH155</f>
        <v>-10961722.3239608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4101899.08056556</v>
      </c>
      <c r="N159" s="10" t="n">
        <f aca="false">N146+N151</f>
        <v>4089679.19488999</v>
      </c>
      <c r="O159" s="10" t="n">
        <f aca="false">O146+O151</f>
        <v>4334947.2756309</v>
      </c>
      <c r="P159" s="10" t="n">
        <f aca="false">P146+P151</f>
        <v>3913275.81031273</v>
      </c>
      <c r="Q159" s="10" t="n">
        <f aca="false">Q146+Q151</f>
        <v>4287844.03935916</v>
      </c>
      <c r="R159" s="10" t="n">
        <f aca="false">R146+R151</f>
        <v>4805108.30181295</v>
      </c>
      <c r="S159" s="10" t="n">
        <f aca="false">S146+S151</f>
        <v>4899346.8720943</v>
      </c>
      <c r="T159" s="10" t="n">
        <f aca="false">T146+T151</f>
        <v>5097446.12648971</v>
      </c>
      <c r="U159" s="10" t="n">
        <f aca="false">U146+U151</f>
        <v>5296240.41451202</v>
      </c>
      <c r="V159" s="10" t="n">
        <f aca="false">V146+V151</f>
        <v>5314978.07588576</v>
      </c>
      <c r="W159" s="10" t="n">
        <f aca="false">W146+W151</f>
        <v>5556421.6194571</v>
      </c>
      <c r="X159" s="10" t="n">
        <f aca="false">X146+X151</f>
        <v>5890529.50003049</v>
      </c>
      <c r="Y159" s="10" t="n">
        <f aca="false">Y146+Y151</f>
        <v>6244184.1898557</v>
      </c>
      <c r="Z159" s="10" t="n">
        <f aca="false">Z146+Z151</f>
        <v>6389183.14693901</v>
      </c>
      <c r="AA159" s="10" t="n">
        <f aca="false">AA146+AA151</f>
        <v>6761815.79355806</v>
      </c>
      <c r="AB159" s="10" t="n">
        <f aca="false">AB146+AB151</f>
        <v>7048857.23192401</v>
      </c>
      <c r="AC159" s="10" t="n">
        <f aca="false">AC146+AC151</f>
        <v>7186149.43853325</v>
      </c>
      <c r="AD159" s="10" t="n">
        <f aca="false">AD146+AD151</f>
        <v>6738706.00778851</v>
      </c>
      <c r="AE159" s="10" t="n">
        <f aca="false">AE146+AE151</f>
        <v>6893556.97116308</v>
      </c>
      <c r="AF159" s="10" t="n">
        <f aca="false">AF146+AF151</f>
        <v>7070016.44352287</v>
      </c>
      <c r="AG159" s="10" t="n">
        <f aca="false">AG146+AG151</f>
        <v>7241499.76239659</v>
      </c>
      <c r="AH159" s="10" t="n">
        <f aca="false">AH146+AH151</f>
        <v>7517093.03620238</v>
      </c>
      <c r="AI159" s="10" t="n">
        <f aca="false">AI146+AI151</f>
        <v>7608285.59857195</v>
      </c>
      <c r="AJ159" s="10" t="n">
        <f aca="false">AJ146+AJ151</f>
        <v>7911629.85023508</v>
      </c>
      <c r="AK159" s="10" t="n">
        <f aca="false">AK146+AK151</f>
        <v>7979729.32668047</v>
      </c>
      <c r="AL159" s="10" t="n">
        <f aca="false">AL146+AL151</f>
        <v>7636464.13785476</v>
      </c>
      <c r="AM159" s="10" t="n">
        <f aca="false">AM146+AM151</f>
        <v>7625549.0836729</v>
      </c>
      <c r="AN159" s="10" t="n">
        <f aca="false">AN146+AN151</f>
        <v>7554974.59689327</v>
      </c>
      <c r="AO159" s="10" t="n">
        <f aca="false">AO146+AO151</f>
        <v>7327647.40885391</v>
      </c>
      <c r="AP159" s="10" t="n">
        <f aca="false">AP146+AP151</f>
        <v>7097057.46059982</v>
      </c>
      <c r="AQ159" s="10" t="n">
        <f aca="false">AQ146+AQ151</f>
        <v>6838156.36763231</v>
      </c>
      <c r="AR159" s="10" t="n">
        <f aca="false">AR146+AR151</f>
        <v>6599157.13161736</v>
      </c>
      <c r="AS159" s="10" t="n">
        <f aca="false">AS146+AS151</f>
        <v>6612293.47381984</v>
      </c>
      <c r="AT159" s="10" t="n">
        <f aca="false">AT146+AT151</f>
        <v>6240556.1559759</v>
      </c>
      <c r="AU159" s="10" t="n">
        <f aca="false">AU146+AU151</f>
        <v>5867096.84736767</v>
      </c>
      <c r="AV159" s="10" t="n">
        <f aca="false">AV146+AV151</f>
        <v>5468830.41095129</v>
      </c>
      <c r="AW159" s="10" t="n">
        <f aca="false">AW146+AW151</f>
        <v>5089604.34660578</v>
      </c>
      <c r="AX159" s="10" t="n">
        <f aca="false">AX146+AX151</f>
        <v>4706499.97639448</v>
      </c>
      <c r="AY159" s="10" t="n">
        <f aca="false">AY146+AY151</f>
        <v>4318989.22314968</v>
      </c>
      <c r="AZ159" s="10" t="n">
        <f aca="false">AZ146+AZ151</f>
        <v>3921347.02296583</v>
      </c>
      <c r="BA159" s="10" t="n">
        <f aca="false">BA146+BA151</f>
        <v>3518596.25018127</v>
      </c>
      <c r="BB159" s="10" t="n">
        <f aca="false">BB146+BB151</f>
        <v>3110566.61904264</v>
      </c>
      <c r="BC159" s="10" t="n">
        <f aca="false">BC146+BC151</f>
        <v>2672306.70350087</v>
      </c>
      <c r="BD159" s="10" t="n">
        <f aca="false">BD146+BD151</f>
        <v>2253658.12931581</v>
      </c>
      <c r="BE159" s="10" t="n">
        <f aca="false">BE146+BE151</f>
        <v>1829870.36936089</v>
      </c>
      <c r="BF159" s="10" t="n">
        <f aca="false">BF146+BF151</f>
        <v>1401167.28243547</v>
      </c>
      <c r="BG159" s="10" t="n">
        <f aca="false">BG146+BG151</f>
        <v>1202809.19364641</v>
      </c>
      <c r="BH159" s="10" t="n">
        <f aca="false">BH146+BH151</f>
        <v>630907.533771901</v>
      </c>
      <c r="BI159" s="10" t="n">
        <f aca="false">BI146+BI151</f>
        <v>81736.9492573887</v>
      </c>
      <c r="BJ159" s="10" t="n">
        <f aca="false">BJ146+BJ151</f>
        <v>-467433.635257123</v>
      </c>
      <c r="BK159" s="10" t="n">
        <f aca="false">BK146+BK151</f>
        <v>-1016604.21977163</v>
      </c>
      <c r="BL159" s="10" t="n">
        <f aca="false">BL146+BL151</f>
        <v>-1571196.72930977</v>
      </c>
      <c r="BM159" s="10" t="n">
        <f aca="false">BM146+BM151</f>
        <v>-2125789.23884791</v>
      </c>
      <c r="BN159" s="10" t="n">
        <f aca="false">BN146+BN151</f>
        <v>-2680381.74838604</v>
      </c>
      <c r="BO159" s="10" t="n">
        <f aca="false">BO146+BO151</f>
        <v>-3260368.11639778</v>
      </c>
      <c r="BP159" s="10" t="n">
        <f aca="false">BP146+BP151</f>
        <v>-3814960.62593591</v>
      </c>
      <c r="BQ159" s="10" t="n">
        <f aca="false">BQ146+BQ151</f>
        <v>-4318039.61547405</v>
      </c>
      <c r="BR159" s="10" t="n">
        <f aca="false">BR146+BR151</f>
        <v>-4872632.12501219</v>
      </c>
      <c r="BS159" s="10" t="n">
        <f aca="false">BS146+BS151</f>
        <v>-5427224.63455032</v>
      </c>
      <c r="BT159" s="10" t="n">
        <f aca="false">BT146+BT151</f>
        <v>-5937240.84095566</v>
      </c>
      <c r="BU159" s="10" t="n">
        <f aca="false">BU146+BU151</f>
        <v>-6491833.35049379</v>
      </c>
      <c r="BV159" s="10" t="n">
        <f aca="false">BV146+BV151</f>
        <v>-7046425.86003193</v>
      </c>
      <c r="BW159" s="10" t="n">
        <f aca="false">BW146+BW151</f>
        <v>-7533256.36957006</v>
      </c>
      <c r="BX159" s="10" t="n">
        <f aca="false">BX146+BX151</f>
        <v>-8093379.24263229</v>
      </c>
      <c r="BY159" s="10" t="n">
        <f aca="false">BY146+BY151</f>
        <v>-8653502.11569452</v>
      </c>
      <c r="BZ159" s="10" t="n">
        <f aca="false">BZ146+BZ151</f>
        <v>-9145862.98875675</v>
      </c>
      <c r="CA159" s="10" t="n">
        <f aca="false">CA146+CA151</f>
        <v>-9731887.59746206</v>
      </c>
      <c r="CB159" s="10" t="n">
        <f aca="false">CB146+CB151</f>
        <v>-10292010.4705243</v>
      </c>
      <c r="CC159" s="10" t="n">
        <f aca="false">CC146+CC151</f>
        <v>-10775634.3435865</v>
      </c>
      <c r="CD159" s="10" t="n">
        <f aca="false">CD146+CD151</f>
        <v>-11335757.2166488</v>
      </c>
      <c r="CE159" s="10" t="n">
        <f aca="false">CE146+CE151</f>
        <v>-11895880.089711</v>
      </c>
      <c r="CF159" s="10" t="n">
        <f aca="false">CF146+CF151</f>
        <v>-12403153.3735778</v>
      </c>
      <c r="CG159" s="10" t="n">
        <f aca="false">CG146+CG151</f>
        <v>-12963276.24664</v>
      </c>
      <c r="CH159" s="10" t="n">
        <f aca="false">CH146+CH151</f>
        <v>-13523399.1197022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-1128383.953535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-681330.105061377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4101899.08056556</v>
      </c>
      <c r="M161" s="61" t="n">
        <f aca="false">M159+M147+M152+M153+M154+M155+M160</f>
        <v>4089679.19488999</v>
      </c>
      <c r="N161" s="61" t="n">
        <f aca="false">N159+N147+N152+N153+N154+N155+N160</f>
        <v>3686445.66117112</v>
      </c>
      <c r="O161" s="61" t="n">
        <f aca="false">O159+O147+O152+O153+O154+O155+O160</f>
        <v>3913275.81031273</v>
      </c>
      <c r="P161" s="61" t="n">
        <f aca="false">P159+P147+P152+P153+P154+P155+P160</f>
        <v>4287844.03935916</v>
      </c>
      <c r="Q161" s="61" t="n">
        <f aca="false">Q159+Q147+Q152+Q153+Q154+Q155+Q160</f>
        <v>4805108.30181295</v>
      </c>
      <c r="R161" s="61" t="n">
        <f aca="false">R159+R147+R152+R153+R154+R155+R160</f>
        <v>4899346.8720943</v>
      </c>
      <c r="S161" s="61" t="n">
        <f aca="false">S159+S147+S152+S153+S154+S155+S160</f>
        <v>5097446.12648971</v>
      </c>
      <c r="T161" s="61" t="n">
        <f aca="false">T159+T147+T152+T153+T154+T155+T160</f>
        <v>5296240.41451202</v>
      </c>
      <c r="U161" s="61" t="n">
        <f aca="false">U159+U147+U152+U153+U154+U155+U160</f>
        <v>5314978.07588576</v>
      </c>
      <c r="V161" s="61" t="n">
        <f aca="false">V159+V147+V152+V153+V154+V155+V160</f>
        <v>5556421.6194571</v>
      </c>
      <c r="W161" s="61" t="n">
        <f aca="false">W159+W147+W152+W153+W154+W155+W160</f>
        <v>5890529.50003049</v>
      </c>
      <c r="X161" s="61" t="n">
        <f aca="false">X159+X147+X152+X153+X154+X155+X160</f>
        <v>6244184.1898557</v>
      </c>
      <c r="Y161" s="61" t="n">
        <f aca="false">Y159+Y147+Y152+Y153+Y154+Y155+Y160</f>
        <v>6389183.14693901</v>
      </c>
      <c r="Z161" s="61" t="n">
        <f aca="false">Z159+Z147+Z152+Z153+Z154+Z155+Z160</f>
        <v>5633431.84002306</v>
      </c>
      <c r="AA161" s="61" t="n">
        <f aca="false">AA159+AA147+AA152+AA153+AA154+AA155+AA160</f>
        <v>7048857.231924</v>
      </c>
      <c r="AB161" s="61" t="n">
        <f aca="false">AB159+AB147+AB152+AB153+AB154+AB155+AB160</f>
        <v>7186149.43853325</v>
      </c>
      <c r="AC161" s="61" t="n">
        <f aca="false">AC159+AC147+AC152+AC153+AC154+AC155+AC160</f>
        <v>6738706.00778851</v>
      </c>
      <c r="AD161" s="61" t="n">
        <f aca="false">AD159+AD147+AD152+AD153+AD154+AD155+AD160</f>
        <v>6893556.97116308</v>
      </c>
      <c r="AE161" s="61" t="n">
        <f aca="false">AE159+AE147+AE152+AE153+AE154+AE155+AE160</f>
        <v>7070016.44352287</v>
      </c>
      <c r="AF161" s="61" t="n">
        <f aca="false">AF159+AF147+AF152+AF153+AF154+AF155+AF160</f>
        <v>7241499.76239658</v>
      </c>
      <c r="AG161" s="61" t="n">
        <f aca="false">AG159+AG147+AG152+AG153+AG154+AG155+AG160</f>
        <v>7517093.03620238</v>
      </c>
      <c r="AH161" s="61" t="n">
        <f aca="false">AH159+AH147+AH152+AH153+AH154+AH155+AH160</f>
        <v>7608285.59857195</v>
      </c>
      <c r="AI161" s="61" t="n">
        <f aca="false">AI159+AI147+AI152+AI153+AI154+AI155+AI160</f>
        <v>7911629.85023508</v>
      </c>
      <c r="AJ161" s="61" t="n">
        <f aca="false">AJ159+AJ147+AJ152+AJ153+AJ154+AJ155+AJ160</f>
        <v>7979729.32668046</v>
      </c>
      <c r="AK161" s="61" t="n">
        <f aca="false">AK159+AK147+AK152+AK153+AK154+AK155+AK160</f>
        <v>7636464.13785476</v>
      </c>
      <c r="AL161" s="61" t="n">
        <f aca="false">AL159+AL147+AL152+AL153+AL154+AL155+AL160</f>
        <v>6944218.97861152</v>
      </c>
      <c r="AM161" s="61" t="n">
        <f aca="false">AM159+AM147+AM152+AM153+AM154+AM155+AM160</f>
        <v>7554974.59689327</v>
      </c>
      <c r="AN161" s="61" t="n">
        <f aca="false">AN159+AN147+AN152+AN153+AN154+AN155+AN160</f>
        <v>7327647.40885391</v>
      </c>
      <c r="AO161" s="61" t="n">
        <f aca="false">AO159+AO147+AO152+AO153+AO154+AO155+AO160</f>
        <v>7097057.46059982</v>
      </c>
      <c r="AP161" s="61" t="n">
        <f aca="false">AP159+AP147+AP152+AP153+AP154+AP155+AP160</f>
        <v>6838156.36763231</v>
      </c>
      <c r="AQ161" s="61" t="n">
        <f aca="false">AQ159+AQ147+AQ152+AQ153+AQ154+AQ155+AQ160</f>
        <v>6599157.13161736</v>
      </c>
      <c r="AR161" s="61" t="n">
        <f aca="false">AR159+AR147+AR152+AR153+AR154+AR155+AR160</f>
        <v>6612293.47381984</v>
      </c>
      <c r="AS161" s="61" t="n">
        <f aca="false">AS159+AS147+AS152+AS153+AS154+AS155+AS160</f>
        <v>6240556.1559759</v>
      </c>
      <c r="AT161" s="61" t="n">
        <f aca="false">AT159+AT147+AT152+AT153+AT154+AT155+AT160</f>
        <v>5867096.84736767</v>
      </c>
      <c r="AU161" s="61" t="n">
        <f aca="false">AU159+AU147+AU152+AU153+AU154+AU155+AU160</f>
        <v>5468830.41095129</v>
      </c>
      <c r="AV161" s="61" t="n">
        <f aca="false">AV159+AV147+AV152+AV153+AV154+AV155+AV160</f>
        <v>5089604.34660578</v>
      </c>
      <c r="AW161" s="61" t="n">
        <f aca="false">AW159+AW147+AW152+AW153+AW154+AW155+AW160</f>
        <v>4706499.97639448</v>
      </c>
      <c r="AX161" s="61" t="n">
        <f aca="false">AX159+AX147+AX152+AX153+AX154+AX155+AX160</f>
        <v>4318989.22314968</v>
      </c>
      <c r="AY161" s="61" t="n">
        <f aca="false">AY159+AY147+AY152+AY153+AY154+AY155+AY160</f>
        <v>3921347.02296583</v>
      </c>
      <c r="AZ161" s="61" t="n">
        <f aca="false">AZ159+AZ147+AZ152+AZ153+AZ154+AZ155+AZ160</f>
        <v>3518596.25018127</v>
      </c>
      <c r="BA161" s="61" t="n">
        <f aca="false">BA159+BA147+BA152+BA153+BA154+BA155+BA160</f>
        <v>3110566.61904264</v>
      </c>
      <c r="BB161" s="61" t="n">
        <f aca="false">BB159+BB147+BB152+BB153+BB154+BB155+BB160</f>
        <v>2672306.70350087</v>
      </c>
      <c r="BC161" s="61" t="n">
        <f aca="false">BC159+BC147+BC152+BC153+BC154+BC155+BC160</f>
        <v>2253658.12931581</v>
      </c>
      <c r="BD161" s="61" t="n">
        <f aca="false">BD159+BD147+BD152+BD153+BD154+BD155+BD160</f>
        <v>1829870.36936089</v>
      </c>
      <c r="BE161" s="61" t="n">
        <f aca="false">BE159+BE147+BE152+BE153+BE154+BE155+BE160</f>
        <v>1401167.28243547</v>
      </c>
      <c r="BF161" s="61" t="n">
        <f aca="false">BF159+BF147+BF152+BF153+BF154+BF155+BF160</f>
        <v>1202809.19364641</v>
      </c>
      <c r="BG161" s="61" t="n">
        <f aca="false">BG159+BG147+BG152+BG153+BG154+BG155+BG160</f>
        <v>630907.533771901</v>
      </c>
      <c r="BH161" s="61" t="n">
        <f aca="false">BH159+BH147+BH152+BH153+BH154+BH155+BH160</f>
        <v>81736.9492573886</v>
      </c>
      <c r="BI161" s="61" t="n">
        <f aca="false">BI159+BI147+BI152+BI153+BI154+BI155+BI160</f>
        <v>-467433.635257123</v>
      </c>
      <c r="BJ161" s="61" t="n">
        <f aca="false">BJ159+BJ147+BJ152+BJ153+BJ154+BJ155+BJ160</f>
        <v>-1016604.21977163</v>
      </c>
      <c r="BK161" s="61" t="n">
        <f aca="false">BK159+BK147+BK152+BK153+BK154+BK155+BK160</f>
        <v>-1571196.72930977</v>
      </c>
      <c r="BL161" s="61" t="n">
        <f aca="false">BL159+BL147+BL152+BL153+BL154+BL155+BL160</f>
        <v>-2125789.23884791</v>
      </c>
      <c r="BM161" s="61" t="n">
        <f aca="false">BM159+BM147+BM152+BM153+BM154+BM155+BM160</f>
        <v>-2680381.74838604</v>
      </c>
      <c r="BN161" s="61" t="n">
        <f aca="false">BN159+BN147+BN152+BN153+BN154+BN155+BN160</f>
        <v>-3260368.11639778</v>
      </c>
      <c r="BO161" s="61" t="n">
        <f aca="false">BO159+BO147+BO152+BO153+BO154+BO155+BO160</f>
        <v>-3814960.62593591</v>
      </c>
      <c r="BP161" s="61" t="n">
        <f aca="false">BP159+BP147+BP152+BP153+BP154+BP155+BP160</f>
        <v>-4318039.61547405</v>
      </c>
      <c r="BQ161" s="61" t="n">
        <f aca="false">BQ159+BQ147+BQ152+BQ153+BQ154+BQ155+BQ160</f>
        <v>-4872632.12501219</v>
      </c>
      <c r="BR161" s="61" t="n">
        <f aca="false">BR159+BR147+BR152+BR153+BR154+BR155+BR160</f>
        <v>-5427224.63455032</v>
      </c>
      <c r="BS161" s="61" t="n">
        <f aca="false">BS159+BS147+BS152+BS153+BS154+BS155+BS160</f>
        <v>-5937240.84095566</v>
      </c>
      <c r="BT161" s="61" t="n">
        <f aca="false">BT159+BT147+BT152+BT153+BT154+BT155+BT160</f>
        <v>-6491833.35049379</v>
      </c>
      <c r="BU161" s="61" t="n">
        <f aca="false">BU159+BU147+BU152+BU153+BU154+BU155+BU160</f>
        <v>-7046425.86003193</v>
      </c>
      <c r="BV161" s="61" t="n">
        <f aca="false">BV159+BV147+BV152+BV153+BV154+BV155+BV160</f>
        <v>-7533256.36957006</v>
      </c>
      <c r="BW161" s="61" t="n">
        <f aca="false">BW159+BW147+BW152+BW153+BW154+BW155+BW160</f>
        <v>-8093379.24263229</v>
      </c>
      <c r="BX161" s="61" t="n">
        <f aca="false">BX159+BX147+BX152+BX153+BX154+BX155+BX160</f>
        <v>-8653502.11569452</v>
      </c>
      <c r="BY161" s="61" t="n">
        <f aca="false">BY159+BY147+BY152+BY153+BY154+BY155+BY160</f>
        <v>-9145862.98875675</v>
      </c>
      <c r="BZ161" s="61" t="n">
        <f aca="false">BZ159+BZ147+BZ152+BZ153+BZ154+BZ155+BZ160</f>
        <v>-9731887.59746206</v>
      </c>
      <c r="CA161" s="61" t="n">
        <f aca="false">CA159+CA147+CA152+CA153+CA154+CA155+CA160</f>
        <v>-10292010.4705243</v>
      </c>
      <c r="CB161" s="61" t="n">
        <f aca="false">CB159+CB147+CB152+CB153+CB154+CB155+CB160</f>
        <v>-10775634.3435865</v>
      </c>
      <c r="CC161" s="61" t="n">
        <f aca="false">CC159+CC147+CC152+CC153+CC154+CC155+CC160</f>
        <v>-11335757.2166488</v>
      </c>
      <c r="CD161" s="61" t="n">
        <f aca="false">CD159+CD147+CD152+CD153+CD154+CD155+CD160</f>
        <v>-11895880.089711</v>
      </c>
      <c r="CE161" s="61" t="n">
        <f aca="false">CE159+CE147+CE152+CE153+CE154+CE155+CE160</f>
        <v>-12403153.3735778</v>
      </c>
      <c r="CF161" s="61" t="n">
        <f aca="false">CF159+CF147+CF152+CF153+CF154+CF155+CF160</f>
        <v>-12963276.24664</v>
      </c>
      <c r="CG161" s="61" t="n">
        <f aca="false">CG159+CG147+CG152+CG153+CG154+CG155+CG160</f>
        <v>-13523399.1197022</v>
      </c>
      <c r="CH161" s="61" t="n">
        <f aca="false">CH159+CH147+CH152+CH153+CH154+CH155+CH160</f>
        <v>-14000414.966158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26284108.956071</v>
      </c>
      <c r="H3" s="65" t="n">
        <f aca="false">Model!U7+Model!V7+Model!W7</f>
        <v>26269938.482232</v>
      </c>
      <c r="I3" s="65" t="n">
        <f aca="false">Model!X7+Model!Y7+Model!Z7</f>
        <v>23995443.05661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1073907.24397321</v>
      </c>
      <c r="H5" s="10" t="n">
        <f aca="false">Model!U8+Model!V8+Model!W8</f>
        <v>1075417.4515625</v>
      </c>
      <c r="I5" s="10" t="n">
        <f aca="false">Model!X8+Model!Y8+Model!Z8</f>
        <v>1069290.51081575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1264724.51825978</v>
      </c>
      <c r="H6" s="10" t="n">
        <f aca="false">Model!U9+Model!V9+Model!W9</f>
        <v>1225279.81695392</v>
      </c>
      <c r="I6" s="10" t="n">
        <f aca="false">Model!X9+Model!Y9+Model!Z9</f>
        <v>1151872.71933991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332660.107366072</v>
      </c>
      <c r="H7" s="10" t="n">
        <f aca="false">Model!U10+Model!V10+Model!W10</f>
        <v>350305.8171875</v>
      </c>
      <c r="I7" s="10" t="n">
        <f aca="false">Model!X10+Model!Y10+Model!Z10</f>
        <v>356430.170271916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2898991.20959906</v>
      </c>
      <c r="H9" s="12" t="n">
        <f aca="false">Model!U12+Model!V12+Model!W12</f>
        <v>2878702.42570392</v>
      </c>
      <c r="I9" s="12" t="n">
        <f aca="false">Model!X12+Model!Y12+Model!Z12</f>
        <v>2577593.40042757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-1736499.1019</v>
      </c>
      <c r="H15" s="12" t="n">
        <f aca="false">Model!U39+Model!V39+Model!W39</f>
        <v>-1736499.1019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1162492.10769906</v>
      </c>
      <c r="H16" s="16" t="n">
        <f aca="false">Model!U41+Model!V41+Model!W41</f>
        <v>1142203.32380392</v>
      </c>
      <c r="I16" s="16" t="n">
        <f aca="false">Model!X41+Model!Y41+Model!Z41</f>
        <v>1334442.86852757</v>
      </c>
      <c r="J16" s="16" t="n">
        <f aca="false">Model!AA41+Model!AB41+Model!AC41</f>
        <v>255616.891730455</v>
      </c>
      <c r="K16" s="16" t="n">
        <f aca="false">Model!AD41+Model!AE41+Model!AF41</f>
        <v>862824.632108072</v>
      </c>
      <c r="L16" s="16" t="n">
        <f aca="false">Model!AG41+Model!AH41+Model!AI41</f>
        <v>1056580.16533849</v>
      </c>
      <c r="M16" s="16" t="n">
        <f aca="false">Model!AJ41+Model!AK41+Model!AL41</f>
        <v>328520.910937821</v>
      </c>
      <c r="N16" s="16" t="n">
        <f aca="false">Model!AM41+Model!AN41+Model!AO41</f>
        <v>-156597.912023077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0.400998838440713</v>
      </c>
      <c r="H17" s="17" t="n">
        <f aca="false">IF((Model!U12+Model!V12+Model!W12)&lt;&gt;0,(Model!U41+Model!V41+Model!W41)/(Model!U12+Model!V12+Model!W12),0)</f>
        <v>0.396777142925642</v>
      </c>
      <c r="I17" s="17" t="n">
        <f aca="false">IF((Model!X12+Model!Y12+Model!Z12)&lt;&gt;0,(Model!X41+Model!Y41+Model!Z41)/(Model!X12+Model!Y12+Model!Z12),0)</f>
        <v>0.517708831930674</v>
      </c>
      <c r="J17" s="17" t="n">
        <f aca="false">IF((Model!AA12+Model!AB12+Model!AC12)&lt;&gt;0,(Model!AA41+Model!AB41+Model!AC41)/(Model!AA12+Model!AB12+Model!AC12),0)</f>
        <v>0.089659574096462</v>
      </c>
      <c r="K17" s="17" t="n">
        <f aca="false">IF((Model!AD12+Model!AE12+Model!AF12)&lt;&gt;0,(Model!AD41+Model!AE41+Model!AF41)/(Model!AD12+Model!AE12+Model!AF12),0)</f>
        <v>0.408118211145549</v>
      </c>
      <c r="L17" s="17" t="n">
        <f aca="false">IF((Model!AG12+Model!AH12+Model!AI12)&lt;&gt;0,(Model!AG41+Model!AH41+Model!AI41)/(Model!AG12+Model!AH12+Model!AI12),0)</f>
        <v>0.457808367599658</v>
      </c>
      <c r="M17" s="17" t="n">
        <f aca="false">IF((Model!AJ12+Model!AK12+Model!AL12)&lt;&gt;0,(Model!AJ41+Model!AK41+Model!AL41)/(Model!AJ12+Model!AK12+Model!AL12),0)</f>
        <v>0.207944369588561</v>
      </c>
      <c r="N17" s="17" t="n">
        <f aca="false">IF((Model!AM12+Model!AN12+Model!AO12)&lt;&gt;0,(Model!AM41+Model!AN41+Model!AO41)/(Model!AM12+Model!AN12+Model!AO12),0)</f>
        <v>-0.141965101625864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171271.38</v>
      </c>
      <c r="F19" s="19" t="n">
        <f aca="false">Model!O64+Model!P64+Model!Q64</f>
        <v>171271.38</v>
      </c>
      <c r="G19" s="19" t="n">
        <f aca="false">Model!R64+Model!S64+Model!T64</f>
        <v>99552.63</v>
      </c>
      <c r="H19" s="19" t="n">
        <f aca="false">Model!U64+Model!V64+Model!W64</f>
        <v>156927.63</v>
      </c>
      <c r="I19" s="19" t="n">
        <f aca="false">Model!X64+Model!Y64+Model!Z64</f>
        <v>144296.05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-179172.37</v>
      </c>
      <c r="F21" s="16" t="n">
        <f aca="false">Model!O87+Model!P87+Model!Q87</f>
        <v>-186181.245</v>
      </c>
      <c r="G21" s="16" t="n">
        <f aca="false">Model!R87+Model!S87+Model!T87</f>
        <v>-281359.995</v>
      </c>
      <c r="H21" s="16" t="n">
        <f aca="false">Model!U87+Model!V87+Model!W87</f>
        <v>-221944.995</v>
      </c>
      <c r="I21" s="16" t="n">
        <f aca="false">Model!X87+Model!Y87+Model!Z87</f>
        <v>-213156.575</v>
      </c>
      <c r="J21" s="16" t="n">
        <f aca="false">Model!AA87+Model!AB87+Model!AC87</f>
        <v>-278726.6775</v>
      </c>
      <c r="K21" s="16" t="n">
        <f aca="false">Model!AD87+Model!AE87+Model!AF87</f>
        <v>-360030.8775</v>
      </c>
      <c r="L21" s="16" t="n">
        <f aca="false">Model!AG87+Model!AH87+Model!AI87</f>
        <v>-386450.0775</v>
      </c>
      <c r="M21" s="16" t="n">
        <f aca="false">Model!AJ87+Model!AK87+Model!AL87</f>
        <v>-364601.6775</v>
      </c>
      <c r="N21" s="16" t="n">
        <f aca="false">Model!AM87+Model!AN87+Model!AO87</f>
        <v>-371893.71105</v>
      </c>
      <c r="O21" s="16" t="n">
        <f aca="false">Model!AP87+Model!AQ87+Model!AR87</f>
        <v>-396301.49505</v>
      </c>
      <c r="P21" s="16" t="n">
        <f aca="false">Model!AS87+Model!AT87+Model!AU87</f>
        <v>-394179.07905</v>
      </c>
      <c r="Q21" s="16" t="n">
        <f aca="false">Model!AV87+Model!AW87+Model!AX87</f>
        <v>-371893.71105</v>
      </c>
      <c r="R21" s="16" t="n">
        <f aca="false">Model!AY87+Model!AZ87+Model!BA87</f>
        <v>-379331.585271</v>
      </c>
      <c r="S21" s="16" t="n">
        <f aca="false">Model!BB87+Model!BC87+Model!BD87</f>
        <v>-404227.524951</v>
      </c>
      <c r="T21" s="16" t="n">
        <f aca="false">Model!BE87+Model!BF87+Model!BG87</f>
        <v>-402062.660631</v>
      </c>
      <c r="U21" s="16" t="n">
        <f aca="false">Model!BH87+Model!BI87+Model!BJ87</f>
        <v>-379331.585271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1099728.37743162</v>
      </c>
      <c r="F23" s="16" t="n">
        <f aca="false">Model!O96+Model!P96+Model!Q96</f>
        <v>860161.026182051</v>
      </c>
      <c r="G23" s="16" t="n">
        <f aca="false">Model!R96+Model!S96+Model!T96</f>
        <v>881132.112699063</v>
      </c>
      <c r="H23" s="16" t="n">
        <f aca="false">Model!U96+Model!V96+Model!W96</f>
        <v>920258.328803915</v>
      </c>
      <c r="I23" s="16" t="n">
        <f aca="false">Model!X96+Model!Y96+Model!Z96</f>
        <v>1121286.29352757</v>
      </c>
      <c r="J23" s="16" t="n">
        <f aca="false">Model!AA96+Model!AB96+Model!AC96</f>
        <v>-23109.7857695449</v>
      </c>
      <c r="K23" s="16" t="n">
        <f aca="false">Model!AD96+Model!AE96+Model!AF96</f>
        <v>502793.754608072</v>
      </c>
      <c r="L23" s="16" t="n">
        <f aca="false">Model!AG96+Model!AH96+Model!AI96</f>
        <v>670130.087838492</v>
      </c>
      <c r="M23" s="16" t="n">
        <f aca="false">Model!AJ96+Model!AK96+Model!AL96</f>
        <v>-36080.7665621789</v>
      </c>
      <c r="N23" s="16" t="n">
        <f aca="false">Model!AM96+Model!AN96+Model!AO96</f>
        <v>-528491.623073077</v>
      </c>
      <c r="O23" s="16" t="n">
        <f aca="false">Model!AP96+Model!AQ96+Model!AR96</f>
        <v>-484763.986779985</v>
      </c>
      <c r="P23" s="16" t="n">
        <f aca="false">Model!AS96+Model!AT96+Model!AU96</f>
        <v>-1143463.06286855</v>
      </c>
      <c r="Q23" s="16" t="n">
        <f aca="false">Model!AV96+Model!AW96+Model!AX96</f>
        <v>-1149841.18780162</v>
      </c>
      <c r="R23" s="16" t="n">
        <f aca="false">Model!AY96+Model!AZ96+Model!BA96</f>
        <v>-1208422.60410704</v>
      </c>
      <c r="S23" s="16" t="n">
        <f aca="false">Model!BB96+Model!BC96+Model!BD96</f>
        <v>-1280696.24968175</v>
      </c>
      <c r="T23" s="16" t="n">
        <f aca="false">Model!BE96+Model!BF96+Model!BG96</f>
        <v>-1198962.83558899</v>
      </c>
      <c r="U23" s="16" t="n">
        <f aca="false">Model!BH96+Model!BI96+Model!BJ96</f>
        <v>-1647511.75354354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7774335.91451202</v>
      </c>
      <c r="H42" s="21" t="n">
        <f aca="false">Model!W148</f>
        <v>8916539.23831593</v>
      </c>
      <c r="I42" s="21" t="n">
        <f aca="false">Model!Z148</f>
        <v>10250982.1068435</v>
      </c>
      <c r="J42" s="21" t="n">
        <f aca="false">Model!AC148</f>
        <v>10506598.998574</v>
      </c>
      <c r="K42" s="21" t="n">
        <f aca="false">Model!AF148</f>
        <v>11369423.630682</v>
      </c>
      <c r="L42" s="21" t="n">
        <f aca="false">Model!AI148</f>
        <v>12426003.7960205</v>
      </c>
      <c r="M42" s="21" t="n">
        <f aca="false">Model!AL148</f>
        <v>12754524.7069583</v>
      </c>
      <c r="N42" s="21" t="n">
        <f aca="false">Model!AO148</f>
        <v>12597926.7949353</v>
      </c>
      <c r="O42" s="21" t="n">
        <f aca="false">Model!AR148</f>
        <v>12509464.3032053</v>
      </c>
      <c r="P42" s="21" t="n">
        <f aca="false">Model!AU148</f>
        <v>11760180.3193867</v>
      </c>
      <c r="Q42" s="21" t="n">
        <f aca="false">Model!AX148</f>
        <v>10982232.8426351</v>
      </c>
      <c r="R42" s="21" t="n">
        <f aca="false">Model!BA148</f>
        <v>10153141.8237991</v>
      </c>
      <c r="S42" s="21" t="n">
        <f aca="false">Model!BD148</f>
        <v>9276673.09906833</v>
      </c>
      <c r="T42" s="21" t="n">
        <f aca="false">Model!BG148</f>
        <v>8479772.92411034</v>
      </c>
      <c r="U42" s="21" t="n">
        <f aca="false">Model!BJ148</f>
        <v>7211592.75583781</v>
      </c>
      <c r="V42" s="21" t="n">
        <f aca="false">Model!BM148</f>
        <v>5934733.44419982</v>
      </c>
      <c r="W42" s="21" t="n">
        <f aca="false">Model!BP148</f>
        <v>4657874.13256183</v>
      </c>
      <c r="X42" s="21" t="n">
        <f aca="false">Model!BS148</f>
        <v>3381014.82092385</v>
      </c>
      <c r="Y42" s="21" t="n">
        <f aca="false">Model!BV148</f>
        <v>2104155.50928586</v>
      </c>
      <c r="Z42" s="21" t="n">
        <f aca="false">Model!BY148</f>
        <v>818443.471415116</v>
      </c>
      <c r="AA42" s="21" t="n">
        <f aca="false">Model!CB148</f>
        <v>-467268.56645563</v>
      </c>
      <c r="AB42" s="21" t="n">
        <f aca="false">Model!CE148</f>
        <v>-1752980.60432638</v>
      </c>
      <c r="AC42" s="21" t="n">
        <f aca="false">Model!CH148</f>
        <v>-3038692.64219712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-1230554.26</v>
      </c>
      <c r="F43" s="21" t="n">
        <f aca="false">Model!Q156</f>
        <v>-1806735.505</v>
      </c>
      <c r="G43" s="21" t="n">
        <f aca="false">Model!T156</f>
        <v>-2478095.5</v>
      </c>
      <c r="H43" s="21" t="n">
        <f aca="false">Model!W156</f>
        <v>-3026009.73828545</v>
      </c>
      <c r="I43" s="21" t="n">
        <f aca="false">Model!Z156</f>
        <v>-3489166.31328545</v>
      </c>
      <c r="J43" s="21" t="n">
        <f aca="false">Model!AC156</f>
        <v>-3767892.99078545</v>
      </c>
      <c r="K43" s="21" t="n">
        <f aca="false">Model!AF156</f>
        <v>-4127923.86828545</v>
      </c>
      <c r="L43" s="21" t="n">
        <f aca="false">Model!AI156</f>
        <v>-4514373.94578545</v>
      </c>
      <c r="M43" s="21" t="n">
        <f aca="false">Model!AL156</f>
        <v>-5128975.62328545</v>
      </c>
      <c r="N43" s="21" t="n">
        <f aca="false">Model!AO156</f>
        <v>-5500869.33433545</v>
      </c>
      <c r="O43" s="21" t="n">
        <f aca="false">Model!AR156</f>
        <v>-5897170.82938544</v>
      </c>
      <c r="P43" s="21" t="n">
        <f aca="false">Model!AU156</f>
        <v>-6291349.90843544</v>
      </c>
      <c r="Q43" s="21" t="n">
        <f aca="false">Model!AX156</f>
        <v>-6663243.61948544</v>
      </c>
      <c r="R43" s="21" t="n">
        <f aca="false">Model!BA156</f>
        <v>-7042575.20475644</v>
      </c>
      <c r="S43" s="21" t="n">
        <f aca="false">Model!BD156</f>
        <v>-7446802.72970744</v>
      </c>
      <c r="T43" s="21" t="n">
        <f aca="false">Model!BG156</f>
        <v>-7848865.39033844</v>
      </c>
      <c r="U43" s="21" t="n">
        <f aca="false">Model!BJ156</f>
        <v>-8228196.97560944</v>
      </c>
      <c r="V43" s="21" t="n">
        <f aca="false">Model!BM156</f>
        <v>-8615115.19258586</v>
      </c>
      <c r="W43" s="21" t="n">
        <f aca="false">Model!BP156</f>
        <v>-8975913.74803588</v>
      </c>
      <c r="X43" s="21" t="n">
        <f aca="false">Model!BS156</f>
        <v>-9318255.6618795</v>
      </c>
      <c r="Y43" s="21" t="n">
        <f aca="false">Model!BV156</f>
        <v>-9637411.87885592</v>
      </c>
      <c r="Z43" s="21" t="n">
        <f aca="false">Model!BY156</f>
        <v>-9964306.46017187</v>
      </c>
      <c r="AA43" s="21" t="n">
        <f aca="false">Model!CB156</f>
        <v>-10308365.7771309</v>
      </c>
      <c r="AB43" s="21" t="n">
        <f aca="false">Model!CE156</f>
        <v>-10650172.7692514</v>
      </c>
      <c r="AC43" s="21" t="n">
        <f aca="false">Model!CH156</f>
        <v>-10961722.3239608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-1128383.953535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-681330.105061377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3686445.66117112</v>
      </c>
      <c r="F45" s="23" t="n">
        <f aca="false">Model!Q161</f>
        <v>4805108.30181295</v>
      </c>
      <c r="G45" s="23" t="n">
        <f aca="false">Model!T161</f>
        <v>5296240.41451202</v>
      </c>
      <c r="H45" s="23" t="n">
        <f aca="false">Model!W161</f>
        <v>5890529.50003049</v>
      </c>
      <c r="I45" s="23" t="n">
        <f aca="false">Model!Z161</f>
        <v>5633431.84002306</v>
      </c>
      <c r="J45" s="23" t="n">
        <f aca="false">Model!AC161</f>
        <v>6738706.00778851</v>
      </c>
      <c r="K45" s="23" t="n">
        <f aca="false">Model!AF161</f>
        <v>7241499.76239658</v>
      </c>
      <c r="L45" s="23" t="n">
        <f aca="false">Model!AI161</f>
        <v>7911629.85023508</v>
      </c>
      <c r="M45" s="23" t="n">
        <f aca="false">Model!AL161</f>
        <v>6944218.97861152</v>
      </c>
      <c r="N45" s="23" t="n">
        <f aca="false">Model!AO161</f>
        <v>7097057.46059982</v>
      </c>
      <c r="O45" s="23" t="n">
        <f aca="false">Model!AR161</f>
        <v>6612293.47381984</v>
      </c>
      <c r="P45" s="23" t="n">
        <f aca="false">Model!AU161</f>
        <v>5468830.41095129</v>
      </c>
      <c r="Q45" s="23" t="n">
        <f aca="false">Model!AX161</f>
        <v>4318989.22314968</v>
      </c>
      <c r="R45" s="23" t="n">
        <f aca="false">Model!BA161</f>
        <v>3110566.61904264</v>
      </c>
      <c r="S45" s="23" t="n">
        <f aca="false">Model!BD161</f>
        <v>1829870.36936089</v>
      </c>
      <c r="T45" s="23" t="n">
        <f aca="false">Model!BG161</f>
        <v>630907.533771901</v>
      </c>
      <c r="U45" s="23" t="n">
        <f aca="false">Model!BJ161</f>
        <v>-1016604.21977163</v>
      </c>
      <c r="V45" s="23" t="n">
        <f aca="false">Model!BM161</f>
        <v>-2680381.74838604</v>
      </c>
      <c r="W45" s="23" t="n">
        <f aca="false">Model!BP161</f>
        <v>-4318039.61547405</v>
      </c>
      <c r="X45" s="23" t="n">
        <f aca="false">Model!BS161</f>
        <v>-5937240.84095566</v>
      </c>
      <c r="Y45" s="23" t="n">
        <f aca="false">Model!BV161</f>
        <v>-7533256.36957006</v>
      </c>
      <c r="Z45" s="23" t="n">
        <f aca="false">Model!BY161</f>
        <v>-9145862.98875675</v>
      </c>
      <c r="AA45" s="23" t="n">
        <f aca="false">Model!CB161</f>
        <v>-10775634.3435865</v>
      </c>
      <c r="AB45" s="23" t="n">
        <f aca="false">Model!CE161</f>
        <v>-12403153.3735778</v>
      </c>
      <c r="AC45" s="23" t="n">
        <f aca="false">Model!CH161</f>
        <v>-14000414.966158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-7422451.1057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4629938.45011665</v>
      </c>
      <c r="D43" s="77" t="n">
        <f aca="false">'Annual Summary'!D16</f>
        <v>3509464.55770459</v>
      </c>
      <c r="E43" s="77" t="n">
        <f aca="false">'Annual Summary'!E16</f>
        <v>-665823.476633787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-3026009.73828545</v>
      </c>
      <c r="D50" s="91" t="n">
        <f aca="false">'Annual Summary'!D43</f>
        <v>-4514373.94578545</v>
      </c>
      <c r="E50" s="91" t="n">
        <f aca="false">'Annual Summary'!E43</f>
        <v>-6291349.90843544</v>
      </c>
      <c r="F50" s="91" t="n">
        <f aca="false">'Annual Summary'!F43</f>
        <v>-7848865.39033844</v>
      </c>
      <c r="G50" s="91" t="n">
        <f aca="false">'Annual Summary'!G43</f>
        <v>-9318255.6618795</v>
      </c>
      <c r="H50" s="91" t="n">
        <f aca="false">'Annual Summary'!H43</f>
        <v>-10650172.7692514</v>
      </c>
      <c r="I50" s="91" t="n">
        <f aca="false">'Annual Summary'!I43</f>
        <v>-10961722.3239608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8916539.23831593</v>
      </c>
      <c r="D52" s="91" t="n">
        <f aca="false">'Annual Summary'!D42</f>
        <v>12426003.7960205</v>
      </c>
      <c r="E52" s="91" t="n">
        <f aca="false">'Annual Summary'!E42</f>
        <v>11760180.3193867</v>
      </c>
      <c r="F52" s="91" t="n">
        <f aca="false">'Annual Summary'!F42</f>
        <v>8479772.92411034</v>
      </c>
      <c r="G52" s="91" t="n">
        <f aca="false">'Annual Summary'!G42</f>
        <v>3381014.82092385</v>
      </c>
      <c r="H52" s="91" t="n">
        <f aca="false">'Annual Summary'!H42</f>
        <v>-1752980.60432638</v>
      </c>
      <c r="I52" s="91" t="n">
        <f aca="false">'Annual Summary'!I42</f>
        <v>-3038692.64219712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8916539.23831593</v>
      </c>
      <c r="D71" s="81" t="n">
        <f aca="false">'Annual Summary'!E42</f>
        <v>11760180.3193867</v>
      </c>
      <c r="E71" s="81" t="n">
        <f aca="false">'Annual Summary'!G42</f>
        <v>3381014.82092385</v>
      </c>
      <c r="F71" s="81" t="n">
        <f aca="false">'Annual Summary'!I42</f>
        <v>-3038692.64219712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-3026009.73828545</v>
      </c>
      <c r="D72" s="97" t="n">
        <f aca="false">'Annual Summary'!E43</f>
        <v>-6291349.90843544</v>
      </c>
      <c r="E72" s="97" t="n">
        <f aca="false">'Annual Summary'!G43</f>
        <v>-9318255.6618795</v>
      </c>
      <c r="F72" s="97" t="n">
        <f aca="false">'Annual Summary'!I43</f>
        <v>-10961722.3239608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-3026009.73828545</v>
      </c>
      <c r="D100" s="81" t="n">
        <f aca="false">'Annual Summary'!D43</f>
        <v>-4514373.94578545</v>
      </c>
      <c r="E100" s="81" t="n">
        <f aca="false">'Annual Summary'!E43</f>
        <v>-6291349.90843544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-371122.555285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-3397132.29357045</v>
      </c>
      <c r="D102" s="81" t="n">
        <f aca="false">D100+D101</f>
        <v>-4831432.11176115</v>
      </c>
      <c r="E102" s="81" t="n">
        <f aca="false">E100+E101</f>
        <v>-6542867.04319066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-3397132.29357045</v>
      </c>
      <c r="D103" s="69" t="n">
        <f aca="false">D102-D99</f>
        <v>-4831432.11176115</v>
      </c>
      <c r="E103" s="69" t="n">
        <f aca="false">E102-E99</f>
        <v>-6542867.04319066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