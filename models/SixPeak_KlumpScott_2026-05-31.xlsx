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<sst xmlns="http://schemas.openxmlformats.org/spreadsheetml/2006/main" count="2074" uniqueCount="892">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</sst>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>Klump</v>
      </c>
      <c r="J6" s="17" t="str">
        <f aca="false">IF(Projects!$G$12="Yes",Projects!$A$12,"")</f>
        <v>Scott</v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/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</v>
      </c>
      <c r="AF6" s="17"/>
      <c r="AG6" s="17"/>
      <c r="AH6" s="17"/>
      <c r="AI6" s="17" t="str">
        <f aca="false">IF(Projects!$G$22="Yes",Projects!$A$22,"")</f>
        <v/>
      </c>
      <c r="AJ6" s="17"/>
      <c r="AK6" s="17"/>
      <c r="AL6" s="17" t="str">
        <f aca="false">IF(Projects!$G$23="Yes",Projects!$A$23,"")</f>
        <v/>
      </c>
      <c r="AM6" s="17"/>
      <c r="AN6" s="17"/>
      <c r="AO6" s="17" t="str">
        <f aca="false">IF(Projects!$G$24="Yes",Projects!$A$24,"")</f>
        <v/>
      </c>
      <c r="AP6" s="17"/>
      <c r="AQ6" s="17"/>
      <c r="AR6" s="17" t="str">
        <f aca="false">IF(Projects!$G$25="Yes",Projects!$A$25,"")</f>
        <v/>
      </c>
      <c r="AS6" s="17"/>
      <c r="AT6" s="17" t="str">
        <f aca="false">IF(Projects!$G$26="Yes",Projects!$A$26,"")</f>
        <v/>
      </c>
      <c r="AU6" s="17"/>
      <c r="AV6" s="17" t="str">
        <f aca="false">IF(Projects!$G$27="Yes",Projects!$A$27,"")</f>
        <v/>
      </c>
      <c r="AW6" s="17"/>
      <c r="AX6" s="17" t="str">
        <f aca="false">IF(Projects!$G$28="Yes",Projects!$A$28,"")</f>
        <v/>
      </c>
      <c r="AY6" s="17"/>
      <c r="AZ6" s="17" t="str">
        <f aca="false">IF(Projects!$G$29="Yes",Projects!$A$29,"")</f>
        <v/>
      </c>
      <c r="BA6" s="17"/>
      <c r="BB6" s="17" t="str">
        <f aca="false">IF(Projects!$G$30="Yes",Projects!$A$30,"")</f>
        <v/>
      </c>
      <c r="BC6" s="17"/>
      <c r="BD6" s="17" t="str">
        <f aca="false">IF(Projects!$G$31="Yes",Projects!$A$31,"")</f>
        <v/>
      </c>
      <c r="BE6" s="17"/>
      <c r="BF6" s="17" t="str">
        <f aca="false">IF(Projects!$G$32="Yes",Projects!$A$32,"")</f>
        <v/>
      </c>
      <c r="BG6" s="17"/>
      <c r="BH6" s="17" t="str">
        <f aca="false">IF(Projects!$G$33="Yes",Projects!$A$33,"")</f>
        <v/>
      </c>
      <c r="BI6" s="17"/>
      <c r="BJ6" s="17" t="str">
        <f aca="false">IF(Projects!$G$34="Yes",Projects!$A$34,"")</f>
        <v/>
      </c>
      <c r="BK6" s="17"/>
      <c r="BL6" s="17" t="str">
        <f aca="false">IF(Projects!$G$35="Yes",Projects!$A$35,"")</f>
        <v/>
      </c>
      <c r="BM6" s="17"/>
      <c r="BN6" s="17" t="str">
        <f aca="false">IF(Projects!$G$36="Yes",Projects!$A$36,"")</f>
        <v/>
      </c>
      <c r="BO6" s="17"/>
      <c r="BP6" s="17" t="str">
        <f aca="false">IF(Projects!$G$37="Yes",Projects!$A$37,"")</f>
        <v/>
      </c>
      <c r="BQ6" s="17"/>
      <c r="BR6" s="17" t="str">
        <f aca="false">IF(Projects!$G$38="Yes",Projects!$A$38,"")</f>
        <v/>
      </c>
      <c r="BS6" s="17"/>
      <c r="BT6" s="17" t="str">
        <f aca="false">IF(Projects!$G$39="Yes",Projects!$A$39,"")</f>
        <v/>
      </c>
      <c r="BU6" s="17"/>
      <c r="BV6" s="17" t="str">
        <f aca="false">IF(Projects!$G$40="Yes",Projects!$A$40,"")</f>
        <v/>
      </c>
      <c r="BW6" s="17"/>
      <c r="BX6" s="17" t="str">
        <f aca="false">IF(Projects!$G$41="Yes",Projects!$A$41,"")</f>
        <v/>
      </c>
      <c r="BY6" s="17"/>
      <c r="BZ6" s="17" t="str">
        <f aca="false">IF(Projects!$G$42="Yes",Projects!$A$42,"")</f>
        <v/>
      </c>
      <c r="CA6" s="17"/>
      <c r="CB6" s="17" t="str">
        <f aca="false">IF(Projects!$G$43="Yes",Projects!$A$43,"")</f>
        <v/>
      </c>
      <c r="CC6" s="17"/>
      <c r="CD6" s="17" t="str">
        <f aca="false">IF(Projects!$G$44="Yes",Projects!$A$44,"")</f>
        <v/>
      </c>
      <c r="CE6" s="17"/>
      <c r="CF6" s="17" t="str">
        <f aca="false">IF(Projects!$G$45="Yes",Projects!$A$45,"")</f>
        <v/>
      </c>
      <c r="CG6" s="17"/>
      <c r="CH6" s="17" t="str">
        <f aca="false">IF(Projects!$G$46="Yes",Projects!$A$46,"")</f>
        <v/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501765.873158644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545758.031036579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501958.064340105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486345.862451009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468164.351236056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448383.474476467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526589.098417837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506433.484702529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487280.849234058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430629.520242693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397766.991685772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396514.311960912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395350.536897376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390408.220536102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390408.220536102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390408.220536102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390408.220536102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390408.220536102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496173.942475102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284642.498597102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374733.909031035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374733.909031035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374733.909031035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374733.909031035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447874.706379786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316830.777796608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316830.777796608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316830.777796608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464631.496804608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277726.092057458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415323.764928856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446998.655717386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408456.771809428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395076.233693135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379282.022333046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361916.347484519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417797.26595217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399794.834250286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382555.570029103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333224.71548079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303572.39086199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301739.420479242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300036.538903601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292804.746664448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292804.746664448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292804.746664448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292804.746664448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292804.746664448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372128.653767648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213480.839561248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281049.069995862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281049.069995862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281049.069995862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281049.069995862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335904.402214862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237621.931989153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237621.931989153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237621.931989153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348471.934139553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208293.559790633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196306.31287205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256105.78146805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320473.53105705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386842.89642705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452024.70028105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512398.79541705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564258.84065205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604166.65385505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629335.29630705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637935.54018905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629335.29630705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604166.65385505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564258.84065205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512398.79541705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452024.70028105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386842.89642705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320473.53105705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256105.78146805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138656.4263911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154657.42123235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201769.66876435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252480.97812735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304769.23491735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356121.88653535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403686.84624735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444544.12049235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475984.98139335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495813.77487735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502589.36717135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495813.77487735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475984.98139335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444544.12049235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403686.84624735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356121.88653535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304769.23491735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252480.97812735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201769.66876435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109238.6945137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5864706.6352963</v>
      </c>
      <c r="L57" s="34" t="n">
        <f aca="false">SUM(L13:L56)</f>
        <v>6506821.83336422</v>
      </c>
      <c r="M57" s="34" t="n">
        <f aca="false">SUM(M13:M56)</f>
        <v>6323436.03930811</v>
      </c>
      <c r="N57" s="34" t="n">
        <f aca="false">SUM(N13:N56)</f>
        <v>6674005.04650087</v>
      </c>
      <c r="O57" s="34" t="n">
        <f aca="false">SUM(O13:O56)</f>
        <v>6985064.63002641</v>
      </c>
      <c r="P57" s="34" t="n">
        <f aca="false">SUM(P13:P56)</f>
        <v>7245018.22978386</v>
      </c>
      <c r="Q57" s="34" t="n">
        <f aca="false">SUM(Q13:Q56)</f>
        <v>7997141.05781401</v>
      </c>
      <c r="R57" s="34" t="n">
        <f aca="false">SUM(R13:R56)</f>
        <v>8224789.47529755</v>
      </c>
      <c r="S57" s="34" t="n">
        <f aca="false">SUM(S13:S56)</f>
        <v>8369393.89217248</v>
      </c>
      <c r="T57" s="34" t="n">
        <f aca="false">SUM(T13:T56)</f>
        <v>7866189.62904794</v>
      </c>
      <c r="U57" s="34" t="n">
        <f aca="false">SUM(U13:U56)</f>
        <v>7508260.0496985</v>
      </c>
      <c r="V57" s="34" t="n">
        <f aca="false">SUM(V13:V56)</f>
        <v>7541956.91805646</v>
      </c>
      <c r="W57" s="34" t="n">
        <f aca="false">SUM(W13:W56)</f>
        <v>7447428.2192344</v>
      </c>
      <c r="X57" s="34" t="n">
        <f aca="false">SUM(X13:X56)</f>
        <v>7175955.65693545</v>
      </c>
      <c r="Y57" s="34" t="n">
        <f aca="false">SUM(Y13:Y56)</f>
        <v>6880520.00670545</v>
      </c>
      <c r="Z57" s="34" t="n">
        <f aca="false">SUM(Z13:Z56)</f>
        <v>6505501.24371945</v>
      </c>
      <c r="AA57" s="34" t="n">
        <f aca="false">SUM(AA13:AA56)</f>
        <v>6073831.21910045</v>
      </c>
      <c r="AB57" s="34" t="n">
        <f aca="false">SUM(AB13:AB56)</f>
        <v>5607878.09822645</v>
      </c>
      <c r="AC57" s="34" t="n">
        <f aca="false">SUM(AC13:AC56)</f>
        <v>4942716.20886125</v>
      </c>
      <c r="AD57" s="34" t="n">
        <f aca="false">SUM(AD13:AD56)</f>
        <v>4191648.30843365</v>
      </c>
      <c r="AE57" s="34" t="n">
        <f aca="false">SUM(AE13:AE56)</f>
        <v>3940232.5811411</v>
      </c>
      <c r="AF57" s="34" t="n">
        <f aca="false">SUM(AF13:AF56)</f>
        <v>3827138.6083041</v>
      </c>
      <c r="AG57" s="34" t="n">
        <f aca="false">SUM(AG13:AG56)</f>
        <v>3707854.3016391</v>
      </c>
      <c r="AH57" s="34" t="n">
        <f aca="false">SUM(AH13:AH56)</f>
        <v>2855162.6339251</v>
      </c>
      <c r="AI57" s="34" t="n">
        <f aca="false">SUM(AI13:AI56)</f>
        <v>2738010.36288435</v>
      </c>
      <c r="AJ57" s="34" t="n">
        <f aca="false">SUM(AJ13:AJ56)</f>
        <v>2961685.49998524</v>
      </c>
      <c r="AK57" s="34" t="n">
        <f aca="false">SUM(AK13:AK56)</f>
        <v>2940263.62003724</v>
      </c>
      <c r="AL57" s="34" t="n">
        <f aca="false">SUM(AL13:AL56)</f>
        <v>2903871.76042924</v>
      </c>
      <c r="AM57" s="34" t="n">
        <f aca="false">SUM(AM13:AM56)</f>
        <v>2594668.68349784</v>
      </c>
      <c r="AN57" s="34" t="n">
        <f aca="false">SUM(AN13:AN56)</f>
        <v>2857832.82197891</v>
      </c>
      <c r="AO57" s="34" t="n">
        <f aca="false">SUM(AO13:AO56)</f>
        <v>2717434.98835224</v>
      </c>
      <c r="AP57" s="34" t="n">
        <f aca="false">SUM(AP13:AP56)</f>
        <v>2661368.68946424</v>
      </c>
      <c r="AQ57" s="34" t="n">
        <f aca="false">SUM(AQ13:AQ56)</f>
        <v>2590847.27570024</v>
      </c>
      <c r="AR57" s="34" t="n">
        <f aca="false">SUM(AR13:AR56)</f>
        <v>2506479.90028024</v>
      </c>
      <c r="AS57" s="34" t="n">
        <f aca="false">SUM(AS13:AS56)</f>
        <v>2409088.63497424</v>
      </c>
      <c r="AT57" s="34" t="n">
        <f aca="false">SUM(AT13:AT56)</f>
        <v>2027193.26653074</v>
      </c>
      <c r="AU57" s="34" t="n">
        <f aca="false">SUM(AU13:AU56)</f>
        <v>1724513.72534745</v>
      </c>
      <c r="AV57" s="34" t="n">
        <f aca="false">SUM(AV13:AV56)</f>
        <v>1687294.55654745</v>
      </c>
      <c r="AW57" s="34" t="n">
        <f aca="false">SUM(AW13:AW56)</f>
        <v>1632789.15157145</v>
      </c>
      <c r="AX57" s="34" t="n">
        <f aca="false">SUM(AX13:AX56)</f>
        <v>1562651.69569945</v>
      </c>
      <c r="AY57" s="34" t="n">
        <f aca="false">SUM(AY13:AY56)</f>
        <v>1478825.85663545</v>
      </c>
      <c r="AZ57" s="34" t="n">
        <f aca="false">SUM(AZ13:AZ56)</f>
        <v>1383586.13913945</v>
      </c>
      <c r="BA57" s="34" t="n">
        <f aca="false">SUM(BA13:BA56)</f>
        <v>1279496.53039545</v>
      </c>
      <c r="BB57" s="34" t="n">
        <f aca="false">SUM(BB13:BB56)</f>
        <v>1169079.66295545</v>
      </c>
      <c r="BC57" s="34" t="n">
        <f aca="false">SUM(BC13:BC56)</f>
        <v>1054982.23326745</v>
      </c>
      <c r="BD57" s="34" t="n">
        <f aca="false">SUM(BD13:BD56)</f>
        <v>939685.519251453</v>
      </c>
      <c r="BE57" s="34" t="n">
        <f aca="false">SUM(BE13:BE56)</f>
        <v>825464.025667453</v>
      </c>
      <c r="BF57" s="34" t="n">
        <f aca="false">SUM(BF13:BF56)</f>
        <v>714385.484115453</v>
      </c>
      <c r="BG57" s="34" t="n">
        <f aca="false">SUM(BG13:BG56)</f>
        <v>608145.434507453</v>
      </c>
      <c r="BH57" s="34" t="n">
        <f aca="false">SUM(BH13:BH56)</f>
        <v>259255.013907853</v>
      </c>
      <c r="BI57" s="34" t="n">
        <f aca="false">SUM(BI13:BI56)</f>
        <v>0</v>
      </c>
      <c r="BJ57" s="34" t="n">
        <f aca="false">SUM(BJ13:BJ56)</f>
        <v>0</v>
      </c>
      <c r="BK57" s="34" t="n">
        <f aca="false">SUM(BK13:BK56)</f>
        <v>0</v>
      </c>
      <c r="BL57" s="34" t="n">
        <f aca="false">SUM(BL13:BL56)</f>
        <v>0</v>
      </c>
      <c r="BM57" s="34" t="n">
        <f aca="false">SUM(BM13:BM56)</f>
        <v>0</v>
      </c>
      <c r="BN57" s="34" t="n">
        <f aca="false">SUM(BN13:BN56)</f>
        <v>0</v>
      </c>
      <c r="BO57" s="34" t="n">
        <f aca="false">SUM(BO13:BO56)</f>
        <v>0</v>
      </c>
      <c r="BP57" s="34" t="n">
        <f aca="false">SUM(BP13:BP56)</f>
        <v>0</v>
      </c>
      <c r="BQ57" s="34" t="n">
        <f aca="false">SUM(BQ13:BQ56)</f>
        <v>0</v>
      </c>
      <c r="BR57" s="34" t="n">
        <f aca="false">SUM(BR13:BR56)</f>
        <v>0</v>
      </c>
      <c r="BS57" s="34" t="n">
        <f aca="false">SUM(BS13:BS56)</f>
        <v>0</v>
      </c>
      <c r="BT57" s="34" t="n">
        <f aca="false">SUM(BT13:BT56)</f>
        <v>0</v>
      </c>
      <c r="BU57" s="34" t="n">
        <f aca="false">SUM(BU13:BU56)</f>
        <v>0</v>
      </c>
      <c r="BV57" s="34" t="n">
        <f aca="false">SUM(BV13:BV56)</f>
        <v>0</v>
      </c>
      <c r="BW57" s="34" t="n">
        <f aca="false">SUM(BW13:BW56)</f>
        <v>0</v>
      </c>
      <c r="BX57" s="34" t="n">
        <f aca="false">SUM(BX13:BX56)</f>
        <v>0</v>
      </c>
      <c r="BY57" s="34" t="n">
        <f aca="false">SUM(BY13:BY56)</f>
        <v>0</v>
      </c>
      <c r="BZ57" s="34" t="n">
        <f aca="false">SUM(BZ13:BZ56)</f>
        <v>0</v>
      </c>
      <c r="CA57" s="34" t="n">
        <f aca="false">SUM(CA13:CA56)</f>
        <v>0</v>
      </c>
      <c r="CB57" s="34" t="n">
        <f aca="false">SUM(CB13:CB56)</f>
        <v>0</v>
      </c>
      <c r="CC57" s="34" t="n">
        <f aca="false">SUM(CC13:CC56)</f>
        <v>0</v>
      </c>
      <c r="CD57" s="34" t="n">
        <f aca="false">SUM(CD13:CD56)</f>
        <v>0</v>
      </c>
      <c r="CE57" s="34" t="n">
        <f aca="false">SUM(CE13:CE56)</f>
        <v>0</v>
      </c>
      <c r="CF57" s="34" t="n">
        <f aca="false">SUM(CF13:CF56)</f>
        <v>0</v>
      </c>
      <c r="CG57" s="34" t="n">
        <f aca="false">SUM(CG13:CG56)</f>
        <v>0</v>
      </c>
      <c r="CH57" s="34" t="n">
        <f aca="false">SUM(CH13:CH56)</f>
        <v>0</v>
      </c>
      <c r="CI57" s="34" t="n">
        <f aca="false">SUM(CI13:CI56)</f>
        <v>0</v>
      </c>
      <c r="CJ57" s="34" t="n">
        <f aca="false">SUM(CJ13:CJ56)</f>
        <v>0</v>
      </c>
      <c r="CK57" s="34" t="n">
        <f aca="false">SUM(CK13:CK56)</f>
        <v>0</v>
      </c>
      <c r="CL57" s="34" t="n">
        <f aca="false">SUM(CL13:CL56)</f>
        <v>0</v>
      </c>
      <c r="CM57" s="34" t="n">
        <f aca="false">SUM(CM13:CM56)</f>
        <v>0</v>
      </c>
      <c r="CN57" s="34" t="n">
        <f aca="false">SUM(CN13:CN56)</f>
        <v>0</v>
      </c>
      <c r="CO57" s="34" t="n">
        <f aca="false">SUM(CO13:CO56)</f>
        <v>0</v>
      </c>
      <c r="CP57" s="34" t="n">
        <f aca="false">SUM(CP13:CP56)</f>
        <v>0</v>
      </c>
      <c r="CQ57" s="34" t="n">
        <f aca="false">SUM(CQ13:CQ56)</f>
        <v>0</v>
      </c>
      <c r="CR57" s="34" t="n">
        <f aca="false">SUM(CR13:CR56)</f>
        <v>0</v>
      </c>
      <c r="CS57" s="34" t="n">
        <f aca="false">SUM(CS13:CS56)</f>
        <v>0</v>
      </c>
      <c r="CT57" s="34" t="n">
        <f aca="false">SUM(CT13:CT56)</f>
        <v>0</v>
      </c>
      <c r="CU57" s="34" t="n">
        <f aca="false">SUM(CU13:CU56)</f>
        <v>0</v>
      </c>
      <c r="CV57" s="34" t="n">
        <f aca="false">SUM(CV13:CV56)</f>
        <v>0</v>
      </c>
      <c r="CW57" s="34" t="n">
        <f aca="false">SUM(CW13:CW56)</f>
        <v>0</v>
      </c>
      <c r="CX57" s="34" t="n">
        <f aca="false">SUM(CX13:CX56)</f>
        <v>0</v>
      </c>
      <c r="CY57" s="34" t="n">
        <f aca="false">SUM(CY13:CY56)</f>
        <v>0</v>
      </c>
      <c r="CZ57" s="34" t="n">
        <f aca="false">SUM(CZ13:CZ56)</f>
        <v>0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6781796.2733838</v>
      </c>
      <c r="L58" s="34" t="n">
        <f aca="false">L10+L11+L57</f>
        <v>7499578.52011819</v>
      </c>
      <c r="M58" s="34" t="n">
        <f aca="false">M10+M11+M57</f>
        <v>7233850.87545764</v>
      </c>
      <c r="N58" s="34" t="n">
        <f aca="false">N10+N11+N57</f>
        <v>7555427.14264502</v>
      </c>
      <c r="O58" s="34" t="n">
        <f aca="false">O10+O11+O57</f>
        <v>7832511.00359551</v>
      </c>
      <c r="P58" s="34" t="n">
        <f aca="false">P10+P11+P57</f>
        <v>8055318.05174484</v>
      </c>
      <c r="Q58" s="34" t="n">
        <f aca="false">Q10+Q11+Q57</f>
        <v>8941527.42218402</v>
      </c>
      <c r="R58" s="34" t="n">
        <f aca="false">R10+R11+R57</f>
        <v>9131017.79425037</v>
      </c>
      <c r="S58" s="34" t="n">
        <f aca="false">S10+S11+S57</f>
        <v>9239230.31143564</v>
      </c>
      <c r="T58" s="34" t="n">
        <f aca="false">T10+T11+T57</f>
        <v>8630043.86477142</v>
      </c>
      <c r="U58" s="34" t="n">
        <f aca="false">U10+U11+U57</f>
        <v>8209599.43224626</v>
      </c>
      <c r="V58" s="34" t="n">
        <f aca="false">V10+V11+V57</f>
        <v>8240210.65049661</v>
      </c>
      <c r="W58" s="34" t="n">
        <f aca="false">W10+W11+W57</f>
        <v>8142815.29503538</v>
      </c>
      <c r="X58" s="34" t="n">
        <f aca="false">X10+X11+X57</f>
        <v>7859168.624136</v>
      </c>
      <c r="Y58" s="34" t="n">
        <f aca="false">Y10+Y11+Y57</f>
        <v>7563732.973906</v>
      </c>
      <c r="Z58" s="34" t="n">
        <f aca="false">Z10+Z11+Z57</f>
        <v>7188714.21092</v>
      </c>
      <c r="AA58" s="34" t="n">
        <f aca="false">AA10+AA11+AA57</f>
        <v>6757044.186301</v>
      </c>
      <c r="AB58" s="34" t="n">
        <f aca="false">AB10+AB11+AB57</f>
        <v>6291091.065427</v>
      </c>
      <c r="AC58" s="34" t="n">
        <f aca="false">AC10+AC11+AC57</f>
        <v>5811018.805104</v>
      </c>
      <c r="AD58" s="34" t="n">
        <f aca="false">AD10+AD11+AD57</f>
        <v>4689771.646592</v>
      </c>
      <c r="AE58" s="34" t="n">
        <f aca="false">AE10+AE11+AE57</f>
        <v>4596015.560168</v>
      </c>
      <c r="AF58" s="34" t="n">
        <f aca="false">AF10+AF11+AF57</f>
        <v>4482921.587331</v>
      </c>
      <c r="AG58" s="34" t="n">
        <f aca="false">AG10+AG11+AG57</f>
        <v>4363637.280666</v>
      </c>
      <c r="AH58" s="34" t="n">
        <f aca="false">AH10+AH11+AH57</f>
        <v>3510945.612952</v>
      </c>
      <c r="AI58" s="34" t="n">
        <f aca="false">AI10+AI11+AI57</f>
        <v>3521789.471479</v>
      </c>
      <c r="AJ58" s="34" t="n">
        <f aca="false">AJ10+AJ11+AJ57</f>
        <v>3516138.209771</v>
      </c>
      <c r="AK58" s="34" t="n">
        <f aca="false">AK10+AK11+AK57</f>
        <v>3494716.329823</v>
      </c>
      <c r="AL58" s="34" t="n">
        <f aca="false">AL10+AL11+AL57</f>
        <v>3458324.470215</v>
      </c>
      <c r="AM58" s="34" t="n">
        <f aca="false">AM10+AM11+AM57</f>
        <v>3407772.114442</v>
      </c>
      <c r="AN58" s="34" t="n">
        <f aca="false">AN10+AN11+AN57</f>
        <v>3343852.473827</v>
      </c>
      <c r="AO58" s="34" t="n">
        <f aca="false">AO10+AO11+AO57</f>
        <v>3047668.833278</v>
      </c>
      <c r="AP58" s="34" t="n">
        <f aca="false">AP10+AP11+AP57</f>
        <v>2991602.53439</v>
      </c>
      <c r="AQ58" s="34" t="n">
        <f aca="false">AQ10+AQ11+AQ57</f>
        <v>2921081.120626</v>
      </c>
      <c r="AR58" s="34" t="n">
        <f aca="false">AR10+AR11+AR57</f>
        <v>2836713.745206</v>
      </c>
      <c r="AS58" s="34" t="n">
        <f aca="false">AS10+AS11+AS57</f>
        <v>2739322.4799</v>
      </c>
      <c r="AT58" s="34" t="n">
        <f aca="false">AT10+AT11+AT57</f>
        <v>2629912.69681</v>
      </c>
      <c r="AU58" s="34" t="n">
        <f aca="false">AU10+AU11+AU57</f>
        <v>1882173.366216</v>
      </c>
      <c r="AV58" s="34" t="n">
        <f aca="false">AV10+AV11+AV57</f>
        <v>1844954.197416</v>
      </c>
      <c r="AW58" s="34" t="n">
        <f aca="false">AW10+AW11+AW57</f>
        <v>1790448.79244</v>
      </c>
      <c r="AX58" s="34" t="n">
        <f aca="false">AX10+AX11+AX57</f>
        <v>1720311.336568</v>
      </c>
      <c r="AY58" s="34" t="n">
        <f aca="false">AY10+AY11+AY57</f>
        <v>1636485.497504</v>
      </c>
      <c r="AZ58" s="34" t="n">
        <f aca="false">AZ10+AZ11+AZ57</f>
        <v>1541245.780008</v>
      </c>
      <c r="BA58" s="34" t="n">
        <f aca="false">BA10+BA11+BA57</f>
        <v>1437156.171264</v>
      </c>
      <c r="BB58" s="34" t="n">
        <f aca="false">BB10+BB11+BB57</f>
        <v>1326739.303824</v>
      </c>
      <c r="BC58" s="34" t="n">
        <f aca="false">BC10+BC11+BC57</f>
        <v>1212641.874136</v>
      </c>
      <c r="BD58" s="34" t="n">
        <f aca="false">BD10+BD11+BD57</f>
        <v>1097345.16012</v>
      </c>
      <c r="BE58" s="34" t="n">
        <f aca="false">BE10+BE11+BE57</f>
        <v>983123.666536</v>
      </c>
      <c r="BF58" s="34" t="n">
        <f aca="false">BF10+BF11+BF57</f>
        <v>872045.124984</v>
      </c>
      <c r="BG58" s="34" t="n">
        <f aca="false">BG10+BG11+BG57</f>
        <v>765805.075376</v>
      </c>
      <c r="BH58" s="34" t="n">
        <f aca="false">BH10+BH11+BH57</f>
        <v>665850.929832</v>
      </c>
      <c r="BI58" s="34" t="n">
        <f aca="false">BI10+BI11+BI57</f>
        <v>0</v>
      </c>
      <c r="BJ58" s="34" t="n">
        <f aca="false">BJ10+BJ11+BJ57</f>
        <v>0</v>
      </c>
      <c r="BK58" s="34" t="n">
        <f aca="false">BK10+BK11+BK57</f>
        <v>0</v>
      </c>
      <c r="BL58" s="34" t="n">
        <f aca="false">BL10+BL11+BL57</f>
        <v>0</v>
      </c>
      <c r="BM58" s="34" t="n">
        <f aca="false">BM10+BM11+BM57</f>
        <v>0</v>
      </c>
      <c r="BN58" s="34" t="n">
        <f aca="false">BN10+BN11+BN57</f>
        <v>0</v>
      </c>
      <c r="BO58" s="34" t="n">
        <f aca="false">BO10+BO11+BO57</f>
        <v>0</v>
      </c>
      <c r="BP58" s="34" t="n">
        <f aca="false">BP10+BP11+BP57</f>
        <v>0</v>
      </c>
      <c r="BQ58" s="34" t="n">
        <f aca="false">BQ10+BQ11+BQ57</f>
        <v>0</v>
      </c>
      <c r="BR58" s="34" t="n">
        <f aca="false">BR10+BR11+BR57</f>
        <v>0</v>
      </c>
      <c r="BS58" s="34" t="n">
        <f aca="false">BS10+BS11+BS57</f>
        <v>0</v>
      </c>
      <c r="BT58" s="34" t="n">
        <f aca="false">BT10+BT11+BT57</f>
        <v>0</v>
      </c>
      <c r="BU58" s="34" t="n">
        <f aca="false">BU10+BU11+BU57</f>
        <v>0</v>
      </c>
      <c r="BV58" s="34" t="n">
        <f aca="false">BV10+BV11+BV57</f>
        <v>0</v>
      </c>
      <c r="BW58" s="34" t="n">
        <f aca="false">BW10+BW11+BW57</f>
        <v>0</v>
      </c>
      <c r="BX58" s="34" t="n">
        <f aca="false">BX10+BX11+BX57</f>
        <v>0</v>
      </c>
      <c r="BY58" s="34" t="n">
        <f aca="false">BY10+BY11+BY57</f>
        <v>0</v>
      </c>
      <c r="BZ58" s="34" t="n">
        <f aca="false">BZ10+BZ11+BZ57</f>
        <v>0</v>
      </c>
      <c r="CA58" s="34" t="n">
        <f aca="false">CA10+CA11+CA57</f>
        <v>0</v>
      </c>
      <c r="CB58" s="34" t="n">
        <f aca="false">CB10+CB11+CB57</f>
        <v>0</v>
      </c>
      <c r="CC58" s="34" t="n">
        <f aca="false">CC10+CC11+CC57</f>
        <v>0</v>
      </c>
      <c r="CD58" s="34" t="n">
        <f aca="false">CD10+CD11+CD57</f>
        <v>0</v>
      </c>
      <c r="CE58" s="34" t="n">
        <f aca="false">CE10+CE11+CE57</f>
        <v>0</v>
      </c>
      <c r="CF58" s="34" t="n">
        <f aca="false">CF10+CF11+CF57</f>
        <v>0</v>
      </c>
      <c r="CG58" s="34" t="n">
        <f aca="false">CG10+CG11+CG57</f>
        <v>0</v>
      </c>
      <c r="CH58" s="34" t="n">
        <f aca="false">CH10+CH11+CH57</f>
        <v>0</v>
      </c>
      <c r="CI58" s="34" t="n">
        <f aca="false">CI10+CI11+CI57</f>
        <v>0</v>
      </c>
      <c r="CJ58" s="34" t="n">
        <f aca="false">CJ10+CJ11+CJ57</f>
        <v>0</v>
      </c>
      <c r="CK58" s="34" t="n">
        <f aca="false">CK10+CK11+CK57</f>
        <v>0</v>
      </c>
      <c r="CL58" s="34" t="n">
        <f aca="false">CL10+CL11+CL57</f>
        <v>0</v>
      </c>
      <c r="CM58" s="34" t="n">
        <f aca="false">CM10+CM11+CM57</f>
        <v>0</v>
      </c>
      <c r="CN58" s="34" t="n">
        <f aca="false">CN10+CN11+CN57</f>
        <v>0</v>
      </c>
      <c r="CO58" s="34" t="n">
        <f aca="false">CO10+CO11+CO57</f>
        <v>0</v>
      </c>
      <c r="CP58" s="34" t="n">
        <f aca="false">CP10+CP11+CP57</f>
        <v>0</v>
      </c>
      <c r="CQ58" s="34" t="n">
        <f aca="false">CQ10+CQ11+CQ57</f>
        <v>0</v>
      </c>
      <c r="CR58" s="34" t="n">
        <f aca="false">CR10+CR11+CR57</f>
        <v>0</v>
      </c>
      <c r="CS58" s="34" t="n">
        <f aca="false">CS10+CS11+CS57</f>
        <v>0</v>
      </c>
      <c r="CT58" s="34" t="n">
        <f aca="false">CT10+CT11+CT57</f>
        <v>0</v>
      </c>
      <c r="CU58" s="34" t="n">
        <f aca="false">CU10+CU11+CU57</f>
        <v>0</v>
      </c>
      <c r="CV58" s="34" t="n">
        <f aca="false">CV10+CV11+CV57</f>
        <v>0</v>
      </c>
      <c r="CW58" s="34" t="n">
        <f aca="false">CW10+CW11+CW57</f>
        <v>0</v>
      </c>
      <c r="CX58" s="34" t="n">
        <f aca="false">CX10+CX11+CX57</f>
        <v>0</v>
      </c>
      <c r="CY58" s="34" t="n">
        <f aca="false">CY10+CY11+CY57</f>
        <v>0</v>
      </c>
      <c r="CZ58" s="34" t="n">
        <f aca="false">CZ10+CZ11+CZ57</f>
        <v>0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-196306.31287205</v>
      </c>
      <c r="L69" s="30" t="n">
        <f aca="false">-L22</f>
        <v>-256105.78146805</v>
      </c>
      <c r="M69" s="30" t="n">
        <f aca="false">-M22</f>
        <v>-320473.53105705</v>
      </c>
      <c r="N69" s="30" t="n">
        <f aca="false">-N22</f>
        <v>-386842.89642705</v>
      </c>
      <c r="O69" s="30" t="n">
        <f aca="false">-O22</f>
        <v>-452024.70028105</v>
      </c>
      <c r="P69" s="30" t="n">
        <f aca="false">-P22</f>
        <v>-512398.79541705</v>
      </c>
      <c r="Q69" s="30" t="n">
        <f aca="false">-Q22</f>
        <v>-564258.84065205</v>
      </c>
      <c r="R69" s="30" t="n">
        <f aca="false">-R22</f>
        <v>-604166.65385505</v>
      </c>
      <c r="S69" s="30" t="n">
        <f aca="false">-S22</f>
        <v>-629335.29630705</v>
      </c>
      <c r="T69" s="30" t="n">
        <f aca="false">-T22</f>
        <v>-637935.54018905</v>
      </c>
      <c r="U69" s="30" t="n">
        <f aca="false">-U22</f>
        <v>-629335.29630705</v>
      </c>
      <c r="V69" s="30" t="n">
        <f aca="false">-V22</f>
        <v>-604166.65385505</v>
      </c>
      <c r="W69" s="30" t="n">
        <f aca="false">-W22</f>
        <v>-564258.84065205</v>
      </c>
      <c r="X69" s="30" t="n">
        <f aca="false">-X22</f>
        <v>-512398.79541705</v>
      </c>
      <c r="Y69" s="30" t="n">
        <f aca="false">-Y22</f>
        <v>-452024.70028105</v>
      </c>
      <c r="Z69" s="30" t="n">
        <f aca="false">-Z22</f>
        <v>-386842.89642705</v>
      </c>
      <c r="AA69" s="30" t="n">
        <f aca="false">-AA22</f>
        <v>-320473.53105705</v>
      </c>
      <c r="AB69" s="30" t="n">
        <f aca="false">-AB22</f>
        <v>-256105.78146805</v>
      </c>
      <c r="AC69" s="30" t="n">
        <f aca="false">-AC22</f>
        <v>-138656.4263911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-154657.42123235</v>
      </c>
      <c r="L70" s="30" t="n">
        <f aca="false">-L23</f>
        <v>-201769.66876435</v>
      </c>
      <c r="M70" s="30" t="n">
        <f aca="false">-M23</f>
        <v>-252480.97812735</v>
      </c>
      <c r="N70" s="30" t="n">
        <f aca="false">-N23</f>
        <v>-304769.23491735</v>
      </c>
      <c r="O70" s="30" t="n">
        <f aca="false">-O23</f>
        <v>-356121.88653535</v>
      </c>
      <c r="P70" s="30" t="n">
        <f aca="false">-P23</f>
        <v>-403686.84624735</v>
      </c>
      <c r="Q70" s="30" t="n">
        <f aca="false">-Q23</f>
        <v>-444544.12049235</v>
      </c>
      <c r="R70" s="30" t="n">
        <f aca="false">-R23</f>
        <v>-475984.98139335</v>
      </c>
      <c r="S70" s="30" t="n">
        <f aca="false">-S23</f>
        <v>-495813.77487735</v>
      </c>
      <c r="T70" s="30" t="n">
        <f aca="false">-T23</f>
        <v>-502589.36717135</v>
      </c>
      <c r="U70" s="30" t="n">
        <f aca="false">-U23</f>
        <v>-495813.77487735</v>
      </c>
      <c r="V70" s="30" t="n">
        <f aca="false">-V23</f>
        <v>-475984.98139335</v>
      </c>
      <c r="W70" s="30" t="n">
        <f aca="false">-W23</f>
        <v>-444544.12049235</v>
      </c>
      <c r="X70" s="30" t="n">
        <f aca="false">-X23</f>
        <v>-403686.84624735</v>
      </c>
      <c r="Y70" s="30" t="n">
        <f aca="false">-Y23</f>
        <v>-356121.88653535</v>
      </c>
      <c r="Z70" s="30" t="n">
        <f aca="false">-Z23</f>
        <v>-304769.23491735</v>
      </c>
      <c r="AA70" s="30" t="n">
        <f aca="false">-AA23</f>
        <v>-252480.97812735</v>
      </c>
      <c r="AB70" s="30" t="n">
        <f aca="false">-AB23</f>
        <v>-201769.66876435</v>
      </c>
      <c r="AC70" s="30" t="n">
        <f aca="false">-AC23</f>
        <v>-109238.6945137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-0</v>
      </c>
      <c r="AC76" s="30" t="n">
        <f aca="false">-AC29</f>
        <v>-0</v>
      </c>
      <c r="AD76" s="30" t="n">
        <f aca="false">-AD29</f>
        <v>-0</v>
      </c>
      <c r="AE76" s="30" t="n">
        <f aca="false">-AE29</f>
        <v>-0</v>
      </c>
      <c r="AF76" s="30" t="n">
        <f aca="false">-AF29</f>
        <v>-0</v>
      </c>
      <c r="AG76" s="30" t="n">
        <f aca="false">-AG29</f>
        <v>-0</v>
      </c>
      <c r="AH76" s="30" t="n">
        <f aca="false">-AH29</f>
        <v>-0</v>
      </c>
      <c r="AI76" s="30" t="n">
        <f aca="false">-AI29</f>
        <v>-0</v>
      </c>
      <c r="AJ76" s="30" t="n">
        <f aca="false">-AJ29</f>
        <v>-0</v>
      </c>
      <c r="AK76" s="30" t="n">
        <f aca="false">-AK29</f>
        <v>-0</v>
      </c>
      <c r="AL76" s="30" t="n">
        <f aca="false">-AL29</f>
        <v>-0</v>
      </c>
      <c r="AM76" s="30" t="n">
        <f aca="false">-AM29</f>
        <v>-0</v>
      </c>
      <c r="AN76" s="30" t="n">
        <f aca="false">-AN29</f>
        <v>-0</v>
      </c>
      <c r="AO76" s="30" t="n">
        <f aca="false">-AO29</f>
        <v>-0</v>
      </c>
      <c r="AP76" s="30" t="n">
        <f aca="false">-AP29</f>
        <v>-0</v>
      </c>
      <c r="AQ76" s="30" t="n">
        <f aca="false">-AQ29</f>
        <v>-0</v>
      </c>
      <c r="AR76" s="30" t="n">
        <f aca="false">-AR29</f>
        <v>-0</v>
      </c>
      <c r="AS76" s="30" t="n">
        <f aca="false">-AS29</f>
        <v>-0</v>
      </c>
      <c r="AT76" s="30" t="n">
        <f aca="false">-AT29</f>
        <v>-0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-0</v>
      </c>
      <c r="AF77" s="30" t="n">
        <f aca="false">-AF30</f>
        <v>-0</v>
      </c>
      <c r="AG77" s="30" t="n">
        <f aca="false">-AG30</f>
        <v>-0</v>
      </c>
      <c r="AH77" s="30" t="n">
        <f aca="false">-AH30</f>
        <v>-0</v>
      </c>
      <c r="AI77" s="30" t="n">
        <f aca="false">-AI30</f>
        <v>-0</v>
      </c>
      <c r="AJ77" s="30" t="n">
        <f aca="false">-AJ30</f>
        <v>-0</v>
      </c>
      <c r="AK77" s="30" t="n">
        <f aca="false">-AK30</f>
        <v>-0</v>
      </c>
      <c r="AL77" s="30" t="n">
        <f aca="false">-AL30</f>
        <v>-0</v>
      </c>
      <c r="AM77" s="30" t="n">
        <f aca="false">-AM30</f>
        <v>-0</v>
      </c>
      <c r="AN77" s="30" t="n">
        <f aca="false">-AN30</f>
        <v>-0</v>
      </c>
      <c r="AO77" s="30" t="n">
        <f aca="false">-AO30</f>
        <v>-0</v>
      </c>
      <c r="AP77" s="30" t="n">
        <f aca="false">-AP30</f>
        <v>-0</v>
      </c>
      <c r="AQ77" s="30" t="n">
        <f aca="false">-AQ30</f>
        <v>-0</v>
      </c>
      <c r="AR77" s="30" t="n">
        <f aca="false">-AR30</f>
        <v>-0</v>
      </c>
      <c r="AS77" s="30" t="n">
        <f aca="false">-AS30</f>
        <v>-0</v>
      </c>
      <c r="AT77" s="30" t="n">
        <f aca="false">-AT30</f>
        <v>-0</v>
      </c>
      <c r="AU77" s="30" t="n">
        <f aca="false">-AU30</f>
        <v>-0</v>
      </c>
      <c r="AV77" s="30" t="n">
        <f aca="false">-AV30</f>
        <v>-0</v>
      </c>
      <c r="AW77" s="30" t="n">
        <f aca="false">-AW30</f>
        <v>-0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-0</v>
      </c>
      <c r="AJ78" s="30" t="n">
        <f aca="false">-AJ31</f>
        <v>-0</v>
      </c>
      <c r="AK78" s="30" t="n">
        <f aca="false">-AK31</f>
        <v>-0</v>
      </c>
      <c r="AL78" s="30" t="n">
        <f aca="false">-AL31</f>
        <v>-0</v>
      </c>
      <c r="AM78" s="30" t="n">
        <f aca="false">-AM31</f>
        <v>-0</v>
      </c>
      <c r="AN78" s="30" t="n">
        <f aca="false">-AN31</f>
        <v>-0</v>
      </c>
      <c r="AO78" s="30" t="n">
        <f aca="false">-AO31</f>
        <v>-0</v>
      </c>
      <c r="AP78" s="30" t="n">
        <f aca="false">-AP31</f>
        <v>-0</v>
      </c>
      <c r="AQ78" s="30" t="n">
        <f aca="false">-AQ31</f>
        <v>-0</v>
      </c>
      <c r="AR78" s="30" t="n">
        <f aca="false">-AR31</f>
        <v>-0</v>
      </c>
      <c r="AS78" s="30" t="n">
        <f aca="false">-AS31</f>
        <v>-0</v>
      </c>
      <c r="AT78" s="30" t="n">
        <f aca="false">-AT31</f>
        <v>-0</v>
      </c>
      <c r="AU78" s="30" t="n">
        <f aca="false">-AU31</f>
        <v>-0</v>
      </c>
      <c r="AV78" s="30" t="n">
        <f aca="false">-AV31</f>
        <v>-0</v>
      </c>
      <c r="AW78" s="30" t="n">
        <f aca="false">-AW31</f>
        <v>-0</v>
      </c>
      <c r="AX78" s="30" t="n">
        <f aca="false">-AX31</f>
        <v>-0</v>
      </c>
      <c r="AY78" s="30" t="n">
        <f aca="false">-AY31</f>
        <v>-0</v>
      </c>
      <c r="AZ78" s="30" t="n">
        <f aca="false">-AZ31</f>
        <v>-0</v>
      </c>
      <c r="BA78" s="30" t="n">
        <f aca="false">-BA31</f>
        <v>-0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-0</v>
      </c>
      <c r="AM79" s="30" t="n">
        <f aca="false">-AM32</f>
        <v>-0</v>
      </c>
      <c r="AN79" s="30" t="n">
        <f aca="false">-AN32</f>
        <v>-0</v>
      </c>
      <c r="AO79" s="30" t="n">
        <f aca="false">-AO32</f>
        <v>-0</v>
      </c>
      <c r="AP79" s="30" t="n">
        <f aca="false">-AP32</f>
        <v>-0</v>
      </c>
      <c r="AQ79" s="30" t="n">
        <f aca="false">-AQ32</f>
        <v>-0</v>
      </c>
      <c r="AR79" s="30" t="n">
        <f aca="false">-AR32</f>
        <v>-0</v>
      </c>
      <c r="AS79" s="30" t="n">
        <f aca="false">-AS32</f>
        <v>-0</v>
      </c>
      <c r="AT79" s="30" t="n">
        <f aca="false">-AT32</f>
        <v>-0</v>
      </c>
      <c r="AU79" s="30" t="n">
        <f aca="false">-AU32</f>
        <v>-0</v>
      </c>
      <c r="AV79" s="30" t="n">
        <f aca="false">-AV32</f>
        <v>-0</v>
      </c>
      <c r="AW79" s="30" t="n">
        <f aca="false">-AW32</f>
        <v>-0</v>
      </c>
      <c r="AX79" s="30" t="n">
        <f aca="false">-AX32</f>
        <v>-0</v>
      </c>
      <c r="AY79" s="30" t="n">
        <f aca="false">-AY32</f>
        <v>-0</v>
      </c>
      <c r="AZ79" s="30" t="n">
        <f aca="false">-AZ32</f>
        <v>-0</v>
      </c>
      <c r="BA79" s="30" t="n">
        <f aca="false">-BA32</f>
        <v>-0</v>
      </c>
      <c r="BB79" s="30" t="n">
        <f aca="false">-BB32</f>
        <v>-0</v>
      </c>
      <c r="BC79" s="30" t="n">
        <f aca="false">-BC32</f>
        <v>-0</v>
      </c>
      <c r="BD79" s="30" t="n">
        <f aca="false">-BD32</f>
        <v>-0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-0</v>
      </c>
      <c r="AP80" s="30" t="n">
        <f aca="false">-AP33</f>
        <v>-0</v>
      </c>
      <c r="AQ80" s="30" t="n">
        <f aca="false">-AQ33</f>
        <v>-0</v>
      </c>
      <c r="AR80" s="30" t="n">
        <f aca="false">-AR33</f>
        <v>-0</v>
      </c>
      <c r="AS80" s="30" t="n">
        <f aca="false">-AS33</f>
        <v>-0</v>
      </c>
      <c r="AT80" s="30" t="n">
        <f aca="false">-AT33</f>
        <v>-0</v>
      </c>
      <c r="AU80" s="30" t="n">
        <f aca="false">-AU33</f>
        <v>-0</v>
      </c>
      <c r="AV80" s="30" t="n">
        <f aca="false">-AV33</f>
        <v>-0</v>
      </c>
      <c r="AW80" s="30" t="n">
        <f aca="false">-AW33</f>
        <v>-0</v>
      </c>
      <c r="AX80" s="30" t="n">
        <f aca="false">-AX33</f>
        <v>-0</v>
      </c>
      <c r="AY80" s="30" t="n">
        <f aca="false">-AY33</f>
        <v>-0</v>
      </c>
      <c r="AZ80" s="30" t="n">
        <f aca="false">-AZ33</f>
        <v>-0</v>
      </c>
      <c r="BA80" s="30" t="n">
        <f aca="false">-BA33</f>
        <v>-0</v>
      </c>
      <c r="BB80" s="30" t="n">
        <f aca="false">-BB33</f>
        <v>-0</v>
      </c>
      <c r="BC80" s="30" t="n">
        <f aca="false">-BC33</f>
        <v>-0</v>
      </c>
      <c r="BD80" s="30" t="n">
        <f aca="false">-BD33</f>
        <v>-0</v>
      </c>
      <c r="BE80" s="30" t="n">
        <f aca="false">-BE33</f>
        <v>-0</v>
      </c>
      <c r="BF80" s="30" t="n">
        <f aca="false">-BF33</f>
        <v>-0</v>
      </c>
      <c r="BG80" s="30" t="n">
        <f aca="false">-BG33</f>
        <v>-0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-0</v>
      </c>
      <c r="AS81" s="30" t="n">
        <f aca="false">-AS34</f>
        <v>-0</v>
      </c>
      <c r="AT81" s="30" t="n">
        <f aca="false">-AT34</f>
        <v>-0</v>
      </c>
      <c r="AU81" s="30" t="n">
        <f aca="false">-AU34</f>
        <v>-0</v>
      </c>
      <c r="AV81" s="30" t="n">
        <f aca="false">-AV34</f>
        <v>-0</v>
      </c>
      <c r="AW81" s="30" t="n">
        <f aca="false">-AW34</f>
        <v>-0</v>
      </c>
      <c r="AX81" s="30" t="n">
        <f aca="false">-AX34</f>
        <v>-0</v>
      </c>
      <c r="AY81" s="30" t="n">
        <f aca="false">-AY34</f>
        <v>-0</v>
      </c>
      <c r="AZ81" s="30" t="n">
        <f aca="false">-AZ34</f>
        <v>-0</v>
      </c>
      <c r="BA81" s="30" t="n">
        <f aca="false">-BA34</f>
        <v>-0</v>
      </c>
      <c r="BB81" s="30" t="n">
        <f aca="false">-BB34</f>
        <v>-0</v>
      </c>
      <c r="BC81" s="30" t="n">
        <f aca="false">-BC34</f>
        <v>-0</v>
      </c>
      <c r="BD81" s="30" t="n">
        <f aca="false">-BD34</f>
        <v>-0</v>
      </c>
      <c r="BE81" s="30" t="n">
        <f aca="false">-BE34</f>
        <v>-0</v>
      </c>
      <c r="BF81" s="30" t="n">
        <f aca="false">-BF34</f>
        <v>-0</v>
      </c>
      <c r="BG81" s="30" t="n">
        <f aca="false">-BG34</f>
        <v>-0</v>
      </c>
      <c r="BH81" s="30" t="n">
        <f aca="false">-BH34</f>
        <v>-0</v>
      </c>
      <c r="BI81" s="30" t="n">
        <f aca="false">-BI34</f>
        <v>-0</v>
      </c>
      <c r="BJ81" s="30" t="n">
        <f aca="false">-BJ34</f>
        <v>-0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-0</v>
      </c>
      <c r="AU82" s="30" t="n">
        <f aca="false">-AU35</f>
        <v>-0</v>
      </c>
      <c r="AV82" s="30" t="n">
        <f aca="false">-AV35</f>
        <v>-0</v>
      </c>
      <c r="AW82" s="30" t="n">
        <f aca="false">-AW35</f>
        <v>-0</v>
      </c>
      <c r="AX82" s="30" t="n">
        <f aca="false">-AX35</f>
        <v>-0</v>
      </c>
      <c r="AY82" s="30" t="n">
        <f aca="false">-AY35</f>
        <v>-0</v>
      </c>
      <c r="AZ82" s="30" t="n">
        <f aca="false">-AZ35</f>
        <v>-0</v>
      </c>
      <c r="BA82" s="30" t="n">
        <f aca="false">-BA35</f>
        <v>-0</v>
      </c>
      <c r="BB82" s="30" t="n">
        <f aca="false">-BB35</f>
        <v>-0</v>
      </c>
      <c r="BC82" s="30" t="n">
        <f aca="false">-BC35</f>
        <v>-0</v>
      </c>
      <c r="BD82" s="30" t="n">
        <f aca="false">-BD35</f>
        <v>-0</v>
      </c>
      <c r="BE82" s="30" t="n">
        <f aca="false">-BE35</f>
        <v>-0</v>
      </c>
      <c r="BF82" s="30" t="n">
        <f aca="false">-BF35</f>
        <v>-0</v>
      </c>
      <c r="BG82" s="30" t="n">
        <f aca="false">-BG35</f>
        <v>-0</v>
      </c>
      <c r="BH82" s="30" t="n">
        <f aca="false">-BH35</f>
        <v>-0</v>
      </c>
      <c r="BI82" s="30" t="n">
        <f aca="false">-BI35</f>
        <v>-0</v>
      </c>
      <c r="BJ82" s="30" t="n">
        <f aca="false">-BJ35</f>
        <v>-0</v>
      </c>
      <c r="BK82" s="30" t="n">
        <f aca="false">-BK35</f>
        <v>-0</v>
      </c>
      <c r="BL82" s="30" t="n">
        <f aca="false">-BL35</f>
        <v>-0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-0</v>
      </c>
      <c r="AW83" s="30" t="n">
        <f aca="false">-AW36</f>
        <v>-0</v>
      </c>
      <c r="AX83" s="30" t="n">
        <f aca="false">-AX36</f>
        <v>-0</v>
      </c>
      <c r="AY83" s="30" t="n">
        <f aca="false">-AY36</f>
        <v>-0</v>
      </c>
      <c r="AZ83" s="30" t="n">
        <f aca="false">-AZ36</f>
        <v>-0</v>
      </c>
      <c r="BA83" s="30" t="n">
        <f aca="false">-BA36</f>
        <v>-0</v>
      </c>
      <c r="BB83" s="30" t="n">
        <f aca="false">-BB36</f>
        <v>-0</v>
      </c>
      <c r="BC83" s="30" t="n">
        <f aca="false">-BC36</f>
        <v>-0</v>
      </c>
      <c r="BD83" s="30" t="n">
        <f aca="false">-BD36</f>
        <v>-0</v>
      </c>
      <c r="BE83" s="30" t="n">
        <f aca="false">-BE36</f>
        <v>-0</v>
      </c>
      <c r="BF83" s="30" t="n">
        <f aca="false">-BF36</f>
        <v>-0</v>
      </c>
      <c r="BG83" s="30" t="n">
        <f aca="false">-BG36</f>
        <v>-0</v>
      </c>
      <c r="BH83" s="30" t="n">
        <f aca="false">-BH36</f>
        <v>-0</v>
      </c>
      <c r="BI83" s="30" t="n">
        <f aca="false">-BI36</f>
        <v>-0</v>
      </c>
      <c r="BJ83" s="30" t="n">
        <f aca="false">-BJ36</f>
        <v>-0</v>
      </c>
      <c r="BK83" s="30" t="n">
        <f aca="false">-BK36</f>
        <v>-0</v>
      </c>
      <c r="BL83" s="30" t="n">
        <f aca="false">-BL36</f>
        <v>-0</v>
      </c>
      <c r="BM83" s="30" t="n">
        <f aca="false">-BM36</f>
        <v>-0</v>
      </c>
      <c r="BN83" s="30" t="n">
        <f aca="false">-BN36</f>
        <v>-0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-0</v>
      </c>
      <c r="AY84" s="30" t="n">
        <f aca="false">-AY37</f>
        <v>-0</v>
      </c>
      <c r="AZ84" s="30" t="n">
        <f aca="false">-AZ37</f>
        <v>-0</v>
      </c>
      <c r="BA84" s="30" t="n">
        <f aca="false">-BA37</f>
        <v>-0</v>
      </c>
      <c r="BB84" s="30" t="n">
        <f aca="false">-BB37</f>
        <v>-0</v>
      </c>
      <c r="BC84" s="30" t="n">
        <f aca="false">-BC37</f>
        <v>-0</v>
      </c>
      <c r="BD84" s="30" t="n">
        <f aca="false">-BD37</f>
        <v>-0</v>
      </c>
      <c r="BE84" s="30" t="n">
        <f aca="false">-BE37</f>
        <v>-0</v>
      </c>
      <c r="BF84" s="30" t="n">
        <f aca="false">-BF37</f>
        <v>-0</v>
      </c>
      <c r="BG84" s="30" t="n">
        <f aca="false">-BG37</f>
        <v>-0</v>
      </c>
      <c r="BH84" s="30" t="n">
        <f aca="false">-BH37</f>
        <v>-0</v>
      </c>
      <c r="BI84" s="30" t="n">
        <f aca="false">-BI37</f>
        <v>-0</v>
      </c>
      <c r="BJ84" s="30" t="n">
        <f aca="false">-BJ37</f>
        <v>-0</v>
      </c>
      <c r="BK84" s="30" t="n">
        <f aca="false">-BK37</f>
        <v>-0</v>
      </c>
      <c r="BL84" s="30" t="n">
        <f aca="false">-BL37</f>
        <v>-0</v>
      </c>
      <c r="BM84" s="30" t="n">
        <f aca="false">-BM37</f>
        <v>-0</v>
      </c>
      <c r="BN84" s="30" t="n">
        <f aca="false">-BN37</f>
        <v>-0</v>
      </c>
      <c r="BO84" s="30" t="n">
        <f aca="false">-BO37</f>
        <v>-0</v>
      </c>
      <c r="BP84" s="30" t="n">
        <f aca="false">-BP37</f>
        <v>-0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-0</v>
      </c>
      <c r="BA85" s="30" t="n">
        <f aca="false">-BA38</f>
        <v>-0</v>
      </c>
      <c r="BB85" s="30" t="n">
        <f aca="false">-BB38</f>
        <v>-0</v>
      </c>
      <c r="BC85" s="30" t="n">
        <f aca="false">-BC38</f>
        <v>-0</v>
      </c>
      <c r="BD85" s="30" t="n">
        <f aca="false">-BD38</f>
        <v>-0</v>
      </c>
      <c r="BE85" s="30" t="n">
        <f aca="false">-BE38</f>
        <v>-0</v>
      </c>
      <c r="BF85" s="30" t="n">
        <f aca="false">-BF38</f>
        <v>-0</v>
      </c>
      <c r="BG85" s="30" t="n">
        <f aca="false">-BG38</f>
        <v>-0</v>
      </c>
      <c r="BH85" s="30" t="n">
        <f aca="false">-BH38</f>
        <v>-0</v>
      </c>
      <c r="BI85" s="30" t="n">
        <f aca="false">-BI38</f>
        <v>-0</v>
      </c>
      <c r="BJ85" s="30" t="n">
        <f aca="false">-BJ38</f>
        <v>-0</v>
      </c>
      <c r="BK85" s="30" t="n">
        <f aca="false">-BK38</f>
        <v>-0</v>
      </c>
      <c r="BL85" s="30" t="n">
        <f aca="false">-BL38</f>
        <v>-0</v>
      </c>
      <c r="BM85" s="30" t="n">
        <f aca="false">-BM38</f>
        <v>-0</v>
      </c>
      <c r="BN85" s="30" t="n">
        <f aca="false">-BN38</f>
        <v>-0</v>
      </c>
      <c r="BO85" s="30" t="n">
        <f aca="false">-BO38</f>
        <v>-0</v>
      </c>
      <c r="BP85" s="30" t="n">
        <f aca="false">-BP38</f>
        <v>-0</v>
      </c>
      <c r="BQ85" s="30" t="n">
        <f aca="false">-BQ38</f>
        <v>-0</v>
      </c>
      <c r="BR85" s="30" t="n">
        <f aca="false">-BR38</f>
        <v>-0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-0</v>
      </c>
      <c r="BC86" s="30" t="n">
        <f aca="false">-BC39</f>
        <v>-0</v>
      </c>
      <c r="BD86" s="30" t="n">
        <f aca="false">-BD39</f>
        <v>-0</v>
      </c>
      <c r="BE86" s="30" t="n">
        <f aca="false">-BE39</f>
        <v>-0</v>
      </c>
      <c r="BF86" s="30" t="n">
        <f aca="false">-BF39</f>
        <v>-0</v>
      </c>
      <c r="BG86" s="30" t="n">
        <f aca="false">-BG39</f>
        <v>-0</v>
      </c>
      <c r="BH86" s="30" t="n">
        <f aca="false">-BH39</f>
        <v>-0</v>
      </c>
      <c r="BI86" s="30" t="n">
        <f aca="false">-BI39</f>
        <v>-0</v>
      </c>
      <c r="BJ86" s="30" t="n">
        <f aca="false">-BJ39</f>
        <v>-0</v>
      </c>
      <c r="BK86" s="30" t="n">
        <f aca="false">-BK39</f>
        <v>-0</v>
      </c>
      <c r="BL86" s="30" t="n">
        <f aca="false">-BL39</f>
        <v>-0</v>
      </c>
      <c r="BM86" s="30" t="n">
        <f aca="false">-BM39</f>
        <v>-0</v>
      </c>
      <c r="BN86" s="30" t="n">
        <f aca="false">-BN39</f>
        <v>-0</v>
      </c>
      <c r="BO86" s="30" t="n">
        <f aca="false">-BO39</f>
        <v>-0</v>
      </c>
      <c r="BP86" s="30" t="n">
        <f aca="false">-BP39</f>
        <v>-0</v>
      </c>
      <c r="BQ86" s="30" t="n">
        <f aca="false">-BQ39</f>
        <v>-0</v>
      </c>
      <c r="BR86" s="30" t="n">
        <f aca="false">-BR39</f>
        <v>-0</v>
      </c>
      <c r="BS86" s="30" t="n">
        <f aca="false">-BS39</f>
        <v>-0</v>
      </c>
      <c r="BT86" s="30" t="n">
        <f aca="false">-BT39</f>
        <v>-0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-0</v>
      </c>
      <c r="BE87" s="30" t="n">
        <f aca="false">-BE40</f>
        <v>-0</v>
      </c>
      <c r="BF87" s="30" t="n">
        <f aca="false">-BF40</f>
        <v>-0</v>
      </c>
      <c r="BG87" s="30" t="n">
        <f aca="false">-BG40</f>
        <v>-0</v>
      </c>
      <c r="BH87" s="30" t="n">
        <f aca="false">-BH40</f>
        <v>-0</v>
      </c>
      <c r="BI87" s="30" t="n">
        <f aca="false">-BI40</f>
        <v>-0</v>
      </c>
      <c r="BJ87" s="30" t="n">
        <f aca="false">-BJ40</f>
        <v>-0</v>
      </c>
      <c r="BK87" s="30" t="n">
        <f aca="false">-BK40</f>
        <v>-0</v>
      </c>
      <c r="BL87" s="30" t="n">
        <f aca="false">-BL40</f>
        <v>-0</v>
      </c>
      <c r="BM87" s="30" t="n">
        <f aca="false">-BM40</f>
        <v>-0</v>
      </c>
      <c r="BN87" s="30" t="n">
        <f aca="false">-BN40</f>
        <v>-0</v>
      </c>
      <c r="BO87" s="30" t="n">
        <f aca="false">-BO40</f>
        <v>-0</v>
      </c>
      <c r="BP87" s="30" t="n">
        <f aca="false">-BP40</f>
        <v>-0</v>
      </c>
      <c r="BQ87" s="30" t="n">
        <f aca="false">-BQ40</f>
        <v>-0</v>
      </c>
      <c r="BR87" s="30" t="n">
        <f aca="false">-BR40</f>
        <v>-0</v>
      </c>
      <c r="BS87" s="30" t="n">
        <f aca="false">-BS40</f>
        <v>-0</v>
      </c>
      <c r="BT87" s="30" t="n">
        <f aca="false">-BT40</f>
        <v>-0</v>
      </c>
      <c r="BU87" s="30" t="n">
        <f aca="false">-BU40</f>
        <v>-0</v>
      </c>
      <c r="BV87" s="30" t="n">
        <f aca="false">-BV40</f>
        <v>-0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-0</v>
      </c>
      <c r="BG88" s="30" t="n">
        <f aca="false">-BG41</f>
        <v>-0</v>
      </c>
      <c r="BH88" s="30" t="n">
        <f aca="false">-BH41</f>
        <v>-0</v>
      </c>
      <c r="BI88" s="30" t="n">
        <f aca="false">-BI41</f>
        <v>-0</v>
      </c>
      <c r="BJ88" s="30" t="n">
        <f aca="false">-BJ41</f>
        <v>-0</v>
      </c>
      <c r="BK88" s="30" t="n">
        <f aca="false">-BK41</f>
        <v>-0</v>
      </c>
      <c r="BL88" s="30" t="n">
        <f aca="false">-BL41</f>
        <v>-0</v>
      </c>
      <c r="BM88" s="30" t="n">
        <f aca="false">-BM41</f>
        <v>-0</v>
      </c>
      <c r="BN88" s="30" t="n">
        <f aca="false">-BN41</f>
        <v>-0</v>
      </c>
      <c r="BO88" s="30" t="n">
        <f aca="false">-BO41</f>
        <v>-0</v>
      </c>
      <c r="BP88" s="30" t="n">
        <f aca="false">-BP41</f>
        <v>-0</v>
      </c>
      <c r="BQ88" s="30" t="n">
        <f aca="false">-BQ41</f>
        <v>-0</v>
      </c>
      <c r="BR88" s="30" t="n">
        <f aca="false">-BR41</f>
        <v>-0</v>
      </c>
      <c r="BS88" s="30" t="n">
        <f aca="false">-BS41</f>
        <v>-0</v>
      </c>
      <c r="BT88" s="30" t="n">
        <f aca="false">-BT41</f>
        <v>-0</v>
      </c>
      <c r="BU88" s="30" t="n">
        <f aca="false">-BU41</f>
        <v>-0</v>
      </c>
      <c r="BV88" s="30" t="n">
        <f aca="false">-BV41</f>
        <v>-0</v>
      </c>
      <c r="BW88" s="30" t="n">
        <f aca="false">-BW41</f>
        <v>-0</v>
      </c>
      <c r="BX88" s="30" t="n">
        <f aca="false">-BX41</f>
        <v>-0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-0</v>
      </c>
      <c r="BI89" s="30" t="n">
        <f aca="false">-BI42</f>
        <v>-0</v>
      </c>
      <c r="BJ89" s="30" t="n">
        <f aca="false">-BJ42</f>
        <v>-0</v>
      </c>
      <c r="BK89" s="30" t="n">
        <f aca="false">-BK42</f>
        <v>-0</v>
      </c>
      <c r="BL89" s="30" t="n">
        <f aca="false">-BL42</f>
        <v>-0</v>
      </c>
      <c r="BM89" s="30" t="n">
        <f aca="false">-BM42</f>
        <v>-0</v>
      </c>
      <c r="BN89" s="30" t="n">
        <f aca="false">-BN42</f>
        <v>-0</v>
      </c>
      <c r="BO89" s="30" t="n">
        <f aca="false">-BO42</f>
        <v>-0</v>
      </c>
      <c r="BP89" s="30" t="n">
        <f aca="false">-BP42</f>
        <v>-0</v>
      </c>
      <c r="BQ89" s="30" t="n">
        <f aca="false">-BQ42</f>
        <v>-0</v>
      </c>
      <c r="BR89" s="30" t="n">
        <f aca="false">-BR42</f>
        <v>-0</v>
      </c>
      <c r="BS89" s="30" t="n">
        <f aca="false">-BS42</f>
        <v>-0</v>
      </c>
      <c r="BT89" s="30" t="n">
        <f aca="false">-BT42</f>
        <v>-0</v>
      </c>
      <c r="BU89" s="30" t="n">
        <f aca="false">-BU42</f>
        <v>-0</v>
      </c>
      <c r="BV89" s="30" t="n">
        <f aca="false">-BV42</f>
        <v>-0</v>
      </c>
      <c r="BW89" s="30" t="n">
        <f aca="false">-BW42</f>
        <v>-0</v>
      </c>
      <c r="BX89" s="30" t="n">
        <f aca="false">-BX42</f>
        <v>-0</v>
      </c>
      <c r="BY89" s="30" t="n">
        <f aca="false">-BY42</f>
        <v>-0</v>
      </c>
      <c r="BZ89" s="30" t="n">
        <f aca="false">-BZ42</f>
        <v>-0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-0</v>
      </c>
      <c r="BK90" s="30" t="n">
        <f aca="false">-BK43</f>
        <v>-0</v>
      </c>
      <c r="BL90" s="30" t="n">
        <f aca="false">-BL43</f>
        <v>-0</v>
      </c>
      <c r="BM90" s="30" t="n">
        <f aca="false">-BM43</f>
        <v>-0</v>
      </c>
      <c r="BN90" s="30" t="n">
        <f aca="false">-BN43</f>
        <v>-0</v>
      </c>
      <c r="BO90" s="30" t="n">
        <f aca="false">-BO43</f>
        <v>-0</v>
      </c>
      <c r="BP90" s="30" t="n">
        <f aca="false">-BP43</f>
        <v>-0</v>
      </c>
      <c r="BQ90" s="30" t="n">
        <f aca="false">-BQ43</f>
        <v>-0</v>
      </c>
      <c r="BR90" s="30" t="n">
        <f aca="false">-BR43</f>
        <v>-0</v>
      </c>
      <c r="BS90" s="30" t="n">
        <f aca="false">-BS43</f>
        <v>-0</v>
      </c>
      <c r="BT90" s="30" t="n">
        <f aca="false">-BT43</f>
        <v>-0</v>
      </c>
      <c r="BU90" s="30" t="n">
        <f aca="false">-BU43</f>
        <v>-0</v>
      </c>
      <c r="BV90" s="30" t="n">
        <f aca="false">-BV43</f>
        <v>-0</v>
      </c>
      <c r="BW90" s="30" t="n">
        <f aca="false">-BW43</f>
        <v>-0</v>
      </c>
      <c r="BX90" s="30" t="n">
        <f aca="false">-BX43</f>
        <v>-0</v>
      </c>
      <c r="BY90" s="30" t="n">
        <f aca="false">-BY43</f>
        <v>-0</v>
      </c>
      <c r="BZ90" s="30" t="n">
        <f aca="false">-BZ43</f>
        <v>-0</v>
      </c>
      <c r="CA90" s="30" t="n">
        <f aca="false">-CA43</f>
        <v>-0</v>
      </c>
      <c r="CB90" s="30" t="n">
        <f aca="false">-CB43</f>
        <v>-0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-0</v>
      </c>
      <c r="BM91" s="30" t="n">
        <f aca="false">-BM44</f>
        <v>-0</v>
      </c>
      <c r="BN91" s="30" t="n">
        <f aca="false">-BN44</f>
        <v>-0</v>
      </c>
      <c r="BO91" s="30" t="n">
        <f aca="false">-BO44</f>
        <v>-0</v>
      </c>
      <c r="BP91" s="30" t="n">
        <f aca="false">-BP44</f>
        <v>-0</v>
      </c>
      <c r="BQ91" s="30" t="n">
        <f aca="false">-BQ44</f>
        <v>-0</v>
      </c>
      <c r="BR91" s="30" t="n">
        <f aca="false">-BR44</f>
        <v>-0</v>
      </c>
      <c r="BS91" s="30" t="n">
        <f aca="false">-BS44</f>
        <v>-0</v>
      </c>
      <c r="BT91" s="30" t="n">
        <f aca="false">-BT44</f>
        <v>-0</v>
      </c>
      <c r="BU91" s="30" t="n">
        <f aca="false">-BU44</f>
        <v>-0</v>
      </c>
      <c r="BV91" s="30" t="n">
        <f aca="false">-BV44</f>
        <v>-0</v>
      </c>
      <c r="BW91" s="30" t="n">
        <f aca="false">-BW44</f>
        <v>-0</v>
      </c>
      <c r="BX91" s="30" t="n">
        <f aca="false">-BX44</f>
        <v>-0</v>
      </c>
      <c r="BY91" s="30" t="n">
        <f aca="false">-BY44</f>
        <v>-0</v>
      </c>
      <c r="BZ91" s="30" t="n">
        <f aca="false">-BZ44</f>
        <v>-0</v>
      </c>
      <c r="CA91" s="30" t="n">
        <f aca="false">-CA44</f>
        <v>-0</v>
      </c>
      <c r="CB91" s="30" t="n">
        <f aca="false">-CB44</f>
        <v>-0</v>
      </c>
      <c r="CC91" s="30" t="n">
        <f aca="false">-CC44</f>
        <v>-0</v>
      </c>
      <c r="CD91" s="30" t="n">
        <f aca="false">-CD44</f>
        <v>-0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-0</v>
      </c>
      <c r="BO92" s="30" t="n">
        <f aca="false">-BO45</f>
        <v>-0</v>
      </c>
      <c r="BP92" s="30" t="n">
        <f aca="false">-BP45</f>
        <v>-0</v>
      </c>
      <c r="BQ92" s="30" t="n">
        <f aca="false">-BQ45</f>
        <v>-0</v>
      </c>
      <c r="BR92" s="30" t="n">
        <f aca="false">-BR45</f>
        <v>-0</v>
      </c>
      <c r="BS92" s="30" t="n">
        <f aca="false">-BS45</f>
        <v>-0</v>
      </c>
      <c r="BT92" s="30" t="n">
        <f aca="false">-BT45</f>
        <v>-0</v>
      </c>
      <c r="BU92" s="30" t="n">
        <f aca="false">-BU45</f>
        <v>-0</v>
      </c>
      <c r="BV92" s="30" t="n">
        <f aca="false">-BV45</f>
        <v>-0</v>
      </c>
      <c r="BW92" s="30" t="n">
        <f aca="false">-BW45</f>
        <v>-0</v>
      </c>
      <c r="BX92" s="30" t="n">
        <f aca="false">-BX45</f>
        <v>-0</v>
      </c>
      <c r="BY92" s="30" t="n">
        <f aca="false">-BY45</f>
        <v>-0</v>
      </c>
      <c r="BZ92" s="30" t="n">
        <f aca="false">-BZ45</f>
        <v>-0</v>
      </c>
      <c r="CA92" s="30" t="n">
        <f aca="false">-CA45</f>
        <v>-0</v>
      </c>
      <c r="CB92" s="30" t="n">
        <f aca="false">-CB45</f>
        <v>-0</v>
      </c>
      <c r="CC92" s="30" t="n">
        <f aca="false">-CC45</f>
        <v>-0</v>
      </c>
      <c r="CD92" s="30" t="n">
        <f aca="false">-CD45</f>
        <v>-0</v>
      </c>
      <c r="CE92" s="30" t="n">
        <f aca="false">-CE45</f>
        <v>-0</v>
      </c>
      <c r="CF92" s="30" t="n">
        <f aca="false">-CF45</f>
        <v>-0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-0</v>
      </c>
      <c r="BQ93" s="30" t="n">
        <f aca="false">-BQ46</f>
        <v>-0</v>
      </c>
      <c r="BR93" s="30" t="n">
        <f aca="false">-BR46</f>
        <v>-0</v>
      </c>
      <c r="BS93" s="30" t="n">
        <f aca="false">-BS46</f>
        <v>-0</v>
      </c>
      <c r="BT93" s="30" t="n">
        <f aca="false">-BT46</f>
        <v>-0</v>
      </c>
      <c r="BU93" s="30" t="n">
        <f aca="false">-BU46</f>
        <v>-0</v>
      </c>
      <c r="BV93" s="30" t="n">
        <f aca="false">-BV46</f>
        <v>-0</v>
      </c>
      <c r="BW93" s="30" t="n">
        <f aca="false">-BW46</f>
        <v>-0</v>
      </c>
      <c r="BX93" s="30" t="n">
        <f aca="false">-BX46</f>
        <v>-0</v>
      </c>
      <c r="BY93" s="30" t="n">
        <f aca="false">-BY46</f>
        <v>-0</v>
      </c>
      <c r="BZ93" s="30" t="n">
        <f aca="false">-BZ46</f>
        <v>-0</v>
      </c>
      <c r="CA93" s="30" t="n">
        <f aca="false">-CA46</f>
        <v>-0</v>
      </c>
      <c r="CB93" s="30" t="n">
        <f aca="false">-CB46</f>
        <v>-0</v>
      </c>
      <c r="CC93" s="30" t="n">
        <f aca="false">-CC46</f>
        <v>-0</v>
      </c>
      <c r="CD93" s="30" t="n">
        <f aca="false">-CD46</f>
        <v>-0</v>
      </c>
      <c r="CE93" s="30" t="n">
        <f aca="false">-CE46</f>
        <v>-0</v>
      </c>
      <c r="CF93" s="30" t="n">
        <f aca="false">-CF46</f>
        <v>-0</v>
      </c>
      <c r="CG93" s="30" t="n">
        <f aca="false">-CG46</f>
        <v>-0</v>
      </c>
      <c r="CH93" s="30" t="n">
        <f aca="false">-CH46</f>
        <v>-0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-0</v>
      </c>
      <c r="BS94" s="30" t="n">
        <f aca="false">-BS47</f>
        <v>-0</v>
      </c>
      <c r="BT94" s="30" t="n">
        <f aca="false">-BT47</f>
        <v>-0</v>
      </c>
      <c r="BU94" s="30" t="n">
        <f aca="false">-BU47</f>
        <v>-0</v>
      </c>
      <c r="BV94" s="30" t="n">
        <f aca="false">-BV47</f>
        <v>-0</v>
      </c>
      <c r="BW94" s="30" t="n">
        <f aca="false">-BW47</f>
        <v>-0</v>
      </c>
      <c r="BX94" s="30" t="n">
        <f aca="false">-BX47</f>
        <v>-0</v>
      </c>
      <c r="BY94" s="30" t="n">
        <f aca="false">-BY47</f>
        <v>-0</v>
      </c>
      <c r="BZ94" s="30" t="n">
        <f aca="false">-BZ47</f>
        <v>-0</v>
      </c>
      <c r="CA94" s="30" t="n">
        <f aca="false">-CA47</f>
        <v>-0</v>
      </c>
      <c r="CB94" s="30" t="n">
        <f aca="false">-CB47</f>
        <v>-0</v>
      </c>
      <c r="CC94" s="30" t="n">
        <f aca="false">-CC47</f>
        <v>-0</v>
      </c>
      <c r="CD94" s="30" t="n">
        <f aca="false">-CD47</f>
        <v>-0</v>
      </c>
      <c r="CE94" s="30" t="n">
        <f aca="false">-CE47</f>
        <v>-0</v>
      </c>
      <c r="CF94" s="30" t="n">
        <f aca="false">-CF47</f>
        <v>-0</v>
      </c>
      <c r="CG94" s="30" t="n">
        <f aca="false">-CG47</f>
        <v>-0</v>
      </c>
      <c r="CH94" s="30" t="n">
        <f aca="false">-CH47</f>
        <v>-0</v>
      </c>
      <c r="CI94" s="30" t="n">
        <f aca="false">-CI47</f>
        <v>-0</v>
      </c>
      <c r="CJ94" s="30" t="n">
        <f aca="false">-CJ47</f>
        <v>-0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-0</v>
      </c>
      <c r="BU95" s="30" t="n">
        <f aca="false">-BU48</f>
        <v>-0</v>
      </c>
      <c r="BV95" s="30" t="n">
        <f aca="false">-BV48</f>
        <v>-0</v>
      </c>
      <c r="BW95" s="30" t="n">
        <f aca="false">-BW48</f>
        <v>-0</v>
      </c>
      <c r="BX95" s="30" t="n">
        <f aca="false">-BX48</f>
        <v>-0</v>
      </c>
      <c r="BY95" s="30" t="n">
        <f aca="false">-BY48</f>
        <v>-0</v>
      </c>
      <c r="BZ95" s="30" t="n">
        <f aca="false">-BZ48</f>
        <v>-0</v>
      </c>
      <c r="CA95" s="30" t="n">
        <f aca="false">-CA48</f>
        <v>-0</v>
      </c>
      <c r="CB95" s="30" t="n">
        <f aca="false">-CB48</f>
        <v>-0</v>
      </c>
      <c r="CC95" s="30" t="n">
        <f aca="false">-CC48</f>
        <v>-0</v>
      </c>
      <c r="CD95" s="30" t="n">
        <f aca="false">-CD48</f>
        <v>-0</v>
      </c>
      <c r="CE95" s="30" t="n">
        <f aca="false">-CE48</f>
        <v>-0</v>
      </c>
      <c r="CF95" s="30" t="n">
        <f aca="false">-CF48</f>
        <v>-0</v>
      </c>
      <c r="CG95" s="30" t="n">
        <f aca="false">-CG48</f>
        <v>-0</v>
      </c>
      <c r="CH95" s="30" t="n">
        <f aca="false">-CH48</f>
        <v>-0</v>
      </c>
      <c r="CI95" s="30" t="n">
        <f aca="false">-CI48</f>
        <v>-0</v>
      </c>
      <c r="CJ95" s="30" t="n">
        <f aca="false">-CJ48</f>
        <v>-0</v>
      </c>
      <c r="CK95" s="30" t="n">
        <f aca="false">-CK48</f>
        <v>-0</v>
      </c>
      <c r="CL95" s="30" t="n">
        <f aca="false">-CL48</f>
        <v>-0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-0</v>
      </c>
      <c r="BW96" s="30" t="n">
        <f aca="false">-BW49</f>
        <v>-0</v>
      </c>
      <c r="BX96" s="30" t="n">
        <f aca="false">-BX49</f>
        <v>-0</v>
      </c>
      <c r="BY96" s="30" t="n">
        <f aca="false">-BY49</f>
        <v>-0</v>
      </c>
      <c r="BZ96" s="30" t="n">
        <f aca="false">-BZ49</f>
        <v>-0</v>
      </c>
      <c r="CA96" s="30" t="n">
        <f aca="false">-CA49</f>
        <v>-0</v>
      </c>
      <c r="CB96" s="30" t="n">
        <f aca="false">-CB49</f>
        <v>-0</v>
      </c>
      <c r="CC96" s="30" t="n">
        <f aca="false">-CC49</f>
        <v>-0</v>
      </c>
      <c r="CD96" s="30" t="n">
        <f aca="false">-CD49</f>
        <v>-0</v>
      </c>
      <c r="CE96" s="30" t="n">
        <f aca="false">-CE49</f>
        <v>-0</v>
      </c>
      <c r="CF96" s="30" t="n">
        <f aca="false">-CF49</f>
        <v>-0</v>
      </c>
      <c r="CG96" s="30" t="n">
        <f aca="false">-CG49</f>
        <v>-0</v>
      </c>
      <c r="CH96" s="30" t="n">
        <f aca="false">-CH49</f>
        <v>-0</v>
      </c>
      <c r="CI96" s="30" t="n">
        <f aca="false">-CI49</f>
        <v>-0</v>
      </c>
      <c r="CJ96" s="30" t="n">
        <f aca="false">-CJ49</f>
        <v>-0</v>
      </c>
      <c r="CK96" s="30" t="n">
        <f aca="false">-CK49</f>
        <v>-0</v>
      </c>
      <c r="CL96" s="30" t="n">
        <f aca="false">-CL49</f>
        <v>-0</v>
      </c>
      <c r="CM96" s="30" t="n">
        <f aca="false">-CM49</f>
        <v>-0</v>
      </c>
      <c r="CN96" s="30" t="n">
        <f aca="false">-CN49</f>
        <v>-0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-0</v>
      </c>
      <c r="BY97" s="30" t="n">
        <f aca="false">-BY50</f>
        <v>-0</v>
      </c>
      <c r="BZ97" s="30" t="n">
        <f aca="false">-BZ50</f>
        <v>-0</v>
      </c>
      <c r="CA97" s="30" t="n">
        <f aca="false">-CA50</f>
        <v>-0</v>
      </c>
      <c r="CB97" s="30" t="n">
        <f aca="false">-CB50</f>
        <v>-0</v>
      </c>
      <c r="CC97" s="30" t="n">
        <f aca="false">-CC50</f>
        <v>-0</v>
      </c>
      <c r="CD97" s="30" t="n">
        <f aca="false">-CD50</f>
        <v>-0</v>
      </c>
      <c r="CE97" s="30" t="n">
        <f aca="false">-CE50</f>
        <v>-0</v>
      </c>
      <c r="CF97" s="30" t="n">
        <f aca="false">-CF50</f>
        <v>-0</v>
      </c>
      <c r="CG97" s="30" t="n">
        <f aca="false">-CG50</f>
        <v>-0</v>
      </c>
      <c r="CH97" s="30" t="n">
        <f aca="false">-CH50</f>
        <v>-0</v>
      </c>
      <c r="CI97" s="30" t="n">
        <f aca="false">-CI50</f>
        <v>-0</v>
      </c>
      <c r="CJ97" s="30" t="n">
        <f aca="false">-CJ50</f>
        <v>-0</v>
      </c>
      <c r="CK97" s="30" t="n">
        <f aca="false">-CK50</f>
        <v>-0</v>
      </c>
      <c r="CL97" s="30" t="n">
        <f aca="false">-CL50</f>
        <v>-0</v>
      </c>
      <c r="CM97" s="30" t="n">
        <f aca="false">-CM50</f>
        <v>-0</v>
      </c>
      <c r="CN97" s="30" t="n">
        <f aca="false">-CN50</f>
        <v>-0</v>
      </c>
      <c r="CO97" s="30" t="n">
        <f aca="false">-CO50</f>
        <v>-0</v>
      </c>
      <c r="CP97" s="30" t="n">
        <f aca="false">-CP50</f>
        <v>-0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-0</v>
      </c>
      <c r="CA98" s="30" t="n">
        <f aca="false">-CA51</f>
        <v>-0</v>
      </c>
      <c r="CB98" s="30" t="n">
        <f aca="false">-CB51</f>
        <v>-0</v>
      </c>
      <c r="CC98" s="30" t="n">
        <f aca="false">-CC51</f>
        <v>-0</v>
      </c>
      <c r="CD98" s="30" t="n">
        <f aca="false">-CD51</f>
        <v>-0</v>
      </c>
      <c r="CE98" s="30" t="n">
        <f aca="false">-CE51</f>
        <v>-0</v>
      </c>
      <c r="CF98" s="30" t="n">
        <f aca="false">-CF51</f>
        <v>-0</v>
      </c>
      <c r="CG98" s="30" t="n">
        <f aca="false">-CG51</f>
        <v>-0</v>
      </c>
      <c r="CH98" s="30" t="n">
        <f aca="false">-CH51</f>
        <v>-0</v>
      </c>
      <c r="CI98" s="30" t="n">
        <f aca="false">-CI51</f>
        <v>-0</v>
      </c>
      <c r="CJ98" s="30" t="n">
        <f aca="false">-CJ51</f>
        <v>-0</v>
      </c>
      <c r="CK98" s="30" t="n">
        <f aca="false">-CK51</f>
        <v>-0</v>
      </c>
      <c r="CL98" s="30" t="n">
        <f aca="false">-CL51</f>
        <v>-0</v>
      </c>
      <c r="CM98" s="30" t="n">
        <f aca="false">-CM51</f>
        <v>-0</v>
      </c>
      <c r="CN98" s="30" t="n">
        <f aca="false">-CN51</f>
        <v>-0</v>
      </c>
      <c r="CO98" s="30" t="n">
        <f aca="false">-CO51</f>
        <v>-0</v>
      </c>
      <c r="CP98" s="30" t="n">
        <f aca="false">-CP51</f>
        <v>-0</v>
      </c>
      <c r="CQ98" s="30" t="n">
        <f aca="false">-CQ51</f>
        <v>-0</v>
      </c>
      <c r="CR98" s="30" t="n">
        <f aca="false">-CR51</f>
        <v>-0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-0</v>
      </c>
      <c r="CC99" s="30" t="n">
        <f aca="false">-CC52</f>
        <v>-0</v>
      </c>
      <c r="CD99" s="30" t="n">
        <f aca="false">-CD52</f>
        <v>-0</v>
      </c>
      <c r="CE99" s="30" t="n">
        <f aca="false">-CE52</f>
        <v>-0</v>
      </c>
      <c r="CF99" s="30" t="n">
        <f aca="false">-CF52</f>
        <v>-0</v>
      </c>
      <c r="CG99" s="30" t="n">
        <f aca="false">-CG52</f>
        <v>-0</v>
      </c>
      <c r="CH99" s="30" t="n">
        <f aca="false">-CH52</f>
        <v>-0</v>
      </c>
      <c r="CI99" s="30" t="n">
        <f aca="false">-CI52</f>
        <v>-0</v>
      </c>
      <c r="CJ99" s="30" t="n">
        <f aca="false">-CJ52</f>
        <v>-0</v>
      </c>
      <c r="CK99" s="30" t="n">
        <f aca="false">-CK52</f>
        <v>-0</v>
      </c>
      <c r="CL99" s="30" t="n">
        <f aca="false">-CL52</f>
        <v>-0</v>
      </c>
      <c r="CM99" s="30" t="n">
        <f aca="false">-CM52</f>
        <v>-0</v>
      </c>
      <c r="CN99" s="30" t="n">
        <f aca="false">-CN52</f>
        <v>-0</v>
      </c>
      <c r="CO99" s="30" t="n">
        <f aca="false">-CO52</f>
        <v>-0</v>
      </c>
      <c r="CP99" s="30" t="n">
        <f aca="false">-CP52</f>
        <v>-0</v>
      </c>
      <c r="CQ99" s="30" t="n">
        <f aca="false">-CQ52</f>
        <v>-0</v>
      </c>
      <c r="CR99" s="30" t="n">
        <f aca="false">-CR52</f>
        <v>-0</v>
      </c>
      <c r="CS99" s="30" t="n">
        <f aca="false">-CS52</f>
        <v>-0</v>
      </c>
      <c r="CT99" s="30" t="n">
        <f aca="false">-CT52</f>
        <v>-0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-0</v>
      </c>
      <c r="CE100" s="30" t="n">
        <f aca="false">-CE53</f>
        <v>-0</v>
      </c>
      <c r="CF100" s="30" t="n">
        <f aca="false">-CF53</f>
        <v>-0</v>
      </c>
      <c r="CG100" s="30" t="n">
        <f aca="false">-CG53</f>
        <v>-0</v>
      </c>
      <c r="CH100" s="30" t="n">
        <f aca="false">-CH53</f>
        <v>-0</v>
      </c>
      <c r="CI100" s="30" t="n">
        <f aca="false">-CI53</f>
        <v>-0</v>
      </c>
      <c r="CJ100" s="30" t="n">
        <f aca="false">-CJ53</f>
        <v>-0</v>
      </c>
      <c r="CK100" s="30" t="n">
        <f aca="false">-CK53</f>
        <v>-0</v>
      </c>
      <c r="CL100" s="30" t="n">
        <f aca="false">-CL53</f>
        <v>-0</v>
      </c>
      <c r="CM100" s="30" t="n">
        <f aca="false">-CM53</f>
        <v>-0</v>
      </c>
      <c r="CN100" s="30" t="n">
        <f aca="false">-CN53</f>
        <v>-0</v>
      </c>
      <c r="CO100" s="30" t="n">
        <f aca="false">-CO53</f>
        <v>-0</v>
      </c>
      <c r="CP100" s="30" t="n">
        <f aca="false">-CP53</f>
        <v>-0</v>
      </c>
      <c r="CQ100" s="30" t="n">
        <f aca="false">-CQ53</f>
        <v>-0</v>
      </c>
      <c r="CR100" s="30" t="n">
        <f aca="false">-CR53</f>
        <v>-0</v>
      </c>
      <c r="CS100" s="30" t="n">
        <f aca="false">-CS53</f>
        <v>-0</v>
      </c>
      <c r="CT100" s="30" t="n">
        <f aca="false">-CT53</f>
        <v>-0</v>
      </c>
      <c r="CU100" s="30" t="n">
        <f aca="false">-CU53</f>
        <v>-0</v>
      </c>
      <c r="CV100" s="30" t="n">
        <f aca="false">-CV53</f>
        <v>-0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-0</v>
      </c>
      <c r="CG101" s="30" t="n">
        <f aca="false">-CG54</f>
        <v>-0</v>
      </c>
      <c r="CH101" s="30" t="n">
        <f aca="false">-CH54</f>
        <v>-0</v>
      </c>
      <c r="CI101" s="30" t="n">
        <f aca="false">-CI54</f>
        <v>-0</v>
      </c>
      <c r="CJ101" s="30" t="n">
        <f aca="false">-CJ54</f>
        <v>-0</v>
      </c>
      <c r="CK101" s="30" t="n">
        <f aca="false">-CK54</f>
        <v>-0</v>
      </c>
      <c r="CL101" s="30" t="n">
        <f aca="false">-CL54</f>
        <v>-0</v>
      </c>
      <c r="CM101" s="30" t="n">
        <f aca="false">-CM54</f>
        <v>-0</v>
      </c>
      <c r="CN101" s="30" t="n">
        <f aca="false">-CN54</f>
        <v>-0</v>
      </c>
      <c r="CO101" s="30" t="n">
        <f aca="false">-CO54</f>
        <v>-0</v>
      </c>
      <c r="CP101" s="30" t="n">
        <f aca="false">-CP54</f>
        <v>-0</v>
      </c>
      <c r="CQ101" s="30" t="n">
        <f aca="false">-CQ54</f>
        <v>-0</v>
      </c>
      <c r="CR101" s="30" t="n">
        <f aca="false">-CR54</f>
        <v>-0</v>
      </c>
      <c r="CS101" s="30" t="n">
        <f aca="false">-CS54</f>
        <v>-0</v>
      </c>
      <c r="CT101" s="30" t="n">
        <f aca="false">-CT54</f>
        <v>-0</v>
      </c>
      <c r="CU101" s="30" t="n">
        <f aca="false">-CU54</f>
        <v>-0</v>
      </c>
      <c r="CV101" s="30" t="n">
        <f aca="false">-CV54</f>
        <v>-0</v>
      </c>
      <c r="CW101" s="30" t="n">
        <f aca="false">-CW54</f>
        <v>-0</v>
      </c>
      <c r="CX101" s="30" t="n">
        <f aca="false">-CX54</f>
        <v>-0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-0</v>
      </c>
      <c r="CI102" s="30" t="n">
        <f aca="false">-CI55</f>
        <v>-0</v>
      </c>
      <c r="CJ102" s="30" t="n">
        <f aca="false">-CJ55</f>
        <v>-0</v>
      </c>
      <c r="CK102" s="30" t="n">
        <f aca="false">-CK55</f>
        <v>-0</v>
      </c>
      <c r="CL102" s="30" t="n">
        <f aca="false">-CL55</f>
        <v>-0</v>
      </c>
      <c r="CM102" s="30" t="n">
        <f aca="false">-CM55</f>
        <v>-0</v>
      </c>
      <c r="CN102" s="30" t="n">
        <f aca="false">-CN55</f>
        <v>-0</v>
      </c>
      <c r="CO102" s="30" t="n">
        <f aca="false">-CO55</f>
        <v>-0</v>
      </c>
      <c r="CP102" s="30" t="n">
        <f aca="false">-CP55</f>
        <v>-0</v>
      </c>
      <c r="CQ102" s="30" t="n">
        <f aca="false">-CQ55</f>
        <v>-0</v>
      </c>
      <c r="CR102" s="30" t="n">
        <f aca="false">-CR55</f>
        <v>-0</v>
      </c>
      <c r="CS102" s="30" t="n">
        <f aca="false">-CS55</f>
        <v>-0</v>
      </c>
      <c r="CT102" s="30" t="n">
        <f aca="false">-CT55</f>
        <v>-0</v>
      </c>
      <c r="CU102" s="30" t="n">
        <f aca="false">-CU55</f>
        <v>-0</v>
      </c>
      <c r="CV102" s="30" t="n">
        <f aca="false">-CV55</f>
        <v>-0</v>
      </c>
      <c r="CW102" s="30" t="n">
        <f aca="false">-CW55</f>
        <v>-0</v>
      </c>
      <c r="CX102" s="30" t="n">
        <f aca="false">-CX55</f>
        <v>-0</v>
      </c>
      <c r="CY102" s="30" t="n">
        <f aca="false">-CY55</f>
        <v>-0</v>
      </c>
      <c r="CZ102" s="30" t="n">
        <f aca="false">-CZ55</f>
        <v>-0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-5956759.58788574</v>
      </c>
      <c r="L104" s="34" t="n">
        <f aca="false">SUM(L60:L103)</f>
        <v>-6595501.52026872</v>
      </c>
      <c r="M104" s="34" t="n">
        <f aca="false">SUM(M60:M103)</f>
        <v>-6407862.96724029</v>
      </c>
      <c r="N104" s="34" t="n">
        <f aca="false">SUM(N60:N103)</f>
        <v>-6751571.65781459</v>
      </c>
      <c r="O104" s="34" t="n">
        <f aca="false">SUM(O60:O103)</f>
        <v>-7054725.27240969</v>
      </c>
      <c r="P104" s="34" t="n">
        <f aca="false">SUM(P60:P103)</f>
        <v>-7306176.157105</v>
      </c>
      <c r="Q104" s="34" t="n">
        <f aca="false">SUM(Q60:Q103)</f>
        <v>-8049638.65621928</v>
      </c>
      <c r="R104" s="34" t="n">
        <f aca="false">SUM(R60:R103)</f>
        <v>-8268856.7510325</v>
      </c>
      <c r="S104" s="34" t="n">
        <f aca="false">SUM(S60:S103)</f>
        <v>-8405577.79139667</v>
      </c>
      <c r="T104" s="34" t="n">
        <f aca="false">SUM(T60:T103)</f>
        <v>-7874124.90928784</v>
      </c>
      <c r="U104" s="34" t="n">
        <f aca="false">SUM(U60:U103)</f>
        <v>-7508401.78160142</v>
      </c>
      <c r="V104" s="34" t="n">
        <f aca="false">SUM(V60:V103)</f>
        <v>-7542074.52301243</v>
      </c>
      <c r="W104" s="34" t="n">
        <f aca="false">SUM(W60:W103)</f>
        <v>-7447523.40957101</v>
      </c>
      <c r="X104" s="34" t="n">
        <f aca="false">SUM(X60:X103)</f>
        <v>-7175955.65693545</v>
      </c>
      <c r="Y104" s="34" t="n">
        <f aca="false">SUM(Y60:Y103)</f>
        <v>-6880520.00670545</v>
      </c>
      <c r="Z104" s="34" t="n">
        <f aca="false">SUM(Z60:Z103)</f>
        <v>-6505501.24371945</v>
      </c>
      <c r="AA104" s="34" t="n">
        <f aca="false">SUM(AA60:AA103)</f>
        <v>-6073831.21910045</v>
      </c>
      <c r="AB104" s="34" t="n">
        <f aca="false">SUM(AB60:AB103)</f>
        <v>-5607878.09822645</v>
      </c>
      <c r="AC104" s="34" t="n">
        <f aca="false">SUM(AC60:AC103)</f>
        <v>-4942716.20886125</v>
      </c>
      <c r="AD104" s="34" t="n">
        <f aca="false">SUM(AD60:AD103)</f>
        <v>-4191648.30843365</v>
      </c>
      <c r="AE104" s="34" t="n">
        <f aca="false">SUM(AE60:AE103)</f>
        <v>-3940232.5811411</v>
      </c>
      <c r="AF104" s="34" t="n">
        <f aca="false">SUM(AF60:AF103)</f>
        <v>-3827138.6083041</v>
      </c>
      <c r="AG104" s="34" t="n">
        <f aca="false">SUM(AG60:AG103)</f>
        <v>-3707854.3016391</v>
      </c>
      <c r="AH104" s="34" t="n">
        <f aca="false">SUM(AH60:AH103)</f>
        <v>-2855162.6339251</v>
      </c>
      <c r="AI104" s="34" t="n">
        <f aca="false">SUM(AI60:AI103)</f>
        <v>-2738010.36288435</v>
      </c>
      <c r="AJ104" s="34" t="n">
        <f aca="false">SUM(AJ60:AJ103)</f>
        <v>-2961685.49998524</v>
      </c>
      <c r="AK104" s="34" t="n">
        <f aca="false">SUM(AK60:AK103)</f>
        <v>-2940263.62003724</v>
      </c>
      <c r="AL104" s="34" t="n">
        <f aca="false">SUM(AL60:AL103)</f>
        <v>-2903871.76042924</v>
      </c>
      <c r="AM104" s="34" t="n">
        <f aca="false">SUM(AM60:AM103)</f>
        <v>-2594668.68349784</v>
      </c>
      <c r="AN104" s="34" t="n">
        <f aca="false">SUM(AN60:AN103)</f>
        <v>-2857832.82197891</v>
      </c>
      <c r="AO104" s="34" t="n">
        <f aca="false">SUM(AO60:AO103)</f>
        <v>-2717434.98835224</v>
      </c>
      <c r="AP104" s="34" t="n">
        <f aca="false">SUM(AP60:AP103)</f>
        <v>-2661368.68946424</v>
      </c>
      <c r="AQ104" s="34" t="n">
        <f aca="false">SUM(AQ60:AQ103)</f>
        <v>-2590847.27570024</v>
      </c>
      <c r="AR104" s="34" t="n">
        <f aca="false">SUM(AR60:AR103)</f>
        <v>-2506479.90028024</v>
      </c>
      <c r="AS104" s="34" t="n">
        <f aca="false">SUM(AS60:AS103)</f>
        <v>-2409088.63497424</v>
      </c>
      <c r="AT104" s="34" t="n">
        <f aca="false">SUM(AT60:AT103)</f>
        <v>-2027193.26653074</v>
      </c>
      <c r="AU104" s="34" t="n">
        <f aca="false">SUM(AU60:AU103)</f>
        <v>-1724513.72534745</v>
      </c>
      <c r="AV104" s="34" t="n">
        <f aca="false">SUM(AV60:AV103)</f>
        <v>-1687294.55654745</v>
      </c>
      <c r="AW104" s="34" t="n">
        <f aca="false">SUM(AW60:AW103)</f>
        <v>-1632789.15157145</v>
      </c>
      <c r="AX104" s="34" t="n">
        <f aca="false">SUM(AX60:AX103)</f>
        <v>-1562651.69569945</v>
      </c>
      <c r="AY104" s="34" t="n">
        <f aca="false">SUM(AY60:AY103)</f>
        <v>-1478825.85663545</v>
      </c>
      <c r="AZ104" s="34" t="n">
        <f aca="false">SUM(AZ60:AZ103)</f>
        <v>-1383586.13913945</v>
      </c>
      <c r="BA104" s="34" t="n">
        <f aca="false">SUM(BA60:BA103)</f>
        <v>-1279496.53039545</v>
      </c>
      <c r="BB104" s="34" t="n">
        <f aca="false">SUM(BB60:BB103)</f>
        <v>-1169079.66295545</v>
      </c>
      <c r="BC104" s="34" t="n">
        <f aca="false">SUM(BC60:BC103)</f>
        <v>-1054982.23326745</v>
      </c>
      <c r="BD104" s="34" t="n">
        <f aca="false">SUM(BD60:BD103)</f>
        <v>-939685.519251453</v>
      </c>
      <c r="BE104" s="34" t="n">
        <f aca="false">SUM(BE60:BE103)</f>
        <v>-825464.025667453</v>
      </c>
      <c r="BF104" s="34" t="n">
        <f aca="false">SUM(BF60:BF103)</f>
        <v>-714385.484115453</v>
      </c>
      <c r="BG104" s="34" t="n">
        <f aca="false">SUM(BG60:BG103)</f>
        <v>-608145.434507453</v>
      </c>
      <c r="BH104" s="34" t="n">
        <f aca="false">SUM(BH60:BH103)</f>
        <v>-259255.013907853</v>
      </c>
      <c r="BI104" s="34" t="n">
        <f aca="false">SUM(BI60:BI103)</f>
        <v>0</v>
      </c>
      <c r="BJ104" s="34" t="n">
        <f aca="false">SUM(BJ60:BJ103)</f>
        <v>0</v>
      </c>
      <c r="BK104" s="34" t="n">
        <f aca="false">SUM(BK60:BK103)</f>
        <v>0</v>
      </c>
      <c r="BL104" s="34" t="n">
        <f aca="false">SUM(BL60:BL103)</f>
        <v>0</v>
      </c>
      <c r="BM104" s="34" t="n">
        <f aca="false">SUM(BM60:BM103)</f>
        <v>0</v>
      </c>
      <c r="BN104" s="34" t="n">
        <f aca="false">SUM(BN60:BN103)</f>
        <v>0</v>
      </c>
      <c r="BO104" s="34" t="n">
        <f aca="false">SUM(BO60:BO103)</f>
        <v>0</v>
      </c>
      <c r="BP104" s="34" t="n">
        <f aca="false">SUM(BP60:BP103)</f>
        <v>0</v>
      </c>
      <c r="BQ104" s="34" t="n">
        <f aca="false">SUM(BQ60:BQ103)</f>
        <v>0</v>
      </c>
      <c r="BR104" s="34" t="n">
        <f aca="false">SUM(BR60:BR103)</f>
        <v>0</v>
      </c>
      <c r="BS104" s="34" t="n">
        <f aca="false">SUM(BS60:BS103)</f>
        <v>0</v>
      </c>
      <c r="BT104" s="34" t="n">
        <f aca="false">SUM(BT60:BT103)</f>
        <v>0</v>
      </c>
      <c r="BU104" s="34" t="n">
        <f aca="false">SUM(BU60:BU103)</f>
        <v>0</v>
      </c>
      <c r="BV104" s="34" t="n">
        <f aca="false">SUM(BV60:BV103)</f>
        <v>0</v>
      </c>
      <c r="BW104" s="34" t="n">
        <f aca="false">SUM(BW60:BW103)</f>
        <v>0</v>
      </c>
      <c r="BX104" s="34" t="n">
        <f aca="false">SUM(BX60:BX103)</f>
        <v>0</v>
      </c>
      <c r="BY104" s="34" t="n">
        <f aca="false">SUM(BY60:BY103)</f>
        <v>0</v>
      </c>
      <c r="BZ104" s="34" t="n">
        <f aca="false">SUM(BZ60:BZ103)</f>
        <v>0</v>
      </c>
      <c r="CA104" s="34" t="n">
        <f aca="false">SUM(CA60:CA103)</f>
        <v>0</v>
      </c>
      <c r="CB104" s="34" t="n">
        <f aca="false">SUM(CB60:CB103)</f>
        <v>0</v>
      </c>
      <c r="CC104" s="34" t="n">
        <f aca="false">SUM(CC60:CC103)</f>
        <v>0</v>
      </c>
      <c r="CD104" s="34" t="n">
        <f aca="false">SUM(CD60:CD103)</f>
        <v>0</v>
      </c>
      <c r="CE104" s="34" t="n">
        <f aca="false">SUM(CE60:CE103)</f>
        <v>0</v>
      </c>
      <c r="CF104" s="34" t="n">
        <f aca="false">SUM(CF60:CF103)</f>
        <v>0</v>
      </c>
      <c r="CG104" s="34" t="n">
        <f aca="false">SUM(CG60:CG103)</f>
        <v>0</v>
      </c>
      <c r="CH104" s="34" t="n">
        <f aca="false">SUM(CH60:CH103)</f>
        <v>0</v>
      </c>
      <c r="CI104" s="34" t="n">
        <f aca="false">SUM(CI60:CI103)</f>
        <v>0</v>
      </c>
      <c r="CJ104" s="34" t="n">
        <f aca="false">SUM(CJ60:CJ103)</f>
        <v>0</v>
      </c>
      <c r="CK104" s="34" t="n">
        <f aca="false">SUM(CK60:CK103)</f>
        <v>0</v>
      </c>
      <c r="CL104" s="34" t="n">
        <f aca="false">SUM(CL60:CL103)</f>
        <v>0</v>
      </c>
      <c r="CM104" s="34" t="n">
        <f aca="false">SUM(CM60:CM103)</f>
        <v>0</v>
      </c>
      <c r="CN104" s="34" t="n">
        <f aca="false">SUM(CN60:CN103)</f>
        <v>0</v>
      </c>
      <c r="CO104" s="34" t="n">
        <f aca="false">SUM(CO60:CO103)</f>
        <v>0</v>
      </c>
      <c r="CP104" s="34" t="n">
        <f aca="false">SUM(CP60:CP103)</f>
        <v>0</v>
      </c>
      <c r="CQ104" s="34" t="n">
        <f aca="false">SUM(CQ60:CQ103)</f>
        <v>0</v>
      </c>
      <c r="CR104" s="34" t="n">
        <f aca="false">SUM(CR60:CR103)</f>
        <v>0</v>
      </c>
      <c r="CS104" s="34" t="n">
        <f aca="false">SUM(CS60:CS103)</f>
        <v>0</v>
      </c>
      <c r="CT104" s="34" t="n">
        <f aca="false">SUM(CT60:CT103)</f>
        <v>0</v>
      </c>
      <c r="CU104" s="34" t="n">
        <f aca="false">SUM(CU60:CU103)</f>
        <v>0</v>
      </c>
      <c r="CV104" s="34" t="n">
        <f aca="false">SUM(CV60:CV103)</f>
        <v>0</v>
      </c>
      <c r="CW104" s="34" t="n">
        <f aca="false">SUM(CW60:CW103)</f>
        <v>0</v>
      </c>
      <c r="CX104" s="34" t="n">
        <f aca="false">SUM(CX60:CX103)</f>
        <v>0</v>
      </c>
      <c r="CY104" s="34" t="n">
        <f aca="false">SUM(CY60:CY103)</f>
        <v>0</v>
      </c>
      <c r="CZ104" s="34" t="n">
        <f aca="false">SUM(CZ60:CZ103)</f>
        <v>0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1049013.66349806</v>
      </c>
      <c r="L107" s="36" t="n">
        <f aca="false">L10+L11+L57+L104+L105+L106</f>
        <v>1065678.87784947</v>
      </c>
      <c r="M107" s="36" t="n">
        <f aca="false">M10+M11+M57+M104+M105+M106</f>
        <v>825987.908217355</v>
      </c>
      <c r="N107" s="36" t="n">
        <f aca="false">N10+N11+N57+N104+N105+N106</f>
        <v>803855.484830427</v>
      </c>
      <c r="O107" s="36" t="n">
        <f aca="false">O10+O11+O57+O104+O105+O106</f>
        <v>777785.731185814</v>
      </c>
      <c r="P107" s="36" t="n">
        <f aca="false">P10+P11+P57+P104+P105+P106</f>
        <v>749141.894639841</v>
      </c>
      <c r="Q107" s="36" t="n">
        <f aca="false">Q10+Q11+Q57+Q104+Q105+Q106</f>
        <v>99720.2909647378</v>
      </c>
      <c r="R107" s="36" t="n">
        <f aca="false">R10+R11+R57+R104+R105+R106</f>
        <v>862161.04321787</v>
      </c>
      <c r="S107" s="36" t="n">
        <f aca="false">S10+S11+S57+S104+S105+S106</f>
        <v>833652.52003897</v>
      </c>
      <c r="T107" s="36" t="n">
        <f aca="false">T10+T11+T57+T104+T105+T106</f>
        <v>755918.955483583</v>
      </c>
      <c r="U107" s="36" t="n">
        <f aca="false">U10+U11+U57+U104+U105+U106</f>
        <v>701197.650644842</v>
      </c>
      <c r="V107" s="36" t="n">
        <f aca="false">V10+V11+V57+V104+V105+V106</f>
        <v>698136.127484184</v>
      </c>
      <c r="W107" s="36" t="n">
        <f aca="false">W10+W11+W57+W104+W105+W106</f>
        <v>695291.885464374</v>
      </c>
      <c r="X107" s="36" t="n">
        <f aca="false">X10+X11+X57+X104+X105+X106</f>
        <v>683212.96720055</v>
      </c>
      <c r="Y107" s="36" t="n">
        <f aca="false">Y10+Y11+Y57+Y104+Y105+Y106</f>
        <v>683212.96720055</v>
      </c>
      <c r="Z107" s="36" t="n">
        <f aca="false">Z10+Z11+Z57+Z104+Z105+Z106</f>
        <v>683212.96720055</v>
      </c>
      <c r="AA107" s="36" t="n">
        <f aca="false">AA10+AA11+AA57+AA104+AA105+AA106</f>
        <v>683212.96720055</v>
      </c>
      <c r="AB107" s="36" t="n">
        <f aca="false">AB10+AB11+AB57+AB104+AB105+AB106</f>
        <v>683212.96720055</v>
      </c>
      <c r="AC107" s="36" t="n">
        <f aca="false">AC10+AC11+AC57+AC104+AC105+AC106</f>
        <v>868302.596242751</v>
      </c>
      <c r="AD107" s="36" t="n">
        <f aca="false">AD10+AD11+AD57+AD104+AD105+AD106</f>
        <v>498123.33815835</v>
      </c>
      <c r="AE107" s="36" t="n">
        <f aca="false">AE10+AE11+AE57+AE104+AE105+AE106</f>
        <v>-67923.0809731032</v>
      </c>
      <c r="AF107" s="36" t="n">
        <f aca="false">AF10+AF11+AF57+AF104+AF105+AF106</f>
        <v>655782.979026897</v>
      </c>
      <c r="AG107" s="36" t="n">
        <f aca="false">AG10+AG11+AG57+AG104+AG105+AG106</f>
        <v>655782.979026897</v>
      </c>
      <c r="AH107" s="36" t="n">
        <f aca="false">AH10+AH11+AH57+AH104+AH105+AH106</f>
        <v>655782.979026897</v>
      </c>
      <c r="AI107" s="36" t="n">
        <f aca="false">AI10+AI11+AI57+AI104+AI105+AI106</f>
        <v>783779.108594647</v>
      </c>
      <c r="AJ107" s="36" t="n">
        <f aca="false">AJ10+AJ11+AJ57+AJ104+AJ105+AJ106</f>
        <v>554452.709785762</v>
      </c>
      <c r="AK107" s="36" t="n">
        <f aca="false">AK10+AK11+AK57+AK104+AK105+AK106</f>
        <v>554452.709785761</v>
      </c>
      <c r="AL107" s="36" t="n">
        <f aca="false">AL10+AL11+AL57+AL104+AL105+AL106</f>
        <v>554452.709785761</v>
      </c>
      <c r="AM107" s="36" t="n">
        <f aca="false">AM10+AM11+AM57+AM104+AM105+AM106</f>
        <v>813103.430944162</v>
      </c>
      <c r="AN107" s="36" t="n">
        <f aca="false">AN10+AN11+AN57+AN104+AN105+AN106</f>
        <v>486019.651848092</v>
      </c>
      <c r="AO107" s="36" t="n">
        <f aca="false">AO10+AO11+AO57+AO104+AO105+AO106</f>
        <v>330233.844925763</v>
      </c>
      <c r="AP107" s="36" t="n">
        <f aca="false">AP10+AP11+AP57+AP104+AP105+AP106</f>
        <v>330233.844925763</v>
      </c>
      <c r="AQ107" s="36" t="n">
        <f aca="false">AQ10+AQ11+AQ57+AQ104+AQ105+AQ106</f>
        <v>330233.844925763</v>
      </c>
      <c r="AR107" s="36" t="n">
        <f aca="false">AR10+AR11+AR57+AR104+AR105+AR106</f>
        <v>330233.844925764</v>
      </c>
      <c r="AS107" s="36" t="n">
        <f aca="false">AS10+AS11+AS57+AS104+AS105+AS106</f>
        <v>330233.844925763</v>
      </c>
      <c r="AT107" s="36" t="n">
        <f aca="false">AT10+AT11+AT57+AT104+AT105+AT106</f>
        <v>602719.430279263</v>
      </c>
      <c r="AU107" s="36" t="n">
        <f aca="false">AU10+AU11+AU57+AU104+AU105+AU106</f>
        <v>157659.640868547</v>
      </c>
      <c r="AV107" s="36" t="n">
        <f aca="false">AV10+AV11+AV57+AV104+AV105+AV106</f>
        <v>157659.640868547</v>
      </c>
      <c r="AW107" s="36" t="n">
        <f aca="false">AW10+AW11+AW57+AW104+AW105+AW106</f>
        <v>157659.640868547</v>
      </c>
      <c r="AX107" s="36" t="n">
        <f aca="false">AX10+AX11+AX57+AX104+AX105+AX106</f>
        <v>157659.640868547</v>
      </c>
      <c r="AY107" s="36" t="n">
        <f aca="false">AY10+AY11+AY57+AY104+AY105+AY106</f>
        <v>157659.640868547</v>
      </c>
      <c r="AZ107" s="36" t="n">
        <f aca="false">AZ10+AZ11+AZ57+AZ104+AZ105+AZ106</f>
        <v>157659.640868547</v>
      </c>
      <c r="BA107" s="36" t="n">
        <f aca="false">BA10+BA11+BA57+BA104+BA105+BA106</f>
        <v>157659.640868547</v>
      </c>
      <c r="BB107" s="36" t="n">
        <f aca="false">BB10+BB11+BB57+BB104+BB105+BB106</f>
        <v>157659.640868547</v>
      </c>
      <c r="BC107" s="36" t="n">
        <f aca="false">BC10+BC11+BC57+BC104+BC105+BC106</f>
        <v>157659.640868547</v>
      </c>
      <c r="BD107" s="36" t="n">
        <f aca="false">BD10+BD11+BD57+BD104+BD105+BD106</f>
        <v>157659.640868547</v>
      </c>
      <c r="BE107" s="36" t="n">
        <f aca="false">BE10+BE11+BE57+BE104+BE105+BE106</f>
        <v>157659.640868547</v>
      </c>
      <c r="BF107" s="36" t="n">
        <f aca="false">BF10+BF11+BF57+BF104+BF105+BF106</f>
        <v>157659.640868547</v>
      </c>
      <c r="BG107" s="36" t="n">
        <f aca="false">BG10+BG11+BG57+BG104+BG105+BG106</f>
        <v>157659.640868547</v>
      </c>
      <c r="BH107" s="36" t="n">
        <f aca="false">BH10+BH11+BH57+BH104+BH105+BH106</f>
        <v>406595.915924147</v>
      </c>
      <c r="BI107" s="36" t="n">
        <f aca="false">BI10+BI11+BI57+BI104+BI105+BI106</f>
        <v>0</v>
      </c>
      <c r="BJ107" s="36" t="n">
        <f aca="false">BJ10+BJ11+BJ57+BJ104+BJ105+BJ106</f>
        <v>0</v>
      </c>
      <c r="BK107" s="36" t="n">
        <f aca="false">BK10+BK11+BK57+BK104+BK105+BK106</f>
        <v>0</v>
      </c>
      <c r="BL107" s="36" t="n">
        <f aca="false">BL10+BL11+BL57+BL104+BL105+BL106</f>
        <v>0</v>
      </c>
      <c r="BM107" s="36" t="n">
        <f aca="false">BM10+BM11+BM57+BM104+BM105+BM106</f>
        <v>0</v>
      </c>
      <c r="BN107" s="36" t="n">
        <f aca="false">BN10+BN11+BN57+BN104+BN105+BN106</f>
        <v>0</v>
      </c>
      <c r="BO107" s="36" t="n">
        <f aca="false">BO10+BO11+BO57+BO104+BO105+BO106</f>
        <v>0</v>
      </c>
      <c r="BP107" s="36" t="n">
        <f aca="false">BP10+BP11+BP57+BP104+BP105+BP106</f>
        <v>0</v>
      </c>
      <c r="BQ107" s="36" t="n">
        <f aca="false">BQ10+BQ11+BQ57+BQ104+BQ105+BQ106</f>
        <v>0</v>
      </c>
      <c r="BR107" s="36" t="n">
        <f aca="false">BR10+BR11+BR57+BR104+BR105+BR106</f>
        <v>0</v>
      </c>
      <c r="BS107" s="36" t="n">
        <f aca="false">BS10+BS11+BS57+BS104+BS105+BS106</f>
        <v>0</v>
      </c>
      <c r="BT107" s="36" t="n">
        <f aca="false">BT10+BT11+BT57+BT104+BT105+BT106</f>
        <v>0</v>
      </c>
      <c r="BU107" s="36" t="n">
        <f aca="false">BU10+BU11+BU57+BU104+BU105+BU106</f>
        <v>0</v>
      </c>
      <c r="BV107" s="36" t="n">
        <f aca="false">BV10+BV11+BV57+BV104+BV105+BV106</f>
        <v>0</v>
      </c>
      <c r="BW107" s="36" t="n">
        <f aca="false">BW10+BW11+BW57+BW104+BW105+BW106</f>
        <v>0</v>
      </c>
      <c r="BX107" s="36" t="n">
        <f aca="false">BX10+BX11+BX57+BX104+BX105+BX106</f>
        <v>0</v>
      </c>
      <c r="BY107" s="36" t="n">
        <f aca="false">BY10+BY11+BY57+BY104+BY105+BY106</f>
        <v>0</v>
      </c>
      <c r="BZ107" s="36" t="n">
        <f aca="false">BZ10+BZ11+BZ57+BZ104+BZ105+BZ106</f>
        <v>0</v>
      </c>
      <c r="CA107" s="36" t="n">
        <f aca="false">CA10+CA11+CA57+CA104+CA105+CA106</f>
        <v>0</v>
      </c>
      <c r="CB107" s="36" t="n">
        <f aca="false">CB10+CB11+CB57+CB104+CB105+CB106</f>
        <v>0</v>
      </c>
      <c r="CC107" s="36" t="n">
        <f aca="false">CC10+CC11+CC57+CC104+CC105+CC106</f>
        <v>0</v>
      </c>
      <c r="CD107" s="36" t="n">
        <f aca="false">CD10+CD11+CD57+CD104+CD105+CD106</f>
        <v>0</v>
      </c>
      <c r="CE107" s="36" t="n">
        <f aca="false">CE10+CE11+CE57+CE104+CE105+CE106</f>
        <v>0</v>
      </c>
      <c r="CF107" s="36" t="n">
        <f aca="false">CF10+CF11+CF57+CF104+CF105+CF106</f>
        <v>0</v>
      </c>
      <c r="CG107" s="36" t="n">
        <f aca="false">CG10+CG11+CG57+CG104+CG105+CG106</f>
        <v>0</v>
      </c>
      <c r="CH107" s="36" t="n">
        <f aca="false">CH10+CH11+CH57+CH104+CH105+CH106</f>
        <v>0</v>
      </c>
      <c r="CI107" s="36" t="n">
        <f aca="false">CI10+CI11+CI57+CI104+CI105+CI106</f>
        <v>0</v>
      </c>
      <c r="CJ107" s="36" t="n">
        <f aca="false">CJ10+CJ11+CJ57+CJ104+CJ105+CJ106</f>
        <v>0</v>
      </c>
      <c r="CK107" s="36" t="n">
        <f aca="false">CK10+CK11+CK57+CK104+CK105+CK106</f>
        <v>0</v>
      </c>
      <c r="CL107" s="36" t="n">
        <f aca="false">CL10+CL11+CL57+CL104+CL105+CL106</f>
        <v>0</v>
      </c>
      <c r="CM107" s="36" t="n">
        <f aca="false">CM10+CM11+CM57+CM104+CM105+CM106</f>
        <v>0</v>
      </c>
      <c r="CN107" s="36" t="n">
        <f aca="false">CN10+CN11+CN57+CN104+CN105+CN106</f>
        <v>0</v>
      </c>
      <c r="CO107" s="36" t="n">
        <f aca="false">CO10+CO11+CO57+CO104+CO105+CO106</f>
        <v>0</v>
      </c>
      <c r="CP107" s="36" t="n">
        <f aca="false">CP10+CP11+CP57+CP104+CP105+CP106</f>
        <v>0</v>
      </c>
      <c r="CQ107" s="36" t="n">
        <f aca="false">CQ10+CQ11+CQ57+CQ104+CQ105+CQ106</f>
        <v>0</v>
      </c>
      <c r="CR107" s="36" t="n">
        <f aca="false">CR10+CR11+CR57+CR104+CR105+CR106</f>
        <v>0</v>
      </c>
      <c r="CS107" s="36" t="n">
        <f aca="false">CS10+CS11+CS57+CS104+CS105+CS106</f>
        <v>0</v>
      </c>
      <c r="CT107" s="36" t="n">
        <f aca="false">CT10+CT11+CT57+CT104+CT105+CT106</f>
        <v>0</v>
      </c>
      <c r="CU107" s="36" t="n">
        <f aca="false">CU10+CU11+CU57+CU104+CU105+CU106</f>
        <v>0</v>
      </c>
      <c r="CV107" s="36" t="n">
        <f aca="false">CV10+CV11+CV57+CV104+CV105+CV106</f>
        <v>0</v>
      </c>
      <c r="CW107" s="36" t="n">
        <f aca="false">CW10+CW11+CW57+CW104+CW105+CW106</f>
        <v>0</v>
      </c>
      <c r="CX107" s="36" t="n">
        <f aca="false">CX10+CX11+CX57+CX104+CX105+CX106</f>
        <v>0</v>
      </c>
      <c r="CY107" s="36" t="n">
        <f aca="false">CY10+CY11+CY57+CY104+CY105+CY106</f>
        <v>0</v>
      </c>
      <c r="CZ107" s="36" t="n">
        <f aca="false">CZ10+CZ11+CZ57+CZ104+CZ105+CZ106</f>
        <v>0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0.154680798598312</v>
      </c>
      <c r="L108" s="37" t="n">
        <f aca="false">IFERROR(L107/L58,0)</f>
        <v>0.142098502601273</v>
      </c>
      <c r="M108" s="37" t="n">
        <f aca="false">IFERROR(M107/M58,0)</f>
        <v>0.114183706913242</v>
      </c>
      <c r="N108" s="37" t="n">
        <f aca="false">IFERROR(N107/N58,0)</f>
        <v>0.106394445959678</v>
      </c>
      <c r="O108" s="37" t="n">
        <f aca="false">IFERROR(O107/O58,0)</f>
        <v>0.0993022200452412</v>
      </c>
      <c r="P108" s="37" t="n">
        <f aca="false">IFERROR(P107/P58,0)</f>
        <v>0.0929996667825638</v>
      </c>
      <c r="Q108" s="37" t="n">
        <f aca="false">IFERROR(Q107/Q58,0)</f>
        <v>0.0111524895307407</v>
      </c>
      <c r="R108" s="37" t="n">
        <f aca="false">IFERROR(R107/R58,0)</f>
        <v>0.0944211327417144</v>
      </c>
      <c r="S108" s="37" t="n">
        <f aca="false">IFERROR(S107/S58,0)</f>
        <v>0.0902296502996723</v>
      </c>
      <c r="T108" s="37" t="n">
        <f aca="false">IFERROR(T107/T58,0)</f>
        <v>0.0875915542642036</v>
      </c>
      <c r="U108" s="37" t="n">
        <f aca="false">IFERROR(U107/U58,0)</f>
        <v>0.0854119200859699</v>
      </c>
      <c r="V108" s="37" t="n">
        <f aca="false">IFERROR(V107/V58,0)</f>
        <v>0.0847230922964463</v>
      </c>
      <c r="W108" s="37" t="n">
        <f aca="false">IFERROR(W107/W58,0)</f>
        <v>0.0853871615985553</v>
      </c>
      <c r="X108" s="37" t="n">
        <f aca="false">IFERROR(X107/X58,0)</f>
        <v>0.0869319644195393</v>
      </c>
      <c r="Y108" s="37" t="n">
        <f aca="false">IFERROR(Y107/Y58,0)</f>
        <v>0.0903274837381959</v>
      </c>
      <c r="Z108" s="37" t="n">
        <f aca="false">IFERROR(Z107/Z58,0)</f>
        <v>0.095039661774663</v>
      </c>
      <c r="AA108" s="37" t="n">
        <f aca="false">IFERROR(AA107/AA58,0)</f>
        <v>0.101111217917691</v>
      </c>
      <c r="AB108" s="37" t="n">
        <f aca="false">IFERROR(AB107/AB58,0)</f>
        <v>0.108600075900217</v>
      </c>
      <c r="AC108" s="37" t="n">
        <f aca="false">IFERROR(AC107/AC58,0)</f>
        <v>0.14942347036979</v>
      </c>
      <c r="AD108" s="37" t="n">
        <f aca="false">IFERROR(AD107/AD58,0)</f>
        <v>0.106214838524245</v>
      </c>
      <c r="AE108" s="37" t="n">
        <f aca="false">IFERROR(AE107/AE58,0)</f>
        <v>-0.0147786882102332</v>
      </c>
      <c r="AF108" s="37" t="n">
        <f aca="false">IFERROR(AF107/AF58,0)</f>
        <v>0.146284731118246</v>
      </c>
      <c r="AG108" s="37" t="n">
        <f aca="false">IFERROR(AG107/AG58,0)</f>
        <v>0.150283567777844</v>
      </c>
      <c r="AH108" s="37" t="n">
        <f aca="false">IFERROR(AH107/AH58,0)</f>
        <v>0.186782437360377</v>
      </c>
      <c r="AI108" s="37" t="n">
        <f aca="false">IFERROR(AI107/AI58,0)</f>
        <v>0.222551380467809</v>
      </c>
      <c r="AJ108" s="37" t="n">
        <f aca="false">IFERROR(AJ107/AJ58,0)</f>
        <v>0.157687973767639</v>
      </c>
      <c r="AK108" s="37" t="n">
        <f aca="false">IFERROR(AK107/AK58,0)</f>
        <v>0.158654568055841</v>
      </c>
      <c r="AL108" s="37" t="n">
        <f aca="false">IFERROR(AL107/AL58,0)</f>
        <v>0.160324086002055</v>
      </c>
      <c r="AM108" s="37" t="n">
        <f aca="false">IFERROR(AM107/AM58,0)</f>
        <v>0.238602642324075</v>
      </c>
      <c r="AN108" s="37" t="n">
        <f aca="false">IFERROR(AN107/AN58,0)</f>
        <v>0.145347217214953</v>
      </c>
      <c r="AO108" s="37" t="n">
        <f aca="false">IFERROR(AO107/AO58,0)</f>
        <v>0.108356210267955</v>
      </c>
      <c r="AP108" s="37" t="n">
        <f aca="false">IFERROR(AP107/AP58,0)</f>
        <v>0.110386938481819</v>
      </c>
      <c r="AQ108" s="37" t="n">
        <f aca="false">IFERROR(AQ107/AQ58,0)</f>
        <v>0.113051925396373</v>
      </c>
      <c r="AR108" s="37" t="n">
        <f aca="false">IFERROR(AR107/AR58,0)</f>
        <v>0.116414229487855</v>
      </c>
      <c r="AS108" s="37" t="n">
        <f aca="false">IFERROR(AS107/AS58,0)</f>
        <v>0.120553110248567</v>
      </c>
      <c r="AT108" s="37" t="n">
        <f aca="false">IFERROR(AT107/AT58,0)</f>
        <v>0.229178493647467</v>
      </c>
      <c r="AU108" s="37" t="n">
        <f aca="false">IFERROR(AU107/AU58,0)</f>
        <v>0.0837646752942383</v>
      </c>
      <c r="AV108" s="37" t="n">
        <f aca="false">IFERROR(AV107/AV58,0)</f>
        <v>0.0854545013038053</v>
      </c>
      <c r="AW108" s="37" t="n">
        <f aca="false">IFERROR(AW107/AW58,0)</f>
        <v>0.0880559340955461</v>
      </c>
      <c r="AX108" s="37" t="n">
        <f aca="false">IFERROR(AX107/AX58,0)</f>
        <v>0.0916459930927827</v>
      </c>
      <c r="AY108" s="37" t="n">
        <f aca="false">IFERROR(AY107/AY58,0)</f>
        <v>0.0963403837730382</v>
      </c>
      <c r="AZ108" s="37" t="n">
        <f aca="false">IFERROR(AZ107/AZ58,0)</f>
        <v>0.102293639933099</v>
      </c>
      <c r="BA108" s="37" t="n">
        <f aca="false">IFERROR(BA107/BA58,0)</f>
        <v>0.109702511126458</v>
      </c>
      <c r="BB108" s="37" t="n">
        <f aca="false">IFERROR(BB107/BB58,0)</f>
        <v>0.118832419009621</v>
      </c>
      <c r="BC108" s="37" t="n">
        <f aca="false">IFERROR(BC107/BC58,0)</f>
        <v>0.130013356978026</v>
      </c>
      <c r="BD108" s="37" t="n">
        <f aca="false">IFERROR(BD107/BD58,0)</f>
        <v>0.143673701400666</v>
      </c>
      <c r="BE108" s="37" t="n">
        <f aca="false">IFERROR(BE107/BE58,0)</f>
        <v>0.160366031492309</v>
      </c>
      <c r="BF108" s="37" t="n">
        <f aca="false">IFERROR(BF107/BF58,0)</f>
        <v>0.180792984619276</v>
      </c>
      <c r="BG108" s="37" t="n">
        <f aca="false">IFERROR(BG107/BG58,0)</f>
        <v>0.205874374482486</v>
      </c>
      <c r="BH108" s="37" t="n">
        <f aca="false">IFERROR(BH107/BH58,0)</f>
        <v>0.610641057491253</v>
      </c>
      <c r="BI108" s="37" t="n">
        <f aca="false">IFERROR(BI107/BI58,0)</f>
        <v>0</v>
      </c>
      <c r="BJ108" s="37" t="n">
        <f aca="false">IFERROR(BJ107/BJ58,0)</f>
        <v>0</v>
      </c>
      <c r="BK108" s="37" t="n">
        <f aca="false">IFERROR(BK107/BK58,0)</f>
        <v>0</v>
      </c>
      <c r="BL108" s="37" t="n">
        <f aca="false">IFERROR(BL107/BL58,0)</f>
        <v>0</v>
      </c>
      <c r="BM108" s="37" t="n">
        <f aca="false">IFERROR(BM107/BM58,0)</f>
        <v>0</v>
      </c>
      <c r="BN108" s="37" t="n">
        <f aca="false">IFERROR(BN107/BN58,0)</f>
        <v>0</v>
      </c>
      <c r="BO108" s="37" t="n">
        <f aca="false">IFERROR(BO107/BO58,0)</f>
        <v>0</v>
      </c>
      <c r="BP108" s="37" t="n">
        <f aca="false">IFERROR(BP107/BP58,0)</f>
        <v>0</v>
      </c>
      <c r="BQ108" s="37" t="n">
        <f aca="false">IFERROR(BQ107/BQ58,0)</f>
        <v>0</v>
      </c>
      <c r="BR108" s="37" t="n">
        <f aca="false">IFERROR(BR107/BR58,0)</f>
        <v>0</v>
      </c>
      <c r="BS108" s="37" t="n">
        <f aca="false">IFERROR(BS107/BS58,0)</f>
        <v>0</v>
      </c>
      <c r="BT108" s="37" t="n">
        <f aca="false">IFERROR(BT107/BT58,0)</f>
        <v>0</v>
      </c>
      <c r="BU108" s="37" t="n">
        <f aca="false">IFERROR(BU107/BU58,0)</f>
        <v>0</v>
      </c>
      <c r="BV108" s="37" t="n">
        <f aca="false">IFERROR(BV107/BV58,0)</f>
        <v>0</v>
      </c>
      <c r="BW108" s="37" t="n">
        <f aca="false">IFERROR(BW107/BW58,0)</f>
        <v>0</v>
      </c>
      <c r="BX108" s="37" t="n">
        <f aca="false">IFERROR(BX107/BX58,0)</f>
        <v>0</v>
      </c>
      <c r="BY108" s="37" t="n">
        <f aca="false">IFERROR(BY107/BY58,0)</f>
        <v>0</v>
      </c>
      <c r="BZ108" s="37" t="n">
        <f aca="false">IFERROR(BZ107/BZ58,0)</f>
        <v>0</v>
      </c>
      <c r="CA108" s="37" t="n">
        <f aca="false">IFERROR(CA107/CA58,0)</f>
        <v>0</v>
      </c>
      <c r="CB108" s="37" t="n">
        <f aca="false">IFERROR(CB107/CB58,0)</f>
        <v>0</v>
      </c>
      <c r="CC108" s="37" t="n">
        <f aca="false">IFERROR(CC107/CC58,0)</f>
        <v>0</v>
      </c>
      <c r="CD108" s="37" t="n">
        <f aca="false">IFERROR(CD107/CD58,0)</f>
        <v>0</v>
      </c>
      <c r="CE108" s="37" t="n">
        <f aca="false">IFERROR(CE107/CE58,0)</f>
        <v>0</v>
      </c>
      <c r="CF108" s="37" t="n">
        <f aca="false">IFERROR(CF107/CF58,0)</f>
        <v>0</v>
      </c>
      <c r="CG108" s="37" t="n">
        <f aca="false">IFERROR(CG107/CG58,0)</f>
        <v>0</v>
      </c>
      <c r="CH108" s="37" t="n">
        <f aca="false">IFERROR(CH107/CH58,0)</f>
        <v>0</v>
      </c>
      <c r="CI108" s="37" t="n">
        <f aca="false">IFERROR(CI107/CI58,0)</f>
        <v>0</v>
      </c>
      <c r="CJ108" s="37" t="n">
        <f aca="false">IFERROR(CJ107/CJ58,0)</f>
        <v>0</v>
      </c>
      <c r="CK108" s="37" t="n">
        <f aca="false">IFERROR(CK107/CK58,0)</f>
        <v>0</v>
      </c>
      <c r="CL108" s="37" t="n">
        <f aca="false">IFERROR(CL107/CL58,0)</f>
        <v>0</v>
      </c>
      <c r="CM108" s="37" t="n">
        <f aca="false">IFERROR(CM107/CM58,0)</f>
        <v>0</v>
      </c>
      <c r="CN108" s="37" t="n">
        <f aca="false">IFERROR(CN107/CN58,0)</f>
        <v>0</v>
      </c>
      <c r="CO108" s="37" t="n">
        <f aca="false">IFERROR(CO107/CO58,0)</f>
        <v>0</v>
      </c>
      <c r="CP108" s="37" t="n">
        <f aca="false">IFERROR(CP107/CP58,0)</f>
        <v>0</v>
      </c>
      <c r="CQ108" s="37" t="n">
        <f aca="false">IFERROR(CQ107/CQ58,0)</f>
        <v>0</v>
      </c>
      <c r="CR108" s="37" t="n">
        <f aca="false">IFERROR(CR107/CR58,0)</f>
        <v>0</v>
      </c>
      <c r="CS108" s="37" t="n">
        <f aca="false">IFERROR(CS107/CS58,0)</f>
        <v>0</v>
      </c>
      <c r="CT108" s="37" t="n">
        <f aca="false">IFERROR(CT107/CT58,0)</f>
        <v>0</v>
      </c>
      <c r="CU108" s="37" t="n">
        <f aca="false">IFERROR(CU107/CU58,0)</f>
        <v>0</v>
      </c>
      <c r="CV108" s="37" t="n">
        <f aca="false">IFERROR(CV107/CV58,0)</f>
        <v>0</v>
      </c>
      <c r="CW108" s="37" t="n">
        <f aca="false">IFERROR(CW107/CW58,0)</f>
        <v>0</v>
      </c>
      <c r="CX108" s="37" t="n">
        <f aca="false">IFERROR(CX107/CX58,0)</f>
        <v>0</v>
      </c>
      <c r="CY108" s="37" t="n">
        <f aca="false">IFERROR(CY107/CY58,0)</f>
        <v>0</v>
      </c>
      <c r="CZ108" s="37" t="n">
        <f aca="false">IFERROR(CZ107/CZ58,0)</f>
        <v>0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-0</v>
      </c>
      <c r="AT142" s="41" t="n">
        <f aca="false">IF(ISBLANK(Actuals!AU52),-'BD Commission Detail'!AU53,Actuals!AU52)</f>
        <v>-0</v>
      </c>
      <c r="AU142" s="41" t="n">
        <f aca="false">IF(ISBLANK(Actuals!AV52),-'BD Commission Detail'!AV53,Actuals!AV52)</f>
        <v>-0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-0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-0</v>
      </c>
      <c r="BD142" s="41" t="n">
        <f aca="false">IF(ISBLANK(Actuals!BE52),-'BD Commission Detail'!BE53,Actuals!BE52)</f>
        <v>-0</v>
      </c>
      <c r="BE142" s="41" t="n">
        <f aca="false">IF(ISBLANK(Actuals!BF52),-'BD Commission Detail'!BF53,Actuals!BF52)</f>
        <v>-0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-0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-0</v>
      </c>
      <c r="BJ142" s="41" t="n">
        <f aca="false">IF(ISBLANK(Actuals!BK52),-'BD Commission Detail'!BK53,Actuals!BK52)</f>
        <v>-0</v>
      </c>
      <c r="BK142" s="41" t="n">
        <f aca="false">IF(ISBLANK(Actuals!BL52),-'BD Commission Detail'!BL53,Actuals!BL52)</f>
        <v>-0</v>
      </c>
      <c r="BL142" s="41" t="n">
        <f aca="false">IF(ISBLANK(Actuals!BM52),-'BD Commission Detail'!BM53,Actuals!BM52)</f>
        <v>-0</v>
      </c>
      <c r="BM142" s="41" t="n">
        <f aca="false">IF(ISBLANK(Actuals!BN52),-'BD Commission Detail'!BN53,Actuals!BN52)</f>
        <v>-0</v>
      </c>
      <c r="BN142" s="41" t="n">
        <f aca="false">IF(ISBLANK(Actuals!BO52),-'BD Commission Detail'!BO53,Actuals!BO52)</f>
        <v>-0</v>
      </c>
      <c r="BO142" s="41" t="n">
        <f aca="false">IF(ISBLANK(Actuals!BP52),-'BD Commission Detail'!BP53,Actuals!BP52)</f>
        <v>-0</v>
      </c>
      <c r="BP142" s="41" t="n">
        <f aca="false">IF(ISBLANK(Actuals!BQ52),-'BD Commission Detail'!BQ53,Actuals!BQ52)</f>
        <v>-0</v>
      </c>
      <c r="BQ142" s="41" t="n">
        <f aca="false">IF(ISBLANK(Actuals!BR52),-'BD Commission Detail'!BR53,Actuals!BR52)</f>
        <v>-0</v>
      </c>
      <c r="BR142" s="41" t="n">
        <f aca="false">IF(ISBLANK(Actuals!BS52),-'BD Commission Detail'!BS53,Actuals!BS52)</f>
        <v>-0</v>
      </c>
      <c r="BS142" s="41" t="n">
        <f aca="false">IF(ISBLANK(Actuals!BT52),-'BD Commission Detail'!BT53,Actuals!BT52)</f>
        <v>-0</v>
      </c>
      <c r="BT142" s="41" t="n">
        <f aca="false">IF(ISBLANK(Actuals!BU52),-'BD Commission Detail'!BU53,Actuals!BU52)</f>
        <v>-0</v>
      </c>
      <c r="BU142" s="41" t="n">
        <f aca="false">IF(ISBLANK(Actuals!BV52),-'BD Commission Detail'!BV53,Actuals!BV52)</f>
        <v>-0</v>
      </c>
      <c r="BV142" s="41" t="n">
        <f aca="false">IF(ISBLANK(Actuals!BW52),-'BD Commission Detail'!BW53,Actuals!BW52)</f>
        <v>-0</v>
      </c>
      <c r="BW142" s="41" t="n">
        <f aca="false">IF(ISBLANK(Actuals!BX52),-'BD Commission Detail'!BX53,Actuals!BX52)</f>
        <v>-0</v>
      </c>
      <c r="BX142" s="41" t="n">
        <f aca="false">IF(ISBLANK(Actuals!BY52),-'BD Commission Detail'!BY53,Actuals!BY52)</f>
        <v>-0</v>
      </c>
      <c r="BY142" s="41" t="n">
        <f aca="false">IF(ISBLANK(Actuals!BZ52),-'BD Commission Detail'!BZ53,Actuals!BZ52)</f>
        <v>-0</v>
      </c>
      <c r="BZ142" s="41" t="n">
        <f aca="false">IF(ISBLANK(Actuals!CA52),-'BD Commission Detail'!CA53,Actuals!CA52)</f>
        <v>-0</v>
      </c>
      <c r="CA142" s="41" t="n">
        <f aca="false">IF(ISBLANK(Actuals!CB52),-'BD Commission Detail'!CB53,Actuals!CB52)</f>
        <v>-0</v>
      </c>
      <c r="CB142" s="41" t="n">
        <f aca="false">IF(ISBLANK(Actuals!CC52),-'BD Commission Detail'!CC53,Actuals!CC52)</f>
        <v>-0</v>
      </c>
      <c r="CC142" s="41" t="n">
        <f aca="false">IF(ISBLANK(Actuals!CD52),-'BD Commission Detail'!CD53,Actuals!CD52)</f>
        <v>-0</v>
      </c>
      <c r="CD142" s="41" t="n">
        <f aca="false">IF(ISBLANK(Actuals!CE52),-'BD Commission Detail'!CE53,Actuals!CE52)</f>
        <v>-0</v>
      </c>
      <c r="CE142" s="41" t="n">
        <f aca="false">IF(ISBLANK(Actuals!CF52),-'BD Commission Detail'!CF53,Actuals!CF52)</f>
        <v>-0</v>
      </c>
      <c r="CF142" s="41" t="n">
        <f aca="false">IF(ISBLANK(Actuals!CG52),-'BD Commission Detail'!CG53,Actuals!CG52)</f>
        <v>-0</v>
      </c>
      <c r="CG142" s="41" t="n">
        <f aca="false">IF(ISBLANK(Actuals!CH52),-'BD Commission Detail'!CH53,Actuals!CH52)</f>
        <v>-0</v>
      </c>
      <c r="CH142" s="41" t="n">
        <f aca="false">IF(ISBLANK(Actuals!CI52),-'BD Commission Detail'!CI53,Actuals!CI52)</f>
        <v>-0</v>
      </c>
      <c r="CI142" s="41" t="n">
        <f aca="false">IF(ISBLANK(Actuals!CJ52),-'BD Commission Detail'!CJ53,Actuals!CJ52)</f>
        <v>-0</v>
      </c>
      <c r="CJ142" s="41" t="n">
        <f aca="false">IF(ISBLANK(Actuals!CK52),-'BD Commission Detail'!CK53,Actuals!CK52)</f>
        <v>-0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-0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-0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-0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-0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-0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-551731.923123333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-551731.923123333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-551731.923123333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-551731.923123333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-560689.894919133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-560689.894919133</v>
      </c>
      <c r="AT144" s="34" t="n">
        <f aca="false">SUM(AT110:AT143)</f>
        <v>-560689.894919133</v>
      </c>
      <c r="AU144" s="34" t="n">
        <f aca="false">SUM(AU110:AU143)</f>
        <v>-560689.894919133</v>
      </c>
      <c r="AV144" s="34" t="n">
        <f aca="false">SUM(AV110:AV143)</f>
        <v>-560689.894919133</v>
      </c>
      <c r="AW144" s="34" t="n">
        <f aca="false">SUM(AW110:AW143)</f>
        <v>-560689.894919133</v>
      </c>
      <c r="AX144" s="34" t="n">
        <f aca="false">SUM(AX110:AX143)</f>
        <v>-560689.894919133</v>
      </c>
      <c r="AY144" s="34" t="n">
        <f aca="false">SUM(AY110:AY143)</f>
        <v>-560689.894919133</v>
      </c>
      <c r="AZ144" s="34" t="n">
        <f aca="false">SUM(AZ110:AZ143)</f>
        <v>-560689.894919133</v>
      </c>
      <c r="BA144" s="34" t="n">
        <f aca="false">SUM(BA110:BA143)</f>
        <v>-569827.026150849</v>
      </c>
      <c r="BB144" s="34" t="n">
        <f aca="false">SUM(BB110:BB143)</f>
        <v>-569827.026150849</v>
      </c>
      <c r="BC144" s="34" t="n">
        <f aca="false">SUM(BC110:BC143)</f>
        <v>-569827.026150849</v>
      </c>
      <c r="BD144" s="34" t="n">
        <f aca="false">SUM(BD110:BD143)</f>
        <v>-569827.026150849</v>
      </c>
      <c r="BE144" s="34" t="n">
        <f aca="false">SUM(BE110:BE143)</f>
        <v>-569827.026150849</v>
      </c>
      <c r="BF144" s="34" t="n">
        <f aca="false">SUM(BF110:BF143)</f>
        <v>-569827.026150849</v>
      </c>
      <c r="BG144" s="34" t="n">
        <f aca="false">SUM(BG110:BG143)</f>
        <v>-569827.026150849</v>
      </c>
      <c r="BH144" s="34" t="n">
        <f aca="false">SUM(BH110:BH143)</f>
        <v>-569827.026150849</v>
      </c>
      <c r="BI144" s="34" t="n">
        <f aca="false">SUM(BI110:BI143)</f>
        <v>-569827.026150849</v>
      </c>
      <c r="BJ144" s="34" t="n">
        <f aca="false">SUM(BJ110:BJ143)</f>
        <v>-569827.026150849</v>
      </c>
      <c r="BK144" s="34" t="n">
        <f aca="false">SUM(BK110:BK143)</f>
        <v>-569827.026150849</v>
      </c>
      <c r="BL144" s="34" t="n">
        <f aca="false">SUM(BL110:BL143)</f>
        <v>-569827.026150849</v>
      </c>
      <c r="BM144" s="34" t="n">
        <f aca="false">SUM(BM110:BM143)</f>
        <v>-579146.9000072</v>
      </c>
      <c r="BN144" s="34" t="n">
        <f aca="false">SUM(BN110:BN143)</f>
        <v>-579146.9000072</v>
      </c>
      <c r="BO144" s="34" t="n">
        <f aca="false">SUM(BO110:BO143)</f>
        <v>-579146.9000072</v>
      </c>
      <c r="BP144" s="34" t="n">
        <f aca="false">SUM(BP110:BP143)</f>
        <v>-579146.9000072</v>
      </c>
      <c r="BQ144" s="34" t="n">
        <f aca="false">SUM(BQ110:BQ143)</f>
        <v>-579146.9000072</v>
      </c>
      <c r="BR144" s="34" t="n">
        <f aca="false">SUM(BR110:BR143)</f>
        <v>-579146.9000072</v>
      </c>
      <c r="BS144" s="34" t="n">
        <f aca="false">SUM(BS110:BS143)</f>
        <v>-579146.9000072</v>
      </c>
      <c r="BT144" s="34" t="n">
        <f aca="false">SUM(BT110:BT143)</f>
        <v>-579146.9000072</v>
      </c>
      <c r="BU144" s="34" t="n">
        <f aca="false">SUM(BU110:BU143)</f>
        <v>-579146.9000072</v>
      </c>
      <c r="BV144" s="34" t="n">
        <f aca="false">SUM(BV110:BV143)</f>
        <v>-579146.9000072</v>
      </c>
      <c r="BW144" s="34" t="n">
        <f aca="false">SUM(BW110:BW143)</f>
        <v>-579146.9000072</v>
      </c>
      <c r="BX144" s="34" t="n">
        <f aca="false">SUM(BX110:BX143)</f>
        <v>-579146.9000072</v>
      </c>
      <c r="BY144" s="34" t="n">
        <f aca="false">SUM(BY110:BY143)</f>
        <v>-588653.171340677</v>
      </c>
      <c r="BZ144" s="34" t="n">
        <f aca="false">SUM(BZ110:BZ143)</f>
        <v>-588653.171340677</v>
      </c>
      <c r="CA144" s="34" t="n">
        <f aca="false">SUM(CA110:CA143)</f>
        <v>-588653.171340677</v>
      </c>
      <c r="CB144" s="34" t="n">
        <f aca="false">SUM(CB110:CB143)</f>
        <v>-588653.171340677</v>
      </c>
      <c r="CC144" s="34" t="n">
        <f aca="false">SUM(CC110:CC143)</f>
        <v>-588653.171340677</v>
      </c>
      <c r="CD144" s="34" t="n">
        <f aca="false">SUM(CD110:CD143)</f>
        <v>-588653.171340677</v>
      </c>
      <c r="CE144" s="34" t="n">
        <f aca="false">SUM(CE110:CE143)</f>
        <v>-588653.171340677</v>
      </c>
      <c r="CF144" s="34" t="n">
        <f aca="false">SUM(CF110:CF143)</f>
        <v>-588653.171340677</v>
      </c>
      <c r="CG144" s="34" t="n">
        <f aca="false">SUM(CG110:CG143)</f>
        <v>-588653.171340677</v>
      </c>
      <c r="CH144" s="34" t="n">
        <f aca="false">SUM(CH110:CH143)</f>
        <v>-588653.171340677</v>
      </c>
      <c r="CI144" s="34" t="n">
        <f aca="false">SUM(CI110:CI143)</f>
        <v>-588653.171340677</v>
      </c>
      <c r="CJ144" s="34" t="n">
        <f aca="false">SUM(CJ110:CJ143)</f>
        <v>-588653.171340677</v>
      </c>
      <c r="CK144" s="34" t="n">
        <f aca="false">SUM(CK110:CK143)</f>
        <v>-598349.568100824</v>
      </c>
      <c r="CL144" s="34" t="n">
        <f aca="false">SUM(CL110:CL143)</f>
        <v>-598349.568100824</v>
      </c>
      <c r="CM144" s="34" t="n">
        <f aca="false">SUM(CM110:CM143)</f>
        <v>-598349.568100824</v>
      </c>
      <c r="CN144" s="34" t="n">
        <f aca="false">SUM(CN110:CN143)</f>
        <v>-598349.568100824</v>
      </c>
      <c r="CO144" s="34" t="n">
        <f aca="false">SUM(CO110:CO143)</f>
        <v>-598349.568100824</v>
      </c>
      <c r="CP144" s="34" t="n">
        <f aca="false">SUM(CP110:CP143)</f>
        <v>-598349.568100824</v>
      </c>
      <c r="CQ144" s="34" t="n">
        <f aca="false">SUM(CQ110:CQ143)</f>
        <v>-598349.568100824</v>
      </c>
      <c r="CR144" s="34" t="n">
        <f aca="false">SUM(CR110:CR143)</f>
        <v>-598349.568100824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-549875.389401476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526790.855164726</v>
      </c>
      <c r="L145" s="43" t="n">
        <f aca="false">L107+L144</f>
        <v>492606.069516133</v>
      </c>
      <c r="M145" s="43" t="n">
        <f aca="false">M107+M144</f>
        <v>306915.099884021</v>
      </c>
      <c r="N145" s="43" t="n">
        <f aca="false">N107+N144</f>
        <v>284782.676497094</v>
      </c>
      <c r="O145" s="43" t="n">
        <f aca="false">O107+O144</f>
        <v>258712.922852481</v>
      </c>
      <c r="P145" s="43" t="n">
        <f aca="false">P107+P144</f>
        <v>230069.086306508</v>
      </c>
      <c r="Q145" s="43" t="n">
        <f aca="false">Q107+Q144</f>
        <v>-467229.306868596</v>
      </c>
      <c r="R145" s="43" t="n">
        <f aca="false">R107+R144</f>
        <v>319211.445384537</v>
      </c>
      <c r="S145" s="43" t="n">
        <f aca="false">S107+S144</f>
        <v>290702.922205637</v>
      </c>
      <c r="T145" s="43" t="n">
        <f aca="false">T107+T144</f>
        <v>212969.35765025</v>
      </c>
      <c r="U145" s="43" t="n">
        <f aca="false">U107+U144</f>
        <v>158248.052811508</v>
      </c>
      <c r="V145" s="43" t="n">
        <f aca="false">V107+V144</f>
        <v>155186.52965085</v>
      </c>
      <c r="W145" s="43" t="n">
        <f aca="false">W107+W144</f>
        <v>152342.287631041</v>
      </c>
      <c r="X145" s="43" t="n">
        <f aca="false">X107+X144</f>
        <v>140263.369367217</v>
      </c>
      <c r="Y145" s="43" t="n">
        <f aca="false">Y107+Y144</f>
        <v>140263.369367217</v>
      </c>
      <c r="Z145" s="43" t="n">
        <f aca="false">Z107+Z144</f>
        <v>140263.369367217</v>
      </c>
      <c r="AA145" s="43" t="n">
        <f aca="false">AA107+AA144</f>
        <v>140263.369367217</v>
      </c>
      <c r="AB145" s="43" t="n">
        <f aca="false">AB107+AB144</f>
        <v>140263.369367217</v>
      </c>
      <c r="AC145" s="43" t="n">
        <f aca="false">AC107+AC144</f>
        <v>316570.673119418</v>
      </c>
      <c r="AD145" s="43" t="n">
        <f aca="false">AD107+AD144</f>
        <v>-53608.5849649828</v>
      </c>
      <c r="AE145" s="43" t="n">
        <f aca="false">AE107+AE144</f>
        <v>-619655.004096436</v>
      </c>
      <c r="AF145" s="43" t="n">
        <f aca="false">AF107+AF144</f>
        <v>104051.055903564</v>
      </c>
      <c r="AG145" s="43" t="n">
        <f aca="false">AG107+AG144</f>
        <v>104051.055903564</v>
      </c>
      <c r="AH145" s="43" t="n">
        <f aca="false">AH107+AH144</f>
        <v>104051.055903564</v>
      </c>
      <c r="AI145" s="43" t="n">
        <f aca="false">AI107+AI144</f>
        <v>232047.185471314</v>
      </c>
      <c r="AJ145" s="43" t="n">
        <f aca="false">AJ107+AJ144</f>
        <v>2720.78666242852</v>
      </c>
      <c r="AK145" s="43" t="n">
        <f aca="false">AK107+AK144</f>
        <v>2720.78666242806</v>
      </c>
      <c r="AL145" s="43" t="n">
        <f aca="false">AL107+AL144</f>
        <v>2720.78666242806</v>
      </c>
      <c r="AM145" s="43" t="n">
        <f aca="false">AM107+AM144</f>
        <v>261371.507820828</v>
      </c>
      <c r="AN145" s="43" t="n">
        <f aca="false">AN107+AN144</f>
        <v>-65712.2712752415</v>
      </c>
      <c r="AO145" s="43" t="n">
        <f aca="false">AO107+AO144</f>
        <v>-230456.04999337</v>
      </c>
      <c r="AP145" s="43" t="n">
        <f aca="false">AP107+AP144</f>
        <v>-230456.04999337</v>
      </c>
      <c r="AQ145" s="43" t="n">
        <f aca="false">AQ107+AQ144</f>
        <v>-230456.04999337</v>
      </c>
      <c r="AR145" s="43" t="n">
        <f aca="false">AR107+AR144</f>
        <v>-230456.04999337</v>
      </c>
      <c r="AS145" s="43" t="n">
        <f aca="false">AS107+AS144</f>
        <v>-230456.04999337</v>
      </c>
      <c r="AT145" s="43" t="n">
        <f aca="false">AT107+AT144</f>
        <v>42029.5353601297</v>
      </c>
      <c r="AU145" s="43" t="n">
        <f aca="false">AU107+AU144</f>
        <v>-403030.254050587</v>
      </c>
      <c r="AV145" s="43" t="n">
        <f aca="false">AV107+AV144</f>
        <v>-403030.254050587</v>
      </c>
      <c r="AW145" s="43" t="n">
        <f aca="false">AW107+AW144</f>
        <v>-403030.254050587</v>
      </c>
      <c r="AX145" s="43" t="n">
        <f aca="false">AX107+AX144</f>
        <v>-403030.254050587</v>
      </c>
      <c r="AY145" s="43" t="n">
        <f aca="false">AY107+AY144</f>
        <v>-403030.254050587</v>
      </c>
      <c r="AZ145" s="43" t="n">
        <f aca="false">AZ107+AZ144</f>
        <v>-403030.254050587</v>
      </c>
      <c r="BA145" s="43" t="n">
        <f aca="false">BA107+BA144</f>
        <v>-412167.385282303</v>
      </c>
      <c r="BB145" s="43" t="n">
        <f aca="false">BB107+BB144</f>
        <v>-412167.385282303</v>
      </c>
      <c r="BC145" s="43" t="n">
        <f aca="false">BC107+BC144</f>
        <v>-412167.385282303</v>
      </c>
      <c r="BD145" s="43" t="n">
        <f aca="false">BD107+BD144</f>
        <v>-412167.385282303</v>
      </c>
      <c r="BE145" s="43" t="n">
        <f aca="false">BE107+BE144</f>
        <v>-412167.385282303</v>
      </c>
      <c r="BF145" s="43" t="n">
        <f aca="false">BF107+BF144</f>
        <v>-412167.385282303</v>
      </c>
      <c r="BG145" s="43" t="n">
        <f aca="false">BG107+BG144</f>
        <v>-412167.385282303</v>
      </c>
      <c r="BH145" s="43" t="n">
        <f aca="false">BH107+BH144</f>
        <v>-163231.110226703</v>
      </c>
      <c r="BI145" s="43" t="n">
        <f aca="false">BI107+BI144</f>
        <v>-569827.026150849</v>
      </c>
      <c r="BJ145" s="43" t="n">
        <f aca="false">BJ107+BJ144</f>
        <v>-569827.026150849</v>
      </c>
      <c r="BK145" s="43" t="n">
        <f aca="false">BK107+BK144</f>
        <v>-569827.026150849</v>
      </c>
      <c r="BL145" s="43" t="n">
        <f aca="false">BL107+BL144</f>
        <v>-569827.026150849</v>
      </c>
      <c r="BM145" s="43" t="n">
        <f aca="false">BM107+BM144</f>
        <v>-579146.9000072</v>
      </c>
      <c r="BN145" s="43" t="n">
        <f aca="false">BN107+BN144</f>
        <v>-579146.9000072</v>
      </c>
      <c r="BO145" s="43" t="n">
        <f aca="false">BO107+BO144</f>
        <v>-579146.9000072</v>
      </c>
      <c r="BP145" s="43" t="n">
        <f aca="false">BP107+BP144</f>
        <v>-579146.9000072</v>
      </c>
      <c r="BQ145" s="43" t="n">
        <f aca="false">BQ107+BQ144</f>
        <v>-579146.9000072</v>
      </c>
      <c r="BR145" s="43" t="n">
        <f aca="false">BR107+BR144</f>
        <v>-579146.9000072</v>
      </c>
      <c r="BS145" s="43" t="n">
        <f aca="false">BS107+BS144</f>
        <v>-579146.9000072</v>
      </c>
      <c r="BT145" s="43" t="n">
        <f aca="false">BT107+BT144</f>
        <v>-579146.9000072</v>
      </c>
      <c r="BU145" s="43" t="n">
        <f aca="false">BU107+BU144</f>
        <v>-579146.9000072</v>
      </c>
      <c r="BV145" s="43" t="n">
        <f aca="false">BV107+BV144</f>
        <v>-579146.9000072</v>
      </c>
      <c r="BW145" s="43" t="n">
        <f aca="false">BW107+BW144</f>
        <v>-579146.9000072</v>
      </c>
      <c r="BX145" s="43" t="n">
        <f aca="false">BX107+BX144</f>
        <v>-579146.9000072</v>
      </c>
      <c r="BY145" s="43" t="n">
        <f aca="false">BY107+BY144</f>
        <v>-588653.171340677</v>
      </c>
      <c r="BZ145" s="43" t="n">
        <f aca="false">BZ107+BZ144</f>
        <v>-588653.171340677</v>
      </c>
      <c r="CA145" s="43" t="n">
        <f aca="false">CA107+CA144</f>
        <v>-588653.171340677</v>
      </c>
      <c r="CB145" s="43" t="n">
        <f aca="false">CB107+CB144</f>
        <v>-588653.171340677</v>
      </c>
      <c r="CC145" s="43" t="n">
        <f aca="false">CC107+CC144</f>
        <v>-588653.171340677</v>
      </c>
      <c r="CD145" s="43" t="n">
        <f aca="false">CD107+CD144</f>
        <v>-588653.171340677</v>
      </c>
      <c r="CE145" s="43" t="n">
        <f aca="false">CE107+CE144</f>
        <v>-588653.171340677</v>
      </c>
      <c r="CF145" s="43" t="n">
        <f aca="false">CF107+CF144</f>
        <v>-588653.171340677</v>
      </c>
      <c r="CG145" s="43" t="n">
        <f aca="false">CG107+CG144</f>
        <v>-588653.171340677</v>
      </c>
      <c r="CH145" s="43" t="n">
        <f aca="false">CH107+CH144</f>
        <v>-588653.171340677</v>
      </c>
      <c r="CI145" s="43" t="n">
        <f aca="false">CI107+CI144</f>
        <v>-588653.171340677</v>
      </c>
      <c r="CJ145" s="43" t="n">
        <f aca="false">CJ107+CJ144</f>
        <v>-588653.171340677</v>
      </c>
      <c r="CK145" s="43" t="n">
        <f aca="false">CK107+CK144</f>
        <v>-598349.568100824</v>
      </c>
      <c r="CL145" s="43" t="n">
        <f aca="false">CL107+CL144</f>
        <v>-598349.568100824</v>
      </c>
      <c r="CM145" s="43" t="n">
        <f aca="false">CM107+CM144</f>
        <v>-598349.568100824</v>
      </c>
      <c r="CN145" s="43" t="n">
        <f aca="false">CN107+CN144</f>
        <v>-598349.568100824</v>
      </c>
      <c r="CO145" s="43" t="n">
        <f aca="false">CO107+CO144</f>
        <v>-598349.568100824</v>
      </c>
      <c r="CP145" s="43" t="n">
        <f aca="false">CP107+CP144</f>
        <v>-598349.568100824</v>
      </c>
      <c r="CQ145" s="43" t="n">
        <f aca="false">CQ107+CQ144</f>
        <v>-598349.568100824</v>
      </c>
      <c r="CR145" s="43" t="n">
        <f aca="false">CR107+CR144</f>
        <v>-598349.568100824</v>
      </c>
      <c r="CS145" s="43" t="n">
        <f aca="false">CS107+CS144</f>
        <v>-598349.568100824</v>
      </c>
      <c r="CT145" s="43" t="n">
        <f aca="false">CT107+CT144</f>
        <v>-541129.466733474</v>
      </c>
      <c r="CU145" s="43" t="n">
        <f aca="false">CU107+CU144</f>
        <v>-541129.466733474</v>
      </c>
      <c r="CV145" s="43" t="n">
        <f aca="false">CV107+CV144</f>
        <v>-541129.466733474</v>
      </c>
      <c r="CW145" s="43" t="n">
        <f aca="false">CW107+CW144</f>
        <v>-549875.389401476</v>
      </c>
      <c r="CX145" s="43" t="n">
        <f aca="false">CX107+CX144</f>
        <v>-549875.389401476</v>
      </c>
      <c r="CY145" s="43" t="n">
        <f aca="false">CY107+CY144</f>
        <v>-549875.389401476</v>
      </c>
      <c r="CZ145" s="43" t="n">
        <f aca="false">CZ107+CZ144</f>
        <v>-549875.389401476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0.0776771866816757</v>
      </c>
      <c r="L146" s="37" t="n">
        <f aca="false">IFERROR(L145/L58,0)</f>
        <v>0.0656845005615556</v>
      </c>
      <c r="M146" s="37" t="n">
        <f aca="false">IFERROR(M145/M58,0)</f>
        <v>0.0424276232905623</v>
      </c>
      <c r="N146" s="37" t="n">
        <f aca="false">IFERROR(N145/N58,0)</f>
        <v>0.0376924654450968</v>
      </c>
      <c r="O146" s="37" t="n">
        <f aca="false">IFERROR(O145/O58,0)</f>
        <v>0.0330306491409612</v>
      </c>
      <c r="P146" s="37" t="n">
        <f aca="false">IFERROR(P145/P58,0)</f>
        <v>0.0285611424438633</v>
      </c>
      <c r="Q146" s="37" t="n">
        <f aca="false">IFERROR(Q145/Q58,0)</f>
        <v>-0.0522538582959993</v>
      </c>
      <c r="R146" s="37" t="n">
        <f aca="false">IFERROR(R145/R58,0)</f>
        <v>0.0349590212807973</v>
      </c>
      <c r="S146" s="37" t="n">
        <f aca="false">IFERROR(S145/S58,0)</f>
        <v>0.0314639761545749</v>
      </c>
      <c r="T146" s="37" t="n">
        <f aca="false">IFERROR(T145/T58,0)</f>
        <v>0.0246776680382366</v>
      </c>
      <c r="U146" s="37" t="n">
        <f aca="false">IFERROR(U145/U58,0)</f>
        <v>0.019275977362541</v>
      </c>
      <c r="V146" s="37" t="n">
        <f aca="false">IFERROR(V145/V58,0)</f>
        <v>0.018832835255431</v>
      </c>
      <c r="W146" s="37" t="n">
        <f aca="false">IFERROR(W145/W58,0)</f>
        <v>0.018708798138148</v>
      </c>
      <c r="X146" s="37" t="n">
        <f aca="false">IFERROR(X145/X58,0)</f>
        <v>0.0178471001291993</v>
      </c>
      <c r="Y146" s="37" t="n">
        <f aca="false">IFERROR(Y145/Y58,0)</f>
        <v>0.0185441989889264</v>
      </c>
      <c r="Z146" s="37" t="n">
        <f aca="false">IFERROR(Z145/Z58,0)</f>
        <v>0.0195116073962365</v>
      </c>
      <c r="AA146" s="37" t="n">
        <f aca="false">IFERROR(AA145/AA58,0)</f>
        <v>0.0207580956258333</v>
      </c>
      <c r="AB146" s="37" t="n">
        <f aca="false">IFERROR(AB145/AB58,0)</f>
        <v>0.0222955553986559</v>
      </c>
      <c r="AC146" s="37" t="n">
        <f aca="false">IFERROR(AC145/AC58,0)</f>
        <v>0.0544776542181147</v>
      </c>
      <c r="AD146" s="37" t="n">
        <f aca="false">IFERROR(AD145/AD58,0)</f>
        <v>-0.0114309584783173</v>
      </c>
      <c r="AE146" s="37" t="n">
        <f aca="false">IFERROR(AE145/AE58,0)</f>
        <v>-0.134824392124944</v>
      </c>
      <c r="AF146" s="37" t="n">
        <f aca="false">IFERROR(AF145/AF58,0)</f>
        <v>0.0232105455954479</v>
      </c>
      <c r="AG146" s="37" t="n">
        <f aca="false">IFERROR(AG145/AG58,0)</f>
        <v>0.0238450286334714</v>
      </c>
      <c r="AH146" s="37" t="n">
        <f aca="false">IFERROR(AH145/AH58,0)</f>
        <v>0.0296361913211403</v>
      </c>
      <c r="AI146" s="37" t="n">
        <f aca="false">IFERROR(AI145/AI58,0)</f>
        <v>0.0658889997118039</v>
      </c>
      <c r="AJ146" s="37" t="n">
        <f aca="false">IFERROR(AJ145/AJ58,0)</f>
        <v>0.000773799691624102</v>
      </c>
      <c r="AK146" s="37" t="n">
        <f aca="false">IFERROR(AK145/AK58,0)</f>
        <v>0.000778542921841631</v>
      </c>
      <c r="AL146" s="37" t="n">
        <f aca="false">IFERROR(AL145/AL58,0)</f>
        <v>0.000786735509019173</v>
      </c>
      <c r="AM146" s="37" t="n">
        <f aca="false">IFERROR(AM145/AM58,0)</f>
        <v>0.0766986462249475</v>
      </c>
      <c r="AN146" s="37" t="n">
        <f aca="false">IFERROR(AN145/AN58,0)</f>
        <v>-0.0196516657925505</v>
      </c>
      <c r="AO146" s="37" t="n">
        <f aca="false">IFERROR(AO145/AO58,0)</f>
        <v>-0.0756171561283111</v>
      </c>
      <c r="AP146" s="37" t="n">
        <f aca="false">IFERROR(AP145/AP58,0)</f>
        <v>-0.0770343143329237</v>
      </c>
      <c r="AQ146" s="37" t="n">
        <f aca="false">IFERROR(AQ145/AQ58,0)</f>
        <v>-0.0788940945070305</v>
      </c>
      <c r="AR146" s="37" t="n">
        <f aca="false">IFERROR(AR145/AR58,0)</f>
        <v>-0.0812405024591702</v>
      </c>
      <c r="AS146" s="37" t="n">
        <f aca="false">IFERROR(AS145/AS58,0)</f>
        <v>-0.0841288499927848</v>
      </c>
      <c r="AT146" s="37" t="n">
        <f aca="false">IFERROR(AT145/AT58,0)</f>
        <v>0.0159813424267316</v>
      </c>
      <c r="AU146" s="37" t="n">
        <f aca="false">IFERROR(AU145/AU58,0)</f>
        <v>-0.214130250318469</v>
      </c>
      <c r="AV146" s="37" t="n">
        <f aca="false">IFERROR(AV145/AV58,0)</f>
        <v>-0.218450005216965</v>
      </c>
      <c r="AW146" s="37" t="n">
        <f aca="false">IFERROR(AW145/AW58,0)</f>
        <v>-0.225100128946633</v>
      </c>
      <c r="AX146" s="37" t="n">
        <f aca="false">IFERROR(AX145/AX58,0)</f>
        <v>-0.234277508659931</v>
      </c>
      <c r="AY146" s="37" t="n">
        <f aca="false">IFERROR(AY145/AY58,0)</f>
        <v>-0.246277925875479</v>
      </c>
      <c r="AZ146" s="37" t="n">
        <f aca="false">IFERROR(AZ145/AZ58,0)</f>
        <v>-0.261496420154672</v>
      </c>
      <c r="BA146" s="37" t="n">
        <f aca="false">IFERROR(BA145/BA58,0)</f>
        <v>-0.286793734406606</v>
      </c>
      <c r="BB146" s="37" t="n">
        <f aca="false">IFERROR(BB145/BB58,0)</f>
        <v>-0.310661924384339</v>
      </c>
      <c r="BC146" s="37" t="n">
        <f aca="false">IFERROR(BC145/BC58,0)</f>
        <v>-0.339892093513569</v>
      </c>
      <c r="BD146" s="37" t="n">
        <f aca="false">IFERROR(BD145/BD58,0)</f>
        <v>-0.375604140120534</v>
      </c>
      <c r="BE146" s="37" t="n">
        <f aca="false">IFERROR(BE145/BE58,0)</f>
        <v>-0.419242664287148</v>
      </c>
      <c r="BF146" s="37" t="n">
        <f aca="false">IFERROR(BF145/BF58,0)</f>
        <v>-0.472644561013818</v>
      </c>
      <c r="BG146" s="37" t="n">
        <f aca="false">IFERROR(BG145/BG58,0)</f>
        <v>-0.53821448634293</v>
      </c>
      <c r="BH146" s="37" t="n">
        <f aca="false">IFERROR(BH145/BH58,0)</f>
        <v>-0.245146628041636</v>
      </c>
      <c r="BI146" s="37" t="n">
        <f aca="false">IFERROR(BI145/BI58,0)</f>
        <v>0</v>
      </c>
      <c r="BJ146" s="37" t="n">
        <f aca="false">IFERROR(BJ145/BJ58,0)</f>
        <v>0</v>
      </c>
      <c r="BK146" s="37" t="n">
        <f aca="false">IFERROR(BK145/BK58,0)</f>
        <v>0</v>
      </c>
      <c r="BL146" s="37" t="n">
        <f aca="false">IFERROR(BL145/BL58,0)</f>
        <v>0</v>
      </c>
      <c r="BM146" s="37" t="n">
        <f aca="false">IFERROR(BM145/BM58,0)</f>
        <v>0</v>
      </c>
      <c r="BN146" s="37" t="n">
        <f aca="false">IFERROR(BN145/BN58,0)</f>
        <v>0</v>
      </c>
      <c r="BO146" s="37" t="n">
        <f aca="false">IFERROR(BO145/BO58,0)</f>
        <v>0</v>
      </c>
      <c r="BP146" s="37" t="n">
        <f aca="false">IFERROR(BP145/BP58,0)</f>
        <v>0</v>
      </c>
      <c r="BQ146" s="37" t="n">
        <f aca="false">IFERROR(BQ145/BQ58,0)</f>
        <v>0</v>
      </c>
      <c r="BR146" s="37" t="n">
        <f aca="false">IFERROR(BR145/BR58,0)</f>
        <v>0</v>
      </c>
      <c r="BS146" s="37" t="n">
        <f aca="false">IFERROR(BS145/BS58,0)</f>
        <v>0</v>
      </c>
      <c r="BT146" s="37" t="n">
        <f aca="false">IFERROR(BT145/BT58,0)</f>
        <v>0</v>
      </c>
      <c r="BU146" s="37" t="n">
        <f aca="false">IFERROR(BU145/BU58,0)</f>
        <v>0</v>
      </c>
      <c r="BV146" s="37" t="n">
        <f aca="false">IFERROR(BV145/BV58,0)</f>
        <v>0</v>
      </c>
      <c r="BW146" s="37" t="n">
        <f aca="false">IFERROR(BW145/BW58,0)</f>
        <v>0</v>
      </c>
      <c r="BX146" s="37" t="n">
        <f aca="false">IFERROR(BX145/BX58,0)</f>
        <v>0</v>
      </c>
      <c r="BY146" s="37" t="n">
        <f aca="false">IFERROR(BY145/BY58,0)</f>
        <v>0</v>
      </c>
      <c r="BZ146" s="37" t="n">
        <f aca="false">IFERROR(BZ145/BZ58,0)</f>
        <v>0</v>
      </c>
      <c r="CA146" s="37" t="n">
        <f aca="false">IFERROR(CA145/CA58,0)</f>
        <v>0</v>
      </c>
      <c r="CB146" s="37" t="n">
        <f aca="false">IFERROR(CB145/CB58,0)</f>
        <v>0</v>
      </c>
      <c r="CC146" s="37" t="n">
        <f aca="false">IFERROR(CC145/CC58,0)</f>
        <v>0</v>
      </c>
      <c r="CD146" s="37" t="n">
        <f aca="false">IFERROR(CD145/CD58,0)</f>
        <v>0</v>
      </c>
      <c r="CE146" s="37" t="n">
        <f aca="false">IFERROR(CE145/CE58,0)</f>
        <v>0</v>
      </c>
      <c r="CF146" s="37" t="n">
        <f aca="false">IFERROR(CF145/CF58,0)</f>
        <v>0</v>
      </c>
      <c r="CG146" s="37" t="n">
        <f aca="false">IFERROR(CG145/CG58,0)</f>
        <v>0</v>
      </c>
      <c r="CH146" s="37" t="n">
        <f aca="false">IFERROR(CH145/CH58,0)</f>
        <v>0</v>
      </c>
      <c r="CI146" s="37" t="n">
        <f aca="false">IFERROR(CI145/CI58,0)</f>
        <v>0</v>
      </c>
      <c r="CJ146" s="37" t="n">
        <f aca="false">IFERROR(CJ145/CJ58,0)</f>
        <v>0</v>
      </c>
      <c r="CK146" s="37" t="n">
        <f aca="false">IFERROR(CK145/CK58,0)</f>
        <v>0</v>
      </c>
      <c r="CL146" s="37" t="n">
        <f aca="false">IFERROR(CL145/CL58,0)</f>
        <v>0</v>
      </c>
      <c r="CM146" s="37" t="n">
        <f aca="false">IFERROR(CM145/CM58,0)</f>
        <v>0</v>
      </c>
      <c r="CN146" s="37" t="n">
        <f aca="false">IFERROR(CN145/CN58,0)</f>
        <v>0</v>
      </c>
      <c r="CO146" s="37" t="n">
        <f aca="false">IFERROR(CO145/CO58,0)</f>
        <v>0</v>
      </c>
      <c r="CP146" s="37" t="n">
        <f aca="false">IFERROR(CP145/CP58,0)</f>
        <v>0</v>
      </c>
      <c r="CQ146" s="37" t="n">
        <f aca="false">IFERROR(CQ145/CQ58,0)</f>
        <v>0</v>
      </c>
      <c r="CR146" s="37" t="n">
        <f aca="false">IFERROR(CR145/CR58,0)</f>
        <v>0</v>
      </c>
      <c r="CS146" s="37" t="n">
        <f aca="false">IFERROR(CS145/CS58,0)</f>
        <v>0</v>
      </c>
      <c r="CT146" s="37" t="n">
        <f aca="false">IFERROR(CT145/CT58,0)</f>
        <v>0</v>
      </c>
      <c r="CU146" s="37" t="n">
        <f aca="false">IFERROR(CU145/CU58,0)</f>
        <v>0</v>
      </c>
      <c r="CV146" s="37" t="n">
        <f aca="false">IFERROR(CV145/CV58,0)</f>
        <v>0</v>
      </c>
      <c r="CW146" s="37" t="n">
        <f aca="false">IFERROR(CW145/CW58,0)</f>
        <v>0</v>
      </c>
      <c r="CX146" s="37" t="n">
        <f aca="false">IFERROR(CX145/CX58,0)</f>
        <v>0</v>
      </c>
      <c r="CY146" s="37" t="n">
        <f aca="false">IFERROR(CY145/CY58,0)</f>
        <v>0</v>
      </c>
      <c r="CZ146" s="37" t="n">
        <f aca="false">IFERROR(CZ145/CZ58,0)</f>
        <v>0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6315.79</v>
      </c>
      <c r="J157" s="14" t="n">
        <f aca="false">IF(ISBLANK(Actuals!K71),IF(Projects!$G$11="Yes",6315.79,0),Actuals!K71)</f>
        <v>6315.79</v>
      </c>
      <c r="K157" s="14" t="n">
        <f aca="false">IF(ISBLANK(Actuals!L71),IF(Projects!$G$11="Yes",6315.79,0),Actuals!L71)</f>
        <v>6315.79</v>
      </c>
      <c r="L157" s="14" t="n">
        <f aca="false">IF(ISBLANK(Actuals!M71),IF(Projects!$G$11="Yes",6315.79,0),Actuals!M71)</f>
        <v>6315.79</v>
      </c>
      <c r="M157" s="14" t="n">
        <f aca="false">IF(ISBLANK(Actuals!N71),IF(Projects!$G$11="Yes",6315.79,0),Actuals!N71)</f>
        <v>6315.79</v>
      </c>
      <c r="N157" s="14" t="n">
        <f aca="false">IF(ISBLANK(Actuals!O71),IF(Projects!$G$11="Yes",6315.79,0),Actuals!O71)</f>
        <v>6315.79</v>
      </c>
      <c r="O157" s="14" t="n">
        <f aca="false">IF(ISBLANK(Actuals!P71),IF(Projects!$G$11="Yes",6315.79,0),Actuals!P71)</f>
        <v>6315.79</v>
      </c>
      <c r="P157" s="14" t="n">
        <f aca="false">IF(ISBLANK(Actuals!Q71),IF(Projects!$G$11="Yes",6315.79,0),Actuals!Q71)</f>
        <v>6315.79</v>
      </c>
      <c r="Q157" s="14" t="n">
        <f aca="false">IF(ISBLANK(Actuals!R71),IF(Projects!$G$11="Yes",6315.79,0),Actuals!R71)</f>
        <v>6315.79</v>
      </c>
      <c r="R157" s="14" t="n">
        <f aca="false">IF(ISBLANK(Actuals!S71),IF(Projects!$G$11="Yes",6315.79,0),Actuals!S71)</f>
        <v>6315.79</v>
      </c>
      <c r="S157" s="14" t="n">
        <f aca="false">IF(ISBLANK(Actuals!T71),IF(Projects!$G$11="Yes",6315.79,0),Actuals!T71)</f>
        <v>6315.79</v>
      </c>
      <c r="T157" s="14" t="n">
        <f aca="false">IF(ISBLANK(Actuals!U71),IF(Projects!$G$11="Yes",6315.79,0),Actuals!U71)</f>
        <v>6315.79</v>
      </c>
      <c r="U157" s="14" t="n">
        <f aca="false">IF(ISBLANK(Actuals!V71),IF(Projects!$G$11="Yes",6315.79,0),Actuals!V71)</f>
        <v>6315.79</v>
      </c>
      <c r="V157" s="14" t="n">
        <f aca="false">IF(ISBLANK(Actuals!W71),IF(Projects!$G$11="Yes",6315.79,0),Actuals!W71)</f>
        <v>6315.79</v>
      </c>
      <c r="W157" s="14" t="n">
        <f aca="false">IF(ISBLANK(Actuals!X71),IF(Projects!$G$11="Yes",6315.79,0),Actuals!X71)</f>
        <v>6315.79</v>
      </c>
      <c r="X157" s="14" t="n">
        <f aca="false">IF(ISBLANK(Actuals!Y71),IF(Projects!$G$11="Yes",6315.79,0),Actuals!Y71)</f>
        <v>6315.79</v>
      </c>
      <c r="Y157" s="14" t="n">
        <f aca="false">IF(ISBLANK(Actuals!Z71),IF(Projects!$G$11="Yes",6315.79,0),Actuals!Z71)</f>
        <v>6315.79</v>
      </c>
      <c r="Z157" s="14" t="n">
        <f aca="false">IF(ISBLANK(Actuals!AA71),IF(Projects!$G$11="Yes",6315.79,0),Actuals!AA71)</f>
        <v>6315.79</v>
      </c>
      <c r="AA157" s="14" t="n">
        <f aca="false">IF(ISBLANK(Actuals!AB71),IF(Projects!$G$11="Yes",6315.79,0),Actuals!AB71)</f>
        <v>6315.79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6315.79</v>
      </c>
      <c r="J158" s="14" t="n">
        <f aca="false">IF(ISBLANK(Actuals!K72),IF(Projects!$G$11="Yes",6315.79,0),Actuals!K72)</f>
        <v>6315.79</v>
      </c>
      <c r="K158" s="14" t="n">
        <f aca="false">IF(ISBLANK(Actuals!L72),IF(Projects!$G$11="Yes",6315.79,0),Actuals!L72)</f>
        <v>6315.79</v>
      </c>
      <c r="L158" s="14" t="n">
        <f aca="false">IF(ISBLANK(Actuals!M72),IF(Projects!$G$11="Yes",6315.79,0),Actuals!M72)</f>
        <v>6315.79</v>
      </c>
      <c r="M158" s="14" t="n">
        <f aca="false">IF(ISBLANK(Actuals!N72),IF(Projects!$G$11="Yes",6315.79,0),Actuals!N72)</f>
        <v>6315.79</v>
      </c>
      <c r="N158" s="14" t="n">
        <f aca="false">IF(ISBLANK(Actuals!O72),IF(Projects!$G$11="Yes",6315.79,0),Actuals!O72)</f>
        <v>6315.79</v>
      </c>
      <c r="O158" s="14" t="n">
        <f aca="false">IF(ISBLANK(Actuals!P72),IF(Projects!$G$11="Yes",6315.79,0),Actuals!P72)</f>
        <v>6315.79</v>
      </c>
      <c r="P158" s="14" t="n">
        <f aca="false">IF(ISBLANK(Actuals!Q72),IF(Projects!$G$11="Yes",6315.79,0),Actuals!Q72)</f>
        <v>6315.79</v>
      </c>
      <c r="Q158" s="14" t="n">
        <f aca="false">IF(ISBLANK(Actuals!R72),IF(Projects!$G$11="Yes",6315.79,0),Actuals!R72)</f>
        <v>6315.79</v>
      </c>
      <c r="R158" s="14" t="n">
        <f aca="false">IF(ISBLANK(Actuals!S72),IF(Projects!$G$11="Yes",6315.79,0),Actuals!S72)</f>
        <v>6315.79</v>
      </c>
      <c r="S158" s="14" t="n">
        <f aca="false">IF(ISBLANK(Actuals!T72),IF(Projects!$G$11="Yes",6315.79,0),Actuals!T72)</f>
        <v>6315.79</v>
      </c>
      <c r="T158" s="14" t="n">
        <f aca="false">IF(ISBLANK(Actuals!U72),IF(Projects!$G$11="Yes",6315.79,0),Actuals!U72)</f>
        <v>6315.79</v>
      </c>
      <c r="U158" s="14" t="n">
        <f aca="false">IF(ISBLANK(Actuals!V72),IF(Projects!$G$11="Yes",6315.79,0),Actuals!V72)</f>
        <v>6315.79</v>
      </c>
      <c r="V158" s="14" t="n">
        <f aca="false">IF(ISBLANK(Actuals!W72),IF(Projects!$G$11="Yes",6315.79,0),Actuals!W72)</f>
        <v>6315.79</v>
      </c>
      <c r="W158" s="14" t="n">
        <f aca="false">IF(ISBLANK(Actuals!X72),IF(Projects!$G$11="Yes",6315.79,0),Actuals!X72)</f>
        <v>6315.79</v>
      </c>
      <c r="X158" s="14" t="n">
        <f aca="false">IF(ISBLANK(Actuals!Y72),IF(Projects!$G$11="Yes",6315.79,0),Actuals!Y72)</f>
        <v>6315.79</v>
      </c>
      <c r="Y158" s="14" t="n">
        <f aca="false">IF(ISBLANK(Actuals!Z72),IF(Projects!$G$11="Yes",6315.79,0),Actuals!Z72)</f>
        <v>6315.79</v>
      </c>
      <c r="Z158" s="14" t="n">
        <f aca="false">IF(ISBLANK(Actuals!AA72),IF(Projects!$G$11="Yes",6315.79,0),Actuals!AA72)</f>
        <v>6315.79</v>
      </c>
      <c r="AA158" s="14" t="n">
        <f aca="false">IF(ISBLANK(Actuals!AB72),IF(Projects!$G$11="Yes",6315.79,0),Actuals!AB72)</f>
        <v>6315.79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253980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6315.79</v>
      </c>
      <c r="K160" s="14" t="n">
        <f aca="false">IF(ISBLANK(Actuals!L74),IF(Projects!$G$12="Yes",6315.79,0),Actuals!L74)</f>
        <v>6315.79</v>
      </c>
      <c r="L160" s="14" t="n">
        <f aca="false">IF(ISBLANK(Actuals!M74),IF(Projects!$G$12="Yes",6315.79,0),Actuals!M74)</f>
        <v>6315.79</v>
      </c>
      <c r="M160" s="14" t="n">
        <f aca="false">IF(ISBLANK(Actuals!N74),IF(Projects!$G$12="Yes",6315.79,0),Actuals!N74)</f>
        <v>6315.79</v>
      </c>
      <c r="N160" s="14" t="n">
        <f aca="false">IF(ISBLANK(Actuals!O74),IF(Projects!$G$12="Yes",6315.79,0),Actuals!O74)</f>
        <v>6315.79</v>
      </c>
      <c r="O160" s="14" t="n">
        <f aca="false">IF(ISBLANK(Actuals!P74),IF(Projects!$G$12="Yes",6315.79,0),Actuals!P74)</f>
        <v>6315.79</v>
      </c>
      <c r="P160" s="14" t="n">
        <f aca="false">IF(ISBLANK(Actuals!Q74),IF(Projects!$G$12="Yes",6315.79,0),Actuals!Q74)</f>
        <v>6315.79</v>
      </c>
      <c r="Q160" s="14" t="n">
        <f aca="false">IF(ISBLANK(Actuals!R74),IF(Projects!$G$12="Yes",6315.79,0),Actuals!R74)</f>
        <v>6315.79</v>
      </c>
      <c r="R160" s="14" t="n">
        <f aca="false">IF(ISBLANK(Actuals!S74),IF(Projects!$G$12="Yes",6315.79,0),Actuals!S74)</f>
        <v>6315.79</v>
      </c>
      <c r="S160" s="14" t="n">
        <f aca="false">IF(ISBLANK(Actuals!T74),IF(Projects!$G$12="Yes",6315.79,0),Actuals!T74)</f>
        <v>6315.79</v>
      </c>
      <c r="T160" s="14" t="n">
        <f aca="false">IF(ISBLANK(Actuals!U74),IF(Projects!$G$12="Yes",6315.79,0),Actuals!U74)</f>
        <v>6315.79</v>
      </c>
      <c r="U160" s="14" t="n">
        <f aca="false">IF(ISBLANK(Actuals!V74),IF(Projects!$G$12="Yes",6315.79,0),Actuals!V74)</f>
        <v>6315.79</v>
      </c>
      <c r="V160" s="14" t="n">
        <f aca="false">IF(ISBLANK(Actuals!W74),IF(Projects!$G$12="Yes",6315.79,0),Actuals!W74)</f>
        <v>6315.79</v>
      </c>
      <c r="W160" s="14" t="n">
        <f aca="false">IF(ISBLANK(Actuals!X74),IF(Projects!$G$12="Yes",6315.79,0),Actuals!X74)</f>
        <v>6315.79</v>
      </c>
      <c r="X160" s="14" t="n">
        <f aca="false">IF(ISBLANK(Actuals!Y74),IF(Projects!$G$12="Yes",6315.79,0),Actuals!Y74)</f>
        <v>6315.79</v>
      </c>
      <c r="Y160" s="14" t="n">
        <f aca="false">IF(ISBLANK(Actuals!Z74),IF(Projects!$G$12="Yes",6315.79,0),Actuals!Z74)</f>
        <v>6315.79</v>
      </c>
      <c r="Z160" s="14" t="n">
        <f aca="false">IF(ISBLANK(Actuals!AA74),IF(Projects!$G$12="Yes",6315.79,0),Actuals!AA74)</f>
        <v>6315.79</v>
      </c>
      <c r="AA160" s="14" t="n">
        <f aca="false">IF(ISBLANK(Actuals!AB74),IF(Projects!$G$12="Yes",6315.79,0),Actuals!AB74)</f>
        <v>6315.79</v>
      </c>
      <c r="AB160" s="14" t="n">
        <f aca="false">IF(ISBLANK(Actuals!AC74),IF(Projects!$G$12="Yes",6315.79,0),Actuals!AC74)</f>
        <v>6315.79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4736.84</v>
      </c>
      <c r="K161" s="14" t="n">
        <f aca="false">IF(ISBLANK(Actuals!L75),IF(Projects!$G$12="Yes",4736.84,0),Actuals!L75)</f>
        <v>4736.84</v>
      </c>
      <c r="L161" s="14" t="n">
        <f aca="false">IF(ISBLANK(Actuals!M75),IF(Projects!$G$12="Yes",4736.84,0),Actuals!M75)</f>
        <v>4736.84</v>
      </c>
      <c r="M161" s="14" t="n">
        <f aca="false">IF(ISBLANK(Actuals!N75),IF(Projects!$G$12="Yes",4736.84,0),Actuals!N75)</f>
        <v>4736.84</v>
      </c>
      <c r="N161" s="14" t="n">
        <f aca="false">IF(ISBLANK(Actuals!O75),IF(Projects!$G$12="Yes",4736.84,0),Actuals!O75)</f>
        <v>4736.84</v>
      </c>
      <c r="O161" s="14" t="n">
        <f aca="false">IF(ISBLANK(Actuals!P75),IF(Projects!$G$12="Yes",4736.84,0),Actuals!P75)</f>
        <v>4736.84</v>
      </c>
      <c r="P161" s="14" t="n">
        <f aca="false">IF(ISBLANK(Actuals!Q75),IF(Projects!$G$12="Yes",4736.84,0),Actuals!Q75)</f>
        <v>4736.84</v>
      </c>
      <c r="Q161" s="14" t="n">
        <f aca="false">IF(ISBLANK(Actuals!R75),IF(Projects!$G$12="Yes",4736.84,0),Actuals!R75)</f>
        <v>4736.84</v>
      </c>
      <c r="R161" s="14" t="n">
        <f aca="false">IF(ISBLANK(Actuals!S75),IF(Projects!$G$12="Yes",4736.84,0),Actuals!S75)</f>
        <v>4736.84</v>
      </c>
      <c r="S161" s="14" t="n">
        <f aca="false">IF(ISBLANK(Actuals!T75),IF(Projects!$G$12="Yes",4736.84,0),Actuals!T75)</f>
        <v>4736.84</v>
      </c>
      <c r="T161" s="14" t="n">
        <f aca="false">IF(ISBLANK(Actuals!U75),IF(Projects!$G$12="Yes",4736.84,0),Actuals!U75)</f>
        <v>4736.84</v>
      </c>
      <c r="U161" s="14" t="n">
        <f aca="false">IF(ISBLANK(Actuals!V75),IF(Projects!$G$12="Yes",4736.84,0),Actuals!V75)</f>
        <v>4736.84</v>
      </c>
      <c r="V161" s="14" t="n">
        <f aca="false">IF(ISBLANK(Actuals!W75),IF(Projects!$G$12="Yes",4736.84,0),Actuals!W75)</f>
        <v>4736.84</v>
      </c>
      <c r="W161" s="14" t="n">
        <f aca="false">IF(ISBLANK(Actuals!X75),IF(Projects!$G$12="Yes",4736.84,0),Actuals!X75)</f>
        <v>4736.84</v>
      </c>
      <c r="X161" s="14" t="n">
        <f aca="false">IF(ISBLANK(Actuals!Y75),IF(Projects!$G$12="Yes",4736.84,0),Actuals!Y75)</f>
        <v>4736.84</v>
      </c>
      <c r="Y161" s="14" t="n">
        <f aca="false">IF(ISBLANK(Actuals!Z75),IF(Projects!$G$12="Yes",4736.84,0),Actuals!Z75)</f>
        <v>4736.84</v>
      </c>
      <c r="Z161" s="14" t="n">
        <f aca="false">IF(ISBLANK(Actuals!AA75),IF(Projects!$G$12="Yes",4736.84,0),Actuals!AA75)</f>
        <v>4736.84</v>
      </c>
      <c r="AA161" s="14" t="n">
        <f aca="false">IF(ISBLANK(Actuals!AB75),IF(Projects!$G$12="Yes",4736.84,0),Actuals!AB75)</f>
        <v>4736.84</v>
      </c>
      <c r="AB161" s="14" t="n">
        <f aca="false">IF(ISBLANK(Actuals!AC75),IF(Projects!$G$12="Yes",4736.84,0),Actuals!AC75)</f>
        <v>4736.84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181745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0</v>
      </c>
      <c r="O166" s="14" t="n">
        <f aca="false">IF(ISBLANK(Actuals!P80),IF(Uplifters!$B$2="Yes",Uplifters!M107,0),Actuals!P80)</f>
        <v>0</v>
      </c>
      <c r="P166" s="14" t="n">
        <f aca="false">IF(ISBLANK(Actuals!Q80),IF(Uplifters!$B$2="Yes",Uplifters!N107,0),Actuals!Q80)</f>
        <v>0</v>
      </c>
      <c r="Q166" s="14" t="n">
        <f aca="false">IF(ISBLANK(Actuals!R80),IF(Uplifters!$B$2="Yes",Uplifters!O107,0),Actuals!R80)</f>
        <v>0</v>
      </c>
      <c r="R166" s="14" t="n">
        <f aca="false">IF(ISBLANK(Actuals!S80),IF(Uplifters!$B$2="Yes",Uplifters!P107,0),Actuals!S80)</f>
        <v>0</v>
      </c>
      <c r="S166" s="14" t="n">
        <f aca="false">IF(ISBLANK(Actuals!T80),IF(Uplifters!$B$2="Yes",Uplifters!Q107,0),Actuals!T80)</f>
        <v>0</v>
      </c>
      <c r="T166" s="14" t="n">
        <f aca="false">IF(ISBLANK(Actuals!U80),IF(Uplifters!$B$2="Yes",Uplifters!R107,0),Actuals!U80)</f>
        <v>0</v>
      </c>
      <c r="U166" s="14" t="n">
        <f aca="false">IF(ISBLANK(Actuals!V80),IF(Uplifters!$B$2="Yes",Uplifters!S107,0),Actuals!V80)</f>
        <v>0</v>
      </c>
      <c r="V166" s="14" t="n">
        <f aca="false">IF(ISBLANK(Actuals!W80),IF(Uplifters!$B$2="Yes",Uplifters!T107,0),Actuals!W80)</f>
        <v>0</v>
      </c>
      <c r="W166" s="14" t="n">
        <f aca="false">IF(ISBLANK(Actuals!X80),IF(Uplifters!$B$2="Yes",Uplifters!U107,0),Actuals!X80)</f>
        <v>0</v>
      </c>
      <c r="X166" s="14" t="n">
        <f aca="false">IF(ISBLANK(Actuals!Y80),IF(Uplifters!$B$2="Yes",Uplifters!V107,0),Actuals!Y80)</f>
        <v>0</v>
      </c>
      <c r="Y166" s="14" t="n">
        <f aca="false">IF(ISBLANK(Actuals!Z80),IF(Uplifters!$B$2="Yes",Uplifters!W107,0),Actuals!Z80)</f>
        <v>0</v>
      </c>
      <c r="Z166" s="14" t="n">
        <f aca="false">IF(ISBLANK(Actuals!AA80),IF(Uplifters!$B$2="Yes",Uplifters!X107,0),Actuals!AA80)</f>
        <v>0</v>
      </c>
      <c r="AA166" s="14" t="n">
        <f aca="false">IF(ISBLANK(Actuals!AB80),IF(Uplifters!$B$2="Yes",Uplifters!Y107,0),Actuals!AB80)</f>
        <v>0</v>
      </c>
      <c r="AB166" s="14" t="n">
        <f aca="false">IF(ISBLANK(Actuals!AC80),IF(Uplifters!$B$2="Yes",Uplifters!Z107,0),Actuals!AC80)</f>
        <v>0</v>
      </c>
      <c r="AC166" s="14" t="n">
        <f aca="false">IF(ISBLANK(Actuals!AD80),IF(Uplifters!$B$2="Yes",Uplifters!AA107,0),Actuals!AD80)</f>
        <v>0</v>
      </c>
      <c r="AD166" s="14" t="n">
        <f aca="false">IF(ISBLANK(Actuals!AE80),IF(Uplifters!$B$2="Yes",Uplifters!AB107,0),Actuals!AE80)</f>
        <v>0</v>
      </c>
      <c r="AE166" s="14" t="n">
        <f aca="false">IF(ISBLANK(Actuals!AF80),IF(Uplifters!$B$2="Yes",Uplifters!AC107,0),Actuals!AF80)</f>
        <v>0</v>
      </c>
      <c r="AF166" s="14" t="n">
        <f aca="false">IF(ISBLANK(Actuals!AG80),IF(Uplifters!$B$2="Yes",Uplifters!AD107,0),Actuals!AG80)</f>
        <v>0</v>
      </c>
      <c r="AG166" s="14" t="n">
        <f aca="false">IF(ISBLANK(Actuals!AH80),IF(Uplifters!$B$2="Yes",Uplifters!AE107,0),Actuals!AH80)</f>
        <v>0</v>
      </c>
      <c r="AH166" s="14" t="n">
        <f aca="false">IF(ISBLANK(Actuals!AI80),IF(Uplifters!$B$2="Yes",Uplifters!AF107,0),Actuals!AI80)</f>
        <v>0</v>
      </c>
      <c r="AI166" s="14" t="n">
        <f aca="false">IF(ISBLANK(Actuals!AJ80),IF(Uplifters!$B$2="Yes",Uplifters!AG107,0),Actuals!AJ80)</f>
        <v>0</v>
      </c>
      <c r="AJ166" s="14" t="n">
        <f aca="false">IF(ISBLANK(Actuals!AK80),IF(Uplifters!$B$2="Yes",Uplifters!AH107,0),Actuals!AK80)</f>
        <v>0</v>
      </c>
      <c r="AK166" s="14" t="n">
        <f aca="false">IF(ISBLANK(Actuals!AL80),IF(Uplifters!$B$2="Yes",Uplifters!AI107,0),Actuals!AL80)</f>
        <v>0</v>
      </c>
      <c r="AL166" s="14" t="n">
        <f aca="false">IF(ISBLANK(Actuals!AM80),IF(Uplifters!$B$2="Yes",Uplifters!AJ107,0),Actuals!AM80)</f>
        <v>0</v>
      </c>
      <c r="AM166" s="14" t="n">
        <f aca="false">IF(ISBLANK(Actuals!AN80),IF(Uplifters!$B$2="Yes",Uplifters!AK107,0),Actuals!AN80)</f>
        <v>0</v>
      </c>
      <c r="AN166" s="14" t="n">
        <f aca="false">IF(ISBLANK(Actuals!AO80),IF(Uplifters!$B$2="Yes",Uplifters!AL107,0),Actuals!AO80)</f>
        <v>0</v>
      </c>
      <c r="AO166" s="14" t="n">
        <f aca="false">IF(ISBLANK(Actuals!AP80),IF(Uplifters!$B$2="Yes",Uplifters!AM107,0),Actuals!AP80)</f>
        <v>0</v>
      </c>
      <c r="AP166" s="14" t="n">
        <f aca="false">IF(ISBLANK(Actuals!AQ80),IF(Uplifters!$B$2="Yes",Uplifters!AN107,0),Actuals!AQ80)</f>
        <v>0</v>
      </c>
      <c r="AQ166" s="14" t="n">
        <f aca="false">IF(ISBLANK(Actuals!AR80),IF(Uplifters!$B$2="Yes",Uplifters!AO107,0),Actuals!AR80)</f>
        <v>0</v>
      </c>
      <c r="AR166" s="14" t="n">
        <f aca="false">IF(ISBLANK(Actuals!AS80),IF(Uplifters!$B$2="Yes",Uplifters!AP107,0),Actuals!AS80)</f>
        <v>0</v>
      </c>
      <c r="AS166" s="14" t="n">
        <f aca="false">IF(ISBLANK(Actuals!AT80),IF(Uplifters!$B$2="Yes",Uplifters!AQ107,0),Actuals!AT80)</f>
        <v>0</v>
      </c>
      <c r="AT166" s="14" t="n">
        <f aca="false">IF(ISBLANK(Actuals!AU80),IF(Uplifters!$B$2="Yes",Uplifters!AR107,0),Actuals!AU80)</f>
        <v>0</v>
      </c>
      <c r="AU166" s="14" t="n">
        <f aca="false">IF(ISBLANK(Actuals!AV80),IF(Uplifters!$B$2="Yes",Uplifters!AS107,0),Actuals!AV80)</f>
        <v>0</v>
      </c>
      <c r="AV166" s="14" t="n">
        <f aca="false">IF(ISBLANK(Actuals!AW80),IF(Uplifters!$B$2="Yes",Uplifters!AT107,0),Actuals!AW80)</f>
        <v>0</v>
      </c>
      <c r="AW166" s="14" t="n">
        <f aca="false">IF(ISBLANK(Actuals!AX80),IF(Uplifters!$B$2="Yes",Uplifters!AU107,0),Actuals!AX80)</f>
        <v>0</v>
      </c>
      <c r="AX166" s="14" t="n">
        <f aca="false">IF(ISBLANK(Actuals!AY80),IF(Uplifters!$B$2="Yes",Uplifters!AV107,0),Actuals!AY80)</f>
        <v>0</v>
      </c>
      <c r="AY166" s="14" t="n">
        <f aca="false">IF(ISBLANK(Actuals!AZ80),IF(Uplifters!$B$2="Yes",Uplifters!AW107,0),Actuals!AZ80)</f>
        <v>0</v>
      </c>
      <c r="AZ166" s="14" t="n">
        <f aca="false">IF(ISBLANK(Actuals!BA80),IF(Uplifters!$B$2="Yes",Uplifters!AX107,0),Actuals!BA80)</f>
        <v>0</v>
      </c>
      <c r="BA166" s="14" t="n">
        <f aca="false">IF(ISBLANK(Actuals!BB80),IF(Uplifters!$B$2="Yes",Uplifters!AY107,0),Actuals!BB80)</f>
        <v>0</v>
      </c>
      <c r="BB166" s="14" t="n">
        <f aca="false">IF(ISBLANK(Actuals!BC80),IF(Uplifters!$B$2="Yes",Uplifters!AZ107,0),Actuals!BC80)</f>
        <v>0</v>
      </c>
      <c r="BC166" s="14" t="n">
        <f aca="false">IF(ISBLANK(Actuals!BD80),IF(Uplifters!$B$2="Yes",Uplifters!BA107,0),Actuals!BD80)</f>
        <v>0</v>
      </c>
      <c r="BD166" s="14" t="n">
        <f aca="false">IF(ISBLANK(Actuals!BE80),IF(Uplifters!$B$2="Yes",Uplifters!BB107,0),Actuals!BE80)</f>
        <v>0</v>
      </c>
      <c r="BE166" s="14" t="n">
        <f aca="false">IF(ISBLANK(Actuals!BF80),IF(Uplifters!$B$2="Yes",Uplifters!BC107,0),Actuals!BF80)</f>
        <v>0</v>
      </c>
      <c r="BF166" s="14" t="n">
        <f aca="false">IF(ISBLANK(Actuals!BG80),IF(Uplifters!$B$2="Yes",Uplifters!BD107,0),Actuals!BG80)</f>
        <v>0</v>
      </c>
      <c r="BG166" s="14" t="n">
        <f aca="false">IF(ISBLANK(Actuals!BH80),IF(Uplifters!$B$2="Yes",Uplifters!BE107,0),Actuals!BH80)</f>
        <v>0</v>
      </c>
      <c r="BH166" s="14" t="n">
        <f aca="false">IF(ISBLANK(Actuals!BI80),IF(Uplifters!$B$2="Yes",Uplifters!BF107,0),Actuals!BI80)</f>
        <v>0</v>
      </c>
      <c r="BI166" s="14" t="n">
        <f aca="false">IF(ISBLANK(Actuals!BJ80),IF(Uplifters!$B$2="Yes",Uplifters!BG107,0),Actuals!BJ80)</f>
        <v>0</v>
      </c>
      <c r="BJ166" s="14" t="n">
        <f aca="false">IF(ISBLANK(Actuals!BK80),IF(Uplifters!$B$2="Yes",Uplifters!BH107,0),Actuals!BK80)</f>
        <v>0</v>
      </c>
      <c r="BK166" s="14" t="n">
        <f aca="false">IF(ISBLANK(Actuals!BL80),IF(Uplifters!$B$2="Yes",Uplifters!BI107,0),Actuals!BL80)</f>
        <v>0</v>
      </c>
      <c r="BL166" s="14" t="n">
        <f aca="false">IF(ISBLANK(Actuals!BM80),IF(Uplifters!$B$2="Yes",Uplifters!BJ107,0),Actuals!BM80)</f>
        <v>0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310226.16</v>
      </c>
      <c r="J167" s="34" t="n">
        <f aca="false">SUM(J150:J166)</f>
        <v>248210.46</v>
      </c>
      <c r="K167" s="34" t="n">
        <f aca="false">SUM(K150:K166)</f>
        <v>66465.46</v>
      </c>
      <c r="L167" s="34" t="n">
        <f aca="false">SUM(L150:L166)</f>
        <v>57090.46</v>
      </c>
      <c r="M167" s="34" t="n">
        <f aca="false">SUM(M150:M166)</f>
        <v>57090.46</v>
      </c>
      <c r="N167" s="34" t="n">
        <f aca="false">SUM(N150:N166)</f>
        <v>57090.46</v>
      </c>
      <c r="O167" s="34" t="n">
        <f aca="false">SUM(O150:O166)</f>
        <v>57090.46</v>
      </c>
      <c r="P167" s="34" t="n">
        <f aca="false">SUM(P150:P166)</f>
        <v>57090.46</v>
      </c>
      <c r="Q167" s="34" t="n">
        <f aca="false">SUM(Q150:Q166)</f>
        <v>57090.46</v>
      </c>
      <c r="R167" s="34" t="n">
        <f aca="false">SUM(R150:R166)</f>
        <v>57090.46</v>
      </c>
      <c r="S167" s="34" t="n">
        <f aca="false">SUM(S150:S166)</f>
        <v>57090.46</v>
      </c>
      <c r="T167" s="34" t="n">
        <f aca="false">SUM(T150:T166)</f>
        <v>33184.21</v>
      </c>
      <c r="U167" s="34" t="n">
        <f aca="false">SUM(U150:U166)</f>
        <v>33184.21</v>
      </c>
      <c r="V167" s="34" t="n">
        <f aca="false">SUM(V150:V166)</f>
        <v>33184.21</v>
      </c>
      <c r="W167" s="34" t="n">
        <f aca="false">SUM(W150:W166)</f>
        <v>33184.21</v>
      </c>
      <c r="X167" s="34" t="n">
        <f aca="false">SUM(X150:X166)</f>
        <v>33184.21</v>
      </c>
      <c r="Y167" s="34" t="n">
        <f aca="false">SUM(Y150:Y166)</f>
        <v>90559.21</v>
      </c>
      <c r="Z167" s="34" t="n">
        <f aca="false">SUM(Z150:Z166)</f>
        <v>33184.21</v>
      </c>
      <c r="AA167" s="34" t="n">
        <f aca="false">SUM(AA150:AA166)</f>
        <v>33184.21</v>
      </c>
      <c r="AB167" s="34" t="n">
        <f aca="false">SUM(AB150:AB166)</f>
        <v>77927.63</v>
      </c>
      <c r="AC167" s="34" t="n">
        <f aca="false">SUM(AC150:AC166)</f>
        <v>9500</v>
      </c>
      <c r="AD167" s="34" t="n">
        <f aca="false">SUM(AD150:AD166)</f>
        <v>9500</v>
      </c>
      <c r="AE167" s="34" t="n">
        <f aca="false">SUM(AE150:AE166)</f>
        <v>66875</v>
      </c>
      <c r="AF167" s="34" t="n">
        <f aca="false">SUM(AF150:AF166)</f>
        <v>9500</v>
      </c>
      <c r="AG167" s="34" t="n">
        <f aca="false">SUM(AG150:AG166)</f>
        <v>9500</v>
      </c>
      <c r="AH167" s="34" t="n">
        <f aca="false">SUM(AH150:AH166)</f>
        <v>9500</v>
      </c>
      <c r="AI167" s="34" t="n">
        <f aca="false">SUM(AI150:AI166)</f>
        <v>0</v>
      </c>
      <c r="AJ167" s="34" t="n">
        <f aca="false">SUM(AJ150:AJ166)</f>
        <v>0</v>
      </c>
      <c r="AK167" s="34" t="n">
        <f aca="false">SUM(AK150:AK166)</f>
        <v>0</v>
      </c>
      <c r="AL167" s="34" t="n">
        <f aca="false">SUM(AL150:AL166)</f>
        <v>0</v>
      </c>
      <c r="AM167" s="34" t="n">
        <f aca="false">SUM(AM150:AM166)</f>
        <v>0</v>
      </c>
      <c r="AN167" s="34" t="n">
        <f aca="false">SUM(AN150:AN166)</f>
        <v>0</v>
      </c>
      <c r="AO167" s="34" t="n">
        <f aca="false">SUM(AO150:AO166)</f>
        <v>0</v>
      </c>
      <c r="AP167" s="34" t="n">
        <f aca="false">SUM(AP150:AP166)</f>
        <v>0</v>
      </c>
      <c r="AQ167" s="34" t="n">
        <f aca="false">SUM(AQ150:AQ166)</f>
        <v>0</v>
      </c>
      <c r="AR167" s="34" t="n">
        <f aca="false">SUM(AR150:AR166)</f>
        <v>0</v>
      </c>
      <c r="AS167" s="34" t="n">
        <f aca="false">SUM(AS150:AS166)</f>
        <v>0</v>
      </c>
      <c r="AT167" s="34" t="n">
        <f aca="false">SUM(AT150:AT166)</f>
        <v>81683</v>
      </c>
      <c r="AU167" s="34" t="n">
        <f aca="false">SUM(AU150:AU166)</f>
        <v>0</v>
      </c>
      <c r="AV167" s="34" t="n">
        <f aca="false">SUM(AV150:AV166)</f>
        <v>0</v>
      </c>
      <c r="AW167" s="34" t="n">
        <f aca="false">SUM(AW150:AW166)</f>
        <v>81682</v>
      </c>
      <c r="AX167" s="34" t="n">
        <f aca="false">SUM(AX150:AX166)</f>
        <v>0</v>
      </c>
      <c r="AY167" s="34" t="n">
        <f aca="false">SUM(AY150:AY166)</f>
        <v>0</v>
      </c>
      <c r="AZ167" s="34" t="n">
        <f aca="false">SUM(AZ150:AZ166)</f>
        <v>81682</v>
      </c>
      <c r="BA167" s="34" t="n">
        <f aca="false">SUM(BA150:BA166)</f>
        <v>0</v>
      </c>
      <c r="BB167" s="34" t="n">
        <f aca="false">SUM(BB150:BB166)</f>
        <v>0</v>
      </c>
      <c r="BC167" s="34" t="n">
        <f aca="false">SUM(BC150:BC166)</f>
        <v>933521</v>
      </c>
      <c r="BD167" s="34" t="n">
        <f aca="false">SUM(BD150:BD166)</f>
        <v>0</v>
      </c>
      <c r="BE167" s="34" t="n">
        <f aca="false">SUM(BE150:BE166)</f>
        <v>0</v>
      </c>
      <c r="BF167" s="34" t="n">
        <f aca="false">SUM(BF150:BF166)</f>
        <v>130878</v>
      </c>
      <c r="BG167" s="34" t="n">
        <f aca="false">SUM(BG150:BG166)</f>
        <v>0</v>
      </c>
      <c r="BH167" s="34" t="n">
        <f aca="false">SUM(BH150:BH166)</f>
        <v>0</v>
      </c>
      <c r="BI167" s="34" t="n">
        <f aca="false">SUM(BI150:BI166)</f>
        <v>130876</v>
      </c>
      <c r="BJ167" s="34" t="n">
        <f aca="false">SUM(BJ150:BJ166)</f>
        <v>0</v>
      </c>
      <c r="BK167" s="34" t="n">
        <f aca="false">SUM(BK150:BK166)</f>
        <v>0</v>
      </c>
      <c r="BL167" s="34" t="n">
        <f aca="false">SUM(BL150:BL166)</f>
        <v>130876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-171223.12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-120000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-369313.211666667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232136.068333333</v>
      </c>
      <c r="J199" s="43" t="n">
        <f aca="false">J167+J198</f>
        <v>170120.368333333</v>
      </c>
      <c r="K199" s="43" t="n">
        <f aca="false">K167+K198</f>
        <v>-302847.751666667</v>
      </c>
      <c r="L199" s="43" t="n">
        <f aca="false">L167+L198</f>
        <v>-20999.6316666667</v>
      </c>
      <c r="M199" s="43" t="n">
        <f aca="false">M167+M198</f>
        <v>-20999.6316666667</v>
      </c>
      <c r="N199" s="43" t="n">
        <f aca="false">N167+N198</f>
        <v>-20999.6316666667</v>
      </c>
      <c r="O199" s="43" t="n">
        <f aca="false">O167+O198</f>
        <v>-20999.6316666667</v>
      </c>
      <c r="P199" s="43" t="n">
        <f aca="false">P167+P198</f>
        <v>-20999.6316666667</v>
      </c>
      <c r="Q199" s="43" t="n">
        <f aca="false">Q167+Q198</f>
        <v>-22561.4335</v>
      </c>
      <c r="R199" s="43" t="n">
        <f aca="false">R167+R198</f>
        <v>-22561.4335</v>
      </c>
      <c r="S199" s="43" t="n">
        <f aca="false">S167+S198</f>
        <v>-22561.4335</v>
      </c>
      <c r="T199" s="43" t="n">
        <f aca="false">T167+T198</f>
        <v>-46467.6835</v>
      </c>
      <c r="U199" s="43" t="n">
        <f aca="false">U167+U198</f>
        <v>-46467.6835</v>
      </c>
      <c r="V199" s="43" t="n">
        <f aca="false">V167+V198</f>
        <v>-46467.6835</v>
      </c>
      <c r="W199" s="43" t="n">
        <f aca="false">W167+W198</f>
        <v>-46467.6835</v>
      </c>
      <c r="X199" s="43" t="n">
        <f aca="false">X167+X198</f>
        <v>-46467.6835</v>
      </c>
      <c r="Y199" s="43" t="n">
        <f aca="false">Y167+Y198</f>
        <v>10907.3165</v>
      </c>
      <c r="Z199" s="43" t="n">
        <f aca="false">Z167+Z198</f>
        <v>-46467.6835</v>
      </c>
      <c r="AA199" s="43" t="n">
        <f aca="false">AA167+AA198</f>
        <v>-46467.6835</v>
      </c>
      <c r="AB199" s="43" t="n">
        <f aca="false">AB167+AB198</f>
        <v>-1724.26350000002</v>
      </c>
      <c r="AC199" s="43" t="n">
        <f aca="false">AC167+AC198</f>
        <v>-71744.93137</v>
      </c>
      <c r="AD199" s="43" t="n">
        <f aca="false">AD167+AD198</f>
        <v>-71744.93137</v>
      </c>
      <c r="AE199" s="43" t="n">
        <f aca="false">AE167+AE198</f>
        <v>-14369.93137</v>
      </c>
      <c r="AF199" s="43" t="n">
        <f aca="false">AF167+AF198</f>
        <v>-71744.93137</v>
      </c>
      <c r="AG199" s="43" t="n">
        <f aca="false">AG167+AG198</f>
        <v>-71744.93137</v>
      </c>
      <c r="AH199" s="43" t="n">
        <f aca="false">AH167+AH198</f>
        <v>-71744.93137</v>
      </c>
      <c r="AI199" s="43" t="n">
        <f aca="false">AI167+AI198</f>
        <v>-81244.93137</v>
      </c>
      <c r="AJ199" s="43" t="n">
        <f aca="false">AJ167+AJ198</f>
        <v>-81244.93137</v>
      </c>
      <c r="AK199" s="43" t="n">
        <f aca="false">AK167+AK198</f>
        <v>-81244.93137</v>
      </c>
      <c r="AL199" s="43" t="n">
        <f aca="false">AL167+AL198</f>
        <v>-81244.93137</v>
      </c>
      <c r="AM199" s="43" t="n">
        <f aca="false">AM167+AM198</f>
        <v>-81244.93137</v>
      </c>
      <c r="AN199" s="43" t="n">
        <f aca="false">AN167+AN198</f>
        <v>-81244.93137</v>
      </c>
      <c r="AO199" s="43" t="n">
        <f aca="false">AO167+AO198</f>
        <v>-82869.8299974</v>
      </c>
      <c r="AP199" s="43" t="n">
        <f aca="false">AP167+AP198</f>
        <v>-82869.8299974</v>
      </c>
      <c r="AQ199" s="43" t="n">
        <f aca="false">AQ167+AQ198</f>
        <v>-82869.8299974</v>
      </c>
      <c r="AR199" s="43" t="n">
        <f aca="false">AR167+AR198</f>
        <v>-82869.8299974</v>
      </c>
      <c r="AS199" s="43" t="n">
        <f aca="false">AS167+AS198</f>
        <v>-82869.8299974</v>
      </c>
      <c r="AT199" s="43" t="n">
        <f aca="false">AT167+AT198</f>
        <v>-82869.8299974</v>
      </c>
      <c r="AU199" s="43" t="n">
        <f aca="false">AU167+AU198</f>
        <v>-82869.8299974</v>
      </c>
      <c r="AV199" s="43" t="n">
        <f aca="false">AV167+AV198</f>
        <v>-82869.8299974</v>
      </c>
      <c r="AW199" s="43" t="n">
        <f aca="false">AW167+AW198</f>
        <v>-82869.8299974</v>
      </c>
      <c r="AX199" s="43" t="n">
        <f aca="false">AX167+AX198</f>
        <v>-82869.8299974</v>
      </c>
      <c r="AY199" s="43" t="n">
        <f aca="false">AY167+AY198</f>
        <v>-82869.8299974</v>
      </c>
      <c r="AZ199" s="43" t="n">
        <f aca="false">AZ167+AZ198</f>
        <v>-82869.8299974</v>
      </c>
      <c r="BA199" s="43" t="n">
        <f aca="false">BA167+BA198</f>
        <v>-84527.226597348</v>
      </c>
      <c r="BB199" s="43" t="n">
        <f aca="false">BB167+BB198</f>
        <v>-84527.226597348</v>
      </c>
      <c r="BC199" s="43" t="n">
        <f aca="false">BC167+BC198</f>
        <v>-84527.226597348</v>
      </c>
      <c r="BD199" s="43" t="n">
        <f aca="false">BD167+BD198</f>
        <v>-84527.226597348</v>
      </c>
      <c r="BE199" s="43" t="n">
        <f aca="false">BE167+BE198</f>
        <v>-84527.226597348</v>
      </c>
      <c r="BF199" s="43" t="n">
        <f aca="false">BF167+BF198</f>
        <v>-84527.226597348</v>
      </c>
      <c r="BG199" s="43" t="n">
        <f aca="false">BG167+BG198</f>
        <v>-84527.226597348</v>
      </c>
      <c r="BH199" s="43" t="n">
        <f aca="false">BH167+BH198</f>
        <v>-84527.226597348</v>
      </c>
      <c r="BI199" s="43" t="n">
        <f aca="false">BI167+BI198</f>
        <v>-84527.226597348</v>
      </c>
      <c r="BJ199" s="43" t="n">
        <f aca="false">BJ167+BJ198</f>
        <v>-84527.226597348</v>
      </c>
      <c r="BK199" s="43" t="n">
        <f aca="false">BK167+BK198</f>
        <v>-84527.226597348</v>
      </c>
      <c r="BL199" s="43" t="n">
        <f aca="false">BL167+BL198</f>
        <v>-84527.226597348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1049013.66349806</v>
      </c>
      <c r="L202" s="14" t="n">
        <f aca="false">L107</f>
        <v>1065678.87784947</v>
      </c>
      <c r="M202" s="14" t="n">
        <f aca="false">M107</f>
        <v>825987.908217355</v>
      </c>
      <c r="N202" s="14" t="n">
        <f aca="false">N107</f>
        <v>803855.484830427</v>
      </c>
      <c r="O202" s="14" t="n">
        <f aca="false">O107</f>
        <v>777785.731185814</v>
      </c>
      <c r="P202" s="14" t="n">
        <f aca="false">P107</f>
        <v>749141.894639841</v>
      </c>
      <c r="Q202" s="14" t="n">
        <f aca="false">Q107</f>
        <v>99720.2909647378</v>
      </c>
      <c r="R202" s="14" t="n">
        <f aca="false">R107</f>
        <v>862161.04321787</v>
      </c>
      <c r="S202" s="14" t="n">
        <f aca="false">S107</f>
        <v>833652.52003897</v>
      </c>
      <c r="T202" s="14" t="n">
        <f aca="false">T107</f>
        <v>755918.955483583</v>
      </c>
      <c r="U202" s="14" t="n">
        <f aca="false">U107</f>
        <v>701197.650644842</v>
      </c>
      <c r="V202" s="14" t="n">
        <f aca="false">V107</f>
        <v>698136.127484184</v>
      </c>
      <c r="W202" s="14" t="n">
        <f aca="false">W107</f>
        <v>695291.885464374</v>
      </c>
      <c r="X202" s="14" t="n">
        <f aca="false">X107</f>
        <v>683212.96720055</v>
      </c>
      <c r="Y202" s="14" t="n">
        <f aca="false">Y107</f>
        <v>683212.96720055</v>
      </c>
      <c r="Z202" s="14" t="n">
        <f aca="false">Z107</f>
        <v>683212.96720055</v>
      </c>
      <c r="AA202" s="14" t="n">
        <f aca="false">AA107</f>
        <v>683212.96720055</v>
      </c>
      <c r="AB202" s="14" t="n">
        <f aca="false">AB107</f>
        <v>683212.96720055</v>
      </c>
      <c r="AC202" s="14" t="n">
        <f aca="false">AC107</f>
        <v>868302.596242751</v>
      </c>
      <c r="AD202" s="14" t="n">
        <f aca="false">AD107</f>
        <v>498123.33815835</v>
      </c>
      <c r="AE202" s="14" t="n">
        <f aca="false">AE107</f>
        <v>-67923.0809731032</v>
      </c>
      <c r="AF202" s="14" t="n">
        <f aca="false">AF107</f>
        <v>655782.979026897</v>
      </c>
      <c r="AG202" s="14" t="n">
        <f aca="false">AG107</f>
        <v>655782.979026897</v>
      </c>
      <c r="AH202" s="14" t="n">
        <f aca="false">AH107</f>
        <v>655782.979026897</v>
      </c>
      <c r="AI202" s="14" t="n">
        <f aca="false">AI107</f>
        <v>783779.108594647</v>
      </c>
      <c r="AJ202" s="14" t="n">
        <f aca="false">AJ107</f>
        <v>554452.709785762</v>
      </c>
      <c r="AK202" s="14" t="n">
        <f aca="false">AK107</f>
        <v>554452.709785761</v>
      </c>
      <c r="AL202" s="14" t="n">
        <f aca="false">AL107</f>
        <v>554452.709785761</v>
      </c>
      <c r="AM202" s="14" t="n">
        <f aca="false">AM107</f>
        <v>813103.430944162</v>
      </c>
      <c r="AN202" s="14" t="n">
        <f aca="false">AN107</f>
        <v>486019.651848092</v>
      </c>
      <c r="AO202" s="14" t="n">
        <f aca="false">AO107</f>
        <v>330233.844925763</v>
      </c>
      <c r="AP202" s="14" t="n">
        <f aca="false">AP107</f>
        <v>330233.844925763</v>
      </c>
      <c r="AQ202" s="14" t="n">
        <f aca="false">AQ107</f>
        <v>330233.844925763</v>
      </c>
      <c r="AR202" s="14" t="n">
        <f aca="false">AR107</f>
        <v>330233.844925764</v>
      </c>
      <c r="AS202" s="14" t="n">
        <f aca="false">AS107</f>
        <v>330233.844925763</v>
      </c>
      <c r="AT202" s="14" t="n">
        <f aca="false">AT107</f>
        <v>602719.430279263</v>
      </c>
      <c r="AU202" s="14" t="n">
        <f aca="false">AU107</f>
        <v>157659.640868547</v>
      </c>
      <c r="AV202" s="14" t="n">
        <f aca="false">AV107</f>
        <v>157659.640868547</v>
      </c>
      <c r="AW202" s="14" t="n">
        <f aca="false">AW107</f>
        <v>157659.640868547</v>
      </c>
      <c r="AX202" s="14" t="n">
        <f aca="false">AX107</f>
        <v>157659.640868547</v>
      </c>
      <c r="AY202" s="14" t="n">
        <f aca="false">AY107</f>
        <v>157659.640868547</v>
      </c>
      <c r="AZ202" s="14" t="n">
        <f aca="false">AZ107</f>
        <v>157659.640868547</v>
      </c>
      <c r="BA202" s="14" t="n">
        <f aca="false">BA107</f>
        <v>157659.640868547</v>
      </c>
      <c r="BB202" s="14" t="n">
        <f aca="false">BB107</f>
        <v>157659.640868547</v>
      </c>
      <c r="BC202" s="14" t="n">
        <f aca="false">BC107</f>
        <v>157659.640868547</v>
      </c>
      <c r="BD202" s="14" t="n">
        <f aca="false">BD107</f>
        <v>157659.640868547</v>
      </c>
      <c r="BE202" s="14" t="n">
        <f aca="false">BE107</f>
        <v>157659.640868547</v>
      </c>
      <c r="BF202" s="14" t="n">
        <f aca="false">BF107</f>
        <v>157659.640868547</v>
      </c>
      <c r="BG202" s="14" t="n">
        <f aca="false">BG107</f>
        <v>157659.640868547</v>
      </c>
      <c r="BH202" s="14" t="n">
        <f aca="false">BH107</f>
        <v>406595.915924147</v>
      </c>
      <c r="BI202" s="14" t="n">
        <f aca="false">BI107</f>
        <v>0</v>
      </c>
      <c r="BJ202" s="14" t="n">
        <f aca="false">BJ107</f>
        <v>0</v>
      </c>
      <c r="BK202" s="14" t="n">
        <f aca="false">BK107</f>
        <v>0</v>
      </c>
      <c r="BL202" s="14" t="n">
        <f aca="false">BL107</f>
        <v>0</v>
      </c>
      <c r="BM202" s="14" t="n">
        <f aca="false">BM107</f>
        <v>0</v>
      </c>
      <c r="BN202" s="14" t="n">
        <f aca="false">BN107</f>
        <v>0</v>
      </c>
      <c r="BO202" s="14" t="n">
        <f aca="false">BO107</f>
        <v>0</v>
      </c>
      <c r="BP202" s="14" t="n">
        <f aca="false">BP107</f>
        <v>0</v>
      </c>
      <c r="BQ202" s="14" t="n">
        <f aca="false">BQ107</f>
        <v>0</v>
      </c>
      <c r="BR202" s="14" t="n">
        <f aca="false">BR107</f>
        <v>0</v>
      </c>
      <c r="BS202" s="14" t="n">
        <f aca="false">BS107</f>
        <v>0</v>
      </c>
      <c r="BT202" s="14" t="n">
        <f aca="false">BT107</f>
        <v>0</v>
      </c>
      <c r="BU202" s="14" t="n">
        <f aca="false">BU107</f>
        <v>0</v>
      </c>
      <c r="BV202" s="14" t="n">
        <f aca="false">BV107</f>
        <v>0</v>
      </c>
      <c r="BW202" s="14" t="n">
        <f aca="false">BW107</f>
        <v>0</v>
      </c>
      <c r="BX202" s="14" t="n">
        <f aca="false">BX107</f>
        <v>0</v>
      </c>
      <c r="BY202" s="14" t="n">
        <f aca="false">BY107</f>
        <v>0</v>
      </c>
      <c r="BZ202" s="14" t="n">
        <f aca="false">BZ107</f>
        <v>0</v>
      </c>
      <c r="CA202" s="14" t="n">
        <f aca="false">CA107</f>
        <v>0</v>
      </c>
      <c r="CB202" s="14" t="n">
        <f aca="false">CB107</f>
        <v>0</v>
      </c>
      <c r="CC202" s="14" t="n">
        <f aca="false">CC107</f>
        <v>0</v>
      </c>
      <c r="CD202" s="14" t="n">
        <f aca="false">CD107</f>
        <v>0</v>
      </c>
      <c r="CE202" s="14" t="n">
        <f aca="false">CE107</f>
        <v>0</v>
      </c>
      <c r="CF202" s="14" t="n">
        <f aca="false">CF107</f>
        <v>0</v>
      </c>
      <c r="CG202" s="14" t="n">
        <f aca="false">CG107</f>
        <v>0</v>
      </c>
      <c r="CH202" s="14" t="n">
        <f aca="false">CH107</f>
        <v>0</v>
      </c>
      <c r="CI202" s="14" t="n">
        <f aca="false">CI107</f>
        <v>0</v>
      </c>
      <c r="CJ202" s="14" t="n">
        <f aca="false">CJ107</f>
        <v>0</v>
      </c>
      <c r="CK202" s="14" t="n">
        <f aca="false">CK107</f>
        <v>0</v>
      </c>
      <c r="CL202" s="14" t="n">
        <f aca="false">CL107</f>
        <v>0</v>
      </c>
      <c r="CM202" s="14" t="n">
        <f aca="false">CM107</f>
        <v>0</v>
      </c>
      <c r="CN202" s="14" t="n">
        <f aca="false">CN107</f>
        <v>0</v>
      </c>
      <c r="CO202" s="14" t="n">
        <f aca="false">CO107</f>
        <v>0</v>
      </c>
      <c r="CP202" s="14" t="n">
        <f aca="false">CP107</f>
        <v>0</v>
      </c>
      <c r="CQ202" s="14" t="n">
        <f aca="false">CQ107</f>
        <v>0</v>
      </c>
      <c r="CR202" s="14" t="n">
        <f aca="false">CR107</f>
        <v>0</v>
      </c>
      <c r="CS202" s="14" t="n">
        <f aca="false">CS107</f>
        <v>0</v>
      </c>
      <c r="CT202" s="14" t="n">
        <f aca="false">CT107</f>
        <v>0</v>
      </c>
      <c r="CU202" s="14" t="n">
        <f aca="false">CU107</f>
        <v>0</v>
      </c>
      <c r="CV202" s="14" t="n">
        <f aca="false">CV107</f>
        <v>0</v>
      </c>
      <c r="CW202" s="14" t="n">
        <f aca="false">CW107</f>
        <v>0</v>
      </c>
      <c r="CX202" s="14" t="n">
        <f aca="false">CX107</f>
        <v>0</v>
      </c>
      <c r="CY202" s="14" t="n">
        <f aca="false">CY107</f>
        <v>0</v>
      </c>
      <c r="CZ202" s="14" t="n">
        <f aca="false">CZ107</f>
        <v>0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310226.16</v>
      </c>
      <c r="J203" s="14" t="n">
        <f aca="false">J167</f>
        <v>248210.46</v>
      </c>
      <c r="K203" s="14" t="n">
        <f aca="false">K167</f>
        <v>66465.46</v>
      </c>
      <c r="L203" s="14" t="n">
        <f aca="false">L167</f>
        <v>57090.46</v>
      </c>
      <c r="M203" s="14" t="n">
        <f aca="false">M167</f>
        <v>57090.46</v>
      </c>
      <c r="N203" s="14" t="n">
        <f aca="false">N167</f>
        <v>57090.46</v>
      </c>
      <c r="O203" s="14" t="n">
        <f aca="false">O167</f>
        <v>57090.46</v>
      </c>
      <c r="P203" s="14" t="n">
        <f aca="false">P167</f>
        <v>57090.46</v>
      </c>
      <c r="Q203" s="14" t="n">
        <f aca="false">Q167</f>
        <v>57090.46</v>
      </c>
      <c r="R203" s="14" t="n">
        <f aca="false">R167</f>
        <v>57090.46</v>
      </c>
      <c r="S203" s="14" t="n">
        <f aca="false">S167</f>
        <v>57090.46</v>
      </c>
      <c r="T203" s="14" t="n">
        <f aca="false">T167</f>
        <v>33184.21</v>
      </c>
      <c r="U203" s="14" t="n">
        <f aca="false">U167</f>
        <v>33184.21</v>
      </c>
      <c r="V203" s="14" t="n">
        <f aca="false">V167</f>
        <v>33184.21</v>
      </c>
      <c r="W203" s="14" t="n">
        <f aca="false">W167</f>
        <v>33184.21</v>
      </c>
      <c r="X203" s="14" t="n">
        <f aca="false">X167</f>
        <v>33184.21</v>
      </c>
      <c r="Y203" s="14" t="n">
        <f aca="false">Y167</f>
        <v>90559.21</v>
      </c>
      <c r="Z203" s="14" t="n">
        <f aca="false">Z167</f>
        <v>33184.21</v>
      </c>
      <c r="AA203" s="14" t="n">
        <f aca="false">AA167</f>
        <v>33184.21</v>
      </c>
      <c r="AB203" s="14" t="n">
        <f aca="false">AB167</f>
        <v>77927.63</v>
      </c>
      <c r="AC203" s="14" t="n">
        <f aca="false">AC167</f>
        <v>9500</v>
      </c>
      <c r="AD203" s="14" t="n">
        <f aca="false">AD167</f>
        <v>9500</v>
      </c>
      <c r="AE203" s="14" t="n">
        <f aca="false">AE167</f>
        <v>66875</v>
      </c>
      <c r="AF203" s="14" t="n">
        <f aca="false">AF167</f>
        <v>9500</v>
      </c>
      <c r="AG203" s="14" t="n">
        <f aca="false">AG167</f>
        <v>9500</v>
      </c>
      <c r="AH203" s="14" t="n">
        <f aca="false">AH167</f>
        <v>9500</v>
      </c>
      <c r="AI203" s="14" t="n">
        <f aca="false">AI167</f>
        <v>0</v>
      </c>
      <c r="AJ203" s="14" t="n">
        <f aca="false">AJ167</f>
        <v>0</v>
      </c>
      <c r="AK203" s="14" t="n">
        <f aca="false">AK167</f>
        <v>0</v>
      </c>
      <c r="AL203" s="14" t="n">
        <f aca="false">AL167</f>
        <v>0</v>
      </c>
      <c r="AM203" s="14" t="n">
        <f aca="false">AM167</f>
        <v>0</v>
      </c>
      <c r="AN203" s="14" t="n">
        <f aca="false">AN167</f>
        <v>0</v>
      </c>
      <c r="AO203" s="14" t="n">
        <f aca="false">AO167</f>
        <v>0</v>
      </c>
      <c r="AP203" s="14" t="n">
        <f aca="false">AP167</f>
        <v>0</v>
      </c>
      <c r="AQ203" s="14" t="n">
        <f aca="false">AQ167</f>
        <v>0</v>
      </c>
      <c r="AR203" s="14" t="n">
        <f aca="false">AR167</f>
        <v>0</v>
      </c>
      <c r="AS203" s="14" t="n">
        <f aca="false">AS167</f>
        <v>0</v>
      </c>
      <c r="AT203" s="14" t="n">
        <f aca="false">AT167</f>
        <v>81683</v>
      </c>
      <c r="AU203" s="14" t="n">
        <f aca="false">AU167</f>
        <v>0</v>
      </c>
      <c r="AV203" s="14" t="n">
        <f aca="false">AV167</f>
        <v>0</v>
      </c>
      <c r="AW203" s="14" t="n">
        <f aca="false">AW167</f>
        <v>81682</v>
      </c>
      <c r="AX203" s="14" t="n">
        <f aca="false">AX167</f>
        <v>0</v>
      </c>
      <c r="AY203" s="14" t="n">
        <f aca="false">AY167</f>
        <v>0</v>
      </c>
      <c r="AZ203" s="14" t="n">
        <f aca="false">AZ167</f>
        <v>81682</v>
      </c>
      <c r="BA203" s="14" t="n">
        <f aca="false">BA167</f>
        <v>0</v>
      </c>
      <c r="BB203" s="14" t="n">
        <f aca="false">BB167</f>
        <v>0</v>
      </c>
      <c r="BC203" s="14" t="n">
        <f aca="false">BC167</f>
        <v>933521</v>
      </c>
      <c r="BD203" s="14" t="n">
        <f aca="false">BD167</f>
        <v>0</v>
      </c>
      <c r="BE203" s="14" t="n">
        <f aca="false">BE167</f>
        <v>0</v>
      </c>
      <c r="BF203" s="14" t="n">
        <f aca="false">BF167</f>
        <v>130878</v>
      </c>
      <c r="BG203" s="14" t="n">
        <f aca="false">BG167</f>
        <v>0</v>
      </c>
      <c r="BH203" s="14" t="n">
        <f aca="false">BH167</f>
        <v>0</v>
      </c>
      <c r="BI203" s="14" t="n">
        <f aca="false">BI167</f>
        <v>130876</v>
      </c>
      <c r="BJ203" s="14" t="n">
        <f aca="false">BJ167</f>
        <v>0</v>
      </c>
      <c r="BK203" s="14" t="n">
        <f aca="false">BK167</f>
        <v>0</v>
      </c>
      <c r="BL203" s="14" t="n">
        <f aca="false">BL167</f>
        <v>130876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752265.731442804</v>
      </c>
      <c r="J204" s="34" t="n">
        <f aca="false">J202+J203</f>
        <v>1170666.36479452</v>
      </c>
      <c r="K204" s="34" t="n">
        <f aca="false">K202+K203</f>
        <v>1115479.12349806</v>
      </c>
      <c r="L204" s="34" t="n">
        <f aca="false">L202+L203</f>
        <v>1122769.33784947</v>
      </c>
      <c r="M204" s="34" t="n">
        <f aca="false">M202+M203</f>
        <v>883078.368217355</v>
      </c>
      <c r="N204" s="34" t="n">
        <f aca="false">N202+N203</f>
        <v>860945.944830427</v>
      </c>
      <c r="O204" s="34" t="n">
        <f aca="false">O202+O203</f>
        <v>834876.191185814</v>
      </c>
      <c r="P204" s="34" t="n">
        <f aca="false">P202+P203</f>
        <v>806232.354639841</v>
      </c>
      <c r="Q204" s="34" t="n">
        <f aca="false">Q202+Q203</f>
        <v>156810.750964738</v>
      </c>
      <c r="R204" s="34" t="n">
        <f aca="false">R202+R203</f>
        <v>919251.50321787</v>
      </c>
      <c r="S204" s="34" t="n">
        <f aca="false">S202+S203</f>
        <v>890742.98003897</v>
      </c>
      <c r="T204" s="34" t="n">
        <f aca="false">T202+T203</f>
        <v>789103.165483583</v>
      </c>
      <c r="U204" s="34" t="n">
        <f aca="false">U202+U203</f>
        <v>734381.860644842</v>
      </c>
      <c r="V204" s="34" t="n">
        <f aca="false">V202+V203</f>
        <v>731320.337484184</v>
      </c>
      <c r="W204" s="34" t="n">
        <f aca="false">W202+W203</f>
        <v>728476.095464374</v>
      </c>
      <c r="X204" s="34" t="n">
        <f aca="false">X202+X203</f>
        <v>716397.17720055</v>
      </c>
      <c r="Y204" s="34" t="n">
        <f aca="false">Y202+Y203</f>
        <v>773772.17720055</v>
      </c>
      <c r="Z204" s="34" t="n">
        <f aca="false">Z202+Z203</f>
        <v>716397.17720055</v>
      </c>
      <c r="AA204" s="34" t="n">
        <f aca="false">AA202+AA203</f>
        <v>716397.17720055</v>
      </c>
      <c r="AB204" s="34" t="n">
        <f aca="false">AB202+AB203</f>
        <v>761140.59720055</v>
      </c>
      <c r="AC204" s="34" t="n">
        <f aca="false">AC202+AC203</f>
        <v>877802.596242751</v>
      </c>
      <c r="AD204" s="34" t="n">
        <f aca="false">AD202+AD203</f>
        <v>507623.33815835</v>
      </c>
      <c r="AE204" s="34" t="n">
        <f aca="false">AE202+AE203</f>
        <v>-1048.08097310318</v>
      </c>
      <c r="AF204" s="34" t="n">
        <f aca="false">AF202+AF203</f>
        <v>665282.979026897</v>
      </c>
      <c r="AG204" s="34" t="n">
        <f aca="false">AG202+AG203</f>
        <v>665282.979026897</v>
      </c>
      <c r="AH204" s="34" t="n">
        <f aca="false">AH202+AH203</f>
        <v>665282.979026897</v>
      </c>
      <c r="AI204" s="34" t="n">
        <f aca="false">AI202+AI203</f>
        <v>783779.108594647</v>
      </c>
      <c r="AJ204" s="34" t="n">
        <f aca="false">AJ202+AJ203</f>
        <v>554452.709785762</v>
      </c>
      <c r="AK204" s="34" t="n">
        <f aca="false">AK202+AK203</f>
        <v>554452.709785761</v>
      </c>
      <c r="AL204" s="34" t="n">
        <f aca="false">AL202+AL203</f>
        <v>554452.709785761</v>
      </c>
      <c r="AM204" s="34" t="n">
        <f aca="false">AM202+AM203</f>
        <v>813103.430944162</v>
      </c>
      <c r="AN204" s="34" t="n">
        <f aca="false">AN202+AN203</f>
        <v>486019.651848092</v>
      </c>
      <c r="AO204" s="34" t="n">
        <f aca="false">AO202+AO203</f>
        <v>330233.844925763</v>
      </c>
      <c r="AP204" s="34" t="n">
        <f aca="false">AP202+AP203</f>
        <v>330233.844925763</v>
      </c>
      <c r="AQ204" s="34" t="n">
        <f aca="false">AQ202+AQ203</f>
        <v>330233.844925763</v>
      </c>
      <c r="AR204" s="34" t="n">
        <f aca="false">AR202+AR203</f>
        <v>330233.844925764</v>
      </c>
      <c r="AS204" s="34" t="n">
        <f aca="false">AS202+AS203</f>
        <v>330233.844925763</v>
      </c>
      <c r="AT204" s="34" t="n">
        <f aca="false">AT202+AT203</f>
        <v>684402.430279263</v>
      </c>
      <c r="AU204" s="34" t="n">
        <f aca="false">AU202+AU203</f>
        <v>157659.640868547</v>
      </c>
      <c r="AV204" s="34" t="n">
        <f aca="false">AV202+AV203</f>
        <v>157659.640868547</v>
      </c>
      <c r="AW204" s="34" t="n">
        <f aca="false">AW202+AW203</f>
        <v>239341.640868547</v>
      </c>
      <c r="AX204" s="34" t="n">
        <f aca="false">AX202+AX203</f>
        <v>157659.640868547</v>
      </c>
      <c r="AY204" s="34" t="n">
        <f aca="false">AY202+AY203</f>
        <v>157659.640868547</v>
      </c>
      <c r="AZ204" s="34" t="n">
        <f aca="false">AZ202+AZ203</f>
        <v>239341.640868547</v>
      </c>
      <c r="BA204" s="34" t="n">
        <f aca="false">BA202+BA203</f>
        <v>157659.640868547</v>
      </c>
      <c r="BB204" s="34" t="n">
        <f aca="false">BB202+BB203</f>
        <v>157659.640868547</v>
      </c>
      <c r="BC204" s="34" t="n">
        <f aca="false">BC202+BC203</f>
        <v>1091180.64086855</v>
      </c>
      <c r="BD204" s="34" t="n">
        <f aca="false">BD202+BD203</f>
        <v>157659.640868547</v>
      </c>
      <c r="BE204" s="34" t="n">
        <f aca="false">BE202+BE203</f>
        <v>157659.640868547</v>
      </c>
      <c r="BF204" s="34" t="n">
        <f aca="false">BF202+BF203</f>
        <v>288537.640868547</v>
      </c>
      <c r="BG204" s="34" t="n">
        <f aca="false">BG202+BG203</f>
        <v>157659.640868547</v>
      </c>
      <c r="BH204" s="34" t="n">
        <f aca="false">BH202+BH203</f>
        <v>406595.915924147</v>
      </c>
      <c r="BI204" s="34" t="n">
        <f aca="false">BI202+BI203</f>
        <v>130876</v>
      </c>
      <c r="BJ204" s="34" t="n">
        <f aca="false">BJ202+BJ203</f>
        <v>0</v>
      </c>
      <c r="BK204" s="34" t="n">
        <f aca="false">BK202+BK203</f>
        <v>0</v>
      </c>
      <c r="BL204" s="34" t="n">
        <f aca="false">BL202+BL203</f>
        <v>130876</v>
      </c>
      <c r="BM204" s="34" t="n">
        <f aca="false">BM202+BM203</f>
        <v>0</v>
      </c>
      <c r="BN204" s="34" t="n">
        <f aca="false">BN202+BN203</f>
        <v>0</v>
      </c>
      <c r="BO204" s="34" t="n">
        <f aca="false">BO202+BO203</f>
        <v>130876</v>
      </c>
      <c r="BP204" s="34" t="n">
        <f aca="false">BP202+BP203</f>
        <v>0</v>
      </c>
      <c r="BQ204" s="34" t="n">
        <f aca="false">BQ202+BQ203</f>
        <v>0</v>
      </c>
      <c r="BR204" s="34" t="n">
        <f aca="false">BR202+BR203</f>
        <v>142406</v>
      </c>
      <c r="BS204" s="34" t="n">
        <f aca="false">BS202+BS203</f>
        <v>0</v>
      </c>
      <c r="BT204" s="34" t="n">
        <f aca="false">BT202+BT203</f>
        <v>0</v>
      </c>
      <c r="BU204" s="34" t="n">
        <f aca="false">BU202+BU203</f>
        <v>142402</v>
      </c>
      <c r="BV204" s="34" t="n">
        <f aca="false">BV202+BV203</f>
        <v>0</v>
      </c>
      <c r="BW204" s="34" t="n">
        <f aca="false">BW202+BW203</f>
        <v>0</v>
      </c>
      <c r="BX204" s="34" t="n">
        <f aca="false">BX202+BX203</f>
        <v>142402</v>
      </c>
      <c r="BY204" s="34" t="n">
        <f aca="false">BY202+BY203</f>
        <v>0</v>
      </c>
      <c r="BZ204" s="34" t="n">
        <f aca="false">BZ202+BZ203</f>
        <v>0</v>
      </c>
      <c r="CA204" s="34" t="n">
        <f aca="false">CA202+CA203</f>
        <v>215558</v>
      </c>
      <c r="CB204" s="34" t="n">
        <f aca="false">CB202+CB203</f>
        <v>0</v>
      </c>
      <c r="CC204" s="34" t="n">
        <f aca="false">CC202+CC203</f>
        <v>0</v>
      </c>
      <c r="CD204" s="34" t="n">
        <f aca="false">CD202+CD203</f>
        <v>231017</v>
      </c>
      <c r="CE204" s="34" t="n">
        <f aca="false">CE202+CE203</f>
        <v>0</v>
      </c>
      <c r="CF204" s="34" t="n">
        <f aca="false">CF202+CF203</f>
        <v>0</v>
      </c>
      <c r="CG204" s="34" t="n">
        <f aca="false">CG202+CG203</f>
        <v>231016</v>
      </c>
      <c r="CH204" s="34" t="n">
        <f aca="false">CH202+CH203</f>
        <v>0</v>
      </c>
      <c r="CI204" s="34" t="n">
        <f aca="false">CI202+CI203</f>
        <v>0</v>
      </c>
      <c r="CJ204" s="34" t="n">
        <f aca="false">CJ202+CJ203</f>
        <v>231016</v>
      </c>
      <c r="CK204" s="34" t="n">
        <f aca="false">CK202+CK203</f>
        <v>231016</v>
      </c>
      <c r="CL204" s="34" t="n">
        <f aca="false">CL202+CL203</f>
        <v>231016</v>
      </c>
      <c r="CM204" s="34" t="n">
        <f aca="false">CM202+CM203</f>
        <v>231016</v>
      </c>
      <c r="CN204" s="34" t="n">
        <f aca="false">CN202+CN203</f>
        <v>231016</v>
      </c>
      <c r="CO204" s="34" t="n">
        <f aca="false">CO202+CO203</f>
        <v>231016</v>
      </c>
      <c r="CP204" s="34" t="n">
        <f aca="false">CP202+CP203</f>
        <v>231016</v>
      </c>
      <c r="CQ204" s="34" t="n">
        <f aca="false">CQ202+CQ203</f>
        <v>231016</v>
      </c>
      <c r="CR204" s="34" t="n">
        <f aca="false">CR202+CR203</f>
        <v>231016</v>
      </c>
      <c r="CS204" s="34" t="n">
        <f aca="false">CS202+CS203</f>
        <v>231016</v>
      </c>
      <c r="CT204" s="34" t="n">
        <f aca="false">CT202+CT203</f>
        <v>231016</v>
      </c>
      <c r="CU204" s="34" t="n">
        <f aca="false">CU202+CU203</f>
        <v>231016</v>
      </c>
      <c r="CV204" s="34" t="n">
        <f aca="false">CV202+CV203</f>
        <v>231016</v>
      </c>
      <c r="CW204" s="34" t="n">
        <f aca="false">CW202+CW203</f>
        <v>231016</v>
      </c>
      <c r="CX204" s="34" t="n">
        <f aca="false">CX202+CX203</f>
        <v>231016</v>
      </c>
      <c r="CY204" s="34" t="n">
        <f aca="false">CY202+CY203</f>
        <v>231016</v>
      </c>
      <c r="CZ204" s="34" t="n">
        <f aca="false">CZ202+CZ203</f>
        <v>231016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-551731.923123333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-551731.923123333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-551731.923123333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-551731.923123333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-560689.894919133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-560689.894919133</v>
      </c>
      <c r="AT205" s="14" t="n">
        <f aca="false">AT144</f>
        <v>-560689.894919133</v>
      </c>
      <c r="AU205" s="14" t="n">
        <f aca="false">AU144</f>
        <v>-560689.894919133</v>
      </c>
      <c r="AV205" s="14" t="n">
        <f aca="false">AV144</f>
        <v>-560689.894919133</v>
      </c>
      <c r="AW205" s="14" t="n">
        <f aca="false">AW144</f>
        <v>-560689.894919133</v>
      </c>
      <c r="AX205" s="14" t="n">
        <f aca="false">AX144</f>
        <v>-560689.894919133</v>
      </c>
      <c r="AY205" s="14" t="n">
        <f aca="false">AY144</f>
        <v>-560689.894919133</v>
      </c>
      <c r="AZ205" s="14" t="n">
        <f aca="false">AZ144</f>
        <v>-560689.894919133</v>
      </c>
      <c r="BA205" s="14" t="n">
        <f aca="false">BA144</f>
        <v>-569827.026150849</v>
      </c>
      <c r="BB205" s="14" t="n">
        <f aca="false">BB144</f>
        <v>-569827.026150849</v>
      </c>
      <c r="BC205" s="14" t="n">
        <f aca="false">BC144</f>
        <v>-569827.026150849</v>
      </c>
      <c r="BD205" s="14" t="n">
        <f aca="false">BD144</f>
        <v>-569827.026150849</v>
      </c>
      <c r="BE205" s="14" t="n">
        <f aca="false">BE144</f>
        <v>-569827.026150849</v>
      </c>
      <c r="BF205" s="14" t="n">
        <f aca="false">BF144</f>
        <v>-569827.026150849</v>
      </c>
      <c r="BG205" s="14" t="n">
        <f aca="false">BG144</f>
        <v>-569827.026150849</v>
      </c>
      <c r="BH205" s="14" t="n">
        <f aca="false">BH144</f>
        <v>-569827.026150849</v>
      </c>
      <c r="BI205" s="14" t="n">
        <f aca="false">BI144</f>
        <v>-569827.026150849</v>
      </c>
      <c r="BJ205" s="14" t="n">
        <f aca="false">BJ144</f>
        <v>-569827.026150849</v>
      </c>
      <c r="BK205" s="14" t="n">
        <f aca="false">BK144</f>
        <v>-569827.026150849</v>
      </c>
      <c r="BL205" s="14" t="n">
        <f aca="false">BL144</f>
        <v>-569827.026150849</v>
      </c>
      <c r="BM205" s="14" t="n">
        <f aca="false">BM144</f>
        <v>-579146.9000072</v>
      </c>
      <c r="BN205" s="14" t="n">
        <f aca="false">BN144</f>
        <v>-579146.9000072</v>
      </c>
      <c r="BO205" s="14" t="n">
        <f aca="false">BO144</f>
        <v>-579146.9000072</v>
      </c>
      <c r="BP205" s="14" t="n">
        <f aca="false">BP144</f>
        <v>-579146.9000072</v>
      </c>
      <c r="BQ205" s="14" t="n">
        <f aca="false">BQ144</f>
        <v>-579146.9000072</v>
      </c>
      <c r="BR205" s="14" t="n">
        <f aca="false">BR144</f>
        <v>-579146.9000072</v>
      </c>
      <c r="BS205" s="14" t="n">
        <f aca="false">BS144</f>
        <v>-579146.9000072</v>
      </c>
      <c r="BT205" s="14" t="n">
        <f aca="false">BT144</f>
        <v>-579146.9000072</v>
      </c>
      <c r="BU205" s="14" t="n">
        <f aca="false">BU144</f>
        <v>-579146.9000072</v>
      </c>
      <c r="BV205" s="14" t="n">
        <f aca="false">BV144</f>
        <v>-579146.9000072</v>
      </c>
      <c r="BW205" s="14" t="n">
        <f aca="false">BW144</f>
        <v>-579146.9000072</v>
      </c>
      <c r="BX205" s="14" t="n">
        <f aca="false">BX144</f>
        <v>-579146.9000072</v>
      </c>
      <c r="BY205" s="14" t="n">
        <f aca="false">BY144</f>
        <v>-588653.171340677</v>
      </c>
      <c r="BZ205" s="14" t="n">
        <f aca="false">BZ144</f>
        <v>-588653.171340677</v>
      </c>
      <c r="CA205" s="14" t="n">
        <f aca="false">CA144</f>
        <v>-588653.171340677</v>
      </c>
      <c r="CB205" s="14" t="n">
        <f aca="false">CB144</f>
        <v>-588653.171340677</v>
      </c>
      <c r="CC205" s="14" t="n">
        <f aca="false">CC144</f>
        <v>-588653.171340677</v>
      </c>
      <c r="CD205" s="14" t="n">
        <f aca="false">CD144</f>
        <v>-588653.171340677</v>
      </c>
      <c r="CE205" s="14" t="n">
        <f aca="false">CE144</f>
        <v>-588653.171340677</v>
      </c>
      <c r="CF205" s="14" t="n">
        <f aca="false">CF144</f>
        <v>-588653.171340677</v>
      </c>
      <c r="CG205" s="14" t="n">
        <f aca="false">CG144</f>
        <v>-588653.171340677</v>
      </c>
      <c r="CH205" s="14" t="n">
        <f aca="false">CH144</f>
        <v>-588653.171340677</v>
      </c>
      <c r="CI205" s="14" t="n">
        <f aca="false">CI144</f>
        <v>-588653.171340677</v>
      </c>
      <c r="CJ205" s="14" t="n">
        <f aca="false">CJ144</f>
        <v>-588653.171340677</v>
      </c>
      <c r="CK205" s="14" t="n">
        <f aca="false">CK144</f>
        <v>-598349.568100824</v>
      </c>
      <c r="CL205" s="14" t="n">
        <f aca="false">CL144</f>
        <v>-598349.568100824</v>
      </c>
      <c r="CM205" s="14" t="n">
        <f aca="false">CM144</f>
        <v>-598349.568100824</v>
      </c>
      <c r="CN205" s="14" t="n">
        <f aca="false">CN144</f>
        <v>-598349.568100824</v>
      </c>
      <c r="CO205" s="14" t="n">
        <f aca="false">CO144</f>
        <v>-598349.568100824</v>
      </c>
      <c r="CP205" s="14" t="n">
        <f aca="false">CP144</f>
        <v>-598349.568100824</v>
      </c>
      <c r="CQ205" s="14" t="n">
        <f aca="false">CQ144</f>
        <v>-598349.568100824</v>
      </c>
      <c r="CR205" s="14" t="n">
        <f aca="false">CR144</f>
        <v>-598349.568100824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-549875.389401476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-369313.211666667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-891536.02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-632976.854493333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-632976.854493333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-632976.854493333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-632976.854493333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-643559.724916534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-643559.724916534</v>
      </c>
      <c r="AT207" s="34" t="n">
        <f aca="false">AT205+AT206</f>
        <v>-725242.724916533</v>
      </c>
      <c r="AU207" s="34" t="n">
        <f aca="false">AU205+AU206</f>
        <v>-643559.724916534</v>
      </c>
      <c r="AV207" s="34" t="n">
        <f aca="false">AV205+AV206</f>
        <v>-643559.724916534</v>
      </c>
      <c r="AW207" s="34" t="n">
        <f aca="false">AW205+AW206</f>
        <v>-725241.724916533</v>
      </c>
      <c r="AX207" s="34" t="n">
        <f aca="false">AX205+AX206</f>
        <v>-643559.724916534</v>
      </c>
      <c r="AY207" s="34" t="n">
        <f aca="false">AY205+AY206</f>
        <v>-643559.724916534</v>
      </c>
      <c r="AZ207" s="34" t="n">
        <f aca="false">AZ205+AZ206</f>
        <v>-725241.724916533</v>
      </c>
      <c r="BA207" s="34" t="n">
        <f aca="false">BA205+BA206</f>
        <v>-654354.252748197</v>
      </c>
      <c r="BB207" s="34" t="n">
        <f aca="false">BB205+BB206</f>
        <v>-654354.252748197</v>
      </c>
      <c r="BC207" s="34" t="n">
        <f aca="false">BC205+BC206</f>
        <v>-1587875.2527482</v>
      </c>
      <c r="BD207" s="34" t="n">
        <f aca="false">BD205+BD206</f>
        <v>-654354.252748197</v>
      </c>
      <c r="BE207" s="34" t="n">
        <f aca="false">BE205+BE206</f>
        <v>-654354.252748197</v>
      </c>
      <c r="BF207" s="34" t="n">
        <f aca="false">BF205+BF206</f>
        <v>-785232.252748197</v>
      </c>
      <c r="BG207" s="34" t="n">
        <f aca="false">BG205+BG206</f>
        <v>-654354.252748197</v>
      </c>
      <c r="BH207" s="34" t="n">
        <f aca="false">BH205+BH206</f>
        <v>-654354.252748197</v>
      </c>
      <c r="BI207" s="34" t="n">
        <f aca="false">BI205+BI206</f>
        <v>-785230.252748197</v>
      </c>
      <c r="BJ207" s="34" t="n">
        <f aca="false">BJ205+BJ206</f>
        <v>-654354.252748197</v>
      </c>
      <c r="BK207" s="34" t="n">
        <f aca="false">BK205+BK206</f>
        <v>-654354.252748197</v>
      </c>
      <c r="BL207" s="34" t="n">
        <f aca="false">BL205+BL206</f>
        <v>-785230.252748197</v>
      </c>
      <c r="BM207" s="34" t="n">
        <f aca="false">BM205+BM206</f>
        <v>-665364.671136495</v>
      </c>
      <c r="BN207" s="34" t="n">
        <f aca="false">BN205+BN206</f>
        <v>-665364.671136495</v>
      </c>
      <c r="BO207" s="34" t="n">
        <f aca="false">BO205+BO206</f>
        <v>-796240.671136495</v>
      </c>
      <c r="BP207" s="34" t="n">
        <f aca="false">BP205+BP206</f>
        <v>-665364.671136495</v>
      </c>
      <c r="BQ207" s="34" t="n">
        <f aca="false">BQ205+BQ206</f>
        <v>-665364.671136495</v>
      </c>
      <c r="BR207" s="34" t="n">
        <f aca="false">BR205+BR206</f>
        <v>-756257.151136495</v>
      </c>
      <c r="BS207" s="34" t="n">
        <f aca="false">BS205+BS206</f>
        <v>-665364.671136495</v>
      </c>
      <c r="BT207" s="34" t="n">
        <f aca="false">BT205+BT206</f>
        <v>-665364.671136495</v>
      </c>
      <c r="BU207" s="34" t="n">
        <f aca="false">BU205+BU206</f>
        <v>-740004.671136495</v>
      </c>
      <c r="BV207" s="34" t="n">
        <f aca="false">BV205+BV206</f>
        <v>-665364.671136495</v>
      </c>
      <c r="BW207" s="34" t="n">
        <f aca="false">BW205+BW206</f>
        <v>-665364.671136495</v>
      </c>
      <c r="BX207" s="34" t="n">
        <f aca="false">BX205+BX206</f>
        <v>-740004.671136495</v>
      </c>
      <c r="BY207" s="34" t="n">
        <f aca="false">BY205+BY206</f>
        <v>-676595.297892558</v>
      </c>
      <c r="BZ207" s="34" t="n">
        <f aca="false">BZ205+BZ206</f>
        <v>-676595.297892558</v>
      </c>
      <c r="CA207" s="34" t="n">
        <f aca="false">CA205+CA206</f>
        <v>-824391.297892558</v>
      </c>
      <c r="CB207" s="34" t="n">
        <f aca="false">CB205+CB206</f>
        <v>-676595.297892558</v>
      </c>
      <c r="CC207" s="34" t="n">
        <f aca="false">CC205+CC206</f>
        <v>-676595.297892558</v>
      </c>
      <c r="CD207" s="34" t="n">
        <f aca="false">CD205+CD206</f>
        <v>-831113.297892558</v>
      </c>
      <c r="CE207" s="34" t="n">
        <f aca="false">CE205+CE206</f>
        <v>-676595.297892558</v>
      </c>
      <c r="CF207" s="34" t="n">
        <f aca="false">CF205+CF206</f>
        <v>-676595.297892558</v>
      </c>
      <c r="CG207" s="34" t="n">
        <f aca="false">CG205+CG206</f>
        <v>-831112.297892558</v>
      </c>
      <c r="CH207" s="34" t="n">
        <f aca="false">CH205+CH206</f>
        <v>-676595.297892558</v>
      </c>
      <c r="CI207" s="34" t="n">
        <f aca="false">CI205+CI206</f>
        <v>-676595.297892558</v>
      </c>
      <c r="CJ207" s="34" t="n">
        <f aca="false">CJ205+CJ206</f>
        <v>-824504.271286079</v>
      </c>
      <c r="CK207" s="34" t="n">
        <f aca="false">CK205+CK206</f>
        <v>-761205.537183742</v>
      </c>
      <c r="CL207" s="34" t="n">
        <f aca="false">CL205+CL206</f>
        <v>-761205.537183742</v>
      </c>
      <c r="CM207" s="34" t="n">
        <f aca="false">CM205+CM206</f>
        <v>-761205.537183742</v>
      </c>
      <c r="CN207" s="34" t="n">
        <f aca="false">CN205+CN206</f>
        <v>-761205.537183742</v>
      </c>
      <c r="CO207" s="34" t="n">
        <f aca="false">CO205+CO206</f>
        <v>-761205.537183742</v>
      </c>
      <c r="CP207" s="34" t="n">
        <f aca="false">CP205+CP206</f>
        <v>-761205.537183742</v>
      </c>
      <c r="CQ207" s="34" t="n">
        <f aca="false">CQ205+CQ206</f>
        <v>-761205.537183742</v>
      </c>
      <c r="CR207" s="34" t="n">
        <f aca="false">CR205+CR206</f>
        <v>-761205.537183742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-639423.714623659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213306.998109471</v>
      </c>
      <c r="J208" s="43" t="n">
        <f aca="false">J204+J207</f>
        <v>631707.631461187</v>
      </c>
      <c r="K208" s="43" t="n">
        <f aca="false">K204+K207</f>
        <v>223943.10349806</v>
      </c>
      <c r="L208" s="43" t="n">
        <f aca="false">L204+L207</f>
        <v>471606.437849467</v>
      </c>
      <c r="M208" s="43" t="n">
        <f aca="false">M204+M207</f>
        <v>285915.468217355</v>
      </c>
      <c r="N208" s="43" t="n">
        <f aca="false">N204+N207</f>
        <v>263783.044830427</v>
      </c>
      <c r="O208" s="43" t="n">
        <f aca="false">O204+O207</f>
        <v>237713.291185814</v>
      </c>
      <c r="P208" s="43" t="n">
        <f aca="false">P204+P207</f>
        <v>209069.454639841</v>
      </c>
      <c r="Q208" s="43" t="n">
        <f aca="false">Q204+Q207</f>
        <v>-489790.740368596</v>
      </c>
      <c r="R208" s="43" t="n">
        <f aca="false">R204+R207</f>
        <v>296650.011884537</v>
      </c>
      <c r="S208" s="43" t="n">
        <f aca="false">S204+S207</f>
        <v>268141.488705636</v>
      </c>
      <c r="T208" s="43" t="n">
        <f aca="false">T204+T207</f>
        <v>166501.674150249</v>
      </c>
      <c r="U208" s="43" t="n">
        <f aca="false">U204+U207</f>
        <v>111780.369311508</v>
      </c>
      <c r="V208" s="43" t="n">
        <f aca="false">V204+V207</f>
        <v>108718.84615085</v>
      </c>
      <c r="W208" s="43" t="n">
        <f aca="false">W204+W207</f>
        <v>105874.604131041</v>
      </c>
      <c r="X208" s="43" t="n">
        <f aca="false">X204+X207</f>
        <v>93795.6858672169</v>
      </c>
      <c r="Y208" s="43" t="n">
        <f aca="false">Y204+Y207</f>
        <v>151170.685867217</v>
      </c>
      <c r="Z208" s="43" t="n">
        <f aca="false">Z204+Z207</f>
        <v>93795.6858672169</v>
      </c>
      <c r="AA208" s="43" t="n">
        <f aca="false">AA204+AA207</f>
        <v>93795.6858672169</v>
      </c>
      <c r="AB208" s="43" t="n">
        <f aca="false">AB204+AB207</f>
        <v>138539.105867217</v>
      </c>
      <c r="AC208" s="43" t="n">
        <f aca="false">AC204+AC207</f>
        <v>244825.741749418</v>
      </c>
      <c r="AD208" s="43" t="n">
        <f aca="false">AD204+AD207</f>
        <v>-125353.516334983</v>
      </c>
      <c r="AE208" s="43" t="n">
        <f aca="false">AE204+AE207</f>
        <v>-634024.935466436</v>
      </c>
      <c r="AF208" s="43" t="n">
        <f aca="false">AF204+AF207</f>
        <v>32306.1245335636</v>
      </c>
      <c r="AG208" s="43" t="n">
        <f aca="false">AG204+AG207</f>
        <v>32306.1245335641</v>
      </c>
      <c r="AH208" s="43" t="n">
        <f aca="false">AH204+AH207</f>
        <v>32306.1245335636</v>
      </c>
      <c r="AI208" s="43" t="n">
        <f aca="false">AI204+AI207</f>
        <v>150802.254101314</v>
      </c>
      <c r="AJ208" s="43" t="n">
        <f aca="false">AJ204+AJ207</f>
        <v>-78524.1447075715</v>
      </c>
      <c r="AK208" s="43" t="n">
        <f aca="false">AK204+AK207</f>
        <v>-78524.144707572</v>
      </c>
      <c r="AL208" s="43" t="n">
        <f aca="false">AL204+AL207</f>
        <v>-78524.144707572</v>
      </c>
      <c r="AM208" s="43" t="n">
        <f aca="false">AM204+AM207</f>
        <v>180126.576450828</v>
      </c>
      <c r="AN208" s="43" t="n">
        <f aca="false">AN204+AN207</f>
        <v>-146957.202645242</v>
      </c>
      <c r="AO208" s="43" t="n">
        <f aca="false">AO204+AO207</f>
        <v>-313325.87999077</v>
      </c>
      <c r="AP208" s="43" t="n">
        <f aca="false">AP204+AP207</f>
        <v>-313325.87999077</v>
      </c>
      <c r="AQ208" s="43" t="n">
        <f aca="false">AQ204+AQ207</f>
        <v>-313325.87999077</v>
      </c>
      <c r="AR208" s="43" t="n">
        <f aca="false">AR204+AR207</f>
        <v>-313325.87999077</v>
      </c>
      <c r="AS208" s="43" t="n">
        <f aca="false">AS204+AS207</f>
        <v>-313325.87999077</v>
      </c>
      <c r="AT208" s="43" t="n">
        <f aca="false">AT204+AT207</f>
        <v>-40840.2946372703</v>
      </c>
      <c r="AU208" s="43" t="n">
        <f aca="false">AU204+AU207</f>
        <v>-485900.084047987</v>
      </c>
      <c r="AV208" s="43" t="n">
        <f aca="false">AV204+AV207</f>
        <v>-485900.084047987</v>
      </c>
      <c r="AW208" s="43" t="n">
        <f aca="false">AW204+AW207</f>
        <v>-485900.084047987</v>
      </c>
      <c r="AX208" s="43" t="n">
        <f aca="false">AX204+AX207</f>
        <v>-485900.084047987</v>
      </c>
      <c r="AY208" s="43" t="n">
        <f aca="false">AY204+AY207</f>
        <v>-485900.084047987</v>
      </c>
      <c r="AZ208" s="43" t="n">
        <f aca="false">AZ204+AZ207</f>
        <v>-485900.084047987</v>
      </c>
      <c r="BA208" s="43" t="n">
        <f aca="false">BA204+BA207</f>
        <v>-496694.611879651</v>
      </c>
      <c r="BB208" s="43" t="n">
        <f aca="false">BB204+BB207</f>
        <v>-496694.611879651</v>
      </c>
      <c r="BC208" s="43" t="n">
        <f aca="false">BC204+BC207</f>
        <v>-496694.611879651</v>
      </c>
      <c r="BD208" s="43" t="n">
        <f aca="false">BD204+BD207</f>
        <v>-496694.611879651</v>
      </c>
      <c r="BE208" s="43" t="n">
        <f aca="false">BE204+BE207</f>
        <v>-496694.611879651</v>
      </c>
      <c r="BF208" s="43" t="n">
        <f aca="false">BF204+BF207</f>
        <v>-496694.611879651</v>
      </c>
      <c r="BG208" s="43" t="n">
        <f aca="false">BG204+BG207</f>
        <v>-496694.611879651</v>
      </c>
      <c r="BH208" s="43" t="n">
        <f aca="false">BH204+BH207</f>
        <v>-247758.336824051</v>
      </c>
      <c r="BI208" s="43" t="n">
        <f aca="false">BI204+BI207</f>
        <v>-654354.252748197</v>
      </c>
      <c r="BJ208" s="43" t="n">
        <f aca="false">BJ204+BJ207</f>
        <v>-654354.252748197</v>
      </c>
      <c r="BK208" s="43" t="n">
        <f aca="false">BK204+BK207</f>
        <v>-654354.252748197</v>
      </c>
      <c r="BL208" s="43" t="n">
        <f aca="false">BL204+BL207</f>
        <v>-654354.252748197</v>
      </c>
      <c r="BM208" s="43" t="n">
        <f aca="false">BM204+BM207</f>
        <v>-665364.671136495</v>
      </c>
      <c r="BN208" s="43" t="n">
        <f aca="false">BN204+BN207</f>
        <v>-665364.671136495</v>
      </c>
      <c r="BO208" s="43" t="n">
        <f aca="false">BO204+BO207</f>
        <v>-665364.671136495</v>
      </c>
      <c r="BP208" s="43" t="n">
        <f aca="false">BP204+BP207</f>
        <v>-665364.671136495</v>
      </c>
      <c r="BQ208" s="43" t="n">
        <f aca="false">BQ204+BQ207</f>
        <v>-665364.671136495</v>
      </c>
      <c r="BR208" s="43" t="n">
        <f aca="false">BR204+BR207</f>
        <v>-613851.151136495</v>
      </c>
      <c r="BS208" s="43" t="n">
        <f aca="false">BS204+BS207</f>
        <v>-665364.671136495</v>
      </c>
      <c r="BT208" s="43" t="n">
        <f aca="false">BT204+BT207</f>
        <v>-665364.671136495</v>
      </c>
      <c r="BU208" s="43" t="n">
        <f aca="false">BU204+BU207</f>
        <v>-597602.671136495</v>
      </c>
      <c r="BV208" s="43" t="n">
        <f aca="false">BV204+BV207</f>
        <v>-665364.671136495</v>
      </c>
      <c r="BW208" s="43" t="n">
        <f aca="false">BW204+BW207</f>
        <v>-665364.671136495</v>
      </c>
      <c r="BX208" s="43" t="n">
        <f aca="false">BX204+BX207</f>
        <v>-597602.671136495</v>
      </c>
      <c r="BY208" s="43" t="n">
        <f aca="false">BY204+BY207</f>
        <v>-676595.297892558</v>
      </c>
      <c r="BZ208" s="43" t="n">
        <f aca="false">BZ204+BZ207</f>
        <v>-676595.297892558</v>
      </c>
      <c r="CA208" s="43" t="n">
        <f aca="false">CA204+CA207</f>
        <v>-608833.297892558</v>
      </c>
      <c r="CB208" s="43" t="n">
        <f aca="false">CB204+CB207</f>
        <v>-676595.297892558</v>
      </c>
      <c r="CC208" s="43" t="n">
        <f aca="false">CC204+CC207</f>
        <v>-676595.297892558</v>
      </c>
      <c r="CD208" s="43" t="n">
        <f aca="false">CD204+CD207</f>
        <v>-600096.297892558</v>
      </c>
      <c r="CE208" s="43" t="n">
        <f aca="false">CE204+CE207</f>
        <v>-676595.297892558</v>
      </c>
      <c r="CF208" s="43" t="n">
        <f aca="false">CF204+CF207</f>
        <v>-676595.297892558</v>
      </c>
      <c r="CG208" s="43" t="n">
        <f aca="false">CG204+CG207</f>
        <v>-600096.297892558</v>
      </c>
      <c r="CH208" s="43" t="n">
        <f aca="false">CH204+CH207</f>
        <v>-676595.297892558</v>
      </c>
      <c r="CI208" s="43" t="n">
        <f aca="false">CI204+CI207</f>
        <v>-676595.297892558</v>
      </c>
      <c r="CJ208" s="43" t="n">
        <f aca="false">CJ204+CJ207</f>
        <v>-593488.271286079</v>
      </c>
      <c r="CK208" s="43" t="n">
        <f aca="false">CK204+CK207</f>
        <v>-530189.537183742</v>
      </c>
      <c r="CL208" s="43" t="n">
        <f aca="false">CL204+CL207</f>
        <v>-530189.537183742</v>
      </c>
      <c r="CM208" s="43" t="n">
        <f aca="false">CM204+CM207</f>
        <v>-530189.537183742</v>
      </c>
      <c r="CN208" s="43" t="n">
        <f aca="false">CN204+CN207</f>
        <v>-530189.537183742</v>
      </c>
      <c r="CO208" s="43" t="n">
        <f aca="false">CO204+CO207</f>
        <v>-530189.537183742</v>
      </c>
      <c r="CP208" s="43" t="n">
        <f aca="false">CP204+CP207</f>
        <v>-530189.537183742</v>
      </c>
      <c r="CQ208" s="43" t="n">
        <f aca="false">CQ204+CQ207</f>
        <v>-530189.537183742</v>
      </c>
      <c r="CR208" s="43" t="n">
        <f aca="false">CR204+CR207</f>
        <v>-530189.537183742</v>
      </c>
      <c r="CS208" s="43" t="n">
        <f aca="false">CS204+CS207</f>
        <v>-530189.537183742</v>
      </c>
      <c r="CT208" s="43" t="n">
        <f aca="false">CT204+CT207</f>
        <v>-471060.942441496</v>
      </c>
      <c r="CU208" s="43" t="n">
        <f aca="false">CU204+CU207</f>
        <v>-471060.942441496</v>
      </c>
      <c r="CV208" s="43" t="n">
        <f aca="false">CV204+CV207</f>
        <v>-471060.942441496</v>
      </c>
      <c r="CW208" s="43" t="n">
        <f aca="false">CW204+CW207</f>
        <v>-425854.563560066</v>
      </c>
      <c r="CX208" s="43" t="n">
        <f aca="false">CX204+CX207</f>
        <v>-408407.714623659</v>
      </c>
      <c r="CY208" s="43" t="n">
        <f aca="false">CY204+CY207</f>
        <v>-408407.714623659</v>
      </c>
      <c r="CZ208" s="43" t="n">
        <f aca="false">CZ204+CZ207</f>
        <v>-408407.714623659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0.283552725046188</v>
      </c>
      <c r="J209" s="37" t="n">
        <f aca="false">IFERROR(IF(OR(J204&lt;=0,J208/J204&lt;0,J208/J204&gt;1),0,J208/J204),0)</f>
        <v>0.539613719551998</v>
      </c>
      <c r="K209" s="37" t="n">
        <f aca="false">IFERROR(IF(OR(K204&lt;=0,K208/K204&lt;0,K208/K204&gt;1),0,K208/K204),0)</f>
        <v>0.200759564908567</v>
      </c>
      <c r="L209" s="37" t="n">
        <f aca="false">IFERROR(IF(OR(L204&lt;=0,L208/L204&lt;0,L208/L204&gt;1),0,L208/L204),0)</f>
        <v>0.420038579565037</v>
      </c>
      <c r="M209" s="37" t="n">
        <f aca="false">IFERROR(IF(OR(M204&lt;=0,M208/M204&lt;0,M208/M204&gt;1),0,M208/M204),0)</f>
        <v>0.323771341828386</v>
      </c>
      <c r="N209" s="37" t="n">
        <f aca="false">IFERROR(IF(OR(N204&lt;=0,N208/N204&lt;0,N208/N204&gt;1),0,N208/N204),0)</f>
        <v>0.30638746417742</v>
      </c>
      <c r="O209" s="37" t="n">
        <f aca="false">IFERROR(IF(OR(O204&lt;=0,O208/O204&lt;0,O208/O204&gt;1),0,O208/O204),0)</f>
        <v>0.284728794155908</v>
      </c>
      <c r="P209" s="37" t="n">
        <f aca="false">IFERROR(IF(OR(P204&lt;=0,P208/P204&lt;0,P208/P204&gt;1),0,P208/P204),0)</f>
        <v>0.25931662682185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0.322708215157771</v>
      </c>
      <c r="S209" s="37" t="n">
        <f aca="false">IFERROR(IF(OR(S204&lt;=0,S208/S204&lt;0,S208/S204&gt;1),0,S208/S204),0)</f>
        <v>0.301031267957796</v>
      </c>
      <c r="T209" s="37" t="n">
        <f aca="false">IFERROR(IF(OR(T204&lt;=0,T208/T204&lt;0,T208/T204&gt;1),0,T208/T204),0)</f>
        <v>0.211001148434391</v>
      </c>
      <c r="U209" s="37" t="n">
        <f aca="false">IFERROR(IF(OR(U204&lt;=0,U208/U204&lt;0,U208/U204&gt;1),0,U208/U204),0)</f>
        <v>0.152210144751338</v>
      </c>
      <c r="V209" s="37" t="n">
        <f aca="false">IFERROR(IF(OR(V204&lt;=0,V208/V204&lt;0,V208/V204&gt;1),0,V208/V204),0)</f>
        <v>0.14866104575302</v>
      </c>
      <c r="W209" s="37" t="n">
        <f aca="false">IFERROR(IF(OR(W204&lt;=0,W208/W204&lt;0,W208/W204&gt;1),0,W208/W204),0)</f>
        <v>0.145337101368508</v>
      </c>
      <c r="X209" s="37" t="n">
        <f aca="false">IFERROR(IF(OR(X204&lt;=0,X208/X204&lt;0,X208/X204&gt;1),0,X208/X204),0)</f>
        <v>0.13092693390242</v>
      </c>
      <c r="Y209" s="37" t="n">
        <f aca="false">IFERROR(IF(OR(Y204&lt;=0,Y208/Y204&lt;0,Y208/Y204&gt;1),0,Y208/Y204),0)</f>
        <v>0.195368469326645</v>
      </c>
      <c r="Z209" s="37" t="n">
        <f aca="false">IFERROR(IF(OR(Z204&lt;=0,Z208/Z204&lt;0,Z208/Z204&gt;1),0,Z208/Z204),0)</f>
        <v>0.13092693390242</v>
      </c>
      <c r="AA209" s="37" t="n">
        <f aca="false">IFERROR(IF(OR(AA204&lt;=0,AA208/AA204&lt;0,AA208/AA204&gt;1),0,AA208/AA204),0)</f>
        <v>0.13092693390242</v>
      </c>
      <c r="AB209" s="37" t="n">
        <f aca="false">IFERROR(IF(OR(AB204&lt;=0,AB208/AB204&lt;0,AB208/AB204&gt;1),0,AB208/AB204),0)</f>
        <v>0.182015131470794</v>
      </c>
      <c r="AC209" s="37" t="n">
        <f aca="false">IFERROR(IF(OR(AC204&lt;=0,AC208/AC204&lt;0,AC208/AC204&gt;1),0,AC208/AC204),0)</f>
        <v>0.278907516105948</v>
      </c>
      <c r="AD209" s="37" t="n">
        <f aca="false">IFERROR(IF(OR(AD204&lt;=0,AD208/AD204&lt;0,AD208/AD204&gt;1),0,AD208/AD204),0)</f>
        <v>0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0.0485599745552148</v>
      </c>
      <c r="AG209" s="37" t="n">
        <f aca="false">IFERROR(IF(OR(AG204&lt;=0,AG208/AG204&lt;0,AG208/AG204&gt;1),0,AG208/AG204),0)</f>
        <v>0.0485599745552155</v>
      </c>
      <c r="AH209" s="37" t="n">
        <f aca="false">IFERROR(IF(OR(AH204&lt;=0,AH208/AH204&lt;0,AH208/AH204&gt;1),0,AH208/AH204),0)</f>
        <v>0.0485599745552148</v>
      </c>
      <c r="AI209" s="37" t="n">
        <f aca="false">IFERROR(IF(OR(AI204&lt;=0,AI208/AI204&lt;0,AI208/AI204&gt;1),0,AI208/AI204),0)</f>
        <v>0.19240402359245</v>
      </c>
      <c r="AJ209" s="37" t="n">
        <f aca="false">IFERROR(IF(OR(AJ204&lt;=0,AJ208/AJ204&lt;0,AJ208/AJ204&gt;1),0,AJ208/AJ204),0)</f>
        <v>0</v>
      </c>
      <c r="AK209" s="37" t="n">
        <f aca="false">IFERROR(IF(OR(AK204&lt;=0,AK208/AK204&lt;0,AK208/AK204&gt;1),0,AK208/AK204),0)</f>
        <v>0</v>
      </c>
      <c r="AL209" s="37" t="n">
        <f aca="false">IFERROR(IF(OR(AL204&lt;=0,AL208/AL204&lt;0,AL208/AL204&gt;1),0,AL208/AL204),0)</f>
        <v>0</v>
      </c>
      <c r="AM209" s="37" t="n">
        <f aca="false">IFERROR(IF(OR(AM204&lt;=0,AM208/AM204&lt;0,AM208/AM204&gt;1),0,AM208/AM204),0)</f>
        <v>0.221529721307003</v>
      </c>
      <c r="AN209" s="37" t="n">
        <f aca="false">IFERROR(IF(OR(AN204&lt;=0,AN208/AN204&lt;0,AN208/AN204&gt;1),0,AN208/AN204),0)</f>
        <v>0</v>
      </c>
      <c r="AO209" s="37" t="n">
        <f aca="false">IFERROR(IF(OR(AO204&lt;=0,AO208/AO204&lt;0,AO208/AO204&gt;1),0,AO208/AO204),0)</f>
        <v>0</v>
      </c>
      <c r="AP209" s="37" t="n">
        <f aca="false">IFERROR(IF(OR(AP204&lt;=0,AP208/AP204&lt;0,AP208/AP204&gt;1),0,AP208/AP204),0)</f>
        <v>0</v>
      </c>
      <c r="AQ209" s="37" t="n">
        <f aca="false">IFERROR(IF(OR(AQ204&lt;=0,AQ208/AQ204&lt;0,AQ208/AQ204&gt;1),0,AQ208/AQ204),0)</f>
        <v>0</v>
      </c>
      <c r="AR209" s="37" t="n">
        <f aca="false">IFERROR(IF(OR(AR204&lt;=0,AR208/AR204&lt;0,AR208/AR204&gt;1),0,AR208/AR204),0)</f>
        <v>0</v>
      </c>
      <c r="AS209" s="37" t="n">
        <f aca="false">IFERROR(IF(OR(AS204&lt;=0,AS208/AS204&lt;0,AS208/AS204&gt;1),0,AS208/AS204),0)</f>
        <v>0</v>
      </c>
      <c r="AT209" s="37" t="n">
        <f aca="false">IFERROR(IF(OR(AT204&lt;=0,AT208/AT204&lt;0,AT208/AT204&gt;1),0,AT208/AT204),0)</f>
        <v>0</v>
      </c>
      <c r="AU209" s="37" t="n">
        <f aca="false">IFERROR(IF(OR(AU204&lt;=0,AU208/AU204&lt;0,AU208/AU204&gt;1),0,AU208/AU204),0)</f>
        <v>0</v>
      </c>
      <c r="AV209" s="37" t="n">
        <f aca="false">IFERROR(IF(OR(AV204&lt;=0,AV208/AV204&lt;0,AV208/AV204&gt;1),0,AV208/AV204),0)</f>
        <v>0</v>
      </c>
      <c r="AW209" s="37" t="n">
        <f aca="false">IFERROR(IF(OR(AW204&lt;=0,AW208/AW204&lt;0,AW208/AW204&gt;1),0,AW208/AW204),0)</f>
        <v>0</v>
      </c>
      <c r="AX209" s="37" t="n">
        <f aca="false">IFERROR(IF(OR(AX204&lt;=0,AX208/AX204&lt;0,AX208/AX204&gt;1),0,AX208/AX204),0)</f>
        <v>0</v>
      </c>
      <c r="AY209" s="37" t="n">
        <f aca="false">IFERROR(IF(OR(AY204&lt;=0,AY208/AY204&lt;0,AY208/AY204&gt;1),0,AY208/AY204),0)</f>
        <v>0</v>
      </c>
      <c r="AZ209" s="37" t="n">
        <f aca="false">IFERROR(IF(OR(AZ204&lt;=0,AZ208/AZ204&lt;0,AZ208/AZ204&gt;1),0,AZ208/AZ204),0)</f>
        <v>0</v>
      </c>
      <c r="BA209" s="37" t="n">
        <f aca="false">IFERROR(IF(OR(BA204&lt;=0,BA208/BA204&lt;0,BA208/BA204&gt;1),0,BA208/BA204),0)</f>
        <v>0</v>
      </c>
      <c r="BB209" s="37" t="n">
        <f aca="false">IFERROR(IF(OR(BB204&lt;=0,BB208/BB204&lt;0,BB208/BB204&gt;1),0,BB208/BB204),0)</f>
        <v>0</v>
      </c>
      <c r="BC209" s="37" t="n">
        <f aca="false">IFERROR(IF(OR(BC204&lt;=0,BC208/BC204&lt;0,BC208/BC204&gt;1),0,BC208/BC204),0)</f>
        <v>0</v>
      </c>
      <c r="BD209" s="37" t="n">
        <f aca="false">IFERROR(IF(OR(BD204&lt;=0,BD208/BD204&lt;0,BD208/BD204&gt;1),0,BD208/BD204),0)</f>
        <v>0</v>
      </c>
      <c r="BE209" s="37" t="n">
        <f aca="false">IFERROR(IF(OR(BE204&lt;=0,BE208/BE204&lt;0,BE208/BE204&gt;1),0,BE208/BE204),0)</f>
        <v>0</v>
      </c>
      <c r="BF209" s="37" t="n">
        <f aca="false">IFERROR(IF(OR(BF204&lt;=0,BF208/BF204&lt;0,BF208/BF204&gt;1),0,BF208/BF204),0)</f>
        <v>0</v>
      </c>
      <c r="BG209" s="37" t="n">
        <f aca="false">IFERROR(IF(OR(BG204&lt;=0,BG208/BG204&lt;0,BG208/BG204&gt;1),0,BG208/BG204),0)</f>
        <v>0</v>
      </c>
      <c r="BH209" s="37" t="n">
        <f aca="false">IFERROR(IF(OR(BH204&lt;=0,BH208/BH204&lt;0,BH208/BH204&gt;1),0,BH208/BH204),0)</f>
        <v>0</v>
      </c>
      <c r="BI209" s="37" t="n">
        <f aca="false">IFERROR(IF(OR(BI204&lt;=0,BI208/BI204&lt;0,BI208/BI204&gt;1),0,BI208/BI204),0)</f>
        <v>0</v>
      </c>
      <c r="BJ209" s="37" t="n">
        <f aca="false">IFERROR(IF(OR(BJ204&lt;=0,BJ208/BJ204&lt;0,BJ208/BJ204&gt;1),0,BJ208/BJ204),0)</f>
        <v>0</v>
      </c>
      <c r="BK209" s="37" t="n">
        <f aca="false">IFERROR(IF(OR(BK204&lt;=0,BK208/BK204&lt;0,BK208/BK204&gt;1),0,BK208/BK204),0)</f>
        <v>0</v>
      </c>
      <c r="BL209" s="37" t="n">
        <f aca="false">IFERROR(IF(OR(BL204&lt;=0,BL208/BL204&lt;0,BL208/BL204&gt;1),0,BL208/BL204),0)</f>
        <v>0</v>
      </c>
      <c r="BM209" s="37" t="n">
        <f aca="false">IFERROR(IF(OR(BM204&lt;=0,BM208/BM204&lt;0,BM208/BM204&gt;1),0,BM208/BM204),0)</f>
        <v>0</v>
      </c>
      <c r="BN209" s="37" t="n">
        <f aca="false">IFERROR(IF(OR(BN204&lt;=0,BN208/BN204&lt;0,BN208/BN204&gt;1),0,BN208/BN204),0)</f>
        <v>0</v>
      </c>
      <c r="BO209" s="37" t="n">
        <f aca="false">IFERROR(IF(OR(BO204&lt;=0,BO208/BO204&lt;0,BO208/BO204&gt;1),0,BO208/BO204),0)</f>
        <v>0</v>
      </c>
      <c r="BP209" s="37" t="n">
        <f aca="false">IFERROR(IF(OR(BP204&lt;=0,BP208/BP204&lt;0,BP208/BP204&gt;1),0,BP208/BP204),0)</f>
        <v>0</v>
      </c>
      <c r="BQ209" s="37" t="n">
        <f aca="false">IFERROR(IF(OR(BQ204&lt;=0,BQ208/BQ204&lt;0,BQ208/BQ204&gt;1),0,BQ208/BQ204),0)</f>
        <v>0</v>
      </c>
      <c r="BR209" s="37" t="n">
        <f aca="false">IFERROR(IF(OR(BR204&lt;=0,BR208/BR204&lt;0,BR208/BR204&gt;1),0,BR208/BR204),0)</f>
        <v>0</v>
      </c>
      <c r="BS209" s="37" t="n">
        <f aca="false">IFERROR(IF(OR(BS204&lt;=0,BS208/BS204&lt;0,BS208/BS204&gt;1),0,BS208/BS204),0)</f>
        <v>0</v>
      </c>
      <c r="BT209" s="37" t="n">
        <f aca="false">IFERROR(IF(OR(BT204&lt;=0,BT208/BT204&lt;0,BT208/BT204&gt;1),0,BT208/BT204),0)</f>
        <v>0</v>
      </c>
      <c r="BU209" s="37" t="n">
        <f aca="false">IFERROR(IF(OR(BU204&lt;=0,BU208/BU204&lt;0,BU208/BU204&gt;1),0,BU208/BU204),0)</f>
        <v>0</v>
      </c>
      <c r="BV209" s="37" t="n">
        <f aca="false">IFERROR(IF(OR(BV204&lt;=0,BV208/BV204&lt;0,BV208/BV204&gt;1),0,BV208/BV204),0)</f>
        <v>0</v>
      </c>
      <c r="BW209" s="37" t="n">
        <f aca="false">IFERROR(IF(OR(BW204&lt;=0,BW208/BW204&lt;0,BW208/BW204&gt;1),0,BW208/BW204),0)</f>
        <v>0</v>
      </c>
      <c r="BX209" s="37" t="n">
        <f aca="false">IFERROR(IF(OR(BX204&lt;=0,BX208/BX204&lt;0,BX208/BX204&gt;1),0,BX208/BX204),0)</f>
        <v>0</v>
      </c>
      <c r="BY209" s="37" t="n">
        <f aca="false">IFERROR(IF(OR(BY204&lt;=0,BY208/BY204&lt;0,BY208/BY204&gt;1),0,BY208/BY204),0)</f>
        <v>0</v>
      </c>
      <c r="BZ209" s="37" t="n">
        <f aca="false">IFERROR(IF(OR(BZ204&lt;=0,BZ208/BZ204&lt;0,BZ208/BZ204&gt;1),0,BZ208/BZ204),0)</f>
        <v>0</v>
      </c>
      <c r="CA209" s="37" t="n">
        <f aca="false">IFERROR(IF(OR(CA204&lt;=0,CA208/CA204&lt;0,CA208/CA204&gt;1),0,CA208/CA204),0)</f>
        <v>0</v>
      </c>
      <c r="CB209" s="37" t="n">
        <f aca="false">IFERROR(IF(OR(CB204&lt;=0,CB208/CB204&lt;0,CB208/CB204&gt;1),0,CB208/CB204),0)</f>
        <v>0</v>
      </c>
      <c r="CC209" s="37" t="n">
        <f aca="false">IFERROR(IF(OR(CC204&lt;=0,CC208/CC204&lt;0,CC208/CC204&gt;1),0,CC208/CC204),0)</f>
        <v>0</v>
      </c>
      <c r="CD209" s="37" t="n">
        <f aca="false">IFERROR(IF(OR(CD204&lt;=0,CD208/CD204&lt;0,CD208/CD204&gt;1),0,CD208/CD204),0)</f>
        <v>0</v>
      </c>
      <c r="CE209" s="37" t="n">
        <f aca="false">IFERROR(IF(OR(CE204&lt;=0,CE208/CE204&lt;0,CE208/CE204&gt;1),0,CE208/CE204),0)</f>
        <v>0</v>
      </c>
      <c r="CF209" s="37" t="n">
        <f aca="false">IFERROR(IF(OR(CF204&lt;=0,CF208/CF204&lt;0,CF208/CF204&gt;1),0,CF208/CF204),0)</f>
        <v>0</v>
      </c>
      <c r="CG209" s="37" t="n">
        <f aca="false">IFERROR(IF(OR(CG204&lt;=0,CG208/CG204&lt;0,CG208/CG204&gt;1),0,CG208/CG204),0)</f>
        <v>0</v>
      </c>
      <c r="CH209" s="37" t="n">
        <f aca="false">IFERROR(IF(OR(CH204&lt;=0,CH208/CH204&lt;0,CH208/CH204&gt;1),0,CH208/CH204),0)</f>
        <v>0</v>
      </c>
      <c r="CI209" s="37" t="n">
        <f aca="false">IFERROR(IF(OR(CI204&lt;=0,CI208/CI204&lt;0,CI208/CI204&gt;1),0,CI208/CI204),0)</f>
        <v>0</v>
      </c>
      <c r="CJ209" s="37" t="n">
        <f aca="false">IFERROR(IF(OR(CJ204&lt;=0,CJ208/CJ204&lt;0,CJ208/CJ204&gt;1),0,CJ208/CJ204),0)</f>
        <v>0</v>
      </c>
      <c r="CK209" s="37" t="n">
        <f aca="false">IFERROR(IF(OR(CK204&lt;=0,CK208/CK204&lt;0,CK208/CK204&gt;1),0,CK208/CK204),0)</f>
        <v>0</v>
      </c>
      <c r="CL209" s="37" t="n">
        <f aca="false">IFERROR(IF(OR(CL204&lt;=0,CL208/CL204&lt;0,CL208/CL204&gt;1),0,CL208/CL204),0)</f>
        <v>0</v>
      </c>
      <c r="CM209" s="37" t="n">
        <f aca="false">IFERROR(IF(OR(CM204&lt;=0,CM208/CM204&lt;0,CM208/CM204&gt;1),0,CM208/CM204),0)</f>
        <v>0</v>
      </c>
      <c r="CN209" s="37" t="n">
        <f aca="false">IFERROR(IF(OR(CN204&lt;=0,CN208/CN204&lt;0,CN208/CN204&gt;1),0,CN208/CN204),0)</f>
        <v>0</v>
      </c>
      <c r="CO209" s="37" t="n">
        <f aca="false">IFERROR(IF(OR(CO204&lt;=0,CO208/CO204&lt;0,CO208/CO204&gt;1),0,CO208/CO204),0)</f>
        <v>0</v>
      </c>
      <c r="CP209" s="37" t="n">
        <f aca="false">IFERROR(IF(OR(CP204&lt;=0,CP208/CP204&lt;0,CP208/CP204&gt;1),0,CP208/CP204),0)</f>
        <v>0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75953.96</v>
      </c>
      <c r="J211" s="14" t="n">
        <f aca="false">ROUND(J208-('Original Budget'!K57+'Original Budget'!K114),2)</f>
        <v>495187.93</v>
      </c>
      <c r="K211" s="14" t="n">
        <f aca="false">ROUND(K208-('Original Budget'!L57+'Original Budget'!L114),2)</f>
        <v>-217627.17</v>
      </c>
      <c r="L211" s="14" t="n">
        <f aca="false">ROUND(L208-('Original Budget'!M57+'Original Budget'!M114),2)</f>
        <v>8410.23</v>
      </c>
      <c r="M211" s="14" t="n">
        <f aca="false">ROUND(M208-('Original Budget'!N57+'Original Budget'!N114),2)</f>
        <v>75094.34</v>
      </c>
      <c r="N211" s="14" t="n">
        <f aca="false">ROUND(N208-('Original Budget'!O57+'Original Budget'!O114),2)</f>
        <v>52961.92</v>
      </c>
      <c r="O211" s="14" t="n">
        <f aca="false">ROUND(O208-('Original Budget'!P57+'Original Budget'!P114),2)</f>
        <v>26892.17</v>
      </c>
      <c r="P211" s="14" t="n">
        <f aca="false">ROUND(P208-('Original Budget'!Q57+'Original Budget'!Q114),2)</f>
        <v>-1751.67</v>
      </c>
      <c r="Q211" s="14" t="n">
        <f aca="false">ROUND(Q208-('Original Budget'!R57+'Original Budget'!R114),2)</f>
        <v>-31579</v>
      </c>
      <c r="R211" s="14" t="n">
        <f aca="false">ROUND(R208-('Original Budget'!S57+'Original Budget'!S114),2)</f>
        <v>-61306.73</v>
      </c>
      <c r="S211" s="14" t="n">
        <f aca="false">ROUND(S208-('Original Budget'!T57+'Original Budget'!T114),2)</f>
        <v>-248477.13</v>
      </c>
      <c r="T211" s="14" t="n">
        <f aca="false">ROUND(T208-('Original Budget'!U57+'Original Budget'!U114),2)</f>
        <v>-88030.24</v>
      </c>
      <c r="U211" s="14" t="n">
        <f aca="false">ROUND(U208-('Original Budget'!V57+'Original Budget'!V114),2)</f>
        <v>122927.2</v>
      </c>
      <c r="V211" s="14" t="n">
        <f aca="false">ROUND(V208-('Original Budget'!W57+'Original Budget'!W114),2)</f>
        <v>119865.68</v>
      </c>
      <c r="W211" s="14" t="n">
        <f aca="false">ROUND(W208-('Original Budget'!X57+'Original Budget'!X114),2)</f>
        <v>95211.13</v>
      </c>
      <c r="X211" s="14" t="n">
        <f aca="false">ROUND(X208-('Original Budget'!Y57+'Original Budget'!Y114),2)</f>
        <v>126752.82</v>
      </c>
      <c r="Y211" s="14" t="n">
        <f aca="false">ROUND(Y208-('Original Budget'!Z57+'Original Budget'!Z114),2)</f>
        <v>126752.82</v>
      </c>
      <c r="Z211" s="14" t="n">
        <f aca="false">ROUND(Z208-('Original Budget'!AA57+'Original Budget'!AA114),2)</f>
        <v>126752.82</v>
      </c>
      <c r="AA211" s="14" t="n">
        <f aca="false">ROUND(AA208-('Original Budget'!AB57+'Original Budget'!AB114),2)</f>
        <v>126752.82</v>
      </c>
      <c r="AB211" s="14" t="n">
        <f aca="false">ROUND(AB208-('Original Budget'!AC57+'Original Budget'!AC114),2)</f>
        <v>114121.24</v>
      </c>
      <c r="AC211" s="14" t="n">
        <f aca="false">ROUND(AC208-('Original Budget'!AD57+'Original Budget'!AD114),2)</f>
        <v>206137.23</v>
      </c>
      <c r="AD211" s="14" t="n">
        <f aca="false">ROUND(AD208-('Original Budget'!AE57+'Original Budget'!AE114),2)</f>
        <v>0</v>
      </c>
      <c r="AE211" s="14" t="n">
        <f aca="false">ROUND(AE208-('Original Budget'!AF57+'Original Budget'!AF114),2)</f>
        <v>-0</v>
      </c>
      <c r="AF211" s="14" t="n">
        <f aca="false">ROUND(AF208-('Original Budget'!AG57+'Original Budget'!AG114),2)</f>
        <v>-0</v>
      </c>
      <c r="AG211" s="14" t="n">
        <f aca="false">ROUND(AG208-('Original Budget'!AH57+'Original Budget'!AH114),2)</f>
        <v>-0</v>
      </c>
      <c r="AH211" s="14" t="n">
        <f aca="false">ROUND(AH208-('Original Budget'!AI57+'Original Budget'!AI114),2)</f>
        <v>-0</v>
      </c>
      <c r="AI211" s="14" t="n">
        <f aca="false">ROUND(AI208-('Original Budget'!AJ57+'Original Budget'!AJ114),2)</f>
        <v>-0</v>
      </c>
      <c r="AJ211" s="14" t="n">
        <f aca="false">ROUND(AJ208-('Original Budget'!AK57+'Original Budget'!AK114),2)</f>
        <v>0</v>
      </c>
      <c r="AK211" s="14" t="n">
        <f aca="false">ROUND(AK208-('Original Budget'!AL57+'Original Budget'!AL114),2)</f>
        <v>-258650.72</v>
      </c>
      <c r="AL211" s="14" t="n">
        <f aca="false">ROUND(AL208-('Original Budget'!AM57+'Original Budget'!AM114),2)</f>
        <v>163812.12</v>
      </c>
      <c r="AM211" s="14" t="n">
        <f aca="false">ROUND(AM208-('Original Budget'!AN57+'Original Budget'!AN114),2)</f>
        <v>422462.84</v>
      </c>
      <c r="AN211" s="14" t="n">
        <f aca="false">ROUND(AN208-('Original Budget'!AO57+'Original Budget'!AO114),2)</f>
        <v>0</v>
      </c>
      <c r="AO211" s="14" t="n">
        <f aca="false">ROUND(AO208-('Original Budget'!AP57+'Original Budget'!AP114),2)</f>
        <v>0</v>
      </c>
      <c r="AP211" s="14" t="n">
        <f aca="false">ROUND(AP208-('Original Budget'!AQ57+'Original Budget'!AQ114),2)</f>
        <v>0</v>
      </c>
      <c r="AQ211" s="14" t="n">
        <f aca="false">ROUND(AQ208-('Original Budget'!AR57+'Original Budget'!AR114),2)</f>
        <v>0</v>
      </c>
      <c r="AR211" s="14" t="n">
        <f aca="false">ROUND(AR208-('Original Budget'!AS57+'Original Budget'!AS114),2)</f>
        <v>0</v>
      </c>
      <c r="AS211" s="14" t="n">
        <f aca="false">ROUND(AS208-('Original Budget'!AT57+'Original Budget'!AT114),2)</f>
        <v>0</v>
      </c>
      <c r="AT211" s="14" t="n">
        <f aca="false">ROUND(AT208-('Original Budget'!AU57+'Original Budget'!AU114),2)</f>
        <v>0</v>
      </c>
      <c r="AU211" s="14" t="n">
        <f aca="false">ROUND(AU208-('Original Budget'!AV57+'Original Budget'!AV114),2)</f>
        <v>-0</v>
      </c>
      <c r="AV211" s="14" t="n">
        <f aca="false">ROUND(AV208-('Original Budget'!AW57+'Original Budget'!AW114),2)</f>
        <v>-0</v>
      </c>
      <c r="AW211" s="14" t="n">
        <f aca="false">ROUND(AW208-('Original Budget'!AX57+'Original Budget'!AX114),2)</f>
        <v>-0</v>
      </c>
      <c r="AX211" s="14" t="n">
        <f aca="false">ROUND(AX208-('Original Budget'!AY57+'Original Budget'!AY114),2)</f>
        <v>-0</v>
      </c>
      <c r="AY211" s="14" t="n">
        <f aca="false">ROUND(AY208-('Original Budget'!AZ57+'Original Budget'!AZ114),2)</f>
        <v>-0</v>
      </c>
      <c r="AZ211" s="14" t="n">
        <f aca="false">ROUND(AZ208-('Original Budget'!BA57+'Original Budget'!BA114),2)</f>
        <v>-0</v>
      </c>
      <c r="BA211" s="14" t="n">
        <f aca="false">ROUND(BA208-('Original Budget'!BB57+'Original Budget'!BB114),2)</f>
        <v>-0</v>
      </c>
      <c r="BB211" s="14" t="n">
        <f aca="false">ROUND(BB208-('Original Budget'!BC57+'Original Budget'!BC114),2)</f>
        <v>-0</v>
      </c>
      <c r="BC211" s="14" t="n">
        <f aca="false">ROUND(BC208-('Original Budget'!BD57+'Original Budget'!BD114),2)</f>
        <v>-0</v>
      </c>
      <c r="BD211" s="14" t="n">
        <f aca="false">ROUND(BD208-('Original Budget'!BE57+'Original Budget'!BE114),2)</f>
        <v>0</v>
      </c>
      <c r="BE211" s="14" t="n">
        <f aca="false">ROUND(BE208-('Original Budget'!BF57+'Original Budget'!BF114),2)</f>
        <v>0</v>
      </c>
      <c r="BF211" s="14" t="n">
        <f aca="false">ROUND(BF208-('Original Budget'!BG57+'Original Budget'!BG114),2)</f>
        <v>0</v>
      </c>
      <c r="BG211" s="14" t="n">
        <f aca="false">ROUND(BG208-('Original Budget'!BH57+'Original Budget'!BH114),2)</f>
        <v>0</v>
      </c>
      <c r="BH211" s="14" t="n">
        <f aca="false">ROUND(BH208-('Original Budget'!BI57+'Original Budget'!BI114),2)</f>
        <v>0</v>
      </c>
      <c r="BI211" s="14" t="n">
        <f aca="false">ROUND(BI208-('Original Budget'!BJ57+'Original Budget'!BJ114),2)</f>
        <v>0</v>
      </c>
      <c r="BJ211" s="14" t="n">
        <f aca="false">ROUND(BJ208-('Original Budget'!BK57+'Original Budget'!BK114),2)</f>
        <v>0</v>
      </c>
      <c r="BK211" s="14" t="n">
        <f aca="false">ROUND(BK208-('Original Budget'!BL57+'Original Budget'!BL114),2)</f>
        <v>0</v>
      </c>
      <c r="BL211" s="14" t="n">
        <f aca="false">ROUND(BL208-('Original Budget'!BM57+'Original Budget'!BM114),2)</f>
        <v>0</v>
      </c>
      <c r="BM211" s="14" t="n">
        <f aca="false">ROUND(BM208-('Original Budget'!BN57+'Original Budget'!BN114),2)</f>
        <v>0</v>
      </c>
      <c r="BN211" s="14" t="n">
        <f aca="false">ROUND(BN208-('Original Budget'!BO57+'Original Budget'!BO114),2)</f>
        <v>0</v>
      </c>
      <c r="BO211" s="14" t="n">
        <f aca="false">ROUND(BO208-('Original Budget'!BP57+'Original Budget'!BP114),2)</f>
        <v>0</v>
      </c>
      <c r="BP211" s="14" t="n">
        <f aca="false">ROUND(BP208-('Original Budget'!BQ57+'Original Budget'!BQ114),2)</f>
        <v>0</v>
      </c>
      <c r="BQ211" s="14" t="n">
        <f aca="false">ROUND(BQ208-('Original Budget'!BR57+'Original Budget'!BR114),2)</f>
        <v>0</v>
      </c>
      <c r="BR211" s="14" t="n">
        <f aca="false">ROUND(BR208-('Original Budget'!BS57+'Original Budget'!BS114),2)</f>
        <v>0</v>
      </c>
      <c r="BS211" s="14" t="n">
        <f aca="false">ROUND(BS208-('Original Budget'!BT57+'Original Budget'!BT114),2)</f>
        <v>0</v>
      </c>
      <c r="BT211" s="14" t="n">
        <f aca="false">ROUND(BT208-('Original Budget'!BU57+'Original Budget'!BU114),2)</f>
        <v>0</v>
      </c>
      <c r="BU211" s="14" t="n">
        <f aca="false">ROUND(BU208-('Original Budget'!BV57+'Original Budget'!BV114),2)</f>
        <v>0</v>
      </c>
      <c r="BV211" s="14" t="n">
        <f aca="false">ROUND(BV208-('Original Budget'!BW57+'Original Budget'!BW114),2)</f>
        <v>0</v>
      </c>
      <c r="BW211" s="14" t="n">
        <f aca="false">ROUND(BW208-('Original Budget'!BX57+'Original Budget'!BX114),2)</f>
        <v>0</v>
      </c>
      <c r="BX211" s="14" t="n">
        <f aca="false">ROUND(BX208-('Original Budget'!BY57+'Original Budget'!BY114),2)</f>
        <v>0</v>
      </c>
      <c r="BY211" s="14" t="n">
        <f aca="false">ROUND(BY208-('Original Budget'!BZ57+'Original Budget'!BZ114),2)</f>
        <v>0</v>
      </c>
      <c r="BZ211" s="14" t="n">
        <f aca="false">ROUND(BZ208-('Original Budget'!CA57+'Original Budget'!CA114),2)</f>
        <v>0</v>
      </c>
      <c r="CA211" s="14" t="n">
        <f aca="false">ROUND(CA208-('Original Budget'!CB57+'Original Budget'!CB114),2)</f>
        <v>0</v>
      </c>
      <c r="CB211" s="14" t="n">
        <f aca="false">ROUND(CB208-('Original Budget'!CC57+'Original Budget'!CC114),2)</f>
        <v>0</v>
      </c>
      <c r="CC211" s="14" t="n">
        <f aca="false">ROUND(CC208-('Original Budget'!CD57+'Original Budget'!CD114),2)</f>
        <v>0</v>
      </c>
      <c r="CD211" s="14" t="n">
        <f aca="false">ROUND(CD208-('Original Budget'!CE57+'Original Budget'!CE114),2)</f>
        <v>0</v>
      </c>
      <c r="CE211" s="14" t="n">
        <f aca="false">ROUND(CE208-('Original Budget'!CF57+'Original Budget'!CF114),2)</f>
        <v>0</v>
      </c>
      <c r="CF211" s="14" t="n">
        <f aca="false">ROUND(CF208-('Original Budget'!CG57+'Original Budget'!CG114),2)</f>
        <v>0</v>
      </c>
      <c r="CG211" s="14" t="n">
        <f aca="false">ROUND(CG208-('Original Budget'!CH57+'Original Budget'!CH114),2)</f>
        <v>0</v>
      </c>
      <c r="CH211" s="14" t="n">
        <f aca="false">ROUND(CH208-('Original Budget'!CI57+'Original Budget'!CI114),2)</f>
        <v>0</v>
      </c>
      <c r="CI211" s="14" t="n">
        <f aca="false">ROUND(CI208-('Original Budget'!CJ57+'Original Budget'!CJ114),2)</f>
        <v>0</v>
      </c>
      <c r="CJ211" s="14" t="n">
        <f aca="false">ROUND(CJ208-('Original Budget'!CK57+'Original Budget'!CK114),2)</f>
        <v>0</v>
      </c>
      <c r="CK211" s="14" t="n">
        <f aca="false">ROUND(CK208-('Original Budget'!CL57+'Original Budget'!CL114),2)</f>
        <v>0</v>
      </c>
      <c r="CL211" s="14" t="n">
        <f aca="false">ROUND(CL208-('Original Budget'!CM57+'Original Budget'!CM114),2)</f>
        <v>0</v>
      </c>
      <c r="CM211" s="14" t="n">
        <f aca="false">ROUND(CM208-('Original Budget'!CN57+'Original Budget'!CN114),2)</f>
        <v>0</v>
      </c>
      <c r="CN211" s="14" t="n">
        <f aca="false">ROUND(CN208-('Original Budget'!CO57+'Original Budget'!CO114),2)</f>
        <v>0</v>
      </c>
      <c r="CO211" s="14" t="n">
        <f aca="false">ROUND(CO208-('Original Budget'!CP57+'Original Budget'!CP114),2)</f>
        <v>0</v>
      </c>
      <c r="CP211" s="14" t="n">
        <f aca="false">ROUND(CP208-('Original Budget'!CQ57+'Original Budget'!CQ114),2)</f>
        <v>0</v>
      </c>
      <c r="CQ211" s="14" t="n">
        <f aca="false">ROUND(CQ208-('Original Budget'!CR57+'Original Budget'!CR114),2)</f>
        <v>0</v>
      </c>
      <c r="CR211" s="14" t="n">
        <f aca="false">ROUND(CR208-('Original Budget'!CS57+'Original Budget'!CS114),2)</f>
        <v>0</v>
      </c>
      <c r="CS211" s="14" t="n">
        <f aca="false">ROUND(CS208-('Original Budget'!CT57+'Original Budget'!CT114),2)</f>
        <v>0</v>
      </c>
      <c r="CT211" s="14" t="n">
        <f aca="false">ROUND(CT208-('Original Budget'!CU57+'Original Budget'!CU114),2)</f>
        <v>0</v>
      </c>
      <c r="CU211" s="14" t="n">
        <f aca="false">ROUND(CU208-('Original Budget'!CV57+'Original Budget'!CV114),2)</f>
        <v>0</v>
      </c>
      <c r="CV211" s="14" t="n">
        <f aca="false">ROUND(CV208-('Original Budget'!CW57+'Original Budget'!CW114),2)</f>
        <v>0</v>
      </c>
      <c r="CW211" s="14" t="n">
        <f aca="false">ROUND(CW208-('Original Budget'!CX57+'Original Budget'!CX114),2)</f>
        <v>0</v>
      </c>
      <c r="CX211" s="14" t="n">
        <f aca="false">ROUND(CX208-('Original Budget'!CY57+'Original Budget'!CY114),2)</f>
        <v>0</v>
      </c>
      <c r="CY211" s="14" t="n">
        <f aca="false">ROUND(CY208-('Original Budget'!CZ57+'Original Budget'!CZ114),2)</f>
        <v>0</v>
      </c>
      <c r="CZ211" s="14" t="n">
        <f aca="false">ROUND(CZ208-('Original Budget'!DA57+'Original Budget'!DA114),2)</f>
        <v>0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500000</v>
      </c>
      <c r="AC221" s="14" t="n">
        <f aca="false">AB223</f>
        <v>500000</v>
      </c>
      <c r="AD221" s="14" t="n">
        <f aca="false">AC223</f>
        <v>500000</v>
      </c>
      <c r="AE221" s="14" t="n">
        <f aca="false">AD223</f>
        <v>500000</v>
      </c>
      <c r="AF221" s="14" t="n">
        <f aca="false">AE223</f>
        <v>500000</v>
      </c>
      <c r="AG221" s="14" t="n">
        <f aca="false">AF223</f>
        <v>500000</v>
      </c>
      <c r="AH221" s="14" t="n">
        <f aca="false">AG223</f>
        <v>500000</v>
      </c>
      <c r="AI221" s="14" t="n">
        <f aca="false">AH223</f>
        <v>500000</v>
      </c>
      <c r="AJ221" s="14" t="n">
        <f aca="false">AI223</f>
        <v>500000</v>
      </c>
      <c r="AK221" s="14" t="n">
        <f aca="false">AJ223</f>
        <v>500000</v>
      </c>
      <c r="AL221" s="14" t="n">
        <f aca="false">AK223</f>
        <v>500000</v>
      </c>
      <c r="AM221" s="14" t="n">
        <f aca="false">AL223</f>
        <v>500000</v>
      </c>
      <c r="AN221" s="14" t="n">
        <f aca="false">AM223</f>
        <v>500000</v>
      </c>
      <c r="AO221" s="14" t="n">
        <f aca="false">AN223</f>
        <v>500000</v>
      </c>
      <c r="AP221" s="14" t="n">
        <f aca="false">AO223</f>
        <v>500000</v>
      </c>
      <c r="AQ221" s="14" t="n">
        <f aca="false">AP223</f>
        <v>500000</v>
      </c>
      <c r="AR221" s="14" t="n">
        <f aca="false">AQ223</f>
        <v>500000</v>
      </c>
      <c r="AS221" s="14" t="n">
        <f aca="false">AR223</f>
        <v>500000</v>
      </c>
      <c r="AT221" s="14" t="n">
        <f aca="false">AS223</f>
        <v>500000</v>
      </c>
      <c r="AU221" s="14" t="n">
        <f aca="false">AT223</f>
        <v>500000</v>
      </c>
      <c r="AV221" s="14" t="n">
        <f aca="false">AU223</f>
        <v>500000</v>
      </c>
      <c r="AW221" s="14" t="n">
        <f aca="false">AV223</f>
        <v>500000</v>
      </c>
      <c r="AX221" s="14" t="n">
        <f aca="false">AW223</f>
        <v>500000</v>
      </c>
      <c r="AY221" s="14" t="n">
        <f aca="false">AX223</f>
        <v>500000</v>
      </c>
      <c r="AZ221" s="14" t="n">
        <f aca="false">AY223</f>
        <v>500000</v>
      </c>
      <c r="BA221" s="14" t="n">
        <f aca="false">AZ223</f>
        <v>500000</v>
      </c>
      <c r="BB221" s="14" t="n">
        <f aca="false">BA223</f>
        <v>500000</v>
      </c>
      <c r="BC221" s="14" t="n">
        <f aca="false">BB223</f>
        <v>500000</v>
      </c>
      <c r="BD221" s="14" t="n">
        <f aca="false">BC223</f>
        <v>500000</v>
      </c>
      <c r="BE221" s="14" t="n">
        <f aca="false">BD223</f>
        <v>500000</v>
      </c>
      <c r="BF221" s="14" t="n">
        <f aca="false">BE223</f>
        <v>500000</v>
      </c>
      <c r="BG221" s="14" t="n">
        <f aca="false">BF223</f>
        <v>500000</v>
      </c>
      <c r="BH221" s="14" t="n">
        <f aca="false">BG223</f>
        <v>500000</v>
      </c>
      <c r="BI221" s="14" t="n">
        <f aca="false">BH223</f>
        <v>500000</v>
      </c>
      <c r="BJ221" s="14" t="n">
        <f aca="false">BI223</f>
        <v>500000</v>
      </c>
      <c r="BK221" s="14" t="n">
        <f aca="false">BJ223</f>
        <v>500000</v>
      </c>
      <c r="BL221" s="14" t="n">
        <f aca="false">BK223</f>
        <v>500000</v>
      </c>
      <c r="BM221" s="14" t="n">
        <f aca="false">BL223</f>
        <v>500000</v>
      </c>
      <c r="BN221" s="14" t="n">
        <f aca="false">BM223</f>
        <v>500000</v>
      </c>
      <c r="BO221" s="14" t="n">
        <f aca="false">BN223</f>
        <v>500000</v>
      </c>
      <c r="BP221" s="14" t="n">
        <f aca="false">BO223</f>
        <v>500000</v>
      </c>
      <c r="BQ221" s="14" t="n">
        <f aca="false">BP223</f>
        <v>500000</v>
      </c>
      <c r="BR221" s="14" t="n">
        <f aca="false">BQ223</f>
        <v>500000</v>
      </c>
      <c r="BS221" s="14" t="n">
        <f aca="false">BR223</f>
        <v>500000</v>
      </c>
      <c r="BT221" s="14" t="n">
        <f aca="false">BS223</f>
        <v>500000</v>
      </c>
      <c r="BU221" s="14" t="n">
        <f aca="false">BT223</f>
        <v>500000</v>
      </c>
      <c r="BV221" s="14" t="n">
        <f aca="false">BU223</f>
        <v>500000</v>
      </c>
      <c r="BW221" s="14" t="n">
        <f aca="false">BV223</f>
        <v>500000</v>
      </c>
      <c r="BX221" s="14" t="n">
        <f aca="false">BW223</f>
        <v>500000</v>
      </c>
      <c r="BY221" s="14" t="n">
        <f aca="false">BX223</f>
        <v>500000</v>
      </c>
      <c r="BZ221" s="14" t="n">
        <f aca="false">BY223</f>
        <v>500000</v>
      </c>
      <c r="CA221" s="14" t="n">
        <f aca="false">BZ223</f>
        <v>500000</v>
      </c>
      <c r="CB221" s="14" t="n">
        <f aca="false">CA223</f>
        <v>500000</v>
      </c>
      <c r="CC221" s="14" t="n">
        <f aca="false">CB223</f>
        <v>500000</v>
      </c>
      <c r="CD221" s="14" t="n">
        <f aca="false">CC223</f>
        <v>500000</v>
      </c>
      <c r="CE221" s="14" t="n">
        <f aca="false">CD223</f>
        <v>500000</v>
      </c>
      <c r="CF221" s="14" t="n">
        <f aca="false">CE223</f>
        <v>500000</v>
      </c>
      <c r="CG221" s="14" t="n">
        <f aca="false">CF223</f>
        <v>500000</v>
      </c>
      <c r="CH221" s="14" t="n">
        <f aca="false">CG223</f>
        <v>500000</v>
      </c>
      <c r="CI221" s="14" t="n">
        <f aca="false">CH223</f>
        <v>500000</v>
      </c>
      <c r="CJ221" s="14" t="n">
        <f aca="false">CI223</f>
        <v>500000</v>
      </c>
      <c r="CK221" s="14" t="n">
        <f aca="false">CJ223</f>
        <v>500000</v>
      </c>
      <c r="CL221" s="14" t="n">
        <f aca="false">CK223</f>
        <v>500000</v>
      </c>
      <c r="CM221" s="14" t="n">
        <f aca="false">CL223</f>
        <v>500000</v>
      </c>
      <c r="CN221" s="14" t="n">
        <f aca="false">CM223</f>
        <v>500000</v>
      </c>
      <c r="CO221" s="14" t="n">
        <f aca="false">CN223</f>
        <v>500000</v>
      </c>
      <c r="CP221" s="14" t="n">
        <f aca="false">CO223</f>
        <v>500000</v>
      </c>
      <c r="CQ221" s="14" t="n">
        <f aca="false">CP223</f>
        <v>500000</v>
      </c>
      <c r="CR221" s="14" t="n">
        <f aca="false">CQ223</f>
        <v>500000</v>
      </c>
      <c r="CS221" s="14" t="n">
        <f aca="false">CR223</f>
        <v>500000</v>
      </c>
      <c r="CT221" s="14" t="n">
        <f aca="false">CS223</f>
        <v>500000</v>
      </c>
      <c r="CU221" s="14" t="n">
        <f aca="false">CT223</f>
        <v>500000</v>
      </c>
      <c r="CV221" s="14" t="n">
        <f aca="false">CU223</f>
        <v>500000</v>
      </c>
      <c r="CW221" s="14" t="n">
        <f aca="false">CV223</f>
        <v>500000</v>
      </c>
      <c r="CX221" s="14" t="n">
        <f aca="false">CW223</f>
        <v>500000</v>
      </c>
      <c r="CY221" s="14" t="n">
        <f aca="false">CX223</f>
        <v>500000</v>
      </c>
      <c r="CZ221" s="14" t="n">
        <f aca="false">CY223</f>
        <v>500000</v>
      </c>
      <c r="DA221" s="14" t="n">
        <f aca="false">CZ223</f>
        <v>500000</v>
      </c>
      <c r="DB221" s="14" t="n">
        <f aca="false">DA223</f>
        <v>500000</v>
      </c>
      <c r="DC221" s="14" t="n">
        <f aca="false">DB223</f>
        <v>500000</v>
      </c>
      <c r="DD221" s="14" t="n">
        <f aca="false">DC223</f>
        <v>500000</v>
      </c>
      <c r="DE221" s="14" t="n">
        <f aca="false">DD223</f>
        <v>500000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-250000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500000</v>
      </c>
      <c r="AB223" s="54" t="n">
        <f aca="false">MAX(0,AB221+AB222)</f>
        <v>500000</v>
      </c>
      <c r="AC223" s="54" t="n">
        <f aca="false">MAX(0,AC221+AC222)</f>
        <v>500000</v>
      </c>
      <c r="AD223" s="54" t="n">
        <f aca="false">MAX(0,AD221+AD222)</f>
        <v>500000</v>
      </c>
      <c r="AE223" s="54" t="n">
        <f aca="false">MAX(0,AE221+AE222)</f>
        <v>500000</v>
      </c>
      <c r="AF223" s="54" t="n">
        <f aca="false">MAX(0,AF221+AF222)</f>
        <v>500000</v>
      </c>
      <c r="AG223" s="54" t="n">
        <f aca="false">MAX(0,AG221+AG222)</f>
        <v>500000</v>
      </c>
      <c r="AH223" s="54" t="n">
        <f aca="false">MAX(0,AH221+AH222)</f>
        <v>500000</v>
      </c>
      <c r="AI223" s="54" t="n">
        <f aca="false">MAX(0,AI221+AI222)</f>
        <v>500000</v>
      </c>
      <c r="AJ223" s="54" t="n">
        <f aca="false">MAX(0,AJ221+AJ222)</f>
        <v>500000</v>
      </c>
      <c r="AK223" s="54" t="n">
        <f aca="false">MAX(0,AK221+AK222)</f>
        <v>500000</v>
      </c>
      <c r="AL223" s="54" t="n">
        <f aca="false">MAX(0,AL221+AL222)</f>
        <v>500000</v>
      </c>
      <c r="AM223" s="54" t="n">
        <f aca="false">MAX(0,AM221+AM222)</f>
        <v>500000</v>
      </c>
      <c r="AN223" s="54" t="n">
        <f aca="false">MAX(0,AN221+AN222)</f>
        <v>500000</v>
      </c>
      <c r="AO223" s="54" t="n">
        <f aca="false">MAX(0,AO221+AO222)</f>
        <v>500000</v>
      </c>
      <c r="AP223" s="54" t="n">
        <f aca="false">MAX(0,AP221+AP222)</f>
        <v>500000</v>
      </c>
      <c r="AQ223" s="54" t="n">
        <f aca="false">MAX(0,AQ221+AQ222)</f>
        <v>500000</v>
      </c>
      <c r="AR223" s="54" t="n">
        <f aca="false">MAX(0,AR221+AR222)</f>
        <v>500000</v>
      </c>
      <c r="AS223" s="54" t="n">
        <f aca="false">MAX(0,AS221+AS222)</f>
        <v>500000</v>
      </c>
      <c r="AT223" s="54" t="n">
        <f aca="false">MAX(0,AT221+AT222)</f>
        <v>500000</v>
      </c>
      <c r="AU223" s="54" t="n">
        <f aca="false">MAX(0,AU221+AU222)</f>
        <v>500000</v>
      </c>
      <c r="AV223" s="54" t="n">
        <f aca="false">MAX(0,AV221+AV222)</f>
        <v>500000</v>
      </c>
      <c r="AW223" s="54" t="n">
        <f aca="false">MAX(0,AW221+AW222)</f>
        <v>500000</v>
      </c>
      <c r="AX223" s="54" t="n">
        <f aca="false">MAX(0,AX221+AX222)</f>
        <v>500000</v>
      </c>
      <c r="AY223" s="54" t="n">
        <f aca="false">MAX(0,AY221+AY222)</f>
        <v>500000</v>
      </c>
      <c r="AZ223" s="54" t="n">
        <f aca="false">MAX(0,AZ221+AZ222)</f>
        <v>500000</v>
      </c>
      <c r="BA223" s="54" t="n">
        <f aca="false">MAX(0,BA221+BA222)</f>
        <v>500000</v>
      </c>
      <c r="BB223" s="54" t="n">
        <f aca="false">MAX(0,BB221+BB222)</f>
        <v>500000</v>
      </c>
      <c r="BC223" s="54" t="n">
        <f aca="false">MAX(0,BC221+BC222)</f>
        <v>500000</v>
      </c>
      <c r="BD223" s="54" t="n">
        <f aca="false">MAX(0,BD221+BD222)</f>
        <v>500000</v>
      </c>
      <c r="BE223" s="54" t="n">
        <f aca="false">MAX(0,BE221+BE222)</f>
        <v>500000</v>
      </c>
      <c r="BF223" s="54" t="n">
        <f aca="false">MAX(0,BF221+BF222)</f>
        <v>500000</v>
      </c>
      <c r="BG223" s="54" t="n">
        <f aca="false">MAX(0,BG221+BG222)</f>
        <v>500000</v>
      </c>
      <c r="BH223" s="54" t="n">
        <f aca="false">MAX(0,BH221+BH222)</f>
        <v>500000</v>
      </c>
      <c r="BI223" s="54" t="n">
        <f aca="false">MAX(0,BI221+BI222)</f>
        <v>500000</v>
      </c>
      <c r="BJ223" s="54" t="n">
        <f aca="false">MAX(0,BJ221+BJ222)</f>
        <v>500000</v>
      </c>
      <c r="BK223" s="54" t="n">
        <f aca="false">MAX(0,BK221+BK222)</f>
        <v>500000</v>
      </c>
      <c r="BL223" s="54" t="n">
        <f aca="false">MAX(0,BL221+BL222)</f>
        <v>500000</v>
      </c>
      <c r="BM223" s="54" t="n">
        <f aca="false">MAX(0,BM221+BM222)</f>
        <v>500000</v>
      </c>
      <c r="BN223" s="54" t="n">
        <f aca="false">MAX(0,BN221+BN222)</f>
        <v>500000</v>
      </c>
      <c r="BO223" s="54" t="n">
        <f aca="false">MAX(0,BO221+BO222)</f>
        <v>500000</v>
      </c>
      <c r="BP223" s="54" t="n">
        <f aca="false">MAX(0,BP221+BP222)</f>
        <v>500000</v>
      </c>
      <c r="BQ223" s="54" t="n">
        <f aca="false">MAX(0,BQ221+BQ222)</f>
        <v>500000</v>
      </c>
      <c r="BR223" s="54" t="n">
        <f aca="false">MAX(0,BR221+BR222)</f>
        <v>500000</v>
      </c>
      <c r="BS223" s="54" t="n">
        <f aca="false">MAX(0,BS221+BS222)</f>
        <v>500000</v>
      </c>
      <c r="BT223" s="54" t="n">
        <f aca="false">MAX(0,BT221+BT222)</f>
        <v>500000</v>
      </c>
      <c r="BU223" s="54" t="n">
        <f aca="false">MAX(0,BU221+BU222)</f>
        <v>500000</v>
      </c>
      <c r="BV223" s="54" t="n">
        <f aca="false">MAX(0,BV221+BV222)</f>
        <v>500000</v>
      </c>
      <c r="BW223" s="54" t="n">
        <f aca="false">MAX(0,BW221+BW222)</f>
        <v>500000</v>
      </c>
      <c r="BX223" s="54" t="n">
        <f aca="false">MAX(0,BX221+BX222)</f>
        <v>500000</v>
      </c>
      <c r="BY223" s="54" t="n">
        <f aca="false">MAX(0,BY221+BY222)</f>
        <v>500000</v>
      </c>
      <c r="BZ223" s="54" t="n">
        <f aca="false">MAX(0,BZ221+BZ222)</f>
        <v>500000</v>
      </c>
      <c r="CA223" s="54" t="n">
        <f aca="false">MAX(0,CA221+CA222)</f>
        <v>500000</v>
      </c>
      <c r="CB223" s="54" t="n">
        <f aca="false">MAX(0,CB221+CB222)</f>
        <v>500000</v>
      </c>
      <c r="CC223" s="54" t="n">
        <f aca="false">MAX(0,CC221+CC222)</f>
        <v>500000</v>
      </c>
      <c r="CD223" s="54" t="n">
        <f aca="false">MAX(0,CD221+CD222)</f>
        <v>500000</v>
      </c>
      <c r="CE223" s="54" t="n">
        <f aca="false">MAX(0,CE221+CE222)</f>
        <v>500000</v>
      </c>
      <c r="CF223" s="54" t="n">
        <f aca="false">MAX(0,CF221+CF222)</f>
        <v>500000</v>
      </c>
      <c r="CG223" s="54" t="n">
        <f aca="false">MAX(0,CG221+CG222)</f>
        <v>500000</v>
      </c>
      <c r="CH223" s="54" t="n">
        <f aca="false">MAX(0,CH221+CH222)</f>
        <v>500000</v>
      </c>
      <c r="CI223" s="54" t="n">
        <f aca="false">MAX(0,CI221+CI222)</f>
        <v>500000</v>
      </c>
      <c r="CJ223" s="54" t="n">
        <f aca="false">MAX(0,CJ221+CJ222)</f>
        <v>500000</v>
      </c>
      <c r="CK223" s="54" t="n">
        <f aca="false">MAX(0,CK221+CK222)</f>
        <v>500000</v>
      </c>
      <c r="CL223" s="54" t="n">
        <f aca="false">MAX(0,CL221+CL222)</f>
        <v>500000</v>
      </c>
      <c r="CM223" s="54" t="n">
        <f aca="false">MAX(0,CM221+CM222)</f>
        <v>500000</v>
      </c>
      <c r="CN223" s="54" t="n">
        <f aca="false">MAX(0,CN221+CN222)</f>
        <v>500000</v>
      </c>
      <c r="CO223" s="54" t="n">
        <f aca="false">MAX(0,CO221+CO222)</f>
        <v>500000</v>
      </c>
      <c r="CP223" s="54" t="n">
        <f aca="false">MAX(0,CP221+CP222)</f>
        <v>500000</v>
      </c>
      <c r="CQ223" s="54" t="n">
        <f aca="false">MAX(0,CQ221+CQ222)</f>
        <v>500000</v>
      </c>
      <c r="CR223" s="54" t="n">
        <f aca="false">MAX(0,CR221+CR222)</f>
        <v>500000</v>
      </c>
      <c r="CS223" s="54" t="n">
        <f aca="false">MAX(0,CS221+CS222)</f>
        <v>500000</v>
      </c>
      <c r="CT223" s="54" t="n">
        <f aca="false">MAX(0,CT221+CT222)</f>
        <v>500000</v>
      </c>
      <c r="CU223" s="54" t="n">
        <f aca="false">MAX(0,CU221+CU222)</f>
        <v>500000</v>
      </c>
      <c r="CV223" s="54" t="n">
        <f aca="false">MAX(0,CV221+CV222)</f>
        <v>500000</v>
      </c>
      <c r="CW223" s="54" t="n">
        <f aca="false">MAX(0,CW221+CW222)</f>
        <v>500000</v>
      </c>
      <c r="CX223" s="54" t="n">
        <f aca="false">MAX(0,CX221+CX222)</f>
        <v>500000</v>
      </c>
      <c r="CY223" s="54" t="n">
        <f aca="false">MAX(0,CY221+CY222)</f>
        <v>500000</v>
      </c>
      <c r="CZ223" s="54" t="n">
        <f aca="false">MAX(0,CZ221+CZ222)</f>
        <v>500000</v>
      </c>
      <c r="DA223" s="54" t="n">
        <f aca="false">MAX(0,DA221+DA222)</f>
        <v>500000</v>
      </c>
      <c r="DB223" s="54" t="n">
        <f aca="false">MAX(0,DB221+DB222)</f>
        <v>500000</v>
      </c>
      <c r="DC223" s="54" t="n">
        <f aca="false">MAX(0,DC221+DC222)</f>
        <v>500000</v>
      </c>
      <c r="DD223" s="54" t="n">
        <f aca="false">MAX(0,DD221+DD222)</f>
        <v>500000</v>
      </c>
      <c r="DE223" s="54" t="n">
        <f aca="false">MAX(0,DE221+DE222)</f>
        <v>500000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701628.713382842</v>
      </c>
      <c r="M261" s="14" t="n">
        <f aca="false">L269</f>
        <v>1205122.29570987</v>
      </c>
      <c r="N261" s="14" t="n">
        <f aca="false">M269</f>
        <v>1706207.62341853</v>
      </c>
      <c r="O261" s="14" t="n">
        <f aca="false">N269</f>
        <v>1969051.61849534</v>
      </c>
      <c r="P261" s="14" t="n">
        <f aca="false">O269</f>
        <v>2211461.97631398</v>
      </c>
      <c r="Q261" s="14" t="n">
        <f aca="false">P269</f>
        <v>2429659.90806841</v>
      </c>
      <c r="R261" s="14" t="n">
        <f aca="false">Q269</f>
        <v>2564632.88665642</v>
      </c>
      <c r="S261" s="14" t="n">
        <f aca="false">R269</f>
        <v>2076092.16384018</v>
      </c>
      <c r="T261" s="14" t="n">
        <f aca="false">S269</f>
        <v>2524865.18276156</v>
      </c>
      <c r="U261" s="14" t="n">
        <f aca="false">T269</f>
        <v>2914828.17168102</v>
      </c>
      <c r="V261" s="14" t="n">
        <f aca="false">U269</f>
        <v>3092730.56020389</v>
      </c>
      <c r="W261" s="14" t="n">
        <f aca="false">V269</f>
        <v>3216065.92639339</v>
      </c>
      <c r="X261" s="14" t="n">
        <f aca="false">W269</f>
        <v>3366442.16875419</v>
      </c>
      <c r="Y261" s="14" t="n">
        <f aca="false">X269</f>
        <v>3484623.8080252</v>
      </c>
      <c r="Z261" s="14" t="n">
        <f aca="false">Y269</f>
        <v>3590726.52903239</v>
      </c>
      <c r="AA261" s="14" t="n">
        <f aca="false">Z269</f>
        <v>3696829.25003958</v>
      </c>
      <c r="AB261" s="14" t="n">
        <f aca="false">AA269</f>
        <v>3802931.97104677</v>
      </c>
      <c r="AC261" s="14" t="n">
        <f aca="false">AB269</f>
        <v>3909034.69205396</v>
      </c>
      <c r="AD261" s="14" t="n">
        <f aca="false">AC269</f>
        <v>4182190.23536124</v>
      </c>
      <c r="AE261" s="14" t="n">
        <f aca="false">AD269</f>
        <v>4473854.74157274</v>
      </c>
      <c r="AF261" s="14" t="n">
        <f aca="false">AE269</f>
        <v>4387457.00765641</v>
      </c>
      <c r="AG261" s="14" t="n">
        <f aca="false">AF269</f>
        <v>3735012.85460863</v>
      </c>
      <c r="AH261" s="14" t="n">
        <f aca="false">AG269</f>
        <v>3806274.76156085</v>
      </c>
      <c r="AI261" s="14" t="n">
        <f aca="false">AH269</f>
        <v>3877536.66851307</v>
      </c>
      <c r="AJ261" s="14" t="n">
        <f aca="false">AI269</f>
        <v>4070394.89855465</v>
      </c>
      <c r="AK261" s="14" t="n">
        <f aca="false">AJ269</f>
        <v>4274719.44853668</v>
      </c>
      <c r="AL261" s="14" t="n">
        <f aca="false">AK269</f>
        <v>4249717.59970982</v>
      </c>
      <c r="AM261" s="14" t="n">
        <f aca="false">AL269</f>
        <v>4224715.75088296</v>
      </c>
      <c r="AN261" s="14" t="n">
        <f aca="false">AM269</f>
        <v>4445432.08715658</v>
      </c>
      <c r="AO261" s="14" t="n">
        <f aca="false">AN269</f>
        <v>4777881.67784765</v>
      </c>
      <c r="AP261" s="14" t="n">
        <f aca="false">AO269</f>
        <v>4686699.74253032</v>
      </c>
      <c r="AQ261" s="14" t="n">
        <f aca="false">AP269</f>
        <v>4439732.00029066</v>
      </c>
      <c r="AR261" s="14" t="n">
        <f aca="false">AQ269</f>
        <v>4192764.258051</v>
      </c>
      <c r="AS261" s="14" t="n">
        <f aca="false">AR269</f>
        <v>3945796.51581135</v>
      </c>
      <c r="AT261" s="14" t="n">
        <f aca="false">AS269</f>
        <v>3698828.77357169</v>
      </c>
      <c r="AU261" s="14" t="n">
        <f aca="false">AT269</f>
        <v>3710722.33741785</v>
      </c>
      <c r="AV261" s="14" t="n">
        <f aca="false">AU269</f>
        <v>3744868.89073456</v>
      </c>
      <c r="AW261" s="14" t="n">
        <f aca="false">AV269</f>
        <v>3333955.65464054</v>
      </c>
      <c r="AX261" s="14" t="n">
        <f aca="false">AW269</f>
        <v>2923042.41854653</v>
      </c>
      <c r="AY261" s="14" t="n">
        <f aca="false">AX269</f>
        <v>2512129.18245251</v>
      </c>
      <c r="AZ261" s="14" t="n">
        <f aca="false">AY269</f>
        <v>2101215.9463585</v>
      </c>
      <c r="BA261" s="14" t="n">
        <f aca="false">AZ269</f>
        <v>1690302.71026448</v>
      </c>
      <c r="BB261" s="14" t="n">
        <f aca="false">BA269</f>
        <v>1270252.34293875</v>
      </c>
      <c r="BC261" s="14" t="n">
        <f aca="false">BB269</f>
        <v>850201.975613025</v>
      </c>
      <c r="BD261" s="14" t="n">
        <f aca="false">BC269</f>
        <v>430151.608287295</v>
      </c>
      <c r="BE261" s="14" t="n">
        <f aca="false">BD269</f>
        <v>10101.2409615648</v>
      </c>
      <c r="BF261" s="14" t="n">
        <f aca="false">BE269</f>
        <v>-409949.126364165</v>
      </c>
      <c r="BG261" s="14" t="n">
        <f aca="false">BF269</f>
        <v>-829999.493689895</v>
      </c>
      <c r="BH261" s="14" t="n">
        <f aca="false">BG269</f>
        <v>-1250049.86101563</v>
      </c>
      <c r="BI261" s="14" t="n">
        <f aca="false">BH269</f>
        <v>-1433610.76703853</v>
      </c>
      <c r="BJ261" s="14" t="n">
        <f aca="false">BI269</f>
        <v>-1596841.87726524</v>
      </c>
      <c r="BK261" s="14" t="n">
        <f aca="false">BJ269</f>
        <v>-2166668.90341609</v>
      </c>
      <c r="BL261" s="14" t="n">
        <f aca="false">BK269</f>
        <v>-2736495.92956694</v>
      </c>
      <c r="BM261" s="14" t="n">
        <f aca="false">BL269</f>
        <v>-3306322.95571779</v>
      </c>
      <c r="BN261" s="14" t="n">
        <f aca="false">BM269</f>
        <v>-3885469.85572498</v>
      </c>
      <c r="BO261" s="14" t="n">
        <f aca="false">BN269</f>
        <v>-4464616.75573218</v>
      </c>
      <c r="BP261" s="14" t="n">
        <f aca="false">BO269</f>
        <v>-5043763.65573938</v>
      </c>
      <c r="BQ261" s="14" t="n">
        <f aca="false">BP269</f>
        <v>-5622910.55574658</v>
      </c>
      <c r="BR261" s="14" t="n">
        <f aca="false">BQ269</f>
        <v>-6202057.45575378</v>
      </c>
      <c r="BS261" s="14" t="n">
        <f aca="false">BR269</f>
        <v>-6781204.35576098</v>
      </c>
      <c r="BT261" s="14" t="n">
        <f aca="false">BS269</f>
        <v>-7360351.25576818</v>
      </c>
      <c r="BU261" s="14" t="n">
        <f aca="false">BT269</f>
        <v>-7939498.15577538</v>
      </c>
      <c r="BV261" s="14" t="n">
        <f aca="false">BU269</f>
        <v>-8518645.05578258</v>
      </c>
      <c r="BW261" s="14" t="n">
        <f aca="false">BV269</f>
        <v>-9097791.95578978</v>
      </c>
      <c r="BX261" s="14" t="n">
        <f aca="false">BW269</f>
        <v>-9676938.85579698</v>
      </c>
      <c r="BY261" s="14" t="n">
        <f aca="false">BX269</f>
        <v>-10256085.7558042</v>
      </c>
      <c r="BZ261" s="14" t="n">
        <f aca="false">BY269</f>
        <v>-10844738.9271449</v>
      </c>
      <c r="CA261" s="14" t="n">
        <f aca="false">BZ269</f>
        <v>-11433392.0984855</v>
      </c>
      <c r="CB261" s="14" t="n">
        <f aca="false">CA269</f>
        <v>-12022045.2698262</v>
      </c>
      <c r="CC261" s="14" t="n">
        <f aca="false">CB269</f>
        <v>-12610698.4411669</v>
      </c>
      <c r="CD261" s="14" t="n">
        <f aca="false">CC269</f>
        <v>-13199351.6125076</v>
      </c>
      <c r="CE261" s="14" t="n">
        <f aca="false">CD269</f>
        <v>-13788004.7838482</v>
      </c>
      <c r="CF261" s="14" t="n">
        <f aca="false">CE269</f>
        <v>-14376657.9551889</v>
      </c>
      <c r="CG261" s="14" t="n">
        <f aca="false">CF269</f>
        <v>-14965311.1265296</v>
      </c>
      <c r="CH261" s="14" t="n">
        <f aca="false">CG269</f>
        <v>-15553964.2978703</v>
      </c>
      <c r="CI261" s="14" t="n">
        <f aca="false">CH269</f>
        <v>-16142617.469211</v>
      </c>
      <c r="CJ261" s="14" t="n">
        <f aca="false">CI269</f>
        <v>-16731270.6405516</v>
      </c>
      <c r="CK261" s="14" t="n">
        <f aca="false">CJ269</f>
        <v>-17319923.8118923</v>
      </c>
      <c r="CL261" s="14" t="n">
        <f aca="false">CK269</f>
        <v>-17918273.3799931</v>
      </c>
      <c r="CM261" s="14" t="n">
        <f aca="false">CL269</f>
        <v>-18516622.948094</v>
      </c>
      <c r="CN261" s="14" t="n">
        <f aca="false">CM269</f>
        <v>-19114972.5161948</v>
      </c>
      <c r="CO261" s="14" t="n">
        <f aca="false">CN269</f>
        <v>-19713322.0842956</v>
      </c>
      <c r="CP261" s="14" t="n">
        <f aca="false">CO269</f>
        <v>-20311671.6523964</v>
      </c>
      <c r="CQ261" s="14" t="n">
        <f aca="false">CP269</f>
        <v>-20910021.2204973</v>
      </c>
      <c r="CR261" s="14" t="n">
        <f aca="false">CQ269</f>
        <v>-21508370.7885981</v>
      </c>
      <c r="CS261" s="14" t="n">
        <f aca="false">CR269</f>
        <v>-22106720.3566989</v>
      </c>
      <c r="CT261" s="14" t="n">
        <f aca="false">CS269</f>
        <v>-22705069.9247997</v>
      </c>
      <c r="CU261" s="14" t="n">
        <f aca="false">CT269</f>
        <v>-23246199.3915332</v>
      </c>
      <c r="CV261" s="14" t="n">
        <f aca="false">CU269</f>
        <v>-23787328.8582667</v>
      </c>
      <c r="CW261" s="14" t="n">
        <f aca="false">CV269</f>
        <v>-24328458.3250002</v>
      </c>
      <c r="CX261" s="14" t="n">
        <f aca="false">CW269</f>
        <v>-24878333.7144016</v>
      </c>
      <c r="CY261" s="14" t="n">
        <f aca="false">CX269</f>
        <v>-25428209.1038031</v>
      </c>
      <c r="CZ261" s="14" t="n">
        <f aca="false">CY269</f>
        <v>-25978084.4932046</v>
      </c>
      <c r="DA261" s="14" t="n">
        <f aca="false">CZ269</f>
        <v>-26527959.8826061</v>
      </c>
      <c r="DB261" s="14" t="n">
        <f aca="false">DA269</f>
        <v>-27077835.2720075</v>
      </c>
      <c r="DC261" s="14" t="n">
        <f aca="false">DB269</f>
        <v>-27627710.661409</v>
      </c>
      <c r="DD261" s="14" t="n">
        <f aca="false">DC269</f>
        <v>-28177586.0508105</v>
      </c>
      <c r="DE261" s="14" t="n">
        <f aca="false">DD269</f>
        <v>-28727461.440212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526790.855164726</v>
      </c>
      <c r="L262" s="14" t="n">
        <f aca="false">L145</f>
        <v>492606.069516133</v>
      </c>
      <c r="M262" s="14" t="n">
        <f aca="false">M145</f>
        <v>306915.099884021</v>
      </c>
      <c r="N262" s="14" t="n">
        <f aca="false">N145</f>
        <v>284782.676497094</v>
      </c>
      <c r="O262" s="14" t="n">
        <f aca="false">O145</f>
        <v>258712.922852481</v>
      </c>
      <c r="P262" s="14" t="n">
        <f aca="false">P145</f>
        <v>230069.086306508</v>
      </c>
      <c r="Q262" s="14" t="n">
        <f aca="false">Q145</f>
        <v>-467229.306868596</v>
      </c>
      <c r="R262" s="14" t="n">
        <f aca="false">R145</f>
        <v>319211.445384537</v>
      </c>
      <c r="S262" s="14" t="n">
        <f aca="false">S145</f>
        <v>290702.922205637</v>
      </c>
      <c r="T262" s="14" t="n">
        <f aca="false">T145</f>
        <v>212969.35765025</v>
      </c>
      <c r="U262" s="14" t="n">
        <f aca="false">U145</f>
        <v>158248.052811508</v>
      </c>
      <c r="V262" s="14" t="n">
        <f aca="false">V145</f>
        <v>155186.52965085</v>
      </c>
      <c r="W262" s="14" t="n">
        <f aca="false">W145</f>
        <v>152342.287631041</v>
      </c>
      <c r="X262" s="14" t="n">
        <f aca="false">X145</f>
        <v>140263.369367217</v>
      </c>
      <c r="Y262" s="14" t="n">
        <f aca="false">Y145</f>
        <v>140263.369367217</v>
      </c>
      <c r="Z262" s="14" t="n">
        <f aca="false">Z145</f>
        <v>140263.369367217</v>
      </c>
      <c r="AA262" s="14" t="n">
        <f aca="false">AA145</f>
        <v>140263.369367217</v>
      </c>
      <c r="AB262" s="14" t="n">
        <f aca="false">AB145</f>
        <v>140263.369367217</v>
      </c>
      <c r="AC262" s="14" t="n">
        <f aca="false">AC145</f>
        <v>316570.673119418</v>
      </c>
      <c r="AD262" s="14" t="n">
        <f aca="false">AD145</f>
        <v>-53608.5849649828</v>
      </c>
      <c r="AE262" s="14" t="n">
        <f aca="false">AE145</f>
        <v>-619655.004096436</v>
      </c>
      <c r="AF262" s="14" t="n">
        <f aca="false">AF145</f>
        <v>104051.055903564</v>
      </c>
      <c r="AG262" s="14" t="n">
        <f aca="false">AG145</f>
        <v>104051.055903564</v>
      </c>
      <c r="AH262" s="14" t="n">
        <f aca="false">AH145</f>
        <v>104051.055903564</v>
      </c>
      <c r="AI262" s="14" t="n">
        <f aca="false">AI145</f>
        <v>232047.185471314</v>
      </c>
      <c r="AJ262" s="14" t="n">
        <f aca="false">AJ145</f>
        <v>2720.78666242852</v>
      </c>
      <c r="AK262" s="14" t="n">
        <f aca="false">AK145</f>
        <v>2720.78666242806</v>
      </c>
      <c r="AL262" s="14" t="n">
        <f aca="false">AL145</f>
        <v>2720.78666242806</v>
      </c>
      <c r="AM262" s="14" t="n">
        <f aca="false">AM145</f>
        <v>261371.507820828</v>
      </c>
      <c r="AN262" s="14" t="n">
        <f aca="false">AN145</f>
        <v>-65712.2712752415</v>
      </c>
      <c r="AO262" s="14" t="n">
        <f aca="false">AO145</f>
        <v>-230456.04999337</v>
      </c>
      <c r="AP262" s="14" t="n">
        <f aca="false">AP145</f>
        <v>-230456.04999337</v>
      </c>
      <c r="AQ262" s="14" t="n">
        <f aca="false">AQ145</f>
        <v>-230456.04999337</v>
      </c>
      <c r="AR262" s="14" t="n">
        <f aca="false">AR145</f>
        <v>-230456.04999337</v>
      </c>
      <c r="AS262" s="14" t="n">
        <f aca="false">AS145</f>
        <v>-230456.04999337</v>
      </c>
      <c r="AT262" s="14" t="n">
        <f aca="false">AT145</f>
        <v>42029.5353601297</v>
      </c>
      <c r="AU262" s="14" t="n">
        <f aca="false">AU145</f>
        <v>-403030.254050587</v>
      </c>
      <c r="AV262" s="14" t="n">
        <f aca="false">AV145</f>
        <v>-403030.254050587</v>
      </c>
      <c r="AW262" s="14" t="n">
        <f aca="false">AW145</f>
        <v>-403030.254050587</v>
      </c>
      <c r="AX262" s="14" t="n">
        <f aca="false">AX145</f>
        <v>-403030.254050587</v>
      </c>
      <c r="AY262" s="14" t="n">
        <f aca="false">AY145</f>
        <v>-403030.254050587</v>
      </c>
      <c r="AZ262" s="14" t="n">
        <f aca="false">AZ145</f>
        <v>-403030.254050587</v>
      </c>
      <c r="BA262" s="14" t="n">
        <f aca="false">BA145</f>
        <v>-412167.385282303</v>
      </c>
      <c r="BB262" s="14" t="n">
        <f aca="false">BB145</f>
        <v>-412167.385282303</v>
      </c>
      <c r="BC262" s="14" t="n">
        <f aca="false">BC145</f>
        <v>-412167.385282303</v>
      </c>
      <c r="BD262" s="14" t="n">
        <f aca="false">BD145</f>
        <v>-412167.385282303</v>
      </c>
      <c r="BE262" s="14" t="n">
        <f aca="false">BE145</f>
        <v>-412167.385282303</v>
      </c>
      <c r="BF262" s="14" t="n">
        <f aca="false">BF145</f>
        <v>-412167.385282303</v>
      </c>
      <c r="BG262" s="14" t="n">
        <f aca="false">BG145</f>
        <v>-412167.385282303</v>
      </c>
      <c r="BH262" s="14" t="n">
        <f aca="false">BH145</f>
        <v>-163231.110226703</v>
      </c>
      <c r="BI262" s="14" t="n">
        <f aca="false">BI145</f>
        <v>-569827.026150849</v>
      </c>
      <c r="BJ262" s="14" t="n">
        <f aca="false">BJ145</f>
        <v>-569827.026150849</v>
      </c>
      <c r="BK262" s="14" t="n">
        <f aca="false">BK145</f>
        <v>-569827.026150849</v>
      </c>
      <c r="BL262" s="14" t="n">
        <f aca="false">BL145</f>
        <v>-569827.026150849</v>
      </c>
      <c r="BM262" s="14" t="n">
        <f aca="false">BM145</f>
        <v>-579146.9000072</v>
      </c>
      <c r="BN262" s="14" t="n">
        <f aca="false">BN145</f>
        <v>-579146.9000072</v>
      </c>
      <c r="BO262" s="14" t="n">
        <f aca="false">BO145</f>
        <v>-579146.9000072</v>
      </c>
      <c r="BP262" s="14" t="n">
        <f aca="false">BP145</f>
        <v>-579146.9000072</v>
      </c>
      <c r="BQ262" s="14" t="n">
        <f aca="false">BQ145</f>
        <v>-579146.9000072</v>
      </c>
      <c r="BR262" s="14" t="n">
        <f aca="false">BR145</f>
        <v>-579146.9000072</v>
      </c>
      <c r="BS262" s="14" t="n">
        <f aca="false">BS145</f>
        <v>-579146.9000072</v>
      </c>
      <c r="BT262" s="14" t="n">
        <f aca="false">BT145</f>
        <v>-579146.9000072</v>
      </c>
      <c r="BU262" s="14" t="n">
        <f aca="false">BU145</f>
        <v>-579146.9000072</v>
      </c>
      <c r="BV262" s="14" t="n">
        <f aca="false">BV145</f>
        <v>-579146.9000072</v>
      </c>
      <c r="BW262" s="14" t="n">
        <f aca="false">BW145</f>
        <v>-579146.9000072</v>
      </c>
      <c r="BX262" s="14" t="n">
        <f aca="false">BX145</f>
        <v>-579146.9000072</v>
      </c>
      <c r="BY262" s="14" t="n">
        <f aca="false">BY145</f>
        <v>-588653.171340677</v>
      </c>
      <c r="BZ262" s="14" t="n">
        <f aca="false">BZ145</f>
        <v>-588653.171340677</v>
      </c>
      <c r="CA262" s="14" t="n">
        <f aca="false">CA145</f>
        <v>-588653.171340677</v>
      </c>
      <c r="CB262" s="14" t="n">
        <f aca="false">CB145</f>
        <v>-588653.171340677</v>
      </c>
      <c r="CC262" s="14" t="n">
        <f aca="false">CC145</f>
        <v>-588653.171340677</v>
      </c>
      <c r="CD262" s="14" t="n">
        <f aca="false">CD145</f>
        <v>-588653.171340677</v>
      </c>
      <c r="CE262" s="14" t="n">
        <f aca="false">CE145</f>
        <v>-588653.171340677</v>
      </c>
      <c r="CF262" s="14" t="n">
        <f aca="false">CF145</f>
        <v>-588653.171340677</v>
      </c>
      <c r="CG262" s="14" t="n">
        <f aca="false">CG145</f>
        <v>-588653.171340677</v>
      </c>
      <c r="CH262" s="14" t="n">
        <f aca="false">CH145</f>
        <v>-588653.171340677</v>
      </c>
      <c r="CI262" s="14" t="n">
        <f aca="false">CI145</f>
        <v>-588653.171340677</v>
      </c>
      <c r="CJ262" s="14" t="n">
        <f aca="false">CJ145</f>
        <v>-588653.171340677</v>
      </c>
      <c r="CK262" s="14" t="n">
        <f aca="false">CK145</f>
        <v>-598349.568100824</v>
      </c>
      <c r="CL262" s="14" t="n">
        <f aca="false">CL145</f>
        <v>-598349.568100824</v>
      </c>
      <c r="CM262" s="14" t="n">
        <f aca="false">CM145</f>
        <v>-598349.568100824</v>
      </c>
      <c r="CN262" s="14" t="n">
        <f aca="false">CN145</f>
        <v>-598349.568100824</v>
      </c>
      <c r="CO262" s="14" t="n">
        <f aca="false">CO145</f>
        <v>-598349.568100824</v>
      </c>
      <c r="CP262" s="14" t="n">
        <f aca="false">CP145</f>
        <v>-598349.568100824</v>
      </c>
      <c r="CQ262" s="14" t="n">
        <f aca="false">CQ145</f>
        <v>-598349.568100824</v>
      </c>
      <c r="CR262" s="14" t="n">
        <f aca="false">CR145</f>
        <v>-598349.568100824</v>
      </c>
      <c r="CS262" s="14" t="n">
        <f aca="false">CS145</f>
        <v>-598349.568100824</v>
      </c>
      <c r="CT262" s="14" t="n">
        <f aca="false">CT145</f>
        <v>-541129.466733474</v>
      </c>
      <c r="CU262" s="14" t="n">
        <f aca="false">CU145</f>
        <v>-541129.466733474</v>
      </c>
      <c r="CV262" s="14" t="n">
        <f aca="false">CV145</f>
        <v>-541129.466733474</v>
      </c>
      <c r="CW262" s="14" t="n">
        <f aca="false">CW145</f>
        <v>-549875.389401476</v>
      </c>
      <c r="CX262" s="14" t="n">
        <f aca="false">CX145</f>
        <v>-549875.389401476</v>
      </c>
      <c r="CY262" s="14" t="n">
        <f aca="false">CY145</f>
        <v>-549875.389401476</v>
      </c>
      <c r="CZ262" s="14" t="n">
        <f aca="false">CZ145</f>
        <v>-549875.389401476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-126557.758703539</v>
      </c>
      <c r="L265" s="14" t="n">
        <f aca="false">K107-L107</f>
        <v>-16665.214351407</v>
      </c>
      <c r="M265" s="14" t="n">
        <f aca="false">L107-M107</f>
        <v>239690.969632112</v>
      </c>
      <c r="N265" s="14" t="n">
        <f aca="false">M107-N107</f>
        <v>22132.4233869277</v>
      </c>
      <c r="O265" s="14" t="n">
        <f aca="false">N107-O107</f>
        <v>26069.7536446126</v>
      </c>
      <c r="P265" s="14" t="n">
        <f aca="false">O107-P107</f>
        <v>28643.8365459731</v>
      </c>
      <c r="Q265" s="14" t="n">
        <f aca="false">P107-Q107</f>
        <v>649421.603675104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3061.52316065785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0</v>
      </c>
      <c r="AC265" s="14" t="n">
        <f aca="false">AB107-AC107</f>
        <v>-185089.629042201</v>
      </c>
      <c r="AD265" s="14" t="n">
        <f aca="false">AC107-AD107</f>
        <v>370179.258084401</v>
      </c>
      <c r="AE265" s="14" t="n">
        <f aca="false">AD107-AE107</f>
        <v>566046.419131454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-127996.12956775</v>
      </c>
      <c r="AJ265" s="14" t="n">
        <f aca="false">AI107-AJ107</f>
        <v>229326.398808885</v>
      </c>
      <c r="AK265" s="14" t="n">
        <f aca="false">AJ107-AK107</f>
        <v>0</v>
      </c>
      <c r="AL265" s="14" t="n">
        <f aca="false">AK107-AL107</f>
        <v>0</v>
      </c>
      <c r="AM265" s="14" t="n">
        <f aca="false">AL107-AM107</f>
        <v>-258650.7211584</v>
      </c>
      <c r="AN265" s="14" t="n">
        <f aca="false">AM107-AN107</f>
        <v>327083.77909607</v>
      </c>
      <c r="AO265" s="14" t="n">
        <f aca="false">AN107-AO107</f>
        <v>155785.806922329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0</v>
      </c>
      <c r="AS265" s="14" t="n">
        <f aca="false">AR107-AS107</f>
        <v>0</v>
      </c>
      <c r="AT265" s="14" t="n">
        <f aca="false">AS107-AT107</f>
        <v>-272485.5853535</v>
      </c>
      <c r="AU265" s="14" t="n">
        <f aca="false">AT107-AU107</f>
        <v>445059.789410716</v>
      </c>
      <c r="AV265" s="14" t="n">
        <f aca="false">AU107-AV107</f>
        <v>0</v>
      </c>
      <c r="AW265" s="14" t="n">
        <f aca="false">AV107-AW107</f>
        <v>0</v>
      </c>
      <c r="AX265" s="14" t="n">
        <f aca="false">AW107-AX107</f>
        <v>0</v>
      </c>
      <c r="AY265" s="14" t="n">
        <f aca="false">AX107-AY107</f>
        <v>0</v>
      </c>
      <c r="AZ265" s="14" t="n">
        <f aca="false">AY107-AZ107</f>
        <v>0</v>
      </c>
      <c r="BA265" s="14" t="n">
        <f aca="false">AZ107-BA107</f>
        <v>0</v>
      </c>
      <c r="BB265" s="14" t="n">
        <f aca="false">BA107-BB107</f>
        <v>0</v>
      </c>
      <c r="BC265" s="14" t="n">
        <f aca="false">BB107-BC107</f>
        <v>0</v>
      </c>
      <c r="BD265" s="14" t="n">
        <f aca="false">BC107-BD107</f>
        <v>0</v>
      </c>
      <c r="BE265" s="14" t="n">
        <f aca="false">BD107-BE107</f>
        <v>0</v>
      </c>
      <c r="BF265" s="14" t="n">
        <f aca="false">BE107-BF107</f>
        <v>0</v>
      </c>
      <c r="BG265" s="14" t="n">
        <f aca="false">BF107-BG107</f>
        <v>0</v>
      </c>
      <c r="BH265" s="14" t="n">
        <f aca="false">BG107-BH107</f>
        <v>-248936.2750556</v>
      </c>
      <c r="BI265" s="14" t="n">
        <f aca="false">BH107-BI107</f>
        <v>406595.915924147</v>
      </c>
      <c r="BJ265" s="14" t="n">
        <f aca="false">BI107-BJ107</f>
        <v>0</v>
      </c>
      <c r="BK265" s="14" t="n">
        <f aca="false">BJ107-BK107</f>
        <v>0</v>
      </c>
      <c r="BL265" s="14" t="n">
        <f aca="false">BK107-BL107</f>
        <v>0</v>
      </c>
      <c r="BM265" s="14" t="n">
        <f aca="false">BL107-BM107</f>
        <v>0</v>
      </c>
      <c r="BN265" s="14" t="n">
        <f aca="false">BM107-BN107</f>
        <v>0</v>
      </c>
      <c r="BO265" s="14" t="n">
        <f aca="false">BN107-BO107</f>
        <v>0</v>
      </c>
      <c r="BP265" s="14" t="n">
        <f aca="false">BO107-BP107</f>
        <v>0</v>
      </c>
      <c r="BQ265" s="14" t="n">
        <f aca="false">BP107-BQ107</f>
        <v>0</v>
      </c>
      <c r="BR265" s="14" t="n">
        <f aca="false">BQ107-BR107</f>
        <v>0</v>
      </c>
      <c r="BS265" s="14" t="n">
        <f aca="false">BR107-BS107</f>
        <v>0</v>
      </c>
      <c r="BT265" s="14" t="n">
        <f aca="false">BS107-BT107</f>
        <v>0</v>
      </c>
      <c r="BU265" s="14" t="n">
        <f aca="false">BT107-BU107</f>
        <v>0</v>
      </c>
      <c r="BV265" s="14" t="n">
        <f aca="false">BU107-BV107</f>
        <v>0</v>
      </c>
      <c r="BW265" s="14" t="n">
        <f aca="false">BV107-BW107</f>
        <v>0</v>
      </c>
      <c r="BX265" s="14" t="n">
        <f aca="false">BW107-BX107</f>
        <v>0</v>
      </c>
      <c r="BY265" s="14" t="n">
        <f aca="false">BX107-BY107</f>
        <v>0</v>
      </c>
      <c r="BZ265" s="14" t="n">
        <f aca="false">BY107-BZ107</f>
        <v>0</v>
      </c>
      <c r="CA265" s="14" t="n">
        <f aca="false">BZ107-CA107</f>
        <v>0</v>
      </c>
      <c r="CB265" s="14" t="n">
        <f aca="false">CA107-CB107</f>
        <v>0</v>
      </c>
      <c r="CC265" s="14" t="n">
        <f aca="false">CB107-CC107</f>
        <v>0</v>
      </c>
      <c r="CD265" s="14" t="n">
        <f aca="false">CC107-CD107</f>
        <v>0</v>
      </c>
      <c r="CE265" s="14" t="n">
        <f aca="false">CD107-CE107</f>
        <v>0</v>
      </c>
      <c r="CF265" s="14" t="n">
        <f aca="false">CE107-CF107</f>
        <v>0</v>
      </c>
      <c r="CG265" s="14" t="n">
        <f aca="false">CF107-CG107</f>
        <v>0</v>
      </c>
      <c r="CH265" s="14" t="n">
        <f aca="false">CG107-CH107</f>
        <v>0</v>
      </c>
      <c r="CI265" s="14" t="n">
        <f aca="false">CH107-CI107</f>
        <v>0</v>
      </c>
      <c r="CJ265" s="14" t="n">
        <f aca="false">CI107-CJ107</f>
        <v>0</v>
      </c>
      <c r="CK265" s="14" t="n">
        <f aca="false">CJ107-CK107</f>
        <v>0</v>
      </c>
      <c r="CL265" s="14" t="n">
        <f aca="false">CK107-CL107</f>
        <v>0</v>
      </c>
      <c r="CM265" s="14" t="n">
        <f aca="false">CL107-CM107</f>
        <v>0</v>
      </c>
      <c r="CN265" s="14" t="n">
        <f aca="false">CM107-CN107</f>
        <v>0</v>
      </c>
      <c r="CO265" s="14" t="n">
        <f aca="false">CN107-CO107</f>
        <v>0</v>
      </c>
      <c r="CP265" s="14" t="n">
        <f aca="false">CO107-CP107</f>
        <v>0</v>
      </c>
      <c r="CQ265" s="14" t="n">
        <f aca="false">CP107-CQ107</f>
        <v>0</v>
      </c>
      <c r="CR265" s="14" t="n">
        <f aca="false">CQ107-CR107</f>
        <v>0</v>
      </c>
      <c r="CS265" s="14" t="n">
        <f aca="false">CR107-CS107</f>
        <v>0</v>
      </c>
      <c r="CT265" s="14" t="n">
        <f aca="false">CS107-CT107</f>
        <v>0</v>
      </c>
      <c r="CU265" s="14" t="n">
        <f aca="false">CT107-CU107</f>
        <v>0</v>
      </c>
      <c r="CV265" s="14" t="n">
        <f aca="false">CU107-CV107</f>
        <v>0</v>
      </c>
      <c r="CW265" s="14" t="n">
        <f aca="false">CV107-CW107</f>
        <v>0</v>
      </c>
      <c r="CX265" s="14" t="n">
        <f aca="false">CW107-CX107</f>
        <v>0</v>
      </c>
      <c r="CY265" s="14" t="n">
        <f aca="false">CX107-CY107</f>
        <v>0</v>
      </c>
      <c r="CZ265" s="14" t="n">
        <f aca="false">CY107-CZ107</f>
        <v>0</v>
      </c>
      <c r="DA265" s="14" t="n">
        <f aca="false">CZ107-DA107</f>
        <v>0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-45854.481904375</v>
      </c>
      <c r="L267" s="14" t="n">
        <f aca="false">-0.05*(L10+L11)</f>
        <v>-49637.8343376982</v>
      </c>
      <c r="M267" s="14" t="n">
        <f aca="false">-0.05*(M10+M11)</f>
        <v>-45520.7418074767</v>
      </c>
      <c r="N267" s="14" t="n">
        <f aca="false">-0.05*(N10+N11)</f>
        <v>-44071.1048072072</v>
      </c>
      <c r="O267" s="14" t="n">
        <f aca="false">-0.05*(O10+O11)</f>
        <v>-42372.3186784551</v>
      </c>
      <c r="P267" s="14" t="n">
        <f aca="false">-0.05*(P10+P11)</f>
        <v>-40514.9910980493</v>
      </c>
      <c r="Q267" s="14" t="n">
        <f aca="false">-0.05*(Q10+Q11)</f>
        <v>-47219.3182185004</v>
      </c>
      <c r="R267" s="14" t="n">
        <f aca="false">-0.05*(R10+R11)</f>
        <v>-45311.4159476408</v>
      </c>
      <c r="S267" s="14" t="n">
        <f aca="false">-0.05*(S10+S11)</f>
        <v>-43491.820963158</v>
      </c>
      <c r="T267" s="14" t="n">
        <f aca="false">-0.05*(T10+T11)</f>
        <v>-38192.7117861741</v>
      </c>
      <c r="U267" s="14" t="n">
        <f aca="false">-0.05*(U10+U11)</f>
        <v>-35066.9691273881</v>
      </c>
      <c r="V267" s="14" t="n">
        <f aca="false">-0.05*(V10+V11)</f>
        <v>-34912.6866220077</v>
      </c>
      <c r="W267" s="14" t="n">
        <f aca="false">-0.05*(W10+W11)</f>
        <v>-34769.3537900488</v>
      </c>
      <c r="X267" s="14" t="n">
        <f aca="false">-0.05*(X10+X11)</f>
        <v>-34160.6483600275</v>
      </c>
      <c r="Y267" s="14" t="n">
        <f aca="false">-0.05*(Y10+Y11)</f>
        <v>-34160.6483600275</v>
      </c>
      <c r="Z267" s="14" t="n">
        <f aca="false">-0.05*(Z10+Z11)</f>
        <v>-34160.6483600275</v>
      </c>
      <c r="AA267" s="14" t="n">
        <f aca="false">-0.05*(AA10+AA11)</f>
        <v>-34160.6483600275</v>
      </c>
      <c r="AB267" s="14" t="n">
        <f aca="false">-0.05*(AB10+AB11)</f>
        <v>-34160.6483600275</v>
      </c>
      <c r="AC267" s="14" t="n">
        <f aca="false">-0.05*(AC10+AC11)</f>
        <v>-43415.1298121375</v>
      </c>
      <c r="AD267" s="14" t="n">
        <f aca="false">-0.05*(AD10+AD11)</f>
        <v>-24906.1669079175</v>
      </c>
      <c r="AE267" s="14" t="n">
        <f aca="false">-0.05*(AE10+AE11)</f>
        <v>-32789.1489513449</v>
      </c>
      <c r="AF267" s="14" t="n">
        <f aca="false">-0.05*(AF10+AF11)</f>
        <v>-32789.1489513449</v>
      </c>
      <c r="AG267" s="14" t="n">
        <f aca="false">-0.05*(AG10+AG11)</f>
        <v>-32789.1489513449</v>
      </c>
      <c r="AH267" s="14" t="n">
        <f aca="false">-0.05*(AH10+AH11)</f>
        <v>-32789.1489513449</v>
      </c>
      <c r="AI267" s="14" t="n">
        <f aca="false">-0.05*(AI10+AI11)</f>
        <v>-39188.9554297324</v>
      </c>
      <c r="AJ267" s="14" t="n">
        <f aca="false">-0.05*(AJ10+AJ11)</f>
        <v>-27722.6354892881</v>
      </c>
      <c r="AK267" s="14" t="n">
        <f aca="false">-0.05*(AK10+AK11)</f>
        <v>-27722.6354892881</v>
      </c>
      <c r="AL267" s="14" t="n">
        <f aca="false">-0.05*(AL10+AL11)</f>
        <v>-27722.6354892881</v>
      </c>
      <c r="AM267" s="14" t="n">
        <f aca="false">-0.05*(AM10+AM11)</f>
        <v>-40655.1715472081</v>
      </c>
      <c r="AN267" s="14" t="n">
        <f aca="false">-0.05*(AN10+AN11)</f>
        <v>-24300.9825924046</v>
      </c>
      <c r="AO267" s="14" t="n">
        <f aca="false">-0.05*(AO10+AO11)</f>
        <v>-16511.6922462882</v>
      </c>
      <c r="AP267" s="14" t="n">
        <f aca="false">-0.05*(AP10+AP11)</f>
        <v>-16511.6922462882</v>
      </c>
      <c r="AQ267" s="14" t="n">
        <f aca="false">-0.05*(AQ10+AQ11)</f>
        <v>-16511.6922462882</v>
      </c>
      <c r="AR267" s="14" t="n">
        <f aca="false">-0.05*(AR10+AR11)</f>
        <v>-16511.6922462882</v>
      </c>
      <c r="AS267" s="14" t="n">
        <f aca="false">-0.05*(AS10+AS11)</f>
        <v>-16511.6922462882</v>
      </c>
      <c r="AT267" s="14" t="n">
        <f aca="false">-0.05*(AT10+AT11)</f>
        <v>-30135.9715139632</v>
      </c>
      <c r="AU267" s="14" t="n">
        <f aca="false">-0.05*(AU10+AU11)</f>
        <v>-7882.98204342733</v>
      </c>
      <c r="AV267" s="14" t="n">
        <f aca="false">-0.05*(AV10+AV11)</f>
        <v>-7882.98204342733</v>
      </c>
      <c r="AW267" s="14" t="n">
        <f aca="false">-0.05*(AW10+AW11)</f>
        <v>-7882.98204342733</v>
      </c>
      <c r="AX267" s="14" t="n">
        <f aca="false">-0.05*(AX10+AX11)</f>
        <v>-7882.98204342733</v>
      </c>
      <c r="AY267" s="14" t="n">
        <f aca="false">-0.05*(AY10+AY11)</f>
        <v>-7882.98204342733</v>
      </c>
      <c r="AZ267" s="14" t="n">
        <f aca="false">-0.05*(AZ10+AZ11)</f>
        <v>-7882.98204342733</v>
      </c>
      <c r="BA267" s="14" t="n">
        <f aca="false">-0.05*(BA10+BA11)</f>
        <v>-7882.98204342733</v>
      </c>
      <c r="BB267" s="14" t="n">
        <f aca="false">-0.05*(BB10+BB11)</f>
        <v>-7882.98204342733</v>
      </c>
      <c r="BC267" s="14" t="n">
        <f aca="false">-0.05*(BC10+BC11)</f>
        <v>-7882.98204342733</v>
      </c>
      <c r="BD267" s="14" t="n">
        <f aca="false">-0.05*(BD10+BD11)</f>
        <v>-7882.98204342733</v>
      </c>
      <c r="BE267" s="14" t="n">
        <f aca="false">-0.05*(BE10+BE11)</f>
        <v>-7882.98204342733</v>
      </c>
      <c r="BF267" s="14" t="n">
        <f aca="false">-0.05*(BF10+BF11)</f>
        <v>-7882.98204342733</v>
      </c>
      <c r="BG267" s="14" t="n">
        <f aca="false">-0.05*(BG10+BG11)</f>
        <v>-7882.98204342733</v>
      </c>
      <c r="BH267" s="14" t="n">
        <f aca="false">-0.05*(BH10+BH11)</f>
        <v>-20329.7957962073</v>
      </c>
      <c r="BI267" s="14" t="n">
        <f aca="false">-0.05*(BI10+BI11)</f>
        <v>-0</v>
      </c>
      <c r="BJ267" s="14" t="n">
        <f aca="false">-0.05*(BJ10+BJ11)</f>
        <v>-0</v>
      </c>
      <c r="BK267" s="14" t="n">
        <f aca="false">-0.05*(BK10+BK11)</f>
        <v>-0</v>
      </c>
      <c r="BL267" s="14" t="n">
        <f aca="false">-0.05*(BL10+BL11)</f>
        <v>-0</v>
      </c>
      <c r="BM267" s="14" t="n">
        <f aca="false">-0.05*(BM10+BM11)</f>
        <v>-0</v>
      </c>
      <c r="BN267" s="14" t="n">
        <f aca="false">-0.05*(BN10+BN11)</f>
        <v>-0</v>
      </c>
      <c r="BO267" s="14" t="n">
        <f aca="false">-0.05*(BO10+BO11)</f>
        <v>-0</v>
      </c>
      <c r="BP267" s="14" t="n">
        <f aca="false">-0.05*(BP10+BP11)</f>
        <v>-0</v>
      </c>
      <c r="BQ267" s="14" t="n">
        <f aca="false">-0.05*(BQ10+BQ11)</f>
        <v>-0</v>
      </c>
      <c r="BR267" s="14" t="n">
        <f aca="false">-0.05*(BR10+BR11)</f>
        <v>-0</v>
      </c>
      <c r="BS267" s="14" t="n">
        <f aca="false">-0.05*(BS10+BS11)</f>
        <v>-0</v>
      </c>
      <c r="BT267" s="14" t="n">
        <f aca="false">-0.05*(BT10+BT11)</f>
        <v>-0</v>
      </c>
      <c r="BU267" s="14" t="n">
        <f aca="false">-0.05*(BU10+BU11)</f>
        <v>-0</v>
      </c>
      <c r="BV267" s="14" t="n">
        <f aca="false">-0.05*(BV10+BV11)</f>
        <v>-0</v>
      </c>
      <c r="BW267" s="14" t="n">
        <f aca="false">-0.05*(BW10+BW11)</f>
        <v>-0</v>
      </c>
      <c r="BX267" s="14" t="n">
        <f aca="false">-0.05*(BX10+BX11)</f>
        <v>-0</v>
      </c>
      <c r="BY267" s="14" t="n">
        <f aca="false">-0.05*(BY10+BY11)</f>
        <v>-0</v>
      </c>
      <c r="BZ267" s="14" t="n">
        <f aca="false">-0.05*(BZ10+BZ11)</f>
        <v>-0</v>
      </c>
      <c r="CA267" s="14" t="n">
        <f aca="false">-0.05*(CA10+CA11)</f>
        <v>-0</v>
      </c>
      <c r="CB267" s="14" t="n">
        <f aca="false">-0.05*(CB10+CB11)</f>
        <v>-0</v>
      </c>
      <c r="CC267" s="14" t="n">
        <f aca="false">-0.05*(CC10+CC11)</f>
        <v>-0</v>
      </c>
      <c r="CD267" s="14" t="n">
        <f aca="false">-0.05*(CD10+CD11)</f>
        <v>-0</v>
      </c>
      <c r="CE267" s="14" t="n">
        <f aca="false">-0.05*(CE10+CE11)</f>
        <v>-0</v>
      </c>
      <c r="CF267" s="14" t="n">
        <f aca="false">-0.05*(CF10+CF11)</f>
        <v>-0</v>
      </c>
      <c r="CG267" s="14" t="n">
        <f aca="false">-0.05*(CG10+CG11)</f>
        <v>-0</v>
      </c>
      <c r="CH267" s="14" t="n">
        <f aca="false">-0.05*(CH10+CH11)</f>
        <v>-0</v>
      </c>
      <c r="CI267" s="14" t="n">
        <f aca="false">-0.05*(CI10+CI11)</f>
        <v>-0</v>
      </c>
      <c r="CJ267" s="14" t="n">
        <f aca="false">-0.05*(CJ10+CJ11)</f>
        <v>-0</v>
      </c>
      <c r="CK267" s="14" t="n">
        <f aca="false">-0.05*(CK10+CK11)</f>
        <v>-0</v>
      </c>
      <c r="CL267" s="14" t="n">
        <f aca="false">-0.05*(CL10+CL11)</f>
        <v>-0</v>
      </c>
      <c r="CM267" s="14" t="n">
        <f aca="false">-0.05*(CM10+CM11)</f>
        <v>-0</v>
      </c>
      <c r="CN267" s="14" t="n">
        <f aca="false">-0.05*(CN10+CN11)</f>
        <v>-0</v>
      </c>
      <c r="CO267" s="14" t="n">
        <f aca="false">-0.05*(CO10+CO11)</f>
        <v>-0</v>
      </c>
      <c r="CP267" s="14" t="n">
        <f aca="false">-0.05*(CP10+CP11)</f>
        <v>-0</v>
      </c>
      <c r="CQ267" s="14" t="n">
        <f aca="false">-0.05*(CQ10+CQ11)</f>
        <v>-0</v>
      </c>
      <c r="CR267" s="14" t="n">
        <f aca="false">-0.05*(CR10+CR11)</f>
        <v>-0</v>
      </c>
      <c r="CS267" s="14" t="n">
        <f aca="false">-0.05*(CS10+CS11)</f>
        <v>-0</v>
      </c>
      <c r="CT267" s="14" t="n">
        <f aca="false">-0.05*(CT10+CT11)</f>
        <v>-0</v>
      </c>
      <c r="CU267" s="14" t="n">
        <f aca="false">-0.05*(CU10+CU11)</f>
        <v>-0</v>
      </c>
      <c r="CV267" s="14" t="n">
        <f aca="false">-0.05*(CV10+CV11)</f>
        <v>-0</v>
      </c>
      <c r="CW267" s="14" t="n">
        <f aca="false">-0.05*(CW10+CW11)</f>
        <v>-0</v>
      </c>
      <c r="CX267" s="14" t="n">
        <f aca="false">-0.05*(CX10+CX11)</f>
        <v>-0</v>
      </c>
      <c r="CY267" s="14" t="n">
        <f aca="false">-0.05*(CY10+CY11)</f>
        <v>-0</v>
      </c>
      <c r="CZ267" s="14" t="n">
        <f aca="false">-0.05*(CZ10+CZ11)</f>
        <v>-0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185089.6290422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272485.5853535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0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0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0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0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0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0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0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0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0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0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0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0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0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0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0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0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0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0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0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0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0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0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0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0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0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0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701628.713382842</v>
      </c>
      <c r="L269" s="76" t="n">
        <f aca="false">SUM(L261:L268)</f>
        <v>1205122.29570987</v>
      </c>
      <c r="M269" s="76" t="n">
        <f aca="false">SUM(M261:M268)</f>
        <v>1706207.62341853</v>
      </c>
      <c r="N269" s="76" t="n">
        <f aca="false">SUM(N261:N268)</f>
        <v>1969051.61849534</v>
      </c>
      <c r="O269" s="76" t="n">
        <f aca="false">SUM(O261:O268)</f>
        <v>2211461.97631398</v>
      </c>
      <c r="P269" s="76" t="n">
        <f aca="false">SUM(P261:P268)</f>
        <v>2429659.90806841</v>
      </c>
      <c r="Q269" s="76" t="n">
        <f aca="false">SUM(Q261:Q268)</f>
        <v>2564632.88665642</v>
      </c>
      <c r="R269" s="76" t="n">
        <f aca="false">SUM(R261:R268)</f>
        <v>2076092.16384018</v>
      </c>
      <c r="S269" s="76" t="n">
        <f aca="false">SUM(S261:S268)</f>
        <v>2524865.18276156</v>
      </c>
      <c r="T269" s="76" t="n">
        <f aca="false">SUM(T261:T268)</f>
        <v>2914828.17168102</v>
      </c>
      <c r="U269" s="76" t="n">
        <f aca="false">SUM(U261:U268)</f>
        <v>3092730.56020389</v>
      </c>
      <c r="V269" s="76" t="n">
        <f aca="false">SUM(V261:V268)</f>
        <v>3216065.92639339</v>
      </c>
      <c r="W269" s="76" t="n">
        <f aca="false">SUM(W261:W268)</f>
        <v>3366442.16875419</v>
      </c>
      <c r="X269" s="76" t="n">
        <f aca="false">SUM(X261:X268)</f>
        <v>3484623.8080252</v>
      </c>
      <c r="Y269" s="76" t="n">
        <f aca="false">SUM(Y261:Y268)</f>
        <v>3590726.52903239</v>
      </c>
      <c r="Z269" s="76" t="n">
        <f aca="false">SUM(Z261:Z268)</f>
        <v>3696829.25003958</v>
      </c>
      <c r="AA269" s="76" t="n">
        <f aca="false">SUM(AA261:AA268)</f>
        <v>3802931.97104677</v>
      </c>
      <c r="AB269" s="76" t="n">
        <f aca="false">SUM(AB261:AB268)</f>
        <v>3909034.69205396</v>
      </c>
      <c r="AC269" s="76" t="n">
        <f aca="false">SUM(AC261:AC268)</f>
        <v>4182190.23536124</v>
      </c>
      <c r="AD269" s="76" t="n">
        <f aca="false">SUM(AD261:AD268)</f>
        <v>4473854.74157274</v>
      </c>
      <c r="AE269" s="76" t="n">
        <f aca="false">SUM(AE261:AE268)</f>
        <v>4387457.00765641</v>
      </c>
      <c r="AF269" s="76" t="n">
        <f aca="false">SUM(AF261:AF268)</f>
        <v>3735012.85460863</v>
      </c>
      <c r="AG269" s="76" t="n">
        <f aca="false">SUM(AG261:AG268)</f>
        <v>3806274.76156085</v>
      </c>
      <c r="AH269" s="76" t="n">
        <f aca="false">SUM(AH261:AH268)</f>
        <v>3877536.66851307</v>
      </c>
      <c r="AI269" s="76" t="n">
        <f aca="false">SUM(AI261:AI268)</f>
        <v>4070394.89855465</v>
      </c>
      <c r="AJ269" s="76" t="n">
        <f aca="false">SUM(AJ261:AJ268)</f>
        <v>4274719.44853668</v>
      </c>
      <c r="AK269" s="76" t="n">
        <f aca="false">SUM(AK261:AK268)</f>
        <v>4249717.59970982</v>
      </c>
      <c r="AL269" s="76" t="n">
        <f aca="false">SUM(AL261:AL268)</f>
        <v>4224715.75088296</v>
      </c>
      <c r="AM269" s="76" t="n">
        <f aca="false">SUM(AM261:AM268)</f>
        <v>4445432.08715658</v>
      </c>
      <c r="AN269" s="76" t="n">
        <f aca="false">SUM(AN261:AN268)</f>
        <v>4777881.67784765</v>
      </c>
      <c r="AO269" s="76" t="n">
        <f aca="false">SUM(AO261:AO268)</f>
        <v>4686699.74253032</v>
      </c>
      <c r="AP269" s="76" t="n">
        <f aca="false">SUM(AP261:AP268)</f>
        <v>4439732.00029066</v>
      </c>
      <c r="AQ269" s="76" t="n">
        <f aca="false">SUM(AQ261:AQ268)</f>
        <v>4192764.258051</v>
      </c>
      <c r="AR269" s="76" t="n">
        <f aca="false">SUM(AR261:AR268)</f>
        <v>3945796.51581135</v>
      </c>
      <c r="AS269" s="76" t="n">
        <f aca="false">SUM(AS261:AS268)</f>
        <v>3698828.77357169</v>
      </c>
      <c r="AT269" s="76" t="n">
        <f aca="false">SUM(AT261:AT268)</f>
        <v>3710722.33741785</v>
      </c>
      <c r="AU269" s="76" t="n">
        <f aca="false">SUM(AU261:AU268)</f>
        <v>3744868.89073456</v>
      </c>
      <c r="AV269" s="76" t="n">
        <f aca="false">SUM(AV261:AV268)</f>
        <v>3333955.65464054</v>
      </c>
      <c r="AW269" s="76" t="n">
        <f aca="false">SUM(AW261:AW268)</f>
        <v>2923042.41854653</v>
      </c>
      <c r="AX269" s="76" t="n">
        <f aca="false">SUM(AX261:AX268)</f>
        <v>2512129.18245251</v>
      </c>
      <c r="AY269" s="76" t="n">
        <f aca="false">SUM(AY261:AY268)</f>
        <v>2101215.9463585</v>
      </c>
      <c r="AZ269" s="76" t="n">
        <f aca="false">SUM(AZ261:AZ268)</f>
        <v>1690302.71026448</v>
      </c>
      <c r="BA269" s="76" t="n">
        <f aca="false">SUM(BA261:BA268)</f>
        <v>1270252.34293875</v>
      </c>
      <c r="BB269" s="76" t="n">
        <f aca="false">SUM(BB261:BB268)</f>
        <v>850201.975613025</v>
      </c>
      <c r="BC269" s="76" t="n">
        <f aca="false">SUM(BC261:BC268)</f>
        <v>430151.608287295</v>
      </c>
      <c r="BD269" s="76" t="n">
        <f aca="false">SUM(BD261:BD268)</f>
        <v>10101.2409615648</v>
      </c>
      <c r="BE269" s="76" t="n">
        <f aca="false">SUM(BE261:BE268)</f>
        <v>-409949.126364165</v>
      </c>
      <c r="BF269" s="76" t="n">
        <f aca="false">SUM(BF261:BF268)</f>
        <v>-829999.493689895</v>
      </c>
      <c r="BG269" s="76" t="n">
        <f aca="false">SUM(BG261:BG268)</f>
        <v>-1250049.86101563</v>
      </c>
      <c r="BH269" s="76" t="n">
        <f aca="false">SUM(BH261:BH268)</f>
        <v>-1433610.76703853</v>
      </c>
      <c r="BI269" s="76" t="n">
        <f aca="false">SUM(BI261:BI268)</f>
        <v>-1596841.87726524</v>
      </c>
      <c r="BJ269" s="76" t="n">
        <f aca="false">SUM(BJ261:BJ268)</f>
        <v>-2166668.90341609</v>
      </c>
      <c r="BK269" s="76" t="n">
        <f aca="false">SUM(BK261:BK268)</f>
        <v>-2736495.92956694</v>
      </c>
      <c r="BL269" s="76" t="n">
        <f aca="false">SUM(BL261:BL268)</f>
        <v>-3306322.95571779</v>
      </c>
      <c r="BM269" s="76" t="n">
        <f aca="false">SUM(BM261:BM268)</f>
        <v>-3885469.85572498</v>
      </c>
      <c r="BN269" s="76" t="n">
        <f aca="false">SUM(BN261:BN268)</f>
        <v>-4464616.75573218</v>
      </c>
      <c r="BO269" s="76" t="n">
        <f aca="false">SUM(BO261:BO268)</f>
        <v>-5043763.65573938</v>
      </c>
      <c r="BP269" s="76" t="n">
        <f aca="false">SUM(BP261:BP268)</f>
        <v>-5622910.55574658</v>
      </c>
      <c r="BQ269" s="76" t="n">
        <f aca="false">SUM(BQ261:BQ268)</f>
        <v>-6202057.45575378</v>
      </c>
      <c r="BR269" s="76" t="n">
        <f aca="false">SUM(BR261:BR268)</f>
        <v>-6781204.35576098</v>
      </c>
      <c r="BS269" s="76" t="n">
        <f aca="false">SUM(BS261:BS268)</f>
        <v>-7360351.25576818</v>
      </c>
      <c r="BT269" s="76" t="n">
        <f aca="false">SUM(BT261:BT268)</f>
        <v>-7939498.15577538</v>
      </c>
      <c r="BU269" s="76" t="n">
        <f aca="false">SUM(BU261:BU268)</f>
        <v>-8518645.05578258</v>
      </c>
      <c r="BV269" s="76" t="n">
        <f aca="false">SUM(BV261:BV268)</f>
        <v>-9097791.95578978</v>
      </c>
      <c r="BW269" s="76" t="n">
        <f aca="false">SUM(BW261:BW268)</f>
        <v>-9676938.85579698</v>
      </c>
      <c r="BX269" s="76" t="n">
        <f aca="false">SUM(BX261:BX268)</f>
        <v>-10256085.7558042</v>
      </c>
      <c r="BY269" s="76" t="n">
        <f aca="false">SUM(BY261:BY268)</f>
        <v>-10844738.9271449</v>
      </c>
      <c r="BZ269" s="76" t="n">
        <f aca="false">SUM(BZ261:BZ268)</f>
        <v>-11433392.0984855</v>
      </c>
      <c r="CA269" s="76" t="n">
        <f aca="false">SUM(CA261:CA268)</f>
        <v>-12022045.2698262</v>
      </c>
      <c r="CB269" s="76" t="n">
        <f aca="false">SUM(CB261:CB268)</f>
        <v>-12610698.4411669</v>
      </c>
      <c r="CC269" s="76" t="n">
        <f aca="false">SUM(CC261:CC268)</f>
        <v>-13199351.6125076</v>
      </c>
      <c r="CD269" s="76" t="n">
        <f aca="false">SUM(CD261:CD268)</f>
        <v>-13788004.7838482</v>
      </c>
      <c r="CE269" s="76" t="n">
        <f aca="false">SUM(CE261:CE268)</f>
        <v>-14376657.9551889</v>
      </c>
      <c r="CF269" s="76" t="n">
        <f aca="false">SUM(CF261:CF268)</f>
        <v>-14965311.1265296</v>
      </c>
      <c r="CG269" s="76" t="n">
        <f aca="false">SUM(CG261:CG268)</f>
        <v>-15553964.2978703</v>
      </c>
      <c r="CH269" s="76" t="n">
        <f aca="false">SUM(CH261:CH268)</f>
        <v>-16142617.469211</v>
      </c>
      <c r="CI269" s="76" t="n">
        <f aca="false">SUM(CI261:CI268)</f>
        <v>-16731270.6405516</v>
      </c>
      <c r="CJ269" s="76" t="n">
        <f aca="false">SUM(CJ261:CJ268)</f>
        <v>-17319923.8118923</v>
      </c>
      <c r="CK269" s="76" t="n">
        <f aca="false">SUM(CK261:CK268)</f>
        <v>-17918273.3799931</v>
      </c>
      <c r="CL269" s="76" t="n">
        <f aca="false">SUM(CL261:CL268)</f>
        <v>-18516622.948094</v>
      </c>
      <c r="CM269" s="76" t="n">
        <f aca="false">SUM(CM261:CM268)</f>
        <v>-19114972.5161948</v>
      </c>
      <c r="CN269" s="76" t="n">
        <f aca="false">SUM(CN261:CN268)</f>
        <v>-19713322.0842956</v>
      </c>
      <c r="CO269" s="76" t="n">
        <f aca="false">SUM(CO261:CO268)</f>
        <v>-20311671.6523964</v>
      </c>
      <c r="CP269" s="76" t="n">
        <f aca="false">SUM(CP261:CP268)</f>
        <v>-20910021.2204973</v>
      </c>
      <c r="CQ269" s="76" t="n">
        <f aca="false">SUM(CQ261:CQ268)</f>
        <v>-21508370.7885981</v>
      </c>
      <c r="CR269" s="76" t="n">
        <f aca="false">SUM(CR261:CR268)</f>
        <v>-22106720.3566989</v>
      </c>
      <c r="CS269" s="76" t="n">
        <f aca="false">SUM(CS261:CS268)</f>
        <v>-22705069.9247997</v>
      </c>
      <c r="CT269" s="76" t="n">
        <f aca="false">SUM(CT261:CT268)</f>
        <v>-23246199.3915332</v>
      </c>
      <c r="CU269" s="76" t="n">
        <f aca="false">SUM(CU261:CU268)</f>
        <v>-23787328.8582667</v>
      </c>
      <c r="CV269" s="76" t="n">
        <f aca="false">SUM(CV261:CV268)</f>
        <v>-24328458.3250002</v>
      </c>
      <c r="CW269" s="76" t="n">
        <f aca="false">SUM(CW261:CW268)</f>
        <v>-24878333.7144016</v>
      </c>
      <c r="CX269" s="76" t="n">
        <f aca="false">SUM(CX261:CX268)</f>
        <v>-25428209.1038031</v>
      </c>
      <c r="CY269" s="76" t="n">
        <f aca="false">SUM(CY261:CY268)</f>
        <v>-25978084.4932046</v>
      </c>
      <c r="CZ269" s="76" t="n">
        <f aca="false">SUM(CZ261:CZ268)</f>
        <v>-26527959.8826061</v>
      </c>
      <c r="DA269" s="76" t="n">
        <f aca="false">SUM(DA261:DA268)</f>
        <v>-27077835.2720075</v>
      </c>
      <c r="DB269" s="76" t="n">
        <f aca="false">SUM(DB261:DB268)</f>
        <v>-27627710.661409</v>
      </c>
      <c r="DC269" s="76" t="n">
        <f aca="false">SUM(DC261:DC268)</f>
        <v>-28177586.0508105</v>
      </c>
      <c r="DD269" s="76" t="n">
        <f aca="false">SUM(DD261:DD268)</f>
        <v>-28727461.440212</v>
      </c>
      <c r="DE269" s="76" t="n">
        <f aca="false">SUM(DE261:DE268)</f>
        <v>-29277336.8296135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506436.045</v>
      </c>
      <c r="K272" s="14" t="n">
        <f aca="false">J277</f>
        <v>676556.413333333</v>
      </c>
      <c r="L272" s="14" t="n">
        <f aca="false">K277</f>
        <v>243708.661666667</v>
      </c>
      <c r="M272" s="14" t="n">
        <f aca="false">L277</f>
        <v>92709.03</v>
      </c>
      <c r="N272" s="14" t="n">
        <f aca="false">M277</f>
        <v>-58290.6016666666</v>
      </c>
      <c r="O272" s="14" t="n">
        <f aca="false">N277</f>
        <v>-209290.233333333</v>
      </c>
      <c r="P272" s="14" t="n">
        <f aca="false">O277</f>
        <v>-610289.865</v>
      </c>
      <c r="Q272" s="14" t="n">
        <f aca="false">P277</f>
        <v>-761289.496666667</v>
      </c>
      <c r="R272" s="14" t="n">
        <f aca="false">Q277</f>
        <v>-913850.930166667</v>
      </c>
      <c r="S272" s="14" t="n">
        <f aca="false">R277</f>
        <v>-1066412.36366667</v>
      </c>
      <c r="T272" s="14" t="n">
        <f aca="false">S277</f>
        <v>-1218973.79716667</v>
      </c>
      <c r="U272" s="14" t="n">
        <f aca="false">T277</f>
        <v>-1395441.48066667</v>
      </c>
      <c r="V272" s="14" t="n">
        <f aca="false">U277</f>
        <v>-1571909.16416667</v>
      </c>
      <c r="W272" s="14" t="n">
        <f aca="false">V277</f>
        <v>-1748376.84766667</v>
      </c>
      <c r="X272" s="14" t="n">
        <f aca="false">W277</f>
        <v>-1924844.53116667</v>
      </c>
      <c r="Y272" s="14" t="n">
        <f aca="false">X277</f>
        <v>-2101312.21466667</v>
      </c>
      <c r="Z272" s="14" t="n">
        <f aca="false">Y277</f>
        <v>-2156374.14145211</v>
      </c>
      <c r="AA272" s="14" t="n">
        <f aca="false">Z277</f>
        <v>-2202841.82495211</v>
      </c>
      <c r="AB272" s="14" t="n">
        <f aca="false">AA277</f>
        <v>-2499309.50845211</v>
      </c>
      <c r="AC272" s="14" t="n">
        <f aca="false">AB277</f>
        <v>-2501033.77195211</v>
      </c>
      <c r="AD272" s="14" t="n">
        <f aca="false">AC277</f>
        <v>-2572778.70332211</v>
      </c>
      <c r="AE272" s="14" t="n">
        <f aca="false">AD277</f>
        <v>-2644523.63469211</v>
      </c>
      <c r="AF272" s="14" t="n">
        <f aca="false">AE277</f>
        <v>-2658893.56606211</v>
      </c>
      <c r="AG272" s="14" t="n">
        <f aca="false">AF277</f>
        <v>-2730638.49743211</v>
      </c>
      <c r="AH272" s="14" t="n">
        <f aca="false">AG277</f>
        <v>-2802383.42880211</v>
      </c>
      <c r="AI272" s="14" t="n">
        <f aca="false">AH277</f>
        <v>-2874128.36017211</v>
      </c>
      <c r="AJ272" s="14" t="n">
        <f aca="false">AI277</f>
        <v>-2955373.29154211</v>
      </c>
      <c r="AK272" s="14" t="n">
        <f aca="false">AJ277</f>
        <v>-3036618.22291211</v>
      </c>
      <c r="AL272" s="14" t="n">
        <f aca="false">AK277</f>
        <v>-3117863.15428211</v>
      </c>
      <c r="AM272" s="14" t="n">
        <f aca="false">AL277</f>
        <v>-3199108.08565211</v>
      </c>
      <c r="AN272" s="14" t="n">
        <f aca="false">AM277</f>
        <v>-3280353.01702211</v>
      </c>
      <c r="AO272" s="14" t="n">
        <f aca="false">AN277</f>
        <v>-3361597.94839211</v>
      </c>
      <c r="AP272" s="14" t="n">
        <f aca="false">AO277</f>
        <v>-3444467.77838951</v>
      </c>
      <c r="AQ272" s="14" t="n">
        <f aca="false">AP277</f>
        <v>-3527337.60838691</v>
      </c>
      <c r="AR272" s="14" t="n">
        <f aca="false">AQ277</f>
        <v>-3610207.43838431</v>
      </c>
      <c r="AS272" s="14" t="n">
        <f aca="false">AR277</f>
        <v>-3693077.26838171</v>
      </c>
      <c r="AT272" s="14" t="n">
        <f aca="false">AS277</f>
        <v>-3775947.09837911</v>
      </c>
      <c r="AU272" s="14" t="n">
        <f aca="false">AT277</f>
        <v>-3858816.92837651</v>
      </c>
      <c r="AV272" s="14" t="n">
        <f aca="false">AU277</f>
        <v>-3941686.75837391</v>
      </c>
      <c r="AW272" s="14" t="n">
        <f aca="false">AV277</f>
        <v>-4024556.58837131</v>
      </c>
      <c r="AX272" s="14" t="n">
        <f aca="false">AW277</f>
        <v>-4107426.41836871</v>
      </c>
      <c r="AY272" s="14" t="n">
        <f aca="false">AX277</f>
        <v>-4190296.24836611</v>
      </c>
      <c r="AZ272" s="14" t="n">
        <f aca="false">AY277</f>
        <v>-4273166.07836351</v>
      </c>
      <c r="BA272" s="14" t="n">
        <f aca="false">AZ277</f>
        <v>-4356035.90836091</v>
      </c>
      <c r="BB272" s="14" t="n">
        <f aca="false">BA277</f>
        <v>-4440563.13495826</v>
      </c>
      <c r="BC272" s="14" t="n">
        <f aca="false">BB277</f>
        <v>-4525090.36155561</v>
      </c>
      <c r="BD272" s="14" t="n">
        <f aca="false">BC277</f>
        <v>-4609617.58815295</v>
      </c>
      <c r="BE272" s="14" t="n">
        <f aca="false">BD277</f>
        <v>-4694144.8147503</v>
      </c>
      <c r="BF272" s="14" t="n">
        <f aca="false">BE277</f>
        <v>-4778672.04134765</v>
      </c>
      <c r="BG272" s="14" t="n">
        <f aca="false">BF277</f>
        <v>-4863199.267945</v>
      </c>
      <c r="BH272" s="14" t="n">
        <f aca="false">BG277</f>
        <v>-4947726.49454235</v>
      </c>
      <c r="BI272" s="14" t="n">
        <f aca="false">BH277</f>
        <v>-5032253.7211397</v>
      </c>
      <c r="BJ272" s="14" t="n">
        <f aca="false">BI277</f>
        <v>-5116780.94773704</v>
      </c>
      <c r="BK272" s="14" t="n">
        <f aca="false">BJ277</f>
        <v>-5201308.17433439</v>
      </c>
      <c r="BL272" s="14" t="n">
        <f aca="false">BK277</f>
        <v>-5285835.40093174</v>
      </c>
      <c r="BM272" s="14" t="n">
        <f aca="false">BL277</f>
        <v>-5370362.62752909</v>
      </c>
      <c r="BN272" s="14" t="n">
        <f aca="false">BM277</f>
        <v>-5456580.39865838</v>
      </c>
      <c r="BO272" s="14" t="n">
        <f aca="false">BN277</f>
        <v>-5542798.16978768</v>
      </c>
      <c r="BP272" s="14" t="n">
        <f aca="false">BO277</f>
        <v>-5629015.94091697</v>
      </c>
      <c r="BQ272" s="14" t="n">
        <f aca="false">BP277</f>
        <v>-5715233.71204627</v>
      </c>
      <c r="BR272" s="14" t="n">
        <f aca="false">BQ277</f>
        <v>-5801451.48317556</v>
      </c>
      <c r="BS272" s="14" t="n">
        <f aca="false">BR277</f>
        <v>-5836155.73430486</v>
      </c>
      <c r="BT272" s="14" t="n">
        <f aca="false">BS277</f>
        <v>-5922373.50543415</v>
      </c>
      <c r="BU272" s="14" t="n">
        <f aca="false">BT277</f>
        <v>-6008591.27656345</v>
      </c>
      <c r="BV272" s="14" t="n">
        <f aca="false">BU277</f>
        <v>-6027047.04769274</v>
      </c>
      <c r="BW272" s="14" t="n">
        <f aca="false">BV277</f>
        <v>-6113264.81882204</v>
      </c>
      <c r="BX272" s="14" t="n">
        <f aca="false">BW277</f>
        <v>-6199482.58995133</v>
      </c>
      <c r="BY272" s="14" t="n">
        <f aca="false">BX277</f>
        <v>-6217938.36108063</v>
      </c>
      <c r="BZ272" s="14" t="n">
        <f aca="false">BY277</f>
        <v>-6305880.48763251</v>
      </c>
      <c r="CA272" s="14" t="n">
        <f aca="false">BZ277</f>
        <v>-6393822.61418439</v>
      </c>
      <c r="CB272" s="14" t="n">
        <f aca="false">CA277</f>
        <v>-6414002.74073627</v>
      </c>
      <c r="CC272" s="14" t="n">
        <f aca="false">CB277</f>
        <v>-6501944.86728815</v>
      </c>
      <c r="CD272" s="14" t="n">
        <f aca="false">CC277</f>
        <v>-6589886.99384003</v>
      </c>
      <c r="CE272" s="14" t="n">
        <f aca="false">CD277</f>
        <v>-6601330.12039191</v>
      </c>
      <c r="CF272" s="14" t="n">
        <f aca="false">CE277</f>
        <v>-6689272.24694379</v>
      </c>
      <c r="CG272" s="14" t="n">
        <f aca="false">CF277</f>
        <v>-6777214.37349567</v>
      </c>
      <c r="CH272" s="14" t="n">
        <f aca="false">CG277</f>
        <v>-6788657.50004755</v>
      </c>
      <c r="CI272" s="14" t="n">
        <f aca="false">CH277</f>
        <v>-6876599.62659944</v>
      </c>
      <c r="CJ272" s="14" t="n">
        <f aca="false">CI277</f>
        <v>-6964541.75315132</v>
      </c>
      <c r="CK272" s="14" t="n">
        <f aca="false">CJ277</f>
        <v>-6969376.85309672</v>
      </c>
      <c r="CL272" s="14" t="n">
        <f aca="false">CK277</f>
        <v>-6901216.82217964</v>
      </c>
      <c r="CM272" s="14" t="n">
        <f aca="false">CL277</f>
        <v>-6833056.79126255</v>
      </c>
      <c r="CN272" s="14" t="n">
        <f aca="false">CM277</f>
        <v>-6764896.76034547</v>
      </c>
      <c r="CO272" s="14" t="n">
        <f aca="false">CN277</f>
        <v>-6696736.72942839</v>
      </c>
      <c r="CP272" s="14" t="n">
        <f aca="false">CO277</f>
        <v>-6628576.69851131</v>
      </c>
      <c r="CQ272" s="14" t="n">
        <f aca="false">CP277</f>
        <v>-6560416.66759423</v>
      </c>
      <c r="CR272" s="14" t="n">
        <f aca="false">CQ277</f>
        <v>-6492256.63667714</v>
      </c>
      <c r="CS272" s="14" t="n">
        <f aca="false">CR277</f>
        <v>-6424096.60576006</v>
      </c>
      <c r="CT272" s="14" t="n">
        <f aca="false">CS277</f>
        <v>-6355936.57484298</v>
      </c>
      <c r="CU272" s="14" t="n">
        <f aca="false">CT277</f>
        <v>-6285868.050551</v>
      </c>
      <c r="CV272" s="14" t="n">
        <f aca="false">CU277</f>
        <v>-6215799.52625902</v>
      </c>
      <c r="CW272" s="14" t="n">
        <f aca="false">CV277</f>
        <v>-6145731.00196705</v>
      </c>
      <c r="CX272" s="14" t="n">
        <f aca="false">CW277</f>
        <v>-6021710.17612564</v>
      </c>
      <c r="CY272" s="14" t="n">
        <f aca="false">CX277</f>
        <v>-5880242.50134782</v>
      </c>
      <c r="CZ272" s="14" t="n">
        <f aca="false">CY277</f>
        <v>-5738774.82657</v>
      </c>
      <c r="DA272" s="14" t="n">
        <f aca="false">CZ277</f>
        <v>-5597307.15179218</v>
      </c>
      <c r="DB272" s="14" t="n">
        <f aca="false">DA277</f>
        <v>-5455839.47701436</v>
      </c>
      <c r="DC272" s="14" t="n">
        <f aca="false">DB277</f>
        <v>-5314371.80223655</v>
      </c>
      <c r="DD272" s="14" t="n">
        <f aca="false">DC277</f>
        <v>-5172904.12745873</v>
      </c>
      <c r="DE272" s="14" t="n">
        <f aca="false">DD277</f>
        <v>-5031436.45268091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232136.068333333</v>
      </c>
      <c r="J273" s="14" t="n">
        <f aca="false">J199</f>
        <v>170120.368333333</v>
      </c>
      <c r="K273" s="14" t="n">
        <f aca="false">K199</f>
        <v>-302847.751666667</v>
      </c>
      <c r="L273" s="14" t="n">
        <f aca="false">L199</f>
        <v>-20999.6316666667</v>
      </c>
      <c r="M273" s="14" t="n">
        <f aca="false">M199</f>
        <v>-20999.6316666667</v>
      </c>
      <c r="N273" s="14" t="n">
        <f aca="false">N199</f>
        <v>-20999.6316666667</v>
      </c>
      <c r="O273" s="14" t="n">
        <f aca="false">O199</f>
        <v>-20999.6316666667</v>
      </c>
      <c r="P273" s="14" t="n">
        <f aca="false">P199</f>
        <v>-20999.6316666667</v>
      </c>
      <c r="Q273" s="14" t="n">
        <f aca="false">Q199</f>
        <v>-22561.4335</v>
      </c>
      <c r="R273" s="14" t="n">
        <f aca="false">R199</f>
        <v>-22561.4335</v>
      </c>
      <c r="S273" s="14" t="n">
        <f aca="false">S199</f>
        <v>-22561.4335</v>
      </c>
      <c r="T273" s="14" t="n">
        <f aca="false">T199</f>
        <v>-46467.6835</v>
      </c>
      <c r="U273" s="14" t="n">
        <f aca="false">U199</f>
        <v>-46467.6835</v>
      </c>
      <c r="V273" s="14" t="n">
        <f aca="false">V199</f>
        <v>-46467.6835</v>
      </c>
      <c r="W273" s="14" t="n">
        <f aca="false">W199</f>
        <v>-46467.6835</v>
      </c>
      <c r="X273" s="14" t="n">
        <f aca="false">X199</f>
        <v>-46467.6835</v>
      </c>
      <c r="Y273" s="14" t="n">
        <f aca="false">Y199</f>
        <v>10907.3165</v>
      </c>
      <c r="Z273" s="14" t="n">
        <f aca="false">Z199</f>
        <v>-46467.6835</v>
      </c>
      <c r="AA273" s="14" t="n">
        <f aca="false">AA199</f>
        <v>-46467.6835</v>
      </c>
      <c r="AB273" s="14" t="n">
        <f aca="false">AB199</f>
        <v>-1724.26350000002</v>
      </c>
      <c r="AC273" s="14" t="n">
        <f aca="false">AC199</f>
        <v>-71744.93137</v>
      </c>
      <c r="AD273" s="14" t="n">
        <f aca="false">AD199</f>
        <v>-71744.93137</v>
      </c>
      <c r="AE273" s="14" t="n">
        <f aca="false">AE199</f>
        <v>-14369.93137</v>
      </c>
      <c r="AF273" s="14" t="n">
        <f aca="false">AF199</f>
        <v>-71744.93137</v>
      </c>
      <c r="AG273" s="14" t="n">
        <f aca="false">AG199</f>
        <v>-71744.93137</v>
      </c>
      <c r="AH273" s="14" t="n">
        <f aca="false">AH199</f>
        <v>-71744.93137</v>
      </c>
      <c r="AI273" s="14" t="n">
        <f aca="false">AI199</f>
        <v>-81244.93137</v>
      </c>
      <c r="AJ273" s="14" t="n">
        <f aca="false">AJ199</f>
        <v>-81244.93137</v>
      </c>
      <c r="AK273" s="14" t="n">
        <f aca="false">AK199</f>
        <v>-81244.93137</v>
      </c>
      <c r="AL273" s="14" t="n">
        <f aca="false">AL199</f>
        <v>-81244.93137</v>
      </c>
      <c r="AM273" s="14" t="n">
        <f aca="false">AM199</f>
        <v>-81244.93137</v>
      </c>
      <c r="AN273" s="14" t="n">
        <f aca="false">AN199</f>
        <v>-81244.93137</v>
      </c>
      <c r="AO273" s="14" t="n">
        <f aca="false">AO199</f>
        <v>-82869.8299974</v>
      </c>
      <c r="AP273" s="14" t="n">
        <f aca="false">AP199</f>
        <v>-82869.8299974</v>
      </c>
      <c r="AQ273" s="14" t="n">
        <f aca="false">AQ199</f>
        <v>-82869.8299974</v>
      </c>
      <c r="AR273" s="14" t="n">
        <f aca="false">AR199</f>
        <v>-82869.8299974</v>
      </c>
      <c r="AS273" s="14" t="n">
        <f aca="false">AS199</f>
        <v>-82869.8299974</v>
      </c>
      <c r="AT273" s="14" t="n">
        <f aca="false">AT199</f>
        <v>-82869.8299974</v>
      </c>
      <c r="AU273" s="14" t="n">
        <f aca="false">AU199</f>
        <v>-82869.8299974</v>
      </c>
      <c r="AV273" s="14" t="n">
        <f aca="false">AV199</f>
        <v>-82869.8299974</v>
      </c>
      <c r="AW273" s="14" t="n">
        <f aca="false">AW199</f>
        <v>-82869.8299974</v>
      </c>
      <c r="AX273" s="14" t="n">
        <f aca="false">AX199</f>
        <v>-82869.8299974</v>
      </c>
      <c r="AY273" s="14" t="n">
        <f aca="false">AY199</f>
        <v>-82869.8299974</v>
      </c>
      <c r="AZ273" s="14" t="n">
        <f aca="false">AZ199</f>
        <v>-82869.8299974</v>
      </c>
      <c r="BA273" s="14" t="n">
        <f aca="false">BA199</f>
        <v>-84527.226597348</v>
      </c>
      <c r="BB273" s="14" t="n">
        <f aca="false">BB199</f>
        <v>-84527.226597348</v>
      </c>
      <c r="BC273" s="14" t="n">
        <f aca="false">BC199</f>
        <v>-84527.226597348</v>
      </c>
      <c r="BD273" s="14" t="n">
        <f aca="false">BD199</f>
        <v>-84527.226597348</v>
      </c>
      <c r="BE273" s="14" t="n">
        <f aca="false">BE199</f>
        <v>-84527.226597348</v>
      </c>
      <c r="BF273" s="14" t="n">
        <f aca="false">BF199</f>
        <v>-84527.226597348</v>
      </c>
      <c r="BG273" s="14" t="n">
        <f aca="false">BG199</f>
        <v>-84527.226597348</v>
      </c>
      <c r="BH273" s="14" t="n">
        <f aca="false">BH199</f>
        <v>-84527.226597348</v>
      </c>
      <c r="BI273" s="14" t="n">
        <f aca="false">BI199</f>
        <v>-84527.226597348</v>
      </c>
      <c r="BJ273" s="14" t="n">
        <f aca="false">BJ199</f>
        <v>-84527.226597348</v>
      </c>
      <c r="BK273" s="14" t="n">
        <f aca="false">BK199</f>
        <v>-84527.226597348</v>
      </c>
      <c r="BL273" s="14" t="n">
        <f aca="false">BL199</f>
        <v>-84527.226597348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-250000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506436.045</v>
      </c>
      <c r="J277" s="76" t="n">
        <f aca="false">J272+J273+J274+J275+J276</f>
        <v>676556.413333333</v>
      </c>
      <c r="K277" s="76" t="n">
        <f aca="false">K272+K273+K274+K275+K276</f>
        <v>243708.661666667</v>
      </c>
      <c r="L277" s="76" t="n">
        <f aca="false">L272+L273+L274+L275+L276</f>
        <v>92709.03</v>
      </c>
      <c r="M277" s="76" t="n">
        <f aca="false">M272+M273+M274+M275+M276</f>
        <v>-58290.6016666666</v>
      </c>
      <c r="N277" s="76" t="n">
        <f aca="false">N272+N273+N274+N275+N276</f>
        <v>-209290.233333333</v>
      </c>
      <c r="O277" s="76" t="n">
        <f aca="false">O272+O273+O274+O275+O276</f>
        <v>-610289.865</v>
      </c>
      <c r="P277" s="76" t="n">
        <f aca="false">P272+P273+P274+P275+P276</f>
        <v>-761289.496666667</v>
      </c>
      <c r="Q277" s="76" t="n">
        <f aca="false">Q272+Q273+Q274+Q275+Q276</f>
        <v>-913850.930166667</v>
      </c>
      <c r="R277" s="76" t="n">
        <f aca="false">R272+R273+R274+R275+R276</f>
        <v>-1066412.36366667</v>
      </c>
      <c r="S277" s="76" t="n">
        <f aca="false">S272+S273+S274+S275+S276</f>
        <v>-1218973.79716667</v>
      </c>
      <c r="T277" s="76" t="n">
        <f aca="false">T272+T273+T274+T275+T276</f>
        <v>-1395441.48066667</v>
      </c>
      <c r="U277" s="76" t="n">
        <f aca="false">U272+U273+U274+U275+U276</f>
        <v>-1571909.16416667</v>
      </c>
      <c r="V277" s="76" t="n">
        <f aca="false">V272+V273+V274+V275+V276</f>
        <v>-1748376.84766667</v>
      </c>
      <c r="W277" s="76" t="n">
        <f aca="false">W272+W273+W274+W275+W276</f>
        <v>-1924844.53116667</v>
      </c>
      <c r="X277" s="76" t="n">
        <f aca="false">X272+X273+X274+X275+X276</f>
        <v>-2101312.21466667</v>
      </c>
      <c r="Y277" s="76" t="n">
        <f aca="false">Y272+Y273+Y274+Y275+Y276</f>
        <v>-2156374.14145211</v>
      </c>
      <c r="Z277" s="76" t="n">
        <f aca="false">Z272+Z273+Z274+Z275+Z276</f>
        <v>-2202841.82495211</v>
      </c>
      <c r="AA277" s="76" t="n">
        <f aca="false">AA272+AA273+AA274+AA275+AA276</f>
        <v>-2499309.50845211</v>
      </c>
      <c r="AB277" s="76" t="n">
        <f aca="false">AB272+AB273+AB274+AB275+AB276</f>
        <v>-2501033.77195211</v>
      </c>
      <c r="AC277" s="76" t="n">
        <f aca="false">AC272+AC273+AC274+AC275+AC276</f>
        <v>-2572778.70332211</v>
      </c>
      <c r="AD277" s="76" t="n">
        <f aca="false">AD272+AD273+AD274+AD275+AD276</f>
        <v>-2644523.63469211</v>
      </c>
      <c r="AE277" s="76" t="n">
        <f aca="false">AE272+AE273+AE274+AE275+AE276</f>
        <v>-2658893.56606211</v>
      </c>
      <c r="AF277" s="76" t="n">
        <f aca="false">AF272+AF273+AF274+AF275+AF276</f>
        <v>-2730638.49743211</v>
      </c>
      <c r="AG277" s="76" t="n">
        <f aca="false">AG272+AG273+AG274+AG275+AG276</f>
        <v>-2802383.42880211</v>
      </c>
      <c r="AH277" s="76" t="n">
        <f aca="false">AH272+AH273+AH274+AH275+AH276</f>
        <v>-2874128.36017211</v>
      </c>
      <c r="AI277" s="76" t="n">
        <f aca="false">AI272+AI273+AI274+AI275+AI276</f>
        <v>-2955373.29154211</v>
      </c>
      <c r="AJ277" s="76" t="n">
        <f aca="false">AJ272+AJ273+AJ274+AJ275+AJ276</f>
        <v>-3036618.22291211</v>
      </c>
      <c r="AK277" s="76" t="n">
        <f aca="false">AK272+AK273+AK274+AK275+AK276</f>
        <v>-3117863.15428211</v>
      </c>
      <c r="AL277" s="76" t="n">
        <f aca="false">AL272+AL273+AL274+AL275+AL276</f>
        <v>-3199108.08565211</v>
      </c>
      <c r="AM277" s="76" t="n">
        <f aca="false">AM272+AM273+AM274+AM275+AM276</f>
        <v>-3280353.01702211</v>
      </c>
      <c r="AN277" s="76" t="n">
        <f aca="false">AN272+AN273+AN274+AN275+AN276</f>
        <v>-3361597.94839211</v>
      </c>
      <c r="AO277" s="76" t="n">
        <f aca="false">AO272+AO273+AO274+AO275+AO276</f>
        <v>-3444467.77838951</v>
      </c>
      <c r="AP277" s="76" t="n">
        <f aca="false">AP272+AP273+AP274+AP275+AP276</f>
        <v>-3527337.60838691</v>
      </c>
      <c r="AQ277" s="76" t="n">
        <f aca="false">AQ272+AQ273+AQ274+AQ275+AQ276</f>
        <v>-3610207.43838431</v>
      </c>
      <c r="AR277" s="76" t="n">
        <f aca="false">AR272+AR273+AR274+AR275+AR276</f>
        <v>-3693077.26838171</v>
      </c>
      <c r="AS277" s="76" t="n">
        <f aca="false">AS272+AS273+AS274+AS275+AS276</f>
        <v>-3775947.09837911</v>
      </c>
      <c r="AT277" s="76" t="n">
        <f aca="false">AT272+AT273+AT274+AT275+AT276</f>
        <v>-3858816.92837651</v>
      </c>
      <c r="AU277" s="76" t="n">
        <f aca="false">AU272+AU273+AU274+AU275+AU276</f>
        <v>-3941686.75837391</v>
      </c>
      <c r="AV277" s="76" t="n">
        <f aca="false">AV272+AV273+AV274+AV275+AV276</f>
        <v>-4024556.58837131</v>
      </c>
      <c r="AW277" s="76" t="n">
        <f aca="false">AW272+AW273+AW274+AW275+AW276</f>
        <v>-4107426.41836871</v>
      </c>
      <c r="AX277" s="76" t="n">
        <f aca="false">AX272+AX273+AX274+AX275+AX276</f>
        <v>-4190296.24836611</v>
      </c>
      <c r="AY277" s="76" t="n">
        <f aca="false">AY272+AY273+AY274+AY275+AY276</f>
        <v>-4273166.07836351</v>
      </c>
      <c r="AZ277" s="76" t="n">
        <f aca="false">AZ272+AZ273+AZ274+AZ275+AZ276</f>
        <v>-4356035.90836091</v>
      </c>
      <c r="BA277" s="76" t="n">
        <f aca="false">BA272+BA273+BA274+BA275+BA276</f>
        <v>-4440563.13495826</v>
      </c>
      <c r="BB277" s="76" t="n">
        <f aca="false">BB272+BB273+BB274+BB275+BB276</f>
        <v>-4525090.36155561</v>
      </c>
      <c r="BC277" s="76" t="n">
        <f aca="false">BC272+BC273+BC274+BC275+BC276</f>
        <v>-4609617.58815295</v>
      </c>
      <c r="BD277" s="76" t="n">
        <f aca="false">BD272+BD273+BD274+BD275+BD276</f>
        <v>-4694144.8147503</v>
      </c>
      <c r="BE277" s="76" t="n">
        <f aca="false">BE272+BE273+BE274+BE275+BE276</f>
        <v>-4778672.04134765</v>
      </c>
      <c r="BF277" s="76" t="n">
        <f aca="false">BF272+BF273+BF274+BF275+BF276</f>
        <v>-4863199.267945</v>
      </c>
      <c r="BG277" s="76" t="n">
        <f aca="false">BG272+BG273+BG274+BG275+BG276</f>
        <v>-4947726.49454235</v>
      </c>
      <c r="BH277" s="76" t="n">
        <f aca="false">BH272+BH273+BH274+BH275+BH276</f>
        <v>-5032253.7211397</v>
      </c>
      <c r="BI277" s="76" t="n">
        <f aca="false">BI272+BI273+BI274+BI275+BI276</f>
        <v>-5116780.94773704</v>
      </c>
      <c r="BJ277" s="76" t="n">
        <f aca="false">BJ272+BJ273+BJ274+BJ275+BJ276</f>
        <v>-5201308.17433439</v>
      </c>
      <c r="BK277" s="76" t="n">
        <f aca="false">BK272+BK273+BK274+BK275+BK276</f>
        <v>-5285835.40093174</v>
      </c>
      <c r="BL277" s="76" t="n">
        <f aca="false">BL272+BL273+BL274+BL275+BL276</f>
        <v>-5370362.62752909</v>
      </c>
      <c r="BM277" s="76" t="n">
        <f aca="false">BM272+BM273+BM274+BM275+BM276</f>
        <v>-5456580.39865838</v>
      </c>
      <c r="BN277" s="76" t="n">
        <f aca="false">BN272+BN273+BN274+BN275+BN276</f>
        <v>-5542798.16978768</v>
      </c>
      <c r="BO277" s="76" t="n">
        <f aca="false">BO272+BO273+BO274+BO275+BO276</f>
        <v>-5629015.94091697</v>
      </c>
      <c r="BP277" s="76" t="n">
        <f aca="false">BP272+BP273+BP274+BP275+BP276</f>
        <v>-5715233.71204627</v>
      </c>
      <c r="BQ277" s="76" t="n">
        <f aca="false">BQ272+BQ273+BQ274+BQ275+BQ276</f>
        <v>-5801451.48317556</v>
      </c>
      <c r="BR277" s="76" t="n">
        <f aca="false">BR272+BR273+BR274+BR275+BR276</f>
        <v>-5836155.73430486</v>
      </c>
      <c r="BS277" s="76" t="n">
        <f aca="false">BS272+BS273+BS274+BS275+BS276</f>
        <v>-5922373.50543415</v>
      </c>
      <c r="BT277" s="76" t="n">
        <f aca="false">BT272+BT273+BT274+BT275+BT276</f>
        <v>-6008591.27656345</v>
      </c>
      <c r="BU277" s="76" t="n">
        <f aca="false">BU272+BU273+BU274+BU275+BU276</f>
        <v>-6027047.04769274</v>
      </c>
      <c r="BV277" s="76" t="n">
        <f aca="false">BV272+BV273+BV274+BV275+BV276</f>
        <v>-6113264.81882204</v>
      </c>
      <c r="BW277" s="76" t="n">
        <f aca="false">BW272+BW273+BW274+BW275+BW276</f>
        <v>-6199482.58995133</v>
      </c>
      <c r="BX277" s="76" t="n">
        <f aca="false">BX272+BX273+BX274+BX275+BX276</f>
        <v>-6217938.36108063</v>
      </c>
      <c r="BY277" s="76" t="n">
        <f aca="false">BY272+BY273+BY274+BY275+BY276</f>
        <v>-6305880.48763251</v>
      </c>
      <c r="BZ277" s="76" t="n">
        <f aca="false">BZ272+BZ273+BZ274+BZ275+BZ276</f>
        <v>-6393822.61418439</v>
      </c>
      <c r="CA277" s="76" t="n">
        <f aca="false">CA272+CA273+CA274+CA275+CA276</f>
        <v>-6414002.74073627</v>
      </c>
      <c r="CB277" s="76" t="n">
        <f aca="false">CB272+CB273+CB274+CB275+CB276</f>
        <v>-6501944.86728815</v>
      </c>
      <c r="CC277" s="76" t="n">
        <f aca="false">CC272+CC273+CC274+CC275+CC276</f>
        <v>-6589886.99384003</v>
      </c>
      <c r="CD277" s="76" t="n">
        <f aca="false">CD272+CD273+CD274+CD275+CD276</f>
        <v>-6601330.12039191</v>
      </c>
      <c r="CE277" s="76" t="n">
        <f aca="false">CE272+CE273+CE274+CE275+CE276</f>
        <v>-6689272.24694379</v>
      </c>
      <c r="CF277" s="76" t="n">
        <f aca="false">CF272+CF273+CF274+CF275+CF276</f>
        <v>-6777214.37349567</v>
      </c>
      <c r="CG277" s="76" t="n">
        <f aca="false">CG272+CG273+CG274+CG275+CG276</f>
        <v>-6788657.50004755</v>
      </c>
      <c r="CH277" s="76" t="n">
        <f aca="false">CH272+CH273+CH274+CH275+CH276</f>
        <v>-6876599.62659944</v>
      </c>
      <c r="CI277" s="76" t="n">
        <f aca="false">CI272+CI273+CI274+CI275+CI276</f>
        <v>-6964541.75315132</v>
      </c>
      <c r="CJ277" s="76" t="n">
        <f aca="false">CJ272+CJ273+CJ274+CJ275+CJ276</f>
        <v>-6969376.85309672</v>
      </c>
      <c r="CK277" s="76" t="n">
        <f aca="false">CK272+CK273+CK274+CK275+CK276</f>
        <v>-6901216.82217964</v>
      </c>
      <c r="CL277" s="76" t="n">
        <f aca="false">CL272+CL273+CL274+CL275+CL276</f>
        <v>-6833056.79126255</v>
      </c>
      <c r="CM277" s="76" t="n">
        <f aca="false">CM272+CM273+CM274+CM275+CM276</f>
        <v>-6764896.76034547</v>
      </c>
      <c r="CN277" s="76" t="n">
        <f aca="false">CN272+CN273+CN274+CN275+CN276</f>
        <v>-6696736.72942839</v>
      </c>
      <c r="CO277" s="76" t="n">
        <f aca="false">CO272+CO273+CO274+CO275+CO276</f>
        <v>-6628576.69851131</v>
      </c>
      <c r="CP277" s="76" t="n">
        <f aca="false">CP272+CP273+CP274+CP275+CP276</f>
        <v>-6560416.66759423</v>
      </c>
      <c r="CQ277" s="76" t="n">
        <f aca="false">CQ272+CQ273+CQ274+CQ275+CQ276</f>
        <v>-6492256.63667714</v>
      </c>
      <c r="CR277" s="76" t="n">
        <f aca="false">CR272+CR273+CR274+CR275+CR276</f>
        <v>-6424096.60576006</v>
      </c>
      <c r="CS277" s="76" t="n">
        <f aca="false">CS272+CS273+CS274+CS275+CS276</f>
        <v>-6355936.57484298</v>
      </c>
      <c r="CT277" s="76" t="n">
        <f aca="false">CT272+CT273+CT274+CT275+CT276</f>
        <v>-6285868.050551</v>
      </c>
      <c r="CU277" s="76" t="n">
        <f aca="false">CU272+CU273+CU274+CU275+CU276</f>
        <v>-6215799.52625902</v>
      </c>
      <c r="CV277" s="76" t="n">
        <f aca="false">CV272+CV273+CV274+CV275+CV276</f>
        <v>-6145731.00196705</v>
      </c>
      <c r="CW277" s="76" t="n">
        <f aca="false">CW272+CW273+CW274+CW275+CW276</f>
        <v>-6021710.17612564</v>
      </c>
      <c r="CX277" s="76" t="n">
        <f aca="false">CX272+CX273+CX274+CX275+CX276</f>
        <v>-5880242.50134782</v>
      </c>
      <c r="CY277" s="76" t="n">
        <f aca="false">CY272+CY273+CY274+CY275+CY276</f>
        <v>-5738774.82657</v>
      </c>
      <c r="CZ277" s="76" t="n">
        <f aca="false">CZ272+CZ273+CZ274+CZ275+CZ276</f>
        <v>-5597307.15179218</v>
      </c>
      <c r="DA277" s="76" t="n">
        <f aca="false">DA272+DA273+DA274+DA275+DA276</f>
        <v>-5455839.47701436</v>
      </c>
      <c r="DB277" s="76" t="n">
        <f aca="false">DB272+DB273+DB274+DB275+DB276</f>
        <v>-5314371.80223655</v>
      </c>
      <c r="DC277" s="76" t="n">
        <f aca="false">DC272+DC273+DC274+DC275+DC276</f>
        <v>-5172904.12745873</v>
      </c>
      <c r="DD277" s="76" t="n">
        <f aca="false">DD272+DD273+DD274+DD275+DD276</f>
        <v>-5031436.45268091</v>
      </c>
      <c r="DE277" s="76" t="n">
        <f aca="false">DE272+DE273+DE274+DE275+DE276</f>
        <v>-4889968.77790309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906978.45602609</v>
      </c>
      <c r="K280" s="14" t="n">
        <f aca="false">K261+K272</f>
        <v>1023806.51215936</v>
      </c>
      <c r="L280" s="14" t="n">
        <f aca="false">L261+L272</f>
        <v>945337.375049508</v>
      </c>
      <c r="M280" s="14" t="n">
        <f aca="false">M261+M272</f>
        <v>1297831.32570987</v>
      </c>
      <c r="N280" s="14" t="n">
        <f aca="false">N261+N272</f>
        <v>1647917.02175186</v>
      </c>
      <c r="O280" s="14" t="n">
        <f aca="false">O261+O272</f>
        <v>1759761.38516201</v>
      </c>
      <c r="P280" s="14" t="n">
        <f aca="false">P261+P272</f>
        <v>1601172.11131398</v>
      </c>
      <c r="Q280" s="14" t="n">
        <f aca="false">Q261+Q272</f>
        <v>1668370.41140175</v>
      </c>
      <c r="R280" s="14" t="n">
        <f aca="false">R261+R272</f>
        <v>1650781.95648975</v>
      </c>
      <c r="S280" s="14" t="n">
        <f aca="false">S261+S272</f>
        <v>1009679.80017352</v>
      </c>
      <c r="T280" s="14" t="n">
        <f aca="false">T261+T272</f>
        <v>1305891.3855949</v>
      </c>
      <c r="U280" s="14" t="n">
        <f aca="false">U261+U272</f>
        <v>1519386.69101436</v>
      </c>
      <c r="V280" s="14" t="n">
        <f aca="false">V261+V272</f>
        <v>1520821.39603722</v>
      </c>
      <c r="W280" s="14" t="n">
        <f aca="false">W261+W272</f>
        <v>1467689.07872672</v>
      </c>
      <c r="X280" s="14" t="n">
        <f aca="false">X261+X272</f>
        <v>1441597.63758752</v>
      </c>
      <c r="Y280" s="14" t="n">
        <f aca="false">Y261+Y272</f>
        <v>1383311.59335854</v>
      </c>
      <c r="Z280" s="14" t="n">
        <f aca="false">Z261+Z272</f>
        <v>1434352.38758028</v>
      </c>
      <c r="AA280" s="14" t="n">
        <f aca="false">AA261+AA272</f>
        <v>1493987.42508747</v>
      </c>
      <c r="AB280" s="14" t="n">
        <f aca="false">AB261+AB272</f>
        <v>1303622.46259466</v>
      </c>
      <c r="AC280" s="14" t="n">
        <f aca="false">AC261+AC272</f>
        <v>1408000.92010185</v>
      </c>
      <c r="AD280" s="14" t="n">
        <f aca="false">AD261+AD272</f>
        <v>1609411.53203913</v>
      </c>
      <c r="AE280" s="14" t="n">
        <f aca="false">AE261+AE272</f>
        <v>1829331.10688063</v>
      </c>
      <c r="AF280" s="14" t="n">
        <f aca="false">AF261+AF272</f>
        <v>1728563.4415943</v>
      </c>
      <c r="AG280" s="14" t="n">
        <f aca="false">AG261+AG272</f>
        <v>1004374.35717652</v>
      </c>
      <c r="AH280" s="14" t="n">
        <f aca="false">AH261+AH272</f>
        <v>1003891.33275874</v>
      </c>
      <c r="AI280" s="14" t="n">
        <f aca="false">AI261+AI272</f>
        <v>1003408.30834096</v>
      </c>
      <c r="AJ280" s="14" t="n">
        <f aca="false">AJ261+AJ272</f>
        <v>1115021.60701254</v>
      </c>
      <c r="AK280" s="14" t="n">
        <f aca="false">AK261+AK272</f>
        <v>1238101.22562457</v>
      </c>
      <c r="AL280" s="14" t="n">
        <f aca="false">AL261+AL272</f>
        <v>1131854.44542771</v>
      </c>
      <c r="AM280" s="14" t="n">
        <f aca="false">AM261+AM272</f>
        <v>1025607.66523085</v>
      </c>
      <c r="AN280" s="14" t="n">
        <f aca="false">AN261+AN272</f>
        <v>1165079.07013447</v>
      </c>
      <c r="AO280" s="14" t="n">
        <f aca="false">AO261+AO272</f>
        <v>1416283.72945554</v>
      </c>
      <c r="AP280" s="14" t="n">
        <f aca="false">AP261+AP272</f>
        <v>1242231.96414081</v>
      </c>
      <c r="AQ280" s="14" t="n">
        <f aca="false">AQ261+AQ272</f>
        <v>912394.391903752</v>
      </c>
      <c r="AR280" s="14" t="n">
        <f aca="false">AR261+AR272</f>
        <v>582556.819666694</v>
      </c>
      <c r="AS280" s="14" t="n">
        <f aca="false">AS261+AS272</f>
        <v>252719.247429636</v>
      </c>
      <c r="AT280" s="14" t="n">
        <f aca="false">AT261+AT272</f>
        <v>-77118.3248074222</v>
      </c>
      <c r="AU280" s="14" t="n">
        <f aca="false">AU261+AU272</f>
        <v>-148094.590958655</v>
      </c>
      <c r="AV280" s="14" t="n">
        <f aca="false">AV261+AV272</f>
        <v>-196817.867639353</v>
      </c>
      <c r="AW280" s="14" t="n">
        <f aca="false">AW261+AW272</f>
        <v>-690600.933730767</v>
      </c>
      <c r="AX280" s="14" t="n">
        <f aca="false">AX261+AX272</f>
        <v>-1184383.99982218</v>
      </c>
      <c r="AY280" s="14" t="n">
        <f aca="false">AY261+AY272</f>
        <v>-1678167.0659136</v>
      </c>
      <c r="AZ280" s="14" t="n">
        <f aca="false">AZ261+AZ272</f>
        <v>-2171950.13200501</v>
      </c>
      <c r="BA280" s="14" t="n">
        <f aca="false">BA261+BA272</f>
        <v>-2665733.19809642</v>
      </c>
      <c r="BB280" s="14" t="n">
        <f aca="false">BB261+BB272</f>
        <v>-3170310.7920195</v>
      </c>
      <c r="BC280" s="14" t="n">
        <f aca="false">BC261+BC272</f>
        <v>-3674888.38594258</v>
      </c>
      <c r="BD280" s="14" t="n">
        <f aca="false">BD261+BD272</f>
        <v>-4179465.97986566</v>
      </c>
      <c r="BE280" s="14" t="n">
        <f aca="false">BE261+BE272</f>
        <v>-4684043.57378874</v>
      </c>
      <c r="BF280" s="14" t="n">
        <f aca="false">BF261+BF272</f>
        <v>-5188621.16771182</v>
      </c>
      <c r="BG280" s="14" t="n">
        <f aca="false">BG261+BG272</f>
        <v>-5693198.76163489</v>
      </c>
      <c r="BH280" s="14" t="n">
        <f aca="false">BH261+BH272</f>
        <v>-6197776.35555797</v>
      </c>
      <c r="BI280" s="14" t="n">
        <f aca="false">BI261+BI272</f>
        <v>-6465864.48817823</v>
      </c>
      <c r="BJ280" s="14" t="n">
        <f aca="false">BJ261+BJ272</f>
        <v>-6713622.82500228</v>
      </c>
      <c r="BK280" s="14" t="n">
        <f aca="false">BK261+BK272</f>
        <v>-7367977.07775048</v>
      </c>
      <c r="BL280" s="14" t="n">
        <f aca="false">BL261+BL272</f>
        <v>-8022331.33049868</v>
      </c>
      <c r="BM280" s="14" t="n">
        <f aca="false">BM261+BM272</f>
        <v>-8676685.58324687</v>
      </c>
      <c r="BN280" s="14" t="n">
        <f aca="false">BN261+BN272</f>
        <v>-9342050.25438337</v>
      </c>
      <c r="BO280" s="14" t="n">
        <f aca="false">BO261+BO272</f>
        <v>-10007414.9255199</v>
      </c>
      <c r="BP280" s="14" t="n">
        <f aca="false">BP261+BP272</f>
        <v>-10672779.5966564</v>
      </c>
      <c r="BQ280" s="14" t="n">
        <f aca="false">BQ261+BQ272</f>
        <v>-11338144.2677929</v>
      </c>
      <c r="BR280" s="14" t="n">
        <f aca="false">BR261+BR272</f>
        <v>-12003508.9389293</v>
      </c>
      <c r="BS280" s="14" t="n">
        <f aca="false">BS261+BS272</f>
        <v>-12617360.0900658</v>
      </c>
      <c r="BT280" s="14" t="n">
        <f aca="false">BT261+BT272</f>
        <v>-13282724.7612023</v>
      </c>
      <c r="BU280" s="14" t="n">
        <f aca="false">BU261+BU272</f>
        <v>-13948089.4323388</v>
      </c>
      <c r="BV280" s="14" t="n">
        <f aca="false">BV261+BV272</f>
        <v>-14545692.1034753</v>
      </c>
      <c r="BW280" s="14" t="n">
        <f aca="false">BW261+BW272</f>
        <v>-15211056.7746118</v>
      </c>
      <c r="BX280" s="14" t="n">
        <f aca="false">BX261+BX272</f>
        <v>-15876421.4457483</v>
      </c>
      <c r="BY280" s="14" t="n">
        <f aca="false">BY261+BY272</f>
        <v>-16474024.1168848</v>
      </c>
      <c r="BZ280" s="14" t="n">
        <f aca="false">BZ261+BZ272</f>
        <v>-17150619.4147774</v>
      </c>
      <c r="CA280" s="14" t="n">
        <f aca="false">CA261+CA272</f>
        <v>-17827214.7126699</v>
      </c>
      <c r="CB280" s="14" t="n">
        <f aca="false">CB261+CB272</f>
        <v>-18436048.0105625</v>
      </c>
      <c r="CC280" s="14" t="n">
        <f aca="false">CC261+CC272</f>
        <v>-19112643.308455</v>
      </c>
      <c r="CD280" s="14" t="n">
        <f aca="false">CD261+CD272</f>
        <v>-19789238.6063476</v>
      </c>
      <c r="CE280" s="14" t="n">
        <f aca="false">CE261+CE272</f>
        <v>-20389334.9042402</v>
      </c>
      <c r="CF280" s="14" t="n">
        <f aca="false">CF261+CF272</f>
        <v>-21065930.2021327</v>
      </c>
      <c r="CG280" s="14" t="n">
        <f aca="false">CG261+CG272</f>
        <v>-21742525.5000253</v>
      </c>
      <c r="CH280" s="14" t="n">
        <f aca="false">CH261+CH272</f>
        <v>-22342621.7979178</v>
      </c>
      <c r="CI280" s="14" t="n">
        <f aca="false">CI261+CI272</f>
        <v>-23019217.0958104</v>
      </c>
      <c r="CJ280" s="14" t="n">
        <f aca="false">CJ261+CJ272</f>
        <v>-23695812.393703</v>
      </c>
      <c r="CK280" s="14" t="n">
        <f aca="false">CK261+CK272</f>
        <v>-24289300.664989</v>
      </c>
      <c r="CL280" s="14" t="n">
        <f aca="false">CL261+CL272</f>
        <v>-24819490.2021728</v>
      </c>
      <c r="CM280" s="14" t="n">
        <f aca="false">CM261+CM272</f>
        <v>-25349679.7393565</v>
      </c>
      <c r="CN280" s="14" t="n">
        <f aca="false">CN261+CN272</f>
        <v>-25879869.2765403</v>
      </c>
      <c r="CO280" s="14" t="n">
        <f aca="false">CO261+CO272</f>
        <v>-26410058.813724</v>
      </c>
      <c r="CP280" s="14" t="n">
        <f aca="false">CP261+CP272</f>
        <v>-26940248.3509077</v>
      </c>
      <c r="CQ280" s="14" t="n">
        <f aca="false">CQ261+CQ272</f>
        <v>-27470437.8880915</v>
      </c>
      <c r="CR280" s="14" t="n">
        <f aca="false">CR261+CR272</f>
        <v>-28000627.4252752</v>
      </c>
      <c r="CS280" s="14" t="n">
        <f aca="false">CS261+CS272</f>
        <v>-28530816.962459</v>
      </c>
      <c r="CT280" s="14" t="n">
        <f aca="false">CT261+CT272</f>
        <v>-29061006.4996427</v>
      </c>
      <c r="CU280" s="14" t="n">
        <f aca="false">CU261+CU272</f>
        <v>-29532067.4420842</v>
      </c>
      <c r="CV280" s="14" t="n">
        <f aca="false">CV261+CV272</f>
        <v>-30003128.3845257</v>
      </c>
      <c r="CW280" s="14" t="n">
        <f aca="false">CW261+CW272</f>
        <v>-30474189.3269672</v>
      </c>
      <c r="CX280" s="14" t="n">
        <f aca="false">CX261+CX272</f>
        <v>-30900043.8905273</v>
      </c>
      <c r="CY280" s="14" t="n">
        <f aca="false">CY261+CY272</f>
        <v>-31308451.6051509</v>
      </c>
      <c r="CZ280" s="14" t="n">
        <f aca="false">CZ261+CZ272</f>
        <v>-31716859.3197746</v>
      </c>
      <c r="DA280" s="14" t="n">
        <f aca="false">DA261+DA272</f>
        <v>-32125267.0343983</v>
      </c>
      <c r="DB280" s="14" t="n">
        <f aca="false">DB261+DB272</f>
        <v>-32533674.7490219</v>
      </c>
      <c r="DC280" s="14" t="n">
        <f aca="false">DC261+DC272</f>
        <v>-32942082.4636456</v>
      </c>
      <c r="DD280" s="14" t="n">
        <f aca="false">DD261+DD272</f>
        <v>-33350490.1782692</v>
      </c>
      <c r="DE280" s="14" t="n">
        <f aca="false">DE261+DE272</f>
        <v>-33758897.8928929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-516870.695580521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-457022.524906723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0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0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0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0</v>
      </c>
      <c r="CK281" s="14" t="n">
        <f aca="false">IF((BW208+BX208+BY208+BZ208+CA208+CB208+CC208+CD208+CE208+CF208+CG208+CH208)&gt;0,-(BW208+BX208+BY208+BZ208+CA208+CB208+CC208+CD208+CE208+CF208+CG208+CH208)*0.3,0)</f>
        <v>0</v>
      </c>
      <c r="CL281" s="14" t="n">
        <f aca="false">IF((BX208+BY208+BZ208+CA208+CB208+CC208+CD208+CE208+CF208+CG208+CH208+CI208)&gt;0,-(BX208+BY208+BZ208+CA208+CB208+CC208+CD208+CE208+CF208+CG208+CH208+CI208)*0.3,0)</f>
        <v>0</v>
      </c>
      <c r="CM281" s="14" t="n">
        <f aca="false">IF((BY208+BZ208+CA208+CB208+CC208+CD208+CE208+CF208+CG208+CH208+CI208+CJ208)&gt;0,-(BY208+BZ208+CA208+CB208+CC208+CD208+CE208+CF208+CG208+CH208+CI208+CJ208)*0.3,0)</f>
        <v>0</v>
      </c>
      <c r="CN281" s="14" t="n">
        <f aca="false">IF((BZ208+CA208+CB208+CC208+CD208+CE208+CF208+CG208+CH208+CI208+CJ208+CK208)&gt;0,-(BZ208+CA208+CB208+CC208+CD208+CE208+CF208+CG208+CH208+CI208+CJ208+CK208)*0.3,0)</f>
        <v>0</v>
      </c>
      <c r="CO281" s="14" t="n">
        <f aca="false">IF((CA208+CB208+CC208+CD208+CE208+CF208+CG208+CH208+CI208+CJ208+CK208+CL208)&gt;0,-(CA208+CB208+CC208+CD208+CE208+CF208+CG208+CH208+CI208+CJ208+CK208+CL208)*0.3,0)</f>
        <v>0</v>
      </c>
      <c r="CP281" s="14" t="n">
        <f aca="false">IF((CB208+CC208+CD208+CE208+CF208+CG208+CH208+CI208+CJ208+CK208+CL208+CM208)&gt;0,-(CB208+CC208+CD208+CE208+CF208+CG208+CH208+CI208+CJ208+CK208+CL208+CM208)*0.3,0)</f>
        <v>0</v>
      </c>
      <c r="CQ281" s="14" t="n">
        <f aca="false">IF((CC208+CD208+CE208+CF208+CG208+CH208+CI208+CJ208+CK208+CL208+CM208+CN208)&gt;0,-(CC208+CD208+CE208+CF208+CG208+CH208+CI208+CJ208+CK208+CL208+CM208+CN208)*0.3,0)</f>
        <v>0</v>
      </c>
      <c r="CR281" s="14" t="n">
        <f aca="false">IF((CD208+CE208+CF208+CG208+CH208+CI208+CJ208+CK208+CL208+CM208+CN208+CO208)&gt;0,-(CD208+CE208+CF208+CG208+CH208+CI208+CJ208+CK208+CL208+CM208+CN208+CO208)*0.3,0)</f>
        <v>0</v>
      </c>
      <c r="CS281" s="14" t="n">
        <f aca="false">IF((CE208+CF208+CG208+CH208+CI208+CJ208+CK208+CL208+CM208+CN208+CO208+CP208)&gt;0,-(CE208+CF208+CG208+CH208+CI208+CJ208+CK208+CL208+CM208+CN208+CO208+CP208)*0.3,0)</f>
        <v>0</v>
      </c>
      <c r="CT281" s="14" t="n">
        <f aca="false">IF((CF208+CG208+CH208+CI208+CJ208+CK208+CL208+CM208+CN208+CO208+CP208+CQ208)&gt;0,-(CF208+CG208+CH208+CI208+CJ208+CK208+CL208+CM208+CN208+CO208+CP208+CQ208)*0.3,0)</f>
        <v>0</v>
      </c>
      <c r="CU281" s="14" t="n">
        <f aca="false">IF((CG208+CH208+CI208+CJ208+CK208+CL208+CM208+CN208+CO208+CP208+CQ208+CR208)&gt;0,-(CG208+CH208+CI208+CJ208+CK208+CL208+CM208+CN208+CO208+CP208+CQ208+CR208)*0.3,0)</f>
        <v>0</v>
      </c>
      <c r="CV281" s="14" t="n">
        <f aca="false">IF((CH208+CI208+CJ208+CK208+CL208+CM208+CN208+CO208+CP208+CQ208+CR208+CS208)&gt;0,-(CH208+CI208+CJ208+CK208+CL208+CM208+CN208+CO208+CP208+CQ208+CR208+CS208)*0.3,0)</f>
        <v>0</v>
      </c>
      <c r="CW281" s="14" t="n">
        <f aca="false">IF((CI208+CJ208+CK208+CL208+CM208+CN208+CO208+CP208+CQ208+CR208+CS208+CT208)&gt;0,-(CI208+CJ208+CK208+CL208+CM208+CN208+CO208+CP208+CQ208+CR208+CS208+CT208)*0.3,0)</f>
        <v>0</v>
      </c>
      <c r="CX281" s="14" t="n">
        <f aca="false">IF((CJ208+CK208+CL208+CM208+CN208+CO208+CP208+CQ208+CR208+CS208+CT208+CU208)&gt;0,-(CJ208+CK208+CL208+CM208+CN208+CO208+CP208+CQ208+CR208+CS208+CT208+CU208)*0.3,0)</f>
        <v>0</v>
      </c>
      <c r="CY281" s="14" t="n">
        <f aca="false">IF((CK208+CL208+CM208+CN208+CO208+CP208+CQ208+CR208+CS208+CT208+CU208+CV208)&gt;0,-(CK208+CL208+CM208+CN208+CO208+CP208+CQ208+CR208+CS208+CT208+CU208+CV208)*0.3,0)</f>
        <v>0</v>
      </c>
      <c r="CZ281" s="14" t="n">
        <f aca="false">IF((CL208+CM208+CN208+CO208+CP208+CQ208+CR208+CS208+CT208+CU208+CV208+CW208)&gt;0,-(CL208+CM208+CN208+CO208+CP208+CQ208+CR208+CS208+CT208+CU208+CV208+CW208)*0.3,0)</f>
        <v>0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952536.382494042</v>
      </c>
      <c r="J282" s="76" t="n">
        <f aca="false">J280+J265+J273+J274+J275+J276+J281</f>
        <v>596682.491007708</v>
      </c>
      <c r="K282" s="76" t="n">
        <f aca="false">K280+K265+K273+K274+K275+K276+K281</f>
        <v>464401.001789157</v>
      </c>
      <c r="L282" s="76" t="n">
        <f aca="false">L280+L265+L273+L274+L275+L276+L281</f>
        <v>777672.529031435</v>
      </c>
      <c r="M282" s="76" t="n">
        <f aca="false">M280+M265+M273+M274+M275+M276+M281</f>
        <v>1386522.66367532</v>
      </c>
      <c r="N282" s="76" t="n">
        <f aca="false">N280+N265+N273+N274+N275+N276+N281</f>
        <v>1519049.81347212</v>
      </c>
      <c r="O282" s="76" t="n">
        <f aca="false">O280+O265+O273+O274+O275+O276+O281</f>
        <v>1384831.50713995</v>
      </c>
      <c r="P282" s="76" t="n">
        <f aca="false">P280+P265+P273+P274+P275+P276+P281</f>
        <v>961945.620612765</v>
      </c>
      <c r="Q282" s="76" t="n">
        <f aca="false">Q280+Q265+Q273+Q274+Q275+Q276+Q281</f>
        <v>2165230.58157685</v>
      </c>
      <c r="R282" s="76" t="n">
        <f aca="false">R280+R265+R273+R274+R275+R276+R281</f>
        <v>735779.77073662</v>
      </c>
      <c r="S282" s="76" t="n">
        <f aca="false">S280+S265+S273+S274+S275+S276+S281</f>
        <v>885626.889852417</v>
      </c>
      <c r="T282" s="76" t="n">
        <f aca="false">T280+T265+T273+T274+T275+T276+T281</f>
        <v>1207157.26665028</v>
      </c>
      <c r="U282" s="76" t="n">
        <f aca="false">U280+U265+U273+U274+U275+U276+U281</f>
        <v>1397640.3123531</v>
      </c>
      <c r="V282" s="76" t="n">
        <f aca="false">V280+V265+V273+V274+V275+V276+V281</f>
        <v>1347415.23569788</v>
      </c>
      <c r="W282" s="76" t="n">
        <f aca="false">W280+W265+W273+W274+W275+W276+W281</f>
        <v>1294065.63724653</v>
      </c>
      <c r="X282" s="76" t="n">
        <f aca="false">X280+X265+X273+X274+X275+X276+X281</f>
        <v>1277208.87235135</v>
      </c>
      <c r="Y282" s="76" t="n">
        <f aca="false">Y280+Y265+Y273+Y274+Y275+Y276+Y281</f>
        <v>1328249.66657309</v>
      </c>
      <c r="Z282" s="76" t="n">
        <f aca="false">Z280+Z265+Z273+Z274+Z275+Z276+Z281</f>
        <v>1387884.70408028</v>
      </c>
      <c r="AA282" s="76" t="n">
        <f aca="false">AA280+AA265+AA273+AA274+AA275+AA276+AA281</f>
        <v>1197519.74158747</v>
      </c>
      <c r="AB282" s="76" t="n">
        <f aca="false">AB280+AB265+AB273+AB274+AB275+AB276+AB281</f>
        <v>844875.674187936</v>
      </c>
      <c r="AC282" s="76" t="n">
        <f aca="false">AC280+AC265+AC273+AC274+AC275+AC276+AC281</f>
        <v>1151166.35968965</v>
      </c>
      <c r="AD282" s="76" t="n">
        <f aca="false">AD280+AD265+AD273+AD274+AD275+AD276+AD281</f>
        <v>1907845.85875353</v>
      </c>
      <c r="AE282" s="76" t="n">
        <f aca="false">AE280+AE265+AE273+AE274+AE275+AE276+AE281</f>
        <v>2381007.59464208</v>
      </c>
      <c r="AF282" s="76" t="n">
        <f aca="false">AF280+AF265+AF273+AF274+AF275+AF276+AF281</f>
        <v>933112.450224301</v>
      </c>
      <c r="AG282" s="76" t="n">
        <f aca="false">AG280+AG265+AG273+AG274+AG275+AG276+AG281</f>
        <v>932629.42580652</v>
      </c>
      <c r="AH282" s="76" t="n">
        <f aca="false">AH280+AH265+AH273+AH274+AH275+AH276+AH281</f>
        <v>932146.40138874</v>
      </c>
      <c r="AI282" s="76" t="n">
        <f aca="false">AI280+AI265+AI273+AI274+AI275+AI276+AI281</f>
        <v>794167.247403209</v>
      </c>
      <c r="AJ282" s="76" t="n">
        <f aca="false">AJ280+AJ265+AJ273+AJ274+AJ275+AJ276+AJ281</f>
        <v>1263103.07445143</v>
      </c>
      <c r="AK282" s="76" t="n">
        <f aca="false">AK280+AK265+AK273+AK274+AK275+AK276+AK281</f>
        <v>1156856.29425457</v>
      </c>
      <c r="AL282" s="76" t="n">
        <f aca="false">AL280+AL265+AL273+AL274+AL275+AL276+AL281</f>
        <v>1050609.51405771</v>
      </c>
      <c r="AM282" s="76" t="n">
        <f aca="false">AM280+AM265+AM273+AM274+AM275+AM276+AM281</f>
        <v>685712.012702446</v>
      </c>
      <c r="AN282" s="76" t="n">
        <f aca="false">AN280+AN265+AN273+AN274+AN275+AN276+AN281</f>
        <v>1410917.91786054</v>
      </c>
      <c r="AO282" s="76" t="n">
        <f aca="false">AO280+AO265+AO273+AO274+AO275+AO276+AO281</f>
        <v>1489199.70638047</v>
      </c>
      <c r="AP282" s="76" t="n">
        <f aca="false">AP280+AP265+AP273+AP274+AP275+AP276+AP281</f>
        <v>1159362.13414341</v>
      </c>
      <c r="AQ282" s="76" t="n">
        <f aca="false">AQ280+AQ265+AQ273+AQ274+AQ275+AQ276+AQ281</f>
        <v>829524.561906352</v>
      </c>
      <c r="AR282" s="76" t="n">
        <f aca="false">AR280+AR265+AR273+AR274+AR275+AR276+AR281</f>
        <v>499686.989669293</v>
      </c>
      <c r="AS282" s="76" t="n">
        <f aca="false">AS280+AS265+AS273+AS274+AS275+AS276+AS281</f>
        <v>169849.417432236</v>
      </c>
      <c r="AT282" s="76" t="n">
        <f aca="false">AT280+AT265+AT273+AT274+AT275+AT276+AT281</f>
        <v>-432473.740158322</v>
      </c>
      <c r="AU282" s="76" t="n">
        <f aca="false">AU280+AU265+AU273+AU274+AU275+AU276+AU281</f>
        <v>214095.368454661</v>
      </c>
      <c r="AV282" s="76" t="n">
        <f aca="false">AV280+AV265+AV273+AV274+AV275+AV276+AV281</f>
        <v>-279687.697636753</v>
      </c>
      <c r="AW282" s="76" t="n">
        <f aca="false">AW280+AW265+AW273+AW274+AW275+AW276+AW281</f>
        <v>-773470.763728167</v>
      </c>
      <c r="AX282" s="76" t="n">
        <f aca="false">AX280+AX265+AX273+AX274+AX275+AX276+AX281</f>
        <v>-1267253.82981958</v>
      </c>
      <c r="AY282" s="76" t="n">
        <f aca="false">AY280+AY265+AY273+AY274+AY275+AY276+AY281</f>
        <v>-1761036.895911</v>
      </c>
      <c r="AZ282" s="76" t="n">
        <f aca="false">AZ280+AZ265+AZ273+AZ274+AZ275+AZ276+AZ281</f>
        <v>-2254819.96200241</v>
      </c>
      <c r="BA282" s="76" t="n">
        <f aca="false">BA280+BA265+BA273+BA274+BA275+BA276+BA281</f>
        <v>-2750260.42469377</v>
      </c>
      <c r="BB282" s="76" t="n">
        <f aca="false">BB280+BB265+BB273+BB274+BB275+BB276+BB281</f>
        <v>-3254838.01861685</v>
      </c>
      <c r="BC282" s="76" t="n">
        <f aca="false">BC280+BC265+BC273+BC274+BC275+BC276+BC281</f>
        <v>-3759415.61253993</v>
      </c>
      <c r="BD282" s="76" t="n">
        <f aca="false">BD280+BD265+BD273+BD274+BD275+BD276+BD281</f>
        <v>-4263993.20646301</v>
      </c>
      <c r="BE282" s="76" t="n">
        <f aca="false">BE280+BE265+BE273+BE274+BE275+BE276+BE281</f>
        <v>-4768570.80038609</v>
      </c>
      <c r="BF282" s="76" t="n">
        <f aca="false">BF280+BF265+BF273+BF274+BF275+BF276+BF281</f>
        <v>-5273148.39430916</v>
      </c>
      <c r="BG282" s="76" t="n">
        <f aca="false">BG280+BG265+BG273+BG274+BG275+BG276+BG281</f>
        <v>-5777725.98823224</v>
      </c>
      <c r="BH282" s="76" t="n">
        <f aca="false">BH280+BH265+BH273+BH274+BH275+BH276+BH281</f>
        <v>-6531239.85721092</v>
      </c>
      <c r="BI282" s="76" t="n">
        <f aca="false">BI280+BI265+BI273+BI274+BI275+BI276+BI281</f>
        <v>-6143795.79885143</v>
      </c>
      <c r="BJ282" s="76" t="n">
        <f aca="false">BJ280+BJ265+BJ273+BJ274+BJ275+BJ276+BJ281</f>
        <v>-6798150.05159963</v>
      </c>
      <c r="BK282" s="76" t="n">
        <f aca="false">BK280+BK265+BK273+BK274+BK275+BK276+BK281</f>
        <v>-7452504.30434783</v>
      </c>
      <c r="BL282" s="76" t="n">
        <f aca="false">BL280+BL265+BL273+BL274+BL275+BL276+BL281</f>
        <v>-8106858.55709602</v>
      </c>
      <c r="BM282" s="76" t="n">
        <f aca="false">BM280+BM265+BM273+BM274+BM275+BM276+BM281</f>
        <v>-8762903.35437617</v>
      </c>
      <c r="BN282" s="76" t="n">
        <f aca="false">BN280+BN265+BN273+BN274+BN275+BN276+BN281</f>
        <v>-9428268.02551266</v>
      </c>
      <c r="BO282" s="76" t="n">
        <f aca="false">BO280+BO265+BO273+BO274+BO275+BO276+BO281</f>
        <v>-10093632.6966492</v>
      </c>
      <c r="BP282" s="76" t="n">
        <f aca="false">BP280+BP265+BP273+BP274+BP275+BP276+BP281</f>
        <v>-10758997.3677857</v>
      </c>
      <c r="BQ282" s="76" t="n">
        <f aca="false">BQ280+BQ265+BQ273+BQ274+BQ275+BQ276+BQ281</f>
        <v>-11424362.0389221</v>
      </c>
      <c r="BR282" s="76" t="n">
        <f aca="false">BR280+BR265+BR273+BR274+BR275+BR276+BR281</f>
        <v>-12038213.1900586</v>
      </c>
      <c r="BS282" s="76" t="n">
        <f aca="false">BS280+BS265+BS273+BS274+BS275+BS276+BS281</f>
        <v>-12703577.8611951</v>
      </c>
      <c r="BT282" s="76" t="n">
        <f aca="false">BT280+BT265+BT273+BT274+BT275+BT276+BT281</f>
        <v>-13368942.5323316</v>
      </c>
      <c r="BU282" s="76" t="n">
        <f aca="false">BU280+BU265+BU273+BU274+BU275+BU276+BU281</f>
        <v>-13966545.2034681</v>
      </c>
      <c r="BV282" s="76" t="n">
        <f aca="false">BV280+BV265+BV273+BV274+BV275+BV276+BV281</f>
        <v>-14631909.8746046</v>
      </c>
      <c r="BW282" s="76" t="n">
        <f aca="false">BW280+BW265+BW273+BW274+BW275+BW276+BW281</f>
        <v>-15297274.5457411</v>
      </c>
      <c r="BX282" s="76" t="n">
        <f aca="false">BX280+BX265+BX273+BX274+BX275+BX276+BX281</f>
        <v>-15894877.2168776</v>
      </c>
      <c r="BY282" s="76" t="n">
        <f aca="false">BY280+BY265+BY273+BY274+BY275+BY276+BY281</f>
        <v>-16561966.2434367</v>
      </c>
      <c r="BZ282" s="76" t="n">
        <f aca="false">BZ280+BZ265+BZ273+BZ274+BZ275+BZ276+BZ281</f>
        <v>-17238561.5413292</v>
      </c>
      <c r="CA282" s="76" t="n">
        <f aca="false">CA280+CA265+CA273+CA274+CA275+CA276+CA281</f>
        <v>-17847394.8392218</v>
      </c>
      <c r="CB282" s="76" t="n">
        <f aca="false">CB280+CB265+CB273+CB274+CB275+CB276+CB281</f>
        <v>-18523990.1371144</v>
      </c>
      <c r="CC282" s="76" t="n">
        <f aca="false">CC280+CC265+CC273+CC274+CC275+CC276+CC281</f>
        <v>-19200585.4350069</v>
      </c>
      <c r="CD282" s="76" t="n">
        <f aca="false">CD280+CD265+CD273+CD274+CD275+CD276+CD281</f>
        <v>-19800681.7328995</v>
      </c>
      <c r="CE282" s="76" t="n">
        <f aca="false">CE280+CE265+CE273+CE274+CE275+CE276+CE281</f>
        <v>-20477277.030792</v>
      </c>
      <c r="CF282" s="76" t="n">
        <f aca="false">CF280+CF265+CF273+CF274+CF275+CF276+CF281</f>
        <v>-21153872.3286846</v>
      </c>
      <c r="CG282" s="76" t="n">
        <f aca="false">CG280+CG265+CG273+CG274+CG275+CG276+CG281</f>
        <v>-21753968.6265772</v>
      </c>
      <c r="CH282" s="76" t="n">
        <f aca="false">CH280+CH265+CH273+CH274+CH275+CH276+CH281</f>
        <v>-22430563.9244697</v>
      </c>
      <c r="CI282" s="76" t="n">
        <f aca="false">CI280+CI265+CI273+CI274+CI275+CI276+CI281</f>
        <v>-23107159.2223623</v>
      </c>
      <c r="CJ282" s="76" t="n">
        <f aca="false">CJ280+CJ265+CJ273+CJ274+CJ275+CJ276+CJ281</f>
        <v>-23700647.4936484</v>
      </c>
      <c r="CK282" s="76" t="n">
        <f aca="false">CK280+CK265+CK273+CK274+CK275+CK276+CK281</f>
        <v>-24221140.6340719</v>
      </c>
      <c r="CL282" s="76" t="n">
        <f aca="false">CL280+CL265+CL273+CL274+CL275+CL276+CL281</f>
        <v>-24751330.1712557</v>
      </c>
      <c r="CM282" s="76" t="n">
        <f aca="false">CM280+CM265+CM273+CM274+CM275+CM276+CM281</f>
        <v>-25281519.7084394</v>
      </c>
      <c r="CN282" s="76" t="n">
        <f aca="false">CN280+CN265+CN273+CN274+CN275+CN276+CN281</f>
        <v>-25811709.2456232</v>
      </c>
      <c r="CO282" s="76" t="n">
        <f aca="false">CO280+CO265+CO273+CO274+CO275+CO276+CO281</f>
        <v>-26341898.7828069</v>
      </c>
      <c r="CP282" s="76" t="n">
        <f aca="false">CP280+CP265+CP273+CP274+CP275+CP276+CP281</f>
        <v>-26872088.3199907</v>
      </c>
      <c r="CQ282" s="76" t="n">
        <f aca="false">CQ280+CQ265+CQ273+CQ274+CQ275+CQ276+CQ281</f>
        <v>-27402277.8571744</v>
      </c>
      <c r="CR282" s="76" t="n">
        <f aca="false">CR280+CR265+CR273+CR274+CR275+CR276+CR281</f>
        <v>-27932467.3943581</v>
      </c>
      <c r="CS282" s="76" t="n">
        <f aca="false">CS280+CS265+CS273+CS274+CS275+CS276+CS281</f>
        <v>-28462656.9315419</v>
      </c>
      <c r="CT282" s="76" t="n">
        <f aca="false">CT280+CT265+CT273+CT274+CT275+CT276+CT281</f>
        <v>-28990937.9753507</v>
      </c>
      <c r="CU282" s="76" t="n">
        <f aca="false">CU280+CU265+CU273+CU274+CU275+CU276+CU281</f>
        <v>-29461998.9177922</v>
      </c>
      <c r="CV282" s="76" t="n">
        <f aca="false">CV280+CV265+CV273+CV274+CV275+CV276+CV281</f>
        <v>-29933059.8602337</v>
      </c>
      <c r="CW282" s="76" t="n">
        <f aca="false">CW280+CW265+CW273+CW274+CW275+CW276+CW281</f>
        <v>-30350168.5011258</v>
      </c>
      <c r="CX282" s="76" t="n">
        <f aca="false">CX280+CX265+CX273+CX274+CX275+CX276+CX281</f>
        <v>-30758576.2157495</v>
      </c>
      <c r="CY282" s="76" t="n">
        <f aca="false">CY280+CY265+CY273+CY274+CY275+CY276+CY281</f>
        <v>-31166983.9303731</v>
      </c>
      <c r="CZ282" s="76" t="n">
        <f aca="false">CZ280+CZ265+CZ273+CZ274+CZ275+CZ276+CZ281</f>
        <v>-31575391.6449968</v>
      </c>
      <c r="DA282" s="76" t="n">
        <f aca="false">DA280+DA265+DA273+DA274+DA275+DA276+DA281</f>
        <v>-31983799.3596204</v>
      </c>
      <c r="DB282" s="76" t="n">
        <f aca="false">DB280+DB265+DB273+DB274+DB275+DB276+DB281</f>
        <v>-32392207.0742441</v>
      </c>
      <c r="DC282" s="76" t="n">
        <f aca="false">DC280+DC265+DC273+DC274+DC275+DC276+DC281</f>
        <v>-32800614.7888678</v>
      </c>
      <c r="DD282" s="76" t="n">
        <f aca="false">DD280+DD265+DD273+DD274+DD275+DD276+DD281</f>
        <v>-33209022.5034914</v>
      </c>
      <c r="DE282" s="76" t="n">
        <f aca="false">DE280+DE265+DE273+DE274+DE275+DE276+DE281</f>
        <v>-33617430.2181151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3720364.98246009</v>
      </c>
      <c r="C4" s="91" t="n">
        <f aca="false">SUM(Model!N10:Y10)</f>
        <v>5324274.92237691</v>
      </c>
      <c r="D4" s="91" t="n">
        <f aca="false">SUM(Model!Z10:AK10)</f>
        <v>4532513.00077765</v>
      </c>
      <c r="E4" s="91" t="n">
        <f aca="false">SUM(Model!AL10:AW10)</f>
        <v>2617401.64668007</v>
      </c>
      <c r="F4" s="91" t="n">
        <f aca="false">SUM(Model!AX10:BI10)</f>
        <v>1133255.11019527</v>
      </c>
      <c r="G4" s="91" t="n">
        <f aca="false">SUM(Model!BJ10:BU10)</f>
        <v>0</v>
      </c>
      <c r="H4" s="91" t="n">
        <f aca="false">SUM(Model!BV10:CG10)</f>
        <v>0</v>
      </c>
      <c r="I4" s="91" t="n">
        <f aca="false">SUM(Model!CH10:CS10)</f>
        <v>0</v>
      </c>
      <c r="J4" s="91" t="n">
        <f aca="false">SUM(Model!CT10:DE10)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3036290.65019036</v>
      </c>
      <c r="C5" s="91" t="n">
        <f aca="false">SUM(Model!N11:Y11)</f>
        <v>4160604.83279678</v>
      </c>
      <c r="D5" s="91" t="n">
        <f aca="false">SUM(Model!Z11:AK11)</f>
        <v>3399368.27949886</v>
      </c>
      <c r="E5" s="91" t="n">
        <f aca="false">SUM(Model!AL11:AW11)</f>
        <v>1963041.72341166</v>
      </c>
      <c r="F5" s="91" t="n">
        <f aca="false">SUM(Model!AX11:BI11)</f>
        <v>849937.214414347</v>
      </c>
      <c r="G5" s="91" t="n">
        <f aca="false">SUM(Model!BJ11:BU11)</f>
        <v>0</v>
      </c>
      <c r="H5" s="91" t="n">
        <f aca="false">SUM(Model!BV11:CG11)</f>
        <v>0</v>
      </c>
      <c r="I5" s="91" t="n">
        <f aca="false">SUM(Model!CH11:CS11)</f>
        <v>0</v>
      </c>
      <c r="J5" s="91" t="n">
        <f aca="false">SUM(Model!CT11:DE11)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50635245.1745905</v>
      </c>
      <c r="C6" s="91" t="n">
        <f aca="false">SUM(Model!N57:Y57)</f>
        <v>89915722.8112734</v>
      </c>
      <c r="D6" s="91" t="n">
        <f aca="false">SUM(Model!Z57:AK57)</f>
        <v>50291922.6862575</v>
      </c>
      <c r="E6" s="91" t="n">
        <f aca="false">SUM(Model!AL57:AW57)</f>
        <v>28313383.4546743</v>
      </c>
      <c r="F6" s="91" t="n">
        <f aca="false">SUM(Model!AX57:BI57)</f>
        <v>11275557.5955424</v>
      </c>
      <c r="G6" s="91" t="n">
        <f aca="false">SUM(Model!BJ57:BU57)</f>
        <v>0</v>
      </c>
      <c r="H6" s="91" t="n">
        <f aca="false">SUM(Model!BV57:CG57)</f>
        <v>0</v>
      </c>
      <c r="I6" s="91" t="n">
        <f aca="false">SUM(Model!CH57:CS57)</f>
        <v>0</v>
      </c>
      <c r="J6" s="91" t="n">
        <f aca="false">SUM(Model!CT57:DE57)</f>
        <v>0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57391900.8072409</v>
      </c>
      <c r="C7" s="34" t="n">
        <f aca="false">SUM(Model!N58:Y58)</f>
        <v>99400602.5664471</v>
      </c>
      <c r="D7" s="34" t="n">
        <f aca="false">SUM(Model!Z58:AK58)</f>
        <v>58223803.966534</v>
      </c>
      <c r="E7" s="34" t="n">
        <f aca="false">SUM(Model!AL58:AW58)</f>
        <v>32893826.824766</v>
      </c>
      <c r="F7" s="34" t="n">
        <f aca="false">SUM(Model!AX58:BI58)</f>
        <v>13258749.920152</v>
      </c>
      <c r="G7" s="34" t="n">
        <f aca="false">SUM(Model!BJ58:BU58)</f>
        <v>0</v>
      </c>
      <c r="H7" s="34" t="n">
        <f aca="false">SUM(Model!BV58:CG58)</f>
        <v>0</v>
      </c>
      <c r="I7" s="34" t="n">
        <f aca="false">SUM(Model!CH58:CS58)</f>
        <v>0</v>
      </c>
      <c r="J7" s="34" t="n">
        <f aca="false">SUM(Model!CT58:DE58)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-51225698.5227725</v>
      </c>
      <c r="C8" s="91" t="n">
        <f aca="false">SUM(Model!N104:Y104)</f>
        <v>-90265146.5730913</v>
      </c>
      <c r="D8" s="91" t="n">
        <f aca="false">SUM(Model!Z104:AK104)</f>
        <v>-50291922.6862575</v>
      </c>
      <c r="E8" s="91" t="n">
        <f aca="false">SUM(Model!AL104:AW104)</f>
        <v>-28313383.4546743</v>
      </c>
      <c r="F8" s="91" t="n">
        <f aca="false">SUM(Model!AX104:BI104)</f>
        <v>-11275557.5955424</v>
      </c>
      <c r="G8" s="91" t="n">
        <f aca="false">SUM(Model!BJ104:BU104)</f>
        <v>0</v>
      </c>
      <c r="H8" s="91" t="n">
        <f aca="false">SUM(Model!BV104:CG104)</f>
        <v>0</v>
      </c>
      <c r="I8" s="91" t="n">
        <f aca="false">SUM(Model!CH104:CS104)</f>
        <v>0</v>
      </c>
      <c r="J8" s="91" t="n">
        <f aca="false">SUM(Model!CT104:DE104)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6876374.8452684</v>
      </c>
      <c r="C11" s="93" t="n">
        <f aca="false">SUM(Model!N107:Y107)</f>
        <v>8343287.51835574</v>
      </c>
      <c r="D11" s="93" t="n">
        <f aca="false">SUM(Model!Z107:AK107)</f>
        <v>7208175.22027651</v>
      </c>
      <c r="E11" s="93" t="n">
        <f aca="false">SUM(Model!AL107:AW107)</f>
        <v>4580443.37009173</v>
      </c>
      <c r="F11" s="93" t="n">
        <f aca="false">SUM(Model!AX107:BI107)</f>
        <v>1983192.32460961</v>
      </c>
      <c r="G11" s="93" t="n">
        <f aca="false">SUM(Model!BJ107:BU107)</f>
        <v>0</v>
      </c>
      <c r="H11" s="93" t="n">
        <f aca="false">SUM(Model!BV107:CG107)</f>
        <v>0</v>
      </c>
      <c r="I11" s="93" t="n">
        <f aca="false">SUM(Model!CH107:CS107)</f>
        <v>0</v>
      </c>
      <c r="J11" s="93" t="n">
        <f aca="false">SUM(Model!CT107:DE107)</f>
        <v>0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0.119814377090658</v>
      </c>
      <c r="C12" s="94" t="n">
        <f aca="false">IFERROR(C11/C7,0)</f>
        <v>0.0839359853254254</v>
      </c>
      <c r="D12" s="94" t="n">
        <f aca="false">IFERROR(D11/D7,0)</f>
        <v>0.12380117287458</v>
      </c>
      <c r="E12" s="94" t="n">
        <f aca="false">IFERROR(E11/E7,0)</f>
        <v>0.139249330717674</v>
      </c>
      <c r="F12" s="94" t="n">
        <f aca="false">IFERROR(F11/F7,0)</f>
        <v>0.14957611664395</v>
      </c>
      <c r="G12" s="94" t="n">
        <f aca="false">IFERROR(G11/G7,0)</f>
        <v>0</v>
      </c>
      <c r="H12" s="94" t="n">
        <f aca="false">IFERROR(H11/H7,0)</f>
        <v>0</v>
      </c>
      <c r="I12" s="94" t="n">
        <f aca="false">IFERROR(I11/I7,0)</f>
        <v>0</v>
      </c>
      <c r="J12" s="94" t="n">
        <f aca="false">IFERROR(J11/J7,0)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0</v>
      </c>
      <c r="E18" s="91" t="n">
        <f aca="false">SUM(Model!AL142:AW142)</f>
        <v>0</v>
      </c>
      <c r="F18" s="91" t="n">
        <f aca="false">SUM(Model!AX142:BI142)</f>
        <v>0</v>
      </c>
      <c r="G18" s="91" t="n">
        <f aca="false">SUM(Model!BJ142:BU142)</f>
        <v>0</v>
      </c>
      <c r="H18" s="91" t="n">
        <f aca="false">SUM(Model!BV142:CG142)</f>
        <v>0</v>
      </c>
      <c r="I18" s="91" t="n">
        <f aca="false">SUM(Model!CH142:CS142)</f>
        <v>0</v>
      </c>
      <c r="J18" s="91" t="n">
        <f aca="false">SUM(Model!CT142:DE142)</f>
        <v>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-6594436.10161</v>
      </c>
      <c r="E19" s="34" t="n">
        <f aca="false">SUM(Model!AL144:AW144)</f>
        <v>-6701404.8236422</v>
      </c>
      <c r="F19" s="34" t="n">
        <f aca="false">SUM(Model!AX144:BI144)</f>
        <v>-6810512.92011504</v>
      </c>
      <c r="G19" s="34" t="n">
        <f aca="false">SUM(Model!BJ144:BU144)</f>
        <v>-6921803.17851734</v>
      </c>
      <c r="H19" s="34" t="n">
        <f aca="false">SUM(Model!BV144:CG144)</f>
        <v>-7035319.24208769</v>
      </c>
      <c r="I19" s="34" t="n">
        <f aca="false">SUM(Model!CH144:CS144)</f>
        <v>-7151105.62692945</v>
      </c>
      <c r="J19" s="34" t="n">
        <f aca="false">SUM(Model!CT144:DE144)</f>
        <v>-6572266.90481371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1982241.8302684</v>
      </c>
      <c r="C20" s="34" t="n">
        <f aca="false">SUM(Model!N145:Y145)</f>
        <v>1875522.71285574</v>
      </c>
      <c r="D20" s="34" t="n">
        <f aca="false">SUM(Model!Z145:AK145)</f>
        <v>613739.118666511</v>
      </c>
      <c r="E20" s="34" t="n">
        <f aca="false">SUM(Model!AL145:AW145)</f>
        <v>-2120961.45355047</v>
      </c>
      <c r="F20" s="34" t="n">
        <f aca="false">SUM(Model!AX145:BI145)</f>
        <v>-4827320.59550543</v>
      </c>
      <c r="G20" s="34" t="n">
        <f aca="false">SUM(Model!BJ145:BU145)</f>
        <v>-6921803.17851734</v>
      </c>
      <c r="H20" s="34" t="n">
        <f aca="false">SUM(Model!BV145:CG145)</f>
        <v>-7035319.24208769</v>
      </c>
      <c r="I20" s="34" t="n">
        <f aca="false">SUM(Model!CH145:CS145)</f>
        <v>-7151105.62692945</v>
      </c>
      <c r="J20" s="34" t="n">
        <f aca="false">SUM(Model!CT145:DE145)</f>
        <v>-6572266.90481371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0.0345387032383899</v>
      </c>
      <c r="C21" s="94" t="n">
        <f aca="false">IFERROR(C20/C7,0)</f>
        <v>0.0188683233746194</v>
      </c>
      <c r="D21" s="94" t="n">
        <f aca="false">IFERROR(D20/D7,0)</f>
        <v>0.0105410343683363</v>
      </c>
      <c r="E21" s="94" t="n">
        <f aca="false">IFERROR(E20/E7,0)</f>
        <v>-0.0644790119693091</v>
      </c>
      <c r="F21" s="94" t="n">
        <f aca="false">IFERROR(F20/F7,0)</f>
        <v>-0.364085650953291</v>
      </c>
      <c r="G21" s="94" t="n">
        <f aca="false">IFERROR(G20/G7,0)</f>
        <v>0</v>
      </c>
      <c r="H21" s="94" t="n">
        <f aca="false">IFERROR(H20/H7,0)</f>
        <v>0</v>
      </c>
      <c r="I21" s="94" t="n">
        <f aca="false">IFERROR(I20/I7,0)</f>
        <v>0</v>
      </c>
      <c r="J21" s="94" t="n">
        <f aca="false">IFERROR(J20/J7,0)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1015885.06</v>
      </c>
      <c r="C23" s="96" t="n">
        <f aca="false">Model!N167+Model!O167+Model!P167+Model!Q167+Model!R167+Model!S167+Model!T167+Model!U167+Model!V167+Model!W167+Model!X167+Model!Y167</f>
        <v>599023.02</v>
      </c>
      <c r="D23" s="96" t="n">
        <f aca="false">Model!Z167+Model!AA167+Model!AB167+Model!AC167+Model!AD167+Model!AE167+Model!AF167+Model!AG167+Model!AH167+Model!AI167+Model!AJ167+Model!AK167</f>
        <v>258671.05</v>
      </c>
      <c r="E23" s="96" t="n">
        <f aca="false">Model!AL167+Model!AM167+Model!AN167+Model!AO167+Model!AP167+Model!AQ167+Model!AR167+Model!AS167+Model!AT167+Model!AU167+Model!AV167+Model!AW167</f>
        <v>163365</v>
      </c>
      <c r="F23" s="96" t="n">
        <f aca="false">Model!AX167+Model!AY167+Model!AZ167+Model!BA167+Model!BB167+Model!BC167+Model!BD167+Model!BE167+Model!BF167+Model!BG167+Model!BH167+Model!BI167</f>
        <v>1276957</v>
      </c>
      <c r="G23" s="96" t="n">
        <f aca="false">Model!BJ167+Model!BK167+Model!BL167+Model!BM167+Model!BN167+Model!BO167+Model!BP167+Model!BQ167+Model!BR167+Model!BS167+Model!BT167+Model!BU167</f>
        <v>546560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-1930141.82166667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-914256.761666667</v>
      </c>
      <c r="C25" s="43" t="n">
        <f aca="false">Model!N199+Model!O199+Model!P199+Model!Q199+Model!R199+Model!S199+Model!T199+Model!U199+Model!V199+Model!W199+Model!X199+Model!Y199</f>
        <v>-352114.2965</v>
      </c>
      <c r="D25" s="43" t="n">
        <f aca="false">Model!Z199+Model!AA199+Model!AB199+Model!AC199+Model!AD199+Model!AE199+Model!AF199+Model!AG199+Model!AH199+Model!AI199+Model!AJ199+Model!AK199</f>
        <v>-711489.01283</v>
      </c>
      <c r="E25" s="43" t="n">
        <f aca="false">Model!AL199+Model!AM199+Model!AN199+Model!AO199+Model!AP199+Model!AQ199+Model!AR199+Model!AS199+Model!AT199+Model!AU199+Model!AV199+Model!AW199</f>
        <v>-989563.2640866</v>
      </c>
      <c r="F25" s="43" t="n">
        <f aca="false">Model!AX199+Model!AY199+Model!AZ199+Model!BA199+Model!BB199+Model!BC199+Model!BD199+Model!BE199+Model!BF199+Model!BG199+Model!BH199+Model!BI199</f>
        <v>-1009354.52936833</v>
      </c>
      <c r="G25" s="43" t="n">
        <f aca="false">Model!BJ199+Model!BK199+Model!BL199+Model!BM199+Model!BN199+Model!BO199+Model!BP199+Model!BQ199+Model!BR199+Model!BS199+Model!BT199+Model!BU199</f>
        <v>-910266.099955699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1067985.06860174</v>
      </c>
      <c r="C27" s="43" t="n">
        <f aca="false">Model!N208+Model!O208+Model!P208+Model!Q208+Model!R208+Model!S208+Model!T208+Model!U208+Model!V208+Model!W208+Model!X208+Model!Y208</f>
        <v>1523408.41635574</v>
      </c>
      <c r="D27" s="43" t="n">
        <f aca="false">Model!Z208+Model!AA208+Model!AB208+Model!AC208+Model!AD208+Model!AE208+Model!AF208+Model!AG208+Model!AH208+Model!AI208+Model!AJ208+Model!AK208</f>
        <v>-97749.894163489</v>
      </c>
      <c r="E27" s="43" t="n">
        <f aca="false">Model!AL208+Model!AM208+Model!AN208+Model!AO208+Model!AP208+Model!AQ208+Model!AR208+Model!AS208+Model!AT208+Model!AU208+Model!AV208+Model!AW208</f>
        <v>-3110524.71763707</v>
      </c>
      <c r="F27" s="43" t="n">
        <f aca="false">Model!AX208+Model!AY208+Model!AZ208+Model!BA208+Model!BB208+Model!BC208+Model!BD208+Model!BE208+Model!BF208+Model!BG208+Model!BH208+Model!BI208</f>
        <v>-5836675.12487376</v>
      </c>
      <c r="G27" s="43" t="n">
        <f aca="false">Model!BJ208+Model!BK208+Model!BL208+Model!BM208+Model!BN208+Model!BO208+Model!BP208+Model!BQ208+Model!BR208+Model!BS208+Model!BT208+Model!BU208</f>
        <v>-7832069.27847304</v>
      </c>
      <c r="H27" s="43" t="n">
        <f aca="false">Model!BV208+Model!BW208+Model!BX208+Model!BY208+Model!BZ208+Model!CA208+Model!CB208+Model!CC208+Model!CD208+Model!CE208+Model!CF208+Model!CG208</f>
        <v>-7796929.6944425</v>
      </c>
      <c r="I27" s="43" t="n">
        <f aca="false">Model!CH208+Model!CI208+Model!CJ208+Model!CK208+Model!CL208+Model!CM208+Model!CN208+Model!CO208+Model!CP208+Model!CQ208+Model!CR208+Model!CS208</f>
        <v>-6718384.70172487</v>
      </c>
      <c r="J27" s="43" t="n">
        <f aca="false">Model!CT208+Model!CU208+Model!CV208+Model!CW208+Model!CX208+Model!CY208+Model!CZ208+Model!DA208+Model!DB208+Model!DC208+Model!DD208+Model!DE208</f>
        <v>-5106299.10787382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-171223.12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-120000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-250000</v>
      </c>
      <c r="E39" s="14" t="n">
        <f aca="false">Model!AL222+Model!AM222+Model!AN222+Model!AO222+Model!AP222+Model!AQ222+Model!AR222+Model!AS222+Model!AT222+Model!AU222+Model!AV222+Model!AW222</f>
        <v>0</v>
      </c>
      <c r="F39" s="14" t="n">
        <f aca="false">Model!AX222+Model!AY222+Model!AZ222+Model!BA222+Model!BB222+Model!BC222+Model!BD222+Model!BE222+Model!BF222+Model!BG222+Model!BH222+Model!BI222</f>
        <v>0</v>
      </c>
      <c r="G39" s="14" t="n">
        <f aca="false">Model!BJ222+Model!BK222+Model!BL222+Model!BM222+Model!BN222+Model!BO222+Model!BP222+Model!BQ222+Model!BR222+Model!BS222+Model!BT222+Model!BU222</f>
        <v>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500000</v>
      </c>
      <c r="E40" s="14" t="n">
        <f aca="false">Model!AW223</f>
        <v>500000</v>
      </c>
      <c r="F40" s="14" t="n">
        <f aca="false">Model!BI223</f>
        <v>500000</v>
      </c>
      <c r="G40" s="14" t="n">
        <f aca="false">Model!BU223</f>
        <v>500000</v>
      </c>
      <c r="H40" s="14" t="n">
        <f aca="false">Model!CG223</f>
        <v>500000</v>
      </c>
      <c r="I40" s="14" t="n">
        <f aca="false">Model!CS223</f>
        <v>500000</v>
      </c>
      <c r="J40" s="14" t="n">
        <f aca="false">Model!DE223</f>
        <v>500000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1706207.62341853</v>
      </c>
      <c r="C46" s="100" t="n">
        <f aca="false">Model!Y269</f>
        <v>3590726.52903239</v>
      </c>
      <c r="D46" s="100" t="n">
        <f aca="false">Model!AK269</f>
        <v>4249717.59970982</v>
      </c>
      <c r="E46" s="100" t="n">
        <f aca="false">Model!AW269</f>
        <v>2923042.41854653</v>
      </c>
      <c r="F46" s="100" t="n">
        <f aca="false">Model!BI269</f>
        <v>-1596841.87726524</v>
      </c>
      <c r="G46" s="100" t="n">
        <f aca="false">Model!BU269</f>
        <v>-8518645.05578258</v>
      </c>
      <c r="H46" s="100" t="n">
        <f aca="false">Model!CG269</f>
        <v>-15553964.2978703</v>
      </c>
      <c r="I46" s="100" t="n">
        <f aca="false">Model!CS269</f>
        <v>-22705069.9247997</v>
      </c>
      <c r="J46" s="100" t="n">
        <f aca="false">Model!DE269</f>
        <v>-29277336.8296135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-58290.6016666666</v>
      </c>
      <c r="C47" s="100" t="n">
        <f aca="false">Model!Y277</f>
        <v>-2156374.14145211</v>
      </c>
      <c r="D47" s="100" t="n">
        <f aca="false">Model!AK277</f>
        <v>-3117863.15428211</v>
      </c>
      <c r="E47" s="100" t="n">
        <f aca="false">Model!AW277</f>
        <v>-4107426.41836871</v>
      </c>
      <c r="F47" s="100" t="n">
        <f aca="false">Model!BI277</f>
        <v>-5116780.94773704</v>
      </c>
      <c r="G47" s="100" t="n">
        <f aca="false">Model!BU277</f>
        <v>-6027047.04769274</v>
      </c>
      <c r="H47" s="100" t="n">
        <f aca="false">Model!CG277</f>
        <v>-6788657.50004755</v>
      </c>
      <c r="I47" s="100" t="n">
        <f aca="false">Model!CS277</f>
        <v>-6355936.57484298</v>
      </c>
      <c r="J47" s="100" t="n">
        <f aca="false">Model!DE277</f>
        <v>-4889968.77790309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-516870.695580521</v>
      </c>
      <c r="D48" s="100" t="n">
        <f aca="false">Model!Z281+Model!AA281+Model!AB281+Model!AC281+Model!AD281+Model!AE281+Model!AF281+Model!AG281+Model!AH281+Model!AI281+Model!AJ281+Model!AK281</f>
        <v>-457022.524906723</v>
      </c>
      <c r="E48" s="100" t="n">
        <f aca="false">Model!AL281+Model!AM281+Model!AN281+Model!AO281+Model!AP281+Model!AQ281+Model!AR281+Model!AS281+Model!AT281+Model!AU281+Model!AV281+Model!AW281</f>
        <v>0</v>
      </c>
      <c r="F48" s="100" t="n">
        <f aca="false">Model!AX281+Model!AY281+Model!AZ281+Model!BA281+Model!BB281+Model!BC281+Model!BD281+Model!BE281+Model!BF281+Model!BG281+Model!BH281+Model!BI281</f>
        <v>0</v>
      </c>
      <c r="G48" s="100" t="n">
        <f aca="false">Model!BJ281+Model!BK281+Model!BL281+Model!BM281+Model!BN281+Model!BO281+Model!BP281+Model!BQ281+Model!BR281+Model!BS281+Model!BT281+Model!BU281</f>
        <v>0</v>
      </c>
      <c r="H48" s="100" t="n">
        <f aca="false">Model!BV281+Model!BW281+Model!BX281+Model!BY281+Model!BZ281+Model!CA281+Model!CB281+Model!CC281+Model!CD281+Model!CE281+Model!CF281+Model!CG281</f>
        <v>0</v>
      </c>
      <c r="I48" s="100" t="n">
        <f aca="false">Model!CH281+Model!CI281+Model!CJ281+Model!CK281+Model!CL281+Model!CM281+Model!CN281+Model!CO281+Model!CP281+Model!CQ281+Model!CR281+Model!CS281</f>
        <v>0</v>
      </c>
      <c r="J48" s="100" t="n">
        <f aca="false">Model!CT281+Model!CU281+Model!CV281+Model!CW281+Model!CX281+Model!CY281+Model!CZ281+Model!DA281+Model!DB281+Model!DC281+Model!DD281+Model!DE281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1386522.66367532</v>
      </c>
      <c r="C49" s="101" t="n">
        <f aca="false">Model!Y282</f>
        <v>1328249.66657309</v>
      </c>
      <c r="D49" s="101" t="n">
        <f aca="false">Model!AK282</f>
        <v>1156856.29425457</v>
      </c>
      <c r="E49" s="101" t="n">
        <f aca="false">Model!AW282</f>
        <v>-773470.763728167</v>
      </c>
      <c r="F49" s="101" t="n">
        <f aca="false">Model!BI282</f>
        <v>-6143795.79885143</v>
      </c>
      <c r="G49" s="101" t="n">
        <f aca="false">Model!BU282</f>
        <v>-13966545.2034681</v>
      </c>
      <c r="H49" s="101" t="n">
        <f aca="false">Model!CG282</f>
        <v>-21753968.6265772</v>
      </c>
      <c r="I49" s="101" t="n">
        <f aca="false">Model!CS282</f>
        <v>-28462656.9315419</v>
      </c>
      <c r="J49" s="101" t="n">
        <f aca="false">Model!DE282</f>
        <v>-33617430.2181151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1549481.96853533</v>
      </c>
      <c r="F4" s="91" t="n">
        <f aca="false">SUM(Model!N10:P10)</f>
        <v>1402893.68816353</v>
      </c>
      <c r="G4" s="91" t="n">
        <f aca="false">SUM(Model!Q10:S10)</f>
        <v>1520303.43235442</v>
      </c>
      <c r="H4" s="91" t="n">
        <f aca="false">SUM(Model!T10:V10)</f>
        <v>1224910.82388938</v>
      </c>
      <c r="I4" s="91" t="n">
        <f aca="false">SUM(Model!W10:Y10)</f>
        <v>1176166.97796958</v>
      </c>
      <c r="J4" s="91" t="n">
        <f aca="false">SUM(Model!Z10:AB10)</f>
        <v>1171224.66160831</v>
      </c>
      <c r="K4" s="91" t="n">
        <f aca="false">SUM(Model!AC10:AE10)</f>
        <v>1155550.35010324</v>
      </c>
      <c r="L4" s="91" t="n">
        <f aca="false">SUM(Model!AF10:AH10)</f>
        <v>1124201.72709311</v>
      </c>
      <c r="M4" s="91" t="n">
        <f aca="false">SUM(Model!AI10:AK10)</f>
        <v>1081536.261973</v>
      </c>
      <c r="N4" s="91" t="n">
        <f aca="false">SUM(Model!AL10:AN10)</f>
        <v>1059188.36665868</v>
      </c>
      <c r="O4" s="91" t="n">
        <f aca="false">SUM(Model!AO10:AQ10)</f>
        <v>566116.33830605</v>
      </c>
      <c r="P4" s="91" t="n">
        <f aca="false">SUM(Model!AR10:AT10)</f>
        <v>721822.71041355</v>
      </c>
      <c r="Q4" s="91" t="n">
        <f aca="false">SUM(Model!AU10:AW10)</f>
        <v>270274.2313018</v>
      </c>
      <c r="R4" s="91" t="n">
        <f aca="false">SUM(Model!AX10:AZ10)</f>
        <v>270274.2313018</v>
      </c>
      <c r="S4" s="91" t="n">
        <f aca="false">SUM(Model!BA10:BC10)</f>
        <v>270274.2313018</v>
      </c>
      <c r="T4" s="91" t="n">
        <f aca="false">SUM(Model!BD10:BF10)</f>
        <v>270274.2313018</v>
      </c>
      <c r="U4" s="91" t="n">
        <f aca="false">SUM(Model!BG10:BI10)</f>
        <v>322432.416289867</v>
      </c>
      <c r="V4" s="91" t="n">
        <f aca="false">SUM(Model!BJ10:BL10)</f>
        <v>0</v>
      </c>
      <c r="W4" s="91" t="n">
        <f aca="false">SUM(Model!BM10:BO10)</f>
        <v>0</v>
      </c>
      <c r="X4" s="91" t="n">
        <f aca="false">SUM(Model!BP10:BR10)</f>
        <v>0</v>
      </c>
      <c r="Y4" s="91" t="n">
        <f aca="false">SUM(Model!BS10:BU10)</f>
        <v>0</v>
      </c>
      <c r="Z4" s="91" t="n">
        <f aca="false">SUM(Model!BV10:BX10)</f>
        <v>0</v>
      </c>
      <c r="AA4" s="91" t="n">
        <f aca="false">SUM(Model!BY10:CA10)</f>
        <v>0</v>
      </c>
      <c r="AB4" s="91" t="n">
        <f aca="false">SUM(Model!CB10:CD10)</f>
        <v>0</v>
      </c>
      <c r="AC4" s="91" t="n">
        <f aca="false">SUM(Model!CE10:CG10)</f>
        <v>0</v>
      </c>
      <c r="AD4" s="91" t="n">
        <f aca="false">SUM(Model!CH10:CJ10)</f>
        <v>0</v>
      </c>
      <c r="AE4" s="91" t="n">
        <f aca="false">SUM(Model!CK10:CM10)</f>
        <v>0</v>
      </c>
      <c r="AF4" s="91" t="n">
        <f aca="false">SUM(Model!CN10:CP10)</f>
        <v>0</v>
      </c>
      <c r="AG4" s="91" t="n">
        <f aca="false">SUM(Model!CQ10:CS10)</f>
        <v>0</v>
      </c>
      <c r="AH4" s="91" t="n">
        <f aca="false">SUM(Model!CT10:CV10)</f>
        <v>0</v>
      </c>
      <c r="AI4" s="91" t="n">
        <f aca="false">SUM(Model!CW10:CY10)</f>
        <v>0</v>
      </c>
      <c r="AJ4" s="91" t="n">
        <f aca="false">SUM(Model!CZ10:DB10)</f>
        <v>0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1270779.19245567</v>
      </c>
      <c r="F5" s="91" t="n">
        <f aca="false">SUM(Model!N11:P11)</f>
        <v>1136274.6035107</v>
      </c>
      <c r="G5" s="91" t="n">
        <f aca="false">SUM(Model!Q11:S11)</f>
        <v>1200147.67023156</v>
      </c>
      <c r="H5" s="91" t="n">
        <f aca="false">SUM(Model!T11:V11)</f>
        <v>938536.526822022</v>
      </c>
      <c r="I5" s="91" t="n">
        <f aca="false">SUM(Model!W11:Y11)</f>
        <v>885646.032232498</v>
      </c>
      <c r="J5" s="91" t="n">
        <f aca="false">SUM(Model!Z11:AB11)</f>
        <v>878414.239993345</v>
      </c>
      <c r="K5" s="91" t="n">
        <f aca="false">SUM(Model!AC11:AE11)</f>
        <v>866658.563324758</v>
      </c>
      <c r="L5" s="91" t="n">
        <f aca="false">SUM(Model!AF11:AH11)</f>
        <v>843147.209987585</v>
      </c>
      <c r="M5" s="91" t="n">
        <f aca="false">SUM(Model!AI11:AK11)</f>
        <v>811148.266193169</v>
      </c>
      <c r="N5" s="91" t="n">
        <f aca="false">SUM(Model!AL11:AN11)</f>
        <v>794387.42591934</v>
      </c>
      <c r="O5" s="91" t="n">
        <f aca="false">SUM(Model!AO11:AQ11)</f>
        <v>424585.19647124</v>
      </c>
      <c r="P5" s="91" t="n">
        <f aca="false">SUM(Model!AR11:AT11)</f>
        <v>541364.40971724</v>
      </c>
      <c r="Q5" s="91" t="n">
        <f aca="false">SUM(Model!AU11:AW11)</f>
        <v>202704.69130384</v>
      </c>
      <c r="R5" s="91" t="n">
        <f aca="false">SUM(Model!AX11:AZ11)</f>
        <v>202704.69130384</v>
      </c>
      <c r="S5" s="91" t="n">
        <f aca="false">SUM(Model!BA11:BC11)</f>
        <v>202704.69130384</v>
      </c>
      <c r="T5" s="91" t="n">
        <f aca="false">SUM(Model!BD11:BF11)</f>
        <v>202704.69130384</v>
      </c>
      <c r="U5" s="91" t="n">
        <f aca="false">SUM(Model!BG11:BI11)</f>
        <v>241823.140502827</v>
      </c>
      <c r="V5" s="91" t="n">
        <f aca="false">SUM(Model!BJ11:BL11)</f>
        <v>0</v>
      </c>
      <c r="W5" s="91" t="n">
        <f aca="false">SUM(Model!BM11:BO11)</f>
        <v>0</v>
      </c>
      <c r="X5" s="91" t="n">
        <f aca="false">SUM(Model!BP11:BR11)</f>
        <v>0</v>
      </c>
      <c r="Y5" s="91" t="n">
        <f aca="false">SUM(Model!BS11:BU11)</f>
        <v>0</v>
      </c>
      <c r="Z5" s="91" t="n">
        <f aca="false">SUM(Model!BV11:BX11)</f>
        <v>0</v>
      </c>
      <c r="AA5" s="91" t="n">
        <f aca="false">SUM(Model!BY11:CA11)</f>
        <v>0</v>
      </c>
      <c r="AB5" s="91" t="n">
        <f aca="false">SUM(Model!CB11:CD11)</f>
        <v>0</v>
      </c>
      <c r="AC5" s="91" t="n">
        <f aca="false">SUM(Model!CE11:CG11)</f>
        <v>0</v>
      </c>
      <c r="AD5" s="91" t="n">
        <f aca="false">SUM(Model!CH11:CJ11)</f>
        <v>0</v>
      </c>
      <c r="AE5" s="91" t="n">
        <f aca="false">SUM(Model!CK11:CM11)</f>
        <v>0</v>
      </c>
      <c r="AF5" s="91" t="n">
        <f aca="false">SUM(Model!CN11:CP11)</f>
        <v>0</v>
      </c>
      <c r="AG5" s="91" t="n">
        <f aca="false">SUM(Model!CQ11:CS11)</f>
        <v>0</v>
      </c>
      <c r="AH5" s="91" t="n">
        <f aca="false">SUM(Model!CT11:CV11)</f>
        <v>0</v>
      </c>
      <c r="AI5" s="91" t="n">
        <f aca="false">SUM(Model!CW11:CY11)</f>
        <v>0</v>
      </c>
      <c r="AJ5" s="91" t="n">
        <f aca="false">SUM(Model!CZ11:DB11)</f>
        <v>0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18694964.5079686</v>
      </c>
      <c r="F6" s="91" t="n">
        <f aca="false">SUM(Model!N57:P57)</f>
        <v>20904087.9063111</v>
      </c>
      <c r="G6" s="91" t="n">
        <f aca="false">SUM(Model!Q57:S57)</f>
        <v>24591324.425284</v>
      </c>
      <c r="H6" s="91" t="n">
        <f aca="false">SUM(Model!T57:V57)</f>
        <v>22916406.5968029</v>
      </c>
      <c r="I6" s="91" t="n">
        <f aca="false">SUM(Model!W57:Y57)</f>
        <v>21503903.8828753</v>
      </c>
      <c r="J6" s="91" t="n">
        <f aca="false">SUM(Model!Z57:AB57)</f>
        <v>18187210.5610463</v>
      </c>
      <c r="K6" s="91" t="n">
        <f aca="false">SUM(Model!AC57:AE57)</f>
        <v>13074597.098436</v>
      </c>
      <c r="L6" s="91" t="n">
        <f aca="false">SUM(Model!AF57:AH57)</f>
        <v>10390155.5438683</v>
      </c>
      <c r="M6" s="91" t="n">
        <f aca="false">SUM(Model!AI57:AK57)</f>
        <v>8639959.48290683</v>
      </c>
      <c r="N6" s="91" t="n">
        <f aca="false">SUM(Model!AL57:AN57)</f>
        <v>8356373.26590598</v>
      </c>
      <c r="O6" s="91" t="n">
        <f aca="false">SUM(Model!AO57:AQ57)</f>
        <v>7969650.95351671</v>
      </c>
      <c r="P6" s="91" t="n">
        <f aca="false">SUM(Model!AR57:AT57)</f>
        <v>6942761.80178521</v>
      </c>
      <c r="Q6" s="91" t="n">
        <f aca="false">SUM(Model!AU57:AW57)</f>
        <v>5044597.43346636</v>
      </c>
      <c r="R6" s="91" t="n">
        <f aca="false">SUM(Model!AX57:AZ57)</f>
        <v>4425063.69147436</v>
      </c>
      <c r="S6" s="91" t="n">
        <f aca="false">SUM(Model!BA57:BC57)</f>
        <v>3503558.42661836</v>
      </c>
      <c r="T6" s="91" t="n">
        <f aca="false">SUM(Model!BD57:BF57)</f>
        <v>2479535.02903436</v>
      </c>
      <c r="U6" s="91" t="n">
        <f aca="false">SUM(Model!BG57:BI57)</f>
        <v>867400.448415307</v>
      </c>
      <c r="V6" s="91" t="n">
        <f aca="false">SUM(Model!BJ57:BL57)</f>
        <v>0</v>
      </c>
      <c r="W6" s="91" t="n">
        <f aca="false">SUM(Model!BM57:BO57)</f>
        <v>0</v>
      </c>
      <c r="X6" s="91" t="n">
        <f aca="false">SUM(Model!BP57:BR57)</f>
        <v>0</v>
      </c>
      <c r="Y6" s="91" t="n">
        <f aca="false">SUM(Model!BS57:BU57)</f>
        <v>0</v>
      </c>
      <c r="Z6" s="91" t="n">
        <f aca="false">SUM(Model!BV57:BX57)</f>
        <v>0</v>
      </c>
      <c r="AA6" s="91" t="n">
        <f aca="false">SUM(Model!BY57:CA57)</f>
        <v>0</v>
      </c>
      <c r="AB6" s="91" t="n">
        <f aca="false">SUM(Model!CB57:CD57)</f>
        <v>0</v>
      </c>
      <c r="AC6" s="91" t="n">
        <f aca="false">SUM(Model!CE57:CG57)</f>
        <v>0</v>
      </c>
      <c r="AD6" s="91" t="n">
        <f aca="false">SUM(Model!CH57:CJ57)</f>
        <v>0</v>
      </c>
      <c r="AE6" s="91" t="n">
        <f aca="false">SUM(Model!CK57:CM57)</f>
        <v>0</v>
      </c>
      <c r="AF6" s="91" t="n">
        <f aca="false">SUM(Model!CN57:CP57)</f>
        <v>0</v>
      </c>
      <c r="AG6" s="91" t="n">
        <f aca="false">SUM(Model!CQ57:CS57)</f>
        <v>0</v>
      </c>
      <c r="AH6" s="91" t="n">
        <f aca="false">SUM(Model!CT57:CV57)</f>
        <v>0</v>
      </c>
      <c r="AI6" s="91" t="n">
        <f aca="false">SUM(Model!CW57:CY57)</f>
        <v>0</v>
      </c>
      <c r="AJ6" s="91" t="n">
        <f aca="false">SUM(Model!CZ57:DB57)</f>
        <v>0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21515225.6689596</v>
      </c>
      <c r="F7" s="106" t="n">
        <f aca="false">SUM(Model!N58:P58)</f>
        <v>23443256.1979854</v>
      </c>
      <c r="G7" s="106" t="n">
        <f aca="false">SUM(Model!Q58:S58)</f>
        <v>27311775.52787</v>
      </c>
      <c r="H7" s="106" t="n">
        <f aca="false">SUM(Model!T58:V58)</f>
        <v>25079853.9475143</v>
      </c>
      <c r="I7" s="106" t="n">
        <f aca="false">SUM(Model!W58:Y58)</f>
        <v>23565716.8930774</v>
      </c>
      <c r="J7" s="106" t="n">
        <f aca="false">SUM(Model!Z58:AB58)</f>
        <v>20236849.462648</v>
      </c>
      <c r="K7" s="106" t="n">
        <f aca="false">SUM(Model!AC58:AE58)</f>
        <v>15096806.011864</v>
      </c>
      <c r="L7" s="106" t="n">
        <f aca="false">SUM(Model!AF58:AH58)</f>
        <v>12357504.480949</v>
      </c>
      <c r="M7" s="106" t="n">
        <f aca="false">SUM(Model!AI58:AK58)</f>
        <v>10532644.011073</v>
      </c>
      <c r="N7" s="106" t="n">
        <f aca="false">SUM(Model!AL58:AN58)</f>
        <v>10209949.058484</v>
      </c>
      <c r="O7" s="106" t="n">
        <f aca="false">SUM(Model!AO58:AQ58)</f>
        <v>8960352.488294</v>
      </c>
      <c r="P7" s="106" t="n">
        <f aca="false">SUM(Model!AR58:AT58)</f>
        <v>8205948.921916</v>
      </c>
      <c r="Q7" s="106" t="n">
        <f aca="false">SUM(Model!AU58:AW58)</f>
        <v>5517576.356072</v>
      </c>
      <c r="R7" s="106" t="n">
        <f aca="false">SUM(Model!AX58:AZ58)</f>
        <v>4898042.61408</v>
      </c>
      <c r="S7" s="106" t="n">
        <f aca="false">SUM(Model!BA58:BC58)</f>
        <v>3976537.349224</v>
      </c>
      <c r="T7" s="106" t="n">
        <f aca="false">SUM(Model!BD58:BF58)</f>
        <v>2952513.95164</v>
      </c>
      <c r="U7" s="106" t="n">
        <f aca="false">SUM(Model!BG58:BI58)</f>
        <v>1431656.005208</v>
      </c>
      <c r="V7" s="106" t="n">
        <f aca="false">SUM(Model!BJ58:BL58)</f>
        <v>0</v>
      </c>
      <c r="W7" s="106" t="n">
        <f aca="false">SUM(Model!BM58:BO58)</f>
        <v>0</v>
      </c>
      <c r="X7" s="106" t="n">
        <f aca="false">SUM(Model!BP58:BR58)</f>
        <v>0</v>
      </c>
      <c r="Y7" s="106" t="n">
        <f aca="false">SUM(Model!BS58:BU58)</f>
        <v>0</v>
      </c>
      <c r="Z7" s="106" t="n">
        <f aca="false">SUM(Model!BV58:BX58)</f>
        <v>0</v>
      </c>
      <c r="AA7" s="106" t="n">
        <f aca="false">SUM(Model!BY58:CA58)</f>
        <v>0</v>
      </c>
      <c r="AB7" s="106" t="n">
        <f aca="false">SUM(Model!CB58:CD58)</f>
        <v>0</v>
      </c>
      <c r="AC7" s="106" t="n">
        <f aca="false">SUM(Model!CE58:CG58)</f>
        <v>0</v>
      </c>
      <c r="AD7" s="106" t="n">
        <f aca="false">SUM(Model!CH58:CJ58)</f>
        <v>0</v>
      </c>
      <c r="AE7" s="106" t="n">
        <f aca="false">SUM(Model!CK58:CM58)</f>
        <v>0</v>
      </c>
      <c r="AF7" s="106" t="n">
        <f aca="false">SUM(Model!CN58:CP58)</f>
        <v>0</v>
      </c>
      <c r="AG7" s="106" t="n">
        <f aca="false">SUM(Model!CQ58:CS58)</f>
        <v>0</v>
      </c>
      <c r="AH7" s="106" t="n">
        <f aca="false">SUM(Model!CT58:CV58)</f>
        <v>0</v>
      </c>
      <c r="AI7" s="106" t="n">
        <f aca="false">SUM(Model!CW58:CY58)</f>
        <v>0</v>
      </c>
      <c r="AJ7" s="106" t="n">
        <f aca="false">SUM(Model!CZ58:DB58)</f>
        <v>0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-18960124.0753948</v>
      </c>
      <c r="F8" s="91" t="n">
        <f aca="false">SUM(Model!N104:P104)</f>
        <v>-21112473.0873293</v>
      </c>
      <c r="G8" s="91" t="n">
        <f aca="false">SUM(Model!Q104:S104)</f>
        <v>-24724073.1986484</v>
      </c>
      <c r="H8" s="91" t="n">
        <f aca="false">SUM(Model!T104:V104)</f>
        <v>-22924601.2139017</v>
      </c>
      <c r="I8" s="91" t="n">
        <f aca="false">SUM(Model!W104:Y104)</f>
        <v>-21503999.0732119</v>
      </c>
      <c r="J8" s="91" t="n">
        <f aca="false">SUM(Model!Z104:AB104)</f>
        <v>-18187210.5610463</v>
      </c>
      <c r="K8" s="91" t="n">
        <f aca="false">SUM(Model!AC104:AE104)</f>
        <v>-13074597.098436</v>
      </c>
      <c r="L8" s="91" t="n">
        <f aca="false">SUM(Model!AF104:AH104)</f>
        <v>-10390155.5438683</v>
      </c>
      <c r="M8" s="91" t="n">
        <f aca="false">SUM(Model!AI104:AK104)</f>
        <v>-8639959.48290683</v>
      </c>
      <c r="N8" s="91" t="n">
        <f aca="false">SUM(Model!AL104:AN104)</f>
        <v>-8356373.26590598</v>
      </c>
      <c r="O8" s="91" t="n">
        <f aca="false">SUM(Model!AO104:AQ104)</f>
        <v>-7969650.95351671</v>
      </c>
      <c r="P8" s="91" t="n">
        <f aca="false">SUM(Model!AR104:AT104)</f>
        <v>-6942761.80178521</v>
      </c>
      <c r="Q8" s="91" t="n">
        <f aca="false">SUM(Model!AU104:AW104)</f>
        <v>-5044597.43346636</v>
      </c>
      <c r="R8" s="91" t="n">
        <f aca="false">SUM(Model!AX104:AZ104)</f>
        <v>-4425063.69147436</v>
      </c>
      <c r="S8" s="91" t="n">
        <f aca="false">SUM(Model!BA104:BC104)</f>
        <v>-3503558.42661836</v>
      </c>
      <c r="T8" s="91" t="n">
        <f aca="false">SUM(Model!BD104:BF104)</f>
        <v>-2479535.02903436</v>
      </c>
      <c r="U8" s="91" t="n">
        <f aca="false">SUM(Model!BG104:BI104)</f>
        <v>-867400.448415307</v>
      </c>
      <c r="V8" s="91" t="n">
        <f aca="false">SUM(Model!BJ104:BL104)</f>
        <v>0</v>
      </c>
      <c r="W8" s="91" t="n">
        <f aca="false">SUM(Model!BM104:BO104)</f>
        <v>0</v>
      </c>
      <c r="X8" s="91" t="n">
        <f aca="false">SUM(Model!BP104:BR104)</f>
        <v>0</v>
      </c>
      <c r="Y8" s="91" t="n">
        <f aca="false">SUM(Model!BS104:BU104)</f>
        <v>0</v>
      </c>
      <c r="Z8" s="91" t="n">
        <f aca="false">SUM(Model!BV104:BX104)</f>
        <v>0</v>
      </c>
      <c r="AA8" s="91" t="n">
        <f aca="false">SUM(Model!BY104:CA104)</f>
        <v>0</v>
      </c>
      <c r="AB8" s="91" t="n">
        <f aca="false">SUM(Model!CB104:CD104)</f>
        <v>0</v>
      </c>
      <c r="AC8" s="91" t="n">
        <f aca="false">SUM(Model!CE104:CG104)</f>
        <v>0</v>
      </c>
      <c r="AD8" s="91" t="n">
        <f aca="false">SUM(Model!CH104:CJ104)</f>
        <v>0</v>
      </c>
      <c r="AE8" s="91" t="n">
        <f aca="false">SUM(Model!CK104:CM104)</f>
        <v>0</v>
      </c>
      <c r="AF8" s="91" t="n">
        <f aca="false">SUM(Model!CN104:CP104)</f>
        <v>0</v>
      </c>
      <c r="AG8" s="91" t="n">
        <f aca="false">SUM(Model!CQ104:CS104)</f>
        <v>0</v>
      </c>
      <c r="AH8" s="91" t="n">
        <f aca="false">SUM(Model!CT104:CV104)</f>
        <v>0</v>
      </c>
      <c r="AI8" s="91" t="n">
        <f aca="false">SUM(Model!CW104:CY104)</f>
        <v>0</v>
      </c>
      <c r="AJ8" s="91" t="n">
        <f aca="false">SUM(Model!CZ104:DB104)</f>
        <v>0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2940680.44956488</v>
      </c>
      <c r="F11" s="93" t="n">
        <f aca="false">SUM(Model!N107:P107)</f>
        <v>2330783.11065608</v>
      </c>
      <c r="G11" s="93" t="n">
        <f aca="false">SUM(Model!Q107:S107)</f>
        <v>1795533.85422158</v>
      </c>
      <c r="H11" s="93" t="n">
        <f aca="false">SUM(Model!T107:V107)</f>
        <v>2155252.73361261</v>
      </c>
      <c r="I11" s="93" t="n">
        <f aca="false">SUM(Model!W107:Y107)</f>
        <v>2061717.81986547</v>
      </c>
      <c r="J11" s="93" t="n">
        <f aca="false">SUM(Model!Z107:AB107)</f>
        <v>2049638.90160165</v>
      </c>
      <c r="K11" s="93" t="n">
        <f aca="false">SUM(Model!AC107:AE107)</f>
        <v>1298502.853428</v>
      </c>
      <c r="L11" s="93" t="n">
        <f aca="false">SUM(Model!AF107:AH107)</f>
        <v>1967348.93708069</v>
      </c>
      <c r="M11" s="93" t="n">
        <f aca="false">SUM(Model!AI107:AK107)</f>
        <v>1892684.52816617</v>
      </c>
      <c r="N11" s="93" t="n">
        <f aca="false">SUM(Model!AL107:AN107)</f>
        <v>1853575.79257801</v>
      </c>
      <c r="O11" s="93" t="n">
        <f aca="false">SUM(Model!AO107:AQ107)</f>
        <v>990701.534777289</v>
      </c>
      <c r="P11" s="93" t="n">
        <f aca="false">SUM(Model!AR107:AT107)</f>
        <v>1263187.12013079</v>
      </c>
      <c r="Q11" s="93" t="n">
        <f aca="false">SUM(Model!AU107:AW107)</f>
        <v>472978.92260564</v>
      </c>
      <c r="R11" s="93" t="n">
        <f aca="false">SUM(Model!AX107:AZ107)</f>
        <v>472978.92260564</v>
      </c>
      <c r="S11" s="93" t="n">
        <f aca="false">SUM(Model!BA107:BC107)</f>
        <v>472978.92260564</v>
      </c>
      <c r="T11" s="93" t="n">
        <f aca="false">SUM(Model!BD107:BF107)</f>
        <v>472978.92260564</v>
      </c>
      <c r="U11" s="93" t="n">
        <f aca="false">SUM(Model!BG107:BI107)</f>
        <v>564255.556792693</v>
      </c>
      <c r="V11" s="93" t="n">
        <f aca="false">SUM(Model!BJ107:BL107)</f>
        <v>0</v>
      </c>
      <c r="W11" s="93" t="n">
        <f aca="false">SUM(Model!BM107:BO107)</f>
        <v>0</v>
      </c>
      <c r="X11" s="93" t="n">
        <f aca="false">SUM(Model!BP107:BR107)</f>
        <v>0</v>
      </c>
      <c r="Y11" s="93" t="n">
        <f aca="false">SUM(Model!BS107:BU107)</f>
        <v>0</v>
      </c>
      <c r="Z11" s="93" t="n">
        <f aca="false">SUM(Model!BV107:BX107)</f>
        <v>0</v>
      </c>
      <c r="AA11" s="93" t="n">
        <f aca="false">SUM(Model!BY107:CA107)</f>
        <v>0</v>
      </c>
      <c r="AB11" s="93" t="n">
        <f aca="false">SUM(Model!CB107:CD107)</f>
        <v>0</v>
      </c>
      <c r="AC11" s="93" t="n">
        <f aca="false">SUM(Model!CE107:CG107)</f>
        <v>0</v>
      </c>
      <c r="AD11" s="93" t="n">
        <f aca="false">SUM(Model!CH107:CJ107)</f>
        <v>0</v>
      </c>
      <c r="AE11" s="93" t="n">
        <f aca="false">SUM(Model!CK107:CM107)</f>
        <v>0</v>
      </c>
      <c r="AF11" s="93" t="n">
        <f aca="false">SUM(Model!CN107:CP107)</f>
        <v>0</v>
      </c>
      <c r="AG11" s="93" t="n">
        <f aca="false">SUM(Model!CQ107:CS107)</f>
        <v>0</v>
      </c>
      <c r="AH11" s="93" t="n">
        <f aca="false">SUM(Model!CT107:CV107)</f>
        <v>0</v>
      </c>
      <c r="AI11" s="93" t="n">
        <f aca="false">SUM(Model!CW107:CY107)</f>
        <v>0</v>
      </c>
      <c r="AJ11" s="93" t="n">
        <f aca="false">SUM(Model!CZ107:DB107)</f>
        <v>0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0.136679042777016</v>
      </c>
      <c r="F12" s="107" t="n">
        <f aca="false">IFERROR(F11/F7,0)</f>
        <v>0.0994223281515126</v>
      </c>
      <c r="G12" s="107" t="n">
        <f aca="false">IFERROR(G11/G7,0)</f>
        <v>0.0657421137776028</v>
      </c>
      <c r="H12" s="107" t="n">
        <f aca="false">IFERROR(H11/H7,0)</f>
        <v>0.0859356174132035</v>
      </c>
      <c r="I12" s="107" t="n">
        <f aca="false">IFERROR(I11/I7,0)</f>
        <v>0.0874880161388649</v>
      </c>
      <c r="J12" s="107" t="n">
        <f aca="false">IFERROR(J11/J7,0)</f>
        <v>0.10128250968041</v>
      </c>
      <c r="K12" s="107" t="n">
        <f aca="false">IFERROR(K11/K7,0)</f>
        <v>0.0860117598654679</v>
      </c>
      <c r="L12" s="107" t="n">
        <f aca="false">IFERROR(L11/L7,0)</f>
        <v>0.159202769468032</v>
      </c>
      <c r="M12" s="107" t="n">
        <f aca="false">IFERROR(M11/M7,0)</f>
        <v>0.17969699974445</v>
      </c>
      <c r="N12" s="107" t="n">
        <f aca="false">IFERROR(N11/N7,0)</f>
        <v>0.181546037297588</v>
      </c>
      <c r="O12" s="107" t="n">
        <f aca="false">IFERROR(O11/O7,0)</f>
        <v>0.110565018069497</v>
      </c>
      <c r="P12" s="107" t="n">
        <f aca="false">IFERROR(P11/P7,0)</f>
        <v>0.153935532886043</v>
      </c>
      <c r="Q12" s="107" t="n">
        <f aca="false">IFERROR(Q11/Q7,0)</f>
        <v>0.0857222251369725</v>
      </c>
      <c r="R12" s="107" t="n">
        <f aca="false">IFERROR(R11/R7,0)</f>
        <v>0.0965648851739277</v>
      </c>
      <c r="S12" s="107" t="n">
        <f aca="false">IFERROR(S11/S7,0)</f>
        <v>0.118942406689061</v>
      </c>
      <c r="T12" s="107" t="n">
        <f aca="false">IFERROR(T11/T7,0)</f>
        <v>0.160195321801247</v>
      </c>
      <c r="U12" s="107" t="n">
        <f aca="false">IFERROR(U11/U7,0)</f>
        <v>0.394127887383614</v>
      </c>
      <c r="V12" s="107" t="n">
        <f aca="false">IFERROR(V11/V7,0)</f>
        <v>0</v>
      </c>
      <c r="W12" s="107" t="n">
        <f aca="false">IFERROR(W11/W7,0)</f>
        <v>0</v>
      </c>
      <c r="X12" s="107" t="n">
        <f aca="false">IFERROR(X11/X7,0)</f>
        <v>0</v>
      </c>
      <c r="Y12" s="107" t="n">
        <f aca="false">IFERROR(Y11/Y7,0)</f>
        <v>0</v>
      </c>
      <c r="Z12" s="107" t="n">
        <f aca="false">IFERROR(Z11/Z7,0)</f>
        <v>0</v>
      </c>
      <c r="AA12" s="107" t="n">
        <f aca="false">IFERROR(AA11/AA7,0)</f>
        <v>0</v>
      </c>
      <c r="AB12" s="107" t="n">
        <f aca="false">IFERROR(AB11/AB7,0)</f>
        <v>0</v>
      </c>
      <c r="AC12" s="107" t="n">
        <f aca="false">IFERROR(AC11/AC7,0)</f>
        <v>0</v>
      </c>
      <c r="AD12" s="107" t="n">
        <f aca="false">IFERROR(AD11/AD7,0)</f>
        <v>0</v>
      </c>
      <c r="AE12" s="107" t="n">
        <f aca="false">IFERROR(AE11/AE7,0)</f>
        <v>0</v>
      </c>
      <c r="AF12" s="107" t="n">
        <f aca="false">IFERROR(AF11/AF7,0)</f>
        <v>0</v>
      </c>
      <c r="AG12" s="107" t="n">
        <f aca="false">IFERROR(AG11/AG7,0)</f>
        <v>0</v>
      </c>
      <c r="AH12" s="107" t="n">
        <f aca="false">IFERROR(AH11/AH7,0)</f>
        <v>0</v>
      </c>
      <c r="AI12" s="107" t="n">
        <f aca="false">IFERROR(AI11/AI7,0)</f>
        <v>0</v>
      </c>
      <c r="AJ12" s="107" t="n">
        <f aca="false">IFERROR(AJ11/AJ7,0)</f>
        <v>0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0</v>
      </c>
      <c r="L18" s="91" t="n">
        <f aca="false">SUM(Model!AF142:AH142)</f>
        <v>0</v>
      </c>
      <c r="M18" s="91" t="n">
        <f aca="false">SUM(Model!AI142:AK142)</f>
        <v>0</v>
      </c>
      <c r="N18" s="91" t="n">
        <f aca="false">SUM(Model!AL142:AN142)</f>
        <v>0</v>
      </c>
      <c r="O18" s="91" t="n">
        <f aca="false">SUM(Model!AO142:AQ142)</f>
        <v>0</v>
      </c>
      <c r="P18" s="91" t="n">
        <f aca="false">SUM(Model!AR142:AT142)</f>
        <v>0</v>
      </c>
      <c r="Q18" s="91" t="n">
        <f aca="false">SUM(Model!AU142:AW142)</f>
        <v>0</v>
      </c>
      <c r="R18" s="91" t="n">
        <f aca="false">SUM(Model!AX142:AZ142)</f>
        <v>0</v>
      </c>
      <c r="S18" s="91" t="n">
        <f aca="false">SUM(Model!BA142:BC142)</f>
        <v>0</v>
      </c>
      <c r="T18" s="91" t="n">
        <f aca="false">SUM(Model!BD142:BF142)</f>
        <v>0</v>
      </c>
      <c r="U18" s="91" t="n">
        <f aca="false">SUM(Model!BG142:BI142)</f>
        <v>0</v>
      </c>
      <c r="V18" s="91" t="n">
        <f aca="false">SUM(Model!BJ142:BL142)</f>
        <v>0</v>
      </c>
      <c r="W18" s="91" t="n">
        <f aca="false">SUM(Model!BM142:BO142)</f>
        <v>0</v>
      </c>
      <c r="X18" s="91" t="n">
        <f aca="false">SUM(Model!BP142:BR142)</f>
        <v>0</v>
      </c>
      <c r="Y18" s="91" t="n">
        <f aca="false">SUM(Model!BS142:BU142)</f>
        <v>0</v>
      </c>
      <c r="Z18" s="91" t="n">
        <f aca="false">SUM(Model!BV142:BX142)</f>
        <v>0</v>
      </c>
      <c r="AA18" s="91" t="n">
        <f aca="false">SUM(Model!BY142:CA142)</f>
        <v>0</v>
      </c>
      <c r="AB18" s="91" t="n">
        <f aca="false">SUM(Model!CB142:CD142)</f>
        <v>0</v>
      </c>
      <c r="AC18" s="91" t="n">
        <f aca="false">SUM(Model!CE142:CG142)</f>
        <v>0</v>
      </c>
      <c r="AD18" s="91" t="n">
        <f aca="false">SUM(Model!CH142:CJ142)</f>
        <v>0</v>
      </c>
      <c r="AE18" s="91" t="n">
        <f aca="false">SUM(Model!CK142:CM142)</f>
        <v>0</v>
      </c>
      <c r="AF18" s="91" t="n">
        <f aca="false">SUM(Model!CN142:CP142)</f>
        <v>0</v>
      </c>
      <c r="AG18" s="91" t="n">
        <f aca="false">SUM(Model!CQ142:CS142)</f>
        <v>0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-1655195.76937</v>
      </c>
      <c r="L19" s="106" t="n">
        <f aca="false">SUM(Model!AF144:AH144)</f>
        <v>-1655195.76937</v>
      </c>
      <c r="M19" s="106" t="n">
        <f aca="false">SUM(Model!AI144:AK144)</f>
        <v>-1655195.76937</v>
      </c>
      <c r="N19" s="106" t="n">
        <f aca="false">SUM(Model!AL144:AN144)</f>
        <v>-1655195.76937</v>
      </c>
      <c r="O19" s="106" t="n">
        <f aca="false">SUM(Model!AO144:AQ144)</f>
        <v>-1682069.6847574</v>
      </c>
      <c r="P19" s="106" t="n">
        <f aca="false">SUM(Model!AR144:AT144)</f>
        <v>-1682069.6847574</v>
      </c>
      <c r="Q19" s="106" t="n">
        <f aca="false">SUM(Model!AU144:AW144)</f>
        <v>-1682069.6847574</v>
      </c>
      <c r="R19" s="106" t="n">
        <f aca="false">SUM(Model!AX144:AZ144)</f>
        <v>-1682069.6847574</v>
      </c>
      <c r="S19" s="106" t="n">
        <f aca="false">SUM(Model!BA144:BC144)</f>
        <v>-1709481.07845255</v>
      </c>
      <c r="T19" s="106" t="n">
        <f aca="false">SUM(Model!BD144:BF144)</f>
        <v>-1709481.07845255</v>
      </c>
      <c r="U19" s="106" t="n">
        <f aca="false">SUM(Model!BG144:BI144)</f>
        <v>-1709481.07845255</v>
      </c>
      <c r="V19" s="106" t="n">
        <f aca="false">SUM(Model!BJ144:BL144)</f>
        <v>-1709481.07845255</v>
      </c>
      <c r="W19" s="106" t="n">
        <f aca="false">SUM(Model!BM144:BO144)</f>
        <v>-1737440.7000216</v>
      </c>
      <c r="X19" s="106" t="n">
        <f aca="false">SUM(Model!BP144:BR144)</f>
        <v>-1737440.7000216</v>
      </c>
      <c r="Y19" s="106" t="n">
        <f aca="false">SUM(Model!BS144:BU144)</f>
        <v>-1737440.7000216</v>
      </c>
      <c r="Z19" s="106" t="n">
        <f aca="false">SUM(Model!BV144:BX144)</f>
        <v>-1737440.7000216</v>
      </c>
      <c r="AA19" s="106" t="n">
        <f aca="false">SUM(Model!BY144:CA144)</f>
        <v>-1765959.51402203</v>
      </c>
      <c r="AB19" s="106" t="n">
        <f aca="false">SUM(Model!CB144:CD144)</f>
        <v>-1765959.51402203</v>
      </c>
      <c r="AC19" s="106" t="n">
        <f aca="false">SUM(Model!CE144:CG144)</f>
        <v>-1765959.51402203</v>
      </c>
      <c r="AD19" s="106" t="n">
        <f aca="false">SUM(Model!CH144:CJ144)</f>
        <v>-1765959.51402203</v>
      </c>
      <c r="AE19" s="106" t="n">
        <f aca="false">SUM(Model!CK144:CM144)</f>
        <v>-1795048.70430247</v>
      </c>
      <c r="AF19" s="106" t="n">
        <f aca="false">SUM(Model!CN144:CP144)</f>
        <v>-1795048.70430247</v>
      </c>
      <c r="AG19" s="106" t="n">
        <f aca="false">SUM(Model!CQ144:CS144)</f>
        <v>-1795048.70430247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-1649626.16820443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1326312.02456488</v>
      </c>
      <c r="F20" s="109" t="n">
        <f aca="false">SUM(Model!N145:P145)</f>
        <v>773564.685656083</v>
      </c>
      <c r="G20" s="109" t="n">
        <f aca="false">SUM(Model!Q145:S145)</f>
        <v>142685.060721578</v>
      </c>
      <c r="H20" s="109" t="n">
        <f aca="false">SUM(Model!T145:V145)</f>
        <v>526403.940112608</v>
      </c>
      <c r="I20" s="109" t="n">
        <f aca="false">SUM(Model!W145:Y145)</f>
        <v>432869.026365475</v>
      </c>
      <c r="J20" s="109" t="n">
        <f aca="false">SUM(Model!Z145:AB145)</f>
        <v>420790.108101651</v>
      </c>
      <c r="K20" s="109" t="n">
        <f aca="false">SUM(Model!AC145:AE145)</f>
        <v>-356692.915942002</v>
      </c>
      <c r="L20" s="109" t="n">
        <f aca="false">SUM(Model!AF145:AH145)</f>
        <v>312153.167710691</v>
      </c>
      <c r="M20" s="109" t="n">
        <f aca="false">SUM(Model!AI145:AK145)</f>
        <v>237488.75879617</v>
      </c>
      <c r="N20" s="109" t="n">
        <f aca="false">SUM(Model!AL145:AN145)</f>
        <v>198380.023208015</v>
      </c>
      <c r="O20" s="109" t="n">
        <f aca="false">SUM(Model!AO145:AQ145)</f>
        <v>-691368.149980111</v>
      </c>
      <c r="P20" s="109" t="n">
        <f aca="false">SUM(Model!AR145:AT145)</f>
        <v>-418882.564626611</v>
      </c>
      <c r="Q20" s="109" t="n">
        <f aca="false">SUM(Model!AU145:AW145)</f>
        <v>-1209090.76215176</v>
      </c>
      <c r="R20" s="109" t="n">
        <f aca="false">SUM(Model!AX145:AZ145)</f>
        <v>-1209090.76215176</v>
      </c>
      <c r="S20" s="109" t="n">
        <f aca="false">SUM(Model!BA145:BC145)</f>
        <v>-1236502.15584691</v>
      </c>
      <c r="T20" s="109" t="n">
        <f aca="false">SUM(Model!BD145:BF145)</f>
        <v>-1236502.15584691</v>
      </c>
      <c r="U20" s="109" t="n">
        <f aca="false">SUM(Model!BG145:BI145)</f>
        <v>-1145225.52165985</v>
      </c>
      <c r="V20" s="109" t="n">
        <f aca="false">SUM(Model!BJ145:BL145)</f>
        <v>-1709481.07845255</v>
      </c>
      <c r="W20" s="109" t="n">
        <f aca="false">SUM(Model!BM145:BO145)</f>
        <v>-1737440.7000216</v>
      </c>
      <c r="X20" s="109" t="n">
        <f aca="false">SUM(Model!BP145:BR145)</f>
        <v>-1737440.7000216</v>
      </c>
      <c r="Y20" s="109" t="n">
        <f aca="false">SUM(Model!BS145:BU145)</f>
        <v>-1737440.7000216</v>
      </c>
      <c r="Z20" s="109" t="n">
        <f aca="false">SUM(Model!BV145:BX145)</f>
        <v>-1737440.7000216</v>
      </c>
      <c r="AA20" s="109" t="n">
        <f aca="false">SUM(Model!BY145:CA145)</f>
        <v>-1765959.51402203</v>
      </c>
      <c r="AB20" s="109" t="n">
        <f aca="false">SUM(Model!CB145:CD145)</f>
        <v>-1765959.51402203</v>
      </c>
      <c r="AC20" s="109" t="n">
        <f aca="false">SUM(Model!CE145:CG145)</f>
        <v>-1765959.51402203</v>
      </c>
      <c r="AD20" s="109" t="n">
        <f aca="false">SUM(Model!CH145:CJ145)</f>
        <v>-1765959.51402203</v>
      </c>
      <c r="AE20" s="109" t="n">
        <f aca="false">SUM(Model!CK145:CM145)</f>
        <v>-1795048.70430247</v>
      </c>
      <c r="AF20" s="109" t="n">
        <f aca="false">SUM(Model!CN145:CP145)</f>
        <v>-1795048.70430247</v>
      </c>
      <c r="AG20" s="109" t="n">
        <f aca="false">SUM(Model!CQ145:CS145)</f>
        <v>-1795048.70430247</v>
      </c>
      <c r="AH20" s="109" t="n">
        <f aca="false">SUM(Model!CT145:CV145)</f>
        <v>-1623388.40020042</v>
      </c>
      <c r="AI20" s="109" t="n">
        <f aca="false">SUM(Model!CW145:CY145)</f>
        <v>-1649626.16820443</v>
      </c>
      <c r="AJ20" s="109" t="n">
        <f aca="false">SUM(Model!CZ145:DB145)</f>
        <v>-1649626.16820443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0.0616452759999805</v>
      </c>
      <c r="F21" s="107" t="n">
        <f aca="false">IFERROR(F20/F7,0)</f>
        <v>0.0329973225188129</v>
      </c>
      <c r="G21" s="107" t="n">
        <f aca="false">IFERROR(G20/G7,0)</f>
        <v>0.00522430555918917</v>
      </c>
      <c r="H21" s="107" t="n">
        <f aca="false">IFERROR(H20/H7,0)</f>
        <v>0.0209891150568196</v>
      </c>
      <c r="I21" s="107" t="n">
        <f aca="false">IFERROR(I20/I7,0)</f>
        <v>0.0183685914724976</v>
      </c>
      <c r="J21" s="107" t="n">
        <f aca="false">IFERROR(J20/J7,0)</f>
        <v>0.0207932617613389</v>
      </c>
      <c r="K21" s="107" t="n">
        <f aca="false">IFERROR(K20/K7,0)</f>
        <v>-0.0236270450624914</v>
      </c>
      <c r="L21" s="107" t="n">
        <f aca="false">IFERROR(L20/L7,0)</f>
        <v>0.0252602107643921</v>
      </c>
      <c r="M21" s="107" t="n">
        <f aca="false">IFERROR(M20/M7,0)</f>
        <v>0.0225478767293851</v>
      </c>
      <c r="N21" s="107" t="n">
        <f aca="false">IFERROR(N20/N7,0)</f>
        <v>0.0194300698340086</v>
      </c>
      <c r="O21" s="107" t="n">
        <f aca="false">IFERROR(O20/O7,0)</f>
        <v>-0.0771585884465293</v>
      </c>
      <c r="P21" s="107" t="n">
        <f aca="false">IFERROR(P20/P7,0)</f>
        <v>-0.051046206674268</v>
      </c>
      <c r="Q21" s="107" t="n">
        <f aca="false">IFERROR(Q20/Q7,0)</f>
        <v>-0.219134395996383</v>
      </c>
      <c r="R21" s="107" t="n">
        <f aca="false">IFERROR(R20/R7,0)</f>
        <v>-0.246851825804064</v>
      </c>
      <c r="S21" s="107" t="n">
        <f aca="false">IFERROR(S20/S7,0)</f>
        <v>-0.310949463630262</v>
      </c>
      <c r="T21" s="107" t="n">
        <f aca="false">IFERROR(T20/T7,0)</f>
        <v>-0.418796380338891</v>
      </c>
      <c r="U21" s="107" t="n">
        <f aca="false">IFERROR(U20/U7,0)</f>
        <v>-0.799930651981912</v>
      </c>
      <c r="V21" s="107" t="n">
        <f aca="false">IFERROR(V20/V7,0)</f>
        <v>0</v>
      </c>
      <c r="W21" s="107" t="n">
        <f aca="false">IFERROR(W20/W7,0)</f>
        <v>0</v>
      </c>
      <c r="X21" s="107" t="n">
        <f aca="false">IFERROR(X20/X7,0)</f>
        <v>0</v>
      </c>
      <c r="Y21" s="107" t="n">
        <f aca="false">IFERROR(Y20/Y7,0)</f>
        <v>0</v>
      </c>
      <c r="Z21" s="107" t="n">
        <f aca="false">IFERROR(Z20/Z7,0)</f>
        <v>0</v>
      </c>
      <c r="AA21" s="107" t="n">
        <f aca="false">IFERROR(AA20/AA7,0)</f>
        <v>0</v>
      </c>
      <c r="AB21" s="107" t="n">
        <f aca="false">IFERROR(AB20/AB7,0)</f>
        <v>0</v>
      </c>
      <c r="AC21" s="107" t="n">
        <f aca="false">IFERROR(AC20/AC7,0)</f>
        <v>0</v>
      </c>
      <c r="AD21" s="107" t="n">
        <f aca="false">IFERROR(AD20/AD7,0)</f>
        <v>0</v>
      </c>
      <c r="AE21" s="107" t="n">
        <f aca="false">IFERROR(AE20/AE7,0)</f>
        <v>0</v>
      </c>
      <c r="AF21" s="107" t="n">
        <f aca="false">IFERROR(AF20/AF7,0)</f>
        <v>0</v>
      </c>
      <c r="AG21" s="107" t="n">
        <f aca="false">IFERROR(AG20/AG7,0)</f>
        <v>0</v>
      </c>
      <c r="AH21" s="107" t="n">
        <f aca="false">IFERROR(AH20/AH7,0)</f>
        <v>0</v>
      </c>
      <c r="AI21" s="107" t="n">
        <f aca="false">IFERROR(AI20/AI7,0)</f>
        <v>0</v>
      </c>
      <c r="AJ21" s="107" t="n">
        <f aca="false">IFERROR(AJ20/AJ7,0)</f>
        <v>0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602051.2</v>
      </c>
      <c r="E23" s="91" t="n">
        <f aca="false">Model!K167+Model!L167+Model!M167</f>
        <v>180646.38</v>
      </c>
      <c r="F23" s="91" t="n">
        <f aca="false">Model!N167+Model!O167+Model!P167</f>
        <v>171271.38</v>
      </c>
      <c r="G23" s="91" t="n">
        <f aca="false">Model!Q167+Model!R167+Model!S167</f>
        <v>171271.38</v>
      </c>
      <c r="H23" s="91" t="n">
        <f aca="false">Model!T167+Model!U167+Model!V167</f>
        <v>99552.63</v>
      </c>
      <c r="I23" s="91" t="n">
        <f aca="false">Model!W167+Model!X167+Model!Y167</f>
        <v>156927.63</v>
      </c>
      <c r="J23" s="91" t="n">
        <f aca="false">Model!Z167+Model!AA167+Model!AB167</f>
        <v>144296.05</v>
      </c>
      <c r="K23" s="91" t="n">
        <f aca="false">Model!AC167+Model!AD167+Model!AE167</f>
        <v>85875</v>
      </c>
      <c r="L23" s="91" t="n">
        <f aca="false">Model!AF167+Model!AG167+Model!AH167</f>
        <v>28500</v>
      </c>
      <c r="M23" s="91" t="n">
        <f aca="false">Model!AI167+Model!AJ167+Model!AK167</f>
        <v>0</v>
      </c>
      <c r="N23" s="91" t="n">
        <f aca="false">Model!AL167+Model!AM167+Model!AN167</f>
        <v>0</v>
      </c>
      <c r="O23" s="91" t="n">
        <f aca="false">Model!AO167+Model!AP167+Model!AQ167</f>
        <v>0</v>
      </c>
      <c r="P23" s="91" t="n">
        <f aca="false">Model!AR167+Model!AS167+Model!AT167</f>
        <v>81683</v>
      </c>
      <c r="Q23" s="91" t="n">
        <f aca="false">Model!AU167+Model!AV167+Model!AW167</f>
        <v>81682</v>
      </c>
      <c r="R23" s="91" t="n">
        <f aca="false">Model!AX167+Model!AY167+Model!AZ167</f>
        <v>81682</v>
      </c>
      <c r="S23" s="91" t="n">
        <f aca="false">Model!BA167+Model!BB167+Model!BC167</f>
        <v>933521</v>
      </c>
      <c r="T23" s="91" t="n">
        <f aca="false">Model!BD167+Model!BE167+Model!BF167</f>
        <v>130878</v>
      </c>
      <c r="U23" s="91" t="n">
        <f aca="false">Model!BG167+Model!BH167+Model!BI167</f>
        <v>130876</v>
      </c>
      <c r="V23" s="91" t="n">
        <f aca="false">Model!BJ167+Model!BK167+Model!BL167</f>
        <v>130876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-525493.395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367780.925</v>
      </c>
      <c r="E25" s="111" t="n">
        <f aca="false">Model!K199+Model!L199+Model!M199</f>
        <v>-344847.015</v>
      </c>
      <c r="F25" s="111" t="n">
        <f aca="false">Model!N199+Model!O199+Model!P199</f>
        <v>-62998.895</v>
      </c>
      <c r="G25" s="111" t="n">
        <f aca="false">Model!Q199+Model!R199+Model!S199</f>
        <v>-67684.3005</v>
      </c>
      <c r="H25" s="111" t="n">
        <f aca="false">Model!T199+Model!U199+Model!V199</f>
        <v>-139403.0505</v>
      </c>
      <c r="I25" s="111" t="n">
        <f aca="false">Model!W199+Model!X199+Model!Y199</f>
        <v>-82028.0505</v>
      </c>
      <c r="J25" s="111" t="n">
        <f aca="false">Model!Z199+Model!AA199+Model!AB199</f>
        <v>-94659.6305</v>
      </c>
      <c r="K25" s="111" t="n">
        <f aca="false">Model!AC199+Model!AD199+Model!AE199</f>
        <v>-157859.79411</v>
      </c>
      <c r="L25" s="111" t="n">
        <f aca="false">Model!AF199+Model!AG199+Model!AH199</f>
        <v>-215234.79411</v>
      </c>
      <c r="M25" s="111" t="n">
        <f aca="false">Model!AI199+Model!AJ199+Model!AK199</f>
        <v>-243734.79411</v>
      </c>
      <c r="N25" s="111" t="n">
        <f aca="false">Model!AL199+Model!AM199+Model!AN199</f>
        <v>-243734.79411</v>
      </c>
      <c r="O25" s="111" t="n">
        <f aca="false">Model!AO199+Model!AP199+Model!AQ199</f>
        <v>-248609.4899922</v>
      </c>
      <c r="P25" s="111" t="n">
        <f aca="false">Model!AR199+Model!AS199+Model!AT199</f>
        <v>-248609.4899922</v>
      </c>
      <c r="Q25" s="111" t="n">
        <f aca="false">Model!AU199+Model!AV199+Model!AW199</f>
        <v>-248609.4899922</v>
      </c>
      <c r="R25" s="111" t="n">
        <f aca="false">Model!AX199+Model!AY199+Model!AZ199</f>
        <v>-248609.4899922</v>
      </c>
      <c r="S25" s="111" t="n">
        <f aca="false">Model!BA199+Model!BB199+Model!BC199</f>
        <v>-253581.679792044</v>
      </c>
      <c r="T25" s="111" t="n">
        <f aca="false">Model!BD199+Model!BE199+Model!BF199</f>
        <v>-253581.679792044</v>
      </c>
      <c r="U25" s="111" t="n">
        <f aca="false">Model!BG199+Model!BH199+Model!BI199</f>
        <v>-253581.679792044</v>
      </c>
      <c r="V25" s="111" t="n">
        <f aca="false">Model!BJ199+Model!BK199+Model!BL199</f>
        <v>-253581.679792044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775646.692405254</v>
      </c>
      <c r="E27" s="111" t="n">
        <f aca="false">Model!K208+Model!L208+Model!M208</f>
        <v>981465.009564881</v>
      </c>
      <c r="F27" s="111" t="n">
        <f aca="false">Model!N208+Model!O208+Model!P208</f>
        <v>710565.790656083</v>
      </c>
      <c r="G27" s="111" t="n">
        <f aca="false">Model!Q208+Model!R208+Model!S208</f>
        <v>75000.760221578</v>
      </c>
      <c r="H27" s="111" t="n">
        <f aca="false">Model!T208+Model!U208+Model!V208</f>
        <v>387000.889612608</v>
      </c>
      <c r="I27" s="111" t="n">
        <f aca="false">Model!W208+Model!X208+Model!Y208</f>
        <v>350840.975865474</v>
      </c>
      <c r="J27" s="111" t="n">
        <f aca="false">Model!Z208+Model!AA208+Model!AB208</f>
        <v>326130.477601651</v>
      </c>
      <c r="K27" s="111" t="n">
        <f aca="false">Model!AC208+Model!AD208+Model!AE208</f>
        <v>-514552.710052002</v>
      </c>
      <c r="L27" s="111" t="n">
        <f aca="false">Model!AF208+Model!AG208+Model!AH208</f>
        <v>96918.3736006913</v>
      </c>
      <c r="M27" s="111" t="n">
        <f aca="false">Model!AI208+Model!AJ208+Model!AK208</f>
        <v>-6246.03531382955</v>
      </c>
      <c r="N27" s="111" t="n">
        <f aca="false">Model!AL208+Model!AM208+Model!AN208</f>
        <v>-45354.7709019852</v>
      </c>
      <c r="O27" s="111" t="n">
        <f aca="false">Model!AO208+Model!AP208+Model!AQ208</f>
        <v>-939977.639972311</v>
      </c>
      <c r="P27" s="111" t="n">
        <f aca="false">Model!AR208+Model!AS208+Model!AT208</f>
        <v>-667492.054618811</v>
      </c>
      <c r="Q27" s="111" t="n">
        <f aca="false">Model!AU208+Model!AV208+Model!AW208</f>
        <v>-1457700.25214396</v>
      </c>
      <c r="R27" s="111" t="n">
        <f aca="false">Model!AX208+Model!AY208+Model!AZ208</f>
        <v>-1457700.25214396</v>
      </c>
      <c r="S27" s="111" t="n">
        <f aca="false">Model!BA208+Model!BB208+Model!BC208</f>
        <v>-1490083.83563895</v>
      </c>
      <c r="T27" s="111" t="n">
        <f aca="false">Model!BD208+Model!BE208+Model!BF208</f>
        <v>-1490083.83563895</v>
      </c>
      <c r="U27" s="111" t="n">
        <f aca="false">Model!BG208+Model!BH208+Model!BI208</f>
        <v>-1398807.2014519</v>
      </c>
      <c r="V27" s="111" t="n">
        <f aca="false">Model!BJ208+Model!BK208+Model!BL208</f>
        <v>-1963062.75824459</v>
      </c>
      <c r="W27" s="111" t="n">
        <f aca="false">Model!BM208+Model!BN208+Model!BO208</f>
        <v>-1996094.01340948</v>
      </c>
      <c r="X27" s="111" t="n">
        <f aca="false">Model!BP208+Model!BQ208+Model!BR208</f>
        <v>-1944580.49340948</v>
      </c>
      <c r="Y27" s="111" t="n">
        <f aca="false">Model!BS208+Model!BT208+Model!BU208</f>
        <v>-1928332.01340948</v>
      </c>
      <c r="Z27" s="111" t="n">
        <f aca="false">Model!BV208+Model!BW208+Model!BX208</f>
        <v>-1928332.01340948</v>
      </c>
      <c r="AA27" s="111" t="n">
        <f aca="false">Model!BY208+Model!BZ208+Model!CA208</f>
        <v>-1962023.89367767</v>
      </c>
      <c r="AB27" s="111" t="n">
        <f aca="false">Model!CB208+Model!CC208+Model!CD208</f>
        <v>-1953286.89367767</v>
      </c>
      <c r="AC27" s="111" t="n">
        <f aca="false">Model!CE208+Model!CF208+Model!CG208</f>
        <v>-1953286.89367767</v>
      </c>
      <c r="AD27" s="111" t="n">
        <f aca="false">Model!CH208+Model!CI208+Model!CJ208</f>
        <v>-1946678.86707119</v>
      </c>
      <c r="AE27" s="111" t="n">
        <f aca="false">Model!CK208+Model!CL208+Model!CM208</f>
        <v>-1590568.61155123</v>
      </c>
      <c r="AF27" s="111" t="n">
        <f aca="false">Model!CN208+Model!CO208+Model!CP208</f>
        <v>-1590568.61155123</v>
      </c>
      <c r="AG27" s="111" t="n">
        <f aca="false">Model!CQ208+Model!CR208+Model!CS208</f>
        <v>-1590568.61155123</v>
      </c>
      <c r="AH27" s="111" t="n">
        <f aca="false">Model!CT208+Model!CU208+Model!CV208</f>
        <v>-1413182.82732449</v>
      </c>
      <c r="AI27" s="111" t="n">
        <f aca="false">Model!CW208+Model!CX208+Model!CY208</f>
        <v>-1242669.99280738</v>
      </c>
      <c r="AJ27" s="111" t="n">
        <f aca="false">Model!CZ208+Model!DA208+Model!DB208</f>
        <v>-1225223.14387098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-171223.12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-120000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-250000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500000</v>
      </c>
      <c r="K40" s="113" t="n">
        <f aca="false">Model!AE223</f>
        <v>500000</v>
      </c>
      <c r="L40" s="113" t="n">
        <f aca="false">Model!AH223</f>
        <v>500000</v>
      </c>
      <c r="M40" s="113" t="n">
        <f aca="false">Model!AK223</f>
        <v>500000</v>
      </c>
      <c r="N40" s="113" t="n">
        <f aca="false">Model!AN223</f>
        <v>500000</v>
      </c>
      <c r="O40" s="113" t="n">
        <f aca="false">Model!AQ223</f>
        <v>500000</v>
      </c>
      <c r="P40" s="113" t="n">
        <f aca="false">Model!AT223</f>
        <v>500000</v>
      </c>
      <c r="Q40" s="113" t="n">
        <f aca="false">Model!AW223</f>
        <v>500000</v>
      </c>
      <c r="R40" s="113" t="n">
        <f aca="false">Model!AZ223</f>
        <v>500000</v>
      </c>
      <c r="S40" s="113" t="n">
        <f aca="false">Model!BC223</f>
        <v>500000</v>
      </c>
      <c r="T40" s="113" t="n">
        <f aca="false">Model!BF223</f>
        <v>500000</v>
      </c>
      <c r="U40" s="113" t="n">
        <f aca="false">Model!BI223</f>
        <v>500000</v>
      </c>
      <c r="V40" s="113" t="n">
        <f aca="false">Model!BL223</f>
        <v>500000</v>
      </c>
      <c r="W40" s="113" t="n">
        <f aca="false">Model!BO223</f>
        <v>500000</v>
      </c>
      <c r="X40" s="113" t="n">
        <f aca="false">Model!BR223</f>
        <v>500000</v>
      </c>
      <c r="Y40" s="113" t="n">
        <f aca="false">Model!BU223</f>
        <v>500000</v>
      </c>
      <c r="Z40" s="113" t="n">
        <f aca="false">Model!BX223</f>
        <v>500000</v>
      </c>
      <c r="AA40" s="113" t="n">
        <f aca="false">Model!CA223</f>
        <v>500000</v>
      </c>
      <c r="AB40" s="113" t="n">
        <f aca="false">Model!CD223</f>
        <v>500000</v>
      </c>
      <c r="AC40" s="113" t="n">
        <f aca="false">Model!CG223</f>
        <v>500000</v>
      </c>
      <c r="AD40" s="113" t="n">
        <f aca="false">Model!CJ223</f>
        <v>500000</v>
      </c>
      <c r="AE40" s="113" t="n">
        <f aca="false">Model!CM223</f>
        <v>500000</v>
      </c>
      <c r="AF40" s="113" t="n">
        <f aca="false">Model!CP223</f>
        <v>500000</v>
      </c>
      <c r="AG40" s="113" t="n">
        <f aca="false">Model!CS223</f>
        <v>500000</v>
      </c>
      <c r="AH40" s="113" t="n">
        <f aca="false">Model!CV223</f>
        <v>500000</v>
      </c>
      <c r="AI40" s="113" t="n">
        <f aca="false">Model!CY223</f>
        <v>500000</v>
      </c>
      <c r="AJ40" s="113" t="n">
        <f aca="false">Model!DB223</f>
        <v>500000</v>
      </c>
      <c r="AK40" s="113" t="n">
        <f aca="false">Model!DE223</f>
        <v>500000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1706207.62341853</v>
      </c>
      <c r="F46" s="100" t="n">
        <f aca="false">Model!P269</f>
        <v>2429659.90806841</v>
      </c>
      <c r="G46" s="100" t="n">
        <f aca="false">Model!S269</f>
        <v>2524865.18276156</v>
      </c>
      <c r="H46" s="100" t="n">
        <f aca="false">Model!V269</f>
        <v>3216065.92639339</v>
      </c>
      <c r="I46" s="100" t="n">
        <f aca="false">Model!Y269</f>
        <v>3590726.52903239</v>
      </c>
      <c r="J46" s="100" t="n">
        <f aca="false">Model!AB269</f>
        <v>3909034.69205396</v>
      </c>
      <c r="K46" s="100" t="n">
        <f aca="false">Model!AE269</f>
        <v>4387457.00765641</v>
      </c>
      <c r="L46" s="100" t="n">
        <f aca="false">Model!AH269</f>
        <v>3877536.66851307</v>
      </c>
      <c r="M46" s="100" t="n">
        <f aca="false">Model!AK269</f>
        <v>4249717.59970982</v>
      </c>
      <c r="N46" s="100" t="n">
        <f aca="false">Model!AN269</f>
        <v>4777881.67784765</v>
      </c>
      <c r="O46" s="100" t="n">
        <f aca="false">Model!AQ269</f>
        <v>4192764.258051</v>
      </c>
      <c r="P46" s="100" t="n">
        <f aca="false">Model!AT269</f>
        <v>3710722.33741785</v>
      </c>
      <c r="Q46" s="100" t="n">
        <f aca="false">Model!AW269</f>
        <v>2923042.41854653</v>
      </c>
      <c r="R46" s="100" t="n">
        <f aca="false">Model!AZ269</f>
        <v>1690302.71026448</v>
      </c>
      <c r="S46" s="100" t="n">
        <f aca="false">Model!BC269</f>
        <v>430151.608287295</v>
      </c>
      <c r="T46" s="100" t="n">
        <f aca="false">Model!BF269</f>
        <v>-829999.493689895</v>
      </c>
      <c r="U46" s="100" t="n">
        <f aca="false">Model!BI269</f>
        <v>-1596841.87726524</v>
      </c>
      <c r="V46" s="100" t="n">
        <f aca="false">Model!BL269</f>
        <v>-3306322.95571779</v>
      </c>
      <c r="W46" s="100" t="n">
        <f aca="false">Model!BO269</f>
        <v>-5043763.65573938</v>
      </c>
      <c r="X46" s="100" t="n">
        <f aca="false">Model!BR269</f>
        <v>-6781204.35576098</v>
      </c>
      <c r="Y46" s="100" t="n">
        <f aca="false">Model!BU269</f>
        <v>-8518645.05578258</v>
      </c>
      <c r="Z46" s="100" t="n">
        <f aca="false">Model!BX269</f>
        <v>-10256085.7558042</v>
      </c>
      <c r="AA46" s="100" t="n">
        <f aca="false">Model!CA269</f>
        <v>-12022045.2698262</v>
      </c>
      <c r="AB46" s="100" t="n">
        <f aca="false">Model!CD269</f>
        <v>-13788004.7838482</v>
      </c>
      <c r="AC46" s="100" t="n">
        <f aca="false">Model!CG269</f>
        <v>-15553964.2978703</v>
      </c>
      <c r="AD46" s="100" t="n">
        <f aca="false">Model!CJ269</f>
        <v>-17319923.8118923</v>
      </c>
      <c r="AE46" s="100" t="n">
        <f aca="false">Model!CM269</f>
        <v>-19114972.5161948</v>
      </c>
      <c r="AF46" s="100" t="n">
        <f aca="false">Model!CP269</f>
        <v>-20910021.2204973</v>
      </c>
      <c r="AG46" s="100" t="n">
        <f aca="false">Model!CS269</f>
        <v>-22705069.9247997</v>
      </c>
      <c r="AH46" s="100" t="n">
        <f aca="false">Model!CV269</f>
        <v>-24328458.3250002</v>
      </c>
      <c r="AI46" s="100" t="n">
        <f aca="false">Model!CY269</f>
        <v>-25978084.4932046</v>
      </c>
      <c r="AJ46" s="100" t="n">
        <f aca="false">Model!DB269</f>
        <v>-27627710.661409</v>
      </c>
      <c r="AK46" s="100" t="n">
        <f aca="false">Model!DE269</f>
        <v>-29277336.8296135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676556.413333333</v>
      </c>
      <c r="E47" s="100" t="n">
        <f aca="false">Model!M277</f>
        <v>-58290.6016666666</v>
      </c>
      <c r="F47" s="100" t="n">
        <f aca="false">Model!P277</f>
        <v>-761289.496666667</v>
      </c>
      <c r="G47" s="100" t="n">
        <f aca="false">Model!S277</f>
        <v>-1218973.79716667</v>
      </c>
      <c r="H47" s="100" t="n">
        <f aca="false">Model!V277</f>
        <v>-1748376.84766667</v>
      </c>
      <c r="I47" s="100" t="n">
        <f aca="false">Model!Y277</f>
        <v>-2156374.14145211</v>
      </c>
      <c r="J47" s="100" t="n">
        <f aca="false">Model!AB277</f>
        <v>-2501033.77195211</v>
      </c>
      <c r="K47" s="100" t="n">
        <f aca="false">Model!AE277</f>
        <v>-2658893.56606211</v>
      </c>
      <c r="L47" s="100" t="n">
        <f aca="false">Model!AH277</f>
        <v>-2874128.36017211</v>
      </c>
      <c r="M47" s="100" t="n">
        <f aca="false">Model!AK277</f>
        <v>-3117863.15428211</v>
      </c>
      <c r="N47" s="100" t="n">
        <f aca="false">Model!AN277</f>
        <v>-3361597.94839211</v>
      </c>
      <c r="O47" s="100" t="n">
        <f aca="false">Model!AQ277</f>
        <v>-3610207.43838431</v>
      </c>
      <c r="P47" s="100" t="n">
        <f aca="false">Model!AT277</f>
        <v>-3858816.92837651</v>
      </c>
      <c r="Q47" s="100" t="n">
        <f aca="false">Model!AW277</f>
        <v>-4107426.41836871</v>
      </c>
      <c r="R47" s="100" t="n">
        <f aca="false">Model!AZ277</f>
        <v>-4356035.90836091</v>
      </c>
      <c r="S47" s="100" t="n">
        <f aca="false">Model!BC277</f>
        <v>-4609617.58815295</v>
      </c>
      <c r="T47" s="100" t="n">
        <f aca="false">Model!BF277</f>
        <v>-4863199.267945</v>
      </c>
      <c r="U47" s="100" t="n">
        <f aca="false">Model!BI277</f>
        <v>-5116780.94773704</v>
      </c>
      <c r="V47" s="100" t="n">
        <f aca="false">Model!BL277</f>
        <v>-5370362.62752909</v>
      </c>
      <c r="W47" s="100" t="n">
        <f aca="false">Model!BO277</f>
        <v>-5629015.94091697</v>
      </c>
      <c r="X47" s="100" t="n">
        <f aca="false">Model!BR277</f>
        <v>-5836155.73430486</v>
      </c>
      <c r="Y47" s="100" t="n">
        <f aca="false">Model!BU277</f>
        <v>-6027047.04769274</v>
      </c>
      <c r="Z47" s="100" t="n">
        <f aca="false">Model!BX277</f>
        <v>-6217938.36108063</v>
      </c>
      <c r="AA47" s="100" t="n">
        <f aca="false">Model!CA277</f>
        <v>-6414002.74073627</v>
      </c>
      <c r="AB47" s="100" t="n">
        <f aca="false">Model!CD277</f>
        <v>-6601330.12039191</v>
      </c>
      <c r="AC47" s="100" t="n">
        <f aca="false">Model!CG277</f>
        <v>-6788657.50004755</v>
      </c>
      <c r="AD47" s="100" t="n">
        <f aca="false">Model!CJ277</f>
        <v>-6969376.85309672</v>
      </c>
      <c r="AE47" s="100" t="n">
        <f aca="false">Model!CM277</f>
        <v>-6764896.76034547</v>
      </c>
      <c r="AF47" s="100" t="n">
        <f aca="false">Model!CP277</f>
        <v>-6560416.66759423</v>
      </c>
      <c r="AG47" s="100" t="n">
        <f aca="false">Model!CS277</f>
        <v>-6355936.57484298</v>
      </c>
      <c r="AH47" s="100" t="n">
        <f aca="false">Model!CV277</f>
        <v>-6145731.00196705</v>
      </c>
      <c r="AI47" s="100" t="n">
        <f aca="false">Model!CY277</f>
        <v>-5738774.82657</v>
      </c>
      <c r="AJ47" s="100" t="n">
        <f aca="false">Model!DB277</f>
        <v>-5314371.80223655</v>
      </c>
      <c r="AK47" s="100" t="n">
        <f aca="false">Model!DE277</f>
        <v>-4889968.77790309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-516870.695580521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-457022.524906723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0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0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0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0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0</v>
      </c>
      <c r="AE48" s="100" t="n">
        <f aca="false">Model!CK281+Model!CL281+Model!CM281</f>
        <v>0</v>
      </c>
      <c r="AF48" s="100" t="n">
        <f aca="false">Model!CN281+Model!CO281+Model!CP281</f>
        <v>0</v>
      </c>
      <c r="AG48" s="100" t="n">
        <f aca="false">Model!CQ281+Model!CR281+Model!CS281</f>
        <v>0</v>
      </c>
      <c r="AH48" s="100" t="n">
        <f aca="false">Model!CT281+Model!CU281+Model!CV281</f>
        <v>0</v>
      </c>
      <c r="AI48" s="100" t="n">
        <f aca="false">Model!CW281+Model!CX281+Model!CY281</f>
        <v>0</v>
      </c>
      <c r="AJ48" s="100" t="n">
        <f aca="false">Model!CZ281+Model!DA281+Model!DB281</f>
        <v>0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596682.491007708</v>
      </c>
      <c r="E49" s="101" t="n">
        <f aca="false">Model!M282</f>
        <v>1386522.66367532</v>
      </c>
      <c r="F49" s="101" t="n">
        <f aca="false">Model!P282</f>
        <v>961945.620612765</v>
      </c>
      <c r="G49" s="101" t="n">
        <f aca="false">Model!S282</f>
        <v>885626.889852417</v>
      </c>
      <c r="H49" s="101" t="n">
        <f aca="false">Model!V282</f>
        <v>1347415.23569788</v>
      </c>
      <c r="I49" s="101" t="n">
        <f aca="false">Model!Y282</f>
        <v>1328249.66657309</v>
      </c>
      <c r="J49" s="101" t="n">
        <f aca="false">Model!AB282</f>
        <v>844875.674187936</v>
      </c>
      <c r="K49" s="101" t="n">
        <f aca="false">Model!AE282</f>
        <v>2381007.59464208</v>
      </c>
      <c r="L49" s="101" t="n">
        <f aca="false">Model!AH282</f>
        <v>932146.40138874</v>
      </c>
      <c r="M49" s="101" t="n">
        <f aca="false">Model!AK282</f>
        <v>1156856.29425457</v>
      </c>
      <c r="N49" s="101" t="n">
        <f aca="false">Model!AN282</f>
        <v>1410917.91786054</v>
      </c>
      <c r="O49" s="101" t="n">
        <f aca="false">Model!AQ282</f>
        <v>829524.561906352</v>
      </c>
      <c r="P49" s="101" t="n">
        <f aca="false">Model!AT282</f>
        <v>-432473.740158322</v>
      </c>
      <c r="Q49" s="101" t="n">
        <f aca="false">Model!AW282</f>
        <v>-773470.763728167</v>
      </c>
      <c r="R49" s="101" t="n">
        <f aca="false">Model!AZ282</f>
        <v>-2254819.96200241</v>
      </c>
      <c r="S49" s="101" t="n">
        <f aca="false">Model!BC282</f>
        <v>-3759415.61253993</v>
      </c>
      <c r="T49" s="101" t="n">
        <f aca="false">Model!BF282</f>
        <v>-5273148.39430916</v>
      </c>
      <c r="U49" s="101" t="n">
        <f aca="false">Model!BI282</f>
        <v>-6143795.79885143</v>
      </c>
      <c r="V49" s="101" t="n">
        <f aca="false">Model!BL282</f>
        <v>-8106858.55709602</v>
      </c>
      <c r="W49" s="101" t="n">
        <f aca="false">Model!BO282</f>
        <v>-10093632.6966492</v>
      </c>
      <c r="X49" s="101" t="n">
        <f aca="false">Model!BR282</f>
        <v>-12038213.1900586</v>
      </c>
      <c r="Y49" s="101" t="n">
        <f aca="false">Model!BU282</f>
        <v>-13966545.2034681</v>
      </c>
      <c r="Z49" s="101" t="n">
        <f aca="false">Model!BX282</f>
        <v>-15894877.2168776</v>
      </c>
      <c r="AA49" s="101" t="n">
        <f aca="false">Model!CA282</f>
        <v>-17847394.8392218</v>
      </c>
      <c r="AB49" s="101" t="n">
        <f aca="false">Model!CD282</f>
        <v>-19800681.7328995</v>
      </c>
      <c r="AC49" s="101" t="n">
        <f aca="false">Model!CG282</f>
        <v>-21753968.6265772</v>
      </c>
      <c r="AD49" s="101" t="n">
        <f aca="false">Model!CJ282</f>
        <v>-23700647.4936484</v>
      </c>
      <c r="AE49" s="101" t="n">
        <f aca="false">Model!CM282</f>
        <v>-25281519.7084394</v>
      </c>
      <c r="AF49" s="101" t="n">
        <f aca="false">Model!CP282</f>
        <v>-26872088.3199907</v>
      </c>
      <c r="AG49" s="101" t="n">
        <f aca="false">Model!CS282</f>
        <v>-28462656.9315419</v>
      </c>
      <c r="AH49" s="101" t="n">
        <f aca="false">Model!CV282</f>
        <v>-29933059.8602337</v>
      </c>
      <c r="AI49" s="101" t="n">
        <f aca="false">Model!CY282</f>
        <v>-31166983.9303731</v>
      </c>
      <c r="AJ49" s="101" t="n">
        <f aca="false">Model!DB282</f>
        <v>-32392207.0742441</v>
      </c>
      <c r="AK49" s="101" t="n">
        <f aca="false">Model!DE282</f>
        <v>-33617430.2181151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1982241.8302684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1875522.71285574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0</v>
      </c>
      <c r="C7" s="146" t="n">
        <f aca="false">(SUM(Helpers!AA97:AL97)-SUM(Helpers!AA96:AL96))*(Assumptions!$B$10+Assumptions!$B$12)/Assumptions!$B$9</f>
        <v>0</v>
      </c>
      <c r="D7" s="146" t="n">
        <f aca="false">(SUM(Helpers!AA97:AL97)-SUM(Helpers!AA96:AL96))*Assumptions!$B$11/Assumptions!$B$9</f>
        <v>0</v>
      </c>
      <c r="E7" s="146" t="n">
        <v>0</v>
      </c>
      <c r="F7" s="147" t="n">
        <f aca="false">SUM(Helpers!AA97:AL97)</f>
        <v>0</v>
      </c>
      <c r="G7" s="146" t="n">
        <f aca="false">SUM(Helpers!AA99:AL99)</f>
        <v>1337445.17866651</v>
      </c>
      <c r="H7" s="147" t="n">
        <f aca="false">SUM(Helpers!AA100:AL100)</f>
        <v>0</v>
      </c>
      <c r="I7" s="148" t="n">
        <f aca="false">-SUM(Model!Z142:AK142)</f>
        <v>-0</v>
      </c>
      <c r="J7" s="146" t="n">
        <f aca="false">Personnel!$C$38</f>
        <v>222000</v>
      </c>
      <c r="K7" s="149" t="n">
        <f aca="false">I7+J7</f>
        <v>222000</v>
      </c>
      <c r="L7" s="150" t="n">
        <f aca="false">IFERROR(I7/K7,0)</f>
        <v>-0</v>
      </c>
      <c r="M7" s="148" t="n">
        <f aca="false">SUM(Helpers!AA101:AL101)</f>
        <v>0</v>
      </c>
      <c r="N7" s="148" t="n">
        <f aca="false">B7-M7</f>
        <v>0</v>
      </c>
      <c r="O7" s="148" t="n">
        <f aca="false">IFERROR(H7*M7/B7,0)</f>
        <v>0</v>
      </c>
      <c r="P7" s="148" t="n">
        <f aca="false">H7-O7</f>
        <v>0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0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0</v>
      </c>
      <c r="C8" s="153" t="n">
        <f aca="false">(SUM(Helpers!AM97:AX97)-SUM(Helpers!AM96:AX96))*(Assumptions!$B$10+Assumptions!$B$12)/Assumptions!$B$9</f>
        <v>0</v>
      </c>
      <c r="D8" s="153" t="n">
        <f aca="false">(SUM(Helpers!AM97:AX97)-SUM(Helpers!AM96:AX96))*Assumptions!$B$11/Assumptions!$B$9</f>
        <v>0</v>
      </c>
      <c r="E8" s="153" t="n">
        <v>0</v>
      </c>
      <c r="F8" s="154" t="n">
        <f aca="false">SUM(Helpers!AM97:AX97)</f>
        <v>0</v>
      </c>
      <c r="G8" s="153" t="n">
        <f aca="false">SUM(Helpers!AM99:AX99)</f>
        <v>-2120961.45355047</v>
      </c>
      <c r="H8" s="154" t="n">
        <f aca="false">SUM(Helpers!AM100:AX100)</f>
        <v>0</v>
      </c>
      <c r="I8" s="155" t="n">
        <f aca="false">-SUM(Model!AL142:AW142)</f>
        <v>-0</v>
      </c>
      <c r="J8" s="153" t="n">
        <f aca="false">Personnel!$C$38</f>
        <v>222000</v>
      </c>
      <c r="K8" s="156" t="n">
        <f aca="false">I8+J8</f>
        <v>222000</v>
      </c>
      <c r="L8" s="157" t="n">
        <f aca="false">IFERROR(I8/K8,0)</f>
        <v>-0</v>
      </c>
      <c r="M8" s="148" t="n">
        <f aca="false">SUM(Helpers!AM101:AX101)</f>
        <v>0</v>
      </c>
      <c r="N8" s="148" t="n">
        <f aca="false">B8-M8</f>
        <v>0</v>
      </c>
      <c r="O8" s="148" t="n">
        <f aca="false">IFERROR(H8*M8/B8,0)</f>
        <v>0</v>
      </c>
      <c r="P8" s="148" t="n">
        <f aca="false">H8-O8</f>
        <v>0</v>
      </c>
      <c r="Q8" s="151" t="n">
        <f aca="false">IF(N8&gt;=Assumptions!$B$86,Assumptions!$C$86,IF(N8&gt;=Assumptions!$B$85,Assumptions!$C$85,IF(N8&gt;=Assumptions!$B$84,Assumptions!$C$84,Assumptions!$C$83)))</f>
        <v>0.25</v>
      </c>
      <c r="R8" s="148" t="n">
        <f aca="false">O8*Q8*0.1</f>
        <v>0</v>
      </c>
      <c r="S8" s="148" t="n">
        <f aca="false">P8*0.1</f>
        <v>0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0</v>
      </c>
      <c r="C9" s="146" t="n">
        <f aca="false">(SUM(Helpers!AY97:BJ97)-SUM(Helpers!AY96:BJ96))*(Assumptions!$B$10+Assumptions!$B$12)/Assumptions!$B$9</f>
        <v>0</v>
      </c>
      <c r="D9" s="146" t="n">
        <f aca="false">(SUM(Helpers!AY97:BJ97)-SUM(Helpers!AY96:BJ96))*Assumptions!$B$11/Assumptions!$B$9</f>
        <v>0</v>
      </c>
      <c r="E9" s="146" t="n">
        <v>0</v>
      </c>
      <c r="F9" s="147" t="n">
        <f aca="false">SUM(Helpers!AY97:BJ97)</f>
        <v>0</v>
      </c>
      <c r="G9" s="146" t="n">
        <f aca="false">SUM(Helpers!AY99:BJ99)</f>
        <v>-4827320.59550543</v>
      </c>
      <c r="H9" s="147" t="n">
        <f aca="false">SUM(Helpers!AY100:BJ100)</f>
        <v>0</v>
      </c>
      <c r="I9" s="148" t="n">
        <f aca="false">-SUM(Model!AX142:BI142)</f>
        <v>-0</v>
      </c>
      <c r="J9" s="146" t="n">
        <f aca="false">Personnel!$C$38</f>
        <v>222000</v>
      </c>
      <c r="K9" s="149" t="n">
        <f aca="false">I9+J9</f>
        <v>222000</v>
      </c>
      <c r="L9" s="150" t="n">
        <f aca="false">IFERROR(I9/K9,0)</f>
        <v>-0</v>
      </c>
      <c r="M9" s="148" t="n">
        <f aca="false">SUM(Helpers!AY101:BJ101)</f>
        <v>0</v>
      </c>
      <c r="N9" s="148" t="n">
        <f aca="false">B9-M9</f>
        <v>0</v>
      </c>
      <c r="O9" s="148" t="n">
        <f aca="false">IFERROR(H9*M9/B9,0)</f>
        <v>0</v>
      </c>
      <c r="P9" s="148" t="n">
        <f aca="false">H9-O9</f>
        <v>0</v>
      </c>
      <c r="Q9" s="151" t="n">
        <f aca="false">IF(N9&gt;=Assumptions!$B$86,Assumptions!$C$86,IF(N9&gt;=Assumptions!$B$85,Assumptions!$C$85,IF(N9&gt;=Assumptions!$B$84,Assumptions!$C$84,Assumptions!$C$83)))</f>
        <v>0.25</v>
      </c>
      <c r="R9" s="148" t="n">
        <f aca="false">O9*Q9*0.1</f>
        <v>0</v>
      </c>
      <c r="S9" s="148" t="n">
        <f aca="false">P9*0.1</f>
        <v>0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0</v>
      </c>
      <c r="C10" s="153" t="n">
        <f aca="false">(SUM(Helpers!BK97:BV97)-SUM(Helpers!BK96:BV96))*(Assumptions!$B$10+Assumptions!$B$12)/Assumptions!$B$9</f>
        <v>0</v>
      </c>
      <c r="D10" s="153" t="n">
        <f aca="false">(SUM(Helpers!BK97:BV97)-SUM(Helpers!BK96:BV96))*Assumptions!$B$11/Assumptions!$B$9</f>
        <v>0</v>
      </c>
      <c r="E10" s="153" t="n">
        <v>0</v>
      </c>
      <c r="F10" s="154" t="n">
        <f aca="false">SUM(Helpers!BK97:BV97)</f>
        <v>0</v>
      </c>
      <c r="G10" s="153" t="n">
        <f aca="false">SUM(Helpers!BK99:BV99)</f>
        <v>-6921803.17851734</v>
      </c>
      <c r="H10" s="154" t="n">
        <f aca="false">SUM(Helpers!BK100:BV100)</f>
        <v>0</v>
      </c>
      <c r="I10" s="155" t="n">
        <f aca="false">-SUM(Model!BJ142:BU142)</f>
        <v>-0</v>
      </c>
      <c r="J10" s="153" t="n">
        <f aca="false">Personnel!$C$38</f>
        <v>222000</v>
      </c>
      <c r="K10" s="156" t="n">
        <f aca="false">I10+J10</f>
        <v>222000</v>
      </c>
      <c r="L10" s="157" t="n">
        <f aca="false">IFERROR(I10/K10,0)</f>
        <v>-0</v>
      </c>
      <c r="M10" s="148" t="n">
        <f aca="false">SUM(Helpers!BK101:BV101)</f>
        <v>0</v>
      </c>
      <c r="N10" s="148" t="n">
        <f aca="false">B10-M10</f>
        <v>0</v>
      </c>
      <c r="O10" s="148" t="n">
        <f aca="false">IFERROR(H10*M10/B10,0)</f>
        <v>0</v>
      </c>
      <c r="P10" s="148" t="n">
        <f aca="false">H10-O10</f>
        <v>0</v>
      </c>
      <c r="Q10" s="151" t="n">
        <f aca="false">IF(N10&gt;=Assumptions!$B$86,Assumptions!$C$86,IF(N10&gt;=Assumptions!$B$85,Assumptions!$C$85,IF(N10&gt;=Assumptions!$B$84,Assumptions!$C$84,Assumptions!$C$83)))</f>
        <v>0.25</v>
      </c>
      <c r="R10" s="148" t="n">
        <f aca="false">O10*Q10*0.1</f>
        <v>0</v>
      </c>
      <c r="S10" s="148" t="n">
        <f aca="false">P10*0.1</f>
        <v>0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0</v>
      </c>
      <c r="C11" s="146" t="n">
        <f aca="false">(SUM(Helpers!BW97:CH97)-SUM(Helpers!BW96:CH96))*(Assumptions!$B$10+Assumptions!$B$12)/Assumptions!$B$9</f>
        <v>0</v>
      </c>
      <c r="D11" s="146" t="n">
        <f aca="false">(SUM(Helpers!BW97:CH97)-SUM(Helpers!BW96:CH96))*Assumptions!$B$11/Assumptions!$B$9</f>
        <v>0</v>
      </c>
      <c r="E11" s="146" t="n">
        <v>0</v>
      </c>
      <c r="F11" s="147" t="n">
        <f aca="false">SUM(Helpers!BW97:CH97)</f>
        <v>0</v>
      </c>
      <c r="G11" s="146" t="n">
        <f aca="false">SUM(Helpers!BW99:CH99)</f>
        <v>-7035319.24208769</v>
      </c>
      <c r="H11" s="147" t="n">
        <f aca="false">SUM(Helpers!BW100:CH100)</f>
        <v>0</v>
      </c>
      <c r="I11" s="148" t="n">
        <f aca="false">-SUM(Model!BV142:CG142)</f>
        <v>-0</v>
      </c>
      <c r="J11" s="146" t="n">
        <f aca="false">Personnel!$C$38</f>
        <v>222000</v>
      </c>
      <c r="K11" s="149" t="n">
        <f aca="false">I11+J11</f>
        <v>222000</v>
      </c>
      <c r="L11" s="150" t="n">
        <f aca="false">IFERROR(I11/K11,0)</f>
        <v>-0</v>
      </c>
      <c r="M11" s="148" t="n">
        <f aca="false">SUM(Helpers!BW101:CH101)</f>
        <v>0</v>
      </c>
      <c r="N11" s="148" t="n">
        <f aca="false">B11-M11</f>
        <v>0</v>
      </c>
      <c r="O11" s="148" t="n">
        <f aca="false">IFERROR(H11*M11/B11,0)</f>
        <v>0</v>
      </c>
      <c r="P11" s="148" t="n">
        <f aca="false">H11-O11</f>
        <v>0</v>
      </c>
      <c r="Q11" s="151" t="n">
        <f aca="false">IF(N11&gt;=Assumptions!$B$86,Assumptions!$C$86,IF(N11&gt;=Assumptions!$B$85,Assumptions!$C$85,IF(N11&gt;=Assumptions!$B$84,Assumptions!$C$84,Assumptions!$C$83)))</f>
        <v>0.25</v>
      </c>
      <c r="R11" s="148" t="n">
        <f aca="false">O11*Q11*0.1</f>
        <v>0</v>
      </c>
      <c r="S11" s="148" t="n">
        <f aca="false">P11*0.1</f>
        <v>0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0</v>
      </c>
      <c r="C12" s="153" t="n">
        <f aca="false">(SUM(Helpers!CI97:CT97)-SUM(Helpers!CI96:CT96))*(Assumptions!$B$10+Assumptions!$B$12)/Assumptions!$B$9</f>
        <v>0</v>
      </c>
      <c r="D12" s="153" t="n">
        <f aca="false">(SUM(Helpers!CI97:CT97)-SUM(Helpers!CI96:CT96))*Assumptions!$B$11/Assumptions!$B$9</f>
        <v>0</v>
      </c>
      <c r="E12" s="153" t="n">
        <v>0</v>
      </c>
      <c r="F12" s="154" t="n">
        <f aca="false">SUM(Helpers!CI97:CT97)</f>
        <v>0</v>
      </c>
      <c r="G12" s="153" t="n">
        <f aca="false">SUM(Helpers!CI99:CT99)</f>
        <v>-7151105.62692944</v>
      </c>
      <c r="H12" s="154" t="n">
        <f aca="false">SUM(Helpers!CI100:CT100)</f>
        <v>0</v>
      </c>
      <c r="I12" s="155" t="n">
        <f aca="false">-SUM(Model!CH142:CS142)</f>
        <v>-0</v>
      </c>
      <c r="J12" s="153" t="n">
        <f aca="false">Personnel!$C$38</f>
        <v>222000</v>
      </c>
      <c r="K12" s="156" t="n">
        <f aca="false">I12+J12</f>
        <v>222000</v>
      </c>
      <c r="L12" s="157" t="n">
        <f aca="false">IFERROR(I12/K12,0)</f>
        <v>-0</v>
      </c>
      <c r="M12" s="148" t="n">
        <f aca="false">SUM(Helpers!CI101:CT101)</f>
        <v>0</v>
      </c>
      <c r="N12" s="148" t="n">
        <f aca="false">B12-M12</f>
        <v>0</v>
      </c>
      <c r="O12" s="148" t="n">
        <f aca="false">IFERROR(H12*M12/B12,0)</f>
        <v>0</v>
      </c>
      <c r="P12" s="148" t="n">
        <f aca="false">H12-O12</f>
        <v>0</v>
      </c>
      <c r="Q12" s="151" t="n">
        <f aca="false">IF(N12&gt;=Assumptions!$B$86,Assumptions!$C$86,IF(N12&gt;=Assumptions!$B$85,Assumptions!$C$85,IF(N12&gt;=Assumptions!$B$84,Assumptions!$C$84,Assumptions!$C$83)))</f>
        <v>0.25</v>
      </c>
      <c r="R12" s="148" t="n">
        <f aca="false">O12*Q12*0.1</f>
        <v>0</v>
      </c>
      <c r="S12" s="148" t="n">
        <f aca="false">P12*0.1</f>
        <v>0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0</v>
      </c>
      <c r="C13" s="158" t="n">
        <f aca="false">SUM(C5:C12)</f>
        <v>0</v>
      </c>
      <c r="D13" s="158" t="n">
        <f aca="false">SUM(D5:D12)</f>
        <v>0</v>
      </c>
      <c r="E13" s="158" t="n">
        <f aca="false">SUM(E5:E12)</f>
        <v>0</v>
      </c>
      <c r="F13" s="158" t="n">
        <f aca="false">SUM(F5:F12)</f>
        <v>0</v>
      </c>
      <c r="G13" s="158" t="n">
        <f aca="false">SUM(G5:G12)</f>
        <v>-22861300.3747997</v>
      </c>
      <c r="H13" s="158" t="n">
        <f aca="false">SUM(H5:H12)</f>
        <v>0</v>
      </c>
      <c r="I13" s="159" t="n">
        <f aca="false">SUM(I5:I12)</f>
        <v>0</v>
      </c>
      <c r="J13" s="158" t="n">
        <f aca="false">SUM(J5:J12)</f>
        <v>1720500</v>
      </c>
      <c r="K13" s="158" t="n">
        <f aca="false">SUM(K5:K12)</f>
        <v>1720500</v>
      </c>
      <c r="L13" s="160" t="n">
        <f aca="false">IFERROR(I13/K13,0)</f>
        <v>0</v>
      </c>
      <c r="M13" s="161" t="n">
        <f aca="false">SUM(M5:M12)</f>
        <v>0</v>
      </c>
      <c r="N13" s="161" t="n">
        <f aca="false">SUM(N5:N12)</f>
        <v>0</v>
      </c>
      <c r="O13" s="161" t="n">
        <f aca="false">SUM(O5:O12)</f>
        <v>0</v>
      </c>
      <c r="P13" s="161" t="n">
        <f aca="false">SUM(P5:P12)</f>
        <v>0</v>
      </c>
      <c r="Q13" s="162" t="n">
        <f aca="false">IFERROR(R13/O13,0)</f>
        <v>0</v>
      </c>
      <c r="R13" s="161" t="n">
        <f aca="false">SUM(R5:R12)</f>
        <v>0</v>
      </c>
      <c r="S13" s="161" t="n">
        <f aca="false">SUM(S5:S12)</f>
        <v>0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7</v>
      </c>
      <c r="D11" s="177" t="n">
        <v>19</v>
      </c>
      <c r="E11" s="177" t="n">
        <v>3</v>
      </c>
      <c r="F11" s="177" t="s">
        <v>351</v>
      </c>
      <c r="G11" s="177" t="s">
        <v>352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25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7</v>
      </c>
      <c r="D12" s="177" t="n">
        <v>19</v>
      </c>
      <c r="E12" s="177" t="n">
        <v>3</v>
      </c>
      <c r="F12" s="177" t="s">
        <v>351</v>
      </c>
      <c r="G12" s="177" t="s">
        <v>352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25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351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351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351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351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351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351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351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351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351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351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351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351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351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351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351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351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351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351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351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351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351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351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351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351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351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351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351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351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266611.58</v>
      </c>
      <c r="H14" s="237" t="n">
        <f aca="false">Model!J157+Model!J158+Model!J159</f>
        <v>12631.58</v>
      </c>
      <c r="I14" s="237" t="n">
        <f aca="false">Model!K157+Model!K158+Model!K159</f>
        <v>12631.58</v>
      </c>
      <c r="J14" s="237" t="n">
        <f aca="false">Model!L157+Model!L158+Model!L159</f>
        <v>12631.58</v>
      </c>
      <c r="K14" s="237" t="n">
        <f aca="false">Model!M157+Model!M158+Model!M159</f>
        <v>12631.58</v>
      </c>
      <c r="L14" s="237" t="n">
        <f aca="false">Model!N157+Model!N158+Model!N159</f>
        <v>12631.58</v>
      </c>
      <c r="M14" s="237" t="n">
        <f aca="false">Model!O157+Model!O158+Model!O159</f>
        <v>12631.58</v>
      </c>
      <c r="N14" s="237" t="n">
        <f aca="false">Model!P157+Model!P158+Model!P159</f>
        <v>12631.58</v>
      </c>
      <c r="O14" s="237" t="n">
        <f aca="false">Model!Q157+Model!Q158+Model!Q159</f>
        <v>12631.58</v>
      </c>
      <c r="P14" s="237" t="n">
        <f aca="false">Model!R157+Model!R158+Model!R159</f>
        <v>12631.58</v>
      </c>
      <c r="Q14" s="237" t="n">
        <f aca="false">Model!S157+Model!S158+Model!S159</f>
        <v>12631.58</v>
      </c>
      <c r="R14" s="237" t="n">
        <f aca="false">Model!T157+Model!T158+Model!T159</f>
        <v>12631.58</v>
      </c>
      <c r="S14" s="237" t="n">
        <f aca="false">Model!U157+Model!U158+Model!U159</f>
        <v>12631.58</v>
      </c>
      <c r="T14" s="237" t="n">
        <f aca="false">Model!V157+Model!V158+Model!V159</f>
        <v>12631.58</v>
      </c>
      <c r="U14" s="237" t="n">
        <f aca="false">Model!W157+Model!W158+Model!W159</f>
        <v>12631.58</v>
      </c>
      <c r="V14" s="237" t="n">
        <f aca="false">Model!X157+Model!X158+Model!X159</f>
        <v>12631.58</v>
      </c>
      <c r="W14" s="237" t="n">
        <f aca="false">Model!Y157+Model!Y158+Model!Y159</f>
        <v>12631.58</v>
      </c>
      <c r="X14" s="237" t="n">
        <f aca="false">Model!Z157+Model!Z158+Model!Z159</f>
        <v>12631.58</v>
      </c>
      <c r="Y14" s="237" t="n">
        <f aca="false">Model!AA157+Model!AA158+Model!AA159</f>
        <v>12631.58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-155771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110840.58</v>
      </c>
      <c r="H16" s="239" t="n">
        <f aca="false">H14+H15</f>
        <v>12631.58</v>
      </c>
      <c r="I16" s="239" t="n">
        <f aca="false">I14+I15</f>
        <v>12631.58</v>
      </c>
      <c r="J16" s="239" t="n">
        <f aca="false">J14+J15</f>
        <v>12631.58</v>
      </c>
      <c r="K16" s="239" t="n">
        <f aca="false">K14+K15</f>
        <v>12631.58</v>
      </c>
      <c r="L16" s="239" t="n">
        <f aca="false">L14+L15</f>
        <v>12631.58</v>
      </c>
      <c r="M16" s="239" t="n">
        <f aca="false">M14+M15</f>
        <v>12631.58</v>
      </c>
      <c r="N16" s="239" t="n">
        <f aca="false">N14+N15</f>
        <v>12631.58</v>
      </c>
      <c r="O16" s="239" t="n">
        <f aca="false">O14+O15</f>
        <v>12631.58</v>
      </c>
      <c r="P16" s="239" t="n">
        <f aca="false">P14+P15</f>
        <v>12631.58</v>
      </c>
      <c r="Q16" s="239" t="n">
        <f aca="false">Q14+Q15</f>
        <v>12631.58</v>
      </c>
      <c r="R16" s="239" t="n">
        <f aca="false">R14+R15</f>
        <v>12631.58</v>
      </c>
      <c r="S16" s="239" t="n">
        <f aca="false">S14+S15</f>
        <v>12631.58</v>
      </c>
      <c r="T16" s="239" t="n">
        <f aca="false">T14+T15</f>
        <v>12631.58</v>
      </c>
      <c r="U16" s="239" t="n">
        <f aca="false">U14+U15</f>
        <v>12631.58</v>
      </c>
      <c r="V16" s="239" t="n">
        <f aca="false">V14+V15</f>
        <v>12631.58</v>
      </c>
      <c r="W16" s="239" t="n">
        <f aca="false">W14+W15</f>
        <v>12631.58</v>
      </c>
      <c r="X16" s="239" t="n">
        <f aca="false">X14+X15</f>
        <v>12631.58</v>
      </c>
      <c r="Y16" s="239" t="n">
        <f aca="false">Y14+Y15</f>
        <v>12631.58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110840.58</v>
      </c>
      <c r="H17" s="240" t="n">
        <f aca="false">G17+H16</f>
        <v>123472.16</v>
      </c>
      <c r="I17" s="240" t="n">
        <f aca="false">H17+I16</f>
        <v>136103.74</v>
      </c>
      <c r="J17" s="240" t="n">
        <f aca="false">I17+J16</f>
        <v>148735.32</v>
      </c>
      <c r="K17" s="240" t="n">
        <f aca="false">J17+K16</f>
        <v>161366.9</v>
      </c>
      <c r="L17" s="240" t="n">
        <f aca="false">K17+L16</f>
        <v>173998.48</v>
      </c>
      <c r="M17" s="240" t="n">
        <f aca="false">L17+M16</f>
        <v>186630.06</v>
      </c>
      <c r="N17" s="240" t="n">
        <f aca="false">M17+N16</f>
        <v>199261.64</v>
      </c>
      <c r="O17" s="240" t="n">
        <f aca="false">N17+O16</f>
        <v>211893.22</v>
      </c>
      <c r="P17" s="240" t="n">
        <f aca="false">O17+P16</f>
        <v>224524.8</v>
      </c>
      <c r="Q17" s="240" t="n">
        <f aca="false">P17+Q16</f>
        <v>237156.38</v>
      </c>
      <c r="R17" s="240" t="n">
        <f aca="false">Q17+R16</f>
        <v>249787.96</v>
      </c>
      <c r="S17" s="240" t="n">
        <f aca="false">R17+S16</f>
        <v>262419.54</v>
      </c>
      <c r="T17" s="240" t="n">
        <f aca="false">S17+T16</f>
        <v>275051.12</v>
      </c>
      <c r="U17" s="240" t="n">
        <f aca="false">T17+U16</f>
        <v>287682.7</v>
      </c>
      <c r="V17" s="240" t="n">
        <f aca="false">U17+V16</f>
        <v>300314.28</v>
      </c>
      <c r="W17" s="240" t="n">
        <f aca="false">V17+W16</f>
        <v>312945.86</v>
      </c>
      <c r="X17" s="240" t="n">
        <f aca="false">W17+X16</f>
        <v>325577.44</v>
      </c>
      <c r="Y17" s="240" t="n">
        <f aca="false">X17+Y16</f>
        <v>338209.02</v>
      </c>
      <c r="Z17" s="240" t="n">
        <f aca="false">Y17+Z16</f>
        <v>338209.02</v>
      </c>
      <c r="AA17" s="240" t="n">
        <f aca="false">Z17+AA16</f>
        <v>338209.02</v>
      </c>
      <c r="AB17" s="240" t="n">
        <f aca="false">AA17+AB16</f>
        <v>338209.02</v>
      </c>
      <c r="AC17" s="240" t="n">
        <f aca="false">AB17+AC16</f>
        <v>338209.02</v>
      </c>
      <c r="AD17" s="240" t="n">
        <f aca="false">AC17+AD16</f>
        <v>338209.02</v>
      </c>
      <c r="AE17" s="240" t="n">
        <f aca="false">AD17+AE16</f>
        <v>338209.02</v>
      </c>
      <c r="AF17" s="240" t="n">
        <f aca="false">AE17+AF16</f>
        <v>338209.02</v>
      </c>
      <c r="AG17" s="240" t="n">
        <f aca="false">AF17+AG16</f>
        <v>338209.02</v>
      </c>
      <c r="AH17" s="240" t="n">
        <f aca="false">AG17+AH16</f>
        <v>338209.02</v>
      </c>
      <c r="AI17" s="240" t="n">
        <f aca="false">AH17+AI16</f>
        <v>338209.02</v>
      </c>
      <c r="AJ17" s="240" t="n">
        <f aca="false">AI17+AJ16</f>
        <v>338209.02</v>
      </c>
      <c r="AK17" s="240" t="n">
        <f aca="false">AJ17+AK16</f>
        <v>338209.02</v>
      </c>
      <c r="AL17" s="240" t="n">
        <f aca="false">AK17+AL16</f>
        <v>338209.02</v>
      </c>
      <c r="AM17" s="240" t="n">
        <f aca="false">AL17+AM16</f>
        <v>338209.02</v>
      </c>
      <c r="AN17" s="240" t="n">
        <f aca="false">AM17+AN16</f>
        <v>338209.02</v>
      </c>
      <c r="AO17" s="240" t="n">
        <f aca="false">AN17+AO16</f>
        <v>338209.02</v>
      </c>
      <c r="AP17" s="240" t="n">
        <f aca="false">AO17+AP16</f>
        <v>338209.02</v>
      </c>
      <c r="AQ17" s="240" t="n">
        <f aca="false">AP17+AQ16</f>
        <v>338209.02</v>
      </c>
      <c r="AR17" s="240" t="n">
        <f aca="false">AQ17+AR16</f>
        <v>338209.02</v>
      </c>
      <c r="AS17" s="240" t="n">
        <f aca="false">AR17+AS16</f>
        <v>338209.02</v>
      </c>
      <c r="AT17" s="240" t="n">
        <f aca="false">AS17+AT16</f>
        <v>338209.02</v>
      </c>
      <c r="AU17" s="240" t="n">
        <f aca="false">AT17+AU16</f>
        <v>338209.02</v>
      </c>
      <c r="AV17" s="240" t="n">
        <f aca="false">AU17+AV16</f>
        <v>338209.02</v>
      </c>
      <c r="AW17" s="240" t="n">
        <f aca="false">AV17+AW16</f>
        <v>338209.02</v>
      </c>
      <c r="AX17" s="240" t="n">
        <f aca="false">AW17+AX16</f>
        <v>338209.02</v>
      </c>
      <c r="AY17" s="240" t="n">
        <f aca="false">AX17+AY16</f>
        <v>338209.02</v>
      </c>
      <c r="AZ17" s="240" t="n">
        <f aca="false">AY17+AZ16</f>
        <v>338209.02</v>
      </c>
      <c r="BA17" s="240" t="n">
        <f aca="false">AZ17+BA16</f>
        <v>338209.02</v>
      </c>
      <c r="BB17" s="240" t="n">
        <f aca="false">BA17+BB16</f>
        <v>338209.02</v>
      </c>
      <c r="BC17" s="240" t="n">
        <f aca="false">BB17+BC16</f>
        <v>338209.02</v>
      </c>
      <c r="BD17" s="240" t="n">
        <f aca="false">BC17+BD16</f>
        <v>338209.02</v>
      </c>
      <c r="BE17" s="240" t="n">
        <f aca="false">BD17+BE16</f>
        <v>338209.02</v>
      </c>
      <c r="BF17" s="240" t="n">
        <f aca="false">BE17+BF16</f>
        <v>338209.02</v>
      </c>
      <c r="BG17" s="240" t="n">
        <f aca="false">BF17+BG16</f>
        <v>338209.02</v>
      </c>
      <c r="BH17" s="240" t="n">
        <f aca="false">BG17+BH16</f>
        <v>338209.02</v>
      </c>
      <c r="BI17" s="240" t="n">
        <f aca="false">BH17+BI16</f>
        <v>338209.02</v>
      </c>
      <c r="BJ17" s="240" t="n">
        <f aca="false">BI17+BJ16</f>
        <v>338209.02</v>
      </c>
      <c r="BK17" s="240" t="n">
        <f aca="false">BJ17+BK16</f>
        <v>338209.02</v>
      </c>
      <c r="BL17" s="240" t="n">
        <f aca="false">BK17+BL16</f>
        <v>338209.02</v>
      </c>
      <c r="BM17" s="240" t="n">
        <f aca="false">BL17+BM16</f>
        <v>338209.02</v>
      </c>
      <c r="BN17" s="240" t="n">
        <f aca="false">BM17+BN16</f>
        <v>338209.02</v>
      </c>
      <c r="BO17" s="240" t="n">
        <f aca="false">BN17+BO16</f>
        <v>338209.02</v>
      </c>
      <c r="BP17" s="240" t="n">
        <f aca="false">BO17+BP16</f>
        <v>338209.02</v>
      </c>
      <c r="BQ17" s="240" t="n">
        <f aca="false">BP17+BQ16</f>
        <v>338209.02</v>
      </c>
      <c r="BR17" s="240" t="n">
        <f aca="false">BQ17+BR16</f>
        <v>338209.02</v>
      </c>
      <c r="BS17" s="240" t="n">
        <f aca="false">BR17+BS16</f>
        <v>338209.02</v>
      </c>
      <c r="BT17" s="240" t="n">
        <f aca="false">BS17+BT16</f>
        <v>338209.02</v>
      </c>
      <c r="BU17" s="240" t="n">
        <f aca="false">BT17+BU16</f>
        <v>338209.02</v>
      </c>
      <c r="BV17" s="240" t="n">
        <f aca="false">BU17+BV16</f>
        <v>338209.02</v>
      </c>
      <c r="BW17" s="240" t="n">
        <f aca="false">BV17+BW16</f>
        <v>338209.02</v>
      </c>
      <c r="BX17" s="240" t="n">
        <f aca="false">BW17+BX16</f>
        <v>338209.02</v>
      </c>
      <c r="BY17" s="240" t="n">
        <f aca="false">BX17+BY16</f>
        <v>338209.02</v>
      </c>
      <c r="BZ17" s="240" t="n">
        <f aca="false">BY17+BZ16</f>
        <v>338209.02</v>
      </c>
      <c r="CA17" s="240" t="n">
        <f aca="false">BZ17+CA16</f>
        <v>338209.02</v>
      </c>
      <c r="CB17" s="240" t="n">
        <f aca="false">CA17+CB16</f>
        <v>338209.02</v>
      </c>
      <c r="CC17" s="240" t="n">
        <f aca="false">CB17+CC16</f>
        <v>338209.02</v>
      </c>
      <c r="CD17" s="240" t="n">
        <f aca="false">CC17+CD16</f>
        <v>338209.02</v>
      </c>
      <c r="CE17" s="240" t="n">
        <f aca="false">CD17+CE16</f>
        <v>338209.02</v>
      </c>
      <c r="CF17" s="240" t="n">
        <f aca="false">CE17+CF16</f>
        <v>338209.02</v>
      </c>
      <c r="CG17" s="240" t="n">
        <f aca="false">CF17+CG16</f>
        <v>338209.02</v>
      </c>
      <c r="CH17" s="240" t="n">
        <f aca="false">CG17+CH16</f>
        <v>338209.02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192797.63</v>
      </c>
      <c r="I20" s="237" t="n">
        <f aca="false">Model!K160+Model!K161+Model!K162</f>
        <v>11052.63</v>
      </c>
      <c r="J20" s="237" t="n">
        <f aca="false">Model!L160+Model!L161+Model!L162</f>
        <v>11052.63</v>
      </c>
      <c r="K20" s="237" t="n">
        <f aca="false">Model!M160+Model!M161+Model!M162</f>
        <v>11052.63</v>
      </c>
      <c r="L20" s="237" t="n">
        <f aca="false">Model!N160+Model!N161+Model!N162</f>
        <v>11052.63</v>
      </c>
      <c r="M20" s="237" t="n">
        <f aca="false">Model!O160+Model!O161+Model!O162</f>
        <v>11052.63</v>
      </c>
      <c r="N20" s="237" t="n">
        <f aca="false">Model!P160+Model!P161+Model!P162</f>
        <v>11052.63</v>
      </c>
      <c r="O20" s="237" t="n">
        <f aca="false">Model!Q160+Model!Q161+Model!Q162</f>
        <v>11052.63</v>
      </c>
      <c r="P20" s="237" t="n">
        <f aca="false">Model!R160+Model!R161+Model!R162</f>
        <v>11052.63</v>
      </c>
      <c r="Q20" s="237" t="n">
        <f aca="false">Model!S160+Model!S161+Model!S162</f>
        <v>11052.63</v>
      </c>
      <c r="R20" s="237" t="n">
        <f aca="false">Model!T160+Model!T161+Model!T162</f>
        <v>11052.63</v>
      </c>
      <c r="S20" s="237" t="n">
        <f aca="false">Model!U160+Model!U161+Model!U162</f>
        <v>11052.63</v>
      </c>
      <c r="T20" s="237" t="n">
        <f aca="false">Model!V160+Model!V161+Model!V162</f>
        <v>11052.63</v>
      </c>
      <c r="U20" s="237" t="n">
        <f aca="false">Model!W160+Model!W161+Model!W162</f>
        <v>11052.63</v>
      </c>
      <c r="V20" s="237" t="n">
        <f aca="false">Model!X160+Model!X161+Model!X162</f>
        <v>11052.63</v>
      </c>
      <c r="W20" s="237" t="n">
        <f aca="false">Model!Y160+Model!Y161+Model!Y162</f>
        <v>11052.63</v>
      </c>
      <c r="X20" s="237" t="n">
        <f aca="false">Model!Z160+Model!Z161+Model!Z162</f>
        <v>11052.63</v>
      </c>
      <c r="Y20" s="237" t="n">
        <f aca="false">Model!AA160+Model!AA161+Model!AA162</f>
        <v>11052.63</v>
      </c>
      <c r="Z20" s="237" t="n">
        <f aca="false">Model!AB160+Model!AB161+Model!AB162</f>
        <v>11052.63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-135452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57345.63</v>
      </c>
      <c r="I22" s="239" t="n">
        <f aca="false">I20+I21</f>
        <v>11052.63</v>
      </c>
      <c r="J22" s="239" t="n">
        <f aca="false">J20+J21</f>
        <v>11052.63</v>
      </c>
      <c r="K22" s="239" t="n">
        <f aca="false">K20+K21</f>
        <v>11052.63</v>
      </c>
      <c r="L22" s="239" t="n">
        <f aca="false">L20+L21</f>
        <v>11052.63</v>
      </c>
      <c r="M22" s="239" t="n">
        <f aca="false">M20+M21</f>
        <v>11052.63</v>
      </c>
      <c r="N22" s="239" t="n">
        <f aca="false">N20+N21</f>
        <v>11052.63</v>
      </c>
      <c r="O22" s="239" t="n">
        <f aca="false">O20+O21</f>
        <v>11052.63</v>
      </c>
      <c r="P22" s="239" t="n">
        <f aca="false">P20+P21</f>
        <v>11052.63</v>
      </c>
      <c r="Q22" s="239" t="n">
        <f aca="false">Q20+Q21</f>
        <v>11052.63</v>
      </c>
      <c r="R22" s="239" t="n">
        <f aca="false">R20+R21</f>
        <v>11052.63</v>
      </c>
      <c r="S22" s="239" t="n">
        <f aca="false">S20+S21</f>
        <v>11052.63</v>
      </c>
      <c r="T22" s="239" t="n">
        <f aca="false">T20+T21</f>
        <v>11052.63</v>
      </c>
      <c r="U22" s="239" t="n">
        <f aca="false">U20+U21</f>
        <v>11052.63</v>
      </c>
      <c r="V22" s="239" t="n">
        <f aca="false">V20+V21</f>
        <v>11052.63</v>
      </c>
      <c r="W22" s="239" t="n">
        <f aca="false">W20+W21</f>
        <v>11052.63</v>
      </c>
      <c r="X22" s="239" t="n">
        <f aca="false">X20+X21</f>
        <v>11052.63</v>
      </c>
      <c r="Y22" s="239" t="n">
        <f aca="false">Y20+Y21</f>
        <v>11052.63</v>
      </c>
      <c r="Z22" s="239" t="n">
        <f aca="false">Z20+Z21</f>
        <v>11052.63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57345.63</v>
      </c>
      <c r="I23" s="240" t="n">
        <f aca="false">H23+I22</f>
        <v>68398.26</v>
      </c>
      <c r="J23" s="240" t="n">
        <f aca="false">I23+J22</f>
        <v>79450.89</v>
      </c>
      <c r="K23" s="240" t="n">
        <f aca="false">J23+K22</f>
        <v>90503.52</v>
      </c>
      <c r="L23" s="240" t="n">
        <f aca="false">K23+L22</f>
        <v>101556.15</v>
      </c>
      <c r="M23" s="240" t="n">
        <f aca="false">L23+M22</f>
        <v>112608.78</v>
      </c>
      <c r="N23" s="240" t="n">
        <f aca="false">M23+N22</f>
        <v>123661.41</v>
      </c>
      <c r="O23" s="240" t="n">
        <f aca="false">N23+O22</f>
        <v>134714.04</v>
      </c>
      <c r="P23" s="240" t="n">
        <f aca="false">O23+P22</f>
        <v>145766.67</v>
      </c>
      <c r="Q23" s="240" t="n">
        <f aca="false">P23+Q22</f>
        <v>156819.3</v>
      </c>
      <c r="R23" s="240" t="n">
        <f aca="false">Q23+R22</f>
        <v>167871.93</v>
      </c>
      <c r="S23" s="240" t="n">
        <f aca="false">R23+S22</f>
        <v>178924.56</v>
      </c>
      <c r="T23" s="240" t="n">
        <f aca="false">S23+T22</f>
        <v>189977.19</v>
      </c>
      <c r="U23" s="240" t="n">
        <f aca="false">T23+U22</f>
        <v>201029.82</v>
      </c>
      <c r="V23" s="240" t="n">
        <f aca="false">U23+V22</f>
        <v>212082.45</v>
      </c>
      <c r="W23" s="240" t="n">
        <f aca="false">V23+W22</f>
        <v>223135.08</v>
      </c>
      <c r="X23" s="240" t="n">
        <f aca="false">W23+X22</f>
        <v>234187.71</v>
      </c>
      <c r="Y23" s="240" t="n">
        <f aca="false">X23+Y22</f>
        <v>245240.34</v>
      </c>
      <c r="Z23" s="240" t="n">
        <f aca="false">Y23+Z22</f>
        <v>256292.97</v>
      </c>
      <c r="AA23" s="240" t="n">
        <f aca="false">Z23+AA22</f>
        <v>256292.97</v>
      </c>
      <c r="AB23" s="240" t="n">
        <f aca="false">AA23+AB22</f>
        <v>256292.97</v>
      </c>
      <c r="AC23" s="240" t="n">
        <f aca="false">AB23+AC22</f>
        <v>256292.97</v>
      </c>
      <c r="AD23" s="240" t="n">
        <f aca="false">AC23+AD22</f>
        <v>256292.97</v>
      </c>
      <c r="AE23" s="240" t="n">
        <f aca="false">AD23+AE22</f>
        <v>256292.97</v>
      </c>
      <c r="AF23" s="240" t="n">
        <f aca="false">AE23+AF22</f>
        <v>256292.97</v>
      </c>
      <c r="AG23" s="240" t="n">
        <f aca="false">AF23+AG22</f>
        <v>256292.97</v>
      </c>
      <c r="AH23" s="240" t="n">
        <f aca="false">AG23+AH22</f>
        <v>256292.97</v>
      </c>
      <c r="AI23" s="240" t="n">
        <f aca="false">AH23+AI22</f>
        <v>256292.97</v>
      </c>
      <c r="AJ23" s="240" t="n">
        <f aca="false">AI23+AJ22</f>
        <v>256292.97</v>
      </c>
      <c r="AK23" s="240" t="n">
        <f aca="false">AJ23+AK22</f>
        <v>256292.97</v>
      </c>
      <c r="AL23" s="240" t="n">
        <f aca="false">AK23+AL22</f>
        <v>256292.97</v>
      </c>
      <c r="AM23" s="240" t="n">
        <f aca="false">AL23+AM22</f>
        <v>256292.97</v>
      </c>
      <c r="AN23" s="240" t="n">
        <f aca="false">AM23+AN22</f>
        <v>256292.97</v>
      </c>
      <c r="AO23" s="240" t="n">
        <f aca="false">AN23+AO22</f>
        <v>256292.97</v>
      </c>
      <c r="AP23" s="240" t="n">
        <f aca="false">AO23+AP22</f>
        <v>256292.97</v>
      </c>
      <c r="AQ23" s="240" t="n">
        <f aca="false">AP23+AQ22</f>
        <v>256292.97</v>
      </c>
      <c r="AR23" s="240" t="n">
        <f aca="false">AQ23+AR22</f>
        <v>256292.97</v>
      </c>
      <c r="AS23" s="240" t="n">
        <f aca="false">AR23+AS22</f>
        <v>256292.97</v>
      </c>
      <c r="AT23" s="240" t="n">
        <f aca="false">AS23+AT22</f>
        <v>256292.97</v>
      </c>
      <c r="AU23" s="240" t="n">
        <f aca="false">AT23+AU22</f>
        <v>256292.97</v>
      </c>
      <c r="AV23" s="240" t="n">
        <f aca="false">AU23+AV22</f>
        <v>256292.97</v>
      </c>
      <c r="AW23" s="240" t="n">
        <f aca="false">AV23+AW22</f>
        <v>256292.97</v>
      </c>
      <c r="AX23" s="240" t="n">
        <f aca="false">AW23+AX22</f>
        <v>256292.97</v>
      </c>
      <c r="AY23" s="240" t="n">
        <f aca="false">AX23+AY22</f>
        <v>256292.97</v>
      </c>
      <c r="AZ23" s="240" t="n">
        <f aca="false">AY23+AZ22</f>
        <v>256292.97</v>
      </c>
      <c r="BA23" s="240" t="n">
        <f aca="false">AZ23+BA22</f>
        <v>256292.97</v>
      </c>
      <c r="BB23" s="240" t="n">
        <f aca="false">BA23+BB22</f>
        <v>256292.97</v>
      </c>
      <c r="BC23" s="240" t="n">
        <f aca="false">BB23+BC22</f>
        <v>256292.97</v>
      </c>
      <c r="BD23" s="240" t="n">
        <f aca="false">BC23+BD22</f>
        <v>256292.97</v>
      </c>
      <c r="BE23" s="240" t="n">
        <f aca="false">BD23+BE22</f>
        <v>256292.97</v>
      </c>
      <c r="BF23" s="240" t="n">
        <f aca="false">BE23+BF22</f>
        <v>256292.97</v>
      </c>
      <c r="BG23" s="240" t="n">
        <f aca="false">BF23+BG22</f>
        <v>256292.97</v>
      </c>
      <c r="BH23" s="240" t="n">
        <f aca="false">BG23+BH22</f>
        <v>256292.97</v>
      </c>
      <c r="BI23" s="240" t="n">
        <f aca="false">BH23+BI22</f>
        <v>256292.97</v>
      </c>
      <c r="BJ23" s="240" t="n">
        <f aca="false">BI23+BJ22</f>
        <v>256292.97</v>
      </c>
      <c r="BK23" s="240" t="n">
        <f aca="false">BJ23+BK22</f>
        <v>256292.97</v>
      </c>
      <c r="BL23" s="240" t="n">
        <f aca="false">BK23+BL22</f>
        <v>256292.97</v>
      </c>
      <c r="BM23" s="240" t="n">
        <f aca="false">BL23+BM22</f>
        <v>256292.97</v>
      </c>
      <c r="BN23" s="240" t="n">
        <f aca="false">BM23+BN22</f>
        <v>256292.97</v>
      </c>
      <c r="BO23" s="240" t="n">
        <f aca="false">BN23+BO22</f>
        <v>256292.97</v>
      </c>
      <c r="BP23" s="240" t="n">
        <f aca="false">BO23+BP22</f>
        <v>256292.97</v>
      </c>
      <c r="BQ23" s="240" t="n">
        <f aca="false">BP23+BQ22</f>
        <v>256292.97</v>
      </c>
      <c r="BR23" s="240" t="n">
        <f aca="false">BQ23+BR22</f>
        <v>256292.97</v>
      </c>
      <c r="BS23" s="240" t="n">
        <f aca="false">BR23+BS22</f>
        <v>256292.97</v>
      </c>
      <c r="BT23" s="240" t="n">
        <f aca="false">BS23+BT22</f>
        <v>256292.97</v>
      </c>
      <c r="BU23" s="240" t="n">
        <f aca="false">BT23+BU22</f>
        <v>256292.97</v>
      </c>
      <c r="BV23" s="240" t="n">
        <f aca="false">BU23+BV22</f>
        <v>256292.97</v>
      </c>
      <c r="BW23" s="240" t="n">
        <f aca="false">BV23+BW22</f>
        <v>256292.97</v>
      </c>
      <c r="BX23" s="240" t="n">
        <f aca="false">BW23+BX22</f>
        <v>256292.97</v>
      </c>
      <c r="BY23" s="240" t="n">
        <f aca="false">BX23+BY22</f>
        <v>256292.97</v>
      </c>
      <c r="BZ23" s="240" t="n">
        <f aca="false">BY23+BZ22</f>
        <v>256292.97</v>
      </c>
      <c r="CA23" s="240" t="n">
        <f aca="false">BZ23+CA22</f>
        <v>256292.97</v>
      </c>
      <c r="CB23" s="240" t="n">
        <f aca="false">CA23+CB22</f>
        <v>256292.97</v>
      </c>
      <c r="CC23" s="240" t="n">
        <f aca="false">CB23+CC22</f>
        <v>256292.97</v>
      </c>
      <c r="CD23" s="240" t="n">
        <f aca="false">CC23+CD22</f>
        <v>256292.97</v>
      </c>
      <c r="CE23" s="240" t="n">
        <f aca="false">CD23+CE22</f>
        <v>256292.97</v>
      </c>
      <c r="CF23" s="240" t="n">
        <f aca="false">CE23+CF22</f>
        <v>256292.97</v>
      </c>
      <c r="CG23" s="240" t="n">
        <f aca="false">CF23+CG22</f>
        <v>256292.97</v>
      </c>
      <c r="CH23" s="240" t="n">
        <f aca="false">CG23+CH22</f>
        <v>256292.97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144121.83</v>
      </c>
      <c r="H45" s="239" t="n">
        <f aca="false">H5+H10+H16+H22+H28+H35+H41</f>
        <v>103258.46</v>
      </c>
      <c r="I45" s="239" t="n">
        <f aca="false">I5+I10+I16+I22+I28+I35+I41</f>
        <v>56965.46</v>
      </c>
      <c r="J45" s="239" t="n">
        <f aca="false">J5+J10+J16+J22+J28+J35+J41</f>
        <v>47590.46</v>
      </c>
      <c r="K45" s="239" t="n">
        <f aca="false">K5+K10+K16+K22+K28+K35+K41</f>
        <v>47590.46</v>
      </c>
      <c r="L45" s="239" t="n">
        <f aca="false">L5+L10+L16+L22+L28+L35+L41</f>
        <v>47590.46</v>
      </c>
      <c r="M45" s="239" t="n">
        <f aca="false">M5+M10+M16+M22+M28+M35+M41</f>
        <v>47590.46</v>
      </c>
      <c r="N45" s="239" t="n">
        <f aca="false">N5+N10+N16+N22+N28+N35+N41</f>
        <v>47590.46</v>
      </c>
      <c r="O45" s="239" t="n">
        <f aca="false">O5+O10+O16+O22+O28+O35+O41</f>
        <v>47590.46</v>
      </c>
      <c r="P45" s="239" t="n">
        <f aca="false">P5+P10+P16+P22+P28+P35+P41</f>
        <v>47590.46</v>
      </c>
      <c r="Q45" s="239" t="n">
        <f aca="false">Q5+Q10+Q16+Q22+Q28+Q35+Q41</f>
        <v>47590.46</v>
      </c>
      <c r="R45" s="239" t="n">
        <f aca="false">R5+R10+R16+R22+R28+R35+R41</f>
        <v>23684.21</v>
      </c>
      <c r="S45" s="239" t="n">
        <f aca="false">S5+S10+S16+S22+S28+S35+S41</f>
        <v>23684.21</v>
      </c>
      <c r="T45" s="239" t="n">
        <f aca="false">T5+T10+T16+T22+T28+T35+T41</f>
        <v>23684.21</v>
      </c>
      <c r="U45" s="239" t="n">
        <f aca="false">U5+U10+U16+U22+U28+U35+U41</f>
        <v>23684.21</v>
      </c>
      <c r="V45" s="239" t="n">
        <f aca="false">V5+V10+V16+V22+V28+V35+V41</f>
        <v>23684.21</v>
      </c>
      <c r="W45" s="239" t="n">
        <f aca="false">W5+W10+W16+W22+W28+W35+W41</f>
        <v>81059.21</v>
      </c>
      <c r="X45" s="239" t="n">
        <f aca="false">X5+X10+X16+X22+X28+X35+X41</f>
        <v>23684.21</v>
      </c>
      <c r="Y45" s="239" t="n">
        <f aca="false">Y5+Y10+Y16+Y22+Y28+Y35+Y41</f>
        <v>23684.21</v>
      </c>
      <c r="Z45" s="239" t="n">
        <f aca="false">Z5+Z10+Z16+Z22+Z28+Z35+Z41</f>
        <v>68427.63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277246.83</v>
      </c>
      <c r="H46" s="240" t="n">
        <f aca="false">G46+H45</f>
        <v>380505.29</v>
      </c>
      <c r="I46" s="240" t="n">
        <f aca="false">H46+I45</f>
        <v>437470.75</v>
      </c>
      <c r="J46" s="240" t="n">
        <f aca="false">I46+J45</f>
        <v>485061.21</v>
      </c>
      <c r="K46" s="240" t="n">
        <f aca="false">J46+K45</f>
        <v>532651.67</v>
      </c>
      <c r="L46" s="240" t="n">
        <f aca="false">K46+L45</f>
        <v>580242.13</v>
      </c>
      <c r="M46" s="240" t="n">
        <f aca="false">L46+M45</f>
        <v>627832.59</v>
      </c>
      <c r="N46" s="240" t="n">
        <f aca="false">M46+N45</f>
        <v>675423.05</v>
      </c>
      <c r="O46" s="240" t="n">
        <f aca="false">N46+O45</f>
        <v>723013.51</v>
      </c>
      <c r="P46" s="240" t="n">
        <f aca="false">O46+P45</f>
        <v>770603.97</v>
      </c>
      <c r="Q46" s="240" t="n">
        <f aca="false">P46+Q45</f>
        <v>818194.43</v>
      </c>
      <c r="R46" s="240" t="n">
        <f aca="false">Q46+R45</f>
        <v>841878.64</v>
      </c>
      <c r="S46" s="240" t="n">
        <f aca="false">R46+S45</f>
        <v>865562.85</v>
      </c>
      <c r="T46" s="240" t="n">
        <f aca="false">S46+T45</f>
        <v>889247.06</v>
      </c>
      <c r="U46" s="240" t="n">
        <f aca="false">T46+U45</f>
        <v>912931.27</v>
      </c>
      <c r="V46" s="240" t="n">
        <f aca="false">U46+V45</f>
        <v>936615.48</v>
      </c>
      <c r="W46" s="240" t="n">
        <f aca="false">V46+W45</f>
        <v>1017674.69</v>
      </c>
      <c r="X46" s="240" t="n">
        <f aca="false">W46+X45</f>
        <v>1041358.9</v>
      </c>
      <c r="Y46" s="240" t="n">
        <f aca="false">X46+Y45</f>
        <v>1065043.11</v>
      </c>
      <c r="Z46" s="240" t="n">
        <f aca="false">Y46+Z45</f>
        <v>1133470.74</v>
      </c>
      <c r="AA46" s="240" t="n">
        <f aca="false">Z46+AA45</f>
        <v>1133470.74</v>
      </c>
      <c r="AB46" s="240" t="n">
        <f aca="false">AA46+AB45</f>
        <v>1133470.74</v>
      </c>
      <c r="AC46" s="240" t="n">
        <f aca="false">AB46+AC45</f>
        <v>1190845.74</v>
      </c>
      <c r="AD46" s="240" t="n">
        <f aca="false">AC46+AD45</f>
        <v>1190845.74</v>
      </c>
      <c r="AE46" s="240" t="n">
        <f aca="false">AD46+AE45</f>
        <v>1190845.74</v>
      </c>
      <c r="AF46" s="240" t="n">
        <f aca="false">AE46+AF45</f>
        <v>1190845.74</v>
      </c>
      <c r="AG46" s="240" t="n">
        <f aca="false">AF46+AG45</f>
        <v>1190845.74</v>
      </c>
      <c r="AH46" s="240" t="n">
        <f aca="false">AG46+AH45</f>
        <v>1190845.74</v>
      </c>
      <c r="AI46" s="240" t="n">
        <f aca="false">AH46+AI45</f>
        <v>1190845.74</v>
      </c>
      <c r="AJ46" s="240" t="n">
        <f aca="false">AI46+AJ45</f>
        <v>1190845.74</v>
      </c>
      <c r="AK46" s="240" t="n">
        <f aca="false">AJ46+AK45</f>
        <v>1190845.74</v>
      </c>
      <c r="AL46" s="240" t="n">
        <f aca="false">AK46+AL45</f>
        <v>1190845.74</v>
      </c>
      <c r="AM46" s="240" t="n">
        <f aca="false">AL46+AM45</f>
        <v>1190845.74</v>
      </c>
      <c r="AN46" s="240" t="n">
        <f aca="false">AM46+AN45</f>
        <v>1190845.74</v>
      </c>
      <c r="AO46" s="240" t="n">
        <f aca="false">AN46+AO45</f>
        <v>1190845.74</v>
      </c>
      <c r="AP46" s="240" t="n">
        <f aca="false">AO46+AP45</f>
        <v>1190845.74</v>
      </c>
      <c r="AQ46" s="240" t="n">
        <f aca="false">AP46+AQ45</f>
        <v>1190845.74</v>
      </c>
      <c r="AR46" s="240" t="n">
        <f aca="false">AQ46+AR45</f>
        <v>1190845.74</v>
      </c>
      <c r="AS46" s="240" t="n">
        <f aca="false">AR46+AS45</f>
        <v>1190845.74</v>
      </c>
      <c r="AT46" s="240" t="n">
        <f aca="false">AS46+AT45</f>
        <v>1190845.74</v>
      </c>
      <c r="AU46" s="240" t="n">
        <f aca="false">AT46+AU45</f>
        <v>1190845.74</v>
      </c>
      <c r="AV46" s="240" t="n">
        <f aca="false">AU46+AV45</f>
        <v>1190845.74</v>
      </c>
      <c r="AW46" s="240" t="n">
        <f aca="false">AV46+AW45</f>
        <v>1190845.74</v>
      </c>
      <c r="AX46" s="240" t="n">
        <f aca="false">AW46+AX45</f>
        <v>1190845.74</v>
      </c>
      <c r="AY46" s="240" t="n">
        <f aca="false">AX46+AY45</f>
        <v>1190845.74</v>
      </c>
      <c r="AZ46" s="240" t="n">
        <f aca="false">AY46+AZ45</f>
        <v>1190845.74</v>
      </c>
      <c r="BA46" s="240" t="n">
        <f aca="false">AZ46+BA45</f>
        <v>1190845.74</v>
      </c>
      <c r="BB46" s="240" t="n">
        <f aca="false">BA46+BB45</f>
        <v>1190845.74</v>
      </c>
      <c r="BC46" s="240" t="n">
        <f aca="false">BB46+BC45</f>
        <v>1190845.74</v>
      </c>
      <c r="BD46" s="240" t="n">
        <f aca="false">BC46+BD45</f>
        <v>1190845.74</v>
      </c>
      <c r="BE46" s="240" t="n">
        <f aca="false">BD46+BE45</f>
        <v>1190845.74</v>
      </c>
      <c r="BF46" s="240" t="n">
        <f aca="false">BE46+BF45</f>
        <v>1190845.74</v>
      </c>
      <c r="BG46" s="240" t="n">
        <f aca="false">BF46+BG45</f>
        <v>1190845.74</v>
      </c>
      <c r="BH46" s="240" t="n">
        <f aca="false">BG46+BH45</f>
        <v>1190845.74</v>
      </c>
      <c r="BI46" s="240" t="n">
        <f aca="false">BH46+BI45</f>
        <v>1190845.74</v>
      </c>
      <c r="BJ46" s="240" t="n">
        <f aca="false">BI46+BJ45</f>
        <v>1190845.74</v>
      </c>
      <c r="BK46" s="240" t="n">
        <f aca="false">BJ46+BK45</f>
        <v>1190845.74</v>
      </c>
      <c r="BL46" s="240" t="n">
        <f aca="false">BK46+BL45</f>
        <v>1190845.74</v>
      </c>
      <c r="BM46" s="240" t="n">
        <f aca="false">BL46+BM45</f>
        <v>1190845.74</v>
      </c>
      <c r="BN46" s="240" t="n">
        <f aca="false">BM46+BN45</f>
        <v>1190845.74</v>
      </c>
      <c r="BO46" s="240" t="n">
        <f aca="false">BN46+BO45</f>
        <v>1190845.74</v>
      </c>
      <c r="BP46" s="240" t="n">
        <f aca="false">BO46+BP45</f>
        <v>1242359.26</v>
      </c>
      <c r="BQ46" s="240" t="n">
        <f aca="false">BP46+BQ45</f>
        <v>1242359.26</v>
      </c>
      <c r="BR46" s="240" t="n">
        <f aca="false">BQ46+BR45</f>
        <v>1242359.26</v>
      </c>
      <c r="BS46" s="240" t="n">
        <f aca="false">BR46+BS45</f>
        <v>1310121.26</v>
      </c>
      <c r="BT46" s="240" t="n">
        <f aca="false">BS46+BT45</f>
        <v>1310121.26</v>
      </c>
      <c r="BU46" s="240" t="n">
        <f aca="false">BT46+BU45</f>
        <v>1310121.26</v>
      </c>
      <c r="BV46" s="240" t="n">
        <f aca="false">BU46+BV45</f>
        <v>1377883.26</v>
      </c>
      <c r="BW46" s="240" t="n">
        <f aca="false">BV46+BW45</f>
        <v>1377883.26</v>
      </c>
      <c r="BX46" s="240" t="n">
        <f aca="false">BW46+BX45</f>
        <v>1377883.26</v>
      </c>
      <c r="BY46" s="240" t="n">
        <f aca="false">BX46+BY45</f>
        <v>1372489.26</v>
      </c>
      <c r="BZ46" s="240" t="n">
        <f aca="false">BY46+BZ45</f>
        <v>1372489.26</v>
      </c>
      <c r="CA46" s="240" t="n">
        <f aca="false">BZ46+CA45</f>
        <v>1372489.26</v>
      </c>
      <c r="CB46" s="240" t="n">
        <f aca="false">CA46+CB45</f>
        <v>1375833.26</v>
      </c>
      <c r="CC46" s="240" t="n">
        <f aca="false">CB46+CC45</f>
        <v>1375833.26</v>
      </c>
      <c r="CD46" s="240" t="n">
        <f aca="false">CC46+CD45</f>
        <v>1375833.26</v>
      </c>
      <c r="CE46" s="240" t="n">
        <f aca="false">CD46+CE45</f>
        <v>1379177.26</v>
      </c>
      <c r="CF46" s="240" t="n">
        <f aca="false">CE46+CF45</f>
        <v>1379177.26</v>
      </c>
      <c r="CG46" s="240" t="n">
        <f aca="false">CF46+CG45</f>
        <v>1379177.26</v>
      </c>
      <c r="CH46" s="240" t="n">
        <f aca="false">CG46+CH45</f>
        <v>1389129.28660648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Yes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Yes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57391900.8072409</v>
      </c>
      <c r="C41" s="239" t="n">
        <f aca="false">'Annual Summary'!C7</f>
        <v>99400602.5664471</v>
      </c>
      <c r="D41" s="239" t="n">
        <f aca="false">'Annual Summary'!D7</f>
        <v>58223803.966534</v>
      </c>
      <c r="E41" s="239" t="n">
        <f aca="false">'Annual Summary'!E7</f>
        <v>32893826.824766</v>
      </c>
      <c r="F41" s="239" t="n">
        <f aca="false">'Annual Summary'!F7</f>
        <v>13258749.920152</v>
      </c>
      <c r="G41" s="239" t="n">
        <f aca="false">'Annual Summary'!G7</f>
        <v>0</v>
      </c>
      <c r="H41" s="239" t="n">
        <f aca="false">'Annual Summary'!H7</f>
        <v>0</v>
      </c>
      <c r="I41" s="239" t="n">
        <f aca="false">'Annual Summary'!I7</f>
        <v>0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1982241.8302684</v>
      </c>
      <c r="C42" s="257" t="n">
        <f aca="false">'Annual Summary'!C20</f>
        <v>1875522.71285574</v>
      </c>
      <c r="D42" s="257" t="n">
        <f aca="false">'Annual Summary'!D20</f>
        <v>613739.118666511</v>
      </c>
      <c r="E42" s="257" t="n">
        <f aca="false">'Annual Summary'!E20</f>
        <v>-2120961.45355047</v>
      </c>
      <c r="F42" s="257" t="n">
        <f aca="false">'Annual Summary'!F20</f>
        <v>-4827320.59550543</v>
      </c>
      <c r="G42" s="257" t="n">
        <f aca="false">'Annual Summary'!G20</f>
        <v>-6921803.17851734</v>
      </c>
      <c r="H42" s="257" t="n">
        <f aca="false">'Annual Summary'!H20</f>
        <v>-7035319.24208769</v>
      </c>
      <c r="I42" s="257" t="n">
        <f aca="false">'Annual Summary'!I20</f>
        <v>-7151105.62692945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0.0345387032383899</v>
      </c>
      <c r="C43" s="246" t="n">
        <f aca="false">'Annual Summary'!C21</f>
        <v>0.0188683233746194</v>
      </c>
      <c r="D43" s="246" t="n">
        <f aca="false">'Annual Summary'!D21</f>
        <v>0.0105410343683363</v>
      </c>
      <c r="E43" s="246" t="n">
        <f aca="false">'Annual Summary'!E21</f>
        <v>-0.0644790119693091</v>
      </c>
      <c r="F43" s="246" t="n">
        <f aca="false">'Annual Summary'!F21</f>
        <v>-0.364085650953291</v>
      </c>
      <c r="G43" s="246" t="n">
        <f aca="false">'Annual Summary'!G21</f>
        <v>0</v>
      </c>
      <c r="H43" s="246" t="n">
        <f aca="false">'Annual Summary'!H21</f>
        <v>0</v>
      </c>
      <c r="I43" s="246" t="n">
        <f aca="false">'Annual Summary'!I21</f>
        <v>0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1015885.06</v>
      </c>
      <c r="C45" s="239" t="n">
        <f aca="false">'Annual Summary'!C23</f>
        <v>599023.02</v>
      </c>
      <c r="D45" s="239" t="n">
        <f aca="false">'Annual Summary'!D23</f>
        <v>258671.05</v>
      </c>
      <c r="E45" s="239" t="n">
        <f aca="false">'Annual Summary'!E23</f>
        <v>163365</v>
      </c>
      <c r="F45" s="239" t="n">
        <f aca="false">'Annual Summary'!F23</f>
        <v>1276957</v>
      </c>
      <c r="G45" s="239" t="n">
        <f aca="false">'Annual Summary'!G23</f>
        <v>546560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-914256.761666667</v>
      </c>
      <c r="C46" s="257" t="n">
        <f aca="false">'Annual Summary'!C25</f>
        <v>-352114.2965</v>
      </c>
      <c r="D46" s="257" t="n">
        <f aca="false">'Annual Summary'!D25</f>
        <v>-711489.01283</v>
      </c>
      <c r="E46" s="257" t="n">
        <f aca="false">'Annual Summary'!E25</f>
        <v>-989563.2640866</v>
      </c>
      <c r="F46" s="257" t="n">
        <f aca="false">'Annual Summary'!F25</f>
        <v>-1009354.52936833</v>
      </c>
      <c r="G46" s="257" t="n">
        <f aca="false">'Annual Summary'!G25</f>
        <v>-910266.099955699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1067985.06860174</v>
      </c>
      <c r="C48" s="257" t="n">
        <f aca="false">'Annual Summary'!C27</f>
        <v>1523408.41635574</v>
      </c>
      <c r="D48" s="257" t="n">
        <f aca="false">'Annual Summary'!D27</f>
        <v>-97749.894163489</v>
      </c>
      <c r="E48" s="257" t="n">
        <f aca="false">'Annual Summary'!E27</f>
        <v>-3110524.71763707</v>
      </c>
      <c r="F48" s="257" t="n">
        <f aca="false">'Annual Summary'!F27</f>
        <v>-5836675.12487376</v>
      </c>
      <c r="G48" s="257" t="n">
        <f aca="false">'Annual Summary'!G27</f>
        <v>-7832069.27847304</v>
      </c>
      <c r="H48" s="257" t="n">
        <f aca="false">'Annual Summary'!H27</f>
        <v>-7796929.6944425</v>
      </c>
      <c r="I48" s="257" t="n">
        <f aca="false">'Annual Summary'!I27</f>
        <v>-6718384.70172487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1386522.66367532</v>
      </c>
      <c r="C50" s="259" t="n">
        <f aca="false">'Annual Summary'!C49</f>
        <v>1328249.66657309</v>
      </c>
      <c r="D50" s="259" t="n">
        <f aca="false">'Annual Summary'!D49</f>
        <v>1156856.29425457</v>
      </c>
      <c r="E50" s="259" t="n">
        <f aca="false">'Annual Summary'!E49</f>
        <v>-773470.763728167</v>
      </c>
      <c r="F50" s="259" t="n">
        <f aca="false">'Annual Summary'!F49</f>
        <v>-6143795.79885143</v>
      </c>
      <c r="G50" s="259" t="n">
        <f aca="false">'Annual Summary'!G49</f>
        <v>-13966545.2034681</v>
      </c>
      <c r="H50" s="259" t="n">
        <f aca="false">'Annual Summary'!H49</f>
        <v>-21753968.6265772</v>
      </c>
      <c r="I50" s="259" t="n">
        <f aca="false">'Annual Summary'!I49</f>
        <v>-28462656.9315419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1706207.62341853</v>
      </c>
      <c r="C51" s="259" t="n">
        <f aca="false">'Annual Summary'!C46</f>
        <v>3590726.52903239</v>
      </c>
      <c r="D51" s="259" t="n">
        <f aca="false">'Annual Summary'!D46</f>
        <v>4249717.59970982</v>
      </c>
      <c r="E51" s="259" t="n">
        <f aca="false">'Annual Summary'!E46</f>
        <v>2923042.41854653</v>
      </c>
      <c r="F51" s="259" t="n">
        <f aca="false">'Annual Summary'!F46</f>
        <v>-1596841.87726524</v>
      </c>
      <c r="G51" s="259" t="n">
        <f aca="false">'Annual Summary'!G46</f>
        <v>-8518645.05578258</v>
      </c>
      <c r="H51" s="259" t="n">
        <f aca="false">'Annual Summary'!H46</f>
        <v>-15553964.2978703</v>
      </c>
      <c r="I51" s="259" t="n">
        <f aca="false">'Annual Summary'!I46</f>
        <v>-22705069.9247997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-58290.6016666666</v>
      </c>
      <c r="C52" s="259" t="n">
        <f aca="false">'Annual Summary'!C47</f>
        <v>-2156374.14145211</v>
      </c>
      <c r="D52" s="259" t="n">
        <f aca="false">'Annual Summary'!D47</f>
        <v>-3117863.15428211</v>
      </c>
      <c r="E52" s="259" t="n">
        <f aca="false">'Annual Summary'!E47</f>
        <v>-4107426.41836871</v>
      </c>
      <c r="F52" s="259" t="n">
        <f aca="false">'Annual Summary'!F47</f>
        <v>-5116780.94773704</v>
      </c>
      <c r="G52" s="259" t="n">
        <f aca="false">'Annual Summary'!G47</f>
        <v>-6027047.04769274</v>
      </c>
      <c r="H52" s="259" t="n">
        <f aca="false">'Annual Summary'!H47</f>
        <v>-6788657.50004755</v>
      </c>
      <c r="I52" s="259" t="n">
        <f aca="false">'Annual Summary'!I47</f>
        <v>-6355936.57484298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1706207.62341853</v>
      </c>
      <c r="C70" s="250" t="n">
        <f aca="false">'Annual Summary'!C46</f>
        <v>3590726.52903239</v>
      </c>
      <c r="D70" s="250" t="n">
        <f aca="false">'Annual Summary'!E46</f>
        <v>2923042.41854653</v>
      </c>
      <c r="E70" s="250" t="n">
        <f aca="false">'Annual Summary'!G46</f>
        <v>-8518645.05578258</v>
      </c>
      <c r="F70" s="250" t="n">
        <f aca="false">'Annual Summary'!I46</f>
        <v>-22705069.9247997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-58290.6016666666</v>
      </c>
      <c r="C71" s="250" t="n">
        <f aca="false">'Annual Summary'!C47</f>
        <v>-2156374.14145211</v>
      </c>
      <c r="D71" s="250" t="n">
        <f aca="false">'Annual Summary'!E47</f>
        <v>-4107426.41836871</v>
      </c>
      <c r="E71" s="250" t="n">
        <f aca="false">'Annual Summary'!G47</f>
        <v>-6027047.04769274</v>
      </c>
      <c r="F71" s="250" t="n">
        <f aca="false">'Annual Summary'!I47</f>
        <v>-6355936.57484298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1386522.66367532</v>
      </c>
      <c r="C72" s="265" t="n">
        <f aca="false">'Annual Summary'!C49</f>
        <v>1328249.66657309</v>
      </c>
      <c r="D72" s="265" t="n">
        <f aca="false">'Annual Summary'!E49</f>
        <v>-773470.763728167</v>
      </c>
      <c r="E72" s="265" t="n">
        <f aca="false">'Annual Summary'!G49</f>
        <v>-13966545.2034681</v>
      </c>
      <c r="F72" s="265" t="n">
        <f aca="false">'Annual Summary'!I49</f>
        <v>-28462656.9315419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1386522.66367532</v>
      </c>
      <c r="C100" s="250" t="n">
        <f aca="false">'Annual Summary'!C49</f>
        <v>1328249.66657309</v>
      </c>
      <c r="D100" s="250" t="n">
        <f aca="false">'Annual Summary'!D49</f>
        <v>1156856.29425457</v>
      </c>
      <c r="E100" s="250" t="n">
        <f aca="false">'Annual Summary'!E49</f>
        <v>-773470.763728167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99112.0915134202</v>
      </c>
      <c r="C101" s="250" t="n">
        <f aca="false">'Annual Summary'!C20*0.05</f>
        <v>93776.1356427872</v>
      </c>
      <c r="D101" s="250" t="n">
        <f aca="false">'Annual Summary'!D20*0.05</f>
        <v>30686.9559333256</v>
      </c>
      <c r="E101" s="250" t="n">
        <f aca="false">'Annual Summary'!E20*0.05</f>
        <v>-106048.072677523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1485634.75518874</v>
      </c>
      <c r="C102" s="250" t="n">
        <f aca="false">C100+C101</f>
        <v>1422025.80221588</v>
      </c>
      <c r="D102" s="250" t="n">
        <f aca="false">D100+D101</f>
        <v>1187543.25018789</v>
      </c>
      <c r="E102" s="250" t="n">
        <f aca="false">E100+E101</f>
        <v>-879518.836405691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-854639.328398729</v>
      </c>
      <c r="C103" s="239" t="n">
        <f aca="false">C102-C99</f>
        <v>-91365.6620003225</v>
      </c>
      <c r="D103" s="239" t="n">
        <f aca="false">D102-D99</f>
        <v>33739.0781934417</v>
      </c>
      <c r="E103" s="239" t="n">
        <f aca="false">E102-E99</f>
        <v>-1210983.44894629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0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0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0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0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0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0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</v>
      </c>
      <c r="AD98" s="84" t="n">
        <f aca="false">IFERROR((AD97-AD96)/(Model!AC107-IF(AND(Projects!$G$14="Yes",Model!AC$3&gt;=Projects!$C$14),Model!AC105+Model!AC106,0)),0)</f>
        <v>0</v>
      </c>
      <c r="AE98" s="84" t="n">
        <f aca="false">IFERROR((AE97-AE96)/(Model!AD107-IF(AND(Projects!$G$14="Yes",Model!AD$3&gt;=Projects!$C$14),Model!AD105+Model!AD106,0)),0)</f>
        <v>0</v>
      </c>
      <c r="AF98" s="84" t="n">
        <f aca="false">IFERROR((AF97-AF96)/(Model!AE107-IF(AND(Projects!$G$14="Yes",Model!AE$3&gt;=Projects!$C$14),Model!AE105+Model!AE106,0)),0)</f>
        <v>0</v>
      </c>
      <c r="AG98" s="84" t="n">
        <f aca="false">IFERROR((AG97-AG96)/(Model!AF107-IF(AND(Projects!$G$14="Yes",Model!AF$3&gt;=Projects!$C$14),Model!AF105+Model!AF106,0)),0)</f>
        <v>0</v>
      </c>
      <c r="AH98" s="84" t="n">
        <f aca="false">IFERROR((AH97-AH96)/(Model!AG107-IF(AND(Projects!$G$14="Yes",Model!AG$3&gt;=Projects!$C$14),Model!AG105+Model!AG106,0)),0)</f>
        <v>0</v>
      </c>
      <c r="AI98" s="84" t="n">
        <f aca="false">IFERROR((AI97-AI96)/(Model!AH107-IF(AND(Projects!$G$14="Yes",Model!AH$3&gt;=Projects!$C$14),Model!AH105+Model!AH106,0)),0)</f>
        <v>0</v>
      </c>
      <c r="AJ98" s="84" t="n">
        <f aca="false">IFERROR((AJ97-AJ96)/(Model!AI107-IF(AND(Projects!$G$14="Yes",Model!AI$3&gt;=Projects!$C$14),Model!AI105+Model!AI106,0)),0)</f>
        <v>0</v>
      </c>
      <c r="AK98" s="84" t="n">
        <f aca="false">IFERROR((AK97-AK96)/(Model!AJ107-IF(AND(Projects!$G$14="Yes",Model!AJ$3&gt;=Projects!$C$14),Model!AJ105+Model!AJ106,0)),0)</f>
        <v>0</v>
      </c>
      <c r="AL98" s="84" t="n">
        <f aca="false">IFERROR((AL97-AL96)/(Model!AK107-IF(AND(Projects!$G$14="Yes",Model!AK$3&gt;=Projects!$C$14),Model!AK105+Model!AK106,0)),0)</f>
        <v>0</v>
      </c>
      <c r="AM98" s="84" t="n">
        <f aca="false">IFERROR((AM97-AM96)/(Model!AL107-IF(AND(Projects!$G$14="Yes",Model!AL$3&gt;=Projects!$C$14),Model!AL105+Model!AL106,0)),0)</f>
        <v>0</v>
      </c>
      <c r="AN98" s="84" t="n">
        <f aca="false">IFERROR((AN97-AN96)/(Model!AM107-IF(AND(Projects!$G$14="Yes",Model!AM$3&gt;=Projects!$C$14),Model!AM105+Model!AM106,0)),0)</f>
        <v>0</v>
      </c>
      <c r="AO98" s="84" t="n">
        <f aca="false">IFERROR((AO97-AO96)/(Model!AN107-IF(AND(Projects!$G$14="Yes",Model!AN$3&gt;=Projects!$C$14),Model!AN105+Model!AN106,0)),0)</f>
        <v>0</v>
      </c>
      <c r="AP98" s="84" t="n">
        <f aca="false">IFERROR((AP97-AP96)/(Model!AO107-IF(AND(Projects!$G$14="Yes",Model!AO$3&gt;=Projects!$C$14),Model!AO105+Model!AO106,0)),0)</f>
        <v>0</v>
      </c>
      <c r="AQ98" s="84" t="n">
        <f aca="false">IFERROR((AQ97-AQ96)/(Model!AP107-IF(AND(Projects!$G$14="Yes",Model!AP$3&gt;=Projects!$C$14),Model!AP105+Model!AP106,0)),0)</f>
        <v>0</v>
      </c>
      <c r="AR98" s="84" t="n">
        <f aca="false">IFERROR((AR97-AR96)/(Model!AQ107-IF(AND(Projects!$G$14="Yes",Model!AQ$3&gt;=Projects!$C$14),Model!AQ105+Model!AQ106,0)),0)</f>
        <v>0</v>
      </c>
      <c r="AS98" s="84" t="n">
        <f aca="false">IFERROR((AS97-AS96)/(Model!AR107-IF(AND(Projects!$G$14="Yes",Model!AR$3&gt;=Projects!$C$14),Model!AR105+Model!AR106,0)),0)</f>
        <v>0</v>
      </c>
      <c r="AT98" s="84" t="n">
        <f aca="false">IFERROR((AT97-AT96)/(Model!AS107-IF(AND(Projects!$G$14="Yes",Model!AS$3&gt;=Projects!$C$14),Model!AS105+Model!AS106,0)),0)</f>
        <v>0</v>
      </c>
      <c r="AU98" s="84" t="n">
        <f aca="false">IFERROR((AU97-AU96)/(Model!AT107-IF(AND(Projects!$G$14="Yes",Model!AT$3&gt;=Projects!$C$14),Model!AT105+Model!AT106,0)),0)</f>
        <v>0</v>
      </c>
      <c r="AV98" s="84" t="n">
        <f aca="false">IFERROR((AV97-AV96)/(Model!AU107-IF(AND(Projects!$G$14="Yes",Model!AU$3&gt;=Projects!$C$14),Model!AU105+Model!AU106,0)),0)</f>
        <v>0</v>
      </c>
      <c r="AW98" s="84" t="n">
        <f aca="false">IFERROR((AW97-AW96)/(Model!AV107-IF(AND(Projects!$G$14="Yes",Model!AV$3&gt;=Projects!$C$14),Model!AV105+Model!AV106,0)),0)</f>
        <v>0</v>
      </c>
      <c r="AX98" s="84" t="n">
        <f aca="false">IFERROR((AX97-AX96)/(Model!AW107-IF(AND(Projects!$G$14="Yes",Model!AW$3&gt;=Projects!$C$14),Model!AW105+Model!AW106,0)),0)</f>
        <v>0</v>
      </c>
      <c r="AY98" s="84" t="n">
        <f aca="false">IFERROR((AY97-AY96)/(Model!AX107-IF(AND(Projects!$G$14="Yes",Model!AX$3&gt;=Projects!$C$14),Model!AX105+Model!AX106,0)),0)</f>
        <v>0</v>
      </c>
      <c r="AZ98" s="84" t="n">
        <f aca="false">IFERROR((AZ97-AZ96)/(Model!AY107-IF(AND(Projects!$G$14="Yes",Model!AY$3&gt;=Projects!$C$14),Model!AY105+Model!AY106,0)),0)</f>
        <v>0</v>
      </c>
      <c r="BA98" s="84" t="n">
        <f aca="false">IFERROR((BA97-BA96)/(Model!AZ107-IF(AND(Projects!$G$14="Yes",Model!AZ$3&gt;=Projects!$C$14),Model!AZ105+Model!AZ106,0)),0)</f>
        <v>0</v>
      </c>
      <c r="BB98" s="84" t="n">
        <f aca="false">IFERROR((BB97-BB96)/(Model!BA107-IF(AND(Projects!$G$14="Yes",Model!BA$3&gt;=Projects!$C$14),Model!BA105+Model!BA106,0)),0)</f>
        <v>0</v>
      </c>
      <c r="BC98" s="84" t="n">
        <f aca="false">IFERROR((BC97-BC96)/(Model!BB107-IF(AND(Projects!$G$14="Yes",Model!BB$3&gt;=Projects!$C$14),Model!BB105+Model!BB106,0)),0)</f>
        <v>0</v>
      </c>
      <c r="BD98" s="84" t="n">
        <f aca="false">IFERROR((BD97-BD96)/(Model!BC107-IF(AND(Projects!$G$14="Yes",Model!BC$3&gt;=Projects!$C$14),Model!BC105+Model!BC106,0)),0)</f>
        <v>0</v>
      </c>
      <c r="BE98" s="84" t="n">
        <f aca="false">IFERROR((BE97-BE96)/(Model!BD107-IF(AND(Projects!$G$14="Yes",Model!BD$3&gt;=Projects!$C$14),Model!BD105+Model!BD106,0)),0)</f>
        <v>0</v>
      </c>
      <c r="BF98" s="84" t="n">
        <f aca="false">IFERROR((BF97-BF96)/(Model!BE107-IF(AND(Projects!$G$14="Yes",Model!BE$3&gt;=Projects!$C$14),Model!BE105+Model!BE106,0)),0)</f>
        <v>0</v>
      </c>
      <c r="BG98" s="84" t="n">
        <f aca="false">IFERROR((BG97-BG96)/(Model!BF107-IF(AND(Projects!$G$14="Yes",Model!BF$3&gt;=Projects!$C$14),Model!BF105+Model!BF106,0)),0)</f>
        <v>0</v>
      </c>
      <c r="BH98" s="84" t="n">
        <f aca="false">IFERROR((BH97-BH96)/(Model!BG107-IF(AND(Projects!$G$14="Yes",Model!BG$3&gt;=Projects!$C$14),Model!BG105+Model!BG106,0)),0)</f>
        <v>0</v>
      </c>
      <c r="BI98" s="84" t="n">
        <f aca="false">IFERROR((BI97-BI96)/(Model!BH107-IF(AND(Projects!$G$14="Yes",Model!BH$3&gt;=Projects!$C$14),Model!BH105+Model!BH106,0)),0)</f>
        <v>0</v>
      </c>
      <c r="BJ98" s="84" t="n">
        <f aca="false">IFERROR((BJ97-BJ96)/(Model!BI107-IF(AND(Projects!$G$14="Yes",Model!BI$3&gt;=Projects!$C$14),Model!BI105+Model!BI106,0)),0)</f>
        <v>0</v>
      </c>
      <c r="BK98" s="84" t="n">
        <f aca="false">IFERROR((BK97-BK96)/(Model!BJ107-IF(AND(Projects!$G$14="Yes",Model!BJ$3&gt;=Projects!$C$14),Model!BJ105+Model!BJ106,0)),0)</f>
        <v>0</v>
      </c>
      <c r="BL98" s="84" t="n">
        <f aca="false">IFERROR((BL97-BL96)/(Model!BK107-IF(AND(Projects!$G$14="Yes",Model!BK$3&gt;=Projects!$C$14),Model!BK105+Model!BK106,0)),0)</f>
        <v>0</v>
      </c>
      <c r="BM98" s="84" t="n">
        <f aca="false">IFERROR((BM97-BM96)/(Model!BL107-IF(AND(Projects!$G$14="Yes",Model!BL$3&gt;=Projects!$C$14),Model!BL105+Model!BL106,0)),0)</f>
        <v>0</v>
      </c>
      <c r="BN98" s="84" t="n">
        <f aca="false">IFERROR((BN97-BN96)/(Model!BM107-IF(AND(Projects!$G$14="Yes",Model!BM$3&gt;=Projects!$C$14),Model!BM105+Model!BM106,0)),0)</f>
        <v>0</v>
      </c>
      <c r="BO98" s="84" t="n">
        <f aca="false">IFERROR((BO97-BO96)/(Model!BN107-IF(AND(Projects!$G$14="Yes",Model!BN$3&gt;=Projects!$C$14),Model!BN105+Model!BN106,0)),0)</f>
        <v>0</v>
      </c>
      <c r="BP98" s="84" t="n">
        <f aca="false">IFERROR((BP97-BP96)/(Model!BO107-IF(AND(Projects!$G$14="Yes",Model!BO$3&gt;=Projects!$C$14),Model!BO105+Model!BO106,0)),0)</f>
        <v>0</v>
      </c>
      <c r="BQ98" s="84" t="n">
        <f aca="false">IFERROR((BQ97-BQ96)/(Model!BP107-IF(AND(Projects!$G$14="Yes",Model!BP$3&gt;=Projects!$C$14),Model!BP105+Model!BP106,0)),0)</f>
        <v>0</v>
      </c>
      <c r="BR98" s="84" t="n">
        <f aca="false">IFERROR((BR97-BR96)/(Model!BQ107-IF(AND(Projects!$G$14="Yes",Model!BQ$3&gt;=Projects!$C$14),Model!BQ105+Model!BQ106,0)),0)</f>
        <v>0</v>
      </c>
      <c r="BS98" s="84" t="n">
        <f aca="false">IFERROR((BS97-BS96)/(Model!BR107-IF(AND(Projects!$G$14="Yes",Model!BR$3&gt;=Projects!$C$14),Model!BR105+Model!BR106,0)),0)</f>
        <v>0</v>
      </c>
      <c r="BT98" s="84" t="n">
        <f aca="false">IFERROR((BT97-BT96)/(Model!BS107-IF(AND(Projects!$G$14="Yes",Model!BS$3&gt;=Projects!$C$14),Model!BS105+Model!BS106,0)),0)</f>
        <v>0</v>
      </c>
      <c r="BU98" s="84" t="n">
        <f aca="false">IFERROR((BU97-BU96)/(Model!BT107-IF(AND(Projects!$G$14="Yes",Model!BT$3&gt;=Projects!$C$14),Model!BT105+Model!BT106,0)),0)</f>
        <v>0</v>
      </c>
      <c r="BV98" s="84" t="n">
        <f aca="false">IFERROR((BV97-BV96)/(Model!BU107-IF(AND(Projects!$G$14="Yes",Model!BU$3&gt;=Projects!$C$14),Model!BU105+Model!BU106,0)),0)</f>
        <v>0</v>
      </c>
      <c r="BW98" s="84" t="n">
        <f aca="false">IFERROR((BW97-BW96)/(Model!BV107-IF(AND(Projects!$G$14="Yes",Model!BV$3&gt;=Projects!$C$14),Model!BV105+Model!BV106,0)),0)</f>
        <v>0</v>
      </c>
      <c r="BX98" s="84" t="n">
        <f aca="false">IFERROR((BX97-BX96)/(Model!BW107-IF(AND(Projects!$G$14="Yes",Model!BW$3&gt;=Projects!$C$14),Model!BW105+Model!BW106,0)),0)</f>
        <v>0</v>
      </c>
      <c r="BY98" s="84" t="n">
        <f aca="false">IFERROR((BY97-BY96)/(Model!BX107-IF(AND(Projects!$G$14="Yes",Model!BX$3&gt;=Projects!$C$14),Model!BX105+Model!BX106,0)),0)</f>
        <v>0</v>
      </c>
      <c r="BZ98" s="84" t="n">
        <f aca="false">IFERROR((BZ97-BZ96)/(Model!BY107-IF(AND(Projects!$G$14="Yes",Model!BY$3&gt;=Projects!$C$14),Model!BY105+Model!BY106,0)),0)</f>
        <v>0</v>
      </c>
      <c r="CA98" s="84" t="n">
        <f aca="false">IFERROR((CA97-CA96)/(Model!BZ107-IF(AND(Projects!$G$14="Yes",Model!BZ$3&gt;=Projects!$C$14),Model!BZ105+Model!BZ106,0)),0)</f>
        <v>0</v>
      </c>
      <c r="CB98" s="84" t="n">
        <f aca="false">IFERROR((CB97-CB96)/(Model!CA107-IF(AND(Projects!$G$14="Yes",Model!CA$3&gt;=Projects!$C$14),Model!CA105+Model!CA106,0)),0)</f>
        <v>0</v>
      </c>
      <c r="CC98" s="84" t="n">
        <f aca="false">IFERROR((CC97-CC96)/(Model!CB107-IF(AND(Projects!$G$14="Yes",Model!CB$3&gt;=Projects!$C$14),Model!CB105+Model!CB106,0)),0)</f>
        <v>0</v>
      </c>
      <c r="CD98" s="84" t="n">
        <f aca="false">IFERROR((CD97-CD96)/(Model!CC107-IF(AND(Projects!$G$14="Yes",Model!CC$3&gt;=Projects!$C$14),Model!CC105+Model!CC106,0)),0)</f>
        <v>0</v>
      </c>
      <c r="CE98" s="84" t="n">
        <f aca="false">IFERROR((CE97-CE96)/(Model!CD107-IF(AND(Projects!$G$14="Yes",Model!CD$3&gt;=Projects!$C$14),Model!CD105+Model!CD106,0)),0)</f>
        <v>0</v>
      </c>
      <c r="CF98" s="84" t="n">
        <f aca="false">IFERROR((CF97-CF96)/(Model!CE107-IF(AND(Projects!$G$14="Yes",Model!CE$3&gt;=Projects!$C$14),Model!CE105+Model!CE106,0)),0)</f>
        <v>0</v>
      </c>
      <c r="CG98" s="84" t="n">
        <f aca="false">IFERROR((CG97-CG96)/(Model!CF107-IF(AND(Projects!$G$14="Yes",Model!CF$3&gt;=Projects!$C$14),Model!CF105+Model!CF106,0)),0)</f>
        <v>0</v>
      </c>
      <c r="CH98" s="84" t="n">
        <f aca="false">IFERROR((CH97-CH96)/(Model!CG107-IF(AND(Projects!$G$14="Yes",Model!CG$3&gt;=Projects!$C$14),Model!CG105+Model!CG106,0)),0)</f>
        <v>0</v>
      </c>
      <c r="CI98" s="84" t="n">
        <f aca="false">IFERROR((CI97-CI96)/(Model!CH107-IF(AND(Projects!$G$14="Yes",Model!CH$3&gt;=Projects!$C$14),Model!CH105+Model!CH106,0)),0)</f>
        <v>0</v>
      </c>
      <c r="CJ98" s="84" t="n">
        <f aca="false">IFERROR((CJ97-CJ96)/(Model!CI107-IF(AND(Projects!$G$14="Yes",Model!CI$3&gt;=Projects!$C$14),Model!CI105+Model!CI106,0)),0)</f>
        <v>0</v>
      </c>
      <c r="CK98" s="84" t="n">
        <f aca="false">IFERROR((CK97-CK96)/(Model!CJ107-IF(AND(Projects!$G$14="Yes",Model!CJ$3&gt;=Projects!$C$14),Model!CJ105+Model!CJ106,0)),0)</f>
        <v>0</v>
      </c>
      <c r="CL98" s="84" t="n">
        <f aca="false">IFERROR((CL97-CL96)/(Model!CK107-IF(AND(Projects!$G$14="Yes",Model!CK$3&gt;=Projects!$C$14),Model!CK105+Model!CK106,0)),0)</f>
        <v>0</v>
      </c>
      <c r="CM98" s="84" t="n">
        <f aca="false">IFERROR((CM97-CM96)/(Model!CL107-IF(AND(Projects!$G$14="Yes",Model!CL$3&gt;=Projects!$C$14),Model!CL105+Model!CL106,0)),0)</f>
        <v>0</v>
      </c>
      <c r="CN98" s="84" t="n">
        <f aca="false">IFERROR((CN97-CN96)/(Model!CM107-IF(AND(Projects!$G$14="Yes",Model!CM$3&gt;=Projects!$C$14),Model!CM105+Model!CM106,0)),0)</f>
        <v>0</v>
      </c>
      <c r="CO98" s="84" t="n">
        <f aca="false">IFERROR((CO97-CO96)/(Model!CN107-IF(AND(Projects!$G$14="Yes",Model!CN$3&gt;=Projects!$C$14),Model!CN105+Model!CN106,0)),0)</f>
        <v>0</v>
      </c>
      <c r="CP98" s="84" t="n">
        <f aca="false">IFERROR((CP97-CP96)/(Model!CO107-IF(AND(Projects!$G$14="Yes",Model!CO$3&gt;=Projects!$C$14),Model!CO105+Model!CO106,0)),0)</f>
        <v>0</v>
      </c>
      <c r="CQ98" s="84" t="n">
        <f aca="false">IFERROR((CQ97-CQ96)/(Model!CP107-IF(AND(Projects!$G$14="Yes",Model!CP$3&gt;=Projects!$C$14),Model!CP105+Model!CP106,0)),0)</f>
        <v>0</v>
      </c>
      <c r="CR98" s="84" t="n">
        <f aca="false">IFERROR((CR97-CR96)/(Model!CQ107-IF(AND(Projects!$G$14="Yes",Model!CQ$3&gt;=Projects!$C$14),Model!CQ105+Model!CQ106,0)),0)</f>
        <v>0</v>
      </c>
      <c r="CS98" s="84" t="n">
        <f aca="false">IFERROR((CS97-CS96)/(Model!CR107-IF(AND(Projects!$G$14="Yes",Model!CR$3&gt;=Projects!$C$14),Model!CR105+Model!CR106,0)),0)</f>
        <v>0</v>
      </c>
      <c r="CT98" s="84" t="n">
        <f aca="false">IFERROR((CT97-CT96)/(Model!CS107-IF(AND(Projects!$G$14="Yes",Model!CS$3&gt;=Projects!$C$14),Model!CS105+Model!CS106,0)),0)</f>
        <v>0</v>
      </c>
      <c r="CU98" s="84" t="n">
        <f aca="false">IFERROR((CU97-CU96)/(Model!CT107-IF(AND(Projects!$G$14="Yes",Model!CT$3&gt;=Projects!$C$14),Model!CT105+Model!CT106,0)),0)</f>
        <v>0</v>
      </c>
      <c r="CV98" s="84" t="n">
        <f aca="false">IFERROR((CV97-CV96)/(Model!CU107-IF(AND(Projects!$G$14="Yes",Model!CU$3&gt;=Projects!$C$14),Model!CU105+Model!CU106,0)),0)</f>
        <v>0</v>
      </c>
      <c r="CW98" s="84" t="n">
        <f aca="false">IFERROR((CW97-CW96)/(Model!CV107-IF(AND(Projects!$G$14="Yes",Model!CV$3&gt;=Projects!$C$14),Model!CV105+Model!CV106,0)),0)</f>
        <v>0</v>
      </c>
      <c r="CX98" s="84" t="n">
        <f aca="false">IFERROR((CX97-CX96)/(Model!CW107-IF(AND(Projects!$G$14="Yes",Model!CW$3&gt;=Projects!$C$14),Model!CW105+Model!CW106,0)),0)</f>
        <v>0</v>
      </c>
      <c r="CY98" s="84" t="n">
        <f aca="false">IFERROR((CY97-CY96)/(Model!CX107-IF(AND(Projects!$G$14="Yes",Model!CX$3&gt;=Projects!$C$14),Model!CX105+Model!CX106,0)),0)</f>
        <v>0</v>
      </c>
      <c r="CZ98" s="84" t="n">
        <f aca="false">IFERROR((CZ97-CZ96)/(Model!CY107-IF(AND(Projects!$G$14="Yes",Model!CY$3&gt;=Projects!$C$14),Model!CY105+Model!CY106,0)),0)</f>
        <v>0</v>
      </c>
      <c r="DA98" s="84" t="n">
        <f aca="false">IFERROR((DA97-DA96)/(Model!CZ107-IF(AND(Projects!$G$14="Yes",Model!CZ$3&gt;=Projects!$C$14),Model!CZ105+Model!CZ106,0)),0)</f>
        <v>0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526790.855164726</v>
      </c>
      <c r="M99" s="83" t="n">
        <f aca="false">Model!L107+SUM(Model!L111:L141)+Model!L143-IF(AND(Projects!$G$14="Yes",Model!L$3&gt;=Projects!$C$14),Model!L105+Model!L106,0)</f>
        <v>492606.069516133</v>
      </c>
      <c r="N99" s="83" t="n">
        <f aca="false">Model!M107+SUM(Model!M111:M141)+Model!M143-IF(AND(Projects!$G$14="Yes",Model!M$3&gt;=Projects!$C$14),Model!M105+Model!M106,0)</f>
        <v>306915.099884021</v>
      </c>
      <c r="O99" s="83" t="n">
        <f aca="false">Model!N107+SUM(Model!N111:N141)+Model!N143-IF(AND(Projects!$G$14="Yes",Model!N$3&gt;=Projects!$C$14),Model!N105+Model!N106,0)</f>
        <v>284782.676497094</v>
      </c>
      <c r="P99" s="83" t="n">
        <f aca="false">Model!O107+SUM(Model!O111:O141)+Model!O143-IF(AND(Projects!$G$14="Yes",Model!O$3&gt;=Projects!$C$14),Model!O105+Model!O106,0)</f>
        <v>258712.922852481</v>
      </c>
      <c r="Q99" s="83" t="n">
        <f aca="false">Model!P107+SUM(Model!P111:P141)+Model!P143-IF(AND(Projects!$G$14="Yes",Model!P$3&gt;=Projects!$C$14),Model!P105+Model!P106,0)</f>
        <v>230069.086306508</v>
      </c>
      <c r="R99" s="83" t="n">
        <f aca="false">Model!Q107+SUM(Model!Q111:Q141)+Model!Q143-IF(AND(Projects!$G$14="Yes",Model!Q$3&gt;=Projects!$C$14),Model!Q105+Model!Q106,0)</f>
        <v>-467229.306868596</v>
      </c>
      <c r="S99" s="83" t="n">
        <f aca="false">Model!R107+SUM(Model!R111:R141)+Model!R143-IF(AND(Projects!$G$14="Yes",Model!R$3&gt;=Projects!$C$14),Model!R105+Model!R106,0)</f>
        <v>319211.445384537</v>
      </c>
      <c r="T99" s="83" t="n">
        <f aca="false">Model!S107+SUM(Model!S111:S141)+Model!S143-IF(AND(Projects!$G$14="Yes",Model!S$3&gt;=Projects!$C$14),Model!S105+Model!S106,0)</f>
        <v>290702.922205637</v>
      </c>
      <c r="U99" s="83" t="n">
        <f aca="false">Model!T107+SUM(Model!T111:T141)+Model!T143-IF(AND(Projects!$G$14="Yes",Model!T$3&gt;=Projects!$C$14),Model!T105+Model!T106,0)</f>
        <v>212969.357650249</v>
      </c>
      <c r="V99" s="83" t="n">
        <f aca="false">Model!U107+SUM(Model!U111:U141)+Model!U143-IF(AND(Projects!$G$14="Yes",Model!U$3&gt;=Projects!$C$14),Model!U105+Model!U106,0)</f>
        <v>158248.052811508</v>
      </c>
      <c r="W99" s="83" t="n">
        <f aca="false">Model!V107+SUM(Model!V111:V141)+Model!V143-IF(AND(Projects!$G$14="Yes",Model!V$3&gt;=Projects!$C$14),Model!V105+Model!V106,0)</f>
        <v>155186.52965085</v>
      </c>
      <c r="X99" s="83" t="n">
        <f aca="false">Model!W107+SUM(Model!W111:W141)+Model!W143-IF(AND(Projects!$G$14="Yes",Model!W$3&gt;=Projects!$C$14),Model!W105+Model!W106,0)</f>
        <v>152342.287631041</v>
      </c>
      <c r="Y99" s="83" t="n">
        <f aca="false">Model!X107+SUM(Model!X111:X141)+Model!X143-IF(AND(Projects!$G$14="Yes",Model!X$3&gt;=Projects!$C$14),Model!X105+Model!X106,0)</f>
        <v>140263.369367217</v>
      </c>
      <c r="Z99" s="83" t="n">
        <f aca="false">Model!Y107+SUM(Model!Y111:Y141)+Model!Y143-IF(AND(Projects!$G$14="Yes",Model!Y$3&gt;=Projects!$C$14),Model!Y105+Model!Y106,0)</f>
        <v>140263.369367217</v>
      </c>
      <c r="AA99" s="83" t="n">
        <f aca="false">Model!Z107+SUM(Model!Z111:Z141)+Model!Z143-IF(AND(Projects!$G$14="Yes",Model!Z$3&gt;=Projects!$C$14),Model!Z105+Model!Z106,0)</f>
        <v>140263.369367217</v>
      </c>
      <c r="AB99" s="83" t="n">
        <f aca="false">Model!AA107+SUM(Model!AA111:AA141)+Model!AA143-IF(AND(Projects!$G$14="Yes",Model!AA$3&gt;=Projects!$C$14),Model!AA105+Model!AA106,0)</f>
        <v>140263.369367217</v>
      </c>
      <c r="AC99" s="83" t="n">
        <f aca="false">Model!AB107+SUM(Model!AB111:AB141)+Model!AB143-IF(AND(Projects!$G$14="Yes",Model!AB$3&gt;=Projects!$C$14),Model!AB105+Model!AB106,0)</f>
        <v>140263.369367217</v>
      </c>
      <c r="AD99" s="83" t="n">
        <f aca="false">Model!AC107+SUM(Model!AC111:AC141)+Model!AC143-IF(AND(Projects!$G$14="Yes",Model!AC$3&gt;=Projects!$C$14),Model!AC105+Model!AC106,0)</f>
        <v>316570.673119418</v>
      </c>
      <c r="AE99" s="83" t="n">
        <f aca="false">Model!AD107+SUM(Model!AD111:AD141)+Model!AD143-IF(AND(Projects!$G$14="Yes",Model!AD$3&gt;=Projects!$C$14),Model!AD105+Model!AD106,0)</f>
        <v>-53608.5849649829</v>
      </c>
      <c r="AF99" s="83" t="n">
        <f aca="false">Model!AE107+SUM(Model!AE111:AE141)+Model!AE143-IF(AND(Projects!$G$14="Yes",Model!AE$3&gt;=Projects!$C$14),Model!AE105+Model!AE106,0)</f>
        <v>104051.055903564</v>
      </c>
      <c r="AG99" s="83" t="n">
        <f aca="false">Model!AF107+SUM(Model!AF111:AF141)+Model!AF143-IF(AND(Projects!$G$14="Yes",Model!AF$3&gt;=Projects!$C$14),Model!AF105+Model!AF106,0)</f>
        <v>104051.055903564</v>
      </c>
      <c r="AH99" s="83" t="n">
        <f aca="false">Model!AG107+SUM(Model!AG111:AG141)+Model!AG143-IF(AND(Projects!$G$14="Yes",Model!AG$3&gt;=Projects!$C$14),Model!AG105+Model!AG106,0)</f>
        <v>104051.055903564</v>
      </c>
      <c r="AI99" s="83" t="n">
        <f aca="false">Model!AH107+SUM(Model!AH111:AH141)+Model!AH143-IF(AND(Projects!$G$14="Yes",Model!AH$3&gt;=Projects!$C$14),Model!AH105+Model!AH106,0)</f>
        <v>104051.055903564</v>
      </c>
      <c r="AJ99" s="83" t="n">
        <f aca="false">Model!AI107+SUM(Model!AI111:AI141)+Model!AI143-IF(AND(Projects!$G$14="Yes",Model!AI$3&gt;=Projects!$C$14),Model!AI105+Model!AI106,0)</f>
        <v>232047.185471314</v>
      </c>
      <c r="AK99" s="83" t="n">
        <f aca="false">Model!AJ107+SUM(Model!AJ111:AJ141)+Model!AJ143-IF(AND(Projects!$G$14="Yes",Model!AJ$3&gt;=Projects!$C$14),Model!AJ105+Model!AJ106,0)</f>
        <v>2720.78666242849</v>
      </c>
      <c r="AL99" s="83" t="n">
        <f aca="false">Model!AK107+SUM(Model!AK111:AK141)+Model!AK143-IF(AND(Projects!$G$14="Yes",Model!AK$3&gt;=Projects!$C$14),Model!AK105+Model!AK106,0)</f>
        <v>2720.78666242802</v>
      </c>
      <c r="AM99" s="83" t="n">
        <f aca="false">Model!AL107+SUM(Model!AL111:AL141)+Model!AL143-IF(AND(Projects!$G$14="Yes",Model!AL$3&gt;=Projects!$C$14),Model!AL105+Model!AL106,0)</f>
        <v>2720.78666242802</v>
      </c>
      <c r="AN99" s="83" t="n">
        <f aca="false">Model!AM107+SUM(Model!AM111:AM141)+Model!AM143-IF(AND(Projects!$G$14="Yes",Model!AM$3&gt;=Projects!$C$14),Model!AM105+Model!AM106,0)</f>
        <v>261371.507820828</v>
      </c>
      <c r="AO99" s="83" t="n">
        <f aca="false">Model!AN107+SUM(Model!AN111:AN141)+Model!AN143-IF(AND(Projects!$G$14="Yes",Model!AN$3&gt;=Projects!$C$14),Model!AN105+Model!AN106,0)</f>
        <v>-65712.2712752415</v>
      </c>
      <c r="AP99" s="83" t="n">
        <f aca="false">Model!AO107+SUM(Model!AO111:AO141)+Model!AO143-IF(AND(Projects!$G$14="Yes",Model!AO$3&gt;=Projects!$C$14),Model!AO105+Model!AO106,0)</f>
        <v>-230456.04999337</v>
      </c>
      <c r="AQ99" s="83" t="n">
        <f aca="false">Model!AP107+SUM(Model!AP111:AP141)+Model!AP143-IF(AND(Projects!$G$14="Yes",Model!AP$3&gt;=Projects!$C$14),Model!AP105+Model!AP106,0)</f>
        <v>-230456.04999337</v>
      </c>
      <c r="AR99" s="83" t="n">
        <f aca="false">Model!AQ107+SUM(Model!AQ111:AQ141)+Model!AQ143-IF(AND(Projects!$G$14="Yes",Model!AQ$3&gt;=Projects!$C$14),Model!AQ105+Model!AQ106,0)</f>
        <v>-230456.04999337</v>
      </c>
      <c r="AS99" s="83" t="n">
        <f aca="false">Model!AR107+SUM(Model!AR111:AR141)+Model!AR143-IF(AND(Projects!$G$14="Yes",Model!AR$3&gt;=Projects!$C$14),Model!AR105+Model!AR106,0)</f>
        <v>-230456.04999337</v>
      </c>
      <c r="AT99" s="83" t="n">
        <f aca="false">Model!AS107+SUM(Model!AS111:AS141)+Model!AS143-IF(AND(Projects!$G$14="Yes",Model!AS$3&gt;=Projects!$C$14),Model!AS105+Model!AS106,0)</f>
        <v>-230456.04999337</v>
      </c>
      <c r="AU99" s="83" t="n">
        <f aca="false">Model!AT107+SUM(Model!AT111:AT141)+Model!AT143-IF(AND(Projects!$G$14="Yes",Model!AT$3&gt;=Projects!$C$14),Model!AT105+Model!AT106,0)</f>
        <v>42029.5353601297</v>
      </c>
      <c r="AV99" s="83" t="n">
        <f aca="false">Model!AU107+SUM(Model!AU111:AU141)+Model!AU143-IF(AND(Projects!$G$14="Yes",Model!AU$3&gt;=Projects!$C$14),Model!AU105+Model!AU106,0)</f>
        <v>-403030.254050587</v>
      </c>
      <c r="AW99" s="83" t="n">
        <f aca="false">Model!AV107+SUM(Model!AV111:AV141)+Model!AV143-IF(AND(Projects!$G$14="Yes",Model!AV$3&gt;=Projects!$C$14),Model!AV105+Model!AV106,0)</f>
        <v>-403030.254050587</v>
      </c>
      <c r="AX99" s="83" t="n">
        <f aca="false">Model!AW107+SUM(Model!AW111:AW141)+Model!AW143-IF(AND(Projects!$G$14="Yes",Model!AW$3&gt;=Projects!$C$14),Model!AW105+Model!AW106,0)</f>
        <v>-403030.254050587</v>
      </c>
      <c r="AY99" s="83" t="n">
        <f aca="false">Model!AX107+SUM(Model!AX111:AX141)+Model!AX143-IF(AND(Projects!$G$14="Yes",Model!AX$3&gt;=Projects!$C$14),Model!AX105+Model!AX106,0)</f>
        <v>-403030.254050587</v>
      </c>
      <c r="AZ99" s="83" t="n">
        <f aca="false">Model!AY107+SUM(Model!AY111:AY141)+Model!AY143-IF(AND(Projects!$G$14="Yes",Model!AY$3&gt;=Projects!$C$14),Model!AY105+Model!AY106,0)</f>
        <v>-403030.254050587</v>
      </c>
      <c r="BA99" s="83" t="n">
        <f aca="false">Model!AZ107+SUM(Model!AZ111:AZ141)+Model!AZ143-IF(AND(Projects!$G$14="Yes",Model!AZ$3&gt;=Projects!$C$14),Model!AZ105+Model!AZ106,0)</f>
        <v>-403030.254050587</v>
      </c>
      <c r="BB99" s="83" t="n">
        <f aca="false">Model!BA107+SUM(Model!BA111:BA141)+Model!BA143-IF(AND(Projects!$G$14="Yes",Model!BA$3&gt;=Projects!$C$14),Model!BA105+Model!BA106,0)</f>
        <v>-412167.385282303</v>
      </c>
      <c r="BC99" s="83" t="n">
        <f aca="false">Model!BB107+SUM(Model!BB111:BB141)+Model!BB143-IF(AND(Projects!$G$14="Yes",Model!BB$3&gt;=Projects!$C$14),Model!BB105+Model!BB106,0)</f>
        <v>-412167.385282303</v>
      </c>
      <c r="BD99" s="83" t="n">
        <f aca="false">Model!BC107+SUM(Model!BC111:BC141)+Model!BC143-IF(AND(Projects!$G$14="Yes",Model!BC$3&gt;=Projects!$C$14),Model!BC105+Model!BC106,0)</f>
        <v>-412167.385282303</v>
      </c>
      <c r="BE99" s="83" t="n">
        <f aca="false">Model!BD107+SUM(Model!BD111:BD141)+Model!BD143-IF(AND(Projects!$G$14="Yes",Model!BD$3&gt;=Projects!$C$14),Model!BD105+Model!BD106,0)</f>
        <v>-412167.385282303</v>
      </c>
      <c r="BF99" s="83" t="n">
        <f aca="false">Model!BE107+SUM(Model!BE111:BE141)+Model!BE143-IF(AND(Projects!$G$14="Yes",Model!BE$3&gt;=Projects!$C$14),Model!BE105+Model!BE106,0)</f>
        <v>-412167.385282303</v>
      </c>
      <c r="BG99" s="83" t="n">
        <f aca="false">Model!BF107+SUM(Model!BF111:BF141)+Model!BF143-IF(AND(Projects!$G$14="Yes",Model!BF$3&gt;=Projects!$C$14),Model!BF105+Model!BF106,0)</f>
        <v>-412167.385282303</v>
      </c>
      <c r="BH99" s="83" t="n">
        <f aca="false">Model!BG107+SUM(Model!BG111:BG141)+Model!BG143-IF(AND(Projects!$G$14="Yes",Model!BG$3&gt;=Projects!$C$14),Model!BG105+Model!BG106,0)</f>
        <v>-412167.385282303</v>
      </c>
      <c r="BI99" s="83" t="n">
        <f aca="false">Model!BH107+SUM(Model!BH111:BH141)+Model!BH143-IF(AND(Projects!$G$14="Yes",Model!BH$3&gt;=Projects!$C$14),Model!BH105+Model!BH106,0)</f>
        <v>-163231.110226703</v>
      </c>
      <c r="BJ99" s="83" t="n">
        <f aca="false">Model!BI107+SUM(Model!BI111:BI141)+Model!BI143-IF(AND(Projects!$G$14="Yes",Model!BI$3&gt;=Projects!$C$14),Model!BI105+Model!BI106,0)</f>
        <v>-569827.026150849</v>
      </c>
      <c r="BK99" s="83" t="n">
        <f aca="false">Model!BJ107+SUM(Model!BJ111:BJ141)+Model!BJ143-IF(AND(Projects!$G$14="Yes",Model!BJ$3&gt;=Projects!$C$14),Model!BJ105+Model!BJ106,0)</f>
        <v>-569827.026150849</v>
      </c>
      <c r="BL99" s="83" t="n">
        <f aca="false">Model!BK107+SUM(Model!BK111:BK141)+Model!BK143-IF(AND(Projects!$G$14="Yes",Model!BK$3&gt;=Projects!$C$14),Model!BK105+Model!BK106,0)</f>
        <v>-569827.026150849</v>
      </c>
      <c r="BM99" s="83" t="n">
        <f aca="false">Model!BL107+SUM(Model!BL111:BL141)+Model!BL143-IF(AND(Projects!$G$14="Yes",Model!BL$3&gt;=Projects!$C$14),Model!BL105+Model!BL106,0)</f>
        <v>-569827.026150849</v>
      </c>
      <c r="BN99" s="83" t="n">
        <f aca="false">Model!BM107+SUM(Model!BM111:BM141)+Model!BM143-IF(AND(Projects!$G$14="Yes",Model!BM$3&gt;=Projects!$C$14),Model!BM105+Model!BM106,0)</f>
        <v>-579146.9000072</v>
      </c>
      <c r="BO99" s="83" t="n">
        <f aca="false">Model!BN107+SUM(Model!BN111:BN141)+Model!BN143-IF(AND(Projects!$G$14="Yes",Model!BN$3&gt;=Projects!$C$14),Model!BN105+Model!BN106,0)</f>
        <v>-579146.9000072</v>
      </c>
      <c r="BP99" s="83" t="n">
        <f aca="false">Model!BO107+SUM(Model!BO111:BO141)+Model!BO143-IF(AND(Projects!$G$14="Yes",Model!BO$3&gt;=Projects!$C$14),Model!BO105+Model!BO106,0)</f>
        <v>-579146.9000072</v>
      </c>
      <c r="BQ99" s="83" t="n">
        <f aca="false">Model!BP107+SUM(Model!BP111:BP141)+Model!BP143-IF(AND(Projects!$G$14="Yes",Model!BP$3&gt;=Projects!$C$14),Model!BP105+Model!BP106,0)</f>
        <v>-579146.9000072</v>
      </c>
      <c r="BR99" s="83" t="n">
        <f aca="false">Model!BQ107+SUM(Model!BQ111:BQ141)+Model!BQ143-IF(AND(Projects!$G$14="Yes",Model!BQ$3&gt;=Projects!$C$14),Model!BQ105+Model!BQ106,0)</f>
        <v>-579146.9000072</v>
      </c>
      <c r="BS99" s="83" t="n">
        <f aca="false">Model!BR107+SUM(Model!BR111:BR141)+Model!BR143-IF(AND(Projects!$G$14="Yes",Model!BR$3&gt;=Projects!$C$14),Model!BR105+Model!BR106,0)</f>
        <v>-579146.9000072</v>
      </c>
      <c r="BT99" s="83" t="n">
        <f aca="false">Model!BS107+SUM(Model!BS111:BS141)+Model!BS143-IF(AND(Projects!$G$14="Yes",Model!BS$3&gt;=Projects!$C$14),Model!BS105+Model!BS106,0)</f>
        <v>-579146.9000072</v>
      </c>
      <c r="BU99" s="83" t="n">
        <f aca="false">Model!BT107+SUM(Model!BT111:BT141)+Model!BT143-IF(AND(Projects!$G$14="Yes",Model!BT$3&gt;=Projects!$C$14),Model!BT105+Model!BT106,0)</f>
        <v>-579146.9000072</v>
      </c>
      <c r="BV99" s="83" t="n">
        <f aca="false">Model!BU107+SUM(Model!BU111:BU141)+Model!BU143-IF(AND(Projects!$G$14="Yes",Model!BU$3&gt;=Projects!$C$14),Model!BU105+Model!BU106,0)</f>
        <v>-579146.9000072</v>
      </c>
      <c r="BW99" s="83" t="n">
        <f aca="false">Model!BV107+SUM(Model!BV111:BV141)+Model!BV143-IF(AND(Projects!$G$14="Yes",Model!BV$3&gt;=Projects!$C$14),Model!BV105+Model!BV106,0)</f>
        <v>-579146.9000072</v>
      </c>
      <c r="BX99" s="83" t="n">
        <f aca="false">Model!BW107+SUM(Model!BW111:BW141)+Model!BW143-IF(AND(Projects!$G$14="Yes",Model!BW$3&gt;=Projects!$C$14),Model!BW105+Model!BW106,0)</f>
        <v>-579146.9000072</v>
      </c>
      <c r="BY99" s="83" t="n">
        <f aca="false">Model!BX107+SUM(Model!BX111:BX141)+Model!BX143-IF(AND(Projects!$G$14="Yes",Model!BX$3&gt;=Projects!$C$14),Model!BX105+Model!BX106,0)</f>
        <v>-579146.9000072</v>
      </c>
      <c r="BZ99" s="83" t="n">
        <f aca="false">Model!BY107+SUM(Model!BY111:BY141)+Model!BY143-IF(AND(Projects!$G$14="Yes",Model!BY$3&gt;=Projects!$C$14),Model!BY105+Model!BY106,0)</f>
        <v>-588653.171340677</v>
      </c>
      <c r="CA99" s="83" t="n">
        <f aca="false">Model!BZ107+SUM(Model!BZ111:BZ141)+Model!BZ143-IF(AND(Projects!$G$14="Yes",Model!BZ$3&gt;=Projects!$C$14),Model!BZ105+Model!BZ106,0)</f>
        <v>-588653.171340677</v>
      </c>
      <c r="CB99" s="83" t="n">
        <f aca="false">Model!CA107+SUM(Model!CA111:CA141)+Model!CA143-IF(AND(Projects!$G$14="Yes",Model!CA$3&gt;=Projects!$C$14),Model!CA105+Model!CA106,0)</f>
        <v>-588653.171340677</v>
      </c>
      <c r="CC99" s="83" t="n">
        <f aca="false">Model!CB107+SUM(Model!CB111:CB141)+Model!CB143-IF(AND(Projects!$G$14="Yes",Model!CB$3&gt;=Projects!$C$14),Model!CB105+Model!CB106,0)</f>
        <v>-588653.171340677</v>
      </c>
      <c r="CD99" s="83" t="n">
        <f aca="false">Model!CC107+SUM(Model!CC111:CC141)+Model!CC143-IF(AND(Projects!$G$14="Yes",Model!CC$3&gt;=Projects!$C$14),Model!CC105+Model!CC106,0)</f>
        <v>-588653.171340677</v>
      </c>
      <c r="CE99" s="83" t="n">
        <f aca="false">Model!CD107+SUM(Model!CD111:CD141)+Model!CD143-IF(AND(Projects!$G$14="Yes",Model!CD$3&gt;=Projects!$C$14),Model!CD105+Model!CD106,0)</f>
        <v>-588653.171340677</v>
      </c>
      <c r="CF99" s="83" t="n">
        <f aca="false">Model!CE107+SUM(Model!CE111:CE141)+Model!CE143-IF(AND(Projects!$G$14="Yes",Model!CE$3&gt;=Projects!$C$14),Model!CE105+Model!CE106,0)</f>
        <v>-588653.171340677</v>
      </c>
      <c r="CG99" s="83" t="n">
        <f aca="false">Model!CF107+SUM(Model!CF111:CF141)+Model!CF143-IF(AND(Projects!$G$14="Yes",Model!CF$3&gt;=Projects!$C$14),Model!CF105+Model!CF106,0)</f>
        <v>-588653.171340677</v>
      </c>
      <c r="CH99" s="83" t="n">
        <f aca="false">Model!CG107+SUM(Model!CG111:CG141)+Model!CG143-IF(AND(Projects!$G$14="Yes",Model!CG$3&gt;=Projects!$C$14),Model!CG105+Model!CG106,0)</f>
        <v>-588653.171340677</v>
      </c>
      <c r="CI99" s="83" t="n">
        <f aca="false">Model!CH107+SUM(Model!CH111:CH141)+Model!CH143-IF(AND(Projects!$G$14="Yes",Model!CH$3&gt;=Projects!$C$14),Model!CH105+Model!CH106,0)</f>
        <v>-588653.171340677</v>
      </c>
      <c r="CJ99" s="83" t="n">
        <f aca="false">Model!CI107+SUM(Model!CI111:CI141)+Model!CI143-IF(AND(Projects!$G$14="Yes",Model!CI$3&gt;=Projects!$C$14),Model!CI105+Model!CI106,0)</f>
        <v>-588653.171340677</v>
      </c>
      <c r="CK99" s="83" t="n">
        <f aca="false">Model!CJ107+SUM(Model!CJ111:CJ141)+Model!CJ143-IF(AND(Projects!$G$14="Yes",Model!CJ$3&gt;=Projects!$C$14),Model!CJ105+Model!CJ106,0)</f>
        <v>-588653.171340677</v>
      </c>
      <c r="CL99" s="83" t="n">
        <f aca="false">Model!CK107+SUM(Model!CK111:CK141)+Model!CK143-IF(AND(Projects!$G$14="Yes",Model!CK$3&gt;=Projects!$C$14),Model!CK105+Model!CK106,0)</f>
        <v>-598349.568100824</v>
      </c>
      <c r="CM99" s="83" t="n">
        <f aca="false">Model!CL107+SUM(Model!CL111:CL141)+Model!CL143-IF(AND(Projects!$G$14="Yes",Model!CL$3&gt;=Projects!$C$14),Model!CL105+Model!CL106,0)</f>
        <v>-598349.568100824</v>
      </c>
      <c r="CN99" s="83" t="n">
        <f aca="false">Model!CM107+SUM(Model!CM111:CM141)+Model!CM143-IF(AND(Projects!$G$14="Yes",Model!CM$3&gt;=Projects!$C$14),Model!CM105+Model!CM106,0)</f>
        <v>-598349.568100824</v>
      </c>
      <c r="CO99" s="83" t="n">
        <f aca="false">Model!CN107+SUM(Model!CN111:CN141)+Model!CN143-IF(AND(Projects!$G$14="Yes",Model!CN$3&gt;=Projects!$C$14),Model!CN105+Model!CN106,0)</f>
        <v>-598349.568100824</v>
      </c>
      <c r="CP99" s="83" t="n">
        <f aca="false">Model!CO107+SUM(Model!CO111:CO141)+Model!CO143-IF(AND(Projects!$G$14="Yes",Model!CO$3&gt;=Projects!$C$14),Model!CO105+Model!CO106,0)</f>
        <v>-598349.568100824</v>
      </c>
      <c r="CQ99" s="83" t="n">
        <f aca="false">Model!CP107+SUM(Model!CP111:CP141)+Model!CP143-IF(AND(Projects!$G$14="Yes",Model!CP$3&gt;=Projects!$C$14),Model!CP105+Model!CP106,0)</f>
        <v>-598349.568100824</v>
      </c>
      <c r="CR99" s="83" t="n">
        <f aca="false">Model!CQ107+SUM(Model!CQ111:CQ141)+Model!CQ143-IF(AND(Projects!$G$14="Yes",Model!CQ$3&gt;=Projects!$C$14),Model!CQ105+Model!CQ106,0)</f>
        <v>-598349.568100824</v>
      </c>
      <c r="CS99" s="83" t="n">
        <f aca="false">Model!CR107+SUM(Model!CR111:CR141)+Model!CR143-IF(AND(Projects!$G$14="Yes",Model!CR$3&gt;=Projects!$C$14),Model!CR105+Model!CR106,0)</f>
        <v>-598349.568100824</v>
      </c>
      <c r="CT99" s="83" t="n">
        <f aca="false">Model!CS107+SUM(Model!CS111:CS141)+Model!CS143-IF(AND(Projects!$G$14="Yes",Model!CS$3&gt;=Projects!$C$14),Model!CS105+Model!CS106,0)</f>
        <v>-598349.568100824</v>
      </c>
      <c r="CU99" s="83" t="n">
        <f aca="false">Model!CT107+SUM(Model!CT111:CT141)+Model!CT143-IF(AND(Projects!$G$14="Yes",Model!CT$3&gt;=Projects!$C$14),Model!CT105+Model!CT106,0)</f>
        <v>-541129.466733474</v>
      </c>
      <c r="CV99" s="83" t="n">
        <f aca="false">Model!CU107+SUM(Model!CU111:CU141)+Model!CU143-IF(AND(Projects!$G$14="Yes",Model!CU$3&gt;=Projects!$C$14),Model!CU105+Model!CU106,0)</f>
        <v>-541129.466733474</v>
      </c>
      <c r="CW99" s="83" t="n">
        <f aca="false">Model!CV107+SUM(Model!CV111:CV141)+Model!CV143-IF(AND(Projects!$G$14="Yes",Model!CV$3&gt;=Projects!$C$14),Model!CV105+Model!CV106,0)</f>
        <v>-541129.466733474</v>
      </c>
      <c r="CX99" s="83" t="n">
        <f aca="false">Model!CW107+SUM(Model!CW111:CW141)+Model!CW143-IF(AND(Projects!$G$14="Yes",Model!CW$3&gt;=Projects!$C$14),Model!CW105+Model!CW106,0)</f>
        <v>-549875.389401476</v>
      </c>
      <c r="CY99" s="83" t="n">
        <f aca="false">Model!CX107+SUM(Model!CX111:CX141)+Model!CX143-IF(AND(Projects!$G$14="Yes",Model!CX$3&gt;=Projects!$C$14),Model!CX105+Model!CX106,0)</f>
        <v>-549875.389401476</v>
      </c>
      <c r="CZ99" s="83" t="n">
        <f aca="false">Model!CY107+SUM(Model!CY111:CY141)+Model!CY143-IF(AND(Projects!$G$14="Yes",Model!CY$3&gt;=Projects!$C$14),Model!CY105+Model!CY106,0)</f>
        <v>-549875.389401476</v>
      </c>
      <c r="DA99" s="83" t="n">
        <f aca="false">Model!CZ107+SUM(Model!CZ111:CZ141)+Model!CZ143-IF(AND(Projects!$G$14="Yes",Model!CZ$3&gt;=Projects!$C$14),Model!CZ105+Model!CZ106,0)</f>
        <v>-549875.389401476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-0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0</v>
      </c>
      <c r="AD100" s="85" t="n">
        <f aca="false">AD98*AD99</f>
        <v>0</v>
      </c>
      <c r="AE100" s="85" t="n">
        <f aca="false">AE98*AE99</f>
        <v>-0</v>
      </c>
      <c r="AF100" s="85" t="n">
        <f aca="false">AF98*AF99</f>
        <v>0</v>
      </c>
      <c r="AG100" s="85" t="n">
        <f aca="false">AG98*AG99</f>
        <v>0</v>
      </c>
      <c r="AH100" s="85" t="n">
        <f aca="false">AH98*AH99</f>
        <v>0</v>
      </c>
      <c r="AI100" s="85" t="n">
        <f aca="false">AI98*AI99</f>
        <v>0</v>
      </c>
      <c r="AJ100" s="85" t="n">
        <f aca="false">AJ98*AJ99</f>
        <v>0</v>
      </c>
      <c r="AK100" s="85" t="n">
        <f aca="false">AK98*AK99</f>
        <v>0</v>
      </c>
      <c r="AL100" s="85" t="n">
        <f aca="false">AL98*AL99</f>
        <v>0</v>
      </c>
      <c r="AM100" s="85" t="n">
        <f aca="false">AM98*AM99</f>
        <v>0</v>
      </c>
      <c r="AN100" s="85" t="n">
        <f aca="false">AN98*AN99</f>
        <v>0</v>
      </c>
      <c r="AO100" s="85" t="n">
        <f aca="false">AO98*AO99</f>
        <v>-0</v>
      </c>
      <c r="AP100" s="85" t="n">
        <f aca="false">AP98*AP99</f>
        <v>-0</v>
      </c>
      <c r="AQ100" s="85" t="n">
        <f aca="false">AQ98*AQ99</f>
        <v>-0</v>
      </c>
      <c r="AR100" s="85" t="n">
        <f aca="false">AR98*AR99</f>
        <v>-0</v>
      </c>
      <c r="AS100" s="85" t="n">
        <f aca="false">AS98*AS99</f>
        <v>-0</v>
      </c>
      <c r="AT100" s="85" t="n">
        <f aca="false">AT98*AT99</f>
        <v>-0</v>
      </c>
      <c r="AU100" s="85" t="n">
        <f aca="false">AU98*AU99</f>
        <v>0</v>
      </c>
      <c r="AV100" s="85" t="n">
        <f aca="false">AV98*AV99</f>
        <v>-0</v>
      </c>
      <c r="AW100" s="85" t="n">
        <f aca="false">AW98*AW99</f>
        <v>-0</v>
      </c>
      <c r="AX100" s="85" t="n">
        <f aca="false">AX98*AX99</f>
        <v>-0</v>
      </c>
      <c r="AY100" s="85" t="n">
        <f aca="false">AY98*AY99</f>
        <v>-0</v>
      </c>
      <c r="AZ100" s="85" t="n">
        <f aca="false">AZ98*AZ99</f>
        <v>-0</v>
      </c>
      <c r="BA100" s="85" t="n">
        <f aca="false">BA98*BA99</f>
        <v>-0</v>
      </c>
      <c r="BB100" s="85" t="n">
        <f aca="false">BB98*BB99</f>
        <v>-0</v>
      </c>
      <c r="BC100" s="85" t="n">
        <f aca="false">BC98*BC99</f>
        <v>-0</v>
      </c>
      <c r="BD100" s="85" t="n">
        <f aca="false">BD98*BD99</f>
        <v>-0</v>
      </c>
      <c r="BE100" s="85" t="n">
        <f aca="false">BE98*BE99</f>
        <v>-0</v>
      </c>
      <c r="BF100" s="85" t="n">
        <f aca="false">BF98*BF99</f>
        <v>-0</v>
      </c>
      <c r="BG100" s="85" t="n">
        <f aca="false">BG98*BG99</f>
        <v>-0</v>
      </c>
      <c r="BH100" s="85" t="n">
        <f aca="false">BH98*BH99</f>
        <v>-0</v>
      </c>
      <c r="BI100" s="85" t="n">
        <f aca="false">BI98*BI99</f>
        <v>-0</v>
      </c>
      <c r="BJ100" s="85" t="n">
        <f aca="false">BJ98*BJ99</f>
        <v>-0</v>
      </c>
      <c r="BK100" s="85" t="n">
        <f aca="false">BK98*BK99</f>
        <v>-0</v>
      </c>
      <c r="BL100" s="85" t="n">
        <f aca="false">BL98*BL99</f>
        <v>-0</v>
      </c>
      <c r="BM100" s="85" t="n">
        <f aca="false">BM98*BM99</f>
        <v>-0</v>
      </c>
      <c r="BN100" s="85" t="n">
        <f aca="false">BN98*BN99</f>
        <v>-0</v>
      </c>
      <c r="BO100" s="85" t="n">
        <f aca="false">BO98*BO99</f>
        <v>-0</v>
      </c>
      <c r="BP100" s="85" t="n">
        <f aca="false">BP98*BP99</f>
        <v>-0</v>
      </c>
      <c r="BQ100" s="85" t="n">
        <f aca="false">BQ98*BQ99</f>
        <v>-0</v>
      </c>
      <c r="BR100" s="85" t="n">
        <f aca="false">BR98*BR99</f>
        <v>-0</v>
      </c>
      <c r="BS100" s="85" t="n">
        <f aca="false">BS98*BS99</f>
        <v>-0</v>
      </c>
      <c r="BT100" s="85" t="n">
        <f aca="false">BT98*BT99</f>
        <v>-0</v>
      </c>
      <c r="BU100" s="85" t="n">
        <f aca="false">BU98*BU99</f>
        <v>-0</v>
      </c>
      <c r="BV100" s="85" t="n">
        <f aca="false">BV98*BV99</f>
        <v>-0</v>
      </c>
      <c r="BW100" s="85" t="n">
        <f aca="false">BW98*BW99</f>
        <v>-0</v>
      </c>
      <c r="BX100" s="85" t="n">
        <f aca="false">BX98*BX99</f>
        <v>-0</v>
      </c>
      <c r="BY100" s="85" t="n">
        <f aca="false">BY98*BY99</f>
        <v>-0</v>
      </c>
      <c r="BZ100" s="85" t="n">
        <f aca="false">BZ98*BZ99</f>
        <v>-0</v>
      </c>
      <c r="CA100" s="85" t="n">
        <f aca="false">CA98*CA99</f>
        <v>-0</v>
      </c>
      <c r="CB100" s="85" t="n">
        <f aca="false">CB98*CB99</f>
        <v>-0</v>
      </c>
      <c r="CC100" s="85" t="n">
        <f aca="false">CC98*CC99</f>
        <v>-0</v>
      </c>
      <c r="CD100" s="85" t="n">
        <f aca="false">CD98*CD99</f>
        <v>-0</v>
      </c>
      <c r="CE100" s="85" t="n">
        <f aca="false">CE98*CE99</f>
        <v>-0</v>
      </c>
      <c r="CF100" s="85" t="n">
        <f aca="false">CF98*CF99</f>
        <v>-0</v>
      </c>
      <c r="CG100" s="85" t="n">
        <f aca="false">CG98*CG99</f>
        <v>-0</v>
      </c>
      <c r="CH100" s="85" t="n">
        <f aca="false">CH98*CH99</f>
        <v>-0</v>
      </c>
      <c r="CI100" s="85" t="n">
        <f aca="false">CI98*CI99</f>
        <v>-0</v>
      </c>
      <c r="CJ100" s="85" t="n">
        <f aca="false">CJ98*CJ99</f>
        <v>-0</v>
      </c>
      <c r="CK100" s="85" t="n">
        <f aca="false">CK98*CK99</f>
        <v>-0</v>
      </c>
      <c r="CL100" s="85" t="n">
        <f aca="false">CL98*CL99</f>
        <v>-0</v>
      </c>
      <c r="CM100" s="85" t="n">
        <f aca="false">CM98*CM99</f>
        <v>-0</v>
      </c>
      <c r="CN100" s="85" t="n">
        <f aca="false">CN98*CN99</f>
        <v>-0</v>
      </c>
      <c r="CO100" s="85" t="n">
        <f aca="false">CO98*CO99</f>
        <v>-0</v>
      </c>
      <c r="CP100" s="85" t="n">
        <f aca="false">CP98*CP99</f>
        <v>-0</v>
      </c>
      <c r="CQ100" s="85" t="n">
        <f aca="false">CQ98*CQ99</f>
        <v>-0</v>
      </c>
      <c r="CR100" s="85" t="n">
        <f aca="false">CR98*CR99</f>
        <v>-0</v>
      </c>
      <c r="CS100" s="85" t="n">
        <f aca="false">CS98*CS99</f>
        <v>-0</v>
      </c>
      <c r="CT100" s="85" t="n">
        <f aca="false">CT98*CT99</f>
        <v>-0</v>
      </c>
      <c r="CU100" s="85" t="n">
        <f aca="false">CU98*CU99</f>
        <v>-0</v>
      </c>
      <c r="CV100" s="85" t="n">
        <f aca="false">CV98*CV99</f>
        <v>-0</v>
      </c>
      <c r="CW100" s="85" t="n">
        <f aca="false">CW98*CW99</f>
        <v>-0</v>
      </c>
      <c r="CX100" s="85" t="n">
        <f aca="false">CX98*CX99</f>
        <v>-0</v>
      </c>
      <c r="CY100" s="85" t="n">
        <f aca="false">CY98*CY99</f>
        <v>-0</v>
      </c>
      <c r="CZ100" s="85" t="n">
        <f aca="false">CZ98*CZ99</f>
        <v>-0</v>
      </c>
      <c r="DA100" s="85" t="n">
        <f aca="false">DA98*DA99</f>
        <v>-0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0</v>
      </c>
      <c r="E8" s="340" t="n">
        <f aca="false">SUM(Helpers!AA101:AL101)</f>
        <v>0</v>
      </c>
      <c r="F8" s="340" t="n">
        <f aca="false">D8-E8</f>
        <v>0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0</v>
      </c>
      <c r="E9" s="340" t="n">
        <f aca="false">SUM(Helpers!AM101:AX101)</f>
        <v>0</v>
      </c>
      <c r="F9" s="340" t="n">
        <f aca="false">D9-E9</f>
        <v>0</v>
      </c>
      <c r="G9" s="341" t="n">
        <f aca="false">IF(F9&gt;=Assumptions!$B$86,Assumptions!$C$86,IF(F9&gt;=Assumptions!$B$85,Assumptions!$C$85,IF(F9&gt;=Assumptions!$B$84,Assumptions!$C$84,Assumptions!$C$83)))</f>
        <v>0.25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0</v>
      </c>
      <c r="E10" s="340" t="n">
        <f aca="false">SUM(Helpers!AY101:BJ101)</f>
        <v>0</v>
      </c>
      <c r="F10" s="340" t="n">
        <f aca="false">D10-E10</f>
        <v>0</v>
      </c>
      <c r="G10" s="341" t="n">
        <f aca="false">IF(F10&gt;=Assumptions!$B$86,Assumptions!$C$86,IF(F10&gt;=Assumptions!$B$85,Assumptions!$C$85,IF(F10&gt;=Assumptions!$B$84,Assumptions!$C$84,Assumptions!$C$83)))</f>
        <v>0.25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0</v>
      </c>
      <c r="E11" s="340" t="n">
        <f aca="false">SUM(Helpers!BK101:BV101)</f>
        <v>0</v>
      </c>
      <c r="F11" s="340" t="n">
        <f aca="false">D11-E11</f>
        <v>0</v>
      </c>
      <c r="G11" s="341" t="n">
        <f aca="false">IF(F11&gt;=Assumptions!$B$86,Assumptions!$C$86,IF(F11&gt;=Assumptions!$B$85,Assumptions!$C$85,IF(F11&gt;=Assumptions!$B$84,Assumptions!$C$84,Assumptions!$C$83)))</f>
        <v>0.25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0</v>
      </c>
      <c r="E12" s="340" t="n">
        <f aca="false">SUM(Helpers!BW101:CH101)</f>
        <v>0</v>
      </c>
      <c r="F12" s="340" t="n">
        <f aca="false">D12-E12</f>
        <v>0</v>
      </c>
      <c r="G12" s="341" t="n">
        <f aca="false">IF(F12&gt;=Assumptions!$B$86,Assumptions!$C$86,IF(F12&gt;=Assumptions!$B$85,Assumptions!$C$85,IF(F12&gt;=Assumptions!$B$84,Assumptions!$C$84,Assumptions!$C$83)))</f>
        <v>0.25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0</v>
      </c>
      <c r="E13" s="340" t="n">
        <f aca="false">SUM(Helpers!CI101:CT101)</f>
        <v>0</v>
      </c>
      <c r="F13" s="340" t="n">
        <f aca="false">D13-E13</f>
        <v>0</v>
      </c>
      <c r="G13" s="341" t="n">
        <f aca="false">IF(F13&gt;=Assumptions!$B$86,Assumptions!$C$86,IF(F13&gt;=Assumptions!$B$85,Assumptions!$C$85,IF(F13&gt;=Assumptions!$B$84,Assumptions!$C$84,Assumptions!$C$83)))</f>
        <v>0.25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0</v>
      </c>
      <c r="E14" s="340" t="n">
        <f aca="false">SUM(Helpers!CU101:DF101)</f>
        <v>0</v>
      </c>
      <c r="F14" s="340" t="n">
        <f aca="false">D14-E14</f>
        <v>0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551731.923123333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551731.923123333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551731.923123333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551731.923123333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560689.894919133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560689.894919133</v>
      </c>
      <c r="AU16" s="340" t="n">
        <f aca="false">-SUM(Model!AT111:AT143)</f>
        <v>560689.894919133</v>
      </c>
      <c r="AV16" s="340" t="n">
        <f aca="false">-SUM(Model!AU111:AU143)</f>
        <v>560689.894919133</v>
      </c>
      <c r="AW16" s="340" t="n">
        <f aca="false">-SUM(Model!AV111:AV143)</f>
        <v>560689.894919133</v>
      </c>
      <c r="AX16" s="340" t="n">
        <f aca="false">-SUM(Model!AW111:AW143)</f>
        <v>560689.894919133</v>
      </c>
      <c r="AY16" s="340" t="n">
        <f aca="false">-SUM(Model!AX111:AX143)</f>
        <v>560689.894919133</v>
      </c>
      <c r="AZ16" s="340" t="n">
        <f aca="false">-SUM(Model!AY111:AY143)</f>
        <v>560689.894919133</v>
      </c>
      <c r="BA16" s="340" t="n">
        <f aca="false">-SUM(Model!AZ111:AZ143)</f>
        <v>560689.894919133</v>
      </c>
      <c r="BB16" s="340" t="n">
        <f aca="false">-SUM(Model!BA111:BA143)</f>
        <v>569827.026150849</v>
      </c>
      <c r="BC16" s="340" t="n">
        <f aca="false">-SUM(Model!BB111:BB143)</f>
        <v>569827.026150849</v>
      </c>
      <c r="BD16" s="340" t="n">
        <f aca="false">-SUM(Model!BC111:BC143)</f>
        <v>569827.026150849</v>
      </c>
      <c r="BE16" s="340" t="n">
        <f aca="false">-SUM(Model!BD111:BD143)</f>
        <v>569827.026150849</v>
      </c>
      <c r="BF16" s="340" t="n">
        <f aca="false">-SUM(Model!BE111:BE143)</f>
        <v>569827.026150849</v>
      </c>
      <c r="BG16" s="340" t="n">
        <f aca="false">-SUM(Model!BF111:BF143)</f>
        <v>569827.026150849</v>
      </c>
      <c r="BH16" s="340" t="n">
        <f aca="false">-SUM(Model!BG111:BG143)</f>
        <v>569827.026150849</v>
      </c>
      <c r="BI16" s="340" t="n">
        <f aca="false">-SUM(Model!BH111:BH143)</f>
        <v>569827.026150849</v>
      </c>
      <c r="BJ16" s="340" t="n">
        <f aca="false">-SUM(Model!BI111:BI143)</f>
        <v>569827.026150849</v>
      </c>
      <c r="BK16" s="340" t="n">
        <f aca="false">-SUM(Model!BJ111:BJ143)</f>
        <v>569827.026150849</v>
      </c>
      <c r="BL16" s="340" t="n">
        <f aca="false">-SUM(Model!BK111:BK143)</f>
        <v>569827.026150849</v>
      </c>
      <c r="BM16" s="340" t="n">
        <f aca="false">-SUM(Model!BL111:BL143)</f>
        <v>569827.026150849</v>
      </c>
      <c r="BN16" s="340" t="n">
        <f aca="false">-SUM(Model!BM111:BM143)</f>
        <v>579146.9000072</v>
      </c>
      <c r="BO16" s="340" t="n">
        <f aca="false">-SUM(Model!BN111:BN143)</f>
        <v>579146.9000072</v>
      </c>
      <c r="BP16" s="340" t="n">
        <f aca="false">-SUM(Model!BO111:BO143)</f>
        <v>579146.9000072</v>
      </c>
      <c r="BQ16" s="340" t="n">
        <f aca="false">-SUM(Model!BP111:BP143)</f>
        <v>579146.9000072</v>
      </c>
      <c r="BR16" s="340" t="n">
        <f aca="false">-SUM(Model!BQ111:BQ143)</f>
        <v>579146.9000072</v>
      </c>
      <c r="BS16" s="340" t="n">
        <f aca="false">-SUM(Model!BR111:BR143)</f>
        <v>579146.9000072</v>
      </c>
      <c r="BT16" s="340" t="n">
        <f aca="false">-SUM(Model!BS111:BS143)</f>
        <v>579146.9000072</v>
      </c>
      <c r="BU16" s="340" t="n">
        <f aca="false">-SUM(Model!BT111:BT143)</f>
        <v>579146.9000072</v>
      </c>
      <c r="BV16" s="340" t="n">
        <f aca="false">-SUM(Model!BU111:BU143)</f>
        <v>579146.9000072</v>
      </c>
      <c r="BW16" s="340" t="n">
        <f aca="false">-SUM(Model!BV111:BV143)</f>
        <v>579146.9000072</v>
      </c>
      <c r="BX16" s="340" t="n">
        <f aca="false">-SUM(Model!BW111:BW143)</f>
        <v>579146.9000072</v>
      </c>
      <c r="BY16" s="340" t="n">
        <f aca="false">-SUM(Model!BX111:BX143)</f>
        <v>579146.9000072</v>
      </c>
      <c r="BZ16" s="340" t="n">
        <f aca="false">-SUM(Model!BY111:BY143)</f>
        <v>588653.171340677</v>
      </c>
      <c r="CA16" s="340" t="n">
        <f aca="false">-SUM(Model!BZ111:BZ143)</f>
        <v>588653.171340677</v>
      </c>
      <c r="CB16" s="340" t="n">
        <f aca="false">-SUM(Model!CA111:CA143)</f>
        <v>588653.171340677</v>
      </c>
      <c r="CC16" s="340" t="n">
        <f aca="false">-SUM(Model!CB111:CB143)</f>
        <v>588653.171340677</v>
      </c>
      <c r="CD16" s="340" t="n">
        <f aca="false">-SUM(Model!CC111:CC143)</f>
        <v>588653.171340677</v>
      </c>
      <c r="CE16" s="340" t="n">
        <f aca="false">-SUM(Model!CD111:CD143)</f>
        <v>588653.171340677</v>
      </c>
      <c r="CF16" s="340" t="n">
        <f aca="false">-SUM(Model!CE111:CE143)</f>
        <v>588653.171340677</v>
      </c>
      <c r="CG16" s="340" t="n">
        <f aca="false">-SUM(Model!CF111:CF143)</f>
        <v>588653.171340677</v>
      </c>
      <c r="CH16" s="340" t="n">
        <f aca="false">-SUM(Model!CG111:CG143)</f>
        <v>588653.171340677</v>
      </c>
      <c r="CI16" s="340" t="n">
        <f aca="false">-SUM(Model!CH111:CH143)</f>
        <v>588653.171340677</v>
      </c>
      <c r="CJ16" s="340" t="n">
        <f aca="false">-SUM(Model!CI111:CI143)</f>
        <v>588653.171340677</v>
      </c>
      <c r="CK16" s="340" t="n">
        <f aca="false">-SUM(Model!CJ111:CJ143)</f>
        <v>588653.171340677</v>
      </c>
      <c r="CL16" s="340" t="n">
        <f aca="false">-SUM(Model!CK111:CK143)</f>
        <v>598349.568100824</v>
      </c>
      <c r="CM16" s="340" t="n">
        <f aca="false">-SUM(Model!CL111:CL143)</f>
        <v>598349.568100824</v>
      </c>
      <c r="CN16" s="340" t="n">
        <f aca="false">-SUM(Model!CM111:CM143)</f>
        <v>598349.568100824</v>
      </c>
      <c r="CO16" s="340" t="n">
        <f aca="false">-SUM(Model!CN111:CN143)</f>
        <v>598349.568100824</v>
      </c>
      <c r="CP16" s="340" t="n">
        <f aca="false">-SUM(Model!CO111:CO143)</f>
        <v>598349.568100824</v>
      </c>
      <c r="CQ16" s="340" t="n">
        <f aca="false">-SUM(Model!CP111:CP143)</f>
        <v>598349.568100824</v>
      </c>
      <c r="CR16" s="340" t="n">
        <f aca="false">-SUM(Model!CQ111:CQ143)</f>
        <v>598349.568100824</v>
      </c>
      <c r="CS16" s="340" t="n">
        <f aca="false">-SUM(Model!CR111:CR143)</f>
        <v>598349.568100824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549875.389401476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10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11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10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10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10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10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11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11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9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8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8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8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7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7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7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7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7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7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5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5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4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4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4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52222.2808333333</v>
      </c>
      <c r="M18" s="340" t="n">
        <f aca="false">IFERROR(M16/M17,0)</f>
        <v>52097.528030303</v>
      </c>
      <c r="N18" s="340" t="n">
        <f aca="false">IFERROR(N16/N17,0)</f>
        <v>51907.2808333333</v>
      </c>
      <c r="O18" s="340" t="n">
        <f aca="false">IFERROR(O16/O17,0)</f>
        <v>51907.2808333333</v>
      </c>
      <c r="P18" s="340" t="n">
        <f aca="false">IFERROR(P16/P17,0)</f>
        <v>51907.2808333333</v>
      </c>
      <c r="Q18" s="340" t="n">
        <f aca="false">IFERROR(Q16/Q17,0)</f>
        <v>51907.2808333333</v>
      </c>
      <c r="R18" s="340" t="n">
        <f aca="false">IFERROR(R16/R17,0)</f>
        <v>51540.872530303</v>
      </c>
      <c r="S18" s="340" t="n">
        <f aca="false">IFERROR(S16/S17,0)</f>
        <v>49359.0543484848</v>
      </c>
      <c r="T18" s="340" t="n">
        <f aca="false">IFERROR(T16/T17,0)</f>
        <v>49359.0543484848</v>
      </c>
      <c r="U18" s="340" t="n">
        <f aca="false">IFERROR(U16/U17,0)</f>
        <v>60327.7330925926</v>
      </c>
      <c r="V18" s="340" t="n">
        <f aca="false">IFERROR(V16/V17,0)</f>
        <v>67868.6997291667</v>
      </c>
      <c r="W18" s="340" t="n">
        <f aca="false">IFERROR(W16/W17,0)</f>
        <v>67868.6997291667</v>
      </c>
      <c r="X18" s="340" t="n">
        <f aca="false">IFERROR(X16/X17,0)</f>
        <v>67868.6997291667</v>
      </c>
      <c r="Y18" s="340" t="n">
        <f aca="false">IFERROR(Y16/Y17,0)</f>
        <v>77564.2282619048</v>
      </c>
      <c r="Z18" s="340" t="n">
        <f aca="false">IFERROR(Z16/Z17,0)</f>
        <v>77564.2282619048</v>
      </c>
      <c r="AA18" s="340" t="n">
        <f aca="false">IFERROR(AA16/AA17,0)</f>
        <v>77564.2282619048</v>
      </c>
      <c r="AB18" s="340" t="n">
        <f aca="false">IFERROR(AB16/AB17,0)</f>
        <v>77564.2282619048</v>
      </c>
      <c r="AC18" s="340" t="n">
        <f aca="false">IFERROR(AC16/AC17,0)</f>
        <v>77564.2282619048</v>
      </c>
      <c r="AD18" s="340" t="n">
        <f aca="false">IFERROR(AD16/AD17,0)</f>
        <v>78818.8461604762</v>
      </c>
      <c r="AE18" s="340" t="n">
        <f aca="false">IFERROR(AE16/AE17,0)</f>
        <v>137932.980780833</v>
      </c>
      <c r="AF18" s="340" t="n">
        <f aca="false">IFERROR(AF16/AF17,0)</f>
        <v>110346.384624667</v>
      </c>
      <c r="AG18" s="340" t="n">
        <f aca="false">IFERROR(AG16/AG17,0)</f>
        <v>110346.384624667</v>
      </c>
      <c r="AH18" s="340" t="n">
        <f aca="false">IFERROR(AH16/AH17,0)</f>
        <v>110346.384624667</v>
      </c>
      <c r="AI18" s="340" t="n">
        <f aca="false">IFERROR(AI16/AI17,0)</f>
        <v>110346.384624667</v>
      </c>
      <c r="AJ18" s="340" t="n">
        <f aca="false">IFERROR(AJ16/AJ17,0)</f>
        <v>110346.384624667</v>
      </c>
      <c r="AK18" s="340" t="n">
        <f aca="false">IFERROR(AK16/AK17,0)</f>
        <v>137932.980780833</v>
      </c>
      <c r="AL18" s="340" t="n">
        <f aca="false">IFERROR(AL16/AL17,0)</f>
        <v>137932.980780833</v>
      </c>
      <c r="AM18" s="340" t="n">
        <f aca="false">IFERROR(AM16/AM17,0)</f>
        <v>137932.980780833</v>
      </c>
      <c r="AN18" s="340" t="n">
        <f aca="false">IFERROR(AN16/AN17,0)</f>
        <v>137932.980780833</v>
      </c>
      <c r="AO18" s="340" t="n">
        <f aca="false">IFERROR(AO16/AO17,0)</f>
        <v>183910.641041111</v>
      </c>
      <c r="AP18" s="340" t="n">
        <f aca="false">IFERROR(AP16/AP17,0)</f>
        <v>280344.947459567</v>
      </c>
      <c r="AQ18" s="340" t="n">
        <f aca="false">IFERROR(AQ16/AQ17,0)</f>
        <v>280344.947459567</v>
      </c>
      <c r="AR18" s="340" t="n">
        <f aca="false">IFERROR(AR16/AR17,0)</f>
        <v>280344.947459567</v>
      </c>
      <c r="AS18" s="340" t="n">
        <f aca="false">IFERROR(AS16/AS17,0)</f>
        <v>280344.947459567</v>
      </c>
      <c r="AT18" s="340" t="n">
        <f aca="false">IFERROR(AT16/AT17,0)</f>
        <v>280344.947459567</v>
      </c>
      <c r="AU18" s="340" t="n">
        <f aca="false">IFERROR(AU16/AU17,0)</f>
        <v>280344.947459567</v>
      </c>
      <c r="AV18" s="340" t="n">
        <f aca="false">IFERROR(AV16/AV17,0)</f>
        <v>560689.894919133</v>
      </c>
      <c r="AW18" s="340" t="n">
        <f aca="false">IFERROR(AW16/AW17,0)</f>
        <v>560689.894919133</v>
      </c>
      <c r="AX18" s="340" t="n">
        <f aca="false">IFERROR(AX16/AX17,0)</f>
        <v>560689.894919133</v>
      </c>
      <c r="AY18" s="340" t="n">
        <f aca="false">IFERROR(AY16/AY17,0)</f>
        <v>560689.894919133</v>
      </c>
      <c r="AZ18" s="340" t="n">
        <f aca="false">IFERROR(AZ16/AZ17,0)</f>
        <v>560689.894919133</v>
      </c>
      <c r="BA18" s="340" t="n">
        <f aca="false">IFERROR(BA16/BA17,0)</f>
        <v>560689.894919133</v>
      </c>
      <c r="BB18" s="340" t="n">
        <f aca="false">IFERROR(BB16/BB17,0)</f>
        <v>569827.026150849</v>
      </c>
      <c r="BC18" s="340" t="n">
        <f aca="false">IFERROR(BC16/BC17,0)</f>
        <v>569827.026150849</v>
      </c>
      <c r="BD18" s="340" t="n">
        <f aca="false">IFERROR(BD16/BD17,0)</f>
        <v>569827.026150849</v>
      </c>
      <c r="BE18" s="340" t="n">
        <f aca="false">IFERROR(BE16/BE17,0)</f>
        <v>569827.026150849</v>
      </c>
      <c r="BF18" s="340" t="n">
        <f aca="false">IFERROR(BF16/BF17,0)</f>
        <v>569827.026150849</v>
      </c>
      <c r="BG18" s="340" t="n">
        <f aca="false">IFERROR(BG16/BG17,0)</f>
        <v>569827.026150849</v>
      </c>
      <c r="BH18" s="340" t="n">
        <f aca="false">IFERROR(BH16/BH17,0)</f>
        <v>569827.026150849</v>
      </c>
      <c r="BI18" s="340" t="n">
        <f aca="false">IFERROR(BI16/BI17,0)</f>
        <v>569827.026150849</v>
      </c>
      <c r="BJ18" s="340" t="n">
        <f aca="false">IFERROR(BJ16/BJ17,0)</f>
        <v>0</v>
      </c>
      <c r="BK18" s="340" t="n">
        <f aca="false">IFERROR(BK16/BK17,0)</f>
        <v>0</v>
      </c>
      <c r="BL18" s="340" t="n">
        <f aca="false">IFERROR(BL16/BL17,0)</f>
        <v>0</v>
      </c>
      <c r="BM18" s="340" t="n">
        <f aca="false">IFERROR(BM16/BM17,0)</f>
        <v>0</v>
      </c>
      <c r="BN18" s="340" t="n">
        <f aca="false">IFERROR(BN16/BN17,0)</f>
        <v>0</v>
      </c>
      <c r="BO18" s="340" t="n">
        <f aca="false">IFERROR(BO16/BO17,0)</f>
        <v>0</v>
      </c>
      <c r="BP18" s="340" t="n">
        <f aca="false">IFERROR(BP16/BP17,0)</f>
        <v>0</v>
      </c>
      <c r="BQ18" s="340" t="n">
        <f aca="false">IFERROR(BQ16/BQ17,0)</f>
        <v>0</v>
      </c>
      <c r="BR18" s="340" t="n">
        <f aca="false">IFERROR(BR16/BR17,0)</f>
        <v>0</v>
      </c>
      <c r="BS18" s="340" t="n">
        <f aca="false">IFERROR(BS16/BS17,0)</f>
        <v>0</v>
      </c>
      <c r="BT18" s="340" t="n">
        <f aca="false">IFERROR(BT16/BT17,0)</f>
        <v>0</v>
      </c>
      <c r="BU18" s="340" t="n">
        <f aca="false">IFERROR(BU16/BU17,0)</f>
        <v>0</v>
      </c>
      <c r="BV18" s="340" t="n">
        <f aca="false">IFERROR(BV16/BV17,0)</f>
        <v>0</v>
      </c>
      <c r="BW18" s="340" t="n">
        <f aca="false">IFERROR(BW16/BW17,0)</f>
        <v>0</v>
      </c>
      <c r="BX18" s="340" t="n">
        <f aca="false">IFERROR(BX16/BX17,0)</f>
        <v>0</v>
      </c>
      <c r="BY18" s="340" t="n">
        <f aca="false">IFERROR(BY16/BY17,0)</f>
        <v>0</v>
      </c>
      <c r="BZ18" s="340" t="n">
        <f aca="false">IFERROR(BZ16/BZ17,0)</f>
        <v>0</v>
      </c>
      <c r="CA18" s="340" t="n">
        <f aca="false">IFERROR(CA16/CA17,0)</f>
        <v>0</v>
      </c>
      <c r="CB18" s="340" t="n">
        <f aca="false">IFERROR(CB16/CB17,0)</f>
        <v>0</v>
      </c>
      <c r="CC18" s="340" t="n">
        <f aca="false">IFERROR(CC16/CC17,0)</f>
        <v>0</v>
      </c>
      <c r="CD18" s="340" t="n">
        <f aca="false">IFERROR(CD16/CD17,0)</f>
        <v>0</v>
      </c>
      <c r="CE18" s="340" t="n">
        <f aca="false">IFERROR(CE16/CE17,0)</f>
        <v>0</v>
      </c>
      <c r="CF18" s="340" t="n">
        <f aca="false">IFERROR(CF16/CF17,0)</f>
        <v>0</v>
      </c>
      <c r="CG18" s="340" t="n">
        <f aca="false">IFERROR(CG16/CG17,0)</f>
        <v>0</v>
      </c>
      <c r="CH18" s="340" t="n">
        <f aca="false">IFERROR(CH16/CH17,0)</f>
        <v>0</v>
      </c>
      <c r="CI18" s="340" t="n">
        <f aca="false">IFERROR(CI16/CI17,0)</f>
        <v>0</v>
      </c>
      <c r="CJ18" s="340" t="n">
        <f aca="false">IFERROR(CJ16/CJ17,0)</f>
        <v>0</v>
      </c>
      <c r="CK18" s="340" t="n">
        <f aca="false">IFERROR(CK16/CK17,0)</f>
        <v>0</v>
      </c>
      <c r="CL18" s="340" t="n">
        <f aca="false">IFERROR(CL16/CL17,0)</f>
        <v>0</v>
      </c>
      <c r="CM18" s="340" t="n">
        <f aca="false">IFERROR(CM16/CM17,0)</f>
        <v>0</v>
      </c>
      <c r="CN18" s="340" t="n">
        <f aca="false">IFERROR(CN16/CN17,0)</f>
        <v>0</v>
      </c>
      <c r="CO18" s="340" t="n">
        <f aca="false">IFERROR(CO16/CO17,0)</f>
        <v>0</v>
      </c>
      <c r="CP18" s="340" t="n">
        <f aca="false">IFERROR(CP16/CP17,0)</f>
        <v>0</v>
      </c>
      <c r="CQ18" s="340" t="n">
        <f aca="false">IFERROR(CQ16/CQ17,0)</f>
        <v>0</v>
      </c>
      <c r="CR18" s="340" t="n">
        <f aca="false">IFERROR(CR16/CR17,0)</f>
        <v>0</v>
      </c>
      <c r="CS18" s="340" t="n">
        <f aca="false">IFERROR(CS16/CS17,0)</f>
        <v>0</v>
      </c>
      <c r="CT18" s="340" t="n">
        <f aca="false">IFERROR(CT16/CT17,0)</f>
        <v>0</v>
      </c>
      <c r="CU18" s="340" t="n">
        <f aca="false">IFERROR(CU16/CU17,0)</f>
        <v>0</v>
      </c>
      <c r="CV18" s="340" t="n">
        <f aca="false">IFERROR(CV16/CV17,0)</f>
        <v>0</v>
      </c>
      <c r="CW18" s="340" t="n">
        <f aca="false">IFERROR(CW16/CW17,0)</f>
        <v>0</v>
      </c>
      <c r="CX18" s="340" t="n">
        <f aca="false">IFERROR(CX16/CX17,0)</f>
        <v>0</v>
      </c>
      <c r="CY18" s="340" t="n">
        <f aca="false">IFERROR(CY16/CY17,0)</f>
        <v>0</v>
      </c>
      <c r="CZ18" s="340" t="n">
        <f aca="false">IFERROR(CZ16/CZ17,0)</f>
        <v>0</v>
      </c>
      <c r="DA18" s="340" t="n">
        <f aca="false">IFERROR(DA16/DA17,0)</f>
        <v>0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0.25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0.025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No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0.25</v>
      </c>
      <c r="J24" s="340" t="n">
        <f aca="false">IF($E24="Yes",$B24*Assumptions!$B$9*0.95/$D24*SUMPRODUCT(($C$15:$DF$15&gt;=$C24)*($C$15:$DF$15&lt;$C24+$D24))+$B24*Assumptions!$B$9*0.05*SUMPRODUCT(--($C$15:$DF$15=$G24)),0)</f>
        <v>0</v>
      </c>
      <c r="K24" s="340" t="n">
        <f aca="false">IF($E24="Yes",SUMPRODUCT(($C$15:$DF$15&gt;=$C24)*($C$15:$DF$15&lt;$C24+$D24)*$C$18:$DF$18),0)</f>
        <v>0</v>
      </c>
      <c r="L24" s="340" t="n">
        <f aca="false">J24-K24</f>
        <v>0</v>
      </c>
      <c r="M24" s="335" t="n">
        <f aca="false">$B$3*I24</f>
        <v>0.025</v>
      </c>
      <c r="N24" s="340" t="n">
        <f aca="false">IF($E24="Yes",$B$2*$B24,0)</f>
        <v>0</v>
      </c>
      <c r="O24" s="340" t="n">
        <f aca="false">M24*MAX(0,L24)</f>
        <v>0</v>
      </c>
      <c r="P24" s="340" t="n">
        <f aca="false">N24+Q24</f>
        <v>0</v>
      </c>
      <c r="Q24" s="340" t="n">
        <f aca="false">IF(AND($F24="Yes",$I24&lt;1),O24-N24,MAX(0,O24-N24))</f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No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0</v>
      </c>
      <c r="K25" s="340" t="n">
        <f aca="false">IF($E25="Yes",SUMPRODUCT(($C$15:$DF$15&gt;=$C25)*($C$15:$DF$15&lt;$C25+$D25)*$C$18:$DF$18),0)</f>
        <v>0</v>
      </c>
      <c r="L25" s="340" t="n">
        <f aca="false">J25-K25</f>
        <v>0</v>
      </c>
      <c r="M25" s="335" t="n">
        <f aca="false">$B$3*I25</f>
        <v>0.1</v>
      </c>
      <c r="N25" s="340" t="n">
        <f aca="false">IF($E25="Yes",$B$2*$B25,0)</f>
        <v>0</v>
      </c>
      <c r="O25" s="340" t="n">
        <f aca="false">M25*MAX(0,L25)</f>
        <v>0</v>
      </c>
      <c r="P25" s="340" t="n">
        <f aca="false">N25+Q25</f>
        <v>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No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0</v>
      </c>
      <c r="K26" s="340" t="n">
        <f aca="false">IF($E26="Yes",SUMPRODUCT(($C$15:$DF$15&gt;=$C26)*($C$15:$DF$15&lt;$C26+$D26)*$C$18:$DF$18),0)</f>
        <v>0</v>
      </c>
      <c r="L26" s="340" t="n">
        <f aca="false">J26-K26</f>
        <v>0</v>
      </c>
      <c r="M26" s="335" t="n">
        <f aca="false">$B$3*I26</f>
        <v>0.1</v>
      </c>
      <c r="N26" s="340" t="n">
        <f aca="false">IF($E26="Yes",$B$2*$B26,0)</f>
        <v>0</v>
      </c>
      <c r="O26" s="340" t="n">
        <f aca="false">M26*MAX(0,L26)</f>
        <v>0</v>
      </c>
      <c r="P26" s="340" t="n">
        <f aca="false">N26+Q26</f>
        <v>0</v>
      </c>
      <c r="Q26" s="340" t="n">
        <f aca="false">IF(AND($F26="Yes",$I26&lt;1),O26-N26,MAX(0,O26-N26))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No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0.25</v>
      </c>
      <c r="J27" s="340" t="n">
        <f aca="false">IF($E27="Yes",$B27*Assumptions!$B$9*0.95/$D27*SUMPRODUCT(($C$15:$DF$15&gt;=$C27)*($C$15:$DF$15&lt;$C27+$D27))+$B27*Assumptions!$B$9*0.05*SUMPRODUCT(--($C$15:$DF$15=$G27)),0)</f>
        <v>0</v>
      </c>
      <c r="K27" s="340" t="n">
        <f aca="false">IF($E27="Yes",SUMPRODUCT(($C$15:$DF$15&gt;=$C27)*($C$15:$DF$15&lt;$C27+$D27)*$C$18:$DF$18),0)</f>
        <v>0</v>
      </c>
      <c r="L27" s="340" t="n">
        <f aca="false">J27-K27</f>
        <v>0</v>
      </c>
      <c r="M27" s="335" t="n">
        <f aca="false">$B$3*I27</f>
        <v>0.025</v>
      </c>
      <c r="N27" s="340" t="n">
        <f aca="false">IF($E27="Yes",$B$2*$B27,0)</f>
        <v>0</v>
      </c>
      <c r="O27" s="340" t="n">
        <f aca="false">M27*MAX(0,L27)</f>
        <v>0</v>
      </c>
      <c r="P27" s="340" t="n">
        <f aca="false">N27+Q27</f>
        <v>0</v>
      </c>
      <c r="Q27" s="340" t="n">
        <f aca="false">IF(AND($F27="Yes",$I27&lt;1),O27-N27,MAX(0,O27-N27))</f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No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0</v>
      </c>
      <c r="K28" s="340" t="n">
        <f aca="false">IF($E28="Yes",SUMPRODUCT(($C$15:$DF$15&gt;=$C28)*($C$15:$DF$15&lt;$C28+$D28)*$C$18:$DF$18),0)</f>
        <v>0</v>
      </c>
      <c r="L28" s="340" t="n">
        <f aca="false">J28-K28</f>
        <v>0</v>
      </c>
      <c r="M28" s="335" t="n">
        <f aca="false">$B$3*I28</f>
        <v>0.1</v>
      </c>
      <c r="N28" s="340" t="n">
        <f aca="false">IF($E28="Yes",$B$2*$B28,0)</f>
        <v>0</v>
      </c>
      <c r="O28" s="340" t="n">
        <f aca="false">M28*MAX(0,L28)</f>
        <v>0</v>
      </c>
      <c r="P28" s="340" t="n">
        <f aca="false">N28+Q28</f>
        <v>0</v>
      </c>
      <c r="Q28" s="340" t="n">
        <f aca="false">IF(AND($F28="Yes",$I28&lt;1),O28-N28,MAX(0,O28-N28))</f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No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0</v>
      </c>
      <c r="K29" s="340" t="n">
        <f aca="false">IF($E29="Yes",SUMPRODUCT(($C$15:$DF$15&gt;=$C29)*($C$15:$DF$15&lt;$C29+$D29)*$C$18:$DF$18),0)</f>
        <v>0</v>
      </c>
      <c r="L29" s="340" t="n">
        <f aca="false">J29-K29</f>
        <v>0</v>
      </c>
      <c r="M29" s="335" t="n">
        <f aca="false">$B$3*I29</f>
        <v>0.1</v>
      </c>
      <c r="N29" s="340" t="n">
        <f aca="false">IF($E29="Yes",$B$2*$B29,0)</f>
        <v>0</v>
      </c>
      <c r="O29" s="340" t="n">
        <f aca="false">M29*MAX(0,L29)</f>
        <v>0</v>
      </c>
      <c r="P29" s="340" t="n">
        <f aca="false">N29+Q29</f>
        <v>0</v>
      </c>
      <c r="Q29" s="340" t="n">
        <f aca="false">IF(AND($F29="Yes",$I29&lt;1),O29-N29,MAX(0,O29-N29))</f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No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0</v>
      </c>
      <c r="K30" s="340" t="n">
        <f aca="false">IF($E30="Yes",SUMPRODUCT(($C$15:$DF$15&gt;=$C30)*($C$15:$DF$15&lt;$C30+$D30)*$C$18:$DF$18),0)</f>
        <v>0</v>
      </c>
      <c r="L30" s="340" t="n">
        <f aca="false">J30-K30</f>
        <v>0</v>
      </c>
      <c r="M30" s="335" t="n">
        <f aca="false">$B$3*I30</f>
        <v>0.1</v>
      </c>
      <c r="N30" s="340" t="n">
        <f aca="false">IF($E30="Yes",$B$2*$B30,0)</f>
        <v>0</v>
      </c>
      <c r="O30" s="340" t="n">
        <f aca="false">M30*MAX(0,L30)</f>
        <v>0</v>
      </c>
      <c r="P30" s="340" t="n">
        <f aca="false">N30+Q30</f>
        <v>0</v>
      </c>
      <c r="Q30" s="340" t="n">
        <f aca="false">IF(AND($F30="Yes",$I30&lt;1),O30-N30,MAX(0,O30-N30))</f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No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0</v>
      </c>
      <c r="K31" s="340" t="n">
        <f aca="false">IF($E31="Yes",SUMPRODUCT(($C$15:$DF$15&gt;=$C31)*($C$15:$DF$15&lt;$C31+$D31)*$C$18:$DF$18),0)</f>
        <v>0</v>
      </c>
      <c r="L31" s="340" t="n">
        <f aca="false">J31-K31</f>
        <v>0</v>
      </c>
      <c r="M31" s="335" t="n">
        <f aca="false">$B$3*I31</f>
        <v>0.1</v>
      </c>
      <c r="N31" s="340" t="n">
        <f aca="false">IF($E31="Yes",$B$2*$B31,0)</f>
        <v>0</v>
      </c>
      <c r="O31" s="340" t="n">
        <f aca="false">M31*MAX(0,L31)</f>
        <v>0</v>
      </c>
      <c r="P31" s="340" t="n">
        <f aca="false">N31+Q31</f>
        <v>0</v>
      </c>
      <c r="Q31" s="340" t="n">
        <f aca="false">IF(AND($F31="Yes",$I31&lt;1),O31-N31,MAX(0,O31-N31))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No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0.25</v>
      </c>
      <c r="J32" s="340" t="n">
        <f aca="false">IF($E32="Yes",$B32*Assumptions!$B$9*0.95/$D32*SUMPRODUCT(($C$15:$DF$15&gt;=$C32)*($C$15:$DF$15&lt;$C32+$D32))+$B32*Assumptions!$B$9*0.05*SUMPRODUCT(--($C$15:$DF$15=$G32)),0)</f>
        <v>0</v>
      </c>
      <c r="K32" s="340" t="n">
        <f aca="false">IF($E32="Yes",SUMPRODUCT(($C$15:$DF$15&gt;=$C32)*($C$15:$DF$15&lt;$C32+$D32)*$C$18:$DF$18),0)</f>
        <v>0</v>
      </c>
      <c r="L32" s="340" t="n">
        <f aca="false">J32-K32</f>
        <v>0</v>
      </c>
      <c r="M32" s="335" t="n">
        <f aca="false">$B$3*I32</f>
        <v>0.025</v>
      </c>
      <c r="N32" s="340" t="n">
        <f aca="false">IF($E32="Yes",$B$2*$B32,0)</f>
        <v>0</v>
      </c>
      <c r="O32" s="340" t="n">
        <f aca="false">M32*MAX(0,L32)</f>
        <v>0</v>
      </c>
      <c r="P32" s="340" t="n">
        <f aca="false">N32+Q32</f>
        <v>0</v>
      </c>
      <c r="Q32" s="340" t="n">
        <f aca="false">IF(AND($F32="Yes",$I32&lt;1),O32-N32,MAX(0,O32-N32))</f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No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0</v>
      </c>
      <c r="K33" s="340" t="n">
        <f aca="false">IF($E33="Yes",SUMPRODUCT(($C$15:$DF$15&gt;=$C33)*($C$15:$DF$15&lt;$C33+$D33)*$C$18:$DF$18),0)</f>
        <v>0</v>
      </c>
      <c r="L33" s="340" t="n">
        <f aca="false">J33-K33</f>
        <v>0</v>
      </c>
      <c r="M33" s="335" t="n">
        <f aca="false">$B$3*I33</f>
        <v>0.1</v>
      </c>
      <c r="N33" s="340" t="n">
        <f aca="false">IF($E33="Yes",$B$2*$B33,0)</f>
        <v>0</v>
      </c>
      <c r="O33" s="340" t="n">
        <f aca="false">M33*MAX(0,L33)</f>
        <v>0</v>
      </c>
      <c r="P33" s="340" t="n">
        <f aca="false">N33+Q33</f>
        <v>0</v>
      </c>
      <c r="Q33" s="340" t="n">
        <f aca="false">IF(AND($F33="Yes",$I33&lt;1),O33-N33,MAX(0,O33-N33))</f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No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0</v>
      </c>
      <c r="K34" s="340" t="n">
        <f aca="false">IF($E34="Yes",SUMPRODUCT(($C$15:$DF$15&gt;=$C34)*($C$15:$DF$15&lt;$C34+$D34)*$C$18:$DF$18),0)</f>
        <v>0</v>
      </c>
      <c r="L34" s="340" t="n">
        <f aca="false">J34-K34</f>
        <v>0</v>
      </c>
      <c r="M34" s="335" t="n">
        <f aca="false">$B$3*I34</f>
        <v>0.1</v>
      </c>
      <c r="N34" s="340" t="n">
        <f aca="false">IF($E34="Yes",$B$2*$B34,0)</f>
        <v>0</v>
      </c>
      <c r="O34" s="340" t="n">
        <f aca="false">M34*MAX(0,L34)</f>
        <v>0</v>
      </c>
      <c r="P34" s="340" t="n">
        <f aca="false">N34+Q34</f>
        <v>0</v>
      </c>
      <c r="Q34" s="340" t="n">
        <f aca="false">IF(AND($F34="Yes",$I34&lt;1),O34-N34,MAX(0,O34-N34))</f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No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0</v>
      </c>
      <c r="K35" s="340" t="n">
        <f aca="false">IF($E35="Yes",SUMPRODUCT(($C$15:$DF$15&gt;=$C35)*($C$15:$DF$15&lt;$C35+$D35)*$C$18:$DF$18),0)</f>
        <v>0</v>
      </c>
      <c r="L35" s="340" t="n">
        <f aca="false">J35-K35</f>
        <v>0</v>
      </c>
      <c r="M35" s="335" t="n">
        <f aca="false">$B$3*I35</f>
        <v>0.1</v>
      </c>
      <c r="N35" s="340" t="n">
        <f aca="false">IF($E35="Yes",$B$2*$B35,0)</f>
        <v>0</v>
      </c>
      <c r="O35" s="340" t="n">
        <f aca="false">M35*MAX(0,L35)</f>
        <v>0</v>
      </c>
      <c r="P35" s="340" t="n">
        <f aca="false">N35+Q35</f>
        <v>0</v>
      </c>
      <c r="Q35" s="340" t="n">
        <f aca="false">IF(AND($F35="Yes",$I35&lt;1),O35-N35,MAX(0,O35-N35))</f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No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0</v>
      </c>
      <c r="K36" s="340" t="n">
        <f aca="false">IF($E36="Yes",SUMPRODUCT(($C$15:$DF$15&gt;=$C36)*($C$15:$DF$15&lt;$C36+$D36)*$C$18:$DF$18),0)</f>
        <v>0</v>
      </c>
      <c r="L36" s="340" t="n">
        <f aca="false">J36-K36</f>
        <v>0</v>
      </c>
      <c r="M36" s="335" t="n">
        <f aca="false">$B$3*I36</f>
        <v>0.1</v>
      </c>
      <c r="N36" s="340" t="n">
        <f aca="false">IF($E36="Yes",$B$2*$B36,0)</f>
        <v>0</v>
      </c>
      <c r="O36" s="340" t="n">
        <f aca="false">M36*MAX(0,L36)</f>
        <v>0</v>
      </c>
      <c r="P36" s="340" t="n">
        <f aca="false">N36+Q36</f>
        <v>0</v>
      </c>
      <c r="Q36" s="340" t="n">
        <f aca="false">IF(AND($F36="Yes",$I36&lt;1),O36-N36,MAX(0,O36-N36))</f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No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0</v>
      </c>
      <c r="K37" s="340" t="n">
        <f aca="false">IF($E37="Yes",SUMPRODUCT(($C$15:$DF$15&gt;=$C37)*($C$15:$DF$15&lt;$C37+$D37)*$C$18:$DF$18),0)</f>
        <v>0</v>
      </c>
      <c r="L37" s="340" t="n">
        <f aca="false">J37-K37</f>
        <v>0</v>
      </c>
      <c r="M37" s="335" t="n">
        <f aca="false">$B$3*I37</f>
        <v>0.1</v>
      </c>
      <c r="N37" s="340" t="n">
        <f aca="false">IF($E37="Yes",$B$2*$B37,0)</f>
        <v>0</v>
      </c>
      <c r="O37" s="340" t="n">
        <f aca="false">M37*MAX(0,L37)</f>
        <v>0</v>
      </c>
      <c r="P37" s="340" t="n">
        <f aca="false">N37+Q37</f>
        <v>0</v>
      </c>
      <c r="Q37" s="340" t="n">
        <f aca="false">IF(AND($F37="Yes",$I37&lt;1),O37-N37,MAX(0,O37-N37))</f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No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0.25</v>
      </c>
      <c r="J38" s="340" t="n">
        <f aca="false">IF($E38="Yes",$B38*Assumptions!$B$9*0.95/$D38*SUMPRODUCT(($C$15:$DF$15&gt;=$C38)*($C$15:$DF$15&lt;$C38+$D38))+$B38*Assumptions!$B$9*0.05*SUMPRODUCT(--($C$15:$DF$15=$G38)),0)</f>
        <v>0</v>
      </c>
      <c r="K38" s="340" t="n">
        <f aca="false">IF($E38="Yes",SUMPRODUCT(($C$15:$DF$15&gt;=$C38)*($C$15:$DF$15&lt;$C38+$D38)*$C$18:$DF$18),0)</f>
        <v>0</v>
      </c>
      <c r="L38" s="340" t="n">
        <f aca="false">J38-K38</f>
        <v>0</v>
      </c>
      <c r="M38" s="335" t="n">
        <f aca="false">$B$3*I38</f>
        <v>0.025</v>
      </c>
      <c r="N38" s="340" t="n">
        <f aca="false">IF($E38="Yes",$B$2*$B38,0)</f>
        <v>0</v>
      </c>
      <c r="O38" s="340" t="n">
        <f aca="false">M38*MAX(0,L38)</f>
        <v>0</v>
      </c>
      <c r="P38" s="340" t="n">
        <f aca="false">N38+Q38</f>
        <v>0</v>
      </c>
      <c r="Q38" s="340" t="n">
        <f aca="false">IF(AND($F38="Yes",$I38&lt;1),O38-N38,MAX(0,O38-N38))</f>
        <v>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No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0</v>
      </c>
      <c r="K39" s="340" t="n">
        <f aca="false">IF($E39="Yes",SUMPRODUCT(($C$15:$DF$15&gt;=$C39)*($C$15:$DF$15&lt;$C39+$D39)*$C$18:$DF$18),0)</f>
        <v>0</v>
      </c>
      <c r="L39" s="340" t="n">
        <f aca="false">J39-K39</f>
        <v>0</v>
      </c>
      <c r="M39" s="335" t="n">
        <f aca="false">$B$3*I39</f>
        <v>0.1</v>
      </c>
      <c r="N39" s="340" t="n">
        <f aca="false">IF($E39="Yes",$B$2*$B39,0)</f>
        <v>0</v>
      </c>
      <c r="O39" s="340" t="n">
        <f aca="false">M39*MAX(0,L39)</f>
        <v>0</v>
      </c>
      <c r="P39" s="340" t="n">
        <f aca="false">N39+Q39</f>
        <v>0</v>
      </c>
      <c r="Q39" s="340" t="n">
        <f aca="false">IF(AND($F39="Yes",$I39&lt;1),O39-N39,MAX(0,O39-N39))</f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No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0</v>
      </c>
      <c r="K40" s="340" t="n">
        <f aca="false">IF($E40="Yes",SUMPRODUCT(($C$15:$DF$15&gt;=$C40)*($C$15:$DF$15&lt;$C40+$D40)*$C$18:$DF$18),0)</f>
        <v>0</v>
      </c>
      <c r="L40" s="340" t="n">
        <f aca="false">J40-K40</f>
        <v>0</v>
      </c>
      <c r="M40" s="335" t="n">
        <f aca="false">$B$3*I40</f>
        <v>0.1</v>
      </c>
      <c r="N40" s="340" t="n">
        <f aca="false">IF($E40="Yes",$B$2*$B40,0)</f>
        <v>0</v>
      </c>
      <c r="O40" s="340" t="n">
        <f aca="false">M40*MAX(0,L40)</f>
        <v>0</v>
      </c>
      <c r="P40" s="340" t="n">
        <f aca="false">N40+Q40</f>
        <v>0</v>
      </c>
      <c r="Q40" s="340" t="n">
        <f aca="false">IF(AND($F40="Yes",$I40&lt;1),O40-N40,MAX(0,O40-N40))</f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No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0</v>
      </c>
      <c r="K41" s="340" t="n">
        <f aca="false">IF($E41="Yes",SUMPRODUCT(($C$15:$DF$15&gt;=$C41)*($C$15:$DF$15&lt;$C41+$D41)*$C$18:$DF$18),0)</f>
        <v>0</v>
      </c>
      <c r="L41" s="340" t="n">
        <f aca="false">J41-K41</f>
        <v>0</v>
      </c>
      <c r="M41" s="335" t="n">
        <f aca="false">$B$3*I41</f>
        <v>0.1</v>
      </c>
      <c r="N41" s="340" t="n">
        <f aca="false">IF($E41="Yes",$B$2*$B41,0)</f>
        <v>0</v>
      </c>
      <c r="O41" s="340" t="n">
        <f aca="false">M41*MAX(0,L41)</f>
        <v>0</v>
      </c>
      <c r="P41" s="340" t="n">
        <f aca="false">N41+Q41</f>
        <v>0</v>
      </c>
      <c r="Q41" s="340" t="n">
        <f aca="false">IF(AND($F41="Yes",$I41&lt;1),O41-N41,MAX(0,O41-N41))</f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No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0</v>
      </c>
      <c r="K42" s="340" t="n">
        <f aca="false">IF($E42="Yes",SUMPRODUCT(($C$15:$DF$15&gt;=$C42)*($C$15:$DF$15&lt;$C42+$D42)*$C$18:$DF$18),0)</f>
        <v>0</v>
      </c>
      <c r="L42" s="340" t="n">
        <f aca="false">J42-K42</f>
        <v>0</v>
      </c>
      <c r="M42" s="335" t="n">
        <f aca="false">$B$3*I42</f>
        <v>0.1</v>
      </c>
      <c r="N42" s="340" t="n">
        <f aca="false">IF($E42="Yes",$B$2*$B42,0)</f>
        <v>0</v>
      </c>
      <c r="O42" s="340" t="n">
        <f aca="false">M42*MAX(0,L42)</f>
        <v>0</v>
      </c>
      <c r="P42" s="340" t="n">
        <f aca="false">N42+Q42</f>
        <v>0</v>
      </c>
      <c r="Q42" s="340" t="n">
        <f aca="false">IF(AND($F42="Yes",$I42&lt;1),O42-N42,MAX(0,O42-N42))</f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No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0</v>
      </c>
      <c r="K43" s="340" t="n">
        <f aca="false">IF($E43="Yes",SUMPRODUCT(($C$15:$DF$15&gt;=$C43)*($C$15:$DF$15&lt;$C43+$D43)*$C$18:$DF$18),0)</f>
        <v>0</v>
      </c>
      <c r="L43" s="340" t="n">
        <f aca="false">J43-K43</f>
        <v>0</v>
      </c>
      <c r="M43" s="335" t="n">
        <f aca="false">$B$3*I43</f>
        <v>0.1</v>
      </c>
      <c r="N43" s="340" t="n">
        <f aca="false">IF($E43="Yes",$B$2*$B43,0)</f>
        <v>0</v>
      </c>
      <c r="O43" s="340" t="n">
        <f aca="false">M43*MAX(0,L43)</f>
        <v>0</v>
      </c>
      <c r="P43" s="340" t="n">
        <f aca="false">N43+Q43</f>
        <v>0</v>
      </c>
      <c r="Q43" s="340" t="n">
        <f aca="false">IF(AND($F43="Yes",$I43&lt;1),O43-N43,MAX(0,O43-N43))</f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No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0.25</v>
      </c>
      <c r="J44" s="340" t="n">
        <f aca="false">IF($E44="Yes",$B44*Assumptions!$B$9*0.95/$D44*SUMPRODUCT(($C$15:$DF$15&gt;=$C44)*($C$15:$DF$15&lt;$C44+$D44))+$B44*Assumptions!$B$9*0.05*SUMPRODUCT(--($C$15:$DF$15=$G44)),0)</f>
        <v>0</v>
      </c>
      <c r="K44" s="340" t="n">
        <f aca="false">IF($E44="Yes",SUMPRODUCT(($C$15:$DF$15&gt;=$C44)*($C$15:$DF$15&lt;$C44+$D44)*$C$18:$DF$18),0)</f>
        <v>0</v>
      </c>
      <c r="L44" s="340" t="n">
        <f aca="false">J44-K44</f>
        <v>0</v>
      </c>
      <c r="M44" s="335" t="n">
        <f aca="false">$B$3*I44</f>
        <v>0.025</v>
      </c>
      <c r="N44" s="340" t="n">
        <f aca="false">IF($E44="Yes",$B$2*$B44,0)</f>
        <v>0</v>
      </c>
      <c r="O44" s="340" t="n">
        <f aca="false">M44*MAX(0,L44)</f>
        <v>0</v>
      </c>
      <c r="P44" s="340" t="n">
        <f aca="false">N44+Q44</f>
        <v>0</v>
      </c>
      <c r="Q44" s="340" t="n">
        <f aca="false">IF(AND($F44="Yes",$I44&lt;1),O44-N44,MAX(0,O44-N44))</f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No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0</v>
      </c>
      <c r="K45" s="340" t="n">
        <f aca="false">IF($E45="Yes",SUMPRODUCT(($C$15:$DF$15&gt;=$C45)*($C$15:$DF$15&lt;$C45+$D45)*$C$18:$DF$18),0)</f>
        <v>0</v>
      </c>
      <c r="L45" s="340" t="n">
        <f aca="false">J45-K45</f>
        <v>0</v>
      </c>
      <c r="M45" s="335" t="n">
        <f aca="false">$B$3*I45</f>
        <v>0.1</v>
      </c>
      <c r="N45" s="340" t="n">
        <f aca="false">IF($E45="Yes",$B$2*$B45,0)</f>
        <v>0</v>
      </c>
      <c r="O45" s="340" t="n">
        <f aca="false">M45*MAX(0,L45)</f>
        <v>0</v>
      </c>
      <c r="P45" s="340" t="n">
        <f aca="false">N45+Q45</f>
        <v>0</v>
      </c>
      <c r="Q45" s="340" t="n">
        <f aca="false">IF(AND($F45="Yes",$I45&lt;1),O45-N45,MAX(0,O45-N45))</f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No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0</v>
      </c>
      <c r="K46" s="340" t="n">
        <f aca="false">IF($E46="Yes",SUMPRODUCT(($C$15:$DF$15&gt;=$C46)*($C$15:$DF$15&lt;$C46+$D46)*$C$18:$DF$18),0)</f>
        <v>0</v>
      </c>
      <c r="L46" s="340" t="n">
        <f aca="false">J46-K46</f>
        <v>0</v>
      </c>
      <c r="M46" s="335" t="n">
        <f aca="false">$B$3*I46</f>
        <v>0.1</v>
      </c>
      <c r="N46" s="340" t="n">
        <f aca="false">IF($E46="Yes",$B$2*$B46,0)</f>
        <v>0</v>
      </c>
      <c r="O46" s="340" t="n">
        <f aca="false">M46*MAX(0,L46)</f>
        <v>0</v>
      </c>
      <c r="P46" s="340" t="n">
        <f aca="false">N46+Q46</f>
        <v>0</v>
      </c>
      <c r="Q46" s="340" t="n">
        <f aca="false">IF(AND($F46="Yes",$I46&lt;1),O46-N46,MAX(0,O46-N46))</f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No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0</v>
      </c>
      <c r="K47" s="340" t="n">
        <f aca="false">IF($E47="Yes",SUMPRODUCT(($C$15:$DF$15&gt;=$C47)*($C$15:$DF$15&lt;$C47+$D47)*$C$18:$DF$18),0)</f>
        <v>0</v>
      </c>
      <c r="L47" s="340" t="n">
        <f aca="false">J47-K47</f>
        <v>0</v>
      </c>
      <c r="M47" s="335" t="n">
        <f aca="false">$B$3*I47</f>
        <v>0.1</v>
      </c>
      <c r="N47" s="340" t="n">
        <f aca="false">IF($E47="Yes",$B$2*$B47,0)</f>
        <v>0</v>
      </c>
      <c r="O47" s="340" t="n">
        <f aca="false">M47*MAX(0,L47)</f>
        <v>0</v>
      </c>
      <c r="P47" s="340" t="n">
        <f aca="false">N47+Q47</f>
        <v>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No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0</v>
      </c>
      <c r="K48" s="340" t="n">
        <f aca="false">IF($E48="Yes",SUMPRODUCT(($C$15:$DF$15&gt;=$C48)*($C$15:$DF$15&lt;$C48+$D48)*$C$18:$DF$18),0)</f>
        <v>0</v>
      </c>
      <c r="L48" s="340" t="n">
        <f aca="false">J48-K48</f>
        <v>0</v>
      </c>
      <c r="M48" s="335" t="n">
        <f aca="false">$B$3*I48</f>
        <v>0.1</v>
      </c>
      <c r="N48" s="340" t="n">
        <f aca="false">IF($E48="Yes",$B$2*$B48,0)</f>
        <v>0</v>
      </c>
      <c r="O48" s="340" t="n">
        <f aca="false">M48*MAX(0,L48)</f>
        <v>0</v>
      </c>
      <c r="P48" s="340" t="n">
        <f aca="false">N48+Q48</f>
        <v>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No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0</v>
      </c>
      <c r="K49" s="340" t="n">
        <f aca="false">IF($E49="Yes",SUMPRODUCT(($C$15:$DF$15&gt;=$C49)*($C$15:$DF$15&lt;$C49+$D49)*$C$18:$DF$18),0)</f>
        <v>0</v>
      </c>
      <c r="L49" s="340" t="n">
        <f aca="false">J49-K49</f>
        <v>0</v>
      </c>
      <c r="M49" s="335" t="n">
        <f aca="false">$B$3*I49</f>
        <v>0.1</v>
      </c>
      <c r="N49" s="340" t="n">
        <f aca="false">IF($E49="Yes",$B$2*$B49,0)</f>
        <v>0</v>
      </c>
      <c r="O49" s="340" t="n">
        <f aca="false">M49*MAX(0,L49)</f>
        <v>0</v>
      </c>
      <c r="P49" s="340" t="n">
        <f aca="false">N49+Q49</f>
        <v>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No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0</v>
      </c>
      <c r="K50" s="340" t="n">
        <f aca="false">IF($E50="Yes",SUMPRODUCT(($C$15:$DF$15&gt;=$C50)*($C$15:$DF$15&lt;$C50+$D50)*$C$18:$DF$18),0)</f>
        <v>0</v>
      </c>
      <c r="L50" s="340" t="n">
        <f aca="false">J50-K50</f>
        <v>0</v>
      </c>
      <c r="M50" s="335" t="n">
        <f aca="false">$B$3*I50</f>
        <v>0.025</v>
      </c>
      <c r="N50" s="340" t="n">
        <f aca="false">IF($E50="Yes",$B$2*$B50,0)</f>
        <v>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0</v>
      </c>
      <c r="AU53" s="340" t="n">
        <f aca="false">SUMPRODUCT(($H$21:$H$50=AU$15)*$N$21:$N$50)+SUMPRODUCT(($G$21:$G$50=AU$15)*$Q$21:$Q$50)</f>
        <v>0</v>
      </c>
      <c r="AV53" s="340" t="n">
        <f aca="false">SUMPRODUCT(($H$21:$H$50=AV$15)*$N$21:$N$50)+SUMPRODUCT(($G$21:$G$50=AV$15)*$Q$21:$Q$50)</f>
        <v>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0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0</v>
      </c>
      <c r="BE53" s="340" t="n">
        <f aca="false">SUMPRODUCT(($H$21:$H$50=BE$15)*$N$21:$N$50)+SUMPRODUCT(($G$21:$G$50=BE$15)*$Q$21:$Q$50)</f>
        <v>0</v>
      </c>
      <c r="BF53" s="340" t="n">
        <f aca="false">SUMPRODUCT(($H$21:$H$50=BF$15)*$N$21:$N$50)+SUMPRODUCT(($G$21:$G$50=BF$15)*$Q$21:$Q$50)</f>
        <v>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0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0</v>
      </c>
      <c r="BK53" s="340" t="n">
        <f aca="false">SUMPRODUCT(($H$21:$H$50=BK$15)*$N$21:$N$50)+SUMPRODUCT(($G$21:$G$50=BK$15)*$Q$21:$Q$50)</f>
        <v>0</v>
      </c>
      <c r="BL53" s="340" t="n">
        <f aca="false">SUMPRODUCT(($H$21:$H$50=BL$15)*$N$21:$N$50)+SUMPRODUCT(($G$21:$G$50=BL$15)*$Q$21:$Q$50)</f>
        <v>0</v>
      </c>
      <c r="BM53" s="340" t="n">
        <f aca="false">SUMPRODUCT(($H$21:$H$50=BM$15)*$N$21:$N$50)+SUMPRODUCT(($G$21:$G$50=BM$15)*$Q$21:$Q$50)</f>
        <v>0</v>
      </c>
      <c r="BN53" s="340" t="n">
        <f aca="false">SUMPRODUCT(($H$21:$H$50=BN$15)*$N$21:$N$50)+SUMPRODUCT(($G$21:$G$50=BN$15)*$Q$21:$Q$50)</f>
        <v>0</v>
      </c>
      <c r="BO53" s="340" t="n">
        <f aca="false">SUMPRODUCT(($H$21:$H$50=BO$15)*$N$21:$N$50)+SUMPRODUCT(($G$21:$G$50=BO$15)*$Q$21:$Q$50)</f>
        <v>0</v>
      </c>
      <c r="BP53" s="340" t="n">
        <f aca="false">SUMPRODUCT(($H$21:$H$50=BP$15)*$N$21:$N$50)+SUMPRODUCT(($G$21:$G$50=BP$15)*$Q$21:$Q$50)</f>
        <v>0</v>
      </c>
      <c r="BQ53" s="340" t="n">
        <f aca="false">SUMPRODUCT(($H$21:$H$50=BQ$15)*$N$21:$N$50)+SUMPRODUCT(($G$21:$G$50=BQ$15)*$Q$21:$Q$50)</f>
        <v>0</v>
      </c>
      <c r="BR53" s="340" t="n">
        <f aca="false">SUMPRODUCT(($H$21:$H$50=BR$15)*$N$21:$N$50)+SUMPRODUCT(($G$21:$G$50=BR$15)*$Q$21:$Q$50)</f>
        <v>0</v>
      </c>
      <c r="BS53" s="340" t="n">
        <f aca="false">SUMPRODUCT(($H$21:$H$50=BS$15)*$N$21:$N$50)+SUMPRODUCT(($G$21:$G$50=BS$15)*$Q$21:$Q$50)</f>
        <v>0</v>
      </c>
      <c r="BT53" s="340" t="n">
        <f aca="false">SUMPRODUCT(($H$21:$H$50=BT$15)*$N$21:$N$50)+SUMPRODUCT(($G$21:$G$50=BT$15)*$Q$21:$Q$50)</f>
        <v>0</v>
      </c>
      <c r="BU53" s="340" t="n">
        <f aca="false">SUMPRODUCT(($H$21:$H$50=BU$15)*$N$21:$N$50)+SUMPRODUCT(($G$21:$G$50=BU$15)*$Q$21:$Q$50)</f>
        <v>0</v>
      </c>
      <c r="BV53" s="340" t="n">
        <f aca="false">SUMPRODUCT(($H$21:$H$50=BV$15)*$N$21:$N$50)+SUMPRODUCT(($G$21:$G$50=BV$15)*$Q$21:$Q$50)</f>
        <v>0</v>
      </c>
      <c r="BW53" s="340" t="n">
        <f aca="false">SUMPRODUCT(($H$21:$H$50=BW$15)*$N$21:$N$50)+SUMPRODUCT(($G$21:$G$50=BW$15)*$Q$21:$Q$50)</f>
        <v>0</v>
      </c>
      <c r="BX53" s="340" t="n">
        <f aca="false">SUMPRODUCT(($H$21:$H$50=BX$15)*$N$21:$N$50)+SUMPRODUCT(($G$21:$G$50=BX$15)*$Q$21:$Q$50)</f>
        <v>0</v>
      </c>
      <c r="BY53" s="340" t="n">
        <f aca="false">SUMPRODUCT(($H$21:$H$50=BY$15)*$N$21:$N$50)+SUMPRODUCT(($G$21:$G$50=BY$15)*$Q$21:$Q$50)</f>
        <v>0</v>
      </c>
      <c r="BZ53" s="340" t="n">
        <f aca="false">SUMPRODUCT(($H$21:$H$50=BZ$15)*$N$21:$N$50)+SUMPRODUCT(($G$21:$G$50=BZ$15)*$Q$21:$Q$50)</f>
        <v>0</v>
      </c>
      <c r="CA53" s="340" t="n">
        <f aca="false">SUMPRODUCT(($H$21:$H$50=CA$15)*$N$21:$N$50)+SUMPRODUCT(($G$21:$G$50=CA$15)*$Q$21:$Q$50)</f>
        <v>0</v>
      </c>
      <c r="CB53" s="340" t="n">
        <f aca="false">SUMPRODUCT(($H$21:$H$50=CB$15)*$N$21:$N$50)+SUMPRODUCT(($G$21:$G$50=CB$15)*$Q$21:$Q$50)</f>
        <v>0</v>
      </c>
      <c r="CC53" s="340" t="n">
        <f aca="false">SUMPRODUCT(($H$21:$H$50=CC$15)*$N$21:$N$50)+SUMPRODUCT(($G$21:$G$50=CC$15)*$Q$21:$Q$50)</f>
        <v>0</v>
      </c>
      <c r="CD53" s="340" t="n">
        <f aca="false">SUMPRODUCT(($H$21:$H$50=CD$15)*$N$21:$N$50)+SUMPRODUCT(($G$21:$G$50=CD$15)*$Q$21:$Q$50)</f>
        <v>0</v>
      </c>
      <c r="CE53" s="340" t="n">
        <f aca="false">SUMPRODUCT(($H$21:$H$50=CE$15)*$N$21:$N$50)+SUMPRODUCT(($G$21:$G$50=CE$15)*$Q$21:$Q$50)</f>
        <v>0</v>
      </c>
      <c r="CF53" s="340" t="n">
        <f aca="false">SUMPRODUCT(($H$21:$H$50=CF$15)*$N$21:$N$50)+SUMPRODUCT(($G$21:$G$50=CF$15)*$Q$21:$Q$50)</f>
        <v>0</v>
      </c>
      <c r="CG53" s="340" t="n">
        <f aca="false">SUMPRODUCT(($H$21:$H$50=CG$15)*$N$21:$N$50)+SUMPRODUCT(($G$21:$G$50=CG$15)*$Q$21:$Q$50)</f>
        <v>0</v>
      </c>
      <c r="CH53" s="340" t="n">
        <f aca="false">SUMPRODUCT(($H$21:$H$50=CH$15)*$N$21:$N$50)+SUMPRODUCT(($G$21:$G$50=CH$15)*$Q$21:$Q$50)</f>
        <v>0</v>
      </c>
      <c r="CI53" s="340" t="n">
        <f aca="false">SUMPRODUCT(($H$21:$H$50=CI$15)*$N$21:$N$50)+SUMPRODUCT(($G$21:$G$50=CI$15)*$Q$21:$Q$50)</f>
        <v>0</v>
      </c>
      <c r="CJ53" s="340" t="n">
        <f aca="false">SUMPRODUCT(($H$21:$H$50=CJ$15)*$N$21:$N$50)+SUMPRODUCT(($G$21:$G$50=CJ$15)*$Q$21:$Q$50)</f>
        <v>0</v>
      </c>
      <c r="CK53" s="340" t="n">
        <f aca="false">SUMPRODUCT(($H$21:$H$50=CK$15)*$N$21:$N$50)+SUMPRODUCT(($G$21:$G$50=CK$15)*$Q$21:$Q$50)</f>
        <v>0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0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0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0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0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1152997.729619</v>
      </c>
      <c r="D11" s="346" t="n">
        <f aca="false">C11*0.05</f>
        <v>57649.88648095</v>
      </c>
      <c r="E11" s="346" t="n">
        <f aca="false">B11+D11</f>
        <v>57649.88648095</v>
      </c>
      <c r="F11" s="1" t="n">
        <f aca="false">Projects!$C$11+Projects!$D$11-1</f>
        <v>25</v>
      </c>
      <c r="G11" s="347" t="n">
        <f aca="false">EDATE(DATE(2026,4,1),F11-1)</f>
        <v>46844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908374.534373</v>
      </c>
      <c r="D12" s="346" t="n">
        <f aca="false">C12*0.05</f>
        <v>45418.72671865</v>
      </c>
      <c r="E12" s="346" t="n">
        <f aca="false">B12+D12</f>
        <v>45418.72671865</v>
      </c>
      <c r="F12" s="1" t="n">
        <f aca="false">Projects!$C$12+Projects!$D$12-1</f>
        <v>25</v>
      </c>
      <c r="G12" s="347" t="n">
        <f aca="false">EDATE(DATE(2026,4,1),F12-1)</f>
        <v>46844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0</v>
      </c>
      <c r="D18" s="346" t="n">
        <f aca="false">C18*0.05</f>
        <v>0</v>
      </c>
      <c r="E18" s="346" t="n">
        <f aca="false">B18+D18</f>
        <v>0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0</v>
      </c>
      <c r="D19" s="346" t="n">
        <f aca="false">C19*0.05</f>
        <v>0</v>
      </c>
      <c r="E19" s="346" t="n">
        <f aca="false">B19+D19</f>
        <v>0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0</v>
      </c>
      <c r="D20" s="346" t="n">
        <f aca="false">C20*0.05</f>
        <v>0</v>
      </c>
      <c r="E20" s="346" t="n">
        <f aca="false">B20+D20</f>
        <v>0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0</v>
      </c>
      <c r="D21" s="346" t="n">
        <f aca="false">C21*0.05</f>
        <v>0</v>
      </c>
      <c r="E21" s="346" t="n">
        <f aca="false">B21+D21</f>
        <v>0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0</v>
      </c>
      <c r="D22" s="346" t="n">
        <f aca="false">C22*0.05</f>
        <v>0</v>
      </c>
      <c r="E22" s="346" t="n">
        <f aca="false">B22+D22</f>
        <v>0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0</v>
      </c>
      <c r="D23" s="346" t="n">
        <f aca="false">C23*0.05</f>
        <v>0</v>
      </c>
      <c r="E23" s="346" t="n">
        <f aca="false">B23+D23</f>
        <v>0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0</v>
      </c>
      <c r="D24" s="346" t="n">
        <f aca="false">C24*0.05</f>
        <v>0</v>
      </c>
      <c r="E24" s="346" t="n">
        <f aca="false">B24+D24</f>
        <v>0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0</v>
      </c>
      <c r="D25" s="346" t="n">
        <f aca="false">C25*0.05</f>
        <v>0</v>
      </c>
      <c r="E25" s="346" t="n">
        <f aca="false">B25+D25</f>
        <v>0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0</v>
      </c>
      <c r="D26" s="346" t="n">
        <f aca="false">C26*0.05</f>
        <v>0</v>
      </c>
      <c r="E26" s="346" t="n">
        <f aca="false">B26+D26</f>
        <v>0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0</v>
      </c>
      <c r="D27" s="346" t="n">
        <f aca="false">C27*0.05</f>
        <v>0</v>
      </c>
      <c r="E27" s="346" t="n">
        <f aca="false">B27+D27</f>
        <v>0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0</v>
      </c>
      <c r="D28" s="346" t="n">
        <f aca="false">C28*0.05</f>
        <v>0</v>
      </c>
      <c r="E28" s="346" t="n">
        <f aca="false">B28+D28</f>
        <v>0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0</v>
      </c>
      <c r="D29" s="346" t="n">
        <f aca="false">C29*0.05</f>
        <v>0</v>
      </c>
      <c r="E29" s="346" t="n">
        <f aca="false">B29+D29</f>
        <v>0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0</v>
      </c>
      <c r="D30" s="346" t="n">
        <f aca="false">C30*0.05</f>
        <v>0</v>
      </c>
      <c r="E30" s="346" t="n">
        <f aca="false">B30+D30</f>
        <v>0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0</v>
      </c>
      <c r="D31" s="346" t="n">
        <f aca="false">C31*0.05</f>
        <v>0</v>
      </c>
      <c r="E31" s="346" t="n">
        <f aca="false">B31+D31</f>
        <v>0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0</v>
      </c>
      <c r="D32" s="346" t="n">
        <f aca="false">C32*0.05</f>
        <v>0</v>
      </c>
      <c r="E32" s="346" t="n">
        <f aca="false">B32+D32</f>
        <v>0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0</v>
      </c>
      <c r="D33" s="346" t="n">
        <f aca="false">C33*0.05</f>
        <v>0</v>
      </c>
      <c r="E33" s="346" t="n">
        <f aca="false">B33+D33</f>
        <v>0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0</v>
      </c>
      <c r="D34" s="346" t="n">
        <f aca="false">C34*0.05</f>
        <v>0</v>
      </c>
      <c r="E34" s="346" t="n">
        <f aca="false">B34+D34</f>
        <v>0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0</v>
      </c>
      <c r="D35" s="346" t="n">
        <f aca="false">C35*0.05</f>
        <v>0</v>
      </c>
      <c r="E35" s="346" t="n">
        <f aca="false">B35+D35</f>
        <v>0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0</v>
      </c>
      <c r="D36" s="346" t="n">
        <f aca="false">C36*0.05</f>
        <v>0</v>
      </c>
      <c r="E36" s="346" t="n">
        <f aca="false">B36+D36</f>
        <v>0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0</v>
      </c>
      <c r="D37" s="346" t="n">
        <f aca="false">C37*0.05</f>
        <v>0</v>
      </c>
      <c r="E37" s="346" t="n">
        <f aca="false">B37+D37</f>
        <v>0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0</v>
      </c>
      <c r="D38" s="346" t="n">
        <f aca="false">C38*0.05</f>
        <v>0</v>
      </c>
      <c r="E38" s="346" t="n">
        <f aca="false">B38+D38</f>
        <v>0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0</v>
      </c>
      <c r="D39" s="346" t="n">
        <f aca="false">C39*0.05</f>
        <v>0</v>
      </c>
      <c r="E39" s="346" t="n">
        <f aca="false">B39+D39</f>
        <v>0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0</v>
      </c>
      <c r="D40" s="346" t="n">
        <f aca="false">C40*0.05</f>
        <v>0</v>
      </c>
      <c r="E40" s="346" t="n">
        <f aca="false">B40+D40</f>
        <v>0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0</v>
      </c>
      <c r="D41" s="346" t="n">
        <f aca="false">C41*0.05</f>
        <v>0</v>
      </c>
      <c r="E41" s="346" t="n">
        <f aca="false">B41+D41</f>
        <v>0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0</v>
      </c>
      <c r="D42" s="346" t="n">
        <f aca="false">C42*0.05</f>
        <v>0</v>
      </c>
      <c r="E42" s="346" t="n">
        <f aca="false">B42+D42</f>
        <v>0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0</v>
      </c>
      <c r="D43" s="346" t="n">
        <f aca="false">C43*0.05</f>
        <v>0</v>
      </c>
      <c r="E43" s="346" t="n">
        <f aca="false">B43+D43</f>
        <v>0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0</v>
      </c>
      <c r="D44" s="346" t="n">
        <f aca="false">C44*0.05</f>
        <v>0</v>
      </c>
      <c r="E44" s="346" t="n">
        <f aca="false">B44+D44</f>
        <v>0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2026-06-16T22:27:25Z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